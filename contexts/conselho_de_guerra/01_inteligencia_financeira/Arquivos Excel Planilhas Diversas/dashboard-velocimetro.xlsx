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bookViews>
    <workbookView xWindow="0" yWindow="0" windowWidth="20490" windowHeight="7590" activeTab="2"/>
  </bookViews>
  <sheets>
    <sheet name="BD" sheetId="1" r:id="rId1"/>
    <sheet name="Lixo" sheetId="3" r:id="rId2"/>
    <sheet name="Dash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2" i="3" l="1"/>
  <c r="U12" i="3"/>
  <c r="R12" i="3"/>
  <c r="O12" i="3"/>
  <c r="R4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2" i="1"/>
  <c r="A3" i="1"/>
  <c r="E3" i="1" s="1"/>
  <c r="A4" i="1"/>
  <c r="E4" i="1" s="1"/>
  <c r="A5" i="1"/>
  <c r="E5" i="1" s="1"/>
  <c r="A6" i="1"/>
  <c r="E6" i="1" s="1"/>
  <c r="A7" i="1"/>
  <c r="E7" i="1" s="1"/>
  <c r="A8" i="1"/>
  <c r="E8" i="1" s="1"/>
  <c r="A9" i="1"/>
  <c r="E9" i="1" s="1"/>
  <c r="A10" i="1"/>
  <c r="E10" i="1" s="1"/>
  <c r="A11" i="1"/>
  <c r="E11" i="1" s="1"/>
  <c r="A12" i="1"/>
  <c r="E12" i="1" s="1"/>
  <c r="A13" i="1"/>
  <c r="E13" i="1" s="1"/>
  <c r="A14" i="1"/>
  <c r="E14" i="1" s="1"/>
  <c r="A15" i="1"/>
  <c r="E15" i="1" s="1"/>
  <c r="A16" i="1"/>
  <c r="E16" i="1" s="1"/>
  <c r="A17" i="1"/>
  <c r="E17" i="1" s="1"/>
  <c r="A18" i="1"/>
  <c r="E18" i="1" s="1"/>
  <c r="A19" i="1"/>
  <c r="E19" i="1" s="1"/>
  <c r="A20" i="1"/>
  <c r="E20" i="1" s="1"/>
  <c r="A21" i="1"/>
  <c r="E21" i="1" s="1"/>
  <c r="A22" i="1"/>
  <c r="E22" i="1" s="1"/>
  <c r="A23" i="1"/>
  <c r="E23" i="1" s="1"/>
  <c r="A24" i="1"/>
  <c r="E24" i="1" s="1"/>
  <c r="A25" i="1"/>
  <c r="E25" i="1" s="1"/>
  <c r="A26" i="1"/>
  <c r="E26" i="1" s="1"/>
  <c r="A27" i="1"/>
  <c r="E27" i="1" s="1"/>
  <c r="A28" i="1"/>
  <c r="E28" i="1" s="1"/>
  <c r="A29" i="1"/>
  <c r="E29" i="1" s="1"/>
  <c r="A30" i="1"/>
  <c r="E30" i="1" s="1"/>
  <c r="A31" i="1"/>
  <c r="E31" i="1" s="1"/>
  <c r="A32" i="1"/>
  <c r="E32" i="1" s="1"/>
  <c r="A33" i="1"/>
  <c r="E33" i="1" s="1"/>
  <c r="A34" i="1"/>
  <c r="E34" i="1" s="1"/>
  <c r="A35" i="1"/>
  <c r="E35" i="1" s="1"/>
  <c r="A36" i="1"/>
  <c r="E36" i="1" s="1"/>
  <c r="A37" i="1"/>
  <c r="E37" i="1" s="1"/>
  <c r="A38" i="1"/>
  <c r="E38" i="1" s="1"/>
  <c r="A39" i="1"/>
  <c r="E39" i="1" s="1"/>
  <c r="A40" i="1"/>
  <c r="E40" i="1" s="1"/>
  <c r="A41" i="1"/>
  <c r="E41" i="1" s="1"/>
  <c r="A42" i="1"/>
  <c r="E42" i="1" s="1"/>
  <c r="A43" i="1"/>
  <c r="E43" i="1" s="1"/>
  <c r="A44" i="1"/>
  <c r="E44" i="1" s="1"/>
  <c r="A45" i="1"/>
  <c r="E45" i="1" s="1"/>
  <c r="A46" i="1"/>
  <c r="E46" i="1" s="1"/>
  <c r="A47" i="1"/>
  <c r="E47" i="1" s="1"/>
  <c r="A48" i="1"/>
  <c r="E48" i="1" s="1"/>
  <c r="A49" i="1"/>
  <c r="E49" i="1" s="1"/>
  <c r="A50" i="1"/>
  <c r="E50" i="1" s="1"/>
  <c r="A51" i="1"/>
  <c r="E51" i="1" s="1"/>
  <c r="A52" i="1"/>
  <c r="E52" i="1" s="1"/>
  <c r="A53" i="1"/>
  <c r="E53" i="1" s="1"/>
  <c r="A54" i="1"/>
  <c r="E54" i="1" s="1"/>
  <c r="A55" i="1"/>
  <c r="E55" i="1" s="1"/>
  <c r="A56" i="1"/>
  <c r="E56" i="1" s="1"/>
  <c r="A57" i="1"/>
  <c r="E57" i="1" s="1"/>
  <c r="A58" i="1"/>
  <c r="E58" i="1" s="1"/>
  <c r="A59" i="1"/>
  <c r="E59" i="1" s="1"/>
  <c r="A60" i="1"/>
  <c r="E60" i="1" s="1"/>
  <c r="A61" i="1"/>
  <c r="E61" i="1" s="1"/>
  <c r="A62" i="1"/>
  <c r="E62" i="1" s="1"/>
  <c r="A63" i="1"/>
  <c r="E63" i="1" s="1"/>
  <c r="A64" i="1"/>
  <c r="E64" i="1" s="1"/>
  <c r="A65" i="1"/>
  <c r="E65" i="1" s="1"/>
  <c r="A66" i="1"/>
  <c r="E66" i="1" s="1"/>
  <c r="A67" i="1"/>
  <c r="E67" i="1" s="1"/>
  <c r="A68" i="1"/>
  <c r="E68" i="1" s="1"/>
  <c r="A69" i="1"/>
  <c r="E69" i="1" s="1"/>
  <c r="A70" i="1"/>
  <c r="E70" i="1" s="1"/>
  <c r="A71" i="1"/>
  <c r="E71" i="1" s="1"/>
  <c r="A72" i="1"/>
  <c r="E72" i="1" s="1"/>
  <c r="A73" i="1"/>
  <c r="E73" i="1" s="1"/>
  <c r="A74" i="1"/>
  <c r="E74" i="1" s="1"/>
  <c r="A75" i="1"/>
  <c r="E75" i="1" s="1"/>
  <c r="A76" i="1"/>
  <c r="E76" i="1" s="1"/>
  <c r="A77" i="1"/>
  <c r="E77" i="1" s="1"/>
  <c r="A78" i="1"/>
  <c r="E78" i="1" s="1"/>
  <c r="A79" i="1"/>
  <c r="E79" i="1" s="1"/>
  <c r="A80" i="1"/>
  <c r="E80" i="1" s="1"/>
  <c r="A81" i="1"/>
  <c r="E81" i="1" s="1"/>
  <c r="A82" i="1"/>
  <c r="E82" i="1" s="1"/>
  <c r="A83" i="1"/>
  <c r="E83" i="1" s="1"/>
  <c r="A84" i="1"/>
  <c r="E84" i="1" s="1"/>
  <c r="A85" i="1"/>
  <c r="E85" i="1" s="1"/>
  <c r="A86" i="1"/>
  <c r="E86" i="1" s="1"/>
  <c r="A87" i="1"/>
  <c r="E87" i="1" s="1"/>
  <c r="A88" i="1"/>
  <c r="E88" i="1" s="1"/>
  <c r="A89" i="1"/>
  <c r="E89" i="1" s="1"/>
  <c r="A90" i="1"/>
  <c r="E90" i="1" s="1"/>
  <c r="A91" i="1"/>
  <c r="E91" i="1" s="1"/>
  <c r="A92" i="1"/>
  <c r="E92" i="1" s="1"/>
  <c r="A93" i="1"/>
  <c r="E93" i="1" s="1"/>
  <c r="A94" i="1"/>
  <c r="E94" i="1" s="1"/>
  <c r="A95" i="1"/>
  <c r="E95" i="1" s="1"/>
  <c r="A96" i="1"/>
  <c r="E96" i="1" s="1"/>
  <c r="A97" i="1"/>
  <c r="E97" i="1" s="1"/>
  <c r="A98" i="1"/>
  <c r="E98" i="1" s="1"/>
  <c r="A99" i="1"/>
  <c r="E99" i="1" s="1"/>
  <c r="A100" i="1"/>
  <c r="E100" i="1" s="1"/>
  <c r="A101" i="1"/>
  <c r="E101" i="1" s="1"/>
  <c r="A102" i="1"/>
  <c r="E102" i="1" s="1"/>
  <c r="A103" i="1"/>
  <c r="E103" i="1" s="1"/>
  <c r="A104" i="1"/>
  <c r="E104" i="1" s="1"/>
  <c r="A105" i="1"/>
  <c r="E105" i="1" s="1"/>
  <c r="A106" i="1"/>
  <c r="E106" i="1" s="1"/>
  <c r="A107" i="1"/>
  <c r="E107" i="1" s="1"/>
  <c r="A108" i="1"/>
  <c r="E108" i="1" s="1"/>
  <c r="A109" i="1"/>
  <c r="E109" i="1" s="1"/>
  <c r="A110" i="1"/>
  <c r="E110" i="1" s="1"/>
  <c r="A111" i="1"/>
  <c r="E111" i="1" s="1"/>
  <c r="A112" i="1"/>
  <c r="E112" i="1" s="1"/>
  <c r="A113" i="1"/>
  <c r="E113" i="1" s="1"/>
  <c r="A114" i="1"/>
  <c r="E114" i="1" s="1"/>
  <c r="A115" i="1"/>
  <c r="E115" i="1" s="1"/>
  <c r="A116" i="1"/>
  <c r="E116" i="1" s="1"/>
  <c r="A117" i="1"/>
  <c r="E117" i="1" s="1"/>
  <c r="A118" i="1"/>
  <c r="E118" i="1" s="1"/>
  <c r="A119" i="1"/>
  <c r="E119" i="1" s="1"/>
  <c r="A120" i="1"/>
  <c r="E120" i="1" s="1"/>
  <c r="A121" i="1"/>
  <c r="E121" i="1" s="1"/>
  <c r="A122" i="1"/>
  <c r="E122" i="1" s="1"/>
  <c r="A123" i="1"/>
  <c r="E123" i="1" s="1"/>
  <c r="A124" i="1"/>
  <c r="E124" i="1" s="1"/>
  <c r="A125" i="1"/>
  <c r="E125" i="1" s="1"/>
  <c r="A126" i="1"/>
  <c r="E126" i="1" s="1"/>
  <c r="A127" i="1"/>
  <c r="E127" i="1" s="1"/>
  <c r="A128" i="1"/>
  <c r="E128" i="1" s="1"/>
  <c r="A129" i="1"/>
  <c r="E129" i="1" s="1"/>
  <c r="A130" i="1"/>
  <c r="E130" i="1" s="1"/>
  <c r="A131" i="1"/>
  <c r="E131" i="1" s="1"/>
  <c r="A132" i="1"/>
  <c r="E132" i="1" s="1"/>
  <c r="A133" i="1"/>
  <c r="E133" i="1" s="1"/>
  <c r="A134" i="1"/>
  <c r="E134" i="1" s="1"/>
  <c r="A135" i="1"/>
  <c r="E135" i="1" s="1"/>
  <c r="A136" i="1"/>
  <c r="E136" i="1" s="1"/>
  <c r="A137" i="1"/>
  <c r="E137" i="1" s="1"/>
  <c r="A138" i="1"/>
  <c r="E138" i="1" s="1"/>
  <c r="A139" i="1"/>
  <c r="E139" i="1" s="1"/>
  <c r="A140" i="1"/>
  <c r="E140" i="1" s="1"/>
  <c r="A141" i="1"/>
  <c r="E141" i="1" s="1"/>
  <c r="A142" i="1"/>
  <c r="E142" i="1" s="1"/>
  <c r="A143" i="1"/>
  <c r="E143" i="1" s="1"/>
  <c r="A144" i="1"/>
  <c r="E144" i="1" s="1"/>
  <c r="A145" i="1"/>
  <c r="E145" i="1" s="1"/>
  <c r="A146" i="1"/>
  <c r="E146" i="1" s="1"/>
  <c r="A147" i="1"/>
  <c r="E147" i="1" s="1"/>
  <c r="A148" i="1"/>
  <c r="E148" i="1" s="1"/>
  <c r="A149" i="1"/>
  <c r="E149" i="1" s="1"/>
  <c r="A150" i="1"/>
  <c r="E150" i="1" s="1"/>
  <c r="A151" i="1"/>
  <c r="E151" i="1" s="1"/>
  <c r="A152" i="1"/>
  <c r="E152" i="1" s="1"/>
  <c r="A153" i="1"/>
  <c r="E153" i="1" s="1"/>
  <c r="A154" i="1"/>
  <c r="E154" i="1" s="1"/>
  <c r="A155" i="1"/>
  <c r="E155" i="1" s="1"/>
  <c r="A156" i="1"/>
  <c r="E156" i="1" s="1"/>
  <c r="A157" i="1"/>
  <c r="E157" i="1" s="1"/>
  <c r="A158" i="1"/>
  <c r="E158" i="1" s="1"/>
  <c r="A159" i="1"/>
  <c r="E159" i="1" s="1"/>
  <c r="A160" i="1"/>
  <c r="E160" i="1" s="1"/>
  <c r="A161" i="1"/>
  <c r="E161" i="1" s="1"/>
  <c r="A162" i="1"/>
  <c r="E162" i="1" s="1"/>
  <c r="A163" i="1"/>
  <c r="E163" i="1" s="1"/>
  <c r="A164" i="1"/>
  <c r="E164" i="1" s="1"/>
  <c r="A165" i="1"/>
  <c r="E165" i="1" s="1"/>
  <c r="A166" i="1"/>
  <c r="E166" i="1" s="1"/>
  <c r="A167" i="1"/>
  <c r="E167" i="1" s="1"/>
  <c r="A168" i="1"/>
  <c r="E168" i="1" s="1"/>
  <c r="A169" i="1"/>
  <c r="E169" i="1" s="1"/>
  <c r="A170" i="1"/>
  <c r="E170" i="1" s="1"/>
  <c r="A171" i="1"/>
  <c r="E171" i="1" s="1"/>
  <c r="A172" i="1"/>
  <c r="E172" i="1" s="1"/>
  <c r="A173" i="1"/>
  <c r="E173" i="1" s="1"/>
  <c r="A174" i="1"/>
  <c r="E174" i="1" s="1"/>
  <c r="A175" i="1"/>
  <c r="E175" i="1" s="1"/>
  <c r="A176" i="1"/>
  <c r="E176" i="1" s="1"/>
  <c r="A177" i="1"/>
  <c r="E177" i="1" s="1"/>
  <c r="A178" i="1"/>
  <c r="E178" i="1" s="1"/>
  <c r="A179" i="1"/>
  <c r="E179" i="1" s="1"/>
  <c r="A180" i="1"/>
  <c r="E180" i="1" s="1"/>
  <c r="A181" i="1"/>
  <c r="E181" i="1" s="1"/>
  <c r="A182" i="1"/>
  <c r="E182" i="1" s="1"/>
  <c r="A183" i="1"/>
  <c r="E183" i="1" s="1"/>
  <c r="A184" i="1"/>
  <c r="E184" i="1" s="1"/>
  <c r="A185" i="1"/>
  <c r="E185" i="1" s="1"/>
  <c r="A186" i="1"/>
  <c r="E186" i="1" s="1"/>
  <c r="A187" i="1"/>
  <c r="E187" i="1" s="1"/>
  <c r="A188" i="1"/>
  <c r="E188" i="1" s="1"/>
  <c r="A189" i="1"/>
  <c r="E189" i="1" s="1"/>
  <c r="A190" i="1"/>
  <c r="E190" i="1" s="1"/>
  <c r="A191" i="1"/>
  <c r="E191" i="1" s="1"/>
  <c r="A192" i="1"/>
  <c r="E192" i="1" s="1"/>
  <c r="A193" i="1"/>
  <c r="E193" i="1" s="1"/>
  <c r="A194" i="1"/>
  <c r="E194" i="1" s="1"/>
  <c r="A195" i="1"/>
  <c r="E195" i="1" s="1"/>
  <c r="A196" i="1"/>
  <c r="E196" i="1" s="1"/>
  <c r="A197" i="1"/>
  <c r="E197" i="1" s="1"/>
  <c r="A198" i="1"/>
  <c r="E198" i="1" s="1"/>
  <c r="A199" i="1"/>
  <c r="E199" i="1" s="1"/>
  <c r="A200" i="1"/>
  <c r="E200" i="1" s="1"/>
  <c r="A201" i="1"/>
  <c r="E201" i="1" s="1"/>
  <c r="A202" i="1"/>
  <c r="E202" i="1" s="1"/>
  <c r="A203" i="1"/>
  <c r="E203" i="1" s="1"/>
  <c r="A204" i="1"/>
  <c r="E204" i="1" s="1"/>
  <c r="A205" i="1"/>
  <c r="E205" i="1" s="1"/>
  <c r="A206" i="1"/>
  <c r="E206" i="1" s="1"/>
  <c r="A207" i="1"/>
  <c r="E207" i="1" s="1"/>
  <c r="A208" i="1"/>
  <c r="E208" i="1" s="1"/>
  <c r="A209" i="1"/>
  <c r="E209" i="1" s="1"/>
  <c r="A210" i="1"/>
  <c r="E210" i="1" s="1"/>
  <c r="A211" i="1"/>
  <c r="E211" i="1" s="1"/>
  <c r="A212" i="1"/>
  <c r="E212" i="1" s="1"/>
  <c r="A213" i="1"/>
  <c r="E213" i="1" s="1"/>
  <c r="A214" i="1"/>
  <c r="E214" i="1" s="1"/>
  <c r="A215" i="1"/>
  <c r="E215" i="1" s="1"/>
  <c r="A216" i="1"/>
  <c r="E216" i="1" s="1"/>
  <c r="A217" i="1"/>
  <c r="E217" i="1" s="1"/>
  <c r="A218" i="1"/>
  <c r="E218" i="1" s="1"/>
  <c r="A219" i="1"/>
  <c r="E219" i="1" s="1"/>
  <c r="A220" i="1"/>
  <c r="E220" i="1" s="1"/>
  <c r="A221" i="1"/>
  <c r="E221" i="1" s="1"/>
  <c r="A222" i="1"/>
  <c r="E222" i="1" s="1"/>
  <c r="A223" i="1"/>
  <c r="E223" i="1" s="1"/>
  <c r="A224" i="1"/>
  <c r="E224" i="1" s="1"/>
  <c r="A225" i="1"/>
  <c r="E225" i="1" s="1"/>
  <c r="A226" i="1"/>
  <c r="E226" i="1" s="1"/>
  <c r="A227" i="1"/>
  <c r="E227" i="1" s="1"/>
  <c r="A228" i="1"/>
  <c r="E228" i="1" s="1"/>
  <c r="A229" i="1"/>
  <c r="E229" i="1" s="1"/>
  <c r="A230" i="1"/>
  <c r="E230" i="1" s="1"/>
  <c r="A231" i="1"/>
  <c r="E231" i="1" s="1"/>
  <c r="A232" i="1"/>
  <c r="E232" i="1" s="1"/>
  <c r="A233" i="1"/>
  <c r="E233" i="1" s="1"/>
  <c r="A234" i="1"/>
  <c r="E234" i="1" s="1"/>
  <c r="A235" i="1"/>
  <c r="E235" i="1" s="1"/>
  <c r="A236" i="1"/>
  <c r="E236" i="1" s="1"/>
  <c r="A237" i="1"/>
  <c r="E237" i="1" s="1"/>
  <c r="A238" i="1"/>
  <c r="E238" i="1" s="1"/>
  <c r="A239" i="1"/>
  <c r="E239" i="1" s="1"/>
  <c r="A240" i="1"/>
  <c r="E240" i="1" s="1"/>
  <c r="A241" i="1"/>
  <c r="E241" i="1" s="1"/>
  <c r="A242" i="1"/>
  <c r="E242" i="1" s="1"/>
  <c r="A243" i="1"/>
  <c r="E243" i="1" s="1"/>
  <c r="A244" i="1"/>
  <c r="E244" i="1" s="1"/>
  <c r="A245" i="1"/>
  <c r="E245" i="1" s="1"/>
  <c r="A246" i="1"/>
  <c r="E246" i="1" s="1"/>
  <c r="A247" i="1"/>
  <c r="E247" i="1" s="1"/>
  <c r="A248" i="1"/>
  <c r="E248" i="1" s="1"/>
  <c r="A249" i="1"/>
  <c r="E249" i="1" s="1"/>
  <c r="A250" i="1"/>
  <c r="E250" i="1" s="1"/>
  <c r="A251" i="1"/>
  <c r="E251" i="1" s="1"/>
  <c r="A252" i="1"/>
  <c r="E252" i="1" s="1"/>
  <c r="A253" i="1"/>
  <c r="E253" i="1" s="1"/>
  <c r="A254" i="1"/>
  <c r="E254" i="1" s="1"/>
  <c r="A255" i="1"/>
  <c r="E255" i="1" s="1"/>
  <c r="A256" i="1"/>
  <c r="E256" i="1" s="1"/>
  <c r="A257" i="1"/>
  <c r="E257" i="1" s="1"/>
  <c r="A258" i="1"/>
  <c r="E258" i="1" s="1"/>
  <c r="A259" i="1"/>
  <c r="E259" i="1" s="1"/>
  <c r="A260" i="1"/>
  <c r="E260" i="1" s="1"/>
  <c r="A261" i="1"/>
  <c r="E261" i="1" s="1"/>
  <c r="A262" i="1"/>
  <c r="E262" i="1" s="1"/>
  <c r="A263" i="1"/>
  <c r="E263" i="1" s="1"/>
  <c r="A264" i="1"/>
  <c r="E264" i="1" s="1"/>
  <c r="A265" i="1"/>
  <c r="E265" i="1" s="1"/>
  <c r="A266" i="1"/>
  <c r="E266" i="1" s="1"/>
  <c r="A267" i="1"/>
  <c r="E267" i="1" s="1"/>
  <c r="A268" i="1"/>
  <c r="E268" i="1" s="1"/>
  <c r="A269" i="1"/>
  <c r="E269" i="1" s="1"/>
  <c r="A270" i="1"/>
  <c r="E270" i="1" s="1"/>
  <c r="A271" i="1"/>
  <c r="E271" i="1" s="1"/>
  <c r="A272" i="1"/>
  <c r="E272" i="1" s="1"/>
  <c r="A273" i="1"/>
  <c r="E273" i="1" s="1"/>
  <c r="A274" i="1"/>
  <c r="E274" i="1" s="1"/>
  <c r="A275" i="1"/>
  <c r="E275" i="1" s="1"/>
  <c r="A276" i="1"/>
  <c r="E276" i="1" s="1"/>
  <c r="A277" i="1"/>
  <c r="E277" i="1" s="1"/>
  <c r="A278" i="1"/>
  <c r="E278" i="1" s="1"/>
  <c r="A279" i="1"/>
  <c r="E279" i="1" s="1"/>
  <c r="A280" i="1"/>
  <c r="E280" i="1" s="1"/>
  <c r="A281" i="1"/>
  <c r="E281" i="1" s="1"/>
  <c r="A282" i="1"/>
  <c r="E282" i="1" s="1"/>
  <c r="A283" i="1"/>
  <c r="E283" i="1" s="1"/>
  <c r="A284" i="1"/>
  <c r="E284" i="1" s="1"/>
  <c r="A285" i="1"/>
  <c r="E285" i="1" s="1"/>
  <c r="A286" i="1"/>
  <c r="E286" i="1" s="1"/>
  <c r="A287" i="1"/>
  <c r="E287" i="1" s="1"/>
  <c r="A288" i="1"/>
  <c r="E288" i="1" s="1"/>
  <c r="A289" i="1"/>
  <c r="E289" i="1" s="1"/>
  <c r="A290" i="1"/>
  <c r="E290" i="1" s="1"/>
  <c r="A291" i="1"/>
  <c r="E291" i="1" s="1"/>
  <c r="A292" i="1"/>
  <c r="E292" i="1" s="1"/>
  <c r="A293" i="1"/>
  <c r="E293" i="1" s="1"/>
  <c r="A294" i="1"/>
  <c r="E294" i="1" s="1"/>
  <c r="A295" i="1"/>
  <c r="E295" i="1" s="1"/>
  <c r="A296" i="1"/>
  <c r="E296" i="1" s="1"/>
  <c r="A297" i="1"/>
  <c r="E297" i="1" s="1"/>
  <c r="A298" i="1"/>
  <c r="E298" i="1" s="1"/>
  <c r="A299" i="1"/>
  <c r="E299" i="1" s="1"/>
  <c r="A300" i="1"/>
  <c r="E300" i="1" s="1"/>
  <c r="A301" i="1"/>
  <c r="E301" i="1" s="1"/>
  <c r="A302" i="1"/>
  <c r="E302" i="1" s="1"/>
  <c r="A303" i="1"/>
  <c r="E303" i="1" s="1"/>
  <c r="A304" i="1"/>
  <c r="E304" i="1" s="1"/>
  <c r="A305" i="1"/>
  <c r="E305" i="1" s="1"/>
  <c r="A306" i="1"/>
  <c r="E306" i="1" s="1"/>
  <c r="A307" i="1"/>
  <c r="E307" i="1" s="1"/>
  <c r="A308" i="1"/>
  <c r="E308" i="1" s="1"/>
  <c r="A309" i="1"/>
  <c r="E309" i="1" s="1"/>
  <c r="A310" i="1"/>
  <c r="E310" i="1" s="1"/>
  <c r="A311" i="1"/>
  <c r="E311" i="1" s="1"/>
  <c r="A312" i="1"/>
  <c r="E312" i="1" s="1"/>
  <c r="A313" i="1"/>
  <c r="E313" i="1" s="1"/>
  <c r="A314" i="1"/>
  <c r="E314" i="1" s="1"/>
  <c r="A315" i="1"/>
  <c r="E315" i="1" s="1"/>
  <c r="A316" i="1"/>
  <c r="E316" i="1" s="1"/>
  <c r="A317" i="1"/>
  <c r="E317" i="1" s="1"/>
  <c r="A318" i="1"/>
  <c r="E318" i="1" s="1"/>
  <c r="A319" i="1"/>
  <c r="E319" i="1" s="1"/>
  <c r="A320" i="1"/>
  <c r="E320" i="1" s="1"/>
  <c r="A321" i="1"/>
  <c r="E321" i="1" s="1"/>
  <c r="A322" i="1"/>
  <c r="E322" i="1" s="1"/>
  <c r="A323" i="1"/>
  <c r="E323" i="1" s="1"/>
  <c r="A324" i="1"/>
  <c r="E324" i="1" s="1"/>
  <c r="A325" i="1"/>
  <c r="E325" i="1" s="1"/>
  <c r="A326" i="1"/>
  <c r="E326" i="1" s="1"/>
  <c r="A327" i="1"/>
  <c r="E327" i="1" s="1"/>
  <c r="A328" i="1"/>
  <c r="E328" i="1" s="1"/>
  <c r="A329" i="1"/>
  <c r="E329" i="1" s="1"/>
  <c r="A330" i="1"/>
  <c r="E330" i="1" s="1"/>
  <c r="A331" i="1"/>
  <c r="E331" i="1" s="1"/>
  <c r="A332" i="1"/>
  <c r="E332" i="1" s="1"/>
  <c r="A333" i="1"/>
  <c r="E333" i="1" s="1"/>
  <c r="A334" i="1"/>
  <c r="E334" i="1" s="1"/>
  <c r="A335" i="1"/>
  <c r="E335" i="1" s="1"/>
  <c r="A336" i="1"/>
  <c r="E336" i="1" s="1"/>
  <c r="A337" i="1"/>
  <c r="E337" i="1" s="1"/>
  <c r="A338" i="1"/>
  <c r="E338" i="1" s="1"/>
  <c r="A339" i="1"/>
  <c r="E339" i="1" s="1"/>
  <c r="A340" i="1"/>
  <c r="E340" i="1" s="1"/>
  <c r="A341" i="1"/>
  <c r="E341" i="1" s="1"/>
  <c r="A342" i="1"/>
  <c r="E342" i="1" s="1"/>
  <c r="A343" i="1"/>
  <c r="E343" i="1" s="1"/>
  <c r="A344" i="1"/>
  <c r="E344" i="1" s="1"/>
  <c r="A345" i="1"/>
  <c r="E345" i="1" s="1"/>
  <c r="A346" i="1"/>
  <c r="E346" i="1" s="1"/>
  <c r="A347" i="1"/>
  <c r="E347" i="1" s="1"/>
  <c r="A348" i="1"/>
  <c r="E348" i="1" s="1"/>
  <c r="A349" i="1"/>
  <c r="E349" i="1" s="1"/>
  <c r="A350" i="1"/>
  <c r="E350" i="1" s="1"/>
  <c r="A351" i="1"/>
  <c r="E351" i="1" s="1"/>
  <c r="A352" i="1"/>
  <c r="E352" i="1" s="1"/>
  <c r="A353" i="1"/>
  <c r="E353" i="1" s="1"/>
  <c r="A354" i="1"/>
  <c r="E354" i="1" s="1"/>
  <c r="A355" i="1"/>
  <c r="E355" i="1" s="1"/>
  <c r="A356" i="1"/>
  <c r="E356" i="1" s="1"/>
  <c r="A357" i="1"/>
  <c r="E357" i="1" s="1"/>
  <c r="A358" i="1"/>
  <c r="E358" i="1" s="1"/>
  <c r="A359" i="1"/>
  <c r="E359" i="1" s="1"/>
  <c r="A360" i="1"/>
  <c r="E360" i="1" s="1"/>
  <c r="A361" i="1"/>
  <c r="E361" i="1" s="1"/>
  <c r="A362" i="1"/>
  <c r="E362" i="1" s="1"/>
  <c r="A363" i="1"/>
  <c r="E363" i="1" s="1"/>
  <c r="A364" i="1"/>
  <c r="E364" i="1" s="1"/>
  <c r="A365" i="1"/>
  <c r="E365" i="1" s="1"/>
  <c r="A366" i="1"/>
  <c r="E366" i="1" s="1"/>
  <c r="A367" i="1"/>
  <c r="E367" i="1" s="1"/>
  <c r="A368" i="1"/>
  <c r="E368" i="1" s="1"/>
  <c r="A369" i="1"/>
  <c r="E369" i="1" s="1"/>
  <c r="A370" i="1"/>
  <c r="E370" i="1" s="1"/>
  <c r="A371" i="1"/>
  <c r="E371" i="1" s="1"/>
  <c r="A372" i="1"/>
  <c r="E372" i="1" s="1"/>
  <c r="A373" i="1"/>
  <c r="E373" i="1" s="1"/>
  <c r="A374" i="1"/>
  <c r="E374" i="1" s="1"/>
  <c r="A375" i="1"/>
  <c r="E375" i="1" s="1"/>
  <c r="A376" i="1"/>
  <c r="E376" i="1" s="1"/>
  <c r="A377" i="1"/>
  <c r="E377" i="1" s="1"/>
  <c r="A378" i="1"/>
  <c r="E378" i="1" s="1"/>
  <c r="A379" i="1"/>
  <c r="E379" i="1" s="1"/>
  <c r="A380" i="1"/>
  <c r="E380" i="1" s="1"/>
  <c r="A381" i="1"/>
  <c r="E381" i="1" s="1"/>
  <c r="A382" i="1"/>
  <c r="E382" i="1" s="1"/>
  <c r="A383" i="1"/>
  <c r="E383" i="1" s="1"/>
  <c r="A384" i="1"/>
  <c r="E384" i="1" s="1"/>
  <c r="A385" i="1"/>
  <c r="E385" i="1" s="1"/>
  <c r="A386" i="1"/>
  <c r="E386" i="1" s="1"/>
  <c r="A387" i="1"/>
  <c r="E387" i="1" s="1"/>
  <c r="A388" i="1"/>
  <c r="E388" i="1" s="1"/>
  <c r="A389" i="1"/>
  <c r="E389" i="1" s="1"/>
  <c r="A390" i="1"/>
  <c r="E390" i="1" s="1"/>
  <c r="A391" i="1"/>
  <c r="E391" i="1" s="1"/>
  <c r="A392" i="1"/>
  <c r="E392" i="1" s="1"/>
  <c r="A393" i="1"/>
  <c r="E393" i="1" s="1"/>
  <c r="A394" i="1"/>
  <c r="E394" i="1" s="1"/>
  <c r="A395" i="1"/>
  <c r="E395" i="1" s="1"/>
  <c r="A396" i="1"/>
  <c r="E396" i="1" s="1"/>
  <c r="A397" i="1"/>
  <c r="E397" i="1" s="1"/>
  <c r="A398" i="1"/>
  <c r="E398" i="1" s="1"/>
  <c r="A399" i="1"/>
  <c r="E399" i="1" s="1"/>
  <c r="A400" i="1"/>
  <c r="E400" i="1" s="1"/>
  <c r="A401" i="1"/>
  <c r="E401" i="1" s="1"/>
  <c r="A402" i="1"/>
  <c r="E402" i="1" s="1"/>
  <c r="A403" i="1"/>
  <c r="E403" i="1" s="1"/>
  <c r="A404" i="1"/>
  <c r="E404" i="1" s="1"/>
  <c r="A405" i="1"/>
  <c r="E405" i="1" s="1"/>
  <c r="A406" i="1"/>
  <c r="E406" i="1" s="1"/>
  <c r="A407" i="1"/>
  <c r="E407" i="1" s="1"/>
  <c r="A408" i="1"/>
  <c r="E408" i="1" s="1"/>
  <c r="A409" i="1"/>
  <c r="E409" i="1" s="1"/>
  <c r="A410" i="1"/>
  <c r="E410" i="1" s="1"/>
  <c r="A411" i="1"/>
  <c r="E411" i="1" s="1"/>
  <c r="A412" i="1"/>
  <c r="E412" i="1" s="1"/>
  <c r="A413" i="1"/>
  <c r="E413" i="1" s="1"/>
  <c r="A414" i="1"/>
  <c r="E414" i="1" s="1"/>
  <c r="A415" i="1"/>
  <c r="E415" i="1" s="1"/>
  <c r="A416" i="1"/>
  <c r="E416" i="1" s="1"/>
  <c r="A417" i="1"/>
  <c r="E417" i="1" s="1"/>
  <c r="A418" i="1"/>
  <c r="E418" i="1" s="1"/>
  <c r="A419" i="1"/>
  <c r="E419" i="1" s="1"/>
  <c r="A420" i="1"/>
  <c r="E420" i="1" s="1"/>
  <c r="A421" i="1"/>
  <c r="E421" i="1" s="1"/>
  <c r="A422" i="1"/>
  <c r="E422" i="1" s="1"/>
  <c r="A423" i="1"/>
  <c r="E423" i="1" s="1"/>
  <c r="A424" i="1"/>
  <c r="E424" i="1" s="1"/>
  <c r="A425" i="1"/>
  <c r="E425" i="1" s="1"/>
  <c r="A426" i="1"/>
  <c r="E426" i="1" s="1"/>
  <c r="A427" i="1"/>
  <c r="E427" i="1" s="1"/>
  <c r="A428" i="1"/>
  <c r="E428" i="1" s="1"/>
  <c r="A429" i="1"/>
  <c r="E429" i="1" s="1"/>
  <c r="A430" i="1"/>
  <c r="E430" i="1" s="1"/>
  <c r="A431" i="1"/>
  <c r="E431" i="1" s="1"/>
  <c r="A432" i="1"/>
  <c r="E432" i="1" s="1"/>
  <c r="A433" i="1"/>
  <c r="E433" i="1" s="1"/>
  <c r="A434" i="1"/>
  <c r="E434" i="1" s="1"/>
  <c r="A435" i="1"/>
  <c r="E435" i="1" s="1"/>
  <c r="A436" i="1"/>
  <c r="E436" i="1" s="1"/>
  <c r="A437" i="1"/>
  <c r="E437" i="1" s="1"/>
  <c r="A438" i="1"/>
  <c r="E438" i="1" s="1"/>
  <c r="A439" i="1"/>
  <c r="E439" i="1" s="1"/>
  <c r="A440" i="1"/>
  <c r="E440" i="1" s="1"/>
  <c r="A441" i="1"/>
  <c r="E441" i="1" s="1"/>
  <c r="A442" i="1"/>
  <c r="E442" i="1" s="1"/>
  <c r="A443" i="1"/>
  <c r="E443" i="1" s="1"/>
  <c r="A444" i="1"/>
  <c r="E444" i="1" s="1"/>
  <c r="A445" i="1"/>
  <c r="E445" i="1" s="1"/>
  <c r="A446" i="1"/>
  <c r="E446" i="1" s="1"/>
  <c r="A447" i="1"/>
  <c r="E447" i="1" s="1"/>
  <c r="A448" i="1"/>
  <c r="E448" i="1" s="1"/>
  <c r="A449" i="1"/>
  <c r="E449" i="1" s="1"/>
  <c r="A450" i="1"/>
  <c r="E450" i="1" s="1"/>
  <c r="A451" i="1"/>
  <c r="E451" i="1" s="1"/>
  <c r="A452" i="1"/>
  <c r="E452" i="1" s="1"/>
  <c r="A453" i="1"/>
  <c r="E453" i="1" s="1"/>
  <c r="A454" i="1"/>
  <c r="E454" i="1" s="1"/>
  <c r="A455" i="1"/>
  <c r="E455" i="1" s="1"/>
  <c r="A456" i="1"/>
  <c r="E456" i="1" s="1"/>
  <c r="A457" i="1"/>
  <c r="E457" i="1" s="1"/>
  <c r="A458" i="1"/>
  <c r="E458" i="1" s="1"/>
  <c r="A459" i="1"/>
  <c r="E459" i="1" s="1"/>
  <c r="A460" i="1"/>
  <c r="E460" i="1" s="1"/>
  <c r="A461" i="1"/>
  <c r="E461" i="1" s="1"/>
  <c r="A462" i="1"/>
  <c r="E462" i="1" s="1"/>
  <c r="A463" i="1"/>
  <c r="E463" i="1" s="1"/>
  <c r="A464" i="1"/>
  <c r="E464" i="1" s="1"/>
  <c r="A465" i="1"/>
  <c r="E465" i="1" s="1"/>
  <c r="A466" i="1"/>
  <c r="E466" i="1" s="1"/>
  <c r="A467" i="1"/>
  <c r="E467" i="1" s="1"/>
  <c r="A468" i="1"/>
  <c r="E468" i="1" s="1"/>
  <c r="A469" i="1"/>
  <c r="E469" i="1" s="1"/>
  <c r="A470" i="1"/>
  <c r="E470" i="1" s="1"/>
  <c r="A471" i="1"/>
  <c r="E471" i="1" s="1"/>
  <c r="A472" i="1"/>
  <c r="E472" i="1" s="1"/>
  <c r="A473" i="1"/>
  <c r="E473" i="1" s="1"/>
  <c r="A474" i="1"/>
  <c r="E474" i="1" s="1"/>
  <c r="A475" i="1"/>
  <c r="E475" i="1" s="1"/>
  <c r="A476" i="1"/>
  <c r="E476" i="1" s="1"/>
  <c r="A477" i="1"/>
  <c r="E477" i="1" s="1"/>
  <c r="A478" i="1"/>
  <c r="E478" i="1" s="1"/>
  <c r="A479" i="1"/>
  <c r="E479" i="1" s="1"/>
  <c r="A480" i="1"/>
  <c r="E480" i="1" s="1"/>
  <c r="A481" i="1"/>
  <c r="E481" i="1" s="1"/>
  <c r="A482" i="1"/>
  <c r="E482" i="1" s="1"/>
  <c r="A483" i="1"/>
  <c r="E483" i="1" s="1"/>
  <c r="A484" i="1"/>
  <c r="E484" i="1" s="1"/>
  <c r="A485" i="1"/>
  <c r="E485" i="1" s="1"/>
  <c r="A486" i="1"/>
  <c r="E486" i="1" s="1"/>
  <c r="A487" i="1"/>
  <c r="E487" i="1" s="1"/>
  <c r="A488" i="1"/>
  <c r="E488" i="1" s="1"/>
  <c r="A489" i="1"/>
  <c r="E489" i="1" s="1"/>
  <c r="A490" i="1"/>
  <c r="E490" i="1" s="1"/>
  <c r="A491" i="1"/>
  <c r="E491" i="1" s="1"/>
  <c r="A492" i="1"/>
  <c r="E492" i="1" s="1"/>
  <c r="A493" i="1"/>
  <c r="E493" i="1" s="1"/>
  <c r="A494" i="1"/>
  <c r="E494" i="1" s="1"/>
  <c r="A495" i="1"/>
  <c r="E495" i="1" s="1"/>
  <c r="A496" i="1"/>
  <c r="E496" i="1" s="1"/>
  <c r="A497" i="1"/>
  <c r="E497" i="1" s="1"/>
  <c r="A498" i="1"/>
  <c r="E498" i="1" s="1"/>
  <c r="A499" i="1"/>
  <c r="E499" i="1" s="1"/>
  <c r="A500" i="1"/>
  <c r="E500" i="1" s="1"/>
  <c r="A501" i="1"/>
  <c r="E501" i="1" s="1"/>
  <c r="A502" i="1"/>
  <c r="E502" i="1" s="1"/>
  <c r="A503" i="1"/>
  <c r="E503" i="1" s="1"/>
  <c r="A504" i="1"/>
  <c r="E504" i="1" s="1"/>
  <c r="A505" i="1"/>
  <c r="E505" i="1" s="1"/>
  <c r="A506" i="1"/>
  <c r="E506" i="1" s="1"/>
  <c r="A507" i="1"/>
  <c r="E507" i="1" s="1"/>
  <c r="A508" i="1"/>
  <c r="E508" i="1" s="1"/>
  <c r="A509" i="1"/>
  <c r="E509" i="1" s="1"/>
  <c r="A510" i="1"/>
  <c r="E510" i="1" s="1"/>
  <c r="A511" i="1"/>
  <c r="E511" i="1" s="1"/>
  <c r="A512" i="1"/>
  <c r="E512" i="1" s="1"/>
  <c r="A513" i="1"/>
  <c r="E513" i="1" s="1"/>
  <c r="A514" i="1"/>
  <c r="E514" i="1" s="1"/>
  <c r="A515" i="1"/>
  <c r="E515" i="1" s="1"/>
  <c r="A516" i="1"/>
  <c r="E516" i="1" s="1"/>
  <c r="A517" i="1"/>
  <c r="E517" i="1" s="1"/>
  <c r="A518" i="1"/>
  <c r="E518" i="1" s="1"/>
  <c r="A519" i="1"/>
  <c r="E519" i="1" s="1"/>
  <c r="A520" i="1"/>
  <c r="E520" i="1" s="1"/>
  <c r="A521" i="1"/>
  <c r="E521" i="1" s="1"/>
  <c r="A522" i="1"/>
  <c r="E522" i="1" s="1"/>
  <c r="A523" i="1"/>
  <c r="E523" i="1" s="1"/>
  <c r="A524" i="1"/>
  <c r="E524" i="1" s="1"/>
  <c r="A525" i="1"/>
  <c r="E525" i="1" s="1"/>
  <c r="A526" i="1"/>
  <c r="E526" i="1" s="1"/>
  <c r="A527" i="1"/>
  <c r="E527" i="1" s="1"/>
  <c r="A528" i="1"/>
  <c r="E528" i="1" s="1"/>
  <c r="A529" i="1"/>
  <c r="E529" i="1" s="1"/>
  <c r="A530" i="1"/>
  <c r="E530" i="1" s="1"/>
  <c r="A531" i="1"/>
  <c r="E531" i="1" s="1"/>
  <c r="A532" i="1"/>
  <c r="E532" i="1" s="1"/>
  <c r="A533" i="1"/>
  <c r="E533" i="1" s="1"/>
  <c r="A534" i="1"/>
  <c r="E534" i="1" s="1"/>
  <c r="A535" i="1"/>
  <c r="E535" i="1" s="1"/>
  <c r="A536" i="1"/>
  <c r="E536" i="1" s="1"/>
  <c r="A537" i="1"/>
  <c r="E537" i="1" s="1"/>
  <c r="A538" i="1"/>
  <c r="E538" i="1" s="1"/>
  <c r="A539" i="1"/>
  <c r="E539" i="1" s="1"/>
  <c r="A540" i="1"/>
  <c r="E540" i="1" s="1"/>
  <c r="A541" i="1"/>
  <c r="E541" i="1" s="1"/>
  <c r="A542" i="1"/>
  <c r="E542" i="1" s="1"/>
  <c r="A543" i="1"/>
  <c r="E543" i="1" s="1"/>
  <c r="A544" i="1"/>
  <c r="E544" i="1" s="1"/>
  <c r="A545" i="1"/>
  <c r="E545" i="1" s="1"/>
  <c r="A546" i="1"/>
  <c r="E546" i="1" s="1"/>
  <c r="A547" i="1"/>
  <c r="E547" i="1" s="1"/>
  <c r="A548" i="1"/>
  <c r="E548" i="1" s="1"/>
  <c r="A549" i="1"/>
  <c r="E549" i="1" s="1"/>
  <c r="A550" i="1"/>
  <c r="E550" i="1" s="1"/>
  <c r="A551" i="1"/>
  <c r="E551" i="1" s="1"/>
  <c r="A552" i="1"/>
  <c r="E552" i="1" s="1"/>
  <c r="A553" i="1"/>
  <c r="E553" i="1" s="1"/>
  <c r="A554" i="1"/>
  <c r="E554" i="1" s="1"/>
  <c r="A555" i="1"/>
  <c r="E555" i="1" s="1"/>
  <c r="A556" i="1"/>
  <c r="E556" i="1" s="1"/>
  <c r="A557" i="1"/>
  <c r="E557" i="1" s="1"/>
  <c r="A558" i="1"/>
  <c r="E558" i="1" s="1"/>
  <c r="A559" i="1"/>
  <c r="E559" i="1" s="1"/>
  <c r="A560" i="1"/>
  <c r="E560" i="1" s="1"/>
  <c r="A561" i="1"/>
  <c r="E561" i="1" s="1"/>
  <c r="A562" i="1"/>
  <c r="E562" i="1" s="1"/>
  <c r="A563" i="1"/>
  <c r="E563" i="1" s="1"/>
  <c r="A564" i="1"/>
  <c r="E564" i="1" s="1"/>
  <c r="A565" i="1"/>
  <c r="E565" i="1" s="1"/>
  <c r="A566" i="1"/>
  <c r="E566" i="1" s="1"/>
  <c r="A567" i="1"/>
  <c r="E567" i="1" s="1"/>
  <c r="A568" i="1"/>
  <c r="E568" i="1" s="1"/>
  <c r="A569" i="1"/>
  <c r="E569" i="1" s="1"/>
  <c r="A570" i="1"/>
  <c r="E570" i="1" s="1"/>
  <c r="A571" i="1"/>
  <c r="E571" i="1" s="1"/>
  <c r="A572" i="1"/>
  <c r="E572" i="1" s="1"/>
  <c r="A573" i="1"/>
  <c r="E573" i="1" s="1"/>
  <c r="A574" i="1"/>
  <c r="E574" i="1" s="1"/>
  <c r="A575" i="1"/>
  <c r="E575" i="1" s="1"/>
  <c r="A576" i="1"/>
  <c r="E576" i="1" s="1"/>
  <c r="A577" i="1"/>
  <c r="E577" i="1" s="1"/>
  <c r="A578" i="1"/>
  <c r="E578" i="1" s="1"/>
  <c r="A579" i="1"/>
  <c r="E579" i="1" s="1"/>
  <c r="A580" i="1"/>
  <c r="E580" i="1" s="1"/>
  <c r="A581" i="1"/>
  <c r="E581" i="1" s="1"/>
  <c r="A582" i="1"/>
  <c r="E582" i="1" s="1"/>
  <c r="A583" i="1"/>
  <c r="E583" i="1" s="1"/>
  <c r="A584" i="1"/>
  <c r="E584" i="1" s="1"/>
  <c r="A585" i="1"/>
  <c r="E585" i="1" s="1"/>
  <c r="A586" i="1"/>
  <c r="E586" i="1" s="1"/>
  <c r="A587" i="1"/>
  <c r="E587" i="1" s="1"/>
  <c r="A588" i="1"/>
  <c r="E588" i="1" s="1"/>
  <c r="A589" i="1"/>
  <c r="E589" i="1" s="1"/>
  <c r="A590" i="1"/>
  <c r="E590" i="1" s="1"/>
  <c r="A591" i="1"/>
  <c r="E591" i="1" s="1"/>
  <c r="A592" i="1"/>
  <c r="E592" i="1" s="1"/>
  <c r="A593" i="1"/>
  <c r="E593" i="1" s="1"/>
  <c r="A594" i="1"/>
  <c r="E594" i="1" s="1"/>
  <c r="A595" i="1"/>
  <c r="E595" i="1" s="1"/>
  <c r="A596" i="1"/>
  <c r="E596" i="1" s="1"/>
  <c r="A597" i="1"/>
  <c r="E597" i="1" s="1"/>
  <c r="A598" i="1"/>
  <c r="E598" i="1" s="1"/>
  <c r="A599" i="1"/>
  <c r="E599" i="1" s="1"/>
  <c r="A600" i="1"/>
  <c r="E600" i="1" s="1"/>
  <c r="A601" i="1"/>
  <c r="E601" i="1" s="1"/>
  <c r="A602" i="1"/>
  <c r="E602" i="1" s="1"/>
  <c r="A603" i="1"/>
  <c r="E603" i="1" s="1"/>
  <c r="A604" i="1"/>
  <c r="E604" i="1" s="1"/>
  <c r="A605" i="1"/>
  <c r="E605" i="1" s="1"/>
  <c r="A606" i="1"/>
  <c r="E606" i="1" s="1"/>
  <c r="A607" i="1"/>
  <c r="E607" i="1" s="1"/>
  <c r="A608" i="1"/>
  <c r="E608" i="1" s="1"/>
  <c r="A609" i="1"/>
  <c r="E609" i="1" s="1"/>
  <c r="A610" i="1"/>
  <c r="E610" i="1" s="1"/>
  <c r="A611" i="1"/>
  <c r="E611" i="1" s="1"/>
  <c r="A612" i="1"/>
  <c r="E612" i="1" s="1"/>
  <c r="A613" i="1"/>
  <c r="E613" i="1" s="1"/>
  <c r="A614" i="1"/>
  <c r="E614" i="1" s="1"/>
  <c r="A615" i="1"/>
  <c r="E615" i="1" s="1"/>
  <c r="A616" i="1"/>
  <c r="E616" i="1" s="1"/>
  <c r="A617" i="1"/>
  <c r="E617" i="1" s="1"/>
  <c r="A618" i="1"/>
  <c r="E618" i="1" s="1"/>
  <c r="A619" i="1"/>
  <c r="E619" i="1" s="1"/>
  <c r="A620" i="1"/>
  <c r="E620" i="1" s="1"/>
  <c r="A621" i="1"/>
  <c r="E621" i="1" s="1"/>
  <c r="A622" i="1"/>
  <c r="E622" i="1" s="1"/>
  <c r="A623" i="1"/>
  <c r="E623" i="1" s="1"/>
  <c r="A624" i="1"/>
  <c r="E624" i="1" s="1"/>
  <c r="A625" i="1"/>
  <c r="E625" i="1" s="1"/>
  <c r="A626" i="1"/>
  <c r="E626" i="1" s="1"/>
  <c r="A627" i="1"/>
  <c r="E627" i="1" s="1"/>
  <c r="A628" i="1"/>
  <c r="E628" i="1" s="1"/>
  <c r="A629" i="1"/>
  <c r="E629" i="1" s="1"/>
  <c r="A630" i="1"/>
  <c r="E630" i="1" s="1"/>
  <c r="A631" i="1"/>
  <c r="E631" i="1" s="1"/>
  <c r="A632" i="1"/>
  <c r="E632" i="1" s="1"/>
  <c r="A633" i="1"/>
  <c r="E633" i="1" s="1"/>
  <c r="A634" i="1"/>
  <c r="E634" i="1" s="1"/>
  <c r="A635" i="1"/>
  <c r="E635" i="1" s="1"/>
  <c r="A636" i="1"/>
  <c r="E636" i="1" s="1"/>
  <c r="A637" i="1"/>
  <c r="E637" i="1" s="1"/>
  <c r="A638" i="1"/>
  <c r="E638" i="1" s="1"/>
  <c r="A639" i="1"/>
  <c r="E639" i="1" s="1"/>
  <c r="A640" i="1"/>
  <c r="E640" i="1" s="1"/>
  <c r="A641" i="1"/>
  <c r="E641" i="1" s="1"/>
  <c r="A642" i="1"/>
  <c r="E642" i="1" s="1"/>
  <c r="A643" i="1"/>
  <c r="E643" i="1" s="1"/>
  <c r="A644" i="1"/>
  <c r="E644" i="1" s="1"/>
  <c r="A645" i="1"/>
  <c r="E645" i="1" s="1"/>
  <c r="A646" i="1"/>
  <c r="E646" i="1" s="1"/>
  <c r="A647" i="1"/>
  <c r="E647" i="1" s="1"/>
  <c r="A648" i="1"/>
  <c r="E648" i="1" s="1"/>
  <c r="A649" i="1"/>
  <c r="E649" i="1" s="1"/>
  <c r="A650" i="1"/>
  <c r="E650" i="1" s="1"/>
  <c r="A651" i="1"/>
  <c r="E651" i="1" s="1"/>
  <c r="A652" i="1"/>
  <c r="E652" i="1" s="1"/>
  <c r="A653" i="1"/>
  <c r="E653" i="1" s="1"/>
  <c r="A654" i="1"/>
  <c r="E654" i="1" s="1"/>
  <c r="A655" i="1"/>
  <c r="E655" i="1" s="1"/>
  <c r="A656" i="1"/>
  <c r="E656" i="1" s="1"/>
  <c r="A657" i="1"/>
  <c r="E657" i="1" s="1"/>
  <c r="A658" i="1"/>
  <c r="E658" i="1" s="1"/>
  <c r="A659" i="1"/>
  <c r="E659" i="1" s="1"/>
  <c r="A660" i="1"/>
  <c r="E660" i="1" s="1"/>
  <c r="A661" i="1"/>
  <c r="E661" i="1" s="1"/>
  <c r="A662" i="1"/>
  <c r="E662" i="1" s="1"/>
  <c r="A663" i="1"/>
  <c r="E663" i="1" s="1"/>
  <c r="A664" i="1"/>
  <c r="E664" i="1" s="1"/>
  <c r="A665" i="1"/>
  <c r="E665" i="1" s="1"/>
  <c r="A666" i="1"/>
  <c r="E666" i="1" s="1"/>
  <c r="A667" i="1"/>
  <c r="E667" i="1" s="1"/>
  <c r="A668" i="1"/>
  <c r="E668" i="1" s="1"/>
  <c r="A669" i="1"/>
  <c r="E669" i="1" s="1"/>
  <c r="A670" i="1"/>
  <c r="E670" i="1" s="1"/>
  <c r="A671" i="1"/>
  <c r="E671" i="1" s="1"/>
  <c r="A672" i="1"/>
  <c r="E672" i="1" s="1"/>
  <c r="A673" i="1"/>
  <c r="E673" i="1" s="1"/>
  <c r="A674" i="1"/>
  <c r="E674" i="1" s="1"/>
  <c r="A675" i="1"/>
  <c r="E675" i="1" s="1"/>
  <c r="A676" i="1"/>
  <c r="E676" i="1" s="1"/>
  <c r="A677" i="1"/>
  <c r="E677" i="1" s="1"/>
  <c r="A678" i="1"/>
  <c r="E678" i="1" s="1"/>
  <c r="A679" i="1"/>
  <c r="E679" i="1" s="1"/>
  <c r="A680" i="1"/>
  <c r="E680" i="1" s="1"/>
  <c r="A681" i="1"/>
  <c r="E681" i="1" s="1"/>
  <c r="A682" i="1"/>
  <c r="E682" i="1" s="1"/>
  <c r="A683" i="1"/>
  <c r="E683" i="1" s="1"/>
  <c r="A684" i="1"/>
  <c r="E684" i="1" s="1"/>
  <c r="A685" i="1"/>
  <c r="E685" i="1" s="1"/>
  <c r="A686" i="1"/>
  <c r="E686" i="1" s="1"/>
  <c r="A687" i="1"/>
  <c r="E687" i="1" s="1"/>
  <c r="A688" i="1"/>
  <c r="E688" i="1" s="1"/>
  <c r="A689" i="1"/>
  <c r="E689" i="1" s="1"/>
  <c r="A690" i="1"/>
  <c r="E690" i="1" s="1"/>
  <c r="A691" i="1"/>
  <c r="E691" i="1" s="1"/>
  <c r="A692" i="1"/>
  <c r="E692" i="1" s="1"/>
  <c r="A693" i="1"/>
  <c r="E693" i="1" s="1"/>
  <c r="A694" i="1"/>
  <c r="E694" i="1" s="1"/>
  <c r="A695" i="1"/>
  <c r="E695" i="1" s="1"/>
  <c r="A696" i="1"/>
  <c r="E696" i="1" s="1"/>
  <c r="A697" i="1"/>
  <c r="E697" i="1" s="1"/>
  <c r="A698" i="1"/>
  <c r="E698" i="1" s="1"/>
  <c r="A699" i="1"/>
  <c r="E699" i="1" s="1"/>
  <c r="A700" i="1"/>
  <c r="E700" i="1" s="1"/>
  <c r="A701" i="1"/>
  <c r="E701" i="1" s="1"/>
  <c r="A702" i="1"/>
  <c r="E702" i="1" s="1"/>
  <c r="A703" i="1"/>
  <c r="E703" i="1" s="1"/>
  <c r="A704" i="1"/>
  <c r="E704" i="1" s="1"/>
  <c r="A705" i="1"/>
  <c r="E705" i="1" s="1"/>
  <c r="A706" i="1"/>
  <c r="E706" i="1" s="1"/>
  <c r="A707" i="1"/>
  <c r="E707" i="1" s="1"/>
  <c r="A708" i="1"/>
  <c r="E708" i="1" s="1"/>
  <c r="A709" i="1"/>
  <c r="E709" i="1" s="1"/>
  <c r="A710" i="1"/>
  <c r="E710" i="1" s="1"/>
  <c r="A711" i="1"/>
  <c r="E711" i="1" s="1"/>
  <c r="A712" i="1"/>
  <c r="E712" i="1" s="1"/>
  <c r="A713" i="1"/>
  <c r="E713" i="1" s="1"/>
  <c r="A714" i="1"/>
  <c r="E714" i="1" s="1"/>
  <c r="A715" i="1"/>
  <c r="E715" i="1" s="1"/>
  <c r="A716" i="1"/>
  <c r="E716" i="1" s="1"/>
  <c r="A717" i="1"/>
  <c r="E717" i="1" s="1"/>
  <c r="A718" i="1"/>
  <c r="E718" i="1" s="1"/>
  <c r="A719" i="1"/>
  <c r="E719" i="1" s="1"/>
  <c r="A720" i="1"/>
  <c r="E720" i="1" s="1"/>
  <c r="A721" i="1"/>
  <c r="E721" i="1" s="1"/>
  <c r="A722" i="1"/>
  <c r="E722" i="1" s="1"/>
  <c r="A723" i="1"/>
  <c r="E723" i="1" s="1"/>
  <c r="A724" i="1"/>
  <c r="E724" i="1" s="1"/>
  <c r="A725" i="1"/>
  <c r="E725" i="1" s="1"/>
  <c r="A726" i="1"/>
  <c r="E726" i="1" s="1"/>
  <c r="A727" i="1"/>
  <c r="E727" i="1" s="1"/>
  <c r="A728" i="1"/>
  <c r="E728" i="1" s="1"/>
  <c r="A729" i="1"/>
  <c r="E729" i="1" s="1"/>
  <c r="A730" i="1"/>
  <c r="E730" i="1" s="1"/>
  <c r="A731" i="1"/>
  <c r="E731" i="1" s="1"/>
  <c r="A732" i="1"/>
  <c r="E732" i="1" s="1"/>
  <c r="A733" i="1"/>
  <c r="E733" i="1" s="1"/>
  <c r="A734" i="1"/>
  <c r="E734" i="1" s="1"/>
  <c r="A735" i="1"/>
  <c r="E735" i="1" s="1"/>
  <c r="A736" i="1"/>
  <c r="E736" i="1" s="1"/>
  <c r="A737" i="1"/>
  <c r="E737" i="1" s="1"/>
  <c r="A738" i="1"/>
  <c r="E738" i="1" s="1"/>
  <c r="A739" i="1"/>
  <c r="E739" i="1" s="1"/>
  <c r="A740" i="1"/>
  <c r="E740" i="1" s="1"/>
  <c r="A741" i="1"/>
  <c r="E741" i="1" s="1"/>
  <c r="A742" i="1"/>
  <c r="E742" i="1" s="1"/>
  <c r="A743" i="1"/>
  <c r="E743" i="1" s="1"/>
  <c r="A744" i="1"/>
  <c r="E744" i="1" s="1"/>
  <c r="A745" i="1"/>
  <c r="E745" i="1" s="1"/>
  <c r="A746" i="1"/>
  <c r="E746" i="1" s="1"/>
  <c r="A747" i="1"/>
  <c r="E747" i="1" s="1"/>
  <c r="A748" i="1"/>
  <c r="E748" i="1" s="1"/>
  <c r="A749" i="1"/>
  <c r="E749" i="1" s="1"/>
  <c r="A750" i="1"/>
  <c r="E750" i="1" s="1"/>
  <c r="A751" i="1"/>
  <c r="E751" i="1" s="1"/>
  <c r="A752" i="1"/>
  <c r="E752" i="1" s="1"/>
  <c r="A753" i="1"/>
  <c r="E753" i="1" s="1"/>
  <c r="A754" i="1"/>
  <c r="E754" i="1" s="1"/>
  <c r="A755" i="1"/>
  <c r="E755" i="1" s="1"/>
  <c r="A756" i="1"/>
  <c r="E756" i="1" s="1"/>
  <c r="A757" i="1"/>
  <c r="E757" i="1" s="1"/>
  <c r="A758" i="1"/>
  <c r="E758" i="1" s="1"/>
  <c r="A759" i="1"/>
  <c r="E759" i="1" s="1"/>
  <c r="A760" i="1"/>
  <c r="E760" i="1" s="1"/>
  <c r="A761" i="1"/>
  <c r="E761" i="1" s="1"/>
  <c r="A762" i="1"/>
  <c r="E762" i="1" s="1"/>
  <c r="A763" i="1"/>
  <c r="E763" i="1" s="1"/>
  <c r="A764" i="1"/>
  <c r="E764" i="1" s="1"/>
  <c r="A765" i="1"/>
  <c r="E765" i="1" s="1"/>
  <c r="A766" i="1"/>
  <c r="E766" i="1" s="1"/>
  <c r="A767" i="1"/>
  <c r="E767" i="1" s="1"/>
  <c r="A768" i="1"/>
  <c r="E768" i="1" s="1"/>
  <c r="A769" i="1"/>
  <c r="E769" i="1" s="1"/>
  <c r="A770" i="1"/>
  <c r="E770" i="1" s="1"/>
  <c r="A771" i="1"/>
  <c r="E771" i="1" s="1"/>
  <c r="A772" i="1"/>
  <c r="E772" i="1" s="1"/>
  <c r="A773" i="1"/>
  <c r="E773" i="1" s="1"/>
  <c r="A774" i="1"/>
  <c r="E774" i="1" s="1"/>
  <c r="A775" i="1"/>
  <c r="E775" i="1" s="1"/>
  <c r="A776" i="1"/>
  <c r="E776" i="1" s="1"/>
  <c r="A777" i="1"/>
  <c r="E777" i="1" s="1"/>
  <c r="A778" i="1"/>
  <c r="E778" i="1" s="1"/>
  <c r="A779" i="1"/>
  <c r="E779" i="1" s="1"/>
  <c r="A780" i="1"/>
  <c r="E780" i="1" s="1"/>
  <c r="A781" i="1"/>
  <c r="E781" i="1" s="1"/>
  <c r="A782" i="1"/>
  <c r="E782" i="1" s="1"/>
  <c r="A783" i="1"/>
  <c r="E783" i="1" s="1"/>
  <c r="A784" i="1"/>
  <c r="E784" i="1" s="1"/>
  <c r="A785" i="1"/>
  <c r="E785" i="1" s="1"/>
  <c r="A786" i="1"/>
  <c r="E786" i="1" s="1"/>
  <c r="A787" i="1"/>
  <c r="E787" i="1" s="1"/>
  <c r="A788" i="1"/>
  <c r="E788" i="1" s="1"/>
  <c r="A789" i="1"/>
  <c r="E789" i="1" s="1"/>
  <c r="A790" i="1"/>
  <c r="E790" i="1" s="1"/>
  <c r="A791" i="1"/>
  <c r="E791" i="1" s="1"/>
  <c r="A792" i="1"/>
  <c r="E792" i="1" s="1"/>
  <c r="A793" i="1"/>
  <c r="E793" i="1" s="1"/>
  <c r="A794" i="1"/>
  <c r="E794" i="1" s="1"/>
  <c r="A795" i="1"/>
  <c r="E795" i="1" s="1"/>
  <c r="A796" i="1"/>
  <c r="E796" i="1" s="1"/>
  <c r="A797" i="1"/>
  <c r="E797" i="1" s="1"/>
  <c r="A798" i="1"/>
  <c r="E798" i="1" s="1"/>
  <c r="A799" i="1"/>
  <c r="E799" i="1" s="1"/>
  <c r="A800" i="1"/>
  <c r="E800" i="1" s="1"/>
  <c r="A801" i="1"/>
  <c r="E801" i="1" s="1"/>
  <c r="A802" i="1"/>
  <c r="E802" i="1" s="1"/>
  <c r="A803" i="1"/>
  <c r="E803" i="1" s="1"/>
  <c r="A804" i="1"/>
  <c r="E804" i="1" s="1"/>
  <c r="A805" i="1"/>
  <c r="E805" i="1" s="1"/>
  <c r="A806" i="1"/>
  <c r="E806" i="1" s="1"/>
  <c r="A807" i="1"/>
  <c r="E807" i="1" s="1"/>
  <c r="A808" i="1"/>
  <c r="E808" i="1" s="1"/>
  <c r="A809" i="1"/>
  <c r="E809" i="1" s="1"/>
  <c r="A810" i="1"/>
  <c r="E810" i="1" s="1"/>
  <c r="A811" i="1"/>
  <c r="E811" i="1" s="1"/>
  <c r="A812" i="1"/>
  <c r="E812" i="1" s="1"/>
  <c r="A813" i="1"/>
  <c r="E813" i="1" s="1"/>
  <c r="A814" i="1"/>
  <c r="E814" i="1" s="1"/>
  <c r="A815" i="1"/>
  <c r="E815" i="1" s="1"/>
  <c r="A816" i="1"/>
  <c r="E816" i="1" s="1"/>
  <c r="A817" i="1"/>
  <c r="E817" i="1" s="1"/>
  <c r="A818" i="1"/>
  <c r="E818" i="1" s="1"/>
  <c r="A819" i="1"/>
  <c r="E819" i="1" s="1"/>
  <c r="A820" i="1"/>
  <c r="E820" i="1" s="1"/>
  <c r="A821" i="1"/>
  <c r="E821" i="1" s="1"/>
  <c r="A822" i="1"/>
  <c r="E822" i="1" s="1"/>
  <c r="A823" i="1"/>
  <c r="E823" i="1" s="1"/>
  <c r="A824" i="1"/>
  <c r="E824" i="1" s="1"/>
  <c r="A825" i="1"/>
  <c r="E825" i="1" s="1"/>
  <c r="A826" i="1"/>
  <c r="E826" i="1" s="1"/>
  <c r="A827" i="1"/>
  <c r="E827" i="1" s="1"/>
  <c r="A828" i="1"/>
  <c r="E828" i="1" s="1"/>
  <c r="A829" i="1"/>
  <c r="E829" i="1" s="1"/>
  <c r="A830" i="1"/>
  <c r="E830" i="1" s="1"/>
  <c r="A831" i="1"/>
  <c r="E831" i="1" s="1"/>
  <c r="A832" i="1"/>
  <c r="E832" i="1" s="1"/>
  <c r="A833" i="1"/>
  <c r="E833" i="1" s="1"/>
  <c r="A834" i="1"/>
  <c r="E834" i="1" s="1"/>
  <c r="A835" i="1"/>
  <c r="E835" i="1" s="1"/>
  <c r="A836" i="1"/>
  <c r="E836" i="1" s="1"/>
  <c r="A837" i="1"/>
  <c r="E837" i="1" s="1"/>
  <c r="A838" i="1"/>
  <c r="E838" i="1" s="1"/>
  <c r="A839" i="1"/>
  <c r="E839" i="1" s="1"/>
  <c r="A840" i="1"/>
  <c r="E840" i="1" s="1"/>
  <c r="A841" i="1"/>
  <c r="E841" i="1" s="1"/>
  <c r="A842" i="1"/>
  <c r="E842" i="1" s="1"/>
  <c r="A843" i="1"/>
  <c r="E843" i="1" s="1"/>
  <c r="A844" i="1"/>
  <c r="E844" i="1" s="1"/>
  <c r="A845" i="1"/>
  <c r="E845" i="1" s="1"/>
  <c r="A846" i="1"/>
  <c r="E846" i="1" s="1"/>
  <c r="A847" i="1"/>
  <c r="E847" i="1" s="1"/>
  <c r="A848" i="1"/>
  <c r="E848" i="1" s="1"/>
  <c r="A849" i="1"/>
  <c r="E849" i="1" s="1"/>
  <c r="A850" i="1"/>
  <c r="E850" i="1" s="1"/>
  <c r="A851" i="1"/>
  <c r="E851" i="1" s="1"/>
  <c r="A852" i="1"/>
  <c r="E852" i="1" s="1"/>
  <c r="A853" i="1"/>
  <c r="E853" i="1" s="1"/>
  <c r="A854" i="1"/>
  <c r="E854" i="1" s="1"/>
  <c r="A855" i="1"/>
  <c r="E855" i="1" s="1"/>
  <c r="A856" i="1"/>
  <c r="E856" i="1" s="1"/>
  <c r="A857" i="1"/>
  <c r="E857" i="1" s="1"/>
  <c r="A858" i="1"/>
  <c r="E858" i="1" s="1"/>
  <c r="A859" i="1"/>
  <c r="E859" i="1" s="1"/>
  <c r="A860" i="1"/>
  <c r="E860" i="1" s="1"/>
  <c r="A861" i="1"/>
  <c r="E861" i="1" s="1"/>
  <c r="A862" i="1"/>
  <c r="E862" i="1" s="1"/>
  <c r="A863" i="1"/>
  <c r="E863" i="1" s="1"/>
  <c r="A864" i="1"/>
  <c r="E864" i="1" s="1"/>
  <c r="A865" i="1"/>
  <c r="E865" i="1" s="1"/>
  <c r="A866" i="1"/>
  <c r="E866" i="1" s="1"/>
  <c r="A867" i="1"/>
  <c r="E867" i="1" s="1"/>
  <c r="A868" i="1"/>
  <c r="E868" i="1" s="1"/>
  <c r="A869" i="1"/>
  <c r="E869" i="1" s="1"/>
  <c r="A870" i="1"/>
  <c r="E870" i="1" s="1"/>
  <c r="A871" i="1"/>
  <c r="E871" i="1" s="1"/>
  <c r="A872" i="1"/>
  <c r="E872" i="1" s="1"/>
  <c r="A873" i="1"/>
  <c r="E873" i="1" s="1"/>
  <c r="A874" i="1"/>
  <c r="E874" i="1" s="1"/>
  <c r="A875" i="1"/>
  <c r="E875" i="1" s="1"/>
  <c r="A876" i="1"/>
  <c r="E876" i="1" s="1"/>
  <c r="A877" i="1"/>
  <c r="E877" i="1" s="1"/>
  <c r="A878" i="1"/>
  <c r="E878" i="1" s="1"/>
  <c r="A879" i="1"/>
  <c r="E879" i="1" s="1"/>
  <c r="A880" i="1"/>
  <c r="E880" i="1" s="1"/>
  <c r="A881" i="1"/>
  <c r="E881" i="1" s="1"/>
  <c r="A882" i="1"/>
  <c r="E882" i="1" s="1"/>
  <c r="A883" i="1"/>
  <c r="E883" i="1" s="1"/>
  <c r="A884" i="1"/>
  <c r="E884" i="1" s="1"/>
  <c r="A885" i="1"/>
  <c r="E885" i="1" s="1"/>
  <c r="A886" i="1"/>
  <c r="E886" i="1" s="1"/>
  <c r="A887" i="1"/>
  <c r="E887" i="1" s="1"/>
  <c r="A888" i="1"/>
  <c r="E888" i="1" s="1"/>
  <c r="A889" i="1"/>
  <c r="E889" i="1" s="1"/>
  <c r="A890" i="1"/>
  <c r="E890" i="1" s="1"/>
  <c r="A891" i="1"/>
  <c r="E891" i="1" s="1"/>
  <c r="A892" i="1"/>
  <c r="E892" i="1" s="1"/>
  <c r="A893" i="1"/>
  <c r="E893" i="1" s="1"/>
  <c r="A894" i="1"/>
  <c r="E894" i="1" s="1"/>
  <c r="A895" i="1"/>
  <c r="E895" i="1" s="1"/>
  <c r="A896" i="1"/>
  <c r="E896" i="1" s="1"/>
  <c r="A897" i="1"/>
  <c r="E897" i="1" s="1"/>
  <c r="A898" i="1"/>
  <c r="E898" i="1" s="1"/>
  <c r="A899" i="1"/>
  <c r="E899" i="1" s="1"/>
  <c r="A900" i="1"/>
  <c r="E900" i="1" s="1"/>
  <c r="A901" i="1"/>
  <c r="E901" i="1" s="1"/>
  <c r="A902" i="1"/>
  <c r="E902" i="1" s="1"/>
  <c r="A903" i="1"/>
  <c r="E903" i="1" s="1"/>
  <c r="A904" i="1"/>
  <c r="E904" i="1" s="1"/>
  <c r="A905" i="1"/>
  <c r="E905" i="1" s="1"/>
  <c r="A906" i="1"/>
  <c r="E906" i="1" s="1"/>
  <c r="A907" i="1"/>
  <c r="E907" i="1" s="1"/>
  <c r="A908" i="1"/>
  <c r="E908" i="1" s="1"/>
  <c r="A909" i="1"/>
  <c r="E909" i="1" s="1"/>
  <c r="A910" i="1"/>
  <c r="E910" i="1" s="1"/>
  <c r="A911" i="1"/>
  <c r="E911" i="1" s="1"/>
  <c r="A912" i="1"/>
  <c r="E912" i="1" s="1"/>
  <c r="A913" i="1"/>
  <c r="E913" i="1" s="1"/>
  <c r="A914" i="1"/>
  <c r="E914" i="1" s="1"/>
  <c r="A915" i="1"/>
  <c r="E915" i="1" s="1"/>
  <c r="A916" i="1"/>
  <c r="E916" i="1" s="1"/>
  <c r="A917" i="1"/>
  <c r="E917" i="1" s="1"/>
  <c r="A918" i="1"/>
  <c r="E918" i="1" s="1"/>
  <c r="A919" i="1"/>
  <c r="E919" i="1" s="1"/>
  <c r="A920" i="1"/>
  <c r="E920" i="1" s="1"/>
  <c r="A921" i="1"/>
  <c r="E921" i="1" s="1"/>
  <c r="A922" i="1"/>
  <c r="E922" i="1" s="1"/>
  <c r="A923" i="1"/>
  <c r="E923" i="1" s="1"/>
  <c r="A924" i="1"/>
  <c r="E924" i="1" s="1"/>
  <c r="A925" i="1"/>
  <c r="E925" i="1" s="1"/>
  <c r="A926" i="1"/>
  <c r="E926" i="1" s="1"/>
  <c r="A927" i="1"/>
  <c r="E927" i="1" s="1"/>
  <c r="A928" i="1"/>
  <c r="E928" i="1" s="1"/>
  <c r="A929" i="1"/>
  <c r="E929" i="1" s="1"/>
  <c r="A930" i="1"/>
  <c r="E930" i="1" s="1"/>
  <c r="A931" i="1"/>
  <c r="E931" i="1" s="1"/>
  <c r="A932" i="1"/>
  <c r="E932" i="1" s="1"/>
  <c r="A933" i="1"/>
  <c r="E933" i="1" s="1"/>
  <c r="A934" i="1"/>
  <c r="E934" i="1" s="1"/>
  <c r="A935" i="1"/>
  <c r="E935" i="1" s="1"/>
  <c r="A936" i="1"/>
  <c r="E936" i="1" s="1"/>
  <c r="A937" i="1"/>
  <c r="E937" i="1" s="1"/>
  <c r="A938" i="1"/>
  <c r="E938" i="1" s="1"/>
  <c r="A939" i="1"/>
  <c r="E939" i="1" s="1"/>
  <c r="A940" i="1"/>
  <c r="E940" i="1" s="1"/>
  <c r="A941" i="1"/>
  <c r="E941" i="1" s="1"/>
  <c r="A942" i="1"/>
  <c r="E942" i="1" s="1"/>
  <c r="A943" i="1"/>
  <c r="E943" i="1" s="1"/>
  <c r="A944" i="1"/>
  <c r="E944" i="1" s="1"/>
  <c r="A945" i="1"/>
  <c r="E945" i="1" s="1"/>
  <c r="A946" i="1"/>
  <c r="E946" i="1" s="1"/>
  <c r="A947" i="1"/>
  <c r="E947" i="1" s="1"/>
  <c r="A948" i="1"/>
  <c r="E948" i="1" s="1"/>
  <c r="A949" i="1"/>
  <c r="E949" i="1" s="1"/>
  <c r="A950" i="1"/>
  <c r="E950" i="1" s="1"/>
  <c r="A951" i="1"/>
  <c r="E951" i="1" s="1"/>
  <c r="A952" i="1"/>
  <c r="E952" i="1" s="1"/>
  <c r="A953" i="1"/>
  <c r="E953" i="1" s="1"/>
  <c r="A954" i="1"/>
  <c r="E954" i="1" s="1"/>
  <c r="A955" i="1"/>
  <c r="E955" i="1" s="1"/>
  <c r="A956" i="1"/>
  <c r="E956" i="1" s="1"/>
  <c r="A957" i="1"/>
  <c r="E957" i="1" s="1"/>
  <c r="A958" i="1"/>
  <c r="E958" i="1" s="1"/>
  <c r="A959" i="1"/>
  <c r="E959" i="1" s="1"/>
  <c r="A960" i="1"/>
  <c r="E960" i="1" s="1"/>
  <c r="A961" i="1"/>
  <c r="E961" i="1" s="1"/>
  <c r="A962" i="1"/>
  <c r="E962" i="1" s="1"/>
  <c r="A963" i="1"/>
  <c r="E963" i="1" s="1"/>
  <c r="A964" i="1"/>
  <c r="E964" i="1" s="1"/>
  <c r="A965" i="1"/>
  <c r="E965" i="1" s="1"/>
  <c r="A966" i="1"/>
  <c r="E966" i="1" s="1"/>
  <c r="A967" i="1"/>
  <c r="E967" i="1" s="1"/>
  <c r="A968" i="1"/>
  <c r="E968" i="1" s="1"/>
  <c r="A969" i="1"/>
  <c r="E969" i="1" s="1"/>
  <c r="A970" i="1"/>
  <c r="E970" i="1" s="1"/>
  <c r="A971" i="1"/>
  <c r="E971" i="1" s="1"/>
  <c r="A972" i="1"/>
  <c r="E972" i="1" s="1"/>
  <c r="A973" i="1"/>
  <c r="E973" i="1" s="1"/>
  <c r="A974" i="1"/>
  <c r="E974" i="1" s="1"/>
  <c r="A975" i="1"/>
  <c r="E975" i="1" s="1"/>
  <c r="A976" i="1"/>
  <c r="E976" i="1" s="1"/>
  <c r="A977" i="1"/>
  <c r="E977" i="1" s="1"/>
  <c r="A978" i="1"/>
  <c r="E978" i="1" s="1"/>
  <c r="A979" i="1"/>
  <c r="E979" i="1" s="1"/>
  <c r="A980" i="1"/>
  <c r="E980" i="1" s="1"/>
  <c r="A981" i="1"/>
  <c r="E981" i="1" s="1"/>
  <c r="A982" i="1"/>
  <c r="E982" i="1" s="1"/>
  <c r="A983" i="1"/>
  <c r="E983" i="1" s="1"/>
  <c r="A984" i="1"/>
  <c r="E984" i="1" s="1"/>
  <c r="A985" i="1"/>
  <c r="E985" i="1" s="1"/>
  <c r="A986" i="1"/>
  <c r="E986" i="1" s="1"/>
  <c r="A987" i="1"/>
  <c r="E987" i="1" s="1"/>
  <c r="A988" i="1"/>
  <c r="E988" i="1" s="1"/>
  <c r="A989" i="1"/>
  <c r="E989" i="1" s="1"/>
  <c r="A990" i="1"/>
  <c r="E990" i="1" s="1"/>
  <c r="A991" i="1"/>
  <c r="E991" i="1" s="1"/>
  <c r="A992" i="1"/>
  <c r="E992" i="1" s="1"/>
  <c r="A993" i="1"/>
  <c r="E993" i="1" s="1"/>
  <c r="A994" i="1"/>
  <c r="E994" i="1" s="1"/>
  <c r="A995" i="1"/>
  <c r="E995" i="1" s="1"/>
  <c r="A996" i="1"/>
  <c r="E996" i="1" s="1"/>
  <c r="A997" i="1"/>
  <c r="E997" i="1" s="1"/>
  <c r="A998" i="1"/>
  <c r="E998" i="1" s="1"/>
  <c r="A999" i="1"/>
  <c r="E999" i="1" s="1"/>
  <c r="A1000" i="1"/>
  <c r="E1000" i="1" s="1"/>
  <c r="A1001" i="1"/>
  <c r="E1001" i="1" s="1"/>
  <c r="A1002" i="1"/>
  <c r="E1002" i="1" s="1"/>
  <c r="A1003" i="1"/>
  <c r="E1003" i="1" s="1"/>
  <c r="A1004" i="1"/>
  <c r="E1004" i="1" s="1"/>
  <c r="A1005" i="1"/>
  <c r="E1005" i="1" s="1"/>
  <c r="A1006" i="1"/>
  <c r="E1006" i="1" s="1"/>
  <c r="A1007" i="1"/>
  <c r="E1007" i="1" s="1"/>
  <c r="A1008" i="1"/>
  <c r="E1008" i="1" s="1"/>
  <c r="A1009" i="1"/>
  <c r="E1009" i="1" s="1"/>
  <c r="A1010" i="1"/>
  <c r="E1010" i="1" s="1"/>
  <c r="A1011" i="1"/>
  <c r="E1011" i="1" s="1"/>
  <c r="A1012" i="1"/>
  <c r="E1012" i="1" s="1"/>
  <c r="A1013" i="1"/>
  <c r="E1013" i="1" s="1"/>
  <c r="A1014" i="1"/>
  <c r="E1014" i="1" s="1"/>
  <c r="A1015" i="1"/>
  <c r="E1015" i="1" s="1"/>
  <c r="A1016" i="1"/>
  <c r="E1016" i="1" s="1"/>
  <c r="A1017" i="1"/>
  <c r="E1017" i="1" s="1"/>
  <c r="A1018" i="1"/>
  <c r="E1018" i="1" s="1"/>
  <c r="A1019" i="1"/>
  <c r="E1019" i="1" s="1"/>
  <c r="A1020" i="1"/>
  <c r="E1020" i="1" s="1"/>
  <c r="A1021" i="1"/>
  <c r="E1021" i="1" s="1"/>
  <c r="A1022" i="1"/>
  <c r="E1022" i="1" s="1"/>
  <c r="A1023" i="1"/>
  <c r="E1023" i="1" s="1"/>
  <c r="A1024" i="1"/>
  <c r="E1024" i="1" s="1"/>
  <c r="A1025" i="1"/>
  <c r="E1025" i="1" s="1"/>
  <c r="A1026" i="1"/>
  <c r="E1026" i="1" s="1"/>
  <c r="A1027" i="1"/>
  <c r="E1027" i="1" s="1"/>
  <c r="A1028" i="1"/>
  <c r="E1028" i="1" s="1"/>
  <c r="A1029" i="1"/>
  <c r="E1029" i="1" s="1"/>
  <c r="A1030" i="1"/>
  <c r="E1030" i="1" s="1"/>
  <c r="A1031" i="1"/>
  <c r="E1031" i="1" s="1"/>
  <c r="A1032" i="1"/>
  <c r="E1032" i="1" s="1"/>
  <c r="A1033" i="1"/>
  <c r="E1033" i="1" s="1"/>
  <c r="A1034" i="1"/>
  <c r="E1034" i="1" s="1"/>
  <c r="A1035" i="1"/>
  <c r="E1035" i="1" s="1"/>
  <c r="A1036" i="1"/>
  <c r="E1036" i="1" s="1"/>
  <c r="A1037" i="1"/>
  <c r="E1037" i="1" s="1"/>
  <c r="A1038" i="1"/>
  <c r="E1038" i="1" s="1"/>
  <c r="A1039" i="1"/>
  <c r="E1039" i="1" s="1"/>
  <c r="A1040" i="1"/>
  <c r="E1040" i="1" s="1"/>
  <c r="A1041" i="1"/>
  <c r="E1041" i="1" s="1"/>
  <c r="A1042" i="1"/>
  <c r="E1042" i="1" s="1"/>
  <c r="A1043" i="1"/>
  <c r="E1043" i="1" s="1"/>
  <c r="A1044" i="1"/>
  <c r="E1044" i="1" s="1"/>
  <c r="A1045" i="1"/>
  <c r="E1045" i="1" s="1"/>
  <c r="A1046" i="1"/>
  <c r="E1046" i="1" s="1"/>
  <c r="A1047" i="1"/>
  <c r="E1047" i="1" s="1"/>
  <c r="A1048" i="1"/>
  <c r="E1048" i="1" s="1"/>
  <c r="A1049" i="1"/>
  <c r="E1049" i="1" s="1"/>
  <c r="A1050" i="1"/>
  <c r="E1050" i="1" s="1"/>
  <c r="A1051" i="1"/>
  <c r="E1051" i="1" s="1"/>
  <c r="A1052" i="1"/>
  <c r="E1052" i="1" s="1"/>
  <c r="A1053" i="1"/>
  <c r="E1053" i="1" s="1"/>
  <c r="A1054" i="1"/>
  <c r="E1054" i="1" s="1"/>
  <c r="A1055" i="1"/>
  <c r="E1055" i="1" s="1"/>
  <c r="A1056" i="1"/>
  <c r="E1056" i="1" s="1"/>
  <c r="A1057" i="1"/>
  <c r="E1057" i="1" s="1"/>
  <c r="A1058" i="1"/>
  <c r="E1058" i="1" s="1"/>
  <c r="A1059" i="1"/>
  <c r="E1059" i="1" s="1"/>
  <c r="A1060" i="1"/>
  <c r="E1060" i="1" s="1"/>
  <c r="A1061" i="1"/>
  <c r="E1061" i="1" s="1"/>
  <c r="A1062" i="1"/>
  <c r="E1062" i="1" s="1"/>
  <c r="A1063" i="1"/>
  <c r="E1063" i="1" s="1"/>
  <c r="A1064" i="1"/>
  <c r="E1064" i="1" s="1"/>
  <c r="A1065" i="1"/>
  <c r="E1065" i="1" s="1"/>
  <c r="A1066" i="1"/>
  <c r="E1066" i="1" s="1"/>
  <c r="A1067" i="1"/>
  <c r="E1067" i="1" s="1"/>
  <c r="A1068" i="1"/>
  <c r="E1068" i="1" s="1"/>
  <c r="A1069" i="1"/>
  <c r="E1069" i="1" s="1"/>
  <c r="A1070" i="1"/>
  <c r="E1070" i="1" s="1"/>
  <c r="A1071" i="1"/>
  <c r="E1071" i="1" s="1"/>
  <c r="A1072" i="1"/>
  <c r="E1072" i="1" s="1"/>
  <c r="A1073" i="1"/>
  <c r="E1073" i="1" s="1"/>
  <c r="A1074" i="1"/>
  <c r="E1074" i="1" s="1"/>
  <c r="A1075" i="1"/>
  <c r="E1075" i="1" s="1"/>
  <c r="A1076" i="1"/>
  <c r="E1076" i="1" s="1"/>
  <c r="A1077" i="1"/>
  <c r="E1077" i="1" s="1"/>
  <c r="A1078" i="1"/>
  <c r="E1078" i="1" s="1"/>
  <c r="A1079" i="1"/>
  <c r="E1079" i="1" s="1"/>
  <c r="A1080" i="1"/>
  <c r="E1080" i="1" s="1"/>
  <c r="A1081" i="1"/>
  <c r="E1081" i="1" s="1"/>
  <c r="A1082" i="1"/>
  <c r="E1082" i="1" s="1"/>
  <c r="A1083" i="1"/>
  <c r="E1083" i="1" s="1"/>
  <c r="A1084" i="1"/>
  <c r="E1084" i="1" s="1"/>
  <c r="A1085" i="1"/>
  <c r="E1085" i="1" s="1"/>
  <c r="A1086" i="1"/>
  <c r="E1086" i="1" s="1"/>
  <c r="A1087" i="1"/>
  <c r="E1087" i="1" s="1"/>
  <c r="A1088" i="1"/>
  <c r="E1088" i="1" s="1"/>
  <c r="A1089" i="1"/>
  <c r="E1089" i="1" s="1"/>
  <c r="A1090" i="1"/>
  <c r="E1090" i="1" s="1"/>
  <c r="A1091" i="1"/>
  <c r="E1091" i="1" s="1"/>
  <c r="A1092" i="1"/>
  <c r="E1092" i="1" s="1"/>
  <c r="A1093" i="1"/>
  <c r="E1093" i="1" s="1"/>
  <c r="A1094" i="1"/>
  <c r="E1094" i="1" s="1"/>
  <c r="A1095" i="1"/>
  <c r="E1095" i="1" s="1"/>
  <c r="A1096" i="1"/>
  <c r="E1096" i="1" s="1"/>
  <c r="A1097" i="1"/>
  <c r="E1097" i="1" s="1"/>
  <c r="A1098" i="1"/>
  <c r="E1098" i="1" s="1"/>
  <c r="A1099" i="1"/>
  <c r="E1099" i="1" s="1"/>
  <c r="A1100" i="1"/>
  <c r="E1100" i="1" s="1"/>
  <c r="A1101" i="1"/>
  <c r="E1101" i="1" s="1"/>
  <c r="A1102" i="1"/>
  <c r="E1102" i="1" s="1"/>
  <c r="A1103" i="1"/>
  <c r="E1103" i="1" s="1"/>
  <c r="A1104" i="1"/>
  <c r="E1104" i="1" s="1"/>
  <c r="A1105" i="1"/>
  <c r="E1105" i="1" s="1"/>
  <c r="A1106" i="1"/>
  <c r="E1106" i="1" s="1"/>
  <c r="A1107" i="1"/>
  <c r="E1107" i="1" s="1"/>
  <c r="A1108" i="1"/>
  <c r="E1108" i="1" s="1"/>
  <c r="A1109" i="1"/>
  <c r="E1109" i="1" s="1"/>
  <c r="A1110" i="1"/>
  <c r="E1110" i="1" s="1"/>
  <c r="A1111" i="1"/>
  <c r="E1111" i="1" s="1"/>
  <c r="A1112" i="1"/>
  <c r="E1112" i="1" s="1"/>
  <c r="A1113" i="1"/>
  <c r="E1113" i="1" s="1"/>
  <c r="A1114" i="1"/>
  <c r="E1114" i="1" s="1"/>
  <c r="A1115" i="1"/>
  <c r="E1115" i="1" s="1"/>
  <c r="A1116" i="1"/>
  <c r="E1116" i="1" s="1"/>
  <c r="A1117" i="1"/>
  <c r="E1117" i="1" s="1"/>
  <c r="A1118" i="1"/>
  <c r="E1118" i="1" s="1"/>
  <c r="A1119" i="1"/>
  <c r="E1119" i="1" s="1"/>
  <c r="A1120" i="1"/>
  <c r="E1120" i="1" s="1"/>
  <c r="A1121" i="1"/>
  <c r="E1121" i="1" s="1"/>
  <c r="A1122" i="1"/>
  <c r="E1122" i="1" s="1"/>
  <c r="A1123" i="1"/>
  <c r="E1123" i="1" s="1"/>
  <c r="A1124" i="1"/>
  <c r="E1124" i="1" s="1"/>
  <c r="A1125" i="1"/>
  <c r="E1125" i="1" s="1"/>
  <c r="A1126" i="1"/>
  <c r="E1126" i="1" s="1"/>
  <c r="A1127" i="1"/>
  <c r="E1127" i="1" s="1"/>
  <c r="A1128" i="1"/>
  <c r="E1128" i="1" s="1"/>
  <c r="A1129" i="1"/>
  <c r="E1129" i="1" s="1"/>
  <c r="A1130" i="1"/>
  <c r="E1130" i="1" s="1"/>
  <c r="A1131" i="1"/>
  <c r="E1131" i="1" s="1"/>
  <c r="A1132" i="1"/>
  <c r="E1132" i="1" s="1"/>
  <c r="A1133" i="1"/>
  <c r="E1133" i="1" s="1"/>
  <c r="A1134" i="1"/>
  <c r="E1134" i="1" s="1"/>
  <c r="A1135" i="1"/>
  <c r="E1135" i="1" s="1"/>
  <c r="A1136" i="1"/>
  <c r="E1136" i="1" s="1"/>
  <c r="A1137" i="1"/>
  <c r="E1137" i="1" s="1"/>
  <c r="A1138" i="1"/>
  <c r="E1138" i="1" s="1"/>
  <c r="A1139" i="1"/>
  <c r="E1139" i="1" s="1"/>
  <c r="A1140" i="1"/>
  <c r="E1140" i="1" s="1"/>
  <c r="A1141" i="1"/>
  <c r="E1141" i="1" s="1"/>
  <c r="A1142" i="1"/>
  <c r="E1142" i="1" s="1"/>
  <c r="A1143" i="1"/>
  <c r="E1143" i="1" s="1"/>
  <c r="A1144" i="1"/>
  <c r="E1144" i="1" s="1"/>
  <c r="A1145" i="1"/>
  <c r="E1145" i="1" s="1"/>
  <c r="A1146" i="1"/>
  <c r="E1146" i="1" s="1"/>
  <c r="A1147" i="1"/>
  <c r="E1147" i="1" s="1"/>
  <c r="A1148" i="1"/>
  <c r="E1148" i="1" s="1"/>
  <c r="A1149" i="1"/>
  <c r="E1149" i="1" s="1"/>
  <c r="A1150" i="1"/>
  <c r="E1150" i="1" s="1"/>
  <c r="A1151" i="1"/>
  <c r="E1151" i="1" s="1"/>
  <c r="A1152" i="1"/>
  <c r="E1152" i="1" s="1"/>
  <c r="A1153" i="1"/>
  <c r="E1153" i="1" s="1"/>
  <c r="A1154" i="1"/>
  <c r="E1154" i="1" s="1"/>
  <c r="A1155" i="1"/>
  <c r="E1155" i="1" s="1"/>
  <c r="A1156" i="1"/>
  <c r="E1156" i="1" s="1"/>
  <c r="A1157" i="1"/>
  <c r="E1157" i="1" s="1"/>
  <c r="A1158" i="1"/>
  <c r="E1158" i="1" s="1"/>
  <c r="A1159" i="1"/>
  <c r="E1159" i="1" s="1"/>
  <c r="A1160" i="1"/>
  <c r="E1160" i="1" s="1"/>
  <c r="A1161" i="1"/>
  <c r="E1161" i="1" s="1"/>
  <c r="A1162" i="1"/>
  <c r="E1162" i="1" s="1"/>
  <c r="A1163" i="1"/>
  <c r="E1163" i="1" s="1"/>
  <c r="A1164" i="1"/>
  <c r="E1164" i="1" s="1"/>
  <c r="A1165" i="1"/>
  <c r="E1165" i="1" s="1"/>
  <c r="A1166" i="1"/>
  <c r="E1166" i="1" s="1"/>
  <c r="A1167" i="1"/>
  <c r="E1167" i="1" s="1"/>
  <c r="A1168" i="1"/>
  <c r="E1168" i="1" s="1"/>
  <c r="A1169" i="1"/>
  <c r="E1169" i="1" s="1"/>
  <c r="A1170" i="1"/>
  <c r="E1170" i="1" s="1"/>
  <c r="A1171" i="1"/>
  <c r="E1171" i="1" s="1"/>
  <c r="A1172" i="1"/>
  <c r="E1172" i="1" s="1"/>
  <c r="A1173" i="1"/>
  <c r="E1173" i="1" s="1"/>
  <c r="A1174" i="1"/>
  <c r="E1174" i="1" s="1"/>
  <c r="A1175" i="1"/>
  <c r="E1175" i="1" s="1"/>
  <c r="A1176" i="1"/>
  <c r="E1176" i="1" s="1"/>
  <c r="A1177" i="1"/>
  <c r="E1177" i="1" s="1"/>
  <c r="A2" i="1"/>
  <c r="E2" i="1" s="1"/>
  <c r="P21" i="3" l="1"/>
  <c r="Q20" i="3"/>
  <c r="Q22" i="3"/>
  <c r="Q23" i="3"/>
  <c r="P22" i="3"/>
  <c r="R20" i="3"/>
  <c r="R23" i="3"/>
  <c r="P23" i="3"/>
  <c r="R21" i="3"/>
  <c r="O20" i="3"/>
  <c r="R22" i="3"/>
  <c r="Q21" i="3"/>
  <c r="P20" i="3"/>
  <c r="O23" i="3"/>
  <c r="O22" i="3"/>
  <c r="O21" i="3"/>
  <c r="AI2" i="3"/>
  <c r="AC2" i="3"/>
  <c r="AH5" i="3"/>
  <c r="AK4" i="3"/>
  <c r="AC4" i="3"/>
  <c r="AJ3" i="3"/>
  <c r="AE2" i="3"/>
  <c r="AK5" i="3"/>
  <c r="AG5" i="3"/>
  <c r="AC5" i="3"/>
  <c r="AJ4" i="3"/>
  <c r="AF4" i="3"/>
  <c r="AB4" i="3"/>
  <c r="AA11" i="3" s="1"/>
  <c r="AI3" i="3"/>
  <c r="AE3" i="3"/>
  <c r="AL2" i="3"/>
  <c r="AH2" i="3"/>
  <c r="AD2" i="3"/>
  <c r="AB3" i="3"/>
  <c r="AJ5" i="3"/>
  <c r="AF5" i="3"/>
  <c r="AB5" i="3"/>
  <c r="AI4" i="3"/>
  <c r="AE4" i="3"/>
  <c r="AL3" i="3"/>
  <c r="AH3" i="3"/>
  <c r="AD3" i="3"/>
  <c r="AK2" i="3"/>
  <c r="AG2" i="3"/>
  <c r="AL5" i="3"/>
  <c r="AD5" i="3"/>
  <c r="AG4" i="3"/>
  <c r="AF3" i="3"/>
  <c r="AA2" i="3"/>
  <c r="AI5" i="3"/>
  <c r="AE5" i="3"/>
  <c r="AL4" i="3"/>
  <c r="AH4" i="3"/>
  <c r="AD4" i="3"/>
  <c r="AK3" i="3"/>
  <c r="AG3" i="3"/>
  <c r="AC3" i="3"/>
  <c r="AJ2" i="3"/>
  <c r="AF2" i="3"/>
  <c r="AB2" i="3"/>
  <c r="AA5" i="3"/>
  <c r="AA4" i="3"/>
  <c r="AA3" i="3"/>
  <c r="D3" i="3"/>
  <c r="E2" i="3"/>
  <c r="F13" i="3"/>
  <c r="D11" i="3"/>
  <c r="F9" i="3"/>
  <c r="E8" i="3"/>
  <c r="F5" i="3"/>
  <c r="E4" i="3"/>
  <c r="E13" i="3"/>
  <c r="D12" i="3"/>
  <c r="F10" i="3"/>
  <c r="E9" i="3"/>
  <c r="D8" i="3"/>
  <c r="F6" i="3"/>
  <c r="E5" i="3"/>
  <c r="D4" i="3"/>
  <c r="F2" i="3"/>
  <c r="D13" i="3"/>
  <c r="F11" i="3"/>
  <c r="E10" i="3"/>
  <c r="D9" i="3"/>
  <c r="F7" i="3"/>
  <c r="E6" i="3"/>
  <c r="D5" i="3"/>
  <c r="F3" i="3"/>
  <c r="E12" i="3"/>
  <c r="D7" i="3"/>
  <c r="C2" i="3"/>
  <c r="F12" i="3"/>
  <c r="E11" i="3"/>
  <c r="D10" i="3"/>
  <c r="F8" i="3"/>
  <c r="E7" i="3"/>
  <c r="D6" i="3"/>
  <c r="F4" i="3"/>
  <c r="E3" i="3"/>
  <c r="D2" i="3"/>
  <c r="C10" i="3"/>
  <c r="C13" i="3"/>
  <c r="C9" i="3"/>
  <c r="C5" i="3"/>
  <c r="C6" i="3"/>
  <c r="C12" i="3"/>
  <c r="C8" i="3"/>
  <c r="C4" i="3"/>
  <c r="C11" i="3"/>
  <c r="C7" i="3"/>
  <c r="C3" i="3"/>
  <c r="O2" i="3"/>
  <c r="O5" i="3"/>
  <c r="O4" i="3"/>
  <c r="O3" i="3"/>
  <c r="AA12" i="3" l="1"/>
  <c r="O6" i="3"/>
  <c r="AA9" i="3"/>
  <c r="AA10" i="3"/>
  <c r="O14" i="3"/>
  <c r="O16" i="3" s="1"/>
  <c r="Q5" i="3"/>
  <c r="X14" i="3"/>
  <c r="Q4" i="3"/>
  <c r="U14" i="3"/>
  <c r="Q3" i="3"/>
  <c r="R14" i="3"/>
  <c r="Q2" i="3"/>
  <c r="J2" i="3"/>
  <c r="K2" i="3"/>
  <c r="L2" i="3"/>
  <c r="I2" i="3"/>
</calcChain>
</file>

<file path=xl/sharedStrings.xml><?xml version="1.0" encoding="utf-8"?>
<sst xmlns="http://schemas.openxmlformats.org/spreadsheetml/2006/main" count="104" uniqueCount="38">
  <si>
    <t>Datas</t>
  </si>
  <si>
    <t>Vendedores</t>
  </si>
  <si>
    <t>R$</t>
  </si>
  <si>
    <t>João</t>
  </si>
  <si>
    <t>Maria</t>
  </si>
  <si>
    <t>Joaquina</t>
  </si>
  <si>
    <t>Marcelo</t>
  </si>
  <si>
    <t>Serviço</t>
  </si>
  <si>
    <t>5S</t>
  </si>
  <si>
    <t>Padronização</t>
  </si>
  <si>
    <t>Finanças</t>
  </si>
  <si>
    <t>Consultoria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</si>
  <si>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</si>
  <si>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</si>
  <si>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</si>
  <si>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</si>
  <si>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</si>
  <si>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</si>
  <si>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</si>
  <si>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</si>
  <si>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</si>
  <si>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</si>
  <si>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</si>
  <si>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</si>
  <si>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</si>
  <si>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Vínculo</t>
  </si>
  <si>
    <t>Faturamento</t>
  </si>
  <si>
    <t>Meta</t>
  </si>
  <si>
    <t>% meta</t>
  </si>
  <si>
    <t>Nome</t>
  </si>
  <si>
    <t>Ruim</t>
  </si>
  <si>
    <t>Regular</t>
  </si>
  <si>
    <t>Bom</t>
  </si>
  <si>
    <t>Ótimo</t>
  </si>
  <si>
    <t>Total</t>
  </si>
  <si>
    <t>Ponteiro</t>
  </si>
  <si>
    <t>Grossura</t>
  </si>
  <si>
    <t>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</si>
</sst>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* #,##0.00_-;\-&quot;R$&quot;* #,##0.00_-;_-&quot;R$&quot;* &quot;-&quot;??_-;_-@_-"/>
    <numFmt numFmtId="166" formatCode="_-&quot;R$&quot;* #,##0_-;\-&quot;R$&quot;* #,##0_-;_-&quot;R$&quot;* &quot;-&quot;??_-;_-@_-"/>
    <numFmt numFmtId="167" formatCode="0.0%"/>
  </numFmts>
  <fonts count="4" x14ac:knownFonts="1">
    <font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/>
    <xf numFmtId="167" fontId="0" fillId="0" borderId="0" xfId="2" applyNumberFormat="1" applyFont="1"/>
    <xf numFmtId="166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046-4DD0-8031-4E9C9CBF6AEB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46-4DD0-8031-4E9C9CBF6AEB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46-4DD0-8031-4E9C9CBF6AEB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46-4DD0-8031-4E9C9CBF6AEB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6-4DD0-8031-4E9C9CBF6A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046-4DD0-8031-4E9C9CBF6A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046-4DD0-8031-4E9C9CBF6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Lixo!$N$8:$N$12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Total</c:v>
                </c:pt>
              </c:strCache>
            </c:strRef>
          </c:cat>
          <c:val>
            <c:numRef>
              <c:f>Lixo!$O$8:$O$12</c:f>
              <c:numCache>
                <c:formatCode>General</c:formatCode>
                <c:ptCount val="5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6-4DD0-8031-4E9C9CBF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6-4DD0-8031-4E9C9CBF6AE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noFill/>
              </a:ln>
              <a:effectLst>
                <a:glow rad="228600">
                  <a:schemeClr val="accent4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E046-4DD0-8031-4E9C9CBF6AE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046-4DD0-8031-4E9C9CBF6AEB}"/>
              </c:ext>
            </c:extLst>
          </c:dPt>
          <c:val>
            <c:numRef>
              <c:f>Lixo!$O$14:$O$16</c:f>
              <c:numCache>
                <c:formatCode>General</c:formatCode>
                <c:ptCount val="3"/>
                <c:pt idx="0" formatCode="_-&quot;R$&quot;* #,##0_-;\-&quot;R$&quot;* #,##0_-;_-&quot;R$&quot;* &quot;-&quot;??_-;_-@_-">
                  <c:v>896621</c:v>
                </c:pt>
                <c:pt idx="1">
                  <c:v>10000</c:v>
                </c:pt>
                <c:pt idx="2">
                  <c:v>1093379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46-4DD0-8031-4E9C9CBF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Faturamento por serviço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Lixo!$I$1:$L$1</c:f>
              <c:strCache>
                <c:ptCount val="4"/>
                <c:pt idx="0">
                  <c:v>Padronização</c:v>
                </c:pt>
                <c:pt idx="1">
                  <c:v>5S</c:v>
                </c:pt>
                <c:pt idx="2">
                  <c:v>Finanças</c:v>
                </c:pt>
                <c:pt idx="3">
                  <c:v>Consultoria</c:v>
                </c:pt>
              </c:strCache>
            </c:strRef>
          </c:cat>
          <c:val>
            <c:numRef>
              <c:f>Lixo!$I$2:$L$2</c:f>
              <c:numCache>
                <c:formatCode>General</c:formatCode>
                <c:ptCount val="4"/>
                <c:pt idx="0">
                  <c:v>17367</c:v>
                </c:pt>
                <c:pt idx="1">
                  <c:v>14287</c:v>
                </c:pt>
                <c:pt idx="2">
                  <c:v>22672</c:v>
                </c:pt>
                <c:pt idx="3">
                  <c:v>16179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2-44FC-ABD8-DE470200F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697071"/>
        <c:axId val="619709967"/>
      </c:barChart>
      <c:catAx>
        <c:axId val="61969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709967"/>
        <c:crosses val="autoZero"/>
        <c:auto val="1"/>
        <c:lblAlgn val="ctr"/>
        <c:lblOffset val="100"/>
        <c:noMultiLvlLbl val="0"/>
      </c:catAx>
      <c:valAx>
        <c:axId val="61970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9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97-4AD3-98B8-27D2752E1897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97-4AD3-98B8-27D2752E1897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97-4AD3-98B8-27D2752E1897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97-4AD3-98B8-27D2752E189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397-4AD3-98B8-27D2752E18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397-4AD3-98B8-27D2752E189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97-4AD3-98B8-27D2752E18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Lixo!$N$8:$N$12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Total</c:v>
                </c:pt>
              </c:strCache>
            </c:strRef>
          </c:cat>
          <c:val>
            <c:numRef>
              <c:f>Lixo!$O$8:$O$12</c:f>
              <c:numCache>
                <c:formatCode>General</c:formatCode>
                <c:ptCount val="5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97-4AD3-98B8-27D2752E1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397-4AD3-98B8-27D2752E189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noFill/>
              </a:ln>
              <a:effectLst>
                <a:glow rad="228600">
                  <a:schemeClr val="accent4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E-1397-4AD3-98B8-27D2752E189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397-4AD3-98B8-27D2752E1897}"/>
              </c:ext>
            </c:extLst>
          </c:dPt>
          <c:val>
            <c:numRef>
              <c:f>Lixo!$O$14:$O$16</c:f>
              <c:numCache>
                <c:formatCode>General</c:formatCode>
                <c:ptCount val="3"/>
                <c:pt idx="0" formatCode="_-&quot;R$&quot;* #,##0_-;\-&quot;R$&quot;* #,##0_-;_-&quot;R$&quot;* &quot;-&quot;??_-;_-@_-">
                  <c:v>896621</c:v>
                </c:pt>
                <c:pt idx="1">
                  <c:v>10000</c:v>
                </c:pt>
                <c:pt idx="2">
                  <c:v>1093379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397-4AD3-98B8-27D2752E1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3-4C3C-B7B4-88091811517B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3-4C3C-B7B4-8809181151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3-4C3C-B7B4-88091811517B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63-4C3C-B7B4-8809181151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Lixo!$Z$9:$Z$12</c:f>
              <c:strCache>
                <c:ptCount val="4"/>
                <c:pt idx="0">
                  <c:v>Finanças</c:v>
                </c:pt>
                <c:pt idx="1">
                  <c:v>Consultoria</c:v>
                </c:pt>
                <c:pt idx="2">
                  <c:v>Padronização</c:v>
                </c:pt>
                <c:pt idx="3">
                  <c:v>5S</c:v>
                </c:pt>
              </c:strCache>
            </c:strRef>
          </c:cat>
          <c:val>
            <c:numRef>
              <c:f>Lixo!$AA$9:$AA$12</c:f>
              <c:numCache>
                <c:formatCode>_-"R$"* #,##0_-;\-"R$"* #,##0_-;_-"R$"* "-"??_-;_-@_-</c:formatCode>
                <c:ptCount val="4"/>
                <c:pt idx="0">
                  <c:v>38512</c:v>
                </c:pt>
                <c:pt idx="1">
                  <c:v>73040</c:v>
                </c:pt>
                <c:pt idx="2">
                  <c:v>47563</c:v>
                </c:pt>
                <c:pt idx="3">
                  <c:v>67619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63-4C3C-B7B4-880918115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70346910835365E-2"/>
          <c:y val="3.4188011179748852E-2"/>
          <c:w val="0.9776593061783293"/>
          <c:h val="0.767536329809321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Lixo!$O$19</c:f>
              <c:strCache>
                <c:ptCount val="1"/>
                <c:pt idx="0">
                  <c:v>Finanças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Lixo!$N$20:$N$23</c:f>
              <c:strCache>
                <c:ptCount val="4"/>
                <c:pt idx="0">
                  <c:v>Maria</c:v>
                </c:pt>
                <c:pt idx="1">
                  <c:v>João</c:v>
                </c:pt>
                <c:pt idx="2">
                  <c:v>Marcelo</c:v>
                </c:pt>
                <c:pt idx="3">
                  <c:v>Joaquina</c:v>
                </c:pt>
              </c:strCache>
            </c:strRef>
          </c:cat>
          <c:val>
            <c:numRef>
              <c:f>Lixo!$O$20:$O$23</c:f>
              <c:numCache>
                <c:formatCode>General</c:formatCode>
                <c:ptCount val="4"/>
                <c:pt idx="0">
                  <c:v>62</c:v>
                </c:pt>
                <c:pt idx="1">
                  <c:v>79</c:v>
                </c:pt>
                <c:pt idx="2">
                  <c:v>82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7-43F3-BCC7-492E753B33D9}"/>
            </c:ext>
          </c:extLst>
        </c:ser>
        <c:ser>
          <c:idx val="1"/>
          <c:order val="1"/>
          <c:tx>
            <c:strRef>
              <c:f>Lixo!$P$19</c:f>
              <c:strCache>
                <c:ptCount val="1"/>
                <c:pt idx="0">
                  <c:v>Consultoria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Lixo!$N$20:$N$23</c:f>
              <c:strCache>
                <c:ptCount val="4"/>
                <c:pt idx="0">
                  <c:v>Maria</c:v>
                </c:pt>
                <c:pt idx="1">
                  <c:v>João</c:v>
                </c:pt>
                <c:pt idx="2">
                  <c:v>Marcelo</c:v>
                </c:pt>
                <c:pt idx="3">
                  <c:v>Joaquina</c:v>
                </c:pt>
              </c:strCache>
            </c:strRef>
          </c:cat>
          <c:val>
            <c:numRef>
              <c:f>Lixo!$P$20:$P$23</c:f>
              <c:numCache>
                <c:formatCode>General</c:formatCode>
                <c:ptCount val="4"/>
                <c:pt idx="0">
                  <c:v>77</c:v>
                </c:pt>
                <c:pt idx="1">
                  <c:v>91</c:v>
                </c:pt>
                <c:pt idx="2">
                  <c:v>73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7-43F3-BCC7-492E753B33D9}"/>
            </c:ext>
          </c:extLst>
        </c:ser>
        <c:ser>
          <c:idx val="2"/>
          <c:order val="2"/>
          <c:tx>
            <c:strRef>
              <c:f>Lixo!$Q$19</c:f>
              <c:strCache>
                <c:ptCount val="1"/>
                <c:pt idx="0">
                  <c:v>Padronização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Lixo!$N$20:$N$23</c:f>
              <c:strCache>
                <c:ptCount val="4"/>
                <c:pt idx="0">
                  <c:v>Maria</c:v>
                </c:pt>
                <c:pt idx="1">
                  <c:v>João</c:v>
                </c:pt>
                <c:pt idx="2">
                  <c:v>Marcelo</c:v>
                </c:pt>
                <c:pt idx="3">
                  <c:v>Joaquina</c:v>
                </c:pt>
              </c:strCache>
            </c:strRef>
          </c:cat>
          <c:val>
            <c:numRef>
              <c:f>Lixo!$Q$20:$Q$23</c:f>
              <c:numCache>
                <c:formatCode>General</c:formatCode>
                <c:ptCount val="4"/>
                <c:pt idx="0">
                  <c:v>72</c:v>
                </c:pt>
                <c:pt idx="1">
                  <c:v>65</c:v>
                </c:pt>
                <c:pt idx="2">
                  <c:v>75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7-43F3-BCC7-492E753B33D9}"/>
            </c:ext>
          </c:extLst>
        </c:ser>
        <c:ser>
          <c:idx val="3"/>
          <c:order val="3"/>
          <c:tx>
            <c:strRef>
              <c:f>Lixo!$R$19</c:f>
              <c:strCache>
                <c:ptCount val="1"/>
                <c:pt idx="0">
                  <c:v>5S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Lixo!$N$20:$N$23</c:f>
              <c:strCache>
                <c:ptCount val="4"/>
                <c:pt idx="0">
                  <c:v>Maria</c:v>
                </c:pt>
                <c:pt idx="1">
                  <c:v>João</c:v>
                </c:pt>
                <c:pt idx="2">
                  <c:v>Marcelo</c:v>
                </c:pt>
                <c:pt idx="3">
                  <c:v>Joaquina</c:v>
                </c:pt>
              </c:strCache>
            </c:strRef>
          </c:cat>
          <c:val>
            <c:numRef>
              <c:f>Lixo!$R$20:$R$23</c:f>
              <c:numCache>
                <c:formatCode>General</c:formatCode>
                <c:ptCount val="4"/>
                <c:pt idx="0">
                  <c:v>84</c:v>
                </c:pt>
                <c:pt idx="1">
                  <c:v>75</c:v>
                </c:pt>
                <c:pt idx="2">
                  <c:v>56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17-43F3-BCC7-492E753B33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4585711"/>
        <c:axId val="1094590287"/>
      </c:barChart>
      <c:catAx>
        <c:axId val="109458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4590287"/>
        <c:crosses val="autoZero"/>
        <c:auto val="1"/>
        <c:lblAlgn val="ctr"/>
        <c:lblOffset val="100"/>
        <c:noMultiLvlLbl val="0"/>
      </c:catAx>
      <c:valAx>
        <c:axId val="1094590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458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Lixo!$G$2" fmlaRange="Lixo!$B$2:$B$13" noThreeD="1" sel="11" val="4"/>
</file>

<file path=xl/ctrlProps/ctrlProp2.xml><?xml version="1.0" encoding="utf-8"?>
<formControlPr xmlns="http://schemas.microsoft.com/office/spreadsheetml/2009/9/main" objectType="List" dx="22" fmlaLink="Lixo!$R$2" fmlaRange="Lixo!$N$2:$N$5" noThreeD="1" sel="2" val="0"/>
</file>

<file path=xl/ctrlProps/ctrlProp3.xml><?xml version="1.0" encoding="utf-8"?>
<formControlPr xmlns="http://schemas.microsoft.com/office/spreadsheetml/2009/9/main" objectType="Drop" dropStyle="combo" dx="16" fmlaLink="Lixo!$Z$8" fmlaRange="Lixo!$Z$2:$Z$5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4</xdr:row>
      <xdr:rowOff>85725</xdr:rowOff>
    </xdr:from>
    <xdr:to>
      <xdr:col>12</xdr:col>
      <xdr:colOff>228600</xdr:colOff>
      <xdr:row>17</xdr:row>
      <xdr:rowOff>104775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11</xdr:row>
      <xdr:rowOff>9525</xdr:rowOff>
    </xdr:from>
    <xdr:to>
      <xdr:col>9</xdr:col>
      <xdr:colOff>400050</xdr:colOff>
      <xdr:row>12</xdr:row>
      <xdr:rowOff>133350</xdr:rowOff>
    </xdr:to>
    <xdr:sp macro="" textlink="$O$14">
      <xdr:nvSpPr>
        <xdr:cNvPr id="4" name="Fluxograma: Processo 3"/>
        <xdr:cNvSpPr/>
      </xdr:nvSpPr>
      <xdr:spPr>
        <a:xfrm>
          <a:off x="7305675" y="2314575"/>
          <a:ext cx="742950" cy="333375"/>
        </a:xfrm>
        <a:prstGeom prst="flowChartProcess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51BCEB-FB7F-4554-A522-DE43E51E045E}" type="TxLink">
            <a:rPr lang="en-US" sz="1100" b="0" i="0" u="none" strike="noStrike">
              <a:solidFill>
                <a:schemeClr val="bg1"/>
              </a:solidFill>
              <a:latin typeface="Century Gothic"/>
            </a:rPr>
            <a:pPr algn="ctr"/>
            <a:t> R$896.621 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657224</xdr:colOff>
      <xdr:row>31</xdr:row>
      <xdr:rowOff>171450</xdr:rowOff>
    </xdr:to>
    <xdr:sp macro="" textlink="">
      <xdr:nvSpPr>
        <xdr:cNvPr id="2" name="Fluxograma: Processo 1"/>
        <xdr:cNvSpPr/>
      </xdr:nvSpPr>
      <xdr:spPr>
        <a:xfrm>
          <a:off x="0" y="0"/>
          <a:ext cx="13001624" cy="6667500"/>
        </a:xfrm>
        <a:prstGeom prst="flowChartProcess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376658</xdr:colOff>
      <xdr:row>0</xdr:row>
      <xdr:rowOff>104775</xdr:rowOff>
    </xdr:from>
    <xdr:to>
      <xdr:col>11</xdr:col>
      <xdr:colOff>537743</xdr:colOff>
      <xdr:row>1</xdr:row>
      <xdr:rowOff>180975</xdr:rowOff>
    </xdr:to>
    <xdr:sp macro="" textlink="">
      <xdr:nvSpPr>
        <xdr:cNvPr id="3" name="CaixaDeTexto 2"/>
        <xdr:cNvSpPr txBox="1"/>
      </xdr:nvSpPr>
      <xdr:spPr>
        <a:xfrm>
          <a:off x="4491458" y="104775"/>
          <a:ext cx="359008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tx1">
                  <a:lumMod val="75000"/>
                  <a:lumOff val="25000"/>
                </a:schemeClr>
              </a:solidFill>
            </a:rPr>
            <a:t>Dashboards - Comercial</a:t>
          </a:r>
        </a:p>
      </xdr:txBody>
    </xdr:sp>
    <xdr:clientData/>
  </xdr:twoCellAnchor>
  <xdr:twoCellAnchor>
    <xdr:from>
      <xdr:col>0</xdr:col>
      <xdr:colOff>295275</xdr:colOff>
      <xdr:row>2</xdr:row>
      <xdr:rowOff>0</xdr:rowOff>
    </xdr:from>
    <xdr:to>
      <xdr:col>18</xdr:col>
      <xdr:colOff>485775</xdr:colOff>
      <xdr:row>13</xdr:row>
      <xdr:rowOff>152400</xdr:rowOff>
    </xdr:to>
    <xdr:grpSp>
      <xdr:nvGrpSpPr>
        <xdr:cNvPr id="4" name="Agrupar 3"/>
        <xdr:cNvGrpSpPr/>
      </xdr:nvGrpSpPr>
      <xdr:grpSpPr>
        <a:xfrm>
          <a:off x="295275" y="419100"/>
          <a:ext cx="12534900" cy="2457450"/>
          <a:chOff x="104775" y="828675"/>
          <a:chExt cx="12687300" cy="2457450"/>
        </a:xfrm>
      </xdr:grpSpPr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104775" y="828675"/>
          <a:ext cx="12687300" cy="2457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4" name="List Box 2" hidden="1">
                <a:extLst>
                  <a:ext uri="{63B3BB69-23CF-44E3-9099-C40C66FF867C}">
                    <a14:compatExt spid="_x0000_s3074"/>
                  </a:ext>
                </a:extLst>
              </xdr:cNvPr>
              <xdr:cNvSpPr/>
            </xdr:nvSpPr>
            <xdr:spPr bwMode="auto">
              <a:xfrm>
                <a:off x="161925" y="1238249"/>
                <a:ext cx="876300" cy="19907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3" name="Drop Down 1" hidden="1">
                <a:extLst>
                  <a:ext uri="{63B3BB69-23CF-44E3-9099-C40C66FF867C}">
                    <a14:compatExt spid="_x0000_s3073"/>
                  </a:ext>
                </a:extLst>
              </xdr:cNvPr>
              <xdr:cNvSpPr/>
            </xdr:nvSpPr>
            <xdr:spPr bwMode="auto">
              <a:xfrm>
                <a:off x="161926" y="981075"/>
                <a:ext cx="895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0</xdr:col>
      <xdr:colOff>295275</xdr:colOff>
      <xdr:row>14</xdr:row>
      <xdr:rowOff>1</xdr:rowOff>
    </xdr:from>
    <xdr:to>
      <xdr:col>6</xdr:col>
      <xdr:colOff>619125</xdr:colOff>
      <xdr:row>24</xdr:row>
      <xdr:rowOff>57151</xdr:rowOff>
    </xdr:to>
    <xdr:sp macro="" textlink="">
      <xdr:nvSpPr>
        <xdr:cNvPr id="7" name="Fluxograma: Processo 6"/>
        <xdr:cNvSpPr/>
      </xdr:nvSpPr>
      <xdr:spPr>
        <a:xfrm>
          <a:off x="295275" y="2933701"/>
          <a:ext cx="4438650" cy="2152650"/>
        </a:xfrm>
        <a:prstGeom prst="flowChartProcess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14</xdr:row>
      <xdr:rowOff>57150</xdr:rowOff>
    </xdr:from>
    <xdr:to>
      <xdr:col>6</xdr:col>
      <xdr:colOff>666750</xdr:colOff>
      <xdr:row>28</xdr:row>
      <xdr:rowOff>114300</xdr:rowOff>
    </xdr:to>
    <xdr:grpSp>
      <xdr:nvGrpSpPr>
        <xdr:cNvPr id="6" name="Agrupar 5"/>
        <xdr:cNvGrpSpPr/>
      </xdr:nvGrpSpPr>
      <xdr:grpSpPr>
        <a:xfrm>
          <a:off x="0" y="2990850"/>
          <a:ext cx="4781550" cy="2990850"/>
          <a:chOff x="619125" y="2886075"/>
          <a:chExt cx="4572000" cy="2743200"/>
        </a:xfrm>
      </xdr:grpSpPr>
      <xdr:graphicFrame macro="">
        <xdr:nvGraphicFramePr>
          <xdr:cNvPr id="8" name="Gráfico 7"/>
          <xdr:cNvGraphicFramePr>
            <a:graphicFrameLocks/>
          </xdr:cNvGraphicFramePr>
        </xdr:nvGraphicFramePr>
        <xdr:xfrm>
          <a:off x="619125" y="28860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Lixo!$O$14">
        <xdr:nvSpPr>
          <xdr:cNvPr id="9" name="Fluxograma: Processo 8"/>
          <xdr:cNvSpPr/>
        </xdr:nvSpPr>
        <xdr:spPr>
          <a:xfrm>
            <a:off x="2419349" y="4219575"/>
            <a:ext cx="923925" cy="333375"/>
          </a:xfrm>
          <a:prstGeom prst="flowChartProcess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43E705E-E52B-41CB-BC6A-0509F294427A}" type="TxLink">
              <a:rPr lang="en-US" sz="1100" b="1" i="0" u="none" strike="noStrike">
                <a:solidFill>
                  <a:schemeClr val="bg1"/>
                </a:solidFill>
                <a:latin typeface="Century Gothic"/>
              </a:rPr>
              <a:t> R$896.621 </a:t>
            </a:fld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333376</xdr:colOff>
      <xdr:row>14</xdr:row>
      <xdr:rowOff>47625</xdr:rowOff>
    </xdr:from>
    <xdr:to>
      <xdr:col>2</xdr:col>
      <xdr:colOff>390526</xdr:colOff>
      <xdr:row>15</xdr:row>
      <xdr:rowOff>95250</xdr:rowOff>
    </xdr:to>
    <xdr:sp macro="" textlink="">
      <xdr:nvSpPr>
        <xdr:cNvPr id="10" name="CaixaDeTexto 9"/>
        <xdr:cNvSpPr txBox="1"/>
      </xdr:nvSpPr>
      <xdr:spPr>
        <a:xfrm>
          <a:off x="333376" y="2981325"/>
          <a:ext cx="1428750" cy="25717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>
              <a:solidFill>
                <a:schemeClr val="bg1"/>
              </a:solidFill>
            </a:rPr>
            <a:t>Como tá</a:t>
          </a:r>
          <a:r>
            <a:rPr lang="pt-BR" sz="1400" baseline="0">
              <a:solidFill>
                <a:schemeClr val="bg1"/>
              </a:solidFill>
            </a:rPr>
            <a:t> a meta?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657225</xdr:colOff>
      <xdr:row>13</xdr:row>
      <xdr:rowOff>200025</xdr:rowOff>
    </xdr:from>
    <xdr:to>
      <xdr:col>14</xdr:col>
      <xdr:colOff>352425</xdr:colOff>
      <xdr:row>24</xdr:row>
      <xdr:rowOff>66675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14</xdr:row>
          <xdr:rowOff>28575</xdr:rowOff>
        </xdr:from>
        <xdr:to>
          <xdr:col>8</xdr:col>
          <xdr:colOff>609600</xdr:colOff>
          <xdr:row>15</xdr:row>
          <xdr:rowOff>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295274</xdr:colOff>
      <xdr:row>24</xdr:row>
      <xdr:rowOff>95249</xdr:rowOff>
    </xdr:from>
    <xdr:to>
      <xdr:col>18</xdr:col>
      <xdr:colOff>457200</xdr:colOff>
      <xdr:row>31</xdr:row>
      <xdr:rowOff>114300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381001</xdr:colOff>
      <xdr:row>14</xdr:row>
      <xdr:rowOff>0</xdr:rowOff>
    </xdr:from>
    <xdr:to>
      <xdr:col>18</xdr:col>
      <xdr:colOff>495301</xdr:colOff>
      <xdr:row>16</xdr:row>
      <xdr:rowOff>142875</xdr:rowOff>
    </xdr:to>
    <xdr:sp macro="" textlink="">
      <xdr:nvSpPr>
        <xdr:cNvPr id="11" name="CaixaDeTexto 10"/>
        <xdr:cNvSpPr txBox="1"/>
      </xdr:nvSpPr>
      <xdr:spPr>
        <a:xfrm>
          <a:off x="9982201" y="2933700"/>
          <a:ext cx="285750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>
                  <a:lumMod val="50000"/>
                </a:schemeClr>
              </a:solidFill>
            </a:rPr>
            <a:t>FATURAMENTO</a:t>
          </a:r>
        </a:p>
      </xdr:txBody>
    </xdr:sp>
    <xdr:clientData/>
  </xdr:twoCellAnchor>
  <xdr:twoCellAnchor>
    <xdr:from>
      <xdr:col>14</xdr:col>
      <xdr:colOff>381001</xdr:colOff>
      <xdr:row>16</xdr:row>
      <xdr:rowOff>171450</xdr:rowOff>
    </xdr:from>
    <xdr:to>
      <xdr:col>18</xdr:col>
      <xdr:colOff>485775</xdr:colOff>
      <xdr:row>24</xdr:row>
      <xdr:rowOff>57150</xdr:rowOff>
    </xdr:to>
    <xdr:sp macro="" textlink="Lixo!O6">
      <xdr:nvSpPr>
        <xdr:cNvPr id="17" name="CaixaDeTexto 16"/>
        <xdr:cNvSpPr txBox="1"/>
      </xdr:nvSpPr>
      <xdr:spPr>
        <a:xfrm>
          <a:off x="9982201" y="3524250"/>
          <a:ext cx="2847974" cy="156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FB70DF7-204A-4F09-8596-B6D13D505D72}" type="TxLink">
            <a:rPr lang="en-US" sz="36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 R$3.515.544 </a:t>
          </a:fld>
          <a:endParaRPr lang="pt-BR" sz="36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7"/>
  <sheetViews>
    <sheetView showGridLines="0" workbookViewId="0">
      <selection activeCell="D1" sqref="D1:D1048576"/>
    </sheetView>
  </sheetViews>
  <sheetFormatPr defaultRowHeight="16.5" x14ac:dyDescent="0.3"/>
  <cols>
    <col min="1" max="1" width="10.625" bestFit="1" customWidth="1"/>
    <col min="2" max="2" width="12.25" bestFit="1" customWidth="1"/>
    <col min="3" max="3" width="11.25" bestFit="1" customWidth="1"/>
    <col min="4" max="4" width="13.75" bestFit="1" customWidth="1"/>
    <col min="6" max="6" width="10.625" bestFit="1" customWidth="1"/>
  </cols>
  <sheetData>
    <row r="1" spans="1:14" ht="17.25" thickTop="1" x14ac:dyDescent="0.3">
      <c r="A1" s="1" t="s">
        <v>0</v>
      </c>
      <c r="B1" s="1" t="s">
        <v>1</v>
      </c>
      <c r="C1" s="1" t="s">
        <v>2</v>
      </c>
      <c r="D1" s="6" t="s">
        <v>7</v>
      </c>
      <c r="E1" s="6" t="s">
        <v>12</v>
      </c>
      <c r="F1" s="8">
        <v>43466</v>
      </c>
      <c r="G1" s="9"/>
      <c r="H1" s="9"/>
      <c r="I1" s="9">
        <v>1</v>
      </c>
      <c r="J1" s="9" t="s">
        <v>3</v>
      </c>
      <c r="K1" s="9"/>
      <c r="L1" s="9"/>
      <c r="M1" s="9"/>
      <c r="N1" s="9"/>
    </row>
    <row r="2" spans="1:14" x14ac:dyDescent="0.3">
      <c r="A2" s="4">
        <f ca="1">RANDBETWEEN($F$1,$F$2)</f>
        <v>43701</v>
      </c>
      <c r="B2" s="5" t="str">
        <f ca="1">VLOOKUP(RANDBETWEEN(1,4),$I$1:$J$4,2,FALSE)</f>
        <v>João</v>
      </c>
      <c r="C2" s="7">
        <f ca="1">RANDBETWEEN(1000,5000)</f>
        <v>1957</v>
      </c>
      <c r="D2" s="5" t="str">
        <f ca="1">VLOOKUP(RANDBETWEEN($I$6,$I$9),$I$6:$J$9,2,FALSE)</f>
        <v>Finanças</v>
      </c>
      <c r="E2" s="3">
        <f ca="1">MONTH(A2)</f>
        <v>8</v>
      </c>
      <c r="F2" s="8">
        <v>43830</v>
      </c>
      <c r="G2" s="9"/>
      <c r="H2" s="9"/>
      <c r="I2" s="9">
        <v>2</v>
      </c>
      <c r="J2" s="9" t="s">
        <v>4</v>
      </c>
      <c r="K2" s="9"/>
      <c r="L2" s="9"/>
      <c r="M2" s="9"/>
      <c r="N2" s="9"/>
    </row>
    <row r="3" spans="1:14" x14ac:dyDescent="0.3">
      <c r="A3" s="4">
        <f t="shared" ref="A3:A66" ca="1" si="0">RANDBETWEEN($F$1,$F$2)</f>
        <v>43808</v>
      </c>
      <c r="B3" s="5" t="str">
        <f t="shared" ref="B3:B66" ca="1" si="1">VLOOKUP(RANDBETWEEN(1,4),$I$1:$J$4,2,FALSE)</f>
        <v>João</v>
      </c>
      <c r="C3" s="7">
        <f t="shared" ref="C3:C66" ca="1" si="2">RANDBETWEEN(1000,5000)</f>
        <v>1169</v>
      </c>
      <c r="D3" s="5" t="str">
        <f t="shared" ref="D3:D66" ca="1" si="3">VLOOKUP(RANDBETWEEN($I$6,$I$9),$I$6:$J$9,2,FALSE)</f>
        <v>Padronização</v>
      </c>
      <c r="E3" s="3">
        <f t="shared" ref="E3:E66" ca="1" si="4">MONTH(A3)</f>
        <v>12</v>
      </c>
      <c r="F3" s="9"/>
      <c r="G3" s="9"/>
      <c r="H3" s="9"/>
      <c r="I3" s="9">
        <v>3</v>
      </c>
      <c r="J3" s="9" t="s">
        <v>5</v>
      </c>
      <c r="K3" s="9"/>
      <c r="L3" s="9"/>
      <c r="M3" s="9"/>
      <c r="N3" s="9"/>
    </row>
    <row r="4" spans="1:14" x14ac:dyDescent="0.3">
      <c r="A4" s="4">
        <f t="shared" ca="1" si="0"/>
        <v>43583</v>
      </c>
      <c r="B4" s="5" t="str">
        <f t="shared" ca="1" si="1"/>
        <v>Maria</v>
      </c>
      <c r="C4" s="7">
        <f t="shared" ca="1" si="2"/>
        <v>2952</v>
      </c>
      <c r="D4" s="5" t="str">
        <f t="shared" ca="1" si="3"/>
        <v>Finanças</v>
      </c>
      <c r="E4" s="3">
        <f t="shared" ca="1" si="4"/>
        <v>4</v>
      </c>
      <c r="F4" s="9"/>
      <c r="G4" s="9"/>
      <c r="H4" s="9"/>
      <c r="I4" s="9">
        <v>4</v>
      </c>
      <c r="J4" s="9" t="s">
        <v>6</v>
      </c>
      <c r="K4" s="9"/>
      <c r="L4" s="9"/>
      <c r="M4" s="9"/>
      <c r="N4" s="9"/>
    </row>
    <row r="5" spans="1:14" x14ac:dyDescent="0.3">
      <c r="A5" s="4">
        <f t="shared" ca="1" si="0"/>
        <v>43661</v>
      </c>
      <c r="B5" s="5" t="str">
        <f t="shared" ca="1" si="1"/>
        <v>João</v>
      </c>
      <c r="C5" s="7">
        <f t="shared" ca="1" si="2"/>
        <v>3730</v>
      </c>
      <c r="D5" s="5" t="str">
        <f t="shared" ca="1" si="3"/>
        <v>Finanças</v>
      </c>
      <c r="E5" s="3">
        <f t="shared" ca="1" si="4"/>
        <v>7</v>
      </c>
      <c r="F5" s="9"/>
      <c r="G5" s="9"/>
      <c r="H5" s="9"/>
      <c r="I5" s="9"/>
      <c r="J5" s="9"/>
      <c r="K5" s="9"/>
      <c r="L5" s="9"/>
      <c r="M5" s="9"/>
      <c r="N5" s="9"/>
    </row>
    <row r="6" spans="1:14" x14ac:dyDescent="0.3">
      <c r="A6" s="4">
        <f t="shared" ca="1" si="0"/>
        <v>43664</v>
      </c>
      <c r="B6" s="5" t="str">
        <f t="shared" ca="1" si="1"/>
        <v>Maria</v>
      </c>
      <c r="C6" s="7">
        <f t="shared" ca="1" si="2"/>
        <v>3892</v>
      </c>
      <c r="D6" s="5" t="str">
        <f t="shared" ca="1" si="3"/>
        <v>5S</v>
      </c>
      <c r="E6" s="3">
        <f t="shared" ca="1" si="4"/>
        <v>7</v>
      </c>
      <c r="F6" s="9"/>
      <c r="G6" s="9"/>
      <c r="H6" s="9"/>
      <c r="I6" s="9">
        <v>6</v>
      </c>
      <c r="J6" s="9" t="s">
        <v>8</v>
      </c>
      <c r="K6" s="9"/>
      <c r="L6" s="9"/>
      <c r="M6" s="9"/>
      <c r="N6" s="9"/>
    </row>
    <row r="7" spans="1:14" x14ac:dyDescent="0.3">
      <c r="A7" s="4">
        <f t="shared" ca="1" si="0"/>
        <v>43756</v>
      </c>
      <c r="B7" s="5" t="str">
        <f t="shared" ca="1" si="1"/>
        <v>Joaquina</v>
      </c>
      <c r="C7" s="7">
        <f t="shared" ca="1" si="2"/>
        <v>1628</v>
      </c>
      <c r="D7" s="5" t="str">
        <f t="shared" ca="1" si="3"/>
        <v>Consultoria</v>
      </c>
      <c r="E7" s="3">
        <f t="shared" ca="1" si="4"/>
        <v>10</v>
      </c>
      <c r="F7" s="9"/>
      <c r="G7" s="9"/>
      <c r="H7" s="9"/>
      <c r="I7" s="9">
        <v>7</v>
      </c>
      <c r="J7" s="9" t="s">
        <v>9</v>
      </c>
      <c r="K7" s="9"/>
      <c r="L7" s="9"/>
      <c r="M7" s="9"/>
      <c r="N7" s="9"/>
    </row>
    <row r="8" spans="1:14" x14ac:dyDescent="0.3">
      <c r="A8" s="4">
        <f t="shared" ca="1" si="0"/>
        <v>43539</v>
      </c>
      <c r="B8" s="5" t="str">
        <f t="shared" ca="1" si="1"/>
        <v>Marcelo</v>
      </c>
      <c r="C8" s="7">
        <f t="shared" ca="1" si="2"/>
        <v>3530</v>
      </c>
      <c r="D8" s="5" t="str">
        <f t="shared" ca="1" si="3"/>
        <v>Padronização</v>
      </c>
      <c r="E8" s="3">
        <f t="shared" ca="1" si="4"/>
        <v>3</v>
      </c>
      <c r="F8" s="9"/>
      <c r="G8" s="9"/>
      <c r="H8" s="9"/>
      <c r="I8" s="9">
        <v>8</v>
      </c>
      <c r="J8" s="9" t="s">
        <v>10</v>
      </c>
      <c r="K8" s="9"/>
      <c r="L8" s="9"/>
      <c r="M8" s="9"/>
      <c r="N8" s="9"/>
    </row>
    <row r="9" spans="1:14" x14ac:dyDescent="0.3">
      <c r="A9" s="4">
        <f t="shared" ca="1" si="0"/>
        <v>43582</v>
      </c>
      <c r="B9" s="5" t="str">
        <f t="shared" ca="1" si="1"/>
        <v>Maria</v>
      </c>
      <c r="C9" s="7">
        <f t="shared" ca="1" si="2"/>
        <v>2242</v>
      </c>
      <c r="D9" s="5" t="str">
        <f t="shared" ca="1" si="3"/>
        <v>Finanças</v>
      </c>
      <c r="E9" s="3">
        <f t="shared" ca="1" si="4"/>
        <v>4</v>
      </c>
      <c r="F9" s="9"/>
      <c r="G9" s="9"/>
      <c r="H9" s="9"/>
      <c r="I9" s="9">
        <v>9</v>
      </c>
      <c r="J9" s="9" t="s">
        <v>11</v>
      </c>
      <c r="K9" s="9"/>
      <c r="L9" s="9"/>
      <c r="M9" s="9"/>
      <c r="N9" s="9"/>
    </row>
    <row r="10" spans="1:14" x14ac:dyDescent="0.3">
      <c r="A10" s="4">
        <f t="shared" ca="1" si="0"/>
        <v>43680</v>
      </c>
      <c r="B10" s="5" t="str">
        <f t="shared" ca="1" si="1"/>
        <v>Maria</v>
      </c>
      <c r="C10" s="7">
        <f t="shared" ca="1" si="2"/>
        <v>1576</v>
      </c>
      <c r="D10" s="5" t="str">
        <f t="shared" ca="1" si="3"/>
        <v>Consultoria</v>
      </c>
      <c r="E10" s="3">
        <f t="shared" ca="1" si="4"/>
        <v>8</v>
      </c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3">
      <c r="A11" s="4">
        <f t="shared" ca="1" si="0"/>
        <v>43766</v>
      </c>
      <c r="B11" s="5" t="str">
        <f t="shared" ca="1" si="1"/>
        <v>Maria</v>
      </c>
      <c r="C11" s="7">
        <f t="shared" ca="1" si="2"/>
        <v>2939</v>
      </c>
      <c r="D11" s="5" t="str">
        <f t="shared" ca="1" si="3"/>
        <v>Finanças</v>
      </c>
      <c r="E11" s="3">
        <f t="shared" ca="1" si="4"/>
        <v>10</v>
      </c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3">
      <c r="A12" s="4">
        <f t="shared" ca="1" si="0"/>
        <v>43606</v>
      </c>
      <c r="B12" s="5" t="str">
        <f t="shared" ca="1" si="1"/>
        <v>João</v>
      </c>
      <c r="C12" s="7">
        <f t="shared" ca="1" si="2"/>
        <v>1257</v>
      </c>
      <c r="D12" s="5" t="str">
        <f t="shared" ca="1" si="3"/>
        <v>Consultoria</v>
      </c>
      <c r="E12" s="3">
        <f t="shared" ca="1" si="4"/>
        <v>5</v>
      </c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3">
      <c r="A13" s="4">
        <f t="shared" ca="1" si="0"/>
        <v>43652</v>
      </c>
      <c r="B13" s="5" t="str">
        <f t="shared" ca="1" si="1"/>
        <v>Joaquina</v>
      </c>
      <c r="C13" s="7">
        <f t="shared" ca="1" si="2"/>
        <v>4448</v>
      </c>
      <c r="D13" s="5" t="str">
        <f t="shared" ca="1" si="3"/>
        <v>Finanças</v>
      </c>
      <c r="E13" s="3">
        <f t="shared" ca="1" si="4"/>
        <v>7</v>
      </c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3">
      <c r="A14" s="4">
        <f t="shared" ca="1" si="0"/>
        <v>43488</v>
      </c>
      <c r="B14" s="5" t="str">
        <f t="shared" ca="1" si="1"/>
        <v>Marcelo</v>
      </c>
      <c r="C14" s="7">
        <f t="shared" ca="1" si="2"/>
        <v>3786</v>
      </c>
      <c r="D14" s="5" t="str">
        <f t="shared" ca="1" si="3"/>
        <v>Consultoria</v>
      </c>
      <c r="E14" s="3">
        <f t="shared" ca="1" si="4"/>
        <v>1</v>
      </c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3">
      <c r="A15" s="4">
        <f t="shared" ca="1" si="0"/>
        <v>43592</v>
      </c>
      <c r="B15" s="5" t="str">
        <f t="shared" ca="1" si="1"/>
        <v>João</v>
      </c>
      <c r="C15" s="7">
        <f t="shared" ca="1" si="2"/>
        <v>4922</v>
      </c>
      <c r="D15" s="5" t="str">
        <f t="shared" ca="1" si="3"/>
        <v>5S</v>
      </c>
      <c r="E15" s="3">
        <f t="shared" ca="1" si="4"/>
        <v>5</v>
      </c>
    </row>
    <row r="16" spans="1:14" x14ac:dyDescent="0.3">
      <c r="A16" s="4">
        <f t="shared" ca="1" si="0"/>
        <v>43750</v>
      </c>
      <c r="B16" s="5" t="str">
        <f t="shared" ca="1" si="1"/>
        <v>Marcelo</v>
      </c>
      <c r="C16" s="7">
        <f t="shared" ca="1" si="2"/>
        <v>4464</v>
      </c>
      <c r="D16" s="5" t="str">
        <f t="shared" ca="1" si="3"/>
        <v>Padronização</v>
      </c>
      <c r="E16" s="3">
        <f t="shared" ca="1" si="4"/>
        <v>10</v>
      </c>
    </row>
    <row r="17" spans="1:5" x14ac:dyDescent="0.3">
      <c r="A17" s="4">
        <f t="shared" ca="1" si="0"/>
        <v>43655</v>
      </c>
      <c r="B17" s="5" t="str">
        <f t="shared" ca="1" si="1"/>
        <v>João</v>
      </c>
      <c r="C17" s="7">
        <f t="shared" ca="1" si="2"/>
        <v>2698</v>
      </c>
      <c r="D17" s="5" t="str">
        <f t="shared" ca="1" si="3"/>
        <v>Finanças</v>
      </c>
      <c r="E17" s="3">
        <f t="shared" ca="1" si="4"/>
        <v>7</v>
      </c>
    </row>
    <row r="18" spans="1:5" x14ac:dyDescent="0.3">
      <c r="A18" s="4">
        <f t="shared" ca="1" si="0"/>
        <v>43641</v>
      </c>
      <c r="B18" s="5" t="str">
        <f t="shared" ca="1" si="1"/>
        <v>João</v>
      </c>
      <c r="C18" s="7">
        <f t="shared" ca="1" si="2"/>
        <v>1062</v>
      </c>
      <c r="D18" s="5" t="str">
        <f t="shared" ca="1" si="3"/>
        <v>Padronização</v>
      </c>
      <c r="E18" s="3">
        <f t="shared" ca="1" si="4"/>
        <v>6</v>
      </c>
    </row>
    <row r="19" spans="1:5" x14ac:dyDescent="0.3">
      <c r="A19" s="4">
        <f t="shared" ca="1" si="0"/>
        <v>43571</v>
      </c>
      <c r="B19" s="5" t="str">
        <f t="shared" ca="1" si="1"/>
        <v>João</v>
      </c>
      <c r="C19" s="7">
        <f t="shared" ca="1" si="2"/>
        <v>4749</v>
      </c>
      <c r="D19" s="5" t="str">
        <f t="shared" ca="1" si="3"/>
        <v>5S</v>
      </c>
      <c r="E19" s="3">
        <f t="shared" ca="1" si="4"/>
        <v>4</v>
      </c>
    </row>
    <row r="20" spans="1:5" x14ac:dyDescent="0.3">
      <c r="A20" s="4">
        <f t="shared" ca="1" si="0"/>
        <v>43706</v>
      </c>
      <c r="B20" s="5" t="str">
        <f t="shared" ca="1" si="1"/>
        <v>Maria</v>
      </c>
      <c r="C20" s="7">
        <f t="shared" ca="1" si="2"/>
        <v>2873</v>
      </c>
      <c r="D20" s="5" t="str">
        <f t="shared" ca="1" si="3"/>
        <v>5S</v>
      </c>
      <c r="E20" s="3">
        <f t="shared" ca="1" si="4"/>
        <v>8</v>
      </c>
    </row>
    <row r="21" spans="1:5" x14ac:dyDescent="0.3">
      <c r="A21" s="4">
        <f t="shared" ca="1" si="0"/>
        <v>43777</v>
      </c>
      <c r="B21" s="5" t="str">
        <f t="shared" ca="1" si="1"/>
        <v>Maria</v>
      </c>
      <c r="C21" s="7">
        <f t="shared" ca="1" si="2"/>
        <v>4040</v>
      </c>
      <c r="D21" s="5" t="str">
        <f t="shared" ca="1" si="3"/>
        <v>Padronização</v>
      </c>
      <c r="E21" s="3">
        <f t="shared" ca="1" si="4"/>
        <v>11</v>
      </c>
    </row>
    <row r="22" spans="1:5" x14ac:dyDescent="0.3">
      <c r="A22" s="4">
        <f t="shared" ca="1" si="0"/>
        <v>43598</v>
      </c>
      <c r="B22" s="5" t="str">
        <f t="shared" ca="1" si="1"/>
        <v>Marcelo</v>
      </c>
      <c r="C22" s="7">
        <f t="shared" ca="1" si="2"/>
        <v>1897</v>
      </c>
      <c r="D22" s="5" t="str">
        <f t="shared" ca="1" si="3"/>
        <v>Padronização</v>
      </c>
      <c r="E22" s="3">
        <f t="shared" ca="1" si="4"/>
        <v>5</v>
      </c>
    </row>
    <row r="23" spans="1:5" x14ac:dyDescent="0.3">
      <c r="A23" s="4">
        <f t="shared" ca="1" si="0"/>
        <v>43521</v>
      </c>
      <c r="B23" s="5" t="str">
        <f t="shared" ca="1" si="1"/>
        <v>Maria</v>
      </c>
      <c r="C23" s="7">
        <f t="shared" ca="1" si="2"/>
        <v>2268</v>
      </c>
      <c r="D23" s="5" t="str">
        <f t="shared" ca="1" si="3"/>
        <v>Consultoria</v>
      </c>
      <c r="E23" s="3">
        <f t="shared" ca="1" si="4"/>
        <v>2</v>
      </c>
    </row>
    <row r="24" spans="1:5" x14ac:dyDescent="0.3">
      <c r="A24" s="4">
        <f t="shared" ca="1" si="0"/>
        <v>43571</v>
      </c>
      <c r="B24" s="5" t="str">
        <f t="shared" ca="1" si="1"/>
        <v>Marcelo</v>
      </c>
      <c r="C24" s="7">
        <f t="shared" ca="1" si="2"/>
        <v>3762</v>
      </c>
      <c r="D24" s="5" t="str">
        <f t="shared" ca="1" si="3"/>
        <v>5S</v>
      </c>
      <c r="E24" s="3">
        <f t="shared" ca="1" si="4"/>
        <v>4</v>
      </c>
    </row>
    <row r="25" spans="1:5" x14ac:dyDescent="0.3">
      <c r="A25" s="4">
        <f t="shared" ca="1" si="0"/>
        <v>43518</v>
      </c>
      <c r="B25" s="5" t="str">
        <f t="shared" ca="1" si="1"/>
        <v>Maria</v>
      </c>
      <c r="C25" s="7">
        <f t="shared" ca="1" si="2"/>
        <v>1369</v>
      </c>
      <c r="D25" s="5" t="str">
        <f t="shared" ca="1" si="3"/>
        <v>Consultoria</v>
      </c>
      <c r="E25" s="3">
        <f t="shared" ca="1" si="4"/>
        <v>2</v>
      </c>
    </row>
    <row r="26" spans="1:5" x14ac:dyDescent="0.3">
      <c r="A26" s="4">
        <f t="shared" ca="1" si="0"/>
        <v>43625</v>
      </c>
      <c r="B26" s="5" t="str">
        <f t="shared" ca="1" si="1"/>
        <v>Maria</v>
      </c>
      <c r="C26" s="7">
        <f t="shared" ca="1" si="2"/>
        <v>4288</v>
      </c>
      <c r="D26" s="5" t="str">
        <f t="shared" ca="1" si="3"/>
        <v>5S</v>
      </c>
      <c r="E26" s="3">
        <f t="shared" ca="1" si="4"/>
        <v>6</v>
      </c>
    </row>
    <row r="27" spans="1:5" x14ac:dyDescent="0.3">
      <c r="A27" s="4">
        <f t="shared" ca="1" si="0"/>
        <v>43760</v>
      </c>
      <c r="B27" s="5" t="str">
        <f t="shared" ca="1" si="1"/>
        <v>João</v>
      </c>
      <c r="C27" s="7">
        <f t="shared" ca="1" si="2"/>
        <v>3786</v>
      </c>
      <c r="D27" s="5" t="str">
        <f t="shared" ca="1" si="3"/>
        <v>Finanças</v>
      </c>
      <c r="E27" s="3">
        <f t="shared" ca="1" si="4"/>
        <v>10</v>
      </c>
    </row>
    <row r="28" spans="1:5" x14ac:dyDescent="0.3">
      <c r="A28" s="4">
        <f t="shared" ca="1" si="0"/>
        <v>43827</v>
      </c>
      <c r="B28" s="5" t="str">
        <f t="shared" ca="1" si="1"/>
        <v>Maria</v>
      </c>
      <c r="C28" s="7">
        <f t="shared" ca="1" si="2"/>
        <v>1198</v>
      </c>
      <c r="D28" s="5" t="str">
        <f t="shared" ca="1" si="3"/>
        <v>Consultoria</v>
      </c>
      <c r="E28" s="3">
        <f t="shared" ca="1" si="4"/>
        <v>12</v>
      </c>
    </row>
    <row r="29" spans="1:5" x14ac:dyDescent="0.3">
      <c r="A29" s="4">
        <f t="shared" ca="1" si="0"/>
        <v>43506</v>
      </c>
      <c r="B29" s="5" t="str">
        <f t="shared" ca="1" si="1"/>
        <v>Maria</v>
      </c>
      <c r="C29" s="7">
        <f t="shared" ca="1" si="2"/>
        <v>1714</v>
      </c>
      <c r="D29" s="5" t="str">
        <f t="shared" ca="1" si="3"/>
        <v>5S</v>
      </c>
      <c r="E29" s="3">
        <f t="shared" ca="1" si="4"/>
        <v>2</v>
      </c>
    </row>
    <row r="30" spans="1:5" x14ac:dyDescent="0.3">
      <c r="A30" s="4">
        <f t="shared" ca="1" si="0"/>
        <v>43764</v>
      </c>
      <c r="B30" s="5" t="str">
        <f t="shared" ca="1" si="1"/>
        <v>João</v>
      </c>
      <c r="C30" s="7">
        <f t="shared" ca="1" si="2"/>
        <v>4109</v>
      </c>
      <c r="D30" s="5" t="str">
        <f t="shared" ca="1" si="3"/>
        <v>5S</v>
      </c>
      <c r="E30" s="3">
        <f t="shared" ca="1" si="4"/>
        <v>10</v>
      </c>
    </row>
    <row r="31" spans="1:5" x14ac:dyDescent="0.3">
      <c r="A31" s="4">
        <f t="shared" ca="1" si="0"/>
        <v>43755</v>
      </c>
      <c r="B31" s="5" t="str">
        <f t="shared" ca="1" si="1"/>
        <v>Maria</v>
      </c>
      <c r="C31" s="7">
        <f t="shared" ca="1" si="2"/>
        <v>2190</v>
      </c>
      <c r="D31" s="5" t="str">
        <f t="shared" ca="1" si="3"/>
        <v>Finanças</v>
      </c>
      <c r="E31" s="3">
        <f t="shared" ca="1" si="4"/>
        <v>10</v>
      </c>
    </row>
    <row r="32" spans="1:5" x14ac:dyDescent="0.3">
      <c r="A32" s="4">
        <f t="shared" ca="1" si="0"/>
        <v>43770</v>
      </c>
      <c r="B32" s="5" t="str">
        <f t="shared" ca="1" si="1"/>
        <v>Maria</v>
      </c>
      <c r="C32" s="7">
        <f t="shared" ca="1" si="2"/>
        <v>2503</v>
      </c>
      <c r="D32" s="5" t="str">
        <f t="shared" ca="1" si="3"/>
        <v>Padronização</v>
      </c>
      <c r="E32" s="3">
        <f t="shared" ca="1" si="4"/>
        <v>11</v>
      </c>
    </row>
    <row r="33" spans="1:5" x14ac:dyDescent="0.3">
      <c r="A33" s="4">
        <f t="shared" ca="1" si="0"/>
        <v>43644</v>
      </c>
      <c r="B33" s="5" t="str">
        <f t="shared" ca="1" si="1"/>
        <v>João</v>
      </c>
      <c r="C33" s="7">
        <f t="shared" ca="1" si="2"/>
        <v>2901</v>
      </c>
      <c r="D33" s="5" t="str">
        <f t="shared" ca="1" si="3"/>
        <v>Consultoria</v>
      </c>
      <c r="E33" s="3">
        <f t="shared" ca="1" si="4"/>
        <v>6</v>
      </c>
    </row>
    <row r="34" spans="1:5" x14ac:dyDescent="0.3">
      <c r="A34" s="4">
        <f t="shared" ca="1" si="0"/>
        <v>43600</v>
      </c>
      <c r="B34" s="5" t="str">
        <f t="shared" ca="1" si="1"/>
        <v>João</v>
      </c>
      <c r="C34" s="7">
        <f t="shared" ca="1" si="2"/>
        <v>3056</v>
      </c>
      <c r="D34" s="5" t="str">
        <f t="shared" ca="1" si="3"/>
        <v>Consultoria</v>
      </c>
      <c r="E34" s="3">
        <f t="shared" ca="1" si="4"/>
        <v>5</v>
      </c>
    </row>
    <row r="35" spans="1:5" x14ac:dyDescent="0.3">
      <c r="A35" s="4">
        <f t="shared" ca="1" si="0"/>
        <v>43605</v>
      </c>
      <c r="B35" s="5" t="str">
        <f t="shared" ca="1" si="1"/>
        <v>João</v>
      </c>
      <c r="C35" s="7">
        <f t="shared" ca="1" si="2"/>
        <v>3275</v>
      </c>
      <c r="D35" s="5" t="str">
        <f t="shared" ca="1" si="3"/>
        <v>Finanças</v>
      </c>
      <c r="E35" s="3">
        <f t="shared" ca="1" si="4"/>
        <v>5</v>
      </c>
    </row>
    <row r="36" spans="1:5" x14ac:dyDescent="0.3">
      <c r="A36" s="4">
        <f t="shared" ca="1" si="0"/>
        <v>43760</v>
      </c>
      <c r="B36" s="5" t="str">
        <f t="shared" ca="1" si="1"/>
        <v>Maria</v>
      </c>
      <c r="C36" s="7">
        <f t="shared" ca="1" si="2"/>
        <v>4535</v>
      </c>
      <c r="D36" s="5" t="str">
        <f t="shared" ca="1" si="3"/>
        <v>Padronização</v>
      </c>
      <c r="E36" s="3">
        <f t="shared" ca="1" si="4"/>
        <v>10</v>
      </c>
    </row>
    <row r="37" spans="1:5" x14ac:dyDescent="0.3">
      <c r="A37" s="4">
        <f t="shared" ca="1" si="0"/>
        <v>43598</v>
      </c>
      <c r="B37" s="5" t="str">
        <f t="shared" ca="1" si="1"/>
        <v>João</v>
      </c>
      <c r="C37" s="7">
        <f t="shared" ca="1" si="2"/>
        <v>3223</v>
      </c>
      <c r="D37" s="5" t="str">
        <f t="shared" ca="1" si="3"/>
        <v>5S</v>
      </c>
      <c r="E37" s="3">
        <f t="shared" ca="1" si="4"/>
        <v>5</v>
      </c>
    </row>
    <row r="38" spans="1:5" x14ac:dyDescent="0.3">
      <c r="A38" s="4">
        <f t="shared" ca="1" si="0"/>
        <v>43493</v>
      </c>
      <c r="B38" s="5" t="str">
        <f t="shared" ca="1" si="1"/>
        <v>Maria</v>
      </c>
      <c r="C38" s="7">
        <f t="shared" ca="1" si="2"/>
        <v>2173</v>
      </c>
      <c r="D38" s="5" t="str">
        <f t="shared" ca="1" si="3"/>
        <v>5S</v>
      </c>
      <c r="E38" s="3">
        <f t="shared" ca="1" si="4"/>
        <v>1</v>
      </c>
    </row>
    <row r="39" spans="1:5" x14ac:dyDescent="0.3">
      <c r="A39" s="4">
        <f t="shared" ca="1" si="0"/>
        <v>43630</v>
      </c>
      <c r="B39" s="5" t="str">
        <f t="shared" ca="1" si="1"/>
        <v>Maria</v>
      </c>
      <c r="C39" s="7">
        <f t="shared" ca="1" si="2"/>
        <v>2053</v>
      </c>
      <c r="D39" s="5" t="str">
        <f t="shared" ca="1" si="3"/>
        <v>5S</v>
      </c>
      <c r="E39" s="3">
        <f t="shared" ca="1" si="4"/>
        <v>6</v>
      </c>
    </row>
    <row r="40" spans="1:5" x14ac:dyDescent="0.3">
      <c r="A40" s="4">
        <f t="shared" ca="1" si="0"/>
        <v>43744</v>
      </c>
      <c r="B40" s="5" t="str">
        <f t="shared" ca="1" si="1"/>
        <v>João</v>
      </c>
      <c r="C40" s="7">
        <f t="shared" ca="1" si="2"/>
        <v>1662</v>
      </c>
      <c r="D40" s="5" t="str">
        <f t="shared" ca="1" si="3"/>
        <v>Consultoria</v>
      </c>
      <c r="E40" s="3">
        <f t="shared" ca="1" si="4"/>
        <v>10</v>
      </c>
    </row>
    <row r="41" spans="1:5" x14ac:dyDescent="0.3">
      <c r="A41" s="4">
        <f t="shared" ca="1" si="0"/>
        <v>43788</v>
      </c>
      <c r="B41" s="5" t="str">
        <f t="shared" ca="1" si="1"/>
        <v>Maria</v>
      </c>
      <c r="C41" s="7">
        <f t="shared" ca="1" si="2"/>
        <v>3379</v>
      </c>
      <c r="D41" s="5" t="str">
        <f t="shared" ca="1" si="3"/>
        <v>Consultoria</v>
      </c>
      <c r="E41" s="3">
        <f t="shared" ca="1" si="4"/>
        <v>11</v>
      </c>
    </row>
    <row r="42" spans="1:5" x14ac:dyDescent="0.3">
      <c r="A42" s="4">
        <f t="shared" ca="1" si="0"/>
        <v>43625</v>
      </c>
      <c r="B42" s="5" t="str">
        <f t="shared" ca="1" si="1"/>
        <v>Marcelo</v>
      </c>
      <c r="C42" s="7">
        <f t="shared" ca="1" si="2"/>
        <v>4230</v>
      </c>
      <c r="D42" s="5" t="str">
        <f t="shared" ca="1" si="3"/>
        <v>Padronização</v>
      </c>
      <c r="E42" s="3">
        <f t="shared" ca="1" si="4"/>
        <v>6</v>
      </c>
    </row>
    <row r="43" spans="1:5" x14ac:dyDescent="0.3">
      <c r="A43" s="4">
        <f t="shared" ca="1" si="0"/>
        <v>43512</v>
      </c>
      <c r="B43" s="5" t="str">
        <f t="shared" ca="1" si="1"/>
        <v>Maria</v>
      </c>
      <c r="C43" s="7">
        <f t="shared" ca="1" si="2"/>
        <v>2880</v>
      </c>
      <c r="D43" s="5" t="str">
        <f t="shared" ca="1" si="3"/>
        <v>Consultoria</v>
      </c>
      <c r="E43" s="3">
        <f t="shared" ca="1" si="4"/>
        <v>2</v>
      </c>
    </row>
    <row r="44" spans="1:5" x14ac:dyDescent="0.3">
      <c r="A44" s="4">
        <f t="shared" ca="1" si="0"/>
        <v>43565</v>
      </c>
      <c r="B44" s="5" t="str">
        <f t="shared" ca="1" si="1"/>
        <v>Joaquina</v>
      </c>
      <c r="C44" s="7">
        <f t="shared" ca="1" si="2"/>
        <v>4321</v>
      </c>
      <c r="D44" s="5" t="str">
        <f t="shared" ca="1" si="3"/>
        <v>5S</v>
      </c>
      <c r="E44" s="3">
        <f t="shared" ca="1" si="4"/>
        <v>4</v>
      </c>
    </row>
    <row r="45" spans="1:5" x14ac:dyDescent="0.3">
      <c r="A45" s="4">
        <f t="shared" ca="1" si="0"/>
        <v>43722</v>
      </c>
      <c r="B45" s="5" t="str">
        <f t="shared" ca="1" si="1"/>
        <v>Marcelo</v>
      </c>
      <c r="C45" s="7">
        <f t="shared" ca="1" si="2"/>
        <v>2918</v>
      </c>
      <c r="D45" s="5" t="str">
        <f t="shared" ca="1" si="3"/>
        <v>Consultoria</v>
      </c>
      <c r="E45" s="3">
        <f t="shared" ca="1" si="4"/>
        <v>9</v>
      </c>
    </row>
    <row r="46" spans="1:5" x14ac:dyDescent="0.3">
      <c r="A46" s="4">
        <f t="shared" ca="1" si="0"/>
        <v>43619</v>
      </c>
      <c r="B46" s="5" t="str">
        <f t="shared" ca="1" si="1"/>
        <v>Maria</v>
      </c>
      <c r="C46" s="7">
        <f t="shared" ca="1" si="2"/>
        <v>3803</v>
      </c>
      <c r="D46" s="5" t="str">
        <f t="shared" ca="1" si="3"/>
        <v>Finanças</v>
      </c>
      <c r="E46" s="3">
        <f t="shared" ca="1" si="4"/>
        <v>6</v>
      </c>
    </row>
    <row r="47" spans="1:5" x14ac:dyDescent="0.3">
      <c r="A47" s="4">
        <f t="shared" ca="1" si="0"/>
        <v>43681</v>
      </c>
      <c r="B47" s="5" t="str">
        <f t="shared" ca="1" si="1"/>
        <v>Maria</v>
      </c>
      <c r="C47" s="7">
        <f t="shared" ca="1" si="2"/>
        <v>4035</v>
      </c>
      <c r="D47" s="5" t="str">
        <f t="shared" ca="1" si="3"/>
        <v>Consultoria</v>
      </c>
      <c r="E47" s="3">
        <f t="shared" ca="1" si="4"/>
        <v>8</v>
      </c>
    </row>
    <row r="48" spans="1:5" x14ac:dyDescent="0.3">
      <c r="A48" s="4">
        <f t="shared" ca="1" si="0"/>
        <v>43576</v>
      </c>
      <c r="B48" s="5" t="str">
        <f t="shared" ca="1" si="1"/>
        <v>Maria</v>
      </c>
      <c r="C48" s="7">
        <f t="shared" ca="1" si="2"/>
        <v>4061</v>
      </c>
      <c r="D48" s="5" t="str">
        <f t="shared" ca="1" si="3"/>
        <v>Padronização</v>
      </c>
      <c r="E48" s="3">
        <f t="shared" ca="1" si="4"/>
        <v>4</v>
      </c>
    </row>
    <row r="49" spans="1:5" x14ac:dyDescent="0.3">
      <c r="A49" s="4">
        <f t="shared" ca="1" si="0"/>
        <v>43794</v>
      </c>
      <c r="B49" s="5" t="str">
        <f t="shared" ca="1" si="1"/>
        <v>Maria</v>
      </c>
      <c r="C49" s="7">
        <f t="shared" ca="1" si="2"/>
        <v>4779</v>
      </c>
      <c r="D49" s="5" t="str">
        <f t="shared" ca="1" si="3"/>
        <v>5S</v>
      </c>
      <c r="E49" s="3">
        <f t="shared" ca="1" si="4"/>
        <v>11</v>
      </c>
    </row>
    <row r="50" spans="1:5" x14ac:dyDescent="0.3">
      <c r="A50" s="4">
        <f t="shared" ca="1" si="0"/>
        <v>43659</v>
      </c>
      <c r="B50" s="5" t="str">
        <f t="shared" ca="1" si="1"/>
        <v>João</v>
      </c>
      <c r="C50" s="7">
        <f t="shared" ca="1" si="2"/>
        <v>3676</v>
      </c>
      <c r="D50" s="5" t="str">
        <f t="shared" ca="1" si="3"/>
        <v>Padronização</v>
      </c>
      <c r="E50" s="3">
        <f t="shared" ca="1" si="4"/>
        <v>7</v>
      </c>
    </row>
    <row r="51" spans="1:5" x14ac:dyDescent="0.3">
      <c r="A51" s="4">
        <f t="shared" ca="1" si="0"/>
        <v>43667</v>
      </c>
      <c r="B51" s="5" t="str">
        <f t="shared" ca="1" si="1"/>
        <v>Marcelo</v>
      </c>
      <c r="C51" s="7">
        <f t="shared" ca="1" si="2"/>
        <v>4304</v>
      </c>
      <c r="D51" s="5" t="str">
        <f t="shared" ca="1" si="3"/>
        <v>5S</v>
      </c>
      <c r="E51" s="3">
        <f t="shared" ca="1" si="4"/>
        <v>7</v>
      </c>
    </row>
    <row r="52" spans="1:5" x14ac:dyDescent="0.3">
      <c r="A52" s="4">
        <f t="shared" ca="1" si="0"/>
        <v>43691</v>
      </c>
      <c r="B52" s="5" t="str">
        <f t="shared" ca="1" si="1"/>
        <v>Joaquina</v>
      </c>
      <c r="C52" s="7">
        <f t="shared" ca="1" si="2"/>
        <v>3338</v>
      </c>
      <c r="D52" s="5" t="str">
        <f t="shared" ca="1" si="3"/>
        <v>Consultoria</v>
      </c>
      <c r="E52" s="3">
        <f t="shared" ca="1" si="4"/>
        <v>8</v>
      </c>
    </row>
    <row r="53" spans="1:5" x14ac:dyDescent="0.3">
      <c r="A53" s="4">
        <f t="shared" ca="1" si="0"/>
        <v>43613</v>
      </c>
      <c r="B53" s="5" t="str">
        <f t="shared" ca="1" si="1"/>
        <v>Joaquina</v>
      </c>
      <c r="C53" s="7">
        <f t="shared" ca="1" si="2"/>
        <v>4114</v>
      </c>
      <c r="D53" s="5" t="str">
        <f t="shared" ca="1" si="3"/>
        <v>5S</v>
      </c>
      <c r="E53" s="3">
        <f t="shared" ca="1" si="4"/>
        <v>5</v>
      </c>
    </row>
    <row r="54" spans="1:5" x14ac:dyDescent="0.3">
      <c r="A54" s="4">
        <f t="shared" ca="1" si="0"/>
        <v>43609</v>
      </c>
      <c r="B54" s="5" t="str">
        <f t="shared" ca="1" si="1"/>
        <v>Maria</v>
      </c>
      <c r="C54" s="7">
        <f t="shared" ca="1" si="2"/>
        <v>3183</v>
      </c>
      <c r="D54" s="5" t="str">
        <f t="shared" ca="1" si="3"/>
        <v>Finanças</v>
      </c>
      <c r="E54" s="3">
        <f t="shared" ca="1" si="4"/>
        <v>5</v>
      </c>
    </row>
    <row r="55" spans="1:5" x14ac:dyDescent="0.3">
      <c r="A55" s="4">
        <f t="shared" ca="1" si="0"/>
        <v>43730</v>
      </c>
      <c r="B55" s="5" t="str">
        <f t="shared" ca="1" si="1"/>
        <v>Joaquina</v>
      </c>
      <c r="C55" s="7">
        <f t="shared" ca="1" si="2"/>
        <v>2507</v>
      </c>
      <c r="D55" s="5" t="str">
        <f t="shared" ca="1" si="3"/>
        <v>Padronização</v>
      </c>
      <c r="E55" s="3">
        <f t="shared" ca="1" si="4"/>
        <v>9</v>
      </c>
    </row>
    <row r="56" spans="1:5" x14ac:dyDescent="0.3">
      <c r="A56" s="4">
        <f t="shared" ca="1" si="0"/>
        <v>43680</v>
      </c>
      <c r="B56" s="5" t="str">
        <f t="shared" ca="1" si="1"/>
        <v>João</v>
      </c>
      <c r="C56" s="7">
        <f t="shared" ca="1" si="2"/>
        <v>3199</v>
      </c>
      <c r="D56" s="5" t="str">
        <f t="shared" ca="1" si="3"/>
        <v>Padronização</v>
      </c>
      <c r="E56" s="3">
        <f t="shared" ca="1" si="4"/>
        <v>8</v>
      </c>
    </row>
    <row r="57" spans="1:5" x14ac:dyDescent="0.3">
      <c r="A57" s="4">
        <f t="shared" ca="1" si="0"/>
        <v>43728</v>
      </c>
      <c r="B57" s="5" t="str">
        <f t="shared" ca="1" si="1"/>
        <v>Joaquina</v>
      </c>
      <c r="C57" s="7">
        <f t="shared" ca="1" si="2"/>
        <v>4178</v>
      </c>
      <c r="D57" s="5" t="str">
        <f t="shared" ca="1" si="3"/>
        <v>Padronização</v>
      </c>
      <c r="E57" s="3">
        <f t="shared" ca="1" si="4"/>
        <v>9</v>
      </c>
    </row>
    <row r="58" spans="1:5" x14ac:dyDescent="0.3">
      <c r="A58" s="4">
        <f t="shared" ca="1" si="0"/>
        <v>43696</v>
      </c>
      <c r="B58" s="5" t="str">
        <f t="shared" ca="1" si="1"/>
        <v>João</v>
      </c>
      <c r="C58" s="7">
        <f t="shared" ca="1" si="2"/>
        <v>1563</v>
      </c>
      <c r="D58" s="5" t="str">
        <f t="shared" ca="1" si="3"/>
        <v>Padronização</v>
      </c>
      <c r="E58" s="3">
        <f t="shared" ca="1" si="4"/>
        <v>8</v>
      </c>
    </row>
    <row r="59" spans="1:5" x14ac:dyDescent="0.3">
      <c r="A59" s="4">
        <f t="shared" ca="1" si="0"/>
        <v>43654</v>
      </c>
      <c r="B59" s="5" t="str">
        <f t="shared" ca="1" si="1"/>
        <v>Joaquina</v>
      </c>
      <c r="C59" s="7">
        <f t="shared" ca="1" si="2"/>
        <v>3532</v>
      </c>
      <c r="D59" s="5" t="str">
        <f t="shared" ca="1" si="3"/>
        <v>Padronização</v>
      </c>
      <c r="E59" s="3">
        <f t="shared" ca="1" si="4"/>
        <v>7</v>
      </c>
    </row>
    <row r="60" spans="1:5" x14ac:dyDescent="0.3">
      <c r="A60" s="4">
        <f t="shared" ca="1" si="0"/>
        <v>43630</v>
      </c>
      <c r="B60" s="5" t="str">
        <f t="shared" ca="1" si="1"/>
        <v>João</v>
      </c>
      <c r="C60" s="7">
        <f t="shared" ca="1" si="2"/>
        <v>4628</v>
      </c>
      <c r="D60" s="5" t="str">
        <f t="shared" ca="1" si="3"/>
        <v>Consultoria</v>
      </c>
      <c r="E60" s="3">
        <f t="shared" ca="1" si="4"/>
        <v>6</v>
      </c>
    </row>
    <row r="61" spans="1:5" x14ac:dyDescent="0.3">
      <c r="A61" s="4">
        <f t="shared" ca="1" si="0"/>
        <v>43533</v>
      </c>
      <c r="B61" s="5" t="str">
        <f t="shared" ca="1" si="1"/>
        <v>Marcelo</v>
      </c>
      <c r="C61" s="7">
        <f t="shared" ca="1" si="2"/>
        <v>2507</v>
      </c>
      <c r="D61" s="5" t="str">
        <f t="shared" ca="1" si="3"/>
        <v>Padronização</v>
      </c>
      <c r="E61" s="3">
        <f t="shared" ca="1" si="4"/>
        <v>3</v>
      </c>
    </row>
    <row r="62" spans="1:5" x14ac:dyDescent="0.3">
      <c r="A62" s="4">
        <f t="shared" ca="1" si="0"/>
        <v>43756</v>
      </c>
      <c r="B62" s="5" t="str">
        <f t="shared" ca="1" si="1"/>
        <v>Joaquina</v>
      </c>
      <c r="C62" s="7">
        <f t="shared" ca="1" si="2"/>
        <v>4062</v>
      </c>
      <c r="D62" s="5" t="str">
        <f t="shared" ca="1" si="3"/>
        <v>5S</v>
      </c>
      <c r="E62" s="3">
        <f t="shared" ca="1" si="4"/>
        <v>10</v>
      </c>
    </row>
    <row r="63" spans="1:5" x14ac:dyDescent="0.3">
      <c r="A63" s="4">
        <f t="shared" ca="1" si="0"/>
        <v>43606</v>
      </c>
      <c r="B63" s="5" t="str">
        <f t="shared" ca="1" si="1"/>
        <v>João</v>
      </c>
      <c r="C63" s="7">
        <f t="shared" ca="1" si="2"/>
        <v>1178</v>
      </c>
      <c r="D63" s="5" t="str">
        <f t="shared" ca="1" si="3"/>
        <v>Consultoria</v>
      </c>
      <c r="E63" s="3">
        <f t="shared" ca="1" si="4"/>
        <v>5</v>
      </c>
    </row>
    <row r="64" spans="1:5" x14ac:dyDescent="0.3">
      <c r="A64" s="4">
        <f t="shared" ca="1" si="0"/>
        <v>43483</v>
      </c>
      <c r="B64" s="5" t="str">
        <f t="shared" ca="1" si="1"/>
        <v>João</v>
      </c>
      <c r="C64" s="7">
        <f t="shared" ca="1" si="2"/>
        <v>4883</v>
      </c>
      <c r="D64" s="5" t="str">
        <f t="shared" ca="1" si="3"/>
        <v>Padronização</v>
      </c>
      <c r="E64" s="3">
        <f t="shared" ca="1" si="4"/>
        <v>1</v>
      </c>
    </row>
    <row r="65" spans="1:5" x14ac:dyDescent="0.3">
      <c r="A65" s="4">
        <f t="shared" ca="1" si="0"/>
        <v>43748</v>
      </c>
      <c r="B65" s="5" t="str">
        <f t="shared" ca="1" si="1"/>
        <v>Joaquina</v>
      </c>
      <c r="C65" s="7">
        <f t="shared" ca="1" si="2"/>
        <v>4968</v>
      </c>
      <c r="D65" s="5" t="str">
        <f t="shared" ca="1" si="3"/>
        <v>5S</v>
      </c>
      <c r="E65" s="3">
        <f t="shared" ca="1" si="4"/>
        <v>10</v>
      </c>
    </row>
    <row r="66" spans="1:5" x14ac:dyDescent="0.3">
      <c r="A66" s="4">
        <f t="shared" ca="1" si="0"/>
        <v>43616</v>
      </c>
      <c r="B66" s="5" t="str">
        <f t="shared" ca="1" si="1"/>
        <v>Marcelo</v>
      </c>
      <c r="C66" s="7">
        <f t="shared" ca="1" si="2"/>
        <v>4132</v>
      </c>
      <c r="D66" s="5" t="str">
        <f t="shared" ca="1" si="3"/>
        <v>5S</v>
      </c>
      <c r="E66" s="3">
        <f t="shared" ca="1" si="4"/>
        <v>5</v>
      </c>
    </row>
    <row r="67" spans="1:5" x14ac:dyDescent="0.3">
      <c r="A67" s="4">
        <f t="shared" ref="A67:A130" ca="1" si="5">RANDBETWEEN($F$1,$F$2)</f>
        <v>43629</v>
      </c>
      <c r="B67" s="5" t="str">
        <f t="shared" ref="B67:B130" ca="1" si="6">VLOOKUP(RANDBETWEEN(1,4),$I$1:$J$4,2,FALSE)</f>
        <v>Maria</v>
      </c>
      <c r="C67" s="7">
        <f t="shared" ref="C67:C130" ca="1" si="7">RANDBETWEEN(1000,5000)</f>
        <v>1268</v>
      </c>
      <c r="D67" s="5" t="str">
        <f t="shared" ref="D67:D130" ca="1" si="8">VLOOKUP(RANDBETWEEN($I$6,$I$9),$I$6:$J$9,2,FALSE)</f>
        <v>5S</v>
      </c>
      <c r="E67" s="3">
        <f t="shared" ref="E67:E130" ca="1" si="9">MONTH(A67)</f>
        <v>6</v>
      </c>
    </row>
    <row r="68" spans="1:5" x14ac:dyDescent="0.3">
      <c r="A68" s="4">
        <f t="shared" ca="1" si="5"/>
        <v>43614</v>
      </c>
      <c r="B68" s="5" t="str">
        <f t="shared" ca="1" si="6"/>
        <v>Joaquina</v>
      </c>
      <c r="C68" s="7">
        <f t="shared" ca="1" si="7"/>
        <v>1690</v>
      </c>
      <c r="D68" s="5" t="str">
        <f t="shared" ca="1" si="8"/>
        <v>Finanças</v>
      </c>
      <c r="E68" s="3">
        <f t="shared" ca="1" si="9"/>
        <v>5</v>
      </c>
    </row>
    <row r="69" spans="1:5" x14ac:dyDescent="0.3">
      <c r="A69" s="4">
        <f t="shared" ca="1" si="5"/>
        <v>43508</v>
      </c>
      <c r="B69" s="5" t="str">
        <f t="shared" ca="1" si="6"/>
        <v>Marcelo</v>
      </c>
      <c r="C69" s="7">
        <f t="shared" ca="1" si="7"/>
        <v>3725</v>
      </c>
      <c r="D69" s="5" t="str">
        <f t="shared" ca="1" si="8"/>
        <v>5S</v>
      </c>
      <c r="E69" s="3">
        <f t="shared" ca="1" si="9"/>
        <v>2</v>
      </c>
    </row>
    <row r="70" spans="1:5" x14ac:dyDescent="0.3">
      <c r="A70" s="4">
        <f t="shared" ca="1" si="5"/>
        <v>43679</v>
      </c>
      <c r="B70" s="5" t="str">
        <f t="shared" ca="1" si="6"/>
        <v>Marcelo</v>
      </c>
      <c r="C70" s="7">
        <f t="shared" ca="1" si="7"/>
        <v>2806</v>
      </c>
      <c r="D70" s="5" t="str">
        <f t="shared" ca="1" si="8"/>
        <v>Consultoria</v>
      </c>
      <c r="E70" s="3">
        <f t="shared" ca="1" si="9"/>
        <v>8</v>
      </c>
    </row>
    <row r="71" spans="1:5" x14ac:dyDescent="0.3">
      <c r="A71" s="4">
        <f t="shared" ca="1" si="5"/>
        <v>43614</v>
      </c>
      <c r="B71" s="5" t="str">
        <f t="shared" ca="1" si="6"/>
        <v>Maria</v>
      </c>
      <c r="C71" s="7">
        <f t="shared" ca="1" si="7"/>
        <v>3938</v>
      </c>
      <c r="D71" s="5" t="str">
        <f t="shared" ca="1" si="8"/>
        <v>Consultoria</v>
      </c>
      <c r="E71" s="3">
        <f t="shared" ca="1" si="9"/>
        <v>5</v>
      </c>
    </row>
    <row r="72" spans="1:5" x14ac:dyDescent="0.3">
      <c r="A72" s="4">
        <f t="shared" ca="1" si="5"/>
        <v>43483</v>
      </c>
      <c r="B72" s="5" t="str">
        <f t="shared" ca="1" si="6"/>
        <v>Joaquina</v>
      </c>
      <c r="C72" s="7">
        <f t="shared" ca="1" si="7"/>
        <v>2350</v>
      </c>
      <c r="D72" s="5" t="str">
        <f t="shared" ca="1" si="8"/>
        <v>Consultoria</v>
      </c>
      <c r="E72" s="3">
        <f t="shared" ca="1" si="9"/>
        <v>1</v>
      </c>
    </row>
    <row r="73" spans="1:5" x14ac:dyDescent="0.3">
      <c r="A73" s="4">
        <f t="shared" ca="1" si="5"/>
        <v>43780</v>
      </c>
      <c r="B73" s="5" t="str">
        <f t="shared" ca="1" si="6"/>
        <v>João</v>
      </c>
      <c r="C73" s="7">
        <f t="shared" ca="1" si="7"/>
        <v>3869</v>
      </c>
      <c r="D73" s="5" t="str">
        <f t="shared" ca="1" si="8"/>
        <v>Finanças</v>
      </c>
      <c r="E73" s="3">
        <f t="shared" ca="1" si="9"/>
        <v>11</v>
      </c>
    </row>
    <row r="74" spans="1:5" x14ac:dyDescent="0.3">
      <c r="A74" s="4">
        <f t="shared" ca="1" si="5"/>
        <v>43467</v>
      </c>
      <c r="B74" s="5" t="str">
        <f t="shared" ca="1" si="6"/>
        <v>Joaquina</v>
      </c>
      <c r="C74" s="7">
        <f t="shared" ca="1" si="7"/>
        <v>3177</v>
      </c>
      <c r="D74" s="5" t="str">
        <f t="shared" ca="1" si="8"/>
        <v>Finanças</v>
      </c>
      <c r="E74" s="3">
        <f t="shared" ca="1" si="9"/>
        <v>1</v>
      </c>
    </row>
    <row r="75" spans="1:5" x14ac:dyDescent="0.3">
      <c r="A75" s="4">
        <f t="shared" ca="1" si="5"/>
        <v>43651</v>
      </c>
      <c r="B75" s="5" t="str">
        <f t="shared" ca="1" si="6"/>
        <v>Marcelo</v>
      </c>
      <c r="C75" s="7">
        <f t="shared" ca="1" si="7"/>
        <v>2825</v>
      </c>
      <c r="D75" s="5" t="str">
        <f t="shared" ca="1" si="8"/>
        <v>Consultoria</v>
      </c>
      <c r="E75" s="3">
        <f t="shared" ca="1" si="9"/>
        <v>7</v>
      </c>
    </row>
    <row r="76" spans="1:5" x14ac:dyDescent="0.3">
      <c r="A76" s="4">
        <f t="shared" ca="1" si="5"/>
        <v>43752</v>
      </c>
      <c r="B76" s="5" t="str">
        <f t="shared" ca="1" si="6"/>
        <v>João</v>
      </c>
      <c r="C76" s="7">
        <f t="shared" ca="1" si="7"/>
        <v>1077</v>
      </c>
      <c r="D76" s="5" t="str">
        <f t="shared" ca="1" si="8"/>
        <v>Finanças</v>
      </c>
      <c r="E76" s="3">
        <f t="shared" ca="1" si="9"/>
        <v>10</v>
      </c>
    </row>
    <row r="77" spans="1:5" x14ac:dyDescent="0.3">
      <c r="A77" s="4">
        <f t="shared" ca="1" si="5"/>
        <v>43763</v>
      </c>
      <c r="B77" s="5" t="str">
        <f t="shared" ca="1" si="6"/>
        <v>João</v>
      </c>
      <c r="C77" s="7">
        <f t="shared" ca="1" si="7"/>
        <v>4974</v>
      </c>
      <c r="D77" s="5" t="str">
        <f t="shared" ca="1" si="8"/>
        <v>Consultoria</v>
      </c>
      <c r="E77" s="3">
        <f t="shared" ca="1" si="9"/>
        <v>10</v>
      </c>
    </row>
    <row r="78" spans="1:5" x14ac:dyDescent="0.3">
      <c r="A78" s="4">
        <f t="shared" ca="1" si="5"/>
        <v>43628</v>
      </c>
      <c r="B78" s="5" t="str">
        <f t="shared" ca="1" si="6"/>
        <v>João</v>
      </c>
      <c r="C78" s="7">
        <f t="shared" ca="1" si="7"/>
        <v>1319</v>
      </c>
      <c r="D78" s="5" t="str">
        <f t="shared" ca="1" si="8"/>
        <v>5S</v>
      </c>
      <c r="E78" s="3">
        <f t="shared" ca="1" si="9"/>
        <v>6</v>
      </c>
    </row>
    <row r="79" spans="1:5" x14ac:dyDescent="0.3">
      <c r="A79" s="4">
        <f t="shared" ca="1" si="5"/>
        <v>43604</v>
      </c>
      <c r="B79" s="5" t="str">
        <f t="shared" ca="1" si="6"/>
        <v>Maria</v>
      </c>
      <c r="C79" s="7">
        <f t="shared" ca="1" si="7"/>
        <v>2569</v>
      </c>
      <c r="D79" s="5" t="str">
        <f t="shared" ca="1" si="8"/>
        <v>Consultoria</v>
      </c>
      <c r="E79" s="3">
        <f t="shared" ca="1" si="9"/>
        <v>5</v>
      </c>
    </row>
    <row r="80" spans="1:5" x14ac:dyDescent="0.3">
      <c r="A80" s="4">
        <f t="shared" ca="1" si="5"/>
        <v>43581</v>
      </c>
      <c r="B80" s="5" t="str">
        <f t="shared" ca="1" si="6"/>
        <v>João</v>
      </c>
      <c r="C80" s="7">
        <f t="shared" ca="1" si="7"/>
        <v>3578</v>
      </c>
      <c r="D80" s="5" t="str">
        <f t="shared" ca="1" si="8"/>
        <v>Consultoria</v>
      </c>
      <c r="E80" s="3">
        <f t="shared" ca="1" si="9"/>
        <v>4</v>
      </c>
    </row>
    <row r="81" spans="1:5" x14ac:dyDescent="0.3">
      <c r="A81" s="4">
        <f t="shared" ca="1" si="5"/>
        <v>43672</v>
      </c>
      <c r="B81" s="5" t="str">
        <f t="shared" ca="1" si="6"/>
        <v>João</v>
      </c>
      <c r="C81" s="7">
        <f t="shared" ca="1" si="7"/>
        <v>3976</v>
      </c>
      <c r="D81" s="5" t="str">
        <f t="shared" ca="1" si="8"/>
        <v>Finanças</v>
      </c>
      <c r="E81" s="3">
        <f t="shared" ca="1" si="9"/>
        <v>7</v>
      </c>
    </row>
    <row r="82" spans="1:5" x14ac:dyDescent="0.3">
      <c r="A82" s="4">
        <f t="shared" ca="1" si="5"/>
        <v>43822</v>
      </c>
      <c r="B82" s="5" t="str">
        <f t="shared" ca="1" si="6"/>
        <v>Joaquina</v>
      </c>
      <c r="C82" s="7">
        <f t="shared" ca="1" si="7"/>
        <v>1420</v>
      </c>
      <c r="D82" s="5" t="str">
        <f t="shared" ca="1" si="8"/>
        <v>Finanças</v>
      </c>
      <c r="E82" s="3">
        <f t="shared" ca="1" si="9"/>
        <v>12</v>
      </c>
    </row>
    <row r="83" spans="1:5" x14ac:dyDescent="0.3">
      <c r="A83" s="4">
        <f t="shared" ca="1" si="5"/>
        <v>43753</v>
      </c>
      <c r="B83" s="5" t="str">
        <f t="shared" ca="1" si="6"/>
        <v>Joaquina</v>
      </c>
      <c r="C83" s="7">
        <f t="shared" ca="1" si="7"/>
        <v>1704</v>
      </c>
      <c r="D83" s="5" t="str">
        <f t="shared" ca="1" si="8"/>
        <v>Padronização</v>
      </c>
      <c r="E83" s="3">
        <f t="shared" ca="1" si="9"/>
        <v>10</v>
      </c>
    </row>
    <row r="84" spans="1:5" x14ac:dyDescent="0.3">
      <c r="A84" s="4">
        <f t="shared" ca="1" si="5"/>
        <v>43646</v>
      </c>
      <c r="B84" s="5" t="str">
        <f t="shared" ca="1" si="6"/>
        <v>Marcelo</v>
      </c>
      <c r="C84" s="7">
        <f t="shared" ca="1" si="7"/>
        <v>2534</v>
      </c>
      <c r="D84" s="5" t="str">
        <f t="shared" ca="1" si="8"/>
        <v>Finanças</v>
      </c>
      <c r="E84" s="3">
        <f t="shared" ca="1" si="9"/>
        <v>6</v>
      </c>
    </row>
    <row r="85" spans="1:5" x14ac:dyDescent="0.3">
      <c r="A85" s="4">
        <f t="shared" ca="1" si="5"/>
        <v>43536</v>
      </c>
      <c r="B85" s="5" t="str">
        <f t="shared" ca="1" si="6"/>
        <v>Maria</v>
      </c>
      <c r="C85" s="7">
        <f t="shared" ca="1" si="7"/>
        <v>1738</v>
      </c>
      <c r="D85" s="5" t="str">
        <f t="shared" ca="1" si="8"/>
        <v>Consultoria</v>
      </c>
      <c r="E85" s="3">
        <f t="shared" ca="1" si="9"/>
        <v>3</v>
      </c>
    </row>
    <row r="86" spans="1:5" x14ac:dyDescent="0.3">
      <c r="A86" s="4">
        <f t="shared" ca="1" si="5"/>
        <v>43685</v>
      </c>
      <c r="B86" s="5" t="str">
        <f t="shared" ca="1" si="6"/>
        <v>Joaquina</v>
      </c>
      <c r="C86" s="7">
        <f t="shared" ca="1" si="7"/>
        <v>2958</v>
      </c>
      <c r="D86" s="5" t="str">
        <f t="shared" ca="1" si="8"/>
        <v>Consultoria</v>
      </c>
      <c r="E86" s="3">
        <f t="shared" ca="1" si="9"/>
        <v>8</v>
      </c>
    </row>
    <row r="87" spans="1:5" x14ac:dyDescent="0.3">
      <c r="A87" s="4">
        <f t="shared" ca="1" si="5"/>
        <v>43691</v>
      </c>
      <c r="B87" s="5" t="str">
        <f t="shared" ca="1" si="6"/>
        <v>João</v>
      </c>
      <c r="C87" s="7">
        <f t="shared" ca="1" si="7"/>
        <v>1014</v>
      </c>
      <c r="D87" s="5" t="str">
        <f t="shared" ca="1" si="8"/>
        <v>Consultoria</v>
      </c>
      <c r="E87" s="3">
        <f t="shared" ca="1" si="9"/>
        <v>8</v>
      </c>
    </row>
    <row r="88" spans="1:5" x14ac:dyDescent="0.3">
      <c r="A88" s="4">
        <f t="shared" ca="1" si="5"/>
        <v>43532</v>
      </c>
      <c r="B88" s="5" t="str">
        <f t="shared" ca="1" si="6"/>
        <v>Joaquina</v>
      </c>
      <c r="C88" s="7">
        <f t="shared" ca="1" si="7"/>
        <v>3016</v>
      </c>
      <c r="D88" s="5" t="str">
        <f t="shared" ca="1" si="8"/>
        <v>Consultoria</v>
      </c>
      <c r="E88" s="3">
        <f t="shared" ca="1" si="9"/>
        <v>3</v>
      </c>
    </row>
    <row r="89" spans="1:5" x14ac:dyDescent="0.3">
      <c r="A89" s="4">
        <f t="shared" ca="1" si="5"/>
        <v>43765</v>
      </c>
      <c r="B89" s="5" t="str">
        <f t="shared" ca="1" si="6"/>
        <v>Joaquina</v>
      </c>
      <c r="C89" s="7">
        <f t="shared" ca="1" si="7"/>
        <v>4240</v>
      </c>
      <c r="D89" s="5" t="str">
        <f t="shared" ca="1" si="8"/>
        <v>5S</v>
      </c>
      <c r="E89" s="3">
        <f t="shared" ca="1" si="9"/>
        <v>10</v>
      </c>
    </row>
    <row r="90" spans="1:5" x14ac:dyDescent="0.3">
      <c r="A90" s="4">
        <f t="shared" ca="1" si="5"/>
        <v>43797</v>
      </c>
      <c r="B90" s="5" t="str">
        <f t="shared" ca="1" si="6"/>
        <v>João</v>
      </c>
      <c r="C90" s="7">
        <f t="shared" ca="1" si="7"/>
        <v>1316</v>
      </c>
      <c r="D90" s="5" t="str">
        <f t="shared" ca="1" si="8"/>
        <v>Consultoria</v>
      </c>
      <c r="E90" s="3">
        <f t="shared" ca="1" si="9"/>
        <v>11</v>
      </c>
    </row>
    <row r="91" spans="1:5" x14ac:dyDescent="0.3">
      <c r="A91" s="4">
        <f t="shared" ca="1" si="5"/>
        <v>43677</v>
      </c>
      <c r="B91" s="5" t="str">
        <f t="shared" ca="1" si="6"/>
        <v>João</v>
      </c>
      <c r="C91" s="7">
        <f t="shared" ca="1" si="7"/>
        <v>1438</v>
      </c>
      <c r="D91" s="5" t="str">
        <f t="shared" ca="1" si="8"/>
        <v>Consultoria</v>
      </c>
      <c r="E91" s="3">
        <f t="shared" ca="1" si="9"/>
        <v>7</v>
      </c>
    </row>
    <row r="92" spans="1:5" x14ac:dyDescent="0.3">
      <c r="A92" s="4">
        <f t="shared" ca="1" si="5"/>
        <v>43794</v>
      </c>
      <c r="B92" s="5" t="str">
        <f t="shared" ca="1" si="6"/>
        <v>João</v>
      </c>
      <c r="C92" s="7">
        <f t="shared" ca="1" si="7"/>
        <v>1648</v>
      </c>
      <c r="D92" s="5" t="str">
        <f t="shared" ca="1" si="8"/>
        <v>Consultoria</v>
      </c>
      <c r="E92" s="3">
        <f t="shared" ca="1" si="9"/>
        <v>11</v>
      </c>
    </row>
    <row r="93" spans="1:5" x14ac:dyDescent="0.3">
      <c r="A93" s="4">
        <f t="shared" ca="1" si="5"/>
        <v>43596</v>
      </c>
      <c r="B93" s="5" t="str">
        <f t="shared" ca="1" si="6"/>
        <v>João</v>
      </c>
      <c r="C93" s="7">
        <f t="shared" ca="1" si="7"/>
        <v>2971</v>
      </c>
      <c r="D93" s="5" t="str">
        <f t="shared" ca="1" si="8"/>
        <v>Consultoria</v>
      </c>
      <c r="E93" s="3">
        <f t="shared" ca="1" si="9"/>
        <v>5</v>
      </c>
    </row>
    <row r="94" spans="1:5" x14ac:dyDescent="0.3">
      <c r="A94" s="4">
        <f t="shared" ca="1" si="5"/>
        <v>43818</v>
      </c>
      <c r="B94" s="5" t="str">
        <f t="shared" ca="1" si="6"/>
        <v>João</v>
      </c>
      <c r="C94" s="7">
        <f t="shared" ca="1" si="7"/>
        <v>1964</v>
      </c>
      <c r="D94" s="5" t="str">
        <f t="shared" ca="1" si="8"/>
        <v>Finanças</v>
      </c>
      <c r="E94" s="3">
        <f t="shared" ca="1" si="9"/>
        <v>12</v>
      </c>
    </row>
    <row r="95" spans="1:5" x14ac:dyDescent="0.3">
      <c r="A95" s="4">
        <f t="shared" ca="1" si="5"/>
        <v>43585</v>
      </c>
      <c r="B95" s="5" t="str">
        <f t="shared" ca="1" si="6"/>
        <v>Joaquina</v>
      </c>
      <c r="C95" s="7">
        <f t="shared" ca="1" si="7"/>
        <v>3985</v>
      </c>
      <c r="D95" s="5" t="str">
        <f t="shared" ca="1" si="8"/>
        <v>Padronização</v>
      </c>
      <c r="E95" s="3">
        <f t="shared" ca="1" si="9"/>
        <v>4</v>
      </c>
    </row>
    <row r="96" spans="1:5" x14ac:dyDescent="0.3">
      <c r="A96" s="4">
        <f t="shared" ca="1" si="5"/>
        <v>43731</v>
      </c>
      <c r="B96" s="5" t="str">
        <f t="shared" ca="1" si="6"/>
        <v>Marcelo</v>
      </c>
      <c r="C96" s="7">
        <f t="shared" ca="1" si="7"/>
        <v>2328</v>
      </c>
      <c r="D96" s="5" t="str">
        <f t="shared" ca="1" si="8"/>
        <v>Finanças</v>
      </c>
      <c r="E96" s="3">
        <f t="shared" ca="1" si="9"/>
        <v>9</v>
      </c>
    </row>
    <row r="97" spans="1:5" x14ac:dyDescent="0.3">
      <c r="A97" s="4">
        <f t="shared" ca="1" si="5"/>
        <v>43561</v>
      </c>
      <c r="B97" s="5" t="str">
        <f t="shared" ca="1" si="6"/>
        <v>Marcelo</v>
      </c>
      <c r="C97" s="7">
        <f t="shared" ca="1" si="7"/>
        <v>2763</v>
      </c>
      <c r="D97" s="5" t="str">
        <f t="shared" ca="1" si="8"/>
        <v>Padronização</v>
      </c>
      <c r="E97" s="3">
        <f t="shared" ca="1" si="9"/>
        <v>4</v>
      </c>
    </row>
    <row r="98" spans="1:5" x14ac:dyDescent="0.3">
      <c r="A98" s="4">
        <f t="shared" ca="1" si="5"/>
        <v>43828</v>
      </c>
      <c r="B98" s="5" t="str">
        <f t="shared" ca="1" si="6"/>
        <v>João</v>
      </c>
      <c r="C98" s="7">
        <f t="shared" ca="1" si="7"/>
        <v>3222</v>
      </c>
      <c r="D98" s="5" t="str">
        <f t="shared" ca="1" si="8"/>
        <v>Padronização</v>
      </c>
      <c r="E98" s="3">
        <f t="shared" ca="1" si="9"/>
        <v>12</v>
      </c>
    </row>
    <row r="99" spans="1:5" x14ac:dyDescent="0.3">
      <c r="A99" s="4">
        <f t="shared" ca="1" si="5"/>
        <v>43487</v>
      </c>
      <c r="B99" s="5" t="str">
        <f t="shared" ca="1" si="6"/>
        <v>Marcelo</v>
      </c>
      <c r="C99" s="7">
        <f t="shared" ca="1" si="7"/>
        <v>2160</v>
      </c>
      <c r="D99" s="5" t="str">
        <f t="shared" ca="1" si="8"/>
        <v>Finanças</v>
      </c>
      <c r="E99" s="3">
        <f t="shared" ca="1" si="9"/>
        <v>1</v>
      </c>
    </row>
    <row r="100" spans="1:5" x14ac:dyDescent="0.3">
      <c r="A100" s="4">
        <f t="shared" ca="1" si="5"/>
        <v>43685</v>
      </c>
      <c r="B100" s="5" t="str">
        <f t="shared" ca="1" si="6"/>
        <v>João</v>
      </c>
      <c r="C100" s="7">
        <f t="shared" ca="1" si="7"/>
        <v>1342</v>
      </c>
      <c r="D100" s="5" t="str">
        <f t="shared" ca="1" si="8"/>
        <v>Consultoria</v>
      </c>
      <c r="E100" s="3">
        <f t="shared" ca="1" si="9"/>
        <v>8</v>
      </c>
    </row>
    <row r="101" spans="1:5" x14ac:dyDescent="0.3">
      <c r="A101" s="4">
        <f t="shared" ca="1" si="5"/>
        <v>43726</v>
      </c>
      <c r="B101" s="5" t="str">
        <f t="shared" ca="1" si="6"/>
        <v>Marcelo</v>
      </c>
      <c r="C101" s="7">
        <f t="shared" ca="1" si="7"/>
        <v>3924</v>
      </c>
      <c r="D101" s="5" t="str">
        <f t="shared" ca="1" si="8"/>
        <v>Finanças</v>
      </c>
      <c r="E101" s="3">
        <f t="shared" ca="1" si="9"/>
        <v>9</v>
      </c>
    </row>
    <row r="102" spans="1:5" x14ac:dyDescent="0.3">
      <c r="A102" s="4">
        <f t="shared" ca="1" si="5"/>
        <v>43632</v>
      </c>
      <c r="B102" s="5" t="str">
        <f t="shared" ca="1" si="6"/>
        <v>Joaquina</v>
      </c>
      <c r="C102" s="7">
        <f t="shared" ca="1" si="7"/>
        <v>2194</v>
      </c>
      <c r="D102" s="5" t="str">
        <f t="shared" ca="1" si="8"/>
        <v>Finanças</v>
      </c>
      <c r="E102" s="3">
        <f t="shared" ca="1" si="9"/>
        <v>6</v>
      </c>
    </row>
    <row r="103" spans="1:5" x14ac:dyDescent="0.3">
      <c r="A103" s="4">
        <f t="shared" ca="1" si="5"/>
        <v>43751</v>
      </c>
      <c r="B103" s="5" t="str">
        <f t="shared" ca="1" si="6"/>
        <v>Marcelo</v>
      </c>
      <c r="C103" s="7">
        <f t="shared" ca="1" si="7"/>
        <v>2831</v>
      </c>
      <c r="D103" s="5" t="str">
        <f t="shared" ca="1" si="8"/>
        <v>5S</v>
      </c>
      <c r="E103" s="3">
        <f t="shared" ca="1" si="9"/>
        <v>10</v>
      </c>
    </row>
    <row r="104" spans="1:5" x14ac:dyDescent="0.3">
      <c r="A104" s="4">
        <f t="shared" ca="1" si="5"/>
        <v>43748</v>
      </c>
      <c r="B104" s="5" t="str">
        <f t="shared" ca="1" si="6"/>
        <v>Marcelo</v>
      </c>
      <c r="C104" s="7">
        <f t="shared" ca="1" si="7"/>
        <v>1163</v>
      </c>
      <c r="D104" s="5" t="str">
        <f t="shared" ca="1" si="8"/>
        <v>Finanças</v>
      </c>
      <c r="E104" s="3">
        <f t="shared" ca="1" si="9"/>
        <v>10</v>
      </c>
    </row>
    <row r="105" spans="1:5" x14ac:dyDescent="0.3">
      <c r="A105" s="4">
        <f t="shared" ca="1" si="5"/>
        <v>43499</v>
      </c>
      <c r="B105" s="5" t="str">
        <f t="shared" ca="1" si="6"/>
        <v>João</v>
      </c>
      <c r="C105" s="7">
        <f t="shared" ca="1" si="7"/>
        <v>2591</v>
      </c>
      <c r="D105" s="5" t="str">
        <f t="shared" ca="1" si="8"/>
        <v>Finanças</v>
      </c>
      <c r="E105" s="3">
        <f t="shared" ca="1" si="9"/>
        <v>2</v>
      </c>
    </row>
    <row r="106" spans="1:5" x14ac:dyDescent="0.3">
      <c r="A106" s="4">
        <f t="shared" ca="1" si="5"/>
        <v>43745</v>
      </c>
      <c r="B106" s="5" t="str">
        <f t="shared" ca="1" si="6"/>
        <v>Joaquina</v>
      </c>
      <c r="C106" s="7">
        <f t="shared" ca="1" si="7"/>
        <v>1859</v>
      </c>
      <c r="D106" s="5" t="str">
        <f t="shared" ca="1" si="8"/>
        <v>Padronização</v>
      </c>
      <c r="E106" s="3">
        <f t="shared" ca="1" si="9"/>
        <v>10</v>
      </c>
    </row>
    <row r="107" spans="1:5" x14ac:dyDescent="0.3">
      <c r="A107" s="4">
        <f t="shared" ca="1" si="5"/>
        <v>43609</v>
      </c>
      <c r="B107" s="5" t="str">
        <f t="shared" ca="1" si="6"/>
        <v>Joaquina</v>
      </c>
      <c r="C107" s="7">
        <f t="shared" ca="1" si="7"/>
        <v>2070</v>
      </c>
      <c r="D107" s="5" t="str">
        <f t="shared" ca="1" si="8"/>
        <v>Padronização</v>
      </c>
      <c r="E107" s="3">
        <f t="shared" ca="1" si="9"/>
        <v>5</v>
      </c>
    </row>
    <row r="108" spans="1:5" x14ac:dyDescent="0.3">
      <c r="A108" s="4">
        <f t="shared" ca="1" si="5"/>
        <v>43810</v>
      </c>
      <c r="B108" s="5" t="str">
        <f t="shared" ca="1" si="6"/>
        <v>João</v>
      </c>
      <c r="C108" s="7">
        <f t="shared" ca="1" si="7"/>
        <v>1072</v>
      </c>
      <c r="D108" s="5" t="str">
        <f t="shared" ca="1" si="8"/>
        <v>Padronização</v>
      </c>
      <c r="E108" s="3">
        <f t="shared" ca="1" si="9"/>
        <v>12</v>
      </c>
    </row>
    <row r="109" spans="1:5" x14ac:dyDescent="0.3">
      <c r="A109" s="4">
        <f t="shared" ca="1" si="5"/>
        <v>43717</v>
      </c>
      <c r="B109" s="5" t="str">
        <f t="shared" ca="1" si="6"/>
        <v>Marcelo</v>
      </c>
      <c r="C109" s="7">
        <f t="shared" ca="1" si="7"/>
        <v>3186</v>
      </c>
      <c r="D109" s="5" t="str">
        <f t="shared" ca="1" si="8"/>
        <v>5S</v>
      </c>
      <c r="E109" s="3">
        <f t="shared" ca="1" si="9"/>
        <v>9</v>
      </c>
    </row>
    <row r="110" spans="1:5" x14ac:dyDescent="0.3">
      <c r="A110" s="4">
        <f t="shared" ca="1" si="5"/>
        <v>43779</v>
      </c>
      <c r="B110" s="5" t="str">
        <f t="shared" ca="1" si="6"/>
        <v>Marcelo</v>
      </c>
      <c r="C110" s="7">
        <f t="shared" ca="1" si="7"/>
        <v>2380</v>
      </c>
      <c r="D110" s="5" t="str">
        <f t="shared" ca="1" si="8"/>
        <v>5S</v>
      </c>
      <c r="E110" s="3">
        <f t="shared" ca="1" si="9"/>
        <v>11</v>
      </c>
    </row>
    <row r="111" spans="1:5" x14ac:dyDescent="0.3">
      <c r="A111" s="4">
        <f t="shared" ca="1" si="5"/>
        <v>43699</v>
      </c>
      <c r="B111" s="5" t="str">
        <f t="shared" ca="1" si="6"/>
        <v>Joaquina</v>
      </c>
      <c r="C111" s="7">
        <f t="shared" ca="1" si="7"/>
        <v>3226</v>
      </c>
      <c r="D111" s="5" t="str">
        <f t="shared" ca="1" si="8"/>
        <v>Padronização</v>
      </c>
      <c r="E111" s="3">
        <f t="shared" ca="1" si="9"/>
        <v>8</v>
      </c>
    </row>
    <row r="112" spans="1:5" x14ac:dyDescent="0.3">
      <c r="A112" s="4">
        <f t="shared" ca="1" si="5"/>
        <v>43700</v>
      </c>
      <c r="B112" s="5" t="str">
        <f t="shared" ca="1" si="6"/>
        <v>João</v>
      </c>
      <c r="C112" s="7">
        <f t="shared" ca="1" si="7"/>
        <v>1601</v>
      </c>
      <c r="D112" s="5" t="str">
        <f t="shared" ca="1" si="8"/>
        <v>Padronização</v>
      </c>
      <c r="E112" s="3">
        <f t="shared" ca="1" si="9"/>
        <v>8</v>
      </c>
    </row>
    <row r="113" spans="1:5" x14ac:dyDescent="0.3">
      <c r="A113" s="4">
        <f t="shared" ca="1" si="5"/>
        <v>43609</v>
      </c>
      <c r="B113" s="5" t="str">
        <f t="shared" ca="1" si="6"/>
        <v>Maria</v>
      </c>
      <c r="C113" s="7">
        <f t="shared" ca="1" si="7"/>
        <v>1071</v>
      </c>
      <c r="D113" s="5" t="str">
        <f t="shared" ca="1" si="8"/>
        <v>5S</v>
      </c>
      <c r="E113" s="3">
        <f t="shared" ca="1" si="9"/>
        <v>5</v>
      </c>
    </row>
    <row r="114" spans="1:5" x14ac:dyDescent="0.3">
      <c r="A114" s="4">
        <f t="shared" ca="1" si="5"/>
        <v>43489</v>
      </c>
      <c r="B114" s="5" t="str">
        <f t="shared" ca="1" si="6"/>
        <v>Marcelo</v>
      </c>
      <c r="C114" s="7">
        <f t="shared" ca="1" si="7"/>
        <v>3151</v>
      </c>
      <c r="D114" s="5" t="str">
        <f t="shared" ca="1" si="8"/>
        <v>Consultoria</v>
      </c>
      <c r="E114" s="3">
        <f t="shared" ca="1" si="9"/>
        <v>1</v>
      </c>
    </row>
    <row r="115" spans="1:5" x14ac:dyDescent="0.3">
      <c r="A115" s="4">
        <f t="shared" ca="1" si="5"/>
        <v>43621</v>
      </c>
      <c r="B115" s="5" t="str">
        <f t="shared" ca="1" si="6"/>
        <v>Marcelo</v>
      </c>
      <c r="C115" s="7">
        <f t="shared" ca="1" si="7"/>
        <v>1748</v>
      </c>
      <c r="D115" s="5" t="str">
        <f t="shared" ca="1" si="8"/>
        <v>Finanças</v>
      </c>
      <c r="E115" s="3">
        <f t="shared" ca="1" si="9"/>
        <v>6</v>
      </c>
    </row>
    <row r="116" spans="1:5" x14ac:dyDescent="0.3">
      <c r="A116" s="4">
        <f t="shared" ca="1" si="5"/>
        <v>43617</v>
      </c>
      <c r="B116" s="5" t="str">
        <f t="shared" ca="1" si="6"/>
        <v>João</v>
      </c>
      <c r="C116" s="7">
        <f t="shared" ca="1" si="7"/>
        <v>4322</v>
      </c>
      <c r="D116" s="5" t="str">
        <f t="shared" ca="1" si="8"/>
        <v>Finanças</v>
      </c>
      <c r="E116" s="3">
        <f t="shared" ca="1" si="9"/>
        <v>6</v>
      </c>
    </row>
    <row r="117" spans="1:5" x14ac:dyDescent="0.3">
      <c r="A117" s="4">
        <f t="shared" ca="1" si="5"/>
        <v>43638</v>
      </c>
      <c r="B117" s="5" t="str">
        <f t="shared" ca="1" si="6"/>
        <v>João</v>
      </c>
      <c r="C117" s="7">
        <f t="shared" ca="1" si="7"/>
        <v>2773</v>
      </c>
      <c r="D117" s="5" t="str">
        <f t="shared" ca="1" si="8"/>
        <v>5S</v>
      </c>
      <c r="E117" s="3">
        <f t="shared" ca="1" si="9"/>
        <v>6</v>
      </c>
    </row>
    <row r="118" spans="1:5" x14ac:dyDescent="0.3">
      <c r="A118" s="4">
        <f t="shared" ca="1" si="5"/>
        <v>43692</v>
      </c>
      <c r="B118" s="5" t="str">
        <f t="shared" ca="1" si="6"/>
        <v>Maria</v>
      </c>
      <c r="C118" s="7">
        <f t="shared" ca="1" si="7"/>
        <v>3037</v>
      </c>
      <c r="D118" s="5" t="str">
        <f t="shared" ca="1" si="8"/>
        <v>Padronização</v>
      </c>
      <c r="E118" s="3">
        <f t="shared" ca="1" si="9"/>
        <v>8</v>
      </c>
    </row>
    <row r="119" spans="1:5" x14ac:dyDescent="0.3">
      <c r="A119" s="4">
        <f t="shared" ca="1" si="5"/>
        <v>43827</v>
      </c>
      <c r="B119" s="5" t="str">
        <f t="shared" ca="1" si="6"/>
        <v>Maria</v>
      </c>
      <c r="C119" s="7">
        <f t="shared" ca="1" si="7"/>
        <v>3843</v>
      </c>
      <c r="D119" s="5" t="str">
        <f t="shared" ca="1" si="8"/>
        <v>5S</v>
      </c>
      <c r="E119" s="3">
        <f t="shared" ca="1" si="9"/>
        <v>12</v>
      </c>
    </row>
    <row r="120" spans="1:5" x14ac:dyDescent="0.3">
      <c r="A120" s="4">
        <f t="shared" ca="1" si="5"/>
        <v>43468</v>
      </c>
      <c r="B120" s="5" t="str">
        <f t="shared" ca="1" si="6"/>
        <v>João</v>
      </c>
      <c r="C120" s="7">
        <f t="shared" ca="1" si="7"/>
        <v>1149</v>
      </c>
      <c r="D120" s="5" t="str">
        <f t="shared" ca="1" si="8"/>
        <v>Finanças</v>
      </c>
      <c r="E120" s="3">
        <f t="shared" ca="1" si="9"/>
        <v>1</v>
      </c>
    </row>
    <row r="121" spans="1:5" x14ac:dyDescent="0.3">
      <c r="A121" s="4">
        <f t="shared" ca="1" si="5"/>
        <v>43784</v>
      </c>
      <c r="B121" s="5" t="str">
        <f t="shared" ca="1" si="6"/>
        <v>Maria</v>
      </c>
      <c r="C121" s="7">
        <f t="shared" ca="1" si="7"/>
        <v>3299</v>
      </c>
      <c r="D121" s="5" t="str">
        <f t="shared" ca="1" si="8"/>
        <v>Padronização</v>
      </c>
      <c r="E121" s="3">
        <f t="shared" ca="1" si="9"/>
        <v>11</v>
      </c>
    </row>
    <row r="122" spans="1:5" x14ac:dyDescent="0.3">
      <c r="A122" s="4">
        <f t="shared" ca="1" si="5"/>
        <v>43549</v>
      </c>
      <c r="B122" s="5" t="str">
        <f t="shared" ca="1" si="6"/>
        <v>Marcelo</v>
      </c>
      <c r="C122" s="7">
        <f t="shared" ca="1" si="7"/>
        <v>1515</v>
      </c>
      <c r="D122" s="5" t="str">
        <f t="shared" ca="1" si="8"/>
        <v>5S</v>
      </c>
      <c r="E122" s="3">
        <f t="shared" ca="1" si="9"/>
        <v>3</v>
      </c>
    </row>
    <row r="123" spans="1:5" x14ac:dyDescent="0.3">
      <c r="A123" s="4">
        <f t="shared" ca="1" si="5"/>
        <v>43534</v>
      </c>
      <c r="B123" s="5" t="str">
        <f t="shared" ca="1" si="6"/>
        <v>Marcelo</v>
      </c>
      <c r="C123" s="7">
        <f t="shared" ca="1" si="7"/>
        <v>1037</v>
      </c>
      <c r="D123" s="5" t="str">
        <f t="shared" ca="1" si="8"/>
        <v>Consultoria</v>
      </c>
      <c r="E123" s="3">
        <f t="shared" ca="1" si="9"/>
        <v>3</v>
      </c>
    </row>
    <row r="124" spans="1:5" x14ac:dyDescent="0.3">
      <c r="A124" s="4">
        <f t="shared" ca="1" si="5"/>
        <v>43638</v>
      </c>
      <c r="B124" s="5" t="str">
        <f t="shared" ca="1" si="6"/>
        <v>Marcelo</v>
      </c>
      <c r="C124" s="7">
        <f t="shared" ca="1" si="7"/>
        <v>1804</v>
      </c>
      <c r="D124" s="5" t="str">
        <f t="shared" ca="1" si="8"/>
        <v>5S</v>
      </c>
      <c r="E124" s="3">
        <f t="shared" ca="1" si="9"/>
        <v>6</v>
      </c>
    </row>
    <row r="125" spans="1:5" x14ac:dyDescent="0.3">
      <c r="A125" s="4">
        <f t="shared" ca="1" si="5"/>
        <v>43484</v>
      </c>
      <c r="B125" s="5" t="str">
        <f t="shared" ca="1" si="6"/>
        <v>Maria</v>
      </c>
      <c r="C125" s="7">
        <f t="shared" ca="1" si="7"/>
        <v>4580</v>
      </c>
      <c r="D125" s="5" t="str">
        <f t="shared" ca="1" si="8"/>
        <v>Finanças</v>
      </c>
      <c r="E125" s="3">
        <f t="shared" ca="1" si="9"/>
        <v>1</v>
      </c>
    </row>
    <row r="126" spans="1:5" x14ac:dyDescent="0.3">
      <c r="A126" s="4">
        <f t="shared" ca="1" si="5"/>
        <v>43741</v>
      </c>
      <c r="B126" s="5" t="str">
        <f t="shared" ca="1" si="6"/>
        <v>Joaquina</v>
      </c>
      <c r="C126" s="7">
        <f t="shared" ca="1" si="7"/>
        <v>1899</v>
      </c>
      <c r="D126" s="5" t="str">
        <f t="shared" ca="1" si="8"/>
        <v>Padronização</v>
      </c>
      <c r="E126" s="3">
        <f t="shared" ca="1" si="9"/>
        <v>10</v>
      </c>
    </row>
    <row r="127" spans="1:5" x14ac:dyDescent="0.3">
      <c r="A127" s="4">
        <f t="shared" ca="1" si="5"/>
        <v>43675</v>
      </c>
      <c r="B127" s="5" t="str">
        <f t="shared" ca="1" si="6"/>
        <v>Marcelo</v>
      </c>
      <c r="C127" s="7">
        <f t="shared" ca="1" si="7"/>
        <v>3325</v>
      </c>
      <c r="D127" s="5" t="str">
        <f t="shared" ca="1" si="8"/>
        <v>Padronização</v>
      </c>
      <c r="E127" s="3">
        <f t="shared" ca="1" si="9"/>
        <v>7</v>
      </c>
    </row>
    <row r="128" spans="1:5" x14ac:dyDescent="0.3">
      <c r="A128" s="4">
        <f t="shared" ca="1" si="5"/>
        <v>43602</v>
      </c>
      <c r="B128" s="5" t="str">
        <f t="shared" ca="1" si="6"/>
        <v>Marcelo</v>
      </c>
      <c r="C128" s="7">
        <f t="shared" ca="1" si="7"/>
        <v>2406</v>
      </c>
      <c r="D128" s="5" t="str">
        <f t="shared" ca="1" si="8"/>
        <v>Consultoria</v>
      </c>
      <c r="E128" s="3">
        <f t="shared" ca="1" si="9"/>
        <v>5</v>
      </c>
    </row>
    <row r="129" spans="1:5" x14ac:dyDescent="0.3">
      <c r="A129" s="4">
        <f t="shared" ca="1" si="5"/>
        <v>43574</v>
      </c>
      <c r="B129" s="5" t="str">
        <f t="shared" ca="1" si="6"/>
        <v>João</v>
      </c>
      <c r="C129" s="7">
        <f t="shared" ca="1" si="7"/>
        <v>3964</v>
      </c>
      <c r="D129" s="5" t="str">
        <f t="shared" ca="1" si="8"/>
        <v>Padronização</v>
      </c>
      <c r="E129" s="3">
        <f t="shared" ca="1" si="9"/>
        <v>4</v>
      </c>
    </row>
    <row r="130" spans="1:5" x14ac:dyDescent="0.3">
      <c r="A130" s="4">
        <f t="shared" ca="1" si="5"/>
        <v>43566</v>
      </c>
      <c r="B130" s="5" t="str">
        <f t="shared" ca="1" si="6"/>
        <v>Maria</v>
      </c>
      <c r="C130" s="7">
        <f t="shared" ca="1" si="7"/>
        <v>3287</v>
      </c>
      <c r="D130" s="5" t="str">
        <f t="shared" ca="1" si="8"/>
        <v>Finanças</v>
      </c>
      <c r="E130" s="3">
        <f t="shared" ca="1" si="9"/>
        <v>4</v>
      </c>
    </row>
    <row r="131" spans="1:5" x14ac:dyDescent="0.3">
      <c r="A131" s="4">
        <f t="shared" ref="A131:A194" ca="1" si="10">RANDBETWEEN($F$1,$F$2)</f>
        <v>43752</v>
      </c>
      <c r="B131" s="5" t="str">
        <f t="shared" ref="B131:B194" ca="1" si="11">VLOOKUP(RANDBETWEEN(1,4),$I$1:$J$4,2,FALSE)</f>
        <v>Joaquina</v>
      </c>
      <c r="C131" s="7">
        <f t="shared" ref="C131:C194" ca="1" si="12">RANDBETWEEN(1000,5000)</f>
        <v>3061</v>
      </c>
      <c r="D131" s="5" t="str">
        <f t="shared" ref="D131:D194" ca="1" si="13">VLOOKUP(RANDBETWEEN($I$6,$I$9),$I$6:$J$9,2,FALSE)</f>
        <v>5S</v>
      </c>
      <c r="E131" s="3">
        <f t="shared" ref="E131:E194" ca="1" si="14">MONTH(A131)</f>
        <v>10</v>
      </c>
    </row>
    <row r="132" spans="1:5" x14ac:dyDescent="0.3">
      <c r="A132" s="4">
        <f t="shared" ca="1" si="10"/>
        <v>43684</v>
      </c>
      <c r="B132" s="5" t="str">
        <f t="shared" ca="1" si="11"/>
        <v>Maria</v>
      </c>
      <c r="C132" s="7">
        <f t="shared" ca="1" si="12"/>
        <v>1772</v>
      </c>
      <c r="D132" s="5" t="str">
        <f t="shared" ca="1" si="13"/>
        <v>Consultoria</v>
      </c>
      <c r="E132" s="3">
        <f t="shared" ca="1" si="14"/>
        <v>8</v>
      </c>
    </row>
    <row r="133" spans="1:5" x14ac:dyDescent="0.3">
      <c r="A133" s="4">
        <f t="shared" ca="1" si="10"/>
        <v>43785</v>
      </c>
      <c r="B133" s="5" t="str">
        <f t="shared" ca="1" si="11"/>
        <v>Joaquina</v>
      </c>
      <c r="C133" s="7">
        <f t="shared" ca="1" si="12"/>
        <v>4468</v>
      </c>
      <c r="D133" s="5" t="str">
        <f t="shared" ca="1" si="13"/>
        <v>5S</v>
      </c>
      <c r="E133" s="3">
        <f t="shared" ca="1" si="14"/>
        <v>11</v>
      </c>
    </row>
    <row r="134" spans="1:5" x14ac:dyDescent="0.3">
      <c r="A134" s="4">
        <f t="shared" ca="1" si="10"/>
        <v>43814</v>
      </c>
      <c r="B134" s="5" t="str">
        <f t="shared" ca="1" si="11"/>
        <v>João</v>
      </c>
      <c r="C134" s="7">
        <f t="shared" ca="1" si="12"/>
        <v>4838</v>
      </c>
      <c r="D134" s="5" t="str">
        <f t="shared" ca="1" si="13"/>
        <v>Consultoria</v>
      </c>
      <c r="E134" s="3">
        <f t="shared" ca="1" si="14"/>
        <v>12</v>
      </c>
    </row>
    <row r="135" spans="1:5" x14ac:dyDescent="0.3">
      <c r="A135" s="4">
        <f t="shared" ca="1" si="10"/>
        <v>43611</v>
      </c>
      <c r="B135" s="5" t="str">
        <f t="shared" ca="1" si="11"/>
        <v>Joaquina</v>
      </c>
      <c r="C135" s="7">
        <f t="shared" ca="1" si="12"/>
        <v>2236</v>
      </c>
      <c r="D135" s="5" t="str">
        <f t="shared" ca="1" si="13"/>
        <v>Padronização</v>
      </c>
      <c r="E135" s="3">
        <f t="shared" ca="1" si="14"/>
        <v>5</v>
      </c>
    </row>
    <row r="136" spans="1:5" x14ac:dyDescent="0.3">
      <c r="A136" s="4">
        <f t="shared" ca="1" si="10"/>
        <v>43790</v>
      </c>
      <c r="B136" s="5" t="str">
        <f t="shared" ca="1" si="11"/>
        <v>Joaquina</v>
      </c>
      <c r="C136" s="7">
        <f t="shared" ca="1" si="12"/>
        <v>2424</v>
      </c>
      <c r="D136" s="5" t="str">
        <f t="shared" ca="1" si="13"/>
        <v>Finanças</v>
      </c>
      <c r="E136" s="3">
        <f t="shared" ca="1" si="14"/>
        <v>11</v>
      </c>
    </row>
    <row r="137" spans="1:5" x14ac:dyDescent="0.3">
      <c r="A137" s="4">
        <f t="shared" ca="1" si="10"/>
        <v>43716</v>
      </c>
      <c r="B137" s="5" t="str">
        <f t="shared" ca="1" si="11"/>
        <v>Maria</v>
      </c>
      <c r="C137" s="7">
        <f t="shared" ca="1" si="12"/>
        <v>3124</v>
      </c>
      <c r="D137" s="5" t="str">
        <f t="shared" ca="1" si="13"/>
        <v>5S</v>
      </c>
      <c r="E137" s="3">
        <f t="shared" ca="1" si="14"/>
        <v>9</v>
      </c>
    </row>
    <row r="138" spans="1:5" x14ac:dyDescent="0.3">
      <c r="A138" s="4">
        <f t="shared" ca="1" si="10"/>
        <v>43824</v>
      </c>
      <c r="B138" s="5" t="str">
        <f t="shared" ca="1" si="11"/>
        <v>Maria</v>
      </c>
      <c r="C138" s="7">
        <f t="shared" ca="1" si="12"/>
        <v>2702</v>
      </c>
      <c r="D138" s="5" t="str">
        <f t="shared" ca="1" si="13"/>
        <v>Padronização</v>
      </c>
      <c r="E138" s="3">
        <f t="shared" ca="1" si="14"/>
        <v>12</v>
      </c>
    </row>
    <row r="139" spans="1:5" x14ac:dyDescent="0.3">
      <c r="A139" s="4">
        <f t="shared" ca="1" si="10"/>
        <v>43587</v>
      </c>
      <c r="B139" s="5" t="str">
        <f t="shared" ca="1" si="11"/>
        <v>João</v>
      </c>
      <c r="C139" s="7">
        <f t="shared" ca="1" si="12"/>
        <v>1885</v>
      </c>
      <c r="D139" s="5" t="str">
        <f t="shared" ca="1" si="13"/>
        <v>Padronização</v>
      </c>
      <c r="E139" s="3">
        <f t="shared" ca="1" si="14"/>
        <v>5</v>
      </c>
    </row>
    <row r="140" spans="1:5" x14ac:dyDescent="0.3">
      <c r="A140" s="4">
        <f t="shared" ca="1" si="10"/>
        <v>43523</v>
      </c>
      <c r="B140" s="5" t="str">
        <f t="shared" ca="1" si="11"/>
        <v>Joaquina</v>
      </c>
      <c r="C140" s="7">
        <f t="shared" ca="1" si="12"/>
        <v>2283</v>
      </c>
      <c r="D140" s="5" t="str">
        <f t="shared" ca="1" si="13"/>
        <v>Padronização</v>
      </c>
      <c r="E140" s="3">
        <f t="shared" ca="1" si="14"/>
        <v>2</v>
      </c>
    </row>
    <row r="141" spans="1:5" x14ac:dyDescent="0.3">
      <c r="A141" s="4">
        <f t="shared" ca="1" si="10"/>
        <v>43597</v>
      </c>
      <c r="B141" s="5" t="str">
        <f t="shared" ca="1" si="11"/>
        <v>Maria</v>
      </c>
      <c r="C141" s="7">
        <f t="shared" ca="1" si="12"/>
        <v>4758</v>
      </c>
      <c r="D141" s="5" t="str">
        <f t="shared" ca="1" si="13"/>
        <v>Finanças</v>
      </c>
      <c r="E141" s="3">
        <f t="shared" ca="1" si="14"/>
        <v>5</v>
      </c>
    </row>
    <row r="142" spans="1:5" x14ac:dyDescent="0.3">
      <c r="A142" s="4">
        <f t="shared" ca="1" si="10"/>
        <v>43550</v>
      </c>
      <c r="B142" s="5" t="str">
        <f t="shared" ca="1" si="11"/>
        <v>João</v>
      </c>
      <c r="C142" s="7">
        <f t="shared" ca="1" si="12"/>
        <v>4045</v>
      </c>
      <c r="D142" s="5" t="str">
        <f t="shared" ca="1" si="13"/>
        <v>Finanças</v>
      </c>
      <c r="E142" s="3">
        <f t="shared" ca="1" si="14"/>
        <v>3</v>
      </c>
    </row>
    <row r="143" spans="1:5" x14ac:dyDescent="0.3">
      <c r="A143" s="4">
        <f t="shared" ca="1" si="10"/>
        <v>43773</v>
      </c>
      <c r="B143" s="5" t="str">
        <f t="shared" ca="1" si="11"/>
        <v>Marcelo</v>
      </c>
      <c r="C143" s="7">
        <f t="shared" ca="1" si="12"/>
        <v>4299</v>
      </c>
      <c r="D143" s="5" t="str">
        <f t="shared" ca="1" si="13"/>
        <v>Finanças</v>
      </c>
      <c r="E143" s="3">
        <f t="shared" ca="1" si="14"/>
        <v>11</v>
      </c>
    </row>
    <row r="144" spans="1:5" x14ac:dyDescent="0.3">
      <c r="A144" s="4">
        <f t="shared" ca="1" si="10"/>
        <v>43539</v>
      </c>
      <c r="B144" s="5" t="str">
        <f t="shared" ca="1" si="11"/>
        <v>Marcelo</v>
      </c>
      <c r="C144" s="7">
        <f t="shared" ca="1" si="12"/>
        <v>2204</v>
      </c>
      <c r="D144" s="5" t="str">
        <f t="shared" ca="1" si="13"/>
        <v>Consultoria</v>
      </c>
      <c r="E144" s="3">
        <f t="shared" ca="1" si="14"/>
        <v>3</v>
      </c>
    </row>
    <row r="145" spans="1:5" x14ac:dyDescent="0.3">
      <c r="A145" s="4">
        <f t="shared" ca="1" si="10"/>
        <v>43744</v>
      </c>
      <c r="B145" s="5" t="str">
        <f t="shared" ca="1" si="11"/>
        <v>Maria</v>
      </c>
      <c r="C145" s="7">
        <f t="shared" ca="1" si="12"/>
        <v>3363</v>
      </c>
      <c r="D145" s="5" t="str">
        <f t="shared" ca="1" si="13"/>
        <v>Padronização</v>
      </c>
      <c r="E145" s="3">
        <f t="shared" ca="1" si="14"/>
        <v>10</v>
      </c>
    </row>
    <row r="146" spans="1:5" x14ac:dyDescent="0.3">
      <c r="A146" s="4">
        <f t="shared" ca="1" si="10"/>
        <v>43781</v>
      </c>
      <c r="B146" s="5" t="str">
        <f t="shared" ca="1" si="11"/>
        <v>João</v>
      </c>
      <c r="C146" s="7">
        <f t="shared" ca="1" si="12"/>
        <v>1479</v>
      </c>
      <c r="D146" s="5" t="str">
        <f t="shared" ca="1" si="13"/>
        <v>Finanças</v>
      </c>
      <c r="E146" s="3">
        <f t="shared" ca="1" si="14"/>
        <v>11</v>
      </c>
    </row>
    <row r="147" spans="1:5" x14ac:dyDescent="0.3">
      <c r="A147" s="4">
        <f t="shared" ca="1" si="10"/>
        <v>43581</v>
      </c>
      <c r="B147" s="5" t="str">
        <f t="shared" ca="1" si="11"/>
        <v>Maria</v>
      </c>
      <c r="C147" s="7">
        <f t="shared" ca="1" si="12"/>
        <v>3430</v>
      </c>
      <c r="D147" s="5" t="str">
        <f t="shared" ca="1" si="13"/>
        <v>Consultoria</v>
      </c>
      <c r="E147" s="3">
        <f t="shared" ca="1" si="14"/>
        <v>4</v>
      </c>
    </row>
    <row r="148" spans="1:5" x14ac:dyDescent="0.3">
      <c r="A148" s="4">
        <f t="shared" ca="1" si="10"/>
        <v>43642</v>
      </c>
      <c r="B148" s="5" t="str">
        <f t="shared" ca="1" si="11"/>
        <v>Maria</v>
      </c>
      <c r="C148" s="7">
        <f t="shared" ca="1" si="12"/>
        <v>2345</v>
      </c>
      <c r="D148" s="5" t="str">
        <f t="shared" ca="1" si="13"/>
        <v>Padronização</v>
      </c>
      <c r="E148" s="3">
        <f t="shared" ca="1" si="14"/>
        <v>6</v>
      </c>
    </row>
    <row r="149" spans="1:5" x14ac:dyDescent="0.3">
      <c r="A149" s="4">
        <f t="shared" ca="1" si="10"/>
        <v>43597</v>
      </c>
      <c r="B149" s="5" t="str">
        <f t="shared" ca="1" si="11"/>
        <v>João</v>
      </c>
      <c r="C149" s="7">
        <f t="shared" ca="1" si="12"/>
        <v>2468</v>
      </c>
      <c r="D149" s="5" t="str">
        <f t="shared" ca="1" si="13"/>
        <v>Consultoria</v>
      </c>
      <c r="E149" s="3">
        <f t="shared" ca="1" si="14"/>
        <v>5</v>
      </c>
    </row>
    <row r="150" spans="1:5" x14ac:dyDescent="0.3">
      <c r="A150" s="4">
        <f t="shared" ca="1" si="10"/>
        <v>43703</v>
      </c>
      <c r="B150" s="5" t="str">
        <f t="shared" ca="1" si="11"/>
        <v>João</v>
      </c>
      <c r="C150" s="7">
        <f t="shared" ca="1" si="12"/>
        <v>1221</v>
      </c>
      <c r="D150" s="5" t="str">
        <f t="shared" ca="1" si="13"/>
        <v>Consultoria</v>
      </c>
      <c r="E150" s="3">
        <f t="shared" ca="1" si="14"/>
        <v>8</v>
      </c>
    </row>
    <row r="151" spans="1:5" x14ac:dyDescent="0.3">
      <c r="A151" s="4">
        <f t="shared" ca="1" si="10"/>
        <v>43718</v>
      </c>
      <c r="B151" s="5" t="str">
        <f t="shared" ca="1" si="11"/>
        <v>Maria</v>
      </c>
      <c r="C151" s="7">
        <f t="shared" ca="1" si="12"/>
        <v>2025</v>
      </c>
      <c r="D151" s="5" t="str">
        <f t="shared" ca="1" si="13"/>
        <v>5S</v>
      </c>
      <c r="E151" s="3">
        <f t="shared" ca="1" si="14"/>
        <v>9</v>
      </c>
    </row>
    <row r="152" spans="1:5" x14ac:dyDescent="0.3">
      <c r="A152" s="4">
        <f t="shared" ca="1" si="10"/>
        <v>43602</v>
      </c>
      <c r="B152" s="5" t="str">
        <f t="shared" ca="1" si="11"/>
        <v>João</v>
      </c>
      <c r="C152" s="7">
        <f t="shared" ca="1" si="12"/>
        <v>2396</v>
      </c>
      <c r="D152" s="5" t="str">
        <f t="shared" ca="1" si="13"/>
        <v>Finanças</v>
      </c>
      <c r="E152" s="3">
        <f t="shared" ca="1" si="14"/>
        <v>5</v>
      </c>
    </row>
    <row r="153" spans="1:5" x14ac:dyDescent="0.3">
      <c r="A153" s="4">
        <f t="shared" ca="1" si="10"/>
        <v>43711</v>
      </c>
      <c r="B153" s="5" t="str">
        <f t="shared" ca="1" si="11"/>
        <v>Maria</v>
      </c>
      <c r="C153" s="7">
        <f t="shared" ca="1" si="12"/>
        <v>2461</v>
      </c>
      <c r="D153" s="5" t="str">
        <f t="shared" ca="1" si="13"/>
        <v>5S</v>
      </c>
      <c r="E153" s="3">
        <f t="shared" ca="1" si="14"/>
        <v>9</v>
      </c>
    </row>
    <row r="154" spans="1:5" x14ac:dyDescent="0.3">
      <c r="A154" s="4">
        <f t="shared" ca="1" si="10"/>
        <v>43498</v>
      </c>
      <c r="B154" s="5" t="str">
        <f t="shared" ca="1" si="11"/>
        <v>Maria</v>
      </c>
      <c r="C154" s="7">
        <f t="shared" ca="1" si="12"/>
        <v>2112</v>
      </c>
      <c r="D154" s="5" t="str">
        <f t="shared" ca="1" si="13"/>
        <v>Consultoria</v>
      </c>
      <c r="E154" s="3">
        <f t="shared" ca="1" si="14"/>
        <v>2</v>
      </c>
    </row>
    <row r="155" spans="1:5" x14ac:dyDescent="0.3">
      <c r="A155" s="4">
        <f t="shared" ca="1" si="10"/>
        <v>43506</v>
      </c>
      <c r="B155" s="5" t="str">
        <f t="shared" ca="1" si="11"/>
        <v>Marcelo</v>
      </c>
      <c r="C155" s="7">
        <f t="shared" ca="1" si="12"/>
        <v>1325</v>
      </c>
      <c r="D155" s="5" t="str">
        <f t="shared" ca="1" si="13"/>
        <v>5S</v>
      </c>
      <c r="E155" s="3">
        <f t="shared" ca="1" si="14"/>
        <v>2</v>
      </c>
    </row>
    <row r="156" spans="1:5" x14ac:dyDescent="0.3">
      <c r="A156" s="4">
        <f t="shared" ca="1" si="10"/>
        <v>43767</v>
      </c>
      <c r="B156" s="5" t="str">
        <f t="shared" ca="1" si="11"/>
        <v>Maria</v>
      </c>
      <c r="C156" s="7">
        <f t="shared" ca="1" si="12"/>
        <v>2690</v>
      </c>
      <c r="D156" s="5" t="str">
        <f t="shared" ca="1" si="13"/>
        <v>Consultoria</v>
      </c>
      <c r="E156" s="3">
        <f t="shared" ca="1" si="14"/>
        <v>10</v>
      </c>
    </row>
    <row r="157" spans="1:5" x14ac:dyDescent="0.3">
      <c r="A157" s="4">
        <f t="shared" ca="1" si="10"/>
        <v>43700</v>
      </c>
      <c r="B157" s="5" t="str">
        <f t="shared" ca="1" si="11"/>
        <v>Joaquina</v>
      </c>
      <c r="C157" s="7">
        <f t="shared" ca="1" si="12"/>
        <v>2963</v>
      </c>
      <c r="D157" s="5" t="str">
        <f t="shared" ca="1" si="13"/>
        <v>Consultoria</v>
      </c>
      <c r="E157" s="3">
        <f t="shared" ca="1" si="14"/>
        <v>8</v>
      </c>
    </row>
    <row r="158" spans="1:5" x14ac:dyDescent="0.3">
      <c r="A158" s="4">
        <f t="shared" ca="1" si="10"/>
        <v>43653</v>
      </c>
      <c r="B158" s="5" t="str">
        <f t="shared" ca="1" si="11"/>
        <v>Maria</v>
      </c>
      <c r="C158" s="7">
        <f t="shared" ca="1" si="12"/>
        <v>2313</v>
      </c>
      <c r="D158" s="5" t="str">
        <f t="shared" ca="1" si="13"/>
        <v>Consultoria</v>
      </c>
      <c r="E158" s="3">
        <f t="shared" ca="1" si="14"/>
        <v>7</v>
      </c>
    </row>
    <row r="159" spans="1:5" x14ac:dyDescent="0.3">
      <c r="A159" s="4">
        <f t="shared" ca="1" si="10"/>
        <v>43744</v>
      </c>
      <c r="B159" s="5" t="str">
        <f t="shared" ca="1" si="11"/>
        <v>João</v>
      </c>
      <c r="C159" s="7">
        <f t="shared" ca="1" si="12"/>
        <v>4860</v>
      </c>
      <c r="D159" s="5" t="str">
        <f t="shared" ca="1" si="13"/>
        <v>Finanças</v>
      </c>
      <c r="E159" s="3">
        <f t="shared" ca="1" si="14"/>
        <v>10</v>
      </c>
    </row>
    <row r="160" spans="1:5" x14ac:dyDescent="0.3">
      <c r="A160" s="4">
        <f t="shared" ca="1" si="10"/>
        <v>43662</v>
      </c>
      <c r="B160" s="5" t="str">
        <f t="shared" ca="1" si="11"/>
        <v>Joaquina</v>
      </c>
      <c r="C160" s="7">
        <f t="shared" ca="1" si="12"/>
        <v>2345</v>
      </c>
      <c r="D160" s="5" t="str">
        <f t="shared" ca="1" si="13"/>
        <v>Padronização</v>
      </c>
      <c r="E160" s="3">
        <f t="shared" ca="1" si="14"/>
        <v>7</v>
      </c>
    </row>
    <row r="161" spans="1:5" x14ac:dyDescent="0.3">
      <c r="A161" s="4">
        <f t="shared" ca="1" si="10"/>
        <v>43592</v>
      </c>
      <c r="B161" s="5" t="str">
        <f t="shared" ca="1" si="11"/>
        <v>Marcelo</v>
      </c>
      <c r="C161" s="7">
        <f t="shared" ca="1" si="12"/>
        <v>3493</v>
      </c>
      <c r="D161" s="5" t="str">
        <f t="shared" ca="1" si="13"/>
        <v>Consultoria</v>
      </c>
      <c r="E161" s="3">
        <f t="shared" ca="1" si="14"/>
        <v>5</v>
      </c>
    </row>
    <row r="162" spans="1:5" x14ac:dyDescent="0.3">
      <c r="A162" s="4">
        <f t="shared" ca="1" si="10"/>
        <v>43694</v>
      </c>
      <c r="B162" s="5" t="str">
        <f t="shared" ca="1" si="11"/>
        <v>João</v>
      </c>
      <c r="C162" s="7">
        <f t="shared" ca="1" si="12"/>
        <v>4072</v>
      </c>
      <c r="D162" s="5" t="str">
        <f t="shared" ca="1" si="13"/>
        <v>5S</v>
      </c>
      <c r="E162" s="3">
        <f t="shared" ca="1" si="14"/>
        <v>8</v>
      </c>
    </row>
    <row r="163" spans="1:5" x14ac:dyDescent="0.3">
      <c r="A163" s="4">
        <f t="shared" ca="1" si="10"/>
        <v>43744</v>
      </c>
      <c r="B163" s="5" t="str">
        <f t="shared" ca="1" si="11"/>
        <v>Maria</v>
      </c>
      <c r="C163" s="7">
        <f t="shared" ca="1" si="12"/>
        <v>4543</v>
      </c>
      <c r="D163" s="5" t="str">
        <f t="shared" ca="1" si="13"/>
        <v>Finanças</v>
      </c>
      <c r="E163" s="3">
        <f t="shared" ca="1" si="14"/>
        <v>10</v>
      </c>
    </row>
    <row r="164" spans="1:5" x14ac:dyDescent="0.3">
      <c r="A164" s="4">
        <f t="shared" ca="1" si="10"/>
        <v>43786</v>
      </c>
      <c r="B164" s="5" t="str">
        <f t="shared" ca="1" si="11"/>
        <v>João</v>
      </c>
      <c r="C164" s="7">
        <f t="shared" ca="1" si="12"/>
        <v>2843</v>
      </c>
      <c r="D164" s="5" t="str">
        <f t="shared" ca="1" si="13"/>
        <v>5S</v>
      </c>
      <c r="E164" s="3">
        <f t="shared" ca="1" si="14"/>
        <v>11</v>
      </c>
    </row>
    <row r="165" spans="1:5" x14ac:dyDescent="0.3">
      <c r="A165" s="4">
        <f t="shared" ca="1" si="10"/>
        <v>43772</v>
      </c>
      <c r="B165" s="5" t="str">
        <f t="shared" ca="1" si="11"/>
        <v>Joaquina</v>
      </c>
      <c r="C165" s="7">
        <f t="shared" ca="1" si="12"/>
        <v>3479</v>
      </c>
      <c r="D165" s="5" t="str">
        <f t="shared" ca="1" si="13"/>
        <v>Finanças</v>
      </c>
      <c r="E165" s="3">
        <f t="shared" ca="1" si="14"/>
        <v>11</v>
      </c>
    </row>
    <row r="166" spans="1:5" x14ac:dyDescent="0.3">
      <c r="A166" s="4">
        <f t="shared" ca="1" si="10"/>
        <v>43527</v>
      </c>
      <c r="B166" s="5" t="str">
        <f t="shared" ca="1" si="11"/>
        <v>Joaquina</v>
      </c>
      <c r="C166" s="7">
        <f t="shared" ca="1" si="12"/>
        <v>3260</v>
      </c>
      <c r="D166" s="5" t="str">
        <f t="shared" ca="1" si="13"/>
        <v>Finanças</v>
      </c>
      <c r="E166" s="3">
        <f t="shared" ca="1" si="14"/>
        <v>3</v>
      </c>
    </row>
    <row r="167" spans="1:5" x14ac:dyDescent="0.3">
      <c r="A167" s="4">
        <f t="shared" ca="1" si="10"/>
        <v>43772</v>
      </c>
      <c r="B167" s="5" t="str">
        <f t="shared" ca="1" si="11"/>
        <v>Maria</v>
      </c>
      <c r="C167" s="7">
        <f t="shared" ca="1" si="12"/>
        <v>2447</v>
      </c>
      <c r="D167" s="5" t="str">
        <f t="shared" ca="1" si="13"/>
        <v>5S</v>
      </c>
      <c r="E167" s="3">
        <f t="shared" ca="1" si="14"/>
        <v>11</v>
      </c>
    </row>
    <row r="168" spans="1:5" x14ac:dyDescent="0.3">
      <c r="A168" s="4">
        <f t="shared" ca="1" si="10"/>
        <v>43810</v>
      </c>
      <c r="B168" s="5" t="str">
        <f t="shared" ca="1" si="11"/>
        <v>Maria</v>
      </c>
      <c r="C168" s="7">
        <f t="shared" ca="1" si="12"/>
        <v>4268</v>
      </c>
      <c r="D168" s="5" t="str">
        <f t="shared" ca="1" si="13"/>
        <v>Padronização</v>
      </c>
      <c r="E168" s="3">
        <f t="shared" ca="1" si="14"/>
        <v>12</v>
      </c>
    </row>
    <row r="169" spans="1:5" x14ac:dyDescent="0.3">
      <c r="A169" s="4">
        <f t="shared" ca="1" si="10"/>
        <v>43804</v>
      </c>
      <c r="B169" s="5" t="str">
        <f t="shared" ca="1" si="11"/>
        <v>Maria</v>
      </c>
      <c r="C169" s="7">
        <f t="shared" ca="1" si="12"/>
        <v>4180</v>
      </c>
      <c r="D169" s="5" t="str">
        <f t="shared" ca="1" si="13"/>
        <v>5S</v>
      </c>
      <c r="E169" s="3">
        <f t="shared" ca="1" si="14"/>
        <v>12</v>
      </c>
    </row>
    <row r="170" spans="1:5" x14ac:dyDescent="0.3">
      <c r="A170" s="4">
        <f t="shared" ca="1" si="10"/>
        <v>43710</v>
      </c>
      <c r="B170" s="5" t="str">
        <f t="shared" ca="1" si="11"/>
        <v>Joaquina</v>
      </c>
      <c r="C170" s="7">
        <f t="shared" ca="1" si="12"/>
        <v>3856</v>
      </c>
      <c r="D170" s="5" t="str">
        <f t="shared" ca="1" si="13"/>
        <v>Consultoria</v>
      </c>
      <c r="E170" s="3">
        <f t="shared" ca="1" si="14"/>
        <v>9</v>
      </c>
    </row>
    <row r="171" spans="1:5" x14ac:dyDescent="0.3">
      <c r="A171" s="4">
        <f t="shared" ca="1" si="10"/>
        <v>43699</v>
      </c>
      <c r="B171" s="5" t="str">
        <f t="shared" ca="1" si="11"/>
        <v>João</v>
      </c>
      <c r="C171" s="7">
        <f t="shared" ca="1" si="12"/>
        <v>1259</v>
      </c>
      <c r="D171" s="5" t="str">
        <f t="shared" ca="1" si="13"/>
        <v>Consultoria</v>
      </c>
      <c r="E171" s="3">
        <f t="shared" ca="1" si="14"/>
        <v>8</v>
      </c>
    </row>
    <row r="172" spans="1:5" x14ac:dyDescent="0.3">
      <c r="A172" s="4">
        <f t="shared" ca="1" si="10"/>
        <v>43554</v>
      </c>
      <c r="B172" s="5" t="str">
        <f t="shared" ca="1" si="11"/>
        <v>João</v>
      </c>
      <c r="C172" s="7">
        <f t="shared" ca="1" si="12"/>
        <v>2904</v>
      </c>
      <c r="D172" s="5" t="str">
        <f t="shared" ca="1" si="13"/>
        <v>5S</v>
      </c>
      <c r="E172" s="3">
        <f t="shared" ca="1" si="14"/>
        <v>3</v>
      </c>
    </row>
    <row r="173" spans="1:5" x14ac:dyDescent="0.3">
      <c r="A173" s="4">
        <f t="shared" ca="1" si="10"/>
        <v>43789</v>
      </c>
      <c r="B173" s="5" t="str">
        <f t="shared" ca="1" si="11"/>
        <v>João</v>
      </c>
      <c r="C173" s="7">
        <f t="shared" ca="1" si="12"/>
        <v>2824</v>
      </c>
      <c r="D173" s="5" t="str">
        <f t="shared" ca="1" si="13"/>
        <v>Consultoria</v>
      </c>
      <c r="E173" s="3">
        <f t="shared" ca="1" si="14"/>
        <v>11</v>
      </c>
    </row>
    <row r="174" spans="1:5" x14ac:dyDescent="0.3">
      <c r="A174" s="4">
        <f t="shared" ca="1" si="10"/>
        <v>43485</v>
      </c>
      <c r="B174" s="5" t="str">
        <f t="shared" ca="1" si="11"/>
        <v>Joaquina</v>
      </c>
      <c r="C174" s="7">
        <f t="shared" ca="1" si="12"/>
        <v>3184</v>
      </c>
      <c r="D174" s="5" t="str">
        <f t="shared" ca="1" si="13"/>
        <v>Consultoria</v>
      </c>
      <c r="E174" s="3">
        <f t="shared" ca="1" si="14"/>
        <v>1</v>
      </c>
    </row>
    <row r="175" spans="1:5" x14ac:dyDescent="0.3">
      <c r="A175" s="4">
        <f t="shared" ca="1" si="10"/>
        <v>43483</v>
      </c>
      <c r="B175" s="5" t="str">
        <f t="shared" ca="1" si="11"/>
        <v>Maria</v>
      </c>
      <c r="C175" s="7">
        <f t="shared" ca="1" si="12"/>
        <v>1796</v>
      </c>
      <c r="D175" s="5" t="str">
        <f t="shared" ca="1" si="13"/>
        <v>5S</v>
      </c>
      <c r="E175" s="3">
        <f t="shared" ca="1" si="14"/>
        <v>1</v>
      </c>
    </row>
    <row r="176" spans="1:5" x14ac:dyDescent="0.3">
      <c r="A176" s="4">
        <f t="shared" ca="1" si="10"/>
        <v>43623</v>
      </c>
      <c r="B176" s="5" t="str">
        <f t="shared" ca="1" si="11"/>
        <v>João</v>
      </c>
      <c r="C176" s="7">
        <f t="shared" ca="1" si="12"/>
        <v>3394</v>
      </c>
      <c r="D176" s="5" t="str">
        <f t="shared" ca="1" si="13"/>
        <v>5S</v>
      </c>
      <c r="E176" s="3">
        <f t="shared" ca="1" si="14"/>
        <v>6</v>
      </c>
    </row>
    <row r="177" spans="1:5" x14ac:dyDescent="0.3">
      <c r="A177" s="4">
        <f t="shared" ca="1" si="10"/>
        <v>43753</v>
      </c>
      <c r="B177" s="5" t="str">
        <f t="shared" ca="1" si="11"/>
        <v>João</v>
      </c>
      <c r="C177" s="7">
        <f t="shared" ca="1" si="12"/>
        <v>1314</v>
      </c>
      <c r="D177" s="5" t="str">
        <f t="shared" ca="1" si="13"/>
        <v>Consultoria</v>
      </c>
      <c r="E177" s="3">
        <f t="shared" ca="1" si="14"/>
        <v>10</v>
      </c>
    </row>
    <row r="178" spans="1:5" x14ac:dyDescent="0.3">
      <c r="A178" s="4">
        <f t="shared" ca="1" si="10"/>
        <v>43730</v>
      </c>
      <c r="B178" s="5" t="str">
        <f t="shared" ca="1" si="11"/>
        <v>Joaquina</v>
      </c>
      <c r="C178" s="7">
        <f t="shared" ca="1" si="12"/>
        <v>4009</v>
      </c>
      <c r="D178" s="5" t="str">
        <f t="shared" ca="1" si="13"/>
        <v>Padronização</v>
      </c>
      <c r="E178" s="3">
        <f t="shared" ca="1" si="14"/>
        <v>9</v>
      </c>
    </row>
    <row r="179" spans="1:5" x14ac:dyDescent="0.3">
      <c r="A179" s="4">
        <f t="shared" ca="1" si="10"/>
        <v>43499</v>
      </c>
      <c r="B179" s="5" t="str">
        <f t="shared" ca="1" si="11"/>
        <v>Joaquina</v>
      </c>
      <c r="C179" s="7">
        <f t="shared" ca="1" si="12"/>
        <v>3625</v>
      </c>
      <c r="D179" s="5" t="str">
        <f t="shared" ca="1" si="13"/>
        <v>Consultoria</v>
      </c>
      <c r="E179" s="3">
        <f t="shared" ca="1" si="14"/>
        <v>2</v>
      </c>
    </row>
    <row r="180" spans="1:5" x14ac:dyDescent="0.3">
      <c r="A180" s="4">
        <f t="shared" ca="1" si="10"/>
        <v>43816</v>
      </c>
      <c r="B180" s="5" t="str">
        <f t="shared" ca="1" si="11"/>
        <v>Marcelo</v>
      </c>
      <c r="C180" s="7">
        <f t="shared" ca="1" si="12"/>
        <v>2124</v>
      </c>
      <c r="D180" s="5" t="str">
        <f t="shared" ca="1" si="13"/>
        <v>Consultoria</v>
      </c>
      <c r="E180" s="3">
        <f t="shared" ca="1" si="14"/>
        <v>12</v>
      </c>
    </row>
    <row r="181" spans="1:5" x14ac:dyDescent="0.3">
      <c r="A181" s="4">
        <f t="shared" ca="1" si="10"/>
        <v>43585</v>
      </c>
      <c r="B181" s="5" t="str">
        <f t="shared" ca="1" si="11"/>
        <v>Maria</v>
      </c>
      <c r="C181" s="7">
        <f t="shared" ca="1" si="12"/>
        <v>1317</v>
      </c>
      <c r="D181" s="5" t="str">
        <f t="shared" ca="1" si="13"/>
        <v>Consultoria</v>
      </c>
      <c r="E181" s="3">
        <f t="shared" ca="1" si="14"/>
        <v>4</v>
      </c>
    </row>
    <row r="182" spans="1:5" x14ac:dyDescent="0.3">
      <c r="A182" s="4">
        <f t="shared" ca="1" si="10"/>
        <v>43760</v>
      </c>
      <c r="B182" s="5" t="str">
        <f t="shared" ca="1" si="11"/>
        <v>Marcelo</v>
      </c>
      <c r="C182" s="7">
        <f t="shared" ca="1" si="12"/>
        <v>1572</v>
      </c>
      <c r="D182" s="5" t="str">
        <f t="shared" ca="1" si="13"/>
        <v>Padronização</v>
      </c>
      <c r="E182" s="3">
        <f t="shared" ca="1" si="14"/>
        <v>10</v>
      </c>
    </row>
    <row r="183" spans="1:5" x14ac:dyDescent="0.3">
      <c r="A183" s="4">
        <f t="shared" ca="1" si="10"/>
        <v>43592</v>
      </c>
      <c r="B183" s="5" t="str">
        <f t="shared" ca="1" si="11"/>
        <v>João</v>
      </c>
      <c r="C183" s="7">
        <f t="shared" ca="1" si="12"/>
        <v>2821</v>
      </c>
      <c r="D183" s="5" t="str">
        <f t="shared" ca="1" si="13"/>
        <v>Finanças</v>
      </c>
      <c r="E183" s="3">
        <f t="shared" ca="1" si="14"/>
        <v>5</v>
      </c>
    </row>
    <row r="184" spans="1:5" x14ac:dyDescent="0.3">
      <c r="A184" s="4">
        <f t="shared" ca="1" si="10"/>
        <v>43505</v>
      </c>
      <c r="B184" s="5" t="str">
        <f t="shared" ca="1" si="11"/>
        <v>Marcelo</v>
      </c>
      <c r="C184" s="7">
        <f t="shared" ca="1" si="12"/>
        <v>2027</v>
      </c>
      <c r="D184" s="5" t="str">
        <f t="shared" ca="1" si="13"/>
        <v>Padronização</v>
      </c>
      <c r="E184" s="3">
        <f t="shared" ca="1" si="14"/>
        <v>2</v>
      </c>
    </row>
    <row r="185" spans="1:5" x14ac:dyDescent="0.3">
      <c r="A185" s="4">
        <f t="shared" ca="1" si="10"/>
        <v>43623</v>
      </c>
      <c r="B185" s="5" t="str">
        <f t="shared" ca="1" si="11"/>
        <v>Maria</v>
      </c>
      <c r="C185" s="7">
        <f t="shared" ca="1" si="12"/>
        <v>2549</v>
      </c>
      <c r="D185" s="5" t="str">
        <f t="shared" ca="1" si="13"/>
        <v>Finanças</v>
      </c>
      <c r="E185" s="3">
        <f t="shared" ca="1" si="14"/>
        <v>6</v>
      </c>
    </row>
    <row r="186" spans="1:5" x14ac:dyDescent="0.3">
      <c r="A186" s="4">
        <f t="shared" ca="1" si="10"/>
        <v>43518</v>
      </c>
      <c r="B186" s="5" t="str">
        <f t="shared" ca="1" si="11"/>
        <v>Maria</v>
      </c>
      <c r="C186" s="7">
        <f t="shared" ca="1" si="12"/>
        <v>2111</v>
      </c>
      <c r="D186" s="5" t="str">
        <f t="shared" ca="1" si="13"/>
        <v>5S</v>
      </c>
      <c r="E186" s="3">
        <f t="shared" ca="1" si="14"/>
        <v>2</v>
      </c>
    </row>
    <row r="187" spans="1:5" x14ac:dyDescent="0.3">
      <c r="A187" s="4">
        <f t="shared" ca="1" si="10"/>
        <v>43661</v>
      </c>
      <c r="B187" s="5" t="str">
        <f t="shared" ca="1" si="11"/>
        <v>Maria</v>
      </c>
      <c r="C187" s="7">
        <f t="shared" ca="1" si="12"/>
        <v>1830</v>
      </c>
      <c r="D187" s="5" t="str">
        <f t="shared" ca="1" si="13"/>
        <v>5S</v>
      </c>
      <c r="E187" s="3">
        <f t="shared" ca="1" si="14"/>
        <v>7</v>
      </c>
    </row>
    <row r="188" spans="1:5" x14ac:dyDescent="0.3">
      <c r="A188" s="4">
        <f t="shared" ca="1" si="10"/>
        <v>43657</v>
      </c>
      <c r="B188" s="5" t="str">
        <f t="shared" ca="1" si="11"/>
        <v>Joaquina</v>
      </c>
      <c r="C188" s="7">
        <f t="shared" ca="1" si="12"/>
        <v>2359</v>
      </c>
      <c r="D188" s="5" t="str">
        <f t="shared" ca="1" si="13"/>
        <v>Consultoria</v>
      </c>
      <c r="E188" s="3">
        <f t="shared" ca="1" si="14"/>
        <v>7</v>
      </c>
    </row>
    <row r="189" spans="1:5" x14ac:dyDescent="0.3">
      <c r="A189" s="4">
        <f t="shared" ca="1" si="10"/>
        <v>43771</v>
      </c>
      <c r="B189" s="5" t="str">
        <f t="shared" ca="1" si="11"/>
        <v>Maria</v>
      </c>
      <c r="C189" s="7">
        <f t="shared" ca="1" si="12"/>
        <v>1487</v>
      </c>
      <c r="D189" s="5" t="str">
        <f t="shared" ca="1" si="13"/>
        <v>Finanças</v>
      </c>
      <c r="E189" s="3">
        <f t="shared" ca="1" si="14"/>
        <v>11</v>
      </c>
    </row>
    <row r="190" spans="1:5" x14ac:dyDescent="0.3">
      <c r="A190" s="4">
        <f t="shared" ca="1" si="10"/>
        <v>43776</v>
      </c>
      <c r="B190" s="5" t="str">
        <f t="shared" ca="1" si="11"/>
        <v>João</v>
      </c>
      <c r="C190" s="7">
        <f t="shared" ca="1" si="12"/>
        <v>2417</v>
      </c>
      <c r="D190" s="5" t="str">
        <f t="shared" ca="1" si="13"/>
        <v>Consultoria</v>
      </c>
      <c r="E190" s="3">
        <f t="shared" ca="1" si="14"/>
        <v>11</v>
      </c>
    </row>
    <row r="191" spans="1:5" x14ac:dyDescent="0.3">
      <c r="A191" s="4">
        <f t="shared" ca="1" si="10"/>
        <v>43697</v>
      </c>
      <c r="B191" s="5" t="str">
        <f t="shared" ca="1" si="11"/>
        <v>Joaquina</v>
      </c>
      <c r="C191" s="7">
        <f t="shared" ca="1" si="12"/>
        <v>3530</v>
      </c>
      <c r="D191" s="5" t="str">
        <f t="shared" ca="1" si="13"/>
        <v>5S</v>
      </c>
      <c r="E191" s="3">
        <f t="shared" ca="1" si="14"/>
        <v>8</v>
      </c>
    </row>
    <row r="192" spans="1:5" x14ac:dyDescent="0.3">
      <c r="A192" s="4">
        <f t="shared" ca="1" si="10"/>
        <v>43691</v>
      </c>
      <c r="B192" s="5" t="str">
        <f t="shared" ca="1" si="11"/>
        <v>Maria</v>
      </c>
      <c r="C192" s="7">
        <f t="shared" ca="1" si="12"/>
        <v>1596</v>
      </c>
      <c r="D192" s="5" t="str">
        <f t="shared" ca="1" si="13"/>
        <v>5S</v>
      </c>
      <c r="E192" s="3">
        <f t="shared" ca="1" si="14"/>
        <v>8</v>
      </c>
    </row>
    <row r="193" spans="1:5" x14ac:dyDescent="0.3">
      <c r="A193" s="4">
        <f t="shared" ca="1" si="10"/>
        <v>43714</v>
      </c>
      <c r="B193" s="5" t="str">
        <f t="shared" ca="1" si="11"/>
        <v>Joaquina</v>
      </c>
      <c r="C193" s="7">
        <f t="shared" ca="1" si="12"/>
        <v>3284</v>
      </c>
      <c r="D193" s="5" t="str">
        <f t="shared" ca="1" si="13"/>
        <v>Consultoria</v>
      </c>
      <c r="E193" s="3">
        <f t="shared" ca="1" si="14"/>
        <v>9</v>
      </c>
    </row>
    <row r="194" spans="1:5" x14ac:dyDescent="0.3">
      <c r="A194" s="4">
        <f t="shared" ca="1" si="10"/>
        <v>43519</v>
      </c>
      <c r="B194" s="5" t="str">
        <f t="shared" ca="1" si="11"/>
        <v>Maria</v>
      </c>
      <c r="C194" s="7">
        <f t="shared" ca="1" si="12"/>
        <v>2964</v>
      </c>
      <c r="D194" s="5" t="str">
        <f t="shared" ca="1" si="13"/>
        <v>5S</v>
      </c>
      <c r="E194" s="3">
        <f t="shared" ca="1" si="14"/>
        <v>2</v>
      </c>
    </row>
    <row r="195" spans="1:5" x14ac:dyDescent="0.3">
      <c r="A195" s="4">
        <f t="shared" ref="A195:A258" ca="1" si="15">RANDBETWEEN($F$1,$F$2)</f>
        <v>43818</v>
      </c>
      <c r="B195" s="5" t="str">
        <f t="shared" ref="B195:B258" ca="1" si="16">VLOOKUP(RANDBETWEEN(1,4),$I$1:$J$4,2,FALSE)</f>
        <v>Joaquina</v>
      </c>
      <c r="C195" s="7">
        <f t="shared" ref="C195:C258" ca="1" si="17">RANDBETWEEN(1000,5000)</f>
        <v>4090</v>
      </c>
      <c r="D195" s="5" t="str">
        <f t="shared" ref="D195:D258" ca="1" si="18">VLOOKUP(RANDBETWEEN($I$6,$I$9),$I$6:$J$9,2,FALSE)</f>
        <v>Consultoria</v>
      </c>
      <c r="E195" s="3">
        <f t="shared" ref="E195:E258" ca="1" si="19">MONTH(A195)</f>
        <v>12</v>
      </c>
    </row>
    <row r="196" spans="1:5" x14ac:dyDescent="0.3">
      <c r="A196" s="4">
        <f t="shared" ca="1" si="15"/>
        <v>43521</v>
      </c>
      <c r="B196" s="5" t="str">
        <f t="shared" ca="1" si="16"/>
        <v>Marcelo</v>
      </c>
      <c r="C196" s="7">
        <f t="shared" ca="1" si="17"/>
        <v>2971</v>
      </c>
      <c r="D196" s="5" t="str">
        <f t="shared" ca="1" si="18"/>
        <v>5S</v>
      </c>
      <c r="E196" s="3">
        <f t="shared" ca="1" si="19"/>
        <v>2</v>
      </c>
    </row>
    <row r="197" spans="1:5" x14ac:dyDescent="0.3">
      <c r="A197" s="4">
        <f t="shared" ca="1" si="15"/>
        <v>43472</v>
      </c>
      <c r="B197" s="5" t="str">
        <f t="shared" ca="1" si="16"/>
        <v>João</v>
      </c>
      <c r="C197" s="7">
        <f t="shared" ca="1" si="17"/>
        <v>1133</v>
      </c>
      <c r="D197" s="5" t="str">
        <f t="shared" ca="1" si="18"/>
        <v>Consultoria</v>
      </c>
      <c r="E197" s="3">
        <f t="shared" ca="1" si="19"/>
        <v>1</v>
      </c>
    </row>
    <row r="198" spans="1:5" x14ac:dyDescent="0.3">
      <c r="A198" s="4">
        <f t="shared" ca="1" si="15"/>
        <v>43803</v>
      </c>
      <c r="B198" s="5" t="str">
        <f t="shared" ca="1" si="16"/>
        <v>João</v>
      </c>
      <c r="C198" s="7">
        <f t="shared" ca="1" si="17"/>
        <v>1869</v>
      </c>
      <c r="D198" s="5" t="str">
        <f t="shared" ca="1" si="18"/>
        <v>5S</v>
      </c>
      <c r="E198" s="3">
        <f t="shared" ca="1" si="19"/>
        <v>12</v>
      </c>
    </row>
    <row r="199" spans="1:5" x14ac:dyDescent="0.3">
      <c r="A199" s="4">
        <f t="shared" ca="1" si="15"/>
        <v>43591</v>
      </c>
      <c r="B199" s="5" t="str">
        <f t="shared" ca="1" si="16"/>
        <v>João</v>
      </c>
      <c r="C199" s="7">
        <f t="shared" ca="1" si="17"/>
        <v>3233</v>
      </c>
      <c r="D199" s="5" t="str">
        <f t="shared" ca="1" si="18"/>
        <v>Consultoria</v>
      </c>
      <c r="E199" s="3">
        <f t="shared" ca="1" si="19"/>
        <v>5</v>
      </c>
    </row>
    <row r="200" spans="1:5" x14ac:dyDescent="0.3">
      <c r="A200" s="4">
        <f t="shared" ca="1" si="15"/>
        <v>43536</v>
      </c>
      <c r="B200" s="5" t="str">
        <f t="shared" ca="1" si="16"/>
        <v>Joaquina</v>
      </c>
      <c r="C200" s="7">
        <f t="shared" ca="1" si="17"/>
        <v>4739</v>
      </c>
      <c r="D200" s="5" t="str">
        <f t="shared" ca="1" si="18"/>
        <v>Finanças</v>
      </c>
      <c r="E200" s="3">
        <f t="shared" ca="1" si="19"/>
        <v>3</v>
      </c>
    </row>
    <row r="201" spans="1:5" x14ac:dyDescent="0.3">
      <c r="A201" s="4">
        <f t="shared" ca="1" si="15"/>
        <v>43586</v>
      </c>
      <c r="B201" s="5" t="str">
        <f t="shared" ca="1" si="16"/>
        <v>João</v>
      </c>
      <c r="C201" s="7">
        <f t="shared" ca="1" si="17"/>
        <v>3308</v>
      </c>
      <c r="D201" s="5" t="str">
        <f t="shared" ca="1" si="18"/>
        <v>5S</v>
      </c>
      <c r="E201" s="3">
        <f t="shared" ca="1" si="19"/>
        <v>5</v>
      </c>
    </row>
    <row r="202" spans="1:5" x14ac:dyDescent="0.3">
      <c r="A202" s="4">
        <f t="shared" ca="1" si="15"/>
        <v>43720</v>
      </c>
      <c r="B202" s="5" t="str">
        <f t="shared" ca="1" si="16"/>
        <v>Maria</v>
      </c>
      <c r="C202" s="7">
        <f t="shared" ca="1" si="17"/>
        <v>4798</v>
      </c>
      <c r="D202" s="5" t="str">
        <f t="shared" ca="1" si="18"/>
        <v>5S</v>
      </c>
      <c r="E202" s="3">
        <f t="shared" ca="1" si="19"/>
        <v>9</v>
      </c>
    </row>
    <row r="203" spans="1:5" x14ac:dyDescent="0.3">
      <c r="A203" s="4">
        <f t="shared" ca="1" si="15"/>
        <v>43701</v>
      </c>
      <c r="B203" s="5" t="str">
        <f t="shared" ca="1" si="16"/>
        <v>Joaquina</v>
      </c>
      <c r="C203" s="7">
        <f t="shared" ca="1" si="17"/>
        <v>1929</v>
      </c>
      <c r="D203" s="5" t="str">
        <f t="shared" ca="1" si="18"/>
        <v>Consultoria</v>
      </c>
      <c r="E203" s="3">
        <f t="shared" ca="1" si="19"/>
        <v>8</v>
      </c>
    </row>
    <row r="204" spans="1:5" x14ac:dyDescent="0.3">
      <c r="A204" s="4">
        <f t="shared" ca="1" si="15"/>
        <v>43600</v>
      </c>
      <c r="B204" s="5" t="str">
        <f t="shared" ca="1" si="16"/>
        <v>Marcelo</v>
      </c>
      <c r="C204" s="7">
        <f t="shared" ca="1" si="17"/>
        <v>1144</v>
      </c>
      <c r="D204" s="5" t="str">
        <f t="shared" ca="1" si="18"/>
        <v>Finanças</v>
      </c>
      <c r="E204" s="3">
        <f t="shared" ca="1" si="19"/>
        <v>5</v>
      </c>
    </row>
    <row r="205" spans="1:5" x14ac:dyDescent="0.3">
      <c r="A205" s="4">
        <f t="shared" ca="1" si="15"/>
        <v>43734</v>
      </c>
      <c r="B205" s="5" t="str">
        <f t="shared" ca="1" si="16"/>
        <v>Joaquina</v>
      </c>
      <c r="C205" s="7">
        <f t="shared" ca="1" si="17"/>
        <v>2478</v>
      </c>
      <c r="D205" s="5" t="str">
        <f t="shared" ca="1" si="18"/>
        <v>Consultoria</v>
      </c>
      <c r="E205" s="3">
        <f t="shared" ca="1" si="19"/>
        <v>9</v>
      </c>
    </row>
    <row r="206" spans="1:5" x14ac:dyDescent="0.3">
      <c r="A206" s="4">
        <f t="shared" ca="1" si="15"/>
        <v>43473</v>
      </c>
      <c r="B206" s="5" t="str">
        <f t="shared" ca="1" si="16"/>
        <v>Joaquina</v>
      </c>
      <c r="C206" s="7">
        <f t="shared" ca="1" si="17"/>
        <v>3015</v>
      </c>
      <c r="D206" s="5" t="str">
        <f t="shared" ca="1" si="18"/>
        <v>Finanças</v>
      </c>
      <c r="E206" s="3">
        <f t="shared" ca="1" si="19"/>
        <v>1</v>
      </c>
    </row>
    <row r="207" spans="1:5" x14ac:dyDescent="0.3">
      <c r="A207" s="4">
        <f t="shared" ca="1" si="15"/>
        <v>43610</v>
      </c>
      <c r="B207" s="5" t="str">
        <f t="shared" ca="1" si="16"/>
        <v>Marcelo</v>
      </c>
      <c r="C207" s="7">
        <f t="shared" ca="1" si="17"/>
        <v>4307</v>
      </c>
      <c r="D207" s="5" t="str">
        <f t="shared" ca="1" si="18"/>
        <v>Finanças</v>
      </c>
      <c r="E207" s="3">
        <f t="shared" ca="1" si="19"/>
        <v>5</v>
      </c>
    </row>
    <row r="208" spans="1:5" x14ac:dyDescent="0.3">
      <c r="A208" s="4">
        <f t="shared" ca="1" si="15"/>
        <v>43722</v>
      </c>
      <c r="B208" s="5" t="str">
        <f t="shared" ca="1" si="16"/>
        <v>Joaquina</v>
      </c>
      <c r="C208" s="7">
        <f t="shared" ca="1" si="17"/>
        <v>4962</v>
      </c>
      <c r="D208" s="5" t="str">
        <f t="shared" ca="1" si="18"/>
        <v>Padronização</v>
      </c>
      <c r="E208" s="3">
        <f t="shared" ca="1" si="19"/>
        <v>9</v>
      </c>
    </row>
    <row r="209" spans="1:5" x14ac:dyDescent="0.3">
      <c r="A209" s="4">
        <f t="shared" ca="1" si="15"/>
        <v>43788</v>
      </c>
      <c r="B209" s="5" t="str">
        <f t="shared" ca="1" si="16"/>
        <v>João</v>
      </c>
      <c r="C209" s="7">
        <f t="shared" ca="1" si="17"/>
        <v>1471</v>
      </c>
      <c r="D209" s="5" t="str">
        <f t="shared" ca="1" si="18"/>
        <v>Padronização</v>
      </c>
      <c r="E209" s="3">
        <f t="shared" ca="1" si="19"/>
        <v>11</v>
      </c>
    </row>
    <row r="210" spans="1:5" x14ac:dyDescent="0.3">
      <c r="A210" s="4">
        <f t="shared" ca="1" si="15"/>
        <v>43741</v>
      </c>
      <c r="B210" s="5" t="str">
        <f t="shared" ca="1" si="16"/>
        <v>Maria</v>
      </c>
      <c r="C210" s="7">
        <f t="shared" ca="1" si="17"/>
        <v>1389</v>
      </c>
      <c r="D210" s="5" t="str">
        <f t="shared" ca="1" si="18"/>
        <v>5S</v>
      </c>
      <c r="E210" s="3">
        <f t="shared" ca="1" si="19"/>
        <v>10</v>
      </c>
    </row>
    <row r="211" spans="1:5" x14ac:dyDescent="0.3">
      <c r="A211" s="4">
        <f t="shared" ca="1" si="15"/>
        <v>43736</v>
      </c>
      <c r="B211" s="5" t="str">
        <f t="shared" ca="1" si="16"/>
        <v>Marcelo</v>
      </c>
      <c r="C211" s="7">
        <f t="shared" ca="1" si="17"/>
        <v>3367</v>
      </c>
      <c r="D211" s="5" t="str">
        <f t="shared" ca="1" si="18"/>
        <v>5S</v>
      </c>
      <c r="E211" s="3">
        <f t="shared" ca="1" si="19"/>
        <v>9</v>
      </c>
    </row>
    <row r="212" spans="1:5" x14ac:dyDescent="0.3">
      <c r="A212" s="4">
        <f t="shared" ca="1" si="15"/>
        <v>43757</v>
      </c>
      <c r="B212" s="5" t="str">
        <f t="shared" ca="1" si="16"/>
        <v>Maria</v>
      </c>
      <c r="C212" s="7">
        <f t="shared" ca="1" si="17"/>
        <v>4359</v>
      </c>
      <c r="D212" s="5" t="str">
        <f t="shared" ca="1" si="18"/>
        <v>Padronização</v>
      </c>
      <c r="E212" s="3">
        <f t="shared" ca="1" si="19"/>
        <v>10</v>
      </c>
    </row>
    <row r="213" spans="1:5" x14ac:dyDescent="0.3">
      <c r="A213" s="4">
        <f t="shared" ca="1" si="15"/>
        <v>43536</v>
      </c>
      <c r="B213" s="5" t="str">
        <f t="shared" ca="1" si="16"/>
        <v>Marcelo</v>
      </c>
      <c r="C213" s="7">
        <f t="shared" ca="1" si="17"/>
        <v>2507</v>
      </c>
      <c r="D213" s="5" t="str">
        <f t="shared" ca="1" si="18"/>
        <v>Finanças</v>
      </c>
      <c r="E213" s="3">
        <f t="shared" ca="1" si="19"/>
        <v>3</v>
      </c>
    </row>
    <row r="214" spans="1:5" x14ac:dyDescent="0.3">
      <c r="A214" s="4">
        <f t="shared" ca="1" si="15"/>
        <v>43777</v>
      </c>
      <c r="B214" s="5" t="str">
        <f t="shared" ca="1" si="16"/>
        <v>João</v>
      </c>
      <c r="C214" s="7">
        <f t="shared" ca="1" si="17"/>
        <v>1294</v>
      </c>
      <c r="D214" s="5" t="str">
        <f t="shared" ca="1" si="18"/>
        <v>5S</v>
      </c>
      <c r="E214" s="3">
        <f t="shared" ca="1" si="19"/>
        <v>11</v>
      </c>
    </row>
    <row r="215" spans="1:5" x14ac:dyDescent="0.3">
      <c r="A215" s="4">
        <f t="shared" ca="1" si="15"/>
        <v>43631</v>
      </c>
      <c r="B215" s="5" t="str">
        <f t="shared" ca="1" si="16"/>
        <v>João</v>
      </c>
      <c r="C215" s="7">
        <f t="shared" ca="1" si="17"/>
        <v>4002</v>
      </c>
      <c r="D215" s="5" t="str">
        <f t="shared" ca="1" si="18"/>
        <v>Consultoria</v>
      </c>
      <c r="E215" s="3">
        <f t="shared" ca="1" si="19"/>
        <v>6</v>
      </c>
    </row>
    <row r="216" spans="1:5" x14ac:dyDescent="0.3">
      <c r="A216" s="4">
        <f t="shared" ca="1" si="15"/>
        <v>43787</v>
      </c>
      <c r="B216" s="5" t="str">
        <f t="shared" ca="1" si="16"/>
        <v>Marcelo</v>
      </c>
      <c r="C216" s="7">
        <f t="shared" ca="1" si="17"/>
        <v>4017</v>
      </c>
      <c r="D216" s="5" t="str">
        <f t="shared" ca="1" si="18"/>
        <v>Finanças</v>
      </c>
      <c r="E216" s="3">
        <f t="shared" ca="1" si="19"/>
        <v>11</v>
      </c>
    </row>
    <row r="217" spans="1:5" x14ac:dyDescent="0.3">
      <c r="A217" s="4">
        <f t="shared" ca="1" si="15"/>
        <v>43827</v>
      </c>
      <c r="B217" s="5" t="str">
        <f t="shared" ca="1" si="16"/>
        <v>João</v>
      </c>
      <c r="C217" s="7">
        <f t="shared" ca="1" si="17"/>
        <v>2388</v>
      </c>
      <c r="D217" s="5" t="str">
        <f t="shared" ca="1" si="18"/>
        <v>Padronização</v>
      </c>
      <c r="E217" s="3">
        <f t="shared" ca="1" si="19"/>
        <v>12</v>
      </c>
    </row>
    <row r="218" spans="1:5" x14ac:dyDescent="0.3">
      <c r="A218" s="4">
        <f t="shared" ca="1" si="15"/>
        <v>43613</v>
      </c>
      <c r="B218" s="5" t="str">
        <f t="shared" ca="1" si="16"/>
        <v>João</v>
      </c>
      <c r="C218" s="7">
        <f t="shared" ca="1" si="17"/>
        <v>1988</v>
      </c>
      <c r="D218" s="5" t="str">
        <f t="shared" ca="1" si="18"/>
        <v>Consultoria</v>
      </c>
      <c r="E218" s="3">
        <f t="shared" ca="1" si="19"/>
        <v>5</v>
      </c>
    </row>
    <row r="219" spans="1:5" x14ac:dyDescent="0.3">
      <c r="A219" s="4">
        <f t="shared" ca="1" si="15"/>
        <v>43828</v>
      </c>
      <c r="B219" s="5" t="str">
        <f t="shared" ca="1" si="16"/>
        <v>Marcelo</v>
      </c>
      <c r="C219" s="7">
        <f t="shared" ca="1" si="17"/>
        <v>1761</v>
      </c>
      <c r="D219" s="5" t="str">
        <f t="shared" ca="1" si="18"/>
        <v>5S</v>
      </c>
      <c r="E219" s="3">
        <f t="shared" ca="1" si="19"/>
        <v>12</v>
      </c>
    </row>
    <row r="220" spans="1:5" x14ac:dyDescent="0.3">
      <c r="A220" s="4">
        <f t="shared" ca="1" si="15"/>
        <v>43608</v>
      </c>
      <c r="B220" s="5" t="str">
        <f t="shared" ca="1" si="16"/>
        <v>Joaquina</v>
      </c>
      <c r="C220" s="7">
        <f t="shared" ca="1" si="17"/>
        <v>3884</v>
      </c>
      <c r="D220" s="5" t="str">
        <f t="shared" ca="1" si="18"/>
        <v>Consultoria</v>
      </c>
      <c r="E220" s="3">
        <f t="shared" ca="1" si="19"/>
        <v>5</v>
      </c>
    </row>
    <row r="221" spans="1:5" x14ac:dyDescent="0.3">
      <c r="A221" s="4">
        <f t="shared" ca="1" si="15"/>
        <v>43607</v>
      </c>
      <c r="B221" s="5" t="str">
        <f t="shared" ca="1" si="16"/>
        <v>Marcelo</v>
      </c>
      <c r="C221" s="7">
        <f t="shared" ca="1" si="17"/>
        <v>4421</v>
      </c>
      <c r="D221" s="5" t="str">
        <f t="shared" ca="1" si="18"/>
        <v>Padronização</v>
      </c>
      <c r="E221" s="3">
        <f t="shared" ca="1" si="19"/>
        <v>5</v>
      </c>
    </row>
    <row r="222" spans="1:5" x14ac:dyDescent="0.3">
      <c r="A222" s="4">
        <f t="shared" ca="1" si="15"/>
        <v>43664</v>
      </c>
      <c r="B222" s="5" t="str">
        <f t="shared" ca="1" si="16"/>
        <v>Maria</v>
      </c>
      <c r="C222" s="7">
        <f t="shared" ca="1" si="17"/>
        <v>1056</v>
      </c>
      <c r="D222" s="5" t="str">
        <f t="shared" ca="1" si="18"/>
        <v>Padronização</v>
      </c>
      <c r="E222" s="3">
        <f t="shared" ca="1" si="19"/>
        <v>7</v>
      </c>
    </row>
    <row r="223" spans="1:5" x14ac:dyDescent="0.3">
      <c r="A223" s="4">
        <f t="shared" ca="1" si="15"/>
        <v>43739</v>
      </c>
      <c r="B223" s="5" t="str">
        <f t="shared" ca="1" si="16"/>
        <v>João</v>
      </c>
      <c r="C223" s="7">
        <f t="shared" ca="1" si="17"/>
        <v>1012</v>
      </c>
      <c r="D223" s="5" t="str">
        <f t="shared" ca="1" si="18"/>
        <v>Consultoria</v>
      </c>
      <c r="E223" s="3">
        <f t="shared" ca="1" si="19"/>
        <v>10</v>
      </c>
    </row>
    <row r="224" spans="1:5" x14ac:dyDescent="0.3">
      <c r="A224" s="4">
        <f t="shared" ca="1" si="15"/>
        <v>43729</v>
      </c>
      <c r="B224" s="5" t="str">
        <f t="shared" ca="1" si="16"/>
        <v>Marcelo</v>
      </c>
      <c r="C224" s="7">
        <f t="shared" ca="1" si="17"/>
        <v>4132</v>
      </c>
      <c r="D224" s="5" t="str">
        <f t="shared" ca="1" si="18"/>
        <v>Consultoria</v>
      </c>
      <c r="E224" s="3">
        <f t="shared" ca="1" si="19"/>
        <v>9</v>
      </c>
    </row>
    <row r="225" spans="1:5" x14ac:dyDescent="0.3">
      <c r="A225" s="4">
        <f t="shared" ca="1" si="15"/>
        <v>43664</v>
      </c>
      <c r="B225" s="5" t="str">
        <f t="shared" ca="1" si="16"/>
        <v>Joaquina</v>
      </c>
      <c r="C225" s="7">
        <f t="shared" ca="1" si="17"/>
        <v>3609</v>
      </c>
      <c r="D225" s="5" t="str">
        <f t="shared" ca="1" si="18"/>
        <v>Padronização</v>
      </c>
      <c r="E225" s="3">
        <f t="shared" ca="1" si="19"/>
        <v>7</v>
      </c>
    </row>
    <row r="226" spans="1:5" x14ac:dyDescent="0.3">
      <c r="A226" s="4">
        <f t="shared" ca="1" si="15"/>
        <v>43698</v>
      </c>
      <c r="B226" s="5" t="str">
        <f t="shared" ca="1" si="16"/>
        <v>João</v>
      </c>
      <c r="C226" s="7">
        <f t="shared" ca="1" si="17"/>
        <v>1112</v>
      </c>
      <c r="D226" s="5" t="str">
        <f t="shared" ca="1" si="18"/>
        <v>Finanças</v>
      </c>
      <c r="E226" s="3">
        <f t="shared" ca="1" si="19"/>
        <v>8</v>
      </c>
    </row>
    <row r="227" spans="1:5" x14ac:dyDescent="0.3">
      <c r="A227" s="4">
        <f t="shared" ca="1" si="15"/>
        <v>43531</v>
      </c>
      <c r="B227" s="5" t="str">
        <f t="shared" ca="1" si="16"/>
        <v>João</v>
      </c>
      <c r="C227" s="7">
        <f t="shared" ca="1" si="17"/>
        <v>4104</v>
      </c>
      <c r="D227" s="5" t="str">
        <f t="shared" ca="1" si="18"/>
        <v>Consultoria</v>
      </c>
      <c r="E227" s="3">
        <f t="shared" ca="1" si="19"/>
        <v>3</v>
      </c>
    </row>
    <row r="228" spans="1:5" x14ac:dyDescent="0.3">
      <c r="A228" s="4">
        <f t="shared" ca="1" si="15"/>
        <v>43501</v>
      </c>
      <c r="B228" s="5" t="str">
        <f t="shared" ca="1" si="16"/>
        <v>Joaquina</v>
      </c>
      <c r="C228" s="7">
        <f t="shared" ca="1" si="17"/>
        <v>4744</v>
      </c>
      <c r="D228" s="5" t="str">
        <f t="shared" ca="1" si="18"/>
        <v>5S</v>
      </c>
      <c r="E228" s="3">
        <f t="shared" ca="1" si="19"/>
        <v>2</v>
      </c>
    </row>
    <row r="229" spans="1:5" x14ac:dyDescent="0.3">
      <c r="A229" s="4">
        <f t="shared" ca="1" si="15"/>
        <v>43630</v>
      </c>
      <c r="B229" s="5" t="str">
        <f t="shared" ca="1" si="16"/>
        <v>Marcelo</v>
      </c>
      <c r="C229" s="7">
        <f t="shared" ca="1" si="17"/>
        <v>3457</v>
      </c>
      <c r="D229" s="5" t="str">
        <f t="shared" ca="1" si="18"/>
        <v>Padronização</v>
      </c>
      <c r="E229" s="3">
        <f t="shared" ca="1" si="19"/>
        <v>6</v>
      </c>
    </row>
    <row r="230" spans="1:5" x14ac:dyDescent="0.3">
      <c r="A230" s="4">
        <f t="shared" ca="1" si="15"/>
        <v>43776</v>
      </c>
      <c r="B230" s="5" t="str">
        <f t="shared" ca="1" si="16"/>
        <v>João</v>
      </c>
      <c r="C230" s="7">
        <f t="shared" ca="1" si="17"/>
        <v>1403</v>
      </c>
      <c r="D230" s="5" t="str">
        <f t="shared" ca="1" si="18"/>
        <v>Padronização</v>
      </c>
      <c r="E230" s="3">
        <f t="shared" ca="1" si="19"/>
        <v>11</v>
      </c>
    </row>
    <row r="231" spans="1:5" x14ac:dyDescent="0.3">
      <c r="A231" s="4">
        <f t="shared" ca="1" si="15"/>
        <v>43717</v>
      </c>
      <c r="B231" s="5" t="str">
        <f t="shared" ca="1" si="16"/>
        <v>Maria</v>
      </c>
      <c r="C231" s="7">
        <f t="shared" ca="1" si="17"/>
        <v>1124</v>
      </c>
      <c r="D231" s="5" t="str">
        <f t="shared" ca="1" si="18"/>
        <v>Finanças</v>
      </c>
      <c r="E231" s="3">
        <f t="shared" ca="1" si="19"/>
        <v>9</v>
      </c>
    </row>
    <row r="232" spans="1:5" x14ac:dyDescent="0.3">
      <c r="A232" s="4">
        <f t="shared" ca="1" si="15"/>
        <v>43653</v>
      </c>
      <c r="B232" s="5" t="str">
        <f t="shared" ca="1" si="16"/>
        <v>Joaquina</v>
      </c>
      <c r="C232" s="7">
        <f t="shared" ca="1" si="17"/>
        <v>2839</v>
      </c>
      <c r="D232" s="5" t="str">
        <f t="shared" ca="1" si="18"/>
        <v>5S</v>
      </c>
      <c r="E232" s="3">
        <f t="shared" ca="1" si="19"/>
        <v>7</v>
      </c>
    </row>
    <row r="233" spans="1:5" x14ac:dyDescent="0.3">
      <c r="A233" s="4">
        <f t="shared" ca="1" si="15"/>
        <v>43702</v>
      </c>
      <c r="B233" s="5" t="str">
        <f t="shared" ca="1" si="16"/>
        <v>Joaquina</v>
      </c>
      <c r="C233" s="7">
        <f t="shared" ca="1" si="17"/>
        <v>3141</v>
      </c>
      <c r="D233" s="5" t="str">
        <f t="shared" ca="1" si="18"/>
        <v>5S</v>
      </c>
      <c r="E233" s="3">
        <f t="shared" ca="1" si="19"/>
        <v>8</v>
      </c>
    </row>
    <row r="234" spans="1:5" x14ac:dyDescent="0.3">
      <c r="A234" s="4">
        <f t="shared" ca="1" si="15"/>
        <v>43531</v>
      </c>
      <c r="B234" s="5" t="str">
        <f t="shared" ca="1" si="16"/>
        <v>Joaquina</v>
      </c>
      <c r="C234" s="7">
        <f t="shared" ca="1" si="17"/>
        <v>2265</v>
      </c>
      <c r="D234" s="5" t="str">
        <f t="shared" ca="1" si="18"/>
        <v>Consultoria</v>
      </c>
      <c r="E234" s="3">
        <f t="shared" ca="1" si="19"/>
        <v>3</v>
      </c>
    </row>
    <row r="235" spans="1:5" x14ac:dyDescent="0.3">
      <c r="A235" s="4">
        <f t="shared" ca="1" si="15"/>
        <v>43740</v>
      </c>
      <c r="B235" s="5" t="str">
        <f t="shared" ca="1" si="16"/>
        <v>Joaquina</v>
      </c>
      <c r="C235" s="7">
        <f t="shared" ca="1" si="17"/>
        <v>1874</v>
      </c>
      <c r="D235" s="5" t="str">
        <f t="shared" ca="1" si="18"/>
        <v>Padronização</v>
      </c>
      <c r="E235" s="3">
        <f t="shared" ca="1" si="19"/>
        <v>10</v>
      </c>
    </row>
    <row r="236" spans="1:5" x14ac:dyDescent="0.3">
      <c r="A236" s="4">
        <f t="shared" ca="1" si="15"/>
        <v>43712</v>
      </c>
      <c r="B236" s="5" t="str">
        <f t="shared" ca="1" si="16"/>
        <v>João</v>
      </c>
      <c r="C236" s="7">
        <f t="shared" ca="1" si="17"/>
        <v>2126</v>
      </c>
      <c r="D236" s="5" t="str">
        <f t="shared" ca="1" si="18"/>
        <v>Padronização</v>
      </c>
      <c r="E236" s="3">
        <f t="shared" ca="1" si="19"/>
        <v>9</v>
      </c>
    </row>
    <row r="237" spans="1:5" x14ac:dyDescent="0.3">
      <c r="A237" s="4">
        <f t="shared" ca="1" si="15"/>
        <v>43711</v>
      </c>
      <c r="B237" s="5" t="str">
        <f t="shared" ca="1" si="16"/>
        <v>Marcelo</v>
      </c>
      <c r="C237" s="7">
        <f t="shared" ca="1" si="17"/>
        <v>3850</v>
      </c>
      <c r="D237" s="5" t="str">
        <f t="shared" ca="1" si="18"/>
        <v>Consultoria</v>
      </c>
      <c r="E237" s="3">
        <f t="shared" ca="1" si="19"/>
        <v>9</v>
      </c>
    </row>
    <row r="238" spans="1:5" x14ac:dyDescent="0.3">
      <c r="A238" s="4">
        <f t="shared" ca="1" si="15"/>
        <v>43722</v>
      </c>
      <c r="B238" s="5" t="str">
        <f t="shared" ca="1" si="16"/>
        <v>Marcelo</v>
      </c>
      <c r="C238" s="7">
        <f t="shared" ca="1" si="17"/>
        <v>4042</v>
      </c>
      <c r="D238" s="5" t="str">
        <f t="shared" ca="1" si="18"/>
        <v>Padronização</v>
      </c>
      <c r="E238" s="3">
        <f t="shared" ca="1" si="19"/>
        <v>9</v>
      </c>
    </row>
    <row r="239" spans="1:5" x14ac:dyDescent="0.3">
      <c r="A239" s="4">
        <f t="shared" ca="1" si="15"/>
        <v>43604</v>
      </c>
      <c r="B239" s="5" t="str">
        <f t="shared" ca="1" si="16"/>
        <v>João</v>
      </c>
      <c r="C239" s="7">
        <f t="shared" ca="1" si="17"/>
        <v>4739</v>
      </c>
      <c r="D239" s="5" t="str">
        <f t="shared" ca="1" si="18"/>
        <v>Padronização</v>
      </c>
      <c r="E239" s="3">
        <f t="shared" ca="1" si="19"/>
        <v>5</v>
      </c>
    </row>
    <row r="240" spans="1:5" x14ac:dyDescent="0.3">
      <c r="A240" s="4">
        <f t="shared" ca="1" si="15"/>
        <v>43814</v>
      </c>
      <c r="B240" s="5" t="str">
        <f t="shared" ca="1" si="16"/>
        <v>Marcelo</v>
      </c>
      <c r="C240" s="7">
        <f t="shared" ca="1" si="17"/>
        <v>2508</v>
      </c>
      <c r="D240" s="5" t="str">
        <f t="shared" ca="1" si="18"/>
        <v>Finanças</v>
      </c>
      <c r="E240" s="3">
        <f t="shared" ca="1" si="19"/>
        <v>12</v>
      </c>
    </row>
    <row r="241" spans="1:5" x14ac:dyDescent="0.3">
      <c r="A241" s="4">
        <f t="shared" ca="1" si="15"/>
        <v>43705</v>
      </c>
      <c r="B241" s="5" t="str">
        <f t="shared" ca="1" si="16"/>
        <v>João</v>
      </c>
      <c r="C241" s="7">
        <f t="shared" ca="1" si="17"/>
        <v>2453</v>
      </c>
      <c r="D241" s="5" t="str">
        <f t="shared" ca="1" si="18"/>
        <v>Padronização</v>
      </c>
      <c r="E241" s="3">
        <f t="shared" ca="1" si="19"/>
        <v>8</v>
      </c>
    </row>
    <row r="242" spans="1:5" x14ac:dyDescent="0.3">
      <c r="A242" s="4">
        <f t="shared" ca="1" si="15"/>
        <v>43714</v>
      </c>
      <c r="B242" s="5" t="str">
        <f t="shared" ca="1" si="16"/>
        <v>João</v>
      </c>
      <c r="C242" s="7">
        <f t="shared" ca="1" si="17"/>
        <v>2545</v>
      </c>
      <c r="D242" s="5" t="str">
        <f t="shared" ca="1" si="18"/>
        <v>Consultoria</v>
      </c>
      <c r="E242" s="3">
        <f t="shared" ca="1" si="19"/>
        <v>9</v>
      </c>
    </row>
    <row r="243" spans="1:5" x14ac:dyDescent="0.3">
      <c r="A243" s="4">
        <f t="shared" ca="1" si="15"/>
        <v>43609</v>
      </c>
      <c r="B243" s="5" t="str">
        <f t="shared" ca="1" si="16"/>
        <v>João</v>
      </c>
      <c r="C243" s="7">
        <f t="shared" ca="1" si="17"/>
        <v>1751</v>
      </c>
      <c r="D243" s="5" t="str">
        <f t="shared" ca="1" si="18"/>
        <v>Finanças</v>
      </c>
      <c r="E243" s="3">
        <f t="shared" ca="1" si="19"/>
        <v>5</v>
      </c>
    </row>
    <row r="244" spans="1:5" x14ac:dyDescent="0.3">
      <c r="A244" s="4">
        <f t="shared" ca="1" si="15"/>
        <v>43596</v>
      </c>
      <c r="B244" s="5" t="str">
        <f t="shared" ca="1" si="16"/>
        <v>Marcelo</v>
      </c>
      <c r="C244" s="7">
        <f t="shared" ca="1" si="17"/>
        <v>1743</v>
      </c>
      <c r="D244" s="5" t="str">
        <f t="shared" ca="1" si="18"/>
        <v>Padronização</v>
      </c>
      <c r="E244" s="3">
        <f t="shared" ca="1" si="19"/>
        <v>5</v>
      </c>
    </row>
    <row r="245" spans="1:5" x14ac:dyDescent="0.3">
      <c r="A245" s="4">
        <f t="shared" ca="1" si="15"/>
        <v>43559</v>
      </c>
      <c r="B245" s="5" t="str">
        <f t="shared" ca="1" si="16"/>
        <v>Marcelo</v>
      </c>
      <c r="C245" s="7">
        <f t="shared" ca="1" si="17"/>
        <v>4030</v>
      </c>
      <c r="D245" s="5" t="str">
        <f t="shared" ca="1" si="18"/>
        <v>Consultoria</v>
      </c>
      <c r="E245" s="3">
        <f t="shared" ca="1" si="19"/>
        <v>4</v>
      </c>
    </row>
    <row r="246" spans="1:5" x14ac:dyDescent="0.3">
      <c r="A246" s="4">
        <f t="shared" ca="1" si="15"/>
        <v>43564</v>
      </c>
      <c r="B246" s="5" t="str">
        <f t="shared" ca="1" si="16"/>
        <v>Maria</v>
      </c>
      <c r="C246" s="7">
        <f t="shared" ca="1" si="17"/>
        <v>1179</v>
      </c>
      <c r="D246" s="5" t="str">
        <f t="shared" ca="1" si="18"/>
        <v>Consultoria</v>
      </c>
      <c r="E246" s="3">
        <f t="shared" ca="1" si="19"/>
        <v>4</v>
      </c>
    </row>
    <row r="247" spans="1:5" x14ac:dyDescent="0.3">
      <c r="A247" s="4">
        <f t="shared" ca="1" si="15"/>
        <v>43608</v>
      </c>
      <c r="B247" s="5" t="str">
        <f t="shared" ca="1" si="16"/>
        <v>Maria</v>
      </c>
      <c r="C247" s="7">
        <f t="shared" ca="1" si="17"/>
        <v>3682</v>
      </c>
      <c r="D247" s="5" t="str">
        <f t="shared" ca="1" si="18"/>
        <v>Finanças</v>
      </c>
      <c r="E247" s="3">
        <f t="shared" ca="1" si="19"/>
        <v>5</v>
      </c>
    </row>
    <row r="248" spans="1:5" x14ac:dyDescent="0.3">
      <c r="A248" s="4">
        <f t="shared" ca="1" si="15"/>
        <v>43660</v>
      </c>
      <c r="B248" s="5" t="str">
        <f t="shared" ca="1" si="16"/>
        <v>Marcelo</v>
      </c>
      <c r="C248" s="7">
        <f t="shared" ca="1" si="17"/>
        <v>3671</v>
      </c>
      <c r="D248" s="5" t="str">
        <f t="shared" ca="1" si="18"/>
        <v>Consultoria</v>
      </c>
      <c r="E248" s="3">
        <f t="shared" ca="1" si="19"/>
        <v>7</v>
      </c>
    </row>
    <row r="249" spans="1:5" x14ac:dyDescent="0.3">
      <c r="A249" s="4">
        <f t="shared" ca="1" si="15"/>
        <v>43561</v>
      </c>
      <c r="B249" s="5" t="str">
        <f t="shared" ca="1" si="16"/>
        <v>Marcelo</v>
      </c>
      <c r="C249" s="7">
        <f t="shared" ca="1" si="17"/>
        <v>3416</v>
      </c>
      <c r="D249" s="5" t="str">
        <f t="shared" ca="1" si="18"/>
        <v>Consultoria</v>
      </c>
      <c r="E249" s="3">
        <f t="shared" ca="1" si="19"/>
        <v>4</v>
      </c>
    </row>
    <row r="250" spans="1:5" x14ac:dyDescent="0.3">
      <c r="A250" s="4">
        <f t="shared" ca="1" si="15"/>
        <v>43614</v>
      </c>
      <c r="B250" s="5" t="str">
        <f t="shared" ca="1" si="16"/>
        <v>Marcelo</v>
      </c>
      <c r="C250" s="7">
        <f t="shared" ca="1" si="17"/>
        <v>3865</v>
      </c>
      <c r="D250" s="5" t="str">
        <f t="shared" ca="1" si="18"/>
        <v>Padronização</v>
      </c>
      <c r="E250" s="3">
        <f t="shared" ca="1" si="19"/>
        <v>5</v>
      </c>
    </row>
    <row r="251" spans="1:5" x14ac:dyDescent="0.3">
      <c r="A251" s="4">
        <f t="shared" ca="1" si="15"/>
        <v>43802</v>
      </c>
      <c r="B251" s="5" t="str">
        <f t="shared" ca="1" si="16"/>
        <v>Joaquina</v>
      </c>
      <c r="C251" s="7">
        <f t="shared" ca="1" si="17"/>
        <v>3907</v>
      </c>
      <c r="D251" s="5" t="str">
        <f t="shared" ca="1" si="18"/>
        <v>Finanças</v>
      </c>
      <c r="E251" s="3">
        <f t="shared" ca="1" si="19"/>
        <v>12</v>
      </c>
    </row>
    <row r="252" spans="1:5" x14ac:dyDescent="0.3">
      <c r="A252" s="4">
        <f t="shared" ca="1" si="15"/>
        <v>43605</v>
      </c>
      <c r="B252" s="5" t="str">
        <f t="shared" ca="1" si="16"/>
        <v>Marcelo</v>
      </c>
      <c r="C252" s="7">
        <f t="shared" ca="1" si="17"/>
        <v>2672</v>
      </c>
      <c r="D252" s="5" t="str">
        <f t="shared" ca="1" si="18"/>
        <v>Consultoria</v>
      </c>
      <c r="E252" s="3">
        <f t="shared" ca="1" si="19"/>
        <v>5</v>
      </c>
    </row>
    <row r="253" spans="1:5" x14ac:dyDescent="0.3">
      <c r="A253" s="4">
        <f t="shared" ca="1" si="15"/>
        <v>43593</v>
      </c>
      <c r="B253" s="5" t="str">
        <f t="shared" ca="1" si="16"/>
        <v>Maria</v>
      </c>
      <c r="C253" s="7">
        <f t="shared" ca="1" si="17"/>
        <v>4632</v>
      </c>
      <c r="D253" s="5" t="str">
        <f t="shared" ca="1" si="18"/>
        <v>Finanças</v>
      </c>
      <c r="E253" s="3">
        <f t="shared" ca="1" si="19"/>
        <v>5</v>
      </c>
    </row>
    <row r="254" spans="1:5" x14ac:dyDescent="0.3">
      <c r="A254" s="4">
        <f t="shared" ca="1" si="15"/>
        <v>43827</v>
      </c>
      <c r="B254" s="5" t="str">
        <f t="shared" ca="1" si="16"/>
        <v>João</v>
      </c>
      <c r="C254" s="7">
        <f t="shared" ca="1" si="17"/>
        <v>4118</v>
      </c>
      <c r="D254" s="5" t="str">
        <f t="shared" ca="1" si="18"/>
        <v>Consultoria</v>
      </c>
      <c r="E254" s="3">
        <f t="shared" ca="1" si="19"/>
        <v>12</v>
      </c>
    </row>
    <row r="255" spans="1:5" x14ac:dyDescent="0.3">
      <c r="A255" s="4">
        <f t="shared" ca="1" si="15"/>
        <v>43536</v>
      </c>
      <c r="B255" s="5" t="str">
        <f t="shared" ca="1" si="16"/>
        <v>Joaquina</v>
      </c>
      <c r="C255" s="7">
        <f t="shared" ca="1" si="17"/>
        <v>2108</v>
      </c>
      <c r="D255" s="5" t="str">
        <f t="shared" ca="1" si="18"/>
        <v>5S</v>
      </c>
      <c r="E255" s="3">
        <f t="shared" ca="1" si="19"/>
        <v>3</v>
      </c>
    </row>
    <row r="256" spans="1:5" x14ac:dyDescent="0.3">
      <c r="A256" s="4">
        <f t="shared" ca="1" si="15"/>
        <v>43575</v>
      </c>
      <c r="B256" s="5" t="str">
        <f t="shared" ca="1" si="16"/>
        <v>Joaquina</v>
      </c>
      <c r="C256" s="7">
        <f t="shared" ca="1" si="17"/>
        <v>4224</v>
      </c>
      <c r="D256" s="5" t="str">
        <f t="shared" ca="1" si="18"/>
        <v>Consultoria</v>
      </c>
      <c r="E256" s="3">
        <f t="shared" ca="1" si="19"/>
        <v>4</v>
      </c>
    </row>
    <row r="257" spans="1:5" x14ac:dyDescent="0.3">
      <c r="A257" s="4">
        <f t="shared" ca="1" si="15"/>
        <v>43715</v>
      </c>
      <c r="B257" s="5" t="str">
        <f t="shared" ca="1" si="16"/>
        <v>Joaquina</v>
      </c>
      <c r="C257" s="7">
        <f t="shared" ca="1" si="17"/>
        <v>1558</v>
      </c>
      <c r="D257" s="5" t="str">
        <f t="shared" ca="1" si="18"/>
        <v>Padronização</v>
      </c>
      <c r="E257" s="3">
        <f t="shared" ca="1" si="19"/>
        <v>9</v>
      </c>
    </row>
    <row r="258" spans="1:5" x14ac:dyDescent="0.3">
      <c r="A258" s="4">
        <f t="shared" ca="1" si="15"/>
        <v>43571</v>
      </c>
      <c r="B258" s="5" t="str">
        <f t="shared" ca="1" si="16"/>
        <v>Joaquina</v>
      </c>
      <c r="C258" s="7">
        <f t="shared" ca="1" si="17"/>
        <v>2663</v>
      </c>
      <c r="D258" s="5" t="str">
        <f t="shared" ca="1" si="18"/>
        <v>Padronização</v>
      </c>
      <c r="E258" s="3">
        <f t="shared" ca="1" si="19"/>
        <v>4</v>
      </c>
    </row>
    <row r="259" spans="1:5" x14ac:dyDescent="0.3">
      <c r="A259" s="4">
        <f t="shared" ref="A259:A322" ca="1" si="20">RANDBETWEEN($F$1,$F$2)</f>
        <v>43810</v>
      </c>
      <c r="B259" s="5" t="str">
        <f t="shared" ref="B259:B322" ca="1" si="21">VLOOKUP(RANDBETWEEN(1,4),$I$1:$J$4,2,FALSE)</f>
        <v>Marcelo</v>
      </c>
      <c r="C259" s="7">
        <f t="shared" ref="C259:C322" ca="1" si="22">RANDBETWEEN(1000,5000)</f>
        <v>1207</v>
      </c>
      <c r="D259" s="5" t="str">
        <f t="shared" ref="D259:D322" ca="1" si="23">VLOOKUP(RANDBETWEEN($I$6,$I$9),$I$6:$J$9,2,FALSE)</f>
        <v>5S</v>
      </c>
      <c r="E259" s="3">
        <f t="shared" ref="E259:E322" ca="1" si="24">MONTH(A259)</f>
        <v>12</v>
      </c>
    </row>
    <row r="260" spans="1:5" x14ac:dyDescent="0.3">
      <c r="A260" s="4">
        <f t="shared" ca="1" si="20"/>
        <v>43763</v>
      </c>
      <c r="B260" s="5" t="str">
        <f t="shared" ca="1" si="21"/>
        <v>Maria</v>
      </c>
      <c r="C260" s="7">
        <f t="shared" ca="1" si="22"/>
        <v>3091</v>
      </c>
      <c r="D260" s="5" t="str">
        <f t="shared" ca="1" si="23"/>
        <v>5S</v>
      </c>
      <c r="E260" s="3">
        <f t="shared" ca="1" si="24"/>
        <v>10</v>
      </c>
    </row>
    <row r="261" spans="1:5" x14ac:dyDescent="0.3">
      <c r="A261" s="4">
        <f t="shared" ca="1" si="20"/>
        <v>43509</v>
      </c>
      <c r="B261" s="5" t="str">
        <f t="shared" ca="1" si="21"/>
        <v>Maria</v>
      </c>
      <c r="C261" s="7">
        <f t="shared" ca="1" si="22"/>
        <v>1046</v>
      </c>
      <c r="D261" s="5" t="str">
        <f t="shared" ca="1" si="23"/>
        <v>5S</v>
      </c>
      <c r="E261" s="3">
        <f t="shared" ca="1" si="24"/>
        <v>2</v>
      </c>
    </row>
    <row r="262" spans="1:5" x14ac:dyDescent="0.3">
      <c r="A262" s="4">
        <f t="shared" ca="1" si="20"/>
        <v>43624</v>
      </c>
      <c r="B262" s="5" t="str">
        <f t="shared" ca="1" si="21"/>
        <v>Joaquina</v>
      </c>
      <c r="C262" s="7">
        <f t="shared" ca="1" si="22"/>
        <v>4146</v>
      </c>
      <c r="D262" s="5" t="str">
        <f t="shared" ca="1" si="23"/>
        <v>5S</v>
      </c>
      <c r="E262" s="3">
        <f t="shared" ca="1" si="24"/>
        <v>6</v>
      </c>
    </row>
    <row r="263" spans="1:5" x14ac:dyDescent="0.3">
      <c r="A263" s="4">
        <f t="shared" ca="1" si="20"/>
        <v>43771</v>
      </c>
      <c r="B263" s="5" t="str">
        <f t="shared" ca="1" si="21"/>
        <v>Marcelo</v>
      </c>
      <c r="C263" s="7">
        <f t="shared" ca="1" si="22"/>
        <v>2647</v>
      </c>
      <c r="D263" s="5" t="str">
        <f t="shared" ca="1" si="23"/>
        <v>Padronização</v>
      </c>
      <c r="E263" s="3">
        <f t="shared" ca="1" si="24"/>
        <v>11</v>
      </c>
    </row>
    <row r="264" spans="1:5" x14ac:dyDescent="0.3">
      <c r="A264" s="4">
        <f t="shared" ca="1" si="20"/>
        <v>43761</v>
      </c>
      <c r="B264" s="5" t="str">
        <f t="shared" ca="1" si="21"/>
        <v>Marcelo</v>
      </c>
      <c r="C264" s="7">
        <f t="shared" ca="1" si="22"/>
        <v>4328</v>
      </c>
      <c r="D264" s="5" t="str">
        <f t="shared" ca="1" si="23"/>
        <v>Padronização</v>
      </c>
      <c r="E264" s="3">
        <f t="shared" ca="1" si="24"/>
        <v>10</v>
      </c>
    </row>
    <row r="265" spans="1:5" x14ac:dyDescent="0.3">
      <c r="A265" s="4">
        <f t="shared" ca="1" si="20"/>
        <v>43765</v>
      </c>
      <c r="B265" s="5" t="str">
        <f t="shared" ca="1" si="21"/>
        <v>Joaquina</v>
      </c>
      <c r="C265" s="7">
        <f t="shared" ca="1" si="22"/>
        <v>4005</v>
      </c>
      <c r="D265" s="5" t="str">
        <f t="shared" ca="1" si="23"/>
        <v>Consultoria</v>
      </c>
      <c r="E265" s="3">
        <f t="shared" ca="1" si="24"/>
        <v>10</v>
      </c>
    </row>
    <row r="266" spans="1:5" x14ac:dyDescent="0.3">
      <c r="A266" s="4">
        <f t="shared" ca="1" si="20"/>
        <v>43488</v>
      </c>
      <c r="B266" s="5" t="str">
        <f t="shared" ca="1" si="21"/>
        <v>João</v>
      </c>
      <c r="C266" s="7">
        <f t="shared" ca="1" si="22"/>
        <v>1488</v>
      </c>
      <c r="D266" s="5" t="str">
        <f t="shared" ca="1" si="23"/>
        <v>Consultoria</v>
      </c>
      <c r="E266" s="3">
        <f t="shared" ca="1" si="24"/>
        <v>1</v>
      </c>
    </row>
    <row r="267" spans="1:5" x14ac:dyDescent="0.3">
      <c r="A267" s="4">
        <f t="shared" ca="1" si="20"/>
        <v>43826</v>
      </c>
      <c r="B267" s="5" t="str">
        <f t="shared" ca="1" si="21"/>
        <v>Marcelo</v>
      </c>
      <c r="C267" s="7">
        <f t="shared" ca="1" si="22"/>
        <v>3575</v>
      </c>
      <c r="D267" s="5" t="str">
        <f t="shared" ca="1" si="23"/>
        <v>Consultoria</v>
      </c>
      <c r="E267" s="3">
        <f t="shared" ca="1" si="24"/>
        <v>12</v>
      </c>
    </row>
    <row r="268" spans="1:5" x14ac:dyDescent="0.3">
      <c r="A268" s="4">
        <f t="shared" ca="1" si="20"/>
        <v>43798</v>
      </c>
      <c r="B268" s="5" t="str">
        <f t="shared" ca="1" si="21"/>
        <v>Maria</v>
      </c>
      <c r="C268" s="7">
        <f t="shared" ca="1" si="22"/>
        <v>2671</v>
      </c>
      <c r="D268" s="5" t="str">
        <f t="shared" ca="1" si="23"/>
        <v>Padronização</v>
      </c>
      <c r="E268" s="3">
        <f t="shared" ca="1" si="24"/>
        <v>11</v>
      </c>
    </row>
    <row r="269" spans="1:5" x14ac:dyDescent="0.3">
      <c r="A269" s="4">
        <f t="shared" ca="1" si="20"/>
        <v>43785</v>
      </c>
      <c r="B269" s="5" t="str">
        <f t="shared" ca="1" si="21"/>
        <v>Maria</v>
      </c>
      <c r="C269" s="7">
        <f t="shared" ca="1" si="22"/>
        <v>4857</v>
      </c>
      <c r="D269" s="5" t="str">
        <f t="shared" ca="1" si="23"/>
        <v>5S</v>
      </c>
      <c r="E269" s="3">
        <f t="shared" ca="1" si="24"/>
        <v>11</v>
      </c>
    </row>
    <row r="270" spans="1:5" x14ac:dyDescent="0.3">
      <c r="A270" s="4">
        <f t="shared" ca="1" si="20"/>
        <v>43573</v>
      </c>
      <c r="B270" s="5" t="str">
        <f t="shared" ca="1" si="21"/>
        <v>Joaquina</v>
      </c>
      <c r="C270" s="7">
        <f t="shared" ca="1" si="22"/>
        <v>3567</v>
      </c>
      <c r="D270" s="5" t="str">
        <f t="shared" ca="1" si="23"/>
        <v>5S</v>
      </c>
      <c r="E270" s="3">
        <f t="shared" ca="1" si="24"/>
        <v>4</v>
      </c>
    </row>
    <row r="271" spans="1:5" x14ac:dyDescent="0.3">
      <c r="A271" s="4">
        <f t="shared" ca="1" si="20"/>
        <v>43796</v>
      </c>
      <c r="B271" s="5" t="str">
        <f t="shared" ca="1" si="21"/>
        <v>Marcelo</v>
      </c>
      <c r="C271" s="7">
        <f t="shared" ca="1" si="22"/>
        <v>3165</v>
      </c>
      <c r="D271" s="5" t="str">
        <f t="shared" ca="1" si="23"/>
        <v>Finanças</v>
      </c>
      <c r="E271" s="3">
        <f t="shared" ca="1" si="24"/>
        <v>11</v>
      </c>
    </row>
    <row r="272" spans="1:5" x14ac:dyDescent="0.3">
      <c r="A272" s="4">
        <f t="shared" ca="1" si="20"/>
        <v>43795</v>
      </c>
      <c r="B272" s="5" t="str">
        <f t="shared" ca="1" si="21"/>
        <v>Maria</v>
      </c>
      <c r="C272" s="7">
        <f t="shared" ca="1" si="22"/>
        <v>2878</v>
      </c>
      <c r="D272" s="5" t="str">
        <f t="shared" ca="1" si="23"/>
        <v>Padronização</v>
      </c>
      <c r="E272" s="3">
        <f t="shared" ca="1" si="24"/>
        <v>11</v>
      </c>
    </row>
    <row r="273" spans="1:5" x14ac:dyDescent="0.3">
      <c r="A273" s="4">
        <f t="shared" ca="1" si="20"/>
        <v>43531</v>
      </c>
      <c r="B273" s="5" t="str">
        <f t="shared" ca="1" si="21"/>
        <v>Joaquina</v>
      </c>
      <c r="C273" s="7">
        <f t="shared" ca="1" si="22"/>
        <v>1514</v>
      </c>
      <c r="D273" s="5" t="str">
        <f t="shared" ca="1" si="23"/>
        <v>Consultoria</v>
      </c>
      <c r="E273" s="3">
        <f t="shared" ca="1" si="24"/>
        <v>3</v>
      </c>
    </row>
    <row r="274" spans="1:5" x14ac:dyDescent="0.3">
      <c r="A274" s="4">
        <f t="shared" ca="1" si="20"/>
        <v>43466</v>
      </c>
      <c r="B274" s="5" t="str">
        <f t="shared" ca="1" si="21"/>
        <v>Joaquina</v>
      </c>
      <c r="C274" s="7">
        <f t="shared" ca="1" si="22"/>
        <v>4289</v>
      </c>
      <c r="D274" s="5" t="str">
        <f t="shared" ca="1" si="23"/>
        <v>5S</v>
      </c>
      <c r="E274" s="3">
        <f t="shared" ca="1" si="24"/>
        <v>1</v>
      </c>
    </row>
    <row r="275" spans="1:5" x14ac:dyDescent="0.3">
      <c r="A275" s="4">
        <f t="shared" ca="1" si="20"/>
        <v>43645</v>
      </c>
      <c r="B275" s="5" t="str">
        <f t="shared" ca="1" si="21"/>
        <v>João</v>
      </c>
      <c r="C275" s="7">
        <f t="shared" ca="1" si="22"/>
        <v>2811</v>
      </c>
      <c r="D275" s="5" t="str">
        <f t="shared" ca="1" si="23"/>
        <v>Consultoria</v>
      </c>
      <c r="E275" s="3">
        <f t="shared" ca="1" si="24"/>
        <v>6</v>
      </c>
    </row>
    <row r="276" spans="1:5" x14ac:dyDescent="0.3">
      <c r="A276" s="4">
        <f t="shared" ca="1" si="20"/>
        <v>43680</v>
      </c>
      <c r="B276" s="5" t="str">
        <f t="shared" ca="1" si="21"/>
        <v>João</v>
      </c>
      <c r="C276" s="7">
        <f t="shared" ca="1" si="22"/>
        <v>4752</v>
      </c>
      <c r="D276" s="5" t="str">
        <f t="shared" ca="1" si="23"/>
        <v>Finanças</v>
      </c>
      <c r="E276" s="3">
        <f t="shared" ca="1" si="24"/>
        <v>8</v>
      </c>
    </row>
    <row r="277" spans="1:5" x14ac:dyDescent="0.3">
      <c r="A277" s="4">
        <f t="shared" ca="1" si="20"/>
        <v>43741</v>
      </c>
      <c r="B277" s="5" t="str">
        <f t="shared" ca="1" si="21"/>
        <v>João</v>
      </c>
      <c r="C277" s="7">
        <f t="shared" ca="1" si="22"/>
        <v>3512</v>
      </c>
      <c r="D277" s="5" t="str">
        <f t="shared" ca="1" si="23"/>
        <v>Padronização</v>
      </c>
      <c r="E277" s="3">
        <f t="shared" ca="1" si="24"/>
        <v>10</v>
      </c>
    </row>
    <row r="278" spans="1:5" x14ac:dyDescent="0.3">
      <c r="A278" s="4">
        <f t="shared" ca="1" si="20"/>
        <v>43816</v>
      </c>
      <c r="B278" s="5" t="str">
        <f t="shared" ca="1" si="21"/>
        <v>Marcelo</v>
      </c>
      <c r="C278" s="7">
        <f t="shared" ca="1" si="22"/>
        <v>4248</v>
      </c>
      <c r="D278" s="5" t="str">
        <f t="shared" ca="1" si="23"/>
        <v>Consultoria</v>
      </c>
      <c r="E278" s="3">
        <f t="shared" ca="1" si="24"/>
        <v>12</v>
      </c>
    </row>
    <row r="279" spans="1:5" x14ac:dyDescent="0.3">
      <c r="A279" s="4">
        <f t="shared" ca="1" si="20"/>
        <v>43474</v>
      </c>
      <c r="B279" s="5" t="str">
        <f t="shared" ca="1" si="21"/>
        <v>Joaquina</v>
      </c>
      <c r="C279" s="7">
        <f t="shared" ca="1" si="22"/>
        <v>4408</v>
      </c>
      <c r="D279" s="5" t="str">
        <f t="shared" ca="1" si="23"/>
        <v>Consultoria</v>
      </c>
      <c r="E279" s="3">
        <f t="shared" ca="1" si="24"/>
        <v>1</v>
      </c>
    </row>
    <row r="280" spans="1:5" x14ac:dyDescent="0.3">
      <c r="A280" s="4">
        <f t="shared" ca="1" si="20"/>
        <v>43661</v>
      </c>
      <c r="B280" s="5" t="str">
        <f t="shared" ca="1" si="21"/>
        <v>João</v>
      </c>
      <c r="C280" s="7">
        <f t="shared" ca="1" si="22"/>
        <v>1241</v>
      </c>
      <c r="D280" s="5" t="str">
        <f t="shared" ca="1" si="23"/>
        <v>5S</v>
      </c>
      <c r="E280" s="3">
        <f t="shared" ca="1" si="24"/>
        <v>7</v>
      </c>
    </row>
    <row r="281" spans="1:5" x14ac:dyDescent="0.3">
      <c r="A281" s="4">
        <f t="shared" ca="1" si="20"/>
        <v>43662</v>
      </c>
      <c r="B281" s="5" t="str">
        <f t="shared" ca="1" si="21"/>
        <v>Marcelo</v>
      </c>
      <c r="C281" s="7">
        <f t="shared" ca="1" si="22"/>
        <v>2612</v>
      </c>
      <c r="D281" s="5" t="str">
        <f t="shared" ca="1" si="23"/>
        <v>5S</v>
      </c>
      <c r="E281" s="3">
        <f t="shared" ca="1" si="24"/>
        <v>7</v>
      </c>
    </row>
    <row r="282" spans="1:5" x14ac:dyDescent="0.3">
      <c r="A282" s="4">
        <f t="shared" ca="1" si="20"/>
        <v>43558</v>
      </c>
      <c r="B282" s="5" t="str">
        <f t="shared" ca="1" si="21"/>
        <v>Maria</v>
      </c>
      <c r="C282" s="7">
        <f t="shared" ca="1" si="22"/>
        <v>1506</v>
      </c>
      <c r="D282" s="5" t="str">
        <f t="shared" ca="1" si="23"/>
        <v>Finanças</v>
      </c>
      <c r="E282" s="3">
        <f t="shared" ca="1" si="24"/>
        <v>4</v>
      </c>
    </row>
    <row r="283" spans="1:5" x14ac:dyDescent="0.3">
      <c r="A283" s="4">
        <f t="shared" ca="1" si="20"/>
        <v>43792</v>
      </c>
      <c r="B283" s="5" t="str">
        <f t="shared" ca="1" si="21"/>
        <v>Joaquina</v>
      </c>
      <c r="C283" s="7">
        <f t="shared" ca="1" si="22"/>
        <v>1636</v>
      </c>
      <c r="D283" s="5" t="str">
        <f t="shared" ca="1" si="23"/>
        <v>5S</v>
      </c>
      <c r="E283" s="3">
        <f t="shared" ca="1" si="24"/>
        <v>11</v>
      </c>
    </row>
    <row r="284" spans="1:5" x14ac:dyDescent="0.3">
      <c r="A284" s="4">
        <f t="shared" ca="1" si="20"/>
        <v>43562</v>
      </c>
      <c r="B284" s="5" t="str">
        <f t="shared" ca="1" si="21"/>
        <v>Maria</v>
      </c>
      <c r="C284" s="7">
        <f t="shared" ca="1" si="22"/>
        <v>4872</v>
      </c>
      <c r="D284" s="5" t="str">
        <f t="shared" ca="1" si="23"/>
        <v>5S</v>
      </c>
      <c r="E284" s="3">
        <f t="shared" ca="1" si="24"/>
        <v>4</v>
      </c>
    </row>
    <row r="285" spans="1:5" x14ac:dyDescent="0.3">
      <c r="A285" s="4">
        <f t="shared" ca="1" si="20"/>
        <v>43802</v>
      </c>
      <c r="B285" s="5" t="str">
        <f t="shared" ca="1" si="21"/>
        <v>Maria</v>
      </c>
      <c r="C285" s="7">
        <f t="shared" ca="1" si="22"/>
        <v>4968</v>
      </c>
      <c r="D285" s="5" t="str">
        <f t="shared" ca="1" si="23"/>
        <v>Consultoria</v>
      </c>
      <c r="E285" s="3">
        <f t="shared" ca="1" si="24"/>
        <v>12</v>
      </c>
    </row>
    <row r="286" spans="1:5" x14ac:dyDescent="0.3">
      <c r="A286" s="4">
        <f t="shared" ca="1" si="20"/>
        <v>43737</v>
      </c>
      <c r="B286" s="5" t="str">
        <f t="shared" ca="1" si="21"/>
        <v>Joaquina</v>
      </c>
      <c r="C286" s="7">
        <f t="shared" ca="1" si="22"/>
        <v>4796</v>
      </c>
      <c r="D286" s="5" t="str">
        <f t="shared" ca="1" si="23"/>
        <v>Consultoria</v>
      </c>
      <c r="E286" s="3">
        <f t="shared" ca="1" si="24"/>
        <v>9</v>
      </c>
    </row>
    <row r="287" spans="1:5" x14ac:dyDescent="0.3">
      <c r="A287" s="4">
        <f t="shared" ca="1" si="20"/>
        <v>43781</v>
      </c>
      <c r="B287" s="5" t="str">
        <f t="shared" ca="1" si="21"/>
        <v>Joaquina</v>
      </c>
      <c r="C287" s="7">
        <f t="shared" ca="1" si="22"/>
        <v>2788</v>
      </c>
      <c r="D287" s="5" t="str">
        <f t="shared" ca="1" si="23"/>
        <v>Padronização</v>
      </c>
      <c r="E287" s="3">
        <f t="shared" ca="1" si="24"/>
        <v>11</v>
      </c>
    </row>
    <row r="288" spans="1:5" x14ac:dyDescent="0.3">
      <c r="A288" s="4">
        <f t="shared" ca="1" si="20"/>
        <v>43604</v>
      </c>
      <c r="B288" s="5" t="str">
        <f t="shared" ca="1" si="21"/>
        <v>Joaquina</v>
      </c>
      <c r="C288" s="7">
        <f t="shared" ca="1" si="22"/>
        <v>4590</v>
      </c>
      <c r="D288" s="5" t="str">
        <f t="shared" ca="1" si="23"/>
        <v>Padronização</v>
      </c>
      <c r="E288" s="3">
        <f t="shared" ca="1" si="24"/>
        <v>5</v>
      </c>
    </row>
    <row r="289" spans="1:5" x14ac:dyDescent="0.3">
      <c r="A289" s="4">
        <f t="shared" ca="1" si="20"/>
        <v>43724</v>
      </c>
      <c r="B289" s="5" t="str">
        <f t="shared" ca="1" si="21"/>
        <v>Maria</v>
      </c>
      <c r="C289" s="7">
        <f t="shared" ca="1" si="22"/>
        <v>2849</v>
      </c>
      <c r="D289" s="5" t="str">
        <f t="shared" ca="1" si="23"/>
        <v>Padronização</v>
      </c>
      <c r="E289" s="3">
        <f t="shared" ca="1" si="24"/>
        <v>9</v>
      </c>
    </row>
    <row r="290" spans="1:5" x14ac:dyDescent="0.3">
      <c r="A290" s="4">
        <f t="shared" ca="1" si="20"/>
        <v>43702</v>
      </c>
      <c r="B290" s="5" t="str">
        <f t="shared" ca="1" si="21"/>
        <v>Joaquina</v>
      </c>
      <c r="C290" s="7">
        <f t="shared" ca="1" si="22"/>
        <v>4107</v>
      </c>
      <c r="D290" s="5" t="str">
        <f t="shared" ca="1" si="23"/>
        <v>Finanças</v>
      </c>
      <c r="E290" s="3">
        <f t="shared" ca="1" si="24"/>
        <v>8</v>
      </c>
    </row>
    <row r="291" spans="1:5" x14ac:dyDescent="0.3">
      <c r="A291" s="4">
        <f t="shared" ca="1" si="20"/>
        <v>43559</v>
      </c>
      <c r="B291" s="5" t="str">
        <f t="shared" ca="1" si="21"/>
        <v>João</v>
      </c>
      <c r="C291" s="7">
        <f t="shared" ca="1" si="22"/>
        <v>1976</v>
      </c>
      <c r="D291" s="5" t="str">
        <f t="shared" ca="1" si="23"/>
        <v>Consultoria</v>
      </c>
      <c r="E291" s="3">
        <f t="shared" ca="1" si="24"/>
        <v>4</v>
      </c>
    </row>
    <row r="292" spans="1:5" x14ac:dyDescent="0.3">
      <c r="A292" s="4">
        <f t="shared" ca="1" si="20"/>
        <v>43505</v>
      </c>
      <c r="B292" s="5" t="str">
        <f t="shared" ca="1" si="21"/>
        <v>Maria</v>
      </c>
      <c r="C292" s="7">
        <f t="shared" ca="1" si="22"/>
        <v>1506</v>
      </c>
      <c r="D292" s="5" t="str">
        <f t="shared" ca="1" si="23"/>
        <v>Finanças</v>
      </c>
      <c r="E292" s="3">
        <f t="shared" ca="1" si="24"/>
        <v>2</v>
      </c>
    </row>
    <row r="293" spans="1:5" x14ac:dyDescent="0.3">
      <c r="A293" s="4">
        <f t="shared" ca="1" si="20"/>
        <v>43736</v>
      </c>
      <c r="B293" s="5" t="str">
        <f t="shared" ca="1" si="21"/>
        <v>Joaquina</v>
      </c>
      <c r="C293" s="7">
        <f t="shared" ca="1" si="22"/>
        <v>4417</v>
      </c>
      <c r="D293" s="5" t="str">
        <f t="shared" ca="1" si="23"/>
        <v>5S</v>
      </c>
      <c r="E293" s="3">
        <f t="shared" ca="1" si="24"/>
        <v>9</v>
      </c>
    </row>
    <row r="294" spans="1:5" x14ac:dyDescent="0.3">
      <c r="A294" s="4">
        <f t="shared" ca="1" si="20"/>
        <v>43603</v>
      </c>
      <c r="B294" s="5" t="str">
        <f t="shared" ca="1" si="21"/>
        <v>João</v>
      </c>
      <c r="C294" s="7">
        <f t="shared" ca="1" si="22"/>
        <v>2028</v>
      </c>
      <c r="D294" s="5" t="str">
        <f t="shared" ca="1" si="23"/>
        <v>5S</v>
      </c>
      <c r="E294" s="3">
        <f t="shared" ca="1" si="24"/>
        <v>5</v>
      </c>
    </row>
    <row r="295" spans="1:5" x14ac:dyDescent="0.3">
      <c r="A295" s="4">
        <f t="shared" ca="1" si="20"/>
        <v>43656</v>
      </c>
      <c r="B295" s="5" t="str">
        <f t="shared" ca="1" si="21"/>
        <v>Maria</v>
      </c>
      <c r="C295" s="7">
        <f t="shared" ca="1" si="22"/>
        <v>3529</v>
      </c>
      <c r="D295" s="5" t="str">
        <f t="shared" ca="1" si="23"/>
        <v>Consultoria</v>
      </c>
      <c r="E295" s="3">
        <f t="shared" ca="1" si="24"/>
        <v>7</v>
      </c>
    </row>
    <row r="296" spans="1:5" x14ac:dyDescent="0.3">
      <c r="A296" s="4">
        <f t="shared" ca="1" si="20"/>
        <v>43761</v>
      </c>
      <c r="B296" s="5" t="str">
        <f t="shared" ca="1" si="21"/>
        <v>Joaquina</v>
      </c>
      <c r="C296" s="7">
        <f t="shared" ca="1" si="22"/>
        <v>3391</v>
      </c>
      <c r="D296" s="5" t="str">
        <f t="shared" ca="1" si="23"/>
        <v>5S</v>
      </c>
      <c r="E296" s="3">
        <f t="shared" ca="1" si="24"/>
        <v>10</v>
      </c>
    </row>
    <row r="297" spans="1:5" x14ac:dyDescent="0.3">
      <c r="A297" s="4">
        <f t="shared" ca="1" si="20"/>
        <v>43812</v>
      </c>
      <c r="B297" s="5" t="str">
        <f t="shared" ca="1" si="21"/>
        <v>Maria</v>
      </c>
      <c r="C297" s="7">
        <f t="shared" ca="1" si="22"/>
        <v>4360</v>
      </c>
      <c r="D297" s="5" t="str">
        <f t="shared" ca="1" si="23"/>
        <v>Padronização</v>
      </c>
      <c r="E297" s="3">
        <f t="shared" ca="1" si="24"/>
        <v>12</v>
      </c>
    </row>
    <row r="298" spans="1:5" x14ac:dyDescent="0.3">
      <c r="A298" s="4">
        <f t="shared" ca="1" si="20"/>
        <v>43815</v>
      </c>
      <c r="B298" s="5" t="str">
        <f t="shared" ca="1" si="21"/>
        <v>Joaquina</v>
      </c>
      <c r="C298" s="7">
        <f t="shared" ca="1" si="22"/>
        <v>3846</v>
      </c>
      <c r="D298" s="5" t="str">
        <f t="shared" ca="1" si="23"/>
        <v>Padronização</v>
      </c>
      <c r="E298" s="3">
        <f t="shared" ca="1" si="24"/>
        <v>12</v>
      </c>
    </row>
    <row r="299" spans="1:5" x14ac:dyDescent="0.3">
      <c r="A299" s="4">
        <f t="shared" ca="1" si="20"/>
        <v>43733</v>
      </c>
      <c r="B299" s="5" t="str">
        <f t="shared" ca="1" si="21"/>
        <v>Joaquina</v>
      </c>
      <c r="C299" s="7">
        <f t="shared" ca="1" si="22"/>
        <v>3466</v>
      </c>
      <c r="D299" s="5" t="str">
        <f t="shared" ca="1" si="23"/>
        <v>Finanças</v>
      </c>
      <c r="E299" s="3">
        <f t="shared" ca="1" si="24"/>
        <v>9</v>
      </c>
    </row>
    <row r="300" spans="1:5" x14ac:dyDescent="0.3">
      <c r="A300" s="4">
        <f t="shared" ca="1" si="20"/>
        <v>43809</v>
      </c>
      <c r="B300" s="5" t="str">
        <f t="shared" ca="1" si="21"/>
        <v>João</v>
      </c>
      <c r="C300" s="7">
        <f t="shared" ca="1" si="22"/>
        <v>1910</v>
      </c>
      <c r="D300" s="5" t="str">
        <f t="shared" ca="1" si="23"/>
        <v>5S</v>
      </c>
      <c r="E300" s="3">
        <f t="shared" ca="1" si="24"/>
        <v>12</v>
      </c>
    </row>
    <row r="301" spans="1:5" x14ac:dyDescent="0.3">
      <c r="A301" s="4">
        <f t="shared" ca="1" si="20"/>
        <v>43483</v>
      </c>
      <c r="B301" s="5" t="str">
        <f t="shared" ca="1" si="21"/>
        <v>Joaquina</v>
      </c>
      <c r="C301" s="7">
        <f t="shared" ca="1" si="22"/>
        <v>4488</v>
      </c>
      <c r="D301" s="5" t="str">
        <f t="shared" ca="1" si="23"/>
        <v>Finanças</v>
      </c>
      <c r="E301" s="3">
        <f t="shared" ca="1" si="24"/>
        <v>1</v>
      </c>
    </row>
    <row r="302" spans="1:5" x14ac:dyDescent="0.3">
      <c r="A302" s="4">
        <f t="shared" ca="1" si="20"/>
        <v>43725</v>
      </c>
      <c r="B302" s="5" t="str">
        <f t="shared" ca="1" si="21"/>
        <v>Joaquina</v>
      </c>
      <c r="C302" s="7">
        <f t="shared" ca="1" si="22"/>
        <v>4449</v>
      </c>
      <c r="D302" s="5" t="str">
        <f t="shared" ca="1" si="23"/>
        <v>Finanças</v>
      </c>
      <c r="E302" s="3">
        <f t="shared" ca="1" si="24"/>
        <v>9</v>
      </c>
    </row>
    <row r="303" spans="1:5" x14ac:dyDescent="0.3">
      <c r="A303" s="4">
        <f t="shared" ca="1" si="20"/>
        <v>43827</v>
      </c>
      <c r="B303" s="5" t="str">
        <f t="shared" ca="1" si="21"/>
        <v>Joaquina</v>
      </c>
      <c r="C303" s="7">
        <f t="shared" ca="1" si="22"/>
        <v>1175</v>
      </c>
      <c r="D303" s="5" t="str">
        <f t="shared" ca="1" si="23"/>
        <v>5S</v>
      </c>
      <c r="E303" s="3">
        <f t="shared" ca="1" si="24"/>
        <v>12</v>
      </c>
    </row>
    <row r="304" spans="1:5" x14ac:dyDescent="0.3">
      <c r="A304" s="4">
        <f t="shared" ca="1" si="20"/>
        <v>43759</v>
      </c>
      <c r="B304" s="5" t="str">
        <f t="shared" ca="1" si="21"/>
        <v>Marcelo</v>
      </c>
      <c r="C304" s="7">
        <f t="shared" ca="1" si="22"/>
        <v>2789</v>
      </c>
      <c r="D304" s="5" t="str">
        <f t="shared" ca="1" si="23"/>
        <v>Padronização</v>
      </c>
      <c r="E304" s="3">
        <f t="shared" ca="1" si="24"/>
        <v>10</v>
      </c>
    </row>
    <row r="305" spans="1:5" x14ac:dyDescent="0.3">
      <c r="A305" s="4">
        <f t="shared" ca="1" si="20"/>
        <v>43625</v>
      </c>
      <c r="B305" s="5" t="str">
        <f t="shared" ca="1" si="21"/>
        <v>Marcelo</v>
      </c>
      <c r="C305" s="7">
        <f t="shared" ca="1" si="22"/>
        <v>2479</v>
      </c>
      <c r="D305" s="5" t="str">
        <f t="shared" ca="1" si="23"/>
        <v>5S</v>
      </c>
      <c r="E305" s="3">
        <f t="shared" ca="1" si="24"/>
        <v>6</v>
      </c>
    </row>
    <row r="306" spans="1:5" x14ac:dyDescent="0.3">
      <c r="A306" s="4">
        <f t="shared" ca="1" si="20"/>
        <v>43601</v>
      </c>
      <c r="B306" s="5" t="str">
        <f t="shared" ca="1" si="21"/>
        <v>Joaquina</v>
      </c>
      <c r="C306" s="7">
        <f t="shared" ca="1" si="22"/>
        <v>4206</v>
      </c>
      <c r="D306" s="5" t="str">
        <f t="shared" ca="1" si="23"/>
        <v>Padronização</v>
      </c>
      <c r="E306" s="3">
        <f t="shared" ca="1" si="24"/>
        <v>5</v>
      </c>
    </row>
    <row r="307" spans="1:5" x14ac:dyDescent="0.3">
      <c r="A307" s="4">
        <f t="shared" ca="1" si="20"/>
        <v>43524</v>
      </c>
      <c r="B307" s="5" t="str">
        <f t="shared" ca="1" si="21"/>
        <v>Marcelo</v>
      </c>
      <c r="C307" s="7">
        <f t="shared" ca="1" si="22"/>
        <v>3114</v>
      </c>
      <c r="D307" s="5" t="str">
        <f t="shared" ca="1" si="23"/>
        <v>Finanças</v>
      </c>
      <c r="E307" s="3">
        <f t="shared" ca="1" si="24"/>
        <v>2</v>
      </c>
    </row>
    <row r="308" spans="1:5" x14ac:dyDescent="0.3">
      <c r="A308" s="4">
        <f t="shared" ca="1" si="20"/>
        <v>43591</v>
      </c>
      <c r="B308" s="5" t="str">
        <f t="shared" ca="1" si="21"/>
        <v>Joaquina</v>
      </c>
      <c r="C308" s="7">
        <f t="shared" ca="1" si="22"/>
        <v>1690</v>
      </c>
      <c r="D308" s="5" t="str">
        <f t="shared" ca="1" si="23"/>
        <v>Padronização</v>
      </c>
      <c r="E308" s="3">
        <f t="shared" ca="1" si="24"/>
        <v>5</v>
      </c>
    </row>
    <row r="309" spans="1:5" x14ac:dyDescent="0.3">
      <c r="A309" s="4">
        <f t="shared" ca="1" si="20"/>
        <v>43616</v>
      </c>
      <c r="B309" s="5" t="str">
        <f t="shared" ca="1" si="21"/>
        <v>Maria</v>
      </c>
      <c r="C309" s="7">
        <f t="shared" ca="1" si="22"/>
        <v>1599</v>
      </c>
      <c r="D309" s="5" t="str">
        <f t="shared" ca="1" si="23"/>
        <v>Padronização</v>
      </c>
      <c r="E309" s="3">
        <f t="shared" ca="1" si="24"/>
        <v>5</v>
      </c>
    </row>
    <row r="310" spans="1:5" x14ac:dyDescent="0.3">
      <c r="A310" s="4">
        <f t="shared" ca="1" si="20"/>
        <v>43468</v>
      </c>
      <c r="B310" s="5" t="str">
        <f t="shared" ca="1" si="21"/>
        <v>Marcelo</v>
      </c>
      <c r="C310" s="7">
        <f t="shared" ca="1" si="22"/>
        <v>1172</v>
      </c>
      <c r="D310" s="5" t="str">
        <f t="shared" ca="1" si="23"/>
        <v>Consultoria</v>
      </c>
      <c r="E310" s="3">
        <f t="shared" ca="1" si="24"/>
        <v>1</v>
      </c>
    </row>
    <row r="311" spans="1:5" x14ac:dyDescent="0.3">
      <c r="A311" s="4">
        <f t="shared" ca="1" si="20"/>
        <v>43551</v>
      </c>
      <c r="B311" s="5" t="str">
        <f t="shared" ca="1" si="21"/>
        <v>João</v>
      </c>
      <c r="C311" s="7">
        <f t="shared" ca="1" si="22"/>
        <v>1099</v>
      </c>
      <c r="D311" s="5" t="str">
        <f t="shared" ca="1" si="23"/>
        <v>Consultoria</v>
      </c>
      <c r="E311" s="3">
        <f t="shared" ca="1" si="24"/>
        <v>3</v>
      </c>
    </row>
    <row r="312" spans="1:5" x14ac:dyDescent="0.3">
      <c r="A312" s="4">
        <f t="shared" ca="1" si="20"/>
        <v>43562</v>
      </c>
      <c r="B312" s="5" t="str">
        <f t="shared" ca="1" si="21"/>
        <v>Marcelo</v>
      </c>
      <c r="C312" s="7">
        <f t="shared" ca="1" si="22"/>
        <v>3262</v>
      </c>
      <c r="D312" s="5" t="str">
        <f t="shared" ca="1" si="23"/>
        <v>Padronização</v>
      </c>
      <c r="E312" s="3">
        <f t="shared" ca="1" si="24"/>
        <v>4</v>
      </c>
    </row>
    <row r="313" spans="1:5" x14ac:dyDescent="0.3">
      <c r="A313" s="4">
        <f t="shared" ca="1" si="20"/>
        <v>43597</v>
      </c>
      <c r="B313" s="5" t="str">
        <f t="shared" ca="1" si="21"/>
        <v>Marcelo</v>
      </c>
      <c r="C313" s="7">
        <f t="shared" ca="1" si="22"/>
        <v>1702</v>
      </c>
      <c r="D313" s="5" t="str">
        <f t="shared" ca="1" si="23"/>
        <v>Padronização</v>
      </c>
      <c r="E313" s="3">
        <f t="shared" ca="1" si="24"/>
        <v>5</v>
      </c>
    </row>
    <row r="314" spans="1:5" x14ac:dyDescent="0.3">
      <c r="A314" s="4">
        <f t="shared" ca="1" si="20"/>
        <v>43789</v>
      </c>
      <c r="B314" s="5" t="str">
        <f t="shared" ca="1" si="21"/>
        <v>Maria</v>
      </c>
      <c r="C314" s="7">
        <f t="shared" ca="1" si="22"/>
        <v>4979</v>
      </c>
      <c r="D314" s="5" t="str">
        <f t="shared" ca="1" si="23"/>
        <v>Consultoria</v>
      </c>
      <c r="E314" s="3">
        <f t="shared" ca="1" si="24"/>
        <v>11</v>
      </c>
    </row>
    <row r="315" spans="1:5" x14ac:dyDescent="0.3">
      <c r="A315" s="4">
        <f t="shared" ca="1" si="20"/>
        <v>43639</v>
      </c>
      <c r="B315" s="5" t="str">
        <f t="shared" ca="1" si="21"/>
        <v>Maria</v>
      </c>
      <c r="C315" s="7">
        <f t="shared" ca="1" si="22"/>
        <v>3062</v>
      </c>
      <c r="D315" s="5" t="str">
        <f t="shared" ca="1" si="23"/>
        <v>Padronização</v>
      </c>
      <c r="E315" s="3">
        <f t="shared" ca="1" si="24"/>
        <v>6</v>
      </c>
    </row>
    <row r="316" spans="1:5" x14ac:dyDescent="0.3">
      <c r="A316" s="4">
        <f t="shared" ca="1" si="20"/>
        <v>43768</v>
      </c>
      <c r="B316" s="5" t="str">
        <f t="shared" ca="1" si="21"/>
        <v>Joaquina</v>
      </c>
      <c r="C316" s="7">
        <f t="shared" ca="1" si="22"/>
        <v>1242</v>
      </c>
      <c r="D316" s="5" t="str">
        <f t="shared" ca="1" si="23"/>
        <v>5S</v>
      </c>
      <c r="E316" s="3">
        <f t="shared" ca="1" si="24"/>
        <v>10</v>
      </c>
    </row>
    <row r="317" spans="1:5" x14ac:dyDescent="0.3">
      <c r="A317" s="4">
        <f t="shared" ca="1" si="20"/>
        <v>43588</v>
      </c>
      <c r="B317" s="5" t="str">
        <f t="shared" ca="1" si="21"/>
        <v>João</v>
      </c>
      <c r="C317" s="7">
        <f t="shared" ca="1" si="22"/>
        <v>4388</v>
      </c>
      <c r="D317" s="5" t="str">
        <f t="shared" ca="1" si="23"/>
        <v>5S</v>
      </c>
      <c r="E317" s="3">
        <f t="shared" ca="1" si="24"/>
        <v>5</v>
      </c>
    </row>
    <row r="318" spans="1:5" x14ac:dyDescent="0.3">
      <c r="A318" s="4">
        <f t="shared" ca="1" si="20"/>
        <v>43758</v>
      </c>
      <c r="B318" s="5" t="str">
        <f t="shared" ca="1" si="21"/>
        <v>Maria</v>
      </c>
      <c r="C318" s="7">
        <f t="shared" ca="1" si="22"/>
        <v>4540</v>
      </c>
      <c r="D318" s="5" t="str">
        <f t="shared" ca="1" si="23"/>
        <v>Finanças</v>
      </c>
      <c r="E318" s="3">
        <f t="shared" ca="1" si="24"/>
        <v>10</v>
      </c>
    </row>
    <row r="319" spans="1:5" x14ac:dyDescent="0.3">
      <c r="A319" s="4">
        <f t="shared" ca="1" si="20"/>
        <v>43482</v>
      </c>
      <c r="B319" s="5" t="str">
        <f t="shared" ca="1" si="21"/>
        <v>Joaquina</v>
      </c>
      <c r="C319" s="7">
        <f t="shared" ca="1" si="22"/>
        <v>1271</v>
      </c>
      <c r="D319" s="5" t="str">
        <f t="shared" ca="1" si="23"/>
        <v>Consultoria</v>
      </c>
      <c r="E319" s="3">
        <f t="shared" ca="1" si="24"/>
        <v>1</v>
      </c>
    </row>
    <row r="320" spans="1:5" x14ac:dyDescent="0.3">
      <c r="A320" s="4">
        <f t="shared" ca="1" si="20"/>
        <v>43654</v>
      </c>
      <c r="B320" s="5" t="str">
        <f t="shared" ca="1" si="21"/>
        <v>João</v>
      </c>
      <c r="C320" s="7">
        <f t="shared" ca="1" si="22"/>
        <v>3712</v>
      </c>
      <c r="D320" s="5" t="str">
        <f t="shared" ca="1" si="23"/>
        <v>Consultoria</v>
      </c>
      <c r="E320" s="3">
        <f t="shared" ca="1" si="24"/>
        <v>7</v>
      </c>
    </row>
    <row r="321" spans="1:5" x14ac:dyDescent="0.3">
      <c r="A321" s="4">
        <f t="shared" ca="1" si="20"/>
        <v>43677</v>
      </c>
      <c r="B321" s="5" t="str">
        <f t="shared" ca="1" si="21"/>
        <v>Maria</v>
      </c>
      <c r="C321" s="7">
        <f t="shared" ca="1" si="22"/>
        <v>1524</v>
      </c>
      <c r="D321" s="5" t="str">
        <f t="shared" ca="1" si="23"/>
        <v>Consultoria</v>
      </c>
      <c r="E321" s="3">
        <f t="shared" ca="1" si="24"/>
        <v>7</v>
      </c>
    </row>
    <row r="322" spans="1:5" x14ac:dyDescent="0.3">
      <c r="A322" s="4">
        <f t="shared" ca="1" si="20"/>
        <v>43523</v>
      </c>
      <c r="B322" s="5" t="str">
        <f t="shared" ca="1" si="21"/>
        <v>Marcelo</v>
      </c>
      <c r="C322" s="7">
        <f t="shared" ca="1" si="22"/>
        <v>1941</v>
      </c>
      <c r="D322" s="5" t="str">
        <f t="shared" ca="1" si="23"/>
        <v>Finanças</v>
      </c>
      <c r="E322" s="3">
        <f t="shared" ca="1" si="24"/>
        <v>2</v>
      </c>
    </row>
    <row r="323" spans="1:5" x14ac:dyDescent="0.3">
      <c r="A323" s="4">
        <f t="shared" ref="A323:A386" ca="1" si="25">RANDBETWEEN($F$1,$F$2)</f>
        <v>43498</v>
      </c>
      <c r="B323" s="5" t="str">
        <f t="shared" ref="B323:B386" ca="1" si="26">VLOOKUP(RANDBETWEEN(1,4),$I$1:$J$4,2,FALSE)</f>
        <v>João</v>
      </c>
      <c r="C323" s="7">
        <f t="shared" ref="C323:C386" ca="1" si="27">RANDBETWEEN(1000,5000)</f>
        <v>2791</v>
      </c>
      <c r="D323" s="5" t="str">
        <f t="shared" ref="D323:D386" ca="1" si="28">VLOOKUP(RANDBETWEEN($I$6,$I$9),$I$6:$J$9,2,FALSE)</f>
        <v>Consultoria</v>
      </c>
      <c r="E323" s="3">
        <f t="shared" ref="E323:E386" ca="1" si="29">MONTH(A323)</f>
        <v>2</v>
      </c>
    </row>
    <row r="324" spans="1:5" x14ac:dyDescent="0.3">
      <c r="A324" s="4">
        <f t="shared" ca="1" si="25"/>
        <v>43766</v>
      </c>
      <c r="B324" s="5" t="str">
        <f t="shared" ca="1" si="26"/>
        <v>Marcelo</v>
      </c>
      <c r="C324" s="7">
        <f t="shared" ca="1" si="27"/>
        <v>1336</v>
      </c>
      <c r="D324" s="5" t="str">
        <f t="shared" ca="1" si="28"/>
        <v>Padronização</v>
      </c>
      <c r="E324" s="3">
        <f t="shared" ca="1" si="29"/>
        <v>10</v>
      </c>
    </row>
    <row r="325" spans="1:5" x14ac:dyDescent="0.3">
      <c r="A325" s="4">
        <f t="shared" ca="1" si="25"/>
        <v>43720</v>
      </c>
      <c r="B325" s="5" t="str">
        <f t="shared" ca="1" si="26"/>
        <v>João</v>
      </c>
      <c r="C325" s="7">
        <f t="shared" ca="1" si="27"/>
        <v>4067</v>
      </c>
      <c r="D325" s="5" t="str">
        <f t="shared" ca="1" si="28"/>
        <v>Consultoria</v>
      </c>
      <c r="E325" s="3">
        <f t="shared" ca="1" si="29"/>
        <v>9</v>
      </c>
    </row>
    <row r="326" spans="1:5" x14ac:dyDescent="0.3">
      <c r="A326" s="4">
        <f t="shared" ca="1" si="25"/>
        <v>43484</v>
      </c>
      <c r="B326" s="5" t="str">
        <f t="shared" ca="1" si="26"/>
        <v>Joaquina</v>
      </c>
      <c r="C326" s="7">
        <f t="shared" ca="1" si="27"/>
        <v>3144</v>
      </c>
      <c r="D326" s="5" t="str">
        <f t="shared" ca="1" si="28"/>
        <v>5S</v>
      </c>
      <c r="E326" s="3">
        <f t="shared" ca="1" si="29"/>
        <v>1</v>
      </c>
    </row>
    <row r="327" spans="1:5" x14ac:dyDescent="0.3">
      <c r="A327" s="4">
        <f t="shared" ca="1" si="25"/>
        <v>43624</v>
      </c>
      <c r="B327" s="5" t="str">
        <f t="shared" ca="1" si="26"/>
        <v>Maria</v>
      </c>
      <c r="C327" s="7">
        <f t="shared" ca="1" si="27"/>
        <v>3565</v>
      </c>
      <c r="D327" s="5" t="str">
        <f t="shared" ca="1" si="28"/>
        <v>Finanças</v>
      </c>
      <c r="E327" s="3">
        <f t="shared" ca="1" si="29"/>
        <v>6</v>
      </c>
    </row>
    <row r="328" spans="1:5" x14ac:dyDescent="0.3">
      <c r="A328" s="4">
        <f t="shared" ca="1" si="25"/>
        <v>43582</v>
      </c>
      <c r="B328" s="5" t="str">
        <f t="shared" ca="1" si="26"/>
        <v>Marcelo</v>
      </c>
      <c r="C328" s="7">
        <f t="shared" ca="1" si="27"/>
        <v>2601</v>
      </c>
      <c r="D328" s="5" t="str">
        <f t="shared" ca="1" si="28"/>
        <v>Padronização</v>
      </c>
      <c r="E328" s="3">
        <f t="shared" ca="1" si="29"/>
        <v>4</v>
      </c>
    </row>
    <row r="329" spans="1:5" x14ac:dyDescent="0.3">
      <c r="A329" s="4">
        <f t="shared" ca="1" si="25"/>
        <v>43646</v>
      </c>
      <c r="B329" s="5" t="str">
        <f t="shared" ca="1" si="26"/>
        <v>Joaquina</v>
      </c>
      <c r="C329" s="7">
        <f t="shared" ca="1" si="27"/>
        <v>2952</v>
      </c>
      <c r="D329" s="5" t="str">
        <f t="shared" ca="1" si="28"/>
        <v>Finanças</v>
      </c>
      <c r="E329" s="3">
        <f t="shared" ca="1" si="29"/>
        <v>6</v>
      </c>
    </row>
    <row r="330" spans="1:5" x14ac:dyDescent="0.3">
      <c r="A330" s="4">
        <f t="shared" ca="1" si="25"/>
        <v>43741</v>
      </c>
      <c r="B330" s="5" t="str">
        <f t="shared" ca="1" si="26"/>
        <v>João</v>
      </c>
      <c r="C330" s="7">
        <f t="shared" ca="1" si="27"/>
        <v>4122</v>
      </c>
      <c r="D330" s="5" t="str">
        <f t="shared" ca="1" si="28"/>
        <v>Finanças</v>
      </c>
      <c r="E330" s="3">
        <f t="shared" ca="1" si="29"/>
        <v>10</v>
      </c>
    </row>
    <row r="331" spans="1:5" x14ac:dyDescent="0.3">
      <c r="A331" s="4">
        <f t="shared" ca="1" si="25"/>
        <v>43766</v>
      </c>
      <c r="B331" s="5" t="str">
        <f t="shared" ca="1" si="26"/>
        <v>Maria</v>
      </c>
      <c r="C331" s="7">
        <f t="shared" ca="1" si="27"/>
        <v>4682</v>
      </c>
      <c r="D331" s="5" t="str">
        <f t="shared" ca="1" si="28"/>
        <v>Consultoria</v>
      </c>
      <c r="E331" s="3">
        <f t="shared" ca="1" si="29"/>
        <v>10</v>
      </c>
    </row>
    <row r="332" spans="1:5" x14ac:dyDescent="0.3">
      <c r="A332" s="4">
        <f t="shared" ca="1" si="25"/>
        <v>43777</v>
      </c>
      <c r="B332" s="5" t="str">
        <f t="shared" ca="1" si="26"/>
        <v>Marcelo</v>
      </c>
      <c r="C332" s="7">
        <f t="shared" ca="1" si="27"/>
        <v>3289</v>
      </c>
      <c r="D332" s="5" t="str">
        <f t="shared" ca="1" si="28"/>
        <v>Consultoria</v>
      </c>
      <c r="E332" s="3">
        <f t="shared" ca="1" si="29"/>
        <v>11</v>
      </c>
    </row>
    <row r="333" spans="1:5" x14ac:dyDescent="0.3">
      <c r="A333" s="4">
        <f t="shared" ca="1" si="25"/>
        <v>43561</v>
      </c>
      <c r="B333" s="5" t="str">
        <f t="shared" ca="1" si="26"/>
        <v>Marcelo</v>
      </c>
      <c r="C333" s="7">
        <f t="shared" ca="1" si="27"/>
        <v>3379</v>
      </c>
      <c r="D333" s="5" t="str">
        <f t="shared" ca="1" si="28"/>
        <v>Padronização</v>
      </c>
      <c r="E333" s="3">
        <f t="shared" ca="1" si="29"/>
        <v>4</v>
      </c>
    </row>
    <row r="334" spans="1:5" x14ac:dyDescent="0.3">
      <c r="A334" s="4">
        <f t="shared" ca="1" si="25"/>
        <v>43624</v>
      </c>
      <c r="B334" s="5" t="str">
        <f t="shared" ca="1" si="26"/>
        <v>João</v>
      </c>
      <c r="C334" s="7">
        <f t="shared" ca="1" si="27"/>
        <v>1125</v>
      </c>
      <c r="D334" s="5" t="str">
        <f t="shared" ca="1" si="28"/>
        <v>5S</v>
      </c>
      <c r="E334" s="3">
        <f t="shared" ca="1" si="29"/>
        <v>6</v>
      </c>
    </row>
    <row r="335" spans="1:5" x14ac:dyDescent="0.3">
      <c r="A335" s="4">
        <f t="shared" ca="1" si="25"/>
        <v>43687</v>
      </c>
      <c r="B335" s="5" t="str">
        <f t="shared" ca="1" si="26"/>
        <v>Joaquina</v>
      </c>
      <c r="C335" s="7">
        <f t="shared" ca="1" si="27"/>
        <v>4049</v>
      </c>
      <c r="D335" s="5" t="str">
        <f t="shared" ca="1" si="28"/>
        <v>Consultoria</v>
      </c>
      <c r="E335" s="3">
        <f t="shared" ca="1" si="29"/>
        <v>8</v>
      </c>
    </row>
    <row r="336" spans="1:5" x14ac:dyDescent="0.3">
      <c r="A336" s="4">
        <f t="shared" ca="1" si="25"/>
        <v>43609</v>
      </c>
      <c r="B336" s="5" t="str">
        <f t="shared" ca="1" si="26"/>
        <v>Joaquina</v>
      </c>
      <c r="C336" s="7">
        <f t="shared" ca="1" si="27"/>
        <v>2731</v>
      </c>
      <c r="D336" s="5" t="str">
        <f t="shared" ca="1" si="28"/>
        <v>5S</v>
      </c>
      <c r="E336" s="3">
        <f t="shared" ca="1" si="29"/>
        <v>5</v>
      </c>
    </row>
    <row r="337" spans="1:5" x14ac:dyDescent="0.3">
      <c r="A337" s="4">
        <f t="shared" ca="1" si="25"/>
        <v>43517</v>
      </c>
      <c r="B337" s="5" t="str">
        <f t="shared" ca="1" si="26"/>
        <v>Marcelo</v>
      </c>
      <c r="C337" s="7">
        <f t="shared" ca="1" si="27"/>
        <v>2460</v>
      </c>
      <c r="D337" s="5" t="str">
        <f t="shared" ca="1" si="28"/>
        <v>Finanças</v>
      </c>
      <c r="E337" s="3">
        <f t="shared" ca="1" si="29"/>
        <v>2</v>
      </c>
    </row>
    <row r="338" spans="1:5" x14ac:dyDescent="0.3">
      <c r="A338" s="4">
        <f t="shared" ca="1" si="25"/>
        <v>43672</v>
      </c>
      <c r="B338" s="5" t="str">
        <f t="shared" ca="1" si="26"/>
        <v>Marcelo</v>
      </c>
      <c r="C338" s="7">
        <f t="shared" ca="1" si="27"/>
        <v>4288</v>
      </c>
      <c r="D338" s="5" t="str">
        <f t="shared" ca="1" si="28"/>
        <v>Finanças</v>
      </c>
      <c r="E338" s="3">
        <f t="shared" ca="1" si="29"/>
        <v>7</v>
      </c>
    </row>
    <row r="339" spans="1:5" x14ac:dyDescent="0.3">
      <c r="A339" s="4">
        <f t="shared" ca="1" si="25"/>
        <v>43536</v>
      </c>
      <c r="B339" s="5" t="str">
        <f t="shared" ca="1" si="26"/>
        <v>João</v>
      </c>
      <c r="C339" s="7">
        <f t="shared" ca="1" si="27"/>
        <v>4539</v>
      </c>
      <c r="D339" s="5" t="str">
        <f t="shared" ca="1" si="28"/>
        <v>5S</v>
      </c>
      <c r="E339" s="3">
        <f t="shared" ca="1" si="29"/>
        <v>3</v>
      </c>
    </row>
    <row r="340" spans="1:5" x14ac:dyDescent="0.3">
      <c r="A340" s="4">
        <f t="shared" ca="1" si="25"/>
        <v>43790</v>
      </c>
      <c r="B340" s="5" t="str">
        <f t="shared" ca="1" si="26"/>
        <v>Marcelo</v>
      </c>
      <c r="C340" s="7">
        <f t="shared" ca="1" si="27"/>
        <v>3945</v>
      </c>
      <c r="D340" s="5" t="str">
        <f t="shared" ca="1" si="28"/>
        <v>Finanças</v>
      </c>
      <c r="E340" s="3">
        <f t="shared" ca="1" si="29"/>
        <v>11</v>
      </c>
    </row>
    <row r="341" spans="1:5" x14ac:dyDescent="0.3">
      <c r="A341" s="4">
        <f t="shared" ca="1" si="25"/>
        <v>43753</v>
      </c>
      <c r="B341" s="5" t="str">
        <f t="shared" ca="1" si="26"/>
        <v>João</v>
      </c>
      <c r="C341" s="7">
        <f t="shared" ca="1" si="27"/>
        <v>2852</v>
      </c>
      <c r="D341" s="5" t="str">
        <f t="shared" ca="1" si="28"/>
        <v>Padronização</v>
      </c>
      <c r="E341" s="3">
        <f t="shared" ca="1" si="29"/>
        <v>10</v>
      </c>
    </row>
    <row r="342" spans="1:5" x14ac:dyDescent="0.3">
      <c r="A342" s="4">
        <f t="shared" ca="1" si="25"/>
        <v>43553</v>
      </c>
      <c r="B342" s="5" t="str">
        <f t="shared" ca="1" si="26"/>
        <v>João</v>
      </c>
      <c r="C342" s="7">
        <f t="shared" ca="1" si="27"/>
        <v>1652</v>
      </c>
      <c r="D342" s="5" t="str">
        <f t="shared" ca="1" si="28"/>
        <v>Padronização</v>
      </c>
      <c r="E342" s="3">
        <f t="shared" ca="1" si="29"/>
        <v>3</v>
      </c>
    </row>
    <row r="343" spans="1:5" x14ac:dyDescent="0.3">
      <c r="A343" s="4">
        <f t="shared" ca="1" si="25"/>
        <v>43652</v>
      </c>
      <c r="B343" s="5" t="str">
        <f t="shared" ca="1" si="26"/>
        <v>Marcelo</v>
      </c>
      <c r="C343" s="7">
        <f t="shared" ca="1" si="27"/>
        <v>2988</v>
      </c>
      <c r="D343" s="5" t="str">
        <f t="shared" ca="1" si="28"/>
        <v>Padronização</v>
      </c>
      <c r="E343" s="3">
        <f t="shared" ca="1" si="29"/>
        <v>7</v>
      </c>
    </row>
    <row r="344" spans="1:5" x14ac:dyDescent="0.3">
      <c r="A344" s="4">
        <f t="shared" ca="1" si="25"/>
        <v>43700</v>
      </c>
      <c r="B344" s="5" t="str">
        <f t="shared" ca="1" si="26"/>
        <v>Joaquina</v>
      </c>
      <c r="C344" s="7">
        <f t="shared" ca="1" si="27"/>
        <v>4404</v>
      </c>
      <c r="D344" s="5" t="str">
        <f t="shared" ca="1" si="28"/>
        <v>5S</v>
      </c>
      <c r="E344" s="3">
        <f t="shared" ca="1" si="29"/>
        <v>8</v>
      </c>
    </row>
    <row r="345" spans="1:5" x14ac:dyDescent="0.3">
      <c r="A345" s="4">
        <f t="shared" ca="1" si="25"/>
        <v>43532</v>
      </c>
      <c r="B345" s="5" t="str">
        <f t="shared" ca="1" si="26"/>
        <v>Marcelo</v>
      </c>
      <c r="C345" s="7">
        <f t="shared" ca="1" si="27"/>
        <v>1556</v>
      </c>
      <c r="D345" s="5" t="str">
        <f t="shared" ca="1" si="28"/>
        <v>Padronização</v>
      </c>
      <c r="E345" s="3">
        <f t="shared" ca="1" si="29"/>
        <v>3</v>
      </c>
    </row>
    <row r="346" spans="1:5" x14ac:dyDescent="0.3">
      <c r="A346" s="4">
        <f t="shared" ca="1" si="25"/>
        <v>43535</v>
      </c>
      <c r="B346" s="5" t="str">
        <f t="shared" ca="1" si="26"/>
        <v>João</v>
      </c>
      <c r="C346" s="7">
        <f t="shared" ca="1" si="27"/>
        <v>3371</v>
      </c>
      <c r="D346" s="5" t="str">
        <f t="shared" ca="1" si="28"/>
        <v>5S</v>
      </c>
      <c r="E346" s="3">
        <f t="shared" ca="1" si="29"/>
        <v>3</v>
      </c>
    </row>
    <row r="347" spans="1:5" x14ac:dyDescent="0.3">
      <c r="A347" s="4">
        <f t="shared" ca="1" si="25"/>
        <v>43672</v>
      </c>
      <c r="B347" s="5" t="str">
        <f t="shared" ca="1" si="26"/>
        <v>Marcelo</v>
      </c>
      <c r="C347" s="7">
        <f t="shared" ca="1" si="27"/>
        <v>2920</v>
      </c>
      <c r="D347" s="5" t="str">
        <f t="shared" ca="1" si="28"/>
        <v>Padronização</v>
      </c>
      <c r="E347" s="3">
        <f t="shared" ca="1" si="29"/>
        <v>7</v>
      </c>
    </row>
    <row r="348" spans="1:5" x14ac:dyDescent="0.3">
      <c r="A348" s="4">
        <f t="shared" ca="1" si="25"/>
        <v>43626</v>
      </c>
      <c r="B348" s="5" t="str">
        <f t="shared" ca="1" si="26"/>
        <v>Maria</v>
      </c>
      <c r="C348" s="7">
        <f t="shared" ca="1" si="27"/>
        <v>3762</v>
      </c>
      <c r="D348" s="5" t="str">
        <f t="shared" ca="1" si="28"/>
        <v>5S</v>
      </c>
      <c r="E348" s="3">
        <f t="shared" ca="1" si="29"/>
        <v>6</v>
      </c>
    </row>
    <row r="349" spans="1:5" x14ac:dyDescent="0.3">
      <c r="A349" s="4">
        <f t="shared" ca="1" si="25"/>
        <v>43740</v>
      </c>
      <c r="B349" s="5" t="str">
        <f t="shared" ca="1" si="26"/>
        <v>João</v>
      </c>
      <c r="C349" s="7">
        <f t="shared" ca="1" si="27"/>
        <v>3384</v>
      </c>
      <c r="D349" s="5" t="str">
        <f t="shared" ca="1" si="28"/>
        <v>Finanças</v>
      </c>
      <c r="E349" s="3">
        <f t="shared" ca="1" si="29"/>
        <v>10</v>
      </c>
    </row>
    <row r="350" spans="1:5" x14ac:dyDescent="0.3">
      <c r="A350" s="4">
        <f t="shared" ca="1" si="25"/>
        <v>43692</v>
      </c>
      <c r="B350" s="5" t="str">
        <f t="shared" ca="1" si="26"/>
        <v>Maria</v>
      </c>
      <c r="C350" s="7">
        <f t="shared" ca="1" si="27"/>
        <v>3190</v>
      </c>
      <c r="D350" s="5" t="str">
        <f t="shared" ca="1" si="28"/>
        <v>Consultoria</v>
      </c>
      <c r="E350" s="3">
        <f t="shared" ca="1" si="29"/>
        <v>8</v>
      </c>
    </row>
    <row r="351" spans="1:5" x14ac:dyDescent="0.3">
      <c r="A351" s="4">
        <f t="shared" ca="1" si="25"/>
        <v>43675</v>
      </c>
      <c r="B351" s="5" t="str">
        <f t="shared" ca="1" si="26"/>
        <v>Maria</v>
      </c>
      <c r="C351" s="7">
        <f t="shared" ca="1" si="27"/>
        <v>3116</v>
      </c>
      <c r="D351" s="5" t="str">
        <f t="shared" ca="1" si="28"/>
        <v>Finanças</v>
      </c>
      <c r="E351" s="3">
        <f t="shared" ca="1" si="29"/>
        <v>7</v>
      </c>
    </row>
    <row r="352" spans="1:5" x14ac:dyDescent="0.3">
      <c r="A352" s="4">
        <f t="shared" ca="1" si="25"/>
        <v>43702</v>
      </c>
      <c r="B352" s="5" t="str">
        <f t="shared" ca="1" si="26"/>
        <v>Joaquina</v>
      </c>
      <c r="C352" s="7">
        <f t="shared" ca="1" si="27"/>
        <v>3301</v>
      </c>
      <c r="D352" s="5" t="str">
        <f t="shared" ca="1" si="28"/>
        <v>5S</v>
      </c>
      <c r="E352" s="3">
        <f t="shared" ca="1" si="29"/>
        <v>8</v>
      </c>
    </row>
    <row r="353" spans="1:5" x14ac:dyDescent="0.3">
      <c r="A353" s="4">
        <f t="shared" ca="1" si="25"/>
        <v>43797</v>
      </c>
      <c r="B353" s="5" t="str">
        <f t="shared" ca="1" si="26"/>
        <v>Marcelo</v>
      </c>
      <c r="C353" s="7">
        <f t="shared" ca="1" si="27"/>
        <v>4363</v>
      </c>
      <c r="D353" s="5" t="str">
        <f t="shared" ca="1" si="28"/>
        <v>Padronização</v>
      </c>
      <c r="E353" s="3">
        <f t="shared" ca="1" si="29"/>
        <v>11</v>
      </c>
    </row>
    <row r="354" spans="1:5" x14ac:dyDescent="0.3">
      <c r="A354" s="4">
        <f t="shared" ca="1" si="25"/>
        <v>43525</v>
      </c>
      <c r="B354" s="5" t="str">
        <f t="shared" ca="1" si="26"/>
        <v>Joaquina</v>
      </c>
      <c r="C354" s="7">
        <f t="shared" ca="1" si="27"/>
        <v>4975</v>
      </c>
      <c r="D354" s="5" t="str">
        <f t="shared" ca="1" si="28"/>
        <v>5S</v>
      </c>
      <c r="E354" s="3">
        <f t="shared" ca="1" si="29"/>
        <v>3</v>
      </c>
    </row>
    <row r="355" spans="1:5" x14ac:dyDescent="0.3">
      <c r="A355" s="4">
        <f t="shared" ca="1" si="25"/>
        <v>43725</v>
      </c>
      <c r="B355" s="5" t="str">
        <f t="shared" ca="1" si="26"/>
        <v>João</v>
      </c>
      <c r="C355" s="7">
        <f t="shared" ca="1" si="27"/>
        <v>2659</v>
      </c>
      <c r="D355" s="5" t="str">
        <f t="shared" ca="1" si="28"/>
        <v>Padronização</v>
      </c>
      <c r="E355" s="3">
        <f t="shared" ca="1" si="29"/>
        <v>9</v>
      </c>
    </row>
    <row r="356" spans="1:5" x14ac:dyDescent="0.3">
      <c r="A356" s="4">
        <f t="shared" ca="1" si="25"/>
        <v>43597</v>
      </c>
      <c r="B356" s="5" t="str">
        <f t="shared" ca="1" si="26"/>
        <v>João</v>
      </c>
      <c r="C356" s="7">
        <f t="shared" ca="1" si="27"/>
        <v>3162</v>
      </c>
      <c r="D356" s="5" t="str">
        <f t="shared" ca="1" si="28"/>
        <v>5S</v>
      </c>
      <c r="E356" s="3">
        <f t="shared" ca="1" si="29"/>
        <v>5</v>
      </c>
    </row>
    <row r="357" spans="1:5" x14ac:dyDescent="0.3">
      <c r="A357" s="4">
        <f t="shared" ca="1" si="25"/>
        <v>43619</v>
      </c>
      <c r="B357" s="5" t="str">
        <f t="shared" ca="1" si="26"/>
        <v>Joaquina</v>
      </c>
      <c r="C357" s="7">
        <f t="shared" ca="1" si="27"/>
        <v>2640</v>
      </c>
      <c r="D357" s="5" t="str">
        <f t="shared" ca="1" si="28"/>
        <v>Consultoria</v>
      </c>
      <c r="E357" s="3">
        <f t="shared" ca="1" si="29"/>
        <v>6</v>
      </c>
    </row>
    <row r="358" spans="1:5" x14ac:dyDescent="0.3">
      <c r="A358" s="4">
        <f t="shared" ca="1" si="25"/>
        <v>43801</v>
      </c>
      <c r="B358" s="5" t="str">
        <f t="shared" ca="1" si="26"/>
        <v>Joaquina</v>
      </c>
      <c r="C358" s="7">
        <f t="shared" ca="1" si="27"/>
        <v>4952</v>
      </c>
      <c r="D358" s="5" t="str">
        <f t="shared" ca="1" si="28"/>
        <v>5S</v>
      </c>
      <c r="E358" s="3">
        <f t="shared" ca="1" si="29"/>
        <v>12</v>
      </c>
    </row>
    <row r="359" spans="1:5" x14ac:dyDescent="0.3">
      <c r="A359" s="4">
        <f t="shared" ca="1" si="25"/>
        <v>43773</v>
      </c>
      <c r="B359" s="5" t="str">
        <f t="shared" ca="1" si="26"/>
        <v>Marcelo</v>
      </c>
      <c r="C359" s="7">
        <f t="shared" ca="1" si="27"/>
        <v>2886</v>
      </c>
      <c r="D359" s="5" t="str">
        <f t="shared" ca="1" si="28"/>
        <v>5S</v>
      </c>
      <c r="E359" s="3">
        <f t="shared" ca="1" si="29"/>
        <v>11</v>
      </c>
    </row>
    <row r="360" spans="1:5" x14ac:dyDescent="0.3">
      <c r="A360" s="4">
        <f t="shared" ca="1" si="25"/>
        <v>43741</v>
      </c>
      <c r="B360" s="5" t="str">
        <f t="shared" ca="1" si="26"/>
        <v>Marcelo</v>
      </c>
      <c r="C360" s="7">
        <f t="shared" ca="1" si="27"/>
        <v>2845</v>
      </c>
      <c r="D360" s="5" t="str">
        <f t="shared" ca="1" si="28"/>
        <v>Padronização</v>
      </c>
      <c r="E360" s="3">
        <f t="shared" ca="1" si="29"/>
        <v>10</v>
      </c>
    </row>
    <row r="361" spans="1:5" x14ac:dyDescent="0.3">
      <c r="A361" s="4">
        <f t="shared" ca="1" si="25"/>
        <v>43829</v>
      </c>
      <c r="B361" s="5" t="str">
        <f t="shared" ca="1" si="26"/>
        <v>João</v>
      </c>
      <c r="C361" s="7">
        <f t="shared" ca="1" si="27"/>
        <v>4910</v>
      </c>
      <c r="D361" s="5" t="str">
        <f t="shared" ca="1" si="28"/>
        <v>5S</v>
      </c>
      <c r="E361" s="3">
        <f t="shared" ca="1" si="29"/>
        <v>12</v>
      </c>
    </row>
    <row r="362" spans="1:5" x14ac:dyDescent="0.3">
      <c r="A362" s="4">
        <f t="shared" ca="1" si="25"/>
        <v>43759</v>
      </c>
      <c r="B362" s="5" t="str">
        <f t="shared" ca="1" si="26"/>
        <v>João</v>
      </c>
      <c r="C362" s="7">
        <f t="shared" ca="1" si="27"/>
        <v>1094</v>
      </c>
      <c r="D362" s="5" t="str">
        <f t="shared" ca="1" si="28"/>
        <v>5S</v>
      </c>
      <c r="E362" s="3">
        <f t="shared" ca="1" si="29"/>
        <v>10</v>
      </c>
    </row>
    <row r="363" spans="1:5" x14ac:dyDescent="0.3">
      <c r="A363" s="4">
        <f t="shared" ca="1" si="25"/>
        <v>43545</v>
      </c>
      <c r="B363" s="5" t="str">
        <f t="shared" ca="1" si="26"/>
        <v>Marcelo</v>
      </c>
      <c r="C363" s="7">
        <f t="shared" ca="1" si="27"/>
        <v>4493</v>
      </c>
      <c r="D363" s="5" t="str">
        <f t="shared" ca="1" si="28"/>
        <v>Padronização</v>
      </c>
      <c r="E363" s="3">
        <f t="shared" ca="1" si="29"/>
        <v>3</v>
      </c>
    </row>
    <row r="364" spans="1:5" x14ac:dyDescent="0.3">
      <c r="A364" s="4">
        <f t="shared" ca="1" si="25"/>
        <v>43751</v>
      </c>
      <c r="B364" s="5" t="str">
        <f t="shared" ca="1" si="26"/>
        <v>Joaquina</v>
      </c>
      <c r="C364" s="7">
        <f t="shared" ca="1" si="27"/>
        <v>1743</v>
      </c>
      <c r="D364" s="5" t="str">
        <f t="shared" ca="1" si="28"/>
        <v>Finanças</v>
      </c>
      <c r="E364" s="3">
        <f t="shared" ca="1" si="29"/>
        <v>10</v>
      </c>
    </row>
    <row r="365" spans="1:5" x14ac:dyDescent="0.3">
      <c r="A365" s="4">
        <f t="shared" ca="1" si="25"/>
        <v>43808</v>
      </c>
      <c r="B365" s="5" t="str">
        <f t="shared" ca="1" si="26"/>
        <v>João</v>
      </c>
      <c r="C365" s="7">
        <f t="shared" ca="1" si="27"/>
        <v>4927</v>
      </c>
      <c r="D365" s="5" t="str">
        <f t="shared" ca="1" si="28"/>
        <v>Consultoria</v>
      </c>
      <c r="E365" s="3">
        <f t="shared" ca="1" si="29"/>
        <v>12</v>
      </c>
    </row>
    <row r="366" spans="1:5" x14ac:dyDescent="0.3">
      <c r="A366" s="4">
        <f t="shared" ca="1" si="25"/>
        <v>43821</v>
      </c>
      <c r="B366" s="5" t="str">
        <f t="shared" ca="1" si="26"/>
        <v>Marcelo</v>
      </c>
      <c r="C366" s="7">
        <f t="shared" ca="1" si="27"/>
        <v>3729</v>
      </c>
      <c r="D366" s="5" t="str">
        <f t="shared" ca="1" si="28"/>
        <v>Finanças</v>
      </c>
      <c r="E366" s="3">
        <f t="shared" ca="1" si="29"/>
        <v>12</v>
      </c>
    </row>
    <row r="367" spans="1:5" x14ac:dyDescent="0.3">
      <c r="A367" s="4">
        <f t="shared" ca="1" si="25"/>
        <v>43744</v>
      </c>
      <c r="B367" s="5" t="str">
        <f t="shared" ca="1" si="26"/>
        <v>Maria</v>
      </c>
      <c r="C367" s="7">
        <f t="shared" ca="1" si="27"/>
        <v>4823</v>
      </c>
      <c r="D367" s="5" t="str">
        <f t="shared" ca="1" si="28"/>
        <v>5S</v>
      </c>
      <c r="E367" s="3">
        <f t="shared" ca="1" si="29"/>
        <v>10</v>
      </c>
    </row>
    <row r="368" spans="1:5" x14ac:dyDescent="0.3">
      <c r="A368" s="4">
        <f t="shared" ca="1" si="25"/>
        <v>43556</v>
      </c>
      <c r="B368" s="5" t="str">
        <f t="shared" ca="1" si="26"/>
        <v>Marcelo</v>
      </c>
      <c r="C368" s="7">
        <f t="shared" ca="1" si="27"/>
        <v>2819</v>
      </c>
      <c r="D368" s="5" t="str">
        <f t="shared" ca="1" si="28"/>
        <v>Finanças</v>
      </c>
      <c r="E368" s="3">
        <f t="shared" ca="1" si="29"/>
        <v>4</v>
      </c>
    </row>
    <row r="369" spans="1:5" x14ac:dyDescent="0.3">
      <c r="A369" s="4">
        <f t="shared" ca="1" si="25"/>
        <v>43657</v>
      </c>
      <c r="B369" s="5" t="str">
        <f t="shared" ca="1" si="26"/>
        <v>João</v>
      </c>
      <c r="C369" s="7">
        <f t="shared" ca="1" si="27"/>
        <v>2680</v>
      </c>
      <c r="D369" s="5" t="str">
        <f t="shared" ca="1" si="28"/>
        <v>Consultoria</v>
      </c>
      <c r="E369" s="3">
        <f t="shared" ca="1" si="29"/>
        <v>7</v>
      </c>
    </row>
    <row r="370" spans="1:5" x14ac:dyDescent="0.3">
      <c r="A370" s="4">
        <f t="shared" ca="1" si="25"/>
        <v>43783</v>
      </c>
      <c r="B370" s="5" t="str">
        <f t="shared" ca="1" si="26"/>
        <v>João</v>
      </c>
      <c r="C370" s="7">
        <f t="shared" ca="1" si="27"/>
        <v>4106</v>
      </c>
      <c r="D370" s="5" t="str">
        <f t="shared" ca="1" si="28"/>
        <v>Finanças</v>
      </c>
      <c r="E370" s="3">
        <f t="shared" ca="1" si="29"/>
        <v>11</v>
      </c>
    </row>
    <row r="371" spans="1:5" x14ac:dyDescent="0.3">
      <c r="A371" s="4">
        <f t="shared" ca="1" si="25"/>
        <v>43570</v>
      </c>
      <c r="B371" s="5" t="str">
        <f t="shared" ca="1" si="26"/>
        <v>Marcelo</v>
      </c>
      <c r="C371" s="7">
        <f t="shared" ca="1" si="27"/>
        <v>2666</v>
      </c>
      <c r="D371" s="5" t="str">
        <f t="shared" ca="1" si="28"/>
        <v>5S</v>
      </c>
      <c r="E371" s="3">
        <f t="shared" ca="1" si="29"/>
        <v>4</v>
      </c>
    </row>
    <row r="372" spans="1:5" x14ac:dyDescent="0.3">
      <c r="A372" s="4">
        <f t="shared" ca="1" si="25"/>
        <v>43699</v>
      </c>
      <c r="B372" s="5" t="str">
        <f t="shared" ca="1" si="26"/>
        <v>João</v>
      </c>
      <c r="C372" s="7">
        <f t="shared" ca="1" si="27"/>
        <v>1960</v>
      </c>
      <c r="D372" s="5" t="str">
        <f t="shared" ca="1" si="28"/>
        <v>Finanças</v>
      </c>
      <c r="E372" s="3">
        <f t="shared" ca="1" si="29"/>
        <v>8</v>
      </c>
    </row>
    <row r="373" spans="1:5" x14ac:dyDescent="0.3">
      <c r="A373" s="4">
        <f t="shared" ca="1" si="25"/>
        <v>43771</v>
      </c>
      <c r="B373" s="5" t="str">
        <f t="shared" ca="1" si="26"/>
        <v>Marcelo</v>
      </c>
      <c r="C373" s="7">
        <f t="shared" ca="1" si="27"/>
        <v>1360</v>
      </c>
      <c r="D373" s="5" t="str">
        <f t="shared" ca="1" si="28"/>
        <v>Finanças</v>
      </c>
      <c r="E373" s="3">
        <f t="shared" ca="1" si="29"/>
        <v>11</v>
      </c>
    </row>
    <row r="374" spans="1:5" x14ac:dyDescent="0.3">
      <c r="A374" s="4">
        <f t="shared" ca="1" si="25"/>
        <v>43781</v>
      </c>
      <c r="B374" s="5" t="str">
        <f t="shared" ca="1" si="26"/>
        <v>Marcelo</v>
      </c>
      <c r="C374" s="7">
        <f t="shared" ca="1" si="27"/>
        <v>3735</v>
      </c>
      <c r="D374" s="5" t="str">
        <f t="shared" ca="1" si="28"/>
        <v>Finanças</v>
      </c>
      <c r="E374" s="3">
        <f t="shared" ca="1" si="29"/>
        <v>11</v>
      </c>
    </row>
    <row r="375" spans="1:5" x14ac:dyDescent="0.3">
      <c r="A375" s="4">
        <f t="shared" ca="1" si="25"/>
        <v>43575</v>
      </c>
      <c r="B375" s="5" t="str">
        <f t="shared" ca="1" si="26"/>
        <v>Joaquina</v>
      </c>
      <c r="C375" s="7">
        <f t="shared" ca="1" si="27"/>
        <v>1703</v>
      </c>
      <c r="D375" s="5" t="str">
        <f t="shared" ca="1" si="28"/>
        <v>Consultoria</v>
      </c>
      <c r="E375" s="3">
        <f t="shared" ca="1" si="29"/>
        <v>4</v>
      </c>
    </row>
    <row r="376" spans="1:5" x14ac:dyDescent="0.3">
      <c r="A376" s="4">
        <f t="shared" ca="1" si="25"/>
        <v>43685</v>
      </c>
      <c r="B376" s="5" t="str">
        <f t="shared" ca="1" si="26"/>
        <v>Joaquina</v>
      </c>
      <c r="C376" s="7">
        <f t="shared" ca="1" si="27"/>
        <v>1574</v>
      </c>
      <c r="D376" s="5" t="str">
        <f t="shared" ca="1" si="28"/>
        <v>Padronização</v>
      </c>
      <c r="E376" s="3">
        <f t="shared" ca="1" si="29"/>
        <v>8</v>
      </c>
    </row>
    <row r="377" spans="1:5" x14ac:dyDescent="0.3">
      <c r="A377" s="4">
        <f t="shared" ca="1" si="25"/>
        <v>43808</v>
      </c>
      <c r="B377" s="5" t="str">
        <f t="shared" ca="1" si="26"/>
        <v>Maria</v>
      </c>
      <c r="C377" s="7">
        <f t="shared" ca="1" si="27"/>
        <v>4138</v>
      </c>
      <c r="D377" s="5" t="str">
        <f t="shared" ca="1" si="28"/>
        <v>Consultoria</v>
      </c>
      <c r="E377" s="3">
        <f t="shared" ca="1" si="29"/>
        <v>12</v>
      </c>
    </row>
    <row r="378" spans="1:5" x14ac:dyDescent="0.3">
      <c r="A378" s="4">
        <f t="shared" ca="1" si="25"/>
        <v>43636</v>
      </c>
      <c r="B378" s="5" t="str">
        <f t="shared" ca="1" si="26"/>
        <v>Marcelo</v>
      </c>
      <c r="C378" s="7">
        <f t="shared" ca="1" si="27"/>
        <v>2611</v>
      </c>
      <c r="D378" s="5" t="str">
        <f t="shared" ca="1" si="28"/>
        <v>Finanças</v>
      </c>
      <c r="E378" s="3">
        <f t="shared" ca="1" si="29"/>
        <v>6</v>
      </c>
    </row>
    <row r="379" spans="1:5" x14ac:dyDescent="0.3">
      <c r="A379" s="4">
        <f t="shared" ca="1" si="25"/>
        <v>43822</v>
      </c>
      <c r="B379" s="5" t="str">
        <f t="shared" ca="1" si="26"/>
        <v>Joaquina</v>
      </c>
      <c r="C379" s="7">
        <f t="shared" ca="1" si="27"/>
        <v>4780</v>
      </c>
      <c r="D379" s="5" t="str">
        <f t="shared" ca="1" si="28"/>
        <v>Consultoria</v>
      </c>
      <c r="E379" s="3">
        <f t="shared" ca="1" si="29"/>
        <v>12</v>
      </c>
    </row>
    <row r="380" spans="1:5" x14ac:dyDescent="0.3">
      <c r="A380" s="4">
        <f t="shared" ca="1" si="25"/>
        <v>43814</v>
      </c>
      <c r="B380" s="5" t="str">
        <f t="shared" ca="1" si="26"/>
        <v>Joaquina</v>
      </c>
      <c r="C380" s="7">
        <f t="shared" ca="1" si="27"/>
        <v>3721</v>
      </c>
      <c r="D380" s="5" t="str">
        <f t="shared" ca="1" si="28"/>
        <v>Finanças</v>
      </c>
      <c r="E380" s="3">
        <f t="shared" ca="1" si="29"/>
        <v>12</v>
      </c>
    </row>
    <row r="381" spans="1:5" x14ac:dyDescent="0.3">
      <c r="A381" s="4">
        <f t="shared" ca="1" si="25"/>
        <v>43600</v>
      </c>
      <c r="B381" s="5" t="str">
        <f t="shared" ca="1" si="26"/>
        <v>João</v>
      </c>
      <c r="C381" s="7">
        <f t="shared" ca="1" si="27"/>
        <v>1276</v>
      </c>
      <c r="D381" s="5" t="str">
        <f t="shared" ca="1" si="28"/>
        <v>Finanças</v>
      </c>
      <c r="E381" s="3">
        <f t="shared" ca="1" si="29"/>
        <v>5</v>
      </c>
    </row>
    <row r="382" spans="1:5" x14ac:dyDescent="0.3">
      <c r="A382" s="4">
        <f t="shared" ca="1" si="25"/>
        <v>43541</v>
      </c>
      <c r="B382" s="5" t="str">
        <f t="shared" ca="1" si="26"/>
        <v>João</v>
      </c>
      <c r="C382" s="7">
        <f t="shared" ca="1" si="27"/>
        <v>3838</v>
      </c>
      <c r="D382" s="5" t="str">
        <f t="shared" ca="1" si="28"/>
        <v>Finanças</v>
      </c>
      <c r="E382" s="3">
        <f t="shared" ca="1" si="29"/>
        <v>3</v>
      </c>
    </row>
    <row r="383" spans="1:5" x14ac:dyDescent="0.3">
      <c r="A383" s="4">
        <f t="shared" ca="1" si="25"/>
        <v>43650</v>
      </c>
      <c r="B383" s="5" t="str">
        <f t="shared" ca="1" si="26"/>
        <v>Joaquina</v>
      </c>
      <c r="C383" s="7">
        <f t="shared" ca="1" si="27"/>
        <v>2163</v>
      </c>
      <c r="D383" s="5" t="str">
        <f t="shared" ca="1" si="28"/>
        <v>5S</v>
      </c>
      <c r="E383" s="3">
        <f t="shared" ca="1" si="29"/>
        <v>7</v>
      </c>
    </row>
    <row r="384" spans="1:5" x14ac:dyDescent="0.3">
      <c r="A384" s="4">
        <f t="shared" ca="1" si="25"/>
        <v>43578</v>
      </c>
      <c r="B384" s="5" t="str">
        <f t="shared" ca="1" si="26"/>
        <v>Maria</v>
      </c>
      <c r="C384" s="7">
        <f t="shared" ca="1" si="27"/>
        <v>3290</v>
      </c>
      <c r="D384" s="5" t="str">
        <f t="shared" ca="1" si="28"/>
        <v>Finanças</v>
      </c>
      <c r="E384" s="3">
        <f t="shared" ca="1" si="29"/>
        <v>4</v>
      </c>
    </row>
    <row r="385" spans="1:5" x14ac:dyDescent="0.3">
      <c r="A385" s="4">
        <f t="shared" ca="1" si="25"/>
        <v>43637</v>
      </c>
      <c r="B385" s="5" t="str">
        <f t="shared" ca="1" si="26"/>
        <v>Marcelo</v>
      </c>
      <c r="C385" s="7">
        <f t="shared" ca="1" si="27"/>
        <v>3851</v>
      </c>
      <c r="D385" s="5" t="str">
        <f t="shared" ca="1" si="28"/>
        <v>5S</v>
      </c>
      <c r="E385" s="3">
        <f t="shared" ca="1" si="29"/>
        <v>6</v>
      </c>
    </row>
    <row r="386" spans="1:5" x14ac:dyDescent="0.3">
      <c r="A386" s="4">
        <f t="shared" ca="1" si="25"/>
        <v>43673</v>
      </c>
      <c r="B386" s="5" t="str">
        <f t="shared" ca="1" si="26"/>
        <v>Maria</v>
      </c>
      <c r="C386" s="7">
        <f t="shared" ca="1" si="27"/>
        <v>2766</v>
      </c>
      <c r="D386" s="5" t="str">
        <f t="shared" ca="1" si="28"/>
        <v>5S</v>
      </c>
      <c r="E386" s="3">
        <f t="shared" ca="1" si="29"/>
        <v>7</v>
      </c>
    </row>
    <row r="387" spans="1:5" x14ac:dyDescent="0.3">
      <c r="A387" s="4">
        <f t="shared" ref="A387:A450" ca="1" si="30">RANDBETWEEN($F$1,$F$2)</f>
        <v>43812</v>
      </c>
      <c r="B387" s="5" t="str">
        <f t="shared" ref="B387:B450" ca="1" si="31">VLOOKUP(RANDBETWEEN(1,4),$I$1:$J$4,2,FALSE)</f>
        <v>Maria</v>
      </c>
      <c r="C387" s="7">
        <f t="shared" ref="C387:C450" ca="1" si="32">RANDBETWEEN(1000,5000)</f>
        <v>1572</v>
      </c>
      <c r="D387" s="5" t="str">
        <f t="shared" ref="D387:D450" ca="1" si="33">VLOOKUP(RANDBETWEEN($I$6,$I$9),$I$6:$J$9,2,FALSE)</f>
        <v>Padronização</v>
      </c>
      <c r="E387" s="3">
        <f t="shared" ref="E387:E450" ca="1" si="34">MONTH(A387)</f>
        <v>12</v>
      </c>
    </row>
    <row r="388" spans="1:5" x14ac:dyDescent="0.3">
      <c r="A388" s="4">
        <f t="shared" ca="1" si="30"/>
        <v>43628</v>
      </c>
      <c r="B388" s="5" t="str">
        <f t="shared" ca="1" si="31"/>
        <v>João</v>
      </c>
      <c r="C388" s="7">
        <f t="shared" ca="1" si="32"/>
        <v>3971</v>
      </c>
      <c r="D388" s="5" t="str">
        <f t="shared" ca="1" si="33"/>
        <v>5S</v>
      </c>
      <c r="E388" s="3">
        <f t="shared" ca="1" si="34"/>
        <v>6</v>
      </c>
    </row>
    <row r="389" spans="1:5" x14ac:dyDescent="0.3">
      <c r="A389" s="4">
        <f t="shared" ca="1" si="30"/>
        <v>43776</v>
      </c>
      <c r="B389" s="5" t="str">
        <f t="shared" ca="1" si="31"/>
        <v>João</v>
      </c>
      <c r="C389" s="7">
        <f t="shared" ca="1" si="32"/>
        <v>1401</v>
      </c>
      <c r="D389" s="5" t="str">
        <f t="shared" ca="1" si="33"/>
        <v>5S</v>
      </c>
      <c r="E389" s="3">
        <f t="shared" ca="1" si="34"/>
        <v>11</v>
      </c>
    </row>
    <row r="390" spans="1:5" x14ac:dyDescent="0.3">
      <c r="A390" s="4">
        <f t="shared" ca="1" si="30"/>
        <v>43535</v>
      </c>
      <c r="B390" s="5" t="str">
        <f t="shared" ca="1" si="31"/>
        <v>Maria</v>
      </c>
      <c r="C390" s="7">
        <f t="shared" ca="1" si="32"/>
        <v>1744</v>
      </c>
      <c r="D390" s="5" t="str">
        <f t="shared" ca="1" si="33"/>
        <v>Finanças</v>
      </c>
      <c r="E390" s="3">
        <f t="shared" ca="1" si="34"/>
        <v>3</v>
      </c>
    </row>
    <row r="391" spans="1:5" x14ac:dyDescent="0.3">
      <c r="A391" s="4">
        <f t="shared" ca="1" si="30"/>
        <v>43775</v>
      </c>
      <c r="B391" s="5" t="str">
        <f t="shared" ca="1" si="31"/>
        <v>Marcelo</v>
      </c>
      <c r="C391" s="7">
        <f t="shared" ca="1" si="32"/>
        <v>2605</v>
      </c>
      <c r="D391" s="5" t="str">
        <f t="shared" ca="1" si="33"/>
        <v>5S</v>
      </c>
      <c r="E391" s="3">
        <f t="shared" ca="1" si="34"/>
        <v>11</v>
      </c>
    </row>
    <row r="392" spans="1:5" x14ac:dyDescent="0.3">
      <c r="A392" s="4">
        <f t="shared" ca="1" si="30"/>
        <v>43540</v>
      </c>
      <c r="B392" s="5" t="str">
        <f t="shared" ca="1" si="31"/>
        <v>Marcelo</v>
      </c>
      <c r="C392" s="7">
        <f t="shared" ca="1" si="32"/>
        <v>2741</v>
      </c>
      <c r="D392" s="5" t="str">
        <f t="shared" ca="1" si="33"/>
        <v>Padronização</v>
      </c>
      <c r="E392" s="3">
        <f t="shared" ca="1" si="34"/>
        <v>3</v>
      </c>
    </row>
    <row r="393" spans="1:5" x14ac:dyDescent="0.3">
      <c r="A393" s="4">
        <f t="shared" ca="1" si="30"/>
        <v>43491</v>
      </c>
      <c r="B393" s="5" t="str">
        <f t="shared" ca="1" si="31"/>
        <v>João</v>
      </c>
      <c r="C393" s="7">
        <f t="shared" ca="1" si="32"/>
        <v>4813</v>
      </c>
      <c r="D393" s="5" t="str">
        <f t="shared" ca="1" si="33"/>
        <v>5S</v>
      </c>
      <c r="E393" s="3">
        <f t="shared" ca="1" si="34"/>
        <v>1</v>
      </c>
    </row>
    <row r="394" spans="1:5" x14ac:dyDescent="0.3">
      <c r="A394" s="4">
        <f t="shared" ca="1" si="30"/>
        <v>43722</v>
      </c>
      <c r="B394" s="5" t="str">
        <f t="shared" ca="1" si="31"/>
        <v>João</v>
      </c>
      <c r="C394" s="7">
        <f t="shared" ca="1" si="32"/>
        <v>1984</v>
      </c>
      <c r="D394" s="5" t="str">
        <f t="shared" ca="1" si="33"/>
        <v>5S</v>
      </c>
      <c r="E394" s="3">
        <f t="shared" ca="1" si="34"/>
        <v>9</v>
      </c>
    </row>
    <row r="395" spans="1:5" x14ac:dyDescent="0.3">
      <c r="A395" s="4">
        <f t="shared" ca="1" si="30"/>
        <v>43482</v>
      </c>
      <c r="B395" s="5" t="str">
        <f t="shared" ca="1" si="31"/>
        <v>Marcelo</v>
      </c>
      <c r="C395" s="7">
        <f t="shared" ca="1" si="32"/>
        <v>2699</v>
      </c>
      <c r="D395" s="5" t="str">
        <f t="shared" ca="1" si="33"/>
        <v>Finanças</v>
      </c>
      <c r="E395" s="3">
        <f t="shared" ca="1" si="34"/>
        <v>1</v>
      </c>
    </row>
    <row r="396" spans="1:5" x14ac:dyDescent="0.3">
      <c r="A396" s="4">
        <f t="shared" ca="1" si="30"/>
        <v>43618</v>
      </c>
      <c r="B396" s="5" t="str">
        <f t="shared" ca="1" si="31"/>
        <v>Maria</v>
      </c>
      <c r="C396" s="7">
        <f t="shared" ca="1" si="32"/>
        <v>4442</v>
      </c>
      <c r="D396" s="5" t="str">
        <f t="shared" ca="1" si="33"/>
        <v>Consultoria</v>
      </c>
      <c r="E396" s="3">
        <f t="shared" ca="1" si="34"/>
        <v>6</v>
      </c>
    </row>
    <row r="397" spans="1:5" x14ac:dyDescent="0.3">
      <c r="A397" s="4">
        <f t="shared" ca="1" si="30"/>
        <v>43573</v>
      </c>
      <c r="B397" s="5" t="str">
        <f t="shared" ca="1" si="31"/>
        <v>Maria</v>
      </c>
      <c r="C397" s="7">
        <f t="shared" ca="1" si="32"/>
        <v>4592</v>
      </c>
      <c r="D397" s="5" t="str">
        <f t="shared" ca="1" si="33"/>
        <v>5S</v>
      </c>
      <c r="E397" s="3">
        <f t="shared" ca="1" si="34"/>
        <v>4</v>
      </c>
    </row>
    <row r="398" spans="1:5" x14ac:dyDescent="0.3">
      <c r="A398" s="4">
        <f t="shared" ca="1" si="30"/>
        <v>43591</v>
      </c>
      <c r="B398" s="5" t="str">
        <f t="shared" ca="1" si="31"/>
        <v>Joaquina</v>
      </c>
      <c r="C398" s="7">
        <f t="shared" ca="1" si="32"/>
        <v>3124</v>
      </c>
      <c r="D398" s="5" t="str">
        <f t="shared" ca="1" si="33"/>
        <v>Padronização</v>
      </c>
      <c r="E398" s="3">
        <f t="shared" ca="1" si="34"/>
        <v>5</v>
      </c>
    </row>
    <row r="399" spans="1:5" x14ac:dyDescent="0.3">
      <c r="A399" s="4">
        <f t="shared" ca="1" si="30"/>
        <v>43595</v>
      </c>
      <c r="B399" s="5" t="str">
        <f t="shared" ca="1" si="31"/>
        <v>Maria</v>
      </c>
      <c r="C399" s="7">
        <f t="shared" ca="1" si="32"/>
        <v>4499</v>
      </c>
      <c r="D399" s="5" t="str">
        <f t="shared" ca="1" si="33"/>
        <v>Padronização</v>
      </c>
      <c r="E399" s="3">
        <f t="shared" ca="1" si="34"/>
        <v>5</v>
      </c>
    </row>
    <row r="400" spans="1:5" x14ac:dyDescent="0.3">
      <c r="A400" s="4">
        <f t="shared" ca="1" si="30"/>
        <v>43707</v>
      </c>
      <c r="B400" s="5" t="str">
        <f t="shared" ca="1" si="31"/>
        <v>João</v>
      </c>
      <c r="C400" s="7">
        <f t="shared" ca="1" si="32"/>
        <v>3881</v>
      </c>
      <c r="D400" s="5" t="str">
        <f t="shared" ca="1" si="33"/>
        <v>5S</v>
      </c>
      <c r="E400" s="3">
        <f t="shared" ca="1" si="34"/>
        <v>8</v>
      </c>
    </row>
    <row r="401" spans="1:5" x14ac:dyDescent="0.3">
      <c r="A401" s="4">
        <f t="shared" ca="1" si="30"/>
        <v>43542</v>
      </c>
      <c r="B401" s="5" t="str">
        <f t="shared" ca="1" si="31"/>
        <v>Marcelo</v>
      </c>
      <c r="C401" s="7">
        <f t="shared" ca="1" si="32"/>
        <v>1634</v>
      </c>
      <c r="D401" s="5" t="str">
        <f t="shared" ca="1" si="33"/>
        <v>Padronização</v>
      </c>
      <c r="E401" s="3">
        <f t="shared" ca="1" si="34"/>
        <v>3</v>
      </c>
    </row>
    <row r="402" spans="1:5" x14ac:dyDescent="0.3">
      <c r="A402" s="4">
        <f t="shared" ca="1" si="30"/>
        <v>43523</v>
      </c>
      <c r="B402" s="5" t="str">
        <f t="shared" ca="1" si="31"/>
        <v>Joaquina</v>
      </c>
      <c r="C402" s="7">
        <f t="shared" ca="1" si="32"/>
        <v>3033</v>
      </c>
      <c r="D402" s="5" t="str">
        <f t="shared" ca="1" si="33"/>
        <v>Consultoria</v>
      </c>
      <c r="E402" s="3">
        <f t="shared" ca="1" si="34"/>
        <v>2</v>
      </c>
    </row>
    <row r="403" spans="1:5" x14ac:dyDescent="0.3">
      <c r="A403" s="4">
        <f t="shared" ca="1" si="30"/>
        <v>43760</v>
      </c>
      <c r="B403" s="5" t="str">
        <f t="shared" ca="1" si="31"/>
        <v>Marcelo</v>
      </c>
      <c r="C403" s="7">
        <f t="shared" ca="1" si="32"/>
        <v>3913</v>
      </c>
      <c r="D403" s="5" t="str">
        <f t="shared" ca="1" si="33"/>
        <v>Finanças</v>
      </c>
      <c r="E403" s="3">
        <f t="shared" ca="1" si="34"/>
        <v>10</v>
      </c>
    </row>
    <row r="404" spans="1:5" x14ac:dyDescent="0.3">
      <c r="A404" s="4">
        <f t="shared" ca="1" si="30"/>
        <v>43506</v>
      </c>
      <c r="B404" s="5" t="str">
        <f t="shared" ca="1" si="31"/>
        <v>Maria</v>
      </c>
      <c r="C404" s="7">
        <f t="shared" ca="1" si="32"/>
        <v>3083</v>
      </c>
      <c r="D404" s="5" t="str">
        <f t="shared" ca="1" si="33"/>
        <v>Padronização</v>
      </c>
      <c r="E404" s="3">
        <f t="shared" ca="1" si="34"/>
        <v>2</v>
      </c>
    </row>
    <row r="405" spans="1:5" x14ac:dyDescent="0.3">
      <c r="A405" s="4">
        <f t="shared" ca="1" si="30"/>
        <v>43730</v>
      </c>
      <c r="B405" s="5" t="str">
        <f t="shared" ca="1" si="31"/>
        <v>Joaquina</v>
      </c>
      <c r="C405" s="7">
        <f t="shared" ca="1" si="32"/>
        <v>4435</v>
      </c>
      <c r="D405" s="5" t="str">
        <f t="shared" ca="1" si="33"/>
        <v>Padronização</v>
      </c>
      <c r="E405" s="3">
        <f t="shared" ca="1" si="34"/>
        <v>9</v>
      </c>
    </row>
    <row r="406" spans="1:5" x14ac:dyDescent="0.3">
      <c r="A406" s="4">
        <f t="shared" ca="1" si="30"/>
        <v>43740</v>
      </c>
      <c r="B406" s="5" t="str">
        <f t="shared" ca="1" si="31"/>
        <v>Maria</v>
      </c>
      <c r="C406" s="7">
        <f t="shared" ca="1" si="32"/>
        <v>3278</v>
      </c>
      <c r="D406" s="5" t="str">
        <f t="shared" ca="1" si="33"/>
        <v>5S</v>
      </c>
      <c r="E406" s="3">
        <f t="shared" ca="1" si="34"/>
        <v>10</v>
      </c>
    </row>
    <row r="407" spans="1:5" x14ac:dyDescent="0.3">
      <c r="A407" s="4">
        <f t="shared" ca="1" si="30"/>
        <v>43539</v>
      </c>
      <c r="B407" s="5" t="str">
        <f t="shared" ca="1" si="31"/>
        <v>João</v>
      </c>
      <c r="C407" s="7">
        <f t="shared" ca="1" si="32"/>
        <v>1571</v>
      </c>
      <c r="D407" s="5" t="str">
        <f t="shared" ca="1" si="33"/>
        <v>5S</v>
      </c>
      <c r="E407" s="3">
        <f t="shared" ca="1" si="34"/>
        <v>3</v>
      </c>
    </row>
    <row r="408" spans="1:5" x14ac:dyDescent="0.3">
      <c r="A408" s="4">
        <f t="shared" ca="1" si="30"/>
        <v>43665</v>
      </c>
      <c r="B408" s="5" t="str">
        <f t="shared" ca="1" si="31"/>
        <v>Joaquina</v>
      </c>
      <c r="C408" s="7">
        <f t="shared" ca="1" si="32"/>
        <v>3369</v>
      </c>
      <c r="D408" s="5" t="str">
        <f t="shared" ca="1" si="33"/>
        <v>Padronização</v>
      </c>
      <c r="E408" s="3">
        <f t="shared" ca="1" si="34"/>
        <v>7</v>
      </c>
    </row>
    <row r="409" spans="1:5" x14ac:dyDescent="0.3">
      <c r="A409" s="4">
        <f t="shared" ca="1" si="30"/>
        <v>43699</v>
      </c>
      <c r="B409" s="5" t="str">
        <f t="shared" ca="1" si="31"/>
        <v>João</v>
      </c>
      <c r="C409" s="7">
        <f t="shared" ca="1" si="32"/>
        <v>1071</v>
      </c>
      <c r="D409" s="5" t="str">
        <f t="shared" ca="1" si="33"/>
        <v>5S</v>
      </c>
      <c r="E409" s="3">
        <f t="shared" ca="1" si="34"/>
        <v>8</v>
      </c>
    </row>
    <row r="410" spans="1:5" x14ac:dyDescent="0.3">
      <c r="A410" s="4">
        <f t="shared" ca="1" si="30"/>
        <v>43769</v>
      </c>
      <c r="B410" s="5" t="str">
        <f t="shared" ca="1" si="31"/>
        <v>Joaquina</v>
      </c>
      <c r="C410" s="7">
        <f t="shared" ca="1" si="32"/>
        <v>2403</v>
      </c>
      <c r="D410" s="5" t="str">
        <f t="shared" ca="1" si="33"/>
        <v>5S</v>
      </c>
      <c r="E410" s="3">
        <f t="shared" ca="1" si="34"/>
        <v>10</v>
      </c>
    </row>
    <row r="411" spans="1:5" x14ac:dyDescent="0.3">
      <c r="A411" s="4">
        <f t="shared" ca="1" si="30"/>
        <v>43686</v>
      </c>
      <c r="B411" s="5" t="str">
        <f t="shared" ca="1" si="31"/>
        <v>João</v>
      </c>
      <c r="C411" s="7">
        <f t="shared" ca="1" si="32"/>
        <v>1228</v>
      </c>
      <c r="D411" s="5" t="str">
        <f t="shared" ca="1" si="33"/>
        <v>Finanças</v>
      </c>
      <c r="E411" s="3">
        <f t="shared" ca="1" si="34"/>
        <v>8</v>
      </c>
    </row>
    <row r="412" spans="1:5" x14ac:dyDescent="0.3">
      <c r="A412" s="4">
        <f t="shared" ca="1" si="30"/>
        <v>43607</v>
      </c>
      <c r="B412" s="5" t="str">
        <f t="shared" ca="1" si="31"/>
        <v>Maria</v>
      </c>
      <c r="C412" s="7">
        <f t="shared" ca="1" si="32"/>
        <v>1888</v>
      </c>
      <c r="D412" s="5" t="str">
        <f t="shared" ca="1" si="33"/>
        <v>5S</v>
      </c>
      <c r="E412" s="3">
        <f t="shared" ca="1" si="34"/>
        <v>5</v>
      </c>
    </row>
    <row r="413" spans="1:5" x14ac:dyDescent="0.3">
      <c r="A413" s="4">
        <f t="shared" ca="1" si="30"/>
        <v>43469</v>
      </c>
      <c r="B413" s="5" t="str">
        <f t="shared" ca="1" si="31"/>
        <v>Joaquina</v>
      </c>
      <c r="C413" s="7">
        <f t="shared" ca="1" si="32"/>
        <v>3299</v>
      </c>
      <c r="D413" s="5" t="str">
        <f t="shared" ca="1" si="33"/>
        <v>Consultoria</v>
      </c>
      <c r="E413" s="3">
        <f t="shared" ca="1" si="34"/>
        <v>1</v>
      </c>
    </row>
    <row r="414" spans="1:5" x14ac:dyDescent="0.3">
      <c r="A414" s="4">
        <f t="shared" ca="1" si="30"/>
        <v>43730</v>
      </c>
      <c r="B414" s="5" t="str">
        <f t="shared" ca="1" si="31"/>
        <v>Joaquina</v>
      </c>
      <c r="C414" s="7">
        <f t="shared" ca="1" si="32"/>
        <v>1233</v>
      </c>
      <c r="D414" s="5" t="str">
        <f t="shared" ca="1" si="33"/>
        <v>5S</v>
      </c>
      <c r="E414" s="3">
        <f t="shared" ca="1" si="34"/>
        <v>9</v>
      </c>
    </row>
    <row r="415" spans="1:5" x14ac:dyDescent="0.3">
      <c r="A415" s="4">
        <f t="shared" ca="1" si="30"/>
        <v>43552</v>
      </c>
      <c r="B415" s="5" t="str">
        <f t="shared" ca="1" si="31"/>
        <v>Maria</v>
      </c>
      <c r="C415" s="7">
        <f t="shared" ca="1" si="32"/>
        <v>3943</v>
      </c>
      <c r="D415" s="5" t="str">
        <f t="shared" ca="1" si="33"/>
        <v>Consultoria</v>
      </c>
      <c r="E415" s="3">
        <f t="shared" ca="1" si="34"/>
        <v>3</v>
      </c>
    </row>
    <row r="416" spans="1:5" x14ac:dyDescent="0.3">
      <c r="A416" s="4">
        <f t="shared" ca="1" si="30"/>
        <v>43767</v>
      </c>
      <c r="B416" s="5" t="str">
        <f t="shared" ca="1" si="31"/>
        <v>João</v>
      </c>
      <c r="C416" s="7">
        <f t="shared" ca="1" si="32"/>
        <v>1943</v>
      </c>
      <c r="D416" s="5" t="str">
        <f t="shared" ca="1" si="33"/>
        <v>Consultoria</v>
      </c>
      <c r="E416" s="3">
        <f t="shared" ca="1" si="34"/>
        <v>10</v>
      </c>
    </row>
    <row r="417" spans="1:5" x14ac:dyDescent="0.3">
      <c r="A417" s="4">
        <f t="shared" ca="1" si="30"/>
        <v>43784</v>
      </c>
      <c r="B417" s="5" t="str">
        <f t="shared" ca="1" si="31"/>
        <v>João</v>
      </c>
      <c r="C417" s="7">
        <f t="shared" ca="1" si="32"/>
        <v>1864</v>
      </c>
      <c r="D417" s="5" t="str">
        <f t="shared" ca="1" si="33"/>
        <v>Consultoria</v>
      </c>
      <c r="E417" s="3">
        <f t="shared" ca="1" si="34"/>
        <v>11</v>
      </c>
    </row>
    <row r="418" spans="1:5" x14ac:dyDescent="0.3">
      <c r="A418" s="4">
        <f t="shared" ca="1" si="30"/>
        <v>43769</v>
      </c>
      <c r="B418" s="5" t="str">
        <f t="shared" ca="1" si="31"/>
        <v>Joaquina</v>
      </c>
      <c r="C418" s="7">
        <f t="shared" ca="1" si="32"/>
        <v>1149</v>
      </c>
      <c r="D418" s="5" t="str">
        <f t="shared" ca="1" si="33"/>
        <v>Consultoria</v>
      </c>
      <c r="E418" s="3">
        <f t="shared" ca="1" si="34"/>
        <v>10</v>
      </c>
    </row>
    <row r="419" spans="1:5" x14ac:dyDescent="0.3">
      <c r="A419" s="4">
        <f t="shared" ca="1" si="30"/>
        <v>43539</v>
      </c>
      <c r="B419" s="5" t="str">
        <f t="shared" ca="1" si="31"/>
        <v>Joaquina</v>
      </c>
      <c r="C419" s="7">
        <f t="shared" ca="1" si="32"/>
        <v>2611</v>
      </c>
      <c r="D419" s="5" t="str">
        <f t="shared" ca="1" si="33"/>
        <v>Padronização</v>
      </c>
      <c r="E419" s="3">
        <f t="shared" ca="1" si="34"/>
        <v>3</v>
      </c>
    </row>
    <row r="420" spans="1:5" x14ac:dyDescent="0.3">
      <c r="A420" s="4">
        <f t="shared" ca="1" si="30"/>
        <v>43564</v>
      </c>
      <c r="B420" s="5" t="str">
        <f t="shared" ca="1" si="31"/>
        <v>Joaquina</v>
      </c>
      <c r="C420" s="7">
        <f t="shared" ca="1" si="32"/>
        <v>3573</v>
      </c>
      <c r="D420" s="5" t="str">
        <f t="shared" ca="1" si="33"/>
        <v>5S</v>
      </c>
      <c r="E420" s="3">
        <f t="shared" ca="1" si="34"/>
        <v>4</v>
      </c>
    </row>
    <row r="421" spans="1:5" x14ac:dyDescent="0.3">
      <c r="A421" s="4">
        <f t="shared" ca="1" si="30"/>
        <v>43777</v>
      </c>
      <c r="B421" s="5" t="str">
        <f t="shared" ca="1" si="31"/>
        <v>Joaquina</v>
      </c>
      <c r="C421" s="7">
        <f t="shared" ca="1" si="32"/>
        <v>1582</v>
      </c>
      <c r="D421" s="5" t="str">
        <f t="shared" ca="1" si="33"/>
        <v>Padronização</v>
      </c>
      <c r="E421" s="3">
        <f t="shared" ca="1" si="34"/>
        <v>11</v>
      </c>
    </row>
    <row r="422" spans="1:5" x14ac:dyDescent="0.3">
      <c r="A422" s="4">
        <f t="shared" ca="1" si="30"/>
        <v>43826</v>
      </c>
      <c r="B422" s="5" t="str">
        <f t="shared" ca="1" si="31"/>
        <v>João</v>
      </c>
      <c r="C422" s="7">
        <f t="shared" ca="1" si="32"/>
        <v>2081</v>
      </c>
      <c r="D422" s="5" t="str">
        <f t="shared" ca="1" si="33"/>
        <v>5S</v>
      </c>
      <c r="E422" s="3">
        <f t="shared" ca="1" si="34"/>
        <v>12</v>
      </c>
    </row>
    <row r="423" spans="1:5" x14ac:dyDescent="0.3">
      <c r="A423" s="4">
        <f t="shared" ca="1" si="30"/>
        <v>43559</v>
      </c>
      <c r="B423" s="5" t="str">
        <f t="shared" ca="1" si="31"/>
        <v>Marcelo</v>
      </c>
      <c r="C423" s="7">
        <f t="shared" ca="1" si="32"/>
        <v>4443</v>
      </c>
      <c r="D423" s="5" t="str">
        <f t="shared" ca="1" si="33"/>
        <v>Padronização</v>
      </c>
      <c r="E423" s="3">
        <f t="shared" ca="1" si="34"/>
        <v>4</v>
      </c>
    </row>
    <row r="424" spans="1:5" x14ac:dyDescent="0.3">
      <c r="A424" s="4">
        <f t="shared" ca="1" si="30"/>
        <v>43723</v>
      </c>
      <c r="B424" s="5" t="str">
        <f t="shared" ca="1" si="31"/>
        <v>Maria</v>
      </c>
      <c r="C424" s="7">
        <f t="shared" ca="1" si="32"/>
        <v>1943</v>
      </c>
      <c r="D424" s="5" t="str">
        <f t="shared" ca="1" si="33"/>
        <v>Padronização</v>
      </c>
      <c r="E424" s="3">
        <f t="shared" ca="1" si="34"/>
        <v>9</v>
      </c>
    </row>
    <row r="425" spans="1:5" x14ac:dyDescent="0.3">
      <c r="A425" s="4">
        <f t="shared" ca="1" si="30"/>
        <v>43787</v>
      </c>
      <c r="B425" s="5" t="str">
        <f t="shared" ca="1" si="31"/>
        <v>Marcelo</v>
      </c>
      <c r="C425" s="7">
        <f t="shared" ca="1" si="32"/>
        <v>4412</v>
      </c>
      <c r="D425" s="5" t="str">
        <f t="shared" ca="1" si="33"/>
        <v>5S</v>
      </c>
      <c r="E425" s="3">
        <f t="shared" ca="1" si="34"/>
        <v>11</v>
      </c>
    </row>
    <row r="426" spans="1:5" x14ac:dyDescent="0.3">
      <c r="A426" s="4">
        <f t="shared" ca="1" si="30"/>
        <v>43657</v>
      </c>
      <c r="B426" s="5" t="str">
        <f t="shared" ca="1" si="31"/>
        <v>Joaquina</v>
      </c>
      <c r="C426" s="7">
        <f t="shared" ca="1" si="32"/>
        <v>1713</v>
      </c>
      <c r="D426" s="5" t="str">
        <f t="shared" ca="1" si="33"/>
        <v>Consultoria</v>
      </c>
      <c r="E426" s="3">
        <f t="shared" ca="1" si="34"/>
        <v>7</v>
      </c>
    </row>
    <row r="427" spans="1:5" x14ac:dyDescent="0.3">
      <c r="A427" s="4">
        <f t="shared" ca="1" si="30"/>
        <v>43663</v>
      </c>
      <c r="B427" s="5" t="str">
        <f t="shared" ca="1" si="31"/>
        <v>Marcelo</v>
      </c>
      <c r="C427" s="7">
        <f t="shared" ca="1" si="32"/>
        <v>4703</v>
      </c>
      <c r="D427" s="5" t="str">
        <f t="shared" ca="1" si="33"/>
        <v>Consultoria</v>
      </c>
      <c r="E427" s="3">
        <f t="shared" ca="1" si="34"/>
        <v>7</v>
      </c>
    </row>
    <row r="428" spans="1:5" x14ac:dyDescent="0.3">
      <c r="A428" s="4">
        <f t="shared" ca="1" si="30"/>
        <v>43523</v>
      </c>
      <c r="B428" s="5" t="str">
        <f t="shared" ca="1" si="31"/>
        <v>Joaquina</v>
      </c>
      <c r="C428" s="7">
        <f t="shared" ca="1" si="32"/>
        <v>1243</v>
      </c>
      <c r="D428" s="5" t="str">
        <f t="shared" ca="1" si="33"/>
        <v>Padronização</v>
      </c>
      <c r="E428" s="3">
        <f t="shared" ca="1" si="34"/>
        <v>2</v>
      </c>
    </row>
    <row r="429" spans="1:5" x14ac:dyDescent="0.3">
      <c r="A429" s="4">
        <f t="shared" ca="1" si="30"/>
        <v>43602</v>
      </c>
      <c r="B429" s="5" t="str">
        <f t="shared" ca="1" si="31"/>
        <v>Joaquina</v>
      </c>
      <c r="C429" s="7">
        <f t="shared" ca="1" si="32"/>
        <v>2696</v>
      </c>
      <c r="D429" s="5" t="str">
        <f t="shared" ca="1" si="33"/>
        <v>Padronização</v>
      </c>
      <c r="E429" s="3">
        <f t="shared" ca="1" si="34"/>
        <v>5</v>
      </c>
    </row>
    <row r="430" spans="1:5" x14ac:dyDescent="0.3">
      <c r="A430" s="4">
        <f t="shared" ca="1" si="30"/>
        <v>43672</v>
      </c>
      <c r="B430" s="5" t="str">
        <f t="shared" ca="1" si="31"/>
        <v>Maria</v>
      </c>
      <c r="C430" s="7">
        <f t="shared" ca="1" si="32"/>
        <v>2051</v>
      </c>
      <c r="D430" s="5" t="str">
        <f t="shared" ca="1" si="33"/>
        <v>Consultoria</v>
      </c>
      <c r="E430" s="3">
        <f t="shared" ca="1" si="34"/>
        <v>7</v>
      </c>
    </row>
    <row r="431" spans="1:5" x14ac:dyDescent="0.3">
      <c r="A431" s="4">
        <f t="shared" ca="1" si="30"/>
        <v>43774</v>
      </c>
      <c r="B431" s="5" t="str">
        <f t="shared" ca="1" si="31"/>
        <v>Maria</v>
      </c>
      <c r="C431" s="7">
        <f t="shared" ca="1" si="32"/>
        <v>3759</v>
      </c>
      <c r="D431" s="5" t="str">
        <f t="shared" ca="1" si="33"/>
        <v>5S</v>
      </c>
      <c r="E431" s="3">
        <f t="shared" ca="1" si="34"/>
        <v>11</v>
      </c>
    </row>
    <row r="432" spans="1:5" x14ac:dyDescent="0.3">
      <c r="A432" s="4">
        <f t="shared" ca="1" si="30"/>
        <v>43733</v>
      </c>
      <c r="B432" s="5" t="str">
        <f t="shared" ca="1" si="31"/>
        <v>João</v>
      </c>
      <c r="C432" s="7">
        <f t="shared" ca="1" si="32"/>
        <v>4736</v>
      </c>
      <c r="D432" s="5" t="str">
        <f t="shared" ca="1" si="33"/>
        <v>Padronização</v>
      </c>
      <c r="E432" s="3">
        <f t="shared" ca="1" si="34"/>
        <v>9</v>
      </c>
    </row>
    <row r="433" spans="1:5" x14ac:dyDescent="0.3">
      <c r="A433" s="4">
        <f t="shared" ca="1" si="30"/>
        <v>43778</v>
      </c>
      <c r="B433" s="5" t="str">
        <f t="shared" ca="1" si="31"/>
        <v>João</v>
      </c>
      <c r="C433" s="7">
        <f t="shared" ca="1" si="32"/>
        <v>1161</v>
      </c>
      <c r="D433" s="5" t="str">
        <f t="shared" ca="1" si="33"/>
        <v>Consultoria</v>
      </c>
      <c r="E433" s="3">
        <f t="shared" ca="1" si="34"/>
        <v>11</v>
      </c>
    </row>
    <row r="434" spans="1:5" x14ac:dyDescent="0.3">
      <c r="A434" s="4">
        <f t="shared" ca="1" si="30"/>
        <v>43789</v>
      </c>
      <c r="B434" s="5" t="str">
        <f t="shared" ca="1" si="31"/>
        <v>Maria</v>
      </c>
      <c r="C434" s="7">
        <f t="shared" ca="1" si="32"/>
        <v>1542</v>
      </c>
      <c r="D434" s="5" t="str">
        <f t="shared" ca="1" si="33"/>
        <v>Consultoria</v>
      </c>
      <c r="E434" s="3">
        <f t="shared" ca="1" si="34"/>
        <v>11</v>
      </c>
    </row>
    <row r="435" spans="1:5" x14ac:dyDescent="0.3">
      <c r="A435" s="4">
        <f t="shared" ca="1" si="30"/>
        <v>43526</v>
      </c>
      <c r="B435" s="5" t="str">
        <f t="shared" ca="1" si="31"/>
        <v>Maria</v>
      </c>
      <c r="C435" s="7">
        <f t="shared" ca="1" si="32"/>
        <v>2587</v>
      </c>
      <c r="D435" s="5" t="str">
        <f t="shared" ca="1" si="33"/>
        <v>Padronização</v>
      </c>
      <c r="E435" s="3">
        <f t="shared" ca="1" si="34"/>
        <v>3</v>
      </c>
    </row>
    <row r="436" spans="1:5" x14ac:dyDescent="0.3">
      <c r="A436" s="4">
        <f t="shared" ca="1" si="30"/>
        <v>43615</v>
      </c>
      <c r="B436" s="5" t="str">
        <f t="shared" ca="1" si="31"/>
        <v>Marcelo</v>
      </c>
      <c r="C436" s="7">
        <f t="shared" ca="1" si="32"/>
        <v>2319</v>
      </c>
      <c r="D436" s="5" t="str">
        <f t="shared" ca="1" si="33"/>
        <v>Finanças</v>
      </c>
      <c r="E436" s="3">
        <f t="shared" ca="1" si="34"/>
        <v>5</v>
      </c>
    </row>
    <row r="437" spans="1:5" x14ac:dyDescent="0.3">
      <c r="A437" s="4">
        <f t="shared" ca="1" si="30"/>
        <v>43729</v>
      </c>
      <c r="B437" s="5" t="str">
        <f t="shared" ca="1" si="31"/>
        <v>João</v>
      </c>
      <c r="C437" s="7">
        <f t="shared" ca="1" si="32"/>
        <v>3309</v>
      </c>
      <c r="D437" s="5" t="str">
        <f t="shared" ca="1" si="33"/>
        <v>Padronização</v>
      </c>
      <c r="E437" s="3">
        <f t="shared" ca="1" si="34"/>
        <v>9</v>
      </c>
    </row>
    <row r="438" spans="1:5" x14ac:dyDescent="0.3">
      <c r="A438" s="4">
        <f t="shared" ca="1" si="30"/>
        <v>43590</v>
      </c>
      <c r="B438" s="5" t="str">
        <f t="shared" ca="1" si="31"/>
        <v>Marcelo</v>
      </c>
      <c r="C438" s="7">
        <f t="shared" ca="1" si="32"/>
        <v>2040</v>
      </c>
      <c r="D438" s="5" t="str">
        <f t="shared" ca="1" si="33"/>
        <v>Consultoria</v>
      </c>
      <c r="E438" s="3">
        <f t="shared" ca="1" si="34"/>
        <v>5</v>
      </c>
    </row>
    <row r="439" spans="1:5" x14ac:dyDescent="0.3">
      <c r="A439" s="4">
        <f t="shared" ca="1" si="30"/>
        <v>43657</v>
      </c>
      <c r="B439" s="5" t="str">
        <f t="shared" ca="1" si="31"/>
        <v>Marcelo</v>
      </c>
      <c r="C439" s="7">
        <f t="shared" ca="1" si="32"/>
        <v>3302</v>
      </c>
      <c r="D439" s="5" t="str">
        <f t="shared" ca="1" si="33"/>
        <v>Finanças</v>
      </c>
      <c r="E439" s="3">
        <f t="shared" ca="1" si="34"/>
        <v>7</v>
      </c>
    </row>
    <row r="440" spans="1:5" x14ac:dyDescent="0.3">
      <c r="A440" s="4">
        <f t="shared" ca="1" si="30"/>
        <v>43755</v>
      </c>
      <c r="B440" s="5" t="str">
        <f t="shared" ca="1" si="31"/>
        <v>Joaquina</v>
      </c>
      <c r="C440" s="7">
        <f t="shared" ca="1" si="32"/>
        <v>4506</v>
      </c>
      <c r="D440" s="5" t="str">
        <f t="shared" ca="1" si="33"/>
        <v>Padronização</v>
      </c>
      <c r="E440" s="3">
        <f t="shared" ca="1" si="34"/>
        <v>10</v>
      </c>
    </row>
    <row r="441" spans="1:5" x14ac:dyDescent="0.3">
      <c r="A441" s="4">
        <f t="shared" ca="1" si="30"/>
        <v>43597</v>
      </c>
      <c r="B441" s="5" t="str">
        <f t="shared" ca="1" si="31"/>
        <v>Marcelo</v>
      </c>
      <c r="C441" s="7">
        <f t="shared" ca="1" si="32"/>
        <v>4708</v>
      </c>
      <c r="D441" s="5" t="str">
        <f t="shared" ca="1" si="33"/>
        <v>Consultoria</v>
      </c>
      <c r="E441" s="3">
        <f t="shared" ca="1" si="34"/>
        <v>5</v>
      </c>
    </row>
    <row r="442" spans="1:5" x14ac:dyDescent="0.3">
      <c r="A442" s="4">
        <f t="shared" ca="1" si="30"/>
        <v>43821</v>
      </c>
      <c r="B442" s="5" t="str">
        <f t="shared" ca="1" si="31"/>
        <v>Marcelo</v>
      </c>
      <c r="C442" s="7">
        <f t="shared" ca="1" si="32"/>
        <v>2601</v>
      </c>
      <c r="D442" s="5" t="str">
        <f t="shared" ca="1" si="33"/>
        <v>Finanças</v>
      </c>
      <c r="E442" s="3">
        <f t="shared" ca="1" si="34"/>
        <v>12</v>
      </c>
    </row>
    <row r="443" spans="1:5" x14ac:dyDescent="0.3">
      <c r="A443" s="4">
        <f t="shared" ca="1" si="30"/>
        <v>43599</v>
      </c>
      <c r="B443" s="5" t="str">
        <f t="shared" ca="1" si="31"/>
        <v>João</v>
      </c>
      <c r="C443" s="7">
        <f t="shared" ca="1" si="32"/>
        <v>4456</v>
      </c>
      <c r="D443" s="5" t="str">
        <f t="shared" ca="1" si="33"/>
        <v>Consultoria</v>
      </c>
      <c r="E443" s="3">
        <f t="shared" ca="1" si="34"/>
        <v>5</v>
      </c>
    </row>
    <row r="444" spans="1:5" x14ac:dyDescent="0.3">
      <c r="A444" s="4">
        <f t="shared" ca="1" si="30"/>
        <v>43655</v>
      </c>
      <c r="B444" s="5" t="str">
        <f t="shared" ca="1" si="31"/>
        <v>Maria</v>
      </c>
      <c r="C444" s="7">
        <f t="shared" ca="1" si="32"/>
        <v>1826</v>
      </c>
      <c r="D444" s="5" t="str">
        <f t="shared" ca="1" si="33"/>
        <v>5S</v>
      </c>
      <c r="E444" s="3">
        <f t="shared" ca="1" si="34"/>
        <v>7</v>
      </c>
    </row>
    <row r="445" spans="1:5" x14ac:dyDescent="0.3">
      <c r="A445" s="4">
        <f t="shared" ca="1" si="30"/>
        <v>43652</v>
      </c>
      <c r="B445" s="5" t="str">
        <f t="shared" ca="1" si="31"/>
        <v>Maria</v>
      </c>
      <c r="C445" s="7">
        <f t="shared" ca="1" si="32"/>
        <v>4722</v>
      </c>
      <c r="D445" s="5" t="str">
        <f t="shared" ca="1" si="33"/>
        <v>Finanças</v>
      </c>
      <c r="E445" s="3">
        <f t="shared" ca="1" si="34"/>
        <v>7</v>
      </c>
    </row>
    <row r="446" spans="1:5" x14ac:dyDescent="0.3">
      <c r="A446" s="4">
        <f t="shared" ca="1" si="30"/>
        <v>43644</v>
      </c>
      <c r="B446" s="5" t="str">
        <f t="shared" ca="1" si="31"/>
        <v>Marcelo</v>
      </c>
      <c r="C446" s="7">
        <f t="shared" ca="1" si="32"/>
        <v>4893</v>
      </c>
      <c r="D446" s="5" t="str">
        <f t="shared" ca="1" si="33"/>
        <v>5S</v>
      </c>
      <c r="E446" s="3">
        <f t="shared" ca="1" si="34"/>
        <v>6</v>
      </c>
    </row>
    <row r="447" spans="1:5" x14ac:dyDescent="0.3">
      <c r="A447" s="4">
        <f t="shared" ca="1" si="30"/>
        <v>43777</v>
      </c>
      <c r="B447" s="5" t="str">
        <f t="shared" ca="1" si="31"/>
        <v>Marcelo</v>
      </c>
      <c r="C447" s="7">
        <f t="shared" ca="1" si="32"/>
        <v>2974</v>
      </c>
      <c r="D447" s="5" t="str">
        <f t="shared" ca="1" si="33"/>
        <v>Finanças</v>
      </c>
      <c r="E447" s="3">
        <f t="shared" ca="1" si="34"/>
        <v>11</v>
      </c>
    </row>
    <row r="448" spans="1:5" x14ac:dyDescent="0.3">
      <c r="A448" s="4">
        <f t="shared" ca="1" si="30"/>
        <v>43763</v>
      </c>
      <c r="B448" s="5" t="str">
        <f t="shared" ca="1" si="31"/>
        <v>Marcelo</v>
      </c>
      <c r="C448" s="7">
        <f t="shared" ca="1" si="32"/>
        <v>2680</v>
      </c>
      <c r="D448" s="5" t="str">
        <f t="shared" ca="1" si="33"/>
        <v>Padronização</v>
      </c>
      <c r="E448" s="3">
        <f t="shared" ca="1" si="34"/>
        <v>10</v>
      </c>
    </row>
    <row r="449" spans="1:5" x14ac:dyDescent="0.3">
      <c r="A449" s="4">
        <f t="shared" ca="1" si="30"/>
        <v>43572</v>
      </c>
      <c r="B449" s="5" t="str">
        <f t="shared" ca="1" si="31"/>
        <v>João</v>
      </c>
      <c r="C449" s="7">
        <f t="shared" ca="1" si="32"/>
        <v>1788</v>
      </c>
      <c r="D449" s="5" t="str">
        <f t="shared" ca="1" si="33"/>
        <v>Finanças</v>
      </c>
      <c r="E449" s="3">
        <f t="shared" ca="1" si="34"/>
        <v>4</v>
      </c>
    </row>
    <row r="450" spans="1:5" x14ac:dyDescent="0.3">
      <c r="A450" s="4">
        <f t="shared" ca="1" si="30"/>
        <v>43588</v>
      </c>
      <c r="B450" s="5" t="str">
        <f t="shared" ca="1" si="31"/>
        <v>Marcelo</v>
      </c>
      <c r="C450" s="7">
        <f t="shared" ca="1" si="32"/>
        <v>2164</v>
      </c>
      <c r="D450" s="5" t="str">
        <f t="shared" ca="1" si="33"/>
        <v>Finanças</v>
      </c>
      <c r="E450" s="3">
        <f t="shared" ca="1" si="34"/>
        <v>5</v>
      </c>
    </row>
    <row r="451" spans="1:5" x14ac:dyDescent="0.3">
      <c r="A451" s="4">
        <f t="shared" ref="A451:A514" ca="1" si="35">RANDBETWEEN($F$1,$F$2)</f>
        <v>43578</v>
      </c>
      <c r="B451" s="5" t="str">
        <f t="shared" ref="B451:B514" ca="1" si="36">VLOOKUP(RANDBETWEEN(1,4),$I$1:$J$4,2,FALSE)</f>
        <v>Joaquina</v>
      </c>
      <c r="C451" s="7">
        <f t="shared" ref="C451:C514" ca="1" si="37">RANDBETWEEN(1000,5000)</f>
        <v>3735</v>
      </c>
      <c r="D451" s="5" t="str">
        <f t="shared" ref="D451:D514" ca="1" si="38">VLOOKUP(RANDBETWEEN($I$6,$I$9),$I$6:$J$9,2,FALSE)</f>
        <v>5S</v>
      </c>
      <c r="E451" s="3">
        <f t="shared" ref="E451:E514" ca="1" si="39">MONTH(A451)</f>
        <v>4</v>
      </c>
    </row>
    <row r="452" spans="1:5" x14ac:dyDescent="0.3">
      <c r="A452" s="4">
        <f t="shared" ca="1" si="35"/>
        <v>43475</v>
      </c>
      <c r="B452" s="5" t="str">
        <f t="shared" ca="1" si="36"/>
        <v>Joaquina</v>
      </c>
      <c r="C452" s="7">
        <f t="shared" ca="1" si="37"/>
        <v>4572</v>
      </c>
      <c r="D452" s="5" t="str">
        <f t="shared" ca="1" si="38"/>
        <v>Padronização</v>
      </c>
      <c r="E452" s="3">
        <f t="shared" ca="1" si="39"/>
        <v>1</v>
      </c>
    </row>
    <row r="453" spans="1:5" x14ac:dyDescent="0.3">
      <c r="A453" s="4">
        <f t="shared" ca="1" si="35"/>
        <v>43702</v>
      </c>
      <c r="B453" s="5" t="str">
        <f t="shared" ca="1" si="36"/>
        <v>Maria</v>
      </c>
      <c r="C453" s="7">
        <f t="shared" ca="1" si="37"/>
        <v>4668</v>
      </c>
      <c r="D453" s="5" t="str">
        <f t="shared" ca="1" si="38"/>
        <v>Consultoria</v>
      </c>
      <c r="E453" s="3">
        <f t="shared" ca="1" si="39"/>
        <v>8</v>
      </c>
    </row>
    <row r="454" spans="1:5" x14ac:dyDescent="0.3">
      <c r="A454" s="4">
        <f t="shared" ca="1" si="35"/>
        <v>43740</v>
      </c>
      <c r="B454" s="5" t="str">
        <f t="shared" ca="1" si="36"/>
        <v>João</v>
      </c>
      <c r="C454" s="7">
        <f t="shared" ca="1" si="37"/>
        <v>1699</v>
      </c>
      <c r="D454" s="5" t="str">
        <f t="shared" ca="1" si="38"/>
        <v>5S</v>
      </c>
      <c r="E454" s="3">
        <f t="shared" ca="1" si="39"/>
        <v>10</v>
      </c>
    </row>
    <row r="455" spans="1:5" x14ac:dyDescent="0.3">
      <c r="A455" s="4">
        <f t="shared" ca="1" si="35"/>
        <v>43559</v>
      </c>
      <c r="B455" s="5" t="str">
        <f t="shared" ca="1" si="36"/>
        <v>Marcelo</v>
      </c>
      <c r="C455" s="7">
        <f t="shared" ca="1" si="37"/>
        <v>3847</v>
      </c>
      <c r="D455" s="5" t="str">
        <f t="shared" ca="1" si="38"/>
        <v>Padronização</v>
      </c>
      <c r="E455" s="3">
        <f t="shared" ca="1" si="39"/>
        <v>4</v>
      </c>
    </row>
    <row r="456" spans="1:5" x14ac:dyDescent="0.3">
      <c r="A456" s="4">
        <f t="shared" ca="1" si="35"/>
        <v>43791</v>
      </c>
      <c r="B456" s="5" t="str">
        <f t="shared" ca="1" si="36"/>
        <v>Marcelo</v>
      </c>
      <c r="C456" s="7">
        <f t="shared" ca="1" si="37"/>
        <v>4490</v>
      </c>
      <c r="D456" s="5" t="str">
        <f t="shared" ca="1" si="38"/>
        <v>Padronização</v>
      </c>
      <c r="E456" s="3">
        <f t="shared" ca="1" si="39"/>
        <v>11</v>
      </c>
    </row>
    <row r="457" spans="1:5" x14ac:dyDescent="0.3">
      <c r="A457" s="4">
        <f t="shared" ca="1" si="35"/>
        <v>43576</v>
      </c>
      <c r="B457" s="5" t="str">
        <f t="shared" ca="1" si="36"/>
        <v>Maria</v>
      </c>
      <c r="C457" s="7">
        <f t="shared" ca="1" si="37"/>
        <v>1391</v>
      </c>
      <c r="D457" s="5" t="str">
        <f t="shared" ca="1" si="38"/>
        <v>Finanças</v>
      </c>
      <c r="E457" s="3">
        <f t="shared" ca="1" si="39"/>
        <v>4</v>
      </c>
    </row>
    <row r="458" spans="1:5" x14ac:dyDescent="0.3">
      <c r="A458" s="4">
        <f t="shared" ca="1" si="35"/>
        <v>43788</v>
      </c>
      <c r="B458" s="5" t="str">
        <f t="shared" ca="1" si="36"/>
        <v>Marcelo</v>
      </c>
      <c r="C458" s="7">
        <f t="shared" ca="1" si="37"/>
        <v>2822</v>
      </c>
      <c r="D458" s="5" t="str">
        <f t="shared" ca="1" si="38"/>
        <v>Padronização</v>
      </c>
      <c r="E458" s="3">
        <f t="shared" ca="1" si="39"/>
        <v>11</v>
      </c>
    </row>
    <row r="459" spans="1:5" x14ac:dyDescent="0.3">
      <c r="A459" s="4">
        <f t="shared" ca="1" si="35"/>
        <v>43489</v>
      </c>
      <c r="B459" s="5" t="str">
        <f t="shared" ca="1" si="36"/>
        <v>Joaquina</v>
      </c>
      <c r="C459" s="7">
        <f t="shared" ca="1" si="37"/>
        <v>2638</v>
      </c>
      <c r="D459" s="5" t="str">
        <f t="shared" ca="1" si="38"/>
        <v>5S</v>
      </c>
      <c r="E459" s="3">
        <f t="shared" ca="1" si="39"/>
        <v>1</v>
      </c>
    </row>
    <row r="460" spans="1:5" x14ac:dyDescent="0.3">
      <c r="A460" s="4">
        <f t="shared" ca="1" si="35"/>
        <v>43487</v>
      </c>
      <c r="B460" s="5" t="str">
        <f t="shared" ca="1" si="36"/>
        <v>Joaquina</v>
      </c>
      <c r="C460" s="7">
        <f t="shared" ca="1" si="37"/>
        <v>2052</v>
      </c>
      <c r="D460" s="5" t="str">
        <f t="shared" ca="1" si="38"/>
        <v>Consultoria</v>
      </c>
      <c r="E460" s="3">
        <f t="shared" ca="1" si="39"/>
        <v>1</v>
      </c>
    </row>
    <row r="461" spans="1:5" x14ac:dyDescent="0.3">
      <c r="A461" s="4">
        <f t="shared" ca="1" si="35"/>
        <v>43492</v>
      </c>
      <c r="B461" s="5" t="str">
        <f t="shared" ca="1" si="36"/>
        <v>João</v>
      </c>
      <c r="C461" s="7">
        <f t="shared" ca="1" si="37"/>
        <v>4332</v>
      </c>
      <c r="D461" s="5" t="str">
        <f t="shared" ca="1" si="38"/>
        <v>Padronização</v>
      </c>
      <c r="E461" s="3">
        <f t="shared" ca="1" si="39"/>
        <v>1</v>
      </c>
    </row>
    <row r="462" spans="1:5" x14ac:dyDescent="0.3">
      <c r="A462" s="4">
        <f t="shared" ca="1" si="35"/>
        <v>43812</v>
      </c>
      <c r="B462" s="5" t="str">
        <f t="shared" ca="1" si="36"/>
        <v>Maria</v>
      </c>
      <c r="C462" s="7">
        <f t="shared" ca="1" si="37"/>
        <v>4191</v>
      </c>
      <c r="D462" s="5" t="str">
        <f t="shared" ca="1" si="38"/>
        <v>Consultoria</v>
      </c>
      <c r="E462" s="3">
        <f t="shared" ca="1" si="39"/>
        <v>12</v>
      </c>
    </row>
    <row r="463" spans="1:5" x14ac:dyDescent="0.3">
      <c r="A463" s="4">
        <f t="shared" ca="1" si="35"/>
        <v>43731</v>
      </c>
      <c r="B463" s="5" t="str">
        <f t="shared" ca="1" si="36"/>
        <v>Maria</v>
      </c>
      <c r="C463" s="7">
        <f t="shared" ca="1" si="37"/>
        <v>2536</v>
      </c>
      <c r="D463" s="5" t="str">
        <f t="shared" ca="1" si="38"/>
        <v>Padronização</v>
      </c>
      <c r="E463" s="3">
        <f t="shared" ca="1" si="39"/>
        <v>9</v>
      </c>
    </row>
    <row r="464" spans="1:5" x14ac:dyDescent="0.3">
      <c r="A464" s="4">
        <f t="shared" ca="1" si="35"/>
        <v>43696</v>
      </c>
      <c r="B464" s="5" t="str">
        <f t="shared" ca="1" si="36"/>
        <v>Maria</v>
      </c>
      <c r="C464" s="7">
        <f t="shared" ca="1" si="37"/>
        <v>2881</v>
      </c>
      <c r="D464" s="5" t="str">
        <f t="shared" ca="1" si="38"/>
        <v>5S</v>
      </c>
      <c r="E464" s="3">
        <f t="shared" ca="1" si="39"/>
        <v>8</v>
      </c>
    </row>
    <row r="465" spans="1:5" x14ac:dyDescent="0.3">
      <c r="A465" s="4">
        <f t="shared" ca="1" si="35"/>
        <v>43753</v>
      </c>
      <c r="B465" s="5" t="str">
        <f t="shared" ca="1" si="36"/>
        <v>Maria</v>
      </c>
      <c r="C465" s="7">
        <f t="shared" ca="1" si="37"/>
        <v>1907</v>
      </c>
      <c r="D465" s="5" t="str">
        <f t="shared" ca="1" si="38"/>
        <v>Finanças</v>
      </c>
      <c r="E465" s="3">
        <f t="shared" ca="1" si="39"/>
        <v>10</v>
      </c>
    </row>
    <row r="466" spans="1:5" x14ac:dyDescent="0.3">
      <c r="A466" s="4">
        <f t="shared" ca="1" si="35"/>
        <v>43520</v>
      </c>
      <c r="B466" s="5" t="str">
        <f t="shared" ca="1" si="36"/>
        <v>Maria</v>
      </c>
      <c r="C466" s="7">
        <f t="shared" ca="1" si="37"/>
        <v>4511</v>
      </c>
      <c r="D466" s="5" t="str">
        <f t="shared" ca="1" si="38"/>
        <v>Padronização</v>
      </c>
      <c r="E466" s="3">
        <f t="shared" ca="1" si="39"/>
        <v>2</v>
      </c>
    </row>
    <row r="467" spans="1:5" x14ac:dyDescent="0.3">
      <c r="A467" s="4">
        <f t="shared" ca="1" si="35"/>
        <v>43716</v>
      </c>
      <c r="B467" s="5" t="str">
        <f t="shared" ca="1" si="36"/>
        <v>Maria</v>
      </c>
      <c r="C467" s="7">
        <f t="shared" ca="1" si="37"/>
        <v>2478</v>
      </c>
      <c r="D467" s="5" t="str">
        <f t="shared" ca="1" si="38"/>
        <v>5S</v>
      </c>
      <c r="E467" s="3">
        <f t="shared" ca="1" si="39"/>
        <v>9</v>
      </c>
    </row>
    <row r="468" spans="1:5" x14ac:dyDescent="0.3">
      <c r="A468" s="4">
        <f t="shared" ca="1" si="35"/>
        <v>43813</v>
      </c>
      <c r="B468" s="5" t="str">
        <f t="shared" ca="1" si="36"/>
        <v>Marcelo</v>
      </c>
      <c r="C468" s="7">
        <f t="shared" ca="1" si="37"/>
        <v>3774</v>
      </c>
      <c r="D468" s="5" t="str">
        <f t="shared" ca="1" si="38"/>
        <v>Finanças</v>
      </c>
      <c r="E468" s="3">
        <f t="shared" ca="1" si="39"/>
        <v>12</v>
      </c>
    </row>
    <row r="469" spans="1:5" x14ac:dyDescent="0.3">
      <c r="A469" s="4">
        <f t="shared" ca="1" si="35"/>
        <v>43753</v>
      </c>
      <c r="B469" s="5" t="str">
        <f t="shared" ca="1" si="36"/>
        <v>Maria</v>
      </c>
      <c r="C469" s="7">
        <f t="shared" ca="1" si="37"/>
        <v>1454</v>
      </c>
      <c r="D469" s="5" t="str">
        <f t="shared" ca="1" si="38"/>
        <v>Padronização</v>
      </c>
      <c r="E469" s="3">
        <f t="shared" ca="1" si="39"/>
        <v>10</v>
      </c>
    </row>
    <row r="470" spans="1:5" x14ac:dyDescent="0.3">
      <c r="A470" s="4">
        <f t="shared" ca="1" si="35"/>
        <v>43648</v>
      </c>
      <c r="B470" s="5" t="str">
        <f t="shared" ca="1" si="36"/>
        <v>João</v>
      </c>
      <c r="C470" s="7">
        <f t="shared" ca="1" si="37"/>
        <v>4834</v>
      </c>
      <c r="D470" s="5" t="str">
        <f t="shared" ca="1" si="38"/>
        <v>5S</v>
      </c>
      <c r="E470" s="3">
        <f t="shared" ca="1" si="39"/>
        <v>7</v>
      </c>
    </row>
    <row r="471" spans="1:5" x14ac:dyDescent="0.3">
      <c r="A471" s="4">
        <f t="shared" ca="1" si="35"/>
        <v>43567</v>
      </c>
      <c r="B471" s="5" t="str">
        <f t="shared" ca="1" si="36"/>
        <v>Maria</v>
      </c>
      <c r="C471" s="7">
        <f t="shared" ca="1" si="37"/>
        <v>2126</v>
      </c>
      <c r="D471" s="5" t="str">
        <f t="shared" ca="1" si="38"/>
        <v>Finanças</v>
      </c>
      <c r="E471" s="3">
        <f t="shared" ca="1" si="39"/>
        <v>4</v>
      </c>
    </row>
    <row r="472" spans="1:5" x14ac:dyDescent="0.3">
      <c r="A472" s="4">
        <f t="shared" ca="1" si="35"/>
        <v>43772</v>
      </c>
      <c r="B472" s="5" t="str">
        <f t="shared" ca="1" si="36"/>
        <v>João</v>
      </c>
      <c r="C472" s="7">
        <f t="shared" ca="1" si="37"/>
        <v>2792</v>
      </c>
      <c r="D472" s="5" t="str">
        <f t="shared" ca="1" si="38"/>
        <v>Consultoria</v>
      </c>
      <c r="E472" s="3">
        <f t="shared" ca="1" si="39"/>
        <v>11</v>
      </c>
    </row>
    <row r="473" spans="1:5" x14ac:dyDescent="0.3">
      <c r="A473" s="4">
        <f t="shared" ca="1" si="35"/>
        <v>43755</v>
      </c>
      <c r="B473" s="5" t="str">
        <f t="shared" ca="1" si="36"/>
        <v>Marcelo</v>
      </c>
      <c r="C473" s="7">
        <f t="shared" ca="1" si="37"/>
        <v>3442</v>
      </c>
      <c r="D473" s="5" t="str">
        <f t="shared" ca="1" si="38"/>
        <v>Padronização</v>
      </c>
      <c r="E473" s="3">
        <f t="shared" ca="1" si="39"/>
        <v>10</v>
      </c>
    </row>
    <row r="474" spans="1:5" x14ac:dyDescent="0.3">
      <c r="A474" s="4">
        <f t="shared" ca="1" si="35"/>
        <v>43675</v>
      </c>
      <c r="B474" s="5" t="str">
        <f t="shared" ca="1" si="36"/>
        <v>Maria</v>
      </c>
      <c r="C474" s="7">
        <f t="shared" ca="1" si="37"/>
        <v>1727</v>
      </c>
      <c r="D474" s="5" t="str">
        <f t="shared" ca="1" si="38"/>
        <v>5S</v>
      </c>
      <c r="E474" s="3">
        <f t="shared" ca="1" si="39"/>
        <v>7</v>
      </c>
    </row>
    <row r="475" spans="1:5" x14ac:dyDescent="0.3">
      <c r="A475" s="4">
        <f t="shared" ca="1" si="35"/>
        <v>43749</v>
      </c>
      <c r="B475" s="5" t="str">
        <f t="shared" ca="1" si="36"/>
        <v>João</v>
      </c>
      <c r="C475" s="7">
        <f t="shared" ca="1" si="37"/>
        <v>2901</v>
      </c>
      <c r="D475" s="5" t="str">
        <f t="shared" ca="1" si="38"/>
        <v>5S</v>
      </c>
      <c r="E475" s="3">
        <f t="shared" ca="1" si="39"/>
        <v>10</v>
      </c>
    </row>
    <row r="476" spans="1:5" x14ac:dyDescent="0.3">
      <c r="A476" s="4">
        <f t="shared" ca="1" si="35"/>
        <v>43714</v>
      </c>
      <c r="B476" s="5" t="str">
        <f t="shared" ca="1" si="36"/>
        <v>Joaquina</v>
      </c>
      <c r="C476" s="7">
        <f t="shared" ca="1" si="37"/>
        <v>1766</v>
      </c>
      <c r="D476" s="5" t="str">
        <f t="shared" ca="1" si="38"/>
        <v>Finanças</v>
      </c>
      <c r="E476" s="3">
        <f t="shared" ca="1" si="39"/>
        <v>9</v>
      </c>
    </row>
    <row r="477" spans="1:5" x14ac:dyDescent="0.3">
      <c r="A477" s="4">
        <f t="shared" ca="1" si="35"/>
        <v>43810</v>
      </c>
      <c r="B477" s="5" t="str">
        <f t="shared" ca="1" si="36"/>
        <v>Maria</v>
      </c>
      <c r="C477" s="7">
        <f t="shared" ca="1" si="37"/>
        <v>2160</v>
      </c>
      <c r="D477" s="5" t="str">
        <f t="shared" ca="1" si="38"/>
        <v>5S</v>
      </c>
      <c r="E477" s="3">
        <f t="shared" ca="1" si="39"/>
        <v>12</v>
      </c>
    </row>
    <row r="478" spans="1:5" x14ac:dyDescent="0.3">
      <c r="A478" s="4">
        <f t="shared" ca="1" si="35"/>
        <v>43677</v>
      </c>
      <c r="B478" s="5" t="str">
        <f t="shared" ca="1" si="36"/>
        <v>João</v>
      </c>
      <c r="C478" s="7">
        <f t="shared" ca="1" si="37"/>
        <v>3731</v>
      </c>
      <c r="D478" s="5" t="str">
        <f t="shared" ca="1" si="38"/>
        <v>Padronização</v>
      </c>
      <c r="E478" s="3">
        <f t="shared" ca="1" si="39"/>
        <v>7</v>
      </c>
    </row>
    <row r="479" spans="1:5" x14ac:dyDescent="0.3">
      <c r="A479" s="4">
        <f t="shared" ca="1" si="35"/>
        <v>43531</v>
      </c>
      <c r="B479" s="5" t="str">
        <f t="shared" ca="1" si="36"/>
        <v>Maria</v>
      </c>
      <c r="C479" s="7">
        <f t="shared" ca="1" si="37"/>
        <v>4518</v>
      </c>
      <c r="D479" s="5" t="str">
        <f t="shared" ca="1" si="38"/>
        <v>Padronização</v>
      </c>
      <c r="E479" s="3">
        <f t="shared" ca="1" si="39"/>
        <v>3</v>
      </c>
    </row>
    <row r="480" spans="1:5" x14ac:dyDescent="0.3">
      <c r="A480" s="4">
        <f t="shared" ca="1" si="35"/>
        <v>43749</v>
      </c>
      <c r="B480" s="5" t="str">
        <f t="shared" ca="1" si="36"/>
        <v>Joaquina</v>
      </c>
      <c r="C480" s="7">
        <f t="shared" ca="1" si="37"/>
        <v>4128</v>
      </c>
      <c r="D480" s="5" t="str">
        <f t="shared" ca="1" si="38"/>
        <v>Padronização</v>
      </c>
      <c r="E480" s="3">
        <f t="shared" ca="1" si="39"/>
        <v>10</v>
      </c>
    </row>
    <row r="481" spans="1:5" x14ac:dyDescent="0.3">
      <c r="A481" s="4">
        <f t="shared" ca="1" si="35"/>
        <v>43818</v>
      </c>
      <c r="B481" s="5" t="str">
        <f t="shared" ca="1" si="36"/>
        <v>Maria</v>
      </c>
      <c r="C481" s="7">
        <f t="shared" ca="1" si="37"/>
        <v>1817</v>
      </c>
      <c r="D481" s="5" t="str">
        <f t="shared" ca="1" si="38"/>
        <v>5S</v>
      </c>
      <c r="E481" s="3">
        <f t="shared" ca="1" si="39"/>
        <v>12</v>
      </c>
    </row>
    <row r="482" spans="1:5" x14ac:dyDescent="0.3">
      <c r="A482" s="4">
        <f t="shared" ca="1" si="35"/>
        <v>43759</v>
      </c>
      <c r="B482" s="5" t="str">
        <f t="shared" ca="1" si="36"/>
        <v>Marcelo</v>
      </c>
      <c r="C482" s="7">
        <f t="shared" ca="1" si="37"/>
        <v>2758</v>
      </c>
      <c r="D482" s="5" t="str">
        <f t="shared" ca="1" si="38"/>
        <v>Consultoria</v>
      </c>
      <c r="E482" s="3">
        <f t="shared" ca="1" si="39"/>
        <v>10</v>
      </c>
    </row>
    <row r="483" spans="1:5" x14ac:dyDescent="0.3">
      <c r="A483" s="4">
        <f t="shared" ca="1" si="35"/>
        <v>43586</v>
      </c>
      <c r="B483" s="5" t="str">
        <f t="shared" ca="1" si="36"/>
        <v>Joaquina</v>
      </c>
      <c r="C483" s="7">
        <f t="shared" ca="1" si="37"/>
        <v>3851</v>
      </c>
      <c r="D483" s="5" t="str">
        <f t="shared" ca="1" si="38"/>
        <v>Consultoria</v>
      </c>
      <c r="E483" s="3">
        <f t="shared" ca="1" si="39"/>
        <v>5</v>
      </c>
    </row>
    <row r="484" spans="1:5" x14ac:dyDescent="0.3">
      <c r="A484" s="4">
        <f t="shared" ca="1" si="35"/>
        <v>43715</v>
      </c>
      <c r="B484" s="5" t="str">
        <f t="shared" ca="1" si="36"/>
        <v>Marcelo</v>
      </c>
      <c r="C484" s="7">
        <f t="shared" ca="1" si="37"/>
        <v>1281</v>
      </c>
      <c r="D484" s="5" t="str">
        <f t="shared" ca="1" si="38"/>
        <v>Finanças</v>
      </c>
      <c r="E484" s="3">
        <f t="shared" ca="1" si="39"/>
        <v>9</v>
      </c>
    </row>
    <row r="485" spans="1:5" x14ac:dyDescent="0.3">
      <c r="A485" s="4">
        <f t="shared" ca="1" si="35"/>
        <v>43653</v>
      </c>
      <c r="B485" s="5" t="str">
        <f t="shared" ca="1" si="36"/>
        <v>Maria</v>
      </c>
      <c r="C485" s="7">
        <f t="shared" ca="1" si="37"/>
        <v>4866</v>
      </c>
      <c r="D485" s="5" t="str">
        <f t="shared" ca="1" si="38"/>
        <v>Padronização</v>
      </c>
      <c r="E485" s="3">
        <f t="shared" ca="1" si="39"/>
        <v>7</v>
      </c>
    </row>
    <row r="486" spans="1:5" x14ac:dyDescent="0.3">
      <c r="A486" s="4">
        <f t="shared" ca="1" si="35"/>
        <v>43527</v>
      </c>
      <c r="B486" s="5" t="str">
        <f t="shared" ca="1" si="36"/>
        <v>Joaquina</v>
      </c>
      <c r="C486" s="7">
        <f t="shared" ca="1" si="37"/>
        <v>4767</v>
      </c>
      <c r="D486" s="5" t="str">
        <f t="shared" ca="1" si="38"/>
        <v>Consultoria</v>
      </c>
      <c r="E486" s="3">
        <f t="shared" ca="1" si="39"/>
        <v>3</v>
      </c>
    </row>
    <row r="487" spans="1:5" x14ac:dyDescent="0.3">
      <c r="A487" s="4">
        <f t="shared" ca="1" si="35"/>
        <v>43715</v>
      </c>
      <c r="B487" s="5" t="str">
        <f t="shared" ca="1" si="36"/>
        <v>Maria</v>
      </c>
      <c r="C487" s="7">
        <f t="shared" ca="1" si="37"/>
        <v>3955</v>
      </c>
      <c r="D487" s="5" t="str">
        <f t="shared" ca="1" si="38"/>
        <v>5S</v>
      </c>
      <c r="E487" s="3">
        <f t="shared" ca="1" si="39"/>
        <v>9</v>
      </c>
    </row>
    <row r="488" spans="1:5" x14ac:dyDescent="0.3">
      <c r="A488" s="4">
        <f t="shared" ca="1" si="35"/>
        <v>43510</v>
      </c>
      <c r="B488" s="5" t="str">
        <f t="shared" ca="1" si="36"/>
        <v>Maria</v>
      </c>
      <c r="C488" s="7">
        <f t="shared" ca="1" si="37"/>
        <v>3851</v>
      </c>
      <c r="D488" s="5" t="str">
        <f t="shared" ca="1" si="38"/>
        <v>5S</v>
      </c>
      <c r="E488" s="3">
        <f t="shared" ca="1" si="39"/>
        <v>2</v>
      </c>
    </row>
    <row r="489" spans="1:5" x14ac:dyDescent="0.3">
      <c r="A489" s="4">
        <f t="shared" ca="1" si="35"/>
        <v>43662</v>
      </c>
      <c r="B489" s="5" t="str">
        <f t="shared" ca="1" si="36"/>
        <v>Marcelo</v>
      </c>
      <c r="C489" s="7">
        <f t="shared" ca="1" si="37"/>
        <v>3649</v>
      </c>
      <c r="D489" s="5" t="str">
        <f t="shared" ca="1" si="38"/>
        <v>Consultoria</v>
      </c>
      <c r="E489" s="3">
        <f t="shared" ca="1" si="39"/>
        <v>7</v>
      </c>
    </row>
    <row r="490" spans="1:5" x14ac:dyDescent="0.3">
      <c r="A490" s="4">
        <f t="shared" ca="1" si="35"/>
        <v>43620</v>
      </c>
      <c r="B490" s="5" t="str">
        <f t="shared" ca="1" si="36"/>
        <v>Maria</v>
      </c>
      <c r="C490" s="7">
        <f t="shared" ca="1" si="37"/>
        <v>4490</v>
      </c>
      <c r="D490" s="5" t="str">
        <f t="shared" ca="1" si="38"/>
        <v>Consultoria</v>
      </c>
      <c r="E490" s="3">
        <f t="shared" ca="1" si="39"/>
        <v>6</v>
      </c>
    </row>
    <row r="491" spans="1:5" x14ac:dyDescent="0.3">
      <c r="A491" s="4">
        <f t="shared" ca="1" si="35"/>
        <v>43651</v>
      </c>
      <c r="B491" s="5" t="str">
        <f t="shared" ca="1" si="36"/>
        <v>Joaquina</v>
      </c>
      <c r="C491" s="7">
        <f t="shared" ca="1" si="37"/>
        <v>3251</v>
      </c>
      <c r="D491" s="5" t="str">
        <f t="shared" ca="1" si="38"/>
        <v>Consultoria</v>
      </c>
      <c r="E491" s="3">
        <f t="shared" ca="1" si="39"/>
        <v>7</v>
      </c>
    </row>
    <row r="492" spans="1:5" x14ac:dyDescent="0.3">
      <c r="A492" s="4">
        <f t="shared" ca="1" si="35"/>
        <v>43781</v>
      </c>
      <c r="B492" s="5" t="str">
        <f t="shared" ca="1" si="36"/>
        <v>João</v>
      </c>
      <c r="C492" s="7">
        <f t="shared" ca="1" si="37"/>
        <v>3892</v>
      </c>
      <c r="D492" s="5" t="str">
        <f t="shared" ca="1" si="38"/>
        <v>Padronização</v>
      </c>
      <c r="E492" s="3">
        <f t="shared" ca="1" si="39"/>
        <v>11</v>
      </c>
    </row>
    <row r="493" spans="1:5" x14ac:dyDescent="0.3">
      <c r="A493" s="4">
        <f t="shared" ca="1" si="35"/>
        <v>43551</v>
      </c>
      <c r="B493" s="5" t="str">
        <f t="shared" ca="1" si="36"/>
        <v>Maria</v>
      </c>
      <c r="C493" s="7">
        <f t="shared" ca="1" si="37"/>
        <v>2208</v>
      </c>
      <c r="D493" s="5" t="str">
        <f t="shared" ca="1" si="38"/>
        <v>Padronização</v>
      </c>
      <c r="E493" s="3">
        <f t="shared" ca="1" si="39"/>
        <v>3</v>
      </c>
    </row>
    <row r="494" spans="1:5" x14ac:dyDescent="0.3">
      <c r="A494" s="4">
        <f t="shared" ca="1" si="35"/>
        <v>43652</v>
      </c>
      <c r="B494" s="5" t="str">
        <f t="shared" ca="1" si="36"/>
        <v>Marcelo</v>
      </c>
      <c r="C494" s="7">
        <f t="shared" ca="1" si="37"/>
        <v>4078</v>
      </c>
      <c r="D494" s="5" t="str">
        <f t="shared" ca="1" si="38"/>
        <v>5S</v>
      </c>
      <c r="E494" s="3">
        <f t="shared" ca="1" si="39"/>
        <v>7</v>
      </c>
    </row>
    <row r="495" spans="1:5" x14ac:dyDescent="0.3">
      <c r="A495" s="4">
        <f t="shared" ca="1" si="35"/>
        <v>43659</v>
      </c>
      <c r="B495" s="5" t="str">
        <f t="shared" ca="1" si="36"/>
        <v>Marcelo</v>
      </c>
      <c r="C495" s="7">
        <f t="shared" ca="1" si="37"/>
        <v>4691</v>
      </c>
      <c r="D495" s="5" t="str">
        <f t="shared" ca="1" si="38"/>
        <v>Padronização</v>
      </c>
      <c r="E495" s="3">
        <f t="shared" ca="1" si="39"/>
        <v>7</v>
      </c>
    </row>
    <row r="496" spans="1:5" x14ac:dyDescent="0.3">
      <c r="A496" s="4">
        <f t="shared" ca="1" si="35"/>
        <v>43746</v>
      </c>
      <c r="B496" s="5" t="str">
        <f t="shared" ca="1" si="36"/>
        <v>Joaquina</v>
      </c>
      <c r="C496" s="7">
        <f t="shared" ca="1" si="37"/>
        <v>4822</v>
      </c>
      <c r="D496" s="5" t="str">
        <f t="shared" ca="1" si="38"/>
        <v>Padronização</v>
      </c>
      <c r="E496" s="3">
        <f t="shared" ca="1" si="39"/>
        <v>10</v>
      </c>
    </row>
    <row r="497" spans="1:5" x14ac:dyDescent="0.3">
      <c r="A497" s="4">
        <f t="shared" ca="1" si="35"/>
        <v>43655</v>
      </c>
      <c r="B497" s="5" t="str">
        <f t="shared" ca="1" si="36"/>
        <v>Marcelo</v>
      </c>
      <c r="C497" s="7">
        <f t="shared" ca="1" si="37"/>
        <v>3279</v>
      </c>
      <c r="D497" s="5" t="str">
        <f t="shared" ca="1" si="38"/>
        <v>Consultoria</v>
      </c>
      <c r="E497" s="3">
        <f t="shared" ca="1" si="39"/>
        <v>7</v>
      </c>
    </row>
    <row r="498" spans="1:5" x14ac:dyDescent="0.3">
      <c r="A498" s="4">
        <f t="shared" ca="1" si="35"/>
        <v>43810</v>
      </c>
      <c r="B498" s="5" t="str">
        <f t="shared" ca="1" si="36"/>
        <v>João</v>
      </c>
      <c r="C498" s="7">
        <f t="shared" ca="1" si="37"/>
        <v>2899</v>
      </c>
      <c r="D498" s="5" t="str">
        <f t="shared" ca="1" si="38"/>
        <v>Consultoria</v>
      </c>
      <c r="E498" s="3">
        <f t="shared" ca="1" si="39"/>
        <v>12</v>
      </c>
    </row>
    <row r="499" spans="1:5" x14ac:dyDescent="0.3">
      <c r="A499" s="4">
        <f t="shared" ca="1" si="35"/>
        <v>43773</v>
      </c>
      <c r="B499" s="5" t="str">
        <f t="shared" ca="1" si="36"/>
        <v>Maria</v>
      </c>
      <c r="C499" s="7">
        <f t="shared" ca="1" si="37"/>
        <v>3002</v>
      </c>
      <c r="D499" s="5" t="str">
        <f t="shared" ca="1" si="38"/>
        <v>Consultoria</v>
      </c>
      <c r="E499" s="3">
        <f t="shared" ca="1" si="39"/>
        <v>11</v>
      </c>
    </row>
    <row r="500" spans="1:5" x14ac:dyDescent="0.3">
      <c r="A500" s="4">
        <f t="shared" ca="1" si="35"/>
        <v>43687</v>
      </c>
      <c r="B500" s="5" t="str">
        <f t="shared" ca="1" si="36"/>
        <v>João</v>
      </c>
      <c r="C500" s="7">
        <f t="shared" ca="1" si="37"/>
        <v>3093</v>
      </c>
      <c r="D500" s="5" t="str">
        <f t="shared" ca="1" si="38"/>
        <v>Padronização</v>
      </c>
      <c r="E500" s="3">
        <f t="shared" ca="1" si="39"/>
        <v>8</v>
      </c>
    </row>
    <row r="501" spans="1:5" x14ac:dyDescent="0.3">
      <c r="A501" s="4">
        <f t="shared" ca="1" si="35"/>
        <v>43738</v>
      </c>
      <c r="B501" s="5" t="str">
        <f t="shared" ca="1" si="36"/>
        <v>João</v>
      </c>
      <c r="C501" s="7">
        <f t="shared" ca="1" si="37"/>
        <v>3701</v>
      </c>
      <c r="D501" s="5" t="str">
        <f t="shared" ca="1" si="38"/>
        <v>5S</v>
      </c>
      <c r="E501" s="3">
        <f t="shared" ca="1" si="39"/>
        <v>9</v>
      </c>
    </row>
    <row r="502" spans="1:5" x14ac:dyDescent="0.3">
      <c r="A502" s="4">
        <f t="shared" ca="1" si="35"/>
        <v>43818</v>
      </c>
      <c r="B502" s="5" t="str">
        <f t="shared" ca="1" si="36"/>
        <v>Marcelo</v>
      </c>
      <c r="C502" s="7">
        <f t="shared" ca="1" si="37"/>
        <v>3191</v>
      </c>
      <c r="D502" s="5" t="str">
        <f t="shared" ca="1" si="38"/>
        <v>Finanças</v>
      </c>
      <c r="E502" s="3">
        <f t="shared" ca="1" si="39"/>
        <v>12</v>
      </c>
    </row>
    <row r="503" spans="1:5" x14ac:dyDescent="0.3">
      <c r="A503" s="4">
        <f t="shared" ca="1" si="35"/>
        <v>43518</v>
      </c>
      <c r="B503" s="5" t="str">
        <f t="shared" ca="1" si="36"/>
        <v>Maria</v>
      </c>
      <c r="C503" s="7">
        <f t="shared" ca="1" si="37"/>
        <v>4045</v>
      </c>
      <c r="D503" s="5" t="str">
        <f t="shared" ca="1" si="38"/>
        <v>Consultoria</v>
      </c>
      <c r="E503" s="3">
        <f t="shared" ca="1" si="39"/>
        <v>2</v>
      </c>
    </row>
    <row r="504" spans="1:5" x14ac:dyDescent="0.3">
      <c r="A504" s="4">
        <f t="shared" ca="1" si="35"/>
        <v>43790</v>
      </c>
      <c r="B504" s="5" t="str">
        <f t="shared" ca="1" si="36"/>
        <v>João</v>
      </c>
      <c r="C504" s="7">
        <f t="shared" ca="1" si="37"/>
        <v>4406</v>
      </c>
      <c r="D504" s="5" t="str">
        <f t="shared" ca="1" si="38"/>
        <v>Padronização</v>
      </c>
      <c r="E504" s="3">
        <f t="shared" ca="1" si="39"/>
        <v>11</v>
      </c>
    </row>
    <row r="505" spans="1:5" x14ac:dyDescent="0.3">
      <c r="A505" s="4">
        <f t="shared" ca="1" si="35"/>
        <v>43702</v>
      </c>
      <c r="B505" s="5" t="str">
        <f t="shared" ca="1" si="36"/>
        <v>Marcelo</v>
      </c>
      <c r="C505" s="7">
        <f t="shared" ca="1" si="37"/>
        <v>4419</v>
      </c>
      <c r="D505" s="5" t="str">
        <f t="shared" ca="1" si="38"/>
        <v>Padronização</v>
      </c>
      <c r="E505" s="3">
        <f t="shared" ca="1" si="39"/>
        <v>8</v>
      </c>
    </row>
    <row r="506" spans="1:5" x14ac:dyDescent="0.3">
      <c r="A506" s="4">
        <f t="shared" ca="1" si="35"/>
        <v>43805</v>
      </c>
      <c r="B506" s="5" t="str">
        <f t="shared" ca="1" si="36"/>
        <v>Joaquina</v>
      </c>
      <c r="C506" s="7">
        <f t="shared" ca="1" si="37"/>
        <v>3779</v>
      </c>
      <c r="D506" s="5" t="str">
        <f t="shared" ca="1" si="38"/>
        <v>5S</v>
      </c>
      <c r="E506" s="3">
        <f t="shared" ca="1" si="39"/>
        <v>12</v>
      </c>
    </row>
    <row r="507" spans="1:5" x14ac:dyDescent="0.3">
      <c r="A507" s="4">
        <f t="shared" ca="1" si="35"/>
        <v>43518</v>
      </c>
      <c r="B507" s="5" t="str">
        <f t="shared" ca="1" si="36"/>
        <v>Maria</v>
      </c>
      <c r="C507" s="7">
        <f t="shared" ca="1" si="37"/>
        <v>4974</v>
      </c>
      <c r="D507" s="5" t="str">
        <f t="shared" ca="1" si="38"/>
        <v>5S</v>
      </c>
      <c r="E507" s="3">
        <f t="shared" ca="1" si="39"/>
        <v>2</v>
      </c>
    </row>
    <row r="508" spans="1:5" x14ac:dyDescent="0.3">
      <c r="A508" s="4">
        <f t="shared" ca="1" si="35"/>
        <v>43657</v>
      </c>
      <c r="B508" s="5" t="str">
        <f t="shared" ca="1" si="36"/>
        <v>João</v>
      </c>
      <c r="C508" s="7">
        <f t="shared" ca="1" si="37"/>
        <v>4542</v>
      </c>
      <c r="D508" s="5" t="str">
        <f t="shared" ca="1" si="38"/>
        <v>5S</v>
      </c>
      <c r="E508" s="3">
        <f t="shared" ca="1" si="39"/>
        <v>7</v>
      </c>
    </row>
    <row r="509" spans="1:5" x14ac:dyDescent="0.3">
      <c r="A509" s="4">
        <f t="shared" ca="1" si="35"/>
        <v>43827</v>
      </c>
      <c r="B509" s="5" t="str">
        <f t="shared" ca="1" si="36"/>
        <v>Marcelo</v>
      </c>
      <c r="C509" s="7">
        <f t="shared" ca="1" si="37"/>
        <v>4946</v>
      </c>
      <c r="D509" s="5" t="str">
        <f t="shared" ca="1" si="38"/>
        <v>Padronização</v>
      </c>
      <c r="E509" s="3">
        <f t="shared" ca="1" si="39"/>
        <v>12</v>
      </c>
    </row>
    <row r="510" spans="1:5" x14ac:dyDescent="0.3">
      <c r="A510" s="4">
        <f t="shared" ca="1" si="35"/>
        <v>43720</v>
      </c>
      <c r="B510" s="5" t="str">
        <f t="shared" ca="1" si="36"/>
        <v>Maria</v>
      </c>
      <c r="C510" s="7">
        <f t="shared" ca="1" si="37"/>
        <v>1710</v>
      </c>
      <c r="D510" s="5" t="str">
        <f t="shared" ca="1" si="38"/>
        <v>Finanças</v>
      </c>
      <c r="E510" s="3">
        <f t="shared" ca="1" si="39"/>
        <v>9</v>
      </c>
    </row>
    <row r="511" spans="1:5" x14ac:dyDescent="0.3">
      <c r="A511" s="4">
        <f t="shared" ca="1" si="35"/>
        <v>43712</v>
      </c>
      <c r="B511" s="5" t="str">
        <f t="shared" ca="1" si="36"/>
        <v>Joaquina</v>
      </c>
      <c r="C511" s="7">
        <f t="shared" ca="1" si="37"/>
        <v>2925</v>
      </c>
      <c r="D511" s="5" t="str">
        <f t="shared" ca="1" si="38"/>
        <v>Padronização</v>
      </c>
      <c r="E511" s="3">
        <f t="shared" ca="1" si="39"/>
        <v>9</v>
      </c>
    </row>
    <row r="512" spans="1:5" x14ac:dyDescent="0.3">
      <c r="A512" s="4">
        <f t="shared" ca="1" si="35"/>
        <v>43583</v>
      </c>
      <c r="B512" s="5" t="str">
        <f t="shared" ca="1" si="36"/>
        <v>Marcelo</v>
      </c>
      <c r="C512" s="7">
        <f t="shared" ca="1" si="37"/>
        <v>2851</v>
      </c>
      <c r="D512" s="5" t="str">
        <f t="shared" ca="1" si="38"/>
        <v>Finanças</v>
      </c>
      <c r="E512" s="3">
        <f t="shared" ca="1" si="39"/>
        <v>4</v>
      </c>
    </row>
    <row r="513" spans="1:5" x14ac:dyDescent="0.3">
      <c r="A513" s="4">
        <f t="shared" ca="1" si="35"/>
        <v>43579</v>
      </c>
      <c r="B513" s="5" t="str">
        <f t="shared" ca="1" si="36"/>
        <v>João</v>
      </c>
      <c r="C513" s="7">
        <f t="shared" ca="1" si="37"/>
        <v>2227</v>
      </c>
      <c r="D513" s="5" t="str">
        <f t="shared" ca="1" si="38"/>
        <v>5S</v>
      </c>
      <c r="E513" s="3">
        <f t="shared" ca="1" si="39"/>
        <v>4</v>
      </c>
    </row>
    <row r="514" spans="1:5" x14ac:dyDescent="0.3">
      <c r="A514" s="4">
        <f t="shared" ca="1" si="35"/>
        <v>43660</v>
      </c>
      <c r="B514" s="5" t="str">
        <f t="shared" ca="1" si="36"/>
        <v>Maria</v>
      </c>
      <c r="C514" s="7">
        <f t="shared" ca="1" si="37"/>
        <v>2730</v>
      </c>
      <c r="D514" s="5" t="str">
        <f t="shared" ca="1" si="38"/>
        <v>Finanças</v>
      </c>
      <c r="E514" s="3">
        <f t="shared" ca="1" si="39"/>
        <v>7</v>
      </c>
    </row>
    <row r="515" spans="1:5" x14ac:dyDescent="0.3">
      <c r="A515" s="4">
        <f t="shared" ref="A515:A578" ca="1" si="40">RANDBETWEEN($F$1,$F$2)</f>
        <v>43506</v>
      </c>
      <c r="B515" s="5" t="str">
        <f t="shared" ref="B515:B578" ca="1" si="41">VLOOKUP(RANDBETWEEN(1,4),$I$1:$J$4,2,FALSE)</f>
        <v>Marcelo</v>
      </c>
      <c r="C515" s="7">
        <f t="shared" ref="C515:C578" ca="1" si="42">RANDBETWEEN(1000,5000)</f>
        <v>1270</v>
      </c>
      <c r="D515" s="5" t="str">
        <f t="shared" ref="D515:D578" ca="1" si="43">VLOOKUP(RANDBETWEEN($I$6,$I$9),$I$6:$J$9,2,FALSE)</f>
        <v>5S</v>
      </c>
      <c r="E515" s="3">
        <f t="shared" ref="E515:E578" ca="1" si="44">MONTH(A515)</f>
        <v>2</v>
      </c>
    </row>
    <row r="516" spans="1:5" x14ac:dyDescent="0.3">
      <c r="A516" s="4">
        <f t="shared" ca="1" si="40"/>
        <v>43814</v>
      </c>
      <c r="B516" s="5" t="str">
        <f t="shared" ca="1" si="41"/>
        <v>Joaquina</v>
      </c>
      <c r="C516" s="7">
        <f t="shared" ca="1" si="42"/>
        <v>4468</v>
      </c>
      <c r="D516" s="5" t="str">
        <f t="shared" ca="1" si="43"/>
        <v>5S</v>
      </c>
      <c r="E516" s="3">
        <f t="shared" ca="1" si="44"/>
        <v>12</v>
      </c>
    </row>
    <row r="517" spans="1:5" x14ac:dyDescent="0.3">
      <c r="A517" s="4">
        <f t="shared" ca="1" si="40"/>
        <v>43470</v>
      </c>
      <c r="B517" s="5" t="str">
        <f t="shared" ca="1" si="41"/>
        <v>Marcelo</v>
      </c>
      <c r="C517" s="7">
        <f t="shared" ca="1" si="42"/>
        <v>3464</v>
      </c>
      <c r="D517" s="5" t="str">
        <f t="shared" ca="1" si="43"/>
        <v>Padronização</v>
      </c>
      <c r="E517" s="3">
        <f t="shared" ca="1" si="44"/>
        <v>1</v>
      </c>
    </row>
    <row r="518" spans="1:5" x14ac:dyDescent="0.3">
      <c r="A518" s="4">
        <f t="shared" ca="1" si="40"/>
        <v>43613</v>
      </c>
      <c r="B518" s="5" t="str">
        <f t="shared" ca="1" si="41"/>
        <v>Maria</v>
      </c>
      <c r="C518" s="7">
        <f t="shared" ca="1" si="42"/>
        <v>2708</v>
      </c>
      <c r="D518" s="5" t="str">
        <f t="shared" ca="1" si="43"/>
        <v>Padronização</v>
      </c>
      <c r="E518" s="3">
        <f t="shared" ca="1" si="44"/>
        <v>5</v>
      </c>
    </row>
    <row r="519" spans="1:5" x14ac:dyDescent="0.3">
      <c r="A519" s="4">
        <f t="shared" ca="1" si="40"/>
        <v>43747</v>
      </c>
      <c r="B519" s="5" t="str">
        <f t="shared" ca="1" si="41"/>
        <v>Maria</v>
      </c>
      <c r="C519" s="7">
        <f t="shared" ca="1" si="42"/>
        <v>4942</v>
      </c>
      <c r="D519" s="5" t="str">
        <f t="shared" ca="1" si="43"/>
        <v>5S</v>
      </c>
      <c r="E519" s="3">
        <f t="shared" ca="1" si="44"/>
        <v>10</v>
      </c>
    </row>
    <row r="520" spans="1:5" x14ac:dyDescent="0.3">
      <c r="A520" s="4">
        <f t="shared" ca="1" si="40"/>
        <v>43514</v>
      </c>
      <c r="B520" s="5" t="str">
        <f t="shared" ca="1" si="41"/>
        <v>Marcelo</v>
      </c>
      <c r="C520" s="7">
        <f t="shared" ca="1" si="42"/>
        <v>1270</v>
      </c>
      <c r="D520" s="5" t="str">
        <f t="shared" ca="1" si="43"/>
        <v>5S</v>
      </c>
      <c r="E520" s="3">
        <f t="shared" ca="1" si="44"/>
        <v>2</v>
      </c>
    </row>
    <row r="521" spans="1:5" x14ac:dyDescent="0.3">
      <c r="A521" s="4">
        <f t="shared" ca="1" si="40"/>
        <v>43689</v>
      </c>
      <c r="B521" s="5" t="str">
        <f t="shared" ca="1" si="41"/>
        <v>Maria</v>
      </c>
      <c r="C521" s="7">
        <f t="shared" ca="1" si="42"/>
        <v>2412</v>
      </c>
      <c r="D521" s="5" t="str">
        <f t="shared" ca="1" si="43"/>
        <v>Padronização</v>
      </c>
      <c r="E521" s="3">
        <f t="shared" ca="1" si="44"/>
        <v>8</v>
      </c>
    </row>
    <row r="522" spans="1:5" x14ac:dyDescent="0.3">
      <c r="A522" s="4">
        <f t="shared" ca="1" si="40"/>
        <v>43487</v>
      </c>
      <c r="B522" s="5" t="str">
        <f t="shared" ca="1" si="41"/>
        <v>João</v>
      </c>
      <c r="C522" s="7">
        <f t="shared" ca="1" si="42"/>
        <v>4759</v>
      </c>
      <c r="D522" s="5" t="str">
        <f t="shared" ca="1" si="43"/>
        <v>Consultoria</v>
      </c>
      <c r="E522" s="3">
        <f t="shared" ca="1" si="44"/>
        <v>1</v>
      </c>
    </row>
    <row r="523" spans="1:5" x14ac:dyDescent="0.3">
      <c r="A523" s="4">
        <f t="shared" ca="1" si="40"/>
        <v>43709</v>
      </c>
      <c r="B523" s="5" t="str">
        <f t="shared" ca="1" si="41"/>
        <v>Marcelo</v>
      </c>
      <c r="C523" s="7">
        <f t="shared" ca="1" si="42"/>
        <v>1761</v>
      </c>
      <c r="D523" s="5" t="str">
        <f t="shared" ca="1" si="43"/>
        <v>Consultoria</v>
      </c>
      <c r="E523" s="3">
        <f t="shared" ca="1" si="44"/>
        <v>9</v>
      </c>
    </row>
    <row r="524" spans="1:5" x14ac:dyDescent="0.3">
      <c r="A524" s="4">
        <f t="shared" ca="1" si="40"/>
        <v>43763</v>
      </c>
      <c r="B524" s="5" t="str">
        <f t="shared" ca="1" si="41"/>
        <v>Marcelo</v>
      </c>
      <c r="C524" s="7">
        <f t="shared" ca="1" si="42"/>
        <v>1070</v>
      </c>
      <c r="D524" s="5" t="str">
        <f t="shared" ca="1" si="43"/>
        <v>Consultoria</v>
      </c>
      <c r="E524" s="3">
        <f t="shared" ca="1" si="44"/>
        <v>10</v>
      </c>
    </row>
    <row r="525" spans="1:5" x14ac:dyDescent="0.3">
      <c r="A525" s="4">
        <f t="shared" ca="1" si="40"/>
        <v>43719</v>
      </c>
      <c r="B525" s="5" t="str">
        <f t="shared" ca="1" si="41"/>
        <v>Marcelo</v>
      </c>
      <c r="C525" s="7">
        <f t="shared" ca="1" si="42"/>
        <v>3383</v>
      </c>
      <c r="D525" s="5" t="str">
        <f t="shared" ca="1" si="43"/>
        <v>Padronização</v>
      </c>
      <c r="E525" s="3">
        <f t="shared" ca="1" si="44"/>
        <v>9</v>
      </c>
    </row>
    <row r="526" spans="1:5" x14ac:dyDescent="0.3">
      <c r="A526" s="4">
        <f t="shared" ca="1" si="40"/>
        <v>43787</v>
      </c>
      <c r="B526" s="5" t="str">
        <f t="shared" ca="1" si="41"/>
        <v>Maria</v>
      </c>
      <c r="C526" s="7">
        <f t="shared" ca="1" si="42"/>
        <v>3903</v>
      </c>
      <c r="D526" s="5" t="str">
        <f t="shared" ca="1" si="43"/>
        <v>5S</v>
      </c>
      <c r="E526" s="3">
        <f t="shared" ca="1" si="44"/>
        <v>11</v>
      </c>
    </row>
    <row r="527" spans="1:5" x14ac:dyDescent="0.3">
      <c r="A527" s="4">
        <f t="shared" ca="1" si="40"/>
        <v>43502</v>
      </c>
      <c r="B527" s="5" t="str">
        <f t="shared" ca="1" si="41"/>
        <v>Maria</v>
      </c>
      <c r="C527" s="7">
        <f t="shared" ca="1" si="42"/>
        <v>4241</v>
      </c>
      <c r="D527" s="5" t="str">
        <f t="shared" ca="1" si="43"/>
        <v>Consultoria</v>
      </c>
      <c r="E527" s="3">
        <f t="shared" ca="1" si="44"/>
        <v>2</v>
      </c>
    </row>
    <row r="528" spans="1:5" x14ac:dyDescent="0.3">
      <c r="A528" s="4">
        <f t="shared" ca="1" si="40"/>
        <v>43775</v>
      </c>
      <c r="B528" s="5" t="str">
        <f t="shared" ca="1" si="41"/>
        <v>João</v>
      </c>
      <c r="C528" s="7">
        <f t="shared" ca="1" si="42"/>
        <v>3872</v>
      </c>
      <c r="D528" s="5" t="str">
        <f t="shared" ca="1" si="43"/>
        <v>5S</v>
      </c>
      <c r="E528" s="3">
        <f t="shared" ca="1" si="44"/>
        <v>11</v>
      </c>
    </row>
    <row r="529" spans="1:5" x14ac:dyDescent="0.3">
      <c r="A529" s="4">
        <f t="shared" ca="1" si="40"/>
        <v>43470</v>
      </c>
      <c r="B529" s="5" t="str">
        <f t="shared" ca="1" si="41"/>
        <v>Maria</v>
      </c>
      <c r="C529" s="7">
        <f t="shared" ca="1" si="42"/>
        <v>3167</v>
      </c>
      <c r="D529" s="5" t="str">
        <f t="shared" ca="1" si="43"/>
        <v>Finanças</v>
      </c>
      <c r="E529" s="3">
        <f t="shared" ca="1" si="44"/>
        <v>1</v>
      </c>
    </row>
    <row r="530" spans="1:5" x14ac:dyDescent="0.3">
      <c r="A530" s="4">
        <f t="shared" ca="1" si="40"/>
        <v>43777</v>
      </c>
      <c r="B530" s="5" t="str">
        <f t="shared" ca="1" si="41"/>
        <v>Joaquina</v>
      </c>
      <c r="C530" s="7">
        <f t="shared" ca="1" si="42"/>
        <v>2581</v>
      </c>
      <c r="D530" s="5" t="str">
        <f t="shared" ca="1" si="43"/>
        <v>Padronização</v>
      </c>
      <c r="E530" s="3">
        <f t="shared" ca="1" si="44"/>
        <v>11</v>
      </c>
    </row>
    <row r="531" spans="1:5" x14ac:dyDescent="0.3">
      <c r="A531" s="4">
        <f t="shared" ca="1" si="40"/>
        <v>43594</v>
      </c>
      <c r="B531" s="5" t="str">
        <f t="shared" ca="1" si="41"/>
        <v>Joaquina</v>
      </c>
      <c r="C531" s="7">
        <f t="shared" ca="1" si="42"/>
        <v>1331</v>
      </c>
      <c r="D531" s="5" t="str">
        <f t="shared" ca="1" si="43"/>
        <v>Consultoria</v>
      </c>
      <c r="E531" s="3">
        <f t="shared" ca="1" si="44"/>
        <v>5</v>
      </c>
    </row>
    <row r="532" spans="1:5" x14ac:dyDescent="0.3">
      <c r="A532" s="4">
        <f t="shared" ca="1" si="40"/>
        <v>43679</v>
      </c>
      <c r="B532" s="5" t="str">
        <f t="shared" ca="1" si="41"/>
        <v>João</v>
      </c>
      <c r="C532" s="7">
        <f t="shared" ca="1" si="42"/>
        <v>4230</v>
      </c>
      <c r="D532" s="5" t="str">
        <f t="shared" ca="1" si="43"/>
        <v>Finanças</v>
      </c>
      <c r="E532" s="3">
        <f t="shared" ca="1" si="44"/>
        <v>8</v>
      </c>
    </row>
    <row r="533" spans="1:5" x14ac:dyDescent="0.3">
      <c r="A533" s="4">
        <f t="shared" ca="1" si="40"/>
        <v>43561</v>
      </c>
      <c r="B533" s="5" t="str">
        <f t="shared" ca="1" si="41"/>
        <v>Maria</v>
      </c>
      <c r="C533" s="7">
        <f t="shared" ca="1" si="42"/>
        <v>2703</v>
      </c>
      <c r="D533" s="5" t="str">
        <f t="shared" ca="1" si="43"/>
        <v>Consultoria</v>
      </c>
      <c r="E533" s="3">
        <f t="shared" ca="1" si="44"/>
        <v>4</v>
      </c>
    </row>
    <row r="534" spans="1:5" x14ac:dyDescent="0.3">
      <c r="A534" s="4">
        <f t="shared" ca="1" si="40"/>
        <v>43499</v>
      </c>
      <c r="B534" s="5" t="str">
        <f t="shared" ca="1" si="41"/>
        <v>João</v>
      </c>
      <c r="C534" s="7">
        <f t="shared" ca="1" si="42"/>
        <v>1020</v>
      </c>
      <c r="D534" s="5" t="str">
        <f t="shared" ca="1" si="43"/>
        <v>Finanças</v>
      </c>
      <c r="E534" s="3">
        <f t="shared" ca="1" si="44"/>
        <v>2</v>
      </c>
    </row>
    <row r="535" spans="1:5" x14ac:dyDescent="0.3">
      <c r="A535" s="4">
        <f t="shared" ca="1" si="40"/>
        <v>43817</v>
      </c>
      <c r="B535" s="5" t="str">
        <f t="shared" ca="1" si="41"/>
        <v>João</v>
      </c>
      <c r="C535" s="7">
        <f t="shared" ca="1" si="42"/>
        <v>2873</v>
      </c>
      <c r="D535" s="5" t="str">
        <f t="shared" ca="1" si="43"/>
        <v>Consultoria</v>
      </c>
      <c r="E535" s="3">
        <f t="shared" ca="1" si="44"/>
        <v>12</v>
      </c>
    </row>
    <row r="536" spans="1:5" x14ac:dyDescent="0.3">
      <c r="A536" s="4">
        <f t="shared" ca="1" si="40"/>
        <v>43627</v>
      </c>
      <c r="B536" s="5" t="str">
        <f t="shared" ca="1" si="41"/>
        <v>João</v>
      </c>
      <c r="C536" s="7">
        <f t="shared" ca="1" si="42"/>
        <v>3908</v>
      </c>
      <c r="D536" s="5" t="str">
        <f t="shared" ca="1" si="43"/>
        <v>Padronização</v>
      </c>
      <c r="E536" s="3">
        <f t="shared" ca="1" si="44"/>
        <v>6</v>
      </c>
    </row>
    <row r="537" spans="1:5" x14ac:dyDescent="0.3">
      <c r="A537" s="4">
        <f t="shared" ca="1" si="40"/>
        <v>43624</v>
      </c>
      <c r="B537" s="5" t="str">
        <f t="shared" ca="1" si="41"/>
        <v>Joaquina</v>
      </c>
      <c r="C537" s="7">
        <f t="shared" ca="1" si="42"/>
        <v>3451</v>
      </c>
      <c r="D537" s="5" t="str">
        <f t="shared" ca="1" si="43"/>
        <v>Padronização</v>
      </c>
      <c r="E537" s="3">
        <f t="shared" ca="1" si="44"/>
        <v>6</v>
      </c>
    </row>
    <row r="538" spans="1:5" x14ac:dyDescent="0.3">
      <c r="A538" s="4">
        <f t="shared" ca="1" si="40"/>
        <v>43622</v>
      </c>
      <c r="B538" s="5" t="str">
        <f t="shared" ca="1" si="41"/>
        <v>Marcelo</v>
      </c>
      <c r="C538" s="7">
        <f t="shared" ca="1" si="42"/>
        <v>3851</v>
      </c>
      <c r="D538" s="5" t="str">
        <f t="shared" ca="1" si="43"/>
        <v>5S</v>
      </c>
      <c r="E538" s="3">
        <f t="shared" ca="1" si="44"/>
        <v>6</v>
      </c>
    </row>
    <row r="539" spans="1:5" x14ac:dyDescent="0.3">
      <c r="A539" s="4">
        <f t="shared" ca="1" si="40"/>
        <v>43588</v>
      </c>
      <c r="B539" s="5" t="str">
        <f t="shared" ca="1" si="41"/>
        <v>Marcelo</v>
      </c>
      <c r="C539" s="7">
        <f t="shared" ca="1" si="42"/>
        <v>1374</v>
      </c>
      <c r="D539" s="5" t="str">
        <f t="shared" ca="1" si="43"/>
        <v>Finanças</v>
      </c>
      <c r="E539" s="3">
        <f t="shared" ca="1" si="44"/>
        <v>5</v>
      </c>
    </row>
    <row r="540" spans="1:5" x14ac:dyDescent="0.3">
      <c r="A540" s="4">
        <f t="shared" ca="1" si="40"/>
        <v>43664</v>
      </c>
      <c r="B540" s="5" t="str">
        <f t="shared" ca="1" si="41"/>
        <v>Marcelo</v>
      </c>
      <c r="C540" s="7">
        <f t="shared" ca="1" si="42"/>
        <v>3647</v>
      </c>
      <c r="D540" s="5" t="str">
        <f t="shared" ca="1" si="43"/>
        <v>5S</v>
      </c>
      <c r="E540" s="3">
        <f t="shared" ca="1" si="44"/>
        <v>7</v>
      </c>
    </row>
    <row r="541" spans="1:5" x14ac:dyDescent="0.3">
      <c r="A541" s="4">
        <f t="shared" ca="1" si="40"/>
        <v>43518</v>
      </c>
      <c r="B541" s="5" t="str">
        <f t="shared" ca="1" si="41"/>
        <v>Joaquina</v>
      </c>
      <c r="C541" s="7">
        <f t="shared" ca="1" si="42"/>
        <v>1905</v>
      </c>
      <c r="D541" s="5" t="str">
        <f t="shared" ca="1" si="43"/>
        <v>5S</v>
      </c>
      <c r="E541" s="3">
        <f t="shared" ca="1" si="44"/>
        <v>2</v>
      </c>
    </row>
    <row r="542" spans="1:5" x14ac:dyDescent="0.3">
      <c r="A542" s="4">
        <f t="shared" ca="1" si="40"/>
        <v>43797</v>
      </c>
      <c r="B542" s="5" t="str">
        <f t="shared" ca="1" si="41"/>
        <v>João</v>
      </c>
      <c r="C542" s="7">
        <f t="shared" ca="1" si="42"/>
        <v>2672</v>
      </c>
      <c r="D542" s="5" t="str">
        <f t="shared" ca="1" si="43"/>
        <v>Finanças</v>
      </c>
      <c r="E542" s="3">
        <f t="shared" ca="1" si="44"/>
        <v>11</v>
      </c>
    </row>
    <row r="543" spans="1:5" x14ac:dyDescent="0.3">
      <c r="A543" s="4">
        <f t="shared" ca="1" si="40"/>
        <v>43806</v>
      </c>
      <c r="B543" s="5" t="str">
        <f t="shared" ca="1" si="41"/>
        <v>Maria</v>
      </c>
      <c r="C543" s="7">
        <f t="shared" ca="1" si="42"/>
        <v>2369</v>
      </c>
      <c r="D543" s="5" t="str">
        <f t="shared" ca="1" si="43"/>
        <v>Consultoria</v>
      </c>
      <c r="E543" s="3">
        <f t="shared" ca="1" si="44"/>
        <v>12</v>
      </c>
    </row>
    <row r="544" spans="1:5" x14ac:dyDescent="0.3">
      <c r="A544" s="4">
        <f t="shared" ca="1" si="40"/>
        <v>43579</v>
      </c>
      <c r="B544" s="5" t="str">
        <f t="shared" ca="1" si="41"/>
        <v>Marcelo</v>
      </c>
      <c r="C544" s="7">
        <f t="shared" ca="1" si="42"/>
        <v>4476</v>
      </c>
      <c r="D544" s="5" t="str">
        <f t="shared" ca="1" si="43"/>
        <v>Finanças</v>
      </c>
      <c r="E544" s="3">
        <f t="shared" ca="1" si="44"/>
        <v>4</v>
      </c>
    </row>
    <row r="545" spans="1:5" x14ac:dyDescent="0.3">
      <c r="A545" s="4">
        <f t="shared" ca="1" si="40"/>
        <v>43735</v>
      </c>
      <c r="B545" s="5" t="str">
        <f t="shared" ca="1" si="41"/>
        <v>João</v>
      </c>
      <c r="C545" s="7">
        <f t="shared" ca="1" si="42"/>
        <v>3076</v>
      </c>
      <c r="D545" s="5" t="str">
        <f t="shared" ca="1" si="43"/>
        <v>Finanças</v>
      </c>
      <c r="E545" s="3">
        <f t="shared" ca="1" si="44"/>
        <v>9</v>
      </c>
    </row>
    <row r="546" spans="1:5" x14ac:dyDescent="0.3">
      <c r="A546" s="4">
        <f t="shared" ca="1" si="40"/>
        <v>43702</v>
      </c>
      <c r="B546" s="5" t="str">
        <f t="shared" ca="1" si="41"/>
        <v>João</v>
      </c>
      <c r="C546" s="7">
        <f t="shared" ca="1" si="42"/>
        <v>2740</v>
      </c>
      <c r="D546" s="5" t="str">
        <f t="shared" ca="1" si="43"/>
        <v>5S</v>
      </c>
      <c r="E546" s="3">
        <f t="shared" ca="1" si="44"/>
        <v>8</v>
      </c>
    </row>
    <row r="547" spans="1:5" x14ac:dyDescent="0.3">
      <c r="A547" s="4">
        <f t="shared" ca="1" si="40"/>
        <v>43709</v>
      </c>
      <c r="B547" s="5" t="str">
        <f t="shared" ca="1" si="41"/>
        <v>Maria</v>
      </c>
      <c r="C547" s="7">
        <f t="shared" ca="1" si="42"/>
        <v>3922</v>
      </c>
      <c r="D547" s="5" t="str">
        <f t="shared" ca="1" si="43"/>
        <v>Finanças</v>
      </c>
      <c r="E547" s="3">
        <f t="shared" ca="1" si="44"/>
        <v>9</v>
      </c>
    </row>
    <row r="548" spans="1:5" x14ac:dyDescent="0.3">
      <c r="A548" s="4">
        <f t="shared" ca="1" si="40"/>
        <v>43665</v>
      </c>
      <c r="B548" s="5" t="str">
        <f t="shared" ca="1" si="41"/>
        <v>Maria</v>
      </c>
      <c r="C548" s="7">
        <f t="shared" ca="1" si="42"/>
        <v>3616</v>
      </c>
      <c r="D548" s="5" t="str">
        <f t="shared" ca="1" si="43"/>
        <v>Consultoria</v>
      </c>
      <c r="E548" s="3">
        <f t="shared" ca="1" si="44"/>
        <v>7</v>
      </c>
    </row>
    <row r="549" spans="1:5" x14ac:dyDescent="0.3">
      <c r="A549" s="4">
        <f t="shared" ca="1" si="40"/>
        <v>43511</v>
      </c>
      <c r="B549" s="5" t="str">
        <f t="shared" ca="1" si="41"/>
        <v>João</v>
      </c>
      <c r="C549" s="7">
        <f t="shared" ca="1" si="42"/>
        <v>4343</v>
      </c>
      <c r="D549" s="5" t="str">
        <f t="shared" ca="1" si="43"/>
        <v>Consultoria</v>
      </c>
      <c r="E549" s="3">
        <f t="shared" ca="1" si="44"/>
        <v>2</v>
      </c>
    </row>
    <row r="550" spans="1:5" x14ac:dyDescent="0.3">
      <c r="A550" s="4">
        <f t="shared" ca="1" si="40"/>
        <v>43782</v>
      </c>
      <c r="B550" s="5" t="str">
        <f t="shared" ca="1" si="41"/>
        <v>João</v>
      </c>
      <c r="C550" s="7">
        <f t="shared" ca="1" si="42"/>
        <v>1711</v>
      </c>
      <c r="D550" s="5" t="str">
        <f t="shared" ca="1" si="43"/>
        <v>5S</v>
      </c>
      <c r="E550" s="3">
        <f t="shared" ca="1" si="44"/>
        <v>11</v>
      </c>
    </row>
    <row r="551" spans="1:5" x14ac:dyDescent="0.3">
      <c r="A551" s="4">
        <f t="shared" ca="1" si="40"/>
        <v>43733</v>
      </c>
      <c r="B551" s="5" t="str">
        <f t="shared" ca="1" si="41"/>
        <v>Marcelo</v>
      </c>
      <c r="C551" s="7">
        <f t="shared" ca="1" si="42"/>
        <v>4737</v>
      </c>
      <c r="D551" s="5" t="str">
        <f t="shared" ca="1" si="43"/>
        <v>5S</v>
      </c>
      <c r="E551" s="3">
        <f t="shared" ca="1" si="44"/>
        <v>9</v>
      </c>
    </row>
    <row r="552" spans="1:5" x14ac:dyDescent="0.3">
      <c r="A552" s="4">
        <f t="shared" ca="1" si="40"/>
        <v>43591</v>
      </c>
      <c r="B552" s="5" t="str">
        <f t="shared" ca="1" si="41"/>
        <v>João</v>
      </c>
      <c r="C552" s="7">
        <f t="shared" ca="1" si="42"/>
        <v>3334</v>
      </c>
      <c r="D552" s="5" t="str">
        <f t="shared" ca="1" si="43"/>
        <v>Consultoria</v>
      </c>
      <c r="E552" s="3">
        <f t="shared" ca="1" si="44"/>
        <v>5</v>
      </c>
    </row>
    <row r="553" spans="1:5" x14ac:dyDescent="0.3">
      <c r="A553" s="4">
        <f t="shared" ca="1" si="40"/>
        <v>43785</v>
      </c>
      <c r="B553" s="5" t="str">
        <f t="shared" ca="1" si="41"/>
        <v>Joaquina</v>
      </c>
      <c r="C553" s="7">
        <f t="shared" ca="1" si="42"/>
        <v>1335</v>
      </c>
      <c r="D553" s="5" t="str">
        <f t="shared" ca="1" si="43"/>
        <v>Consultoria</v>
      </c>
      <c r="E553" s="3">
        <f t="shared" ca="1" si="44"/>
        <v>11</v>
      </c>
    </row>
    <row r="554" spans="1:5" x14ac:dyDescent="0.3">
      <c r="A554" s="4">
        <f t="shared" ca="1" si="40"/>
        <v>43494</v>
      </c>
      <c r="B554" s="5" t="str">
        <f t="shared" ca="1" si="41"/>
        <v>Joaquina</v>
      </c>
      <c r="C554" s="7">
        <f t="shared" ca="1" si="42"/>
        <v>4419</v>
      </c>
      <c r="D554" s="5" t="str">
        <f t="shared" ca="1" si="43"/>
        <v>Padronização</v>
      </c>
      <c r="E554" s="3">
        <f t="shared" ca="1" si="44"/>
        <v>1</v>
      </c>
    </row>
    <row r="555" spans="1:5" x14ac:dyDescent="0.3">
      <c r="A555" s="4">
        <f t="shared" ca="1" si="40"/>
        <v>43652</v>
      </c>
      <c r="B555" s="5" t="str">
        <f t="shared" ca="1" si="41"/>
        <v>Joaquina</v>
      </c>
      <c r="C555" s="7">
        <f t="shared" ca="1" si="42"/>
        <v>2337</v>
      </c>
      <c r="D555" s="5" t="str">
        <f t="shared" ca="1" si="43"/>
        <v>Consultoria</v>
      </c>
      <c r="E555" s="3">
        <f t="shared" ca="1" si="44"/>
        <v>7</v>
      </c>
    </row>
    <row r="556" spans="1:5" x14ac:dyDescent="0.3">
      <c r="A556" s="4">
        <f t="shared" ca="1" si="40"/>
        <v>43589</v>
      </c>
      <c r="B556" s="5" t="str">
        <f t="shared" ca="1" si="41"/>
        <v>Maria</v>
      </c>
      <c r="C556" s="7">
        <f t="shared" ca="1" si="42"/>
        <v>3011</v>
      </c>
      <c r="D556" s="5" t="str">
        <f t="shared" ca="1" si="43"/>
        <v>5S</v>
      </c>
      <c r="E556" s="3">
        <f t="shared" ca="1" si="44"/>
        <v>5</v>
      </c>
    </row>
    <row r="557" spans="1:5" x14ac:dyDescent="0.3">
      <c r="A557" s="4">
        <f t="shared" ca="1" si="40"/>
        <v>43611</v>
      </c>
      <c r="B557" s="5" t="str">
        <f t="shared" ca="1" si="41"/>
        <v>Joaquina</v>
      </c>
      <c r="C557" s="7">
        <f t="shared" ca="1" si="42"/>
        <v>3699</v>
      </c>
      <c r="D557" s="5" t="str">
        <f t="shared" ca="1" si="43"/>
        <v>Padronização</v>
      </c>
      <c r="E557" s="3">
        <f t="shared" ca="1" si="44"/>
        <v>5</v>
      </c>
    </row>
    <row r="558" spans="1:5" x14ac:dyDescent="0.3">
      <c r="A558" s="4">
        <f t="shared" ca="1" si="40"/>
        <v>43469</v>
      </c>
      <c r="B558" s="5" t="str">
        <f t="shared" ca="1" si="41"/>
        <v>Marcelo</v>
      </c>
      <c r="C558" s="7">
        <f t="shared" ca="1" si="42"/>
        <v>3656</v>
      </c>
      <c r="D558" s="5" t="str">
        <f t="shared" ca="1" si="43"/>
        <v>5S</v>
      </c>
      <c r="E558" s="3">
        <f t="shared" ca="1" si="44"/>
        <v>1</v>
      </c>
    </row>
    <row r="559" spans="1:5" x14ac:dyDescent="0.3">
      <c r="A559" s="4">
        <f t="shared" ca="1" si="40"/>
        <v>43775</v>
      </c>
      <c r="B559" s="5" t="str">
        <f t="shared" ca="1" si="41"/>
        <v>Maria</v>
      </c>
      <c r="C559" s="7">
        <f t="shared" ca="1" si="42"/>
        <v>1800</v>
      </c>
      <c r="D559" s="5" t="str">
        <f t="shared" ca="1" si="43"/>
        <v>5S</v>
      </c>
      <c r="E559" s="3">
        <f t="shared" ca="1" si="44"/>
        <v>11</v>
      </c>
    </row>
    <row r="560" spans="1:5" x14ac:dyDescent="0.3">
      <c r="A560" s="4">
        <f t="shared" ca="1" si="40"/>
        <v>43658</v>
      </c>
      <c r="B560" s="5" t="str">
        <f t="shared" ca="1" si="41"/>
        <v>Maria</v>
      </c>
      <c r="C560" s="7">
        <f t="shared" ca="1" si="42"/>
        <v>3759</v>
      </c>
      <c r="D560" s="5" t="str">
        <f t="shared" ca="1" si="43"/>
        <v>Padronização</v>
      </c>
      <c r="E560" s="3">
        <f t="shared" ca="1" si="44"/>
        <v>7</v>
      </c>
    </row>
    <row r="561" spans="1:5" x14ac:dyDescent="0.3">
      <c r="A561" s="4">
        <f t="shared" ca="1" si="40"/>
        <v>43687</v>
      </c>
      <c r="B561" s="5" t="str">
        <f t="shared" ca="1" si="41"/>
        <v>Joaquina</v>
      </c>
      <c r="C561" s="7">
        <f t="shared" ca="1" si="42"/>
        <v>1429</v>
      </c>
      <c r="D561" s="5" t="str">
        <f t="shared" ca="1" si="43"/>
        <v>Finanças</v>
      </c>
      <c r="E561" s="3">
        <f t="shared" ca="1" si="44"/>
        <v>8</v>
      </c>
    </row>
    <row r="562" spans="1:5" x14ac:dyDescent="0.3">
      <c r="A562" s="4">
        <f t="shared" ca="1" si="40"/>
        <v>43720</v>
      </c>
      <c r="B562" s="5" t="str">
        <f t="shared" ca="1" si="41"/>
        <v>Marcelo</v>
      </c>
      <c r="C562" s="7">
        <f t="shared" ca="1" si="42"/>
        <v>4058</v>
      </c>
      <c r="D562" s="5" t="str">
        <f t="shared" ca="1" si="43"/>
        <v>Finanças</v>
      </c>
      <c r="E562" s="3">
        <f t="shared" ca="1" si="44"/>
        <v>9</v>
      </c>
    </row>
    <row r="563" spans="1:5" x14ac:dyDescent="0.3">
      <c r="A563" s="4">
        <f t="shared" ca="1" si="40"/>
        <v>43680</v>
      </c>
      <c r="B563" s="5" t="str">
        <f t="shared" ca="1" si="41"/>
        <v>Maria</v>
      </c>
      <c r="C563" s="7">
        <f t="shared" ca="1" si="42"/>
        <v>3694</v>
      </c>
      <c r="D563" s="5" t="str">
        <f t="shared" ca="1" si="43"/>
        <v>Consultoria</v>
      </c>
      <c r="E563" s="3">
        <f t="shared" ca="1" si="44"/>
        <v>8</v>
      </c>
    </row>
    <row r="564" spans="1:5" x14ac:dyDescent="0.3">
      <c r="A564" s="4">
        <f t="shared" ca="1" si="40"/>
        <v>43736</v>
      </c>
      <c r="B564" s="5" t="str">
        <f t="shared" ca="1" si="41"/>
        <v>João</v>
      </c>
      <c r="C564" s="7">
        <f t="shared" ca="1" si="42"/>
        <v>3677</v>
      </c>
      <c r="D564" s="5" t="str">
        <f t="shared" ca="1" si="43"/>
        <v>5S</v>
      </c>
      <c r="E564" s="3">
        <f t="shared" ca="1" si="44"/>
        <v>9</v>
      </c>
    </row>
    <row r="565" spans="1:5" x14ac:dyDescent="0.3">
      <c r="A565" s="4">
        <f t="shared" ca="1" si="40"/>
        <v>43625</v>
      </c>
      <c r="B565" s="5" t="str">
        <f t="shared" ca="1" si="41"/>
        <v>Maria</v>
      </c>
      <c r="C565" s="7">
        <f t="shared" ca="1" si="42"/>
        <v>3643</v>
      </c>
      <c r="D565" s="5" t="str">
        <f t="shared" ca="1" si="43"/>
        <v>5S</v>
      </c>
      <c r="E565" s="3">
        <f t="shared" ca="1" si="44"/>
        <v>6</v>
      </c>
    </row>
    <row r="566" spans="1:5" x14ac:dyDescent="0.3">
      <c r="A566" s="4">
        <f t="shared" ca="1" si="40"/>
        <v>43687</v>
      </c>
      <c r="B566" s="5" t="str">
        <f t="shared" ca="1" si="41"/>
        <v>Joaquina</v>
      </c>
      <c r="C566" s="7">
        <f t="shared" ca="1" si="42"/>
        <v>3964</v>
      </c>
      <c r="D566" s="5" t="str">
        <f t="shared" ca="1" si="43"/>
        <v>Padronização</v>
      </c>
      <c r="E566" s="3">
        <f t="shared" ca="1" si="44"/>
        <v>8</v>
      </c>
    </row>
    <row r="567" spans="1:5" x14ac:dyDescent="0.3">
      <c r="A567" s="4">
        <f t="shared" ca="1" si="40"/>
        <v>43657</v>
      </c>
      <c r="B567" s="5" t="str">
        <f t="shared" ca="1" si="41"/>
        <v>Marcelo</v>
      </c>
      <c r="C567" s="7">
        <f t="shared" ca="1" si="42"/>
        <v>3726</v>
      </c>
      <c r="D567" s="5" t="str">
        <f t="shared" ca="1" si="43"/>
        <v>5S</v>
      </c>
      <c r="E567" s="3">
        <f t="shared" ca="1" si="44"/>
        <v>7</v>
      </c>
    </row>
    <row r="568" spans="1:5" x14ac:dyDescent="0.3">
      <c r="A568" s="4">
        <f t="shared" ca="1" si="40"/>
        <v>43509</v>
      </c>
      <c r="B568" s="5" t="str">
        <f t="shared" ca="1" si="41"/>
        <v>João</v>
      </c>
      <c r="C568" s="7">
        <f t="shared" ca="1" si="42"/>
        <v>3447</v>
      </c>
      <c r="D568" s="5" t="str">
        <f t="shared" ca="1" si="43"/>
        <v>Consultoria</v>
      </c>
      <c r="E568" s="3">
        <f t="shared" ca="1" si="44"/>
        <v>2</v>
      </c>
    </row>
    <row r="569" spans="1:5" x14ac:dyDescent="0.3">
      <c r="A569" s="4">
        <f t="shared" ca="1" si="40"/>
        <v>43533</v>
      </c>
      <c r="B569" s="5" t="str">
        <f t="shared" ca="1" si="41"/>
        <v>Joaquina</v>
      </c>
      <c r="C569" s="7">
        <f t="shared" ca="1" si="42"/>
        <v>3969</v>
      </c>
      <c r="D569" s="5" t="str">
        <f t="shared" ca="1" si="43"/>
        <v>Finanças</v>
      </c>
      <c r="E569" s="3">
        <f t="shared" ca="1" si="44"/>
        <v>3</v>
      </c>
    </row>
    <row r="570" spans="1:5" x14ac:dyDescent="0.3">
      <c r="A570" s="4">
        <f t="shared" ca="1" si="40"/>
        <v>43558</v>
      </c>
      <c r="B570" s="5" t="str">
        <f t="shared" ca="1" si="41"/>
        <v>Joaquina</v>
      </c>
      <c r="C570" s="7">
        <f t="shared" ca="1" si="42"/>
        <v>3098</v>
      </c>
      <c r="D570" s="5" t="str">
        <f t="shared" ca="1" si="43"/>
        <v>Padronização</v>
      </c>
      <c r="E570" s="3">
        <f t="shared" ca="1" si="44"/>
        <v>4</v>
      </c>
    </row>
    <row r="571" spans="1:5" x14ac:dyDescent="0.3">
      <c r="A571" s="4">
        <f t="shared" ca="1" si="40"/>
        <v>43642</v>
      </c>
      <c r="B571" s="5" t="str">
        <f t="shared" ca="1" si="41"/>
        <v>Marcelo</v>
      </c>
      <c r="C571" s="7">
        <f t="shared" ca="1" si="42"/>
        <v>3729</v>
      </c>
      <c r="D571" s="5" t="str">
        <f t="shared" ca="1" si="43"/>
        <v>Finanças</v>
      </c>
      <c r="E571" s="3">
        <f t="shared" ca="1" si="44"/>
        <v>6</v>
      </c>
    </row>
    <row r="572" spans="1:5" x14ac:dyDescent="0.3">
      <c r="A572" s="4">
        <f t="shared" ca="1" si="40"/>
        <v>43514</v>
      </c>
      <c r="B572" s="5" t="str">
        <f t="shared" ca="1" si="41"/>
        <v>Maria</v>
      </c>
      <c r="C572" s="7">
        <f t="shared" ca="1" si="42"/>
        <v>2485</v>
      </c>
      <c r="D572" s="5" t="str">
        <f t="shared" ca="1" si="43"/>
        <v>Consultoria</v>
      </c>
      <c r="E572" s="3">
        <f t="shared" ca="1" si="44"/>
        <v>2</v>
      </c>
    </row>
    <row r="573" spans="1:5" x14ac:dyDescent="0.3">
      <c r="A573" s="4">
        <f t="shared" ca="1" si="40"/>
        <v>43654</v>
      </c>
      <c r="B573" s="5" t="str">
        <f t="shared" ca="1" si="41"/>
        <v>Joaquina</v>
      </c>
      <c r="C573" s="7">
        <f t="shared" ca="1" si="42"/>
        <v>1452</v>
      </c>
      <c r="D573" s="5" t="str">
        <f t="shared" ca="1" si="43"/>
        <v>Padronização</v>
      </c>
      <c r="E573" s="3">
        <f t="shared" ca="1" si="44"/>
        <v>7</v>
      </c>
    </row>
    <row r="574" spans="1:5" x14ac:dyDescent="0.3">
      <c r="A574" s="4">
        <f t="shared" ca="1" si="40"/>
        <v>43690</v>
      </c>
      <c r="B574" s="5" t="str">
        <f t="shared" ca="1" si="41"/>
        <v>Joaquina</v>
      </c>
      <c r="C574" s="7">
        <f t="shared" ca="1" si="42"/>
        <v>4088</v>
      </c>
      <c r="D574" s="5" t="str">
        <f t="shared" ca="1" si="43"/>
        <v>Finanças</v>
      </c>
      <c r="E574" s="3">
        <f t="shared" ca="1" si="44"/>
        <v>8</v>
      </c>
    </row>
    <row r="575" spans="1:5" x14ac:dyDescent="0.3">
      <c r="A575" s="4">
        <f t="shared" ca="1" si="40"/>
        <v>43623</v>
      </c>
      <c r="B575" s="5" t="str">
        <f t="shared" ca="1" si="41"/>
        <v>Maria</v>
      </c>
      <c r="C575" s="7">
        <f t="shared" ca="1" si="42"/>
        <v>1441</v>
      </c>
      <c r="D575" s="5" t="str">
        <f t="shared" ca="1" si="43"/>
        <v>5S</v>
      </c>
      <c r="E575" s="3">
        <f t="shared" ca="1" si="44"/>
        <v>6</v>
      </c>
    </row>
    <row r="576" spans="1:5" x14ac:dyDescent="0.3">
      <c r="A576" s="4">
        <f t="shared" ca="1" si="40"/>
        <v>43579</v>
      </c>
      <c r="B576" s="5" t="str">
        <f t="shared" ca="1" si="41"/>
        <v>João</v>
      </c>
      <c r="C576" s="7">
        <f t="shared" ca="1" si="42"/>
        <v>1160</v>
      </c>
      <c r="D576" s="5" t="str">
        <f t="shared" ca="1" si="43"/>
        <v>5S</v>
      </c>
      <c r="E576" s="3">
        <f t="shared" ca="1" si="44"/>
        <v>4</v>
      </c>
    </row>
    <row r="577" spans="1:5" x14ac:dyDescent="0.3">
      <c r="A577" s="4">
        <f t="shared" ca="1" si="40"/>
        <v>43719</v>
      </c>
      <c r="B577" s="5" t="str">
        <f t="shared" ca="1" si="41"/>
        <v>Maria</v>
      </c>
      <c r="C577" s="7">
        <f t="shared" ca="1" si="42"/>
        <v>1403</v>
      </c>
      <c r="D577" s="5" t="str">
        <f t="shared" ca="1" si="43"/>
        <v>Finanças</v>
      </c>
      <c r="E577" s="3">
        <f t="shared" ca="1" si="44"/>
        <v>9</v>
      </c>
    </row>
    <row r="578" spans="1:5" x14ac:dyDescent="0.3">
      <c r="A578" s="4">
        <f t="shared" ca="1" si="40"/>
        <v>43509</v>
      </c>
      <c r="B578" s="5" t="str">
        <f t="shared" ca="1" si="41"/>
        <v>João</v>
      </c>
      <c r="C578" s="7">
        <f t="shared" ca="1" si="42"/>
        <v>3661</v>
      </c>
      <c r="D578" s="5" t="str">
        <f t="shared" ca="1" si="43"/>
        <v>5S</v>
      </c>
      <c r="E578" s="3">
        <f t="shared" ca="1" si="44"/>
        <v>2</v>
      </c>
    </row>
    <row r="579" spans="1:5" x14ac:dyDescent="0.3">
      <c r="A579" s="4">
        <f t="shared" ref="A579:A642" ca="1" si="45">RANDBETWEEN($F$1,$F$2)</f>
        <v>43490</v>
      </c>
      <c r="B579" s="5" t="str">
        <f t="shared" ref="B579:B642" ca="1" si="46">VLOOKUP(RANDBETWEEN(1,4),$I$1:$J$4,2,FALSE)</f>
        <v>João</v>
      </c>
      <c r="C579" s="7">
        <f t="shared" ref="C579:C642" ca="1" si="47">RANDBETWEEN(1000,5000)</f>
        <v>2536</v>
      </c>
      <c r="D579" s="5" t="str">
        <f t="shared" ref="D579:D642" ca="1" si="48">VLOOKUP(RANDBETWEEN($I$6,$I$9),$I$6:$J$9,2,FALSE)</f>
        <v>Consultoria</v>
      </c>
      <c r="E579" s="3">
        <f t="shared" ref="E579:E642" ca="1" si="49">MONTH(A579)</f>
        <v>1</v>
      </c>
    </row>
    <row r="580" spans="1:5" x14ac:dyDescent="0.3">
      <c r="A580" s="4">
        <f t="shared" ca="1" si="45"/>
        <v>43722</v>
      </c>
      <c r="B580" s="5" t="str">
        <f t="shared" ca="1" si="46"/>
        <v>João</v>
      </c>
      <c r="C580" s="7">
        <f t="shared" ca="1" si="47"/>
        <v>1494</v>
      </c>
      <c r="D580" s="5" t="str">
        <f t="shared" ca="1" si="48"/>
        <v>Padronização</v>
      </c>
      <c r="E580" s="3">
        <f t="shared" ca="1" si="49"/>
        <v>9</v>
      </c>
    </row>
    <row r="581" spans="1:5" x14ac:dyDescent="0.3">
      <c r="A581" s="4">
        <f t="shared" ca="1" si="45"/>
        <v>43478</v>
      </c>
      <c r="B581" s="5" t="str">
        <f t="shared" ca="1" si="46"/>
        <v>João</v>
      </c>
      <c r="C581" s="7">
        <f t="shared" ca="1" si="47"/>
        <v>1005</v>
      </c>
      <c r="D581" s="5" t="str">
        <f t="shared" ca="1" si="48"/>
        <v>Padronização</v>
      </c>
      <c r="E581" s="3">
        <f t="shared" ca="1" si="49"/>
        <v>1</v>
      </c>
    </row>
    <row r="582" spans="1:5" x14ac:dyDescent="0.3">
      <c r="A582" s="4">
        <f t="shared" ca="1" si="45"/>
        <v>43570</v>
      </c>
      <c r="B582" s="5" t="str">
        <f t="shared" ca="1" si="46"/>
        <v>João</v>
      </c>
      <c r="C582" s="7">
        <f t="shared" ca="1" si="47"/>
        <v>3157</v>
      </c>
      <c r="D582" s="5" t="str">
        <f t="shared" ca="1" si="48"/>
        <v>Padronização</v>
      </c>
      <c r="E582" s="3">
        <f t="shared" ca="1" si="49"/>
        <v>4</v>
      </c>
    </row>
    <row r="583" spans="1:5" x14ac:dyDescent="0.3">
      <c r="A583" s="4">
        <f t="shared" ca="1" si="45"/>
        <v>43479</v>
      </c>
      <c r="B583" s="5" t="str">
        <f t="shared" ca="1" si="46"/>
        <v>Joaquina</v>
      </c>
      <c r="C583" s="7">
        <f t="shared" ca="1" si="47"/>
        <v>2139</v>
      </c>
      <c r="D583" s="5" t="str">
        <f t="shared" ca="1" si="48"/>
        <v>Padronização</v>
      </c>
      <c r="E583" s="3">
        <f t="shared" ca="1" si="49"/>
        <v>1</v>
      </c>
    </row>
    <row r="584" spans="1:5" x14ac:dyDescent="0.3">
      <c r="A584" s="4">
        <f t="shared" ca="1" si="45"/>
        <v>43803</v>
      </c>
      <c r="B584" s="5" t="str">
        <f t="shared" ca="1" si="46"/>
        <v>Marcelo</v>
      </c>
      <c r="C584" s="7">
        <f t="shared" ca="1" si="47"/>
        <v>1485</v>
      </c>
      <c r="D584" s="5" t="str">
        <f t="shared" ca="1" si="48"/>
        <v>Padronização</v>
      </c>
      <c r="E584" s="3">
        <f t="shared" ca="1" si="49"/>
        <v>12</v>
      </c>
    </row>
    <row r="585" spans="1:5" x14ac:dyDescent="0.3">
      <c r="A585" s="4">
        <f t="shared" ca="1" si="45"/>
        <v>43619</v>
      </c>
      <c r="B585" s="5" t="str">
        <f t="shared" ca="1" si="46"/>
        <v>Joaquina</v>
      </c>
      <c r="C585" s="7">
        <f t="shared" ca="1" si="47"/>
        <v>1358</v>
      </c>
      <c r="D585" s="5" t="str">
        <f t="shared" ca="1" si="48"/>
        <v>5S</v>
      </c>
      <c r="E585" s="3">
        <f t="shared" ca="1" si="49"/>
        <v>6</v>
      </c>
    </row>
    <row r="586" spans="1:5" x14ac:dyDescent="0.3">
      <c r="A586" s="4">
        <f t="shared" ca="1" si="45"/>
        <v>43479</v>
      </c>
      <c r="B586" s="5" t="str">
        <f t="shared" ca="1" si="46"/>
        <v>Maria</v>
      </c>
      <c r="C586" s="7">
        <f t="shared" ca="1" si="47"/>
        <v>2308</v>
      </c>
      <c r="D586" s="5" t="str">
        <f t="shared" ca="1" si="48"/>
        <v>Consultoria</v>
      </c>
      <c r="E586" s="3">
        <f t="shared" ca="1" si="49"/>
        <v>1</v>
      </c>
    </row>
    <row r="587" spans="1:5" x14ac:dyDescent="0.3">
      <c r="A587" s="4">
        <f t="shared" ca="1" si="45"/>
        <v>43790</v>
      </c>
      <c r="B587" s="5" t="str">
        <f t="shared" ca="1" si="46"/>
        <v>Marcelo</v>
      </c>
      <c r="C587" s="7">
        <f t="shared" ca="1" si="47"/>
        <v>1408</v>
      </c>
      <c r="D587" s="5" t="str">
        <f t="shared" ca="1" si="48"/>
        <v>Padronização</v>
      </c>
      <c r="E587" s="3">
        <f t="shared" ca="1" si="49"/>
        <v>11</v>
      </c>
    </row>
    <row r="588" spans="1:5" x14ac:dyDescent="0.3">
      <c r="A588" s="4">
        <f t="shared" ca="1" si="45"/>
        <v>43696</v>
      </c>
      <c r="B588" s="5" t="str">
        <f t="shared" ca="1" si="46"/>
        <v>Maria</v>
      </c>
      <c r="C588" s="7">
        <f t="shared" ca="1" si="47"/>
        <v>1691</v>
      </c>
      <c r="D588" s="5" t="str">
        <f t="shared" ca="1" si="48"/>
        <v>Padronização</v>
      </c>
      <c r="E588" s="3">
        <f t="shared" ca="1" si="49"/>
        <v>8</v>
      </c>
    </row>
    <row r="589" spans="1:5" x14ac:dyDescent="0.3">
      <c r="A589" s="4">
        <f t="shared" ca="1" si="45"/>
        <v>43476</v>
      </c>
      <c r="B589" s="5" t="str">
        <f t="shared" ca="1" si="46"/>
        <v>João</v>
      </c>
      <c r="C589" s="7">
        <f t="shared" ca="1" si="47"/>
        <v>4581</v>
      </c>
      <c r="D589" s="5" t="str">
        <f t="shared" ca="1" si="48"/>
        <v>Consultoria</v>
      </c>
      <c r="E589" s="3">
        <f t="shared" ca="1" si="49"/>
        <v>1</v>
      </c>
    </row>
    <row r="590" spans="1:5" x14ac:dyDescent="0.3">
      <c r="A590" s="4">
        <f t="shared" ca="1" si="45"/>
        <v>43557</v>
      </c>
      <c r="B590" s="5" t="str">
        <f t="shared" ca="1" si="46"/>
        <v>João</v>
      </c>
      <c r="C590" s="7">
        <f t="shared" ca="1" si="47"/>
        <v>3263</v>
      </c>
      <c r="D590" s="5" t="str">
        <f t="shared" ca="1" si="48"/>
        <v>Consultoria</v>
      </c>
      <c r="E590" s="3">
        <f t="shared" ca="1" si="49"/>
        <v>4</v>
      </c>
    </row>
    <row r="591" spans="1:5" x14ac:dyDescent="0.3">
      <c r="A591" s="4">
        <f t="shared" ca="1" si="45"/>
        <v>43769</v>
      </c>
      <c r="B591" s="5" t="str">
        <f t="shared" ca="1" si="46"/>
        <v>Joaquina</v>
      </c>
      <c r="C591" s="7">
        <f t="shared" ca="1" si="47"/>
        <v>2158</v>
      </c>
      <c r="D591" s="5" t="str">
        <f t="shared" ca="1" si="48"/>
        <v>5S</v>
      </c>
      <c r="E591" s="3">
        <f t="shared" ca="1" si="49"/>
        <v>10</v>
      </c>
    </row>
    <row r="592" spans="1:5" x14ac:dyDescent="0.3">
      <c r="A592" s="4">
        <f t="shared" ca="1" si="45"/>
        <v>43828</v>
      </c>
      <c r="B592" s="5" t="str">
        <f t="shared" ca="1" si="46"/>
        <v>Joaquina</v>
      </c>
      <c r="C592" s="7">
        <f t="shared" ca="1" si="47"/>
        <v>2224</v>
      </c>
      <c r="D592" s="5" t="str">
        <f t="shared" ca="1" si="48"/>
        <v>Padronização</v>
      </c>
      <c r="E592" s="3">
        <f t="shared" ca="1" si="49"/>
        <v>12</v>
      </c>
    </row>
    <row r="593" spans="1:5" x14ac:dyDescent="0.3">
      <c r="A593" s="4">
        <f t="shared" ca="1" si="45"/>
        <v>43547</v>
      </c>
      <c r="B593" s="5" t="str">
        <f t="shared" ca="1" si="46"/>
        <v>Maria</v>
      </c>
      <c r="C593" s="7">
        <f t="shared" ca="1" si="47"/>
        <v>2180</v>
      </c>
      <c r="D593" s="5" t="str">
        <f t="shared" ca="1" si="48"/>
        <v>Padronização</v>
      </c>
      <c r="E593" s="3">
        <f t="shared" ca="1" si="49"/>
        <v>3</v>
      </c>
    </row>
    <row r="594" spans="1:5" x14ac:dyDescent="0.3">
      <c r="A594" s="4">
        <f t="shared" ca="1" si="45"/>
        <v>43474</v>
      </c>
      <c r="B594" s="5" t="str">
        <f t="shared" ca="1" si="46"/>
        <v>Maria</v>
      </c>
      <c r="C594" s="7">
        <f t="shared" ca="1" si="47"/>
        <v>1251</v>
      </c>
      <c r="D594" s="5" t="str">
        <f t="shared" ca="1" si="48"/>
        <v>Consultoria</v>
      </c>
      <c r="E594" s="3">
        <f t="shared" ca="1" si="49"/>
        <v>1</v>
      </c>
    </row>
    <row r="595" spans="1:5" x14ac:dyDescent="0.3">
      <c r="A595" s="4">
        <f t="shared" ca="1" si="45"/>
        <v>43768</v>
      </c>
      <c r="B595" s="5" t="str">
        <f t="shared" ca="1" si="46"/>
        <v>Joaquina</v>
      </c>
      <c r="C595" s="7">
        <f t="shared" ca="1" si="47"/>
        <v>1579</v>
      </c>
      <c r="D595" s="5" t="str">
        <f t="shared" ca="1" si="48"/>
        <v>Finanças</v>
      </c>
      <c r="E595" s="3">
        <f t="shared" ca="1" si="49"/>
        <v>10</v>
      </c>
    </row>
    <row r="596" spans="1:5" x14ac:dyDescent="0.3">
      <c r="A596" s="4">
        <f t="shared" ca="1" si="45"/>
        <v>43633</v>
      </c>
      <c r="B596" s="5" t="str">
        <f t="shared" ca="1" si="46"/>
        <v>Joaquina</v>
      </c>
      <c r="C596" s="7">
        <f t="shared" ca="1" si="47"/>
        <v>3585</v>
      </c>
      <c r="D596" s="5" t="str">
        <f t="shared" ca="1" si="48"/>
        <v>Finanças</v>
      </c>
      <c r="E596" s="3">
        <f t="shared" ca="1" si="49"/>
        <v>6</v>
      </c>
    </row>
    <row r="597" spans="1:5" x14ac:dyDescent="0.3">
      <c r="A597" s="4">
        <f t="shared" ca="1" si="45"/>
        <v>43548</v>
      </c>
      <c r="B597" s="5" t="str">
        <f t="shared" ca="1" si="46"/>
        <v>João</v>
      </c>
      <c r="C597" s="7">
        <f t="shared" ca="1" si="47"/>
        <v>4565</v>
      </c>
      <c r="D597" s="5" t="str">
        <f t="shared" ca="1" si="48"/>
        <v>5S</v>
      </c>
      <c r="E597" s="3">
        <f t="shared" ca="1" si="49"/>
        <v>3</v>
      </c>
    </row>
    <row r="598" spans="1:5" x14ac:dyDescent="0.3">
      <c r="A598" s="4">
        <f t="shared" ca="1" si="45"/>
        <v>43706</v>
      </c>
      <c r="B598" s="5" t="str">
        <f t="shared" ca="1" si="46"/>
        <v>Marcelo</v>
      </c>
      <c r="C598" s="7">
        <f t="shared" ca="1" si="47"/>
        <v>4410</v>
      </c>
      <c r="D598" s="5" t="str">
        <f t="shared" ca="1" si="48"/>
        <v>Padronização</v>
      </c>
      <c r="E598" s="3">
        <f t="shared" ca="1" si="49"/>
        <v>8</v>
      </c>
    </row>
    <row r="599" spans="1:5" x14ac:dyDescent="0.3">
      <c r="A599" s="4">
        <f t="shared" ca="1" si="45"/>
        <v>43710</v>
      </c>
      <c r="B599" s="5" t="str">
        <f t="shared" ca="1" si="46"/>
        <v>Maria</v>
      </c>
      <c r="C599" s="7">
        <f t="shared" ca="1" si="47"/>
        <v>1232</v>
      </c>
      <c r="D599" s="5" t="str">
        <f t="shared" ca="1" si="48"/>
        <v>Finanças</v>
      </c>
      <c r="E599" s="3">
        <f t="shared" ca="1" si="49"/>
        <v>9</v>
      </c>
    </row>
    <row r="600" spans="1:5" x14ac:dyDescent="0.3">
      <c r="A600" s="4">
        <f t="shared" ca="1" si="45"/>
        <v>43543</v>
      </c>
      <c r="B600" s="5" t="str">
        <f t="shared" ca="1" si="46"/>
        <v>Marcelo</v>
      </c>
      <c r="C600" s="7">
        <f t="shared" ca="1" si="47"/>
        <v>1741</v>
      </c>
      <c r="D600" s="5" t="str">
        <f t="shared" ca="1" si="48"/>
        <v>Finanças</v>
      </c>
      <c r="E600" s="3">
        <f t="shared" ca="1" si="49"/>
        <v>3</v>
      </c>
    </row>
    <row r="601" spans="1:5" x14ac:dyDescent="0.3">
      <c r="A601" s="4">
        <f t="shared" ca="1" si="45"/>
        <v>43672</v>
      </c>
      <c r="B601" s="5" t="str">
        <f t="shared" ca="1" si="46"/>
        <v>Joaquina</v>
      </c>
      <c r="C601" s="7">
        <f t="shared" ca="1" si="47"/>
        <v>2491</v>
      </c>
      <c r="D601" s="5" t="str">
        <f t="shared" ca="1" si="48"/>
        <v>5S</v>
      </c>
      <c r="E601" s="3">
        <f t="shared" ca="1" si="49"/>
        <v>7</v>
      </c>
    </row>
    <row r="602" spans="1:5" x14ac:dyDescent="0.3">
      <c r="A602" s="4">
        <f t="shared" ca="1" si="45"/>
        <v>43529</v>
      </c>
      <c r="B602" s="5" t="str">
        <f t="shared" ca="1" si="46"/>
        <v>Marcelo</v>
      </c>
      <c r="C602" s="7">
        <f t="shared" ca="1" si="47"/>
        <v>3580</v>
      </c>
      <c r="D602" s="5" t="str">
        <f t="shared" ca="1" si="48"/>
        <v>Padronização</v>
      </c>
      <c r="E602" s="3">
        <f t="shared" ca="1" si="49"/>
        <v>3</v>
      </c>
    </row>
    <row r="603" spans="1:5" x14ac:dyDescent="0.3">
      <c r="A603" s="4">
        <f t="shared" ca="1" si="45"/>
        <v>43645</v>
      </c>
      <c r="B603" s="5" t="str">
        <f t="shared" ca="1" si="46"/>
        <v>Joaquina</v>
      </c>
      <c r="C603" s="7">
        <f t="shared" ca="1" si="47"/>
        <v>2502</v>
      </c>
      <c r="D603" s="5" t="str">
        <f t="shared" ca="1" si="48"/>
        <v>5S</v>
      </c>
      <c r="E603" s="3">
        <f t="shared" ca="1" si="49"/>
        <v>6</v>
      </c>
    </row>
    <row r="604" spans="1:5" x14ac:dyDescent="0.3">
      <c r="A604" s="4">
        <f t="shared" ca="1" si="45"/>
        <v>43693</v>
      </c>
      <c r="B604" s="5" t="str">
        <f t="shared" ca="1" si="46"/>
        <v>Marcelo</v>
      </c>
      <c r="C604" s="7">
        <f t="shared" ca="1" si="47"/>
        <v>4033</v>
      </c>
      <c r="D604" s="5" t="str">
        <f t="shared" ca="1" si="48"/>
        <v>Consultoria</v>
      </c>
      <c r="E604" s="3">
        <f t="shared" ca="1" si="49"/>
        <v>8</v>
      </c>
    </row>
    <row r="605" spans="1:5" x14ac:dyDescent="0.3">
      <c r="A605" s="4">
        <f t="shared" ca="1" si="45"/>
        <v>43819</v>
      </c>
      <c r="B605" s="5" t="str">
        <f t="shared" ca="1" si="46"/>
        <v>Maria</v>
      </c>
      <c r="C605" s="7">
        <f t="shared" ca="1" si="47"/>
        <v>2224</v>
      </c>
      <c r="D605" s="5" t="str">
        <f t="shared" ca="1" si="48"/>
        <v>5S</v>
      </c>
      <c r="E605" s="3">
        <f t="shared" ca="1" si="49"/>
        <v>12</v>
      </c>
    </row>
    <row r="606" spans="1:5" x14ac:dyDescent="0.3">
      <c r="A606" s="4">
        <f t="shared" ca="1" si="45"/>
        <v>43670</v>
      </c>
      <c r="B606" s="5" t="str">
        <f t="shared" ca="1" si="46"/>
        <v>Joaquina</v>
      </c>
      <c r="C606" s="7">
        <f t="shared" ca="1" si="47"/>
        <v>4241</v>
      </c>
      <c r="D606" s="5" t="str">
        <f t="shared" ca="1" si="48"/>
        <v>Finanças</v>
      </c>
      <c r="E606" s="3">
        <f t="shared" ca="1" si="49"/>
        <v>7</v>
      </c>
    </row>
    <row r="607" spans="1:5" x14ac:dyDescent="0.3">
      <c r="A607" s="4">
        <f t="shared" ca="1" si="45"/>
        <v>43685</v>
      </c>
      <c r="B607" s="5" t="str">
        <f t="shared" ca="1" si="46"/>
        <v>Marcelo</v>
      </c>
      <c r="C607" s="7">
        <f t="shared" ca="1" si="47"/>
        <v>4373</v>
      </c>
      <c r="D607" s="5" t="str">
        <f t="shared" ca="1" si="48"/>
        <v>Consultoria</v>
      </c>
      <c r="E607" s="3">
        <f t="shared" ca="1" si="49"/>
        <v>8</v>
      </c>
    </row>
    <row r="608" spans="1:5" x14ac:dyDescent="0.3">
      <c r="A608" s="4">
        <f t="shared" ca="1" si="45"/>
        <v>43632</v>
      </c>
      <c r="B608" s="5" t="str">
        <f t="shared" ca="1" si="46"/>
        <v>João</v>
      </c>
      <c r="C608" s="7">
        <f t="shared" ca="1" si="47"/>
        <v>1869</v>
      </c>
      <c r="D608" s="5" t="str">
        <f t="shared" ca="1" si="48"/>
        <v>Finanças</v>
      </c>
      <c r="E608" s="3">
        <f t="shared" ca="1" si="49"/>
        <v>6</v>
      </c>
    </row>
    <row r="609" spans="1:5" x14ac:dyDescent="0.3">
      <c r="A609" s="4">
        <f t="shared" ca="1" si="45"/>
        <v>43480</v>
      </c>
      <c r="B609" s="5" t="str">
        <f t="shared" ca="1" si="46"/>
        <v>Joaquina</v>
      </c>
      <c r="C609" s="7">
        <f t="shared" ca="1" si="47"/>
        <v>4961</v>
      </c>
      <c r="D609" s="5" t="str">
        <f t="shared" ca="1" si="48"/>
        <v>Finanças</v>
      </c>
      <c r="E609" s="3">
        <f t="shared" ca="1" si="49"/>
        <v>1</v>
      </c>
    </row>
    <row r="610" spans="1:5" x14ac:dyDescent="0.3">
      <c r="A610" s="4">
        <f t="shared" ca="1" si="45"/>
        <v>43729</v>
      </c>
      <c r="B610" s="5" t="str">
        <f t="shared" ca="1" si="46"/>
        <v>Maria</v>
      </c>
      <c r="C610" s="7">
        <f t="shared" ca="1" si="47"/>
        <v>3049</v>
      </c>
      <c r="D610" s="5" t="str">
        <f t="shared" ca="1" si="48"/>
        <v>Padronização</v>
      </c>
      <c r="E610" s="3">
        <f t="shared" ca="1" si="49"/>
        <v>9</v>
      </c>
    </row>
    <row r="611" spans="1:5" x14ac:dyDescent="0.3">
      <c r="A611" s="4">
        <f t="shared" ca="1" si="45"/>
        <v>43589</v>
      </c>
      <c r="B611" s="5" t="str">
        <f t="shared" ca="1" si="46"/>
        <v>Marcelo</v>
      </c>
      <c r="C611" s="7">
        <f t="shared" ca="1" si="47"/>
        <v>2662</v>
      </c>
      <c r="D611" s="5" t="str">
        <f t="shared" ca="1" si="48"/>
        <v>Consultoria</v>
      </c>
      <c r="E611" s="3">
        <f t="shared" ca="1" si="49"/>
        <v>5</v>
      </c>
    </row>
    <row r="612" spans="1:5" x14ac:dyDescent="0.3">
      <c r="A612" s="4">
        <f t="shared" ca="1" si="45"/>
        <v>43612</v>
      </c>
      <c r="B612" s="5" t="str">
        <f t="shared" ca="1" si="46"/>
        <v>João</v>
      </c>
      <c r="C612" s="7">
        <f t="shared" ca="1" si="47"/>
        <v>3058</v>
      </c>
      <c r="D612" s="5" t="str">
        <f t="shared" ca="1" si="48"/>
        <v>Padronização</v>
      </c>
      <c r="E612" s="3">
        <f t="shared" ca="1" si="49"/>
        <v>5</v>
      </c>
    </row>
    <row r="613" spans="1:5" x14ac:dyDescent="0.3">
      <c r="A613" s="4">
        <f t="shared" ca="1" si="45"/>
        <v>43597</v>
      </c>
      <c r="B613" s="5" t="str">
        <f t="shared" ca="1" si="46"/>
        <v>Maria</v>
      </c>
      <c r="C613" s="7">
        <f t="shared" ca="1" si="47"/>
        <v>3988</v>
      </c>
      <c r="D613" s="5" t="str">
        <f t="shared" ca="1" si="48"/>
        <v>5S</v>
      </c>
      <c r="E613" s="3">
        <f t="shared" ca="1" si="49"/>
        <v>5</v>
      </c>
    </row>
    <row r="614" spans="1:5" x14ac:dyDescent="0.3">
      <c r="A614" s="4">
        <f t="shared" ca="1" si="45"/>
        <v>43816</v>
      </c>
      <c r="B614" s="5" t="str">
        <f t="shared" ca="1" si="46"/>
        <v>Marcelo</v>
      </c>
      <c r="C614" s="7">
        <f t="shared" ca="1" si="47"/>
        <v>2145</v>
      </c>
      <c r="D614" s="5" t="str">
        <f t="shared" ca="1" si="48"/>
        <v>Finanças</v>
      </c>
      <c r="E614" s="3">
        <f t="shared" ca="1" si="49"/>
        <v>12</v>
      </c>
    </row>
    <row r="615" spans="1:5" x14ac:dyDescent="0.3">
      <c r="A615" s="4">
        <f t="shared" ca="1" si="45"/>
        <v>43547</v>
      </c>
      <c r="B615" s="5" t="str">
        <f t="shared" ca="1" si="46"/>
        <v>Maria</v>
      </c>
      <c r="C615" s="7">
        <f t="shared" ca="1" si="47"/>
        <v>3897</v>
      </c>
      <c r="D615" s="5" t="str">
        <f t="shared" ca="1" si="48"/>
        <v>Finanças</v>
      </c>
      <c r="E615" s="3">
        <f t="shared" ca="1" si="49"/>
        <v>3</v>
      </c>
    </row>
    <row r="616" spans="1:5" x14ac:dyDescent="0.3">
      <c r="A616" s="4">
        <f t="shared" ca="1" si="45"/>
        <v>43704</v>
      </c>
      <c r="B616" s="5" t="str">
        <f t="shared" ca="1" si="46"/>
        <v>Joaquina</v>
      </c>
      <c r="C616" s="7">
        <f t="shared" ca="1" si="47"/>
        <v>1153</v>
      </c>
      <c r="D616" s="5" t="str">
        <f t="shared" ca="1" si="48"/>
        <v>Finanças</v>
      </c>
      <c r="E616" s="3">
        <f t="shared" ca="1" si="49"/>
        <v>8</v>
      </c>
    </row>
    <row r="617" spans="1:5" x14ac:dyDescent="0.3">
      <c r="A617" s="4">
        <f t="shared" ca="1" si="45"/>
        <v>43797</v>
      </c>
      <c r="B617" s="5" t="str">
        <f t="shared" ca="1" si="46"/>
        <v>João</v>
      </c>
      <c r="C617" s="7">
        <f t="shared" ca="1" si="47"/>
        <v>3799</v>
      </c>
      <c r="D617" s="5" t="str">
        <f t="shared" ca="1" si="48"/>
        <v>Finanças</v>
      </c>
      <c r="E617" s="3">
        <f t="shared" ca="1" si="49"/>
        <v>11</v>
      </c>
    </row>
    <row r="618" spans="1:5" x14ac:dyDescent="0.3">
      <c r="A618" s="4">
        <f t="shared" ca="1" si="45"/>
        <v>43747</v>
      </c>
      <c r="B618" s="5" t="str">
        <f t="shared" ca="1" si="46"/>
        <v>Maria</v>
      </c>
      <c r="C618" s="7">
        <f t="shared" ca="1" si="47"/>
        <v>3995</v>
      </c>
      <c r="D618" s="5" t="str">
        <f t="shared" ca="1" si="48"/>
        <v>5S</v>
      </c>
      <c r="E618" s="3">
        <f t="shared" ca="1" si="49"/>
        <v>10</v>
      </c>
    </row>
    <row r="619" spans="1:5" x14ac:dyDescent="0.3">
      <c r="A619" s="4">
        <f t="shared" ca="1" si="45"/>
        <v>43604</v>
      </c>
      <c r="B619" s="5" t="str">
        <f t="shared" ca="1" si="46"/>
        <v>João</v>
      </c>
      <c r="C619" s="7">
        <f t="shared" ca="1" si="47"/>
        <v>4599</v>
      </c>
      <c r="D619" s="5" t="str">
        <f t="shared" ca="1" si="48"/>
        <v>Finanças</v>
      </c>
      <c r="E619" s="3">
        <f t="shared" ca="1" si="49"/>
        <v>5</v>
      </c>
    </row>
    <row r="620" spans="1:5" x14ac:dyDescent="0.3">
      <c r="A620" s="4">
        <f t="shared" ca="1" si="45"/>
        <v>43712</v>
      </c>
      <c r="B620" s="5" t="str">
        <f t="shared" ca="1" si="46"/>
        <v>Maria</v>
      </c>
      <c r="C620" s="7">
        <f t="shared" ca="1" si="47"/>
        <v>3677</v>
      </c>
      <c r="D620" s="5" t="str">
        <f t="shared" ca="1" si="48"/>
        <v>Padronização</v>
      </c>
      <c r="E620" s="3">
        <f t="shared" ca="1" si="49"/>
        <v>9</v>
      </c>
    </row>
    <row r="621" spans="1:5" x14ac:dyDescent="0.3">
      <c r="A621" s="4">
        <f t="shared" ca="1" si="45"/>
        <v>43491</v>
      </c>
      <c r="B621" s="5" t="str">
        <f t="shared" ca="1" si="46"/>
        <v>Joaquina</v>
      </c>
      <c r="C621" s="7">
        <f t="shared" ca="1" si="47"/>
        <v>2646</v>
      </c>
      <c r="D621" s="5" t="str">
        <f t="shared" ca="1" si="48"/>
        <v>Padronização</v>
      </c>
      <c r="E621" s="3">
        <f t="shared" ca="1" si="49"/>
        <v>1</v>
      </c>
    </row>
    <row r="622" spans="1:5" x14ac:dyDescent="0.3">
      <c r="A622" s="4">
        <f t="shared" ca="1" si="45"/>
        <v>43711</v>
      </c>
      <c r="B622" s="5" t="str">
        <f t="shared" ca="1" si="46"/>
        <v>João</v>
      </c>
      <c r="C622" s="7">
        <f t="shared" ca="1" si="47"/>
        <v>3856</v>
      </c>
      <c r="D622" s="5" t="str">
        <f t="shared" ca="1" si="48"/>
        <v>Finanças</v>
      </c>
      <c r="E622" s="3">
        <f t="shared" ca="1" si="49"/>
        <v>9</v>
      </c>
    </row>
    <row r="623" spans="1:5" x14ac:dyDescent="0.3">
      <c r="A623" s="4">
        <f t="shared" ca="1" si="45"/>
        <v>43807</v>
      </c>
      <c r="B623" s="5" t="str">
        <f t="shared" ca="1" si="46"/>
        <v>João</v>
      </c>
      <c r="C623" s="7">
        <f t="shared" ca="1" si="47"/>
        <v>3007</v>
      </c>
      <c r="D623" s="5" t="str">
        <f t="shared" ca="1" si="48"/>
        <v>Consultoria</v>
      </c>
      <c r="E623" s="3">
        <f t="shared" ca="1" si="49"/>
        <v>12</v>
      </c>
    </row>
    <row r="624" spans="1:5" x14ac:dyDescent="0.3">
      <c r="A624" s="4">
        <f t="shared" ca="1" si="45"/>
        <v>43615</v>
      </c>
      <c r="B624" s="5" t="str">
        <f t="shared" ca="1" si="46"/>
        <v>João</v>
      </c>
      <c r="C624" s="7">
        <f t="shared" ca="1" si="47"/>
        <v>2394</v>
      </c>
      <c r="D624" s="5" t="str">
        <f t="shared" ca="1" si="48"/>
        <v>Consultoria</v>
      </c>
      <c r="E624" s="3">
        <f t="shared" ca="1" si="49"/>
        <v>5</v>
      </c>
    </row>
    <row r="625" spans="1:5" x14ac:dyDescent="0.3">
      <c r="A625" s="4">
        <f t="shared" ca="1" si="45"/>
        <v>43806</v>
      </c>
      <c r="B625" s="5" t="str">
        <f t="shared" ca="1" si="46"/>
        <v>João</v>
      </c>
      <c r="C625" s="7">
        <f t="shared" ca="1" si="47"/>
        <v>4249</v>
      </c>
      <c r="D625" s="5" t="str">
        <f t="shared" ca="1" si="48"/>
        <v>5S</v>
      </c>
      <c r="E625" s="3">
        <f t="shared" ca="1" si="49"/>
        <v>12</v>
      </c>
    </row>
    <row r="626" spans="1:5" x14ac:dyDescent="0.3">
      <c r="A626" s="4">
        <f t="shared" ca="1" si="45"/>
        <v>43587</v>
      </c>
      <c r="B626" s="5" t="str">
        <f t="shared" ca="1" si="46"/>
        <v>Maria</v>
      </c>
      <c r="C626" s="7">
        <f t="shared" ca="1" si="47"/>
        <v>4816</v>
      </c>
      <c r="D626" s="5" t="str">
        <f t="shared" ca="1" si="48"/>
        <v>5S</v>
      </c>
      <c r="E626" s="3">
        <f t="shared" ca="1" si="49"/>
        <v>5</v>
      </c>
    </row>
    <row r="627" spans="1:5" x14ac:dyDescent="0.3">
      <c r="A627" s="4">
        <f t="shared" ca="1" si="45"/>
        <v>43662</v>
      </c>
      <c r="B627" s="5" t="str">
        <f t="shared" ca="1" si="46"/>
        <v>Joaquina</v>
      </c>
      <c r="C627" s="7">
        <f t="shared" ca="1" si="47"/>
        <v>2935</v>
      </c>
      <c r="D627" s="5" t="str">
        <f t="shared" ca="1" si="48"/>
        <v>Finanças</v>
      </c>
      <c r="E627" s="3">
        <f t="shared" ca="1" si="49"/>
        <v>7</v>
      </c>
    </row>
    <row r="628" spans="1:5" x14ac:dyDescent="0.3">
      <c r="A628" s="4">
        <f t="shared" ca="1" si="45"/>
        <v>43664</v>
      </c>
      <c r="B628" s="5" t="str">
        <f t="shared" ca="1" si="46"/>
        <v>Marcelo</v>
      </c>
      <c r="C628" s="7">
        <f t="shared" ca="1" si="47"/>
        <v>1996</v>
      </c>
      <c r="D628" s="5" t="str">
        <f t="shared" ca="1" si="48"/>
        <v>Consultoria</v>
      </c>
      <c r="E628" s="3">
        <f t="shared" ca="1" si="49"/>
        <v>7</v>
      </c>
    </row>
    <row r="629" spans="1:5" x14ac:dyDescent="0.3">
      <c r="A629" s="4">
        <f t="shared" ca="1" si="45"/>
        <v>43515</v>
      </c>
      <c r="B629" s="5" t="str">
        <f t="shared" ca="1" si="46"/>
        <v>Joaquina</v>
      </c>
      <c r="C629" s="7">
        <f t="shared" ca="1" si="47"/>
        <v>1977</v>
      </c>
      <c r="D629" s="5" t="str">
        <f t="shared" ca="1" si="48"/>
        <v>Padronização</v>
      </c>
      <c r="E629" s="3">
        <f t="shared" ca="1" si="49"/>
        <v>2</v>
      </c>
    </row>
    <row r="630" spans="1:5" x14ac:dyDescent="0.3">
      <c r="A630" s="4">
        <f t="shared" ca="1" si="45"/>
        <v>43496</v>
      </c>
      <c r="B630" s="5" t="str">
        <f t="shared" ca="1" si="46"/>
        <v>João</v>
      </c>
      <c r="C630" s="7">
        <f t="shared" ca="1" si="47"/>
        <v>3025</v>
      </c>
      <c r="D630" s="5" t="str">
        <f t="shared" ca="1" si="48"/>
        <v>Consultoria</v>
      </c>
      <c r="E630" s="3">
        <f t="shared" ca="1" si="49"/>
        <v>1</v>
      </c>
    </row>
    <row r="631" spans="1:5" x14ac:dyDescent="0.3">
      <c r="A631" s="4">
        <f t="shared" ca="1" si="45"/>
        <v>43551</v>
      </c>
      <c r="B631" s="5" t="str">
        <f t="shared" ca="1" si="46"/>
        <v>Marcelo</v>
      </c>
      <c r="C631" s="7">
        <f t="shared" ca="1" si="47"/>
        <v>2818</v>
      </c>
      <c r="D631" s="5" t="str">
        <f t="shared" ca="1" si="48"/>
        <v>Padronização</v>
      </c>
      <c r="E631" s="3">
        <f t="shared" ca="1" si="49"/>
        <v>3</v>
      </c>
    </row>
    <row r="632" spans="1:5" x14ac:dyDescent="0.3">
      <c r="A632" s="4">
        <f t="shared" ca="1" si="45"/>
        <v>43482</v>
      </c>
      <c r="B632" s="5" t="str">
        <f t="shared" ca="1" si="46"/>
        <v>João</v>
      </c>
      <c r="C632" s="7">
        <f t="shared" ca="1" si="47"/>
        <v>1928</v>
      </c>
      <c r="D632" s="5" t="str">
        <f t="shared" ca="1" si="48"/>
        <v>Finanças</v>
      </c>
      <c r="E632" s="3">
        <f t="shared" ca="1" si="49"/>
        <v>1</v>
      </c>
    </row>
    <row r="633" spans="1:5" x14ac:dyDescent="0.3">
      <c r="A633" s="4">
        <f t="shared" ca="1" si="45"/>
        <v>43559</v>
      </c>
      <c r="B633" s="5" t="str">
        <f t="shared" ca="1" si="46"/>
        <v>Marcelo</v>
      </c>
      <c r="C633" s="7">
        <f t="shared" ca="1" si="47"/>
        <v>3677</v>
      </c>
      <c r="D633" s="5" t="str">
        <f t="shared" ca="1" si="48"/>
        <v>Consultoria</v>
      </c>
      <c r="E633" s="3">
        <f t="shared" ca="1" si="49"/>
        <v>4</v>
      </c>
    </row>
    <row r="634" spans="1:5" x14ac:dyDescent="0.3">
      <c r="A634" s="4">
        <f t="shared" ca="1" si="45"/>
        <v>43500</v>
      </c>
      <c r="B634" s="5" t="str">
        <f t="shared" ca="1" si="46"/>
        <v>Marcelo</v>
      </c>
      <c r="C634" s="7">
        <f t="shared" ca="1" si="47"/>
        <v>1936</v>
      </c>
      <c r="D634" s="5" t="str">
        <f t="shared" ca="1" si="48"/>
        <v>Finanças</v>
      </c>
      <c r="E634" s="3">
        <f t="shared" ca="1" si="49"/>
        <v>2</v>
      </c>
    </row>
    <row r="635" spans="1:5" x14ac:dyDescent="0.3">
      <c r="A635" s="4">
        <f t="shared" ca="1" si="45"/>
        <v>43654</v>
      </c>
      <c r="B635" s="5" t="str">
        <f t="shared" ca="1" si="46"/>
        <v>Marcelo</v>
      </c>
      <c r="C635" s="7">
        <f t="shared" ca="1" si="47"/>
        <v>2768</v>
      </c>
      <c r="D635" s="5" t="str">
        <f t="shared" ca="1" si="48"/>
        <v>5S</v>
      </c>
      <c r="E635" s="3">
        <f t="shared" ca="1" si="49"/>
        <v>7</v>
      </c>
    </row>
    <row r="636" spans="1:5" x14ac:dyDescent="0.3">
      <c r="A636" s="4">
        <f t="shared" ca="1" si="45"/>
        <v>43487</v>
      </c>
      <c r="B636" s="5" t="str">
        <f t="shared" ca="1" si="46"/>
        <v>Maria</v>
      </c>
      <c r="C636" s="7">
        <f t="shared" ca="1" si="47"/>
        <v>4589</v>
      </c>
      <c r="D636" s="5" t="str">
        <f t="shared" ca="1" si="48"/>
        <v>Finanças</v>
      </c>
      <c r="E636" s="3">
        <f t="shared" ca="1" si="49"/>
        <v>1</v>
      </c>
    </row>
    <row r="637" spans="1:5" x14ac:dyDescent="0.3">
      <c r="A637" s="4">
        <f t="shared" ca="1" si="45"/>
        <v>43723</v>
      </c>
      <c r="B637" s="5" t="str">
        <f t="shared" ca="1" si="46"/>
        <v>Marcelo</v>
      </c>
      <c r="C637" s="7">
        <f t="shared" ca="1" si="47"/>
        <v>3335</v>
      </c>
      <c r="D637" s="5" t="str">
        <f t="shared" ca="1" si="48"/>
        <v>Finanças</v>
      </c>
      <c r="E637" s="3">
        <f t="shared" ca="1" si="49"/>
        <v>9</v>
      </c>
    </row>
    <row r="638" spans="1:5" x14ac:dyDescent="0.3">
      <c r="A638" s="4">
        <f t="shared" ca="1" si="45"/>
        <v>43572</v>
      </c>
      <c r="B638" s="5" t="str">
        <f t="shared" ca="1" si="46"/>
        <v>Joaquina</v>
      </c>
      <c r="C638" s="7">
        <f t="shared" ca="1" si="47"/>
        <v>3358</v>
      </c>
      <c r="D638" s="5" t="str">
        <f t="shared" ca="1" si="48"/>
        <v>Padronização</v>
      </c>
      <c r="E638" s="3">
        <f t="shared" ca="1" si="49"/>
        <v>4</v>
      </c>
    </row>
    <row r="639" spans="1:5" x14ac:dyDescent="0.3">
      <c r="A639" s="4">
        <f t="shared" ca="1" si="45"/>
        <v>43801</v>
      </c>
      <c r="B639" s="5" t="str">
        <f t="shared" ca="1" si="46"/>
        <v>João</v>
      </c>
      <c r="C639" s="7">
        <f t="shared" ca="1" si="47"/>
        <v>1587</v>
      </c>
      <c r="D639" s="5" t="str">
        <f t="shared" ca="1" si="48"/>
        <v>Padronização</v>
      </c>
      <c r="E639" s="3">
        <f t="shared" ca="1" si="49"/>
        <v>12</v>
      </c>
    </row>
    <row r="640" spans="1:5" x14ac:dyDescent="0.3">
      <c r="A640" s="4">
        <f t="shared" ca="1" si="45"/>
        <v>43826</v>
      </c>
      <c r="B640" s="5" t="str">
        <f t="shared" ca="1" si="46"/>
        <v>Maria</v>
      </c>
      <c r="C640" s="7">
        <f t="shared" ca="1" si="47"/>
        <v>3770</v>
      </c>
      <c r="D640" s="5" t="str">
        <f t="shared" ca="1" si="48"/>
        <v>Finanças</v>
      </c>
      <c r="E640" s="3">
        <f t="shared" ca="1" si="49"/>
        <v>12</v>
      </c>
    </row>
    <row r="641" spans="1:5" x14ac:dyDescent="0.3">
      <c r="A641" s="4">
        <f t="shared" ca="1" si="45"/>
        <v>43541</v>
      </c>
      <c r="B641" s="5" t="str">
        <f t="shared" ca="1" si="46"/>
        <v>Marcelo</v>
      </c>
      <c r="C641" s="7">
        <f t="shared" ca="1" si="47"/>
        <v>4176</v>
      </c>
      <c r="D641" s="5" t="str">
        <f t="shared" ca="1" si="48"/>
        <v>Finanças</v>
      </c>
      <c r="E641" s="3">
        <f t="shared" ca="1" si="49"/>
        <v>3</v>
      </c>
    </row>
    <row r="642" spans="1:5" x14ac:dyDescent="0.3">
      <c r="A642" s="4">
        <f t="shared" ca="1" si="45"/>
        <v>43619</v>
      </c>
      <c r="B642" s="5" t="str">
        <f t="shared" ca="1" si="46"/>
        <v>João</v>
      </c>
      <c r="C642" s="7">
        <f t="shared" ca="1" si="47"/>
        <v>3262</v>
      </c>
      <c r="D642" s="5" t="str">
        <f t="shared" ca="1" si="48"/>
        <v>Consultoria</v>
      </c>
      <c r="E642" s="3">
        <f t="shared" ca="1" si="49"/>
        <v>6</v>
      </c>
    </row>
    <row r="643" spans="1:5" x14ac:dyDescent="0.3">
      <c r="A643" s="4">
        <f t="shared" ref="A643:A706" ca="1" si="50">RANDBETWEEN($F$1,$F$2)</f>
        <v>43826</v>
      </c>
      <c r="B643" s="5" t="str">
        <f t="shared" ref="B643:B706" ca="1" si="51">VLOOKUP(RANDBETWEEN(1,4),$I$1:$J$4,2,FALSE)</f>
        <v>João</v>
      </c>
      <c r="C643" s="7">
        <f t="shared" ref="C643:C706" ca="1" si="52">RANDBETWEEN(1000,5000)</f>
        <v>2561</v>
      </c>
      <c r="D643" s="5" t="str">
        <f t="shared" ref="D643:D706" ca="1" si="53">VLOOKUP(RANDBETWEEN($I$6,$I$9),$I$6:$J$9,2,FALSE)</f>
        <v>5S</v>
      </c>
      <c r="E643" s="3">
        <f t="shared" ref="E643:E706" ca="1" si="54">MONTH(A643)</f>
        <v>12</v>
      </c>
    </row>
    <row r="644" spans="1:5" x14ac:dyDescent="0.3">
      <c r="A644" s="4">
        <f t="shared" ca="1" si="50"/>
        <v>43644</v>
      </c>
      <c r="B644" s="5" t="str">
        <f t="shared" ca="1" si="51"/>
        <v>Maria</v>
      </c>
      <c r="C644" s="7">
        <f t="shared" ca="1" si="52"/>
        <v>1552</v>
      </c>
      <c r="D644" s="5" t="str">
        <f t="shared" ca="1" si="53"/>
        <v>Finanças</v>
      </c>
      <c r="E644" s="3">
        <f t="shared" ca="1" si="54"/>
        <v>6</v>
      </c>
    </row>
    <row r="645" spans="1:5" x14ac:dyDescent="0.3">
      <c r="A645" s="4">
        <f t="shared" ca="1" si="50"/>
        <v>43471</v>
      </c>
      <c r="B645" s="5" t="str">
        <f t="shared" ca="1" si="51"/>
        <v>Marcelo</v>
      </c>
      <c r="C645" s="7">
        <f t="shared" ca="1" si="52"/>
        <v>1779</v>
      </c>
      <c r="D645" s="5" t="str">
        <f t="shared" ca="1" si="53"/>
        <v>Finanças</v>
      </c>
      <c r="E645" s="3">
        <f t="shared" ca="1" si="54"/>
        <v>1</v>
      </c>
    </row>
    <row r="646" spans="1:5" x14ac:dyDescent="0.3">
      <c r="A646" s="4">
        <f t="shared" ca="1" si="50"/>
        <v>43510</v>
      </c>
      <c r="B646" s="5" t="str">
        <f t="shared" ca="1" si="51"/>
        <v>Marcelo</v>
      </c>
      <c r="C646" s="7">
        <f t="shared" ca="1" si="52"/>
        <v>2083</v>
      </c>
      <c r="D646" s="5" t="str">
        <f t="shared" ca="1" si="53"/>
        <v>Padronização</v>
      </c>
      <c r="E646" s="3">
        <f t="shared" ca="1" si="54"/>
        <v>2</v>
      </c>
    </row>
    <row r="647" spans="1:5" x14ac:dyDescent="0.3">
      <c r="A647" s="4">
        <f t="shared" ca="1" si="50"/>
        <v>43526</v>
      </c>
      <c r="B647" s="5" t="str">
        <f t="shared" ca="1" si="51"/>
        <v>Marcelo</v>
      </c>
      <c r="C647" s="7">
        <f t="shared" ca="1" si="52"/>
        <v>4094</v>
      </c>
      <c r="D647" s="5" t="str">
        <f t="shared" ca="1" si="53"/>
        <v>Consultoria</v>
      </c>
      <c r="E647" s="3">
        <f t="shared" ca="1" si="54"/>
        <v>3</v>
      </c>
    </row>
    <row r="648" spans="1:5" x14ac:dyDescent="0.3">
      <c r="A648" s="4">
        <f t="shared" ca="1" si="50"/>
        <v>43556</v>
      </c>
      <c r="B648" s="5" t="str">
        <f t="shared" ca="1" si="51"/>
        <v>Joaquina</v>
      </c>
      <c r="C648" s="7">
        <f t="shared" ca="1" si="52"/>
        <v>4576</v>
      </c>
      <c r="D648" s="5" t="str">
        <f t="shared" ca="1" si="53"/>
        <v>Finanças</v>
      </c>
      <c r="E648" s="3">
        <f t="shared" ca="1" si="54"/>
        <v>4</v>
      </c>
    </row>
    <row r="649" spans="1:5" x14ac:dyDescent="0.3">
      <c r="A649" s="4">
        <f t="shared" ca="1" si="50"/>
        <v>43634</v>
      </c>
      <c r="B649" s="5" t="str">
        <f t="shared" ca="1" si="51"/>
        <v>Joaquina</v>
      </c>
      <c r="C649" s="7">
        <f t="shared" ca="1" si="52"/>
        <v>4903</v>
      </c>
      <c r="D649" s="5" t="str">
        <f t="shared" ca="1" si="53"/>
        <v>5S</v>
      </c>
      <c r="E649" s="3">
        <f t="shared" ca="1" si="54"/>
        <v>6</v>
      </c>
    </row>
    <row r="650" spans="1:5" x14ac:dyDescent="0.3">
      <c r="A650" s="4">
        <f t="shared" ca="1" si="50"/>
        <v>43814</v>
      </c>
      <c r="B650" s="5" t="str">
        <f t="shared" ca="1" si="51"/>
        <v>João</v>
      </c>
      <c r="C650" s="7">
        <f t="shared" ca="1" si="52"/>
        <v>2218</v>
      </c>
      <c r="D650" s="5" t="str">
        <f t="shared" ca="1" si="53"/>
        <v>Consultoria</v>
      </c>
      <c r="E650" s="3">
        <f t="shared" ca="1" si="54"/>
        <v>12</v>
      </c>
    </row>
    <row r="651" spans="1:5" x14ac:dyDescent="0.3">
      <c r="A651" s="4">
        <f t="shared" ca="1" si="50"/>
        <v>43712</v>
      </c>
      <c r="B651" s="5" t="str">
        <f t="shared" ca="1" si="51"/>
        <v>Joaquina</v>
      </c>
      <c r="C651" s="7">
        <f t="shared" ca="1" si="52"/>
        <v>4547</v>
      </c>
      <c r="D651" s="5" t="str">
        <f t="shared" ca="1" si="53"/>
        <v>Finanças</v>
      </c>
      <c r="E651" s="3">
        <f t="shared" ca="1" si="54"/>
        <v>9</v>
      </c>
    </row>
    <row r="652" spans="1:5" x14ac:dyDescent="0.3">
      <c r="A652" s="4">
        <f t="shared" ca="1" si="50"/>
        <v>43493</v>
      </c>
      <c r="B652" s="5" t="str">
        <f t="shared" ca="1" si="51"/>
        <v>Joaquina</v>
      </c>
      <c r="C652" s="7">
        <f t="shared" ca="1" si="52"/>
        <v>4545</v>
      </c>
      <c r="D652" s="5" t="str">
        <f t="shared" ca="1" si="53"/>
        <v>Consultoria</v>
      </c>
      <c r="E652" s="3">
        <f t="shared" ca="1" si="54"/>
        <v>1</v>
      </c>
    </row>
    <row r="653" spans="1:5" x14ac:dyDescent="0.3">
      <c r="A653" s="4">
        <f t="shared" ca="1" si="50"/>
        <v>43623</v>
      </c>
      <c r="B653" s="5" t="str">
        <f t="shared" ca="1" si="51"/>
        <v>Maria</v>
      </c>
      <c r="C653" s="7">
        <f t="shared" ca="1" si="52"/>
        <v>1746</v>
      </c>
      <c r="D653" s="5" t="str">
        <f t="shared" ca="1" si="53"/>
        <v>Consultoria</v>
      </c>
      <c r="E653" s="3">
        <f t="shared" ca="1" si="54"/>
        <v>6</v>
      </c>
    </row>
    <row r="654" spans="1:5" x14ac:dyDescent="0.3">
      <c r="A654" s="4">
        <f t="shared" ca="1" si="50"/>
        <v>43619</v>
      </c>
      <c r="B654" s="5" t="str">
        <f t="shared" ca="1" si="51"/>
        <v>João</v>
      </c>
      <c r="C654" s="7">
        <f t="shared" ca="1" si="52"/>
        <v>4954</v>
      </c>
      <c r="D654" s="5" t="str">
        <f t="shared" ca="1" si="53"/>
        <v>Finanças</v>
      </c>
      <c r="E654" s="3">
        <f t="shared" ca="1" si="54"/>
        <v>6</v>
      </c>
    </row>
    <row r="655" spans="1:5" x14ac:dyDescent="0.3">
      <c r="A655" s="4">
        <f t="shared" ca="1" si="50"/>
        <v>43616</v>
      </c>
      <c r="B655" s="5" t="str">
        <f t="shared" ca="1" si="51"/>
        <v>João</v>
      </c>
      <c r="C655" s="7">
        <f t="shared" ca="1" si="52"/>
        <v>3633</v>
      </c>
      <c r="D655" s="5" t="str">
        <f t="shared" ca="1" si="53"/>
        <v>Padronização</v>
      </c>
      <c r="E655" s="3">
        <f t="shared" ca="1" si="54"/>
        <v>5</v>
      </c>
    </row>
    <row r="656" spans="1:5" x14ac:dyDescent="0.3">
      <c r="A656" s="4">
        <f t="shared" ca="1" si="50"/>
        <v>43723</v>
      </c>
      <c r="B656" s="5" t="str">
        <f t="shared" ca="1" si="51"/>
        <v>João</v>
      </c>
      <c r="C656" s="7">
        <f t="shared" ca="1" si="52"/>
        <v>4293</v>
      </c>
      <c r="D656" s="5" t="str">
        <f t="shared" ca="1" si="53"/>
        <v>5S</v>
      </c>
      <c r="E656" s="3">
        <f t="shared" ca="1" si="54"/>
        <v>9</v>
      </c>
    </row>
    <row r="657" spans="1:5" x14ac:dyDescent="0.3">
      <c r="A657" s="4">
        <f t="shared" ca="1" si="50"/>
        <v>43672</v>
      </c>
      <c r="B657" s="5" t="str">
        <f t="shared" ca="1" si="51"/>
        <v>Marcelo</v>
      </c>
      <c r="C657" s="7">
        <f t="shared" ca="1" si="52"/>
        <v>3169</v>
      </c>
      <c r="D657" s="5" t="str">
        <f t="shared" ca="1" si="53"/>
        <v>Consultoria</v>
      </c>
      <c r="E657" s="3">
        <f t="shared" ca="1" si="54"/>
        <v>7</v>
      </c>
    </row>
    <row r="658" spans="1:5" x14ac:dyDescent="0.3">
      <c r="A658" s="4">
        <f t="shared" ca="1" si="50"/>
        <v>43770</v>
      </c>
      <c r="B658" s="5" t="str">
        <f t="shared" ca="1" si="51"/>
        <v>Marcelo</v>
      </c>
      <c r="C658" s="7">
        <f t="shared" ca="1" si="52"/>
        <v>1070</v>
      </c>
      <c r="D658" s="5" t="str">
        <f t="shared" ca="1" si="53"/>
        <v>Consultoria</v>
      </c>
      <c r="E658" s="3">
        <f t="shared" ca="1" si="54"/>
        <v>11</v>
      </c>
    </row>
    <row r="659" spans="1:5" x14ac:dyDescent="0.3">
      <c r="A659" s="4">
        <f t="shared" ca="1" si="50"/>
        <v>43800</v>
      </c>
      <c r="B659" s="5" t="str">
        <f t="shared" ca="1" si="51"/>
        <v>Maria</v>
      </c>
      <c r="C659" s="7">
        <f t="shared" ca="1" si="52"/>
        <v>3169</v>
      </c>
      <c r="D659" s="5" t="str">
        <f t="shared" ca="1" si="53"/>
        <v>Padronização</v>
      </c>
      <c r="E659" s="3">
        <f t="shared" ca="1" si="54"/>
        <v>12</v>
      </c>
    </row>
    <row r="660" spans="1:5" x14ac:dyDescent="0.3">
      <c r="A660" s="4">
        <f t="shared" ca="1" si="50"/>
        <v>43588</v>
      </c>
      <c r="B660" s="5" t="str">
        <f t="shared" ca="1" si="51"/>
        <v>Joaquina</v>
      </c>
      <c r="C660" s="7">
        <f t="shared" ca="1" si="52"/>
        <v>1230</v>
      </c>
      <c r="D660" s="5" t="str">
        <f t="shared" ca="1" si="53"/>
        <v>Padronização</v>
      </c>
      <c r="E660" s="3">
        <f t="shared" ca="1" si="54"/>
        <v>5</v>
      </c>
    </row>
    <row r="661" spans="1:5" x14ac:dyDescent="0.3">
      <c r="A661" s="4">
        <f t="shared" ca="1" si="50"/>
        <v>43716</v>
      </c>
      <c r="B661" s="5" t="str">
        <f t="shared" ca="1" si="51"/>
        <v>Joaquina</v>
      </c>
      <c r="C661" s="7">
        <f t="shared" ca="1" si="52"/>
        <v>1355</v>
      </c>
      <c r="D661" s="5" t="str">
        <f t="shared" ca="1" si="53"/>
        <v>5S</v>
      </c>
      <c r="E661" s="3">
        <f t="shared" ca="1" si="54"/>
        <v>9</v>
      </c>
    </row>
    <row r="662" spans="1:5" x14ac:dyDescent="0.3">
      <c r="A662" s="4">
        <f t="shared" ca="1" si="50"/>
        <v>43470</v>
      </c>
      <c r="B662" s="5" t="str">
        <f t="shared" ca="1" si="51"/>
        <v>João</v>
      </c>
      <c r="C662" s="7">
        <f t="shared" ca="1" si="52"/>
        <v>1369</v>
      </c>
      <c r="D662" s="5" t="str">
        <f t="shared" ca="1" si="53"/>
        <v>Finanças</v>
      </c>
      <c r="E662" s="3">
        <f t="shared" ca="1" si="54"/>
        <v>1</v>
      </c>
    </row>
    <row r="663" spans="1:5" x14ac:dyDescent="0.3">
      <c r="A663" s="4">
        <f t="shared" ca="1" si="50"/>
        <v>43700</v>
      </c>
      <c r="B663" s="5" t="str">
        <f t="shared" ca="1" si="51"/>
        <v>Maria</v>
      </c>
      <c r="C663" s="7">
        <f t="shared" ca="1" si="52"/>
        <v>1677</v>
      </c>
      <c r="D663" s="5" t="str">
        <f t="shared" ca="1" si="53"/>
        <v>5S</v>
      </c>
      <c r="E663" s="3">
        <f t="shared" ca="1" si="54"/>
        <v>8</v>
      </c>
    </row>
    <row r="664" spans="1:5" x14ac:dyDescent="0.3">
      <c r="A664" s="4">
        <f t="shared" ca="1" si="50"/>
        <v>43693</v>
      </c>
      <c r="B664" s="5" t="str">
        <f t="shared" ca="1" si="51"/>
        <v>Marcelo</v>
      </c>
      <c r="C664" s="7">
        <f t="shared" ca="1" si="52"/>
        <v>1200</v>
      </c>
      <c r="D664" s="5" t="str">
        <f t="shared" ca="1" si="53"/>
        <v>5S</v>
      </c>
      <c r="E664" s="3">
        <f t="shared" ca="1" si="54"/>
        <v>8</v>
      </c>
    </row>
    <row r="665" spans="1:5" x14ac:dyDescent="0.3">
      <c r="A665" s="4">
        <f t="shared" ca="1" si="50"/>
        <v>43740</v>
      </c>
      <c r="B665" s="5" t="str">
        <f t="shared" ca="1" si="51"/>
        <v>Joaquina</v>
      </c>
      <c r="C665" s="7">
        <f t="shared" ca="1" si="52"/>
        <v>3250</v>
      </c>
      <c r="D665" s="5" t="str">
        <f t="shared" ca="1" si="53"/>
        <v>Finanças</v>
      </c>
      <c r="E665" s="3">
        <f t="shared" ca="1" si="54"/>
        <v>10</v>
      </c>
    </row>
    <row r="666" spans="1:5" x14ac:dyDescent="0.3">
      <c r="A666" s="4">
        <f t="shared" ca="1" si="50"/>
        <v>43807</v>
      </c>
      <c r="B666" s="5" t="str">
        <f t="shared" ca="1" si="51"/>
        <v>Joaquina</v>
      </c>
      <c r="C666" s="7">
        <f t="shared" ca="1" si="52"/>
        <v>3868</v>
      </c>
      <c r="D666" s="5" t="str">
        <f t="shared" ca="1" si="53"/>
        <v>Consultoria</v>
      </c>
      <c r="E666" s="3">
        <f t="shared" ca="1" si="54"/>
        <v>12</v>
      </c>
    </row>
    <row r="667" spans="1:5" x14ac:dyDescent="0.3">
      <c r="A667" s="4">
        <f t="shared" ca="1" si="50"/>
        <v>43752</v>
      </c>
      <c r="B667" s="5" t="str">
        <f t="shared" ca="1" si="51"/>
        <v>João</v>
      </c>
      <c r="C667" s="7">
        <f t="shared" ca="1" si="52"/>
        <v>3226</v>
      </c>
      <c r="D667" s="5" t="str">
        <f t="shared" ca="1" si="53"/>
        <v>Finanças</v>
      </c>
      <c r="E667" s="3">
        <f t="shared" ca="1" si="54"/>
        <v>10</v>
      </c>
    </row>
    <row r="668" spans="1:5" x14ac:dyDescent="0.3">
      <c r="A668" s="4">
        <f t="shared" ca="1" si="50"/>
        <v>43526</v>
      </c>
      <c r="B668" s="5" t="str">
        <f t="shared" ca="1" si="51"/>
        <v>João</v>
      </c>
      <c r="C668" s="7">
        <f t="shared" ca="1" si="52"/>
        <v>2679</v>
      </c>
      <c r="D668" s="5" t="str">
        <f t="shared" ca="1" si="53"/>
        <v>Consultoria</v>
      </c>
      <c r="E668" s="3">
        <f t="shared" ca="1" si="54"/>
        <v>3</v>
      </c>
    </row>
    <row r="669" spans="1:5" x14ac:dyDescent="0.3">
      <c r="A669" s="4">
        <f t="shared" ca="1" si="50"/>
        <v>43683</v>
      </c>
      <c r="B669" s="5" t="str">
        <f t="shared" ca="1" si="51"/>
        <v>João</v>
      </c>
      <c r="C669" s="7">
        <f t="shared" ca="1" si="52"/>
        <v>3186</v>
      </c>
      <c r="D669" s="5" t="str">
        <f t="shared" ca="1" si="53"/>
        <v>Finanças</v>
      </c>
      <c r="E669" s="3">
        <f t="shared" ca="1" si="54"/>
        <v>8</v>
      </c>
    </row>
    <row r="670" spans="1:5" x14ac:dyDescent="0.3">
      <c r="A670" s="4">
        <f t="shared" ca="1" si="50"/>
        <v>43519</v>
      </c>
      <c r="B670" s="5" t="str">
        <f t="shared" ca="1" si="51"/>
        <v>João</v>
      </c>
      <c r="C670" s="7">
        <f t="shared" ca="1" si="52"/>
        <v>3051</v>
      </c>
      <c r="D670" s="5" t="str">
        <f t="shared" ca="1" si="53"/>
        <v>Finanças</v>
      </c>
      <c r="E670" s="3">
        <f t="shared" ca="1" si="54"/>
        <v>2</v>
      </c>
    </row>
    <row r="671" spans="1:5" x14ac:dyDescent="0.3">
      <c r="A671" s="4">
        <f t="shared" ca="1" si="50"/>
        <v>43666</v>
      </c>
      <c r="B671" s="5" t="str">
        <f t="shared" ca="1" si="51"/>
        <v>Maria</v>
      </c>
      <c r="C671" s="7">
        <f t="shared" ca="1" si="52"/>
        <v>1521</v>
      </c>
      <c r="D671" s="5" t="str">
        <f t="shared" ca="1" si="53"/>
        <v>5S</v>
      </c>
      <c r="E671" s="3">
        <f t="shared" ca="1" si="54"/>
        <v>7</v>
      </c>
    </row>
    <row r="672" spans="1:5" x14ac:dyDescent="0.3">
      <c r="A672" s="4">
        <f t="shared" ca="1" si="50"/>
        <v>43576</v>
      </c>
      <c r="B672" s="5" t="str">
        <f t="shared" ca="1" si="51"/>
        <v>Maria</v>
      </c>
      <c r="C672" s="7">
        <f t="shared" ca="1" si="52"/>
        <v>4749</v>
      </c>
      <c r="D672" s="5" t="str">
        <f t="shared" ca="1" si="53"/>
        <v>Padronização</v>
      </c>
      <c r="E672" s="3">
        <f t="shared" ca="1" si="54"/>
        <v>4</v>
      </c>
    </row>
    <row r="673" spans="1:5" x14ac:dyDescent="0.3">
      <c r="A673" s="4">
        <f t="shared" ca="1" si="50"/>
        <v>43523</v>
      </c>
      <c r="B673" s="5" t="str">
        <f t="shared" ca="1" si="51"/>
        <v>Joaquina</v>
      </c>
      <c r="C673" s="7">
        <f t="shared" ca="1" si="52"/>
        <v>4782</v>
      </c>
      <c r="D673" s="5" t="str">
        <f t="shared" ca="1" si="53"/>
        <v>5S</v>
      </c>
      <c r="E673" s="3">
        <f t="shared" ca="1" si="54"/>
        <v>2</v>
      </c>
    </row>
    <row r="674" spans="1:5" x14ac:dyDescent="0.3">
      <c r="A674" s="4">
        <f t="shared" ca="1" si="50"/>
        <v>43475</v>
      </c>
      <c r="B674" s="5" t="str">
        <f t="shared" ca="1" si="51"/>
        <v>Joaquina</v>
      </c>
      <c r="C674" s="7">
        <f t="shared" ca="1" si="52"/>
        <v>2104</v>
      </c>
      <c r="D674" s="5" t="str">
        <f t="shared" ca="1" si="53"/>
        <v>Finanças</v>
      </c>
      <c r="E674" s="3">
        <f t="shared" ca="1" si="54"/>
        <v>1</v>
      </c>
    </row>
    <row r="675" spans="1:5" x14ac:dyDescent="0.3">
      <c r="A675" s="4">
        <f t="shared" ca="1" si="50"/>
        <v>43828</v>
      </c>
      <c r="B675" s="5" t="str">
        <f t="shared" ca="1" si="51"/>
        <v>Maria</v>
      </c>
      <c r="C675" s="7">
        <f t="shared" ca="1" si="52"/>
        <v>2342</v>
      </c>
      <c r="D675" s="5" t="str">
        <f t="shared" ca="1" si="53"/>
        <v>5S</v>
      </c>
      <c r="E675" s="3">
        <f t="shared" ca="1" si="54"/>
        <v>12</v>
      </c>
    </row>
    <row r="676" spans="1:5" x14ac:dyDescent="0.3">
      <c r="A676" s="4">
        <f t="shared" ca="1" si="50"/>
        <v>43664</v>
      </c>
      <c r="B676" s="5" t="str">
        <f t="shared" ca="1" si="51"/>
        <v>Joaquina</v>
      </c>
      <c r="C676" s="7">
        <f t="shared" ca="1" si="52"/>
        <v>1088</v>
      </c>
      <c r="D676" s="5" t="str">
        <f t="shared" ca="1" si="53"/>
        <v>5S</v>
      </c>
      <c r="E676" s="3">
        <f t="shared" ca="1" si="54"/>
        <v>7</v>
      </c>
    </row>
    <row r="677" spans="1:5" x14ac:dyDescent="0.3">
      <c r="A677" s="4">
        <f t="shared" ca="1" si="50"/>
        <v>43570</v>
      </c>
      <c r="B677" s="5" t="str">
        <f t="shared" ca="1" si="51"/>
        <v>Joaquina</v>
      </c>
      <c r="C677" s="7">
        <f t="shared" ca="1" si="52"/>
        <v>4636</v>
      </c>
      <c r="D677" s="5" t="str">
        <f t="shared" ca="1" si="53"/>
        <v>5S</v>
      </c>
      <c r="E677" s="3">
        <f t="shared" ca="1" si="54"/>
        <v>4</v>
      </c>
    </row>
    <row r="678" spans="1:5" x14ac:dyDescent="0.3">
      <c r="A678" s="4">
        <f t="shared" ca="1" si="50"/>
        <v>43606</v>
      </c>
      <c r="B678" s="5" t="str">
        <f t="shared" ca="1" si="51"/>
        <v>João</v>
      </c>
      <c r="C678" s="7">
        <f t="shared" ca="1" si="52"/>
        <v>3598</v>
      </c>
      <c r="D678" s="5" t="str">
        <f t="shared" ca="1" si="53"/>
        <v>Padronização</v>
      </c>
      <c r="E678" s="3">
        <f t="shared" ca="1" si="54"/>
        <v>5</v>
      </c>
    </row>
    <row r="679" spans="1:5" x14ac:dyDescent="0.3">
      <c r="A679" s="4">
        <f t="shared" ca="1" si="50"/>
        <v>43556</v>
      </c>
      <c r="B679" s="5" t="str">
        <f t="shared" ca="1" si="51"/>
        <v>João</v>
      </c>
      <c r="C679" s="7">
        <f t="shared" ca="1" si="52"/>
        <v>4088</v>
      </c>
      <c r="D679" s="5" t="str">
        <f t="shared" ca="1" si="53"/>
        <v>Finanças</v>
      </c>
      <c r="E679" s="3">
        <f t="shared" ca="1" si="54"/>
        <v>4</v>
      </c>
    </row>
    <row r="680" spans="1:5" x14ac:dyDescent="0.3">
      <c r="A680" s="4">
        <f t="shared" ca="1" si="50"/>
        <v>43802</v>
      </c>
      <c r="B680" s="5" t="str">
        <f t="shared" ca="1" si="51"/>
        <v>Marcelo</v>
      </c>
      <c r="C680" s="7">
        <f t="shared" ca="1" si="52"/>
        <v>1748</v>
      </c>
      <c r="D680" s="5" t="str">
        <f t="shared" ca="1" si="53"/>
        <v>Consultoria</v>
      </c>
      <c r="E680" s="3">
        <f t="shared" ca="1" si="54"/>
        <v>12</v>
      </c>
    </row>
    <row r="681" spans="1:5" x14ac:dyDescent="0.3">
      <c r="A681" s="4">
        <f t="shared" ca="1" si="50"/>
        <v>43635</v>
      </c>
      <c r="B681" s="5" t="str">
        <f t="shared" ca="1" si="51"/>
        <v>Maria</v>
      </c>
      <c r="C681" s="7">
        <f t="shared" ca="1" si="52"/>
        <v>1333</v>
      </c>
      <c r="D681" s="5" t="str">
        <f t="shared" ca="1" si="53"/>
        <v>Padronização</v>
      </c>
      <c r="E681" s="3">
        <f t="shared" ca="1" si="54"/>
        <v>6</v>
      </c>
    </row>
    <row r="682" spans="1:5" x14ac:dyDescent="0.3">
      <c r="A682" s="4">
        <f t="shared" ca="1" si="50"/>
        <v>43684</v>
      </c>
      <c r="B682" s="5" t="str">
        <f t="shared" ca="1" si="51"/>
        <v>Joaquina</v>
      </c>
      <c r="C682" s="7">
        <f t="shared" ca="1" si="52"/>
        <v>4106</v>
      </c>
      <c r="D682" s="5" t="str">
        <f t="shared" ca="1" si="53"/>
        <v>Padronização</v>
      </c>
      <c r="E682" s="3">
        <f t="shared" ca="1" si="54"/>
        <v>8</v>
      </c>
    </row>
    <row r="683" spans="1:5" x14ac:dyDescent="0.3">
      <c r="A683" s="4">
        <f t="shared" ca="1" si="50"/>
        <v>43552</v>
      </c>
      <c r="B683" s="5" t="str">
        <f t="shared" ca="1" si="51"/>
        <v>Joaquina</v>
      </c>
      <c r="C683" s="7">
        <f t="shared" ca="1" si="52"/>
        <v>1207</v>
      </c>
      <c r="D683" s="5" t="str">
        <f t="shared" ca="1" si="53"/>
        <v>5S</v>
      </c>
      <c r="E683" s="3">
        <f t="shared" ca="1" si="54"/>
        <v>3</v>
      </c>
    </row>
    <row r="684" spans="1:5" x14ac:dyDescent="0.3">
      <c r="A684" s="4">
        <f t="shared" ca="1" si="50"/>
        <v>43705</v>
      </c>
      <c r="B684" s="5" t="str">
        <f t="shared" ca="1" si="51"/>
        <v>João</v>
      </c>
      <c r="C684" s="7">
        <f t="shared" ca="1" si="52"/>
        <v>2109</v>
      </c>
      <c r="D684" s="5" t="str">
        <f t="shared" ca="1" si="53"/>
        <v>5S</v>
      </c>
      <c r="E684" s="3">
        <f t="shared" ca="1" si="54"/>
        <v>8</v>
      </c>
    </row>
    <row r="685" spans="1:5" x14ac:dyDescent="0.3">
      <c r="A685" s="4">
        <f t="shared" ca="1" si="50"/>
        <v>43817</v>
      </c>
      <c r="B685" s="5" t="str">
        <f t="shared" ca="1" si="51"/>
        <v>Marcelo</v>
      </c>
      <c r="C685" s="7">
        <f t="shared" ca="1" si="52"/>
        <v>3859</v>
      </c>
      <c r="D685" s="5" t="str">
        <f t="shared" ca="1" si="53"/>
        <v>Consultoria</v>
      </c>
      <c r="E685" s="3">
        <f t="shared" ca="1" si="54"/>
        <v>12</v>
      </c>
    </row>
    <row r="686" spans="1:5" x14ac:dyDescent="0.3">
      <c r="A686" s="4">
        <f t="shared" ca="1" si="50"/>
        <v>43515</v>
      </c>
      <c r="B686" s="5" t="str">
        <f t="shared" ca="1" si="51"/>
        <v>Joaquina</v>
      </c>
      <c r="C686" s="7">
        <f t="shared" ca="1" si="52"/>
        <v>1502</v>
      </c>
      <c r="D686" s="5" t="str">
        <f t="shared" ca="1" si="53"/>
        <v>Finanças</v>
      </c>
      <c r="E686" s="3">
        <f t="shared" ca="1" si="54"/>
        <v>2</v>
      </c>
    </row>
    <row r="687" spans="1:5" x14ac:dyDescent="0.3">
      <c r="A687" s="4">
        <f t="shared" ca="1" si="50"/>
        <v>43753</v>
      </c>
      <c r="B687" s="5" t="str">
        <f t="shared" ca="1" si="51"/>
        <v>Joaquina</v>
      </c>
      <c r="C687" s="7">
        <f t="shared" ca="1" si="52"/>
        <v>1385</v>
      </c>
      <c r="D687" s="5" t="str">
        <f t="shared" ca="1" si="53"/>
        <v>Consultoria</v>
      </c>
      <c r="E687" s="3">
        <f t="shared" ca="1" si="54"/>
        <v>10</v>
      </c>
    </row>
    <row r="688" spans="1:5" x14ac:dyDescent="0.3">
      <c r="A688" s="4">
        <f t="shared" ca="1" si="50"/>
        <v>43597</v>
      </c>
      <c r="B688" s="5" t="str">
        <f t="shared" ca="1" si="51"/>
        <v>Marcelo</v>
      </c>
      <c r="C688" s="7">
        <f t="shared" ca="1" si="52"/>
        <v>3404</v>
      </c>
      <c r="D688" s="5" t="str">
        <f t="shared" ca="1" si="53"/>
        <v>Padronização</v>
      </c>
      <c r="E688" s="3">
        <f t="shared" ca="1" si="54"/>
        <v>5</v>
      </c>
    </row>
    <row r="689" spans="1:5" x14ac:dyDescent="0.3">
      <c r="A689" s="4">
        <f t="shared" ca="1" si="50"/>
        <v>43791</v>
      </c>
      <c r="B689" s="5" t="str">
        <f t="shared" ca="1" si="51"/>
        <v>Joaquina</v>
      </c>
      <c r="C689" s="7">
        <f t="shared" ca="1" si="52"/>
        <v>2792</v>
      </c>
      <c r="D689" s="5" t="str">
        <f t="shared" ca="1" si="53"/>
        <v>Consultoria</v>
      </c>
      <c r="E689" s="3">
        <f t="shared" ca="1" si="54"/>
        <v>11</v>
      </c>
    </row>
    <row r="690" spans="1:5" x14ac:dyDescent="0.3">
      <c r="A690" s="4">
        <f t="shared" ca="1" si="50"/>
        <v>43774</v>
      </c>
      <c r="B690" s="5" t="str">
        <f t="shared" ca="1" si="51"/>
        <v>Joaquina</v>
      </c>
      <c r="C690" s="7">
        <f t="shared" ca="1" si="52"/>
        <v>2877</v>
      </c>
      <c r="D690" s="5" t="str">
        <f t="shared" ca="1" si="53"/>
        <v>Finanças</v>
      </c>
      <c r="E690" s="3">
        <f t="shared" ca="1" si="54"/>
        <v>11</v>
      </c>
    </row>
    <row r="691" spans="1:5" x14ac:dyDescent="0.3">
      <c r="A691" s="4">
        <f t="shared" ca="1" si="50"/>
        <v>43637</v>
      </c>
      <c r="B691" s="5" t="str">
        <f t="shared" ca="1" si="51"/>
        <v>Maria</v>
      </c>
      <c r="C691" s="7">
        <f t="shared" ca="1" si="52"/>
        <v>3045</v>
      </c>
      <c r="D691" s="5" t="str">
        <f t="shared" ca="1" si="53"/>
        <v>Padronização</v>
      </c>
      <c r="E691" s="3">
        <f t="shared" ca="1" si="54"/>
        <v>6</v>
      </c>
    </row>
    <row r="692" spans="1:5" x14ac:dyDescent="0.3">
      <c r="A692" s="4">
        <f t="shared" ca="1" si="50"/>
        <v>43547</v>
      </c>
      <c r="B692" s="5" t="str">
        <f t="shared" ca="1" si="51"/>
        <v>Maria</v>
      </c>
      <c r="C692" s="7">
        <f t="shared" ca="1" si="52"/>
        <v>1134</v>
      </c>
      <c r="D692" s="5" t="str">
        <f t="shared" ca="1" si="53"/>
        <v>Consultoria</v>
      </c>
      <c r="E692" s="3">
        <f t="shared" ca="1" si="54"/>
        <v>3</v>
      </c>
    </row>
    <row r="693" spans="1:5" x14ac:dyDescent="0.3">
      <c r="A693" s="4">
        <f t="shared" ca="1" si="50"/>
        <v>43727</v>
      </c>
      <c r="B693" s="5" t="str">
        <f t="shared" ca="1" si="51"/>
        <v>Marcelo</v>
      </c>
      <c r="C693" s="7">
        <f t="shared" ca="1" si="52"/>
        <v>3234</v>
      </c>
      <c r="D693" s="5" t="str">
        <f t="shared" ca="1" si="53"/>
        <v>Consultoria</v>
      </c>
      <c r="E693" s="3">
        <f t="shared" ca="1" si="54"/>
        <v>9</v>
      </c>
    </row>
    <row r="694" spans="1:5" x14ac:dyDescent="0.3">
      <c r="A694" s="4">
        <f t="shared" ca="1" si="50"/>
        <v>43824</v>
      </c>
      <c r="B694" s="5" t="str">
        <f t="shared" ca="1" si="51"/>
        <v>Joaquina</v>
      </c>
      <c r="C694" s="7">
        <f t="shared" ca="1" si="52"/>
        <v>4311</v>
      </c>
      <c r="D694" s="5" t="str">
        <f t="shared" ca="1" si="53"/>
        <v>Consultoria</v>
      </c>
      <c r="E694" s="3">
        <f t="shared" ca="1" si="54"/>
        <v>12</v>
      </c>
    </row>
    <row r="695" spans="1:5" x14ac:dyDescent="0.3">
      <c r="A695" s="4">
        <f t="shared" ca="1" si="50"/>
        <v>43627</v>
      </c>
      <c r="B695" s="5" t="str">
        <f t="shared" ca="1" si="51"/>
        <v>Marcelo</v>
      </c>
      <c r="C695" s="7">
        <f t="shared" ca="1" si="52"/>
        <v>3341</v>
      </c>
      <c r="D695" s="5" t="str">
        <f t="shared" ca="1" si="53"/>
        <v>Finanças</v>
      </c>
      <c r="E695" s="3">
        <f t="shared" ca="1" si="54"/>
        <v>6</v>
      </c>
    </row>
    <row r="696" spans="1:5" x14ac:dyDescent="0.3">
      <c r="A696" s="4">
        <f t="shared" ca="1" si="50"/>
        <v>43612</v>
      </c>
      <c r="B696" s="5" t="str">
        <f t="shared" ca="1" si="51"/>
        <v>Marcelo</v>
      </c>
      <c r="C696" s="7">
        <f t="shared" ca="1" si="52"/>
        <v>1769</v>
      </c>
      <c r="D696" s="5" t="str">
        <f t="shared" ca="1" si="53"/>
        <v>5S</v>
      </c>
      <c r="E696" s="3">
        <f t="shared" ca="1" si="54"/>
        <v>5</v>
      </c>
    </row>
    <row r="697" spans="1:5" x14ac:dyDescent="0.3">
      <c r="A697" s="4">
        <f t="shared" ca="1" si="50"/>
        <v>43574</v>
      </c>
      <c r="B697" s="5" t="str">
        <f t="shared" ca="1" si="51"/>
        <v>Marcelo</v>
      </c>
      <c r="C697" s="7">
        <f t="shared" ca="1" si="52"/>
        <v>2321</v>
      </c>
      <c r="D697" s="5" t="str">
        <f t="shared" ca="1" si="53"/>
        <v>Finanças</v>
      </c>
      <c r="E697" s="3">
        <f t="shared" ca="1" si="54"/>
        <v>4</v>
      </c>
    </row>
    <row r="698" spans="1:5" x14ac:dyDescent="0.3">
      <c r="A698" s="4">
        <f t="shared" ca="1" si="50"/>
        <v>43805</v>
      </c>
      <c r="B698" s="5" t="str">
        <f t="shared" ca="1" si="51"/>
        <v>Joaquina</v>
      </c>
      <c r="C698" s="7">
        <f t="shared" ca="1" si="52"/>
        <v>3753</v>
      </c>
      <c r="D698" s="5" t="str">
        <f t="shared" ca="1" si="53"/>
        <v>5S</v>
      </c>
      <c r="E698" s="3">
        <f t="shared" ca="1" si="54"/>
        <v>12</v>
      </c>
    </row>
    <row r="699" spans="1:5" x14ac:dyDescent="0.3">
      <c r="A699" s="4">
        <f t="shared" ca="1" si="50"/>
        <v>43790</v>
      </c>
      <c r="B699" s="5" t="str">
        <f t="shared" ca="1" si="51"/>
        <v>João</v>
      </c>
      <c r="C699" s="7">
        <f t="shared" ca="1" si="52"/>
        <v>3846</v>
      </c>
      <c r="D699" s="5" t="str">
        <f t="shared" ca="1" si="53"/>
        <v>Finanças</v>
      </c>
      <c r="E699" s="3">
        <f t="shared" ca="1" si="54"/>
        <v>11</v>
      </c>
    </row>
    <row r="700" spans="1:5" x14ac:dyDescent="0.3">
      <c r="A700" s="4">
        <f t="shared" ca="1" si="50"/>
        <v>43706</v>
      </c>
      <c r="B700" s="5" t="str">
        <f t="shared" ca="1" si="51"/>
        <v>Maria</v>
      </c>
      <c r="C700" s="7">
        <f t="shared" ca="1" si="52"/>
        <v>2796</v>
      </c>
      <c r="D700" s="5" t="str">
        <f t="shared" ca="1" si="53"/>
        <v>Padronização</v>
      </c>
      <c r="E700" s="3">
        <f t="shared" ca="1" si="54"/>
        <v>8</v>
      </c>
    </row>
    <row r="701" spans="1:5" x14ac:dyDescent="0.3">
      <c r="A701" s="4">
        <f t="shared" ca="1" si="50"/>
        <v>43472</v>
      </c>
      <c r="B701" s="5" t="str">
        <f t="shared" ca="1" si="51"/>
        <v>João</v>
      </c>
      <c r="C701" s="7">
        <f t="shared" ca="1" si="52"/>
        <v>4671</v>
      </c>
      <c r="D701" s="5" t="str">
        <f t="shared" ca="1" si="53"/>
        <v>Finanças</v>
      </c>
      <c r="E701" s="3">
        <f t="shared" ca="1" si="54"/>
        <v>1</v>
      </c>
    </row>
    <row r="702" spans="1:5" x14ac:dyDescent="0.3">
      <c r="A702" s="4">
        <f t="shared" ca="1" si="50"/>
        <v>43483</v>
      </c>
      <c r="B702" s="5" t="str">
        <f t="shared" ca="1" si="51"/>
        <v>Marcelo</v>
      </c>
      <c r="C702" s="7">
        <f t="shared" ca="1" si="52"/>
        <v>1701</v>
      </c>
      <c r="D702" s="5" t="str">
        <f t="shared" ca="1" si="53"/>
        <v>Finanças</v>
      </c>
      <c r="E702" s="3">
        <f t="shared" ca="1" si="54"/>
        <v>1</v>
      </c>
    </row>
    <row r="703" spans="1:5" x14ac:dyDescent="0.3">
      <c r="A703" s="4">
        <f t="shared" ca="1" si="50"/>
        <v>43653</v>
      </c>
      <c r="B703" s="5" t="str">
        <f t="shared" ca="1" si="51"/>
        <v>Marcelo</v>
      </c>
      <c r="C703" s="7">
        <f t="shared" ca="1" si="52"/>
        <v>1632</v>
      </c>
      <c r="D703" s="5" t="str">
        <f t="shared" ca="1" si="53"/>
        <v>Finanças</v>
      </c>
      <c r="E703" s="3">
        <f t="shared" ca="1" si="54"/>
        <v>7</v>
      </c>
    </row>
    <row r="704" spans="1:5" x14ac:dyDescent="0.3">
      <c r="A704" s="4">
        <f t="shared" ca="1" si="50"/>
        <v>43814</v>
      </c>
      <c r="B704" s="5" t="str">
        <f t="shared" ca="1" si="51"/>
        <v>João</v>
      </c>
      <c r="C704" s="7">
        <f t="shared" ca="1" si="52"/>
        <v>2911</v>
      </c>
      <c r="D704" s="5" t="str">
        <f t="shared" ca="1" si="53"/>
        <v>5S</v>
      </c>
      <c r="E704" s="3">
        <f t="shared" ca="1" si="54"/>
        <v>12</v>
      </c>
    </row>
    <row r="705" spans="1:5" x14ac:dyDescent="0.3">
      <c r="A705" s="4">
        <f t="shared" ca="1" si="50"/>
        <v>43734</v>
      </c>
      <c r="B705" s="5" t="str">
        <f t="shared" ca="1" si="51"/>
        <v>João</v>
      </c>
      <c r="C705" s="7">
        <f t="shared" ca="1" si="52"/>
        <v>4046</v>
      </c>
      <c r="D705" s="5" t="str">
        <f t="shared" ca="1" si="53"/>
        <v>Finanças</v>
      </c>
      <c r="E705" s="3">
        <f t="shared" ca="1" si="54"/>
        <v>9</v>
      </c>
    </row>
    <row r="706" spans="1:5" x14ac:dyDescent="0.3">
      <c r="A706" s="4">
        <f t="shared" ca="1" si="50"/>
        <v>43588</v>
      </c>
      <c r="B706" s="5" t="str">
        <f t="shared" ca="1" si="51"/>
        <v>Marcelo</v>
      </c>
      <c r="C706" s="7">
        <f t="shared" ca="1" si="52"/>
        <v>2824</v>
      </c>
      <c r="D706" s="5" t="str">
        <f t="shared" ca="1" si="53"/>
        <v>5S</v>
      </c>
      <c r="E706" s="3">
        <f t="shared" ca="1" si="54"/>
        <v>5</v>
      </c>
    </row>
    <row r="707" spans="1:5" x14ac:dyDescent="0.3">
      <c r="A707" s="4">
        <f t="shared" ref="A707:A770" ca="1" si="55">RANDBETWEEN($F$1,$F$2)</f>
        <v>43786</v>
      </c>
      <c r="B707" s="5" t="str">
        <f t="shared" ref="B707:B770" ca="1" si="56">VLOOKUP(RANDBETWEEN(1,4),$I$1:$J$4,2,FALSE)</f>
        <v>Marcelo</v>
      </c>
      <c r="C707" s="7">
        <f t="shared" ref="C707:C770" ca="1" si="57">RANDBETWEEN(1000,5000)</f>
        <v>1606</v>
      </c>
      <c r="D707" s="5" t="str">
        <f t="shared" ref="D707:D770" ca="1" si="58">VLOOKUP(RANDBETWEEN($I$6,$I$9),$I$6:$J$9,2,FALSE)</f>
        <v>5S</v>
      </c>
      <c r="E707" s="3">
        <f t="shared" ref="E707:E770" ca="1" si="59">MONTH(A707)</f>
        <v>11</v>
      </c>
    </row>
    <row r="708" spans="1:5" x14ac:dyDescent="0.3">
      <c r="A708" s="4">
        <f t="shared" ca="1" si="55"/>
        <v>43769</v>
      </c>
      <c r="B708" s="5" t="str">
        <f t="shared" ca="1" si="56"/>
        <v>Joaquina</v>
      </c>
      <c r="C708" s="7">
        <f t="shared" ca="1" si="57"/>
        <v>2508</v>
      </c>
      <c r="D708" s="5" t="str">
        <f t="shared" ca="1" si="58"/>
        <v>Consultoria</v>
      </c>
      <c r="E708" s="3">
        <f t="shared" ca="1" si="59"/>
        <v>10</v>
      </c>
    </row>
    <row r="709" spans="1:5" x14ac:dyDescent="0.3">
      <c r="A709" s="4">
        <f t="shared" ca="1" si="55"/>
        <v>43719</v>
      </c>
      <c r="B709" s="5" t="str">
        <f t="shared" ca="1" si="56"/>
        <v>Maria</v>
      </c>
      <c r="C709" s="7">
        <f t="shared" ca="1" si="57"/>
        <v>3402</v>
      </c>
      <c r="D709" s="5" t="str">
        <f t="shared" ca="1" si="58"/>
        <v>5S</v>
      </c>
      <c r="E709" s="3">
        <f t="shared" ca="1" si="59"/>
        <v>9</v>
      </c>
    </row>
    <row r="710" spans="1:5" x14ac:dyDescent="0.3">
      <c r="A710" s="4">
        <f t="shared" ca="1" si="55"/>
        <v>43520</v>
      </c>
      <c r="B710" s="5" t="str">
        <f t="shared" ca="1" si="56"/>
        <v>Marcelo</v>
      </c>
      <c r="C710" s="7">
        <f t="shared" ca="1" si="57"/>
        <v>4318</v>
      </c>
      <c r="D710" s="5" t="str">
        <f t="shared" ca="1" si="58"/>
        <v>Finanças</v>
      </c>
      <c r="E710" s="3">
        <f t="shared" ca="1" si="59"/>
        <v>2</v>
      </c>
    </row>
    <row r="711" spans="1:5" x14ac:dyDescent="0.3">
      <c r="A711" s="4">
        <f t="shared" ca="1" si="55"/>
        <v>43818</v>
      </c>
      <c r="B711" s="5" t="str">
        <f t="shared" ca="1" si="56"/>
        <v>Marcelo</v>
      </c>
      <c r="C711" s="7">
        <f t="shared" ca="1" si="57"/>
        <v>4384</v>
      </c>
      <c r="D711" s="5" t="str">
        <f t="shared" ca="1" si="58"/>
        <v>Finanças</v>
      </c>
      <c r="E711" s="3">
        <f t="shared" ca="1" si="59"/>
        <v>12</v>
      </c>
    </row>
    <row r="712" spans="1:5" x14ac:dyDescent="0.3">
      <c r="A712" s="4">
        <f t="shared" ca="1" si="55"/>
        <v>43774</v>
      </c>
      <c r="B712" s="5" t="str">
        <f t="shared" ca="1" si="56"/>
        <v>Maria</v>
      </c>
      <c r="C712" s="7">
        <f t="shared" ca="1" si="57"/>
        <v>2737</v>
      </c>
      <c r="D712" s="5" t="str">
        <f t="shared" ca="1" si="58"/>
        <v>Consultoria</v>
      </c>
      <c r="E712" s="3">
        <f t="shared" ca="1" si="59"/>
        <v>11</v>
      </c>
    </row>
    <row r="713" spans="1:5" x14ac:dyDescent="0.3">
      <c r="A713" s="4">
        <f t="shared" ca="1" si="55"/>
        <v>43749</v>
      </c>
      <c r="B713" s="5" t="str">
        <f t="shared" ca="1" si="56"/>
        <v>Maria</v>
      </c>
      <c r="C713" s="7">
        <f t="shared" ca="1" si="57"/>
        <v>3045</v>
      </c>
      <c r="D713" s="5" t="str">
        <f t="shared" ca="1" si="58"/>
        <v>Finanças</v>
      </c>
      <c r="E713" s="3">
        <f t="shared" ca="1" si="59"/>
        <v>10</v>
      </c>
    </row>
    <row r="714" spans="1:5" x14ac:dyDescent="0.3">
      <c r="A714" s="4">
        <f t="shared" ca="1" si="55"/>
        <v>43692</v>
      </c>
      <c r="B714" s="5" t="str">
        <f t="shared" ca="1" si="56"/>
        <v>Maria</v>
      </c>
      <c r="C714" s="7">
        <f t="shared" ca="1" si="57"/>
        <v>1790</v>
      </c>
      <c r="D714" s="5" t="str">
        <f t="shared" ca="1" si="58"/>
        <v>Finanças</v>
      </c>
      <c r="E714" s="3">
        <f t="shared" ca="1" si="59"/>
        <v>8</v>
      </c>
    </row>
    <row r="715" spans="1:5" x14ac:dyDescent="0.3">
      <c r="A715" s="4">
        <f t="shared" ca="1" si="55"/>
        <v>43620</v>
      </c>
      <c r="B715" s="5" t="str">
        <f t="shared" ca="1" si="56"/>
        <v>Joaquina</v>
      </c>
      <c r="C715" s="7">
        <f t="shared" ca="1" si="57"/>
        <v>4850</v>
      </c>
      <c r="D715" s="5" t="str">
        <f t="shared" ca="1" si="58"/>
        <v>Padronização</v>
      </c>
      <c r="E715" s="3">
        <f t="shared" ca="1" si="59"/>
        <v>6</v>
      </c>
    </row>
    <row r="716" spans="1:5" x14ac:dyDescent="0.3">
      <c r="A716" s="4">
        <f t="shared" ca="1" si="55"/>
        <v>43498</v>
      </c>
      <c r="B716" s="5" t="str">
        <f t="shared" ca="1" si="56"/>
        <v>Marcelo</v>
      </c>
      <c r="C716" s="7">
        <f t="shared" ca="1" si="57"/>
        <v>3949</v>
      </c>
      <c r="D716" s="5" t="str">
        <f t="shared" ca="1" si="58"/>
        <v>Padronização</v>
      </c>
      <c r="E716" s="3">
        <f t="shared" ca="1" si="59"/>
        <v>2</v>
      </c>
    </row>
    <row r="717" spans="1:5" x14ac:dyDescent="0.3">
      <c r="A717" s="4">
        <f t="shared" ca="1" si="55"/>
        <v>43568</v>
      </c>
      <c r="B717" s="5" t="str">
        <f t="shared" ca="1" si="56"/>
        <v>Joaquina</v>
      </c>
      <c r="C717" s="7">
        <f t="shared" ca="1" si="57"/>
        <v>3833</v>
      </c>
      <c r="D717" s="5" t="str">
        <f t="shared" ca="1" si="58"/>
        <v>Finanças</v>
      </c>
      <c r="E717" s="3">
        <f t="shared" ca="1" si="59"/>
        <v>4</v>
      </c>
    </row>
    <row r="718" spans="1:5" x14ac:dyDescent="0.3">
      <c r="A718" s="4">
        <f t="shared" ca="1" si="55"/>
        <v>43482</v>
      </c>
      <c r="B718" s="5" t="str">
        <f t="shared" ca="1" si="56"/>
        <v>Maria</v>
      </c>
      <c r="C718" s="7">
        <f t="shared" ca="1" si="57"/>
        <v>2069</v>
      </c>
      <c r="D718" s="5" t="str">
        <f t="shared" ca="1" si="58"/>
        <v>Padronização</v>
      </c>
      <c r="E718" s="3">
        <f t="shared" ca="1" si="59"/>
        <v>1</v>
      </c>
    </row>
    <row r="719" spans="1:5" x14ac:dyDescent="0.3">
      <c r="A719" s="4">
        <f t="shared" ca="1" si="55"/>
        <v>43793</v>
      </c>
      <c r="B719" s="5" t="str">
        <f t="shared" ca="1" si="56"/>
        <v>Maria</v>
      </c>
      <c r="C719" s="7">
        <f t="shared" ca="1" si="57"/>
        <v>1660</v>
      </c>
      <c r="D719" s="5" t="str">
        <f t="shared" ca="1" si="58"/>
        <v>Finanças</v>
      </c>
      <c r="E719" s="3">
        <f t="shared" ca="1" si="59"/>
        <v>11</v>
      </c>
    </row>
    <row r="720" spans="1:5" x14ac:dyDescent="0.3">
      <c r="A720" s="4">
        <f t="shared" ca="1" si="55"/>
        <v>43531</v>
      </c>
      <c r="B720" s="5" t="str">
        <f t="shared" ca="1" si="56"/>
        <v>Joaquina</v>
      </c>
      <c r="C720" s="7">
        <f t="shared" ca="1" si="57"/>
        <v>2518</v>
      </c>
      <c r="D720" s="5" t="str">
        <f t="shared" ca="1" si="58"/>
        <v>Finanças</v>
      </c>
      <c r="E720" s="3">
        <f t="shared" ca="1" si="59"/>
        <v>3</v>
      </c>
    </row>
    <row r="721" spans="1:5" x14ac:dyDescent="0.3">
      <c r="A721" s="4">
        <f t="shared" ca="1" si="55"/>
        <v>43475</v>
      </c>
      <c r="B721" s="5" t="str">
        <f t="shared" ca="1" si="56"/>
        <v>João</v>
      </c>
      <c r="C721" s="7">
        <f t="shared" ca="1" si="57"/>
        <v>3483</v>
      </c>
      <c r="D721" s="5" t="str">
        <f t="shared" ca="1" si="58"/>
        <v>Padronização</v>
      </c>
      <c r="E721" s="3">
        <f t="shared" ca="1" si="59"/>
        <v>1</v>
      </c>
    </row>
    <row r="722" spans="1:5" x14ac:dyDescent="0.3">
      <c r="A722" s="4">
        <f t="shared" ca="1" si="55"/>
        <v>43483</v>
      </c>
      <c r="B722" s="5" t="str">
        <f t="shared" ca="1" si="56"/>
        <v>Maria</v>
      </c>
      <c r="C722" s="7">
        <f t="shared" ca="1" si="57"/>
        <v>2978</v>
      </c>
      <c r="D722" s="5" t="str">
        <f t="shared" ca="1" si="58"/>
        <v>Consultoria</v>
      </c>
      <c r="E722" s="3">
        <f t="shared" ca="1" si="59"/>
        <v>1</v>
      </c>
    </row>
    <row r="723" spans="1:5" x14ac:dyDescent="0.3">
      <c r="A723" s="4">
        <f t="shared" ca="1" si="55"/>
        <v>43571</v>
      </c>
      <c r="B723" s="5" t="str">
        <f t="shared" ca="1" si="56"/>
        <v>João</v>
      </c>
      <c r="C723" s="7">
        <f t="shared" ca="1" si="57"/>
        <v>3938</v>
      </c>
      <c r="D723" s="5" t="str">
        <f t="shared" ca="1" si="58"/>
        <v>Finanças</v>
      </c>
      <c r="E723" s="3">
        <f t="shared" ca="1" si="59"/>
        <v>4</v>
      </c>
    </row>
    <row r="724" spans="1:5" x14ac:dyDescent="0.3">
      <c r="A724" s="4">
        <f t="shared" ca="1" si="55"/>
        <v>43564</v>
      </c>
      <c r="B724" s="5" t="str">
        <f t="shared" ca="1" si="56"/>
        <v>João</v>
      </c>
      <c r="C724" s="7">
        <f t="shared" ca="1" si="57"/>
        <v>3992</v>
      </c>
      <c r="D724" s="5" t="str">
        <f t="shared" ca="1" si="58"/>
        <v>5S</v>
      </c>
      <c r="E724" s="3">
        <f t="shared" ca="1" si="59"/>
        <v>4</v>
      </c>
    </row>
    <row r="725" spans="1:5" x14ac:dyDescent="0.3">
      <c r="A725" s="4">
        <f t="shared" ca="1" si="55"/>
        <v>43468</v>
      </c>
      <c r="B725" s="5" t="str">
        <f t="shared" ca="1" si="56"/>
        <v>Marcelo</v>
      </c>
      <c r="C725" s="7">
        <f t="shared" ca="1" si="57"/>
        <v>3199</v>
      </c>
      <c r="D725" s="5" t="str">
        <f t="shared" ca="1" si="58"/>
        <v>Padronização</v>
      </c>
      <c r="E725" s="3">
        <f t="shared" ca="1" si="59"/>
        <v>1</v>
      </c>
    </row>
    <row r="726" spans="1:5" x14ac:dyDescent="0.3">
      <c r="A726" s="4">
        <f t="shared" ca="1" si="55"/>
        <v>43800</v>
      </c>
      <c r="B726" s="5" t="str">
        <f t="shared" ca="1" si="56"/>
        <v>Joaquina</v>
      </c>
      <c r="C726" s="7">
        <f t="shared" ca="1" si="57"/>
        <v>4508</v>
      </c>
      <c r="D726" s="5" t="str">
        <f t="shared" ca="1" si="58"/>
        <v>Finanças</v>
      </c>
      <c r="E726" s="3">
        <f t="shared" ca="1" si="59"/>
        <v>12</v>
      </c>
    </row>
    <row r="727" spans="1:5" x14ac:dyDescent="0.3">
      <c r="A727" s="4">
        <f t="shared" ca="1" si="55"/>
        <v>43670</v>
      </c>
      <c r="B727" s="5" t="str">
        <f t="shared" ca="1" si="56"/>
        <v>João</v>
      </c>
      <c r="C727" s="7">
        <f t="shared" ca="1" si="57"/>
        <v>1183</v>
      </c>
      <c r="D727" s="5" t="str">
        <f t="shared" ca="1" si="58"/>
        <v>5S</v>
      </c>
      <c r="E727" s="3">
        <f t="shared" ca="1" si="59"/>
        <v>7</v>
      </c>
    </row>
    <row r="728" spans="1:5" x14ac:dyDescent="0.3">
      <c r="A728" s="4">
        <f t="shared" ca="1" si="55"/>
        <v>43615</v>
      </c>
      <c r="B728" s="5" t="str">
        <f t="shared" ca="1" si="56"/>
        <v>Maria</v>
      </c>
      <c r="C728" s="7">
        <f t="shared" ca="1" si="57"/>
        <v>1017</v>
      </c>
      <c r="D728" s="5" t="str">
        <f t="shared" ca="1" si="58"/>
        <v>5S</v>
      </c>
      <c r="E728" s="3">
        <f t="shared" ca="1" si="59"/>
        <v>5</v>
      </c>
    </row>
    <row r="729" spans="1:5" x14ac:dyDescent="0.3">
      <c r="A729" s="4">
        <f t="shared" ca="1" si="55"/>
        <v>43545</v>
      </c>
      <c r="B729" s="5" t="str">
        <f t="shared" ca="1" si="56"/>
        <v>Joaquina</v>
      </c>
      <c r="C729" s="7">
        <f t="shared" ca="1" si="57"/>
        <v>3831</v>
      </c>
      <c r="D729" s="5" t="str">
        <f t="shared" ca="1" si="58"/>
        <v>Consultoria</v>
      </c>
      <c r="E729" s="3">
        <f t="shared" ca="1" si="59"/>
        <v>3</v>
      </c>
    </row>
    <row r="730" spans="1:5" x14ac:dyDescent="0.3">
      <c r="A730" s="4">
        <f t="shared" ca="1" si="55"/>
        <v>43660</v>
      </c>
      <c r="B730" s="5" t="str">
        <f t="shared" ca="1" si="56"/>
        <v>Marcelo</v>
      </c>
      <c r="C730" s="7">
        <f t="shared" ca="1" si="57"/>
        <v>4125</v>
      </c>
      <c r="D730" s="5" t="str">
        <f t="shared" ca="1" si="58"/>
        <v>Padronização</v>
      </c>
      <c r="E730" s="3">
        <f t="shared" ca="1" si="59"/>
        <v>7</v>
      </c>
    </row>
    <row r="731" spans="1:5" x14ac:dyDescent="0.3">
      <c r="A731" s="4">
        <f t="shared" ca="1" si="55"/>
        <v>43567</v>
      </c>
      <c r="B731" s="5" t="str">
        <f t="shared" ca="1" si="56"/>
        <v>Marcelo</v>
      </c>
      <c r="C731" s="7">
        <f t="shared" ca="1" si="57"/>
        <v>1947</v>
      </c>
      <c r="D731" s="5" t="str">
        <f t="shared" ca="1" si="58"/>
        <v>Consultoria</v>
      </c>
      <c r="E731" s="3">
        <f t="shared" ca="1" si="59"/>
        <v>4</v>
      </c>
    </row>
    <row r="732" spans="1:5" x14ac:dyDescent="0.3">
      <c r="A732" s="4">
        <f t="shared" ca="1" si="55"/>
        <v>43695</v>
      </c>
      <c r="B732" s="5" t="str">
        <f t="shared" ca="1" si="56"/>
        <v>Joaquina</v>
      </c>
      <c r="C732" s="7">
        <f t="shared" ca="1" si="57"/>
        <v>1095</v>
      </c>
      <c r="D732" s="5" t="str">
        <f t="shared" ca="1" si="58"/>
        <v>5S</v>
      </c>
      <c r="E732" s="3">
        <f t="shared" ca="1" si="59"/>
        <v>8</v>
      </c>
    </row>
    <row r="733" spans="1:5" x14ac:dyDescent="0.3">
      <c r="A733" s="4">
        <f t="shared" ca="1" si="55"/>
        <v>43468</v>
      </c>
      <c r="B733" s="5" t="str">
        <f t="shared" ca="1" si="56"/>
        <v>Marcelo</v>
      </c>
      <c r="C733" s="7">
        <f t="shared" ca="1" si="57"/>
        <v>1020</v>
      </c>
      <c r="D733" s="5" t="str">
        <f t="shared" ca="1" si="58"/>
        <v>Consultoria</v>
      </c>
      <c r="E733" s="3">
        <f t="shared" ca="1" si="59"/>
        <v>1</v>
      </c>
    </row>
    <row r="734" spans="1:5" x14ac:dyDescent="0.3">
      <c r="A734" s="4">
        <f t="shared" ca="1" si="55"/>
        <v>43539</v>
      </c>
      <c r="B734" s="5" t="str">
        <f t="shared" ca="1" si="56"/>
        <v>Maria</v>
      </c>
      <c r="C734" s="7">
        <f t="shared" ca="1" si="57"/>
        <v>2701</v>
      </c>
      <c r="D734" s="5" t="str">
        <f t="shared" ca="1" si="58"/>
        <v>5S</v>
      </c>
      <c r="E734" s="3">
        <f t="shared" ca="1" si="59"/>
        <v>3</v>
      </c>
    </row>
    <row r="735" spans="1:5" x14ac:dyDescent="0.3">
      <c r="A735" s="4">
        <f t="shared" ca="1" si="55"/>
        <v>43691</v>
      </c>
      <c r="B735" s="5" t="str">
        <f t="shared" ca="1" si="56"/>
        <v>João</v>
      </c>
      <c r="C735" s="7">
        <f t="shared" ca="1" si="57"/>
        <v>2729</v>
      </c>
      <c r="D735" s="5" t="str">
        <f t="shared" ca="1" si="58"/>
        <v>5S</v>
      </c>
      <c r="E735" s="3">
        <f t="shared" ca="1" si="59"/>
        <v>8</v>
      </c>
    </row>
    <row r="736" spans="1:5" x14ac:dyDescent="0.3">
      <c r="A736" s="4">
        <f t="shared" ca="1" si="55"/>
        <v>43711</v>
      </c>
      <c r="B736" s="5" t="str">
        <f t="shared" ca="1" si="56"/>
        <v>João</v>
      </c>
      <c r="C736" s="7">
        <f t="shared" ca="1" si="57"/>
        <v>1241</v>
      </c>
      <c r="D736" s="5" t="str">
        <f t="shared" ca="1" si="58"/>
        <v>Consultoria</v>
      </c>
      <c r="E736" s="3">
        <f t="shared" ca="1" si="59"/>
        <v>9</v>
      </c>
    </row>
    <row r="737" spans="1:5" x14ac:dyDescent="0.3">
      <c r="A737" s="4">
        <f t="shared" ca="1" si="55"/>
        <v>43662</v>
      </c>
      <c r="B737" s="5" t="str">
        <f t="shared" ca="1" si="56"/>
        <v>Joaquina</v>
      </c>
      <c r="C737" s="7">
        <f t="shared" ca="1" si="57"/>
        <v>1990</v>
      </c>
      <c r="D737" s="5" t="str">
        <f t="shared" ca="1" si="58"/>
        <v>5S</v>
      </c>
      <c r="E737" s="3">
        <f t="shared" ca="1" si="59"/>
        <v>7</v>
      </c>
    </row>
    <row r="738" spans="1:5" x14ac:dyDescent="0.3">
      <c r="A738" s="4">
        <f t="shared" ca="1" si="55"/>
        <v>43744</v>
      </c>
      <c r="B738" s="5" t="str">
        <f t="shared" ca="1" si="56"/>
        <v>Joaquina</v>
      </c>
      <c r="C738" s="7">
        <f t="shared" ca="1" si="57"/>
        <v>2161</v>
      </c>
      <c r="D738" s="5" t="str">
        <f t="shared" ca="1" si="58"/>
        <v>5S</v>
      </c>
      <c r="E738" s="3">
        <f t="shared" ca="1" si="59"/>
        <v>10</v>
      </c>
    </row>
    <row r="739" spans="1:5" x14ac:dyDescent="0.3">
      <c r="A739" s="4">
        <f t="shared" ca="1" si="55"/>
        <v>43764</v>
      </c>
      <c r="B739" s="5" t="str">
        <f t="shared" ca="1" si="56"/>
        <v>Maria</v>
      </c>
      <c r="C739" s="7">
        <f t="shared" ca="1" si="57"/>
        <v>3373</v>
      </c>
      <c r="D739" s="5" t="str">
        <f t="shared" ca="1" si="58"/>
        <v>Consultoria</v>
      </c>
      <c r="E739" s="3">
        <f t="shared" ca="1" si="59"/>
        <v>10</v>
      </c>
    </row>
    <row r="740" spans="1:5" x14ac:dyDescent="0.3">
      <c r="A740" s="4">
        <f t="shared" ca="1" si="55"/>
        <v>43490</v>
      </c>
      <c r="B740" s="5" t="str">
        <f t="shared" ca="1" si="56"/>
        <v>Maria</v>
      </c>
      <c r="C740" s="7">
        <f t="shared" ca="1" si="57"/>
        <v>3665</v>
      </c>
      <c r="D740" s="5" t="str">
        <f t="shared" ca="1" si="58"/>
        <v>Finanças</v>
      </c>
      <c r="E740" s="3">
        <f t="shared" ca="1" si="59"/>
        <v>1</v>
      </c>
    </row>
    <row r="741" spans="1:5" x14ac:dyDescent="0.3">
      <c r="A741" s="4">
        <f t="shared" ca="1" si="55"/>
        <v>43808</v>
      </c>
      <c r="B741" s="5" t="str">
        <f t="shared" ca="1" si="56"/>
        <v>Marcelo</v>
      </c>
      <c r="C741" s="7">
        <f t="shared" ca="1" si="57"/>
        <v>3330</v>
      </c>
      <c r="D741" s="5" t="str">
        <f t="shared" ca="1" si="58"/>
        <v>Finanças</v>
      </c>
      <c r="E741" s="3">
        <f t="shared" ca="1" si="59"/>
        <v>12</v>
      </c>
    </row>
    <row r="742" spans="1:5" x14ac:dyDescent="0.3">
      <c r="A742" s="4">
        <f t="shared" ca="1" si="55"/>
        <v>43819</v>
      </c>
      <c r="B742" s="5" t="str">
        <f t="shared" ca="1" si="56"/>
        <v>Joaquina</v>
      </c>
      <c r="C742" s="7">
        <f t="shared" ca="1" si="57"/>
        <v>3899</v>
      </c>
      <c r="D742" s="5" t="str">
        <f t="shared" ca="1" si="58"/>
        <v>Consultoria</v>
      </c>
      <c r="E742" s="3">
        <f t="shared" ca="1" si="59"/>
        <v>12</v>
      </c>
    </row>
    <row r="743" spans="1:5" x14ac:dyDescent="0.3">
      <c r="A743" s="4">
        <f t="shared" ca="1" si="55"/>
        <v>43768</v>
      </c>
      <c r="B743" s="5" t="str">
        <f t="shared" ca="1" si="56"/>
        <v>Maria</v>
      </c>
      <c r="C743" s="7">
        <f t="shared" ca="1" si="57"/>
        <v>2545</v>
      </c>
      <c r="D743" s="5" t="str">
        <f t="shared" ca="1" si="58"/>
        <v>Padronização</v>
      </c>
      <c r="E743" s="3">
        <f t="shared" ca="1" si="59"/>
        <v>10</v>
      </c>
    </row>
    <row r="744" spans="1:5" x14ac:dyDescent="0.3">
      <c r="A744" s="4">
        <f t="shared" ca="1" si="55"/>
        <v>43740</v>
      </c>
      <c r="B744" s="5" t="str">
        <f t="shared" ca="1" si="56"/>
        <v>Maria</v>
      </c>
      <c r="C744" s="7">
        <f t="shared" ca="1" si="57"/>
        <v>4422</v>
      </c>
      <c r="D744" s="5" t="str">
        <f t="shared" ca="1" si="58"/>
        <v>5S</v>
      </c>
      <c r="E744" s="3">
        <f t="shared" ca="1" si="59"/>
        <v>10</v>
      </c>
    </row>
    <row r="745" spans="1:5" x14ac:dyDescent="0.3">
      <c r="A745" s="4">
        <f t="shared" ca="1" si="55"/>
        <v>43591</v>
      </c>
      <c r="B745" s="5" t="str">
        <f t="shared" ca="1" si="56"/>
        <v>Maria</v>
      </c>
      <c r="C745" s="7">
        <f t="shared" ca="1" si="57"/>
        <v>4838</v>
      </c>
      <c r="D745" s="5" t="str">
        <f t="shared" ca="1" si="58"/>
        <v>Consultoria</v>
      </c>
      <c r="E745" s="3">
        <f t="shared" ca="1" si="59"/>
        <v>5</v>
      </c>
    </row>
    <row r="746" spans="1:5" x14ac:dyDescent="0.3">
      <c r="A746" s="4">
        <f t="shared" ca="1" si="55"/>
        <v>43731</v>
      </c>
      <c r="B746" s="5" t="str">
        <f t="shared" ca="1" si="56"/>
        <v>Maria</v>
      </c>
      <c r="C746" s="7">
        <f t="shared" ca="1" si="57"/>
        <v>4156</v>
      </c>
      <c r="D746" s="5" t="str">
        <f t="shared" ca="1" si="58"/>
        <v>5S</v>
      </c>
      <c r="E746" s="3">
        <f t="shared" ca="1" si="59"/>
        <v>9</v>
      </c>
    </row>
    <row r="747" spans="1:5" x14ac:dyDescent="0.3">
      <c r="A747" s="4">
        <f t="shared" ca="1" si="55"/>
        <v>43539</v>
      </c>
      <c r="B747" s="5" t="str">
        <f t="shared" ca="1" si="56"/>
        <v>Marcelo</v>
      </c>
      <c r="C747" s="7">
        <f t="shared" ca="1" si="57"/>
        <v>3728</v>
      </c>
      <c r="D747" s="5" t="str">
        <f t="shared" ca="1" si="58"/>
        <v>Padronização</v>
      </c>
      <c r="E747" s="3">
        <f t="shared" ca="1" si="59"/>
        <v>3</v>
      </c>
    </row>
    <row r="748" spans="1:5" x14ac:dyDescent="0.3">
      <c r="A748" s="4">
        <f t="shared" ca="1" si="55"/>
        <v>43818</v>
      </c>
      <c r="B748" s="5" t="str">
        <f t="shared" ca="1" si="56"/>
        <v>Joaquina</v>
      </c>
      <c r="C748" s="7">
        <f t="shared" ca="1" si="57"/>
        <v>4709</v>
      </c>
      <c r="D748" s="5" t="str">
        <f t="shared" ca="1" si="58"/>
        <v>Finanças</v>
      </c>
      <c r="E748" s="3">
        <f t="shared" ca="1" si="59"/>
        <v>12</v>
      </c>
    </row>
    <row r="749" spans="1:5" x14ac:dyDescent="0.3">
      <c r="A749" s="4">
        <f t="shared" ca="1" si="55"/>
        <v>43742</v>
      </c>
      <c r="B749" s="5" t="str">
        <f t="shared" ca="1" si="56"/>
        <v>Joaquina</v>
      </c>
      <c r="C749" s="7">
        <f t="shared" ca="1" si="57"/>
        <v>2133</v>
      </c>
      <c r="D749" s="5" t="str">
        <f t="shared" ca="1" si="58"/>
        <v>5S</v>
      </c>
      <c r="E749" s="3">
        <f t="shared" ca="1" si="59"/>
        <v>10</v>
      </c>
    </row>
    <row r="750" spans="1:5" x14ac:dyDescent="0.3">
      <c r="A750" s="4">
        <f t="shared" ca="1" si="55"/>
        <v>43516</v>
      </c>
      <c r="B750" s="5" t="str">
        <f t="shared" ca="1" si="56"/>
        <v>Marcelo</v>
      </c>
      <c r="C750" s="7">
        <f t="shared" ca="1" si="57"/>
        <v>3407</v>
      </c>
      <c r="D750" s="5" t="str">
        <f t="shared" ca="1" si="58"/>
        <v>Consultoria</v>
      </c>
      <c r="E750" s="3">
        <f t="shared" ca="1" si="59"/>
        <v>2</v>
      </c>
    </row>
    <row r="751" spans="1:5" x14ac:dyDescent="0.3">
      <c r="A751" s="4">
        <f t="shared" ca="1" si="55"/>
        <v>43516</v>
      </c>
      <c r="B751" s="5" t="str">
        <f t="shared" ca="1" si="56"/>
        <v>João</v>
      </c>
      <c r="C751" s="7">
        <f t="shared" ca="1" si="57"/>
        <v>1170</v>
      </c>
      <c r="D751" s="5" t="str">
        <f t="shared" ca="1" si="58"/>
        <v>5S</v>
      </c>
      <c r="E751" s="3">
        <f t="shared" ca="1" si="59"/>
        <v>2</v>
      </c>
    </row>
    <row r="752" spans="1:5" x14ac:dyDescent="0.3">
      <c r="A752" s="4">
        <f t="shared" ca="1" si="55"/>
        <v>43473</v>
      </c>
      <c r="B752" s="5" t="str">
        <f t="shared" ca="1" si="56"/>
        <v>Maria</v>
      </c>
      <c r="C752" s="7">
        <f t="shared" ca="1" si="57"/>
        <v>3123</v>
      </c>
      <c r="D752" s="5" t="str">
        <f t="shared" ca="1" si="58"/>
        <v>Consultoria</v>
      </c>
      <c r="E752" s="3">
        <f t="shared" ca="1" si="59"/>
        <v>1</v>
      </c>
    </row>
    <row r="753" spans="1:5" x14ac:dyDescent="0.3">
      <c r="A753" s="4">
        <f t="shared" ca="1" si="55"/>
        <v>43677</v>
      </c>
      <c r="B753" s="5" t="str">
        <f t="shared" ca="1" si="56"/>
        <v>Maria</v>
      </c>
      <c r="C753" s="7">
        <f t="shared" ca="1" si="57"/>
        <v>3666</v>
      </c>
      <c r="D753" s="5" t="str">
        <f t="shared" ca="1" si="58"/>
        <v>5S</v>
      </c>
      <c r="E753" s="3">
        <f t="shared" ca="1" si="59"/>
        <v>7</v>
      </c>
    </row>
    <row r="754" spans="1:5" x14ac:dyDescent="0.3">
      <c r="A754" s="4">
        <f t="shared" ca="1" si="55"/>
        <v>43679</v>
      </c>
      <c r="B754" s="5" t="str">
        <f t="shared" ca="1" si="56"/>
        <v>Maria</v>
      </c>
      <c r="C754" s="7">
        <f t="shared" ca="1" si="57"/>
        <v>2995</v>
      </c>
      <c r="D754" s="5" t="str">
        <f t="shared" ca="1" si="58"/>
        <v>Finanças</v>
      </c>
      <c r="E754" s="3">
        <f t="shared" ca="1" si="59"/>
        <v>8</v>
      </c>
    </row>
    <row r="755" spans="1:5" x14ac:dyDescent="0.3">
      <c r="A755" s="4">
        <f t="shared" ca="1" si="55"/>
        <v>43648</v>
      </c>
      <c r="B755" s="5" t="str">
        <f t="shared" ca="1" si="56"/>
        <v>Marcelo</v>
      </c>
      <c r="C755" s="7">
        <f t="shared" ca="1" si="57"/>
        <v>4190</v>
      </c>
      <c r="D755" s="5" t="str">
        <f t="shared" ca="1" si="58"/>
        <v>Finanças</v>
      </c>
      <c r="E755" s="3">
        <f t="shared" ca="1" si="59"/>
        <v>7</v>
      </c>
    </row>
    <row r="756" spans="1:5" x14ac:dyDescent="0.3">
      <c r="A756" s="4">
        <f t="shared" ca="1" si="55"/>
        <v>43536</v>
      </c>
      <c r="B756" s="5" t="str">
        <f t="shared" ca="1" si="56"/>
        <v>Joaquina</v>
      </c>
      <c r="C756" s="7">
        <f t="shared" ca="1" si="57"/>
        <v>4774</v>
      </c>
      <c r="D756" s="5" t="str">
        <f t="shared" ca="1" si="58"/>
        <v>Consultoria</v>
      </c>
      <c r="E756" s="3">
        <f t="shared" ca="1" si="59"/>
        <v>3</v>
      </c>
    </row>
    <row r="757" spans="1:5" x14ac:dyDescent="0.3">
      <c r="A757" s="4">
        <f t="shared" ca="1" si="55"/>
        <v>43640</v>
      </c>
      <c r="B757" s="5" t="str">
        <f t="shared" ca="1" si="56"/>
        <v>João</v>
      </c>
      <c r="C757" s="7">
        <f t="shared" ca="1" si="57"/>
        <v>3669</v>
      </c>
      <c r="D757" s="5" t="str">
        <f t="shared" ca="1" si="58"/>
        <v>Finanças</v>
      </c>
      <c r="E757" s="3">
        <f t="shared" ca="1" si="59"/>
        <v>6</v>
      </c>
    </row>
    <row r="758" spans="1:5" x14ac:dyDescent="0.3">
      <c r="A758" s="4">
        <f t="shared" ca="1" si="55"/>
        <v>43527</v>
      </c>
      <c r="B758" s="5" t="str">
        <f t="shared" ca="1" si="56"/>
        <v>Joaquina</v>
      </c>
      <c r="C758" s="7">
        <f t="shared" ca="1" si="57"/>
        <v>4237</v>
      </c>
      <c r="D758" s="5" t="str">
        <f t="shared" ca="1" si="58"/>
        <v>Consultoria</v>
      </c>
      <c r="E758" s="3">
        <f t="shared" ca="1" si="59"/>
        <v>3</v>
      </c>
    </row>
    <row r="759" spans="1:5" x14ac:dyDescent="0.3">
      <c r="A759" s="4">
        <f t="shared" ca="1" si="55"/>
        <v>43626</v>
      </c>
      <c r="B759" s="5" t="str">
        <f t="shared" ca="1" si="56"/>
        <v>João</v>
      </c>
      <c r="C759" s="7">
        <f t="shared" ca="1" si="57"/>
        <v>1850</v>
      </c>
      <c r="D759" s="5" t="str">
        <f t="shared" ca="1" si="58"/>
        <v>Padronização</v>
      </c>
      <c r="E759" s="3">
        <f t="shared" ca="1" si="59"/>
        <v>6</v>
      </c>
    </row>
    <row r="760" spans="1:5" x14ac:dyDescent="0.3">
      <c r="A760" s="4">
        <f t="shared" ca="1" si="55"/>
        <v>43474</v>
      </c>
      <c r="B760" s="5" t="str">
        <f t="shared" ca="1" si="56"/>
        <v>Maria</v>
      </c>
      <c r="C760" s="7">
        <f t="shared" ca="1" si="57"/>
        <v>1723</v>
      </c>
      <c r="D760" s="5" t="str">
        <f t="shared" ca="1" si="58"/>
        <v>Padronização</v>
      </c>
      <c r="E760" s="3">
        <f t="shared" ca="1" si="59"/>
        <v>1</v>
      </c>
    </row>
    <row r="761" spans="1:5" x14ac:dyDescent="0.3">
      <c r="A761" s="4">
        <f t="shared" ca="1" si="55"/>
        <v>43548</v>
      </c>
      <c r="B761" s="5" t="str">
        <f t="shared" ca="1" si="56"/>
        <v>Maria</v>
      </c>
      <c r="C761" s="7">
        <f t="shared" ca="1" si="57"/>
        <v>2573</v>
      </c>
      <c r="D761" s="5" t="str">
        <f t="shared" ca="1" si="58"/>
        <v>Consultoria</v>
      </c>
      <c r="E761" s="3">
        <f t="shared" ca="1" si="59"/>
        <v>3</v>
      </c>
    </row>
    <row r="762" spans="1:5" x14ac:dyDescent="0.3">
      <c r="A762" s="4">
        <f t="shared" ca="1" si="55"/>
        <v>43623</v>
      </c>
      <c r="B762" s="5" t="str">
        <f t="shared" ca="1" si="56"/>
        <v>Maria</v>
      </c>
      <c r="C762" s="7">
        <f t="shared" ca="1" si="57"/>
        <v>3110</v>
      </c>
      <c r="D762" s="5" t="str">
        <f t="shared" ca="1" si="58"/>
        <v>Padronização</v>
      </c>
      <c r="E762" s="3">
        <f t="shared" ca="1" si="59"/>
        <v>6</v>
      </c>
    </row>
    <row r="763" spans="1:5" x14ac:dyDescent="0.3">
      <c r="A763" s="4">
        <f t="shared" ca="1" si="55"/>
        <v>43615</v>
      </c>
      <c r="B763" s="5" t="str">
        <f t="shared" ca="1" si="56"/>
        <v>João</v>
      </c>
      <c r="C763" s="7">
        <f t="shared" ca="1" si="57"/>
        <v>3064</v>
      </c>
      <c r="D763" s="5" t="str">
        <f t="shared" ca="1" si="58"/>
        <v>Padronização</v>
      </c>
      <c r="E763" s="3">
        <f t="shared" ca="1" si="59"/>
        <v>5</v>
      </c>
    </row>
    <row r="764" spans="1:5" x14ac:dyDescent="0.3">
      <c r="A764" s="4">
        <f t="shared" ca="1" si="55"/>
        <v>43781</v>
      </c>
      <c r="B764" s="5" t="str">
        <f t="shared" ca="1" si="56"/>
        <v>Joaquina</v>
      </c>
      <c r="C764" s="7">
        <f t="shared" ca="1" si="57"/>
        <v>3755</v>
      </c>
      <c r="D764" s="5" t="str">
        <f t="shared" ca="1" si="58"/>
        <v>Consultoria</v>
      </c>
      <c r="E764" s="3">
        <f t="shared" ca="1" si="59"/>
        <v>11</v>
      </c>
    </row>
    <row r="765" spans="1:5" x14ac:dyDescent="0.3">
      <c r="A765" s="4">
        <f t="shared" ca="1" si="55"/>
        <v>43500</v>
      </c>
      <c r="B765" s="5" t="str">
        <f t="shared" ca="1" si="56"/>
        <v>Marcelo</v>
      </c>
      <c r="C765" s="7">
        <f t="shared" ca="1" si="57"/>
        <v>3154</v>
      </c>
      <c r="D765" s="5" t="str">
        <f t="shared" ca="1" si="58"/>
        <v>Finanças</v>
      </c>
      <c r="E765" s="3">
        <f t="shared" ca="1" si="59"/>
        <v>2</v>
      </c>
    </row>
    <row r="766" spans="1:5" x14ac:dyDescent="0.3">
      <c r="A766" s="4">
        <f t="shared" ca="1" si="55"/>
        <v>43639</v>
      </c>
      <c r="B766" s="5" t="str">
        <f t="shared" ca="1" si="56"/>
        <v>João</v>
      </c>
      <c r="C766" s="7">
        <f t="shared" ca="1" si="57"/>
        <v>2480</v>
      </c>
      <c r="D766" s="5" t="str">
        <f t="shared" ca="1" si="58"/>
        <v>Padronização</v>
      </c>
      <c r="E766" s="3">
        <f t="shared" ca="1" si="59"/>
        <v>6</v>
      </c>
    </row>
    <row r="767" spans="1:5" x14ac:dyDescent="0.3">
      <c r="A767" s="4">
        <f t="shared" ca="1" si="55"/>
        <v>43804</v>
      </c>
      <c r="B767" s="5" t="str">
        <f t="shared" ca="1" si="56"/>
        <v>João</v>
      </c>
      <c r="C767" s="7">
        <f t="shared" ca="1" si="57"/>
        <v>1073</v>
      </c>
      <c r="D767" s="5" t="str">
        <f t="shared" ca="1" si="58"/>
        <v>Finanças</v>
      </c>
      <c r="E767" s="3">
        <f t="shared" ca="1" si="59"/>
        <v>12</v>
      </c>
    </row>
    <row r="768" spans="1:5" x14ac:dyDescent="0.3">
      <c r="A768" s="4">
        <f t="shared" ca="1" si="55"/>
        <v>43569</v>
      </c>
      <c r="B768" s="5" t="str">
        <f t="shared" ca="1" si="56"/>
        <v>João</v>
      </c>
      <c r="C768" s="7">
        <f t="shared" ca="1" si="57"/>
        <v>3244</v>
      </c>
      <c r="D768" s="5" t="str">
        <f t="shared" ca="1" si="58"/>
        <v>Consultoria</v>
      </c>
      <c r="E768" s="3">
        <f t="shared" ca="1" si="59"/>
        <v>4</v>
      </c>
    </row>
    <row r="769" spans="1:5" x14ac:dyDescent="0.3">
      <c r="A769" s="4">
        <f t="shared" ca="1" si="55"/>
        <v>43755</v>
      </c>
      <c r="B769" s="5" t="str">
        <f t="shared" ca="1" si="56"/>
        <v>João</v>
      </c>
      <c r="C769" s="7">
        <f t="shared" ca="1" si="57"/>
        <v>3503</v>
      </c>
      <c r="D769" s="5" t="str">
        <f t="shared" ca="1" si="58"/>
        <v>Padronização</v>
      </c>
      <c r="E769" s="3">
        <f t="shared" ca="1" si="59"/>
        <v>10</v>
      </c>
    </row>
    <row r="770" spans="1:5" x14ac:dyDescent="0.3">
      <c r="A770" s="4">
        <f t="shared" ca="1" si="55"/>
        <v>43666</v>
      </c>
      <c r="B770" s="5" t="str">
        <f t="shared" ca="1" si="56"/>
        <v>Joaquina</v>
      </c>
      <c r="C770" s="7">
        <f t="shared" ca="1" si="57"/>
        <v>2173</v>
      </c>
      <c r="D770" s="5" t="str">
        <f t="shared" ca="1" si="58"/>
        <v>5S</v>
      </c>
      <c r="E770" s="3">
        <f t="shared" ca="1" si="59"/>
        <v>7</v>
      </c>
    </row>
    <row r="771" spans="1:5" x14ac:dyDescent="0.3">
      <c r="A771" s="4">
        <f t="shared" ref="A771:A834" ca="1" si="60">RANDBETWEEN($F$1,$F$2)</f>
        <v>43636</v>
      </c>
      <c r="B771" s="5" t="str">
        <f t="shared" ref="B771:B834" ca="1" si="61">VLOOKUP(RANDBETWEEN(1,4),$I$1:$J$4,2,FALSE)</f>
        <v>Marcelo</v>
      </c>
      <c r="C771" s="7">
        <f t="shared" ref="C771:C834" ca="1" si="62">RANDBETWEEN(1000,5000)</f>
        <v>4164</v>
      </c>
      <c r="D771" s="5" t="str">
        <f t="shared" ref="D771:D834" ca="1" si="63">VLOOKUP(RANDBETWEEN($I$6,$I$9),$I$6:$J$9,2,FALSE)</f>
        <v>Consultoria</v>
      </c>
      <c r="E771" s="3">
        <f t="shared" ref="E771:E834" ca="1" si="64">MONTH(A771)</f>
        <v>6</v>
      </c>
    </row>
    <row r="772" spans="1:5" x14ac:dyDescent="0.3">
      <c r="A772" s="4">
        <f t="shared" ca="1" si="60"/>
        <v>43799</v>
      </c>
      <c r="B772" s="5" t="str">
        <f t="shared" ca="1" si="61"/>
        <v>Maria</v>
      </c>
      <c r="C772" s="7">
        <f t="shared" ca="1" si="62"/>
        <v>1312</v>
      </c>
      <c r="D772" s="5" t="str">
        <f t="shared" ca="1" si="63"/>
        <v>Consultoria</v>
      </c>
      <c r="E772" s="3">
        <f t="shared" ca="1" si="64"/>
        <v>11</v>
      </c>
    </row>
    <row r="773" spans="1:5" x14ac:dyDescent="0.3">
      <c r="A773" s="4">
        <f t="shared" ca="1" si="60"/>
        <v>43812</v>
      </c>
      <c r="B773" s="5" t="str">
        <f t="shared" ca="1" si="61"/>
        <v>Joaquina</v>
      </c>
      <c r="C773" s="7">
        <f t="shared" ca="1" si="62"/>
        <v>3251</v>
      </c>
      <c r="D773" s="5" t="str">
        <f t="shared" ca="1" si="63"/>
        <v>Padronização</v>
      </c>
      <c r="E773" s="3">
        <f t="shared" ca="1" si="64"/>
        <v>12</v>
      </c>
    </row>
    <row r="774" spans="1:5" x14ac:dyDescent="0.3">
      <c r="A774" s="4">
        <f t="shared" ca="1" si="60"/>
        <v>43560</v>
      </c>
      <c r="B774" s="5" t="str">
        <f t="shared" ca="1" si="61"/>
        <v>Marcelo</v>
      </c>
      <c r="C774" s="7">
        <f t="shared" ca="1" si="62"/>
        <v>4503</v>
      </c>
      <c r="D774" s="5" t="str">
        <f t="shared" ca="1" si="63"/>
        <v>Finanças</v>
      </c>
      <c r="E774" s="3">
        <f t="shared" ca="1" si="64"/>
        <v>4</v>
      </c>
    </row>
    <row r="775" spans="1:5" x14ac:dyDescent="0.3">
      <c r="A775" s="4">
        <f t="shared" ca="1" si="60"/>
        <v>43576</v>
      </c>
      <c r="B775" s="5" t="str">
        <f t="shared" ca="1" si="61"/>
        <v>Marcelo</v>
      </c>
      <c r="C775" s="7">
        <f t="shared" ca="1" si="62"/>
        <v>1111</v>
      </c>
      <c r="D775" s="5" t="str">
        <f t="shared" ca="1" si="63"/>
        <v>5S</v>
      </c>
      <c r="E775" s="3">
        <f t="shared" ca="1" si="64"/>
        <v>4</v>
      </c>
    </row>
    <row r="776" spans="1:5" x14ac:dyDescent="0.3">
      <c r="A776" s="4">
        <f t="shared" ca="1" si="60"/>
        <v>43810</v>
      </c>
      <c r="B776" s="5" t="str">
        <f t="shared" ca="1" si="61"/>
        <v>Joaquina</v>
      </c>
      <c r="C776" s="7">
        <f t="shared" ca="1" si="62"/>
        <v>3505</v>
      </c>
      <c r="D776" s="5" t="str">
        <f t="shared" ca="1" si="63"/>
        <v>5S</v>
      </c>
      <c r="E776" s="3">
        <f t="shared" ca="1" si="64"/>
        <v>12</v>
      </c>
    </row>
    <row r="777" spans="1:5" x14ac:dyDescent="0.3">
      <c r="A777" s="4">
        <f t="shared" ca="1" si="60"/>
        <v>43720</v>
      </c>
      <c r="B777" s="5" t="str">
        <f t="shared" ca="1" si="61"/>
        <v>Maria</v>
      </c>
      <c r="C777" s="7">
        <f t="shared" ca="1" si="62"/>
        <v>4226</v>
      </c>
      <c r="D777" s="5" t="str">
        <f t="shared" ca="1" si="63"/>
        <v>5S</v>
      </c>
      <c r="E777" s="3">
        <f t="shared" ca="1" si="64"/>
        <v>9</v>
      </c>
    </row>
    <row r="778" spans="1:5" x14ac:dyDescent="0.3">
      <c r="A778" s="4">
        <f t="shared" ca="1" si="60"/>
        <v>43481</v>
      </c>
      <c r="B778" s="5" t="str">
        <f t="shared" ca="1" si="61"/>
        <v>Marcelo</v>
      </c>
      <c r="C778" s="7">
        <f t="shared" ca="1" si="62"/>
        <v>2580</v>
      </c>
      <c r="D778" s="5" t="str">
        <f t="shared" ca="1" si="63"/>
        <v>Padronização</v>
      </c>
      <c r="E778" s="3">
        <f t="shared" ca="1" si="64"/>
        <v>1</v>
      </c>
    </row>
    <row r="779" spans="1:5" x14ac:dyDescent="0.3">
      <c r="A779" s="4">
        <f t="shared" ca="1" si="60"/>
        <v>43537</v>
      </c>
      <c r="B779" s="5" t="str">
        <f t="shared" ca="1" si="61"/>
        <v>Maria</v>
      </c>
      <c r="C779" s="7">
        <f t="shared" ca="1" si="62"/>
        <v>3257</v>
      </c>
      <c r="D779" s="5" t="str">
        <f t="shared" ca="1" si="63"/>
        <v>Finanças</v>
      </c>
      <c r="E779" s="3">
        <f t="shared" ca="1" si="64"/>
        <v>3</v>
      </c>
    </row>
    <row r="780" spans="1:5" x14ac:dyDescent="0.3">
      <c r="A780" s="4">
        <f t="shared" ca="1" si="60"/>
        <v>43578</v>
      </c>
      <c r="B780" s="5" t="str">
        <f t="shared" ca="1" si="61"/>
        <v>Maria</v>
      </c>
      <c r="C780" s="7">
        <f t="shared" ca="1" si="62"/>
        <v>1761</v>
      </c>
      <c r="D780" s="5" t="str">
        <f t="shared" ca="1" si="63"/>
        <v>Padronização</v>
      </c>
      <c r="E780" s="3">
        <f t="shared" ca="1" si="64"/>
        <v>4</v>
      </c>
    </row>
    <row r="781" spans="1:5" x14ac:dyDescent="0.3">
      <c r="A781" s="4">
        <f t="shared" ca="1" si="60"/>
        <v>43518</v>
      </c>
      <c r="B781" s="5" t="str">
        <f t="shared" ca="1" si="61"/>
        <v>Maria</v>
      </c>
      <c r="C781" s="7">
        <f t="shared" ca="1" si="62"/>
        <v>2434</v>
      </c>
      <c r="D781" s="5" t="str">
        <f t="shared" ca="1" si="63"/>
        <v>Padronização</v>
      </c>
      <c r="E781" s="3">
        <f t="shared" ca="1" si="64"/>
        <v>2</v>
      </c>
    </row>
    <row r="782" spans="1:5" x14ac:dyDescent="0.3">
      <c r="A782" s="4">
        <f t="shared" ca="1" si="60"/>
        <v>43743</v>
      </c>
      <c r="B782" s="5" t="str">
        <f t="shared" ca="1" si="61"/>
        <v>João</v>
      </c>
      <c r="C782" s="7">
        <f t="shared" ca="1" si="62"/>
        <v>4177</v>
      </c>
      <c r="D782" s="5" t="str">
        <f t="shared" ca="1" si="63"/>
        <v>Finanças</v>
      </c>
      <c r="E782" s="3">
        <f t="shared" ca="1" si="64"/>
        <v>10</v>
      </c>
    </row>
    <row r="783" spans="1:5" x14ac:dyDescent="0.3">
      <c r="A783" s="4">
        <f t="shared" ca="1" si="60"/>
        <v>43614</v>
      </c>
      <c r="B783" s="5" t="str">
        <f t="shared" ca="1" si="61"/>
        <v>Marcelo</v>
      </c>
      <c r="C783" s="7">
        <f t="shared" ca="1" si="62"/>
        <v>4867</v>
      </c>
      <c r="D783" s="5" t="str">
        <f t="shared" ca="1" si="63"/>
        <v>Padronização</v>
      </c>
      <c r="E783" s="3">
        <f t="shared" ca="1" si="64"/>
        <v>5</v>
      </c>
    </row>
    <row r="784" spans="1:5" x14ac:dyDescent="0.3">
      <c r="A784" s="4">
        <f t="shared" ca="1" si="60"/>
        <v>43592</v>
      </c>
      <c r="B784" s="5" t="str">
        <f t="shared" ca="1" si="61"/>
        <v>João</v>
      </c>
      <c r="C784" s="7">
        <f t="shared" ca="1" si="62"/>
        <v>4348</v>
      </c>
      <c r="D784" s="5" t="str">
        <f t="shared" ca="1" si="63"/>
        <v>5S</v>
      </c>
      <c r="E784" s="3">
        <f t="shared" ca="1" si="64"/>
        <v>5</v>
      </c>
    </row>
    <row r="785" spans="1:5" x14ac:dyDescent="0.3">
      <c r="A785" s="4">
        <f t="shared" ca="1" si="60"/>
        <v>43671</v>
      </c>
      <c r="B785" s="5" t="str">
        <f t="shared" ca="1" si="61"/>
        <v>João</v>
      </c>
      <c r="C785" s="7">
        <f t="shared" ca="1" si="62"/>
        <v>3281</v>
      </c>
      <c r="D785" s="5" t="str">
        <f t="shared" ca="1" si="63"/>
        <v>5S</v>
      </c>
      <c r="E785" s="3">
        <f t="shared" ca="1" si="64"/>
        <v>7</v>
      </c>
    </row>
    <row r="786" spans="1:5" x14ac:dyDescent="0.3">
      <c r="A786" s="4">
        <f t="shared" ca="1" si="60"/>
        <v>43713</v>
      </c>
      <c r="B786" s="5" t="str">
        <f t="shared" ca="1" si="61"/>
        <v>Maria</v>
      </c>
      <c r="C786" s="7">
        <f t="shared" ca="1" si="62"/>
        <v>4389</v>
      </c>
      <c r="D786" s="5" t="str">
        <f t="shared" ca="1" si="63"/>
        <v>Finanças</v>
      </c>
      <c r="E786" s="3">
        <f t="shared" ca="1" si="64"/>
        <v>9</v>
      </c>
    </row>
    <row r="787" spans="1:5" x14ac:dyDescent="0.3">
      <c r="A787" s="4">
        <f t="shared" ca="1" si="60"/>
        <v>43529</v>
      </c>
      <c r="B787" s="5" t="str">
        <f t="shared" ca="1" si="61"/>
        <v>Joaquina</v>
      </c>
      <c r="C787" s="7">
        <f t="shared" ca="1" si="62"/>
        <v>1034</v>
      </c>
      <c r="D787" s="5" t="str">
        <f t="shared" ca="1" si="63"/>
        <v>Padronização</v>
      </c>
      <c r="E787" s="3">
        <f t="shared" ca="1" si="64"/>
        <v>3</v>
      </c>
    </row>
    <row r="788" spans="1:5" x14ac:dyDescent="0.3">
      <c r="A788" s="4">
        <f t="shared" ca="1" si="60"/>
        <v>43484</v>
      </c>
      <c r="B788" s="5" t="str">
        <f t="shared" ca="1" si="61"/>
        <v>Marcelo</v>
      </c>
      <c r="C788" s="7">
        <f t="shared" ca="1" si="62"/>
        <v>4983</v>
      </c>
      <c r="D788" s="5" t="str">
        <f t="shared" ca="1" si="63"/>
        <v>Padronização</v>
      </c>
      <c r="E788" s="3">
        <f t="shared" ca="1" si="64"/>
        <v>1</v>
      </c>
    </row>
    <row r="789" spans="1:5" x14ac:dyDescent="0.3">
      <c r="A789" s="4">
        <f t="shared" ca="1" si="60"/>
        <v>43590</v>
      </c>
      <c r="B789" s="5" t="str">
        <f t="shared" ca="1" si="61"/>
        <v>Marcelo</v>
      </c>
      <c r="C789" s="7">
        <f t="shared" ca="1" si="62"/>
        <v>2510</v>
      </c>
      <c r="D789" s="5" t="str">
        <f t="shared" ca="1" si="63"/>
        <v>5S</v>
      </c>
      <c r="E789" s="3">
        <f t="shared" ca="1" si="64"/>
        <v>5</v>
      </c>
    </row>
    <row r="790" spans="1:5" x14ac:dyDescent="0.3">
      <c r="A790" s="4">
        <f t="shared" ca="1" si="60"/>
        <v>43563</v>
      </c>
      <c r="B790" s="5" t="str">
        <f t="shared" ca="1" si="61"/>
        <v>Joaquina</v>
      </c>
      <c r="C790" s="7">
        <f t="shared" ca="1" si="62"/>
        <v>3648</v>
      </c>
      <c r="D790" s="5" t="str">
        <f t="shared" ca="1" si="63"/>
        <v>Consultoria</v>
      </c>
      <c r="E790" s="3">
        <f t="shared" ca="1" si="64"/>
        <v>4</v>
      </c>
    </row>
    <row r="791" spans="1:5" x14ac:dyDescent="0.3">
      <c r="A791" s="4">
        <f t="shared" ca="1" si="60"/>
        <v>43642</v>
      </c>
      <c r="B791" s="5" t="str">
        <f t="shared" ca="1" si="61"/>
        <v>Maria</v>
      </c>
      <c r="C791" s="7">
        <f t="shared" ca="1" si="62"/>
        <v>4649</v>
      </c>
      <c r="D791" s="5" t="str">
        <f t="shared" ca="1" si="63"/>
        <v>Consultoria</v>
      </c>
      <c r="E791" s="3">
        <f t="shared" ca="1" si="64"/>
        <v>6</v>
      </c>
    </row>
    <row r="792" spans="1:5" x14ac:dyDescent="0.3">
      <c r="A792" s="4">
        <f t="shared" ca="1" si="60"/>
        <v>43756</v>
      </c>
      <c r="B792" s="5" t="str">
        <f t="shared" ca="1" si="61"/>
        <v>Joaquina</v>
      </c>
      <c r="C792" s="7">
        <f t="shared" ca="1" si="62"/>
        <v>4914</v>
      </c>
      <c r="D792" s="5" t="str">
        <f t="shared" ca="1" si="63"/>
        <v>Consultoria</v>
      </c>
      <c r="E792" s="3">
        <f t="shared" ca="1" si="64"/>
        <v>10</v>
      </c>
    </row>
    <row r="793" spans="1:5" x14ac:dyDescent="0.3">
      <c r="A793" s="4">
        <f t="shared" ca="1" si="60"/>
        <v>43802</v>
      </c>
      <c r="B793" s="5" t="str">
        <f t="shared" ca="1" si="61"/>
        <v>Maria</v>
      </c>
      <c r="C793" s="7">
        <f t="shared" ca="1" si="62"/>
        <v>4987</v>
      </c>
      <c r="D793" s="5" t="str">
        <f t="shared" ca="1" si="63"/>
        <v>Consultoria</v>
      </c>
      <c r="E793" s="3">
        <f t="shared" ca="1" si="64"/>
        <v>12</v>
      </c>
    </row>
    <row r="794" spans="1:5" x14ac:dyDescent="0.3">
      <c r="A794" s="4">
        <f t="shared" ca="1" si="60"/>
        <v>43643</v>
      </c>
      <c r="B794" s="5" t="str">
        <f t="shared" ca="1" si="61"/>
        <v>Marcelo</v>
      </c>
      <c r="C794" s="7">
        <f t="shared" ca="1" si="62"/>
        <v>1350</v>
      </c>
      <c r="D794" s="5" t="str">
        <f t="shared" ca="1" si="63"/>
        <v>5S</v>
      </c>
      <c r="E794" s="3">
        <f t="shared" ca="1" si="64"/>
        <v>6</v>
      </c>
    </row>
    <row r="795" spans="1:5" x14ac:dyDescent="0.3">
      <c r="A795" s="4">
        <f t="shared" ca="1" si="60"/>
        <v>43596</v>
      </c>
      <c r="B795" s="5" t="str">
        <f t="shared" ca="1" si="61"/>
        <v>Joaquina</v>
      </c>
      <c r="C795" s="7">
        <f t="shared" ca="1" si="62"/>
        <v>1258</v>
      </c>
      <c r="D795" s="5" t="str">
        <f t="shared" ca="1" si="63"/>
        <v>Finanças</v>
      </c>
      <c r="E795" s="3">
        <f t="shared" ca="1" si="64"/>
        <v>5</v>
      </c>
    </row>
    <row r="796" spans="1:5" x14ac:dyDescent="0.3">
      <c r="A796" s="4">
        <f t="shared" ca="1" si="60"/>
        <v>43707</v>
      </c>
      <c r="B796" s="5" t="str">
        <f t="shared" ca="1" si="61"/>
        <v>Maria</v>
      </c>
      <c r="C796" s="7">
        <f t="shared" ca="1" si="62"/>
        <v>4698</v>
      </c>
      <c r="D796" s="5" t="str">
        <f t="shared" ca="1" si="63"/>
        <v>Finanças</v>
      </c>
      <c r="E796" s="3">
        <f t="shared" ca="1" si="64"/>
        <v>8</v>
      </c>
    </row>
    <row r="797" spans="1:5" x14ac:dyDescent="0.3">
      <c r="A797" s="4">
        <f t="shared" ca="1" si="60"/>
        <v>43777</v>
      </c>
      <c r="B797" s="5" t="str">
        <f t="shared" ca="1" si="61"/>
        <v>Marcelo</v>
      </c>
      <c r="C797" s="7">
        <f t="shared" ca="1" si="62"/>
        <v>1486</v>
      </c>
      <c r="D797" s="5" t="str">
        <f t="shared" ca="1" si="63"/>
        <v>Finanças</v>
      </c>
      <c r="E797" s="3">
        <f t="shared" ca="1" si="64"/>
        <v>11</v>
      </c>
    </row>
    <row r="798" spans="1:5" x14ac:dyDescent="0.3">
      <c r="A798" s="4">
        <f t="shared" ca="1" si="60"/>
        <v>43817</v>
      </c>
      <c r="B798" s="5" t="str">
        <f t="shared" ca="1" si="61"/>
        <v>João</v>
      </c>
      <c r="C798" s="7">
        <f t="shared" ca="1" si="62"/>
        <v>2103</v>
      </c>
      <c r="D798" s="5" t="str">
        <f t="shared" ca="1" si="63"/>
        <v>5S</v>
      </c>
      <c r="E798" s="3">
        <f t="shared" ca="1" si="64"/>
        <v>12</v>
      </c>
    </row>
    <row r="799" spans="1:5" x14ac:dyDescent="0.3">
      <c r="A799" s="4">
        <f t="shared" ca="1" si="60"/>
        <v>43674</v>
      </c>
      <c r="B799" s="5" t="str">
        <f t="shared" ca="1" si="61"/>
        <v>João</v>
      </c>
      <c r="C799" s="7">
        <f t="shared" ca="1" si="62"/>
        <v>3686</v>
      </c>
      <c r="D799" s="5" t="str">
        <f t="shared" ca="1" si="63"/>
        <v>Padronização</v>
      </c>
      <c r="E799" s="3">
        <f t="shared" ca="1" si="64"/>
        <v>7</v>
      </c>
    </row>
    <row r="800" spans="1:5" x14ac:dyDescent="0.3">
      <c r="A800" s="4">
        <f t="shared" ca="1" si="60"/>
        <v>43466</v>
      </c>
      <c r="B800" s="5" t="str">
        <f t="shared" ca="1" si="61"/>
        <v>Marcelo</v>
      </c>
      <c r="C800" s="7">
        <f t="shared" ca="1" si="62"/>
        <v>2850</v>
      </c>
      <c r="D800" s="5" t="str">
        <f t="shared" ca="1" si="63"/>
        <v>Padronização</v>
      </c>
      <c r="E800" s="3">
        <f t="shared" ca="1" si="64"/>
        <v>1</v>
      </c>
    </row>
    <row r="801" spans="1:5" x14ac:dyDescent="0.3">
      <c r="A801" s="4">
        <f t="shared" ca="1" si="60"/>
        <v>43799</v>
      </c>
      <c r="B801" s="5" t="str">
        <f t="shared" ca="1" si="61"/>
        <v>Maria</v>
      </c>
      <c r="C801" s="7">
        <f t="shared" ca="1" si="62"/>
        <v>2038</v>
      </c>
      <c r="D801" s="5" t="str">
        <f t="shared" ca="1" si="63"/>
        <v>Consultoria</v>
      </c>
      <c r="E801" s="3">
        <f t="shared" ca="1" si="64"/>
        <v>11</v>
      </c>
    </row>
    <row r="802" spans="1:5" x14ac:dyDescent="0.3">
      <c r="A802" s="4">
        <f t="shared" ca="1" si="60"/>
        <v>43676</v>
      </c>
      <c r="B802" s="5" t="str">
        <f t="shared" ca="1" si="61"/>
        <v>Maria</v>
      </c>
      <c r="C802" s="7">
        <f t="shared" ca="1" si="62"/>
        <v>4886</v>
      </c>
      <c r="D802" s="5" t="str">
        <f t="shared" ca="1" si="63"/>
        <v>Padronização</v>
      </c>
      <c r="E802" s="3">
        <f t="shared" ca="1" si="64"/>
        <v>7</v>
      </c>
    </row>
    <row r="803" spans="1:5" x14ac:dyDescent="0.3">
      <c r="A803" s="4">
        <f t="shared" ca="1" si="60"/>
        <v>43698</v>
      </c>
      <c r="B803" s="5" t="str">
        <f t="shared" ca="1" si="61"/>
        <v>Joaquina</v>
      </c>
      <c r="C803" s="7">
        <f t="shared" ca="1" si="62"/>
        <v>1120</v>
      </c>
      <c r="D803" s="5" t="str">
        <f t="shared" ca="1" si="63"/>
        <v>Finanças</v>
      </c>
      <c r="E803" s="3">
        <f t="shared" ca="1" si="64"/>
        <v>8</v>
      </c>
    </row>
    <row r="804" spans="1:5" x14ac:dyDescent="0.3">
      <c r="A804" s="4">
        <f t="shared" ca="1" si="60"/>
        <v>43492</v>
      </c>
      <c r="B804" s="5" t="str">
        <f t="shared" ca="1" si="61"/>
        <v>João</v>
      </c>
      <c r="C804" s="7">
        <f t="shared" ca="1" si="62"/>
        <v>1287</v>
      </c>
      <c r="D804" s="5" t="str">
        <f t="shared" ca="1" si="63"/>
        <v>Padronização</v>
      </c>
      <c r="E804" s="3">
        <f t="shared" ca="1" si="64"/>
        <v>1</v>
      </c>
    </row>
    <row r="805" spans="1:5" x14ac:dyDescent="0.3">
      <c r="A805" s="4">
        <f t="shared" ca="1" si="60"/>
        <v>43788</v>
      </c>
      <c r="B805" s="5" t="str">
        <f t="shared" ca="1" si="61"/>
        <v>Maria</v>
      </c>
      <c r="C805" s="7">
        <f t="shared" ca="1" si="62"/>
        <v>1416</v>
      </c>
      <c r="D805" s="5" t="str">
        <f t="shared" ca="1" si="63"/>
        <v>Consultoria</v>
      </c>
      <c r="E805" s="3">
        <f t="shared" ca="1" si="64"/>
        <v>11</v>
      </c>
    </row>
    <row r="806" spans="1:5" x14ac:dyDescent="0.3">
      <c r="A806" s="4">
        <f t="shared" ca="1" si="60"/>
        <v>43714</v>
      </c>
      <c r="B806" s="5" t="str">
        <f t="shared" ca="1" si="61"/>
        <v>Marcelo</v>
      </c>
      <c r="C806" s="7">
        <f t="shared" ca="1" si="62"/>
        <v>4765</v>
      </c>
      <c r="D806" s="5" t="str">
        <f t="shared" ca="1" si="63"/>
        <v>Padronização</v>
      </c>
      <c r="E806" s="3">
        <f t="shared" ca="1" si="64"/>
        <v>9</v>
      </c>
    </row>
    <row r="807" spans="1:5" x14ac:dyDescent="0.3">
      <c r="A807" s="4">
        <f t="shared" ca="1" si="60"/>
        <v>43764</v>
      </c>
      <c r="B807" s="5" t="str">
        <f t="shared" ca="1" si="61"/>
        <v>Joaquina</v>
      </c>
      <c r="C807" s="7">
        <f t="shared" ca="1" si="62"/>
        <v>2670</v>
      </c>
      <c r="D807" s="5" t="str">
        <f t="shared" ca="1" si="63"/>
        <v>Finanças</v>
      </c>
      <c r="E807" s="3">
        <f t="shared" ca="1" si="64"/>
        <v>10</v>
      </c>
    </row>
    <row r="808" spans="1:5" x14ac:dyDescent="0.3">
      <c r="A808" s="4">
        <f t="shared" ca="1" si="60"/>
        <v>43721</v>
      </c>
      <c r="B808" s="5" t="str">
        <f t="shared" ca="1" si="61"/>
        <v>Maria</v>
      </c>
      <c r="C808" s="7">
        <f t="shared" ca="1" si="62"/>
        <v>1085</v>
      </c>
      <c r="D808" s="5" t="str">
        <f t="shared" ca="1" si="63"/>
        <v>Padronização</v>
      </c>
      <c r="E808" s="3">
        <f t="shared" ca="1" si="64"/>
        <v>9</v>
      </c>
    </row>
    <row r="809" spans="1:5" x14ac:dyDescent="0.3">
      <c r="A809" s="4">
        <f t="shared" ca="1" si="60"/>
        <v>43593</v>
      </c>
      <c r="B809" s="5" t="str">
        <f t="shared" ca="1" si="61"/>
        <v>João</v>
      </c>
      <c r="C809" s="7">
        <f t="shared" ca="1" si="62"/>
        <v>2074</v>
      </c>
      <c r="D809" s="5" t="str">
        <f t="shared" ca="1" si="63"/>
        <v>Consultoria</v>
      </c>
      <c r="E809" s="3">
        <f t="shared" ca="1" si="64"/>
        <v>5</v>
      </c>
    </row>
    <row r="810" spans="1:5" x14ac:dyDescent="0.3">
      <c r="A810" s="4">
        <f t="shared" ca="1" si="60"/>
        <v>43828</v>
      </c>
      <c r="B810" s="5" t="str">
        <f t="shared" ca="1" si="61"/>
        <v>João</v>
      </c>
      <c r="C810" s="7">
        <f t="shared" ca="1" si="62"/>
        <v>5000</v>
      </c>
      <c r="D810" s="5" t="str">
        <f t="shared" ca="1" si="63"/>
        <v>5S</v>
      </c>
      <c r="E810" s="3">
        <f t="shared" ca="1" si="64"/>
        <v>12</v>
      </c>
    </row>
    <row r="811" spans="1:5" x14ac:dyDescent="0.3">
      <c r="A811" s="4">
        <f t="shared" ca="1" si="60"/>
        <v>43543</v>
      </c>
      <c r="B811" s="5" t="str">
        <f t="shared" ca="1" si="61"/>
        <v>Joaquina</v>
      </c>
      <c r="C811" s="7">
        <f t="shared" ca="1" si="62"/>
        <v>3065</v>
      </c>
      <c r="D811" s="5" t="str">
        <f t="shared" ca="1" si="63"/>
        <v>5S</v>
      </c>
      <c r="E811" s="3">
        <f t="shared" ca="1" si="64"/>
        <v>3</v>
      </c>
    </row>
    <row r="812" spans="1:5" x14ac:dyDescent="0.3">
      <c r="A812" s="4">
        <f t="shared" ca="1" si="60"/>
        <v>43498</v>
      </c>
      <c r="B812" s="5" t="str">
        <f t="shared" ca="1" si="61"/>
        <v>João</v>
      </c>
      <c r="C812" s="7">
        <f t="shared" ca="1" si="62"/>
        <v>3083</v>
      </c>
      <c r="D812" s="5" t="str">
        <f t="shared" ca="1" si="63"/>
        <v>Padronização</v>
      </c>
      <c r="E812" s="3">
        <f t="shared" ca="1" si="64"/>
        <v>2</v>
      </c>
    </row>
    <row r="813" spans="1:5" x14ac:dyDescent="0.3">
      <c r="A813" s="4">
        <f t="shared" ca="1" si="60"/>
        <v>43549</v>
      </c>
      <c r="B813" s="5" t="str">
        <f t="shared" ca="1" si="61"/>
        <v>João</v>
      </c>
      <c r="C813" s="7">
        <f t="shared" ca="1" si="62"/>
        <v>1657</v>
      </c>
      <c r="D813" s="5" t="str">
        <f t="shared" ca="1" si="63"/>
        <v>Finanças</v>
      </c>
      <c r="E813" s="3">
        <f t="shared" ca="1" si="64"/>
        <v>3</v>
      </c>
    </row>
    <row r="814" spans="1:5" x14ac:dyDescent="0.3">
      <c r="A814" s="4">
        <f t="shared" ca="1" si="60"/>
        <v>43572</v>
      </c>
      <c r="B814" s="5" t="str">
        <f t="shared" ca="1" si="61"/>
        <v>João</v>
      </c>
      <c r="C814" s="7">
        <f t="shared" ca="1" si="62"/>
        <v>2008</v>
      </c>
      <c r="D814" s="5" t="str">
        <f t="shared" ca="1" si="63"/>
        <v>Padronização</v>
      </c>
      <c r="E814" s="3">
        <f t="shared" ca="1" si="64"/>
        <v>4</v>
      </c>
    </row>
    <row r="815" spans="1:5" x14ac:dyDescent="0.3">
      <c r="A815" s="4">
        <f t="shared" ca="1" si="60"/>
        <v>43676</v>
      </c>
      <c r="B815" s="5" t="str">
        <f t="shared" ca="1" si="61"/>
        <v>Marcelo</v>
      </c>
      <c r="C815" s="7">
        <f t="shared" ca="1" si="62"/>
        <v>4684</v>
      </c>
      <c r="D815" s="5" t="str">
        <f t="shared" ca="1" si="63"/>
        <v>Finanças</v>
      </c>
      <c r="E815" s="3">
        <f t="shared" ca="1" si="64"/>
        <v>7</v>
      </c>
    </row>
    <row r="816" spans="1:5" x14ac:dyDescent="0.3">
      <c r="A816" s="4">
        <f t="shared" ca="1" si="60"/>
        <v>43660</v>
      </c>
      <c r="B816" s="5" t="str">
        <f t="shared" ca="1" si="61"/>
        <v>Maria</v>
      </c>
      <c r="C816" s="7">
        <f t="shared" ca="1" si="62"/>
        <v>3275</v>
      </c>
      <c r="D816" s="5" t="str">
        <f t="shared" ca="1" si="63"/>
        <v>5S</v>
      </c>
      <c r="E816" s="3">
        <f t="shared" ca="1" si="64"/>
        <v>7</v>
      </c>
    </row>
    <row r="817" spans="1:5" x14ac:dyDescent="0.3">
      <c r="A817" s="4">
        <f t="shared" ca="1" si="60"/>
        <v>43683</v>
      </c>
      <c r="B817" s="5" t="str">
        <f t="shared" ca="1" si="61"/>
        <v>Marcelo</v>
      </c>
      <c r="C817" s="7">
        <f t="shared" ca="1" si="62"/>
        <v>4759</v>
      </c>
      <c r="D817" s="5" t="str">
        <f t="shared" ca="1" si="63"/>
        <v>Consultoria</v>
      </c>
      <c r="E817" s="3">
        <f t="shared" ca="1" si="64"/>
        <v>8</v>
      </c>
    </row>
    <row r="818" spans="1:5" x14ac:dyDescent="0.3">
      <c r="A818" s="4">
        <f t="shared" ca="1" si="60"/>
        <v>43752</v>
      </c>
      <c r="B818" s="5" t="str">
        <f t="shared" ca="1" si="61"/>
        <v>Marcelo</v>
      </c>
      <c r="C818" s="7">
        <f t="shared" ca="1" si="62"/>
        <v>2620</v>
      </c>
      <c r="D818" s="5" t="str">
        <f t="shared" ca="1" si="63"/>
        <v>Finanças</v>
      </c>
      <c r="E818" s="3">
        <f t="shared" ca="1" si="64"/>
        <v>10</v>
      </c>
    </row>
    <row r="819" spans="1:5" x14ac:dyDescent="0.3">
      <c r="A819" s="4">
        <f t="shared" ca="1" si="60"/>
        <v>43612</v>
      </c>
      <c r="B819" s="5" t="str">
        <f t="shared" ca="1" si="61"/>
        <v>João</v>
      </c>
      <c r="C819" s="7">
        <f t="shared" ca="1" si="62"/>
        <v>1331</v>
      </c>
      <c r="D819" s="5" t="str">
        <f t="shared" ca="1" si="63"/>
        <v>Padronização</v>
      </c>
      <c r="E819" s="3">
        <f t="shared" ca="1" si="64"/>
        <v>5</v>
      </c>
    </row>
    <row r="820" spans="1:5" x14ac:dyDescent="0.3">
      <c r="A820" s="4">
        <f t="shared" ca="1" si="60"/>
        <v>43683</v>
      </c>
      <c r="B820" s="5" t="str">
        <f t="shared" ca="1" si="61"/>
        <v>Joaquina</v>
      </c>
      <c r="C820" s="7">
        <f t="shared" ca="1" si="62"/>
        <v>2498</v>
      </c>
      <c r="D820" s="5" t="str">
        <f t="shared" ca="1" si="63"/>
        <v>Consultoria</v>
      </c>
      <c r="E820" s="3">
        <f t="shared" ca="1" si="64"/>
        <v>8</v>
      </c>
    </row>
    <row r="821" spans="1:5" x14ac:dyDescent="0.3">
      <c r="A821" s="4">
        <f t="shared" ca="1" si="60"/>
        <v>43685</v>
      </c>
      <c r="B821" s="5" t="str">
        <f t="shared" ca="1" si="61"/>
        <v>João</v>
      </c>
      <c r="C821" s="7">
        <f t="shared" ca="1" si="62"/>
        <v>3620</v>
      </c>
      <c r="D821" s="5" t="str">
        <f t="shared" ca="1" si="63"/>
        <v>Finanças</v>
      </c>
      <c r="E821" s="3">
        <f t="shared" ca="1" si="64"/>
        <v>8</v>
      </c>
    </row>
    <row r="822" spans="1:5" x14ac:dyDescent="0.3">
      <c r="A822" s="4">
        <f t="shared" ca="1" si="60"/>
        <v>43552</v>
      </c>
      <c r="B822" s="5" t="str">
        <f t="shared" ca="1" si="61"/>
        <v>Maria</v>
      </c>
      <c r="C822" s="7">
        <f t="shared" ca="1" si="62"/>
        <v>1605</v>
      </c>
      <c r="D822" s="5" t="str">
        <f t="shared" ca="1" si="63"/>
        <v>Finanças</v>
      </c>
      <c r="E822" s="3">
        <f t="shared" ca="1" si="64"/>
        <v>3</v>
      </c>
    </row>
    <row r="823" spans="1:5" x14ac:dyDescent="0.3">
      <c r="A823" s="4">
        <f t="shared" ca="1" si="60"/>
        <v>43534</v>
      </c>
      <c r="B823" s="5" t="str">
        <f t="shared" ca="1" si="61"/>
        <v>Marcelo</v>
      </c>
      <c r="C823" s="7">
        <f t="shared" ca="1" si="62"/>
        <v>3241</v>
      </c>
      <c r="D823" s="5" t="str">
        <f t="shared" ca="1" si="63"/>
        <v>5S</v>
      </c>
      <c r="E823" s="3">
        <f t="shared" ca="1" si="64"/>
        <v>3</v>
      </c>
    </row>
    <row r="824" spans="1:5" x14ac:dyDescent="0.3">
      <c r="A824" s="4">
        <f t="shared" ca="1" si="60"/>
        <v>43694</v>
      </c>
      <c r="B824" s="5" t="str">
        <f t="shared" ca="1" si="61"/>
        <v>Maria</v>
      </c>
      <c r="C824" s="7">
        <f t="shared" ca="1" si="62"/>
        <v>4649</v>
      </c>
      <c r="D824" s="5" t="str">
        <f t="shared" ca="1" si="63"/>
        <v>Finanças</v>
      </c>
      <c r="E824" s="3">
        <f t="shared" ca="1" si="64"/>
        <v>8</v>
      </c>
    </row>
    <row r="825" spans="1:5" x14ac:dyDescent="0.3">
      <c r="A825" s="4">
        <f t="shared" ca="1" si="60"/>
        <v>43632</v>
      </c>
      <c r="B825" s="5" t="str">
        <f t="shared" ca="1" si="61"/>
        <v>Joaquina</v>
      </c>
      <c r="C825" s="7">
        <f t="shared" ca="1" si="62"/>
        <v>1847</v>
      </c>
      <c r="D825" s="5" t="str">
        <f t="shared" ca="1" si="63"/>
        <v>5S</v>
      </c>
      <c r="E825" s="3">
        <f t="shared" ca="1" si="64"/>
        <v>6</v>
      </c>
    </row>
    <row r="826" spans="1:5" x14ac:dyDescent="0.3">
      <c r="A826" s="4">
        <f t="shared" ca="1" si="60"/>
        <v>43628</v>
      </c>
      <c r="B826" s="5" t="str">
        <f t="shared" ca="1" si="61"/>
        <v>Joaquina</v>
      </c>
      <c r="C826" s="7">
        <f t="shared" ca="1" si="62"/>
        <v>3632</v>
      </c>
      <c r="D826" s="5" t="str">
        <f t="shared" ca="1" si="63"/>
        <v>5S</v>
      </c>
      <c r="E826" s="3">
        <f t="shared" ca="1" si="64"/>
        <v>6</v>
      </c>
    </row>
    <row r="827" spans="1:5" x14ac:dyDescent="0.3">
      <c r="A827" s="4">
        <f t="shared" ca="1" si="60"/>
        <v>43719</v>
      </c>
      <c r="B827" s="5" t="str">
        <f t="shared" ca="1" si="61"/>
        <v>Marcelo</v>
      </c>
      <c r="C827" s="7">
        <f t="shared" ca="1" si="62"/>
        <v>3466</v>
      </c>
      <c r="D827" s="5" t="str">
        <f t="shared" ca="1" si="63"/>
        <v>Finanças</v>
      </c>
      <c r="E827" s="3">
        <f t="shared" ca="1" si="64"/>
        <v>9</v>
      </c>
    </row>
    <row r="828" spans="1:5" x14ac:dyDescent="0.3">
      <c r="A828" s="4">
        <f t="shared" ca="1" si="60"/>
        <v>43600</v>
      </c>
      <c r="B828" s="5" t="str">
        <f t="shared" ca="1" si="61"/>
        <v>Maria</v>
      </c>
      <c r="C828" s="7">
        <f t="shared" ca="1" si="62"/>
        <v>1600</v>
      </c>
      <c r="D828" s="5" t="str">
        <f t="shared" ca="1" si="63"/>
        <v>Finanças</v>
      </c>
      <c r="E828" s="3">
        <f t="shared" ca="1" si="64"/>
        <v>5</v>
      </c>
    </row>
    <row r="829" spans="1:5" x14ac:dyDescent="0.3">
      <c r="A829" s="4">
        <f t="shared" ca="1" si="60"/>
        <v>43612</v>
      </c>
      <c r="B829" s="5" t="str">
        <f t="shared" ca="1" si="61"/>
        <v>Marcelo</v>
      </c>
      <c r="C829" s="7">
        <f t="shared" ca="1" si="62"/>
        <v>1582</v>
      </c>
      <c r="D829" s="5" t="str">
        <f t="shared" ca="1" si="63"/>
        <v>Padronização</v>
      </c>
      <c r="E829" s="3">
        <f t="shared" ca="1" si="64"/>
        <v>5</v>
      </c>
    </row>
    <row r="830" spans="1:5" x14ac:dyDescent="0.3">
      <c r="A830" s="4">
        <f t="shared" ca="1" si="60"/>
        <v>43561</v>
      </c>
      <c r="B830" s="5" t="str">
        <f t="shared" ca="1" si="61"/>
        <v>Maria</v>
      </c>
      <c r="C830" s="7">
        <f t="shared" ca="1" si="62"/>
        <v>2603</v>
      </c>
      <c r="D830" s="5" t="str">
        <f t="shared" ca="1" si="63"/>
        <v>Consultoria</v>
      </c>
      <c r="E830" s="3">
        <f t="shared" ca="1" si="64"/>
        <v>4</v>
      </c>
    </row>
    <row r="831" spans="1:5" x14ac:dyDescent="0.3">
      <c r="A831" s="4">
        <f t="shared" ca="1" si="60"/>
        <v>43698</v>
      </c>
      <c r="B831" s="5" t="str">
        <f t="shared" ca="1" si="61"/>
        <v>Maria</v>
      </c>
      <c r="C831" s="7">
        <f t="shared" ca="1" si="62"/>
        <v>2140</v>
      </c>
      <c r="D831" s="5" t="str">
        <f t="shared" ca="1" si="63"/>
        <v>Finanças</v>
      </c>
      <c r="E831" s="3">
        <f t="shared" ca="1" si="64"/>
        <v>8</v>
      </c>
    </row>
    <row r="832" spans="1:5" x14ac:dyDescent="0.3">
      <c r="A832" s="4">
        <f t="shared" ca="1" si="60"/>
        <v>43674</v>
      </c>
      <c r="B832" s="5" t="str">
        <f t="shared" ca="1" si="61"/>
        <v>Joaquina</v>
      </c>
      <c r="C832" s="7">
        <f t="shared" ca="1" si="62"/>
        <v>3881</v>
      </c>
      <c r="D832" s="5" t="str">
        <f t="shared" ca="1" si="63"/>
        <v>Padronização</v>
      </c>
      <c r="E832" s="3">
        <f t="shared" ca="1" si="64"/>
        <v>7</v>
      </c>
    </row>
    <row r="833" spans="1:5" x14ac:dyDescent="0.3">
      <c r="A833" s="4">
        <f t="shared" ca="1" si="60"/>
        <v>43567</v>
      </c>
      <c r="B833" s="5" t="str">
        <f t="shared" ca="1" si="61"/>
        <v>Marcelo</v>
      </c>
      <c r="C833" s="7">
        <f t="shared" ca="1" si="62"/>
        <v>3099</v>
      </c>
      <c r="D833" s="5" t="str">
        <f t="shared" ca="1" si="63"/>
        <v>Padronização</v>
      </c>
      <c r="E833" s="3">
        <f t="shared" ca="1" si="64"/>
        <v>4</v>
      </c>
    </row>
    <row r="834" spans="1:5" x14ac:dyDescent="0.3">
      <c r="A834" s="4">
        <f t="shared" ca="1" si="60"/>
        <v>43474</v>
      </c>
      <c r="B834" s="5" t="str">
        <f t="shared" ca="1" si="61"/>
        <v>Joaquina</v>
      </c>
      <c r="C834" s="7">
        <f t="shared" ca="1" si="62"/>
        <v>4081</v>
      </c>
      <c r="D834" s="5" t="str">
        <f t="shared" ca="1" si="63"/>
        <v>Finanças</v>
      </c>
      <c r="E834" s="3">
        <f t="shared" ca="1" si="64"/>
        <v>1</v>
      </c>
    </row>
    <row r="835" spans="1:5" x14ac:dyDescent="0.3">
      <c r="A835" s="4">
        <f t="shared" ref="A835:A898" ca="1" si="65">RANDBETWEEN($F$1,$F$2)</f>
        <v>43536</v>
      </c>
      <c r="B835" s="5" t="str">
        <f t="shared" ref="B835:B898" ca="1" si="66">VLOOKUP(RANDBETWEEN(1,4),$I$1:$J$4,2,FALSE)</f>
        <v>Joaquina</v>
      </c>
      <c r="C835" s="7">
        <f t="shared" ref="C835:C898" ca="1" si="67">RANDBETWEEN(1000,5000)</f>
        <v>1565</v>
      </c>
      <c r="D835" s="5" t="str">
        <f t="shared" ref="D835:D898" ca="1" si="68">VLOOKUP(RANDBETWEEN($I$6,$I$9),$I$6:$J$9,2,FALSE)</f>
        <v>5S</v>
      </c>
      <c r="E835" s="3">
        <f t="shared" ref="E835:E898" ca="1" si="69">MONTH(A835)</f>
        <v>3</v>
      </c>
    </row>
    <row r="836" spans="1:5" x14ac:dyDescent="0.3">
      <c r="A836" s="4">
        <f t="shared" ca="1" si="65"/>
        <v>43705</v>
      </c>
      <c r="B836" s="5" t="str">
        <f t="shared" ca="1" si="66"/>
        <v>João</v>
      </c>
      <c r="C836" s="7">
        <f t="shared" ca="1" si="67"/>
        <v>1151</v>
      </c>
      <c r="D836" s="5" t="str">
        <f t="shared" ca="1" si="68"/>
        <v>Consultoria</v>
      </c>
      <c r="E836" s="3">
        <f t="shared" ca="1" si="69"/>
        <v>8</v>
      </c>
    </row>
    <row r="837" spans="1:5" x14ac:dyDescent="0.3">
      <c r="A837" s="4">
        <f t="shared" ca="1" si="65"/>
        <v>43578</v>
      </c>
      <c r="B837" s="5" t="str">
        <f t="shared" ca="1" si="66"/>
        <v>Marcelo</v>
      </c>
      <c r="C837" s="7">
        <f t="shared" ca="1" si="67"/>
        <v>2999</v>
      </c>
      <c r="D837" s="5" t="str">
        <f t="shared" ca="1" si="68"/>
        <v>Finanças</v>
      </c>
      <c r="E837" s="3">
        <f t="shared" ca="1" si="69"/>
        <v>4</v>
      </c>
    </row>
    <row r="838" spans="1:5" x14ac:dyDescent="0.3">
      <c r="A838" s="4">
        <f t="shared" ca="1" si="65"/>
        <v>43503</v>
      </c>
      <c r="B838" s="5" t="str">
        <f t="shared" ca="1" si="66"/>
        <v>Joaquina</v>
      </c>
      <c r="C838" s="7">
        <f t="shared" ca="1" si="67"/>
        <v>2922</v>
      </c>
      <c r="D838" s="5" t="str">
        <f t="shared" ca="1" si="68"/>
        <v>Consultoria</v>
      </c>
      <c r="E838" s="3">
        <f t="shared" ca="1" si="69"/>
        <v>2</v>
      </c>
    </row>
    <row r="839" spans="1:5" x14ac:dyDescent="0.3">
      <c r="A839" s="4">
        <f t="shared" ca="1" si="65"/>
        <v>43495</v>
      </c>
      <c r="B839" s="5" t="str">
        <f t="shared" ca="1" si="66"/>
        <v>Joaquina</v>
      </c>
      <c r="C839" s="7">
        <f t="shared" ca="1" si="67"/>
        <v>1198</v>
      </c>
      <c r="D839" s="5" t="str">
        <f t="shared" ca="1" si="68"/>
        <v>Consultoria</v>
      </c>
      <c r="E839" s="3">
        <f t="shared" ca="1" si="69"/>
        <v>1</v>
      </c>
    </row>
    <row r="840" spans="1:5" x14ac:dyDescent="0.3">
      <c r="A840" s="4">
        <f t="shared" ca="1" si="65"/>
        <v>43626</v>
      </c>
      <c r="B840" s="5" t="str">
        <f t="shared" ca="1" si="66"/>
        <v>Maria</v>
      </c>
      <c r="C840" s="7">
        <f t="shared" ca="1" si="67"/>
        <v>3669</v>
      </c>
      <c r="D840" s="5" t="str">
        <f t="shared" ca="1" si="68"/>
        <v>5S</v>
      </c>
      <c r="E840" s="3">
        <f t="shared" ca="1" si="69"/>
        <v>6</v>
      </c>
    </row>
    <row r="841" spans="1:5" x14ac:dyDescent="0.3">
      <c r="A841" s="4">
        <f t="shared" ca="1" si="65"/>
        <v>43485</v>
      </c>
      <c r="B841" s="5" t="str">
        <f t="shared" ca="1" si="66"/>
        <v>Joaquina</v>
      </c>
      <c r="C841" s="7">
        <f t="shared" ca="1" si="67"/>
        <v>4781</v>
      </c>
      <c r="D841" s="5" t="str">
        <f t="shared" ca="1" si="68"/>
        <v>5S</v>
      </c>
      <c r="E841" s="3">
        <f t="shared" ca="1" si="69"/>
        <v>1</v>
      </c>
    </row>
    <row r="842" spans="1:5" x14ac:dyDescent="0.3">
      <c r="A842" s="4">
        <f t="shared" ca="1" si="65"/>
        <v>43769</v>
      </c>
      <c r="B842" s="5" t="str">
        <f t="shared" ca="1" si="66"/>
        <v>João</v>
      </c>
      <c r="C842" s="7">
        <f t="shared" ca="1" si="67"/>
        <v>3659</v>
      </c>
      <c r="D842" s="5" t="str">
        <f t="shared" ca="1" si="68"/>
        <v>5S</v>
      </c>
      <c r="E842" s="3">
        <f t="shared" ca="1" si="69"/>
        <v>10</v>
      </c>
    </row>
    <row r="843" spans="1:5" x14ac:dyDescent="0.3">
      <c r="A843" s="4">
        <f t="shared" ca="1" si="65"/>
        <v>43686</v>
      </c>
      <c r="B843" s="5" t="str">
        <f t="shared" ca="1" si="66"/>
        <v>João</v>
      </c>
      <c r="C843" s="7">
        <f t="shared" ca="1" si="67"/>
        <v>2857</v>
      </c>
      <c r="D843" s="5" t="str">
        <f t="shared" ca="1" si="68"/>
        <v>Consultoria</v>
      </c>
      <c r="E843" s="3">
        <f t="shared" ca="1" si="69"/>
        <v>8</v>
      </c>
    </row>
    <row r="844" spans="1:5" x14ac:dyDescent="0.3">
      <c r="A844" s="4">
        <f t="shared" ca="1" si="65"/>
        <v>43714</v>
      </c>
      <c r="B844" s="5" t="str">
        <f t="shared" ca="1" si="66"/>
        <v>Joaquina</v>
      </c>
      <c r="C844" s="7">
        <f t="shared" ca="1" si="67"/>
        <v>4766</v>
      </c>
      <c r="D844" s="5" t="str">
        <f t="shared" ca="1" si="68"/>
        <v>Consultoria</v>
      </c>
      <c r="E844" s="3">
        <f t="shared" ca="1" si="69"/>
        <v>9</v>
      </c>
    </row>
    <row r="845" spans="1:5" x14ac:dyDescent="0.3">
      <c r="A845" s="4">
        <f t="shared" ca="1" si="65"/>
        <v>43482</v>
      </c>
      <c r="B845" s="5" t="str">
        <f t="shared" ca="1" si="66"/>
        <v>João</v>
      </c>
      <c r="C845" s="7">
        <f t="shared" ca="1" si="67"/>
        <v>4380</v>
      </c>
      <c r="D845" s="5" t="str">
        <f t="shared" ca="1" si="68"/>
        <v>Consultoria</v>
      </c>
      <c r="E845" s="3">
        <f t="shared" ca="1" si="69"/>
        <v>1</v>
      </c>
    </row>
    <row r="846" spans="1:5" x14ac:dyDescent="0.3">
      <c r="A846" s="4">
        <f t="shared" ca="1" si="65"/>
        <v>43730</v>
      </c>
      <c r="B846" s="5" t="str">
        <f t="shared" ca="1" si="66"/>
        <v>João</v>
      </c>
      <c r="C846" s="7">
        <f t="shared" ca="1" si="67"/>
        <v>1340</v>
      </c>
      <c r="D846" s="5" t="str">
        <f t="shared" ca="1" si="68"/>
        <v>Padronização</v>
      </c>
      <c r="E846" s="3">
        <f t="shared" ca="1" si="69"/>
        <v>9</v>
      </c>
    </row>
    <row r="847" spans="1:5" x14ac:dyDescent="0.3">
      <c r="A847" s="4">
        <f t="shared" ca="1" si="65"/>
        <v>43705</v>
      </c>
      <c r="B847" s="5" t="str">
        <f t="shared" ca="1" si="66"/>
        <v>João</v>
      </c>
      <c r="C847" s="7">
        <f t="shared" ca="1" si="67"/>
        <v>3483</v>
      </c>
      <c r="D847" s="5" t="str">
        <f t="shared" ca="1" si="68"/>
        <v>Consultoria</v>
      </c>
      <c r="E847" s="3">
        <f t="shared" ca="1" si="69"/>
        <v>8</v>
      </c>
    </row>
    <row r="848" spans="1:5" x14ac:dyDescent="0.3">
      <c r="A848" s="4">
        <f t="shared" ca="1" si="65"/>
        <v>43563</v>
      </c>
      <c r="B848" s="5" t="str">
        <f t="shared" ca="1" si="66"/>
        <v>Marcelo</v>
      </c>
      <c r="C848" s="7">
        <f t="shared" ca="1" si="67"/>
        <v>1622</v>
      </c>
      <c r="D848" s="5" t="str">
        <f t="shared" ca="1" si="68"/>
        <v>Consultoria</v>
      </c>
      <c r="E848" s="3">
        <f t="shared" ca="1" si="69"/>
        <v>4</v>
      </c>
    </row>
    <row r="849" spans="1:5" x14ac:dyDescent="0.3">
      <c r="A849" s="4">
        <f t="shared" ca="1" si="65"/>
        <v>43489</v>
      </c>
      <c r="B849" s="5" t="str">
        <f t="shared" ca="1" si="66"/>
        <v>Joaquina</v>
      </c>
      <c r="C849" s="7">
        <f t="shared" ca="1" si="67"/>
        <v>4438</v>
      </c>
      <c r="D849" s="5" t="str">
        <f t="shared" ca="1" si="68"/>
        <v>Padronização</v>
      </c>
      <c r="E849" s="3">
        <f t="shared" ca="1" si="69"/>
        <v>1</v>
      </c>
    </row>
    <row r="850" spans="1:5" x14ac:dyDescent="0.3">
      <c r="A850" s="4">
        <f t="shared" ca="1" si="65"/>
        <v>43485</v>
      </c>
      <c r="B850" s="5" t="str">
        <f t="shared" ca="1" si="66"/>
        <v>Maria</v>
      </c>
      <c r="C850" s="7">
        <f t="shared" ca="1" si="67"/>
        <v>2694</v>
      </c>
      <c r="D850" s="5" t="str">
        <f t="shared" ca="1" si="68"/>
        <v>Finanças</v>
      </c>
      <c r="E850" s="3">
        <f t="shared" ca="1" si="69"/>
        <v>1</v>
      </c>
    </row>
    <row r="851" spans="1:5" x14ac:dyDescent="0.3">
      <c r="A851" s="4">
        <f t="shared" ca="1" si="65"/>
        <v>43775</v>
      </c>
      <c r="B851" s="5" t="str">
        <f t="shared" ca="1" si="66"/>
        <v>Maria</v>
      </c>
      <c r="C851" s="7">
        <f t="shared" ca="1" si="67"/>
        <v>2385</v>
      </c>
      <c r="D851" s="5" t="str">
        <f t="shared" ca="1" si="68"/>
        <v>5S</v>
      </c>
      <c r="E851" s="3">
        <f t="shared" ca="1" si="69"/>
        <v>11</v>
      </c>
    </row>
    <row r="852" spans="1:5" x14ac:dyDescent="0.3">
      <c r="A852" s="4">
        <f t="shared" ca="1" si="65"/>
        <v>43735</v>
      </c>
      <c r="B852" s="5" t="str">
        <f t="shared" ca="1" si="66"/>
        <v>Marcelo</v>
      </c>
      <c r="C852" s="7">
        <f t="shared" ca="1" si="67"/>
        <v>3288</v>
      </c>
      <c r="D852" s="5" t="str">
        <f t="shared" ca="1" si="68"/>
        <v>Consultoria</v>
      </c>
      <c r="E852" s="3">
        <f t="shared" ca="1" si="69"/>
        <v>9</v>
      </c>
    </row>
    <row r="853" spans="1:5" x14ac:dyDescent="0.3">
      <c r="A853" s="4">
        <f t="shared" ca="1" si="65"/>
        <v>43693</v>
      </c>
      <c r="B853" s="5" t="str">
        <f t="shared" ca="1" si="66"/>
        <v>Marcelo</v>
      </c>
      <c r="C853" s="7">
        <f t="shared" ca="1" si="67"/>
        <v>2764</v>
      </c>
      <c r="D853" s="5" t="str">
        <f t="shared" ca="1" si="68"/>
        <v>Consultoria</v>
      </c>
      <c r="E853" s="3">
        <f t="shared" ca="1" si="69"/>
        <v>8</v>
      </c>
    </row>
    <row r="854" spans="1:5" x14ac:dyDescent="0.3">
      <c r="A854" s="4">
        <f t="shared" ca="1" si="65"/>
        <v>43749</v>
      </c>
      <c r="B854" s="5" t="str">
        <f t="shared" ca="1" si="66"/>
        <v>Maria</v>
      </c>
      <c r="C854" s="7">
        <f t="shared" ca="1" si="67"/>
        <v>3906</v>
      </c>
      <c r="D854" s="5" t="str">
        <f t="shared" ca="1" si="68"/>
        <v>Consultoria</v>
      </c>
      <c r="E854" s="3">
        <f t="shared" ca="1" si="69"/>
        <v>10</v>
      </c>
    </row>
    <row r="855" spans="1:5" x14ac:dyDescent="0.3">
      <c r="A855" s="4">
        <f t="shared" ca="1" si="65"/>
        <v>43775</v>
      </c>
      <c r="B855" s="5" t="str">
        <f t="shared" ca="1" si="66"/>
        <v>João</v>
      </c>
      <c r="C855" s="7">
        <f t="shared" ca="1" si="67"/>
        <v>2157</v>
      </c>
      <c r="D855" s="5" t="str">
        <f t="shared" ca="1" si="68"/>
        <v>Consultoria</v>
      </c>
      <c r="E855" s="3">
        <f t="shared" ca="1" si="69"/>
        <v>11</v>
      </c>
    </row>
    <row r="856" spans="1:5" x14ac:dyDescent="0.3">
      <c r="A856" s="4">
        <f t="shared" ca="1" si="65"/>
        <v>43814</v>
      </c>
      <c r="B856" s="5" t="str">
        <f t="shared" ca="1" si="66"/>
        <v>Marcelo</v>
      </c>
      <c r="C856" s="7">
        <f t="shared" ca="1" si="67"/>
        <v>1519</v>
      </c>
      <c r="D856" s="5" t="str">
        <f t="shared" ca="1" si="68"/>
        <v>Padronização</v>
      </c>
      <c r="E856" s="3">
        <f t="shared" ca="1" si="69"/>
        <v>12</v>
      </c>
    </row>
    <row r="857" spans="1:5" x14ac:dyDescent="0.3">
      <c r="A857" s="4">
        <f t="shared" ca="1" si="65"/>
        <v>43645</v>
      </c>
      <c r="B857" s="5" t="str">
        <f t="shared" ca="1" si="66"/>
        <v>Marcelo</v>
      </c>
      <c r="C857" s="7">
        <f t="shared" ca="1" si="67"/>
        <v>1799</v>
      </c>
      <c r="D857" s="5" t="str">
        <f t="shared" ca="1" si="68"/>
        <v>Finanças</v>
      </c>
      <c r="E857" s="3">
        <f t="shared" ca="1" si="69"/>
        <v>6</v>
      </c>
    </row>
    <row r="858" spans="1:5" x14ac:dyDescent="0.3">
      <c r="A858" s="4">
        <f t="shared" ca="1" si="65"/>
        <v>43714</v>
      </c>
      <c r="B858" s="5" t="str">
        <f t="shared" ca="1" si="66"/>
        <v>João</v>
      </c>
      <c r="C858" s="7">
        <f t="shared" ca="1" si="67"/>
        <v>4251</v>
      </c>
      <c r="D858" s="5" t="str">
        <f t="shared" ca="1" si="68"/>
        <v>Finanças</v>
      </c>
      <c r="E858" s="3">
        <f t="shared" ca="1" si="69"/>
        <v>9</v>
      </c>
    </row>
    <row r="859" spans="1:5" x14ac:dyDescent="0.3">
      <c r="A859" s="4">
        <f t="shared" ca="1" si="65"/>
        <v>43703</v>
      </c>
      <c r="B859" s="5" t="str">
        <f t="shared" ca="1" si="66"/>
        <v>Joaquina</v>
      </c>
      <c r="C859" s="7">
        <f t="shared" ca="1" si="67"/>
        <v>4323</v>
      </c>
      <c r="D859" s="5" t="str">
        <f t="shared" ca="1" si="68"/>
        <v>Finanças</v>
      </c>
      <c r="E859" s="3">
        <f t="shared" ca="1" si="69"/>
        <v>8</v>
      </c>
    </row>
    <row r="860" spans="1:5" x14ac:dyDescent="0.3">
      <c r="A860" s="4">
        <f t="shared" ca="1" si="65"/>
        <v>43552</v>
      </c>
      <c r="B860" s="5" t="str">
        <f t="shared" ca="1" si="66"/>
        <v>Maria</v>
      </c>
      <c r="C860" s="7">
        <f t="shared" ca="1" si="67"/>
        <v>4964</v>
      </c>
      <c r="D860" s="5" t="str">
        <f t="shared" ca="1" si="68"/>
        <v>Consultoria</v>
      </c>
      <c r="E860" s="3">
        <f t="shared" ca="1" si="69"/>
        <v>3</v>
      </c>
    </row>
    <row r="861" spans="1:5" x14ac:dyDescent="0.3">
      <c r="A861" s="4">
        <f t="shared" ca="1" si="65"/>
        <v>43500</v>
      </c>
      <c r="B861" s="5" t="str">
        <f t="shared" ca="1" si="66"/>
        <v>Joaquina</v>
      </c>
      <c r="C861" s="7">
        <f t="shared" ca="1" si="67"/>
        <v>3635</v>
      </c>
      <c r="D861" s="5" t="str">
        <f t="shared" ca="1" si="68"/>
        <v>5S</v>
      </c>
      <c r="E861" s="3">
        <f t="shared" ca="1" si="69"/>
        <v>2</v>
      </c>
    </row>
    <row r="862" spans="1:5" x14ac:dyDescent="0.3">
      <c r="A862" s="4">
        <f t="shared" ca="1" si="65"/>
        <v>43609</v>
      </c>
      <c r="B862" s="5" t="str">
        <f t="shared" ca="1" si="66"/>
        <v>Maria</v>
      </c>
      <c r="C862" s="7">
        <f t="shared" ca="1" si="67"/>
        <v>3447</v>
      </c>
      <c r="D862" s="5" t="str">
        <f t="shared" ca="1" si="68"/>
        <v>Consultoria</v>
      </c>
      <c r="E862" s="3">
        <f t="shared" ca="1" si="69"/>
        <v>5</v>
      </c>
    </row>
    <row r="863" spans="1:5" x14ac:dyDescent="0.3">
      <c r="A863" s="4">
        <f t="shared" ca="1" si="65"/>
        <v>43492</v>
      </c>
      <c r="B863" s="5" t="str">
        <f t="shared" ca="1" si="66"/>
        <v>Marcelo</v>
      </c>
      <c r="C863" s="7">
        <f t="shared" ca="1" si="67"/>
        <v>4797</v>
      </c>
      <c r="D863" s="5" t="str">
        <f t="shared" ca="1" si="68"/>
        <v>Finanças</v>
      </c>
      <c r="E863" s="3">
        <f t="shared" ca="1" si="69"/>
        <v>1</v>
      </c>
    </row>
    <row r="864" spans="1:5" x14ac:dyDescent="0.3">
      <c r="A864" s="4">
        <f t="shared" ca="1" si="65"/>
        <v>43664</v>
      </c>
      <c r="B864" s="5" t="str">
        <f t="shared" ca="1" si="66"/>
        <v>Joaquina</v>
      </c>
      <c r="C864" s="7">
        <f t="shared" ca="1" si="67"/>
        <v>4830</v>
      </c>
      <c r="D864" s="5" t="str">
        <f t="shared" ca="1" si="68"/>
        <v>5S</v>
      </c>
      <c r="E864" s="3">
        <f t="shared" ca="1" si="69"/>
        <v>7</v>
      </c>
    </row>
    <row r="865" spans="1:5" x14ac:dyDescent="0.3">
      <c r="A865" s="4">
        <f t="shared" ca="1" si="65"/>
        <v>43811</v>
      </c>
      <c r="B865" s="5" t="str">
        <f t="shared" ca="1" si="66"/>
        <v>Joaquina</v>
      </c>
      <c r="C865" s="7">
        <f t="shared" ca="1" si="67"/>
        <v>4331</v>
      </c>
      <c r="D865" s="5" t="str">
        <f t="shared" ca="1" si="68"/>
        <v>Consultoria</v>
      </c>
      <c r="E865" s="3">
        <f t="shared" ca="1" si="69"/>
        <v>12</v>
      </c>
    </row>
    <row r="866" spans="1:5" x14ac:dyDescent="0.3">
      <c r="A866" s="4">
        <f t="shared" ca="1" si="65"/>
        <v>43549</v>
      </c>
      <c r="B866" s="5" t="str">
        <f t="shared" ca="1" si="66"/>
        <v>Joaquina</v>
      </c>
      <c r="C866" s="7">
        <f t="shared" ca="1" si="67"/>
        <v>2125</v>
      </c>
      <c r="D866" s="5" t="str">
        <f t="shared" ca="1" si="68"/>
        <v>Padronização</v>
      </c>
      <c r="E866" s="3">
        <f t="shared" ca="1" si="69"/>
        <v>3</v>
      </c>
    </row>
    <row r="867" spans="1:5" x14ac:dyDescent="0.3">
      <c r="A867" s="4">
        <f t="shared" ca="1" si="65"/>
        <v>43623</v>
      </c>
      <c r="B867" s="5" t="str">
        <f t="shared" ca="1" si="66"/>
        <v>João</v>
      </c>
      <c r="C867" s="7">
        <f t="shared" ca="1" si="67"/>
        <v>1404</v>
      </c>
      <c r="D867" s="5" t="str">
        <f t="shared" ca="1" si="68"/>
        <v>Consultoria</v>
      </c>
      <c r="E867" s="3">
        <f t="shared" ca="1" si="69"/>
        <v>6</v>
      </c>
    </row>
    <row r="868" spans="1:5" x14ac:dyDescent="0.3">
      <c r="A868" s="4">
        <f t="shared" ca="1" si="65"/>
        <v>43678</v>
      </c>
      <c r="B868" s="5" t="str">
        <f t="shared" ca="1" si="66"/>
        <v>Marcelo</v>
      </c>
      <c r="C868" s="7">
        <f t="shared" ca="1" si="67"/>
        <v>1202</v>
      </c>
      <c r="D868" s="5" t="str">
        <f t="shared" ca="1" si="68"/>
        <v>5S</v>
      </c>
      <c r="E868" s="3">
        <f t="shared" ca="1" si="69"/>
        <v>8</v>
      </c>
    </row>
    <row r="869" spans="1:5" x14ac:dyDescent="0.3">
      <c r="A869" s="4">
        <f t="shared" ca="1" si="65"/>
        <v>43583</v>
      </c>
      <c r="B869" s="5" t="str">
        <f t="shared" ca="1" si="66"/>
        <v>João</v>
      </c>
      <c r="C869" s="7">
        <f t="shared" ca="1" si="67"/>
        <v>2940</v>
      </c>
      <c r="D869" s="5" t="str">
        <f t="shared" ca="1" si="68"/>
        <v>Consultoria</v>
      </c>
      <c r="E869" s="3">
        <f t="shared" ca="1" si="69"/>
        <v>4</v>
      </c>
    </row>
    <row r="870" spans="1:5" x14ac:dyDescent="0.3">
      <c r="A870" s="4">
        <f t="shared" ca="1" si="65"/>
        <v>43562</v>
      </c>
      <c r="B870" s="5" t="str">
        <f t="shared" ca="1" si="66"/>
        <v>João</v>
      </c>
      <c r="C870" s="7">
        <f t="shared" ca="1" si="67"/>
        <v>1182</v>
      </c>
      <c r="D870" s="5" t="str">
        <f t="shared" ca="1" si="68"/>
        <v>Finanças</v>
      </c>
      <c r="E870" s="3">
        <f t="shared" ca="1" si="69"/>
        <v>4</v>
      </c>
    </row>
    <row r="871" spans="1:5" x14ac:dyDescent="0.3">
      <c r="A871" s="4">
        <f t="shared" ca="1" si="65"/>
        <v>43615</v>
      </c>
      <c r="B871" s="5" t="str">
        <f t="shared" ca="1" si="66"/>
        <v>Joaquina</v>
      </c>
      <c r="C871" s="7">
        <f t="shared" ca="1" si="67"/>
        <v>1226</v>
      </c>
      <c r="D871" s="5" t="str">
        <f t="shared" ca="1" si="68"/>
        <v>Consultoria</v>
      </c>
      <c r="E871" s="3">
        <f t="shared" ca="1" si="69"/>
        <v>5</v>
      </c>
    </row>
    <row r="872" spans="1:5" x14ac:dyDescent="0.3">
      <c r="A872" s="4">
        <f t="shared" ca="1" si="65"/>
        <v>43632</v>
      </c>
      <c r="B872" s="5" t="str">
        <f t="shared" ca="1" si="66"/>
        <v>Joaquina</v>
      </c>
      <c r="C872" s="7">
        <f t="shared" ca="1" si="67"/>
        <v>3627</v>
      </c>
      <c r="D872" s="5" t="str">
        <f t="shared" ca="1" si="68"/>
        <v>5S</v>
      </c>
      <c r="E872" s="3">
        <f t="shared" ca="1" si="69"/>
        <v>6</v>
      </c>
    </row>
    <row r="873" spans="1:5" x14ac:dyDescent="0.3">
      <c r="A873" s="4">
        <f t="shared" ca="1" si="65"/>
        <v>43721</v>
      </c>
      <c r="B873" s="5" t="str">
        <f t="shared" ca="1" si="66"/>
        <v>João</v>
      </c>
      <c r="C873" s="7">
        <f t="shared" ca="1" si="67"/>
        <v>4567</v>
      </c>
      <c r="D873" s="5" t="str">
        <f t="shared" ca="1" si="68"/>
        <v>Consultoria</v>
      </c>
      <c r="E873" s="3">
        <f t="shared" ca="1" si="69"/>
        <v>9</v>
      </c>
    </row>
    <row r="874" spans="1:5" x14ac:dyDescent="0.3">
      <c r="A874" s="4">
        <f t="shared" ca="1" si="65"/>
        <v>43699</v>
      </c>
      <c r="B874" s="5" t="str">
        <f t="shared" ca="1" si="66"/>
        <v>João</v>
      </c>
      <c r="C874" s="7">
        <f t="shared" ca="1" si="67"/>
        <v>1659</v>
      </c>
      <c r="D874" s="5" t="str">
        <f t="shared" ca="1" si="68"/>
        <v>Finanças</v>
      </c>
      <c r="E874" s="3">
        <f t="shared" ca="1" si="69"/>
        <v>8</v>
      </c>
    </row>
    <row r="875" spans="1:5" x14ac:dyDescent="0.3">
      <c r="A875" s="4">
        <f t="shared" ca="1" si="65"/>
        <v>43754</v>
      </c>
      <c r="B875" s="5" t="str">
        <f t="shared" ca="1" si="66"/>
        <v>Joaquina</v>
      </c>
      <c r="C875" s="7">
        <f t="shared" ca="1" si="67"/>
        <v>1896</v>
      </c>
      <c r="D875" s="5" t="str">
        <f t="shared" ca="1" si="68"/>
        <v>Padronização</v>
      </c>
      <c r="E875" s="3">
        <f t="shared" ca="1" si="69"/>
        <v>10</v>
      </c>
    </row>
    <row r="876" spans="1:5" x14ac:dyDescent="0.3">
      <c r="A876" s="4">
        <f t="shared" ca="1" si="65"/>
        <v>43745</v>
      </c>
      <c r="B876" s="5" t="str">
        <f t="shared" ca="1" si="66"/>
        <v>Maria</v>
      </c>
      <c r="C876" s="7">
        <f t="shared" ca="1" si="67"/>
        <v>4369</v>
      </c>
      <c r="D876" s="5" t="str">
        <f t="shared" ca="1" si="68"/>
        <v>Consultoria</v>
      </c>
      <c r="E876" s="3">
        <f t="shared" ca="1" si="69"/>
        <v>10</v>
      </c>
    </row>
    <row r="877" spans="1:5" x14ac:dyDescent="0.3">
      <c r="A877" s="4">
        <f t="shared" ca="1" si="65"/>
        <v>43718</v>
      </c>
      <c r="B877" s="5" t="str">
        <f t="shared" ca="1" si="66"/>
        <v>João</v>
      </c>
      <c r="C877" s="7">
        <f t="shared" ca="1" si="67"/>
        <v>1114</v>
      </c>
      <c r="D877" s="5" t="str">
        <f t="shared" ca="1" si="68"/>
        <v>Padronização</v>
      </c>
      <c r="E877" s="3">
        <f t="shared" ca="1" si="69"/>
        <v>9</v>
      </c>
    </row>
    <row r="878" spans="1:5" x14ac:dyDescent="0.3">
      <c r="A878" s="4">
        <f t="shared" ca="1" si="65"/>
        <v>43526</v>
      </c>
      <c r="B878" s="5" t="str">
        <f t="shared" ca="1" si="66"/>
        <v>João</v>
      </c>
      <c r="C878" s="7">
        <f t="shared" ca="1" si="67"/>
        <v>4933</v>
      </c>
      <c r="D878" s="5" t="str">
        <f t="shared" ca="1" si="68"/>
        <v>Padronização</v>
      </c>
      <c r="E878" s="3">
        <f t="shared" ca="1" si="69"/>
        <v>3</v>
      </c>
    </row>
    <row r="879" spans="1:5" x14ac:dyDescent="0.3">
      <c r="A879" s="4">
        <f t="shared" ca="1" si="65"/>
        <v>43488</v>
      </c>
      <c r="B879" s="5" t="str">
        <f t="shared" ca="1" si="66"/>
        <v>Marcelo</v>
      </c>
      <c r="C879" s="7">
        <f t="shared" ca="1" si="67"/>
        <v>1086</v>
      </c>
      <c r="D879" s="5" t="str">
        <f t="shared" ca="1" si="68"/>
        <v>5S</v>
      </c>
      <c r="E879" s="3">
        <f t="shared" ca="1" si="69"/>
        <v>1</v>
      </c>
    </row>
    <row r="880" spans="1:5" x14ac:dyDescent="0.3">
      <c r="A880" s="4">
        <f t="shared" ca="1" si="65"/>
        <v>43641</v>
      </c>
      <c r="B880" s="5" t="str">
        <f t="shared" ca="1" si="66"/>
        <v>Marcelo</v>
      </c>
      <c r="C880" s="7">
        <f t="shared" ca="1" si="67"/>
        <v>4373</v>
      </c>
      <c r="D880" s="5" t="str">
        <f t="shared" ca="1" si="68"/>
        <v>5S</v>
      </c>
      <c r="E880" s="3">
        <f t="shared" ca="1" si="69"/>
        <v>6</v>
      </c>
    </row>
    <row r="881" spans="1:5" x14ac:dyDescent="0.3">
      <c r="A881" s="4">
        <f t="shared" ca="1" si="65"/>
        <v>43669</v>
      </c>
      <c r="B881" s="5" t="str">
        <f t="shared" ca="1" si="66"/>
        <v>Joaquina</v>
      </c>
      <c r="C881" s="7">
        <f t="shared" ca="1" si="67"/>
        <v>2974</v>
      </c>
      <c r="D881" s="5" t="str">
        <f t="shared" ca="1" si="68"/>
        <v>Finanças</v>
      </c>
      <c r="E881" s="3">
        <f t="shared" ca="1" si="69"/>
        <v>7</v>
      </c>
    </row>
    <row r="882" spans="1:5" x14ac:dyDescent="0.3">
      <c r="A882" s="4">
        <f t="shared" ca="1" si="65"/>
        <v>43740</v>
      </c>
      <c r="B882" s="5" t="str">
        <f t="shared" ca="1" si="66"/>
        <v>João</v>
      </c>
      <c r="C882" s="7">
        <f t="shared" ca="1" si="67"/>
        <v>3635</v>
      </c>
      <c r="D882" s="5" t="str">
        <f t="shared" ca="1" si="68"/>
        <v>Finanças</v>
      </c>
      <c r="E882" s="3">
        <f t="shared" ca="1" si="69"/>
        <v>10</v>
      </c>
    </row>
    <row r="883" spans="1:5" x14ac:dyDescent="0.3">
      <c r="A883" s="4">
        <f t="shared" ca="1" si="65"/>
        <v>43523</v>
      </c>
      <c r="B883" s="5" t="str">
        <f t="shared" ca="1" si="66"/>
        <v>Joaquina</v>
      </c>
      <c r="C883" s="7">
        <f t="shared" ca="1" si="67"/>
        <v>4553</v>
      </c>
      <c r="D883" s="5" t="str">
        <f t="shared" ca="1" si="68"/>
        <v>Consultoria</v>
      </c>
      <c r="E883" s="3">
        <f t="shared" ca="1" si="69"/>
        <v>2</v>
      </c>
    </row>
    <row r="884" spans="1:5" x14ac:dyDescent="0.3">
      <c r="A884" s="4">
        <f t="shared" ca="1" si="65"/>
        <v>43642</v>
      </c>
      <c r="B884" s="5" t="str">
        <f t="shared" ca="1" si="66"/>
        <v>Marcelo</v>
      </c>
      <c r="C884" s="7">
        <f t="shared" ca="1" si="67"/>
        <v>1381</v>
      </c>
      <c r="D884" s="5" t="str">
        <f t="shared" ca="1" si="68"/>
        <v>Consultoria</v>
      </c>
      <c r="E884" s="3">
        <f t="shared" ca="1" si="69"/>
        <v>6</v>
      </c>
    </row>
    <row r="885" spans="1:5" x14ac:dyDescent="0.3">
      <c r="A885" s="4">
        <f t="shared" ca="1" si="65"/>
        <v>43654</v>
      </c>
      <c r="B885" s="5" t="str">
        <f t="shared" ca="1" si="66"/>
        <v>Joaquina</v>
      </c>
      <c r="C885" s="7">
        <f t="shared" ca="1" si="67"/>
        <v>3901</v>
      </c>
      <c r="D885" s="5" t="str">
        <f t="shared" ca="1" si="68"/>
        <v>Consultoria</v>
      </c>
      <c r="E885" s="3">
        <f t="shared" ca="1" si="69"/>
        <v>7</v>
      </c>
    </row>
    <row r="886" spans="1:5" x14ac:dyDescent="0.3">
      <c r="A886" s="4">
        <f t="shared" ca="1" si="65"/>
        <v>43718</v>
      </c>
      <c r="B886" s="5" t="str">
        <f t="shared" ca="1" si="66"/>
        <v>Marcelo</v>
      </c>
      <c r="C886" s="7">
        <f t="shared" ca="1" si="67"/>
        <v>1318</v>
      </c>
      <c r="D886" s="5" t="str">
        <f t="shared" ca="1" si="68"/>
        <v>Consultoria</v>
      </c>
      <c r="E886" s="3">
        <f t="shared" ca="1" si="69"/>
        <v>9</v>
      </c>
    </row>
    <row r="887" spans="1:5" x14ac:dyDescent="0.3">
      <c r="A887" s="4">
        <f t="shared" ca="1" si="65"/>
        <v>43709</v>
      </c>
      <c r="B887" s="5" t="str">
        <f t="shared" ca="1" si="66"/>
        <v>Joaquina</v>
      </c>
      <c r="C887" s="7">
        <f t="shared" ca="1" si="67"/>
        <v>1912</v>
      </c>
      <c r="D887" s="5" t="str">
        <f t="shared" ca="1" si="68"/>
        <v>5S</v>
      </c>
      <c r="E887" s="3">
        <f t="shared" ca="1" si="69"/>
        <v>9</v>
      </c>
    </row>
    <row r="888" spans="1:5" x14ac:dyDescent="0.3">
      <c r="A888" s="4">
        <f t="shared" ca="1" si="65"/>
        <v>43788</v>
      </c>
      <c r="B888" s="5" t="str">
        <f t="shared" ca="1" si="66"/>
        <v>João</v>
      </c>
      <c r="C888" s="7">
        <f t="shared" ca="1" si="67"/>
        <v>2901</v>
      </c>
      <c r="D888" s="5" t="str">
        <f t="shared" ca="1" si="68"/>
        <v>Finanças</v>
      </c>
      <c r="E888" s="3">
        <f t="shared" ca="1" si="69"/>
        <v>11</v>
      </c>
    </row>
    <row r="889" spans="1:5" x14ac:dyDescent="0.3">
      <c r="A889" s="4">
        <f t="shared" ca="1" si="65"/>
        <v>43806</v>
      </c>
      <c r="B889" s="5" t="str">
        <f t="shared" ca="1" si="66"/>
        <v>João</v>
      </c>
      <c r="C889" s="7">
        <f t="shared" ca="1" si="67"/>
        <v>4387</v>
      </c>
      <c r="D889" s="5" t="str">
        <f t="shared" ca="1" si="68"/>
        <v>Padronização</v>
      </c>
      <c r="E889" s="3">
        <f t="shared" ca="1" si="69"/>
        <v>12</v>
      </c>
    </row>
    <row r="890" spans="1:5" x14ac:dyDescent="0.3">
      <c r="A890" s="4">
        <f t="shared" ca="1" si="65"/>
        <v>43700</v>
      </c>
      <c r="B890" s="5" t="str">
        <f t="shared" ca="1" si="66"/>
        <v>João</v>
      </c>
      <c r="C890" s="7">
        <f t="shared" ca="1" si="67"/>
        <v>2959</v>
      </c>
      <c r="D890" s="5" t="str">
        <f t="shared" ca="1" si="68"/>
        <v>Finanças</v>
      </c>
      <c r="E890" s="3">
        <f t="shared" ca="1" si="69"/>
        <v>8</v>
      </c>
    </row>
    <row r="891" spans="1:5" x14ac:dyDescent="0.3">
      <c r="A891" s="4">
        <f t="shared" ca="1" si="65"/>
        <v>43772</v>
      </c>
      <c r="B891" s="5" t="str">
        <f t="shared" ca="1" si="66"/>
        <v>Marcelo</v>
      </c>
      <c r="C891" s="7">
        <f t="shared" ca="1" si="67"/>
        <v>2960</v>
      </c>
      <c r="D891" s="5" t="str">
        <f t="shared" ca="1" si="68"/>
        <v>Padronização</v>
      </c>
      <c r="E891" s="3">
        <f t="shared" ca="1" si="69"/>
        <v>11</v>
      </c>
    </row>
    <row r="892" spans="1:5" x14ac:dyDescent="0.3">
      <c r="A892" s="4">
        <f t="shared" ca="1" si="65"/>
        <v>43668</v>
      </c>
      <c r="B892" s="5" t="str">
        <f t="shared" ca="1" si="66"/>
        <v>Joaquina</v>
      </c>
      <c r="C892" s="7">
        <f t="shared" ca="1" si="67"/>
        <v>4132</v>
      </c>
      <c r="D892" s="5" t="str">
        <f t="shared" ca="1" si="68"/>
        <v>Consultoria</v>
      </c>
      <c r="E892" s="3">
        <f t="shared" ca="1" si="69"/>
        <v>7</v>
      </c>
    </row>
    <row r="893" spans="1:5" x14ac:dyDescent="0.3">
      <c r="A893" s="4">
        <f t="shared" ca="1" si="65"/>
        <v>43539</v>
      </c>
      <c r="B893" s="5" t="str">
        <f t="shared" ca="1" si="66"/>
        <v>Marcelo</v>
      </c>
      <c r="C893" s="7">
        <f t="shared" ca="1" si="67"/>
        <v>1738</v>
      </c>
      <c r="D893" s="5" t="str">
        <f t="shared" ca="1" si="68"/>
        <v>Consultoria</v>
      </c>
      <c r="E893" s="3">
        <f t="shared" ca="1" si="69"/>
        <v>3</v>
      </c>
    </row>
    <row r="894" spans="1:5" x14ac:dyDescent="0.3">
      <c r="A894" s="4">
        <f t="shared" ca="1" si="65"/>
        <v>43733</v>
      </c>
      <c r="B894" s="5" t="str">
        <f t="shared" ca="1" si="66"/>
        <v>João</v>
      </c>
      <c r="C894" s="7">
        <f t="shared" ca="1" si="67"/>
        <v>4198</v>
      </c>
      <c r="D894" s="5" t="str">
        <f t="shared" ca="1" si="68"/>
        <v>5S</v>
      </c>
      <c r="E894" s="3">
        <f t="shared" ca="1" si="69"/>
        <v>9</v>
      </c>
    </row>
    <row r="895" spans="1:5" x14ac:dyDescent="0.3">
      <c r="A895" s="4">
        <f t="shared" ca="1" si="65"/>
        <v>43635</v>
      </c>
      <c r="B895" s="5" t="str">
        <f t="shared" ca="1" si="66"/>
        <v>João</v>
      </c>
      <c r="C895" s="7">
        <f t="shared" ca="1" si="67"/>
        <v>2593</v>
      </c>
      <c r="D895" s="5" t="str">
        <f t="shared" ca="1" si="68"/>
        <v>Padronização</v>
      </c>
      <c r="E895" s="3">
        <f t="shared" ca="1" si="69"/>
        <v>6</v>
      </c>
    </row>
    <row r="896" spans="1:5" x14ac:dyDescent="0.3">
      <c r="A896" s="4">
        <f t="shared" ca="1" si="65"/>
        <v>43572</v>
      </c>
      <c r="B896" s="5" t="str">
        <f t="shared" ca="1" si="66"/>
        <v>Marcelo</v>
      </c>
      <c r="C896" s="7">
        <f t="shared" ca="1" si="67"/>
        <v>4062</v>
      </c>
      <c r="D896" s="5" t="str">
        <f t="shared" ca="1" si="68"/>
        <v>Finanças</v>
      </c>
      <c r="E896" s="3">
        <f t="shared" ca="1" si="69"/>
        <v>4</v>
      </c>
    </row>
    <row r="897" spans="1:5" x14ac:dyDescent="0.3">
      <c r="A897" s="4">
        <f t="shared" ca="1" si="65"/>
        <v>43774</v>
      </c>
      <c r="B897" s="5" t="str">
        <f t="shared" ca="1" si="66"/>
        <v>João</v>
      </c>
      <c r="C897" s="7">
        <f t="shared" ca="1" si="67"/>
        <v>1336</v>
      </c>
      <c r="D897" s="5" t="str">
        <f t="shared" ca="1" si="68"/>
        <v>Padronização</v>
      </c>
      <c r="E897" s="3">
        <f t="shared" ca="1" si="69"/>
        <v>11</v>
      </c>
    </row>
    <row r="898" spans="1:5" x14ac:dyDescent="0.3">
      <c r="A898" s="4">
        <f t="shared" ca="1" si="65"/>
        <v>43591</v>
      </c>
      <c r="B898" s="5" t="str">
        <f t="shared" ca="1" si="66"/>
        <v>Maria</v>
      </c>
      <c r="C898" s="7">
        <f t="shared" ca="1" si="67"/>
        <v>1807</v>
      </c>
      <c r="D898" s="5" t="str">
        <f t="shared" ca="1" si="68"/>
        <v>Finanças</v>
      </c>
      <c r="E898" s="3">
        <f t="shared" ca="1" si="69"/>
        <v>5</v>
      </c>
    </row>
    <row r="899" spans="1:5" x14ac:dyDescent="0.3">
      <c r="A899" s="4">
        <f t="shared" ref="A899:A962" ca="1" si="70">RANDBETWEEN($F$1,$F$2)</f>
        <v>43511</v>
      </c>
      <c r="B899" s="5" t="str">
        <f t="shared" ref="B899:B962" ca="1" si="71">VLOOKUP(RANDBETWEEN(1,4),$I$1:$J$4,2,FALSE)</f>
        <v>Maria</v>
      </c>
      <c r="C899" s="7">
        <f t="shared" ref="C899:C962" ca="1" si="72">RANDBETWEEN(1000,5000)</f>
        <v>2122</v>
      </c>
      <c r="D899" s="5" t="str">
        <f t="shared" ref="D899:D962" ca="1" si="73">VLOOKUP(RANDBETWEEN($I$6,$I$9),$I$6:$J$9,2,FALSE)</f>
        <v>Padronização</v>
      </c>
      <c r="E899" s="3">
        <f t="shared" ref="E899:E962" ca="1" si="74">MONTH(A899)</f>
        <v>2</v>
      </c>
    </row>
    <row r="900" spans="1:5" x14ac:dyDescent="0.3">
      <c r="A900" s="4">
        <f t="shared" ca="1" si="70"/>
        <v>43803</v>
      </c>
      <c r="B900" s="5" t="str">
        <f t="shared" ca="1" si="71"/>
        <v>João</v>
      </c>
      <c r="C900" s="7">
        <f t="shared" ca="1" si="72"/>
        <v>2877</v>
      </c>
      <c r="D900" s="5" t="str">
        <f t="shared" ca="1" si="73"/>
        <v>Padronização</v>
      </c>
      <c r="E900" s="3">
        <f t="shared" ca="1" si="74"/>
        <v>12</v>
      </c>
    </row>
    <row r="901" spans="1:5" x14ac:dyDescent="0.3">
      <c r="A901" s="4">
        <f t="shared" ca="1" si="70"/>
        <v>43634</v>
      </c>
      <c r="B901" s="5" t="str">
        <f t="shared" ca="1" si="71"/>
        <v>Marcelo</v>
      </c>
      <c r="C901" s="7">
        <f t="shared" ca="1" si="72"/>
        <v>1687</v>
      </c>
      <c r="D901" s="5" t="str">
        <f t="shared" ca="1" si="73"/>
        <v>Finanças</v>
      </c>
      <c r="E901" s="3">
        <f t="shared" ca="1" si="74"/>
        <v>6</v>
      </c>
    </row>
    <row r="902" spans="1:5" x14ac:dyDescent="0.3">
      <c r="A902" s="4">
        <f t="shared" ca="1" si="70"/>
        <v>43802</v>
      </c>
      <c r="B902" s="5" t="str">
        <f t="shared" ca="1" si="71"/>
        <v>Maria</v>
      </c>
      <c r="C902" s="7">
        <f t="shared" ca="1" si="72"/>
        <v>3058</v>
      </c>
      <c r="D902" s="5" t="str">
        <f t="shared" ca="1" si="73"/>
        <v>Finanças</v>
      </c>
      <c r="E902" s="3">
        <f t="shared" ca="1" si="74"/>
        <v>12</v>
      </c>
    </row>
    <row r="903" spans="1:5" x14ac:dyDescent="0.3">
      <c r="A903" s="4">
        <f t="shared" ca="1" si="70"/>
        <v>43528</v>
      </c>
      <c r="B903" s="5" t="str">
        <f t="shared" ca="1" si="71"/>
        <v>Joaquina</v>
      </c>
      <c r="C903" s="7">
        <f t="shared" ca="1" si="72"/>
        <v>1858</v>
      </c>
      <c r="D903" s="5" t="str">
        <f t="shared" ca="1" si="73"/>
        <v>Padronização</v>
      </c>
      <c r="E903" s="3">
        <f t="shared" ca="1" si="74"/>
        <v>3</v>
      </c>
    </row>
    <row r="904" spans="1:5" x14ac:dyDescent="0.3">
      <c r="A904" s="4">
        <f t="shared" ca="1" si="70"/>
        <v>43570</v>
      </c>
      <c r="B904" s="5" t="str">
        <f t="shared" ca="1" si="71"/>
        <v>Maria</v>
      </c>
      <c r="C904" s="7">
        <f t="shared" ca="1" si="72"/>
        <v>1117</v>
      </c>
      <c r="D904" s="5" t="str">
        <f t="shared" ca="1" si="73"/>
        <v>Padronização</v>
      </c>
      <c r="E904" s="3">
        <f t="shared" ca="1" si="74"/>
        <v>4</v>
      </c>
    </row>
    <row r="905" spans="1:5" x14ac:dyDescent="0.3">
      <c r="A905" s="4">
        <f t="shared" ca="1" si="70"/>
        <v>43610</v>
      </c>
      <c r="B905" s="5" t="str">
        <f t="shared" ca="1" si="71"/>
        <v>Marcelo</v>
      </c>
      <c r="C905" s="7">
        <f t="shared" ca="1" si="72"/>
        <v>3153</v>
      </c>
      <c r="D905" s="5" t="str">
        <f t="shared" ca="1" si="73"/>
        <v>5S</v>
      </c>
      <c r="E905" s="3">
        <f t="shared" ca="1" si="74"/>
        <v>5</v>
      </c>
    </row>
    <row r="906" spans="1:5" x14ac:dyDescent="0.3">
      <c r="A906" s="4">
        <f t="shared" ca="1" si="70"/>
        <v>43689</v>
      </c>
      <c r="B906" s="5" t="str">
        <f t="shared" ca="1" si="71"/>
        <v>Maria</v>
      </c>
      <c r="C906" s="7">
        <f t="shared" ca="1" si="72"/>
        <v>2495</v>
      </c>
      <c r="D906" s="5" t="str">
        <f t="shared" ca="1" si="73"/>
        <v>Padronização</v>
      </c>
      <c r="E906" s="3">
        <f t="shared" ca="1" si="74"/>
        <v>8</v>
      </c>
    </row>
    <row r="907" spans="1:5" x14ac:dyDescent="0.3">
      <c r="A907" s="4">
        <f t="shared" ca="1" si="70"/>
        <v>43820</v>
      </c>
      <c r="B907" s="5" t="str">
        <f t="shared" ca="1" si="71"/>
        <v>Maria</v>
      </c>
      <c r="C907" s="7">
        <f t="shared" ca="1" si="72"/>
        <v>4130</v>
      </c>
      <c r="D907" s="5" t="str">
        <f t="shared" ca="1" si="73"/>
        <v>Consultoria</v>
      </c>
      <c r="E907" s="3">
        <f t="shared" ca="1" si="74"/>
        <v>12</v>
      </c>
    </row>
    <row r="908" spans="1:5" x14ac:dyDescent="0.3">
      <c r="A908" s="4">
        <f t="shared" ca="1" si="70"/>
        <v>43710</v>
      </c>
      <c r="B908" s="5" t="str">
        <f t="shared" ca="1" si="71"/>
        <v>João</v>
      </c>
      <c r="C908" s="7">
        <f t="shared" ca="1" si="72"/>
        <v>2469</v>
      </c>
      <c r="D908" s="5" t="str">
        <f t="shared" ca="1" si="73"/>
        <v>Finanças</v>
      </c>
      <c r="E908" s="3">
        <f t="shared" ca="1" si="74"/>
        <v>9</v>
      </c>
    </row>
    <row r="909" spans="1:5" x14ac:dyDescent="0.3">
      <c r="A909" s="4">
        <f t="shared" ca="1" si="70"/>
        <v>43660</v>
      </c>
      <c r="B909" s="5" t="str">
        <f t="shared" ca="1" si="71"/>
        <v>Joaquina</v>
      </c>
      <c r="C909" s="7">
        <f t="shared" ca="1" si="72"/>
        <v>3921</v>
      </c>
      <c r="D909" s="5" t="str">
        <f t="shared" ca="1" si="73"/>
        <v>Consultoria</v>
      </c>
      <c r="E909" s="3">
        <f t="shared" ca="1" si="74"/>
        <v>7</v>
      </c>
    </row>
    <row r="910" spans="1:5" x14ac:dyDescent="0.3">
      <c r="A910" s="4">
        <f t="shared" ca="1" si="70"/>
        <v>43535</v>
      </c>
      <c r="B910" s="5" t="str">
        <f t="shared" ca="1" si="71"/>
        <v>Joaquina</v>
      </c>
      <c r="C910" s="7">
        <f t="shared" ca="1" si="72"/>
        <v>3184</v>
      </c>
      <c r="D910" s="5" t="str">
        <f t="shared" ca="1" si="73"/>
        <v>Finanças</v>
      </c>
      <c r="E910" s="3">
        <f t="shared" ca="1" si="74"/>
        <v>3</v>
      </c>
    </row>
    <row r="911" spans="1:5" x14ac:dyDescent="0.3">
      <c r="A911" s="4">
        <f t="shared" ca="1" si="70"/>
        <v>43691</v>
      </c>
      <c r="B911" s="5" t="str">
        <f t="shared" ca="1" si="71"/>
        <v>João</v>
      </c>
      <c r="C911" s="7">
        <f t="shared" ca="1" si="72"/>
        <v>3142</v>
      </c>
      <c r="D911" s="5" t="str">
        <f t="shared" ca="1" si="73"/>
        <v>5S</v>
      </c>
      <c r="E911" s="3">
        <f t="shared" ca="1" si="74"/>
        <v>8</v>
      </c>
    </row>
    <row r="912" spans="1:5" x14ac:dyDescent="0.3">
      <c r="A912" s="4">
        <f t="shared" ca="1" si="70"/>
        <v>43827</v>
      </c>
      <c r="B912" s="5" t="str">
        <f t="shared" ca="1" si="71"/>
        <v>João</v>
      </c>
      <c r="C912" s="7">
        <f t="shared" ca="1" si="72"/>
        <v>1096</v>
      </c>
      <c r="D912" s="5" t="str">
        <f t="shared" ca="1" si="73"/>
        <v>Consultoria</v>
      </c>
      <c r="E912" s="3">
        <f t="shared" ca="1" si="74"/>
        <v>12</v>
      </c>
    </row>
    <row r="913" spans="1:5" x14ac:dyDescent="0.3">
      <c r="A913" s="4">
        <f t="shared" ca="1" si="70"/>
        <v>43689</v>
      </c>
      <c r="B913" s="5" t="str">
        <f t="shared" ca="1" si="71"/>
        <v>Marcelo</v>
      </c>
      <c r="C913" s="7">
        <f t="shared" ca="1" si="72"/>
        <v>2729</v>
      </c>
      <c r="D913" s="5" t="str">
        <f t="shared" ca="1" si="73"/>
        <v>Finanças</v>
      </c>
      <c r="E913" s="3">
        <f t="shared" ca="1" si="74"/>
        <v>8</v>
      </c>
    </row>
    <row r="914" spans="1:5" x14ac:dyDescent="0.3">
      <c r="A914" s="4">
        <f t="shared" ca="1" si="70"/>
        <v>43512</v>
      </c>
      <c r="B914" s="5" t="str">
        <f t="shared" ca="1" si="71"/>
        <v>Marcelo</v>
      </c>
      <c r="C914" s="7">
        <f t="shared" ca="1" si="72"/>
        <v>2544</v>
      </c>
      <c r="D914" s="5" t="str">
        <f t="shared" ca="1" si="73"/>
        <v>Finanças</v>
      </c>
      <c r="E914" s="3">
        <f t="shared" ca="1" si="74"/>
        <v>2</v>
      </c>
    </row>
    <row r="915" spans="1:5" x14ac:dyDescent="0.3">
      <c r="A915" s="4">
        <f t="shared" ca="1" si="70"/>
        <v>43553</v>
      </c>
      <c r="B915" s="5" t="str">
        <f t="shared" ca="1" si="71"/>
        <v>Marcelo</v>
      </c>
      <c r="C915" s="7">
        <f t="shared" ca="1" si="72"/>
        <v>2056</v>
      </c>
      <c r="D915" s="5" t="str">
        <f t="shared" ca="1" si="73"/>
        <v>Consultoria</v>
      </c>
      <c r="E915" s="3">
        <f t="shared" ca="1" si="74"/>
        <v>3</v>
      </c>
    </row>
    <row r="916" spans="1:5" x14ac:dyDescent="0.3">
      <c r="A916" s="4">
        <f t="shared" ca="1" si="70"/>
        <v>43604</v>
      </c>
      <c r="B916" s="5" t="str">
        <f t="shared" ca="1" si="71"/>
        <v>João</v>
      </c>
      <c r="C916" s="7">
        <f t="shared" ca="1" si="72"/>
        <v>4539</v>
      </c>
      <c r="D916" s="5" t="str">
        <f t="shared" ca="1" si="73"/>
        <v>Consultoria</v>
      </c>
      <c r="E916" s="3">
        <f t="shared" ca="1" si="74"/>
        <v>5</v>
      </c>
    </row>
    <row r="917" spans="1:5" x14ac:dyDescent="0.3">
      <c r="A917" s="4">
        <f t="shared" ca="1" si="70"/>
        <v>43674</v>
      </c>
      <c r="B917" s="5" t="str">
        <f t="shared" ca="1" si="71"/>
        <v>João</v>
      </c>
      <c r="C917" s="7">
        <f t="shared" ca="1" si="72"/>
        <v>1729</v>
      </c>
      <c r="D917" s="5" t="str">
        <f t="shared" ca="1" si="73"/>
        <v>Finanças</v>
      </c>
      <c r="E917" s="3">
        <f t="shared" ca="1" si="74"/>
        <v>7</v>
      </c>
    </row>
    <row r="918" spans="1:5" x14ac:dyDescent="0.3">
      <c r="A918" s="4">
        <f t="shared" ca="1" si="70"/>
        <v>43593</v>
      </c>
      <c r="B918" s="5" t="str">
        <f t="shared" ca="1" si="71"/>
        <v>Joaquina</v>
      </c>
      <c r="C918" s="7">
        <f t="shared" ca="1" si="72"/>
        <v>3733</v>
      </c>
      <c r="D918" s="5" t="str">
        <f t="shared" ca="1" si="73"/>
        <v>Finanças</v>
      </c>
      <c r="E918" s="3">
        <f t="shared" ca="1" si="74"/>
        <v>5</v>
      </c>
    </row>
    <row r="919" spans="1:5" x14ac:dyDescent="0.3">
      <c r="A919" s="4">
        <f t="shared" ca="1" si="70"/>
        <v>43615</v>
      </c>
      <c r="B919" s="5" t="str">
        <f t="shared" ca="1" si="71"/>
        <v>Joaquina</v>
      </c>
      <c r="C919" s="7">
        <f t="shared" ca="1" si="72"/>
        <v>4627</v>
      </c>
      <c r="D919" s="5" t="str">
        <f t="shared" ca="1" si="73"/>
        <v>Finanças</v>
      </c>
      <c r="E919" s="3">
        <f t="shared" ca="1" si="74"/>
        <v>5</v>
      </c>
    </row>
    <row r="920" spans="1:5" x14ac:dyDescent="0.3">
      <c r="A920" s="4">
        <f t="shared" ca="1" si="70"/>
        <v>43792</v>
      </c>
      <c r="B920" s="5" t="str">
        <f t="shared" ca="1" si="71"/>
        <v>Marcelo</v>
      </c>
      <c r="C920" s="7">
        <f t="shared" ca="1" si="72"/>
        <v>1935</v>
      </c>
      <c r="D920" s="5" t="str">
        <f t="shared" ca="1" si="73"/>
        <v>Padronização</v>
      </c>
      <c r="E920" s="3">
        <f t="shared" ca="1" si="74"/>
        <v>11</v>
      </c>
    </row>
    <row r="921" spans="1:5" x14ac:dyDescent="0.3">
      <c r="A921" s="4">
        <f t="shared" ca="1" si="70"/>
        <v>43674</v>
      </c>
      <c r="B921" s="5" t="str">
        <f t="shared" ca="1" si="71"/>
        <v>João</v>
      </c>
      <c r="C921" s="7">
        <f t="shared" ca="1" si="72"/>
        <v>4448</v>
      </c>
      <c r="D921" s="5" t="str">
        <f t="shared" ca="1" si="73"/>
        <v>Finanças</v>
      </c>
      <c r="E921" s="3">
        <f t="shared" ca="1" si="74"/>
        <v>7</v>
      </c>
    </row>
    <row r="922" spans="1:5" x14ac:dyDescent="0.3">
      <c r="A922" s="4">
        <f t="shared" ca="1" si="70"/>
        <v>43628</v>
      </c>
      <c r="B922" s="5" t="str">
        <f t="shared" ca="1" si="71"/>
        <v>Maria</v>
      </c>
      <c r="C922" s="7">
        <f t="shared" ca="1" si="72"/>
        <v>3659</v>
      </c>
      <c r="D922" s="5" t="str">
        <f t="shared" ca="1" si="73"/>
        <v>5S</v>
      </c>
      <c r="E922" s="3">
        <f t="shared" ca="1" si="74"/>
        <v>6</v>
      </c>
    </row>
    <row r="923" spans="1:5" x14ac:dyDescent="0.3">
      <c r="A923" s="4">
        <f t="shared" ca="1" si="70"/>
        <v>43710</v>
      </c>
      <c r="B923" s="5" t="str">
        <f t="shared" ca="1" si="71"/>
        <v>Marcelo</v>
      </c>
      <c r="C923" s="7">
        <f t="shared" ca="1" si="72"/>
        <v>3133</v>
      </c>
      <c r="D923" s="5" t="str">
        <f t="shared" ca="1" si="73"/>
        <v>Padronização</v>
      </c>
      <c r="E923" s="3">
        <f t="shared" ca="1" si="74"/>
        <v>9</v>
      </c>
    </row>
    <row r="924" spans="1:5" x14ac:dyDescent="0.3">
      <c r="A924" s="4">
        <f t="shared" ca="1" si="70"/>
        <v>43725</v>
      </c>
      <c r="B924" s="5" t="str">
        <f t="shared" ca="1" si="71"/>
        <v>Marcelo</v>
      </c>
      <c r="C924" s="7">
        <f t="shared" ca="1" si="72"/>
        <v>4366</v>
      </c>
      <c r="D924" s="5" t="str">
        <f t="shared" ca="1" si="73"/>
        <v>Consultoria</v>
      </c>
      <c r="E924" s="3">
        <f t="shared" ca="1" si="74"/>
        <v>9</v>
      </c>
    </row>
    <row r="925" spans="1:5" x14ac:dyDescent="0.3">
      <c r="A925" s="4">
        <f t="shared" ca="1" si="70"/>
        <v>43787</v>
      </c>
      <c r="B925" s="5" t="str">
        <f t="shared" ca="1" si="71"/>
        <v>Joaquina</v>
      </c>
      <c r="C925" s="7">
        <f t="shared" ca="1" si="72"/>
        <v>2567</v>
      </c>
      <c r="D925" s="5" t="str">
        <f t="shared" ca="1" si="73"/>
        <v>Finanças</v>
      </c>
      <c r="E925" s="3">
        <f t="shared" ca="1" si="74"/>
        <v>11</v>
      </c>
    </row>
    <row r="926" spans="1:5" x14ac:dyDescent="0.3">
      <c r="A926" s="4">
        <f t="shared" ca="1" si="70"/>
        <v>43701</v>
      </c>
      <c r="B926" s="5" t="str">
        <f t="shared" ca="1" si="71"/>
        <v>João</v>
      </c>
      <c r="C926" s="7">
        <f t="shared" ca="1" si="72"/>
        <v>1364</v>
      </c>
      <c r="D926" s="5" t="str">
        <f t="shared" ca="1" si="73"/>
        <v>Finanças</v>
      </c>
      <c r="E926" s="3">
        <f t="shared" ca="1" si="74"/>
        <v>8</v>
      </c>
    </row>
    <row r="927" spans="1:5" x14ac:dyDescent="0.3">
      <c r="A927" s="4">
        <f t="shared" ca="1" si="70"/>
        <v>43652</v>
      </c>
      <c r="B927" s="5" t="str">
        <f t="shared" ca="1" si="71"/>
        <v>Joaquina</v>
      </c>
      <c r="C927" s="7">
        <f t="shared" ca="1" si="72"/>
        <v>2643</v>
      </c>
      <c r="D927" s="5" t="str">
        <f t="shared" ca="1" si="73"/>
        <v>Padronização</v>
      </c>
      <c r="E927" s="3">
        <f t="shared" ca="1" si="74"/>
        <v>7</v>
      </c>
    </row>
    <row r="928" spans="1:5" x14ac:dyDescent="0.3">
      <c r="A928" s="4">
        <f t="shared" ca="1" si="70"/>
        <v>43560</v>
      </c>
      <c r="B928" s="5" t="str">
        <f t="shared" ca="1" si="71"/>
        <v>Maria</v>
      </c>
      <c r="C928" s="7">
        <f t="shared" ca="1" si="72"/>
        <v>1862</v>
      </c>
      <c r="D928" s="5" t="str">
        <f t="shared" ca="1" si="73"/>
        <v>Padronização</v>
      </c>
      <c r="E928" s="3">
        <f t="shared" ca="1" si="74"/>
        <v>4</v>
      </c>
    </row>
    <row r="929" spans="1:5" x14ac:dyDescent="0.3">
      <c r="A929" s="4">
        <f t="shared" ca="1" si="70"/>
        <v>43815</v>
      </c>
      <c r="B929" s="5" t="str">
        <f t="shared" ca="1" si="71"/>
        <v>Maria</v>
      </c>
      <c r="C929" s="7">
        <f t="shared" ca="1" si="72"/>
        <v>3638</v>
      </c>
      <c r="D929" s="5" t="str">
        <f t="shared" ca="1" si="73"/>
        <v>5S</v>
      </c>
      <c r="E929" s="3">
        <f t="shared" ca="1" si="74"/>
        <v>12</v>
      </c>
    </row>
    <row r="930" spans="1:5" x14ac:dyDescent="0.3">
      <c r="A930" s="4">
        <f t="shared" ca="1" si="70"/>
        <v>43713</v>
      </c>
      <c r="B930" s="5" t="str">
        <f t="shared" ca="1" si="71"/>
        <v>Maria</v>
      </c>
      <c r="C930" s="7">
        <f t="shared" ca="1" si="72"/>
        <v>1192</v>
      </c>
      <c r="D930" s="5" t="str">
        <f t="shared" ca="1" si="73"/>
        <v>Consultoria</v>
      </c>
      <c r="E930" s="3">
        <f t="shared" ca="1" si="74"/>
        <v>9</v>
      </c>
    </row>
    <row r="931" spans="1:5" x14ac:dyDescent="0.3">
      <c r="A931" s="4">
        <f t="shared" ca="1" si="70"/>
        <v>43748</v>
      </c>
      <c r="B931" s="5" t="str">
        <f t="shared" ca="1" si="71"/>
        <v>João</v>
      </c>
      <c r="C931" s="7">
        <f t="shared" ca="1" si="72"/>
        <v>2586</v>
      </c>
      <c r="D931" s="5" t="str">
        <f t="shared" ca="1" si="73"/>
        <v>Finanças</v>
      </c>
      <c r="E931" s="3">
        <f t="shared" ca="1" si="74"/>
        <v>10</v>
      </c>
    </row>
    <row r="932" spans="1:5" x14ac:dyDescent="0.3">
      <c r="A932" s="4">
        <f t="shared" ca="1" si="70"/>
        <v>43804</v>
      </c>
      <c r="B932" s="5" t="str">
        <f t="shared" ca="1" si="71"/>
        <v>João</v>
      </c>
      <c r="C932" s="7">
        <f t="shared" ca="1" si="72"/>
        <v>1636</v>
      </c>
      <c r="D932" s="5" t="str">
        <f t="shared" ca="1" si="73"/>
        <v>Padronização</v>
      </c>
      <c r="E932" s="3">
        <f t="shared" ca="1" si="74"/>
        <v>12</v>
      </c>
    </row>
    <row r="933" spans="1:5" x14ac:dyDescent="0.3">
      <c r="A933" s="4">
        <f t="shared" ca="1" si="70"/>
        <v>43477</v>
      </c>
      <c r="B933" s="5" t="str">
        <f t="shared" ca="1" si="71"/>
        <v>João</v>
      </c>
      <c r="C933" s="7">
        <f t="shared" ca="1" si="72"/>
        <v>3066</v>
      </c>
      <c r="D933" s="5" t="str">
        <f t="shared" ca="1" si="73"/>
        <v>Finanças</v>
      </c>
      <c r="E933" s="3">
        <f t="shared" ca="1" si="74"/>
        <v>1</v>
      </c>
    </row>
    <row r="934" spans="1:5" x14ac:dyDescent="0.3">
      <c r="A934" s="4">
        <f t="shared" ca="1" si="70"/>
        <v>43794</v>
      </c>
      <c r="B934" s="5" t="str">
        <f t="shared" ca="1" si="71"/>
        <v>Joaquina</v>
      </c>
      <c r="C934" s="7">
        <f t="shared" ca="1" si="72"/>
        <v>4355</v>
      </c>
      <c r="D934" s="5" t="str">
        <f t="shared" ca="1" si="73"/>
        <v>Consultoria</v>
      </c>
      <c r="E934" s="3">
        <f t="shared" ca="1" si="74"/>
        <v>11</v>
      </c>
    </row>
    <row r="935" spans="1:5" x14ac:dyDescent="0.3">
      <c r="A935" s="4">
        <f t="shared" ca="1" si="70"/>
        <v>43479</v>
      </c>
      <c r="B935" s="5" t="str">
        <f t="shared" ca="1" si="71"/>
        <v>João</v>
      </c>
      <c r="C935" s="7">
        <f t="shared" ca="1" si="72"/>
        <v>3002</v>
      </c>
      <c r="D935" s="5" t="str">
        <f t="shared" ca="1" si="73"/>
        <v>5S</v>
      </c>
      <c r="E935" s="3">
        <f t="shared" ca="1" si="74"/>
        <v>1</v>
      </c>
    </row>
    <row r="936" spans="1:5" x14ac:dyDescent="0.3">
      <c r="A936" s="4">
        <f t="shared" ca="1" si="70"/>
        <v>43665</v>
      </c>
      <c r="B936" s="5" t="str">
        <f t="shared" ca="1" si="71"/>
        <v>Joaquina</v>
      </c>
      <c r="C936" s="7">
        <f t="shared" ca="1" si="72"/>
        <v>2679</v>
      </c>
      <c r="D936" s="5" t="str">
        <f t="shared" ca="1" si="73"/>
        <v>Finanças</v>
      </c>
      <c r="E936" s="3">
        <f t="shared" ca="1" si="74"/>
        <v>7</v>
      </c>
    </row>
    <row r="937" spans="1:5" x14ac:dyDescent="0.3">
      <c r="A937" s="4">
        <f t="shared" ca="1" si="70"/>
        <v>43756</v>
      </c>
      <c r="B937" s="5" t="str">
        <f t="shared" ca="1" si="71"/>
        <v>Marcelo</v>
      </c>
      <c r="C937" s="7">
        <f t="shared" ca="1" si="72"/>
        <v>4249</v>
      </c>
      <c r="D937" s="5" t="str">
        <f t="shared" ca="1" si="73"/>
        <v>Consultoria</v>
      </c>
      <c r="E937" s="3">
        <f t="shared" ca="1" si="74"/>
        <v>10</v>
      </c>
    </row>
    <row r="938" spans="1:5" x14ac:dyDescent="0.3">
      <c r="A938" s="4">
        <f t="shared" ca="1" si="70"/>
        <v>43697</v>
      </c>
      <c r="B938" s="5" t="str">
        <f t="shared" ca="1" si="71"/>
        <v>Maria</v>
      </c>
      <c r="C938" s="7">
        <f t="shared" ca="1" si="72"/>
        <v>3112</v>
      </c>
      <c r="D938" s="5" t="str">
        <f t="shared" ca="1" si="73"/>
        <v>Padronização</v>
      </c>
      <c r="E938" s="3">
        <f t="shared" ca="1" si="74"/>
        <v>8</v>
      </c>
    </row>
    <row r="939" spans="1:5" x14ac:dyDescent="0.3">
      <c r="A939" s="4">
        <f t="shared" ca="1" si="70"/>
        <v>43572</v>
      </c>
      <c r="B939" s="5" t="str">
        <f t="shared" ca="1" si="71"/>
        <v>Maria</v>
      </c>
      <c r="C939" s="7">
        <f t="shared" ca="1" si="72"/>
        <v>4888</v>
      </c>
      <c r="D939" s="5" t="str">
        <f t="shared" ca="1" si="73"/>
        <v>Consultoria</v>
      </c>
      <c r="E939" s="3">
        <f t="shared" ca="1" si="74"/>
        <v>4</v>
      </c>
    </row>
    <row r="940" spans="1:5" x14ac:dyDescent="0.3">
      <c r="A940" s="4">
        <f t="shared" ca="1" si="70"/>
        <v>43502</v>
      </c>
      <c r="B940" s="5" t="str">
        <f t="shared" ca="1" si="71"/>
        <v>Joaquina</v>
      </c>
      <c r="C940" s="7">
        <f t="shared" ca="1" si="72"/>
        <v>3523</v>
      </c>
      <c r="D940" s="5" t="str">
        <f t="shared" ca="1" si="73"/>
        <v>Padronização</v>
      </c>
      <c r="E940" s="3">
        <f t="shared" ca="1" si="74"/>
        <v>2</v>
      </c>
    </row>
    <row r="941" spans="1:5" x14ac:dyDescent="0.3">
      <c r="A941" s="4">
        <f t="shared" ca="1" si="70"/>
        <v>43818</v>
      </c>
      <c r="B941" s="5" t="str">
        <f t="shared" ca="1" si="71"/>
        <v>Maria</v>
      </c>
      <c r="C941" s="7">
        <f t="shared" ca="1" si="72"/>
        <v>3125</v>
      </c>
      <c r="D941" s="5" t="str">
        <f t="shared" ca="1" si="73"/>
        <v>Padronização</v>
      </c>
      <c r="E941" s="3">
        <f t="shared" ca="1" si="74"/>
        <v>12</v>
      </c>
    </row>
    <row r="942" spans="1:5" x14ac:dyDescent="0.3">
      <c r="A942" s="4">
        <f t="shared" ca="1" si="70"/>
        <v>43678</v>
      </c>
      <c r="B942" s="5" t="str">
        <f t="shared" ca="1" si="71"/>
        <v>Marcelo</v>
      </c>
      <c r="C942" s="7">
        <f t="shared" ca="1" si="72"/>
        <v>3823</v>
      </c>
      <c r="D942" s="5" t="str">
        <f t="shared" ca="1" si="73"/>
        <v>Consultoria</v>
      </c>
      <c r="E942" s="3">
        <f t="shared" ca="1" si="74"/>
        <v>8</v>
      </c>
    </row>
    <row r="943" spans="1:5" x14ac:dyDescent="0.3">
      <c r="A943" s="4">
        <f t="shared" ca="1" si="70"/>
        <v>43720</v>
      </c>
      <c r="B943" s="5" t="str">
        <f t="shared" ca="1" si="71"/>
        <v>João</v>
      </c>
      <c r="C943" s="7">
        <f t="shared" ca="1" si="72"/>
        <v>3332</v>
      </c>
      <c r="D943" s="5" t="str">
        <f t="shared" ca="1" si="73"/>
        <v>Padronização</v>
      </c>
      <c r="E943" s="3">
        <f t="shared" ca="1" si="74"/>
        <v>9</v>
      </c>
    </row>
    <row r="944" spans="1:5" x14ac:dyDescent="0.3">
      <c r="A944" s="4">
        <f t="shared" ca="1" si="70"/>
        <v>43491</v>
      </c>
      <c r="B944" s="5" t="str">
        <f t="shared" ca="1" si="71"/>
        <v>João</v>
      </c>
      <c r="C944" s="7">
        <f t="shared" ca="1" si="72"/>
        <v>3310</v>
      </c>
      <c r="D944" s="5" t="str">
        <f t="shared" ca="1" si="73"/>
        <v>Consultoria</v>
      </c>
      <c r="E944" s="3">
        <f t="shared" ca="1" si="74"/>
        <v>1</v>
      </c>
    </row>
    <row r="945" spans="1:5" x14ac:dyDescent="0.3">
      <c r="A945" s="4">
        <f t="shared" ca="1" si="70"/>
        <v>43549</v>
      </c>
      <c r="B945" s="5" t="str">
        <f t="shared" ca="1" si="71"/>
        <v>Joaquina</v>
      </c>
      <c r="C945" s="7">
        <f t="shared" ca="1" si="72"/>
        <v>2388</v>
      </c>
      <c r="D945" s="5" t="str">
        <f t="shared" ca="1" si="73"/>
        <v>Consultoria</v>
      </c>
      <c r="E945" s="3">
        <f t="shared" ca="1" si="74"/>
        <v>3</v>
      </c>
    </row>
    <row r="946" spans="1:5" x14ac:dyDescent="0.3">
      <c r="A946" s="4">
        <f t="shared" ca="1" si="70"/>
        <v>43777</v>
      </c>
      <c r="B946" s="5" t="str">
        <f t="shared" ca="1" si="71"/>
        <v>Joaquina</v>
      </c>
      <c r="C946" s="7">
        <f t="shared" ca="1" si="72"/>
        <v>2718</v>
      </c>
      <c r="D946" s="5" t="str">
        <f t="shared" ca="1" si="73"/>
        <v>Finanças</v>
      </c>
      <c r="E946" s="3">
        <f t="shared" ca="1" si="74"/>
        <v>11</v>
      </c>
    </row>
    <row r="947" spans="1:5" x14ac:dyDescent="0.3">
      <c r="A947" s="4">
        <f t="shared" ca="1" si="70"/>
        <v>43743</v>
      </c>
      <c r="B947" s="5" t="str">
        <f t="shared" ca="1" si="71"/>
        <v>Maria</v>
      </c>
      <c r="C947" s="7">
        <f t="shared" ca="1" si="72"/>
        <v>4411</v>
      </c>
      <c r="D947" s="5" t="str">
        <f t="shared" ca="1" si="73"/>
        <v>Consultoria</v>
      </c>
      <c r="E947" s="3">
        <f t="shared" ca="1" si="74"/>
        <v>10</v>
      </c>
    </row>
    <row r="948" spans="1:5" x14ac:dyDescent="0.3">
      <c r="A948" s="4">
        <f t="shared" ca="1" si="70"/>
        <v>43813</v>
      </c>
      <c r="B948" s="5" t="str">
        <f t="shared" ca="1" si="71"/>
        <v>Maria</v>
      </c>
      <c r="C948" s="7">
        <f t="shared" ca="1" si="72"/>
        <v>2429</v>
      </c>
      <c r="D948" s="5" t="str">
        <f t="shared" ca="1" si="73"/>
        <v>Padronização</v>
      </c>
      <c r="E948" s="3">
        <f t="shared" ca="1" si="74"/>
        <v>12</v>
      </c>
    </row>
    <row r="949" spans="1:5" x14ac:dyDescent="0.3">
      <c r="A949" s="4">
        <f t="shared" ca="1" si="70"/>
        <v>43640</v>
      </c>
      <c r="B949" s="5" t="str">
        <f t="shared" ca="1" si="71"/>
        <v>Marcelo</v>
      </c>
      <c r="C949" s="7">
        <f t="shared" ca="1" si="72"/>
        <v>2409</v>
      </c>
      <c r="D949" s="5" t="str">
        <f t="shared" ca="1" si="73"/>
        <v>Finanças</v>
      </c>
      <c r="E949" s="3">
        <f t="shared" ca="1" si="74"/>
        <v>6</v>
      </c>
    </row>
    <row r="950" spans="1:5" x14ac:dyDescent="0.3">
      <c r="A950" s="4">
        <f t="shared" ca="1" si="70"/>
        <v>43505</v>
      </c>
      <c r="B950" s="5" t="str">
        <f t="shared" ca="1" si="71"/>
        <v>Marcelo</v>
      </c>
      <c r="C950" s="7">
        <f t="shared" ca="1" si="72"/>
        <v>1381</v>
      </c>
      <c r="D950" s="5" t="str">
        <f t="shared" ca="1" si="73"/>
        <v>Padronização</v>
      </c>
      <c r="E950" s="3">
        <f t="shared" ca="1" si="74"/>
        <v>2</v>
      </c>
    </row>
    <row r="951" spans="1:5" x14ac:dyDescent="0.3">
      <c r="A951" s="4">
        <f t="shared" ca="1" si="70"/>
        <v>43719</v>
      </c>
      <c r="B951" s="5" t="str">
        <f t="shared" ca="1" si="71"/>
        <v>Joaquina</v>
      </c>
      <c r="C951" s="7">
        <f t="shared" ca="1" si="72"/>
        <v>3647</v>
      </c>
      <c r="D951" s="5" t="str">
        <f t="shared" ca="1" si="73"/>
        <v>Padronização</v>
      </c>
      <c r="E951" s="3">
        <f t="shared" ca="1" si="74"/>
        <v>9</v>
      </c>
    </row>
    <row r="952" spans="1:5" x14ac:dyDescent="0.3">
      <c r="A952" s="4">
        <f t="shared" ca="1" si="70"/>
        <v>43717</v>
      </c>
      <c r="B952" s="5" t="str">
        <f t="shared" ca="1" si="71"/>
        <v>João</v>
      </c>
      <c r="C952" s="7">
        <f t="shared" ca="1" si="72"/>
        <v>4094</v>
      </c>
      <c r="D952" s="5" t="str">
        <f t="shared" ca="1" si="73"/>
        <v>Finanças</v>
      </c>
      <c r="E952" s="3">
        <f t="shared" ca="1" si="74"/>
        <v>9</v>
      </c>
    </row>
    <row r="953" spans="1:5" x14ac:dyDescent="0.3">
      <c r="A953" s="4">
        <f t="shared" ca="1" si="70"/>
        <v>43581</v>
      </c>
      <c r="B953" s="5" t="str">
        <f t="shared" ca="1" si="71"/>
        <v>Maria</v>
      </c>
      <c r="C953" s="7">
        <f t="shared" ca="1" si="72"/>
        <v>3985</v>
      </c>
      <c r="D953" s="5" t="str">
        <f t="shared" ca="1" si="73"/>
        <v>Padronização</v>
      </c>
      <c r="E953" s="3">
        <f t="shared" ca="1" si="74"/>
        <v>4</v>
      </c>
    </row>
    <row r="954" spans="1:5" x14ac:dyDescent="0.3">
      <c r="A954" s="4">
        <f t="shared" ca="1" si="70"/>
        <v>43637</v>
      </c>
      <c r="B954" s="5" t="str">
        <f t="shared" ca="1" si="71"/>
        <v>João</v>
      </c>
      <c r="C954" s="7">
        <f t="shared" ca="1" si="72"/>
        <v>1278</v>
      </c>
      <c r="D954" s="5" t="str">
        <f t="shared" ca="1" si="73"/>
        <v>Consultoria</v>
      </c>
      <c r="E954" s="3">
        <f t="shared" ca="1" si="74"/>
        <v>6</v>
      </c>
    </row>
    <row r="955" spans="1:5" x14ac:dyDescent="0.3">
      <c r="A955" s="4">
        <f t="shared" ca="1" si="70"/>
        <v>43596</v>
      </c>
      <c r="B955" s="5" t="str">
        <f t="shared" ca="1" si="71"/>
        <v>João</v>
      </c>
      <c r="C955" s="7">
        <f t="shared" ca="1" si="72"/>
        <v>3018</v>
      </c>
      <c r="D955" s="5" t="str">
        <f t="shared" ca="1" si="73"/>
        <v>Finanças</v>
      </c>
      <c r="E955" s="3">
        <f t="shared" ca="1" si="74"/>
        <v>5</v>
      </c>
    </row>
    <row r="956" spans="1:5" x14ac:dyDescent="0.3">
      <c r="A956" s="4">
        <f t="shared" ca="1" si="70"/>
        <v>43830</v>
      </c>
      <c r="B956" s="5" t="str">
        <f t="shared" ca="1" si="71"/>
        <v>Marcelo</v>
      </c>
      <c r="C956" s="7">
        <f t="shared" ca="1" si="72"/>
        <v>2750</v>
      </c>
      <c r="D956" s="5" t="str">
        <f t="shared" ca="1" si="73"/>
        <v>Finanças</v>
      </c>
      <c r="E956" s="3">
        <f t="shared" ca="1" si="74"/>
        <v>12</v>
      </c>
    </row>
    <row r="957" spans="1:5" x14ac:dyDescent="0.3">
      <c r="A957" s="4">
        <f t="shared" ca="1" si="70"/>
        <v>43765</v>
      </c>
      <c r="B957" s="5" t="str">
        <f t="shared" ca="1" si="71"/>
        <v>João</v>
      </c>
      <c r="C957" s="7">
        <f t="shared" ca="1" si="72"/>
        <v>1210</v>
      </c>
      <c r="D957" s="5" t="str">
        <f t="shared" ca="1" si="73"/>
        <v>Finanças</v>
      </c>
      <c r="E957" s="3">
        <f t="shared" ca="1" si="74"/>
        <v>10</v>
      </c>
    </row>
    <row r="958" spans="1:5" x14ac:dyDescent="0.3">
      <c r="A958" s="4">
        <f t="shared" ca="1" si="70"/>
        <v>43587</v>
      </c>
      <c r="B958" s="5" t="str">
        <f t="shared" ca="1" si="71"/>
        <v>João</v>
      </c>
      <c r="C958" s="7">
        <f t="shared" ca="1" si="72"/>
        <v>1108</v>
      </c>
      <c r="D958" s="5" t="str">
        <f t="shared" ca="1" si="73"/>
        <v>Finanças</v>
      </c>
      <c r="E958" s="3">
        <f t="shared" ca="1" si="74"/>
        <v>5</v>
      </c>
    </row>
    <row r="959" spans="1:5" x14ac:dyDescent="0.3">
      <c r="A959" s="4">
        <f t="shared" ca="1" si="70"/>
        <v>43707</v>
      </c>
      <c r="B959" s="5" t="str">
        <f t="shared" ca="1" si="71"/>
        <v>Marcelo</v>
      </c>
      <c r="C959" s="7">
        <f t="shared" ca="1" si="72"/>
        <v>1854</v>
      </c>
      <c r="D959" s="5" t="str">
        <f t="shared" ca="1" si="73"/>
        <v>5S</v>
      </c>
      <c r="E959" s="3">
        <f t="shared" ca="1" si="74"/>
        <v>8</v>
      </c>
    </row>
    <row r="960" spans="1:5" x14ac:dyDescent="0.3">
      <c r="A960" s="4">
        <f t="shared" ca="1" si="70"/>
        <v>43582</v>
      </c>
      <c r="B960" s="5" t="str">
        <f t="shared" ca="1" si="71"/>
        <v>Marcelo</v>
      </c>
      <c r="C960" s="7">
        <f t="shared" ca="1" si="72"/>
        <v>2807</v>
      </c>
      <c r="D960" s="5" t="str">
        <f t="shared" ca="1" si="73"/>
        <v>Finanças</v>
      </c>
      <c r="E960" s="3">
        <f t="shared" ca="1" si="74"/>
        <v>4</v>
      </c>
    </row>
    <row r="961" spans="1:5" x14ac:dyDescent="0.3">
      <c r="A961" s="4">
        <f t="shared" ca="1" si="70"/>
        <v>43579</v>
      </c>
      <c r="B961" s="5" t="str">
        <f t="shared" ca="1" si="71"/>
        <v>João</v>
      </c>
      <c r="C961" s="7">
        <f t="shared" ca="1" si="72"/>
        <v>3415</v>
      </c>
      <c r="D961" s="5" t="str">
        <f t="shared" ca="1" si="73"/>
        <v>Finanças</v>
      </c>
      <c r="E961" s="3">
        <f t="shared" ca="1" si="74"/>
        <v>4</v>
      </c>
    </row>
    <row r="962" spans="1:5" x14ac:dyDescent="0.3">
      <c r="A962" s="4">
        <f t="shared" ca="1" si="70"/>
        <v>43819</v>
      </c>
      <c r="B962" s="5" t="str">
        <f t="shared" ca="1" si="71"/>
        <v>Marcelo</v>
      </c>
      <c r="C962" s="7">
        <f t="shared" ca="1" si="72"/>
        <v>4966</v>
      </c>
      <c r="D962" s="5" t="str">
        <f t="shared" ca="1" si="73"/>
        <v>5S</v>
      </c>
      <c r="E962" s="3">
        <f t="shared" ca="1" si="74"/>
        <v>12</v>
      </c>
    </row>
    <row r="963" spans="1:5" x14ac:dyDescent="0.3">
      <c r="A963" s="4">
        <f t="shared" ref="A963:A1026" ca="1" si="75">RANDBETWEEN($F$1,$F$2)</f>
        <v>43659</v>
      </c>
      <c r="B963" s="5" t="str">
        <f t="shared" ref="B963:B1026" ca="1" si="76">VLOOKUP(RANDBETWEEN(1,4),$I$1:$J$4,2,FALSE)</f>
        <v>Joaquina</v>
      </c>
      <c r="C963" s="7">
        <f t="shared" ref="C963:C1026" ca="1" si="77">RANDBETWEEN(1000,5000)</f>
        <v>2780</v>
      </c>
      <c r="D963" s="5" t="str">
        <f t="shared" ref="D963:D1026" ca="1" si="78">VLOOKUP(RANDBETWEEN($I$6,$I$9),$I$6:$J$9,2,FALSE)</f>
        <v>Finanças</v>
      </c>
      <c r="E963" s="3">
        <f t="shared" ref="E963:E1026" ca="1" si="79">MONTH(A963)</f>
        <v>7</v>
      </c>
    </row>
    <row r="964" spans="1:5" x14ac:dyDescent="0.3">
      <c r="A964" s="4">
        <f t="shared" ca="1" si="75"/>
        <v>43719</v>
      </c>
      <c r="B964" s="5" t="str">
        <f t="shared" ca="1" si="76"/>
        <v>Joaquina</v>
      </c>
      <c r="C964" s="7">
        <f t="shared" ca="1" si="77"/>
        <v>2222</v>
      </c>
      <c r="D964" s="5" t="str">
        <f t="shared" ca="1" si="78"/>
        <v>Consultoria</v>
      </c>
      <c r="E964" s="3">
        <f t="shared" ca="1" si="79"/>
        <v>9</v>
      </c>
    </row>
    <row r="965" spans="1:5" x14ac:dyDescent="0.3">
      <c r="A965" s="4">
        <f t="shared" ca="1" si="75"/>
        <v>43774</v>
      </c>
      <c r="B965" s="5" t="str">
        <f t="shared" ca="1" si="76"/>
        <v>Marcelo</v>
      </c>
      <c r="C965" s="7">
        <f t="shared" ca="1" si="77"/>
        <v>2210</v>
      </c>
      <c r="D965" s="5" t="str">
        <f t="shared" ca="1" si="78"/>
        <v>Consultoria</v>
      </c>
      <c r="E965" s="3">
        <f t="shared" ca="1" si="79"/>
        <v>11</v>
      </c>
    </row>
    <row r="966" spans="1:5" x14ac:dyDescent="0.3">
      <c r="A966" s="4">
        <f t="shared" ca="1" si="75"/>
        <v>43786</v>
      </c>
      <c r="B966" s="5" t="str">
        <f t="shared" ca="1" si="76"/>
        <v>Maria</v>
      </c>
      <c r="C966" s="7">
        <f t="shared" ca="1" si="77"/>
        <v>1307</v>
      </c>
      <c r="D966" s="5" t="str">
        <f t="shared" ca="1" si="78"/>
        <v>Consultoria</v>
      </c>
      <c r="E966" s="3">
        <f t="shared" ca="1" si="79"/>
        <v>11</v>
      </c>
    </row>
    <row r="967" spans="1:5" x14ac:dyDescent="0.3">
      <c r="A967" s="4">
        <f t="shared" ca="1" si="75"/>
        <v>43600</v>
      </c>
      <c r="B967" s="5" t="str">
        <f t="shared" ca="1" si="76"/>
        <v>João</v>
      </c>
      <c r="C967" s="7">
        <f t="shared" ca="1" si="77"/>
        <v>4819</v>
      </c>
      <c r="D967" s="5" t="str">
        <f t="shared" ca="1" si="78"/>
        <v>Finanças</v>
      </c>
      <c r="E967" s="3">
        <f t="shared" ca="1" si="79"/>
        <v>5</v>
      </c>
    </row>
    <row r="968" spans="1:5" x14ac:dyDescent="0.3">
      <c r="A968" s="4">
        <f t="shared" ca="1" si="75"/>
        <v>43635</v>
      </c>
      <c r="B968" s="5" t="str">
        <f t="shared" ca="1" si="76"/>
        <v>Maria</v>
      </c>
      <c r="C968" s="7">
        <f t="shared" ca="1" si="77"/>
        <v>1651</v>
      </c>
      <c r="D968" s="5" t="str">
        <f t="shared" ca="1" si="78"/>
        <v>5S</v>
      </c>
      <c r="E968" s="3">
        <f t="shared" ca="1" si="79"/>
        <v>6</v>
      </c>
    </row>
    <row r="969" spans="1:5" x14ac:dyDescent="0.3">
      <c r="A969" s="4">
        <f t="shared" ca="1" si="75"/>
        <v>43501</v>
      </c>
      <c r="B969" s="5" t="str">
        <f t="shared" ca="1" si="76"/>
        <v>Marcelo</v>
      </c>
      <c r="C969" s="7">
        <f t="shared" ca="1" si="77"/>
        <v>2543</v>
      </c>
      <c r="D969" s="5" t="str">
        <f t="shared" ca="1" si="78"/>
        <v>5S</v>
      </c>
      <c r="E969" s="3">
        <f t="shared" ca="1" si="79"/>
        <v>2</v>
      </c>
    </row>
    <row r="970" spans="1:5" x14ac:dyDescent="0.3">
      <c r="A970" s="4">
        <f t="shared" ca="1" si="75"/>
        <v>43811</v>
      </c>
      <c r="B970" s="5" t="str">
        <f t="shared" ca="1" si="76"/>
        <v>Joaquina</v>
      </c>
      <c r="C970" s="7">
        <f t="shared" ca="1" si="77"/>
        <v>1599</v>
      </c>
      <c r="D970" s="5" t="str">
        <f t="shared" ca="1" si="78"/>
        <v>Padronização</v>
      </c>
      <c r="E970" s="3">
        <f t="shared" ca="1" si="79"/>
        <v>12</v>
      </c>
    </row>
    <row r="971" spans="1:5" x14ac:dyDescent="0.3">
      <c r="A971" s="4">
        <f t="shared" ca="1" si="75"/>
        <v>43485</v>
      </c>
      <c r="B971" s="5" t="str">
        <f t="shared" ca="1" si="76"/>
        <v>Maria</v>
      </c>
      <c r="C971" s="7">
        <f t="shared" ca="1" si="77"/>
        <v>4586</v>
      </c>
      <c r="D971" s="5" t="str">
        <f t="shared" ca="1" si="78"/>
        <v>Padronização</v>
      </c>
      <c r="E971" s="3">
        <f t="shared" ca="1" si="79"/>
        <v>1</v>
      </c>
    </row>
    <row r="972" spans="1:5" x14ac:dyDescent="0.3">
      <c r="A972" s="4">
        <f t="shared" ca="1" si="75"/>
        <v>43696</v>
      </c>
      <c r="B972" s="5" t="str">
        <f t="shared" ca="1" si="76"/>
        <v>Marcelo</v>
      </c>
      <c r="C972" s="7">
        <f t="shared" ca="1" si="77"/>
        <v>1428</v>
      </c>
      <c r="D972" s="5" t="str">
        <f t="shared" ca="1" si="78"/>
        <v>Finanças</v>
      </c>
      <c r="E972" s="3">
        <f t="shared" ca="1" si="79"/>
        <v>8</v>
      </c>
    </row>
    <row r="973" spans="1:5" x14ac:dyDescent="0.3">
      <c r="A973" s="4">
        <f t="shared" ca="1" si="75"/>
        <v>43558</v>
      </c>
      <c r="B973" s="5" t="str">
        <f t="shared" ca="1" si="76"/>
        <v>João</v>
      </c>
      <c r="C973" s="7">
        <f t="shared" ca="1" si="77"/>
        <v>1711</v>
      </c>
      <c r="D973" s="5" t="str">
        <f t="shared" ca="1" si="78"/>
        <v>Padronização</v>
      </c>
      <c r="E973" s="3">
        <f t="shared" ca="1" si="79"/>
        <v>4</v>
      </c>
    </row>
    <row r="974" spans="1:5" x14ac:dyDescent="0.3">
      <c r="A974" s="4">
        <f t="shared" ca="1" si="75"/>
        <v>43474</v>
      </c>
      <c r="B974" s="5" t="str">
        <f t="shared" ca="1" si="76"/>
        <v>Marcelo</v>
      </c>
      <c r="C974" s="7">
        <f t="shared" ca="1" si="77"/>
        <v>3321</v>
      </c>
      <c r="D974" s="5" t="str">
        <f t="shared" ca="1" si="78"/>
        <v>Finanças</v>
      </c>
      <c r="E974" s="3">
        <f t="shared" ca="1" si="79"/>
        <v>1</v>
      </c>
    </row>
    <row r="975" spans="1:5" x14ac:dyDescent="0.3">
      <c r="A975" s="4">
        <f t="shared" ca="1" si="75"/>
        <v>43517</v>
      </c>
      <c r="B975" s="5" t="str">
        <f t="shared" ca="1" si="76"/>
        <v>João</v>
      </c>
      <c r="C975" s="7">
        <f t="shared" ca="1" si="77"/>
        <v>3025</v>
      </c>
      <c r="D975" s="5" t="str">
        <f t="shared" ca="1" si="78"/>
        <v>Consultoria</v>
      </c>
      <c r="E975" s="3">
        <f t="shared" ca="1" si="79"/>
        <v>2</v>
      </c>
    </row>
    <row r="976" spans="1:5" x14ac:dyDescent="0.3">
      <c r="A976" s="4">
        <f t="shared" ca="1" si="75"/>
        <v>43524</v>
      </c>
      <c r="B976" s="5" t="str">
        <f t="shared" ca="1" si="76"/>
        <v>Marcelo</v>
      </c>
      <c r="C976" s="7">
        <f t="shared" ca="1" si="77"/>
        <v>4871</v>
      </c>
      <c r="D976" s="5" t="str">
        <f t="shared" ca="1" si="78"/>
        <v>Padronização</v>
      </c>
      <c r="E976" s="3">
        <f t="shared" ca="1" si="79"/>
        <v>2</v>
      </c>
    </row>
    <row r="977" spans="1:5" x14ac:dyDescent="0.3">
      <c r="A977" s="4">
        <f t="shared" ca="1" si="75"/>
        <v>43633</v>
      </c>
      <c r="B977" s="5" t="str">
        <f t="shared" ca="1" si="76"/>
        <v>Joaquina</v>
      </c>
      <c r="C977" s="7">
        <f t="shared" ca="1" si="77"/>
        <v>4064</v>
      </c>
      <c r="D977" s="5" t="str">
        <f t="shared" ca="1" si="78"/>
        <v>Consultoria</v>
      </c>
      <c r="E977" s="3">
        <f t="shared" ca="1" si="79"/>
        <v>6</v>
      </c>
    </row>
    <row r="978" spans="1:5" x14ac:dyDescent="0.3">
      <c r="A978" s="4">
        <f t="shared" ca="1" si="75"/>
        <v>43615</v>
      </c>
      <c r="B978" s="5" t="str">
        <f t="shared" ca="1" si="76"/>
        <v>Marcelo</v>
      </c>
      <c r="C978" s="7">
        <f t="shared" ca="1" si="77"/>
        <v>1328</v>
      </c>
      <c r="D978" s="5" t="str">
        <f t="shared" ca="1" si="78"/>
        <v>Consultoria</v>
      </c>
      <c r="E978" s="3">
        <f t="shared" ca="1" si="79"/>
        <v>5</v>
      </c>
    </row>
    <row r="979" spans="1:5" x14ac:dyDescent="0.3">
      <c r="A979" s="4">
        <f t="shared" ca="1" si="75"/>
        <v>43551</v>
      </c>
      <c r="B979" s="5" t="str">
        <f t="shared" ca="1" si="76"/>
        <v>Marcelo</v>
      </c>
      <c r="C979" s="7">
        <f t="shared" ca="1" si="77"/>
        <v>1409</v>
      </c>
      <c r="D979" s="5" t="str">
        <f t="shared" ca="1" si="78"/>
        <v>Consultoria</v>
      </c>
      <c r="E979" s="3">
        <f t="shared" ca="1" si="79"/>
        <v>3</v>
      </c>
    </row>
    <row r="980" spans="1:5" x14ac:dyDescent="0.3">
      <c r="A980" s="4">
        <f t="shared" ca="1" si="75"/>
        <v>43780</v>
      </c>
      <c r="B980" s="5" t="str">
        <f t="shared" ca="1" si="76"/>
        <v>Maria</v>
      </c>
      <c r="C980" s="7">
        <f t="shared" ca="1" si="77"/>
        <v>4345</v>
      </c>
      <c r="D980" s="5" t="str">
        <f t="shared" ca="1" si="78"/>
        <v>Finanças</v>
      </c>
      <c r="E980" s="3">
        <f t="shared" ca="1" si="79"/>
        <v>11</v>
      </c>
    </row>
    <row r="981" spans="1:5" x14ac:dyDescent="0.3">
      <c r="A981" s="4">
        <f t="shared" ca="1" si="75"/>
        <v>43502</v>
      </c>
      <c r="B981" s="5" t="str">
        <f t="shared" ca="1" si="76"/>
        <v>Marcelo</v>
      </c>
      <c r="C981" s="7">
        <f t="shared" ca="1" si="77"/>
        <v>2786</v>
      </c>
      <c r="D981" s="5" t="str">
        <f t="shared" ca="1" si="78"/>
        <v>5S</v>
      </c>
      <c r="E981" s="3">
        <f t="shared" ca="1" si="79"/>
        <v>2</v>
      </c>
    </row>
    <row r="982" spans="1:5" x14ac:dyDescent="0.3">
      <c r="A982" s="4">
        <f t="shared" ca="1" si="75"/>
        <v>43664</v>
      </c>
      <c r="B982" s="5" t="str">
        <f t="shared" ca="1" si="76"/>
        <v>Marcelo</v>
      </c>
      <c r="C982" s="7">
        <f t="shared" ca="1" si="77"/>
        <v>1217</v>
      </c>
      <c r="D982" s="5" t="str">
        <f t="shared" ca="1" si="78"/>
        <v>Consultoria</v>
      </c>
      <c r="E982" s="3">
        <f t="shared" ca="1" si="79"/>
        <v>7</v>
      </c>
    </row>
    <row r="983" spans="1:5" x14ac:dyDescent="0.3">
      <c r="A983" s="4">
        <f t="shared" ca="1" si="75"/>
        <v>43593</v>
      </c>
      <c r="B983" s="5" t="str">
        <f t="shared" ca="1" si="76"/>
        <v>Joaquina</v>
      </c>
      <c r="C983" s="7">
        <f t="shared" ca="1" si="77"/>
        <v>3554</v>
      </c>
      <c r="D983" s="5" t="str">
        <f t="shared" ca="1" si="78"/>
        <v>5S</v>
      </c>
      <c r="E983" s="3">
        <f t="shared" ca="1" si="79"/>
        <v>5</v>
      </c>
    </row>
    <row r="984" spans="1:5" x14ac:dyDescent="0.3">
      <c r="A984" s="4">
        <f t="shared" ca="1" si="75"/>
        <v>43631</v>
      </c>
      <c r="B984" s="5" t="str">
        <f t="shared" ca="1" si="76"/>
        <v>Joaquina</v>
      </c>
      <c r="C984" s="7">
        <f t="shared" ca="1" si="77"/>
        <v>2054</v>
      </c>
      <c r="D984" s="5" t="str">
        <f t="shared" ca="1" si="78"/>
        <v>Finanças</v>
      </c>
      <c r="E984" s="3">
        <f t="shared" ca="1" si="79"/>
        <v>6</v>
      </c>
    </row>
    <row r="985" spans="1:5" x14ac:dyDescent="0.3">
      <c r="A985" s="4">
        <f t="shared" ca="1" si="75"/>
        <v>43662</v>
      </c>
      <c r="B985" s="5" t="str">
        <f t="shared" ca="1" si="76"/>
        <v>João</v>
      </c>
      <c r="C985" s="7">
        <f t="shared" ca="1" si="77"/>
        <v>4877</v>
      </c>
      <c r="D985" s="5" t="str">
        <f t="shared" ca="1" si="78"/>
        <v>Finanças</v>
      </c>
      <c r="E985" s="3">
        <f t="shared" ca="1" si="79"/>
        <v>7</v>
      </c>
    </row>
    <row r="986" spans="1:5" x14ac:dyDescent="0.3">
      <c r="A986" s="4">
        <f t="shared" ca="1" si="75"/>
        <v>43605</v>
      </c>
      <c r="B986" s="5" t="str">
        <f t="shared" ca="1" si="76"/>
        <v>João</v>
      </c>
      <c r="C986" s="7">
        <f t="shared" ca="1" si="77"/>
        <v>4547</v>
      </c>
      <c r="D986" s="5" t="str">
        <f t="shared" ca="1" si="78"/>
        <v>Consultoria</v>
      </c>
      <c r="E986" s="3">
        <f t="shared" ca="1" si="79"/>
        <v>5</v>
      </c>
    </row>
    <row r="987" spans="1:5" x14ac:dyDescent="0.3">
      <c r="A987" s="4">
        <f t="shared" ca="1" si="75"/>
        <v>43712</v>
      </c>
      <c r="B987" s="5" t="str">
        <f t="shared" ca="1" si="76"/>
        <v>Marcelo</v>
      </c>
      <c r="C987" s="7">
        <f t="shared" ca="1" si="77"/>
        <v>3420</v>
      </c>
      <c r="D987" s="5" t="str">
        <f t="shared" ca="1" si="78"/>
        <v>5S</v>
      </c>
      <c r="E987" s="3">
        <f t="shared" ca="1" si="79"/>
        <v>9</v>
      </c>
    </row>
    <row r="988" spans="1:5" x14ac:dyDescent="0.3">
      <c r="A988" s="4">
        <f t="shared" ca="1" si="75"/>
        <v>43641</v>
      </c>
      <c r="B988" s="5" t="str">
        <f t="shared" ca="1" si="76"/>
        <v>Joaquina</v>
      </c>
      <c r="C988" s="7">
        <f t="shared" ca="1" si="77"/>
        <v>1573</v>
      </c>
      <c r="D988" s="5" t="str">
        <f t="shared" ca="1" si="78"/>
        <v>Finanças</v>
      </c>
      <c r="E988" s="3">
        <f t="shared" ca="1" si="79"/>
        <v>6</v>
      </c>
    </row>
    <row r="989" spans="1:5" x14ac:dyDescent="0.3">
      <c r="A989" s="4">
        <f t="shared" ca="1" si="75"/>
        <v>43766</v>
      </c>
      <c r="B989" s="5" t="str">
        <f t="shared" ca="1" si="76"/>
        <v>Marcelo</v>
      </c>
      <c r="C989" s="7">
        <f t="shared" ca="1" si="77"/>
        <v>1502</v>
      </c>
      <c r="D989" s="5" t="str">
        <f t="shared" ca="1" si="78"/>
        <v>Finanças</v>
      </c>
      <c r="E989" s="3">
        <f t="shared" ca="1" si="79"/>
        <v>10</v>
      </c>
    </row>
    <row r="990" spans="1:5" x14ac:dyDescent="0.3">
      <c r="A990" s="4">
        <f t="shared" ca="1" si="75"/>
        <v>43621</v>
      </c>
      <c r="B990" s="5" t="str">
        <f t="shared" ca="1" si="76"/>
        <v>Maria</v>
      </c>
      <c r="C990" s="7">
        <f t="shared" ca="1" si="77"/>
        <v>4718</v>
      </c>
      <c r="D990" s="5" t="str">
        <f t="shared" ca="1" si="78"/>
        <v>5S</v>
      </c>
      <c r="E990" s="3">
        <f t="shared" ca="1" si="79"/>
        <v>6</v>
      </c>
    </row>
    <row r="991" spans="1:5" x14ac:dyDescent="0.3">
      <c r="A991" s="4">
        <f t="shared" ca="1" si="75"/>
        <v>43803</v>
      </c>
      <c r="B991" s="5" t="str">
        <f t="shared" ca="1" si="76"/>
        <v>Maria</v>
      </c>
      <c r="C991" s="7">
        <f t="shared" ca="1" si="77"/>
        <v>3365</v>
      </c>
      <c r="D991" s="5" t="str">
        <f t="shared" ca="1" si="78"/>
        <v>Padronização</v>
      </c>
      <c r="E991" s="3">
        <f t="shared" ca="1" si="79"/>
        <v>12</v>
      </c>
    </row>
    <row r="992" spans="1:5" x14ac:dyDescent="0.3">
      <c r="A992" s="4">
        <f t="shared" ca="1" si="75"/>
        <v>43828</v>
      </c>
      <c r="B992" s="5" t="str">
        <f t="shared" ca="1" si="76"/>
        <v>Maria</v>
      </c>
      <c r="C992" s="7">
        <f t="shared" ca="1" si="77"/>
        <v>4850</v>
      </c>
      <c r="D992" s="5" t="str">
        <f t="shared" ca="1" si="78"/>
        <v>Padronização</v>
      </c>
      <c r="E992" s="3">
        <f t="shared" ca="1" si="79"/>
        <v>12</v>
      </c>
    </row>
    <row r="993" spans="1:5" x14ac:dyDescent="0.3">
      <c r="A993" s="4">
        <f t="shared" ca="1" si="75"/>
        <v>43814</v>
      </c>
      <c r="B993" s="5" t="str">
        <f t="shared" ca="1" si="76"/>
        <v>Maria</v>
      </c>
      <c r="C993" s="7">
        <f t="shared" ca="1" si="77"/>
        <v>4471</v>
      </c>
      <c r="D993" s="5" t="str">
        <f t="shared" ca="1" si="78"/>
        <v>Consultoria</v>
      </c>
      <c r="E993" s="3">
        <f t="shared" ca="1" si="79"/>
        <v>12</v>
      </c>
    </row>
    <row r="994" spans="1:5" x14ac:dyDescent="0.3">
      <c r="A994" s="4">
        <f t="shared" ca="1" si="75"/>
        <v>43624</v>
      </c>
      <c r="B994" s="5" t="str">
        <f t="shared" ca="1" si="76"/>
        <v>Joaquina</v>
      </c>
      <c r="C994" s="7">
        <f t="shared" ca="1" si="77"/>
        <v>4306</v>
      </c>
      <c r="D994" s="5" t="str">
        <f t="shared" ca="1" si="78"/>
        <v>Finanças</v>
      </c>
      <c r="E994" s="3">
        <f t="shared" ca="1" si="79"/>
        <v>6</v>
      </c>
    </row>
    <row r="995" spans="1:5" x14ac:dyDescent="0.3">
      <c r="A995" s="4">
        <f t="shared" ca="1" si="75"/>
        <v>43641</v>
      </c>
      <c r="B995" s="5" t="str">
        <f t="shared" ca="1" si="76"/>
        <v>Joaquina</v>
      </c>
      <c r="C995" s="7">
        <f t="shared" ca="1" si="77"/>
        <v>3123</v>
      </c>
      <c r="D995" s="5" t="str">
        <f t="shared" ca="1" si="78"/>
        <v>Consultoria</v>
      </c>
      <c r="E995" s="3">
        <f t="shared" ca="1" si="79"/>
        <v>6</v>
      </c>
    </row>
    <row r="996" spans="1:5" x14ac:dyDescent="0.3">
      <c r="A996" s="4">
        <f t="shared" ca="1" si="75"/>
        <v>43571</v>
      </c>
      <c r="B996" s="5" t="str">
        <f t="shared" ca="1" si="76"/>
        <v>João</v>
      </c>
      <c r="C996" s="7">
        <f t="shared" ca="1" si="77"/>
        <v>2494</v>
      </c>
      <c r="D996" s="5" t="str">
        <f t="shared" ca="1" si="78"/>
        <v>Consultoria</v>
      </c>
      <c r="E996" s="3">
        <f t="shared" ca="1" si="79"/>
        <v>4</v>
      </c>
    </row>
    <row r="997" spans="1:5" x14ac:dyDescent="0.3">
      <c r="A997" s="4">
        <f t="shared" ca="1" si="75"/>
        <v>43724</v>
      </c>
      <c r="B997" s="5" t="str">
        <f t="shared" ca="1" si="76"/>
        <v>Joaquina</v>
      </c>
      <c r="C997" s="7">
        <f t="shared" ca="1" si="77"/>
        <v>1872</v>
      </c>
      <c r="D997" s="5" t="str">
        <f t="shared" ca="1" si="78"/>
        <v>Finanças</v>
      </c>
      <c r="E997" s="3">
        <f t="shared" ca="1" si="79"/>
        <v>9</v>
      </c>
    </row>
    <row r="998" spans="1:5" x14ac:dyDescent="0.3">
      <c r="A998" s="4">
        <f t="shared" ca="1" si="75"/>
        <v>43516</v>
      </c>
      <c r="B998" s="5" t="str">
        <f t="shared" ca="1" si="76"/>
        <v>Marcelo</v>
      </c>
      <c r="C998" s="7">
        <f t="shared" ca="1" si="77"/>
        <v>2483</v>
      </c>
      <c r="D998" s="5" t="str">
        <f t="shared" ca="1" si="78"/>
        <v>Consultoria</v>
      </c>
      <c r="E998" s="3">
        <f t="shared" ca="1" si="79"/>
        <v>2</v>
      </c>
    </row>
    <row r="999" spans="1:5" x14ac:dyDescent="0.3">
      <c r="A999" s="4">
        <f t="shared" ca="1" si="75"/>
        <v>43820</v>
      </c>
      <c r="B999" s="5" t="str">
        <f t="shared" ca="1" si="76"/>
        <v>Marcelo</v>
      </c>
      <c r="C999" s="7">
        <f t="shared" ca="1" si="77"/>
        <v>4338</v>
      </c>
      <c r="D999" s="5" t="str">
        <f t="shared" ca="1" si="78"/>
        <v>Consultoria</v>
      </c>
      <c r="E999" s="3">
        <f t="shared" ca="1" si="79"/>
        <v>12</v>
      </c>
    </row>
    <row r="1000" spans="1:5" x14ac:dyDescent="0.3">
      <c r="A1000" s="4">
        <f t="shared" ca="1" si="75"/>
        <v>43592</v>
      </c>
      <c r="B1000" s="5" t="str">
        <f t="shared" ca="1" si="76"/>
        <v>Marcelo</v>
      </c>
      <c r="C1000" s="7">
        <f t="shared" ca="1" si="77"/>
        <v>4761</v>
      </c>
      <c r="D1000" s="5" t="str">
        <f t="shared" ca="1" si="78"/>
        <v>Finanças</v>
      </c>
      <c r="E1000" s="3">
        <f t="shared" ca="1" si="79"/>
        <v>5</v>
      </c>
    </row>
    <row r="1001" spans="1:5" x14ac:dyDescent="0.3">
      <c r="A1001" s="4">
        <f t="shared" ca="1" si="75"/>
        <v>43679</v>
      </c>
      <c r="B1001" s="5" t="str">
        <f t="shared" ca="1" si="76"/>
        <v>Marcelo</v>
      </c>
      <c r="C1001" s="7">
        <f t="shared" ca="1" si="77"/>
        <v>2170</v>
      </c>
      <c r="D1001" s="5" t="str">
        <f t="shared" ca="1" si="78"/>
        <v>Padronização</v>
      </c>
      <c r="E1001" s="3">
        <f t="shared" ca="1" si="79"/>
        <v>8</v>
      </c>
    </row>
    <row r="1002" spans="1:5" x14ac:dyDescent="0.3">
      <c r="A1002" s="4">
        <f t="shared" ca="1" si="75"/>
        <v>43575</v>
      </c>
      <c r="B1002" s="5" t="str">
        <f t="shared" ca="1" si="76"/>
        <v>João</v>
      </c>
      <c r="C1002" s="7">
        <f t="shared" ca="1" si="77"/>
        <v>2620</v>
      </c>
      <c r="D1002" s="5" t="str">
        <f t="shared" ca="1" si="78"/>
        <v>Padronização</v>
      </c>
      <c r="E1002" s="3">
        <f t="shared" ca="1" si="79"/>
        <v>4</v>
      </c>
    </row>
    <row r="1003" spans="1:5" x14ac:dyDescent="0.3">
      <c r="A1003" s="4">
        <f t="shared" ca="1" si="75"/>
        <v>43494</v>
      </c>
      <c r="B1003" s="5" t="str">
        <f t="shared" ca="1" si="76"/>
        <v>Joaquina</v>
      </c>
      <c r="C1003" s="7">
        <f t="shared" ca="1" si="77"/>
        <v>3241</v>
      </c>
      <c r="D1003" s="5" t="str">
        <f t="shared" ca="1" si="78"/>
        <v>Consultoria</v>
      </c>
      <c r="E1003" s="3">
        <f t="shared" ca="1" si="79"/>
        <v>1</v>
      </c>
    </row>
    <row r="1004" spans="1:5" x14ac:dyDescent="0.3">
      <c r="A1004" s="4">
        <f t="shared" ca="1" si="75"/>
        <v>43771</v>
      </c>
      <c r="B1004" s="5" t="str">
        <f t="shared" ca="1" si="76"/>
        <v>João</v>
      </c>
      <c r="C1004" s="7">
        <f t="shared" ca="1" si="77"/>
        <v>4859</v>
      </c>
      <c r="D1004" s="5" t="str">
        <f t="shared" ca="1" si="78"/>
        <v>Padronização</v>
      </c>
      <c r="E1004" s="3">
        <f t="shared" ca="1" si="79"/>
        <v>11</v>
      </c>
    </row>
    <row r="1005" spans="1:5" x14ac:dyDescent="0.3">
      <c r="A1005" s="4">
        <f t="shared" ca="1" si="75"/>
        <v>43559</v>
      </c>
      <c r="B1005" s="5" t="str">
        <f t="shared" ca="1" si="76"/>
        <v>João</v>
      </c>
      <c r="C1005" s="7">
        <f t="shared" ca="1" si="77"/>
        <v>3618</v>
      </c>
      <c r="D1005" s="5" t="str">
        <f t="shared" ca="1" si="78"/>
        <v>5S</v>
      </c>
      <c r="E1005" s="3">
        <f t="shared" ca="1" si="79"/>
        <v>4</v>
      </c>
    </row>
    <row r="1006" spans="1:5" x14ac:dyDescent="0.3">
      <c r="A1006" s="4">
        <f t="shared" ca="1" si="75"/>
        <v>43711</v>
      </c>
      <c r="B1006" s="5" t="str">
        <f t="shared" ca="1" si="76"/>
        <v>João</v>
      </c>
      <c r="C1006" s="7">
        <f t="shared" ca="1" si="77"/>
        <v>3262</v>
      </c>
      <c r="D1006" s="5" t="str">
        <f t="shared" ca="1" si="78"/>
        <v>5S</v>
      </c>
      <c r="E1006" s="3">
        <f t="shared" ca="1" si="79"/>
        <v>9</v>
      </c>
    </row>
    <row r="1007" spans="1:5" x14ac:dyDescent="0.3">
      <c r="A1007" s="4">
        <f t="shared" ca="1" si="75"/>
        <v>43595</v>
      </c>
      <c r="B1007" s="5" t="str">
        <f t="shared" ca="1" si="76"/>
        <v>João</v>
      </c>
      <c r="C1007" s="7">
        <f t="shared" ca="1" si="77"/>
        <v>4407</v>
      </c>
      <c r="D1007" s="5" t="str">
        <f t="shared" ca="1" si="78"/>
        <v>Finanças</v>
      </c>
      <c r="E1007" s="3">
        <f t="shared" ca="1" si="79"/>
        <v>5</v>
      </c>
    </row>
    <row r="1008" spans="1:5" x14ac:dyDescent="0.3">
      <c r="A1008" s="4">
        <f t="shared" ca="1" si="75"/>
        <v>43655</v>
      </c>
      <c r="B1008" s="5" t="str">
        <f t="shared" ca="1" si="76"/>
        <v>Joaquina</v>
      </c>
      <c r="C1008" s="7">
        <f t="shared" ca="1" si="77"/>
        <v>4025</v>
      </c>
      <c r="D1008" s="5" t="str">
        <f t="shared" ca="1" si="78"/>
        <v>Finanças</v>
      </c>
      <c r="E1008" s="3">
        <f t="shared" ca="1" si="79"/>
        <v>7</v>
      </c>
    </row>
    <row r="1009" spans="1:5" x14ac:dyDescent="0.3">
      <c r="A1009" s="4">
        <f t="shared" ca="1" si="75"/>
        <v>43811</v>
      </c>
      <c r="B1009" s="5" t="str">
        <f t="shared" ca="1" si="76"/>
        <v>Maria</v>
      </c>
      <c r="C1009" s="7">
        <f t="shared" ca="1" si="77"/>
        <v>4909</v>
      </c>
      <c r="D1009" s="5" t="str">
        <f t="shared" ca="1" si="78"/>
        <v>Finanças</v>
      </c>
      <c r="E1009" s="3">
        <f t="shared" ca="1" si="79"/>
        <v>12</v>
      </c>
    </row>
    <row r="1010" spans="1:5" x14ac:dyDescent="0.3">
      <c r="A1010" s="4">
        <f t="shared" ca="1" si="75"/>
        <v>43521</v>
      </c>
      <c r="B1010" s="5" t="str">
        <f t="shared" ca="1" si="76"/>
        <v>Joaquina</v>
      </c>
      <c r="C1010" s="7">
        <f t="shared" ca="1" si="77"/>
        <v>1268</v>
      </c>
      <c r="D1010" s="5" t="str">
        <f t="shared" ca="1" si="78"/>
        <v>Padronização</v>
      </c>
      <c r="E1010" s="3">
        <f t="shared" ca="1" si="79"/>
        <v>2</v>
      </c>
    </row>
    <row r="1011" spans="1:5" x14ac:dyDescent="0.3">
      <c r="A1011" s="4">
        <f t="shared" ca="1" si="75"/>
        <v>43583</v>
      </c>
      <c r="B1011" s="5" t="str">
        <f t="shared" ca="1" si="76"/>
        <v>Marcelo</v>
      </c>
      <c r="C1011" s="7">
        <f t="shared" ca="1" si="77"/>
        <v>1416</v>
      </c>
      <c r="D1011" s="5" t="str">
        <f t="shared" ca="1" si="78"/>
        <v>Finanças</v>
      </c>
      <c r="E1011" s="3">
        <f t="shared" ca="1" si="79"/>
        <v>4</v>
      </c>
    </row>
    <row r="1012" spans="1:5" x14ac:dyDescent="0.3">
      <c r="A1012" s="4">
        <f t="shared" ca="1" si="75"/>
        <v>43785</v>
      </c>
      <c r="B1012" s="5" t="str">
        <f t="shared" ca="1" si="76"/>
        <v>João</v>
      </c>
      <c r="C1012" s="7">
        <f t="shared" ca="1" si="77"/>
        <v>3166</v>
      </c>
      <c r="D1012" s="5" t="str">
        <f t="shared" ca="1" si="78"/>
        <v>5S</v>
      </c>
      <c r="E1012" s="3">
        <f t="shared" ca="1" si="79"/>
        <v>11</v>
      </c>
    </row>
    <row r="1013" spans="1:5" x14ac:dyDescent="0.3">
      <c r="A1013" s="4">
        <f t="shared" ca="1" si="75"/>
        <v>43699</v>
      </c>
      <c r="B1013" s="5" t="str">
        <f t="shared" ca="1" si="76"/>
        <v>Maria</v>
      </c>
      <c r="C1013" s="7">
        <f t="shared" ca="1" si="77"/>
        <v>2719</v>
      </c>
      <c r="D1013" s="5" t="str">
        <f t="shared" ca="1" si="78"/>
        <v>Finanças</v>
      </c>
      <c r="E1013" s="3">
        <f t="shared" ca="1" si="79"/>
        <v>8</v>
      </c>
    </row>
    <row r="1014" spans="1:5" x14ac:dyDescent="0.3">
      <c r="A1014" s="4">
        <f t="shared" ca="1" si="75"/>
        <v>43551</v>
      </c>
      <c r="B1014" s="5" t="str">
        <f t="shared" ca="1" si="76"/>
        <v>João</v>
      </c>
      <c r="C1014" s="7">
        <f t="shared" ca="1" si="77"/>
        <v>1709</v>
      </c>
      <c r="D1014" s="5" t="str">
        <f t="shared" ca="1" si="78"/>
        <v>Consultoria</v>
      </c>
      <c r="E1014" s="3">
        <f t="shared" ca="1" si="79"/>
        <v>3</v>
      </c>
    </row>
    <row r="1015" spans="1:5" x14ac:dyDescent="0.3">
      <c r="A1015" s="4">
        <f t="shared" ca="1" si="75"/>
        <v>43508</v>
      </c>
      <c r="B1015" s="5" t="str">
        <f t="shared" ca="1" si="76"/>
        <v>Maria</v>
      </c>
      <c r="C1015" s="7">
        <f t="shared" ca="1" si="77"/>
        <v>1200</v>
      </c>
      <c r="D1015" s="5" t="str">
        <f t="shared" ca="1" si="78"/>
        <v>5S</v>
      </c>
      <c r="E1015" s="3">
        <f t="shared" ca="1" si="79"/>
        <v>2</v>
      </c>
    </row>
    <row r="1016" spans="1:5" x14ac:dyDescent="0.3">
      <c r="A1016" s="4">
        <f t="shared" ca="1" si="75"/>
        <v>43649</v>
      </c>
      <c r="B1016" s="5" t="str">
        <f t="shared" ca="1" si="76"/>
        <v>Maria</v>
      </c>
      <c r="C1016" s="7">
        <f t="shared" ca="1" si="77"/>
        <v>1978</v>
      </c>
      <c r="D1016" s="5" t="str">
        <f t="shared" ca="1" si="78"/>
        <v>5S</v>
      </c>
      <c r="E1016" s="3">
        <f t="shared" ca="1" si="79"/>
        <v>7</v>
      </c>
    </row>
    <row r="1017" spans="1:5" x14ac:dyDescent="0.3">
      <c r="A1017" s="4">
        <f t="shared" ca="1" si="75"/>
        <v>43572</v>
      </c>
      <c r="B1017" s="5" t="str">
        <f t="shared" ca="1" si="76"/>
        <v>Maria</v>
      </c>
      <c r="C1017" s="7">
        <f t="shared" ca="1" si="77"/>
        <v>4262</v>
      </c>
      <c r="D1017" s="5" t="str">
        <f t="shared" ca="1" si="78"/>
        <v>Consultoria</v>
      </c>
      <c r="E1017" s="3">
        <f t="shared" ca="1" si="79"/>
        <v>4</v>
      </c>
    </row>
    <row r="1018" spans="1:5" x14ac:dyDescent="0.3">
      <c r="A1018" s="4">
        <f t="shared" ca="1" si="75"/>
        <v>43527</v>
      </c>
      <c r="B1018" s="5" t="str">
        <f t="shared" ca="1" si="76"/>
        <v>João</v>
      </c>
      <c r="C1018" s="7">
        <f t="shared" ca="1" si="77"/>
        <v>2125</v>
      </c>
      <c r="D1018" s="5" t="str">
        <f t="shared" ca="1" si="78"/>
        <v>Consultoria</v>
      </c>
      <c r="E1018" s="3">
        <f t="shared" ca="1" si="79"/>
        <v>3</v>
      </c>
    </row>
    <row r="1019" spans="1:5" x14ac:dyDescent="0.3">
      <c r="A1019" s="4">
        <f t="shared" ca="1" si="75"/>
        <v>43795</v>
      </c>
      <c r="B1019" s="5" t="str">
        <f t="shared" ca="1" si="76"/>
        <v>Marcelo</v>
      </c>
      <c r="C1019" s="7">
        <f t="shared" ca="1" si="77"/>
        <v>2624</v>
      </c>
      <c r="D1019" s="5" t="str">
        <f t="shared" ca="1" si="78"/>
        <v>Padronização</v>
      </c>
      <c r="E1019" s="3">
        <f t="shared" ca="1" si="79"/>
        <v>11</v>
      </c>
    </row>
    <row r="1020" spans="1:5" x14ac:dyDescent="0.3">
      <c r="A1020" s="4">
        <f t="shared" ca="1" si="75"/>
        <v>43713</v>
      </c>
      <c r="B1020" s="5" t="str">
        <f t="shared" ca="1" si="76"/>
        <v>João</v>
      </c>
      <c r="C1020" s="7">
        <f t="shared" ca="1" si="77"/>
        <v>3987</v>
      </c>
      <c r="D1020" s="5" t="str">
        <f t="shared" ca="1" si="78"/>
        <v>Finanças</v>
      </c>
      <c r="E1020" s="3">
        <f t="shared" ca="1" si="79"/>
        <v>9</v>
      </c>
    </row>
    <row r="1021" spans="1:5" x14ac:dyDescent="0.3">
      <c r="A1021" s="4">
        <f t="shared" ca="1" si="75"/>
        <v>43771</v>
      </c>
      <c r="B1021" s="5" t="str">
        <f t="shared" ca="1" si="76"/>
        <v>Joaquina</v>
      </c>
      <c r="C1021" s="7">
        <f t="shared" ca="1" si="77"/>
        <v>1509</v>
      </c>
      <c r="D1021" s="5" t="str">
        <f t="shared" ca="1" si="78"/>
        <v>5S</v>
      </c>
      <c r="E1021" s="3">
        <f t="shared" ca="1" si="79"/>
        <v>11</v>
      </c>
    </row>
    <row r="1022" spans="1:5" x14ac:dyDescent="0.3">
      <c r="A1022" s="4">
        <f t="shared" ca="1" si="75"/>
        <v>43501</v>
      </c>
      <c r="B1022" s="5" t="str">
        <f t="shared" ca="1" si="76"/>
        <v>Joaquina</v>
      </c>
      <c r="C1022" s="7">
        <f t="shared" ca="1" si="77"/>
        <v>2879</v>
      </c>
      <c r="D1022" s="5" t="str">
        <f t="shared" ca="1" si="78"/>
        <v>Finanças</v>
      </c>
      <c r="E1022" s="3">
        <f t="shared" ca="1" si="79"/>
        <v>2</v>
      </c>
    </row>
    <row r="1023" spans="1:5" x14ac:dyDescent="0.3">
      <c r="A1023" s="4">
        <f t="shared" ca="1" si="75"/>
        <v>43747</v>
      </c>
      <c r="B1023" s="5" t="str">
        <f t="shared" ca="1" si="76"/>
        <v>Maria</v>
      </c>
      <c r="C1023" s="7">
        <f t="shared" ca="1" si="77"/>
        <v>3235</v>
      </c>
      <c r="D1023" s="5" t="str">
        <f t="shared" ca="1" si="78"/>
        <v>Consultoria</v>
      </c>
      <c r="E1023" s="3">
        <f t="shared" ca="1" si="79"/>
        <v>10</v>
      </c>
    </row>
    <row r="1024" spans="1:5" x14ac:dyDescent="0.3">
      <c r="A1024" s="4">
        <f t="shared" ca="1" si="75"/>
        <v>43479</v>
      </c>
      <c r="B1024" s="5" t="str">
        <f t="shared" ca="1" si="76"/>
        <v>João</v>
      </c>
      <c r="C1024" s="7">
        <f t="shared" ca="1" si="77"/>
        <v>2977</v>
      </c>
      <c r="D1024" s="5" t="str">
        <f t="shared" ca="1" si="78"/>
        <v>Padronização</v>
      </c>
      <c r="E1024" s="3">
        <f t="shared" ca="1" si="79"/>
        <v>1</v>
      </c>
    </row>
    <row r="1025" spans="1:5" x14ac:dyDescent="0.3">
      <c r="A1025" s="4">
        <f t="shared" ca="1" si="75"/>
        <v>43782</v>
      </c>
      <c r="B1025" s="5" t="str">
        <f t="shared" ca="1" si="76"/>
        <v>Maria</v>
      </c>
      <c r="C1025" s="7">
        <f t="shared" ca="1" si="77"/>
        <v>2903</v>
      </c>
      <c r="D1025" s="5" t="str">
        <f t="shared" ca="1" si="78"/>
        <v>5S</v>
      </c>
      <c r="E1025" s="3">
        <f t="shared" ca="1" si="79"/>
        <v>11</v>
      </c>
    </row>
    <row r="1026" spans="1:5" x14ac:dyDescent="0.3">
      <c r="A1026" s="4">
        <f t="shared" ca="1" si="75"/>
        <v>43540</v>
      </c>
      <c r="B1026" s="5" t="str">
        <f t="shared" ca="1" si="76"/>
        <v>João</v>
      </c>
      <c r="C1026" s="7">
        <f t="shared" ca="1" si="77"/>
        <v>1697</v>
      </c>
      <c r="D1026" s="5" t="str">
        <f t="shared" ca="1" si="78"/>
        <v>Padronização</v>
      </c>
      <c r="E1026" s="3">
        <f t="shared" ca="1" si="79"/>
        <v>3</v>
      </c>
    </row>
    <row r="1027" spans="1:5" x14ac:dyDescent="0.3">
      <c r="A1027" s="4">
        <f t="shared" ref="A1027:A1090" ca="1" si="80">RANDBETWEEN($F$1,$F$2)</f>
        <v>43657</v>
      </c>
      <c r="B1027" s="5" t="str">
        <f t="shared" ref="B1027:B1090" ca="1" si="81">VLOOKUP(RANDBETWEEN(1,4),$I$1:$J$4,2,FALSE)</f>
        <v>João</v>
      </c>
      <c r="C1027" s="7">
        <f t="shared" ref="C1027:C1090" ca="1" si="82">RANDBETWEEN(1000,5000)</f>
        <v>4079</v>
      </c>
      <c r="D1027" s="5" t="str">
        <f t="shared" ref="D1027:D1090" ca="1" si="83">VLOOKUP(RANDBETWEEN($I$6,$I$9),$I$6:$J$9,2,FALSE)</f>
        <v>Padronização</v>
      </c>
      <c r="E1027" s="3">
        <f t="shared" ref="E1027:E1090" ca="1" si="84">MONTH(A1027)</f>
        <v>7</v>
      </c>
    </row>
    <row r="1028" spans="1:5" x14ac:dyDescent="0.3">
      <c r="A1028" s="4">
        <f t="shared" ca="1" si="80"/>
        <v>43752</v>
      </c>
      <c r="B1028" s="5" t="str">
        <f t="shared" ca="1" si="81"/>
        <v>Joaquina</v>
      </c>
      <c r="C1028" s="7">
        <f t="shared" ca="1" si="82"/>
        <v>3445</v>
      </c>
      <c r="D1028" s="5" t="str">
        <f t="shared" ca="1" si="83"/>
        <v>Consultoria</v>
      </c>
      <c r="E1028" s="3">
        <f t="shared" ca="1" si="84"/>
        <v>10</v>
      </c>
    </row>
    <row r="1029" spans="1:5" x14ac:dyDescent="0.3">
      <c r="A1029" s="4">
        <f t="shared" ca="1" si="80"/>
        <v>43544</v>
      </c>
      <c r="B1029" s="5" t="str">
        <f t="shared" ca="1" si="81"/>
        <v>Marcelo</v>
      </c>
      <c r="C1029" s="7">
        <f t="shared" ca="1" si="82"/>
        <v>2668</v>
      </c>
      <c r="D1029" s="5" t="str">
        <f t="shared" ca="1" si="83"/>
        <v>Padronização</v>
      </c>
      <c r="E1029" s="3">
        <f t="shared" ca="1" si="84"/>
        <v>3</v>
      </c>
    </row>
    <row r="1030" spans="1:5" x14ac:dyDescent="0.3">
      <c r="A1030" s="4">
        <f t="shared" ca="1" si="80"/>
        <v>43495</v>
      </c>
      <c r="B1030" s="5" t="str">
        <f t="shared" ca="1" si="81"/>
        <v>Marcelo</v>
      </c>
      <c r="C1030" s="7">
        <f t="shared" ca="1" si="82"/>
        <v>3778</v>
      </c>
      <c r="D1030" s="5" t="str">
        <f t="shared" ca="1" si="83"/>
        <v>Consultoria</v>
      </c>
      <c r="E1030" s="3">
        <f t="shared" ca="1" si="84"/>
        <v>1</v>
      </c>
    </row>
    <row r="1031" spans="1:5" x14ac:dyDescent="0.3">
      <c r="A1031" s="4">
        <f t="shared" ca="1" si="80"/>
        <v>43807</v>
      </c>
      <c r="B1031" s="5" t="str">
        <f t="shared" ca="1" si="81"/>
        <v>Joaquina</v>
      </c>
      <c r="C1031" s="7">
        <f t="shared" ca="1" si="82"/>
        <v>4037</v>
      </c>
      <c r="D1031" s="5" t="str">
        <f t="shared" ca="1" si="83"/>
        <v>5S</v>
      </c>
      <c r="E1031" s="3">
        <f t="shared" ca="1" si="84"/>
        <v>12</v>
      </c>
    </row>
    <row r="1032" spans="1:5" x14ac:dyDescent="0.3">
      <c r="A1032" s="4">
        <f t="shared" ca="1" si="80"/>
        <v>43644</v>
      </c>
      <c r="B1032" s="5" t="str">
        <f t="shared" ca="1" si="81"/>
        <v>João</v>
      </c>
      <c r="C1032" s="7">
        <f t="shared" ca="1" si="82"/>
        <v>4774</v>
      </c>
      <c r="D1032" s="5" t="str">
        <f t="shared" ca="1" si="83"/>
        <v>Consultoria</v>
      </c>
      <c r="E1032" s="3">
        <f t="shared" ca="1" si="84"/>
        <v>6</v>
      </c>
    </row>
    <row r="1033" spans="1:5" x14ac:dyDescent="0.3">
      <c r="A1033" s="4">
        <f t="shared" ca="1" si="80"/>
        <v>43612</v>
      </c>
      <c r="B1033" s="5" t="str">
        <f t="shared" ca="1" si="81"/>
        <v>Maria</v>
      </c>
      <c r="C1033" s="7">
        <f t="shared" ca="1" si="82"/>
        <v>4601</v>
      </c>
      <c r="D1033" s="5" t="str">
        <f t="shared" ca="1" si="83"/>
        <v>Consultoria</v>
      </c>
      <c r="E1033" s="3">
        <f t="shared" ca="1" si="84"/>
        <v>5</v>
      </c>
    </row>
    <row r="1034" spans="1:5" x14ac:dyDescent="0.3">
      <c r="A1034" s="4">
        <f t="shared" ca="1" si="80"/>
        <v>43818</v>
      </c>
      <c r="B1034" s="5" t="str">
        <f t="shared" ca="1" si="81"/>
        <v>Joaquina</v>
      </c>
      <c r="C1034" s="7">
        <f t="shared" ca="1" si="82"/>
        <v>4065</v>
      </c>
      <c r="D1034" s="5" t="str">
        <f t="shared" ca="1" si="83"/>
        <v>Finanças</v>
      </c>
      <c r="E1034" s="3">
        <f t="shared" ca="1" si="84"/>
        <v>12</v>
      </c>
    </row>
    <row r="1035" spans="1:5" x14ac:dyDescent="0.3">
      <c r="A1035" s="4">
        <f t="shared" ca="1" si="80"/>
        <v>43674</v>
      </c>
      <c r="B1035" s="5" t="str">
        <f t="shared" ca="1" si="81"/>
        <v>Joaquina</v>
      </c>
      <c r="C1035" s="7">
        <f t="shared" ca="1" si="82"/>
        <v>4244</v>
      </c>
      <c r="D1035" s="5" t="str">
        <f t="shared" ca="1" si="83"/>
        <v>Finanças</v>
      </c>
      <c r="E1035" s="3">
        <f t="shared" ca="1" si="84"/>
        <v>7</v>
      </c>
    </row>
    <row r="1036" spans="1:5" x14ac:dyDescent="0.3">
      <c r="A1036" s="4">
        <f t="shared" ca="1" si="80"/>
        <v>43544</v>
      </c>
      <c r="B1036" s="5" t="str">
        <f t="shared" ca="1" si="81"/>
        <v>Maria</v>
      </c>
      <c r="C1036" s="7">
        <f t="shared" ca="1" si="82"/>
        <v>3540</v>
      </c>
      <c r="D1036" s="5" t="str">
        <f t="shared" ca="1" si="83"/>
        <v>5S</v>
      </c>
      <c r="E1036" s="3">
        <f t="shared" ca="1" si="84"/>
        <v>3</v>
      </c>
    </row>
    <row r="1037" spans="1:5" x14ac:dyDescent="0.3">
      <c r="A1037" s="4">
        <f t="shared" ca="1" si="80"/>
        <v>43662</v>
      </c>
      <c r="B1037" s="5" t="str">
        <f t="shared" ca="1" si="81"/>
        <v>Maria</v>
      </c>
      <c r="C1037" s="7">
        <f t="shared" ca="1" si="82"/>
        <v>2038</v>
      </c>
      <c r="D1037" s="5" t="str">
        <f t="shared" ca="1" si="83"/>
        <v>5S</v>
      </c>
      <c r="E1037" s="3">
        <f t="shared" ca="1" si="84"/>
        <v>7</v>
      </c>
    </row>
    <row r="1038" spans="1:5" x14ac:dyDescent="0.3">
      <c r="A1038" s="4">
        <f t="shared" ca="1" si="80"/>
        <v>43748</v>
      </c>
      <c r="B1038" s="5" t="str">
        <f t="shared" ca="1" si="81"/>
        <v>Maria</v>
      </c>
      <c r="C1038" s="7">
        <f t="shared" ca="1" si="82"/>
        <v>1817</v>
      </c>
      <c r="D1038" s="5" t="str">
        <f t="shared" ca="1" si="83"/>
        <v>Finanças</v>
      </c>
      <c r="E1038" s="3">
        <f t="shared" ca="1" si="84"/>
        <v>10</v>
      </c>
    </row>
    <row r="1039" spans="1:5" x14ac:dyDescent="0.3">
      <c r="A1039" s="4">
        <f t="shared" ca="1" si="80"/>
        <v>43691</v>
      </c>
      <c r="B1039" s="5" t="str">
        <f t="shared" ca="1" si="81"/>
        <v>Maria</v>
      </c>
      <c r="C1039" s="7">
        <f t="shared" ca="1" si="82"/>
        <v>1155</v>
      </c>
      <c r="D1039" s="5" t="str">
        <f t="shared" ca="1" si="83"/>
        <v>Padronização</v>
      </c>
      <c r="E1039" s="3">
        <f t="shared" ca="1" si="84"/>
        <v>8</v>
      </c>
    </row>
    <row r="1040" spans="1:5" x14ac:dyDescent="0.3">
      <c r="A1040" s="4">
        <f t="shared" ca="1" si="80"/>
        <v>43498</v>
      </c>
      <c r="B1040" s="5" t="str">
        <f t="shared" ca="1" si="81"/>
        <v>Marcelo</v>
      </c>
      <c r="C1040" s="7">
        <f t="shared" ca="1" si="82"/>
        <v>3520</v>
      </c>
      <c r="D1040" s="5" t="str">
        <f t="shared" ca="1" si="83"/>
        <v>Padronização</v>
      </c>
      <c r="E1040" s="3">
        <f t="shared" ca="1" si="84"/>
        <v>2</v>
      </c>
    </row>
    <row r="1041" spans="1:5" x14ac:dyDescent="0.3">
      <c r="A1041" s="4">
        <f t="shared" ca="1" si="80"/>
        <v>43710</v>
      </c>
      <c r="B1041" s="5" t="str">
        <f t="shared" ca="1" si="81"/>
        <v>Maria</v>
      </c>
      <c r="C1041" s="7">
        <f t="shared" ca="1" si="82"/>
        <v>1118</v>
      </c>
      <c r="D1041" s="5" t="str">
        <f t="shared" ca="1" si="83"/>
        <v>5S</v>
      </c>
      <c r="E1041" s="3">
        <f t="shared" ca="1" si="84"/>
        <v>9</v>
      </c>
    </row>
    <row r="1042" spans="1:5" x14ac:dyDescent="0.3">
      <c r="A1042" s="4">
        <f t="shared" ca="1" si="80"/>
        <v>43778</v>
      </c>
      <c r="B1042" s="5" t="str">
        <f t="shared" ca="1" si="81"/>
        <v>Marcelo</v>
      </c>
      <c r="C1042" s="7">
        <f t="shared" ca="1" si="82"/>
        <v>3360</v>
      </c>
      <c r="D1042" s="5" t="str">
        <f t="shared" ca="1" si="83"/>
        <v>Finanças</v>
      </c>
      <c r="E1042" s="3">
        <f t="shared" ca="1" si="84"/>
        <v>11</v>
      </c>
    </row>
    <row r="1043" spans="1:5" x14ac:dyDescent="0.3">
      <c r="A1043" s="4">
        <f t="shared" ca="1" si="80"/>
        <v>43601</v>
      </c>
      <c r="B1043" s="5" t="str">
        <f t="shared" ca="1" si="81"/>
        <v>Joaquina</v>
      </c>
      <c r="C1043" s="7">
        <f t="shared" ca="1" si="82"/>
        <v>2703</v>
      </c>
      <c r="D1043" s="5" t="str">
        <f t="shared" ca="1" si="83"/>
        <v>Consultoria</v>
      </c>
      <c r="E1043" s="3">
        <f t="shared" ca="1" si="84"/>
        <v>5</v>
      </c>
    </row>
    <row r="1044" spans="1:5" x14ac:dyDescent="0.3">
      <c r="A1044" s="4">
        <f t="shared" ca="1" si="80"/>
        <v>43530</v>
      </c>
      <c r="B1044" s="5" t="str">
        <f t="shared" ca="1" si="81"/>
        <v>Joaquina</v>
      </c>
      <c r="C1044" s="7">
        <f t="shared" ca="1" si="82"/>
        <v>4630</v>
      </c>
      <c r="D1044" s="5" t="str">
        <f t="shared" ca="1" si="83"/>
        <v>5S</v>
      </c>
      <c r="E1044" s="3">
        <f t="shared" ca="1" si="84"/>
        <v>3</v>
      </c>
    </row>
    <row r="1045" spans="1:5" x14ac:dyDescent="0.3">
      <c r="A1045" s="4">
        <f t="shared" ca="1" si="80"/>
        <v>43542</v>
      </c>
      <c r="B1045" s="5" t="str">
        <f t="shared" ca="1" si="81"/>
        <v>Marcelo</v>
      </c>
      <c r="C1045" s="7">
        <f t="shared" ca="1" si="82"/>
        <v>1801</v>
      </c>
      <c r="D1045" s="5" t="str">
        <f t="shared" ca="1" si="83"/>
        <v>5S</v>
      </c>
      <c r="E1045" s="3">
        <f t="shared" ca="1" si="84"/>
        <v>3</v>
      </c>
    </row>
    <row r="1046" spans="1:5" x14ac:dyDescent="0.3">
      <c r="A1046" s="4">
        <f t="shared" ca="1" si="80"/>
        <v>43756</v>
      </c>
      <c r="B1046" s="5" t="str">
        <f t="shared" ca="1" si="81"/>
        <v>João</v>
      </c>
      <c r="C1046" s="7">
        <f t="shared" ca="1" si="82"/>
        <v>4860</v>
      </c>
      <c r="D1046" s="5" t="str">
        <f t="shared" ca="1" si="83"/>
        <v>5S</v>
      </c>
      <c r="E1046" s="3">
        <f t="shared" ca="1" si="84"/>
        <v>10</v>
      </c>
    </row>
    <row r="1047" spans="1:5" x14ac:dyDescent="0.3">
      <c r="A1047" s="4">
        <f t="shared" ca="1" si="80"/>
        <v>43506</v>
      </c>
      <c r="B1047" s="5" t="str">
        <f t="shared" ca="1" si="81"/>
        <v>João</v>
      </c>
      <c r="C1047" s="7">
        <f t="shared" ca="1" si="82"/>
        <v>2956</v>
      </c>
      <c r="D1047" s="5" t="str">
        <f t="shared" ca="1" si="83"/>
        <v>5S</v>
      </c>
      <c r="E1047" s="3">
        <f t="shared" ca="1" si="84"/>
        <v>2</v>
      </c>
    </row>
    <row r="1048" spans="1:5" x14ac:dyDescent="0.3">
      <c r="A1048" s="4">
        <f t="shared" ca="1" si="80"/>
        <v>43487</v>
      </c>
      <c r="B1048" s="5" t="str">
        <f t="shared" ca="1" si="81"/>
        <v>João</v>
      </c>
      <c r="C1048" s="7">
        <f t="shared" ca="1" si="82"/>
        <v>1471</v>
      </c>
      <c r="D1048" s="5" t="str">
        <f t="shared" ca="1" si="83"/>
        <v>Consultoria</v>
      </c>
      <c r="E1048" s="3">
        <f t="shared" ca="1" si="84"/>
        <v>1</v>
      </c>
    </row>
    <row r="1049" spans="1:5" x14ac:dyDescent="0.3">
      <c r="A1049" s="4">
        <f t="shared" ca="1" si="80"/>
        <v>43696</v>
      </c>
      <c r="B1049" s="5" t="str">
        <f t="shared" ca="1" si="81"/>
        <v>Marcelo</v>
      </c>
      <c r="C1049" s="7">
        <f t="shared" ca="1" si="82"/>
        <v>4866</v>
      </c>
      <c r="D1049" s="5" t="str">
        <f t="shared" ca="1" si="83"/>
        <v>Consultoria</v>
      </c>
      <c r="E1049" s="3">
        <f t="shared" ca="1" si="84"/>
        <v>8</v>
      </c>
    </row>
    <row r="1050" spans="1:5" x14ac:dyDescent="0.3">
      <c r="A1050" s="4">
        <f t="shared" ca="1" si="80"/>
        <v>43790</v>
      </c>
      <c r="B1050" s="5" t="str">
        <f t="shared" ca="1" si="81"/>
        <v>Joaquina</v>
      </c>
      <c r="C1050" s="7">
        <f t="shared" ca="1" si="82"/>
        <v>4883</v>
      </c>
      <c r="D1050" s="5" t="str">
        <f t="shared" ca="1" si="83"/>
        <v>5S</v>
      </c>
      <c r="E1050" s="3">
        <f t="shared" ca="1" si="84"/>
        <v>11</v>
      </c>
    </row>
    <row r="1051" spans="1:5" x14ac:dyDescent="0.3">
      <c r="A1051" s="4">
        <f t="shared" ca="1" si="80"/>
        <v>43549</v>
      </c>
      <c r="B1051" s="5" t="str">
        <f t="shared" ca="1" si="81"/>
        <v>Joaquina</v>
      </c>
      <c r="C1051" s="7">
        <f t="shared" ca="1" si="82"/>
        <v>2804</v>
      </c>
      <c r="D1051" s="5" t="str">
        <f t="shared" ca="1" si="83"/>
        <v>5S</v>
      </c>
      <c r="E1051" s="3">
        <f t="shared" ca="1" si="84"/>
        <v>3</v>
      </c>
    </row>
    <row r="1052" spans="1:5" x14ac:dyDescent="0.3">
      <c r="A1052" s="4">
        <f t="shared" ca="1" si="80"/>
        <v>43612</v>
      </c>
      <c r="B1052" s="5" t="str">
        <f t="shared" ca="1" si="81"/>
        <v>Marcelo</v>
      </c>
      <c r="C1052" s="7">
        <f t="shared" ca="1" si="82"/>
        <v>1544</v>
      </c>
      <c r="D1052" s="5" t="str">
        <f t="shared" ca="1" si="83"/>
        <v>Consultoria</v>
      </c>
      <c r="E1052" s="3">
        <f t="shared" ca="1" si="84"/>
        <v>5</v>
      </c>
    </row>
    <row r="1053" spans="1:5" x14ac:dyDescent="0.3">
      <c r="A1053" s="4">
        <f t="shared" ca="1" si="80"/>
        <v>43535</v>
      </c>
      <c r="B1053" s="5" t="str">
        <f t="shared" ca="1" si="81"/>
        <v>Maria</v>
      </c>
      <c r="C1053" s="7">
        <f t="shared" ca="1" si="82"/>
        <v>4650</v>
      </c>
      <c r="D1053" s="5" t="str">
        <f t="shared" ca="1" si="83"/>
        <v>Finanças</v>
      </c>
      <c r="E1053" s="3">
        <f t="shared" ca="1" si="84"/>
        <v>3</v>
      </c>
    </row>
    <row r="1054" spans="1:5" x14ac:dyDescent="0.3">
      <c r="A1054" s="4">
        <f t="shared" ca="1" si="80"/>
        <v>43805</v>
      </c>
      <c r="B1054" s="5" t="str">
        <f t="shared" ca="1" si="81"/>
        <v>Maria</v>
      </c>
      <c r="C1054" s="7">
        <f t="shared" ca="1" si="82"/>
        <v>4305</v>
      </c>
      <c r="D1054" s="5" t="str">
        <f t="shared" ca="1" si="83"/>
        <v>Consultoria</v>
      </c>
      <c r="E1054" s="3">
        <f t="shared" ca="1" si="84"/>
        <v>12</v>
      </c>
    </row>
    <row r="1055" spans="1:5" x14ac:dyDescent="0.3">
      <c r="A1055" s="4">
        <f t="shared" ca="1" si="80"/>
        <v>43565</v>
      </c>
      <c r="B1055" s="5" t="str">
        <f t="shared" ca="1" si="81"/>
        <v>Marcelo</v>
      </c>
      <c r="C1055" s="7">
        <f t="shared" ca="1" si="82"/>
        <v>2396</v>
      </c>
      <c r="D1055" s="5" t="str">
        <f t="shared" ca="1" si="83"/>
        <v>Consultoria</v>
      </c>
      <c r="E1055" s="3">
        <f t="shared" ca="1" si="84"/>
        <v>4</v>
      </c>
    </row>
    <row r="1056" spans="1:5" x14ac:dyDescent="0.3">
      <c r="A1056" s="4">
        <f t="shared" ca="1" si="80"/>
        <v>43643</v>
      </c>
      <c r="B1056" s="5" t="str">
        <f t="shared" ca="1" si="81"/>
        <v>Maria</v>
      </c>
      <c r="C1056" s="7">
        <f t="shared" ca="1" si="82"/>
        <v>3931</v>
      </c>
      <c r="D1056" s="5" t="str">
        <f t="shared" ca="1" si="83"/>
        <v>Consultoria</v>
      </c>
      <c r="E1056" s="3">
        <f t="shared" ca="1" si="84"/>
        <v>6</v>
      </c>
    </row>
    <row r="1057" spans="1:5" x14ac:dyDescent="0.3">
      <c r="A1057" s="4">
        <f t="shared" ca="1" si="80"/>
        <v>43516</v>
      </c>
      <c r="B1057" s="5" t="str">
        <f t="shared" ca="1" si="81"/>
        <v>Maria</v>
      </c>
      <c r="C1057" s="7">
        <f t="shared" ca="1" si="82"/>
        <v>2969</v>
      </c>
      <c r="D1057" s="5" t="str">
        <f t="shared" ca="1" si="83"/>
        <v>5S</v>
      </c>
      <c r="E1057" s="3">
        <f t="shared" ca="1" si="84"/>
        <v>2</v>
      </c>
    </row>
    <row r="1058" spans="1:5" x14ac:dyDescent="0.3">
      <c r="A1058" s="4">
        <f t="shared" ca="1" si="80"/>
        <v>43499</v>
      </c>
      <c r="B1058" s="5" t="str">
        <f t="shared" ca="1" si="81"/>
        <v>Maria</v>
      </c>
      <c r="C1058" s="7">
        <f t="shared" ca="1" si="82"/>
        <v>4205</v>
      </c>
      <c r="D1058" s="5" t="str">
        <f t="shared" ca="1" si="83"/>
        <v>Padronização</v>
      </c>
      <c r="E1058" s="3">
        <f t="shared" ca="1" si="84"/>
        <v>2</v>
      </c>
    </row>
    <row r="1059" spans="1:5" x14ac:dyDescent="0.3">
      <c r="A1059" s="4">
        <f t="shared" ca="1" si="80"/>
        <v>43813</v>
      </c>
      <c r="B1059" s="5" t="str">
        <f t="shared" ca="1" si="81"/>
        <v>Marcelo</v>
      </c>
      <c r="C1059" s="7">
        <f t="shared" ca="1" si="82"/>
        <v>4021</v>
      </c>
      <c r="D1059" s="5" t="str">
        <f t="shared" ca="1" si="83"/>
        <v>Finanças</v>
      </c>
      <c r="E1059" s="3">
        <f t="shared" ca="1" si="84"/>
        <v>12</v>
      </c>
    </row>
    <row r="1060" spans="1:5" x14ac:dyDescent="0.3">
      <c r="A1060" s="4">
        <f t="shared" ca="1" si="80"/>
        <v>43699</v>
      </c>
      <c r="B1060" s="5" t="str">
        <f t="shared" ca="1" si="81"/>
        <v>Marcelo</v>
      </c>
      <c r="C1060" s="7">
        <f t="shared" ca="1" si="82"/>
        <v>1743</v>
      </c>
      <c r="D1060" s="5" t="str">
        <f t="shared" ca="1" si="83"/>
        <v>5S</v>
      </c>
      <c r="E1060" s="3">
        <f t="shared" ca="1" si="84"/>
        <v>8</v>
      </c>
    </row>
    <row r="1061" spans="1:5" x14ac:dyDescent="0.3">
      <c r="A1061" s="4">
        <f t="shared" ca="1" si="80"/>
        <v>43749</v>
      </c>
      <c r="B1061" s="5" t="str">
        <f t="shared" ca="1" si="81"/>
        <v>Joaquina</v>
      </c>
      <c r="C1061" s="7">
        <f t="shared" ca="1" si="82"/>
        <v>3225</v>
      </c>
      <c r="D1061" s="5" t="str">
        <f t="shared" ca="1" si="83"/>
        <v>Finanças</v>
      </c>
      <c r="E1061" s="3">
        <f t="shared" ca="1" si="84"/>
        <v>10</v>
      </c>
    </row>
    <row r="1062" spans="1:5" x14ac:dyDescent="0.3">
      <c r="A1062" s="4">
        <f t="shared" ca="1" si="80"/>
        <v>43650</v>
      </c>
      <c r="B1062" s="5" t="str">
        <f t="shared" ca="1" si="81"/>
        <v>Marcelo</v>
      </c>
      <c r="C1062" s="7">
        <f t="shared" ca="1" si="82"/>
        <v>1174</v>
      </c>
      <c r="D1062" s="5" t="str">
        <f t="shared" ca="1" si="83"/>
        <v>5S</v>
      </c>
      <c r="E1062" s="3">
        <f t="shared" ca="1" si="84"/>
        <v>7</v>
      </c>
    </row>
    <row r="1063" spans="1:5" x14ac:dyDescent="0.3">
      <c r="A1063" s="4">
        <f t="shared" ca="1" si="80"/>
        <v>43596</v>
      </c>
      <c r="B1063" s="5" t="str">
        <f t="shared" ca="1" si="81"/>
        <v>Marcelo</v>
      </c>
      <c r="C1063" s="7">
        <f t="shared" ca="1" si="82"/>
        <v>4421</v>
      </c>
      <c r="D1063" s="5" t="str">
        <f t="shared" ca="1" si="83"/>
        <v>Padronização</v>
      </c>
      <c r="E1063" s="3">
        <f t="shared" ca="1" si="84"/>
        <v>5</v>
      </c>
    </row>
    <row r="1064" spans="1:5" x14ac:dyDescent="0.3">
      <c r="A1064" s="4">
        <f t="shared" ca="1" si="80"/>
        <v>43632</v>
      </c>
      <c r="B1064" s="5" t="str">
        <f t="shared" ca="1" si="81"/>
        <v>João</v>
      </c>
      <c r="C1064" s="7">
        <f t="shared" ca="1" si="82"/>
        <v>2120</v>
      </c>
      <c r="D1064" s="5" t="str">
        <f t="shared" ca="1" si="83"/>
        <v>Padronização</v>
      </c>
      <c r="E1064" s="3">
        <f t="shared" ca="1" si="84"/>
        <v>6</v>
      </c>
    </row>
    <row r="1065" spans="1:5" x14ac:dyDescent="0.3">
      <c r="A1065" s="4">
        <f t="shared" ca="1" si="80"/>
        <v>43800</v>
      </c>
      <c r="B1065" s="5" t="str">
        <f t="shared" ca="1" si="81"/>
        <v>João</v>
      </c>
      <c r="C1065" s="7">
        <f t="shared" ca="1" si="82"/>
        <v>1872</v>
      </c>
      <c r="D1065" s="5" t="str">
        <f t="shared" ca="1" si="83"/>
        <v>Finanças</v>
      </c>
      <c r="E1065" s="3">
        <f t="shared" ca="1" si="84"/>
        <v>12</v>
      </c>
    </row>
    <row r="1066" spans="1:5" x14ac:dyDescent="0.3">
      <c r="A1066" s="4">
        <f t="shared" ca="1" si="80"/>
        <v>43670</v>
      </c>
      <c r="B1066" s="5" t="str">
        <f t="shared" ca="1" si="81"/>
        <v>Maria</v>
      </c>
      <c r="C1066" s="7">
        <f t="shared" ca="1" si="82"/>
        <v>2991</v>
      </c>
      <c r="D1066" s="5" t="str">
        <f t="shared" ca="1" si="83"/>
        <v>Padronização</v>
      </c>
      <c r="E1066" s="3">
        <f t="shared" ca="1" si="84"/>
        <v>7</v>
      </c>
    </row>
    <row r="1067" spans="1:5" x14ac:dyDescent="0.3">
      <c r="A1067" s="4">
        <f t="shared" ca="1" si="80"/>
        <v>43668</v>
      </c>
      <c r="B1067" s="5" t="str">
        <f t="shared" ca="1" si="81"/>
        <v>Marcelo</v>
      </c>
      <c r="C1067" s="7">
        <f t="shared" ca="1" si="82"/>
        <v>4008</v>
      </c>
      <c r="D1067" s="5" t="str">
        <f t="shared" ca="1" si="83"/>
        <v>Finanças</v>
      </c>
      <c r="E1067" s="3">
        <f t="shared" ca="1" si="84"/>
        <v>7</v>
      </c>
    </row>
    <row r="1068" spans="1:5" x14ac:dyDescent="0.3">
      <c r="A1068" s="4">
        <f t="shared" ca="1" si="80"/>
        <v>43484</v>
      </c>
      <c r="B1068" s="5" t="str">
        <f t="shared" ca="1" si="81"/>
        <v>Joaquina</v>
      </c>
      <c r="C1068" s="7">
        <f t="shared" ca="1" si="82"/>
        <v>1710</v>
      </c>
      <c r="D1068" s="5" t="str">
        <f t="shared" ca="1" si="83"/>
        <v>Finanças</v>
      </c>
      <c r="E1068" s="3">
        <f t="shared" ca="1" si="84"/>
        <v>1</v>
      </c>
    </row>
    <row r="1069" spans="1:5" x14ac:dyDescent="0.3">
      <c r="A1069" s="4">
        <f t="shared" ca="1" si="80"/>
        <v>43515</v>
      </c>
      <c r="B1069" s="5" t="str">
        <f t="shared" ca="1" si="81"/>
        <v>Maria</v>
      </c>
      <c r="C1069" s="7">
        <f t="shared" ca="1" si="82"/>
        <v>1591</v>
      </c>
      <c r="D1069" s="5" t="str">
        <f t="shared" ca="1" si="83"/>
        <v>Finanças</v>
      </c>
      <c r="E1069" s="3">
        <f t="shared" ca="1" si="84"/>
        <v>2</v>
      </c>
    </row>
    <row r="1070" spans="1:5" x14ac:dyDescent="0.3">
      <c r="A1070" s="4">
        <f t="shared" ca="1" si="80"/>
        <v>43739</v>
      </c>
      <c r="B1070" s="5" t="str">
        <f t="shared" ca="1" si="81"/>
        <v>Joaquina</v>
      </c>
      <c r="C1070" s="7">
        <f t="shared" ca="1" si="82"/>
        <v>4933</v>
      </c>
      <c r="D1070" s="5" t="str">
        <f t="shared" ca="1" si="83"/>
        <v>Padronização</v>
      </c>
      <c r="E1070" s="3">
        <f t="shared" ca="1" si="84"/>
        <v>10</v>
      </c>
    </row>
    <row r="1071" spans="1:5" x14ac:dyDescent="0.3">
      <c r="A1071" s="4">
        <f t="shared" ca="1" si="80"/>
        <v>43720</v>
      </c>
      <c r="B1071" s="5" t="str">
        <f t="shared" ca="1" si="81"/>
        <v>Joaquina</v>
      </c>
      <c r="C1071" s="7">
        <f t="shared" ca="1" si="82"/>
        <v>1829</v>
      </c>
      <c r="D1071" s="5" t="str">
        <f t="shared" ca="1" si="83"/>
        <v>Finanças</v>
      </c>
      <c r="E1071" s="3">
        <f t="shared" ca="1" si="84"/>
        <v>9</v>
      </c>
    </row>
    <row r="1072" spans="1:5" x14ac:dyDescent="0.3">
      <c r="A1072" s="4">
        <f t="shared" ca="1" si="80"/>
        <v>43620</v>
      </c>
      <c r="B1072" s="5" t="str">
        <f t="shared" ca="1" si="81"/>
        <v>Joaquina</v>
      </c>
      <c r="C1072" s="7">
        <f t="shared" ca="1" si="82"/>
        <v>3723</v>
      </c>
      <c r="D1072" s="5" t="str">
        <f t="shared" ca="1" si="83"/>
        <v>5S</v>
      </c>
      <c r="E1072" s="3">
        <f t="shared" ca="1" si="84"/>
        <v>6</v>
      </c>
    </row>
    <row r="1073" spans="1:5" x14ac:dyDescent="0.3">
      <c r="A1073" s="4">
        <f t="shared" ca="1" si="80"/>
        <v>43609</v>
      </c>
      <c r="B1073" s="5" t="str">
        <f t="shared" ca="1" si="81"/>
        <v>Joaquina</v>
      </c>
      <c r="C1073" s="7">
        <f t="shared" ca="1" si="82"/>
        <v>4792</v>
      </c>
      <c r="D1073" s="5" t="str">
        <f t="shared" ca="1" si="83"/>
        <v>Consultoria</v>
      </c>
      <c r="E1073" s="3">
        <f t="shared" ca="1" si="84"/>
        <v>5</v>
      </c>
    </row>
    <row r="1074" spans="1:5" x14ac:dyDescent="0.3">
      <c r="A1074" s="4">
        <f t="shared" ca="1" si="80"/>
        <v>43754</v>
      </c>
      <c r="B1074" s="5" t="str">
        <f t="shared" ca="1" si="81"/>
        <v>Marcelo</v>
      </c>
      <c r="C1074" s="7">
        <f t="shared" ca="1" si="82"/>
        <v>4295</v>
      </c>
      <c r="D1074" s="5" t="str">
        <f t="shared" ca="1" si="83"/>
        <v>Finanças</v>
      </c>
      <c r="E1074" s="3">
        <f t="shared" ca="1" si="84"/>
        <v>10</v>
      </c>
    </row>
    <row r="1075" spans="1:5" x14ac:dyDescent="0.3">
      <c r="A1075" s="4">
        <f t="shared" ca="1" si="80"/>
        <v>43672</v>
      </c>
      <c r="B1075" s="5" t="str">
        <f t="shared" ca="1" si="81"/>
        <v>Maria</v>
      </c>
      <c r="C1075" s="7">
        <f t="shared" ca="1" si="82"/>
        <v>1558</v>
      </c>
      <c r="D1075" s="5" t="str">
        <f t="shared" ca="1" si="83"/>
        <v>5S</v>
      </c>
      <c r="E1075" s="3">
        <f t="shared" ca="1" si="84"/>
        <v>7</v>
      </c>
    </row>
    <row r="1076" spans="1:5" x14ac:dyDescent="0.3">
      <c r="A1076" s="4">
        <f t="shared" ca="1" si="80"/>
        <v>43487</v>
      </c>
      <c r="B1076" s="5" t="str">
        <f t="shared" ca="1" si="81"/>
        <v>Marcelo</v>
      </c>
      <c r="C1076" s="7">
        <f t="shared" ca="1" si="82"/>
        <v>2771</v>
      </c>
      <c r="D1076" s="5" t="str">
        <f t="shared" ca="1" si="83"/>
        <v>Finanças</v>
      </c>
      <c r="E1076" s="3">
        <f t="shared" ca="1" si="84"/>
        <v>1</v>
      </c>
    </row>
    <row r="1077" spans="1:5" x14ac:dyDescent="0.3">
      <c r="A1077" s="4">
        <f t="shared" ca="1" si="80"/>
        <v>43741</v>
      </c>
      <c r="B1077" s="5" t="str">
        <f t="shared" ca="1" si="81"/>
        <v>Joaquina</v>
      </c>
      <c r="C1077" s="7">
        <f t="shared" ca="1" si="82"/>
        <v>1953</v>
      </c>
      <c r="D1077" s="5" t="str">
        <f t="shared" ca="1" si="83"/>
        <v>Finanças</v>
      </c>
      <c r="E1077" s="3">
        <f t="shared" ca="1" si="84"/>
        <v>10</v>
      </c>
    </row>
    <row r="1078" spans="1:5" x14ac:dyDescent="0.3">
      <c r="A1078" s="4">
        <f t="shared" ca="1" si="80"/>
        <v>43823</v>
      </c>
      <c r="B1078" s="5" t="str">
        <f t="shared" ca="1" si="81"/>
        <v>Joaquina</v>
      </c>
      <c r="C1078" s="7">
        <f t="shared" ca="1" si="82"/>
        <v>3493</v>
      </c>
      <c r="D1078" s="5" t="str">
        <f t="shared" ca="1" si="83"/>
        <v>Consultoria</v>
      </c>
      <c r="E1078" s="3">
        <f t="shared" ca="1" si="84"/>
        <v>12</v>
      </c>
    </row>
    <row r="1079" spans="1:5" x14ac:dyDescent="0.3">
      <c r="A1079" s="4">
        <f t="shared" ca="1" si="80"/>
        <v>43747</v>
      </c>
      <c r="B1079" s="5" t="str">
        <f t="shared" ca="1" si="81"/>
        <v>Marcelo</v>
      </c>
      <c r="C1079" s="7">
        <f t="shared" ca="1" si="82"/>
        <v>2162</v>
      </c>
      <c r="D1079" s="5" t="str">
        <f t="shared" ca="1" si="83"/>
        <v>Consultoria</v>
      </c>
      <c r="E1079" s="3">
        <f t="shared" ca="1" si="84"/>
        <v>10</v>
      </c>
    </row>
    <row r="1080" spans="1:5" x14ac:dyDescent="0.3">
      <c r="A1080" s="4">
        <f t="shared" ca="1" si="80"/>
        <v>43500</v>
      </c>
      <c r="B1080" s="5" t="str">
        <f t="shared" ca="1" si="81"/>
        <v>João</v>
      </c>
      <c r="C1080" s="7">
        <f t="shared" ca="1" si="82"/>
        <v>3073</v>
      </c>
      <c r="D1080" s="5" t="str">
        <f t="shared" ca="1" si="83"/>
        <v>Finanças</v>
      </c>
      <c r="E1080" s="3">
        <f t="shared" ca="1" si="84"/>
        <v>2</v>
      </c>
    </row>
    <row r="1081" spans="1:5" x14ac:dyDescent="0.3">
      <c r="A1081" s="4">
        <f t="shared" ca="1" si="80"/>
        <v>43766</v>
      </c>
      <c r="B1081" s="5" t="str">
        <f t="shared" ca="1" si="81"/>
        <v>Marcelo</v>
      </c>
      <c r="C1081" s="7">
        <f t="shared" ca="1" si="82"/>
        <v>2543</v>
      </c>
      <c r="D1081" s="5" t="str">
        <f t="shared" ca="1" si="83"/>
        <v>Finanças</v>
      </c>
      <c r="E1081" s="3">
        <f t="shared" ca="1" si="84"/>
        <v>10</v>
      </c>
    </row>
    <row r="1082" spans="1:5" x14ac:dyDescent="0.3">
      <c r="A1082" s="4">
        <f t="shared" ca="1" si="80"/>
        <v>43505</v>
      </c>
      <c r="B1082" s="5" t="str">
        <f t="shared" ca="1" si="81"/>
        <v>João</v>
      </c>
      <c r="C1082" s="7">
        <f t="shared" ca="1" si="82"/>
        <v>1939</v>
      </c>
      <c r="D1082" s="5" t="str">
        <f t="shared" ca="1" si="83"/>
        <v>5S</v>
      </c>
      <c r="E1082" s="3">
        <f t="shared" ca="1" si="84"/>
        <v>2</v>
      </c>
    </row>
    <row r="1083" spans="1:5" x14ac:dyDescent="0.3">
      <c r="A1083" s="4">
        <f t="shared" ca="1" si="80"/>
        <v>43659</v>
      </c>
      <c r="B1083" s="5" t="str">
        <f t="shared" ca="1" si="81"/>
        <v>Marcelo</v>
      </c>
      <c r="C1083" s="7">
        <f t="shared" ca="1" si="82"/>
        <v>4036</v>
      </c>
      <c r="D1083" s="5" t="str">
        <f t="shared" ca="1" si="83"/>
        <v>Padronização</v>
      </c>
      <c r="E1083" s="3">
        <f t="shared" ca="1" si="84"/>
        <v>7</v>
      </c>
    </row>
    <row r="1084" spans="1:5" x14ac:dyDescent="0.3">
      <c r="A1084" s="4">
        <f t="shared" ca="1" si="80"/>
        <v>43805</v>
      </c>
      <c r="B1084" s="5" t="str">
        <f t="shared" ca="1" si="81"/>
        <v>Joaquina</v>
      </c>
      <c r="C1084" s="7">
        <f t="shared" ca="1" si="82"/>
        <v>2043</v>
      </c>
      <c r="D1084" s="5" t="str">
        <f t="shared" ca="1" si="83"/>
        <v>Consultoria</v>
      </c>
      <c r="E1084" s="3">
        <f t="shared" ca="1" si="84"/>
        <v>12</v>
      </c>
    </row>
    <row r="1085" spans="1:5" x14ac:dyDescent="0.3">
      <c r="A1085" s="4">
        <f t="shared" ca="1" si="80"/>
        <v>43654</v>
      </c>
      <c r="B1085" s="5" t="str">
        <f t="shared" ca="1" si="81"/>
        <v>Maria</v>
      </c>
      <c r="C1085" s="7">
        <f t="shared" ca="1" si="82"/>
        <v>1705</v>
      </c>
      <c r="D1085" s="5" t="str">
        <f t="shared" ca="1" si="83"/>
        <v>Finanças</v>
      </c>
      <c r="E1085" s="3">
        <f t="shared" ca="1" si="84"/>
        <v>7</v>
      </c>
    </row>
    <row r="1086" spans="1:5" x14ac:dyDescent="0.3">
      <c r="A1086" s="4">
        <f t="shared" ca="1" si="80"/>
        <v>43779</v>
      </c>
      <c r="B1086" s="5" t="str">
        <f t="shared" ca="1" si="81"/>
        <v>Maria</v>
      </c>
      <c r="C1086" s="7">
        <f t="shared" ca="1" si="82"/>
        <v>1591</v>
      </c>
      <c r="D1086" s="5" t="str">
        <f t="shared" ca="1" si="83"/>
        <v>5S</v>
      </c>
      <c r="E1086" s="3">
        <f t="shared" ca="1" si="84"/>
        <v>11</v>
      </c>
    </row>
    <row r="1087" spans="1:5" x14ac:dyDescent="0.3">
      <c r="A1087" s="4">
        <f t="shared" ca="1" si="80"/>
        <v>43696</v>
      </c>
      <c r="B1087" s="5" t="str">
        <f t="shared" ca="1" si="81"/>
        <v>Joaquina</v>
      </c>
      <c r="C1087" s="7">
        <f t="shared" ca="1" si="82"/>
        <v>4515</v>
      </c>
      <c r="D1087" s="5" t="str">
        <f t="shared" ca="1" si="83"/>
        <v>Consultoria</v>
      </c>
      <c r="E1087" s="3">
        <f t="shared" ca="1" si="84"/>
        <v>8</v>
      </c>
    </row>
    <row r="1088" spans="1:5" x14ac:dyDescent="0.3">
      <c r="A1088" s="4">
        <f t="shared" ca="1" si="80"/>
        <v>43542</v>
      </c>
      <c r="B1088" s="5" t="str">
        <f t="shared" ca="1" si="81"/>
        <v>Maria</v>
      </c>
      <c r="C1088" s="7">
        <f t="shared" ca="1" si="82"/>
        <v>3652</v>
      </c>
      <c r="D1088" s="5" t="str">
        <f t="shared" ca="1" si="83"/>
        <v>Padronização</v>
      </c>
      <c r="E1088" s="3">
        <f t="shared" ca="1" si="84"/>
        <v>3</v>
      </c>
    </row>
    <row r="1089" spans="1:5" x14ac:dyDescent="0.3">
      <c r="A1089" s="4">
        <f t="shared" ca="1" si="80"/>
        <v>43497</v>
      </c>
      <c r="B1089" s="5" t="str">
        <f t="shared" ca="1" si="81"/>
        <v>Marcelo</v>
      </c>
      <c r="C1089" s="7">
        <f t="shared" ca="1" si="82"/>
        <v>4020</v>
      </c>
      <c r="D1089" s="5" t="str">
        <f t="shared" ca="1" si="83"/>
        <v>Consultoria</v>
      </c>
      <c r="E1089" s="3">
        <f t="shared" ca="1" si="84"/>
        <v>2</v>
      </c>
    </row>
    <row r="1090" spans="1:5" x14ac:dyDescent="0.3">
      <c r="A1090" s="4">
        <f t="shared" ca="1" si="80"/>
        <v>43470</v>
      </c>
      <c r="B1090" s="5" t="str">
        <f t="shared" ca="1" si="81"/>
        <v>Marcelo</v>
      </c>
      <c r="C1090" s="7">
        <f t="shared" ca="1" si="82"/>
        <v>1277</v>
      </c>
      <c r="D1090" s="5" t="str">
        <f t="shared" ca="1" si="83"/>
        <v>Consultoria</v>
      </c>
      <c r="E1090" s="3">
        <f t="shared" ca="1" si="84"/>
        <v>1</v>
      </c>
    </row>
    <row r="1091" spans="1:5" x14ac:dyDescent="0.3">
      <c r="A1091" s="4">
        <f t="shared" ref="A1091:A1154" ca="1" si="85">RANDBETWEEN($F$1,$F$2)</f>
        <v>43726</v>
      </c>
      <c r="B1091" s="5" t="str">
        <f t="shared" ref="B1091:B1154" ca="1" si="86">VLOOKUP(RANDBETWEEN(1,4),$I$1:$J$4,2,FALSE)</f>
        <v>João</v>
      </c>
      <c r="C1091" s="7">
        <f t="shared" ref="C1091:C1154" ca="1" si="87">RANDBETWEEN(1000,5000)</f>
        <v>1616</v>
      </c>
      <c r="D1091" s="5" t="str">
        <f t="shared" ref="D1091:D1154" ca="1" si="88">VLOOKUP(RANDBETWEEN($I$6,$I$9),$I$6:$J$9,2,FALSE)</f>
        <v>Consultoria</v>
      </c>
      <c r="E1091" s="3">
        <f t="shared" ref="E1091:E1154" ca="1" si="89">MONTH(A1091)</f>
        <v>9</v>
      </c>
    </row>
    <row r="1092" spans="1:5" x14ac:dyDescent="0.3">
      <c r="A1092" s="4">
        <f t="shared" ca="1" si="85"/>
        <v>43543</v>
      </c>
      <c r="B1092" s="5" t="str">
        <f t="shared" ca="1" si="86"/>
        <v>Joaquina</v>
      </c>
      <c r="C1092" s="7">
        <f t="shared" ca="1" si="87"/>
        <v>4295</v>
      </c>
      <c r="D1092" s="5" t="str">
        <f t="shared" ca="1" si="88"/>
        <v>Finanças</v>
      </c>
      <c r="E1092" s="3">
        <f t="shared" ca="1" si="89"/>
        <v>3</v>
      </c>
    </row>
    <row r="1093" spans="1:5" x14ac:dyDescent="0.3">
      <c r="A1093" s="4">
        <f t="shared" ca="1" si="85"/>
        <v>43474</v>
      </c>
      <c r="B1093" s="5" t="str">
        <f t="shared" ca="1" si="86"/>
        <v>Maria</v>
      </c>
      <c r="C1093" s="7">
        <f t="shared" ca="1" si="87"/>
        <v>1629</v>
      </c>
      <c r="D1093" s="5" t="str">
        <f t="shared" ca="1" si="88"/>
        <v>5S</v>
      </c>
      <c r="E1093" s="3">
        <f t="shared" ca="1" si="89"/>
        <v>1</v>
      </c>
    </row>
    <row r="1094" spans="1:5" x14ac:dyDescent="0.3">
      <c r="A1094" s="4">
        <f t="shared" ca="1" si="85"/>
        <v>43540</v>
      </c>
      <c r="B1094" s="5" t="str">
        <f t="shared" ca="1" si="86"/>
        <v>Marcelo</v>
      </c>
      <c r="C1094" s="7">
        <f t="shared" ca="1" si="87"/>
        <v>3470</v>
      </c>
      <c r="D1094" s="5" t="str">
        <f t="shared" ca="1" si="88"/>
        <v>5S</v>
      </c>
      <c r="E1094" s="3">
        <f t="shared" ca="1" si="89"/>
        <v>3</v>
      </c>
    </row>
    <row r="1095" spans="1:5" x14ac:dyDescent="0.3">
      <c r="A1095" s="4">
        <f t="shared" ca="1" si="85"/>
        <v>43628</v>
      </c>
      <c r="B1095" s="5" t="str">
        <f t="shared" ca="1" si="86"/>
        <v>João</v>
      </c>
      <c r="C1095" s="7">
        <f t="shared" ca="1" si="87"/>
        <v>4065</v>
      </c>
      <c r="D1095" s="5" t="str">
        <f t="shared" ca="1" si="88"/>
        <v>Padronização</v>
      </c>
      <c r="E1095" s="3">
        <f t="shared" ca="1" si="89"/>
        <v>6</v>
      </c>
    </row>
    <row r="1096" spans="1:5" x14ac:dyDescent="0.3">
      <c r="A1096" s="4">
        <f t="shared" ca="1" si="85"/>
        <v>43515</v>
      </c>
      <c r="B1096" s="5" t="str">
        <f t="shared" ca="1" si="86"/>
        <v>João</v>
      </c>
      <c r="C1096" s="7">
        <f t="shared" ca="1" si="87"/>
        <v>2460</v>
      </c>
      <c r="D1096" s="5" t="str">
        <f t="shared" ca="1" si="88"/>
        <v>Consultoria</v>
      </c>
      <c r="E1096" s="3">
        <f t="shared" ca="1" si="89"/>
        <v>2</v>
      </c>
    </row>
    <row r="1097" spans="1:5" x14ac:dyDescent="0.3">
      <c r="A1097" s="4">
        <f t="shared" ca="1" si="85"/>
        <v>43579</v>
      </c>
      <c r="B1097" s="5" t="str">
        <f t="shared" ca="1" si="86"/>
        <v>Joaquina</v>
      </c>
      <c r="C1097" s="7">
        <f t="shared" ca="1" si="87"/>
        <v>4489</v>
      </c>
      <c r="D1097" s="5" t="str">
        <f t="shared" ca="1" si="88"/>
        <v>Finanças</v>
      </c>
      <c r="E1097" s="3">
        <f t="shared" ca="1" si="89"/>
        <v>4</v>
      </c>
    </row>
    <row r="1098" spans="1:5" x14ac:dyDescent="0.3">
      <c r="A1098" s="4">
        <f t="shared" ca="1" si="85"/>
        <v>43641</v>
      </c>
      <c r="B1098" s="5" t="str">
        <f t="shared" ca="1" si="86"/>
        <v>João</v>
      </c>
      <c r="C1098" s="7">
        <f t="shared" ca="1" si="87"/>
        <v>3365</v>
      </c>
      <c r="D1098" s="5" t="str">
        <f t="shared" ca="1" si="88"/>
        <v>5S</v>
      </c>
      <c r="E1098" s="3">
        <f t="shared" ca="1" si="89"/>
        <v>6</v>
      </c>
    </row>
    <row r="1099" spans="1:5" x14ac:dyDescent="0.3">
      <c r="A1099" s="4">
        <f t="shared" ca="1" si="85"/>
        <v>43628</v>
      </c>
      <c r="B1099" s="5" t="str">
        <f t="shared" ca="1" si="86"/>
        <v>João</v>
      </c>
      <c r="C1099" s="7">
        <f t="shared" ca="1" si="87"/>
        <v>4328</v>
      </c>
      <c r="D1099" s="5" t="str">
        <f t="shared" ca="1" si="88"/>
        <v>5S</v>
      </c>
      <c r="E1099" s="3">
        <f t="shared" ca="1" si="89"/>
        <v>6</v>
      </c>
    </row>
    <row r="1100" spans="1:5" x14ac:dyDescent="0.3">
      <c r="A1100" s="4">
        <f t="shared" ca="1" si="85"/>
        <v>43550</v>
      </c>
      <c r="B1100" s="5" t="str">
        <f t="shared" ca="1" si="86"/>
        <v>Joaquina</v>
      </c>
      <c r="C1100" s="7">
        <f t="shared" ca="1" si="87"/>
        <v>1302</v>
      </c>
      <c r="D1100" s="5" t="str">
        <f t="shared" ca="1" si="88"/>
        <v>Padronização</v>
      </c>
      <c r="E1100" s="3">
        <f t="shared" ca="1" si="89"/>
        <v>3</v>
      </c>
    </row>
    <row r="1101" spans="1:5" x14ac:dyDescent="0.3">
      <c r="A1101" s="4">
        <f t="shared" ca="1" si="85"/>
        <v>43805</v>
      </c>
      <c r="B1101" s="5" t="str">
        <f t="shared" ca="1" si="86"/>
        <v>João</v>
      </c>
      <c r="C1101" s="7">
        <f t="shared" ca="1" si="87"/>
        <v>4553</v>
      </c>
      <c r="D1101" s="5" t="str">
        <f t="shared" ca="1" si="88"/>
        <v>Consultoria</v>
      </c>
      <c r="E1101" s="3">
        <f t="shared" ca="1" si="89"/>
        <v>12</v>
      </c>
    </row>
    <row r="1102" spans="1:5" x14ac:dyDescent="0.3">
      <c r="A1102" s="4">
        <f t="shared" ca="1" si="85"/>
        <v>43470</v>
      </c>
      <c r="B1102" s="5" t="str">
        <f t="shared" ca="1" si="86"/>
        <v>João</v>
      </c>
      <c r="C1102" s="7">
        <f t="shared" ca="1" si="87"/>
        <v>3525</v>
      </c>
      <c r="D1102" s="5" t="str">
        <f t="shared" ca="1" si="88"/>
        <v>Finanças</v>
      </c>
      <c r="E1102" s="3">
        <f t="shared" ca="1" si="89"/>
        <v>1</v>
      </c>
    </row>
    <row r="1103" spans="1:5" x14ac:dyDescent="0.3">
      <c r="A1103" s="4">
        <f t="shared" ca="1" si="85"/>
        <v>43821</v>
      </c>
      <c r="B1103" s="5" t="str">
        <f t="shared" ca="1" si="86"/>
        <v>Marcelo</v>
      </c>
      <c r="C1103" s="7">
        <f t="shared" ca="1" si="87"/>
        <v>1754</v>
      </c>
      <c r="D1103" s="5" t="str">
        <f t="shared" ca="1" si="88"/>
        <v>Padronização</v>
      </c>
      <c r="E1103" s="3">
        <f t="shared" ca="1" si="89"/>
        <v>12</v>
      </c>
    </row>
    <row r="1104" spans="1:5" x14ac:dyDescent="0.3">
      <c r="A1104" s="4">
        <f t="shared" ca="1" si="85"/>
        <v>43695</v>
      </c>
      <c r="B1104" s="5" t="str">
        <f t="shared" ca="1" si="86"/>
        <v>Marcelo</v>
      </c>
      <c r="C1104" s="7">
        <f t="shared" ca="1" si="87"/>
        <v>2996</v>
      </c>
      <c r="D1104" s="5" t="str">
        <f t="shared" ca="1" si="88"/>
        <v>Padronização</v>
      </c>
      <c r="E1104" s="3">
        <f t="shared" ca="1" si="89"/>
        <v>8</v>
      </c>
    </row>
    <row r="1105" spans="1:5" x14ac:dyDescent="0.3">
      <c r="A1105" s="4">
        <f t="shared" ca="1" si="85"/>
        <v>43778</v>
      </c>
      <c r="B1105" s="5" t="str">
        <f t="shared" ca="1" si="86"/>
        <v>Marcelo</v>
      </c>
      <c r="C1105" s="7">
        <f t="shared" ca="1" si="87"/>
        <v>3259</v>
      </c>
      <c r="D1105" s="5" t="str">
        <f t="shared" ca="1" si="88"/>
        <v>5S</v>
      </c>
      <c r="E1105" s="3">
        <f t="shared" ca="1" si="89"/>
        <v>11</v>
      </c>
    </row>
    <row r="1106" spans="1:5" x14ac:dyDescent="0.3">
      <c r="A1106" s="4">
        <f t="shared" ca="1" si="85"/>
        <v>43538</v>
      </c>
      <c r="B1106" s="5" t="str">
        <f t="shared" ca="1" si="86"/>
        <v>Maria</v>
      </c>
      <c r="C1106" s="7">
        <f t="shared" ca="1" si="87"/>
        <v>2928</v>
      </c>
      <c r="D1106" s="5" t="str">
        <f t="shared" ca="1" si="88"/>
        <v>Padronização</v>
      </c>
      <c r="E1106" s="3">
        <f t="shared" ca="1" si="89"/>
        <v>3</v>
      </c>
    </row>
    <row r="1107" spans="1:5" x14ac:dyDescent="0.3">
      <c r="A1107" s="4">
        <f t="shared" ca="1" si="85"/>
        <v>43540</v>
      </c>
      <c r="B1107" s="5" t="str">
        <f t="shared" ca="1" si="86"/>
        <v>Joaquina</v>
      </c>
      <c r="C1107" s="7">
        <f t="shared" ca="1" si="87"/>
        <v>1655</v>
      </c>
      <c r="D1107" s="5" t="str">
        <f t="shared" ca="1" si="88"/>
        <v>Finanças</v>
      </c>
      <c r="E1107" s="3">
        <f t="shared" ca="1" si="89"/>
        <v>3</v>
      </c>
    </row>
    <row r="1108" spans="1:5" x14ac:dyDescent="0.3">
      <c r="A1108" s="4">
        <f t="shared" ca="1" si="85"/>
        <v>43588</v>
      </c>
      <c r="B1108" s="5" t="str">
        <f t="shared" ca="1" si="86"/>
        <v>João</v>
      </c>
      <c r="C1108" s="7">
        <f t="shared" ca="1" si="87"/>
        <v>2206</v>
      </c>
      <c r="D1108" s="5" t="str">
        <f t="shared" ca="1" si="88"/>
        <v>Finanças</v>
      </c>
      <c r="E1108" s="3">
        <f t="shared" ca="1" si="89"/>
        <v>5</v>
      </c>
    </row>
    <row r="1109" spans="1:5" x14ac:dyDescent="0.3">
      <c r="A1109" s="4">
        <f t="shared" ca="1" si="85"/>
        <v>43791</v>
      </c>
      <c r="B1109" s="5" t="str">
        <f t="shared" ca="1" si="86"/>
        <v>Marcelo</v>
      </c>
      <c r="C1109" s="7">
        <f t="shared" ca="1" si="87"/>
        <v>1878</v>
      </c>
      <c r="D1109" s="5" t="str">
        <f t="shared" ca="1" si="88"/>
        <v>Padronização</v>
      </c>
      <c r="E1109" s="3">
        <f t="shared" ca="1" si="89"/>
        <v>11</v>
      </c>
    </row>
    <row r="1110" spans="1:5" x14ac:dyDescent="0.3">
      <c r="A1110" s="4">
        <f t="shared" ca="1" si="85"/>
        <v>43808</v>
      </c>
      <c r="B1110" s="5" t="str">
        <f t="shared" ca="1" si="86"/>
        <v>João</v>
      </c>
      <c r="C1110" s="7">
        <f t="shared" ca="1" si="87"/>
        <v>3073</v>
      </c>
      <c r="D1110" s="5" t="str">
        <f t="shared" ca="1" si="88"/>
        <v>Consultoria</v>
      </c>
      <c r="E1110" s="3">
        <f t="shared" ca="1" si="89"/>
        <v>12</v>
      </c>
    </row>
    <row r="1111" spans="1:5" x14ac:dyDescent="0.3">
      <c r="A1111" s="4">
        <f t="shared" ca="1" si="85"/>
        <v>43717</v>
      </c>
      <c r="B1111" s="5" t="str">
        <f t="shared" ca="1" si="86"/>
        <v>João</v>
      </c>
      <c r="C1111" s="7">
        <f t="shared" ca="1" si="87"/>
        <v>1771</v>
      </c>
      <c r="D1111" s="5" t="str">
        <f t="shared" ca="1" si="88"/>
        <v>Consultoria</v>
      </c>
      <c r="E1111" s="3">
        <f t="shared" ca="1" si="89"/>
        <v>9</v>
      </c>
    </row>
    <row r="1112" spans="1:5" x14ac:dyDescent="0.3">
      <c r="A1112" s="4">
        <f t="shared" ca="1" si="85"/>
        <v>43467</v>
      </c>
      <c r="B1112" s="5" t="str">
        <f t="shared" ca="1" si="86"/>
        <v>Marcelo</v>
      </c>
      <c r="C1112" s="7">
        <f t="shared" ca="1" si="87"/>
        <v>1954</v>
      </c>
      <c r="D1112" s="5" t="str">
        <f t="shared" ca="1" si="88"/>
        <v>Consultoria</v>
      </c>
      <c r="E1112" s="3">
        <f t="shared" ca="1" si="89"/>
        <v>1</v>
      </c>
    </row>
    <row r="1113" spans="1:5" x14ac:dyDescent="0.3">
      <c r="A1113" s="4">
        <f t="shared" ca="1" si="85"/>
        <v>43757</v>
      </c>
      <c r="B1113" s="5" t="str">
        <f t="shared" ca="1" si="86"/>
        <v>Maria</v>
      </c>
      <c r="C1113" s="7">
        <f t="shared" ca="1" si="87"/>
        <v>1636</v>
      </c>
      <c r="D1113" s="5" t="str">
        <f t="shared" ca="1" si="88"/>
        <v>Consultoria</v>
      </c>
      <c r="E1113" s="3">
        <f t="shared" ca="1" si="89"/>
        <v>10</v>
      </c>
    </row>
    <row r="1114" spans="1:5" x14ac:dyDescent="0.3">
      <c r="A1114" s="4">
        <f t="shared" ca="1" si="85"/>
        <v>43540</v>
      </c>
      <c r="B1114" s="5" t="str">
        <f t="shared" ca="1" si="86"/>
        <v>João</v>
      </c>
      <c r="C1114" s="7">
        <f t="shared" ca="1" si="87"/>
        <v>4040</v>
      </c>
      <c r="D1114" s="5" t="str">
        <f t="shared" ca="1" si="88"/>
        <v>Consultoria</v>
      </c>
      <c r="E1114" s="3">
        <f t="shared" ca="1" si="89"/>
        <v>3</v>
      </c>
    </row>
    <row r="1115" spans="1:5" x14ac:dyDescent="0.3">
      <c r="A1115" s="4">
        <f t="shared" ca="1" si="85"/>
        <v>43572</v>
      </c>
      <c r="B1115" s="5" t="str">
        <f t="shared" ca="1" si="86"/>
        <v>João</v>
      </c>
      <c r="C1115" s="7">
        <f t="shared" ca="1" si="87"/>
        <v>1529</v>
      </c>
      <c r="D1115" s="5" t="str">
        <f t="shared" ca="1" si="88"/>
        <v>Consultoria</v>
      </c>
      <c r="E1115" s="3">
        <f t="shared" ca="1" si="89"/>
        <v>4</v>
      </c>
    </row>
    <row r="1116" spans="1:5" x14ac:dyDescent="0.3">
      <c r="A1116" s="4">
        <f t="shared" ca="1" si="85"/>
        <v>43555</v>
      </c>
      <c r="B1116" s="5" t="str">
        <f t="shared" ca="1" si="86"/>
        <v>Joaquina</v>
      </c>
      <c r="C1116" s="7">
        <f t="shared" ca="1" si="87"/>
        <v>2407</v>
      </c>
      <c r="D1116" s="5" t="str">
        <f t="shared" ca="1" si="88"/>
        <v>Padronização</v>
      </c>
      <c r="E1116" s="3">
        <f t="shared" ca="1" si="89"/>
        <v>3</v>
      </c>
    </row>
    <row r="1117" spans="1:5" x14ac:dyDescent="0.3">
      <c r="A1117" s="4">
        <f t="shared" ca="1" si="85"/>
        <v>43517</v>
      </c>
      <c r="B1117" s="5" t="str">
        <f t="shared" ca="1" si="86"/>
        <v>João</v>
      </c>
      <c r="C1117" s="7">
        <f t="shared" ca="1" si="87"/>
        <v>3837</v>
      </c>
      <c r="D1117" s="5" t="str">
        <f t="shared" ca="1" si="88"/>
        <v>5S</v>
      </c>
      <c r="E1117" s="3">
        <f t="shared" ca="1" si="89"/>
        <v>2</v>
      </c>
    </row>
    <row r="1118" spans="1:5" x14ac:dyDescent="0.3">
      <c r="A1118" s="4">
        <f t="shared" ca="1" si="85"/>
        <v>43804</v>
      </c>
      <c r="B1118" s="5" t="str">
        <f t="shared" ca="1" si="86"/>
        <v>Joaquina</v>
      </c>
      <c r="C1118" s="7">
        <f t="shared" ca="1" si="87"/>
        <v>4739</v>
      </c>
      <c r="D1118" s="5" t="str">
        <f t="shared" ca="1" si="88"/>
        <v>5S</v>
      </c>
      <c r="E1118" s="3">
        <f t="shared" ca="1" si="89"/>
        <v>12</v>
      </c>
    </row>
    <row r="1119" spans="1:5" x14ac:dyDescent="0.3">
      <c r="A1119" s="4">
        <f t="shared" ca="1" si="85"/>
        <v>43540</v>
      </c>
      <c r="B1119" s="5" t="str">
        <f t="shared" ca="1" si="86"/>
        <v>Joaquina</v>
      </c>
      <c r="C1119" s="7">
        <f t="shared" ca="1" si="87"/>
        <v>1412</v>
      </c>
      <c r="D1119" s="5" t="str">
        <f t="shared" ca="1" si="88"/>
        <v>Consultoria</v>
      </c>
      <c r="E1119" s="3">
        <f t="shared" ca="1" si="89"/>
        <v>3</v>
      </c>
    </row>
    <row r="1120" spans="1:5" x14ac:dyDescent="0.3">
      <c r="A1120" s="4">
        <f t="shared" ca="1" si="85"/>
        <v>43648</v>
      </c>
      <c r="B1120" s="5" t="str">
        <f t="shared" ca="1" si="86"/>
        <v>Maria</v>
      </c>
      <c r="C1120" s="7">
        <f t="shared" ca="1" si="87"/>
        <v>1590</v>
      </c>
      <c r="D1120" s="5" t="str">
        <f t="shared" ca="1" si="88"/>
        <v>Padronização</v>
      </c>
      <c r="E1120" s="3">
        <f t="shared" ca="1" si="89"/>
        <v>7</v>
      </c>
    </row>
    <row r="1121" spans="1:5" x14ac:dyDescent="0.3">
      <c r="A1121" s="4">
        <f t="shared" ca="1" si="85"/>
        <v>43505</v>
      </c>
      <c r="B1121" s="5" t="str">
        <f t="shared" ca="1" si="86"/>
        <v>Maria</v>
      </c>
      <c r="C1121" s="7">
        <f t="shared" ca="1" si="87"/>
        <v>1613</v>
      </c>
      <c r="D1121" s="5" t="str">
        <f t="shared" ca="1" si="88"/>
        <v>Consultoria</v>
      </c>
      <c r="E1121" s="3">
        <f t="shared" ca="1" si="89"/>
        <v>2</v>
      </c>
    </row>
    <row r="1122" spans="1:5" x14ac:dyDescent="0.3">
      <c r="A1122" s="4">
        <f t="shared" ca="1" si="85"/>
        <v>43819</v>
      </c>
      <c r="B1122" s="5" t="str">
        <f t="shared" ca="1" si="86"/>
        <v>Joaquina</v>
      </c>
      <c r="C1122" s="7">
        <f t="shared" ca="1" si="87"/>
        <v>1183</v>
      </c>
      <c r="D1122" s="5" t="str">
        <f t="shared" ca="1" si="88"/>
        <v>Consultoria</v>
      </c>
      <c r="E1122" s="3">
        <f t="shared" ca="1" si="89"/>
        <v>12</v>
      </c>
    </row>
    <row r="1123" spans="1:5" x14ac:dyDescent="0.3">
      <c r="A1123" s="4">
        <f t="shared" ca="1" si="85"/>
        <v>43651</v>
      </c>
      <c r="B1123" s="5" t="str">
        <f t="shared" ca="1" si="86"/>
        <v>João</v>
      </c>
      <c r="C1123" s="7">
        <f t="shared" ca="1" si="87"/>
        <v>4724</v>
      </c>
      <c r="D1123" s="5" t="str">
        <f t="shared" ca="1" si="88"/>
        <v>Padronização</v>
      </c>
      <c r="E1123" s="3">
        <f t="shared" ca="1" si="89"/>
        <v>7</v>
      </c>
    </row>
    <row r="1124" spans="1:5" x14ac:dyDescent="0.3">
      <c r="A1124" s="4">
        <f t="shared" ca="1" si="85"/>
        <v>43677</v>
      </c>
      <c r="B1124" s="5" t="str">
        <f t="shared" ca="1" si="86"/>
        <v>Marcelo</v>
      </c>
      <c r="C1124" s="7">
        <f t="shared" ca="1" si="87"/>
        <v>3702</v>
      </c>
      <c r="D1124" s="5" t="str">
        <f t="shared" ca="1" si="88"/>
        <v>Finanças</v>
      </c>
      <c r="E1124" s="3">
        <f t="shared" ca="1" si="89"/>
        <v>7</v>
      </c>
    </row>
    <row r="1125" spans="1:5" x14ac:dyDescent="0.3">
      <c r="A1125" s="4">
        <f t="shared" ca="1" si="85"/>
        <v>43749</v>
      </c>
      <c r="B1125" s="5" t="str">
        <f t="shared" ca="1" si="86"/>
        <v>Maria</v>
      </c>
      <c r="C1125" s="7">
        <f t="shared" ca="1" si="87"/>
        <v>2020</v>
      </c>
      <c r="D1125" s="5" t="str">
        <f t="shared" ca="1" si="88"/>
        <v>Finanças</v>
      </c>
      <c r="E1125" s="3">
        <f t="shared" ca="1" si="89"/>
        <v>10</v>
      </c>
    </row>
    <row r="1126" spans="1:5" x14ac:dyDescent="0.3">
      <c r="A1126" s="4">
        <f t="shared" ca="1" si="85"/>
        <v>43756</v>
      </c>
      <c r="B1126" s="5" t="str">
        <f t="shared" ca="1" si="86"/>
        <v>Maria</v>
      </c>
      <c r="C1126" s="7">
        <f t="shared" ca="1" si="87"/>
        <v>4751</v>
      </c>
      <c r="D1126" s="5" t="str">
        <f t="shared" ca="1" si="88"/>
        <v>Padronização</v>
      </c>
      <c r="E1126" s="3">
        <f t="shared" ca="1" si="89"/>
        <v>10</v>
      </c>
    </row>
    <row r="1127" spans="1:5" x14ac:dyDescent="0.3">
      <c r="A1127" s="4">
        <f t="shared" ca="1" si="85"/>
        <v>43616</v>
      </c>
      <c r="B1127" s="5" t="str">
        <f t="shared" ca="1" si="86"/>
        <v>Joaquina</v>
      </c>
      <c r="C1127" s="7">
        <f t="shared" ca="1" si="87"/>
        <v>2214</v>
      </c>
      <c r="D1127" s="5" t="str">
        <f t="shared" ca="1" si="88"/>
        <v>5S</v>
      </c>
      <c r="E1127" s="3">
        <f t="shared" ca="1" si="89"/>
        <v>5</v>
      </c>
    </row>
    <row r="1128" spans="1:5" x14ac:dyDescent="0.3">
      <c r="A1128" s="4">
        <f t="shared" ca="1" si="85"/>
        <v>43531</v>
      </c>
      <c r="B1128" s="5" t="str">
        <f t="shared" ca="1" si="86"/>
        <v>João</v>
      </c>
      <c r="C1128" s="7">
        <f t="shared" ca="1" si="87"/>
        <v>1851</v>
      </c>
      <c r="D1128" s="5" t="str">
        <f t="shared" ca="1" si="88"/>
        <v>Consultoria</v>
      </c>
      <c r="E1128" s="3">
        <f t="shared" ca="1" si="89"/>
        <v>3</v>
      </c>
    </row>
    <row r="1129" spans="1:5" x14ac:dyDescent="0.3">
      <c r="A1129" s="4">
        <f t="shared" ca="1" si="85"/>
        <v>43543</v>
      </c>
      <c r="B1129" s="5" t="str">
        <f t="shared" ca="1" si="86"/>
        <v>Joaquina</v>
      </c>
      <c r="C1129" s="7">
        <f t="shared" ca="1" si="87"/>
        <v>2425</v>
      </c>
      <c r="D1129" s="5" t="str">
        <f t="shared" ca="1" si="88"/>
        <v>Padronização</v>
      </c>
      <c r="E1129" s="3">
        <f t="shared" ca="1" si="89"/>
        <v>3</v>
      </c>
    </row>
    <row r="1130" spans="1:5" x14ac:dyDescent="0.3">
      <c r="A1130" s="4">
        <f t="shared" ca="1" si="85"/>
        <v>43555</v>
      </c>
      <c r="B1130" s="5" t="str">
        <f t="shared" ca="1" si="86"/>
        <v>Marcelo</v>
      </c>
      <c r="C1130" s="7">
        <f t="shared" ca="1" si="87"/>
        <v>4444</v>
      </c>
      <c r="D1130" s="5" t="str">
        <f t="shared" ca="1" si="88"/>
        <v>5S</v>
      </c>
      <c r="E1130" s="3">
        <f t="shared" ca="1" si="89"/>
        <v>3</v>
      </c>
    </row>
    <row r="1131" spans="1:5" x14ac:dyDescent="0.3">
      <c r="A1131" s="4">
        <f t="shared" ca="1" si="85"/>
        <v>43750</v>
      </c>
      <c r="B1131" s="5" t="str">
        <f t="shared" ca="1" si="86"/>
        <v>João</v>
      </c>
      <c r="C1131" s="7">
        <f t="shared" ca="1" si="87"/>
        <v>1706</v>
      </c>
      <c r="D1131" s="5" t="str">
        <f t="shared" ca="1" si="88"/>
        <v>Finanças</v>
      </c>
      <c r="E1131" s="3">
        <f t="shared" ca="1" si="89"/>
        <v>10</v>
      </c>
    </row>
    <row r="1132" spans="1:5" x14ac:dyDescent="0.3">
      <c r="A1132" s="4">
        <f t="shared" ca="1" si="85"/>
        <v>43643</v>
      </c>
      <c r="B1132" s="5" t="str">
        <f t="shared" ca="1" si="86"/>
        <v>Maria</v>
      </c>
      <c r="C1132" s="7">
        <f t="shared" ca="1" si="87"/>
        <v>2461</v>
      </c>
      <c r="D1132" s="5" t="str">
        <f t="shared" ca="1" si="88"/>
        <v>Padronização</v>
      </c>
      <c r="E1132" s="3">
        <f t="shared" ca="1" si="89"/>
        <v>6</v>
      </c>
    </row>
    <row r="1133" spans="1:5" x14ac:dyDescent="0.3">
      <c r="A1133" s="4">
        <f t="shared" ca="1" si="85"/>
        <v>43646</v>
      </c>
      <c r="B1133" s="5" t="str">
        <f t="shared" ca="1" si="86"/>
        <v>João</v>
      </c>
      <c r="C1133" s="7">
        <f t="shared" ca="1" si="87"/>
        <v>4209</v>
      </c>
      <c r="D1133" s="5" t="str">
        <f t="shared" ca="1" si="88"/>
        <v>Consultoria</v>
      </c>
      <c r="E1133" s="3">
        <f t="shared" ca="1" si="89"/>
        <v>6</v>
      </c>
    </row>
    <row r="1134" spans="1:5" x14ac:dyDescent="0.3">
      <c r="A1134" s="4">
        <f t="shared" ca="1" si="85"/>
        <v>43512</v>
      </c>
      <c r="B1134" s="5" t="str">
        <f t="shared" ca="1" si="86"/>
        <v>João</v>
      </c>
      <c r="C1134" s="7">
        <f t="shared" ca="1" si="87"/>
        <v>4454</v>
      </c>
      <c r="D1134" s="5" t="str">
        <f t="shared" ca="1" si="88"/>
        <v>Consultoria</v>
      </c>
      <c r="E1134" s="3">
        <f t="shared" ca="1" si="89"/>
        <v>2</v>
      </c>
    </row>
    <row r="1135" spans="1:5" x14ac:dyDescent="0.3">
      <c r="A1135" s="4">
        <f t="shared" ca="1" si="85"/>
        <v>43555</v>
      </c>
      <c r="B1135" s="5" t="str">
        <f t="shared" ca="1" si="86"/>
        <v>João</v>
      </c>
      <c r="C1135" s="7">
        <f t="shared" ca="1" si="87"/>
        <v>3754</v>
      </c>
      <c r="D1135" s="5" t="str">
        <f t="shared" ca="1" si="88"/>
        <v>Consultoria</v>
      </c>
      <c r="E1135" s="3">
        <f t="shared" ca="1" si="89"/>
        <v>3</v>
      </c>
    </row>
    <row r="1136" spans="1:5" x14ac:dyDescent="0.3">
      <c r="A1136" s="4">
        <f t="shared" ca="1" si="85"/>
        <v>43481</v>
      </c>
      <c r="B1136" s="5" t="str">
        <f t="shared" ca="1" si="86"/>
        <v>João</v>
      </c>
      <c r="C1136" s="7">
        <f t="shared" ca="1" si="87"/>
        <v>3848</v>
      </c>
      <c r="D1136" s="5" t="str">
        <f t="shared" ca="1" si="88"/>
        <v>5S</v>
      </c>
      <c r="E1136" s="3">
        <f t="shared" ca="1" si="89"/>
        <v>1</v>
      </c>
    </row>
    <row r="1137" spans="1:5" x14ac:dyDescent="0.3">
      <c r="A1137" s="4">
        <f t="shared" ca="1" si="85"/>
        <v>43595</v>
      </c>
      <c r="B1137" s="5" t="str">
        <f t="shared" ca="1" si="86"/>
        <v>Joaquina</v>
      </c>
      <c r="C1137" s="7">
        <f t="shared" ca="1" si="87"/>
        <v>2372</v>
      </c>
      <c r="D1137" s="5" t="str">
        <f t="shared" ca="1" si="88"/>
        <v>Finanças</v>
      </c>
      <c r="E1137" s="3">
        <f t="shared" ca="1" si="89"/>
        <v>5</v>
      </c>
    </row>
    <row r="1138" spans="1:5" x14ac:dyDescent="0.3">
      <c r="A1138" s="4">
        <f t="shared" ca="1" si="85"/>
        <v>43523</v>
      </c>
      <c r="B1138" s="5" t="str">
        <f t="shared" ca="1" si="86"/>
        <v>Joaquina</v>
      </c>
      <c r="C1138" s="7">
        <f t="shared" ca="1" si="87"/>
        <v>1829</v>
      </c>
      <c r="D1138" s="5" t="str">
        <f t="shared" ca="1" si="88"/>
        <v>Consultoria</v>
      </c>
      <c r="E1138" s="3">
        <f t="shared" ca="1" si="89"/>
        <v>2</v>
      </c>
    </row>
    <row r="1139" spans="1:5" x14ac:dyDescent="0.3">
      <c r="A1139" s="4">
        <f t="shared" ca="1" si="85"/>
        <v>43547</v>
      </c>
      <c r="B1139" s="5" t="str">
        <f t="shared" ca="1" si="86"/>
        <v>Maria</v>
      </c>
      <c r="C1139" s="7">
        <f t="shared" ca="1" si="87"/>
        <v>3736</v>
      </c>
      <c r="D1139" s="5" t="str">
        <f t="shared" ca="1" si="88"/>
        <v>5S</v>
      </c>
      <c r="E1139" s="3">
        <f t="shared" ca="1" si="89"/>
        <v>3</v>
      </c>
    </row>
    <row r="1140" spans="1:5" x14ac:dyDescent="0.3">
      <c r="A1140" s="4">
        <f t="shared" ca="1" si="85"/>
        <v>43588</v>
      </c>
      <c r="B1140" s="5" t="str">
        <f t="shared" ca="1" si="86"/>
        <v>Maria</v>
      </c>
      <c r="C1140" s="7">
        <f t="shared" ca="1" si="87"/>
        <v>2125</v>
      </c>
      <c r="D1140" s="5" t="str">
        <f t="shared" ca="1" si="88"/>
        <v>Padronização</v>
      </c>
      <c r="E1140" s="3">
        <f t="shared" ca="1" si="89"/>
        <v>5</v>
      </c>
    </row>
    <row r="1141" spans="1:5" x14ac:dyDescent="0.3">
      <c r="A1141" s="4">
        <f t="shared" ca="1" si="85"/>
        <v>43805</v>
      </c>
      <c r="B1141" s="5" t="str">
        <f t="shared" ca="1" si="86"/>
        <v>Joaquina</v>
      </c>
      <c r="C1141" s="7">
        <f t="shared" ca="1" si="87"/>
        <v>2187</v>
      </c>
      <c r="D1141" s="5" t="str">
        <f t="shared" ca="1" si="88"/>
        <v>Padronização</v>
      </c>
      <c r="E1141" s="3">
        <f t="shared" ca="1" si="89"/>
        <v>12</v>
      </c>
    </row>
    <row r="1142" spans="1:5" x14ac:dyDescent="0.3">
      <c r="A1142" s="4">
        <f t="shared" ca="1" si="85"/>
        <v>43622</v>
      </c>
      <c r="B1142" s="5" t="str">
        <f t="shared" ca="1" si="86"/>
        <v>Joaquina</v>
      </c>
      <c r="C1142" s="7">
        <f t="shared" ca="1" si="87"/>
        <v>2193</v>
      </c>
      <c r="D1142" s="5" t="str">
        <f t="shared" ca="1" si="88"/>
        <v>Consultoria</v>
      </c>
      <c r="E1142" s="3">
        <f t="shared" ca="1" si="89"/>
        <v>6</v>
      </c>
    </row>
    <row r="1143" spans="1:5" x14ac:dyDescent="0.3">
      <c r="A1143" s="4">
        <f t="shared" ca="1" si="85"/>
        <v>43792</v>
      </c>
      <c r="B1143" s="5" t="str">
        <f t="shared" ca="1" si="86"/>
        <v>Maria</v>
      </c>
      <c r="C1143" s="7">
        <f t="shared" ca="1" si="87"/>
        <v>2086</v>
      </c>
      <c r="D1143" s="5" t="str">
        <f t="shared" ca="1" si="88"/>
        <v>5S</v>
      </c>
      <c r="E1143" s="3">
        <f t="shared" ca="1" si="89"/>
        <v>11</v>
      </c>
    </row>
    <row r="1144" spans="1:5" x14ac:dyDescent="0.3">
      <c r="A1144" s="4">
        <f t="shared" ca="1" si="85"/>
        <v>43675</v>
      </c>
      <c r="B1144" s="5" t="str">
        <f t="shared" ca="1" si="86"/>
        <v>João</v>
      </c>
      <c r="C1144" s="7">
        <f t="shared" ca="1" si="87"/>
        <v>2710</v>
      </c>
      <c r="D1144" s="5" t="str">
        <f t="shared" ca="1" si="88"/>
        <v>5S</v>
      </c>
      <c r="E1144" s="3">
        <f t="shared" ca="1" si="89"/>
        <v>7</v>
      </c>
    </row>
    <row r="1145" spans="1:5" x14ac:dyDescent="0.3">
      <c r="A1145" s="4">
        <f t="shared" ca="1" si="85"/>
        <v>43718</v>
      </c>
      <c r="B1145" s="5" t="str">
        <f t="shared" ca="1" si="86"/>
        <v>Marcelo</v>
      </c>
      <c r="C1145" s="7">
        <f t="shared" ca="1" si="87"/>
        <v>5000</v>
      </c>
      <c r="D1145" s="5" t="str">
        <f t="shared" ca="1" si="88"/>
        <v>Consultoria</v>
      </c>
      <c r="E1145" s="3">
        <f t="shared" ca="1" si="89"/>
        <v>9</v>
      </c>
    </row>
    <row r="1146" spans="1:5" x14ac:dyDescent="0.3">
      <c r="A1146" s="4">
        <f t="shared" ca="1" si="85"/>
        <v>43627</v>
      </c>
      <c r="B1146" s="5" t="str">
        <f t="shared" ca="1" si="86"/>
        <v>Marcelo</v>
      </c>
      <c r="C1146" s="7">
        <f t="shared" ca="1" si="87"/>
        <v>1860</v>
      </c>
      <c r="D1146" s="5" t="str">
        <f t="shared" ca="1" si="88"/>
        <v>5S</v>
      </c>
      <c r="E1146" s="3">
        <f t="shared" ca="1" si="89"/>
        <v>6</v>
      </c>
    </row>
    <row r="1147" spans="1:5" x14ac:dyDescent="0.3">
      <c r="A1147" s="4">
        <f t="shared" ca="1" si="85"/>
        <v>43656</v>
      </c>
      <c r="B1147" s="5" t="str">
        <f t="shared" ca="1" si="86"/>
        <v>João</v>
      </c>
      <c r="C1147" s="7">
        <f t="shared" ca="1" si="87"/>
        <v>1825</v>
      </c>
      <c r="D1147" s="5" t="str">
        <f t="shared" ca="1" si="88"/>
        <v>Padronização</v>
      </c>
      <c r="E1147" s="3">
        <f t="shared" ca="1" si="89"/>
        <v>7</v>
      </c>
    </row>
    <row r="1148" spans="1:5" x14ac:dyDescent="0.3">
      <c r="A1148" s="4">
        <f t="shared" ca="1" si="85"/>
        <v>43499</v>
      </c>
      <c r="B1148" s="5" t="str">
        <f t="shared" ca="1" si="86"/>
        <v>Maria</v>
      </c>
      <c r="C1148" s="7">
        <f t="shared" ca="1" si="87"/>
        <v>1832</v>
      </c>
      <c r="D1148" s="5" t="str">
        <f t="shared" ca="1" si="88"/>
        <v>Finanças</v>
      </c>
      <c r="E1148" s="3">
        <f t="shared" ca="1" si="89"/>
        <v>2</v>
      </c>
    </row>
    <row r="1149" spans="1:5" x14ac:dyDescent="0.3">
      <c r="A1149" s="4">
        <f t="shared" ca="1" si="85"/>
        <v>43595</v>
      </c>
      <c r="B1149" s="5" t="str">
        <f t="shared" ca="1" si="86"/>
        <v>Maria</v>
      </c>
      <c r="C1149" s="7">
        <f t="shared" ca="1" si="87"/>
        <v>4310</v>
      </c>
      <c r="D1149" s="5" t="str">
        <f t="shared" ca="1" si="88"/>
        <v>Finanças</v>
      </c>
      <c r="E1149" s="3">
        <f t="shared" ca="1" si="89"/>
        <v>5</v>
      </c>
    </row>
    <row r="1150" spans="1:5" x14ac:dyDescent="0.3">
      <c r="A1150" s="4">
        <f t="shared" ca="1" si="85"/>
        <v>43815</v>
      </c>
      <c r="B1150" s="5" t="str">
        <f t="shared" ca="1" si="86"/>
        <v>Marcelo</v>
      </c>
      <c r="C1150" s="7">
        <f t="shared" ca="1" si="87"/>
        <v>4361</v>
      </c>
      <c r="D1150" s="5" t="str">
        <f t="shared" ca="1" si="88"/>
        <v>Padronização</v>
      </c>
      <c r="E1150" s="3">
        <f t="shared" ca="1" si="89"/>
        <v>12</v>
      </c>
    </row>
    <row r="1151" spans="1:5" x14ac:dyDescent="0.3">
      <c r="A1151" s="4">
        <f t="shared" ca="1" si="85"/>
        <v>43474</v>
      </c>
      <c r="B1151" s="5" t="str">
        <f t="shared" ca="1" si="86"/>
        <v>Maria</v>
      </c>
      <c r="C1151" s="7">
        <f t="shared" ca="1" si="87"/>
        <v>2939</v>
      </c>
      <c r="D1151" s="5" t="str">
        <f t="shared" ca="1" si="88"/>
        <v>Padronização</v>
      </c>
      <c r="E1151" s="3">
        <f t="shared" ca="1" si="89"/>
        <v>1</v>
      </c>
    </row>
    <row r="1152" spans="1:5" x14ac:dyDescent="0.3">
      <c r="A1152" s="4">
        <f t="shared" ca="1" si="85"/>
        <v>43562</v>
      </c>
      <c r="B1152" s="5" t="str">
        <f t="shared" ca="1" si="86"/>
        <v>Maria</v>
      </c>
      <c r="C1152" s="7">
        <f t="shared" ca="1" si="87"/>
        <v>4423</v>
      </c>
      <c r="D1152" s="5" t="str">
        <f t="shared" ca="1" si="88"/>
        <v>Padronização</v>
      </c>
      <c r="E1152" s="3">
        <f t="shared" ca="1" si="89"/>
        <v>4</v>
      </c>
    </row>
    <row r="1153" spans="1:5" x14ac:dyDescent="0.3">
      <c r="A1153" s="4">
        <f t="shared" ca="1" si="85"/>
        <v>43471</v>
      </c>
      <c r="B1153" s="5" t="str">
        <f t="shared" ca="1" si="86"/>
        <v>João</v>
      </c>
      <c r="C1153" s="7">
        <f t="shared" ca="1" si="87"/>
        <v>1079</v>
      </c>
      <c r="D1153" s="5" t="str">
        <f t="shared" ca="1" si="88"/>
        <v>5S</v>
      </c>
      <c r="E1153" s="3">
        <f t="shared" ca="1" si="89"/>
        <v>1</v>
      </c>
    </row>
    <row r="1154" spans="1:5" x14ac:dyDescent="0.3">
      <c r="A1154" s="4">
        <f t="shared" ca="1" si="85"/>
        <v>43620</v>
      </c>
      <c r="B1154" s="5" t="str">
        <f t="shared" ca="1" si="86"/>
        <v>Marcelo</v>
      </c>
      <c r="C1154" s="7">
        <f t="shared" ca="1" si="87"/>
        <v>2691</v>
      </c>
      <c r="D1154" s="5" t="str">
        <f t="shared" ca="1" si="88"/>
        <v>Finanças</v>
      </c>
      <c r="E1154" s="3">
        <f t="shared" ca="1" si="89"/>
        <v>6</v>
      </c>
    </row>
    <row r="1155" spans="1:5" x14ac:dyDescent="0.3">
      <c r="A1155" s="4">
        <f t="shared" ref="A1155:A1177" ca="1" si="90">RANDBETWEEN($F$1,$F$2)</f>
        <v>43617</v>
      </c>
      <c r="B1155" s="5" t="str">
        <f t="shared" ref="B1155:B1177" ca="1" si="91">VLOOKUP(RANDBETWEEN(1,4),$I$1:$J$4,2,FALSE)</f>
        <v>Marcelo</v>
      </c>
      <c r="C1155" s="7">
        <f t="shared" ref="C1155:C1177" ca="1" si="92">RANDBETWEEN(1000,5000)</f>
        <v>4689</v>
      </c>
      <c r="D1155" s="5" t="str">
        <f t="shared" ref="D1155:D1177" ca="1" si="93">VLOOKUP(RANDBETWEEN($I$6,$I$9),$I$6:$J$9,2,FALSE)</f>
        <v>Consultoria</v>
      </c>
      <c r="E1155" s="3">
        <f t="shared" ref="E1155:E1177" ca="1" si="94">MONTH(A1155)</f>
        <v>6</v>
      </c>
    </row>
    <row r="1156" spans="1:5" x14ac:dyDescent="0.3">
      <c r="A1156" s="4">
        <f t="shared" ca="1" si="90"/>
        <v>43775</v>
      </c>
      <c r="B1156" s="5" t="str">
        <f t="shared" ca="1" si="91"/>
        <v>Joaquina</v>
      </c>
      <c r="C1156" s="7">
        <f t="shared" ca="1" si="92"/>
        <v>2431</v>
      </c>
      <c r="D1156" s="5" t="str">
        <f t="shared" ca="1" si="93"/>
        <v>5S</v>
      </c>
      <c r="E1156" s="3">
        <f t="shared" ca="1" si="94"/>
        <v>11</v>
      </c>
    </row>
    <row r="1157" spans="1:5" x14ac:dyDescent="0.3">
      <c r="A1157" s="4">
        <f t="shared" ca="1" si="90"/>
        <v>43541</v>
      </c>
      <c r="B1157" s="5" t="str">
        <f t="shared" ca="1" si="91"/>
        <v>Marcelo</v>
      </c>
      <c r="C1157" s="7">
        <f t="shared" ca="1" si="92"/>
        <v>2588</v>
      </c>
      <c r="D1157" s="5" t="str">
        <f t="shared" ca="1" si="93"/>
        <v>5S</v>
      </c>
      <c r="E1157" s="3">
        <f t="shared" ca="1" si="94"/>
        <v>3</v>
      </c>
    </row>
    <row r="1158" spans="1:5" x14ac:dyDescent="0.3">
      <c r="A1158" s="4">
        <f t="shared" ca="1" si="90"/>
        <v>43516</v>
      </c>
      <c r="B1158" s="5" t="str">
        <f t="shared" ca="1" si="91"/>
        <v>João</v>
      </c>
      <c r="C1158" s="7">
        <f t="shared" ca="1" si="92"/>
        <v>2271</v>
      </c>
      <c r="D1158" s="5" t="str">
        <f t="shared" ca="1" si="93"/>
        <v>5S</v>
      </c>
      <c r="E1158" s="3">
        <f t="shared" ca="1" si="94"/>
        <v>2</v>
      </c>
    </row>
    <row r="1159" spans="1:5" x14ac:dyDescent="0.3">
      <c r="A1159" s="4">
        <f t="shared" ca="1" si="90"/>
        <v>43671</v>
      </c>
      <c r="B1159" s="5" t="str">
        <f t="shared" ca="1" si="91"/>
        <v>Marcelo</v>
      </c>
      <c r="C1159" s="7">
        <f t="shared" ca="1" si="92"/>
        <v>3504</v>
      </c>
      <c r="D1159" s="5" t="str">
        <f t="shared" ca="1" si="93"/>
        <v>Consultoria</v>
      </c>
      <c r="E1159" s="3">
        <f t="shared" ca="1" si="94"/>
        <v>7</v>
      </c>
    </row>
    <row r="1160" spans="1:5" x14ac:dyDescent="0.3">
      <c r="A1160" s="4">
        <f t="shared" ca="1" si="90"/>
        <v>43826</v>
      </c>
      <c r="B1160" s="5" t="str">
        <f t="shared" ca="1" si="91"/>
        <v>João</v>
      </c>
      <c r="C1160" s="7">
        <f t="shared" ca="1" si="92"/>
        <v>3478</v>
      </c>
      <c r="D1160" s="5" t="str">
        <f t="shared" ca="1" si="93"/>
        <v>5S</v>
      </c>
      <c r="E1160" s="3">
        <f t="shared" ca="1" si="94"/>
        <v>12</v>
      </c>
    </row>
    <row r="1161" spans="1:5" x14ac:dyDescent="0.3">
      <c r="A1161" s="4">
        <f t="shared" ca="1" si="90"/>
        <v>43745</v>
      </c>
      <c r="B1161" s="5" t="str">
        <f t="shared" ca="1" si="91"/>
        <v>Maria</v>
      </c>
      <c r="C1161" s="7">
        <f t="shared" ca="1" si="92"/>
        <v>3546</v>
      </c>
      <c r="D1161" s="5" t="str">
        <f t="shared" ca="1" si="93"/>
        <v>5S</v>
      </c>
      <c r="E1161" s="3">
        <f t="shared" ca="1" si="94"/>
        <v>10</v>
      </c>
    </row>
    <row r="1162" spans="1:5" x14ac:dyDescent="0.3">
      <c r="A1162" s="4">
        <f t="shared" ca="1" si="90"/>
        <v>43741</v>
      </c>
      <c r="B1162" s="5" t="str">
        <f t="shared" ca="1" si="91"/>
        <v>Maria</v>
      </c>
      <c r="C1162" s="7">
        <f t="shared" ca="1" si="92"/>
        <v>4552</v>
      </c>
      <c r="D1162" s="5" t="str">
        <f t="shared" ca="1" si="93"/>
        <v>Consultoria</v>
      </c>
      <c r="E1162" s="3">
        <f t="shared" ca="1" si="94"/>
        <v>10</v>
      </c>
    </row>
    <row r="1163" spans="1:5" x14ac:dyDescent="0.3">
      <c r="A1163" s="4">
        <f t="shared" ca="1" si="90"/>
        <v>43574</v>
      </c>
      <c r="B1163" s="5" t="str">
        <f t="shared" ca="1" si="91"/>
        <v>Joaquina</v>
      </c>
      <c r="C1163" s="7">
        <f t="shared" ca="1" si="92"/>
        <v>3462</v>
      </c>
      <c r="D1163" s="5" t="str">
        <f t="shared" ca="1" si="93"/>
        <v>Consultoria</v>
      </c>
      <c r="E1163" s="3">
        <f t="shared" ca="1" si="94"/>
        <v>4</v>
      </c>
    </row>
    <row r="1164" spans="1:5" x14ac:dyDescent="0.3">
      <c r="A1164" s="4">
        <f t="shared" ca="1" si="90"/>
        <v>43576</v>
      </c>
      <c r="B1164" s="5" t="str">
        <f t="shared" ca="1" si="91"/>
        <v>Maria</v>
      </c>
      <c r="C1164" s="7">
        <f t="shared" ca="1" si="92"/>
        <v>4725</v>
      </c>
      <c r="D1164" s="5" t="str">
        <f t="shared" ca="1" si="93"/>
        <v>Finanças</v>
      </c>
      <c r="E1164" s="3">
        <f t="shared" ca="1" si="94"/>
        <v>4</v>
      </c>
    </row>
    <row r="1165" spans="1:5" x14ac:dyDescent="0.3">
      <c r="A1165" s="4">
        <f t="shared" ca="1" si="90"/>
        <v>43674</v>
      </c>
      <c r="B1165" s="5" t="str">
        <f t="shared" ca="1" si="91"/>
        <v>Maria</v>
      </c>
      <c r="C1165" s="7">
        <f t="shared" ca="1" si="92"/>
        <v>4402</v>
      </c>
      <c r="D1165" s="5" t="str">
        <f t="shared" ca="1" si="93"/>
        <v>Consultoria</v>
      </c>
      <c r="E1165" s="3">
        <f t="shared" ca="1" si="94"/>
        <v>7</v>
      </c>
    </row>
    <row r="1166" spans="1:5" x14ac:dyDescent="0.3">
      <c r="A1166" s="4">
        <f t="shared" ca="1" si="90"/>
        <v>43662</v>
      </c>
      <c r="B1166" s="5" t="str">
        <f t="shared" ca="1" si="91"/>
        <v>João</v>
      </c>
      <c r="C1166" s="7">
        <f t="shared" ca="1" si="92"/>
        <v>2374</v>
      </c>
      <c r="D1166" s="5" t="str">
        <f t="shared" ca="1" si="93"/>
        <v>Finanças</v>
      </c>
      <c r="E1166" s="3">
        <f t="shared" ca="1" si="94"/>
        <v>7</v>
      </c>
    </row>
    <row r="1167" spans="1:5" x14ac:dyDescent="0.3">
      <c r="A1167" s="4">
        <f t="shared" ca="1" si="90"/>
        <v>43818</v>
      </c>
      <c r="B1167" s="5" t="str">
        <f t="shared" ca="1" si="91"/>
        <v>Maria</v>
      </c>
      <c r="C1167" s="7">
        <f t="shared" ca="1" si="92"/>
        <v>3982</v>
      </c>
      <c r="D1167" s="5" t="str">
        <f t="shared" ca="1" si="93"/>
        <v>Consultoria</v>
      </c>
      <c r="E1167" s="3">
        <f t="shared" ca="1" si="94"/>
        <v>12</v>
      </c>
    </row>
    <row r="1168" spans="1:5" x14ac:dyDescent="0.3">
      <c r="A1168" s="4">
        <f t="shared" ca="1" si="90"/>
        <v>43768</v>
      </c>
      <c r="B1168" s="5" t="str">
        <f t="shared" ca="1" si="91"/>
        <v>Maria</v>
      </c>
      <c r="C1168" s="7">
        <f t="shared" ca="1" si="92"/>
        <v>1815</v>
      </c>
      <c r="D1168" s="5" t="str">
        <f t="shared" ca="1" si="93"/>
        <v>Padronização</v>
      </c>
      <c r="E1168" s="3">
        <f t="shared" ca="1" si="94"/>
        <v>10</v>
      </c>
    </row>
    <row r="1169" spans="1:5" x14ac:dyDescent="0.3">
      <c r="A1169" s="4">
        <f t="shared" ca="1" si="90"/>
        <v>43624</v>
      </c>
      <c r="B1169" s="5" t="str">
        <f t="shared" ca="1" si="91"/>
        <v>Maria</v>
      </c>
      <c r="C1169" s="7">
        <f t="shared" ca="1" si="92"/>
        <v>4681</v>
      </c>
      <c r="D1169" s="5" t="str">
        <f t="shared" ca="1" si="93"/>
        <v>5S</v>
      </c>
      <c r="E1169" s="3">
        <f t="shared" ca="1" si="94"/>
        <v>6</v>
      </c>
    </row>
    <row r="1170" spans="1:5" x14ac:dyDescent="0.3">
      <c r="A1170" s="4">
        <f t="shared" ca="1" si="90"/>
        <v>43518</v>
      </c>
      <c r="B1170" s="5" t="str">
        <f t="shared" ca="1" si="91"/>
        <v>Marcelo</v>
      </c>
      <c r="C1170" s="7">
        <f t="shared" ca="1" si="92"/>
        <v>4115</v>
      </c>
      <c r="D1170" s="5" t="str">
        <f t="shared" ca="1" si="93"/>
        <v>Consultoria</v>
      </c>
      <c r="E1170" s="3">
        <f t="shared" ca="1" si="94"/>
        <v>2</v>
      </c>
    </row>
    <row r="1171" spans="1:5" x14ac:dyDescent="0.3">
      <c r="A1171" s="4">
        <f t="shared" ca="1" si="90"/>
        <v>43580</v>
      </c>
      <c r="B1171" s="5" t="str">
        <f t="shared" ca="1" si="91"/>
        <v>Joaquina</v>
      </c>
      <c r="C1171" s="7">
        <f t="shared" ca="1" si="92"/>
        <v>3938</v>
      </c>
      <c r="D1171" s="5" t="str">
        <f t="shared" ca="1" si="93"/>
        <v>Finanças</v>
      </c>
      <c r="E1171" s="3">
        <f t="shared" ca="1" si="94"/>
        <v>4</v>
      </c>
    </row>
    <row r="1172" spans="1:5" x14ac:dyDescent="0.3">
      <c r="A1172" s="4">
        <f t="shared" ca="1" si="90"/>
        <v>43590</v>
      </c>
      <c r="B1172" s="5" t="str">
        <f t="shared" ca="1" si="91"/>
        <v>Marcelo</v>
      </c>
      <c r="C1172" s="7">
        <f t="shared" ca="1" si="92"/>
        <v>4579</v>
      </c>
      <c r="D1172" s="5" t="str">
        <f t="shared" ca="1" si="93"/>
        <v>Consultoria</v>
      </c>
      <c r="E1172" s="3">
        <f t="shared" ca="1" si="94"/>
        <v>5</v>
      </c>
    </row>
    <row r="1173" spans="1:5" x14ac:dyDescent="0.3">
      <c r="A1173" s="4">
        <f t="shared" ca="1" si="90"/>
        <v>43776</v>
      </c>
      <c r="B1173" s="5" t="str">
        <f t="shared" ca="1" si="91"/>
        <v>Maria</v>
      </c>
      <c r="C1173" s="7">
        <f t="shared" ca="1" si="92"/>
        <v>4664</v>
      </c>
      <c r="D1173" s="5" t="str">
        <f t="shared" ca="1" si="93"/>
        <v>5S</v>
      </c>
      <c r="E1173" s="3">
        <f t="shared" ca="1" si="94"/>
        <v>11</v>
      </c>
    </row>
    <row r="1174" spans="1:5" x14ac:dyDescent="0.3">
      <c r="A1174" s="4">
        <f t="shared" ca="1" si="90"/>
        <v>43754</v>
      </c>
      <c r="B1174" s="5" t="str">
        <f t="shared" ca="1" si="91"/>
        <v>Maria</v>
      </c>
      <c r="C1174" s="7">
        <f t="shared" ca="1" si="92"/>
        <v>3461</v>
      </c>
      <c r="D1174" s="5" t="str">
        <f t="shared" ca="1" si="93"/>
        <v>Consultoria</v>
      </c>
      <c r="E1174" s="3">
        <f t="shared" ca="1" si="94"/>
        <v>10</v>
      </c>
    </row>
    <row r="1175" spans="1:5" x14ac:dyDescent="0.3">
      <c r="A1175" s="4">
        <f t="shared" ca="1" si="90"/>
        <v>43514</v>
      </c>
      <c r="B1175" s="5" t="str">
        <f t="shared" ca="1" si="91"/>
        <v>Maria</v>
      </c>
      <c r="C1175" s="7">
        <f t="shared" ca="1" si="92"/>
        <v>1520</v>
      </c>
      <c r="D1175" s="5" t="str">
        <f t="shared" ca="1" si="93"/>
        <v>Consultoria</v>
      </c>
      <c r="E1175" s="3">
        <f t="shared" ca="1" si="94"/>
        <v>2</v>
      </c>
    </row>
    <row r="1176" spans="1:5" x14ac:dyDescent="0.3">
      <c r="A1176" s="4">
        <f t="shared" ca="1" si="90"/>
        <v>43722</v>
      </c>
      <c r="B1176" s="5" t="str">
        <f t="shared" ca="1" si="91"/>
        <v>Marcelo</v>
      </c>
      <c r="C1176" s="7">
        <f t="shared" ca="1" si="92"/>
        <v>4819</v>
      </c>
      <c r="D1176" s="5" t="str">
        <f t="shared" ca="1" si="93"/>
        <v>Finanças</v>
      </c>
      <c r="E1176" s="3">
        <f t="shared" ca="1" si="94"/>
        <v>9</v>
      </c>
    </row>
    <row r="1177" spans="1:5" x14ac:dyDescent="0.3">
      <c r="A1177" s="4">
        <f t="shared" ca="1" si="90"/>
        <v>43573</v>
      </c>
      <c r="B1177" s="5" t="str">
        <f t="shared" ca="1" si="91"/>
        <v>Joaquina</v>
      </c>
      <c r="C1177" s="7">
        <f t="shared" ca="1" si="92"/>
        <v>3647</v>
      </c>
      <c r="D1177" s="5" t="str">
        <f t="shared" ca="1" si="93"/>
        <v>Padronização</v>
      </c>
      <c r="E1177" s="3">
        <f t="shared" ca="1" si="94"/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topLeftCell="J1" workbookViewId="0">
      <selection activeCell="O6" sqref="O6"/>
    </sheetView>
  </sheetViews>
  <sheetFormatPr defaultRowHeight="16.5" x14ac:dyDescent="0.3"/>
  <cols>
    <col min="3" max="3" width="13.875" bestFit="1" customWidth="1"/>
    <col min="4" max="6" width="12.25" bestFit="1" customWidth="1"/>
    <col min="9" max="9" width="13.75" bestFit="1" customWidth="1"/>
    <col min="14" max="14" width="14.125" bestFit="1" customWidth="1"/>
    <col min="15" max="15" width="14.875" bestFit="1" customWidth="1"/>
    <col min="16" max="16" width="11.125" bestFit="1" customWidth="1"/>
    <col min="17" max="17" width="14.125" bestFit="1" customWidth="1"/>
    <col min="26" max="26" width="13.75" bestFit="1" customWidth="1"/>
    <col min="27" max="28" width="12.25" bestFit="1" customWidth="1"/>
    <col min="29" max="29" width="13.375" bestFit="1" customWidth="1"/>
    <col min="30" max="30" width="12.25" bestFit="1" customWidth="1"/>
    <col min="31" max="31" width="13.375" bestFit="1" customWidth="1"/>
    <col min="32" max="37" width="12.25" bestFit="1" customWidth="1"/>
    <col min="38" max="38" width="13.375" bestFit="1" customWidth="1"/>
  </cols>
  <sheetData>
    <row r="1" spans="1:38" x14ac:dyDescent="0.3">
      <c r="C1" t="s">
        <v>9</v>
      </c>
      <c r="D1" t="s">
        <v>8</v>
      </c>
      <c r="E1" t="s">
        <v>10</v>
      </c>
      <c r="F1" t="s">
        <v>11</v>
      </c>
      <c r="G1" t="s">
        <v>25</v>
      </c>
      <c r="I1" t="s">
        <v>9</v>
      </c>
      <c r="J1" t="s">
        <v>8</v>
      </c>
      <c r="K1" t="s">
        <v>10</v>
      </c>
      <c r="L1" t="s">
        <v>11</v>
      </c>
      <c r="O1" t="s">
        <v>26</v>
      </c>
      <c r="P1" t="s">
        <v>27</v>
      </c>
      <c r="Q1" t="s">
        <v>28</v>
      </c>
      <c r="R1" t="s">
        <v>25</v>
      </c>
      <c r="Z1" s="6" t="s">
        <v>7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</row>
    <row r="2" spans="1:38" x14ac:dyDescent="0.3">
      <c r="A2">
        <v>1</v>
      </c>
      <c r="B2" t="s">
        <v>13</v>
      </c>
      <c r="C2" s="11">
        <f ca="1">SUMIFS(BD!$C:$C,BD!$E:$E,Lixo!$A2,BD!$D:$D,Lixo!C$1,BD!$B:$B,Lixo!$R$4)</f>
        <v>17967</v>
      </c>
      <c r="D2" s="11">
        <f ca="1">SUMIFS(BD!$C:$C,BD!$E:$E,Lixo!$A2,BD!$D:$D,Lixo!D$1,BD!$B:$B,Lixo!$R$4)</f>
        <v>12742</v>
      </c>
      <c r="E2" s="11">
        <f ca="1">SUMIFS(BD!$C:$C,BD!$E:$E,Lixo!$A2,BD!$D:$D,Lixo!E$1,BD!$B:$B,Lixo!$R$4)</f>
        <v>15708</v>
      </c>
      <c r="F2" s="11">
        <f ca="1">SUMIFS(BD!$C:$C,BD!$E:$E,Lixo!$A2,BD!$D:$D,Lixo!F$1,BD!$B:$B,Lixo!$R$4)</f>
        <v>26683</v>
      </c>
      <c r="G2">
        <v>11</v>
      </c>
      <c r="I2">
        <f ca="1">OFFSET($B$1,$G$2,MATCH(I$1,$I$1:$L$1,0))</f>
        <v>17367</v>
      </c>
      <c r="J2">
        <f t="shared" ref="J2:L2" ca="1" si="0">OFFSET($B$1,$G$2,MATCH(J$1,$I$1:$L$1,0))</f>
        <v>14287</v>
      </c>
      <c r="K2">
        <f t="shared" ca="1" si="0"/>
        <v>22672</v>
      </c>
      <c r="L2">
        <f t="shared" ca="1" si="0"/>
        <v>16179</v>
      </c>
      <c r="N2" s="5" t="s">
        <v>4</v>
      </c>
      <c r="O2">
        <f ca="1">SUMIF(BD!$B:$B,Lixo!N2,BD!$C:$C)</f>
        <v>884148</v>
      </c>
      <c r="P2">
        <v>1000000</v>
      </c>
      <c r="Q2" s="10">
        <f ca="1">O2/P2</f>
        <v>0.88414800000000004</v>
      </c>
      <c r="R2">
        <v>2</v>
      </c>
      <c r="Z2" s="3" t="s">
        <v>10</v>
      </c>
      <c r="AA2" s="11">
        <f ca="1">SUMIFS(BD!$C:$C,BD!$E:$E,Lixo!AA$6,BD!$D:$D,Lixo!$Z2)</f>
        <v>77167</v>
      </c>
      <c r="AB2" s="11">
        <f ca="1">SUMIFS(BD!$C:$C,BD!$E:$E,Lixo!AB$6,BD!$D:$D,Lixo!$Z2)</f>
        <v>38512</v>
      </c>
      <c r="AC2" s="11">
        <f ca="1">SUMIFS(BD!$C:$C,BD!$E:$E,Lixo!AC$6,BD!$D:$D,Lixo!$Z2)</f>
        <v>56737</v>
      </c>
      <c r="AD2" s="11">
        <f ca="1">SUMIFS(BD!$C:$C,BD!$E:$E,Lixo!AD$6,BD!$D:$D,Lixo!$Z2)</f>
        <v>81020</v>
      </c>
      <c r="AE2" s="11">
        <f ca="1">SUMIFS(BD!$C:$C,BD!$E:$E,Lixo!AE$6,BD!$D:$D,Lixo!$Z2)</f>
        <v>85397</v>
      </c>
      <c r="AF2" s="11">
        <f ca="1">SUMIFS(BD!$C:$C,BD!$E:$E,Lixo!AF$6,BD!$D:$D,Lixo!$Z2)</f>
        <v>65496</v>
      </c>
      <c r="AG2" s="11">
        <f ca="1">SUMIFS(BD!$C:$C,BD!$E:$E,Lixo!AG$6,BD!$D:$D,Lixo!$Z2)</f>
        <v>90237</v>
      </c>
      <c r="AH2" s="11">
        <f ca="1">SUMIFS(BD!$C:$C,BD!$E:$E,Lixo!AH$6,BD!$D:$D,Lixo!$Z2)</f>
        <v>67395</v>
      </c>
      <c r="AI2" s="11">
        <f ca="1">SUMIFS(BD!$C:$C,BD!$E:$E,Lixo!AI$6,BD!$D:$D,Lixo!$Z2)</f>
        <v>80699</v>
      </c>
      <c r="AJ2" s="11">
        <f ca="1">SUMIFS(BD!$C:$C,BD!$E:$E,Lixo!AJ$6,BD!$D:$D,Lixo!$Z2)</f>
        <v>87226</v>
      </c>
      <c r="AK2" s="11">
        <f ca="1">SUMIFS(BD!$C:$C,BD!$E:$E,Lixo!AK$6,BD!$D:$D,Lixo!$Z2)</f>
        <v>72570</v>
      </c>
      <c r="AL2" s="11">
        <f ca="1">SUMIFS(BD!$C:$C,BD!$E:$E,Lixo!AL$6,BD!$D:$D,Lixo!$Z2)</f>
        <v>71409</v>
      </c>
    </row>
    <row r="3" spans="1:38" x14ac:dyDescent="0.3">
      <c r="A3">
        <v>2</v>
      </c>
      <c r="B3" t="s">
        <v>14</v>
      </c>
      <c r="C3" s="11">
        <f ca="1">SUMIFS(BD!$C:$C,BD!$E:$E,Lixo!$A3,BD!$D:$D,Lixo!C$1,BD!$B:$B,Lixo!$R$4)</f>
        <v>3083</v>
      </c>
      <c r="D3" s="11">
        <f ca="1">SUMIFS(BD!$C:$C,BD!$E:$E,Lixo!$A3,BD!$D:$D,Lixo!D$1,BD!$B:$B,Lixo!$R$4)</f>
        <v>15834</v>
      </c>
      <c r="E3" s="11">
        <f ca="1">SUMIFS(BD!$C:$C,BD!$E:$E,Lixo!$A3,BD!$D:$D,Lixo!E$1,BD!$B:$B,Lixo!$R$4)</f>
        <v>9735</v>
      </c>
      <c r="F3" s="11">
        <f ca="1">SUMIFS(BD!$C:$C,BD!$E:$E,Lixo!$A3,BD!$D:$D,Lixo!F$1,BD!$B:$B,Lixo!$R$4)</f>
        <v>20520</v>
      </c>
      <c r="N3" t="s">
        <v>3</v>
      </c>
      <c r="O3">
        <f ca="1">SUMIF(BD!$B:$B,Lixo!N3,BD!$C:$C)</f>
        <v>896621</v>
      </c>
      <c r="P3">
        <v>1000000</v>
      </c>
      <c r="Q3" s="10">
        <f t="shared" ref="Q3:Q5" ca="1" si="1">O3/P3</f>
        <v>0.896621</v>
      </c>
      <c r="R3" t="s">
        <v>29</v>
      </c>
      <c r="Z3" s="3" t="s">
        <v>11</v>
      </c>
      <c r="AA3" s="11">
        <f ca="1">SUMIFS(BD!$C:$C,BD!$E:$E,Lixo!AA$6,BD!$D:$D,Lixo!$Z3)</f>
        <v>78029</v>
      </c>
      <c r="AB3" s="11">
        <f ca="1">SUMIFS(BD!$C:$C,BD!$E:$E,Lixo!AB$6,BD!$D:$D,Lixo!$Z3)</f>
        <v>73040</v>
      </c>
      <c r="AC3" s="11">
        <f ca="1">SUMIFS(BD!$C:$C,BD!$E:$E,Lixo!AC$6,BD!$D:$D,Lixo!$Z3)</f>
        <v>76455</v>
      </c>
      <c r="AD3" s="11">
        <f ca="1">SUMIFS(BD!$C:$C,BD!$E:$E,Lixo!AD$6,BD!$D:$D,Lixo!$Z3)</f>
        <v>69531</v>
      </c>
      <c r="AE3" s="11">
        <f ca="1">SUMIFS(BD!$C:$C,BD!$E:$E,Lixo!AE$6,BD!$D:$D,Lixo!$Z3)</f>
        <v>100107</v>
      </c>
      <c r="AF3" s="11">
        <f ca="1">SUMIFS(BD!$C:$C,BD!$E:$E,Lixo!AF$6,BD!$D:$D,Lixo!$Z3)</f>
        <v>70781</v>
      </c>
      <c r="AG3" s="11">
        <f ca="1">SUMIFS(BD!$C:$C,BD!$E:$E,Lixo!AG$6,BD!$D:$D,Lixo!$Z3)</f>
        <v>74892</v>
      </c>
      <c r="AH3" s="11">
        <f ca="1">SUMIFS(BD!$C:$C,BD!$E:$E,Lixo!AH$6,BD!$D:$D,Lixo!$Z3)</f>
        <v>80936</v>
      </c>
      <c r="AI3" s="11">
        <f ca="1">SUMIFS(BD!$C:$C,BD!$E:$E,Lixo!AI$6,BD!$D:$D,Lixo!$Z3)</f>
        <v>68268</v>
      </c>
      <c r="AJ3" s="11">
        <f ca="1">SUMIFS(BD!$C:$C,BD!$E:$E,Lixo!AJ$6,BD!$D:$D,Lixo!$Z3)</f>
        <v>76493</v>
      </c>
      <c r="AK3" s="11">
        <f ca="1">SUMIFS(BD!$C:$C,BD!$E:$E,Lixo!AK$6,BD!$D:$D,Lixo!$Z3)</f>
        <v>56697</v>
      </c>
      <c r="AL3" s="11">
        <f ca="1">SUMIFS(BD!$C:$C,BD!$E:$E,Lixo!AL$6,BD!$D:$D,Lixo!$Z3)</f>
        <v>124231</v>
      </c>
    </row>
    <row r="4" spans="1:38" x14ac:dyDescent="0.3">
      <c r="A4">
        <v>3</v>
      </c>
      <c r="B4" t="s">
        <v>15</v>
      </c>
      <c r="C4" s="11">
        <f ca="1">SUMIFS(BD!$C:$C,BD!$E:$E,Lixo!$A4,BD!$D:$D,Lixo!C$1,BD!$B:$B,Lixo!$R$4)</f>
        <v>8282</v>
      </c>
      <c r="D4" s="11">
        <f ca="1">SUMIFS(BD!$C:$C,BD!$E:$E,Lixo!$A4,BD!$D:$D,Lixo!D$1,BD!$B:$B,Lixo!$R$4)</f>
        <v>16950</v>
      </c>
      <c r="E4" s="11">
        <f ca="1">SUMIFS(BD!$C:$C,BD!$E:$E,Lixo!$A4,BD!$D:$D,Lixo!E$1,BD!$B:$B,Lixo!$R$4)</f>
        <v>9540</v>
      </c>
      <c r="F4" s="11">
        <f ca="1">SUMIFS(BD!$C:$C,BD!$E:$E,Lixo!$A4,BD!$D:$D,Lixo!F$1,BD!$B:$B,Lixo!$R$4)</f>
        <v>21361</v>
      </c>
      <c r="N4" t="s">
        <v>6</v>
      </c>
      <c r="O4">
        <f ca="1">SUMIF(BD!$B:$B,Lixo!N4,BD!$C:$C)</f>
        <v>853640</v>
      </c>
      <c r="P4">
        <v>1000000</v>
      </c>
      <c r="Q4" s="10">
        <f t="shared" ca="1" si="1"/>
        <v>0.85363999999999995</v>
      </c>
      <c r="R4" t="str">
        <f>CHOOSE(R2,N2,N3,N4,N5)</f>
        <v>João</v>
      </c>
      <c r="Z4" s="3" t="s">
        <v>9</v>
      </c>
      <c r="AA4" s="11">
        <f ca="1">SUMIFS(BD!$C:$C,BD!$E:$E,Lixo!AA$6,BD!$D:$D,Lixo!$Z4)</f>
        <v>64574</v>
      </c>
      <c r="AB4" s="11">
        <f ca="1">SUMIFS(BD!$C:$C,BD!$E:$E,Lixo!AB$6,BD!$D:$D,Lixo!$Z4)</f>
        <v>47563</v>
      </c>
      <c r="AC4" s="11">
        <f ca="1">SUMIFS(BD!$C:$C,BD!$E:$E,Lixo!AC$6,BD!$D:$D,Lixo!$Z4)</f>
        <v>69372</v>
      </c>
      <c r="AD4" s="11">
        <f ca="1">SUMIFS(BD!$C:$C,BD!$E:$E,Lixo!AD$6,BD!$D:$D,Lixo!$Z4)</f>
        <v>75563</v>
      </c>
      <c r="AE4" s="11">
        <f ca="1">SUMIFS(BD!$C:$C,BD!$E:$E,Lixo!AE$6,BD!$D:$D,Lixo!$Z4)</f>
        <v>85682</v>
      </c>
      <c r="AF4" s="11">
        <f ca="1">SUMIFS(BD!$C:$C,BD!$E:$E,Lixo!AF$6,BD!$D:$D,Lixo!$Z4)</f>
        <v>49422</v>
      </c>
      <c r="AG4" s="11">
        <f ca="1">SUMIFS(BD!$C:$C,BD!$E:$E,Lixo!AG$6,BD!$D:$D,Lixo!$Z4)</f>
        <v>83785</v>
      </c>
      <c r="AH4" s="11">
        <f ca="1">SUMIFS(BD!$C:$C,BD!$E:$E,Lixo!AH$6,BD!$D:$D,Lixo!$Z4)</f>
        <v>55472</v>
      </c>
      <c r="AI4" s="11">
        <f ca="1">SUMIFS(BD!$C:$C,BD!$E:$E,Lixo!AI$6,BD!$D:$D,Lixo!$Z4)</f>
        <v>78793</v>
      </c>
      <c r="AJ4" s="11">
        <f ca="1">SUMIFS(BD!$C:$C,BD!$E:$E,Lixo!AJ$6,BD!$D:$D,Lixo!$Z4)</f>
        <v>83766</v>
      </c>
      <c r="AK4" s="11">
        <f ca="1">SUMIFS(BD!$C:$C,BD!$E:$E,Lixo!AK$6,BD!$D:$D,Lixo!$Z4)</f>
        <v>64836</v>
      </c>
      <c r="AL4" s="11">
        <f ca="1">SUMIFS(BD!$C:$C,BD!$E:$E,Lixo!AL$6,BD!$D:$D,Lixo!$Z4)</f>
        <v>75350</v>
      </c>
    </row>
    <row r="5" spans="1:38" x14ac:dyDescent="0.3">
      <c r="A5">
        <v>4</v>
      </c>
      <c r="B5" t="s">
        <v>16</v>
      </c>
      <c r="C5" s="11">
        <f ca="1">SUMIFS(BD!$C:$C,BD!$E:$E,Lixo!$A5,BD!$D:$D,Lixo!C$1,BD!$B:$B,Lixo!$R$4)</f>
        <v>13460</v>
      </c>
      <c r="D5" s="11">
        <f ca="1">SUMIFS(BD!$C:$C,BD!$E:$E,Lixo!$A5,BD!$D:$D,Lixo!D$1,BD!$B:$B,Lixo!$R$4)</f>
        <v>15746</v>
      </c>
      <c r="E5" s="11">
        <f ca="1">SUMIFS(BD!$C:$C,BD!$E:$E,Lixo!$A5,BD!$D:$D,Lixo!E$1,BD!$B:$B,Lixo!$R$4)</f>
        <v>14411</v>
      </c>
      <c r="F5" s="11">
        <f ca="1">SUMIFS(BD!$C:$C,BD!$E:$E,Lixo!$A5,BD!$D:$D,Lixo!F$1,BD!$B:$B,Lixo!$R$4)</f>
        <v>19024</v>
      </c>
      <c r="N5" t="s">
        <v>5</v>
      </c>
      <c r="O5">
        <f ca="1">SUMIF(BD!$B:$B,Lixo!N5,BD!$C:$C)</f>
        <v>881135</v>
      </c>
      <c r="P5">
        <v>1000000</v>
      </c>
      <c r="Q5" s="10">
        <f t="shared" ca="1" si="1"/>
        <v>0.881135</v>
      </c>
      <c r="Z5" s="3" t="s">
        <v>8</v>
      </c>
      <c r="AA5" s="11">
        <f ca="1">SUMIFS(BD!$C:$C,BD!$E:$E,Lixo!AA$6,BD!$D:$D,Lixo!$Z5)</f>
        <v>37934</v>
      </c>
      <c r="AB5" s="11">
        <f ca="1">SUMIFS(BD!$C:$C,BD!$E:$E,Lixo!AB$6,BD!$D:$D,Lixo!$Z5)</f>
        <v>67619</v>
      </c>
      <c r="AC5" s="11">
        <f ca="1">SUMIFS(BD!$C:$C,BD!$E:$E,Lixo!AC$6,BD!$D:$D,Lixo!$Z5)</f>
        <v>64340</v>
      </c>
      <c r="AD5" s="11">
        <f ca="1">SUMIFS(BD!$C:$C,BD!$E:$E,Lixo!AD$6,BD!$D:$D,Lixo!$Z5)</f>
        <v>52581</v>
      </c>
      <c r="AE5" s="11">
        <f ca="1">SUMIFS(BD!$C:$C,BD!$E:$E,Lixo!AE$6,BD!$D:$D,Lixo!$Z5)</f>
        <v>68171</v>
      </c>
      <c r="AF5" s="11">
        <f ca="1">SUMIFS(BD!$C:$C,BD!$E:$E,Lixo!AF$6,BD!$D:$D,Lixo!$Z5)</f>
        <v>105307</v>
      </c>
      <c r="AG5" s="11">
        <f ca="1">SUMIFS(BD!$C:$C,BD!$E:$E,Lixo!AG$6,BD!$D:$D,Lixo!$Z5)</f>
        <v>83751</v>
      </c>
      <c r="AH5" s="11">
        <f ca="1">SUMIFS(BD!$C:$C,BD!$E:$E,Lixo!AH$6,BD!$D:$D,Lixo!$Z5)</f>
        <v>50241</v>
      </c>
      <c r="AI5" s="11">
        <f ca="1">SUMIFS(BD!$C:$C,BD!$E:$E,Lixo!AI$6,BD!$D:$D,Lixo!$Z5)</f>
        <v>76485</v>
      </c>
      <c r="AJ5" s="11">
        <f ca="1">SUMIFS(BD!$C:$C,BD!$E:$E,Lixo!AJ$6,BD!$D:$D,Lixo!$Z5)</f>
        <v>80458</v>
      </c>
      <c r="AK5" s="11">
        <f ca="1">SUMIFS(BD!$C:$C,BD!$E:$E,Lixo!AK$6,BD!$D:$D,Lixo!$Z5)</f>
        <v>81536</v>
      </c>
      <c r="AL5" s="11">
        <f ca="1">SUMIFS(BD!$C:$C,BD!$E:$E,Lixo!AL$6,BD!$D:$D,Lixo!$Z5)</f>
        <v>89618</v>
      </c>
    </row>
    <row r="6" spans="1:38" x14ac:dyDescent="0.3">
      <c r="A6">
        <v>5</v>
      </c>
      <c r="B6" t="s">
        <v>17</v>
      </c>
      <c r="C6" s="11">
        <f ca="1">SUMIFS(BD!$C:$C,BD!$E:$E,Lixo!$A6,BD!$D:$D,Lixo!C$1,BD!$B:$B,Lixo!$R$4)</f>
        <v>21308</v>
      </c>
      <c r="D6" s="11">
        <f ca="1">SUMIFS(BD!$C:$C,BD!$E:$E,Lixo!$A6,BD!$D:$D,Lixo!D$1,BD!$B:$B,Lixo!$R$4)</f>
        <v>25379</v>
      </c>
      <c r="E6" s="11">
        <f ca="1">SUMIFS(BD!$C:$C,BD!$E:$E,Lixo!$A6,BD!$D:$D,Lixo!E$1,BD!$B:$B,Lixo!$R$4)</f>
        <v>31676</v>
      </c>
      <c r="F6" s="11">
        <f ca="1">SUMIFS(BD!$C:$C,BD!$E:$E,Lixo!$A6,BD!$D:$D,Lixo!F$1,BD!$B:$B,Lixo!$R$4)</f>
        <v>37495</v>
      </c>
      <c r="O6" s="11">
        <f ca="1">SUM(O2:O5)</f>
        <v>3515544</v>
      </c>
      <c r="AA6">
        <v>1</v>
      </c>
      <c r="AB6">
        <v>2</v>
      </c>
      <c r="AC6">
        <v>3</v>
      </c>
      <c r="AD6">
        <v>4</v>
      </c>
      <c r="AE6">
        <v>5</v>
      </c>
      <c r="AF6">
        <v>6</v>
      </c>
      <c r="AG6">
        <v>7</v>
      </c>
      <c r="AH6">
        <v>8</v>
      </c>
      <c r="AI6">
        <v>9</v>
      </c>
      <c r="AJ6">
        <v>10</v>
      </c>
      <c r="AK6">
        <v>11</v>
      </c>
      <c r="AL6">
        <v>12</v>
      </c>
    </row>
    <row r="7" spans="1:38" x14ac:dyDescent="0.3">
      <c r="A7">
        <v>6</v>
      </c>
      <c r="B7" t="s">
        <v>18</v>
      </c>
      <c r="C7" s="11">
        <f ca="1">SUMIFS(BD!$C:$C,BD!$E:$E,Lixo!$A7,BD!$D:$D,Lixo!C$1,BD!$B:$B,Lixo!$R$4)</f>
        <v>18078</v>
      </c>
      <c r="D7" s="11">
        <f ca="1">SUMIFS(BD!$C:$C,BD!$E:$E,Lixo!$A7,BD!$D:$D,Lixo!D$1,BD!$B:$B,Lixo!$R$4)</f>
        <v>20275</v>
      </c>
      <c r="E7" s="11">
        <f ca="1">SUMIFS(BD!$C:$C,BD!$E:$E,Lixo!$A7,BD!$D:$D,Lixo!E$1,BD!$B:$B,Lixo!$R$4)</f>
        <v>14814</v>
      </c>
      <c r="F7" s="11">
        <f ca="1">SUMIFS(BD!$C:$C,BD!$E:$E,Lixo!$A7,BD!$D:$D,Lixo!F$1,BD!$B:$B,Lixo!$R$4)</f>
        <v>29269</v>
      </c>
    </row>
    <row r="8" spans="1:38" x14ac:dyDescent="0.3">
      <c r="A8">
        <v>7</v>
      </c>
      <c r="B8" t="s">
        <v>19</v>
      </c>
      <c r="C8" s="11">
        <f ca="1">SUMIFS(BD!$C:$C,BD!$E:$E,Lixo!$A8,BD!$D:$D,Lixo!C$1,BD!$B:$B,Lixo!$R$4)</f>
        <v>21721</v>
      </c>
      <c r="D8" s="11">
        <f ca="1">SUMIFS(BD!$C:$C,BD!$E:$E,Lixo!$A8,BD!$D:$D,Lixo!D$1,BD!$B:$B,Lixo!$R$4)</f>
        <v>17791</v>
      </c>
      <c r="E8" s="11">
        <f ca="1">SUMIFS(BD!$C:$C,BD!$E:$E,Lixo!$A8,BD!$D:$D,Lixo!E$1,BD!$B:$B,Lixo!$R$4)</f>
        <v>23832</v>
      </c>
      <c r="F8" s="11">
        <f ca="1">SUMIFS(BD!$C:$C,BD!$E:$E,Lixo!$A8,BD!$D:$D,Lixo!F$1,BD!$B:$B,Lixo!$R$4)</f>
        <v>7830</v>
      </c>
      <c r="N8" t="s">
        <v>30</v>
      </c>
      <c r="O8">
        <v>250000</v>
      </c>
      <c r="Q8" t="s">
        <v>30</v>
      </c>
      <c r="R8">
        <v>250000</v>
      </c>
      <c r="T8" t="s">
        <v>30</v>
      </c>
      <c r="U8">
        <v>250000</v>
      </c>
      <c r="W8" t="s">
        <v>30</v>
      </c>
      <c r="X8">
        <v>250000</v>
      </c>
      <c r="Z8">
        <v>2</v>
      </c>
    </row>
    <row r="9" spans="1:38" x14ac:dyDescent="0.3">
      <c r="A9">
        <v>8</v>
      </c>
      <c r="B9" t="s">
        <v>20</v>
      </c>
      <c r="C9" s="11">
        <f ca="1">SUMIFS(BD!$C:$C,BD!$E:$E,Lixo!$A9,BD!$D:$D,Lixo!C$1,BD!$B:$B,Lixo!$R$4)</f>
        <v>11909</v>
      </c>
      <c r="D9" s="11">
        <f ca="1">SUMIFS(BD!$C:$C,BD!$E:$E,Lixo!$A9,BD!$D:$D,Lixo!D$1,BD!$B:$B,Lixo!$R$4)</f>
        <v>19744</v>
      </c>
      <c r="E9" s="11">
        <f ca="1">SUMIFS(BD!$C:$C,BD!$E:$E,Lixo!$A9,BD!$D:$D,Lixo!E$1,BD!$B:$B,Lixo!$R$4)</f>
        <v>28027</v>
      </c>
      <c r="F9" s="11">
        <f ca="1">SUMIFS(BD!$C:$C,BD!$E:$E,Lixo!$A9,BD!$D:$D,Lixo!F$1,BD!$B:$B,Lixo!$R$4)</f>
        <v>12327</v>
      </c>
      <c r="N9" t="s">
        <v>31</v>
      </c>
      <c r="O9">
        <v>250000</v>
      </c>
      <c r="Q9" t="s">
        <v>31</v>
      </c>
      <c r="R9">
        <v>500000</v>
      </c>
      <c r="T9" t="s">
        <v>31</v>
      </c>
      <c r="U9">
        <v>500000</v>
      </c>
      <c r="W9" t="s">
        <v>31</v>
      </c>
      <c r="X9">
        <v>500000</v>
      </c>
      <c r="Z9" s="3" t="s">
        <v>10</v>
      </c>
      <c r="AA9" s="11">
        <f ca="1">OFFSET($Z$1,MATCH(Z9,$Z$9:$Z$12,0),$Z$8)</f>
        <v>38512</v>
      </c>
    </row>
    <row r="10" spans="1:38" x14ac:dyDescent="0.3">
      <c r="A10">
        <v>9</v>
      </c>
      <c r="B10" t="s">
        <v>21</v>
      </c>
      <c r="C10" s="11">
        <f ca="1">SUMIFS(BD!$C:$C,BD!$E:$E,Lixo!$A10,BD!$D:$D,Lixo!C$1,BD!$B:$B,Lixo!$R$4)</f>
        <v>20110</v>
      </c>
      <c r="D10" s="11">
        <f ca="1">SUMIFS(BD!$C:$C,BD!$E:$E,Lixo!$A10,BD!$D:$D,Lixo!D$1,BD!$B:$B,Lixo!$R$4)</f>
        <v>21115</v>
      </c>
      <c r="E10" s="11">
        <f ca="1">SUMIFS(BD!$C:$C,BD!$E:$E,Lixo!$A10,BD!$D:$D,Lixo!E$1,BD!$B:$B,Lixo!$R$4)</f>
        <v>25779</v>
      </c>
      <c r="F10" s="11">
        <f ca="1">SUMIFS(BD!$C:$C,BD!$E:$E,Lixo!$A10,BD!$D:$D,Lixo!F$1,BD!$B:$B,Lixo!$R$4)</f>
        <v>15807</v>
      </c>
      <c r="N10" t="s">
        <v>32</v>
      </c>
      <c r="O10">
        <v>250000</v>
      </c>
      <c r="Q10" t="s">
        <v>32</v>
      </c>
      <c r="R10">
        <v>750000</v>
      </c>
      <c r="T10" t="s">
        <v>32</v>
      </c>
      <c r="U10">
        <v>750000</v>
      </c>
      <c r="W10" t="s">
        <v>32</v>
      </c>
      <c r="X10">
        <v>750000</v>
      </c>
      <c r="Z10" s="3" t="s">
        <v>11</v>
      </c>
      <c r="AA10" s="11">
        <f t="shared" ref="AA10:AA12" ca="1" si="2">OFFSET($Z$1,MATCH(Z10,$Z$9:$Z$12,0),$Z$8)</f>
        <v>73040</v>
      </c>
    </row>
    <row r="11" spans="1:38" x14ac:dyDescent="0.3">
      <c r="A11">
        <v>10</v>
      </c>
      <c r="B11" t="s">
        <v>22</v>
      </c>
      <c r="C11" s="11">
        <f ca="1">SUMIFS(BD!$C:$C,BD!$E:$E,Lixo!$A11,BD!$D:$D,Lixo!C$1,BD!$B:$B,Lixo!$R$4)</f>
        <v>9867</v>
      </c>
      <c r="D11" s="11">
        <f ca="1">SUMIFS(BD!$C:$C,BD!$E:$E,Lixo!$A11,BD!$D:$D,Lixo!D$1,BD!$B:$B,Lixo!$R$4)</f>
        <v>18322</v>
      </c>
      <c r="E11" s="11">
        <f ca="1">SUMIFS(BD!$C:$C,BD!$E:$E,Lixo!$A11,BD!$D:$D,Lixo!E$1,BD!$B:$B,Lixo!$R$4)</f>
        <v>33769</v>
      </c>
      <c r="F11" s="11">
        <f ca="1">SUMIFS(BD!$C:$C,BD!$E:$E,Lixo!$A11,BD!$D:$D,Lixo!F$1,BD!$B:$B,Lixo!$R$4)</f>
        <v>10905</v>
      </c>
      <c r="N11" t="s">
        <v>33</v>
      </c>
      <c r="O11">
        <v>250000</v>
      </c>
      <c r="Q11" t="s">
        <v>33</v>
      </c>
      <c r="R11">
        <v>1000000</v>
      </c>
      <c r="T11" t="s">
        <v>33</v>
      </c>
      <c r="U11">
        <v>1000000</v>
      </c>
      <c r="W11" t="s">
        <v>33</v>
      </c>
      <c r="X11">
        <v>1000000</v>
      </c>
      <c r="Z11" s="3" t="s">
        <v>9</v>
      </c>
      <c r="AA11" s="11">
        <f t="shared" ca="1" si="2"/>
        <v>47563</v>
      </c>
    </row>
    <row r="12" spans="1:38" x14ac:dyDescent="0.3">
      <c r="A12">
        <v>11</v>
      </c>
      <c r="B12" t="s">
        <v>23</v>
      </c>
      <c r="C12" s="11">
        <f ca="1">SUMIFS(BD!$C:$C,BD!$E:$E,Lixo!$A12,BD!$D:$D,Lixo!C$1,BD!$B:$B,Lixo!$R$4)</f>
        <v>17367</v>
      </c>
      <c r="D12" s="11">
        <f ca="1">SUMIFS(BD!$C:$C,BD!$E:$E,Lixo!$A12,BD!$D:$D,Lixo!D$1,BD!$B:$B,Lixo!$R$4)</f>
        <v>14287</v>
      </c>
      <c r="E12" s="11">
        <f ca="1">SUMIFS(BD!$C:$C,BD!$E:$E,Lixo!$A12,BD!$D:$D,Lixo!E$1,BD!$B:$B,Lixo!$R$4)</f>
        <v>22672</v>
      </c>
      <c r="F12" s="11">
        <f ca="1">SUMIFS(BD!$C:$C,BD!$E:$E,Lixo!$A12,BD!$D:$D,Lixo!F$1,BD!$B:$B,Lixo!$R$4)</f>
        <v>16179</v>
      </c>
      <c r="N12" t="s">
        <v>34</v>
      </c>
      <c r="O12">
        <f>SUM(O8:O11)</f>
        <v>1000000</v>
      </c>
      <c r="Q12" t="s">
        <v>34</v>
      </c>
      <c r="R12">
        <f>SUM(R8:R11)</f>
        <v>2500000</v>
      </c>
      <c r="T12" t="s">
        <v>34</v>
      </c>
      <c r="U12">
        <f>SUM(U8:U11)</f>
        <v>2500000</v>
      </c>
      <c r="W12" t="s">
        <v>34</v>
      </c>
      <c r="X12">
        <f>SUM(X8:X11)</f>
        <v>2500000</v>
      </c>
      <c r="Z12" s="3" t="s">
        <v>8</v>
      </c>
      <c r="AA12" s="11">
        <f t="shared" ca="1" si="2"/>
        <v>67619</v>
      </c>
    </row>
    <row r="13" spans="1:38" x14ac:dyDescent="0.3">
      <c r="A13">
        <v>12</v>
      </c>
      <c r="B13" t="s">
        <v>24</v>
      </c>
      <c r="C13" s="11">
        <f ca="1">SUMIFS(BD!$C:$C,BD!$E:$E,Lixo!$A13,BD!$D:$D,Lixo!C$1,BD!$B:$B,Lixo!$R$4)</f>
        <v>18338</v>
      </c>
      <c r="D13" s="11">
        <f ca="1">SUMIFS(BD!$C:$C,BD!$E:$E,Lixo!$A13,BD!$D:$D,Lixo!D$1,BD!$B:$B,Lixo!$R$4)</f>
        <v>31072</v>
      </c>
      <c r="E13" s="11">
        <f ca="1">SUMIFS(BD!$C:$C,BD!$E:$E,Lixo!$A13,BD!$D:$D,Lixo!E$1,BD!$B:$B,Lixo!$R$4)</f>
        <v>4909</v>
      </c>
      <c r="F13" s="11">
        <f ca="1">SUMIFS(BD!$C:$C,BD!$E:$E,Lixo!$A13,BD!$D:$D,Lixo!F$1,BD!$B:$B,Lixo!$R$4)</f>
        <v>33602</v>
      </c>
    </row>
    <row r="14" spans="1:38" x14ac:dyDescent="0.3">
      <c r="N14" t="s">
        <v>35</v>
      </c>
      <c r="O14" s="11">
        <f ca="1">OFFSET($O$1,$R$2,0)</f>
        <v>896621</v>
      </c>
      <c r="Q14" t="s">
        <v>35</v>
      </c>
      <c r="R14">
        <f ca="1">O3</f>
        <v>896621</v>
      </c>
      <c r="T14" t="s">
        <v>35</v>
      </c>
      <c r="U14">
        <f ca="1">O4</f>
        <v>853640</v>
      </c>
      <c r="W14" t="s">
        <v>35</v>
      </c>
      <c r="X14">
        <f ca="1">O5</f>
        <v>881135</v>
      </c>
    </row>
    <row r="15" spans="1:38" x14ac:dyDescent="0.3">
      <c r="N15" t="s">
        <v>36</v>
      </c>
      <c r="O15">
        <v>10000</v>
      </c>
      <c r="Q15" t="s">
        <v>36</v>
      </c>
      <c r="R15">
        <v>10000</v>
      </c>
      <c r="T15" t="s">
        <v>36</v>
      </c>
      <c r="U15">
        <v>10000</v>
      </c>
      <c r="W15" t="s">
        <v>36</v>
      </c>
      <c r="X15">
        <v>10000</v>
      </c>
    </row>
    <row r="16" spans="1:38" x14ac:dyDescent="0.3">
      <c r="N16" t="s">
        <v>37</v>
      </c>
      <c r="O16">
        <f ca="1">SUM(O8:O12)-O14-O15</f>
        <v>1093379</v>
      </c>
      <c r="Q16" t="s">
        <v>37</v>
      </c>
      <c r="T16" t="s">
        <v>37</v>
      </c>
      <c r="W16" t="s">
        <v>37</v>
      </c>
    </row>
    <row r="19" spans="14:18" x14ac:dyDescent="0.3">
      <c r="N19" s="2"/>
      <c r="O19" s="3" t="s">
        <v>10</v>
      </c>
      <c r="P19" s="3" t="s">
        <v>11</v>
      </c>
      <c r="Q19" s="3" t="s">
        <v>9</v>
      </c>
      <c r="R19" s="3" t="s">
        <v>8</v>
      </c>
    </row>
    <row r="20" spans="14:18" x14ac:dyDescent="0.3">
      <c r="N20" s="3" t="s">
        <v>4</v>
      </c>
      <c r="O20" s="2">
        <f ca="1">COUNTIFS(BD!$B:$B,Lixo!$N20,BD!$D:$D,Lixo!O$19)</f>
        <v>62</v>
      </c>
      <c r="P20" s="2">
        <f ca="1">COUNTIFS(BD!$B:$B,Lixo!$N20,BD!$D:$D,Lixo!P$19)</f>
        <v>77</v>
      </c>
      <c r="Q20" s="2">
        <f ca="1">COUNTIFS(BD!$B:$B,Lixo!$N20,BD!$D:$D,Lixo!Q$19)</f>
        <v>72</v>
      </c>
      <c r="R20" s="2">
        <f ca="1">COUNTIFS(BD!$B:$B,Lixo!$N20,BD!$D:$D,Lixo!R$19)</f>
        <v>84</v>
      </c>
    </row>
    <row r="21" spans="14:18" x14ac:dyDescent="0.3">
      <c r="N21" s="2" t="s">
        <v>3</v>
      </c>
      <c r="O21" s="2">
        <f ca="1">COUNTIFS(BD!$B:$B,Lixo!$N21,BD!$D:$D,Lixo!O$19)</f>
        <v>79</v>
      </c>
      <c r="P21" s="2">
        <f ca="1">COUNTIFS(BD!$B:$B,Lixo!$N21,BD!$D:$D,Lixo!P$19)</f>
        <v>91</v>
      </c>
      <c r="Q21" s="2">
        <f ca="1">COUNTIFS(BD!$B:$B,Lixo!$N21,BD!$D:$D,Lixo!Q$19)</f>
        <v>65</v>
      </c>
      <c r="R21" s="2">
        <f ca="1">COUNTIFS(BD!$B:$B,Lixo!$N21,BD!$D:$D,Lixo!R$19)</f>
        <v>75</v>
      </c>
    </row>
    <row r="22" spans="14:18" x14ac:dyDescent="0.3">
      <c r="N22" s="2" t="s">
        <v>6</v>
      </c>
      <c r="O22" s="2">
        <f ca="1">COUNTIFS(BD!$B:$B,Lixo!$N22,BD!$D:$D,Lixo!O$19)</f>
        <v>82</v>
      </c>
      <c r="P22" s="2">
        <f ca="1">COUNTIFS(BD!$B:$B,Lixo!$N22,BD!$D:$D,Lixo!P$19)</f>
        <v>73</v>
      </c>
      <c r="Q22" s="2">
        <f ca="1">COUNTIFS(BD!$B:$B,Lixo!$N22,BD!$D:$D,Lixo!Q$19)</f>
        <v>75</v>
      </c>
      <c r="R22" s="2">
        <f ca="1">COUNTIFS(BD!$B:$B,Lixo!$N22,BD!$D:$D,Lixo!R$19)</f>
        <v>56</v>
      </c>
    </row>
    <row r="23" spans="14:18" x14ac:dyDescent="0.3">
      <c r="N23" s="2" t="s">
        <v>5</v>
      </c>
      <c r="O23" s="2">
        <f ca="1">COUNTIFS(BD!$B:$B,Lixo!$N23,BD!$D:$D,Lixo!O$19)</f>
        <v>68</v>
      </c>
      <c r="P23" s="2">
        <f ca="1">COUNTIFS(BD!$B:$B,Lixo!$N23,BD!$D:$D,Lixo!P$19)</f>
        <v>77</v>
      </c>
      <c r="Q23" s="2">
        <f ca="1">COUNTIFS(BD!$B:$B,Lixo!$N23,BD!$D:$D,Lixo!Q$19)</f>
        <v>69</v>
      </c>
      <c r="R23" s="2">
        <f ca="1">COUNTIFS(BD!$B:$B,Lixo!$N23,BD!$D:$D,Lixo!R$19)</f>
        <v>71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2:S32"/>
  <sheetViews>
    <sheetView showGridLines="0" tabSelected="1" workbookViewId="0">
      <selection activeCell="U21" sqref="U21"/>
    </sheetView>
  </sheetViews>
  <sheetFormatPr defaultRowHeight="16.5" x14ac:dyDescent="0.3"/>
  <sheetData>
    <row r="32" spans="1:19" x14ac:dyDescent="0.3">
      <c r="A32">
        <v>1</v>
      </c>
      <c r="S32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352425</xdr:colOff>
                    <xdr:row>2</xdr:row>
                    <xdr:rowOff>152400</xdr:rowOff>
                  </from>
                  <to>
                    <xdr:col>1</xdr:col>
                    <xdr:colOff>552450</xdr:colOff>
                    <xdr:row>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List Box 2">
              <controlPr defaultSize="0" autoLine="0" autoPict="0">
                <anchor moveWithCells="1">
                  <from>
                    <xdr:col>0</xdr:col>
                    <xdr:colOff>352425</xdr:colOff>
                    <xdr:row>3</xdr:row>
                    <xdr:rowOff>200025</xdr:rowOff>
                  </from>
                  <to>
                    <xdr:col>1</xdr:col>
                    <xdr:colOff>533400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7</xdr:col>
                    <xdr:colOff>9525</xdr:colOff>
                    <xdr:row>14</xdr:row>
                    <xdr:rowOff>28575</xdr:rowOff>
                  </from>
                  <to>
                    <xdr:col>8</xdr:col>
                    <xdr:colOff>609600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</vt:lpstr>
      <vt:lpstr>Lixo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Miguel Favarato Abdanur</dc:creator>
  <cp:lastModifiedBy>Rubens Miguel Favarato Abdanur</cp:lastModifiedBy>
  <dcterms:created xsi:type="dcterms:W3CDTF">2019-05-08T17:27:35Z</dcterms:created>
  <dcterms:modified xsi:type="dcterms:W3CDTF">2019-05-08T20:43:54Z</dcterms:modified>
</cp:coreProperties>
</file>