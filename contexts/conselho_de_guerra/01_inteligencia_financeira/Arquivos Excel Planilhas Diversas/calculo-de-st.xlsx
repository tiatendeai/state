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319"/>
  </bookViews>
  <sheets>
    <sheet name="Cálculo ST" sheetId="1" r:id="rId1"/>
    <sheet name="Tabela ICMS" sheetId="2" r:id="rId2"/>
  </sheets>
  <calcPr calcId="145621"/>
</workbook>
</file>

<file path=xl/calcChain.xml><?xml version="1.0" encoding="utf-8"?>
<calcChain xmlns="http://schemas.openxmlformats.org/spreadsheetml/2006/main">
  <c r="D10" i="1" l="1"/>
  <c r="D9" i="1"/>
  <c r="D11" i="1" l="1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D12" i="1"/>
  <c r="D15" i="1" l="1"/>
  <c r="D13" i="1"/>
  <c r="D14" i="1" s="1"/>
  <c r="D16" i="1" l="1"/>
  <c r="D17" i="1" s="1"/>
  <c r="D18" i="1" s="1"/>
  <c r="D19" i="1" s="1"/>
  <c r="D20" i="1" s="1"/>
</calcChain>
</file>

<file path=xl/sharedStrings.xml><?xml version="1.0" encoding="utf-8"?>
<sst xmlns="http://schemas.openxmlformats.org/spreadsheetml/2006/main" count="81" uniqueCount="79">
  <si>
    <t>VALORES INFORMADOS</t>
  </si>
  <si>
    <t>Informações do Produto</t>
  </si>
  <si>
    <t>Quantidade</t>
  </si>
  <si>
    <t>Quantidade do produto que está sendo comercializada.</t>
  </si>
  <si>
    <t>Valor Unitário</t>
  </si>
  <si>
    <t>Valor Unitário de cada produto que está sendo comercializado.</t>
  </si>
  <si>
    <t>Alíquota IPI</t>
  </si>
  <si>
    <t>Informações da Operação</t>
  </si>
  <si>
    <t>UF de Origem</t>
  </si>
  <si>
    <t>RJ</t>
  </si>
  <si>
    <t>Informe a UF do Emitente</t>
  </si>
  <si>
    <t>UF de Destino</t>
  </si>
  <si>
    <t>SP</t>
  </si>
  <si>
    <t>Informe a UF do Destinatário</t>
  </si>
  <si>
    <t>Mercadoria importada do exterior?</t>
  </si>
  <si>
    <t>VALORES CALCULADOS</t>
  </si>
  <si>
    <t>ICMS</t>
  </si>
  <si>
    <t>Alíquota ICMS origem → destino (inter)</t>
  </si>
  <si>
    <t>Alíquota de ICMS da UF do emitente para a UF do destinatário.</t>
  </si>
  <si>
    <t>Alíquota ICMS destino → destino (intra)</t>
  </si>
  <si>
    <t>Alíquota de ICMS da UF do destinarário para a UF do destinatário (ou seja, a alíquota de ICMS que o destinatário irá utilizar na Venda da mercadoria dentro do próprio Estado.</t>
  </si>
  <si>
    <t>Valores Calculados</t>
  </si>
  <si>
    <t>Valor dos Produtos</t>
  </si>
  <si>
    <t>Preço Unitário X Quantidade.</t>
  </si>
  <si>
    <t>Valor do IPI</t>
  </si>
  <si>
    <t>A base de cálculo do IPI é o valor dos produtos.</t>
  </si>
  <si>
    <t>Valor da Operação sem ST</t>
  </si>
  <si>
    <t>Valor dos Produtos + Valor do IPI. O valor do IPI deve ser destacado, ou seja, não está incluído no valor dos produtos.</t>
  </si>
  <si>
    <t>Valor do ICMS</t>
  </si>
  <si>
    <t>A base de cálculo do ICMS numa operação de venda é o Valor dos Produtos.</t>
  </si>
  <si>
    <t>Valor Agregado</t>
  </si>
  <si>
    <t>Valor que o governo espera que o varejista agregue ao produto. É o valor da operação X MVA Original.</t>
  </si>
  <si>
    <t>Base de Cálculo do ICMS ST</t>
  </si>
  <si>
    <t>A Base de Cálculo do ICMS ST é o valor da operação original (sem ST) somado ao valor agregado. Ou seja, é base de cálculo do ICMS do varejista estimada pelo governo.</t>
  </si>
  <si>
    <t>Valor do ICMS ST</t>
  </si>
  <si>
    <t>Base de Cálculo do ICMS ST X Alíquota Interna. Ou seja, é a alíquota que o varejista informaria quando fizesse sua venda.</t>
  </si>
  <si>
    <t>Diferença de ICMS</t>
  </si>
  <si>
    <t>Repare que esse é o valor, de fato, acrescentado a operação. O valor do ICMS ST é o valor de ICMS destacado pelo varejista, mas o mesmo já se creditou do ICMS destacado pelo fornecedor. Logo, se acrescentássemos o valor do ST a Nota Fiscal estaríamos contando o ICMS duas vezes.</t>
  </si>
  <si>
    <t>Valor Final da Operação com ST</t>
  </si>
  <si>
    <t>Valor final da nota fiscal.</t>
  </si>
  <si>
    <t>DESTINO</t>
  </si>
  <si>
    <t>ORIGEM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</si>
  <si>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</si>
  <si>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</si>
  <si>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</si>
  <si>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</si>
  <si>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</si>
  <si>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</si>
  <si>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</si>
  <si>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</si>
  <si>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</si>
  <si>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</si>
  <si>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</si>
  <si>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</si>
  <si>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</si>
  <si>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</si>
  <si>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</si>
  <si>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</si>
  <si>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</si>
  <si>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</si>
  <si>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RN</t>
  </si>
  <si>
    <t>RS</t>
  </si>
  <si>
    <t>RO</t>
  </si>
  <si>
    <t>RR</t>
  </si>
  <si>
    <t>SC</t>
  </si>
  <si>
    <t>SE</t>
  </si>
  <si>
    <t>TO</t>
  </si>
  <si>
    <t>Operações interestaduais com bens e mercadorias importados do exterior</t>
  </si>
  <si>
    <t>MVA</t>
  </si>
  <si>
    <t>MVA Ajustada</t>
  </si>
  <si>
    <t>Margem de valor agregada original do produto. É a margem prevista para as operações internas;</t>
  </si>
  <si>
    <t>Margem de Valor Agregada ajustada para a operação interestadual.</t>
  </si>
  <si>
    <t>PLANILHA DEFINITIVA PARA CÁLCULO DE SUBSTITUIÇÃO TRIBUTÁRIA</t>
  </si>
  <si>
    <t>Quer automatizar seus processos de emissão de NF-e e Controle de Estoque? Experimente o Comex NF-e e pare de ter dor de cabeça com Substituição Tributária. Experimente grátis por 15 dias.</t>
  </si>
  <si>
    <t>https://www.comexnfe.com.br</t>
  </si>
  <si>
    <t>MVA Original</t>
  </si>
  <si>
    <t>Alíquota de IPI do produto que está sendo comercializado.</t>
  </si>
  <si>
    <t>Operações interestaduais com bens e mercadorias importados do exterior possuem alíquota de ICMS de 4%.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</si>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</sst>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-416]\ #,##0.00;[Red]\-[$R$-416]\ #,##0.00"/>
  </numFmts>
  <fonts count="19" x14ac:knownFonts="1"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666666"/>
      <name val="Arial"/>
      <family val="2"/>
    </font>
    <font>
      <sz val="14"/>
      <color rgb="FF3C3C3C"/>
      <name val="Arial"/>
      <family val="2"/>
      <charset val="1"/>
    </font>
    <font>
      <sz val="14"/>
      <color rgb="FF1C1C1C"/>
      <name val="Arial"/>
      <family val="2"/>
      <charset val="1"/>
    </font>
    <font>
      <sz val="14"/>
      <color rgb="FF1C1C1C"/>
      <name val="Arial"/>
      <family val="2"/>
    </font>
    <font>
      <b/>
      <sz val="14"/>
      <color rgb="FF1C1C1C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6.4"/>
      <color rgb="FF3C3C3C"/>
      <name val="Ubuntu"/>
    </font>
    <font>
      <sz val="11"/>
      <color theme="0"/>
      <name val="Calibri"/>
      <family val="2"/>
      <scheme val="minor"/>
    </font>
    <font>
      <b/>
      <sz val="20"/>
      <name val="Arial"/>
      <family val="2"/>
    </font>
    <font>
      <sz val="18"/>
      <name val="Arial"/>
      <family val="2"/>
    </font>
    <font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 tint="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E6E6FF"/>
      </patternFill>
    </fill>
    <fill>
      <patternFill patternType="solid">
        <fgColor rgb="FFFFFFCC"/>
        <bgColor rgb="FFFFFF99"/>
      </patternFill>
    </fill>
    <fill>
      <patternFill patternType="solid">
        <fgColor rgb="FFEEEEEE"/>
        <bgColor rgb="FFE6E6FF"/>
      </patternFill>
    </fill>
    <fill>
      <patternFill patternType="solid">
        <fgColor rgb="FFE6E6FF"/>
        <bgColor rgb="FFEEEEEE"/>
      </patternFill>
    </fill>
    <fill>
      <patternFill patternType="solid">
        <fgColor rgb="FFB2B2B2"/>
        <bgColor rgb="FFCCCCCC"/>
      </patternFill>
    </fill>
    <fill>
      <patternFill patternType="solid">
        <fgColor rgb="FFCCCCCC"/>
        <bgColor rgb="FFDDDDDD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rgb="FF808080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3" fillId="8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0" fontId="2" fillId="4" borderId="0" xfId="0" applyNumberFormat="1" applyFont="1" applyFill="1" applyAlignment="1">
      <alignment wrapText="1"/>
    </xf>
    <xf numFmtId="0" fontId="2" fillId="3" borderId="3" xfId="0" applyFont="1" applyFill="1" applyBorder="1" applyAlignment="1">
      <alignment wrapText="1"/>
    </xf>
    <xf numFmtId="10" fontId="2" fillId="4" borderId="5" xfId="0" applyNumberFormat="1" applyFont="1" applyFill="1" applyBorder="1" applyAlignment="1">
      <alignment wrapText="1"/>
    </xf>
    <xf numFmtId="10" fontId="2" fillId="4" borderId="4" xfId="0" applyNumberFormat="1" applyFont="1" applyFill="1" applyBorder="1" applyAlignment="1">
      <alignment horizontal="center" wrapText="1"/>
    </xf>
    <xf numFmtId="9" fontId="0" fillId="0" borderId="2" xfId="0" applyNumberFormat="1" applyBorder="1" applyAlignment="1">
      <alignment wrapText="1"/>
    </xf>
    <xf numFmtId="0" fontId="2" fillId="5" borderId="7" xfId="0" applyFont="1" applyFill="1" applyBorder="1" applyAlignment="1">
      <alignment wrapText="1"/>
    </xf>
    <xf numFmtId="10" fontId="4" fillId="2" borderId="8" xfId="0" applyNumberFormat="1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10" fontId="5" fillId="2" borderId="5" xfId="0" applyNumberFormat="1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164" fontId="6" fillId="2" borderId="0" xfId="0" applyNumberFormat="1" applyFont="1" applyFill="1" applyAlignment="1">
      <alignment wrapText="1"/>
    </xf>
    <xf numFmtId="164" fontId="7" fillId="2" borderId="0" xfId="0" applyNumberFormat="1" applyFont="1" applyFill="1" applyAlignment="1">
      <alignment wrapText="1"/>
    </xf>
    <xf numFmtId="164" fontId="7" fillId="2" borderId="5" xfId="0" applyNumberFormat="1" applyFont="1" applyFill="1" applyBorder="1" applyAlignment="1">
      <alignment wrapText="1"/>
    </xf>
    <xf numFmtId="0" fontId="8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6" borderId="0" xfId="0" applyFont="1" applyFill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9" fontId="8" fillId="2" borderId="10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9" fontId="11" fillId="0" borderId="10" xfId="0" applyNumberFormat="1" applyFont="1" applyBorder="1" applyAlignment="1">
      <alignment horizontal="center" vertical="center"/>
    </xf>
    <xf numFmtId="10" fontId="12" fillId="0" borderId="0" xfId="0" applyNumberFormat="1" applyFont="1"/>
    <xf numFmtId="10" fontId="12" fillId="0" borderId="0" xfId="0" applyNumberFormat="1" applyFont="1" applyAlignment="1">
      <alignment horizontal="center"/>
    </xf>
    <xf numFmtId="9" fontId="10" fillId="2" borderId="10" xfId="0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10" fontId="5" fillId="2" borderId="0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3" fillId="5" borderId="9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5" fillId="5" borderId="3" xfId="0" applyFont="1" applyFill="1" applyBorder="1" applyAlignment="1">
      <alignment horizontal="center" vertical="center" wrapText="1"/>
    </xf>
    <xf numFmtId="0" fontId="16" fillId="8" borderId="0" xfId="1" applyFont="1" applyAlignment="1">
      <alignment horizontal="left" vertical="center" wrapText="1"/>
    </xf>
    <xf numFmtId="0" fontId="18" fillId="9" borderId="0" xfId="2" applyFont="1" applyFill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textRotation="180" wrapText="1"/>
    </xf>
    <xf numFmtId="0" fontId="15" fillId="3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textRotation="180" wrapText="1"/>
    </xf>
    <xf numFmtId="0" fontId="15" fillId="5" borderId="3" xfId="0" applyFont="1" applyFill="1" applyBorder="1" applyAlignment="1">
      <alignment horizontal="center" vertical="center" wrapText="1"/>
    </xf>
    <xf numFmtId="9" fontId="8" fillId="6" borderId="10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textRotation="180"/>
    </xf>
    <xf numFmtId="0" fontId="0" fillId="6" borderId="1" xfId="0" applyFont="1" applyFill="1" applyBorder="1" applyAlignment="1">
      <alignment horizontal="right" vertical="center"/>
    </xf>
  </cellXfs>
  <cellStyles count="3">
    <cellStyle name="Ênfase1" xfId="1" builtinId="29"/>
    <cellStyle name="Hi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1C1C1C"/>
      <rgbColor rgb="FF3C3C3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mexnfe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21</xdr:row>
      <xdr:rowOff>190500</xdr:rowOff>
    </xdr:from>
    <xdr:to>
      <xdr:col>1</xdr:col>
      <xdr:colOff>1485900</xdr:colOff>
      <xdr:row>22</xdr:row>
      <xdr:rowOff>133350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7058025"/>
          <a:ext cx="1600200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mexnfe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3"/>
  <sheetViews>
    <sheetView showGridLines="0" tabSelected="1" zoomScale="90" zoomScaleNormal="90" workbookViewId="0">
      <selection activeCell="I11" sqref="I11"/>
    </sheetView>
  </sheetViews>
  <sheetFormatPr defaultRowHeight="18" x14ac:dyDescent="0.25"/>
  <cols>
    <col min="1" max="1" width="13.42578125" style="1" customWidth="1"/>
    <col min="2" max="2" width="32.5703125" style="2"/>
    <col min="3" max="3" width="53" style="3"/>
    <col min="4" max="4" width="17.7109375" style="3"/>
    <col min="5" max="5" width="56.28515625" style="43"/>
    <col min="6" max="1025" width="11.5703125" style="1"/>
  </cols>
  <sheetData>
    <row r="1" spans="1:6" ht="37.5" customHeight="1" x14ac:dyDescent="0.2">
      <c r="A1" s="47" t="s">
        <v>72</v>
      </c>
      <c r="B1" s="47"/>
      <c r="C1" s="47"/>
      <c r="D1" s="47"/>
      <c r="E1" s="47"/>
      <c r="F1" s="4"/>
    </row>
    <row r="2" spans="1:6" ht="26.1" customHeight="1" x14ac:dyDescent="0.25">
      <c r="A2" s="48" t="s">
        <v>0</v>
      </c>
      <c r="B2" s="49" t="s">
        <v>1</v>
      </c>
      <c r="C2" s="5" t="s">
        <v>2</v>
      </c>
      <c r="D2" s="6">
        <v>1</v>
      </c>
      <c r="E2" s="37" t="s">
        <v>3</v>
      </c>
      <c r="F2" s="4"/>
    </row>
    <row r="3" spans="1:6" ht="26.1" customHeight="1" x14ac:dyDescent="0.25">
      <c r="A3" s="48"/>
      <c r="B3" s="49"/>
      <c r="C3" s="5" t="s">
        <v>4</v>
      </c>
      <c r="D3" s="7">
        <v>7807.94</v>
      </c>
      <c r="E3" s="37" t="s">
        <v>5</v>
      </c>
      <c r="F3" s="4"/>
    </row>
    <row r="4" spans="1:6" ht="26.1" customHeight="1" x14ac:dyDescent="0.25">
      <c r="A4" s="48"/>
      <c r="B4" s="49"/>
      <c r="C4" s="5" t="s">
        <v>6</v>
      </c>
      <c r="D4" s="8">
        <v>4.2279999999999998E-2</v>
      </c>
      <c r="E4" s="37" t="s">
        <v>76</v>
      </c>
      <c r="F4" s="4"/>
    </row>
    <row r="5" spans="1:6" ht="26.1" customHeight="1" x14ac:dyDescent="0.25">
      <c r="A5" s="48"/>
      <c r="B5" s="49"/>
      <c r="C5" s="9" t="s">
        <v>75</v>
      </c>
      <c r="D5" s="10">
        <v>0.61050000000000004</v>
      </c>
      <c r="E5" s="38" t="s">
        <v>70</v>
      </c>
      <c r="F5" s="4"/>
    </row>
    <row r="6" spans="1:6" ht="26.1" customHeight="1" x14ac:dyDescent="0.25">
      <c r="A6" s="48"/>
      <c r="B6" s="49" t="s">
        <v>7</v>
      </c>
      <c r="C6" s="5" t="s">
        <v>8</v>
      </c>
      <c r="D6" s="11" t="s">
        <v>54</v>
      </c>
      <c r="E6" s="39" t="s">
        <v>10</v>
      </c>
      <c r="F6" s="4"/>
    </row>
    <row r="7" spans="1:6" ht="26.1" customHeight="1" x14ac:dyDescent="0.25">
      <c r="A7" s="48"/>
      <c r="B7" s="49"/>
      <c r="C7" s="5" t="s">
        <v>11</v>
      </c>
      <c r="D7" s="11" t="s">
        <v>9</v>
      </c>
      <c r="E7" s="39" t="s">
        <v>13</v>
      </c>
      <c r="F7" s="4"/>
    </row>
    <row r="8" spans="1:6" ht="26.25" x14ac:dyDescent="0.25">
      <c r="A8" s="48"/>
      <c r="B8" s="49"/>
      <c r="C8" s="5" t="s">
        <v>14</v>
      </c>
      <c r="D8" s="11" t="s">
        <v>78</v>
      </c>
      <c r="E8" s="39" t="s">
        <v>77</v>
      </c>
      <c r="F8" s="12"/>
    </row>
    <row r="9" spans="1:6" ht="26.1" customHeight="1" x14ac:dyDescent="0.25">
      <c r="A9" s="50" t="s">
        <v>15</v>
      </c>
      <c r="B9" s="51" t="s">
        <v>16</v>
      </c>
      <c r="C9" s="13" t="s">
        <v>17</v>
      </c>
      <c r="D9" s="14">
        <f>IF((D6&lt;&gt;D7)*AND(D8="SIM"),0.04,INDEX('Tabela ICMS'!C3:AC29,MATCH(D6,'Tabela ICMS'!B3:B29,0),MATCH(D7,'Tabela ICMS'!C2:AC2,0)))</f>
        <v>0.12</v>
      </c>
      <c r="E9" s="40" t="s">
        <v>18</v>
      </c>
      <c r="F9" s="4"/>
    </row>
    <row r="10" spans="1:6" ht="26.1" customHeight="1" x14ac:dyDescent="0.25">
      <c r="A10" s="50"/>
      <c r="B10" s="51"/>
      <c r="C10" s="15" t="s">
        <v>19</v>
      </c>
      <c r="D10" s="16">
        <f>INDEX('Tabela ICMS'!C3:AC29,MATCH(D7,'Tabela ICMS'!B3:B29,0),MATCH(D7,'Tabela ICMS'!C2:AC2,0))</f>
        <v>0.19</v>
      </c>
      <c r="E10" s="41" t="s">
        <v>20</v>
      </c>
      <c r="F10" s="4"/>
    </row>
    <row r="11" spans="1:6" ht="26.1" customHeight="1" x14ac:dyDescent="0.25">
      <c r="A11" s="50"/>
      <c r="B11" s="44" t="s">
        <v>68</v>
      </c>
      <c r="C11" s="17" t="s">
        <v>69</v>
      </c>
      <c r="D11" s="36">
        <f>((1+D5)*(1-D9)/(1-D10))-1</f>
        <v>0.74967901234567891</v>
      </c>
      <c r="E11" s="42" t="s">
        <v>71</v>
      </c>
      <c r="F11" s="4"/>
    </row>
    <row r="12" spans="1:6" ht="26.1" customHeight="1" x14ac:dyDescent="0.25">
      <c r="A12" s="50"/>
      <c r="B12" s="51" t="s">
        <v>21</v>
      </c>
      <c r="C12" s="17" t="s">
        <v>22</v>
      </c>
      <c r="D12" s="18">
        <f>(D2*D3)</f>
        <v>7807.94</v>
      </c>
      <c r="E12" s="42" t="s">
        <v>23</v>
      </c>
      <c r="F12" s="4"/>
    </row>
    <row r="13" spans="1:6" ht="26.1" customHeight="1" x14ac:dyDescent="0.25">
      <c r="A13" s="50"/>
      <c r="B13" s="51"/>
      <c r="C13" s="17" t="s">
        <v>24</v>
      </c>
      <c r="D13" s="18">
        <f>D12*D4</f>
        <v>330.11970319999995</v>
      </c>
      <c r="E13" s="42" t="s">
        <v>25</v>
      </c>
      <c r="F13" s="4"/>
    </row>
    <row r="14" spans="1:6" ht="26.1" customHeight="1" x14ac:dyDescent="0.25">
      <c r="A14" s="50"/>
      <c r="B14" s="51"/>
      <c r="C14" s="17" t="s">
        <v>26</v>
      </c>
      <c r="D14" s="18">
        <f>D12+D13</f>
        <v>8138.0597031999996</v>
      </c>
      <c r="E14" s="42" t="s">
        <v>27</v>
      </c>
      <c r="F14" s="4"/>
    </row>
    <row r="15" spans="1:6" ht="26.1" customHeight="1" x14ac:dyDescent="0.25">
      <c r="A15" s="50"/>
      <c r="B15" s="51"/>
      <c r="C15" s="17" t="s">
        <v>28</v>
      </c>
      <c r="D15" s="18">
        <f>D12*D9</f>
        <v>936.95279999999991</v>
      </c>
      <c r="E15" s="42" t="s">
        <v>29</v>
      </c>
      <c r="F15" s="4"/>
    </row>
    <row r="16" spans="1:6" ht="26.1" customHeight="1" x14ac:dyDescent="0.25">
      <c r="A16" s="50"/>
      <c r="B16" s="51"/>
      <c r="C16" s="17" t="s">
        <v>30</v>
      </c>
      <c r="D16" s="18">
        <f>(D14*D11)</f>
        <v>6100.9325607051442</v>
      </c>
      <c r="E16" s="42" t="s">
        <v>31</v>
      </c>
      <c r="F16" s="4"/>
    </row>
    <row r="17" spans="1:6" ht="26.1" customHeight="1" x14ac:dyDescent="0.25">
      <c r="A17" s="50"/>
      <c r="B17" s="51"/>
      <c r="C17" s="17" t="s">
        <v>32</v>
      </c>
      <c r="D17" s="18">
        <f>D14+D16</f>
        <v>14238.992263905144</v>
      </c>
      <c r="E17" s="42" t="s">
        <v>33</v>
      </c>
      <c r="F17" s="4"/>
    </row>
    <row r="18" spans="1:6" ht="26.1" customHeight="1" x14ac:dyDescent="0.25">
      <c r="A18" s="50"/>
      <c r="B18" s="51"/>
      <c r="C18" s="17" t="s">
        <v>34</v>
      </c>
      <c r="D18" s="19">
        <f>D17*D10</f>
        <v>2705.4085301419773</v>
      </c>
      <c r="E18" s="42" t="s">
        <v>35</v>
      </c>
      <c r="F18" s="4"/>
    </row>
    <row r="19" spans="1:6" ht="26.1" customHeight="1" x14ac:dyDescent="0.25">
      <c r="A19" s="50"/>
      <c r="B19" s="51"/>
      <c r="C19" s="17" t="s">
        <v>36</v>
      </c>
      <c r="D19" s="18">
        <f>D18-D15</f>
        <v>1768.4557301419773</v>
      </c>
      <c r="E19" s="42" t="s">
        <v>37</v>
      </c>
      <c r="F19" s="4"/>
    </row>
    <row r="20" spans="1:6" ht="26.1" customHeight="1" x14ac:dyDescent="0.25">
      <c r="A20" s="50"/>
      <c r="B20" s="51"/>
      <c r="C20" s="15" t="s">
        <v>38</v>
      </c>
      <c r="D20" s="20">
        <f>D14+D19</f>
        <v>9906.5154333419778</v>
      </c>
      <c r="E20" s="41" t="s">
        <v>39</v>
      </c>
      <c r="F20" s="4"/>
    </row>
    <row r="22" spans="1:6" ht="24" customHeight="1" x14ac:dyDescent="0.2">
      <c r="A22" s="46" t="s">
        <v>74</v>
      </c>
      <c r="B22" s="46"/>
      <c r="C22" s="45" t="s">
        <v>73</v>
      </c>
      <c r="D22" s="45"/>
      <c r="E22" s="45"/>
    </row>
    <row r="23" spans="1:6" ht="24" customHeight="1" x14ac:dyDescent="0.2">
      <c r="A23" s="46"/>
      <c r="B23" s="46"/>
      <c r="C23" s="45"/>
      <c r="D23" s="45"/>
      <c r="E23" s="45"/>
    </row>
  </sheetData>
  <mergeCells count="9">
    <mergeCell ref="C22:E23"/>
    <mergeCell ref="A22:B23"/>
    <mergeCell ref="A1:E1"/>
    <mergeCell ref="A2:A8"/>
    <mergeCell ref="B2:B5"/>
    <mergeCell ref="B6:B8"/>
    <mergeCell ref="A9:A20"/>
    <mergeCell ref="B9:B10"/>
    <mergeCell ref="B12:B20"/>
  </mergeCells>
  <dataValidations count="1">
    <dataValidation type="list" operator="equal" allowBlank="1" showErrorMessage="1" sqref="D8">
      <formula1>"SIM,NÃO"</formula1>
      <formula2>0</formula2>
    </dataValidation>
  </dataValidations>
  <hyperlinks>
    <hyperlink ref="A22:E23" r:id="rId1" display="https://www.comexnfe.com.br"/>
  </hyperlinks>
  <pageMargins left="0.78749999999999998" right="0.78749999999999998" top="1.05277777777778" bottom="1.05277777777778" header="0.78749999999999998" footer="0.78749999999999998"/>
  <pageSetup paperSize="9" orientation="portrait" useFirstPageNumber="1" r:id="rId2"/>
  <headerFooter>
    <oddHeader>&amp;C&amp;"Times New Roman,Regular"&amp;12&amp;A</oddHeader>
    <oddFooter>&amp;C&amp;"Times New Roman,Regular"&amp;12Página &amp;P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>
          <x14:formula1>
            <xm:f>'Tabela ICMS'!$B$3:$B$29</xm:f>
          </x14:formula1>
          <x14:formula2>
            <xm:f>0</xm:f>
          </x14:formula2>
          <xm:sqref>D6</xm:sqref>
        </x14:dataValidation>
        <x14:dataValidation type="list" operator="equal" allowBlank="1" showErrorMessage="1">
          <x14:formula1>
            <xm:f>'Tabela ICMS'!$C$2:$AC$2</xm:f>
          </x14:formula1>
          <x14:formula2>
            <xm:f>0</xm:f>
          </x14:formula2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0"/>
  <sheetViews>
    <sheetView zoomScaleNormal="100" workbookViewId="0">
      <selection activeCell="W16" sqref="W16"/>
    </sheetView>
  </sheetViews>
  <sheetFormatPr defaultRowHeight="15" x14ac:dyDescent="0.2"/>
  <cols>
    <col min="1" max="1" width="4.5703125" style="21"/>
    <col min="2" max="2" width="4.5703125" style="22"/>
    <col min="3" max="29" width="4.5703125" style="23"/>
    <col min="30" max="1025" width="11.5703125" style="24"/>
  </cols>
  <sheetData>
    <row r="1" spans="1:34" ht="23.1" customHeight="1" x14ac:dyDescent="0.2">
      <c r="A1" s="25"/>
      <c r="B1" s="52" t="s">
        <v>40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34" ht="26.1" customHeight="1" x14ac:dyDescent="0.2">
      <c r="A2" s="53" t="s">
        <v>41</v>
      </c>
      <c r="B2" s="26"/>
      <c r="C2" s="27" t="str">
        <f>B3</f>
        <v>AC</v>
      </c>
      <c r="D2" s="27" t="str">
        <f>B4</f>
        <v>AL</v>
      </c>
      <c r="E2" s="27" t="str">
        <f>B5</f>
        <v>AM</v>
      </c>
      <c r="F2" s="27" t="str">
        <f>B6</f>
        <v>AP</v>
      </c>
      <c r="G2" s="27" t="str">
        <f>B7</f>
        <v>BA</v>
      </c>
      <c r="H2" s="27" t="str">
        <f>B8</f>
        <v>CE</v>
      </c>
      <c r="I2" s="27" t="str">
        <f>B9</f>
        <v>DF</v>
      </c>
      <c r="J2" s="27" t="str">
        <f>B10</f>
        <v>ES</v>
      </c>
      <c r="K2" s="27" t="str">
        <f>B11</f>
        <v>GO</v>
      </c>
      <c r="L2" s="27" t="str">
        <f>B12</f>
        <v>MA</v>
      </c>
      <c r="M2" s="27" t="str">
        <f>B13</f>
        <v>MT</v>
      </c>
      <c r="N2" s="27" t="str">
        <f>B14</f>
        <v>MS</v>
      </c>
      <c r="O2" s="27" t="str">
        <f>B15</f>
        <v>MG</v>
      </c>
      <c r="P2" s="27" t="str">
        <f>B16</f>
        <v>PA</v>
      </c>
      <c r="Q2" s="27" t="str">
        <f>B17</f>
        <v>PB</v>
      </c>
      <c r="R2" s="27" t="str">
        <f>B18</f>
        <v>PR</v>
      </c>
      <c r="S2" s="27" t="str">
        <f>B19</f>
        <v>PE</v>
      </c>
      <c r="T2" s="27" t="str">
        <f>B20</f>
        <v>PI</v>
      </c>
      <c r="U2" s="27" t="str">
        <f>B21</f>
        <v>RN</v>
      </c>
      <c r="V2" s="27" t="str">
        <f>B22</f>
        <v>RS</v>
      </c>
      <c r="W2" s="27" t="str">
        <f>B23</f>
        <v>RJ</v>
      </c>
      <c r="X2" s="27" t="str">
        <f>B24</f>
        <v>RO</v>
      </c>
      <c r="Y2" s="27" t="str">
        <f>B25</f>
        <v>RR</v>
      </c>
      <c r="Z2" s="27" t="str">
        <f>B26</f>
        <v>SC</v>
      </c>
      <c r="AA2" s="27" t="str">
        <f>B27</f>
        <v>SP</v>
      </c>
      <c r="AB2" s="27" t="str">
        <f>B28</f>
        <v>SE</v>
      </c>
      <c r="AC2" s="28" t="str">
        <f>B29</f>
        <v>TO</v>
      </c>
    </row>
    <row r="3" spans="1:34" ht="26.1" customHeight="1" x14ac:dyDescent="0.2">
      <c r="A3" s="53"/>
      <c r="B3" s="27" t="s">
        <v>42</v>
      </c>
      <c r="C3" s="29">
        <v>0.17</v>
      </c>
      <c r="D3" s="30">
        <v>0.12</v>
      </c>
      <c r="E3" s="30">
        <v>0.12</v>
      </c>
      <c r="F3" s="30">
        <v>0.12</v>
      </c>
      <c r="G3" s="30">
        <v>0.12</v>
      </c>
      <c r="H3" s="30">
        <v>0.12</v>
      </c>
      <c r="I3" s="30">
        <v>0.12</v>
      </c>
      <c r="J3" s="30">
        <v>0.12</v>
      </c>
      <c r="K3" s="30">
        <v>0.12</v>
      </c>
      <c r="L3" s="30">
        <v>0.12</v>
      </c>
      <c r="M3" s="30">
        <v>0.12</v>
      </c>
      <c r="N3" s="30">
        <v>0.12</v>
      </c>
      <c r="O3" s="30">
        <v>0.12</v>
      </c>
      <c r="P3" s="30">
        <v>0.12</v>
      </c>
      <c r="Q3" s="30">
        <v>0.12</v>
      </c>
      <c r="R3" s="30">
        <v>0.12</v>
      </c>
      <c r="S3" s="30">
        <v>0.12</v>
      </c>
      <c r="T3" s="30">
        <v>0.12</v>
      </c>
      <c r="U3" s="30">
        <v>0.12</v>
      </c>
      <c r="V3" s="30">
        <v>0.12</v>
      </c>
      <c r="W3" s="30">
        <v>0.12</v>
      </c>
      <c r="X3" s="30">
        <v>0.12</v>
      </c>
      <c r="Y3" s="30">
        <v>0.12</v>
      </c>
      <c r="Z3" s="30">
        <v>0.12</v>
      </c>
      <c r="AA3" s="30">
        <v>0.12</v>
      </c>
      <c r="AB3" s="30">
        <v>0.12</v>
      </c>
      <c r="AC3" s="31">
        <v>0.12</v>
      </c>
    </row>
    <row r="4" spans="1:34" ht="26.1" customHeight="1" x14ac:dyDescent="0.2">
      <c r="A4" s="53"/>
      <c r="B4" s="27" t="s">
        <v>43</v>
      </c>
      <c r="C4" s="30">
        <v>0.12</v>
      </c>
      <c r="D4" s="29">
        <v>0.17</v>
      </c>
      <c r="E4" s="30">
        <v>0.12</v>
      </c>
      <c r="F4" s="30">
        <v>0.12</v>
      </c>
      <c r="G4" s="30">
        <v>0.12</v>
      </c>
      <c r="H4" s="30">
        <v>0.12</v>
      </c>
      <c r="I4" s="30">
        <v>0.12</v>
      </c>
      <c r="J4" s="30">
        <v>0.12</v>
      </c>
      <c r="K4" s="30">
        <v>0.12</v>
      </c>
      <c r="L4" s="30">
        <v>0.12</v>
      </c>
      <c r="M4" s="30">
        <v>0.12</v>
      </c>
      <c r="N4" s="30">
        <v>0.12</v>
      </c>
      <c r="O4" s="30">
        <v>0.12</v>
      </c>
      <c r="P4" s="30">
        <v>0.12</v>
      </c>
      <c r="Q4" s="30">
        <v>0.12</v>
      </c>
      <c r="R4" s="30">
        <v>0.12</v>
      </c>
      <c r="S4" s="30">
        <v>0.12</v>
      </c>
      <c r="T4" s="30">
        <v>0.12</v>
      </c>
      <c r="U4" s="30">
        <v>0.12</v>
      </c>
      <c r="V4" s="30">
        <v>0.12</v>
      </c>
      <c r="W4" s="30">
        <v>0.12</v>
      </c>
      <c r="X4" s="30">
        <v>0.12</v>
      </c>
      <c r="Y4" s="30">
        <v>0.12</v>
      </c>
      <c r="Z4" s="30">
        <v>0.12</v>
      </c>
      <c r="AA4" s="30">
        <v>0.12</v>
      </c>
      <c r="AB4" s="30">
        <v>0.12</v>
      </c>
      <c r="AC4" s="31">
        <v>0.12</v>
      </c>
    </row>
    <row r="5" spans="1:34" ht="26.1" customHeight="1" x14ac:dyDescent="0.2">
      <c r="A5" s="53"/>
      <c r="B5" s="27" t="s">
        <v>44</v>
      </c>
      <c r="C5" s="30">
        <v>0.12</v>
      </c>
      <c r="D5" s="30">
        <v>0.12</v>
      </c>
      <c r="E5" s="29">
        <v>0.17</v>
      </c>
      <c r="F5" s="30">
        <v>0.12</v>
      </c>
      <c r="G5" s="30">
        <v>0.12</v>
      </c>
      <c r="H5" s="30">
        <v>0.12</v>
      </c>
      <c r="I5" s="30">
        <v>0.12</v>
      </c>
      <c r="J5" s="30">
        <v>0.12</v>
      </c>
      <c r="K5" s="30">
        <v>0.12</v>
      </c>
      <c r="L5" s="30">
        <v>0.12</v>
      </c>
      <c r="M5" s="30">
        <v>0.12</v>
      </c>
      <c r="N5" s="30">
        <v>0.12</v>
      </c>
      <c r="O5" s="30">
        <v>0.12</v>
      </c>
      <c r="P5" s="30">
        <v>0.12</v>
      </c>
      <c r="Q5" s="30">
        <v>0.12</v>
      </c>
      <c r="R5" s="30">
        <v>0.12</v>
      </c>
      <c r="S5" s="30">
        <v>0.12</v>
      </c>
      <c r="T5" s="30">
        <v>0.12</v>
      </c>
      <c r="U5" s="30">
        <v>0.12</v>
      </c>
      <c r="V5" s="30">
        <v>0.12</v>
      </c>
      <c r="W5" s="30">
        <v>0.12</v>
      </c>
      <c r="X5" s="30">
        <v>0.12</v>
      </c>
      <c r="Y5" s="30">
        <v>0.12</v>
      </c>
      <c r="Z5" s="30">
        <v>0.12</v>
      </c>
      <c r="AA5" s="30">
        <v>0.12</v>
      </c>
      <c r="AB5" s="30">
        <v>0.12</v>
      </c>
      <c r="AC5" s="31">
        <v>0.12</v>
      </c>
    </row>
    <row r="6" spans="1:34" ht="26.1" customHeight="1" x14ac:dyDescent="0.2">
      <c r="A6" s="53"/>
      <c r="B6" s="27" t="s">
        <v>45</v>
      </c>
      <c r="C6" s="30">
        <v>0.12</v>
      </c>
      <c r="D6" s="30">
        <v>0.12</v>
      </c>
      <c r="E6" s="30">
        <v>0.12</v>
      </c>
      <c r="F6" s="29">
        <v>0.17</v>
      </c>
      <c r="G6" s="30">
        <v>0.12</v>
      </c>
      <c r="H6" s="30">
        <v>0.12</v>
      </c>
      <c r="I6" s="30">
        <v>0.12</v>
      </c>
      <c r="J6" s="30">
        <v>0.12</v>
      </c>
      <c r="K6" s="30">
        <v>0.12</v>
      </c>
      <c r="L6" s="30">
        <v>0.12</v>
      </c>
      <c r="M6" s="30">
        <v>0.12</v>
      </c>
      <c r="N6" s="30">
        <v>0.12</v>
      </c>
      <c r="O6" s="30">
        <v>0.12</v>
      </c>
      <c r="P6" s="30">
        <v>0.12</v>
      </c>
      <c r="Q6" s="30">
        <v>0.12</v>
      </c>
      <c r="R6" s="30">
        <v>0.12</v>
      </c>
      <c r="S6" s="30">
        <v>0.12</v>
      </c>
      <c r="T6" s="30">
        <v>0.12</v>
      </c>
      <c r="U6" s="30">
        <v>0.12</v>
      </c>
      <c r="V6" s="30">
        <v>0.12</v>
      </c>
      <c r="W6" s="30">
        <v>0.12</v>
      </c>
      <c r="X6" s="30">
        <v>0.12</v>
      </c>
      <c r="Y6" s="30">
        <v>0.12</v>
      </c>
      <c r="Z6" s="30">
        <v>0.12</v>
      </c>
      <c r="AA6" s="30">
        <v>0.12</v>
      </c>
      <c r="AB6" s="30">
        <v>0.12</v>
      </c>
      <c r="AC6" s="31">
        <v>0.12</v>
      </c>
      <c r="AF6" s="32"/>
      <c r="AH6"/>
    </row>
    <row r="7" spans="1:34" ht="26.1" customHeight="1" x14ac:dyDescent="0.2">
      <c r="A7" s="53"/>
      <c r="B7" s="27" t="s">
        <v>46</v>
      </c>
      <c r="C7" s="30">
        <v>0.12</v>
      </c>
      <c r="D7" s="30">
        <v>0.12</v>
      </c>
      <c r="E7" s="30">
        <v>0.12</v>
      </c>
      <c r="F7" s="30">
        <v>0.12</v>
      </c>
      <c r="G7" s="29">
        <v>0.17</v>
      </c>
      <c r="H7" s="30">
        <v>0.12</v>
      </c>
      <c r="I7" s="30">
        <v>0.12</v>
      </c>
      <c r="J7" s="30">
        <v>0.12</v>
      </c>
      <c r="K7" s="30">
        <v>0.12</v>
      </c>
      <c r="L7" s="30">
        <v>0.12</v>
      </c>
      <c r="M7" s="30">
        <v>0.12</v>
      </c>
      <c r="N7" s="30">
        <v>0.12</v>
      </c>
      <c r="O7" s="30">
        <v>0.12</v>
      </c>
      <c r="P7" s="30">
        <v>0.12</v>
      </c>
      <c r="Q7" s="30">
        <v>0.12</v>
      </c>
      <c r="R7" s="30">
        <v>0.12</v>
      </c>
      <c r="S7" s="30">
        <v>0.12</v>
      </c>
      <c r="T7" s="30">
        <v>0.12</v>
      </c>
      <c r="U7" s="30">
        <v>0.12</v>
      </c>
      <c r="V7" s="30">
        <v>0.12</v>
      </c>
      <c r="W7" s="30">
        <v>0.12</v>
      </c>
      <c r="X7" s="30">
        <v>0.12</v>
      </c>
      <c r="Y7" s="30">
        <v>0.12</v>
      </c>
      <c r="Z7" s="30">
        <v>0.12</v>
      </c>
      <c r="AA7" s="30">
        <v>0.12</v>
      </c>
      <c r="AB7" s="30">
        <v>0.12</v>
      </c>
      <c r="AC7" s="31">
        <v>0.12</v>
      </c>
      <c r="AF7" s="33"/>
    </row>
    <row r="8" spans="1:34" ht="26.1" customHeight="1" x14ac:dyDescent="0.2">
      <c r="A8" s="53"/>
      <c r="B8" s="27" t="s">
        <v>47</v>
      </c>
      <c r="C8" s="30">
        <v>0.12</v>
      </c>
      <c r="D8" s="30">
        <v>0.12</v>
      </c>
      <c r="E8" s="30">
        <v>0.12</v>
      </c>
      <c r="F8" s="30">
        <v>0.12</v>
      </c>
      <c r="G8" s="30">
        <v>0.12</v>
      </c>
      <c r="H8" s="29">
        <v>0.17</v>
      </c>
      <c r="I8" s="30">
        <v>0.12</v>
      </c>
      <c r="J8" s="30">
        <v>0.12</v>
      </c>
      <c r="K8" s="30">
        <v>0.12</v>
      </c>
      <c r="L8" s="30">
        <v>0.12</v>
      </c>
      <c r="M8" s="30">
        <v>0.12</v>
      </c>
      <c r="N8" s="30">
        <v>0.12</v>
      </c>
      <c r="O8" s="30">
        <v>0.12</v>
      </c>
      <c r="P8" s="30">
        <v>0.12</v>
      </c>
      <c r="Q8" s="30">
        <v>0.12</v>
      </c>
      <c r="R8" s="30">
        <v>0.12</v>
      </c>
      <c r="S8" s="30">
        <v>0.12</v>
      </c>
      <c r="T8" s="30">
        <v>0.12</v>
      </c>
      <c r="U8" s="30">
        <v>0.12</v>
      </c>
      <c r="V8" s="30">
        <v>0.12</v>
      </c>
      <c r="W8" s="30">
        <v>0.12</v>
      </c>
      <c r="X8" s="30">
        <v>0.12</v>
      </c>
      <c r="Y8" s="30">
        <v>0.12</v>
      </c>
      <c r="Z8" s="30">
        <v>0.12</v>
      </c>
      <c r="AA8" s="30">
        <v>0.12</v>
      </c>
      <c r="AB8" s="30">
        <v>0.12</v>
      </c>
      <c r="AC8" s="31">
        <v>0.12</v>
      </c>
    </row>
    <row r="9" spans="1:34" ht="26.1" customHeight="1" x14ac:dyDescent="0.2">
      <c r="A9" s="53"/>
      <c r="B9" s="27" t="s">
        <v>48</v>
      </c>
      <c r="C9" s="30">
        <v>0.12</v>
      </c>
      <c r="D9" s="30">
        <v>0.12</v>
      </c>
      <c r="E9" s="30">
        <v>0.12</v>
      </c>
      <c r="F9" s="30">
        <v>0.12</v>
      </c>
      <c r="G9" s="30">
        <v>0.12</v>
      </c>
      <c r="H9" s="30">
        <v>0.12</v>
      </c>
      <c r="I9" s="29">
        <v>0.17</v>
      </c>
      <c r="J9" s="30">
        <v>0.12</v>
      </c>
      <c r="K9" s="30">
        <v>0.12</v>
      </c>
      <c r="L9" s="30">
        <v>0.12</v>
      </c>
      <c r="M9" s="30">
        <v>0.12</v>
      </c>
      <c r="N9" s="30">
        <v>0.12</v>
      </c>
      <c r="O9" s="30">
        <v>0.12</v>
      </c>
      <c r="P9" s="30">
        <v>0.12</v>
      </c>
      <c r="Q9" s="30">
        <v>0.12</v>
      </c>
      <c r="R9" s="30">
        <v>0.12</v>
      </c>
      <c r="S9" s="30">
        <v>0.12</v>
      </c>
      <c r="T9" s="30">
        <v>0.12</v>
      </c>
      <c r="U9" s="30">
        <v>0.12</v>
      </c>
      <c r="V9" s="30">
        <v>0.12</v>
      </c>
      <c r="W9" s="30">
        <v>0.12</v>
      </c>
      <c r="X9" s="30">
        <v>0.12</v>
      </c>
      <c r="Y9" s="30">
        <v>0.12</v>
      </c>
      <c r="Z9" s="30">
        <v>0.12</v>
      </c>
      <c r="AA9" s="30">
        <v>0.12</v>
      </c>
      <c r="AB9" s="30">
        <v>0.12</v>
      </c>
      <c r="AC9" s="31">
        <v>0.12</v>
      </c>
    </row>
    <row r="10" spans="1:34" ht="26.1" customHeight="1" x14ac:dyDescent="0.2">
      <c r="A10" s="53"/>
      <c r="B10" s="27" t="s">
        <v>49</v>
      </c>
      <c r="C10" s="30">
        <v>0.12</v>
      </c>
      <c r="D10" s="30">
        <v>0.12</v>
      </c>
      <c r="E10" s="30">
        <v>0.12</v>
      </c>
      <c r="F10" s="30">
        <v>0.12</v>
      </c>
      <c r="G10" s="30">
        <v>0.12</v>
      </c>
      <c r="H10" s="30">
        <v>0.12</v>
      </c>
      <c r="I10" s="30">
        <v>0.12</v>
      </c>
      <c r="J10" s="29">
        <v>0.17</v>
      </c>
      <c r="K10" s="30">
        <v>0.12</v>
      </c>
      <c r="L10" s="30">
        <v>0.12</v>
      </c>
      <c r="M10" s="30">
        <v>0.12</v>
      </c>
      <c r="N10" s="30">
        <v>0.12</v>
      </c>
      <c r="O10" s="30">
        <v>0.12</v>
      </c>
      <c r="P10" s="30">
        <v>0.12</v>
      </c>
      <c r="Q10" s="30">
        <v>0.12</v>
      </c>
      <c r="R10" s="30">
        <v>0.12</v>
      </c>
      <c r="S10" s="30">
        <v>0.12</v>
      </c>
      <c r="T10" s="30">
        <v>0.12</v>
      </c>
      <c r="U10" s="30">
        <v>0.12</v>
      </c>
      <c r="V10" s="30">
        <v>0.12</v>
      </c>
      <c r="W10" s="30">
        <v>0.12</v>
      </c>
      <c r="X10" s="30">
        <v>0.12</v>
      </c>
      <c r="Y10" s="30">
        <v>0.12</v>
      </c>
      <c r="Z10" s="30">
        <v>0.12</v>
      </c>
      <c r="AA10" s="30">
        <v>0.12</v>
      </c>
      <c r="AB10" s="30">
        <v>0.12</v>
      </c>
      <c r="AC10" s="31">
        <v>0.12</v>
      </c>
    </row>
    <row r="11" spans="1:34" ht="26.1" customHeight="1" x14ac:dyDescent="0.2">
      <c r="A11" s="53"/>
      <c r="B11" s="27" t="s">
        <v>50</v>
      </c>
      <c r="C11" s="30">
        <v>0.12</v>
      </c>
      <c r="D11" s="30">
        <v>0.12</v>
      </c>
      <c r="E11" s="30">
        <v>0.12</v>
      </c>
      <c r="F11" s="30">
        <v>0.12</v>
      </c>
      <c r="G11" s="30">
        <v>0.12</v>
      </c>
      <c r="H11" s="30">
        <v>0.12</v>
      </c>
      <c r="I11" s="30">
        <v>0.12</v>
      </c>
      <c r="J11" s="30">
        <v>0.12</v>
      </c>
      <c r="K11" s="29">
        <v>0.17</v>
      </c>
      <c r="L11" s="30">
        <v>0.12</v>
      </c>
      <c r="M11" s="30">
        <v>0.12</v>
      </c>
      <c r="N11" s="30">
        <v>0.12</v>
      </c>
      <c r="O11" s="30">
        <v>0.12</v>
      </c>
      <c r="P11" s="30">
        <v>0.12</v>
      </c>
      <c r="Q11" s="30">
        <v>0.12</v>
      </c>
      <c r="R11" s="30">
        <v>0.12</v>
      </c>
      <c r="S11" s="30">
        <v>0.12</v>
      </c>
      <c r="T11" s="30">
        <v>0.12</v>
      </c>
      <c r="U11" s="30">
        <v>0.12</v>
      </c>
      <c r="V11" s="30">
        <v>0.12</v>
      </c>
      <c r="W11" s="30">
        <v>0.12</v>
      </c>
      <c r="X11" s="30">
        <v>0.12</v>
      </c>
      <c r="Y11" s="30">
        <v>0.12</v>
      </c>
      <c r="Z11" s="30">
        <v>0.12</v>
      </c>
      <c r="AA11" s="30">
        <v>0.12</v>
      </c>
      <c r="AB11" s="30">
        <v>0.12</v>
      </c>
      <c r="AC11" s="31">
        <v>0.12</v>
      </c>
    </row>
    <row r="12" spans="1:34" ht="26.1" customHeight="1" x14ac:dyDescent="0.2">
      <c r="A12" s="53"/>
      <c r="B12" s="27" t="s">
        <v>51</v>
      </c>
      <c r="C12" s="30">
        <v>0.12</v>
      </c>
      <c r="D12" s="30">
        <v>0.12</v>
      </c>
      <c r="E12" s="30">
        <v>0.12</v>
      </c>
      <c r="F12" s="30">
        <v>0.12</v>
      </c>
      <c r="G12" s="30">
        <v>0.12</v>
      </c>
      <c r="H12" s="30">
        <v>0.12</v>
      </c>
      <c r="I12" s="30">
        <v>0.12</v>
      </c>
      <c r="J12" s="30">
        <v>0.12</v>
      </c>
      <c r="K12" s="30">
        <v>0.12</v>
      </c>
      <c r="L12" s="29">
        <v>0.17</v>
      </c>
      <c r="M12" s="30">
        <v>0.12</v>
      </c>
      <c r="N12" s="30">
        <v>0.12</v>
      </c>
      <c r="O12" s="30">
        <v>0.12</v>
      </c>
      <c r="P12" s="30">
        <v>0.12</v>
      </c>
      <c r="Q12" s="30">
        <v>0.12</v>
      </c>
      <c r="R12" s="30">
        <v>0.12</v>
      </c>
      <c r="S12" s="30">
        <v>0.12</v>
      </c>
      <c r="T12" s="30">
        <v>0.12</v>
      </c>
      <c r="U12" s="30">
        <v>0.12</v>
      </c>
      <c r="V12" s="30">
        <v>0.12</v>
      </c>
      <c r="W12" s="30">
        <v>0.12</v>
      </c>
      <c r="X12" s="30">
        <v>0.12</v>
      </c>
      <c r="Y12" s="30">
        <v>0.12</v>
      </c>
      <c r="Z12" s="30">
        <v>0.12</v>
      </c>
      <c r="AA12" s="30">
        <v>0.12</v>
      </c>
      <c r="AB12" s="30">
        <v>0.12</v>
      </c>
      <c r="AC12" s="31">
        <v>0.12</v>
      </c>
    </row>
    <row r="13" spans="1:34" ht="26.1" customHeight="1" x14ac:dyDescent="0.2">
      <c r="A13" s="53"/>
      <c r="B13" s="27" t="s">
        <v>52</v>
      </c>
      <c r="C13" s="30">
        <v>0.12</v>
      </c>
      <c r="D13" s="30">
        <v>0.12</v>
      </c>
      <c r="E13" s="30">
        <v>0.12</v>
      </c>
      <c r="F13" s="30">
        <v>0.12</v>
      </c>
      <c r="G13" s="30">
        <v>0.12</v>
      </c>
      <c r="H13" s="30">
        <v>0.12</v>
      </c>
      <c r="I13" s="30">
        <v>0.12</v>
      </c>
      <c r="J13" s="30">
        <v>0.12</v>
      </c>
      <c r="K13" s="30">
        <v>0.12</v>
      </c>
      <c r="L13" s="30">
        <v>0.12</v>
      </c>
      <c r="M13" s="29">
        <v>0.17</v>
      </c>
      <c r="N13" s="30">
        <v>0.12</v>
      </c>
      <c r="O13" s="30">
        <v>0.12</v>
      </c>
      <c r="P13" s="30">
        <v>0.12</v>
      </c>
      <c r="Q13" s="30">
        <v>0.12</v>
      </c>
      <c r="R13" s="30">
        <v>0.12</v>
      </c>
      <c r="S13" s="30">
        <v>0.12</v>
      </c>
      <c r="T13" s="30">
        <v>0.12</v>
      </c>
      <c r="U13" s="30">
        <v>0.12</v>
      </c>
      <c r="V13" s="30">
        <v>0.12</v>
      </c>
      <c r="W13" s="30">
        <v>0.12</v>
      </c>
      <c r="X13" s="30">
        <v>0.12</v>
      </c>
      <c r="Y13" s="30">
        <v>0.12</v>
      </c>
      <c r="Z13" s="30">
        <v>0.12</v>
      </c>
      <c r="AA13" s="30">
        <v>0.12</v>
      </c>
      <c r="AB13" s="30">
        <v>0.12</v>
      </c>
      <c r="AC13" s="31">
        <v>0.12</v>
      </c>
    </row>
    <row r="14" spans="1:34" ht="26.1" customHeight="1" x14ac:dyDescent="0.2">
      <c r="A14" s="53"/>
      <c r="B14" s="27" t="s">
        <v>53</v>
      </c>
      <c r="C14" s="30">
        <v>0.12</v>
      </c>
      <c r="D14" s="30">
        <v>0.12</v>
      </c>
      <c r="E14" s="30">
        <v>0.12</v>
      </c>
      <c r="F14" s="30">
        <v>0.12</v>
      </c>
      <c r="G14" s="30">
        <v>0.12</v>
      </c>
      <c r="H14" s="30">
        <v>0.12</v>
      </c>
      <c r="I14" s="30">
        <v>0.12</v>
      </c>
      <c r="J14" s="30">
        <v>0.12</v>
      </c>
      <c r="K14" s="30">
        <v>0.12</v>
      </c>
      <c r="L14" s="30">
        <v>0.12</v>
      </c>
      <c r="M14" s="30">
        <v>0.12</v>
      </c>
      <c r="N14" s="29">
        <v>0.17</v>
      </c>
      <c r="O14" s="30">
        <v>0.12</v>
      </c>
      <c r="P14" s="30">
        <v>0.12</v>
      </c>
      <c r="Q14" s="30">
        <v>0.12</v>
      </c>
      <c r="R14" s="30">
        <v>0.12</v>
      </c>
      <c r="S14" s="30">
        <v>0.12</v>
      </c>
      <c r="T14" s="30">
        <v>0.12</v>
      </c>
      <c r="U14" s="30">
        <v>0.12</v>
      </c>
      <c r="V14" s="30">
        <v>0.12</v>
      </c>
      <c r="W14" s="30">
        <v>0.12</v>
      </c>
      <c r="X14" s="30">
        <v>0.12</v>
      </c>
      <c r="Y14" s="30">
        <v>0.12</v>
      </c>
      <c r="Z14" s="30">
        <v>0.12</v>
      </c>
      <c r="AA14" s="30">
        <v>0.12</v>
      </c>
      <c r="AB14" s="30">
        <v>0.12</v>
      </c>
      <c r="AC14" s="31">
        <v>0.12</v>
      </c>
    </row>
    <row r="15" spans="1:34" ht="26.1" customHeight="1" x14ac:dyDescent="0.2">
      <c r="A15" s="53"/>
      <c r="B15" s="27" t="s">
        <v>54</v>
      </c>
      <c r="C15" s="30">
        <v>7.0000000000000007E-2</v>
      </c>
      <c r="D15" s="30">
        <v>0.12</v>
      </c>
      <c r="E15" s="30">
        <v>0.12</v>
      </c>
      <c r="F15" s="30">
        <v>0.12</v>
      </c>
      <c r="G15" s="30">
        <v>0.12</v>
      </c>
      <c r="H15" s="30">
        <v>0.12</v>
      </c>
      <c r="I15" s="30">
        <v>0.12</v>
      </c>
      <c r="J15" s="30">
        <v>0.12</v>
      </c>
      <c r="K15" s="30">
        <v>0.12</v>
      </c>
      <c r="L15" s="30">
        <v>0.12</v>
      </c>
      <c r="M15" s="30">
        <v>0.12</v>
      </c>
      <c r="N15" s="30">
        <v>0.12</v>
      </c>
      <c r="O15" s="29">
        <v>0.18</v>
      </c>
      <c r="P15" s="30">
        <v>7.0000000000000007E-2</v>
      </c>
      <c r="Q15" s="30">
        <v>7.0000000000000007E-2</v>
      </c>
      <c r="R15" s="30">
        <v>0.12</v>
      </c>
      <c r="S15" s="30">
        <v>7.0000000000000007E-2</v>
      </c>
      <c r="T15" s="30">
        <v>7.0000000000000007E-2</v>
      </c>
      <c r="U15" s="30">
        <v>7.0000000000000007E-2</v>
      </c>
      <c r="V15" s="30">
        <v>0.12</v>
      </c>
      <c r="W15" s="30">
        <v>0.12</v>
      </c>
      <c r="X15" s="30">
        <v>7.0000000000000007E-2</v>
      </c>
      <c r="Y15" s="30">
        <v>7.0000000000000007E-2</v>
      </c>
      <c r="Z15" s="30">
        <v>0.12</v>
      </c>
      <c r="AA15" s="30">
        <v>0.12</v>
      </c>
      <c r="AB15" s="30">
        <v>7.0000000000000007E-2</v>
      </c>
      <c r="AC15" s="31">
        <v>7.0000000000000007E-2</v>
      </c>
    </row>
    <row r="16" spans="1:34" ht="26.1" customHeight="1" x14ac:dyDescent="0.2">
      <c r="A16" s="53"/>
      <c r="B16" s="27" t="s">
        <v>55</v>
      </c>
      <c r="C16" s="30">
        <v>0.12</v>
      </c>
      <c r="D16" s="30">
        <v>0.12</v>
      </c>
      <c r="E16" s="30">
        <v>0.12</v>
      </c>
      <c r="F16" s="30">
        <v>0.12</v>
      </c>
      <c r="G16" s="30">
        <v>0.12</v>
      </c>
      <c r="H16" s="30">
        <v>0.12</v>
      </c>
      <c r="I16" s="30">
        <v>0.12</v>
      </c>
      <c r="J16" s="30">
        <v>0.12</v>
      </c>
      <c r="K16" s="30">
        <v>0.12</v>
      </c>
      <c r="L16" s="30">
        <v>0.12</v>
      </c>
      <c r="M16" s="30">
        <v>0.12</v>
      </c>
      <c r="N16" s="30">
        <v>0.12</v>
      </c>
      <c r="O16" s="30">
        <v>0.12</v>
      </c>
      <c r="P16" s="29">
        <v>0.17</v>
      </c>
      <c r="Q16" s="30">
        <v>0.12</v>
      </c>
      <c r="R16" s="30">
        <v>0.12</v>
      </c>
      <c r="S16" s="30">
        <v>0.12</v>
      </c>
      <c r="T16" s="30">
        <v>0.12</v>
      </c>
      <c r="U16" s="30">
        <v>0.12</v>
      </c>
      <c r="V16" s="30">
        <v>0.12</v>
      </c>
      <c r="W16" s="30">
        <v>0.12</v>
      </c>
      <c r="X16" s="30">
        <v>0.12</v>
      </c>
      <c r="Y16" s="30">
        <v>0.12</v>
      </c>
      <c r="Z16" s="30">
        <v>0.12</v>
      </c>
      <c r="AA16" s="30">
        <v>0.12</v>
      </c>
      <c r="AB16" s="30">
        <v>0.12</v>
      </c>
      <c r="AC16" s="31">
        <v>0.12</v>
      </c>
    </row>
    <row r="17" spans="1:29" ht="26.1" customHeight="1" x14ac:dyDescent="0.2">
      <c r="A17" s="53"/>
      <c r="B17" s="27" t="s">
        <v>56</v>
      </c>
      <c r="C17" s="30">
        <v>0.12</v>
      </c>
      <c r="D17" s="30">
        <v>0.12</v>
      </c>
      <c r="E17" s="30">
        <v>0.12</v>
      </c>
      <c r="F17" s="30">
        <v>0.12</v>
      </c>
      <c r="G17" s="30">
        <v>0.12</v>
      </c>
      <c r="H17" s="30">
        <v>0.12</v>
      </c>
      <c r="I17" s="30">
        <v>0.12</v>
      </c>
      <c r="J17" s="30">
        <v>0.12</v>
      </c>
      <c r="K17" s="30">
        <v>0.12</v>
      </c>
      <c r="L17" s="30">
        <v>0.12</v>
      </c>
      <c r="M17" s="30">
        <v>0.12</v>
      </c>
      <c r="N17" s="30">
        <v>0.12</v>
      </c>
      <c r="O17" s="30">
        <v>0.12</v>
      </c>
      <c r="P17" s="30">
        <v>0.12</v>
      </c>
      <c r="Q17" s="29">
        <v>0.17</v>
      </c>
      <c r="R17" s="30">
        <v>0.12</v>
      </c>
      <c r="S17" s="30">
        <v>0.12</v>
      </c>
      <c r="T17" s="30">
        <v>0.12</v>
      </c>
      <c r="U17" s="30">
        <v>0.12</v>
      </c>
      <c r="V17" s="30">
        <v>0.12</v>
      </c>
      <c r="W17" s="30">
        <v>0.12</v>
      </c>
      <c r="X17" s="30">
        <v>0.12</v>
      </c>
      <c r="Y17" s="30">
        <v>0.12</v>
      </c>
      <c r="Z17" s="30">
        <v>0.12</v>
      </c>
      <c r="AA17" s="30">
        <v>0.12</v>
      </c>
      <c r="AB17" s="30">
        <v>0.12</v>
      </c>
      <c r="AC17" s="31">
        <v>0.12</v>
      </c>
    </row>
    <row r="18" spans="1:29" ht="26.1" customHeight="1" x14ac:dyDescent="0.2">
      <c r="A18" s="53"/>
      <c r="B18" s="27" t="s">
        <v>57</v>
      </c>
      <c r="C18" s="30">
        <v>7.0000000000000007E-2</v>
      </c>
      <c r="D18" s="30">
        <v>7.0000000000000007E-2</v>
      </c>
      <c r="E18" s="30">
        <v>7.0000000000000007E-2</v>
      </c>
      <c r="F18" s="30">
        <v>7.0000000000000007E-2</v>
      </c>
      <c r="G18" s="30">
        <v>7.0000000000000007E-2</v>
      </c>
      <c r="H18" s="30">
        <v>7.0000000000000007E-2</v>
      </c>
      <c r="I18" s="30">
        <v>7.0000000000000007E-2</v>
      </c>
      <c r="J18" s="30">
        <v>7.0000000000000007E-2</v>
      </c>
      <c r="K18" s="30">
        <v>7.0000000000000007E-2</v>
      </c>
      <c r="L18" s="30">
        <v>7.0000000000000007E-2</v>
      </c>
      <c r="M18" s="30">
        <v>7.0000000000000007E-2</v>
      </c>
      <c r="N18" s="30">
        <v>7.0000000000000007E-2</v>
      </c>
      <c r="O18" s="30">
        <v>0.12</v>
      </c>
      <c r="P18" s="30">
        <v>7.0000000000000007E-2</v>
      </c>
      <c r="Q18" s="30">
        <v>7.0000000000000007E-2</v>
      </c>
      <c r="R18" s="29">
        <v>0.18</v>
      </c>
      <c r="S18" s="30">
        <v>7.0000000000000007E-2</v>
      </c>
      <c r="T18" s="30">
        <v>7.0000000000000007E-2</v>
      </c>
      <c r="U18" s="30">
        <v>7.0000000000000007E-2</v>
      </c>
      <c r="V18" s="30">
        <v>0.12</v>
      </c>
      <c r="W18" s="30">
        <v>0.12</v>
      </c>
      <c r="X18" s="30">
        <v>7.0000000000000007E-2</v>
      </c>
      <c r="Y18" s="30">
        <v>7.0000000000000007E-2</v>
      </c>
      <c r="Z18" s="30">
        <v>0.12</v>
      </c>
      <c r="AA18" s="30">
        <v>0.12</v>
      </c>
      <c r="AB18" s="30">
        <v>7.0000000000000007E-2</v>
      </c>
      <c r="AC18" s="31">
        <v>7.0000000000000007E-2</v>
      </c>
    </row>
    <row r="19" spans="1:29" ht="26.1" customHeight="1" x14ac:dyDescent="0.2">
      <c r="A19" s="53"/>
      <c r="B19" s="27" t="s">
        <v>58</v>
      </c>
      <c r="C19" s="30">
        <v>0.12</v>
      </c>
      <c r="D19" s="30">
        <v>0.12</v>
      </c>
      <c r="E19" s="30">
        <v>0.12</v>
      </c>
      <c r="F19" s="30">
        <v>0.12</v>
      </c>
      <c r="G19" s="30">
        <v>0.12</v>
      </c>
      <c r="H19" s="30">
        <v>0.12</v>
      </c>
      <c r="I19" s="30">
        <v>0.12</v>
      </c>
      <c r="J19" s="30">
        <v>0.12</v>
      </c>
      <c r="K19" s="30">
        <v>0.12</v>
      </c>
      <c r="L19" s="30">
        <v>0.12</v>
      </c>
      <c r="M19" s="30">
        <v>0.12</v>
      </c>
      <c r="N19" s="30">
        <v>0.12</v>
      </c>
      <c r="O19" s="30">
        <v>0.12</v>
      </c>
      <c r="P19" s="30">
        <v>0.12</v>
      </c>
      <c r="Q19" s="30">
        <v>0.12</v>
      </c>
      <c r="R19" s="30">
        <v>0.12</v>
      </c>
      <c r="S19" s="29">
        <v>0.17</v>
      </c>
      <c r="T19" s="30">
        <v>0.12</v>
      </c>
      <c r="U19" s="30">
        <v>0.12</v>
      </c>
      <c r="V19" s="30">
        <v>0.12</v>
      </c>
      <c r="W19" s="30">
        <v>0.12</v>
      </c>
      <c r="X19" s="30">
        <v>0.12</v>
      </c>
      <c r="Y19" s="30">
        <v>0.12</v>
      </c>
      <c r="Z19" s="30">
        <v>0.12</v>
      </c>
      <c r="AA19" s="30">
        <v>0.12</v>
      </c>
      <c r="AB19" s="30">
        <v>0.12</v>
      </c>
      <c r="AC19" s="31">
        <v>0.12</v>
      </c>
    </row>
    <row r="20" spans="1:29" ht="26.1" customHeight="1" x14ac:dyDescent="0.2">
      <c r="A20" s="53"/>
      <c r="B20" s="27" t="s">
        <v>59</v>
      </c>
      <c r="C20" s="30">
        <v>0.12</v>
      </c>
      <c r="D20" s="30">
        <v>0.12</v>
      </c>
      <c r="E20" s="30">
        <v>0.12</v>
      </c>
      <c r="F20" s="30">
        <v>0.12</v>
      </c>
      <c r="G20" s="30">
        <v>0.12</v>
      </c>
      <c r="H20" s="30">
        <v>0.12</v>
      </c>
      <c r="I20" s="30">
        <v>0.12</v>
      </c>
      <c r="J20" s="30">
        <v>0.12</v>
      </c>
      <c r="K20" s="30">
        <v>0.12</v>
      </c>
      <c r="L20" s="30">
        <v>0.12</v>
      </c>
      <c r="M20" s="30">
        <v>0.12</v>
      </c>
      <c r="N20" s="30">
        <v>0.12</v>
      </c>
      <c r="O20" s="30">
        <v>0.12</v>
      </c>
      <c r="P20" s="30">
        <v>0.12</v>
      </c>
      <c r="Q20" s="30">
        <v>0.12</v>
      </c>
      <c r="R20" s="30">
        <v>0.12</v>
      </c>
      <c r="S20" s="30">
        <v>0.12</v>
      </c>
      <c r="T20" s="29">
        <v>0.17</v>
      </c>
      <c r="U20" s="30">
        <v>0.12</v>
      </c>
      <c r="V20" s="30">
        <v>0.12</v>
      </c>
      <c r="W20" s="30">
        <v>0.12</v>
      </c>
      <c r="X20" s="30">
        <v>0.12</v>
      </c>
      <c r="Y20" s="30">
        <v>0.12</v>
      </c>
      <c r="Z20" s="30">
        <v>0.12</v>
      </c>
      <c r="AA20" s="30">
        <v>0.12</v>
      </c>
      <c r="AB20" s="30">
        <v>0.12</v>
      </c>
      <c r="AC20" s="31">
        <v>0.12</v>
      </c>
    </row>
    <row r="21" spans="1:29" ht="26.1" customHeight="1" x14ac:dyDescent="0.2">
      <c r="A21" s="53"/>
      <c r="B21" s="27" t="s">
        <v>60</v>
      </c>
      <c r="C21" s="30">
        <v>0.12</v>
      </c>
      <c r="D21" s="30">
        <v>0.12</v>
      </c>
      <c r="E21" s="30">
        <v>0.12</v>
      </c>
      <c r="F21" s="30">
        <v>0.12</v>
      </c>
      <c r="G21" s="30">
        <v>0.12</v>
      </c>
      <c r="H21" s="30">
        <v>0.12</v>
      </c>
      <c r="I21" s="30">
        <v>0.12</v>
      </c>
      <c r="J21" s="30">
        <v>0.12</v>
      </c>
      <c r="K21" s="30">
        <v>0.12</v>
      </c>
      <c r="L21" s="30">
        <v>0.12</v>
      </c>
      <c r="M21" s="30">
        <v>0.12</v>
      </c>
      <c r="N21" s="30">
        <v>0.12</v>
      </c>
      <c r="O21" s="30">
        <v>0.12</v>
      </c>
      <c r="P21" s="30">
        <v>0.12</v>
      </c>
      <c r="Q21" s="30">
        <v>0.12</v>
      </c>
      <c r="R21" s="30">
        <v>0.12</v>
      </c>
      <c r="S21" s="30">
        <v>0.12</v>
      </c>
      <c r="T21" s="30">
        <v>0.12</v>
      </c>
      <c r="U21" s="29">
        <v>0.17</v>
      </c>
      <c r="V21" s="30">
        <v>0.12</v>
      </c>
      <c r="W21" s="30">
        <v>0.12</v>
      </c>
      <c r="X21" s="30">
        <v>0.12</v>
      </c>
      <c r="Y21" s="30">
        <v>0.12</v>
      </c>
      <c r="Z21" s="30">
        <v>0.12</v>
      </c>
      <c r="AA21" s="30">
        <v>0.12</v>
      </c>
      <c r="AB21" s="30">
        <v>0.12</v>
      </c>
      <c r="AC21" s="31">
        <v>0.12</v>
      </c>
    </row>
    <row r="22" spans="1:29" ht="26.1" customHeight="1" x14ac:dyDescent="0.2">
      <c r="A22" s="53"/>
      <c r="B22" s="27" t="s">
        <v>61</v>
      </c>
      <c r="C22" s="30">
        <v>7.0000000000000007E-2</v>
      </c>
      <c r="D22" s="30">
        <v>7.0000000000000007E-2</v>
      </c>
      <c r="E22" s="30">
        <v>7.0000000000000007E-2</v>
      </c>
      <c r="F22" s="30">
        <v>7.0000000000000007E-2</v>
      </c>
      <c r="G22" s="30">
        <v>7.0000000000000007E-2</v>
      </c>
      <c r="H22" s="30">
        <v>7.0000000000000007E-2</v>
      </c>
      <c r="I22" s="30">
        <v>7.0000000000000007E-2</v>
      </c>
      <c r="J22" s="30">
        <v>7.0000000000000007E-2</v>
      </c>
      <c r="K22" s="30">
        <v>7.0000000000000007E-2</v>
      </c>
      <c r="L22" s="30">
        <v>7.0000000000000007E-2</v>
      </c>
      <c r="M22" s="30">
        <v>7.0000000000000007E-2</v>
      </c>
      <c r="N22" s="30">
        <v>7.0000000000000007E-2</v>
      </c>
      <c r="O22" s="30">
        <v>0.12</v>
      </c>
      <c r="P22" s="30">
        <v>7.0000000000000007E-2</v>
      </c>
      <c r="Q22" s="30">
        <v>7.0000000000000007E-2</v>
      </c>
      <c r="R22" s="30">
        <v>0.12</v>
      </c>
      <c r="S22" s="30">
        <v>7.0000000000000007E-2</v>
      </c>
      <c r="T22" s="30">
        <v>7.0000000000000007E-2</v>
      </c>
      <c r="U22" s="30">
        <v>7.0000000000000007E-2</v>
      </c>
      <c r="V22" s="29">
        <v>0.17</v>
      </c>
      <c r="W22" s="30">
        <v>0.12</v>
      </c>
      <c r="X22" s="30">
        <v>7.0000000000000007E-2</v>
      </c>
      <c r="Y22" s="30">
        <v>7.0000000000000007E-2</v>
      </c>
      <c r="Z22" s="30">
        <v>0.12</v>
      </c>
      <c r="AA22" s="30">
        <v>0.12</v>
      </c>
      <c r="AB22" s="30">
        <v>7.0000000000000007E-2</v>
      </c>
      <c r="AC22" s="31">
        <v>7.0000000000000007E-2</v>
      </c>
    </row>
    <row r="23" spans="1:29" ht="26.1" customHeight="1" x14ac:dyDescent="0.2">
      <c r="A23" s="53"/>
      <c r="B23" s="27" t="s">
        <v>9</v>
      </c>
      <c r="C23" s="30">
        <v>7.0000000000000007E-2</v>
      </c>
      <c r="D23" s="30">
        <v>7.0000000000000007E-2</v>
      </c>
      <c r="E23" s="30">
        <v>7.0000000000000007E-2</v>
      </c>
      <c r="F23" s="30">
        <v>7.0000000000000007E-2</v>
      </c>
      <c r="G23" s="30">
        <v>7.0000000000000007E-2</v>
      </c>
      <c r="H23" s="30">
        <v>7.0000000000000007E-2</v>
      </c>
      <c r="I23" s="30">
        <v>7.0000000000000007E-2</v>
      </c>
      <c r="J23" s="30">
        <v>7.0000000000000007E-2</v>
      </c>
      <c r="K23" s="30">
        <v>7.0000000000000007E-2</v>
      </c>
      <c r="L23" s="30">
        <v>7.0000000000000007E-2</v>
      </c>
      <c r="M23" s="30">
        <v>7.0000000000000007E-2</v>
      </c>
      <c r="N23" s="30">
        <v>7.0000000000000007E-2</v>
      </c>
      <c r="O23" s="30">
        <v>0.12</v>
      </c>
      <c r="P23" s="30">
        <v>7.0000000000000007E-2</v>
      </c>
      <c r="Q23" s="30">
        <v>7.0000000000000007E-2</v>
      </c>
      <c r="R23" s="30">
        <v>0.12</v>
      </c>
      <c r="S23" s="30">
        <v>7.0000000000000007E-2</v>
      </c>
      <c r="T23" s="30">
        <v>7.0000000000000007E-2</v>
      </c>
      <c r="U23" s="30">
        <v>7.0000000000000007E-2</v>
      </c>
      <c r="V23" s="30">
        <v>0.12</v>
      </c>
      <c r="W23" s="29">
        <v>0.19</v>
      </c>
      <c r="X23" s="30">
        <v>7.0000000000000007E-2</v>
      </c>
      <c r="Y23" s="30">
        <v>7.0000000000000007E-2</v>
      </c>
      <c r="Z23" s="30">
        <v>0.12</v>
      </c>
      <c r="AA23" s="30">
        <v>0.12</v>
      </c>
      <c r="AB23" s="30">
        <v>7.0000000000000007E-2</v>
      </c>
      <c r="AC23" s="31">
        <v>7.0000000000000007E-2</v>
      </c>
    </row>
    <row r="24" spans="1:29" ht="26.1" customHeight="1" x14ac:dyDescent="0.2">
      <c r="A24" s="53"/>
      <c r="B24" s="27" t="s">
        <v>62</v>
      </c>
      <c r="C24" s="30">
        <v>0.12</v>
      </c>
      <c r="D24" s="30">
        <v>0.12</v>
      </c>
      <c r="E24" s="30">
        <v>0.12</v>
      </c>
      <c r="F24" s="30">
        <v>0.12</v>
      </c>
      <c r="G24" s="30">
        <v>0.12</v>
      </c>
      <c r="H24" s="30">
        <v>0.12</v>
      </c>
      <c r="I24" s="30">
        <v>0.12</v>
      </c>
      <c r="J24" s="30">
        <v>0.12</v>
      </c>
      <c r="K24" s="30">
        <v>0.12</v>
      </c>
      <c r="L24" s="30">
        <v>0.12</v>
      </c>
      <c r="M24" s="30">
        <v>0.12</v>
      </c>
      <c r="N24" s="30">
        <v>0.12</v>
      </c>
      <c r="O24" s="30">
        <v>0.12</v>
      </c>
      <c r="P24" s="30">
        <v>0.12</v>
      </c>
      <c r="Q24" s="30">
        <v>0.12</v>
      </c>
      <c r="R24" s="30">
        <v>0.12</v>
      </c>
      <c r="S24" s="30">
        <v>0.12</v>
      </c>
      <c r="T24" s="30">
        <v>0.12</v>
      </c>
      <c r="U24" s="30">
        <v>0.12</v>
      </c>
      <c r="V24" s="30">
        <v>0.12</v>
      </c>
      <c r="W24" s="30">
        <v>0.12</v>
      </c>
      <c r="X24" s="29">
        <v>0.17</v>
      </c>
      <c r="Y24" s="30">
        <v>0.12</v>
      </c>
      <c r="Z24" s="30">
        <v>0.12</v>
      </c>
      <c r="AA24" s="30">
        <v>0.12</v>
      </c>
      <c r="AB24" s="30">
        <v>0.12</v>
      </c>
      <c r="AC24" s="31">
        <v>0.12</v>
      </c>
    </row>
    <row r="25" spans="1:29" ht="26.1" customHeight="1" x14ac:dyDescent="0.2">
      <c r="A25" s="53"/>
      <c r="B25" s="27" t="s">
        <v>63</v>
      </c>
      <c r="C25" s="30">
        <v>0.12</v>
      </c>
      <c r="D25" s="30">
        <v>0.12</v>
      </c>
      <c r="E25" s="30">
        <v>0.12</v>
      </c>
      <c r="F25" s="30">
        <v>0.12</v>
      </c>
      <c r="G25" s="30">
        <v>0.12</v>
      </c>
      <c r="H25" s="30">
        <v>0.12</v>
      </c>
      <c r="I25" s="30">
        <v>0.12</v>
      </c>
      <c r="J25" s="30">
        <v>0.12</v>
      </c>
      <c r="K25" s="30">
        <v>0.12</v>
      </c>
      <c r="L25" s="30">
        <v>0.12</v>
      </c>
      <c r="M25" s="30">
        <v>0.12</v>
      </c>
      <c r="N25" s="30">
        <v>0.12</v>
      </c>
      <c r="O25" s="30">
        <v>0.12</v>
      </c>
      <c r="P25" s="30">
        <v>0.12</v>
      </c>
      <c r="Q25" s="30">
        <v>0.12</v>
      </c>
      <c r="R25" s="30">
        <v>0.12</v>
      </c>
      <c r="S25" s="30">
        <v>0.12</v>
      </c>
      <c r="T25" s="30">
        <v>0.12</v>
      </c>
      <c r="U25" s="30">
        <v>0.12</v>
      </c>
      <c r="V25" s="30">
        <v>0.12</v>
      </c>
      <c r="W25" s="30">
        <v>0.12</v>
      </c>
      <c r="X25" s="30">
        <v>0.12</v>
      </c>
      <c r="Y25" s="29">
        <v>0.17</v>
      </c>
      <c r="Z25" s="30">
        <v>0.12</v>
      </c>
      <c r="AA25" s="30">
        <v>0.12</v>
      </c>
      <c r="AB25" s="30">
        <v>0.12</v>
      </c>
      <c r="AC25" s="31">
        <v>0.12</v>
      </c>
    </row>
    <row r="26" spans="1:29" ht="26.1" customHeight="1" x14ac:dyDescent="0.2">
      <c r="A26" s="53"/>
      <c r="B26" s="27" t="s">
        <v>64</v>
      </c>
      <c r="C26" s="30">
        <v>7.0000000000000007E-2</v>
      </c>
      <c r="D26" s="30">
        <v>7.0000000000000007E-2</v>
      </c>
      <c r="E26" s="30">
        <v>7.0000000000000007E-2</v>
      </c>
      <c r="F26" s="30">
        <v>7.0000000000000007E-2</v>
      </c>
      <c r="G26" s="30">
        <v>7.0000000000000007E-2</v>
      </c>
      <c r="H26" s="30">
        <v>7.0000000000000007E-2</v>
      </c>
      <c r="I26" s="30">
        <v>7.0000000000000007E-2</v>
      </c>
      <c r="J26" s="30">
        <v>7.0000000000000007E-2</v>
      </c>
      <c r="K26" s="30">
        <v>7.0000000000000007E-2</v>
      </c>
      <c r="L26" s="30">
        <v>7.0000000000000007E-2</v>
      </c>
      <c r="M26" s="30">
        <v>7.0000000000000007E-2</v>
      </c>
      <c r="N26" s="30">
        <v>7.0000000000000007E-2</v>
      </c>
      <c r="O26" s="30">
        <v>0.12</v>
      </c>
      <c r="P26" s="30">
        <v>7.0000000000000007E-2</v>
      </c>
      <c r="Q26" s="30">
        <v>7.0000000000000007E-2</v>
      </c>
      <c r="R26" s="30">
        <v>0.12</v>
      </c>
      <c r="S26" s="30">
        <v>7.0000000000000007E-2</v>
      </c>
      <c r="T26" s="30">
        <v>7.0000000000000007E-2</v>
      </c>
      <c r="U26" s="30">
        <v>7.0000000000000007E-2</v>
      </c>
      <c r="V26" s="30">
        <v>0.12</v>
      </c>
      <c r="W26" s="30">
        <v>0.12</v>
      </c>
      <c r="X26" s="30">
        <v>7.0000000000000007E-2</v>
      </c>
      <c r="Y26" s="30">
        <v>7.0000000000000007E-2</v>
      </c>
      <c r="Z26" s="29">
        <v>0.17</v>
      </c>
      <c r="AA26" s="30">
        <v>0.12</v>
      </c>
      <c r="AB26" s="30">
        <v>7.0000000000000007E-2</v>
      </c>
      <c r="AC26" s="31">
        <v>7.0000000000000007E-2</v>
      </c>
    </row>
    <row r="27" spans="1:29" ht="26.1" customHeight="1" x14ac:dyDescent="0.2">
      <c r="A27" s="53"/>
      <c r="B27" s="27" t="s">
        <v>12</v>
      </c>
      <c r="C27" s="30">
        <v>7.0000000000000007E-2</v>
      </c>
      <c r="D27" s="30">
        <v>7.0000000000000007E-2</v>
      </c>
      <c r="E27" s="30">
        <v>7.0000000000000007E-2</v>
      </c>
      <c r="F27" s="30">
        <v>7.0000000000000007E-2</v>
      </c>
      <c r="G27" s="30">
        <v>7.0000000000000007E-2</v>
      </c>
      <c r="H27" s="30">
        <v>7.0000000000000007E-2</v>
      </c>
      <c r="I27" s="30">
        <v>7.0000000000000007E-2</v>
      </c>
      <c r="J27" s="30">
        <v>7.0000000000000007E-2</v>
      </c>
      <c r="K27" s="30">
        <v>7.0000000000000007E-2</v>
      </c>
      <c r="L27" s="30">
        <v>7.0000000000000007E-2</v>
      </c>
      <c r="M27" s="30">
        <v>7.0000000000000007E-2</v>
      </c>
      <c r="N27" s="30">
        <v>7.0000000000000007E-2</v>
      </c>
      <c r="O27" s="30">
        <v>0.12</v>
      </c>
      <c r="P27" s="30">
        <v>7.0000000000000007E-2</v>
      </c>
      <c r="Q27" s="30">
        <v>7.0000000000000007E-2</v>
      </c>
      <c r="R27" s="30">
        <v>0.12</v>
      </c>
      <c r="S27" s="30">
        <v>7.0000000000000007E-2</v>
      </c>
      <c r="T27" s="30">
        <v>7.0000000000000007E-2</v>
      </c>
      <c r="U27" s="30">
        <v>7.0000000000000007E-2</v>
      </c>
      <c r="V27" s="30">
        <v>0.12</v>
      </c>
      <c r="W27" s="30">
        <v>0.12</v>
      </c>
      <c r="X27" s="30">
        <v>7.0000000000000007E-2</v>
      </c>
      <c r="Y27" s="30">
        <v>7.0000000000000007E-2</v>
      </c>
      <c r="Z27" s="30">
        <v>0.12</v>
      </c>
      <c r="AA27" s="29">
        <v>0.18</v>
      </c>
      <c r="AB27" s="30">
        <v>7.0000000000000007E-2</v>
      </c>
      <c r="AC27" s="31">
        <v>7.0000000000000007E-2</v>
      </c>
    </row>
    <row r="28" spans="1:29" ht="26.1" customHeight="1" x14ac:dyDescent="0.2">
      <c r="A28" s="53"/>
      <c r="B28" s="27" t="s">
        <v>65</v>
      </c>
      <c r="C28" s="30">
        <v>0.12</v>
      </c>
      <c r="D28" s="30">
        <v>0.12</v>
      </c>
      <c r="E28" s="30">
        <v>0.12</v>
      </c>
      <c r="F28" s="30">
        <v>0.12</v>
      </c>
      <c r="G28" s="30">
        <v>0.12</v>
      </c>
      <c r="H28" s="30">
        <v>0.12</v>
      </c>
      <c r="I28" s="30">
        <v>0.12</v>
      </c>
      <c r="J28" s="30">
        <v>0.12</v>
      </c>
      <c r="K28" s="30">
        <v>0.12</v>
      </c>
      <c r="L28" s="30">
        <v>0.12</v>
      </c>
      <c r="M28" s="30">
        <v>0.12</v>
      </c>
      <c r="N28" s="30">
        <v>0.12</v>
      </c>
      <c r="O28" s="30">
        <v>0.12</v>
      </c>
      <c r="P28" s="30">
        <v>0.12</v>
      </c>
      <c r="Q28" s="30">
        <v>0.12</v>
      </c>
      <c r="R28" s="30">
        <v>0.12</v>
      </c>
      <c r="S28" s="30">
        <v>0.12</v>
      </c>
      <c r="T28" s="30">
        <v>0.12</v>
      </c>
      <c r="U28" s="30">
        <v>0.12</v>
      </c>
      <c r="V28" s="30">
        <v>0.12</v>
      </c>
      <c r="W28" s="30">
        <v>0.12</v>
      </c>
      <c r="X28" s="30">
        <v>0.12</v>
      </c>
      <c r="Y28" s="30">
        <v>0.12</v>
      </c>
      <c r="Z28" s="30">
        <v>0.12</v>
      </c>
      <c r="AA28" s="30">
        <v>0.12</v>
      </c>
      <c r="AB28" s="29">
        <v>0.17</v>
      </c>
      <c r="AC28" s="31">
        <v>0.12</v>
      </c>
    </row>
    <row r="29" spans="1:29" ht="26.1" customHeight="1" x14ac:dyDescent="0.2">
      <c r="A29" s="53"/>
      <c r="B29" s="27" t="s">
        <v>66</v>
      </c>
      <c r="C29" s="30">
        <v>0.12</v>
      </c>
      <c r="D29" s="30">
        <v>0.12</v>
      </c>
      <c r="E29" s="30">
        <v>0.12</v>
      </c>
      <c r="F29" s="30">
        <v>0.12</v>
      </c>
      <c r="G29" s="30">
        <v>0.12</v>
      </c>
      <c r="H29" s="30">
        <v>0.12</v>
      </c>
      <c r="I29" s="30">
        <v>0.12</v>
      </c>
      <c r="J29" s="30">
        <v>0.12</v>
      </c>
      <c r="K29" s="30">
        <v>0.12</v>
      </c>
      <c r="L29" s="30">
        <v>0.12</v>
      </c>
      <c r="M29" s="30">
        <v>0.12</v>
      </c>
      <c r="N29" s="30">
        <v>0.12</v>
      </c>
      <c r="O29" s="30">
        <v>0.12</v>
      </c>
      <c r="P29" s="30">
        <v>0.12</v>
      </c>
      <c r="Q29" s="30">
        <v>0.12</v>
      </c>
      <c r="R29" s="30">
        <v>0.12</v>
      </c>
      <c r="S29" s="30">
        <v>0.12</v>
      </c>
      <c r="T29" s="30">
        <v>0.12</v>
      </c>
      <c r="U29" s="30">
        <v>0.12</v>
      </c>
      <c r="V29" s="30">
        <v>0.12</v>
      </c>
      <c r="W29" s="30">
        <v>0.12</v>
      </c>
      <c r="X29" s="30">
        <v>0.12</v>
      </c>
      <c r="Y29" s="30">
        <v>0.12</v>
      </c>
      <c r="Z29" s="30">
        <v>0.12</v>
      </c>
      <c r="AA29" s="30">
        <v>0.12</v>
      </c>
      <c r="AB29" s="30">
        <v>0.12</v>
      </c>
      <c r="AC29" s="34">
        <v>0.17</v>
      </c>
    </row>
    <row r="30" spans="1:29" ht="20.85" customHeight="1" x14ac:dyDescent="0.2">
      <c r="A30" s="54" t="s">
        <v>67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35">
        <v>0.04</v>
      </c>
    </row>
  </sheetData>
  <mergeCells count="3">
    <mergeCell ref="B1:AC1"/>
    <mergeCell ref="A2:A29"/>
    <mergeCell ref="A30:AB30"/>
  </mergeCells>
  <pageMargins left="0.78749999999999998" right="0.78749999999999998" top="1.05277777777778" bottom="1.05277777777778" header="0.78749999999999998" footer="0.78749999999999998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11382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Cálculo ST</vt:lpstr>
      <vt:lpstr>Tabela ICMS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Ferreira</dc:creator>
  <cp:lastModifiedBy>Saliconta1</cp:lastModifiedBy>
  <cp:revision>10</cp:revision>
  <dcterms:created xsi:type="dcterms:W3CDTF">2015-07-05T09:39:38Z</dcterms:created>
  <dcterms:modified xsi:type="dcterms:W3CDTF">2015-11-06T18:57:29Z</dcterms:modified>
  <dc:language>pt-BR</dc:language>
</cp:coreProperties>
</file>