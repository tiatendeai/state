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DRE\Documents\TARGET - SOLUCOES CONTABEIS E ADM\"/>
    </mc:Choice>
  </mc:AlternateContent>
  <xr:revisionPtr revIDLastSave="0" documentId="13_ncr:1_{3D6A83FA-7809-492F-87E4-46DBA8A63AF9}" xr6:coauthVersionLast="40" xr6:coauthVersionMax="40" xr10:uidLastSave="{00000000-0000-0000-0000-000000000000}"/>
  <bookViews>
    <workbookView xWindow="-120" yWindow="-120" windowWidth="20730" windowHeight="11310" tabRatio="787" activeTab="4" xr2:uid="{00000000-000D-0000-FFFF-FFFF00000000}"/>
  </bookViews>
  <sheets>
    <sheet name="Dept. Fiscal (Lucro Presum)" sheetId="5" r:id="rId1"/>
    <sheet name="Dept. Fiscal (Simples Nacion)" sheetId="4" r:id="rId2"/>
    <sheet name="Dept. Pessoal" sheetId="1" r:id="rId3"/>
    <sheet name="Dept. Contábil " sheetId="3" r:id="rId4"/>
    <sheet name="Honorários" sheetId="6" r:id="rId5"/>
    <sheet name="Despesas Fixa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3" i="7" l="1"/>
  <c r="C23" i="6"/>
  <c r="B9" i="6"/>
  <c r="B44" i="3"/>
  <c r="B10" i="6" s="1"/>
  <c r="B34" i="3"/>
  <c r="B24" i="3"/>
  <c r="B14" i="3"/>
  <c r="B8" i="6" s="1"/>
  <c r="B4" i="3"/>
  <c r="B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Q7" authorId="0" shapeId="0" xr:uid="{71375876-081E-4FCA-B752-BEFD1F8055A7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R8" authorId="0" shapeId="0" xr:uid="{BCD8DBD2-1A48-41D1-9504-DBD178CD1BA2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R9" authorId="0" shapeId="0" xr:uid="{345BC6B9-A238-49DC-8AB4-6FC6A36ADF57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R10" authorId="0" shapeId="0" xr:uid="{42C3E790-DB69-4560-956B-3A821C9EFA81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Q7" authorId="0" shapeId="0" xr:uid="{636DE001-05EB-4092-81AC-E2A63521F99F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R8" authorId="0" shapeId="0" xr:uid="{07575C13-6645-4286-8D6D-7C2E854C11AB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R9" authorId="0" shapeId="0" xr:uid="{C0E5AFD2-7410-4D25-A7B4-6696602EA634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R10" authorId="0" shapeId="0" xr:uid="{C3C09C91-23B4-46A2-8742-C203B3AF4A15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<sst xmlns="http://schemas.openxmlformats.org/spreadsheetml/2006/main" count="290" uniqueCount="82">
  <si>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</si>
  <si>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</si>
  <si>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</si>
  <si>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</si>
  <si>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</si>
  <si>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</si>
  <si>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</si>
  <si>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</si>
  <si>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</si>
  <si>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</si>
  <si>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</si>
  <si>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</si>
  <si>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ACOMPANHAMENTO: Departamento Contábil</t>
  </si>
  <si>
    <t xml:space="preserve"> Receber movimentação</t>
  </si>
  <si>
    <t xml:space="preserve"> Cobrar dos clientes documentos faltantes</t>
  </si>
  <si>
    <t xml:space="preserve"> Classificar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</si>
  <si>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</si>
  <si>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</si>
  <si>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</si>
  <si>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</si>
  <si>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</si>
  <si>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</si>
  <si>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</si>
  <si>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</si>
  <si>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</si>
  <si>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</si>
  <si>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</si>
  <si>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</si>
  <si>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</si>
  <si>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</si>
  <si>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</si>
  <si>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</si>
  <si>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</si>
  <si>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</si>
  <si>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</si>
  <si>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</si>
  <si>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</si>
  <si>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</si>
  <si>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</si>
  <si>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</si>
  <si>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</si>
  <si>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</si>
  <si>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</si>
  <si>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</si>
  <si>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ISS</t>
  </si>
  <si>
    <t>IRRF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</si>
  <si>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</si>
  <si>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</si>
  <si>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</si>
  <si>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</si>
  <si>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GIA</t>
  </si>
  <si>
    <t>Checar recebimento das guias pelo cliente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</si>
  <si>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</si>
  <si>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</si>
  <si>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</si>
  <si>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</si>
  <si>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</si>
  <si>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</si>
  <si>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</si>
  <si>
    <t>PIS / COFINS - Venc Dia 25</t>
  </si>
  <si>
    <t>IRPJ / CSLL -  Vencto Dia 25</t>
  </si>
  <si>
    <t>CSRF</t>
  </si>
  <si>
    <t>SPED EFD CONTRIBUIÇÕES (PIS/COFINS)</t>
  </si>
  <si>
    <t>SPED FISCAL (ICMS)</t>
  </si>
  <si>
    <t>ROTINAS FISCAIS</t>
  </si>
  <si>
    <t>ROTINAS CONTÁBEIS</t>
  </si>
  <si>
    <t>Faturamento e Impostos DAS</t>
  </si>
  <si>
    <t>Pró Labore e Encargos</t>
  </si>
  <si>
    <t xml:space="preserve"> Importar DP e Fiscal</t>
  </si>
  <si>
    <t>HONORARIOS</t>
  </si>
  <si>
    <t>VALOR</t>
  </si>
  <si>
    <t>TOTAL</t>
  </si>
  <si>
    <t>NT</t>
  </si>
  <si>
    <t>n/t</t>
  </si>
  <si>
    <t>cliente 1</t>
  </si>
  <si>
    <t>cliente2</t>
  </si>
  <si>
    <t>a</t>
  </si>
  <si>
    <t>d</t>
  </si>
  <si>
    <t>f</t>
  </si>
  <si>
    <t>g</t>
  </si>
  <si>
    <t>h</t>
  </si>
  <si>
    <t>cliente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</si>
</sst>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77111117893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109">
    <xf numFmtId="0" fontId="0" fillId="0" borderId="0" xfId="0"/>
    <xf numFmtId="0" fontId="0" fillId="2" borderId="1" xfId="0" quotePrefix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7" fillId="2" borderId="1" xfId="0" applyFont="1" applyFill="1" applyBorder="1"/>
    <xf numFmtId="0" fontId="0" fillId="0" borderId="0" xfId="0" applyFo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4" fillId="2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18" xfId="0" applyFill="1" applyBorder="1"/>
    <xf numFmtId="0" fontId="7" fillId="2" borderId="20" xfId="0" applyFont="1" applyFill="1" applyBorder="1"/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1" xfId="0" applyFont="1" applyFill="1" applyBorder="1"/>
    <xf numFmtId="0" fontId="0" fillId="2" borderId="20" xfId="0" applyFill="1" applyBorder="1"/>
    <xf numFmtId="0" fontId="0" fillId="2" borderId="2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5" fillId="2" borderId="31" xfId="0" applyFont="1" applyFill="1" applyBorder="1" applyAlignment="1">
      <alignment horizontal="center" vertical="center"/>
    </xf>
    <xf numFmtId="17" fontId="5" fillId="2" borderId="32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4" fillId="2" borderId="15" xfId="0" applyFont="1" applyFill="1" applyBorder="1"/>
    <xf numFmtId="0" fontId="0" fillId="2" borderId="16" xfId="0" applyFill="1" applyBorder="1" applyAlignment="1">
      <alignment horizontal="center" vertical="center"/>
    </xf>
    <xf numFmtId="0" fontId="7" fillId="2" borderId="0" xfId="0" applyFont="1" applyFill="1" applyBorder="1"/>
    <xf numFmtId="0" fontId="0" fillId="2" borderId="18" xfId="0" applyFont="1" applyFill="1" applyBorder="1"/>
    <xf numFmtId="0" fontId="0" fillId="0" borderId="18" xfId="0" applyFont="1" applyFill="1" applyBorder="1"/>
    <xf numFmtId="0" fontId="7" fillId="2" borderId="18" xfId="0" applyFont="1" applyFill="1" applyBorder="1"/>
    <xf numFmtId="0" fontId="0" fillId="2" borderId="34" xfId="0" applyFill="1" applyBorder="1"/>
    <xf numFmtId="0" fontId="0" fillId="2" borderId="35" xfId="0" applyFill="1" applyBorder="1" applyAlignment="1">
      <alignment horizontal="center"/>
    </xf>
    <xf numFmtId="0" fontId="5" fillId="0" borderId="36" xfId="0" applyFont="1" applyFill="1" applyBorder="1"/>
    <xf numFmtId="17" fontId="5" fillId="0" borderId="37" xfId="0" applyNumberFormat="1" applyFont="1" applyFill="1" applyBorder="1" applyAlignment="1">
      <alignment horizontal="center"/>
    </xf>
    <xf numFmtId="0" fontId="4" fillId="2" borderId="33" xfId="0" applyFont="1" applyFill="1" applyBorder="1"/>
    <xf numFmtId="0" fontId="0" fillId="2" borderId="27" xfId="0" applyFill="1" applyBorder="1" applyAlignment="1">
      <alignment horizontal="center"/>
    </xf>
    <xf numFmtId="0" fontId="1" fillId="0" borderId="36" xfId="0" applyFont="1" applyFill="1" applyBorder="1" applyAlignment="1"/>
    <xf numFmtId="0" fontId="4" fillId="2" borderId="34" xfId="0" applyFont="1" applyFill="1" applyBorder="1"/>
    <xf numFmtId="0" fontId="5" fillId="0" borderId="36" xfId="0" applyFont="1" applyFill="1" applyBorder="1" applyAlignment="1">
      <alignment horizontal="center"/>
    </xf>
    <xf numFmtId="9" fontId="0" fillId="0" borderId="0" xfId="50" applyFont="1"/>
    <xf numFmtId="43" fontId="0" fillId="0" borderId="0" xfId="49" applyFont="1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0" fillId="0" borderId="38" xfId="0" applyBorder="1"/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0" fillId="2" borderId="1" xfId="0" applyFont="1" applyFill="1" applyBorder="1" applyAlignment="1">
      <alignment horizontal="center"/>
    </xf>
    <xf numFmtId="44" fontId="0" fillId="0" borderId="0" xfId="51" applyFont="1" applyAlignment="1">
      <alignment horizontal="center" vertical="center"/>
    </xf>
    <xf numFmtId="44" fontId="5" fillId="5" borderId="1" xfId="51" applyFont="1" applyFill="1" applyBorder="1" applyAlignment="1">
      <alignment horizontal="center" vertical="center"/>
    </xf>
    <xf numFmtId="44" fontId="4" fillId="2" borderId="1" xfId="51" applyFont="1" applyFill="1" applyBorder="1"/>
    <xf numFmtId="44" fontId="0" fillId="2" borderId="1" xfId="51" applyFont="1" applyFill="1" applyBorder="1"/>
    <xf numFmtId="44" fontId="0" fillId="2" borderId="1" xfId="51" applyFont="1" applyFill="1" applyBorder="1" applyAlignment="1">
      <alignment horizontal="left"/>
    </xf>
    <xf numFmtId="44" fontId="0" fillId="2" borderId="1" xfId="51" applyFont="1" applyFill="1" applyBorder="1" applyAlignment="1">
      <alignment wrapText="1"/>
    </xf>
    <xf numFmtId="44" fontId="0" fillId="0" borderId="1" xfId="51" applyFont="1" applyFill="1" applyBorder="1" applyAlignment="1">
      <alignment wrapText="1"/>
    </xf>
    <xf numFmtId="44" fontId="0" fillId="0" borderId="0" xfId="51" applyFont="1" applyBorder="1"/>
    <xf numFmtId="44" fontId="0" fillId="0" borderId="0" xfId="51" applyFont="1"/>
    <xf numFmtId="0" fontId="1" fillId="0" borderId="0" xfId="0" applyFont="1"/>
    <xf numFmtId="44" fontId="1" fillId="2" borderId="1" xfId="51" applyFont="1" applyFill="1" applyBorder="1" applyAlignment="1">
      <alignment wrapText="1"/>
    </xf>
    <xf numFmtId="44" fontId="1" fillId="2" borderId="1" xfId="5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52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Moeda" xfId="51" builtinId="4"/>
    <cellStyle name="Normal" xfId="0" builtinId="0"/>
    <cellStyle name="Porcentagem" xfId="50" builtinId="5"/>
    <cellStyle name="Vírgula" xfId="49" builtinId="3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1</xdr:col>
      <xdr:colOff>4276725</xdr:colOff>
      <xdr:row>2</xdr:row>
      <xdr:rowOff>137065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992146D-5D32-418E-B193-F0420A044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81" t="30862" r="1582" b="28436"/>
        <a:stretch/>
      </xdr:blipFill>
      <xdr:spPr>
        <a:xfrm>
          <a:off x="1304925" y="0"/>
          <a:ext cx="3810000" cy="1118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63500</xdr:rowOff>
    </xdr:from>
    <xdr:to>
      <xdr:col>1</xdr:col>
      <xdr:colOff>3873500</xdr:colOff>
      <xdr:row>1</xdr:row>
      <xdr:rowOff>978440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D3658F-CA56-42A2-96A4-6BC03C6D7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81" t="30862" r="1582" b="28436"/>
        <a:stretch/>
      </xdr:blipFill>
      <xdr:spPr>
        <a:xfrm>
          <a:off x="904875" y="63500"/>
          <a:ext cx="3810000" cy="1121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</xdr:colOff>
      <xdr:row>0</xdr:row>
      <xdr:rowOff>68036</xdr:rowOff>
    </xdr:from>
    <xdr:to>
      <xdr:col>1</xdr:col>
      <xdr:colOff>3088821</xdr:colOff>
      <xdr:row>1</xdr:row>
      <xdr:rowOff>238311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3F8B58-0B79-4E47-94F2-9CDD35831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81" t="30862" r="1582" b="28436"/>
        <a:stretch/>
      </xdr:blipFill>
      <xdr:spPr>
        <a:xfrm>
          <a:off x="857250" y="68036"/>
          <a:ext cx="3075214" cy="905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122464</xdr:colOff>
      <xdr:row>1</xdr:row>
      <xdr:rowOff>209736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B69B37-C29F-4363-B5F2-D80C901A3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81" t="30862" r="1582" b="28436"/>
        <a:stretch/>
      </xdr:blipFill>
      <xdr:spPr>
        <a:xfrm>
          <a:off x="838200" y="0"/>
          <a:ext cx="3075214" cy="9050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0</xdr:rowOff>
    </xdr:from>
    <xdr:to>
      <xdr:col>1</xdr:col>
      <xdr:colOff>4238625</xdr:colOff>
      <xdr:row>2</xdr:row>
      <xdr:rowOff>466725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935A11-48DF-46FF-AA86-2DA624D64D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81" t="30862" r="1582" b="28436"/>
        <a:stretch/>
      </xdr:blipFill>
      <xdr:spPr>
        <a:xfrm>
          <a:off x="1114425" y="0"/>
          <a:ext cx="3810000" cy="1152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0</xdr:rowOff>
    </xdr:from>
    <xdr:to>
      <xdr:col>1</xdr:col>
      <xdr:colOff>4238625</xdr:colOff>
      <xdr:row>2</xdr:row>
      <xdr:rowOff>466725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1AC751-9478-4504-B239-1B67F2A05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81" t="30862" r="1582" b="28436"/>
        <a:stretch/>
      </xdr:blipFill>
      <xdr:spPr>
        <a:xfrm>
          <a:off x="1114425" y="0"/>
          <a:ext cx="38100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5"/>
  <sheetViews>
    <sheetView showGridLines="0" zoomScale="60" zoomScaleNormal="60" zoomScalePageLayoutView="150" workbookViewId="0">
      <selection activeCell="B6" sqref="B6:N6"/>
    </sheetView>
  </sheetViews>
  <sheetFormatPr defaultColWidth="11" defaultRowHeight="15.75" x14ac:dyDescent="0.25"/>
  <cols>
    <col min="2" max="2" width="69.5" bestFit="1" customWidth="1"/>
    <col min="3" max="3" width="10.375" bestFit="1" customWidth="1"/>
    <col min="4" max="4" width="12.625" bestFit="1" customWidth="1"/>
    <col min="5" max="5" width="8.625" bestFit="1" customWidth="1"/>
    <col min="6" max="6" width="7" bestFit="1" customWidth="1"/>
    <col min="7" max="7" width="7.25" bestFit="1" customWidth="1"/>
    <col min="8" max="8" width="8.875" bestFit="1" customWidth="1"/>
    <col min="9" max="9" width="8" bestFit="1" customWidth="1"/>
    <col min="10" max="10" width="10.5" bestFit="1" customWidth="1"/>
    <col min="11" max="11" width="13.5" bestFit="1" customWidth="1"/>
    <col min="12" max="12" width="11.75" bestFit="1" customWidth="1"/>
    <col min="13" max="14" width="13.25" bestFit="1" customWidth="1"/>
    <col min="15" max="15" width="6.625" customWidth="1"/>
    <col min="16" max="16" width="23.25" customWidth="1"/>
    <col min="17" max="17" width="10.5" customWidth="1"/>
  </cols>
  <sheetData>
    <row r="1" spans="2:17" ht="61.5" customHeight="1" x14ac:dyDescent="0.25">
      <c r="B1" s="9"/>
      <c r="C1" s="87" t="s">
        <v>52</v>
      </c>
      <c r="D1" s="87"/>
      <c r="E1" s="87"/>
      <c r="F1" s="87"/>
      <c r="G1" s="87"/>
      <c r="H1" s="87"/>
      <c r="I1" s="87"/>
      <c r="J1" s="87"/>
      <c r="K1" s="88">
        <v>2019</v>
      </c>
      <c r="L1" s="88"/>
      <c r="M1" s="88"/>
      <c r="N1" s="88"/>
    </row>
    <row r="2" spans="2:17" x14ac:dyDescent="0.25">
      <c r="C2" s="87"/>
      <c r="D2" s="87"/>
      <c r="E2" s="87"/>
      <c r="F2" s="87"/>
      <c r="G2" s="87"/>
      <c r="H2" s="87"/>
      <c r="I2" s="87"/>
      <c r="J2" s="87"/>
      <c r="K2" s="88"/>
      <c r="L2" s="88"/>
      <c r="M2" s="88"/>
      <c r="N2" s="88"/>
    </row>
    <row r="3" spans="2:17" x14ac:dyDescent="0.25">
      <c r="C3" s="87"/>
      <c r="D3" s="87"/>
      <c r="E3" s="87"/>
      <c r="F3" s="87"/>
      <c r="G3" s="87"/>
      <c r="H3" s="87"/>
      <c r="I3" s="87"/>
      <c r="J3" s="87"/>
      <c r="K3" s="88"/>
      <c r="L3" s="88"/>
      <c r="M3" s="88"/>
      <c r="N3" s="88"/>
    </row>
    <row r="4" spans="2:17" s="10" customFormat="1" ht="31.5" customHeight="1" x14ac:dyDescent="0.25">
      <c r="B4" s="78" t="s">
        <v>53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</row>
    <row r="5" spans="2:17" x14ac:dyDescent="0.25">
      <c r="B5" s="58"/>
      <c r="C5" s="59" t="s">
        <v>0</v>
      </c>
      <c r="D5" s="59" t="s">
        <v>1</v>
      </c>
      <c r="E5" s="59" t="s">
        <v>2</v>
      </c>
      <c r="F5" s="59" t="s">
        <v>3</v>
      </c>
      <c r="G5" s="59" t="s">
        <v>4</v>
      </c>
      <c r="H5" s="59" t="s">
        <v>5</v>
      </c>
      <c r="I5" s="59" t="s">
        <v>6</v>
      </c>
      <c r="J5" s="59" t="s">
        <v>7</v>
      </c>
      <c r="K5" s="59" t="s">
        <v>8</v>
      </c>
      <c r="L5" s="59" t="s">
        <v>9</v>
      </c>
      <c r="M5" s="59" t="s">
        <v>10</v>
      </c>
      <c r="N5" s="59" t="s">
        <v>11</v>
      </c>
    </row>
    <row r="6" spans="2:17" ht="32.25" customHeight="1" x14ac:dyDescent="0.25">
      <c r="B6" s="84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6"/>
    </row>
    <row r="7" spans="2:17" x14ac:dyDescent="0.25">
      <c r="B7" s="79" t="s">
        <v>39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1"/>
    </row>
    <row r="8" spans="2:17" x14ac:dyDescent="0.25">
      <c r="B8" s="4" t="s">
        <v>40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82" t="s">
        <v>58</v>
      </c>
      <c r="Q8" s="83"/>
    </row>
    <row r="9" spans="2:17" x14ac:dyDescent="0.25">
      <c r="B9" s="4" t="s">
        <v>41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2" t="s">
        <v>55</v>
      </c>
      <c r="Q9" s="13">
        <v>5</v>
      </c>
    </row>
    <row r="10" spans="2:17" x14ac:dyDescent="0.25">
      <c r="B10" s="27" t="s">
        <v>42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4" t="s">
        <v>57</v>
      </c>
      <c r="Q10" s="15">
        <v>2</v>
      </c>
    </row>
    <row r="11" spans="2:17" x14ac:dyDescent="0.25">
      <c r="B11" s="6" t="s">
        <v>43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6" t="s">
        <v>56</v>
      </c>
      <c r="Q11" s="17">
        <v>1</v>
      </c>
    </row>
    <row r="12" spans="2:17" x14ac:dyDescent="0.25">
      <c r="B12" s="6" t="s">
        <v>59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7" s="2" customFormat="1" x14ac:dyDescent="0.25">
      <c r="B13" s="6" t="s">
        <v>60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2:17" x14ac:dyDescent="0.25">
      <c r="B14" s="6" t="s">
        <v>44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2:17" x14ac:dyDescent="0.25">
      <c r="B15" s="6" t="s">
        <v>45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2:17" x14ac:dyDescent="0.25">
      <c r="B16" s="6" t="s">
        <v>61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2:14" x14ac:dyDescent="0.25">
      <c r="B17" s="3" t="s">
        <v>46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x14ac:dyDescent="0.25">
      <c r="B18" s="3" t="s">
        <v>47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2:14" x14ac:dyDescent="0.25">
      <c r="B19" s="19" t="s">
        <v>48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2:14" x14ac:dyDescent="0.25">
      <c r="B20" s="7" t="s">
        <v>49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2:14" s="2" customFormat="1" x14ac:dyDescent="0.25">
      <c r="B21" s="8" t="s">
        <v>62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2:14" x14ac:dyDescent="0.25">
      <c r="B22" s="7" t="s">
        <v>50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2:14" x14ac:dyDescent="0.25">
      <c r="B23" s="7" t="s">
        <v>63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2:14" x14ac:dyDescent="0.25">
      <c r="B24" s="7" t="s">
        <v>51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2:14" x14ac:dyDescent="0.25">
      <c r="B25" s="60"/>
    </row>
  </sheetData>
  <mergeCells count="6">
    <mergeCell ref="B4:N4"/>
    <mergeCell ref="B7:N7"/>
    <mergeCell ref="P8:Q8"/>
    <mergeCell ref="B6:N6"/>
    <mergeCell ref="C1:J3"/>
    <mergeCell ref="K1:N3"/>
  </mergeCells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conditionalFormatting sqref="C8:N24">
    <cfRule type="iconSet" priority="35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7"/>
  <sheetViews>
    <sheetView showGridLines="0" topLeftCell="B32" zoomScale="60" zoomScaleNormal="60" zoomScalePageLayoutView="150" workbookViewId="0">
      <selection activeCell="B66" sqref="B66"/>
    </sheetView>
  </sheetViews>
  <sheetFormatPr defaultColWidth="11" defaultRowHeight="15.75" x14ac:dyDescent="0.25"/>
  <cols>
    <col min="2" max="2" width="69.5" customWidth="1"/>
    <col min="3" max="4" width="8.625" bestFit="1" customWidth="1"/>
    <col min="5" max="5" width="9.25" bestFit="1" customWidth="1"/>
    <col min="6" max="6" width="8.875" bestFit="1" customWidth="1"/>
    <col min="7" max="7" width="9.125" bestFit="1" customWidth="1"/>
    <col min="8" max="8" width="8.625" bestFit="1" customWidth="1"/>
    <col min="9" max="9" width="7.875" bestFit="1" customWidth="1"/>
    <col min="10" max="10" width="9.5" bestFit="1" customWidth="1"/>
    <col min="11" max="11" width="8.625" bestFit="1" customWidth="1"/>
    <col min="12" max="12" width="8.875" bestFit="1" customWidth="1"/>
    <col min="13" max="14" width="9.25" bestFit="1" customWidth="1"/>
    <col min="15" max="15" width="4.875" customWidth="1"/>
    <col min="16" max="16" width="23" bestFit="1" customWidth="1"/>
    <col min="17" max="17" width="8.125" customWidth="1"/>
  </cols>
  <sheetData>
    <row r="2" spans="2:17" ht="91.5" customHeight="1" thickBot="1" x14ac:dyDescent="0.3"/>
    <row r="3" spans="2:17" ht="33.75" customHeight="1" thickBot="1" x14ac:dyDescent="0.3">
      <c r="B3" s="95" t="s">
        <v>54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7" ht="33" customHeight="1" thickBot="1" x14ac:dyDescent="0.3">
      <c r="B4" s="89" t="s">
        <v>74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1"/>
    </row>
    <row r="5" spans="2:17" ht="16.5" thickBot="1" x14ac:dyDescent="0.3">
      <c r="B5" s="55" t="s">
        <v>64</v>
      </c>
      <c r="C5" s="50">
        <v>43466</v>
      </c>
      <c r="D5" s="50">
        <v>43497</v>
      </c>
      <c r="E5" s="50">
        <v>43525</v>
      </c>
      <c r="F5" s="50">
        <v>43556</v>
      </c>
      <c r="G5" s="50">
        <v>43586</v>
      </c>
      <c r="H5" s="50">
        <v>43617</v>
      </c>
      <c r="I5" s="50">
        <v>43647</v>
      </c>
      <c r="J5" s="50">
        <v>43678</v>
      </c>
      <c r="K5" s="50">
        <v>43709</v>
      </c>
      <c r="L5" s="50">
        <v>43739</v>
      </c>
      <c r="M5" s="50">
        <v>43770</v>
      </c>
      <c r="N5" s="50">
        <v>43800</v>
      </c>
    </row>
    <row r="6" spans="2:17" x14ac:dyDescent="0.25">
      <c r="B6" s="54" t="s">
        <v>40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48"/>
      <c r="P6" s="82" t="s">
        <v>58</v>
      </c>
      <c r="Q6" s="83"/>
    </row>
    <row r="7" spans="2:17" x14ac:dyDescent="0.25">
      <c r="B7" s="22" t="s">
        <v>41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1"/>
      <c r="P7" s="12" t="s">
        <v>55</v>
      </c>
      <c r="Q7" s="13">
        <v>5</v>
      </c>
    </row>
    <row r="8" spans="2:17" x14ac:dyDescent="0.25">
      <c r="B8" s="22" t="s">
        <v>43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1"/>
      <c r="P8" s="14" t="s">
        <v>57</v>
      </c>
      <c r="Q8" s="15">
        <v>2</v>
      </c>
    </row>
    <row r="9" spans="2:17" x14ac:dyDescent="0.25">
      <c r="B9" s="22" t="s">
        <v>46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1"/>
      <c r="P9" s="16" t="s">
        <v>56</v>
      </c>
      <c r="Q9" s="17">
        <v>1</v>
      </c>
    </row>
    <row r="10" spans="2:17" x14ac:dyDescent="0.25">
      <c r="B10" s="22" t="s">
        <v>47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</row>
    <row r="11" spans="2:17" s="5" customFormat="1" ht="16.5" thickBot="1" x14ac:dyDescent="0.3">
      <c r="B11" s="23" t="s">
        <v>51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5"/>
    </row>
    <row r="12" spans="2:17" s="5" customFormat="1" ht="16.5" thickBot="1" x14ac:dyDescent="0.3">
      <c r="B12" s="4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2:17" ht="33" customHeight="1" thickBot="1" x14ac:dyDescent="0.3">
      <c r="B13" s="92" t="s">
        <v>81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4"/>
    </row>
    <row r="14" spans="2:17" ht="16.5" thickBot="1" x14ac:dyDescent="0.3">
      <c r="B14" s="55" t="s">
        <v>64</v>
      </c>
      <c r="C14" s="50">
        <v>43466</v>
      </c>
      <c r="D14" s="50">
        <v>43497</v>
      </c>
      <c r="E14" s="50">
        <v>43525</v>
      </c>
      <c r="F14" s="50">
        <v>43556</v>
      </c>
      <c r="G14" s="50">
        <v>43586</v>
      </c>
      <c r="H14" s="50">
        <v>43617</v>
      </c>
      <c r="I14" s="50">
        <v>43647</v>
      </c>
      <c r="J14" s="50">
        <v>43678</v>
      </c>
      <c r="K14" s="50">
        <v>43709</v>
      </c>
      <c r="L14" s="50">
        <v>43739</v>
      </c>
      <c r="M14" s="50">
        <v>43770</v>
      </c>
      <c r="N14" s="50">
        <v>43800</v>
      </c>
    </row>
    <row r="15" spans="2:17" x14ac:dyDescent="0.25">
      <c r="B15" s="54" t="s">
        <v>40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</row>
    <row r="16" spans="2:17" x14ac:dyDescent="0.25">
      <c r="B16" s="22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1"/>
    </row>
    <row r="17" spans="1:15" x14ac:dyDescent="0.25">
      <c r="B17" s="22" t="s">
        <v>43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1"/>
    </row>
    <row r="18" spans="1:15" x14ac:dyDescent="0.25">
      <c r="B18" s="22" t="s">
        <v>46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1"/>
    </row>
    <row r="19" spans="1:15" x14ac:dyDescent="0.25">
      <c r="B19" s="22" t="s">
        <v>47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1"/>
    </row>
    <row r="20" spans="1:15" ht="16.5" thickBot="1" x14ac:dyDescent="0.3">
      <c r="B20" s="23" t="s">
        <v>51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</row>
    <row r="21" spans="1:15" s="5" customFormat="1" ht="16.5" thickBo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33" customHeight="1" thickBot="1" x14ac:dyDescent="0.3">
      <c r="B22" s="92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4"/>
    </row>
    <row r="23" spans="1:15" ht="16.5" thickBot="1" x14ac:dyDescent="0.3">
      <c r="B23" s="55" t="s">
        <v>64</v>
      </c>
      <c r="C23" s="50">
        <v>43466</v>
      </c>
      <c r="D23" s="50">
        <v>43497</v>
      </c>
      <c r="E23" s="50">
        <v>43525</v>
      </c>
      <c r="F23" s="50">
        <v>43556</v>
      </c>
      <c r="G23" s="50">
        <v>43586</v>
      </c>
      <c r="H23" s="50">
        <v>43617</v>
      </c>
      <c r="I23" s="50">
        <v>43647</v>
      </c>
      <c r="J23" s="50">
        <v>43678</v>
      </c>
      <c r="K23" s="50">
        <v>43709</v>
      </c>
      <c r="L23" s="50">
        <v>43739</v>
      </c>
      <c r="M23" s="50">
        <v>43770</v>
      </c>
      <c r="N23" s="50">
        <v>43800</v>
      </c>
    </row>
    <row r="24" spans="1:15" x14ac:dyDescent="0.25">
      <c r="B24" s="54" t="s">
        <v>40</v>
      </c>
      <c r="C24" s="26">
        <v>3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8"/>
    </row>
    <row r="25" spans="1:15" x14ac:dyDescent="0.25">
      <c r="B25" s="22" t="s">
        <v>41</v>
      </c>
      <c r="C25" s="18">
        <v>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1"/>
    </row>
    <row r="26" spans="1:15" x14ac:dyDescent="0.25">
      <c r="B26" s="22" t="s">
        <v>43</v>
      </c>
      <c r="C26" s="18">
        <v>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1"/>
    </row>
    <row r="27" spans="1:15" x14ac:dyDescent="0.25">
      <c r="B27" s="22" t="s">
        <v>46</v>
      </c>
      <c r="C27" s="18">
        <v>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1"/>
    </row>
    <row r="28" spans="1:15" x14ac:dyDescent="0.25">
      <c r="B28" s="22" t="s">
        <v>47</v>
      </c>
      <c r="C28" s="18" t="s">
        <v>73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1"/>
    </row>
    <row r="29" spans="1:15" ht="16.5" thickBot="1" x14ac:dyDescent="0.3">
      <c r="B29" s="23" t="s">
        <v>51</v>
      </c>
      <c r="C29" s="24">
        <v>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</row>
    <row r="30" spans="1:15" ht="16.5" thickBot="1" x14ac:dyDescent="0.3"/>
    <row r="31" spans="1:15" ht="31.5" customHeight="1" thickBot="1" x14ac:dyDescent="0.3"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4"/>
    </row>
    <row r="32" spans="1:15" ht="16.5" thickBot="1" x14ac:dyDescent="0.3">
      <c r="B32" s="55" t="s">
        <v>64</v>
      </c>
      <c r="C32" s="50">
        <v>43466</v>
      </c>
      <c r="D32" s="50">
        <v>43497</v>
      </c>
      <c r="E32" s="50">
        <v>43525</v>
      </c>
      <c r="F32" s="50">
        <v>43556</v>
      </c>
      <c r="G32" s="50">
        <v>43586</v>
      </c>
      <c r="H32" s="50">
        <v>43617</v>
      </c>
      <c r="I32" s="50">
        <v>43647</v>
      </c>
      <c r="J32" s="50">
        <v>43678</v>
      </c>
      <c r="K32" s="50">
        <v>43709</v>
      </c>
      <c r="L32" s="50">
        <v>43739</v>
      </c>
      <c r="M32" s="50">
        <v>43770</v>
      </c>
      <c r="N32" s="50">
        <v>43800</v>
      </c>
    </row>
    <row r="33" spans="2:14" x14ac:dyDescent="0.25">
      <c r="B33" s="54" t="s">
        <v>40</v>
      </c>
      <c r="C33" s="26">
        <v>3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8"/>
    </row>
    <row r="34" spans="2:14" x14ac:dyDescent="0.25">
      <c r="B34" s="22" t="s">
        <v>41</v>
      </c>
      <c r="C34" s="18">
        <v>2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1"/>
    </row>
    <row r="35" spans="2:14" x14ac:dyDescent="0.25">
      <c r="B35" s="22" t="s">
        <v>43</v>
      </c>
      <c r="C35" s="18">
        <v>3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1"/>
    </row>
    <row r="36" spans="2:14" x14ac:dyDescent="0.25">
      <c r="B36" s="22" t="s">
        <v>46</v>
      </c>
      <c r="C36" s="18">
        <v>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1"/>
    </row>
    <row r="37" spans="2:14" x14ac:dyDescent="0.25">
      <c r="B37" s="22" t="s">
        <v>47</v>
      </c>
      <c r="C37" s="18" t="s">
        <v>73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1"/>
    </row>
    <row r="38" spans="2:14" ht="16.5" thickBot="1" x14ac:dyDescent="0.3">
      <c r="B38" s="23" t="s">
        <v>51</v>
      </c>
      <c r="C38" s="24">
        <v>3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</row>
    <row r="39" spans="2:14" ht="16.5" thickBot="1" x14ac:dyDescent="0.3"/>
    <row r="40" spans="2:14" ht="33.75" customHeight="1" thickBot="1" x14ac:dyDescent="0.3">
      <c r="B40" s="8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1"/>
    </row>
    <row r="41" spans="2:14" ht="16.5" thickBot="1" x14ac:dyDescent="0.3">
      <c r="B41" s="55" t="s">
        <v>64</v>
      </c>
      <c r="C41" s="50">
        <v>43466</v>
      </c>
      <c r="D41" s="50">
        <v>43497</v>
      </c>
      <c r="E41" s="50">
        <v>43525</v>
      </c>
      <c r="F41" s="50">
        <v>43556</v>
      </c>
      <c r="G41" s="50">
        <v>43586</v>
      </c>
      <c r="H41" s="50">
        <v>43617</v>
      </c>
      <c r="I41" s="50">
        <v>43647</v>
      </c>
      <c r="J41" s="50">
        <v>43678</v>
      </c>
      <c r="K41" s="50">
        <v>43709</v>
      </c>
      <c r="L41" s="50">
        <v>43739</v>
      </c>
      <c r="M41" s="50">
        <v>43770</v>
      </c>
      <c r="N41" s="50">
        <v>43800</v>
      </c>
    </row>
    <row r="42" spans="2:14" x14ac:dyDescent="0.25">
      <c r="B42" s="54" t="s">
        <v>40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8"/>
    </row>
    <row r="43" spans="2:14" x14ac:dyDescent="0.25">
      <c r="B43" s="22" t="s">
        <v>41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1"/>
    </row>
    <row r="44" spans="2:14" x14ac:dyDescent="0.25">
      <c r="B44" s="22" t="s">
        <v>43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1"/>
    </row>
    <row r="45" spans="2:14" x14ac:dyDescent="0.25">
      <c r="B45" s="22" t="s">
        <v>46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1"/>
    </row>
    <row r="46" spans="2:14" x14ac:dyDescent="0.25">
      <c r="B46" s="22" t="s">
        <v>47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1"/>
    </row>
    <row r="47" spans="2:14" ht="16.5" thickBot="1" x14ac:dyDescent="0.3">
      <c r="B47" s="23" t="s">
        <v>51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</sheetData>
  <mergeCells count="7">
    <mergeCell ref="B40:N40"/>
    <mergeCell ref="B13:N13"/>
    <mergeCell ref="B3:N3"/>
    <mergeCell ref="P6:Q6"/>
    <mergeCell ref="B4:N4"/>
    <mergeCell ref="B22:N22"/>
    <mergeCell ref="B31:N31"/>
  </mergeCells>
  <conditionalFormatting sqref="Q9">
    <cfRule type="iconSet" priority="14">
      <iconSet showValue="0">
        <cfvo type="percent" val="0"/>
        <cfvo type="num" val="2"/>
        <cfvo type="num" val="3"/>
      </iconSet>
    </cfRule>
  </conditionalFormatting>
  <conditionalFormatting sqref="Q8">
    <cfRule type="iconSet" priority="13">
      <iconSet showValue="0">
        <cfvo type="percent" val="0"/>
        <cfvo type="num" val="2"/>
        <cfvo type="num" val="3"/>
      </iconSet>
    </cfRule>
  </conditionalFormatting>
  <conditionalFormatting sqref="Q7">
    <cfRule type="iconSet" priority="12">
      <iconSet showValue="0">
        <cfvo type="percent" val="0"/>
        <cfvo type="num" val="2"/>
        <cfvo type="num" val="3"/>
      </iconSet>
    </cfRule>
  </conditionalFormatting>
  <conditionalFormatting sqref="G24:N24 C25:N29">
    <cfRule type="iconSet" priority="11">
      <iconSet showValue="0">
        <cfvo type="percent" val="0"/>
        <cfvo type="num" val="2"/>
        <cfvo type="num" val="3"/>
      </iconSet>
    </cfRule>
  </conditionalFormatting>
  <conditionalFormatting sqref="C6:F6 H6:N6 C7:N12">
    <cfRule type="iconSet" priority="70">
      <iconSet showValue="0">
        <cfvo type="percent" val="0"/>
        <cfvo type="num" val="2"/>
        <cfvo type="num" val="3"/>
      </iconSet>
    </cfRule>
  </conditionalFormatting>
  <conditionalFormatting sqref="G6">
    <cfRule type="iconSet" priority="10">
      <iconSet showValue="0">
        <cfvo type="percent" val="0"/>
        <cfvo type="num" val="2"/>
        <cfvo type="num" val="3"/>
      </iconSet>
    </cfRule>
  </conditionalFormatting>
  <conditionalFormatting sqref="C24:F28">
    <cfRule type="iconSet" priority="9">
      <iconSet showValue="0">
        <cfvo type="percent" val="0"/>
        <cfvo type="num" val="2"/>
        <cfvo type="num" val="3"/>
      </iconSet>
    </cfRule>
  </conditionalFormatting>
  <conditionalFormatting sqref="G33:N33 D34:N38">
    <cfRule type="iconSet" priority="8">
      <iconSet showValue="0">
        <cfvo type="percent" val="0"/>
        <cfvo type="num" val="2"/>
        <cfvo type="num" val="3"/>
      </iconSet>
    </cfRule>
  </conditionalFormatting>
  <conditionalFormatting sqref="D33:F37">
    <cfRule type="iconSet" priority="7">
      <iconSet showValue="0">
        <cfvo type="percent" val="0"/>
        <cfvo type="num" val="2"/>
        <cfvo type="num" val="3"/>
      </iconSet>
    </cfRule>
  </conditionalFormatting>
  <conditionalFormatting sqref="C42:F42 H42:N42 C43:N47">
    <cfRule type="iconSet" priority="6">
      <iconSet showValue="0">
        <cfvo type="percent" val="0"/>
        <cfvo type="num" val="2"/>
        <cfvo type="num" val="3"/>
      </iconSet>
    </cfRule>
  </conditionalFormatting>
  <conditionalFormatting sqref="G42">
    <cfRule type="iconSet" priority="5">
      <iconSet showValue="0">
        <cfvo type="percent" val="0"/>
        <cfvo type="num" val="2"/>
        <cfvo type="num" val="3"/>
      </iconSet>
    </cfRule>
  </conditionalFormatting>
  <conditionalFormatting sqref="G15:N15 C16:N20">
    <cfRule type="iconSet" priority="4">
      <iconSet showValue="0">
        <cfvo type="percent" val="0"/>
        <cfvo type="num" val="2"/>
        <cfvo type="num" val="3"/>
      </iconSet>
    </cfRule>
  </conditionalFormatting>
  <conditionalFormatting sqref="C15:F19">
    <cfRule type="iconSet" priority="3">
      <iconSet showValue="0">
        <cfvo type="percent" val="0"/>
        <cfvo type="num" val="2"/>
        <cfvo type="num" val="3"/>
      </iconSet>
    </cfRule>
  </conditionalFormatting>
  <conditionalFormatting sqref="C34:C38">
    <cfRule type="iconSet" priority="2">
      <iconSet showValue="0">
        <cfvo type="percent" val="0"/>
        <cfvo type="num" val="2"/>
        <cfvo type="num" val="3"/>
      </iconSet>
    </cfRule>
  </conditionalFormatting>
  <conditionalFormatting sqref="C33:C37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19"/>
  <sheetViews>
    <sheetView showGridLines="0" topLeftCell="A2" zoomScale="70" zoomScaleNormal="70" zoomScalePageLayoutView="150" workbookViewId="0">
      <selection activeCell="B27" sqref="B27"/>
    </sheetView>
  </sheetViews>
  <sheetFormatPr defaultColWidth="11" defaultRowHeight="15.75" x14ac:dyDescent="0.25"/>
  <cols>
    <col min="2" max="2" width="44.25" bestFit="1" customWidth="1"/>
    <col min="3" max="4" width="6.75" bestFit="1" customWidth="1"/>
    <col min="5" max="5" width="7.5" bestFit="1" customWidth="1"/>
    <col min="6" max="6" width="6.875" bestFit="1" customWidth="1"/>
    <col min="7" max="7" width="7.25" bestFit="1" customWidth="1"/>
    <col min="8" max="8" width="6.875" bestFit="1" customWidth="1"/>
    <col min="9" max="9" width="6.375" bestFit="1" customWidth="1"/>
    <col min="10" max="10" width="7.125" bestFit="1" customWidth="1"/>
    <col min="11" max="11" width="6.75" bestFit="1" customWidth="1"/>
    <col min="12" max="12" width="7.125" bestFit="1" customWidth="1"/>
    <col min="13" max="13" width="7.25" bestFit="1" customWidth="1"/>
    <col min="14" max="14" width="7.125" bestFit="1" customWidth="1"/>
    <col min="15" max="15" width="5.625" customWidth="1"/>
    <col min="16" max="16" width="20.25" bestFit="1" customWidth="1"/>
    <col min="17" max="17" width="9.125" customWidth="1"/>
  </cols>
  <sheetData>
    <row r="1" spans="2:17" ht="57.75" customHeight="1" x14ac:dyDescent="0.25"/>
    <row r="2" spans="2:17" ht="28.5" customHeight="1" thickBot="1" x14ac:dyDescent="0.3"/>
    <row r="3" spans="2:17" s="10" customFormat="1" ht="31.5" customHeight="1" thickBot="1" x14ac:dyDescent="0.3">
      <c r="B3" s="95" t="s">
        <v>19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7" ht="21.75" customHeight="1" thickBot="1" x14ac:dyDescent="0.3">
      <c r="B4" s="103" t="s">
        <v>74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5"/>
    </row>
    <row r="5" spans="2:17" ht="16.5" thickBot="1" x14ac:dyDescent="0.3">
      <c r="B5" s="49" t="s">
        <v>20</v>
      </c>
      <c r="C5" s="50">
        <v>43466</v>
      </c>
      <c r="D5" s="50">
        <v>43497</v>
      </c>
      <c r="E5" s="50">
        <v>43525</v>
      </c>
      <c r="F5" s="50">
        <v>43556</v>
      </c>
      <c r="G5" s="50">
        <v>43586</v>
      </c>
      <c r="H5" s="50">
        <v>43617</v>
      </c>
      <c r="I5" s="50">
        <v>43647</v>
      </c>
      <c r="J5" s="50">
        <v>43678</v>
      </c>
      <c r="K5" s="50">
        <v>43709</v>
      </c>
      <c r="L5" s="50">
        <v>43739</v>
      </c>
      <c r="M5" s="50">
        <v>43770</v>
      </c>
      <c r="N5" s="50">
        <v>43800</v>
      </c>
    </row>
    <row r="6" spans="2:17" x14ac:dyDescent="0.25">
      <c r="B6" s="47" t="s">
        <v>21</v>
      </c>
      <c r="C6" s="26">
        <v>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48"/>
      <c r="P6" s="101" t="s">
        <v>58</v>
      </c>
      <c r="Q6" s="102"/>
    </row>
    <row r="7" spans="2:17" x14ac:dyDescent="0.25">
      <c r="B7" s="22" t="s">
        <v>22</v>
      </c>
      <c r="C7" s="18">
        <v>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21"/>
      <c r="P7" s="12" t="s">
        <v>55</v>
      </c>
      <c r="Q7" s="13">
        <v>5</v>
      </c>
    </row>
    <row r="8" spans="2:17" x14ac:dyDescent="0.25">
      <c r="B8" s="22" t="s">
        <v>23</v>
      </c>
      <c r="C8" s="18">
        <v>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21"/>
      <c r="P8" s="14" t="s">
        <v>57</v>
      </c>
      <c r="Q8" s="15">
        <v>2</v>
      </c>
    </row>
    <row r="9" spans="2:17" x14ac:dyDescent="0.25">
      <c r="B9" s="22" t="s">
        <v>24</v>
      </c>
      <c r="C9" s="18">
        <v>3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21"/>
      <c r="P9" s="16" t="s">
        <v>56</v>
      </c>
      <c r="Q9" s="17">
        <v>1</v>
      </c>
    </row>
    <row r="10" spans="2:17" x14ac:dyDescent="0.25">
      <c r="B10" s="44" t="s">
        <v>25</v>
      </c>
      <c r="C10" s="18">
        <v>2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</row>
    <row r="11" spans="2:17" s="2" customFormat="1" x14ac:dyDescent="0.25">
      <c r="B11" s="45" t="s">
        <v>26</v>
      </c>
      <c r="C11" s="18">
        <v>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1"/>
    </row>
    <row r="12" spans="2:17" x14ac:dyDescent="0.25">
      <c r="B12" s="46" t="s">
        <v>27</v>
      </c>
      <c r="C12" s="18">
        <v>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1"/>
    </row>
    <row r="13" spans="2:17" x14ac:dyDescent="0.25">
      <c r="B13" s="46" t="s">
        <v>28</v>
      </c>
      <c r="C13" s="18">
        <v>2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1"/>
    </row>
    <row r="14" spans="2:17" x14ac:dyDescent="0.25">
      <c r="B14" s="46" t="s">
        <v>29</v>
      </c>
      <c r="C14" s="18">
        <v>2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1"/>
    </row>
    <row r="15" spans="2:17" ht="16.5" thickBot="1" x14ac:dyDescent="0.3">
      <c r="B15" s="51" t="s">
        <v>27</v>
      </c>
      <c r="C15" s="30">
        <v>2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52"/>
    </row>
    <row r="16" spans="2:17" ht="16.5" thickBot="1" x14ac:dyDescent="0.3">
      <c r="B16" s="53" t="s">
        <v>30</v>
      </c>
      <c r="C16" s="50">
        <v>43466</v>
      </c>
      <c r="D16" s="50">
        <v>43497</v>
      </c>
      <c r="E16" s="50">
        <v>43525</v>
      </c>
      <c r="F16" s="50">
        <v>43556</v>
      </c>
      <c r="G16" s="50">
        <v>43586</v>
      </c>
      <c r="H16" s="50">
        <v>43617</v>
      </c>
      <c r="I16" s="50">
        <v>43647</v>
      </c>
      <c r="J16" s="50">
        <v>43678</v>
      </c>
      <c r="K16" s="50">
        <v>43709</v>
      </c>
      <c r="L16" s="50">
        <v>43739</v>
      </c>
      <c r="M16" s="50">
        <v>43770</v>
      </c>
      <c r="N16" s="50">
        <v>43800</v>
      </c>
    </row>
    <row r="17" spans="2:14" x14ac:dyDescent="0.25">
      <c r="B17" s="47" t="s">
        <v>31</v>
      </c>
      <c r="C17" s="26">
        <v>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48"/>
    </row>
    <row r="18" spans="2:14" x14ac:dyDescent="0.25">
      <c r="B18" s="22" t="s">
        <v>32</v>
      </c>
      <c r="C18" s="18">
        <v>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1"/>
    </row>
    <row r="19" spans="2:14" x14ac:dyDescent="0.25">
      <c r="B19" s="22" t="s">
        <v>33</v>
      </c>
      <c r="C19" s="18">
        <v>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1"/>
    </row>
    <row r="20" spans="2:14" x14ac:dyDescent="0.25">
      <c r="B20" s="22" t="s">
        <v>34</v>
      </c>
      <c r="C20" s="18">
        <v>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1"/>
    </row>
    <row r="21" spans="2:14" s="2" customFormat="1" x14ac:dyDescent="0.25">
      <c r="B21" s="45" t="s">
        <v>35</v>
      </c>
      <c r="C21" s="18">
        <v>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1"/>
    </row>
    <row r="22" spans="2:14" x14ac:dyDescent="0.25">
      <c r="B22" s="46" t="s">
        <v>36</v>
      </c>
      <c r="C22" s="18">
        <v>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1"/>
    </row>
    <row r="23" spans="2:14" x14ac:dyDescent="0.25">
      <c r="B23" s="46" t="s">
        <v>37</v>
      </c>
      <c r="C23" s="18">
        <v>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1"/>
    </row>
    <row r="24" spans="2:14" ht="16.5" thickBot="1" x14ac:dyDescent="0.3">
      <c r="B24" s="23" t="s">
        <v>38</v>
      </c>
      <c r="C24" s="24"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</row>
    <row r="25" spans="2:14" ht="16.5" thickBot="1" x14ac:dyDescent="0.3">
      <c r="B25" s="4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2:14" ht="24" customHeight="1" thickBot="1" x14ac:dyDescent="0.3">
      <c r="B26" s="103" t="s">
        <v>75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</row>
    <row r="27" spans="2:14" ht="16.5" thickBot="1" x14ac:dyDescent="0.3">
      <c r="B27" s="49" t="s">
        <v>20</v>
      </c>
      <c r="C27" s="50">
        <v>43466</v>
      </c>
      <c r="D27" s="50">
        <v>43497</v>
      </c>
      <c r="E27" s="50">
        <v>43525</v>
      </c>
      <c r="F27" s="50">
        <v>43556</v>
      </c>
      <c r="G27" s="50">
        <v>43586</v>
      </c>
      <c r="H27" s="50">
        <v>43617</v>
      </c>
      <c r="I27" s="50">
        <v>43647</v>
      </c>
      <c r="J27" s="50">
        <v>43678</v>
      </c>
      <c r="K27" s="50">
        <v>43709</v>
      </c>
      <c r="L27" s="50">
        <v>43739</v>
      </c>
      <c r="M27" s="50">
        <v>43770</v>
      </c>
      <c r="N27" s="50">
        <v>43800</v>
      </c>
    </row>
    <row r="28" spans="2:14" x14ac:dyDescent="0.25">
      <c r="B28" s="47" t="s">
        <v>21</v>
      </c>
      <c r="C28" s="26" t="s">
        <v>72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8"/>
    </row>
    <row r="29" spans="2:14" x14ac:dyDescent="0.25">
      <c r="B29" s="22" t="s">
        <v>22</v>
      </c>
      <c r="C29" s="18" t="s">
        <v>72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1"/>
    </row>
    <row r="30" spans="2:14" x14ac:dyDescent="0.25">
      <c r="B30" s="22" t="s">
        <v>23</v>
      </c>
      <c r="C30" s="18" t="s">
        <v>72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1"/>
    </row>
    <row r="31" spans="2:14" x14ac:dyDescent="0.25">
      <c r="B31" s="22" t="s">
        <v>24</v>
      </c>
      <c r="C31" s="18" t="s">
        <v>72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1"/>
    </row>
    <row r="32" spans="2:14" x14ac:dyDescent="0.25">
      <c r="B32" s="44" t="s">
        <v>25</v>
      </c>
      <c r="C32" s="18" t="s">
        <v>72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1"/>
    </row>
    <row r="33" spans="2:14" x14ac:dyDescent="0.25">
      <c r="B33" s="45" t="s">
        <v>26</v>
      </c>
      <c r="C33" s="18" t="s">
        <v>72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1"/>
    </row>
    <row r="34" spans="2:14" x14ac:dyDescent="0.25">
      <c r="B34" s="46" t="s">
        <v>27</v>
      </c>
      <c r="C34" s="18" t="s">
        <v>72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1"/>
    </row>
    <row r="35" spans="2:14" x14ac:dyDescent="0.25">
      <c r="B35" s="46" t="s">
        <v>28</v>
      </c>
      <c r="C35" s="18" t="s">
        <v>72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1"/>
    </row>
    <row r="36" spans="2:14" x14ac:dyDescent="0.25">
      <c r="B36" s="46" t="s">
        <v>29</v>
      </c>
      <c r="C36" s="18" t="s">
        <v>72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1"/>
    </row>
    <row r="37" spans="2:14" ht="16.5" thickBot="1" x14ac:dyDescent="0.3">
      <c r="B37" s="51" t="s">
        <v>27</v>
      </c>
      <c r="C37" s="30" t="s">
        <v>72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52"/>
    </row>
    <row r="38" spans="2:14" ht="16.5" thickBot="1" x14ac:dyDescent="0.3">
      <c r="B38" s="53" t="s">
        <v>30</v>
      </c>
      <c r="C38" s="50">
        <v>43466</v>
      </c>
      <c r="D38" s="50">
        <v>43497</v>
      </c>
      <c r="E38" s="50">
        <v>43525</v>
      </c>
      <c r="F38" s="50">
        <v>43556</v>
      </c>
      <c r="G38" s="50">
        <v>43586</v>
      </c>
      <c r="H38" s="50">
        <v>43617</v>
      </c>
      <c r="I38" s="50">
        <v>43647</v>
      </c>
      <c r="J38" s="50">
        <v>43678</v>
      </c>
      <c r="K38" s="50">
        <v>43709</v>
      </c>
      <c r="L38" s="50">
        <v>43739</v>
      </c>
      <c r="M38" s="50">
        <v>43770</v>
      </c>
      <c r="N38" s="50">
        <v>43800</v>
      </c>
    </row>
    <row r="39" spans="2:14" x14ac:dyDescent="0.25">
      <c r="B39" s="47" t="s">
        <v>31</v>
      </c>
      <c r="C39" s="26" t="s">
        <v>72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8"/>
    </row>
    <row r="40" spans="2:14" x14ac:dyDescent="0.25">
      <c r="B40" s="22" t="s">
        <v>32</v>
      </c>
      <c r="C40" s="18" t="s">
        <v>72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1"/>
    </row>
    <row r="41" spans="2:14" x14ac:dyDescent="0.25">
      <c r="B41" s="22" t="s">
        <v>33</v>
      </c>
      <c r="C41" s="18" t="s">
        <v>72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1"/>
    </row>
    <row r="42" spans="2:14" x14ac:dyDescent="0.25">
      <c r="B42" s="22" t="s">
        <v>34</v>
      </c>
      <c r="C42" s="18" t="s">
        <v>72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1"/>
    </row>
    <row r="43" spans="2:14" x14ac:dyDescent="0.25">
      <c r="B43" s="45" t="s">
        <v>35</v>
      </c>
      <c r="C43" s="18" t="s">
        <v>72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1"/>
    </row>
    <row r="44" spans="2:14" x14ac:dyDescent="0.25">
      <c r="B44" s="46" t="s">
        <v>36</v>
      </c>
      <c r="C44" s="18" t="s">
        <v>72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1"/>
    </row>
    <row r="45" spans="2:14" x14ac:dyDescent="0.25">
      <c r="B45" s="46" t="s">
        <v>37</v>
      </c>
      <c r="C45" s="18" t="s">
        <v>72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1"/>
    </row>
    <row r="46" spans="2:14" ht="16.5" thickBot="1" x14ac:dyDescent="0.3">
      <c r="B46" s="23" t="s">
        <v>38</v>
      </c>
      <c r="C46" s="24" t="s">
        <v>72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</row>
    <row r="47" spans="2:14" ht="16.5" thickBot="1" x14ac:dyDescent="0.3">
      <c r="B47" s="4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2:14" ht="24" customHeight="1" thickBot="1" x14ac:dyDescent="0.3">
      <c r="B48" s="103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5"/>
    </row>
    <row r="49" spans="2:14" ht="16.5" thickBot="1" x14ac:dyDescent="0.3">
      <c r="B49" s="49" t="s">
        <v>20</v>
      </c>
      <c r="C49" s="50">
        <v>43466</v>
      </c>
      <c r="D49" s="50">
        <v>43497</v>
      </c>
      <c r="E49" s="50">
        <v>43525</v>
      </c>
      <c r="F49" s="50">
        <v>43556</v>
      </c>
      <c r="G49" s="50">
        <v>43586</v>
      </c>
      <c r="H49" s="50">
        <v>43617</v>
      </c>
      <c r="I49" s="50">
        <v>43647</v>
      </c>
      <c r="J49" s="50">
        <v>43678</v>
      </c>
      <c r="K49" s="50">
        <v>43709</v>
      </c>
      <c r="L49" s="50">
        <v>43739</v>
      </c>
      <c r="M49" s="50">
        <v>43770</v>
      </c>
      <c r="N49" s="50">
        <v>43800</v>
      </c>
    </row>
    <row r="50" spans="2:14" x14ac:dyDescent="0.25">
      <c r="B50" s="47" t="s">
        <v>21</v>
      </c>
      <c r="C50" s="26">
        <v>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8"/>
    </row>
    <row r="51" spans="2:14" x14ac:dyDescent="0.25">
      <c r="B51" s="22" t="s">
        <v>22</v>
      </c>
      <c r="C51" s="18">
        <v>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21"/>
    </row>
    <row r="52" spans="2:14" x14ac:dyDescent="0.25">
      <c r="B52" s="22" t="s">
        <v>23</v>
      </c>
      <c r="C52" s="18">
        <v>3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1"/>
    </row>
    <row r="53" spans="2:14" x14ac:dyDescent="0.25">
      <c r="B53" s="22" t="s">
        <v>24</v>
      </c>
      <c r="C53" s="18">
        <v>3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21"/>
    </row>
    <row r="54" spans="2:14" x14ac:dyDescent="0.25">
      <c r="B54" s="44" t="s">
        <v>25</v>
      </c>
      <c r="C54" s="18">
        <v>3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21"/>
    </row>
    <row r="55" spans="2:14" x14ac:dyDescent="0.25">
      <c r="B55" s="45" t="s">
        <v>26</v>
      </c>
      <c r="C55" s="18" t="s">
        <v>72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1"/>
    </row>
    <row r="56" spans="2:14" x14ac:dyDescent="0.25">
      <c r="B56" s="46" t="s">
        <v>27</v>
      </c>
      <c r="C56" s="18">
        <v>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1"/>
    </row>
    <row r="57" spans="2:14" x14ac:dyDescent="0.25">
      <c r="B57" s="46" t="s">
        <v>28</v>
      </c>
      <c r="C57" s="18">
        <v>3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1"/>
    </row>
    <row r="58" spans="2:14" x14ac:dyDescent="0.25">
      <c r="B58" s="46" t="s">
        <v>29</v>
      </c>
      <c r="C58" s="18" t="s">
        <v>72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1"/>
    </row>
    <row r="59" spans="2:14" ht="16.5" thickBot="1" x14ac:dyDescent="0.3">
      <c r="B59" s="51" t="s">
        <v>27</v>
      </c>
      <c r="C59" s="30">
        <v>3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2"/>
    </row>
    <row r="60" spans="2:14" ht="16.5" thickBot="1" x14ac:dyDescent="0.3">
      <c r="B60" s="53" t="s">
        <v>30</v>
      </c>
      <c r="C60" s="50">
        <v>43466</v>
      </c>
      <c r="D60" s="50">
        <v>43497</v>
      </c>
      <c r="E60" s="50">
        <v>43525</v>
      </c>
      <c r="F60" s="50">
        <v>43556</v>
      </c>
      <c r="G60" s="50">
        <v>43586</v>
      </c>
      <c r="H60" s="50">
        <v>43617</v>
      </c>
      <c r="I60" s="50">
        <v>43647</v>
      </c>
      <c r="J60" s="50">
        <v>43678</v>
      </c>
      <c r="K60" s="50">
        <v>43709</v>
      </c>
      <c r="L60" s="50">
        <v>43739</v>
      </c>
      <c r="M60" s="50">
        <v>43770</v>
      </c>
      <c r="N60" s="50">
        <v>43800</v>
      </c>
    </row>
    <row r="61" spans="2:14" x14ac:dyDescent="0.25">
      <c r="B61" s="47" t="s">
        <v>31</v>
      </c>
      <c r="C61" s="26" t="s">
        <v>72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8"/>
    </row>
    <row r="62" spans="2:14" x14ac:dyDescent="0.25">
      <c r="B62" s="22" t="s">
        <v>32</v>
      </c>
      <c r="C62" s="18">
        <v>3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1"/>
    </row>
    <row r="63" spans="2:14" x14ac:dyDescent="0.25">
      <c r="B63" s="22" t="s">
        <v>33</v>
      </c>
      <c r="C63" s="18" t="s">
        <v>72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1"/>
    </row>
    <row r="64" spans="2:14" x14ac:dyDescent="0.25">
      <c r="B64" s="22" t="s">
        <v>34</v>
      </c>
      <c r="C64" s="18" t="s">
        <v>72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21"/>
    </row>
    <row r="65" spans="2:14" x14ac:dyDescent="0.25">
      <c r="B65" s="45" t="s">
        <v>35</v>
      </c>
      <c r="C65" s="18" t="s">
        <v>72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1"/>
    </row>
    <row r="66" spans="2:14" x14ac:dyDescent="0.25">
      <c r="B66" s="46" t="s">
        <v>36</v>
      </c>
      <c r="C66" s="18">
        <v>3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1"/>
    </row>
    <row r="67" spans="2:14" x14ac:dyDescent="0.25">
      <c r="B67" s="46" t="s">
        <v>37</v>
      </c>
      <c r="C67" s="18">
        <v>3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1"/>
    </row>
    <row r="68" spans="2:14" ht="16.5" thickBot="1" x14ac:dyDescent="0.3">
      <c r="B68" s="23" t="s">
        <v>38</v>
      </c>
      <c r="C68" s="24" t="s">
        <v>72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</row>
    <row r="69" spans="2:14" ht="16.5" thickBot="1" x14ac:dyDescent="0.3"/>
    <row r="70" spans="2:14" ht="24" customHeight="1" thickBot="1" x14ac:dyDescent="0.3">
      <c r="B70" s="98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100"/>
    </row>
    <row r="71" spans="2:14" ht="16.5" thickBot="1" x14ac:dyDescent="0.3">
      <c r="B71" s="49" t="s">
        <v>20</v>
      </c>
      <c r="C71" s="50">
        <v>43466</v>
      </c>
      <c r="D71" s="50">
        <v>43497</v>
      </c>
      <c r="E71" s="50">
        <v>43525</v>
      </c>
      <c r="F71" s="50">
        <v>43556</v>
      </c>
      <c r="G71" s="50">
        <v>43586</v>
      </c>
      <c r="H71" s="50">
        <v>43617</v>
      </c>
      <c r="I71" s="50">
        <v>43647</v>
      </c>
      <c r="J71" s="50">
        <v>43678</v>
      </c>
      <c r="K71" s="50">
        <v>43709</v>
      </c>
      <c r="L71" s="50">
        <v>43739</v>
      </c>
      <c r="M71" s="50">
        <v>43770</v>
      </c>
      <c r="N71" s="50">
        <v>43800</v>
      </c>
    </row>
    <row r="72" spans="2:14" x14ac:dyDescent="0.25">
      <c r="B72" s="47" t="s">
        <v>21</v>
      </c>
      <c r="C72" s="26">
        <v>3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8"/>
    </row>
    <row r="73" spans="2:14" x14ac:dyDescent="0.25">
      <c r="B73" s="22" t="s">
        <v>22</v>
      </c>
      <c r="C73" s="18">
        <v>3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1"/>
    </row>
    <row r="74" spans="2:14" x14ac:dyDescent="0.25">
      <c r="B74" s="22" t="s">
        <v>23</v>
      </c>
      <c r="C74" s="18">
        <v>3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21"/>
    </row>
    <row r="75" spans="2:14" x14ac:dyDescent="0.25">
      <c r="B75" s="22" t="s">
        <v>24</v>
      </c>
      <c r="C75" s="18">
        <v>3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21"/>
    </row>
    <row r="76" spans="2:14" x14ac:dyDescent="0.25">
      <c r="B76" s="44" t="s">
        <v>25</v>
      </c>
      <c r="C76" s="18">
        <v>3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21"/>
    </row>
    <row r="77" spans="2:14" x14ac:dyDescent="0.25">
      <c r="B77" s="45" t="s">
        <v>26</v>
      </c>
      <c r="C77" s="18" t="s">
        <v>72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1"/>
    </row>
    <row r="78" spans="2:14" x14ac:dyDescent="0.25">
      <c r="B78" s="46" t="s">
        <v>27</v>
      </c>
      <c r="C78" s="18">
        <v>3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1"/>
    </row>
    <row r="79" spans="2:14" x14ac:dyDescent="0.25">
      <c r="B79" s="46" t="s">
        <v>28</v>
      </c>
      <c r="C79" s="18">
        <v>3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1"/>
    </row>
    <row r="80" spans="2:14" x14ac:dyDescent="0.25">
      <c r="B80" s="46" t="s">
        <v>29</v>
      </c>
      <c r="C80" s="18" t="s">
        <v>72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1"/>
    </row>
    <row r="81" spans="2:14" ht="16.5" thickBot="1" x14ac:dyDescent="0.3">
      <c r="B81" s="51" t="s">
        <v>27</v>
      </c>
      <c r="C81" s="30">
        <v>3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52"/>
    </row>
    <row r="82" spans="2:14" ht="16.5" thickBot="1" x14ac:dyDescent="0.3">
      <c r="B82" s="53" t="s">
        <v>30</v>
      </c>
      <c r="C82" s="50">
        <v>43466</v>
      </c>
      <c r="D82" s="50">
        <v>43497</v>
      </c>
      <c r="E82" s="50">
        <v>43525</v>
      </c>
      <c r="F82" s="50">
        <v>43556</v>
      </c>
      <c r="G82" s="50">
        <v>43586</v>
      </c>
      <c r="H82" s="50">
        <v>43617</v>
      </c>
      <c r="I82" s="50">
        <v>43647</v>
      </c>
      <c r="J82" s="50">
        <v>43678</v>
      </c>
      <c r="K82" s="50">
        <v>43709</v>
      </c>
      <c r="L82" s="50">
        <v>43739</v>
      </c>
      <c r="M82" s="50">
        <v>43770</v>
      </c>
      <c r="N82" s="50">
        <v>43800</v>
      </c>
    </row>
    <row r="83" spans="2:14" x14ac:dyDescent="0.25">
      <c r="B83" s="47" t="s">
        <v>31</v>
      </c>
      <c r="C83" s="26" t="s">
        <v>72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8"/>
    </row>
    <row r="84" spans="2:14" x14ac:dyDescent="0.25">
      <c r="B84" s="22" t="s">
        <v>32</v>
      </c>
      <c r="C84" s="18">
        <v>3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1"/>
    </row>
    <row r="85" spans="2:14" x14ac:dyDescent="0.25">
      <c r="B85" s="22" t="s">
        <v>33</v>
      </c>
      <c r="C85" s="18" t="s">
        <v>72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1"/>
    </row>
    <row r="86" spans="2:14" x14ac:dyDescent="0.25">
      <c r="B86" s="22" t="s">
        <v>34</v>
      </c>
      <c r="C86" s="18" t="s">
        <v>72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1"/>
    </row>
    <row r="87" spans="2:14" x14ac:dyDescent="0.25">
      <c r="B87" s="45" t="s">
        <v>35</v>
      </c>
      <c r="C87" s="18" t="s">
        <v>72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1"/>
    </row>
    <row r="88" spans="2:14" x14ac:dyDescent="0.25">
      <c r="B88" s="46" t="s">
        <v>36</v>
      </c>
      <c r="C88" s="18">
        <v>3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1"/>
    </row>
    <row r="89" spans="2:14" x14ac:dyDescent="0.25">
      <c r="B89" s="46" t="s">
        <v>37</v>
      </c>
      <c r="C89" s="18">
        <v>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1"/>
    </row>
    <row r="90" spans="2:14" ht="16.5" thickBot="1" x14ac:dyDescent="0.3">
      <c r="B90" s="23" t="s">
        <v>38</v>
      </c>
      <c r="C90" s="24" t="s">
        <v>72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5"/>
    </row>
    <row r="91" spans="2:14" ht="16.5" thickBot="1" x14ac:dyDescent="0.3"/>
    <row r="92" spans="2:14" ht="22.5" customHeight="1" thickBot="1" x14ac:dyDescent="0.3">
      <c r="B92" s="98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100"/>
    </row>
    <row r="93" spans="2:14" ht="16.5" thickBot="1" x14ac:dyDescent="0.3">
      <c r="B93" s="49" t="s">
        <v>20</v>
      </c>
      <c r="C93" s="50">
        <v>43466</v>
      </c>
      <c r="D93" s="50">
        <v>43497</v>
      </c>
      <c r="E93" s="50">
        <v>43525</v>
      </c>
      <c r="F93" s="50">
        <v>43556</v>
      </c>
      <c r="G93" s="50">
        <v>43586</v>
      </c>
      <c r="H93" s="50">
        <v>43617</v>
      </c>
      <c r="I93" s="50">
        <v>43647</v>
      </c>
      <c r="J93" s="50">
        <v>43678</v>
      </c>
      <c r="K93" s="50">
        <v>43709</v>
      </c>
      <c r="L93" s="50">
        <v>43739</v>
      </c>
      <c r="M93" s="50">
        <v>43770</v>
      </c>
      <c r="N93" s="50">
        <v>43800</v>
      </c>
    </row>
    <row r="94" spans="2:14" x14ac:dyDescent="0.25">
      <c r="B94" s="47" t="s">
        <v>21</v>
      </c>
      <c r="C94" s="26">
        <v>3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8"/>
    </row>
    <row r="95" spans="2:14" x14ac:dyDescent="0.25">
      <c r="B95" s="22" t="s">
        <v>22</v>
      </c>
      <c r="C95" s="18">
        <v>1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1"/>
    </row>
    <row r="96" spans="2:14" x14ac:dyDescent="0.25">
      <c r="B96" s="22" t="s">
        <v>23</v>
      </c>
      <c r="C96" s="18">
        <v>1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1"/>
    </row>
    <row r="97" spans="2:14" x14ac:dyDescent="0.25">
      <c r="B97" s="22" t="s">
        <v>24</v>
      </c>
      <c r="C97" s="18">
        <v>1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1"/>
    </row>
    <row r="98" spans="2:14" x14ac:dyDescent="0.25">
      <c r="B98" s="44" t="s">
        <v>25</v>
      </c>
      <c r="C98" s="18">
        <v>1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1"/>
    </row>
    <row r="99" spans="2:14" x14ac:dyDescent="0.25">
      <c r="B99" s="45" t="s">
        <v>26</v>
      </c>
      <c r="C99" s="18">
        <v>1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21"/>
    </row>
    <row r="100" spans="2:14" x14ac:dyDescent="0.25">
      <c r="B100" s="46" t="s">
        <v>27</v>
      </c>
      <c r="C100" s="18">
        <v>1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1"/>
    </row>
    <row r="101" spans="2:14" x14ac:dyDescent="0.25">
      <c r="B101" s="46" t="s">
        <v>28</v>
      </c>
      <c r="C101" s="18">
        <v>1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21"/>
    </row>
    <row r="102" spans="2:14" x14ac:dyDescent="0.25">
      <c r="B102" s="46" t="s">
        <v>29</v>
      </c>
      <c r="C102" s="18">
        <v>1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21"/>
    </row>
    <row r="103" spans="2:14" ht="16.5" thickBot="1" x14ac:dyDescent="0.3">
      <c r="B103" s="51" t="s">
        <v>27</v>
      </c>
      <c r="C103" s="30">
        <v>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52"/>
    </row>
    <row r="104" spans="2:14" ht="16.5" thickBot="1" x14ac:dyDescent="0.3">
      <c r="B104" s="53" t="s">
        <v>30</v>
      </c>
      <c r="C104" s="50">
        <v>1</v>
      </c>
      <c r="D104" s="50">
        <v>43497</v>
      </c>
      <c r="E104" s="50">
        <v>43525</v>
      </c>
      <c r="F104" s="50">
        <v>43556</v>
      </c>
      <c r="G104" s="50">
        <v>43586</v>
      </c>
      <c r="H104" s="50">
        <v>43617</v>
      </c>
      <c r="I104" s="50">
        <v>43647</v>
      </c>
      <c r="J104" s="50">
        <v>43678</v>
      </c>
      <c r="K104" s="50">
        <v>43709</v>
      </c>
      <c r="L104" s="50">
        <v>43739</v>
      </c>
      <c r="M104" s="50">
        <v>43770</v>
      </c>
      <c r="N104" s="50">
        <v>43800</v>
      </c>
    </row>
    <row r="105" spans="2:14" x14ac:dyDescent="0.25">
      <c r="B105" s="47" t="s">
        <v>31</v>
      </c>
      <c r="C105" s="26">
        <v>1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8"/>
    </row>
    <row r="106" spans="2:14" x14ac:dyDescent="0.25">
      <c r="B106" s="22" t="s">
        <v>32</v>
      </c>
      <c r="C106" s="18">
        <v>1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1"/>
    </row>
    <row r="107" spans="2:14" x14ac:dyDescent="0.25">
      <c r="B107" s="22" t="s">
        <v>33</v>
      </c>
      <c r="C107" s="18">
        <v>1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1"/>
    </row>
    <row r="108" spans="2:14" x14ac:dyDescent="0.25">
      <c r="B108" s="22" t="s">
        <v>34</v>
      </c>
      <c r="C108" s="18">
        <v>1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21"/>
    </row>
    <row r="109" spans="2:14" x14ac:dyDescent="0.25">
      <c r="B109" s="45" t="s">
        <v>35</v>
      </c>
      <c r="C109" s="18">
        <v>1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1"/>
    </row>
    <row r="110" spans="2:14" x14ac:dyDescent="0.25">
      <c r="B110" s="46" t="s">
        <v>36</v>
      </c>
      <c r="C110" s="18">
        <v>1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21"/>
    </row>
    <row r="111" spans="2:14" x14ac:dyDescent="0.25">
      <c r="B111" s="46" t="s">
        <v>37</v>
      </c>
      <c r="C111" s="18">
        <v>1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21"/>
    </row>
    <row r="112" spans="2:14" ht="16.5" thickBot="1" x14ac:dyDescent="0.3">
      <c r="B112" s="23" t="s">
        <v>38</v>
      </c>
      <c r="C112" s="24">
        <v>1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5"/>
    </row>
    <row r="115" spans="10:11" x14ac:dyDescent="0.25">
      <c r="K115" s="57"/>
    </row>
    <row r="116" spans="10:11" x14ac:dyDescent="0.25">
      <c r="J116" s="56"/>
      <c r="K116" s="57"/>
    </row>
    <row r="117" spans="10:11" x14ac:dyDescent="0.25">
      <c r="J117" s="56"/>
      <c r="K117" s="57"/>
    </row>
    <row r="118" spans="10:11" x14ac:dyDescent="0.25">
      <c r="K118" s="57"/>
    </row>
    <row r="119" spans="10:11" x14ac:dyDescent="0.25">
      <c r="K119" s="57"/>
    </row>
  </sheetData>
  <mergeCells count="7">
    <mergeCell ref="B92:N92"/>
    <mergeCell ref="B70:N70"/>
    <mergeCell ref="P6:Q6"/>
    <mergeCell ref="B3:N3"/>
    <mergeCell ref="B4:N4"/>
    <mergeCell ref="B48:N48"/>
    <mergeCell ref="B26:N26"/>
  </mergeCells>
  <conditionalFormatting sqref="C6:N15">
    <cfRule type="iconSet" priority="16">
      <iconSet showValue="0">
        <cfvo type="percent" val="0"/>
        <cfvo type="num" val="2"/>
        <cfvo type="num" val="3"/>
      </iconSet>
    </cfRule>
  </conditionalFormatting>
  <conditionalFormatting sqref="C50:N59">
    <cfRule type="iconSet" priority="14">
      <iconSet showValue="0">
        <cfvo type="percent" val="0"/>
        <cfvo type="num" val="2"/>
        <cfvo type="num" val="3"/>
      </iconSet>
    </cfRule>
  </conditionalFormatting>
  <conditionalFormatting sqref="C61:N68">
    <cfRule type="iconSet" priority="13">
      <iconSet showValue="0">
        <cfvo type="percent" val="0"/>
        <cfvo type="num" val="2"/>
        <cfvo type="num" val="3"/>
      </iconSet>
    </cfRule>
  </conditionalFormatting>
  <conditionalFormatting sqref="Q9">
    <cfRule type="iconSet" priority="12">
      <iconSet showValue="0">
        <cfvo type="percent" val="0"/>
        <cfvo type="num" val="2"/>
        <cfvo type="num" val="3"/>
      </iconSet>
    </cfRule>
  </conditionalFormatting>
  <conditionalFormatting sqref="Q8">
    <cfRule type="iconSet" priority="11">
      <iconSet showValue="0">
        <cfvo type="percent" val="0"/>
        <cfvo type="num" val="2"/>
        <cfvo type="num" val="3"/>
      </iconSet>
    </cfRule>
  </conditionalFormatting>
  <conditionalFormatting sqref="Q7">
    <cfRule type="iconSet" priority="10">
      <iconSet showValue="0">
        <cfvo type="percent" val="0"/>
        <cfvo type="num" val="2"/>
        <cfvo type="num" val="3"/>
      </iconSet>
    </cfRule>
  </conditionalFormatting>
  <conditionalFormatting sqref="D72:N81 D83:G90">
    <cfRule type="iconSet" priority="9">
      <iconSet showValue="0">
        <cfvo type="percent" val="0"/>
        <cfvo type="num" val="2"/>
        <cfvo type="num" val="3"/>
      </iconSet>
    </cfRule>
  </conditionalFormatting>
  <conditionalFormatting sqref="D83:N90">
    <cfRule type="iconSet" priority="8">
      <iconSet showValue="0">
        <cfvo type="percent" val="0"/>
        <cfvo type="num" val="2"/>
        <cfvo type="num" val="3"/>
      </iconSet>
    </cfRule>
  </conditionalFormatting>
  <conditionalFormatting sqref="C94:N99 C101:N103 D100:N100 C105:G112">
    <cfRule type="iconSet" priority="7">
      <iconSet showValue="0">
        <cfvo type="percent" val="0"/>
        <cfvo type="num" val="2"/>
        <cfvo type="num" val="3"/>
      </iconSet>
    </cfRule>
  </conditionalFormatting>
  <conditionalFormatting sqref="C106:N112 D105:N105">
    <cfRule type="iconSet" priority="6">
      <iconSet showValue="0">
        <cfvo type="percent" val="0"/>
        <cfvo type="num" val="2"/>
        <cfvo type="num" val="3"/>
      </iconSet>
    </cfRule>
  </conditionalFormatting>
  <conditionalFormatting sqref="C100">
    <cfRule type="iconSet" priority="5">
      <iconSet showValue="0">
        <cfvo type="percent" val="0"/>
        <cfvo type="num" val="2"/>
        <cfvo type="num" val="3"/>
      </iconSet>
    </cfRule>
  </conditionalFormatting>
  <conditionalFormatting sqref="C28:N37">
    <cfRule type="iconSet" priority="4">
      <iconSet showValue="0">
        <cfvo type="percent" val="0"/>
        <cfvo type="num" val="2"/>
        <cfvo type="num" val="3"/>
      </iconSet>
    </cfRule>
  </conditionalFormatting>
  <conditionalFormatting sqref="C39:N46">
    <cfRule type="iconSet" priority="3">
      <iconSet showValue="0">
        <cfvo type="percent" val="0"/>
        <cfvo type="num" val="2"/>
        <cfvo type="num" val="3"/>
      </iconSet>
    </cfRule>
  </conditionalFormatting>
  <conditionalFormatting sqref="C17:N25 C47:N47">
    <cfRule type="iconSet" priority="69">
      <iconSet showValue="0">
        <cfvo type="percent" val="0"/>
        <cfvo type="num" val="2"/>
        <cfvo type="num" val="3"/>
      </iconSet>
    </cfRule>
  </conditionalFormatting>
  <conditionalFormatting sqref="C72:C81">
    <cfRule type="iconSet" priority="2">
      <iconSet showValue="0">
        <cfvo type="percent" val="0"/>
        <cfvo type="num" val="2"/>
        <cfvo type="num" val="3"/>
      </iconSet>
    </cfRule>
  </conditionalFormatting>
  <conditionalFormatting sqref="C83:C9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52"/>
  <sheetViews>
    <sheetView showGridLines="0" zoomScaleNormal="100" zoomScalePageLayoutView="150" workbookViewId="0">
      <selection activeCell="C53" sqref="C53"/>
    </sheetView>
  </sheetViews>
  <sheetFormatPr defaultColWidth="11" defaultRowHeight="15.75" x14ac:dyDescent="0.25"/>
  <cols>
    <col min="2" max="2" width="38.75" customWidth="1"/>
    <col min="3" max="4" width="6.375" bestFit="1" customWidth="1"/>
    <col min="5" max="5" width="7.125" bestFit="1" customWidth="1"/>
    <col min="6" max="6" width="6.625" bestFit="1" customWidth="1"/>
    <col min="7" max="7" width="6.875" bestFit="1" customWidth="1"/>
    <col min="8" max="8" width="6.5" bestFit="1" customWidth="1"/>
    <col min="9" max="9" width="5.875" bestFit="1" customWidth="1"/>
    <col min="10" max="10" width="6.875" bestFit="1" customWidth="1"/>
    <col min="11" max="11" width="6.25" bestFit="1" customWidth="1"/>
    <col min="12" max="12" width="6.75" bestFit="1" customWidth="1"/>
    <col min="13" max="13" width="7" bestFit="1" customWidth="1"/>
    <col min="14" max="14" width="6.625" bestFit="1" customWidth="1"/>
    <col min="15" max="15" width="6" customWidth="1"/>
    <col min="16" max="16" width="21" customWidth="1"/>
    <col min="17" max="17" width="10.5" customWidth="1"/>
  </cols>
  <sheetData>
    <row r="1" spans="2:17" ht="54.75" customHeight="1" x14ac:dyDescent="0.25"/>
    <row r="2" spans="2:17" ht="23.25" customHeight="1" thickBot="1" x14ac:dyDescent="0.3"/>
    <row r="3" spans="2:17" ht="31.5" customHeight="1" thickBot="1" x14ac:dyDescent="0.3">
      <c r="B3" s="95" t="s">
        <v>12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7" ht="21" customHeight="1" thickBot="1" x14ac:dyDescent="0.3">
      <c r="B4" s="103" t="str">
        <f>'Dept. Pessoal'!B4:N4</f>
        <v>cliente 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5"/>
    </row>
    <row r="5" spans="2:17" ht="24.75" customHeight="1" thickBot="1" x14ac:dyDescent="0.3">
      <c r="B5" s="34" t="s">
        <v>65</v>
      </c>
      <c r="C5" s="35">
        <v>43466</v>
      </c>
      <c r="D5" s="35">
        <v>43497</v>
      </c>
      <c r="E5" s="35">
        <v>43525</v>
      </c>
      <c r="F5" s="35">
        <v>43556</v>
      </c>
      <c r="G5" s="35">
        <v>43586</v>
      </c>
      <c r="H5" s="35">
        <v>43617</v>
      </c>
      <c r="I5" s="35">
        <v>43647</v>
      </c>
      <c r="J5" s="35">
        <v>43678</v>
      </c>
      <c r="K5" s="35">
        <v>43709</v>
      </c>
      <c r="L5" s="35">
        <v>43739</v>
      </c>
      <c r="M5" s="35">
        <v>43770</v>
      </c>
      <c r="N5" s="35">
        <v>43800</v>
      </c>
      <c r="P5" s="82" t="s">
        <v>58</v>
      </c>
      <c r="Q5" s="83"/>
    </row>
    <row r="6" spans="2:17" x14ac:dyDescent="0.25">
      <c r="B6" s="36" t="s">
        <v>13</v>
      </c>
      <c r="C6" s="37">
        <v>2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  <c r="P6" s="12" t="s">
        <v>55</v>
      </c>
      <c r="Q6" s="13">
        <v>5</v>
      </c>
    </row>
    <row r="7" spans="2:17" x14ac:dyDescent="0.25">
      <c r="B7" s="39" t="s">
        <v>14</v>
      </c>
      <c r="C7" s="18">
        <v>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21"/>
      <c r="P7" s="14" t="s">
        <v>57</v>
      </c>
      <c r="Q7" s="15">
        <v>2</v>
      </c>
    </row>
    <row r="8" spans="2:17" x14ac:dyDescent="0.25">
      <c r="B8" s="39" t="s">
        <v>15</v>
      </c>
      <c r="C8" s="18">
        <v>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21"/>
      <c r="P8" s="16" t="s">
        <v>56</v>
      </c>
      <c r="Q8" s="17">
        <v>1</v>
      </c>
    </row>
    <row r="9" spans="2:17" x14ac:dyDescent="0.25">
      <c r="B9" s="39" t="s">
        <v>68</v>
      </c>
      <c r="C9" s="18">
        <v>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21"/>
    </row>
    <row r="10" spans="2:17" x14ac:dyDescent="0.25">
      <c r="B10" s="39" t="s">
        <v>16</v>
      </c>
      <c r="C10" s="18">
        <v>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</row>
    <row r="11" spans="2:17" x14ac:dyDescent="0.25">
      <c r="B11" s="39" t="s">
        <v>17</v>
      </c>
      <c r="C11" s="18">
        <v>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1"/>
    </row>
    <row r="12" spans="2:17" ht="16.5" thickBot="1" x14ac:dyDescent="0.3">
      <c r="B12" s="40" t="s">
        <v>18</v>
      </c>
      <c r="C12" s="24">
        <v>1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</row>
    <row r="13" spans="2:17" ht="10.5" customHeight="1" thickBot="1" x14ac:dyDescent="0.3"/>
    <row r="14" spans="2:17" ht="21" customHeight="1" thickBot="1" x14ac:dyDescent="0.3">
      <c r="B14" s="89" t="str">
        <f>'Dept. Pessoal'!B26:N26</f>
        <v>cliente2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1"/>
    </row>
    <row r="15" spans="2:17" x14ac:dyDescent="0.25">
      <c r="B15" s="34" t="s">
        <v>65</v>
      </c>
      <c r="C15" s="35">
        <v>43466</v>
      </c>
      <c r="D15" s="35">
        <v>43497</v>
      </c>
      <c r="E15" s="35">
        <v>43525</v>
      </c>
      <c r="F15" s="35">
        <v>43556</v>
      </c>
      <c r="G15" s="35">
        <v>43586</v>
      </c>
      <c r="H15" s="35">
        <v>43617</v>
      </c>
      <c r="I15" s="35">
        <v>43647</v>
      </c>
      <c r="J15" s="35">
        <v>43678</v>
      </c>
      <c r="K15" s="35">
        <v>43709</v>
      </c>
      <c r="L15" s="35">
        <v>43739</v>
      </c>
      <c r="M15" s="35">
        <v>43770</v>
      </c>
      <c r="N15" s="35">
        <v>43800</v>
      </c>
    </row>
    <row r="16" spans="2:17" x14ac:dyDescent="0.25">
      <c r="B16" s="20" t="s">
        <v>13</v>
      </c>
      <c r="C16" s="18" t="s">
        <v>72</v>
      </c>
      <c r="D16" s="18"/>
      <c r="E16" s="18"/>
      <c r="F16" s="18"/>
      <c r="G16" s="11"/>
      <c r="H16" s="18"/>
      <c r="I16" s="18"/>
      <c r="J16" s="18"/>
      <c r="K16" s="18"/>
      <c r="L16" s="18"/>
      <c r="M16" s="18"/>
      <c r="N16" s="21"/>
    </row>
    <row r="17" spans="2:14" x14ac:dyDescent="0.25">
      <c r="B17" s="22" t="s">
        <v>14</v>
      </c>
      <c r="C17" s="18" t="s">
        <v>72</v>
      </c>
      <c r="D17" s="18"/>
      <c r="E17" s="18"/>
      <c r="F17" s="18"/>
      <c r="G17" s="11"/>
      <c r="H17" s="11"/>
      <c r="I17" s="11"/>
      <c r="J17" s="18"/>
      <c r="K17" s="18"/>
      <c r="L17" s="18"/>
      <c r="M17" s="18"/>
      <c r="N17" s="21"/>
    </row>
    <row r="18" spans="2:14" x14ac:dyDescent="0.25">
      <c r="B18" s="22" t="s">
        <v>15</v>
      </c>
      <c r="C18" s="18" t="s">
        <v>72</v>
      </c>
      <c r="D18" s="18"/>
      <c r="E18" s="18"/>
      <c r="F18" s="18"/>
      <c r="G18" s="11"/>
      <c r="H18" s="18"/>
      <c r="I18" s="11"/>
      <c r="J18" s="18"/>
      <c r="K18" s="18"/>
      <c r="L18" s="18"/>
      <c r="M18" s="18"/>
      <c r="N18" s="21"/>
    </row>
    <row r="19" spans="2:14" x14ac:dyDescent="0.25">
      <c r="B19" s="39" t="s">
        <v>68</v>
      </c>
      <c r="C19" s="18" t="s">
        <v>72</v>
      </c>
      <c r="D19" s="18"/>
      <c r="E19" s="1"/>
      <c r="F19" s="18"/>
      <c r="G19" s="11"/>
      <c r="H19" s="11"/>
      <c r="I19" s="11"/>
      <c r="J19" s="11"/>
      <c r="K19" s="11"/>
      <c r="L19" s="11"/>
      <c r="M19" s="18"/>
      <c r="N19" s="21"/>
    </row>
    <row r="20" spans="2:14" x14ac:dyDescent="0.25">
      <c r="B20" s="22" t="s">
        <v>16</v>
      </c>
      <c r="C20" s="18" t="s">
        <v>72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1"/>
    </row>
    <row r="21" spans="2:14" x14ac:dyDescent="0.25">
      <c r="B21" s="22" t="s">
        <v>17</v>
      </c>
      <c r="C21" s="18" t="s">
        <v>72</v>
      </c>
      <c r="D21" s="18"/>
      <c r="E21" s="18"/>
      <c r="F21" s="18"/>
      <c r="G21" s="11"/>
      <c r="H21" s="18"/>
      <c r="I21" s="18"/>
      <c r="J21" s="18"/>
      <c r="K21" s="18"/>
      <c r="L21" s="18"/>
      <c r="M21" s="18"/>
      <c r="N21" s="21"/>
    </row>
    <row r="22" spans="2:14" ht="16.5" thickBot="1" x14ac:dyDescent="0.3">
      <c r="B22" s="28" t="s">
        <v>18</v>
      </c>
      <c r="C22" s="24" t="s">
        <v>72</v>
      </c>
      <c r="D22" s="24"/>
      <c r="E22" s="24"/>
      <c r="F22" s="24"/>
      <c r="G22" s="29"/>
      <c r="H22" s="24"/>
      <c r="I22" s="24"/>
      <c r="J22" s="24"/>
      <c r="K22" s="24"/>
      <c r="L22" s="24"/>
      <c r="M22" s="24"/>
      <c r="N22" s="25"/>
    </row>
    <row r="23" spans="2:14" ht="16.5" thickBot="1" x14ac:dyDescent="0.3">
      <c r="B23" s="33"/>
      <c r="C23" s="31"/>
      <c r="D23" s="31"/>
      <c r="E23" s="31"/>
      <c r="F23" s="31"/>
      <c r="G23" s="32"/>
      <c r="H23" s="31"/>
      <c r="I23" s="31"/>
      <c r="J23" s="31"/>
      <c r="K23" s="31"/>
      <c r="L23" s="31"/>
      <c r="M23" s="31"/>
      <c r="N23" s="31"/>
    </row>
    <row r="24" spans="2:14" ht="21" customHeight="1" thickBot="1" x14ac:dyDescent="0.3">
      <c r="B24" s="89">
        <f>'Dept. Pessoal'!B48:N48</f>
        <v>0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1"/>
    </row>
    <row r="25" spans="2:14" ht="16.5" thickBot="1" x14ac:dyDescent="0.3">
      <c r="B25" s="34" t="s">
        <v>65</v>
      </c>
      <c r="C25" s="35">
        <v>43466</v>
      </c>
      <c r="D25" s="35">
        <v>43497</v>
      </c>
      <c r="E25" s="35">
        <v>43525</v>
      </c>
      <c r="F25" s="35">
        <v>43556</v>
      </c>
      <c r="G25" s="35">
        <v>43586</v>
      </c>
      <c r="H25" s="35">
        <v>43617</v>
      </c>
      <c r="I25" s="35">
        <v>43647</v>
      </c>
      <c r="J25" s="35">
        <v>43678</v>
      </c>
      <c r="K25" s="35">
        <v>43709</v>
      </c>
      <c r="L25" s="35">
        <v>43739</v>
      </c>
      <c r="M25" s="35">
        <v>43770</v>
      </c>
      <c r="N25" s="35">
        <v>43800</v>
      </c>
    </row>
    <row r="26" spans="2:14" x14ac:dyDescent="0.25">
      <c r="B26" s="41" t="s">
        <v>13</v>
      </c>
      <c r="C26" s="37">
        <v>2</v>
      </c>
      <c r="D26" s="37"/>
      <c r="E26" s="37"/>
      <c r="F26" s="37"/>
      <c r="G26" s="42"/>
      <c r="H26" s="37"/>
      <c r="I26" s="37"/>
      <c r="J26" s="37"/>
      <c r="K26" s="37"/>
      <c r="L26" s="37"/>
      <c r="M26" s="37"/>
      <c r="N26" s="38"/>
    </row>
    <row r="27" spans="2:14" x14ac:dyDescent="0.25">
      <c r="B27" s="22" t="s">
        <v>66</v>
      </c>
      <c r="C27" s="18">
        <v>2</v>
      </c>
      <c r="D27" s="18"/>
      <c r="E27" s="18"/>
      <c r="F27" s="18"/>
      <c r="G27" s="11"/>
      <c r="H27" s="11"/>
      <c r="I27" s="11"/>
      <c r="J27" s="18"/>
      <c r="K27" s="18"/>
      <c r="L27" s="18"/>
      <c r="M27" s="18"/>
      <c r="N27" s="21"/>
    </row>
    <row r="28" spans="2:14" x14ac:dyDescent="0.25">
      <c r="B28" s="22" t="s">
        <v>67</v>
      </c>
      <c r="C28" s="18">
        <v>3</v>
      </c>
      <c r="D28" s="18"/>
      <c r="E28" s="18"/>
      <c r="F28" s="18"/>
      <c r="G28" s="11"/>
      <c r="H28" s="18"/>
      <c r="I28" s="18"/>
      <c r="J28" s="18"/>
      <c r="K28" s="18"/>
      <c r="L28" s="18"/>
      <c r="M28" s="18"/>
      <c r="N28" s="21"/>
    </row>
    <row r="29" spans="2:14" x14ac:dyDescent="0.25">
      <c r="B29" s="39" t="s">
        <v>68</v>
      </c>
      <c r="C29" s="18">
        <v>2</v>
      </c>
      <c r="D29" s="18"/>
      <c r="E29" s="1"/>
      <c r="F29" s="18"/>
      <c r="G29" s="11"/>
      <c r="H29" s="11"/>
      <c r="I29" s="11"/>
      <c r="J29" s="11"/>
      <c r="K29" s="11"/>
      <c r="L29" s="11"/>
      <c r="M29" s="18"/>
      <c r="N29" s="21"/>
    </row>
    <row r="30" spans="2:14" x14ac:dyDescent="0.25">
      <c r="B30" s="22" t="s">
        <v>16</v>
      </c>
      <c r="C30" s="18">
        <v>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1"/>
    </row>
    <row r="31" spans="2:14" x14ac:dyDescent="0.25">
      <c r="B31" s="22" t="s">
        <v>17</v>
      </c>
      <c r="C31" s="18">
        <v>2</v>
      </c>
      <c r="D31" s="18"/>
      <c r="E31" s="18"/>
      <c r="F31" s="18"/>
      <c r="G31" s="11"/>
      <c r="H31" s="18"/>
      <c r="I31" s="18"/>
      <c r="J31" s="18"/>
      <c r="K31" s="18"/>
      <c r="L31" s="18"/>
      <c r="M31" s="18"/>
      <c r="N31" s="21"/>
    </row>
    <row r="32" spans="2:14" ht="16.5" thickBot="1" x14ac:dyDescent="0.3">
      <c r="B32" s="28" t="s">
        <v>18</v>
      </c>
      <c r="C32" s="24">
        <v>1</v>
      </c>
      <c r="D32" s="24"/>
      <c r="E32" s="24"/>
      <c r="F32" s="24"/>
      <c r="G32" s="29"/>
      <c r="H32" s="24"/>
      <c r="I32" s="24"/>
      <c r="J32" s="24"/>
      <c r="K32" s="24"/>
      <c r="L32" s="24"/>
      <c r="M32" s="24"/>
      <c r="N32" s="25"/>
    </row>
    <row r="33" spans="2:14" ht="16.5" thickBot="1" x14ac:dyDescent="0.3"/>
    <row r="34" spans="2:14" ht="16.5" thickBot="1" x14ac:dyDescent="0.3">
      <c r="B34" s="89">
        <f>'Dept. Pessoal'!B70:N70</f>
        <v>0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1"/>
    </row>
    <row r="35" spans="2:14" ht="16.5" thickBot="1" x14ac:dyDescent="0.3">
      <c r="B35" s="34" t="s">
        <v>65</v>
      </c>
      <c r="C35" s="35">
        <v>43466</v>
      </c>
      <c r="D35" s="35">
        <v>43497</v>
      </c>
      <c r="E35" s="35">
        <v>43525</v>
      </c>
      <c r="F35" s="35">
        <v>43556</v>
      </c>
      <c r="G35" s="35">
        <v>43586</v>
      </c>
      <c r="H35" s="35">
        <v>43617</v>
      </c>
      <c r="I35" s="35">
        <v>43647</v>
      </c>
      <c r="J35" s="35">
        <v>43678</v>
      </c>
      <c r="K35" s="35">
        <v>43709</v>
      </c>
      <c r="L35" s="35">
        <v>43739</v>
      </c>
      <c r="M35" s="35">
        <v>43770</v>
      </c>
      <c r="N35" s="35">
        <v>43800</v>
      </c>
    </row>
    <row r="36" spans="2:14" x14ac:dyDescent="0.25">
      <c r="B36" s="41" t="s">
        <v>13</v>
      </c>
      <c r="C36" s="37">
        <v>2</v>
      </c>
      <c r="D36" s="37"/>
      <c r="E36" s="37"/>
      <c r="F36" s="37"/>
      <c r="G36" s="42"/>
      <c r="H36" s="37"/>
      <c r="I36" s="37"/>
      <c r="J36" s="37"/>
      <c r="K36" s="37"/>
      <c r="L36" s="37"/>
      <c r="M36" s="37"/>
      <c r="N36" s="38"/>
    </row>
    <row r="37" spans="2:14" x14ac:dyDescent="0.25">
      <c r="B37" s="22" t="s">
        <v>66</v>
      </c>
      <c r="C37" s="18">
        <v>2</v>
      </c>
      <c r="D37" s="18"/>
      <c r="E37" s="18"/>
      <c r="F37" s="18"/>
      <c r="G37" s="11"/>
      <c r="H37" s="11"/>
      <c r="I37" s="11"/>
      <c r="J37" s="18"/>
      <c r="K37" s="18"/>
      <c r="L37" s="18"/>
      <c r="M37" s="18"/>
      <c r="N37" s="21"/>
    </row>
    <row r="38" spans="2:14" x14ac:dyDescent="0.25">
      <c r="B38" s="22" t="s">
        <v>67</v>
      </c>
      <c r="C38" s="18">
        <v>3</v>
      </c>
      <c r="D38" s="18"/>
      <c r="E38" s="18"/>
      <c r="F38" s="18"/>
      <c r="G38" s="11"/>
      <c r="H38" s="18"/>
      <c r="I38" s="18"/>
      <c r="J38" s="18"/>
      <c r="K38" s="18"/>
      <c r="L38" s="18"/>
      <c r="M38" s="18"/>
      <c r="N38" s="21"/>
    </row>
    <row r="39" spans="2:14" x14ac:dyDescent="0.25">
      <c r="B39" s="39" t="s">
        <v>68</v>
      </c>
      <c r="C39" s="18">
        <v>2</v>
      </c>
      <c r="D39" s="18"/>
      <c r="E39" s="1"/>
      <c r="F39" s="18"/>
      <c r="G39" s="11"/>
      <c r="H39" s="11"/>
      <c r="I39" s="11"/>
      <c r="J39" s="11"/>
      <c r="K39" s="11"/>
      <c r="L39" s="11"/>
      <c r="M39" s="18"/>
      <c r="N39" s="21"/>
    </row>
    <row r="40" spans="2:14" x14ac:dyDescent="0.25">
      <c r="B40" s="22" t="s">
        <v>16</v>
      </c>
      <c r="C40" s="18">
        <v>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1"/>
    </row>
    <row r="41" spans="2:14" x14ac:dyDescent="0.25">
      <c r="B41" s="22" t="s">
        <v>17</v>
      </c>
      <c r="C41" s="18">
        <v>2</v>
      </c>
      <c r="D41" s="18"/>
      <c r="E41" s="18"/>
      <c r="F41" s="18"/>
      <c r="G41" s="11"/>
      <c r="H41" s="18"/>
      <c r="I41" s="18"/>
      <c r="J41" s="18"/>
      <c r="K41" s="18"/>
      <c r="L41" s="18"/>
      <c r="M41" s="18"/>
      <c r="N41" s="21"/>
    </row>
    <row r="42" spans="2:14" ht="16.5" thickBot="1" x14ac:dyDescent="0.3">
      <c r="B42" s="28" t="s">
        <v>18</v>
      </c>
      <c r="C42" s="24">
        <v>1</v>
      </c>
      <c r="D42" s="24"/>
      <c r="E42" s="24"/>
      <c r="F42" s="24"/>
      <c r="G42" s="29"/>
      <c r="H42" s="24"/>
      <c r="I42" s="24"/>
      <c r="J42" s="24"/>
      <c r="K42" s="24"/>
      <c r="L42" s="24"/>
      <c r="M42" s="24"/>
      <c r="N42" s="25"/>
    </row>
    <row r="43" spans="2:14" ht="16.5" thickBot="1" x14ac:dyDescent="0.3"/>
    <row r="44" spans="2:14" ht="16.5" thickBot="1" x14ac:dyDescent="0.3">
      <c r="B44" s="89">
        <f>'Dept. Pessoal'!B92:N92</f>
        <v>0</v>
      </c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1"/>
    </row>
    <row r="45" spans="2:14" ht="16.5" thickBot="1" x14ac:dyDescent="0.3">
      <c r="B45" s="34" t="s">
        <v>65</v>
      </c>
      <c r="C45" s="35">
        <v>43466</v>
      </c>
      <c r="D45" s="35">
        <v>43497</v>
      </c>
      <c r="E45" s="35">
        <v>43525</v>
      </c>
      <c r="F45" s="35">
        <v>43556</v>
      </c>
      <c r="G45" s="35">
        <v>43586</v>
      </c>
      <c r="H45" s="35">
        <v>43617</v>
      </c>
      <c r="I45" s="35">
        <v>43647</v>
      </c>
      <c r="J45" s="35">
        <v>43678</v>
      </c>
      <c r="K45" s="35">
        <v>43709</v>
      </c>
      <c r="L45" s="35">
        <v>43739</v>
      </c>
      <c r="M45" s="35">
        <v>43770</v>
      </c>
      <c r="N45" s="35">
        <v>43800</v>
      </c>
    </row>
    <row r="46" spans="2:14" x14ac:dyDescent="0.25">
      <c r="B46" s="41" t="s">
        <v>13</v>
      </c>
      <c r="C46" s="37">
        <v>2</v>
      </c>
      <c r="D46" s="37"/>
      <c r="E46" s="37"/>
      <c r="F46" s="37"/>
      <c r="G46" s="42"/>
      <c r="H46" s="37"/>
      <c r="I46" s="37"/>
      <c r="J46" s="37"/>
      <c r="K46" s="37"/>
      <c r="L46" s="37"/>
      <c r="M46" s="37"/>
      <c r="N46" s="38"/>
    </row>
    <row r="47" spans="2:14" x14ac:dyDescent="0.25">
      <c r="B47" s="22" t="s">
        <v>66</v>
      </c>
      <c r="C47" s="18">
        <v>2</v>
      </c>
      <c r="D47" s="18"/>
      <c r="E47" s="18"/>
      <c r="F47" s="18"/>
      <c r="G47" s="11"/>
      <c r="H47" s="11"/>
      <c r="I47" s="11"/>
      <c r="J47" s="18"/>
      <c r="K47" s="18"/>
      <c r="L47" s="18"/>
      <c r="M47" s="18"/>
      <c r="N47" s="21"/>
    </row>
    <row r="48" spans="2:14" x14ac:dyDescent="0.25">
      <c r="B48" s="22" t="s">
        <v>67</v>
      </c>
      <c r="C48" s="18">
        <v>2</v>
      </c>
      <c r="D48" s="18"/>
      <c r="E48" s="18"/>
      <c r="F48" s="18"/>
      <c r="G48" s="11"/>
      <c r="H48" s="18"/>
      <c r="I48" s="18"/>
      <c r="J48" s="18"/>
      <c r="K48" s="18"/>
      <c r="L48" s="18"/>
      <c r="M48" s="18"/>
      <c r="N48" s="21"/>
    </row>
    <row r="49" spans="2:14" x14ac:dyDescent="0.25">
      <c r="B49" s="39" t="s">
        <v>68</v>
      </c>
      <c r="C49" s="18">
        <v>2</v>
      </c>
      <c r="D49" s="18"/>
      <c r="E49" s="1"/>
      <c r="F49" s="18"/>
      <c r="G49" s="11"/>
      <c r="H49" s="11"/>
      <c r="I49" s="11"/>
      <c r="J49" s="11"/>
      <c r="K49" s="11"/>
      <c r="L49" s="11"/>
      <c r="M49" s="18"/>
      <c r="N49" s="21"/>
    </row>
    <row r="50" spans="2:14" x14ac:dyDescent="0.25">
      <c r="B50" s="22" t="s">
        <v>16</v>
      </c>
      <c r="C50" s="18">
        <v>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1"/>
    </row>
    <row r="51" spans="2:14" x14ac:dyDescent="0.25">
      <c r="B51" s="22" t="s">
        <v>17</v>
      </c>
      <c r="C51" s="18">
        <v>2</v>
      </c>
      <c r="D51" s="18"/>
      <c r="E51" s="18"/>
      <c r="F51" s="18"/>
      <c r="G51" s="11"/>
      <c r="H51" s="18"/>
      <c r="I51" s="18"/>
      <c r="J51" s="18"/>
      <c r="K51" s="18"/>
      <c r="L51" s="18"/>
      <c r="M51" s="18"/>
      <c r="N51" s="21"/>
    </row>
    <row r="52" spans="2:14" ht="16.5" thickBot="1" x14ac:dyDescent="0.3">
      <c r="B52" s="28" t="s">
        <v>18</v>
      </c>
      <c r="C52" s="24">
        <v>2</v>
      </c>
      <c r="D52" s="24"/>
      <c r="E52" s="24"/>
      <c r="F52" s="24"/>
      <c r="G52" s="29"/>
      <c r="H52" s="24"/>
      <c r="I52" s="24"/>
      <c r="J52" s="24"/>
      <c r="K52" s="24"/>
      <c r="L52" s="24"/>
      <c r="M52" s="24"/>
      <c r="N52" s="25"/>
    </row>
  </sheetData>
  <dataConsolidate/>
  <mergeCells count="7">
    <mergeCell ref="B34:N34"/>
    <mergeCell ref="B44:N44"/>
    <mergeCell ref="B24:N24"/>
    <mergeCell ref="B3:N3"/>
    <mergeCell ref="P5:Q5"/>
    <mergeCell ref="B4:N4"/>
    <mergeCell ref="B14:N14"/>
  </mergeCells>
  <conditionalFormatting sqref="Q8">
    <cfRule type="iconSet" priority="66">
      <iconSet showValue="0">
        <cfvo type="percent" val="0"/>
        <cfvo type="num" val="2"/>
        <cfvo type="num" val="3"/>
      </iconSet>
    </cfRule>
  </conditionalFormatting>
  <conditionalFormatting sqref="Q7">
    <cfRule type="iconSet" priority="65">
      <iconSet showValue="0">
        <cfvo type="percent" val="0"/>
        <cfvo type="num" val="2"/>
        <cfvo type="num" val="3"/>
      </iconSet>
    </cfRule>
  </conditionalFormatting>
  <conditionalFormatting sqref="Q6">
    <cfRule type="iconSet" priority="64">
      <iconSet showValue="0">
        <cfvo type="percent" val="0"/>
        <cfvo type="num" val="2"/>
        <cfvo type="num" val="3"/>
      </iconSet>
    </cfRule>
  </conditionalFormatting>
  <conditionalFormatting sqref="G16:G18 H19">
    <cfRule type="iconSet" priority="63">
      <iconSet showValue="0">
        <cfvo type="percent" val="0"/>
        <cfvo type="percent" val="2"/>
        <cfvo type="percent" val="3"/>
      </iconSet>
    </cfRule>
  </conditionalFormatting>
  <conditionalFormatting sqref="G21">
    <cfRule type="iconSet" priority="62">
      <iconSet showValue="0">
        <cfvo type="percent" val="0"/>
        <cfvo type="percent" val="2"/>
        <cfvo type="percent" val="3"/>
      </iconSet>
    </cfRule>
  </conditionalFormatting>
  <conditionalFormatting sqref="G22:G23">
    <cfRule type="iconSet" priority="61">
      <iconSet showValue="0">
        <cfvo type="percent" val="0"/>
        <cfvo type="percent" val="2"/>
        <cfvo type="percent" val="3"/>
      </iconSet>
    </cfRule>
  </conditionalFormatting>
  <conditionalFormatting sqref="H17">
    <cfRule type="iconSet" priority="60">
      <iconSet showValue="0">
        <cfvo type="percent" val="0"/>
        <cfvo type="percent" val="2"/>
        <cfvo type="percent" val="3"/>
      </iconSet>
    </cfRule>
  </conditionalFormatting>
  <conditionalFormatting sqref="I17">
    <cfRule type="iconSet" priority="59">
      <iconSet showValue="0">
        <cfvo type="percent" val="0"/>
        <cfvo type="percent" val="2"/>
        <cfvo type="percent" val="3"/>
      </iconSet>
    </cfRule>
  </conditionalFormatting>
  <conditionalFormatting sqref="I18">
    <cfRule type="iconSet" priority="58">
      <iconSet showValue="0">
        <cfvo type="percent" val="0"/>
        <cfvo type="percent" val="2"/>
        <cfvo type="percent" val="3"/>
      </iconSet>
    </cfRule>
  </conditionalFormatting>
  <conditionalFormatting sqref="G19">
    <cfRule type="iconSet" priority="57">
      <iconSet showValue="0">
        <cfvo type="percent" val="0"/>
        <cfvo type="percent" val="2"/>
        <cfvo type="percent" val="3"/>
      </iconSet>
    </cfRule>
  </conditionalFormatting>
  <conditionalFormatting sqref="I19">
    <cfRule type="iconSet" priority="56">
      <iconSet showValue="0">
        <cfvo type="percent" val="0"/>
        <cfvo type="percent" val="2"/>
        <cfvo type="percent" val="3"/>
      </iconSet>
    </cfRule>
  </conditionalFormatting>
  <conditionalFormatting sqref="J19">
    <cfRule type="iconSet" priority="55">
      <iconSet showValue="0">
        <cfvo type="percent" val="0"/>
        <cfvo type="percent" val="2"/>
        <cfvo type="percent" val="3"/>
      </iconSet>
    </cfRule>
  </conditionalFormatting>
  <conditionalFormatting sqref="K19">
    <cfRule type="iconSet" priority="54">
      <iconSet showValue="0">
        <cfvo type="percent" val="0"/>
        <cfvo type="percent" val="2"/>
        <cfvo type="percent" val="3"/>
      </iconSet>
    </cfRule>
  </conditionalFormatting>
  <conditionalFormatting sqref="L19">
    <cfRule type="iconSet" priority="53">
      <iconSet showValue="0">
        <cfvo type="percent" val="0"/>
        <cfvo type="percent" val="2"/>
        <cfvo type="percent" val="3"/>
      </iconSet>
    </cfRule>
  </conditionalFormatting>
  <conditionalFormatting sqref="C16:N23">
    <cfRule type="iconSet" priority="52">
      <iconSet showValue="0">
        <cfvo type="percent" val="0"/>
        <cfvo type="num" val="2"/>
        <cfvo type="num" val="3"/>
      </iconSet>
    </cfRule>
  </conditionalFormatting>
  <conditionalFormatting sqref="G26:G28 H29">
    <cfRule type="iconSet" priority="51">
      <iconSet showValue="0">
        <cfvo type="percent" val="0"/>
        <cfvo type="percent" val="2"/>
        <cfvo type="percent" val="3"/>
      </iconSet>
    </cfRule>
  </conditionalFormatting>
  <conditionalFormatting sqref="G31">
    <cfRule type="iconSet" priority="50">
      <iconSet showValue="0">
        <cfvo type="percent" val="0"/>
        <cfvo type="percent" val="2"/>
        <cfvo type="percent" val="3"/>
      </iconSet>
    </cfRule>
  </conditionalFormatting>
  <conditionalFormatting sqref="G32">
    <cfRule type="iconSet" priority="49">
      <iconSet showValue="0">
        <cfvo type="percent" val="0"/>
        <cfvo type="percent" val="2"/>
        <cfvo type="percent" val="3"/>
      </iconSet>
    </cfRule>
  </conditionalFormatting>
  <conditionalFormatting sqref="H27">
    <cfRule type="iconSet" priority="48">
      <iconSet showValue="0">
        <cfvo type="percent" val="0"/>
        <cfvo type="percent" val="2"/>
        <cfvo type="percent" val="3"/>
      </iconSet>
    </cfRule>
  </conditionalFormatting>
  <conditionalFormatting sqref="I27">
    <cfRule type="iconSet" priority="47">
      <iconSet showValue="0">
        <cfvo type="percent" val="0"/>
        <cfvo type="percent" val="2"/>
        <cfvo type="percent" val="3"/>
      </iconSet>
    </cfRule>
  </conditionalFormatting>
  <conditionalFormatting sqref="I28">
    <cfRule type="iconSet" priority="46">
      <iconSet showValue="0">
        <cfvo type="percent" val="0"/>
        <cfvo type="percent" val="2"/>
        <cfvo type="percent" val="3"/>
      </iconSet>
    </cfRule>
  </conditionalFormatting>
  <conditionalFormatting sqref="G29">
    <cfRule type="iconSet" priority="45">
      <iconSet showValue="0">
        <cfvo type="percent" val="0"/>
        <cfvo type="percent" val="2"/>
        <cfvo type="percent" val="3"/>
      </iconSet>
    </cfRule>
  </conditionalFormatting>
  <conditionalFormatting sqref="I29">
    <cfRule type="iconSet" priority="44">
      <iconSet showValue="0">
        <cfvo type="percent" val="0"/>
        <cfvo type="percent" val="2"/>
        <cfvo type="percent" val="3"/>
      </iconSet>
    </cfRule>
  </conditionalFormatting>
  <conditionalFormatting sqref="J29">
    <cfRule type="iconSet" priority="43">
      <iconSet showValue="0">
        <cfvo type="percent" val="0"/>
        <cfvo type="percent" val="2"/>
        <cfvo type="percent" val="3"/>
      </iconSet>
    </cfRule>
  </conditionalFormatting>
  <conditionalFormatting sqref="K29">
    <cfRule type="iconSet" priority="42">
      <iconSet showValue="0">
        <cfvo type="percent" val="0"/>
        <cfvo type="percent" val="2"/>
        <cfvo type="percent" val="3"/>
      </iconSet>
    </cfRule>
  </conditionalFormatting>
  <conditionalFormatting sqref="L29">
    <cfRule type="iconSet" priority="41">
      <iconSet showValue="0">
        <cfvo type="percent" val="0"/>
        <cfvo type="percent" val="2"/>
        <cfvo type="percent" val="3"/>
      </iconSet>
    </cfRule>
  </conditionalFormatting>
  <conditionalFormatting sqref="C26:N32">
    <cfRule type="iconSet" priority="40">
      <iconSet showValue="0">
        <cfvo type="percent" val="0"/>
        <cfvo type="num" val="2"/>
        <cfvo type="num" val="3"/>
      </iconSet>
    </cfRule>
  </conditionalFormatting>
  <conditionalFormatting sqref="C6:N12">
    <cfRule type="iconSet" priority="36">
      <iconSet showValue="0">
        <cfvo type="percent" val="0"/>
        <cfvo type="num" val="2"/>
        <cfvo type="num" val="3"/>
      </iconSet>
    </cfRule>
  </conditionalFormatting>
  <conditionalFormatting sqref="B6:B12">
    <cfRule type="iconSet" priority="35">
      <iconSet showValue="0">
        <cfvo type="percent" val="0"/>
        <cfvo type="percent" val="2"/>
        <cfvo type="percent" val="3"/>
      </iconSet>
    </cfRule>
  </conditionalFormatting>
  <conditionalFormatting sqref="B6:B12">
    <cfRule type="iconSet" priority="34">
      <iconSet showValue="0">
        <cfvo type="percent" val="0"/>
        <cfvo type="num" val="2"/>
        <cfvo type="num" val="3"/>
      </iconSet>
    </cfRule>
  </conditionalFormatting>
  <conditionalFormatting sqref="G36:G38 H39">
    <cfRule type="iconSet" priority="33">
      <iconSet showValue="0">
        <cfvo type="percent" val="0"/>
        <cfvo type="percent" val="2"/>
        <cfvo type="percent" val="3"/>
      </iconSet>
    </cfRule>
  </conditionalFormatting>
  <conditionalFormatting sqref="G41">
    <cfRule type="iconSet" priority="32">
      <iconSet showValue="0">
        <cfvo type="percent" val="0"/>
        <cfvo type="percent" val="2"/>
        <cfvo type="percent" val="3"/>
      </iconSet>
    </cfRule>
  </conditionalFormatting>
  <conditionalFormatting sqref="G42">
    <cfRule type="iconSet" priority="31">
      <iconSet showValue="0">
        <cfvo type="percent" val="0"/>
        <cfvo type="percent" val="2"/>
        <cfvo type="percent" val="3"/>
      </iconSet>
    </cfRule>
  </conditionalFormatting>
  <conditionalFormatting sqref="H37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I37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I38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G39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39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J39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K39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L39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D36:N42">
    <cfRule type="iconSet" priority="22">
      <iconSet showValue="0">
        <cfvo type="percent" val="0"/>
        <cfvo type="num" val="2"/>
        <cfvo type="num" val="3"/>
      </iconSet>
    </cfRule>
  </conditionalFormatting>
  <conditionalFormatting sqref="G46:G48 H49">
    <cfRule type="iconSet" priority="21">
      <iconSet showValue="0">
        <cfvo type="percent" val="0"/>
        <cfvo type="percent" val="2"/>
        <cfvo type="percent" val="3"/>
      </iconSet>
    </cfRule>
  </conditionalFormatting>
  <conditionalFormatting sqref="G51">
    <cfRule type="iconSet" priority="20">
      <iconSet showValue="0">
        <cfvo type="percent" val="0"/>
        <cfvo type="percent" val="2"/>
        <cfvo type="percent" val="3"/>
      </iconSet>
    </cfRule>
  </conditionalFormatting>
  <conditionalFormatting sqref="G52">
    <cfRule type="iconSet" priority="19">
      <iconSet showValue="0">
        <cfvo type="percent" val="0"/>
        <cfvo type="percent" val="2"/>
        <cfvo type="percent" val="3"/>
      </iconSet>
    </cfRule>
  </conditionalFormatting>
  <conditionalFormatting sqref="H47">
    <cfRule type="iconSet" priority="18">
      <iconSet showValue="0">
        <cfvo type="percent" val="0"/>
        <cfvo type="percent" val="2"/>
        <cfvo type="percent" val="3"/>
      </iconSet>
    </cfRule>
  </conditionalFormatting>
  <conditionalFormatting sqref="I47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I48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G49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I49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J49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K49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L49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C46:N52">
    <cfRule type="iconSet" priority="10">
      <iconSet showValue="0">
        <cfvo type="percent" val="0"/>
        <cfvo type="num" val="2"/>
        <cfvo type="num" val="3"/>
      </iconSet>
    </cfRule>
  </conditionalFormatting>
  <conditionalFormatting sqref="B19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B19">
    <cfRule type="iconSet" priority="8">
      <iconSet showValue="0">
        <cfvo type="percent" val="0"/>
        <cfvo type="num" val="2"/>
        <cfvo type="num" val="3"/>
      </iconSet>
    </cfRule>
  </conditionalFormatting>
  <conditionalFormatting sqref="B29">
    <cfRule type="iconSet" priority="7">
      <iconSet showValue="0">
        <cfvo type="percent" val="0"/>
        <cfvo type="percent" val="2"/>
        <cfvo type="percent" val="3"/>
      </iconSet>
    </cfRule>
  </conditionalFormatting>
  <conditionalFormatting sqref="B29">
    <cfRule type="iconSet" priority="6">
      <iconSet showValue="0">
        <cfvo type="percent" val="0"/>
        <cfvo type="num" val="2"/>
        <cfvo type="num" val="3"/>
      </iconSet>
    </cfRule>
  </conditionalFormatting>
  <conditionalFormatting sqref="B39">
    <cfRule type="iconSet" priority="5">
      <iconSet showValue="0">
        <cfvo type="percent" val="0"/>
        <cfvo type="percent" val="2"/>
        <cfvo type="percent" val="3"/>
      </iconSet>
    </cfRule>
  </conditionalFormatting>
  <conditionalFormatting sqref="B39">
    <cfRule type="iconSet" priority="4">
      <iconSet showValue="0">
        <cfvo type="percent" val="0"/>
        <cfvo type="num" val="2"/>
        <cfvo type="num" val="3"/>
      </iconSet>
    </cfRule>
  </conditionalFormatting>
  <conditionalFormatting sqref="B49">
    <cfRule type="iconSet" priority="3">
      <iconSet showValue="0">
        <cfvo type="percent" val="0"/>
        <cfvo type="percent" val="2"/>
        <cfvo type="percent" val="3"/>
      </iconSet>
    </cfRule>
  </conditionalFormatting>
  <conditionalFormatting sqref="B49">
    <cfRule type="iconSet" priority="2">
      <iconSet showValue="0">
        <cfvo type="percent" val="0"/>
        <cfvo type="num" val="2"/>
        <cfvo type="num" val="3"/>
      </iconSet>
    </cfRule>
  </conditionalFormatting>
  <conditionalFormatting sqref="C36:C42">
    <cfRule type="iconSet" priority="1">
      <iconSet showValue="0">
        <cfvo type="percent" val="0"/>
        <cfvo type="num" val="2"/>
        <cfvo type="num" val="3"/>
      </iconSet>
    </cfRule>
  </conditionalFormatting>
  <dataValidations disablePrompts="1" count="1">
    <dataValidation showInputMessage="1" showErrorMessage="1" sqref="F6:F7 F16:F17 F26:F27 F36:F37 F46:F47" xr:uid="{00000000-0002-0000-0300-000000000000}"/>
  </dataValidations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946A-8FC8-4AFC-8DE4-5BFAC3D1E5A7}">
  <dimension ref="A1:S24"/>
  <sheetViews>
    <sheetView showGridLines="0" tabSelected="1" zoomScale="50" zoomScaleNormal="50" workbookViewId="0">
      <selection activeCell="C9" sqref="C9"/>
    </sheetView>
  </sheetViews>
  <sheetFormatPr defaultRowHeight="27" customHeight="1" x14ac:dyDescent="0.25"/>
  <cols>
    <col min="2" max="2" width="112.625" bestFit="1" customWidth="1"/>
    <col min="3" max="3" width="17.875" style="74" bestFit="1" customWidth="1"/>
    <col min="4" max="4" width="8.875" bestFit="1" customWidth="1"/>
    <col min="5" max="5" width="9.125" bestFit="1" customWidth="1"/>
    <col min="6" max="6" width="9.625" bestFit="1" customWidth="1"/>
    <col min="7" max="8" width="9.375" bestFit="1" customWidth="1"/>
    <col min="9" max="9" width="8.875" customWidth="1"/>
    <col min="10" max="10" width="8.375" bestFit="1" customWidth="1"/>
    <col min="11" max="11" width="9.875" bestFit="1" customWidth="1"/>
    <col min="12" max="12" width="9.125" bestFit="1" customWidth="1"/>
    <col min="13" max="13" width="9.375" bestFit="1" customWidth="1"/>
    <col min="14" max="15" width="9.625" bestFit="1" customWidth="1"/>
    <col min="16" max="16" width="9.125" customWidth="1"/>
    <col min="17" max="17" width="23" bestFit="1" customWidth="1"/>
  </cols>
  <sheetData>
    <row r="1" spans="1:19" ht="27" customHeight="1" x14ac:dyDescent="0.25">
      <c r="B1" s="108"/>
      <c r="C1" s="66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9" ht="27" customHeight="1" x14ac:dyDescent="0.25">
      <c r="B2" s="108"/>
      <c r="C2" s="66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9" ht="48" customHeight="1" x14ac:dyDescent="0.25">
      <c r="B3" s="108"/>
      <c r="C3" s="66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9" ht="27" customHeight="1" thickBot="1" x14ac:dyDescent="0.3">
      <c r="A4" s="10"/>
      <c r="B4" s="78" t="s">
        <v>69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10"/>
      <c r="Q4" s="10"/>
      <c r="R4" s="10"/>
      <c r="S4" s="10"/>
    </row>
    <row r="5" spans="1:19" ht="27" customHeight="1" x14ac:dyDescent="0.25">
      <c r="B5" s="62">
        <v>2019</v>
      </c>
      <c r="C5" s="67" t="s">
        <v>70</v>
      </c>
      <c r="D5" s="35">
        <v>43466</v>
      </c>
      <c r="E5" s="35">
        <v>43497</v>
      </c>
      <c r="F5" s="35">
        <v>43525</v>
      </c>
      <c r="G5" s="35">
        <v>43556</v>
      </c>
      <c r="H5" s="35">
        <v>43586</v>
      </c>
      <c r="I5" s="35">
        <v>43617</v>
      </c>
      <c r="J5" s="35">
        <v>43647</v>
      </c>
      <c r="K5" s="35">
        <v>43678</v>
      </c>
      <c r="L5" s="35">
        <v>43709</v>
      </c>
      <c r="M5" s="35">
        <v>43739</v>
      </c>
      <c r="N5" s="35">
        <v>43770</v>
      </c>
      <c r="O5" s="35">
        <v>43800</v>
      </c>
    </row>
    <row r="6" spans="1:19" ht="27" customHeight="1" x14ac:dyDescent="0.25">
      <c r="B6" s="84"/>
      <c r="C6" s="106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</row>
    <row r="7" spans="1:19" ht="15.75" x14ac:dyDescent="0.25">
      <c r="B7" s="64" t="str">
        <f>'Dept. Contábil '!B4:N4</f>
        <v>cliente 1</v>
      </c>
      <c r="C7" s="68">
        <v>1400</v>
      </c>
      <c r="D7" s="65">
        <v>3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Q7" s="107" t="s">
        <v>58</v>
      </c>
      <c r="R7" s="107"/>
    </row>
    <row r="8" spans="1:19" ht="15.75" x14ac:dyDescent="0.25">
      <c r="B8" s="64" t="str">
        <f>'Dept. Contábil '!B14:N14</f>
        <v>cliente2</v>
      </c>
      <c r="C8" s="68">
        <v>500</v>
      </c>
      <c r="D8" s="65">
        <v>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Q8" s="61" t="s">
        <v>55</v>
      </c>
      <c r="R8" s="18">
        <v>5</v>
      </c>
    </row>
    <row r="9" spans="1:19" ht="15.75" x14ac:dyDescent="0.25">
      <c r="B9" s="3">
        <f>'Dept. Contábil '!B24:N24</f>
        <v>0</v>
      </c>
      <c r="C9" s="69"/>
      <c r="D9" s="65">
        <v>3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Q9" s="61" t="s">
        <v>57</v>
      </c>
      <c r="R9" s="18">
        <v>2</v>
      </c>
    </row>
    <row r="10" spans="1:19" ht="15.75" x14ac:dyDescent="0.25">
      <c r="B10" s="6">
        <f>'Dept. Contábil '!B44:N44</f>
        <v>0</v>
      </c>
      <c r="C10" s="70"/>
      <c r="D10" s="65">
        <v>3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Q10" s="61" t="s">
        <v>56</v>
      </c>
      <c r="R10" s="18">
        <v>1</v>
      </c>
    </row>
    <row r="11" spans="1:19" ht="15.75" x14ac:dyDescent="0.25">
      <c r="B11" s="6"/>
      <c r="C11" s="70"/>
      <c r="D11" s="65">
        <v>3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9" ht="15.75" x14ac:dyDescent="0.25">
      <c r="A12" s="2"/>
      <c r="B12" s="6"/>
      <c r="C12" s="70"/>
      <c r="D12" s="65">
        <v>3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2"/>
      <c r="Q12" s="2"/>
      <c r="R12" s="2"/>
      <c r="S12" s="2"/>
    </row>
    <row r="13" spans="1:19" ht="15.75" x14ac:dyDescent="0.25">
      <c r="B13" s="6"/>
      <c r="C13" s="70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9" ht="15.75" x14ac:dyDescent="0.25">
      <c r="B14" s="6"/>
      <c r="C14" s="70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9" ht="15.75" x14ac:dyDescent="0.25">
      <c r="B15" s="6"/>
      <c r="C15" s="70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9" ht="15.75" x14ac:dyDescent="0.25">
      <c r="B16" s="3"/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9" ht="15.75" x14ac:dyDescent="0.25">
      <c r="B17" s="3"/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</row>
    <row r="18" spans="1:19" ht="15.75" x14ac:dyDescent="0.25">
      <c r="B18" s="7"/>
      <c r="C18" s="71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9" ht="15.75" x14ac:dyDescent="0.25">
      <c r="B19" s="7"/>
      <c r="C19" s="71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9" ht="15.75" x14ac:dyDescent="0.25">
      <c r="A20" s="2"/>
      <c r="B20" s="8"/>
      <c r="C20" s="72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2"/>
      <c r="Q20" s="2"/>
      <c r="R20" s="2"/>
      <c r="S20" s="2"/>
    </row>
    <row r="21" spans="1:19" ht="15.75" x14ac:dyDescent="0.25">
      <c r="B21" s="7"/>
      <c r="C21" s="71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9" ht="15.75" x14ac:dyDescent="0.25">
      <c r="B22" s="7"/>
      <c r="C22" s="71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9" s="75" customFormat="1" ht="15.75" x14ac:dyDescent="0.25">
      <c r="B23" s="19" t="s">
        <v>71</v>
      </c>
      <c r="C23" s="76">
        <f>SUM(C7:C22)</f>
        <v>1900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9" ht="27" customHeight="1" x14ac:dyDescent="0.25">
      <c r="B24" s="60"/>
      <c r="C24" s="73"/>
    </row>
  </sheetData>
  <mergeCells count="5">
    <mergeCell ref="B4:O4"/>
    <mergeCell ref="B6:O6"/>
    <mergeCell ref="Q7:R7"/>
    <mergeCell ref="D1:O3"/>
    <mergeCell ref="B1:B3"/>
  </mergeCells>
  <conditionalFormatting sqref="R10">
    <cfRule type="iconSet" priority="3">
      <iconSet showValue="0">
        <cfvo type="percent" val="0"/>
        <cfvo type="num" val="2"/>
        <cfvo type="num" val="3"/>
      </iconSet>
    </cfRule>
  </conditionalFormatting>
  <conditionalFormatting sqref="R9">
    <cfRule type="iconSet" priority="2">
      <iconSet showValue="0">
        <cfvo type="percent" val="0"/>
        <cfvo type="num" val="2"/>
        <cfvo type="num" val="3"/>
      </iconSet>
    </cfRule>
  </conditionalFormatting>
  <conditionalFormatting sqref="R8">
    <cfRule type="iconSet" priority="1">
      <iconSet showValue="0">
        <cfvo type="percent" val="0"/>
        <cfvo type="num" val="2"/>
        <cfvo type="num" val="3"/>
      </iconSet>
    </cfRule>
  </conditionalFormatting>
  <conditionalFormatting sqref="D7:O23">
    <cfRule type="iconSet" priority="4">
      <iconSet showValue="0">
        <cfvo type="percent" val="0"/>
        <cfvo type="num" val="2"/>
        <cfvo type="num" val="3"/>
      </iconSet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563-33DB-4325-8584-41D13D43C834}">
  <dimension ref="A1:S24"/>
  <sheetViews>
    <sheetView showGridLines="0" topLeftCell="A2" zoomScale="50" zoomScaleNormal="50" workbookViewId="0">
      <selection activeCell="B12" sqref="B12"/>
    </sheetView>
  </sheetViews>
  <sheetFormatPr defaultRowHeight="27" customHeight="1" x14ac:dyDescent="0.25"/>
  <cols>
    <col min="2" max="2" width="112.625" bestFit="1" customWidth="1"/>
    <col min="3" max="3" width="17.875" style="74" bestFit="1" customWidth="1"/>
    <col min="4" max="4" width="8.875" bestFit="1" customWidth="1"/>
    <col min="5" max="5" width="9.125" bestFit="1" customWidth="1"/>
    <col min="6" max="6" width="9.625" bestFit="1" customWidth="1"/>
    <col min="7" max="8" width="9.375" bestFit="1" customWidth="1"/>
    <col min="9" max="9" width="8.875" customWidth="1"/>
    <col min="10" max="10" width="8.375" bestFit="1" customWidth="1"/>
    <col min="11" max="11" width="9.875" bestFit="1" customWidth="1"/>
    <col min="12" max="12" width="9.125" bestFit="1" customWidth="1"/>
    <col min="13" max="13" width="9.375" bestFit="1" customWidth="1"/>
    <col min="14" max="15" width="9.625" bestFit="1" customWidth="1"/>
    <col min="16" max="16" width="9.125" customWidth="1"/>
    <col min="17" max="17" width="23" bestFit="1" customWidth="1"/>
  </cols>
  <sheetData>
    <row r="1" spans="1:19" ht="27" customHeight="1" x14ac:dyDescent="0.25">
      <c r="B1" s="108"/>
      <c r="C1" s="66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9" ht="27" customHeight="1" x14ac:dyDescent="0.25">
      <c r="B2" s="108"/>
      <c r="C2" s="66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9" ht="48" customHeight="1" x14ac:dyDescent="0.25">
      <c r="B3" s="108"/>
      <c r="C3" s="66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9" ht="27" customHeight="1" thickBot="1" x14ac:dyDescent="0.3">
      <c r="A4" s="10"/>
      <c r="B4" s="78" t="s">
        <v>69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10"/>
      <c r="Q4" s="10"/>
      <c r="R4" s="10"/>
      <c r="S4" s="10"/>
    </row>
    <row r="5" spans="1:19" ht="27" customHeight="1" x14ac:dyDescent="0.25">
      <c r="B5" s="62">
        <v>2019</v>
      </c>
      <c r="C5" s="67" t="s">
        <v>70</v>
      </c>
      <c r="D5" s="35">
        <v>43466</v>
      </c>
      <c r="E5" s="35">
        <v>43497</v>
      </c>
      <c r="F5" s="35">
        <v>43525</v>
      </c>
      <c r="G5" s="35">
        <v>43556</v>
      </c>
      <c r="H5" s="35">
        <v>43586</v>
      </c>
      <c r="I5" s="35">
        <v>43617</v>
      </c>
      <c r="J5" s="35">
        <v>43647</v>
      </c>
      <c r="K5" s="35">
        <v>43678</v>
      </c>
      <c r="L5" s="35">
        <v>43709</v>
      </c>
      <c r="M5" s="35">
        <v>43739</v>
      </c>
      <c r="N5" s="35">
        <v>43770</v>
      </c>
      <c r="O5" s="35">
        <v>43800</v>
      </c>
    </row>
    <row r="6" spans="1:19" ht="27" customHeight="1" x14ac:dyDescent="0.25">
      <c r="B6" s="84"/>
      <c r="C6" s="106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</row>
    <row r="7" spans="1:19" ht="15.75" x14ac:dyDescent="0.25">
      <c r="B7" s="64"/>
      <c r="C7" s="68">
        <v>600</v>
      </c>
      <c r="D7" s="65">
        <v>3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Q7" s="107" t="s">
        <v>58</v>
      </c>
      <c r="R7" s="107"/>
    </row>
    <row r="8" spans="1:19" ht="15.75" x14ac:dyDescent="0.25">
      <c r="B8" s="64"/>
      <c r="C8" s="68">
        <v>150</v>
      </c>
      <c r="D8" s="65">
        <v>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Q8" s="61" t="s">
        <v>55</v>
      </c>
      <c r="R8" s="18">
        <v>5</v>
      </c>
    </row>
    <row r="9" spans="1:19" ht="15.75" x14ac:dyDescent="0.25">
      <c r="B9" s="3" t="s">
        <v>76</v>
      </c>
      <c r="C9" s="69">
        <v>99</v>
      </c>
      <c r="D9" s="65">
        <v>3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Q9" s="61" t="s">
        <v>57</v>
      </c>
      <c r="R9" s="18">
        <v>2</v>
      </c>
    </row>
    <row r="10" spans="1:19" ht="15.75" x14ac:dyDescent="0.25">
      <c r="B10" s="6" t="s">
        <v>77</v>
      </c>
      <c r="C10" s="70">
        <v>380</v>
      </c>
      <c r="D10" s="65">
        <v>3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Q10" s="61" t="s">
        <v>56</v>
      </c>
      <c r="R10" s="18">
        <v>1</v>
      </c>
    </row>
    <row r="11" spans="1:19" ht="15.75" x14ac:dyDescent="0.25">
      <c r="B11" s="6" t="s">
        <v>78</v>
      </c>
      <c r="C11" s="70">
        <v>80</v>
      </c>
      <c r="D11" s="65">
        <v>1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9" ht="15.75" x14ac:dyDescent="0.25">
      <c r="A12" s="2"/>
      <c r="B12" s="6" t="s">
        <v>79</v>
      </c>
      <c r="C12" s="70">
        <v>120</v>
      </c>
      <c r="D12" s="65">
        <v>1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2"/>
      <c r="Q12" s="2"/>
      <c r="R12" s="2"/>
      <c r="S12" s="2"/>
    </row>
    <row r="13" spans="1:19" ht="15.75" x14ac:dyDescent="0.25">
      <c r="B13" s="6" t="s">
        <v>80</v>
      </c>
      <c r="C13" s="70">
        <v>4000</v>
      </c>
      <c r="D13" s="65">
        <v>3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9" ht="15.75" x14ac:dyDescent="0.25">
      <c r="B14" s="6"/>
      <c r="C14" s="70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9" ht="15.75" x14ac:dyDescent="0.25">
      <c r="B15" s="6"/>
      <c r="C15" s="70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9" ht="15.75" x14ac:dyDescent="0.25">
      <c r="B16" s="3"/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9" ht="15.75" x14ac:dyDescent="0.25">
      <c r="B17" s="3"/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</row>
    <row r="18" spans="1:19" ht="15.75" x14ac:dyDescent="0.25">
      <c r="B18" s="7"/>
      <c r="C18" s="71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9" ht="15.75" x14ac:dyDescent="0.25">
      <c r="B19" s="7"/>
      <c r="C19" s="71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9" ht="15.75" x14ac:dyDescent="0.25">
      <c r="A20" s="2"/>
      <c r="B20" s="8"/>
      <c r="C20" s="72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2"/>
      <c r="Q20" s="2"/>
      <c r="R20" s="2"/>
      <c r="S20" s="2"/>
    </row>
    <row r="21" spans="1:19" ht="15.75" x14ac:dyDescent="0.25">
      <c r="B21" s="7"/>
      <c r="C21" s="71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9" ht="15.75" x14ac:dyDescent="0.25">
      <c r="B22" s="7"/>
      <c r="C22" s="71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9" s="75" customFormat="1" ht="15.75" x14ac:dyDescent="0.25">
      <c r="B23" s="19" t="s">
        <v>71</v>
      </c>
      <c r="C23" s="76">
        <f>SUM(C7:C22)</f>
        <v>5429</v>
      </c>
      <c r="D23" s="77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9" ht="27" customHeight="1" x14ac:dyDescent="0.25">
      <c r="B24" s="60"/>
      <c r="C24" s="73"/>
    </row>
  </sheetData>
  <mergeCells count="5">
    <mergeCell ref="B1:B3"/>
    <mergeCell ref="D1:O3"/>
    <mergeCell ref="B4:O4"/>
    <mergeCell ref="B6:O6"/>
    <mergeCell ref="Q7:R7"/>
  </mergeCells>
  <conditionalFormatting sqref="R10">
    <cfRule type="iconSet" priority="3">
      <iconSet showValue="0">
        <cfvo type="percent" val="0"/>
        <cfvo type="num" val="2"/>
        <cfvo type="num" val="3"/>
      </iconSet>
    </cfRule>
  </conditionalFormatting>
  <conditionalFormatting sqref="R9">
    <cfRule type="iconSet" priority="2">
      <iconSet showValue="0">
        <cfvo type="percent" val="0"/>
        <cfvo type="num" val="2"/>
        <cfvo type="num" val="3"/>
      </iconSet>
    </cfRule>
  </conditionalFormatting>
  <conditionalFormatting sqref="R8">
    <cfRule type="iconSet" priority="1">
      <iconSet showValue="0">
        <cfvo type="percent" val="0"/>
        <cfvo type="num" val="2"/>
        <cfvo type="num" val="3"/>
      </iconSet>
    </cfRule>
  </conditionalFormatting>
  <conditionalFormatting sqref="D7:O23">
    <cfRule type="iconSet" priority="4">
      <iconSet showValue="0">
        <cfvo type="percent" val="0"/>
        <cfvo type="num" val="2"/>
        <cfvo type="num" val="3"/>
      </iconSet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Dept. Fiscal (Lucro Presum)</vt:lpstr>
      <vt:lpstr>Dept. Fiscal (Simples Nacion)</vt:lpstr>
      <vt:lpstr>Dept. Pessoal</vt:lpstr>
      <vt:lpstr>Dept. Contábil </vt:lpstr>
      <vt:lpstr>Honorários</vt:lpstr>
      <vt:lpstr>Despesas Fixas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ANDRE</cp:lastModifiedBy>
  <dcterms:created xsi:type="dcterms:W3CDTF">2014-09-22T15:15:37Z</dcterms:created>
  <dcterms:modified xsi:type="dcterms:W3CDTF">2019-02-22T16:59:28Z</dcterms:modified>
</cp:coreProperties>
</file>