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92427ae79c2e27/Documents/Contabilidade Tributária/"/>
    </mc:Choice>
  </mc:AlternateContent>
  <xr:revisionPtr revIDLastSave="7" documentId="8_{8BE95FF8-1443-43D1-B7F5-1A955145BCCD}" xr6:coauthVersionLast="47" xr6:coauthVersionMax="47" xr10:uidLastSave="{3EAC45F0-6AC1-4690-967A-F68A62CB0498}"/>
  <bookViews>
    <workbookView xWindow="-120" yWindow="-120" windowWidth="20730" windowHeight="11160" xr2:uid="{D40D3C33-4A0A-49A3-9DED-E8D054EA11C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1" l="1"/>
  <c r="I12" i="1"/>
  <c r="C12" i="1"/>
  <c r="D6" i="1" s="1"/>
  <c r="K10" i="1"/>
  <c r="E10" i="1"/>
  <c r="K9" i="1"/>
  <c r="E9" i="1"/>
  <c r="K8" i="1"/>
  <c r="E8" i="1"/>
  <c r="K7" i="1"/>
  <c r="E7" i="1"/>
  <c r="R6" i="1"/>
  <c r="R9" i="1" s="1"/>
  <c r="P6" i="1"/>
  <c r="P10" i="1" s="1"/>
  <c r="L6" i="1"/>
  <c r="L10" i="1" s="1"/>
  <c r="J6" i="1"/>
  <c r="J10" i="1" s="1"/>
  <c r="F6" i="1"/>
  <c r="F10" i="1" s="1"/>
  <c r="R10" i="1" l="1"/>
  <c r="D8" i="1"/>
  <c r="D7" i="1"/>
  <c r="D10" i="1"/>
  <c r="D9" i="1"/>
  <c r="F5" i="1"/>
  <c r="L5" i="1"/>
  <c r="J9" i="1"/>
  <c r="J5" i="1"/>
  <c r="J8" i="1"/>
  <c r="F9" i="1"/>
  <c r="P5" i="1"/>
  <c r="L9" i="1"/>
  <c r="R8" i="1"/>
  <c r="R5" i="1" s="1"/>
  <c r="P9" i="1"/>
  <c r="D5" i="1"/>
  <c r="G5" i="1" l="1"/>
  <c r="D12" i="1"/>
  <c r="R7" i="1"/>
  <c r="R12" i="1" s="1"/>
  <c r="J7" i="1"/>
  <c r="J12" i="1" s="1"/>
  <c r="L8" i="1"/>
  <c r="L7" i="1"/>
  <c r="L12" i="1" s="1"/>
  <c r="P8" i="1"/>
  <c r="P7" i="1"/>
  <c r="F8" i="1"/>
  <c r="F7" i="1"/>
  <c r="F12" i="1" l="1"/>
  <c r="F14" i="1" s="1"/>
  <c r="P12" i="1"/>
  <c r="R14" i="1" s="1"/>
  <c r="L14" i="1"/>
</calcChain>
</file>

<file path=xl/sharedStrings.xml><?xml version="1.0" encoding="utf-8"?>
<sst xmlns="http://schemas.openxmlformats.org/spreadsheetml/2006/main" count="36" uniqueCount="14">
  <si>
    <t>Cálculo Antigo</t>
  </si>
  <si>
    <t>Cálculo Novo</t>
  </si>
  <si>
    <t>Valor do Produto</t>
  </si>
  <si>
    <t>Base ICMS</t>
  </si>
  <si>
    <t>Base PIS COFINS</t>
  </si>
  <si>
    <t>ICMS</t>
  </si>
  <si>
    <t>IPI</t>
  </si>
  <si>
    <t>PIS</t>
  </si>
  <si>
    <t>COFINS</t>
  </si>
  <si>
    <t>Total Impostos</t>
  </si>
  <si>
    <t>Impacto</t>
  </si>
  <si>
    <t>Operação sem IPI</t>
  </si>
  <si>
    <t>Operação com IPI para industrialização/revenda</t>
  </si>
  <si>
    <t>Operação com IPI para Uso Consumo / Imobilizado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</si>
</sst>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0"/>
      <name val="Book Antiqua"/>
      <family val="1"/>
    </font>
    <font>
      <b/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10" fontId="2" fillId="0" borderId="0" xfId="0" applyNumberFormat="1" applyFont="1"/>
    <xf numFmtId="43" fontId="2" fillId="0" borderId="0" xfId="1" applyFont="1"/>
    <xf numFmtId="0" fontId="2" fillId="0" borderId="6" xfId="0" applyFont="1" applyBorder="1"/>
    <xf numFmtId="10" fontId="2" fillId="0" borderId="7" xfId="0" applyNumberFormat="1" applyFont="1" applyBorder="1"/>
    <xf numFmtId="0" fontId="4" fillId="0" borderId="0" xfId="0" applyFont="1"/>
    <xf numFmtId="0" fontId="4" fillId="0" borderId="10" xfId="0" applyFont="1" applyBorder="1"/>
    <xf numFmtId="0" fontId="2" fillId="0" borderId="12" xfId="0" applyFont="1" applyBorder="1"/>
    <xf numFmtId="10" fontId="2" fillId="0" borderId="13" xfId="0" applyNumberFormat="1" applyFont="1" applyBorder="1"/>
    <xf numFmtId="43" fontId="2" fillId="0" borderId="13" xfId="1" applyFont="1" applyBorder="1"/>
    <xf numFmtId="43" fontId="2" fillId="0" borderId="0" xfId="1" applyFont="1" applyBorder="1"/>
    <xf numFmtId="43" fontId="2" fillId="0" borderId="8" xfId="1" applyFont="1" applyBorder="1"/>
    <xf numFmtId="43" fontId="2" fillId="0" borderId="14" xfId="1" applyFont="1" applyBorder="1"/>
    <xf numFmtId="0" fontId="2" fillId="0" borderId="14" xfId="0" applyFont="1" applyBorder="1"/>
    <xf numFmtId="43" fontId="2" fillId="0" borderId="8" xfId="1" applyFont="1" applyFill="1" applyBorder="1"/>
    <xf numFmtId="10" fontId="2" fillId="0" borderId="0" xfId="1" applyNumberFormat="1" applyFont="1" applyBorder="1"/>
    <xf numFmtId="43" fontId="2" fillId="0" borderId="0" xfId="1" applyFont="1" applyFill="1" applyBorder="1" applyAlignment="1">
      <alignment horizontal="center" vertical="center"/>
    </xf>
    <xf numFmtId="0" fontId="2" fillId="0" borderId="15" xfId="0" applyFont="1" applyBorder="1"/>
    <xf numFmtId="10" fontId="2" fillId="0" borderId="16" xfId="0" applyNumberFormat="1" applyFont="1" applyBorder="1"/>
    <xf numFmtId="43" fontId="2" fillId="0" borderId="17" xfId="1" applyFont="1" applyBorder="1"/>
    <xf numFmtId="43" fontId="2" fillId="0" borderId="18" xfId="1" applyFont="1" applyBorder="1"/>
    <xf numFmtId="43" fontId="2" fillId="0" borderId="19" xfId="1" applyFont="1" applyBorder="1"/>
    <xf numFmtId="0" fontId="4" fillId="0" borderId="20" xfId="0" applyFont="1" applyBorder="1"/>
    <xf numFmtId="10" fontId="4" fillId="0" borderId="21" xfId="0" applyNumberFormat="1" applyFont="1" applyBorder="1"/>
    <xf numFmtId="43" fontId="4" fillId="0" borderId="21" xfId="1" applyFont="1" applyBorder="1"/>
    <xf numFmtId="43" fontId="4" fillId="0" borderId="22" xfId="1" applyFont="1" applyBorder="1"/>
    <xf numFmtId="0" fontId="4" fillId="0" borderId="15" xfId="0" applyFont="1" applyBorder="1"/>
    <xf numFmtId="10" fontId="4" fillId="0" borderId="16" xfId="0" applyNumberFormat="1" applyFont="1" applyBorder="1"/>
    <xf numFmtId="43" fontId="4" fillId="0" borderId="18" xfId="1" applyFont="1" applyBorder="1"/>
    <xf numFmtId="164" fontId="4" fillId="0" borderId="23" xfId="1" applyNumberFormat="1" applyFont="1" applyBorder="1"/>
    <xf numFmtId="44" fontId="4" fillId="0" borderId="23" xfId="2" applyFont="1" applyBorder="1"/>
    <xf numFmtId="44" fontId="4" fillId="0" borderId="19" xfId="2" applyFont="1" applyBorder="1"/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81395</xdr:colOff>
      <xdr:row>10</xdr:row>
      <xdr:rowOff>161925</xdr:rowOff>
    </xdr:from>
    <xdr:to>
      <xdr:col>4</xdr:col>
      <xdr:colOff>424295</xdr:colOff>
      <xdr:row>12</xdr:row>
      <xdr:rowOff>85725</xdr:rowOff>
    </xdr:to>
    <xdr:sp macro="" textlink="">
      <xdr:nvSpPr>
        <xdr:cNvPr id="2" name="Multiplicar 1">
          <a:extLst>
            <a:ext uri="{FF2B5EF4-FFF2-40B4-BE49-F238E27FC236}">
              <a16:creationId xmlns:a16="http://schemas.microsoft.com/office/drawing/2014/main" id="{1CA961F8-955B-4DAA-9E9A-13FA116C9C3D}"/>
            </a:ext>
          </a:extLst>
        </xdr:cNvPr>
        <xdr:cNvSpPr/>
      </xdr:nvSpPr>
      <xdr:spPr>
        <a:xfrm>
          <a:off x="2462645" y="2439266"/>
          <a:ext cx="342900" cy="339436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50222</xdr:colOff>
      <xdr:row>10</xdr:row>
      <xdr:rowOff>142875</xdr:rowOff>
    </xdr:from>
    <xdr:to>
      <xdr:col>16</xdr:col>
      <xdr:colOff>374072</xdr:colOff>
      <xdr:row>12</xdr:row>
      <xdr:rowOff>66675</xdr:rowOff>
    </xdr:to>
    <xdr:sp macro="" textlink="">
      <xdr:nvSpPr>
        <xdr:cNvPr id="3" name="Multiplicar 2">
          <a:extLst>
            <a:ext uri="{FF2B5EF4-FFF2-40B4-BE49-F238E27FC236}">
              <a16:creationId xmlns:a16="http://schemas.microsoft.com/office/drawing/2014/main" id="{B289B33C-1C73-4537-990A-0BD6EE69B34D}"/>
            </a:ext>
          </a:extLst>
        </xdr:cNvPr>
        <xdr:cNvSpPr/>
      </xdr:nvSpPr>
      <xdr:spPr>
        <a:xfrm>
          <a:off x="9376063" y="2420216"/>
          <a:ext cx="323850" cy="339436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90055</xdr:colOff>
      <xdr:row>10</xdr:row>
      <xdr:rowOff>161925</xdr:rowOff>
    </xdr:from>
    <xdr:to>
      <xdr:col>10</xdr:col>
      <xdr:colOff>442480</xdr:colOff>
      <xdr:row>12</xdr:row>
      <xdr:rowOff>85725</xdr:rowOff>
    </xdr:to>
    <xdr:sp macro="" textlink="">
      <xdr:nvSpPr>
        <xdr:cNvPr id="4" name="Multiplicar 3">
          <a:extLst>
            <a:ext uri="{FF2B5EF4-FFF2-40B4-BE49-F238E27FC236}">
              <a16:creationId xmlns:a16="http://schemas.microsoft.com/office/drawing/2014/main" id="{26F1F3EC-1A7A-4417-936E-F261AE477F72}"/>
            </a:ext>
          </a:extLst>
        </xdr:cNvPr>
        <xdr:cNvSpPr/>
      </xdr:nvSpPr>
      <xdr:spPr>
        <a:xfrm>
          <a:off x="5926282" y="2439266"/>
          <a:ext cx="352425" cy="339436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5911-3D23-46B3-8384-5669AF99283E}">
  <dimension ref="B1:R14"/>
  <sheetViews>
    <sheetView tabSelected="1" zoomScale="110" zoomScaleNormal="110" workbookViewId="0">
      <selection activeCell="D8" sqref="D8"/>
    </sheetView>
  </sheetViews>
  <sheetFormatPr defaultColWidth="9.140625" defaultRowHeight="16.5" x14ac:dyDescent="0.3"/>
  <cols>
    <col min="1" max="1" width="1.85546875" style="1" customWidth="1"/>
    <col min="2" max="2" width="16.5703125" style="1" customWidth="1"/>
    <col min="3" max="3" width="9.140625" style="2"/>
    <col min="4" max="4" width="12.7109375" style="1" customWidth="1"/>
    <col min="5" max="5" width="7.140625" style="1" customWidth="1"/>
    <col min="6" max="6" width="9.7109375" style="1" customWidth="1"/>
    <col min="7" max="7" width="0.85546875" style="3" customWidth="1"/>
    <col min="8" max="8" width="16.5703125" style="1" customWidth="1"/>
    <col min="9" max="9" width="8.7109375" style="2" customWidth="1"/>
    <col min="10" max="10" width="8.7109375" style="1" customWidth="1"/>
    <col min="11" max="11" width="7.28515625" style="1" customWidth="1"/>
    <col min="12" max="12" width="9.5703125" style="1" customWidth="1"/>
    <col min="13" max="13" width="1.42578125" style="3" customWidth="1"/>
    <col min="14" max="14" width="16.5703125" style="1" customWidth="1"/>
    <col min="15" max="15" width="8" style="2" bestFit="1" customWidth="1"/>
    <col min="16" max="16" width="9.28515625" style="1" customWidth="1"/>
    <col min="17" max="17" width="6" style="1" customWidth="1"/>
    <col min="18" max="18" width="11.140625" style="1" customWidth="1"/>
    <col min="19" max="16384" width="9.140625" style="1"/>
  </cols>
  <sheetData>
    <row r="1" spans="2:18" ht="17.25" thickBot="1" x14ac:dyDescent="0.35"/>
    <row r="2" spans="2:18" ht="17.25" thickBot="1" x14ac:dyDescent="0.35">
      <c r="B2" s="38" t="s">
        <v>11</v>
      </c>
      <c r="C2" s="39"/>
      <c r="D2" s="39"/>
      <c r="E2" s="39"/>
      <c r="F2" s="40"/>
      <c r="H2" s="38" t="s">
        <v>12</v>
      </c>
      <c r="I2" s="39"/>
      <c r="J2" s="39"/>
      <c r="K2" s="39"/>
      <c r="L2" s="40"/>
      <c r="N2" s="38" t="s">
        <v>13</v>
      </c>
      <c r="O2" s="39"/>
      <c r="P2" s="39"/>
      <c r="Q2" s="41"/>
      <c r="R2" s="42"/>
    </row>
    <row r="3" spans="2:18" ht="45" x14ac:dyDescent="0.3">
      <c r="B3" s="4"/>
      <c r="C3" s="5"/>
      <c r="D3" s="33" t="s">
        <v>0</v>
      </c>
      <c r="E3" s="6"/>
      <c r="F3" s="34" t="s">
        <v>1</v>
      </c>
      <c r="H3" s="4"/>
      <c r="I3" s="5"/>
      <c r="J3" s="35" t="s">
        <v>0</v>
      </c>
      <c r="K3" s="6"/>
      <c r="L3" s="34" t="s">
        <v>1</v>
      </c>
      <c r="N3" s="4"/>
      <c r="O3" s="5"/>
      <c r="P3" s="36" t="s">
        <v>0</v>
      </c>
      <c r="Q3" s="7"/>
      <c r="R3" s="37" t="s">
        <v>1</v>
      </c>
    </row>
    <row r="4" spans="2:18" x14ac:dyDescent="0.3">
      <c r="B4" s="8" t="s">
        <v>2</v>
      </c>
      <c r="C4" s="9"/>
      <c r="D4" s="10">
        <v>100</v>
      </c>
      <c r="E4" s="11"/>
      <c r="F4" s="12">
        <v>100</v>
      </c>
      <c r="H4" s="8" t="s">
        <v>2</v>
      </c>
      <c r="I4" s="9"/>
      <c r="J4" s="10">
        <v>100</v>
      </c>
      <c r="K4" s="11"/>
      <c r="L4" s="12">
        <v>100</v>
      </c>
      <c r="N4" s="8" t="s">
        <v>2</v>
      </c>
      <c r="O4" s="9"/>
      <c r="P4" s="13">
        <v>100</v>
      </c>
      <c r="Q4" s="14"/>
      <c r="R4" s="12">
        <v>100</v>
      </c>
    </row>
    <row r="5" spans="2:18" x14ac:dyDescent="0.3">
      <c r="B5" s="8" t="s">
        <v>3</v>
      </c>
      <c r="C5" s="9"/>
      <c r="D5" s="10">
        <f>D4/(1-C12)</f>
        <v>126.98412698412699</v>
      </c>
      <c r="E5" s="11"/>
      <c r="F5" s="12">
        <f>F6/(1-C7)</f>
        <v>125.21913348359629</v>
      </c>
      <c r="G5" s="3">
        <f>D5-F5</f>
        <v>1.7649935005306929</v>
      </c>
      <c r="H5" s="8" t="s">
        <v>3</v>
      </c>
      <c r="I5" s="9"/>
      <c r="J5" s="10">
        <f>J6</f>
        <v>126.98412698412697</v>
      </c>
      <c r="K5" s="11"/>
      <c r="L5" s="12">
        <f>L6/(1-I7)</f>
        <v>125.21913348359628</v>
      </c>
      <c r="N5" s="8" t="s">
        <v>3</v>
      </c>
      <c r="O5" s="9"/>
      <c r="P5" s="13">
        <f>P6*(1+O8)</f>
        <v>141.84397163120565</v>
      </c>
      <c r="Q5" s="14"/>
      <c r="R5" s="12">
        <f>(R8/10)*110</f>
        <v>139.64530093562351</v>
      </c>
    </row>
    <row r="6" spans="2:18" x14ac:dyDescent="0.3">
      <c r="B6" s="8" t="s">
        <v>4</v>
      </c>
      <c r="C6" s="9"/>
      <c r="D6" s="10">
        <f>D4/(100%-C12)</f>
        <v>126.98412698412699</v>
      </c>
      <c r="E6" s="11"/>
      <c r="F6" s="12">
        <f>F4/(1-(C9+C10))</f>
        <v>110.19283746556474</v>
      </c>
      <c r="H6" s="8" t="s">
        <v>4</v>
      </c>
      <c r="I6" s="9"/>
      <c r="J6" s="12">
        <f>J4/(1-I9-I10-I7)</f>
        <v>126.98412698412697</v>
      </c>
      <c r="K6" s="11"/>
      <c r="L6" s="12">
        <f>L4/(1-I9-I10)</f>
        <v>110.19283746556472</v>
      </c>
      <c r="N6" s="8" t="s">
        <v>4</v>
      </c>
      <c r="O6" s="9"/>
      <c r="P6" s="13">
        <f>P4/(1-O9-O10-(O7*(1+O8)))</f>
        <v>128.94906511927786</v>
      </c>
      <c r="Q6" s="14"/>
      <c r="R6" s="15">
        <f>R4/(1-O9-O10)</f>
        <v>110.19283746556472</v>
      </c>
    </row>
    <row r="7" spans="2:18" x14ac:dyDescent="0.3">
      <c r="B7" s="8" t="s">
        <v>5</v>
      </c>
      <c r="C7" s="9">
        <v>0.12</v>
      </c>
      <c r="D7" s="10">
        <f>D6*C7</f>
        <v>15.238095238095237</v>
      </c>
      <c r="E7" s="16">
        <f>C7</f>
        <v>0.12</v>
      </c>
      <c r="F7" s="12">
        <f>F5*C7</f>
        <v>15.026296018031555</v>
      </c>
      <c r="H7" s="8" t="s">
        <v>5</v>
      </c>
      <c r="I7" s="9">
        <v>0.12</v>
      </c>
      <c r="J7" s="10">
        <f>J5*I7</f>
        <v>15.238095238095235</v>
      </c>
      <c r="K7" s="16">
        <f>I7</f>
        <v>0.12</v>
      </c>
      <c r="L7" s="12">
        <f>L5*I7</f>
        <v>15.026296018031553</v>
      </c>
      <c r="N7" s="8" t="s">
        <v>5</v>
      </c>
      <c r="O7" s="9">
        <v>0.12</v>
      </c>
      <c r="P7" s="13">
        <f>P5*O7</f>
        <v>17.021276595744677</v>
      </c>
      <c r="Q7" s="14"/>
      <c r="R7" s="15">
        <f>R5*O7</f>
        <v>16.757436112274821</v>
      </c>
    </row>
    <row r="8" spans="2:18" x14ac:dyDescent="0.3">
      <c r="B8" s="8" t="s">
        <v>6</v>
      </c>
      <c r="C8" s="9">
        <v>0</v>
      </c>
      <c r="D8" s="10">
        <f>D6*C8</f>
        <v>0</v>
      </c>
      <c r="E8" s="16">
        <f>C8</f>
        <v>0</v>
      </c>
      <c r="F8" s="12">
        <f>F5*C8</f>
        <v>0</v>
      </c>
      <c r="H8" s="8" t="s">
        <v>6</v>
      </c>
      <c r="I8" s="9">
        <v>0.05</v>
      </c>
      <c r="J8" s="12">
        <f>J6*I8</f>
        <v>6.3492063492063489</v>
      </c>
      <c r="K8" s="16">
        <f t="shared" ref="K8:K10" si="0">I8</f>
        <v>0.05</v>
      </c>
      <c r="L8" s="12">
        <f>(L5*I8)</f>
        <v>6.2609566741798144</v>
      </c>
      <c r="N8" s="8" t="s">
        <v>6</v>
      </c>
      <c r="O8" s="9">
        <v>0.1</v>
      </c>
      <c r="P8" s="13">
        <f>(P5/110)*10</f>
        <v>12.894906511927786</v>
      </c>
      <c r="Q8" s="14"/>
      <c r="R8" s="15">
        <f>(R6/(1-(O7*(1+O8))))*O8</f>
        <v>12.695027357783955</v>
      </c>
    </row>
    <row r="9" spans="2:18" x14ac:dyDescent="0.3">
      <c r="B9" s="8" t="s">
        <v>7</v>
      </c>
      <c r="C9" s="9">
        <v>1.6500000000000001E-2</v>
      </c>
      <c r="D9" s="10">
        <f>D6*C9</f>
        <v>2.0952380952380953</v>
      </c>
      <c r="E9" s="16">
        <f>C9</f>
        <v>1.6500000000000001E-2</v>
      </c>
      <c r="F9" s="12">
        <f>F6*C9</f>
        <v>1.8181818181818181</v>
      </c>
      <c r="H9" s="8" t="s">
        <v>7</v>
      </c>
      <c r="I9" s="9">
        <v>1.6500000000000001E-2</v>
      </c>
      <c r="J9" s="10">
        <f>J6*I9</f>
        <v>2.0952380952380953</v>
      </c>
      <c r="K9" s="16">
        <f t="shared" si="0"/>
        <v>1.6500000000000001E-2</v>
      </c>
      <c r="L9" s="12">
        <f>L6*I9</f>
        <v>1.8181818181818179</v>
      </c>
      <c r="N9" s="8" t="s">
        <v>7</v>
      </c>
      <c r="O9" s="9">
        <v>1.6500000000000001E-2</v>
      </c>
      <c r="P9" s="13">
        <f>P6*O9</f>
        <v>2.1276595744680846</v>
      </c>
      <c r="Q9" s="14"/>
      <c r="R9" s="15">
        <f>R6*O9</f>
        <v>1.8181818181818179</v>
      </c>
    </row>
    <row r="10" spans="2:18" x14ac:dyDescent="0.3">
      <c r="B10" s="8" t="s">
        <v>8</v>
      </c>
      <c r="C10" s="9">
        <v>7.5999999999999998E-2</v>
      </c>
      <c r="D10" s="10">
        <f>D6*C10</f>
        <v>9.6507936507936503</v>
      </c>
      <c r="E10" s="16">
        <f>C10</f>
        <v>7.5999999999999998E-2</v>
      </c>
      <c r="F10" s="12">
        <f>F6*C10</f>
        <v>8.3746556473829195</v>
      </c>
      <c r="H10" s="8" t="s">
        <v>8</v>
      </c>
      <c r="I10" s="9">
        <v>7.5999999999999998E-2</v>
      </c>
      <c r="J10" s="10">
        <f>J6*I10</f>
        <v>9.6507936507936503</v>
      </c>
      <c r="K10" s="16">
        <f t="shared" si="0"/>
        <v>7.5999999999999998E-2</v>
      </c>
      <c r="L10" s="12">
        <f>L6*I10</f>
        <v>8.3746556473829195</v>
      </c>
      <c r="N10" s="8" t="s">
        <v>8</v>
      </c>
      <c r="O10" s="9">
        <v>7.5999999999999998E-2</v>
      </c>
      <c r="P10" s="13">
        <f>P6*O10</f>
        <v>9.8001289490651171</v>
      </c>
      <c r="Q10" s="14"/>
      <c r="R10" s="15">
        <f>R6*O10</f>
        <v>8.3746556473829195</v>
      </c>
    </row>
    <row r="11" spans="2:18" x14ac:dyDescent="0.3">
      <c r="B11" s="8"/>
      <c r="C11" s="9"/>
      <c r="D11" s="10"/>
      <c r="E11" s="11"/>
      <c r="F11" s="12"/>
      <c r="H11" s="8"/>
      <c r="I11" s="9"/>
      <c r="J11" s="10"/>
      <c r="K11" s="11"/>
      <c r="L11" s="12"/>
      <c r="N11" s="8"/>
      <c r="O11" s="9"/>
      <c r="P11" s="13"/>
      <c r="Q11" s="13"/>
      <c r="R11" s="12"/>
    </row>
    <row r="12" spans="2:18" x14ac:dyDescent="0.3">
      <c r="B12" s="8" t="s">
        <v>9</v>
      </c>
      <c r="C12" s="9">
        <f>SUM(C7:C10)</f>
        <v>0.21250000000000002</v>
      </c>
      <c r="D12" s="10">
        <f>D4+SUM(D7:D10)</f>
        <v>126.98412698412699</v>
      </c>
      <c r="E12" s="17"/>
      <c r="F12" s="12">
        <f>F4+SUM(F7:F10)</f>
        <v>125.21913348359629</v>
      </c>
      <c r="H12" s="8" t="s">
        <v>9</v>
      </c>
      <c r="I12" s="9">
        <f>SUM(I7:I10)</f>
        <v>0.26250000000000001</v>
      </c>
      <c r="J12" s="10">
        <f>J4+SUM(J7:J10)</f>
        <v>133.33333333333331</v>
      </c>
      <c r="K12" s="17"/>
      <c r="L12" s="10">
        <f>L4+SUM(L7:L10)</f>
        <v>131.48009015777609</v>
      </c>
      <c r="N12" s="8" t="s">
        <v>9</v>
      </c>
      <c r="O12" s="9">
        <f>SUM(O7:O10)</f>
        <v>0.3125</v>
      </c>
      <c r="P12" s="13">
        <f>P4+SUM(P7:P10)</f>
        <v>141.84397163120568</v>
      </c>
      <c r="Q12" s="13"/>
      <c r="R12" s="12">
        <f>R4+R7+R8+R9+R10</f>
        <v>139.64530093562351</v>
      </c>
    </row>
    <row r="13" spans="2:18" ht="17.25" thickBot="1" x14ac:dyDescent="0.35">
      <c r="B13" s="8"/>
      <c r="C13" s="9"/>
      <c r="D13" s="10"/>
      <c r="E13" s="11"/>
      <c r="F13" s="12"/>
      <c r="H13" s="8"/>
      <c r="I13" s="9"/>
      <c r="J13" s="10"/>
      <c r="K13" s="11"/>
      <c r="L13" s="12"/>
      <c r="N13" s="18"/>
      <c r="O13" s="19"/>
      <c r="P13" s="20"/>
      <c r="Q13" s="21"/>
      <c r="R13" s="22"/>
    </row>
    <row r="14" spans="2:18" ht="17.25" thickBot="1" x14ac:dyDescent="0.35">
      <c r="B14" s="23" t="s">
        <v>10</v>
      </c>
      <c r="C14" s="24"/>
      <c r="D14" s="25"/>
      <c r="E14" s="26"/>
      <c r="F14" s="30">
        <f>D12-F12</f>
        <v>1.7649935005306929</v>
      </c>
      <c r="H14" s="23" t="s">
        <v>10</v>
      </c>
      <c r="I14" s="24"/>
      <c r="J14" s="25"/>
      <c r="K14" s="26"/>
      <c r="L14" s="31">
        <f>J12-L12</f>
        <v>1.8532431755572247</v>
      </c>
      <c r="N14" s="27" t="s">
        <v>10</v>
      </c>
      <c r="O14" s="28"/>
      <c r="P14" s="29"/>
      <c r="Q14" s="29"/>
      <c r="R14" s="32">
        <f>P12-R12</f>
        <v>2.198670695582166</v>
      </c>
    </row>
  </sheetData>
  <mergeCells count="3">
    <mergeCell ref="B2:F2"/>
    <mergeCell ref="H2:L2"/>
    <mergeCell ref="N2:R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Trolesi</dc:creator>
  <cp:lastModifiedBy>Fabio Carvalho</cp:lastModifiedBy>
  <dcterms:created xsi:type="dcterms:W3CDTF">2021-05-19T11:36:34Z</dcterms:created>
  <dcterms:modified xsi:type="dcterms:W3CDTF">2021-06-21T00:44:58Z</dcterms:modified>
</cp:coreProperties>
</file>