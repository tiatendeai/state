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tables/table7.xml" ContentType="application/vnd.openxmlformats-officedocument.spreadsheetml.table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Y:\FOLHA DE PAGAMENTO\empresas\AIRES ADMINISTRAÇÃO\Banco de Horas\Banco de Horas\"/>
    </mc:Choice>
  </mc:AlternateContent>
  <xr:revisionPtr revIDLastSave="0" documentId="13_ncr:1_{0CBD891F-AD3F-47E4-B4C8-771A605DA88C}" xr6:coauthVersionLast="43" xr6:coauthVersionMax="43" xr10:uidLastSave="{00000000-0000-0000-0000-000000000000}"/>
  <bookViews>
    <workbookView xWindow="-120" yWindow="-120" windowWidth="20730" windowHeight="11760" tabRatio="856" activeTab="6" xr2:uid="{00000000-000D-0000-FFFF-FFFF00000000}"/>
  </bookViews>
  <sheets>
    <sheet name="MENU" sheetId="10" r:id="rId1"/>
    <sheet name="RELATORIO" sheetId="14" r:id="rId2"/>
    <sheet name="CONSULTAS" sheetId="8" r:id="rId3"/>
    <sheet name="COMPENSAÇÃO" sheetId="9" r:id="rId4"/>
    <sheet name="HR FEITAS" sheetId="11" r:id="rId5"/>
    <sheet name="HR À FAZER" sheetId="7" r:id="rId6"/>
    <sheet name="BD" sheetId="12" r:id="rId7"/>
    <sheet name="CARGA HORARIA" sheetId="1" r:id="rId8"/>
    <sheet name="QUADRO DE FUNC" sheetId="6" r:id="rId9"/>
    <sheet name="DIA UTEIS" sheetId="3" r:id="rId10"/>
    <sheet name="FERIADOS" sheetId="4" r:id="rId11"/>
    <sheet name="EST. PROVAS" sheetId="13" r:id="rId12"/>
    <sheet name="DIAS FRACIONADOS" sheetId="5" r:id="rId13"/>
    <sheet name="Planilha1" sheetId="15" r:id="rId14"/>
  </sheets>
  <definedNames>
    <definedName name="ano">'DIA UTEIS'!$H$3</definedName>
    <definedName name="CONSULTA">CONSULTAS!$B$4</definedName>
    <definedName name="Dias_úteis">'DIA UTEIS'!$B$2:$M$6</definedName>
    <definedName name="Feriados">FERIADOS!$B$2:$M$10</definedName>
    <definedName name="Reduzido">'DIAS FRACIONADOS'!$B$2:$M$12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4" l="1"/>
  <c r="A1" i="14"/>
  <c r="C20" i="1"/>
  <c r="B20" i="1"/>
  <c r="B20" i="12"/>
  <c r="B20" i="11"/>
  <c r="B20" i="9"/>
  <c r="B3" i="14"/>
  <c r="B20" i="7"/>
  <c r="E31" i="14"/>
  <c r="A36" i="14" l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C4" i="5"/>
  <c r="B4" i="5"/>
  <c r="C4" i="13" l="1"/>
  <c r="D4" i="13"/>
  <c r="E4" i="13"/>
  <c r="F4" i="13"/>
  <c r="G4" i="13"/>
  <c r="B4" i="13"/>
  <c r="B5" i="12" l="1"/>
  <c r="B6" i="12"/>
  <c r="B7" i="12"/>
  <c r="B8" i="12"/>
  <c r="K8" i="12" s="1"/>
  <c r="B9" i="12"/>
  <c r="B10" i="12"/>
  <c r="B11" i="12"/>
  <c r="B12" i="12"/>
  <c r="B13" i="12"/>
  <c r="B14" i="12"/>
  <c r="B15" i="12"/>
  <c r="B16" i="12"/>
  <c r="B17" i="12"/>
  <c r="B18" i="12"/>
  <c r="B19" i="12"/>
  <c r="B4" i="12"/>
  <c r="K4" i="12" s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4" i="7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4" i="11"/>
  <c r="H11" i="12" s="1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4" i="9"/>
  <c r="H7" i="1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4" i="1"/>
  <c r="L7" i="12" l="1"/>
  <c r="N5" i="12"/>
  <c r="J5" i="12"/>
  <c r="M6" i="12"/>
  <c r="J9" i="12"/>
  <c r="I6" i="12"/>
  <c r="N9" i="12"/>
  <c r="N7" i="12"/>
  <c r="L5" i="12"/>
  <c r="O4" i="12"/>
  <c r="C7" i="14"/>
  <c r="H5" i="12"/>
  <c r="F7" i="12"/>
  <c r="J7" i="12"/>
  <c r="F9" i="12"/>
  <c r="N19" i="12"/>
  <c r="O8" i="12"/>
  <c r="O6" i="12"/>
  <c r="H15" i="12"/>
  <c r="J13" i="12"/>
  <c r="K14" i="12"/>
  <c r="G8" i="12"/>
  <c r="H9" i="12"/>
  <c r="L9" i="12"/>
  <c r="G10" i="12"/>
  <c r="I12" i="12"/>
  <c r="O10" i="12"/>
  <c r="M8" i="12"/>
  <c r="L11" i="12"/>
  <c r="F13" i="12"/>
  <c r="N13" i="12"/>
  <c r="M16" i="12"/>
  <c r="O14" i="12"/>
  <c r="M12" i="12"/>
  <c r="K10" i="12"/>
  <c r="H19" i="12"/>
  <c r="G18" i="12"/>
  <c r="E16" i="12"/>
  <c r="G4" i="12"/>
  <c r="G6" i="12"/>
  <c r="K6" i="12"/>
  <c r="E8" i="12"/>
  <c r="I8" i="12"/>
  <c r="E12" i="12"/>
  <c r="G14" i="12"/>
  <c r="J17" i="12"/>
  <c r="L15" i="12"/>
  <c r="I16" i="12"/>
  <c r="F17" i="12"/>
  <c r="N17" i="12"/>
  <c r="K18" i="12"/>
  <c r="L19" i="12"/>
  <c r="M18" i="12"/>
  <c r="O16" i="12"/>
  <c r="D20" i="12"/>
  <c r="F20" i="12"/>
  <c r="H20" i="12"/>
  <c r="J20" i="12"/>
  <c r="L20" i="12"/>
  <c r="N20" i="12"/>
  <c r="E20" i="12"/>
  <c r="G20" i="12"/>
  <c r="I20" i="12"/>
  <c r="K20" i="12"/>
  <c r="M20" i="12"/>
  <c r="O20" i="12"/>
  <c r="O18" i="12"/>
  <c r="E10" i="12"/>
  <c r="I10" i="12"/>
  <c r="M10" i="12"/>
  <c r="F11" i="12"/>
  <c r="J11" i="12"/>
  <c r="N11" i="12"/>
  <c r="G12" i="12"/>
  <c r="K12" i="12"/>
  <c r="O12" i="12"/>
  <c r="H13" i="12"/>
  <c r="L13" i="12"/>
  <c r="E14" i="12"/>
  <c r="I14" i="12"/>
  <c r="M14" i="12"/>
  <c r="F15" i="12"/>
  <c r="J15" i="12"/>
  <c r="N15" i="12"/>
  <c r="G16" i="12"/>
  <c r="K16" i="12"/>
  <c r="H17" i="12"/>
  <c r="L17" i="12"/>
  <c r="E18" i="12"/>
  <c r="I18" i="12"/>
  <c r="F19" i="12"/>
  <c r="J19" i="12"/>
  <c r="O19" i="12"/>
  <c r="D20" i="14"/>
  <c r="D18" i="14"/>
  <c r="D16" i="14"/>
  <c r="D14" i="14"/>
  <c r="D12" i="14"/>
  <c r="D10" i="14"/>
  <c r="D21" i="14"/>
  <c r="D19" i="14"/>
  <c r="D17" i="14"/>
  <c r="D13" i="14"/>
  <c r="D15" i="14"/>
  <c r="D11" i="14"/>
  <c r="N18" i="12"/>
  <c r="N16" i="12"/>
  <c r="N14" i="12"/>
  <c r="N12" i="12"/>
  <c r="N10" i="12"/>
  <c r="N8" i="12"/>
  <c r="N6" i="12"/>
  <c r="N4" i="12"/>
  <c r="E4" i="12"/>
  <c r="I4" i="12"/>
  <c r="M4" i="12"/>
  <c r="G5" i="12"/>
  <c r="I5" i="12"/>
  <c r="K5" i="12"/>
  <c r="M5" i="12"/>
  <c r="O5" i="12"/>
  <c r="H6" i="12"/>
  <c r="J6" i="12"/>
  <c r="L6" i="12"/>
  <c r="E7" i="12"/>
  <c r="G7" i="12"/>
  <c r="I7" i="12"/>
  <c r="K7" i="12"/>
  <c r="M7" i="12"/>
  <c r="O7" i="12"/>
  <c r="F8" i="12"/>
  <c r="H8" i="12"/>
  <c r="J8" i="12"/>
  <c r="L8" i="12"/>
  <c r="E9" i="12"/>
  <c r="G9" i="12"/>
  <c r="I9" i="12"/>
  <c r="K9" i="12"/>
  <c r="M9" i="12"/>
  <c r="O9" i="12"/>
  <c r="F10" i="12"/>
  <c r="H10" i="12"/>
  <c r="J10" i="12"/>
  <c r="L10" i="12"/>
  <c r="E11" i="12"/>
  <c r="G11" i="12"/>
  <c r="I11" i="12"/>
  <c r="K11" i="12"/>
  <c r="M11" i="12"/>
  <c r="O11" i="12"/>
  <c r="F12" i="12"/>
  <c r="H12" i="12"/>
  <c r="J12" i="12"/>
  <c r="L12" i="12"/>
  <c r="E13" i="12"/>
  <c r="G13" i="12"/>
  <c r="I13" i="12"/>
  <c r="K13" i="12"/>
  <c r="M13" i="12"/>
  <c r="O13" i="12"/>
  <c r="F14" i="12"/>
  <c r="H14" i="12"/>
  <c r="J14" i="12"/>
  <c r="L14" i="12"/>
  <c r="E15" i="12"/>
  <c r="G15" i="12"/>
  <c r="I15" i="12"/>
  <c r="K15" i="12"/>
  <c r="M15" i="12"/>
  <c r="O15" i="12"/>
  <c r="F16" i="12"/>
  <c r="H16" i="12"/>
  <c r="J16" i="12"/>
  <c r="L16" i="12"/>
  <c r="E17" i="12"/>
  <c r="G17" i="12"/>
  <c r="I17" i="12"/>
  <c r="K17" i="12"/>
  <c r="M17" i="12"/>
  <c r="O17" i="12"/>
  <c r="F18" i="12"/>
  <c r="H18" i="12"/>
  <c r="J18" i="12"/>
  <c r="L18" i="12"/>
  <c r="E19" i="12"/>
  <c r="G19" i="12"/>
  <c r="I19" i="12"/>
  <c r="K19" i="12"/>
  <c r="M19" i="12"/>
  <c r="F4" i="12"/>
  <c r="H4" i="12"/>
  <c r="J4" i="12"/>
  <c r="L4" i="12"/>
  <c r="F15" i="14" l="1"/>
  <c r="E15" i="14"/>
  <c r="F17" i="14"/>
  <c r="E17" i="14"/>
  <c r="F21" i="14"/>
  <c r="E21" i="14"/>
  <c r="E16" i="14"/>
  <c r="F16" i="14"/>
  <c r="E20" i="14"/>
  <c r="F20" i="14"/>
  <c r="F13" i="14"/>
  <c r="E13" i="14"/>
  <c r="F19" i="14"/>
  <c r="E19" i="14"/>
  <c r="E14" i="14"/>
  <c r="F14" i="14"/>
  <c r="E18" i="14"/>
  <c r="F18" i="14"/>
  <c r="C20" i="9"/>
  <c r="D20" i="9" s="1"/>
  <c r="C8" i="1"/>
  <c r="C9" i="1"/>
  <c r="C10" i="1"/>
  <c r="C11" i="1"/>
  <c r="C12" i="1"/>
  <c r="C13" i="1"/>
  <c r="C14" i="1"/>
  <c r="C15" i="1"/>
  <c r="C16" i="1"/>
  <c r="C17" i="1"/>
  <c r="C18" i="1"/>
  <c r="C19" i="1"/>
  <c r="C4" i="1"/>
  <c r="C5" i="1"/>
  <c r="C6" i="1"/>
  <c r="C7" i="1"/>
  <c r="C6" i="14" l="1"/>
  <c r="D19" i="12"/>
  <c r="C19" i="9" s="1"/>
  <c r="D19" i="9" s="1"/>
  <c r="D18" i="12"/>
  <c r="D17" i="12"/>
  <c r="D16" i="12"/>
  <c r="C16" i="9" s="1"/>
  <c r="D16" i="9" s="1"/>
  <c r="D15" i="12"/>
  <c r="D14" i="12"/>
  <c r="D13" i="12"/>
  <c r="D12" i="12"/>
  <c r="D11" i="12"/>
  <c r="D10" i="12"/>
  <c r="D9" i="12"/>
  <c r="D8" i="12"/>
  <c r="D7" i="12"/>
  <c r="D5" i="12"/>
  <c r="D4" i="12"/>
  <c r="C4" i="9" s="1"/>
  <c r="D4" i="9" s="1"/>
  <c r="B5" i="3"/>
  <c r="B6" i="3" s="1"/>
  <c r="C7" i="7" s="1"/>
  <c r="C5" i="3"/>
  <c r="C6" i="3" s="1"/>
  <c r="B11" i="14" l="1"/>
  <c r="D20" i="7"/>
  <c r="C9" i="7"/>
  <c r="C11" i="7"/>
  <c r="C13" i="7"/>
  <c r="C15" i="7"/>
  <c r="C17" i="7"/>
  <c r="C5" i="7"/>
  <c r="C8" i="7"/>
  <c r="C10" i="7"/>
  <c r="C12" i="7"/>
  <c r="C14" i="7"/>
  <c r="C16" i="7"/>
  <c r="C18" i="7"/>
  <c r="D4" i="7"/>
  <c r="C6" i="7"/>
  <c r="D6" i="12" s="1"/>
  <c r="C19" i="7"/>
  <c r="B10" i="14"/>
  <c r="C20" i="7"/>
  <c r="D9" i="7"/>
  <c r="D11" i="7"/>
  <c r="D13" i="7"/>
  <c r="D15" i="7"/>
  <c r="D17" i="7"/>
  <c r="D5" i="7"/>
  <c r="E5" i="12" s="1"/>
  <c r="D8" i="7"/>
  <c r="D10" i="7"/>
  <c r="D12" i="7"/>
  <c r="D14" i="7"/>
  <c r="D16" i="7"/>
  <c r="D18" i="7"/>
  <c r="C4" i="7"/>
  <c r="D6" i="7"/>
  <c r="E6" i="12" s="1"/>
  <c r="D19" i="7"/>
  <c r="D7" i="7"/>
  <c r="C7" i="9"/>
  <c r="D7" i="9" s="1"/>
  <c r="C9" i="9"/>
  <c r="D9" i="9" s="1"/>
  <c r="C11" i="9"/>
  <c r="D11" i="9" s="1"/>
  <c r="C13" i="9"/>
  <c r="D13" i="9" s="1"/>
  <c r="C15" i="9"/>
  <c r="D15" i="9" s="1"/>
  <c r="C17" i="9"/>
  <c r="D17" i="9" s="1"/>
  <c r="C8" i="9"/>
  <c r="D8" i="9" s="1"/>
  <c r="C10" i="9"/>
  <c r="D10" i="9" s="1"/>
  <c r="C12" i="9"/>
  <c r="D12" i="9" s="1"/>
  <c r="C14" i="9"/>
  <c r="D14" i="9" s="1"/>
  <c r="C18" i="9"/>
  <c r="D18" i="9" s="1"/>
  <c r="D5" i="3"/>
  <c r="D6" i="3" s="1"/>
  <c r="E11" i="14" l="1"/>
  <c r="C10" i="14"/>
  <c r="E10" i="14" s="1"/>
  <c r="F10" i="14" s="1"/>
  <c r="F11" i="14" s="1"/>
  <c r="B12" i="14"/>
  <c r="E20" i="7"/>
  <c r="E4" i="7"/>
  <c r="E7" i="7"/>
  <c r="E19" i="7"/>
  <c r="E6" i="7"/>
  <c r="F6" i="12" s="1"/>
  <c r="C6" i="9" s="1"/>
  <c r="D6" i="9" s="1"/>
  <c r="E18" i="7"/>
  <c r="E16" i="7"/>
  <c r="E14" i="7"/>
  <c r="E12" i="7"/>
  <c r="E10" i="7"/>
  <c r="E8" i="7"/>
  <c r="E5" i="7"/>
  <c r="F5" i="12" s="1"/>
  <c r="C5" i="9" s="1"/>
  <c r="D5" i="9" s="1"/>
  <c r="D4" i="8" s="1"/>
  <c r="E17" i="7"/>
  <c r="E15" i="7"/>
  <c r="E13" i="7"/>
  <c r="E11" i="7"/>
  <c r="E9" i="7"/>
  <c r="E5" i="3"/>
  <c r="E6" i="3" s="1"/>
  <c r="C4" i="8" l="1"/>
  <c r="C12" i="14"/>
  <c r="E12" i="14" s="1"/>
  <c r="F12" i="14" s="1"/>
  <c r="B13" i="14"/>
  <c r="F20" i="7"/>
  <c r="F7" i="7"/>
  <c r="F19" i="7"/>
  <c r="F6" i="7"/>
  <c r="F18" i="7"/>
  <c r="F16" i="7"/>
  <c r="F14" i="7"/>
  <c r="F12" i="7"/>
  <c r="F10" i="7"/>
  <c r="F8" i="7"/>
  <c r="F5" i="7"/>
  <c r="F17" i="7"/>
  <c r="F15" i="7"/>
  <c r="F13" i="7"/>
  <c r="F11" i="7"/>
  <c r="F9" i="7"/>
  <c r="F4" i="7"/>
  <c r="F5" i="3"/>
  <c r="F6" i="3" s="1"/>
  <c r="C13" i="14" l="1"/>
  <c r="B14" i="14"/>
  <c r="G20" i="7"/>
  <c r="G7" i="7"/>
  <c r="G19" i="7"/>
  <c r="G6" i="7"/>
  <c r="G4" i="7"/>
  <c r="G18" i="7"/>
  <c r="G16" i="7"/>
  <c r="G14" i="7"/>
  <c r="G12" i="7"/>
  <c r="G10" i="7"/>
  <c r="G8" i="7"/>
  <c r="G5" i="7"/>
  <c r="G17" i="7"/>
  <c r="G15" i="7"/>
  <c r="G13" i="7"/>
  <c r="G11" i="7"/>
  <c r="G9" i="7"/>
  <c r="G5" i="3"/>
  <c r="G6" i="3" s="1"/>
  <c r="C14" i="14" l="1"/>
  <c r="B15" i="14"/>
  <c r="H20" i="7"/>
  <c r="H4" i="7"/>
  <c r="H7" i="7"/>
  <c r="H19" i="7"/>
  <c r="H6" i="7"/>
  <c r="H18" i="7"/>
  <c r="H16" i="7"/>
  <c r="H14" i="7"/>
  <c r="H12" i="7"/>
  <c r="H10" i="7"/>
  <c r="H8" i="7"/>
  <c r="H5" i="7"/>
  <c r="H17" i="7"/>
  <c r="H15" i="7"/>
  <c r="H13" i="7"/>
  <c r="H11" i="7"/>
  <c r="H9" i="7"/>
  <c r="H5" i="3"/>
  <c r="H6" i="3" s="1"/>
  <c r="C15" i="14" l="1"/>
  <c r="B16" i="14"/>
  <c r="I20" i="7"/>
  <c r="I7" i="7"/>
  <c r="I19" i="7"/>
  <c r="I6" i="7"/>
  <c r="I18" i="7"/>
  <c r="I16" i="7"/>
  <c r="I14" i="7"/>
  <c r="I12" i="7"/>
  <c r="I10" i="7"/>
  <c r="I8" i="7"/>
  <c r="I5" i="7"/>
  <c r="I17" i="7"/>
  <c r="I15" i="7"/>
  <c r="I13" i="7"/>
  <c r="I11" i="7"/>
  <c r="I9" i="7"/>
  <c r="I4" i="7"/>
  <c r="I5" i="3"/>
  <c r="I6" i="3" s="1"/>
  <c r="C16" i="14" l="1"/>
  <c r="B17" i="14"/>
  <c r="J20" i="7"/>
  <c r="J4" i="7"/>
  <c r="J7" i="7"/>
  <c r="J19" i="7"/>
  <c r="J6" i="7"/>
  <c r="J18" i="7"/>
  <c r="J16" i="7"/>
  <c r="J14" i="7"/>
  <c r="J12" i="7"/>
  <c r="J10" i="7"/>
  <c r="J8" i="7"/>
  <c r="J5" i="7"/>
  <c r="J17" i="7"/>
  <c r="J15" i="7"/>
  <c r="J13" i="7"/>
  <c r="J11" i="7"/>
  <c r="J9" i="7"/>
  <c r="J5" i="3"/>
  <c r="J6" i="3" s="1"/>
  <c r="C17" i="14" l="1"/>
  <c r="B18" i="14"/>
  <c r="K20" i="7"/>
  <c r="K7" i="7"/>
  <c r="K19" i="7"/>
  <c r="K6" i="7"/>
  <c r="K4" i="7"/>
  <c r="K18" i="7"/>
  <c r="K16" i="7"/>
  <c r="K14" i="7"/>
  <c r="K12" i="7"/>
  <c r="K10" i="7"/>
  <c r="K8" i="7"/>
  <c r="K5" i="7"/>
  <c r="K17" i="7"/>
  <c r="K15" i="7"/>
  <c r="K13" i="7"/>
  <c r="K11" i="7"/>
  <c r="K9" i="7"/>
  <c r="K5" i="3"/>
  <c r="K6" i="3" s="1"/>
  <c r="C18" i="14" l="1"/>
  <c r="B19" i="14"/>
  <c r="L20" i="7"/>
  <c r="L7" i="7"/>
  <c r="L19" i="7"/>
  <c r="L6" i="7"/>
  <c r="L18" i="7"/>
  <c r="L16" i="7"/>
  <c r="L14" i="7"/>
  <c r="L12" i="7"/>
  <c r="L10" i="7"/>
  <c r="L8" i="7"/>
  <c r="L5" i="7"/>
  <c r="L17" i="7"/>
  <c r="L15" i="7"/>
  <c r="L13" i="7"/>
  <c r="L11" i="7"/>
  <c r="L9" i="7"/>
  <c r="L4" i="7"/>
  <c r="L5" i="3"/>
  <c r="L6" i="3" s="1"/>
  <c r="C19" i="14" l="1"/>
  <c r="B20" i="14"/>
  <c r="M20" i="7"/>
  <c r="M4" i="7"/>
  <c r="M7" i="7"/>
  <c r="M19" i="7"/>
  <c r="M6" i="7"/>
  <c r="M18" i="7"/>
  <c r="M16" i="7"/>
  <c r="M14" i="7"/>
  <c r="M12" i="7"/>
  <c r="M10" i="7"/>
  <c r="M8" i="7"/>
  <c r="M5" i="7"/>
  <c r="M17" i="7"/>
  <c r="M15" i="7"/>
  <c r="M13" i="7"/>
  <c r="M11" i="7"/>
  <c r="M9" i="7"/>
  <c r="M5" i="3"/>
  <c r="M6" i="3" s="1"/>
  <c r="C20" i="14" l="1"/>
  <c r="B21" i="14"/>
  <c r="N20" i="7"/>
  <c r="N7" i="7"/>
  <c r="N19" i="7"/>
  <c r="N6" i="7"/>
  <c r="N18" i="7"/>
  <c r="N16" i="7"/>
  <c r="N14" i="7"/>
  <c r="N12" i="7"/>
  <c r="N10" i="7"/>
  <c r="N8" i="7"/>
  <c r="N5" i="7"/>
  <c r="N17" i="7"/>
  <c r="N15" i="7"/>
  <c r="N13" i="7"/>
  <c r="N11" i="7"/>
  <c r="N9" i="7"/>
  <c r="N4" i="7"/>
  <c r="C21" i="14" l="1"/>
</calcChain>
</file>

<file path=xl/sharedStrings.xml><?xml version="1.0" encoding="utf-8"?>
<sst xmlns="http://schemas.openxmlformats.org/spreadsheetml/2006/main" count="193" uniqueCount="83">
  <si>
    <t>NOME</t>
  </si>
  <si>
    <t>CHAPA</t>
  </si>
  <si>
    <t>FUNÇÃO</t>
  </si>
  <si>
    <t>AJUDANTE GERAL</t>
  </si>
  <si>
    <t>ENTRADA 1</t>
  </si>
  <si>
    <t>SAIDA 1</t>
  </si>
  <si>
    <t>ENTRADA 2</t>
  </si>
  <si>
    <t>SAIDA 2</t>
  </si>
  <si>
    <t>ENTRADA 3</t>
  </si>
  <si>
    <t>SAIDA 3</t>
  </si>
  <si>
    <t>CARGA HORARIA DIA</t>
  </si>
  <si>
    <t>ESTOQUISTA</t>
  </si>
  <si>
    <t>MENOR APRENDIZ</t>
  </si>
  <si>
    <t>CARGA HORÁRIA</t>
  </si>
  <si>
    <t>DIAS ÚTEIS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</si>
  <si>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</si>
  <si>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</si>
  <si>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</si>
  <si>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</si>
  <si>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</si>
  <si>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</si>
  <si>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</si>
  <si>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</si>
  <si>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</si>
  <si>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</si>
  <si>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</si>
  <si>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</si>
  <si>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DIGITE O ANO VIGENTE</t>
  </si>
  <si>
    <t>DIA</t>
  </si>
  <si>
    <t>FERIADOS E PONTOS FACULTATIVOS (DIAS À DESCONTAR)</t>
  </si>
  <si>
    <t>CARGA HORÁRIA REDUZIDA</t>
  </si>
  <si>
    <t>HORAS</t>
  </si>
  <si>
    <t>QUADRO DE FUNCIONARIOS</t>
  </si>
  <si>
    <t>CONSULTA POR NOME</t>
  </si>
  <si>
    <t>FUNCIONARIO</t>
  </si>
  <si>
    <t>TOTAL DE HORAS</t>
  </si>
  <si>
    <t>COMPENSAÇÃO</t>
  </si>
  <si>
    <t>COMPENSAÇÃO DE HORAS</t>
  </si>
  <si>
    <t>BANCO DE HR.</t>
  </si>
  <si>
    <t>HORAS À FAZER</t>
  </si>
  <si>
    <t>HORAS FEITAS</t>
  </si>
  <si>
    <t>BANCO DE HORAS</t>
  </si>
  <si>
    <t>SEMANA PROVAS E CURSOS</t>
  </si>
  <si>
    <t>ESTAGIÁRIO</t>
  </si>
  <si>
    <t>Chapa:</t>
  </si>
  <si>
    <t>Servidor:</t>
  </si>
  <si>
    <t>Jornada de trabalho / dia:</t>
  </si>
  <si>
    <t>Dias trabalhados</t>
  </si>
  <si>
    <t>Carga horária mensal</t>
  </si>
  <si>
    <t>Horas trabalhadas</t>
  </si>
  <si>
    <t>Saldo mensal</t>
  </si>
  <si>
    <t>Saldo total</t>
  </si>
  <si>
    <t>Franca,</t>
  </si>
  <si>
    <t>CHEFIA</t>
  </si>
  <si>
    <t>SALDO ANTERIOR</t>
  </si>
  <si>
    <t>RAPHAELA RIBEIRO ZAULI</t>
  </si>
  <si>
    <t>JOÃO PAULO ORLANDO BONAMIM</t>
  </si>
  <si>
    <t>LETICIA ANANIAS VIEIRA</t>
  </si>
  <si>
    <t>FLÁVIO SOUZA ROCHA</t>
  </si>
  <si>
    <t>MARIANA CAETANO DE MACEDO</t>
  </si>
  <si>
    <t>JOÃO CARLOS SOUSA</t>
  </si>
  <si>
    <t>func 5</t>
  </si>
  <si>
    <t>func 6</t>
  </si>
  <si>
    <t>func 7</t>
  </si>
  <si>
    <t>func 8</t>
  </si>
  <si>
    <t>func 9</t>
  </si>
  <si>
    <t>func 10</t>
  </si>
  <si>
    <t>func 11</t>
  </si>
  <si>
    <t>func 12</t>
  </si>
  <si>
    <t>func 13</t>
  </si>
  <si>
    <t>func 14</t>
  </si>
  <si>
    <t>func 15</t>
  </si>
  <si>
    <t>func 16</t>
  </si>
  <si>
    <t>func 17</t>
  </si>
  <si>
    <t>Amanda</t>
  </si>
  <si>
    <t>Camila</t>
  </si>
  <si>
    <t>Daiani</t>
  </si>
  <si>
    <t>Cobrança</t>
  </si>
  <si>
    <t>Fiscal</t>
  </si>
  <si>
    <t>Érica</t>
  </si>
  <si>
    <t>Dp</t>
  </si>
  <si>
    <t>Bruna</t>
  </si>
  <si>
    <t>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</si>
</sst>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]:mm"/>
    <numFmt numFmtId="165" formatCode="dd&quot; dia(s),&quot;\ hh&quot; hora(s) e &quot;mm&quot; minuto(s)&quot;"/>
    <numFmt numFmtId="166" formatCode="[$-F400]h:mm:ss\ AM/PM"/>
    <numFmt numFmtId="167" formatCode="[h]:mm:ss;@"/>
  </numFmts>
  <fonts count="25" x14ac:knownFonts="1"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u/>
      <sz val="18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u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sz val="12"/>
      <color theme="1"/>
      <name val="Arial"/>
      <family val="2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3" fillId="8" borderId="3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14" fontId="0" fillId="5" borderId="2" xfId="0" applyNumberFormat="1" applyFill="1" applyBorder="1" applyAlignment="1" applyProtection="1">
      <alignment horizontal="center" vertical="center"/>
      <protection hidden="1"/>
    </xf>
    <xf numFmtId="14" fontId="0" fillId="3" borderId="2" xfId="0" applyNumberFormat="1" applyFill="1" applyBorder="1" applyAlignment="1" applyProtection="1">
      <alignment horizontal="center" vertical="center"/>
      <protection locked="0"/>
    </xf>
    <xf numFmtId="14" fontId="0" fillId="4" borderId="2" xfId="0" applyNumberFormat="1" applyFont="1" applyFill="1" applyBorder="1" applyAlignment="1" applyProtection="1">
      <alignment horizontal="center" vertical="center"/>
      <protection locked="0"/>
    </xf>
    <xf numFmtId="14" fontId="0" fillId="4" borderId="2" xfId="0" applyNumberFormat="1" applyFill="1" applyBorder="1" applyAlignment="1" applyProtection="1">
      <alignment horizontal="center" vertical="center"/>
      <protection locked="0"/>
    </xf>
    <xf numFmtId="14" fontId="0" fillId="3" borderId="2" xfId="0" applyNumberFormat="1" applyFont="1" applyFill="1" applyBorder="1" applyAlignment="1" applyProtection="1">
      <alignment horizontal="center" vertical="center"/>
      <protection locked="0"/>
    </xf>
    <xf numFmtId="20" fontId="0" fillId="3" borderId="2" xfId="0" applyNumberFormat="1" applyFill="1" applyBorder="1" applyAlignment="1" applyProtection="1">
      <alignment horizontal="center" vertical="center"/>
      <protection locked="0"/>
    </xf>
    <xf numFmtId="20" fontId="0" fillId="3" borderId="2" xfId="0" applyNumberFormat="1" applyFont="1" applyFill="1" applyBorder="1" applyAlignment="1" applyProtection="1">
      <alignment horizontal="center" vertical="center"/>
      <protection locked="0"/>
    </xf>
    <xf numFmtId="20" fontId="0" fillId="4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7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0" fillId="0" borderId="0" xfId="0" applyNumberFormat="1"/>
    <xf numFmtId="46" fontId="0" fillId="0" borderId="0" xfId="0" applyNumberFormat="1"/>
    <xf numFmtId="0" fontId="0" fillId="0" borderId="0" xfId="0" applyNumberFormat="1" applyAlignment="1">
      <alignment horizontal="center"/>
    </xf>
    <xf numFmtId="164" fontId="0" fillId="0" borderId="0" xfId="0" applyNumberFormat="1" applyAlignment="1"/>
    <xf numFmtId="0" fontId="0" fillId="0" borderId="0" xfId="0" applyNumberFormat="1" applyAlignment="1">
      <alignment vertical="center"/>
    </xf>
    <xf numFmtId="46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6" borderId="2" xfId="0" applyNumberFormat="1" applyFont="1" applyFill="1" applyBorder="1" applyAlignment="1">
      <alignment horizontal="left" vertical="center"/>
    </xf>
    <xf numFmtId="46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 applyProtection="1">
      <alignment horizontal="center" vertical="center"/>
      <protection locked="0"/>
    </xf>
    <xf numFmtId="0" fontId="0" fillId="0" borderId="5" xfId="0" applyFont="1" applyFill="1" applyBorder="1" applyAlignment="1" applyProtection="1">
      <alignment horizontal="center" vertical="center"/>
      <protection locked="0"/>
    </xf>
    <xf numFmtId="0" fontId="0" fillId="0" borderId="6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center" vertical="center"/>
      <protection locked="0"/>
    </xf>
    <xf numFmtId="20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Protection="1"/>
    <xf numFmtId="0" fontId="0" fillId="0" borderId="0" xfId="0" applyBorder="1"/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/>
    </xf>
    <xf numFmtId="166" fontId="0" fillId="0" borderId="0" xfId="0" applyNumberFormat="1"/>
    <xf numFmtId="20" fontId="0" fillId="0" borderId="0" xfId="0" applyNumberFormat="1" applyAlignment="1">
      <alignment horizontal="center" vertical="center"/>
    </xf>
    <xf numFmtId="0" fontId="0" fillId="0" borderId="6" xfId="0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15" fillId="10" borderId="0" xfId="0" applyFont="1" applyFill="1" applyBorder="1"/>
    <xf numFmtId="0" fontId="15" fillId="0" borderId="0" xfId="0" applyFont="1" applyFill="1" applyBorder="1"/>
    <xf numFmtId="0" fontId="16" fillId="10" borderId="0" xfId="0" applyFont="1" applyFill="1" applyBorder="1" applyAlignment="1">
      <alignment horizontal="center"/>
    </xf>
    <xf numFmtId="0" fontId="17" fillId="10" borderId="0" xfId="0" applyFont="1" applyFill="1" applyBorder="1" applyAlignment="1">
      <alignment horizontal="center"/>
    </xf>
    <xf numFmtId="0" fontId="19" fillId="10" borderId="0" xfId="0" applyFont="1" applyFill="1" applyBorder="1"/>
    <xf numFmtId="0" fontId="19" fillId="0" borderId="0" xfId="0" applyFont="1" applyFill="1" applyBorder="1"/>
    <xf numFmtId="0" fontId="19" fillId="10" borderId="0" xfId="0" applyFont="1" applyFill="1" applyBorder="1" applyAlignment="1">
      <alignment horizontal="center" vertical="distributed"/>
    </xf>
    <xf numFmtId="0" fontId="19" fillId="0" borderId="0" xfId="0" applyFont="1" applyFill="1" applyBorder="1" applyAlignment="1">
      <alignment horizontal="center" vertical="distributed"/>
    </xf>
    <xf numFmtId="0" fontId="19" fillId="10" borderId="0" xfId="0" applyFont="1" applyFill="1" applyBorder="1" applyAlignment="1"/>
    <xf numFmtId="0" fontId="21" fillId="10" borderId="10" xfId="0" applyFont="1" applyFill="1" applyBorder="1" applyAlignment="1">
      <alignment horizontal="center" vertical="center" wrapText="1"/>
    </xf>
    <xf numFmtId="0" fontId="21" fillId="11" borderId="1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67" fontId="20" fillId="0" borderId="0" xfId="0" applyNumberFormat="1" applyFont="1" applyFill="1" applyBorder="1"/>
    <xf numFmtId="1" fontId="20" fillId="0" borderId="0" xfId="0" applyNumberFormat="1" applyFont="1" applyFill="1" applyBorder="1"/>
    <xf numFmtId="0" fontId="19" fillId="10" borderId="0" xfId="0" applyFont="1" applyFill="1" applyBorder="1" applyAlignment="1">
      <alignment horizontal="center"/>
    </xf>
    <xf numFmtId="167" fontId="21" fillId="10" borderId="0" xfId="0" applyNumberFormat="1" applyFont="1" applyFill="1" applyBorder="1"/>
    <xf numFmtId="167" fontId="17" fillId="10" borderId="0" xfId="0" applyNumberFormat="1" applyFont="1" applyFill="1" applyBorder="1"/>
    <xf numFmtId="0" fontId="19" fillId="10" borderId="0" xfId="0" applyFont="1" applyFill="1" applyBorder="1" applyAlignment="1">
      <alignment horizontal="right"/>
    </xf>
    <xf numFmtId="14" fontId="19" fillId="10" borderId="0" xfId="0" applyNumberFormat="1" applyFont="1" applyFill="1" applyBorder="1" applyAlignment="1">
      <alignment horizontal="left"/>
    </xf>
    <xf numFmtId="0" fontId="19" fillId="10" borderId="3" xfId="0" applyFont="1" applyFill="1" applyBorder="1" applyAlignment="1">
      <alignment horizontal="left"/>
    </xf>
    <xf numFmtId="0" fontId="19" fillId="10" borderId="3" xfId="0" applyFont="1" applyFill="1" applyBorder="1" applyAlignment="1">
      <alignment horizontal="center"/>
    </xf>
    <xf numFmtId="0" fontId="19" fillId="10" borderId="3" xfId="0" applyFont="1" applyFill="1" applyBorder="1"/>
    <xf numFmtId="0" fontId="12" fillId="1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center"/>
    </xf>
    <xf numFmtId="167" fontId="19" fillId="10" borderId="0" xfId="0" applyNumberFormat="1" applyFont="1" applyFill="1" applyBorder="1" applyAlignment="1">
      <alignment horizontal="left"/>
    </xf>
    <xf numFmtId="0" fontId="21" fillId="11" borderId="11" xfId="0" applyFont="1" applyFill="1" applyBorder="1" applyAlignment="1">
      <alignment horizontal="center" vertical="center" wrapText="1"/>
    </xf>
    <xf numFmtId="0" fontId="24" fillId="10" borderId="0" xfId="0" applyFont="1" applyFill="1" applyBorder="1" applyAlignment="1"/>
    <xf numFmtId="0" fontId="11" fillId="10" borderId="0" xfId="0" applyFont="1" applyFill="1" applyBorder="1" applyAlignment="1">
      <alignment horizontal="left"/>
    </xf>
    <xf numFmtId="0" fontId="12" fillId="10" borderId="0" xfId="0" applyFont="1" applyFill="1" applyBorder="1"/>
    <xf numFmtId="0" fontId="12" fillId="10" borderId="12" xfId="0" applyFont="1" applyFill="1" applyBorder="1" applyAlignment="1">
      <alignment horizontal="left"/>
    </xf>
    <xf numFmtId="0" fontId="19" fillId="10" borderId="12" xfId="0" applyFont="1" applyFill="1" applyBorder="1" applyAlignment="1">
      <alignment horizontal="center"/>
    </xf>
    <xf numFmtId="0" fontId="19" fillId="10" borderId="12" xfId="0" applyFont="1" applyFill="1" applyBorder="1"/>
    <xf numFmtId="0" fontId="17" fillId="0" borderId="0" xfId="0" applyFont="1" applyFill="1" applyBorder="1" applyAlignment="1">
      <alignment vertical="distributed"/>
    </xf>
    <xf numFmtId="0" fontId="19" fillId="0" borderId="0" xfId="0" applyFont="1" applyFill="1" applyBorder="1" applyAlignment="1">
      <alignment horizontal="right"/>
    </xf>
    <xf numFmtId="167" fontId="20" fillId="0" borderId="0" xfId="0" applyNumberFormat="1" applyFont="1" applyFill="1" applyBorder="1" applyAlignment="1"/>
    <xf numFmtId="0" fontId="17" fillId="10" borderId="0" xfId="0" applyFont="1" applyFill="1" applyBorder="1" applyAlignment="1"/>
    <xf numFmtId="0" fontId="18" fillId="10" borderId="2" xfId="0" applyFont="1" applyFill="1" applyBorder="1" applyAlignment="1">
      <alignment horizontal="right"/>
    </xf>
    <xf numFmtId="164" fontId="19" fillId="0" borderId="0" xfId="0" applyNumberFormat="1" applyFont="1" applyFill="1" applyBorder="1" applyAlignment="1">
      <alignment horizontal="center"/>
    </xf>
    <xf numFmtId="164" fontId="21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0" fontId="9" fillId="0" borderId="14" xfId="0" applyNumberFormat="1" applyFont="1" applyBorder="1"/>
    <xf numFmtId="0" fontId="9" fillId="0" borderId="15" xfId="0" applyNumberFormat="1" applyFont="1" applyBorder="1"/>
    <xf numFmtId="0" fontId="9" fillId="0" borderId="16" xfId="0" applyNumberFormat="1" applyFont="1" applyBorder="1"/>
    <xf numFmtId="0" fontId="0" fillId="0" borderId="1" xfId="0" applyFill="1" applyBorder="1" applyAlignment="1" applyProtection="1">
      <alignment horizontal="center" vertical="center"/>
      <protection locked="0"/>
    </xf>
    <xf numFmtId="0" fontId="13" fillId="11" borderId="10" xfId="0" applyFont="1" applyFill="1" applyBorder="1" applyAlignment="1">
      <alignment horizontal="center" vertical="center"/>
    </xf>
    <xf numFmtId="1" fontId="22" fillId="12" borderId="10" xfId="0" applyNumberFormat="1" applyFont="1" applyFill="1" applyBorder="1" applyAlignment="1">
      <alignment horizontal="center" vertical="center"/>
    </xf>
    <xf numFmtId="164" fontId="23" fillId="0" borderId="10" xfId="0" applyNumberFormat="1" applyFont="1" applyFill="1" applyBorder="1" applyAlignment="1">
      <alignment horizontal="center" vertical="center"/>
    </xf>
    <xf numFmtId="164" fontId="23" fillId="0" borderId="11" xfId="0" applyNumberFormat="1" applyFont="1" applyFill="1" applyBorder="1" applyAlignment="1">
      <alignment horizontal="center" vertical="center"/>
    </xf>
    <xf numFmtId="0" fontId="0" fillId="0" borderId="0" xfId="0" applyFill="1" applyBorder="1" applyAlignment="1" applyProtection="1">
      <alignment horizontal="center" vertical="center" wrapText="1"/>
    </xf>
    <xf numFmtId="0" fontId="6" fillId="9" borderId="0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top" wrapText="1"/>
    </xf>
    <xf numFmtId="0" fontId="0" fillId="0" borderId="0" xfId="0" applyAlignment="1" applyProtection="1">
      <alignment vertical="top"/>
    </xf>
    <xf numFmtId="20" fontId="0" fillId="0" borderId="0" xfId="0" applyNumberFormat="1" applyProtection="1"/>
    <xf numFmtId="0" fontId="2" fillId="6" borderId="4" xfId="0" applyFont="1" applyFill="1" applyBorder="1" applyAlignment="1" applyProtection="1">
      <alignment vertical="center"/>
    </xf>
    <xf numFmtId="0" fontId="0" fillId="0" borderId="0" xfId="0" applyFont="1" applyProtection="1"/>
    <xf numFmtId="14" fontId="0" fillId="0" borderId="0" xfId="0" applyNumberFormat="1" applyProtection="1">
      <protection locked="0"/>
    </xf>
    <xf numFmtId="14" fontId="0" fillId="0" borderId="0" xfId="0" applyNumberFormat="1" applyProtection="1"/>
    <xf numFmtId="20" fontId="2" fillId="6" borderId="4" xfId="0" applyNumberFormat="1" applyFont="1" applyFill="1" applyBorder="1" applyAlignment="1" applyProtection="1">
      <alignment horizontal="center" vertical="center"/>
    </xf>
    <xf numFmtId="0" fontId="2" fillId="6" borderId="7" xfId="0" applyFont="1" applyFill="1" applyBorder="1" applyAlignment="1" applyProtection="1">
      <alignment horizontal="center" vertical="center"/>
    </xf>
    <xf numFmtId="20" fontId="2" fillId="4" borderId="2" xfId="0" applyNumberFormat="1" applyFont="1" applyFill="1" applyBorder="1" applyAlignment="1" applyProtection="1">
      <alignment horizontal="center" vertical="center"/>
    </xf>
    <xf numFmtId="14" fontId="2" fillId="4" borderId="2" xfId="0" applyNumberFormat="1" applyFont="1" applyFill="1" applyBorder="1" applyAlignment="1" applyProtection="1">
      <alignment horizontal="center" vertical="center"/>
    </xf>
    <xf numFmtId="164" fontId="0" fillId="0" borderId="0" xfId="0" applyNumberFormat="1" applyProtection="1"/>
    <xf numFmtId="46" fontId="0" fillId="0" borderId="0" xfId="0" applyNumberFormat="1" applyFont="1" applyFill="1" applyBorder="1" applyAlignment="1" applyProtection="1">
      <alignment horizontal="center" vertical="center"/>
      <protection locked="0"/>
    </xf>
    <xf numFmtId="0" fontId="24" fillId="10" borderId="0" xfId="0" applyFont="1" applyFill="1" applyAlignment="1">
      <alignment horizontal="center"/>
    </xf>
    <xf numFmtId="0" fontId="14" fillId="10" borderId="13" xfId="0" applyFont="1" applyFill="1" applyBorder="1" applyAlignment="1">
      <alignment horizontal="center" vertical="center"/>
    </xf>
    <xf numFmtId="0" fontId="17" fillId="10" borderId="2" xfId="0" applyFont="1" applyFill="1" applyBorder="1" applyAlignment="1" applyProtection="1">
      <alignment horizontal="left"/>
      <protection locked="0"/>
    </xf>
    <xf numFmtId="0" fontId="17" fillId="10" borderId="2" xfId="0" applyFont="1" applyFill="1" applyBorder="1" applyAlignment="1">
      <alignment horizontal="left"/>
    </xf>
    <xf numFmtId="167" fontId="19" fillId="10" borderId="0" xfId="0" applyNumberFormat="1" applyFont="1" applyFill="1" applyBorder="1" applyAlignment="1">
      <alignment horizontal="left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9" borderId="0" xfId="0" applyFont="1" applyFill="1" applyBorder="1" applyAlignment="1" applyProtection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right" vertical="center"/>
    </xf>
    <xf numFmtId="0" fontId="3" fillId="7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</xf>
    <xf numFmtId="14" fontId="4" fillId="9" borderId="0" xfId="0" applyNumberFormat="1" applyFont="1" applyFill="1" applyAlignment="1">
      <alignment horizontal="center"/>
    </xf>
    <xf numFmtId="0" fontId="2" fillId="6" borderId="4" xfId="0" applyFont="1" applyFill="1" applyBorder="1" applyAlignment="1" applyProtection="1">
      <alignment horizontal="center" vertical="center"/>
    </xf>
    <xf numFmtId="0" fontId="2" fillId="6" borderId="7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80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/>
        <bottom style="thin">
          <color theme="4" tint="0.39997558519241921"/>
        </bottom>
      </border>
      <protection locked="0" hidden="0"/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25" formatCode="hh:mm"/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center" vertical="top" textRotation="0" wrapText="1" indent="0" justifyLastLine="0" shrinkToFit="0" readingOrder="0"/>
      <protection locked="1" hidden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numFmt numFmtId="164" formatCode="[h]:mm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numFmt numFmtId="164" formatCode="[h]:mm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numFmt numFmtId="165" formatCode="dd&quot; dia(s),&quot;\ hh&quot; hora(s) e &quot;mm&quot; minuto(s)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[h]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HR &#192; FAZER'!A1"/><Relationship Id="rId3" Type="http://schemas.openxmlformats.org/officeDocument/2006/relationships/hyperlink" Target="#'CARGA HORARIA'!A1"/><Relationship Id="rId7" Type="http://schemas.openxmlformats.org/officeDocument/2006/relationships/hyperlink" Target="#'HR FEITAS'!A1"/><Relationship Id="rId12" Type="http://schemas.openxmlformats.org/officeDocument/2006/relationships/hyperlink" Target="#COMPENSA&#199;&#195;O!A1"/><Relationship Id="rId2" Type="http://schemas.openxmlformats.org/officeDocument/2006/relationships/hyperlink" Target="#'QUADRO DE FUNC'!A1"/><Relationship Id="rId1" Type="http://schemas.openxmlformats.org/officeDocument/2006/relationships/hyperlink" Target="#BD!A1"/><Relationship Id="rId6" Type="http://schemas.openxmlformats.org/officeDocument/2006/relationships/hyperlink" Target="#'DIA UTEIS'!A1"/><Relationship Id="rId11" Type="http://schemas.openxmlformats.org/officeDocument/2006/relationships/hyperlink" Target="#'EST. PROVAS'!A1"/><Relationship Id="rId5" Type="http://schemas.openxmlformats.org/officeDocument/2006/relationships/hyperlink" Target="#Reduzido"/><Relationship Id="rId10" Type="http://schemas.openxmlformats.org/officeDocument/2006/relationships/hyperlink" Target="#RELATORIO!A1"/><Relationship Id="rId4" Type="http://schemas.openxmlformats.org/officeDocument/2006/relationships/hyperlink" Target="#FERIADOS!A1"/><Relationship Id="rId9" Type="http://schemas.openxmlformats.org/officeDocument/2006/relationships/hyperlink" Target="#CONSULTA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16</xdr:col>
      <xdr:colOff>588064</xdr:colOff>
      <xdr:row>27</xdr:row>
      <xdr:rowOff>171450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9525"/>
          <a:ext cx="10394673" cy="530542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12</xdr:col>
      <xdr:colOff>93169</xdr:colOff>
      <xdr:row>4</xdr:row>
      <xdr:rowOff>0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16269" y="190500"/>
          <a:ext cx="6174515" cy="571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400" b="1"/>
            <a:t>CONTROLE BANCO DE HORAS</a:t>
          </a:r>
        </a:p>
      </xdr:txBody>
    </xdr:sp>
    <xdr:clientData/>
  </xdr:twoCellAnchor>
  <xdr:twoCellAnchor>
    <xdr:from>
      <xdr:col>9</xdr:col>
      <xdr:colOff>179018</xdr:colOff>
      <xdr:row>5</xdr:row>
      <xdr:rowOff>84322</xdr:rowOff>
    </xdr:from>
    <xdr:to>
      <xdr:col>13</xdr:col>
      <xdr:colOff>289890</xdr:colOff>
      <xdr:row>7</xdr:row>
      <xdr:rowOff>121904</xdr:rowOff>
    </xdr:to>
    <xdr:sp macro="" textlink="">
      <xdr:nvSpPr>
        <xdr:cNvPr id="7" name="Retângulo de cantos arredondado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695235" y="103682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Banco</a:t>
          </a:r>
          <a:r>
            <a:rPr lang="pt-BR" sz="1100" baseline="0"/>
            <a:t> de Horas</a:t>
          </a:r>
        </a:p>
      </xdr:txBody>
    </xdr:sp>
    <xdr:clientData/>
  </xdr:twoCellAnchor>
  <xdr:twoCellAnchor>
    <xdr:from>
      <xdr:col>0</xdr:col>
      <xdr:colOff>276226</xdr:colOff>
      <xdr:row>15</xdr:row>
      <xdr:rowOff>74543</xdr:rowOff>
    </xdr:from>
    <xdr:to>
      <xdr:col>4</xdr:col>
      <xdr:colOff>387099</xdr:colOff>
      <xdr:row>17</xdr:row>
      <xdr:rowOff>112125</xdr:rowOff>
    </xdr:to>
    <xdr:sp macro="" textlink="">
      <xdr:nvSpPr>
        <xdr:cNvPr id="8" name="Retângulo de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6226" y="2932043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Quadro de Funcionários</a:t>
          </a:r>
        </a:p>
      </xdr:txBody>
    </xdr:sp>
    <xdr:clientData/>
  </xdr:twoCellAnchor>
  <xdr:twoCellAnchor>
    <xdr:from>
      <xdr:col>0</xdr:col>
      <xdr:colOff>276226</xdr:colOff>
      <xdr:row>8</xdr:row>
      <xdr:rowOff>144562</xdr:rowOff>
    </xdr:from>
    <xdr:to>
      <xdr:col>4</xdr:col>
      <xdr:colOff>387099</xdr:colOff>
      <xdr:row>10</xdr:row>
      <xdr:rowOff>182144</xdr:rowOff>
    </xdr:to>
    <xdr:sp macro="" textlink="">
      <xdr:nvSpPr>
        <xdr:cNvPr id="10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76226" y="166856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Carga Horária</a:t>
          </a:r>
          <a:endParaRPr lang="pt-BR" sz="1100" baseline="0"/>
        </a:p>
      </xdr:txBody>
    </xdr:sp>
    <xdr:clientData/>
  </xdr:twoCellAnchor>
  <xdr:twoCellAnchor>
    <xdr:from>
      <xdr:col>0</xdr:col>
      <xdr:colOff>276226</xdr:colOff>
      <xdr:row>12</xdr:row>
      <xdr:rowOff>14302</xdr:rowOff>
    </xdr:from>
    <xdr:to>
      <xdr:col>4</xdr:col>
      <xdr:colOff>387099</xdr:colOff>
      <xdr:row>14</xdr:row>
      <xdr:rowOff>51884</xdr:rowOff>
    </xdr:to>
    <xdr:sp macro="" textlink="">
      <xdr:nvSpPr>
        <xdr:cNvPr id="11" name="Retângulo de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76226" y="230030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Feriados</a:t>
          </a:r>
          <a:endParaRPr lang="pt-BR" sz="1100" baseline="0"/>
        </a:p>
      </xdr:txBody>
    </xdr:sp>
    <xdr:clientData/>
  </xdr:twoCellAnchor>
  <xdr:twoCellAnchor>
    <xdr:from>
      <xdr:col>9</xdr:col>
      <xdr:colOff>179018</xdr:colOff>
      <xdr:row>12</xdr:row>
      <xdr:rowOff>14302</xdr:rowOff>
    </xdr:from>
    <xdr:to>
      <xdr:col>13</xdr:col>
      <xdr:colOff>289890</xdr:colOff>
      <xdr:row>14</xdr:row>
      <xdr:rowOff>51884</xdr:rowOff>
    </xdr:to>
    <xdr:sp macro="" textlink="">
      <xdr:nvSpPr>
        <xdr:cNvPr id="12" name="Retângulo de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695235" y="230030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Dias Fracionados</a:t>
          </a:r>
          <a:endParaRPr lang="pt-BR" sz="1100" baseline="0"/>
        </a:p>
      </xdr:txBody>
    </xdr:sp>
    <xdr:clientData/>
  </xdr:twoCellAnchor>
  <xdr:twoCellAnchor>
    <xdr:from>
      <xdr:col>4</xdr:col>
      <xdr:colOff>510324</xdr:colOff>
      <xdr:row>12</xdr:row>
      <xdr:rowOff>14302</xdr:rowOff>
    </xdr:from>
    <xdr:to>
      <xdr:col>9</xdr:col>
      <xdr:colOff>8284</xdr:colOff>
      <xdr:row>14</xdr:row>
      <xdr:rowOff>51884</xdr:rowOff>
    </xdr:to>
    <xdr:sp macro="" textlink="">
      <xdr:nvSpPr>
        <xdr:cNvPr id="13" name="Retângulo de cantos arredondado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961976" y="230030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Dias Úteis</a:t>
          </a:r>
          <a:endParaRPr lang="pt-BR" sz="1100" baseline="0"/>
        </a:p>
      </xdr:txBody>
    </xdr:sp>
    <xdr:clientData/>
  </xdr:twoCellAnchor>
  <xdr:twoCellAnchor>
    <xdr:from>
      <xdr:col>9</xdr:col>
      <xdr:colOff>179018</xdr:colOff>
      <xdr:row>8</xdr:row>
      <xdr:rowOff>144562</xdr:rowOff>
    </xdr:from>
    <xdr:to>
      <xdr:col>13</xdr:col>
      <xdr:colOff>289890</xdr:colOff>
      <xdr:row>10</xdr:row>
      <xdr:rowOff>182144</xdr:rowOff>
    </xdr:to>
    <xdr:sp macro="" textlink="">
      <xdr:nvSpPr>
        <xdr:cNvPr id="14" name="Retângulo de cantos arredondado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695235" y="166856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Horas Trabalhadas</a:t>
          </a:r>
          <a:endParaRPr lang="pt-BR" sz="1100" baseline="0"/>
        </a:p>
      </xdr:txBody>
    </xdr:sp>
    <xdr:clientData/>
  </xdr:twoCellAnchor>
  <xdr:twoCellAnchor>
    <xdr:from>
      <xdr:col>4</xdr:col>
      <xdr:colOff>518607</xdr:colOff>
      <xdr:row>8</xdr:row>
      <xdr:rowOff>144562</xdr:rowOff>
    </xdr:from>
    <xdr:to>
      <xdr:col>9</xdr:col>
      <xdr:colOff>16567</xdr:colOff>
      <xdr:row>10</xdr:row>
      <xdr:rowOff>182144</xdr:rowOff>
    </xdr:to>
    <xdr:sp macro="" textlink="">
      <xdr:nvSpPr>
        <xdr:cNvPr id="15" name="Retângulo de cantos arredondado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970259" y="166856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Horas Devidas</a:t>
          </a:r>
          <a:endParaRPr lang="pt-BR" sz="1100" baseline="0"/>
        </a:p>
      </xdr:txBody>
    </xdr:sp>
    <xdr:clientData/>
  </xdr:twoCellAnchor>
  <xdr:twoCellAnchor>
    <xdr:from>
      <xdr:col>0</xdr:col>
      <xdr:colOff>276226</xdr:colOff>
      <xdr:row>5</xdr:row>
      <xdr:rowOff>84322</xdr:rowOff>
    </xdr:from>
    <xdr:to>
      <xdr:col>4</xdr:col>
      <xdr:colOff>387099</xdr:colOff>
      <xdr:row>7</xdr:row>
      <xdr:rowOff>121904</xdr:rowOff>
    </xdr:to>
    <xdr:sp macro="" textlink="">
      <xdr:nvSpPr>
        <xdr:cNvPr id="37" name="Retângulo de cantos arredondados 3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76226" y="103682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Consulta</a:t>
          </a:r>
          <a:r>
            <a:rPr lang="pt-BR" sz="1100" baseline="0"/>
            <a:t> por Nome</a:t>
          </a:r>
        </a:p>
      </xdr:txBody>
    </xdr:sp>
    <xdr:clientData/>
  </xdr:twoCellAnchor>
  <xdr:twoCellAnchor>
    <xdr:from>
      <xdr:col>4</xdr:col>
      <xdr:colOff>538484</xdr:colOff>
      <xdr:row>5</xdr:row>
      <xdr:rowOff>84322</xdr:rowOff>
    </xdr:from>
    <xdr:to>
      <xdr:col>9</xdr:col>
      <xdr:colOff>36444</xdr:colOff>
      <xdr:row>7</xdr:row>
      <xdr:rowOff>121904</xdr:rowOff>
    </xdr:to>
    <xdr:sp macro="" textlink="">
      <xdr:nvSpPr>
        <xdr:cNvPr id="20" name="Retângulo de cantos arredondado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990136" y="1036822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Relatório</a:t>
          </a:r>
          <a:r>
            <a:rPr lang="pt-BR" sz="1100" baseline="0"/>
            <a:t> Individual</a:t>
          </a:r>
        </a:p>
      </xdr:txBody>
    </xdr:sp>
    <xdr:clientData/>
  </xdr:twoCellAnchor>
  <xdr:twoCellAnchor>
    <xdr:from>
      <xdr:col>4</xdr:col>
      <xdr:colOff>515593</xdr:colOff>
      <xdr:row>15</xdr:row>
      <xdr:rowOff>74543</xdr:rowOff>
    </xdr:from>
    <xdr:to>
      <xdr:col>9</xdr:col>
      <xdr:colOff>13553</xdr:colOff>
      <xdr:row>17</xdr:row>
      <xdr:rowOff>112125</xdr:rowOff>
    </xdr:to>
    <xdr:sp macro="" textlink="">
      <xdr:nvSpPr>
        <xdr:cNvPr id="21" name="Retângulo de cantos arredondados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967245" y="2932043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Provas - Estágiarios</a:t>
          </a:r>
        </a:p>
      </xdr:txBody>
    </xdr:sp>
    <xdr:clientData/>
  </xdr:twoCellAnchor>
  <xdr:twoCellAnchor>
    <xdr:from>
      <xdr:col>9</xdr:col>
      <xdr:colOff>179018</xdr:colOff>
      <xdr:row>15</xdr:row>
      <xdr:rowOff>74543</xdr:rowOff>
    </xdr:from>
    <xdr:to>
      <xdr:col>13</xdr:col>
      <xdr:colOff>289890</xdr:colOff>
      <xdr:row>17</xdr:row>
      <xdr:rowOff>112125</xdr:rowOff>
    </xdr:to>
    <xdr:sp macro="" textlink="">
      <xdr:nvSpPr>
        <xdr:cNvPr id="24" name="Retângulo de cantos arredondados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695235" y="2932043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Compensação em Dias</a:t>
          </a:r>
        </a:p>
      </xdr:txBody>
    </xdr:sp>
    <xdr:clientData/>
  </xdr:twoCellAnchor>
  <xdr:twoCellAnchor>
    <xdr:from>
      <xdr:col>4</xdr:col>
      <xdr:colOff>502040</xdr:colOff>
      <xdr:row>19</xdr:row>
      <xdr:rowOff>0</xdr:rowOff>
    </xdr:from>
    <xdr:to>
      <xdr:col>9</xdr:col>
      <xdr:colOff>0</xdr:colOff>
      <xdr:row>21</xdr:row>
      <xdr:rowOff>37582</xdr:rowOff>
    </xdr:to>
    <xdr:sp macro="" textlink="">
      <xdr:nvSpPr>
        <xdr:cNvPr id="25" name="Retângulo de cantos arredondados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953692" y="3619500"/>
          <a:ext cx="2562525" cy="418582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100"/>
            <a:t>ANO VIGENTE</a:t>
          </a:r>
          <a:endParaRPr lang="pt-BR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176954</xdr:colOff>
      <xdr:row>1</xdr:row>
      <xdr:rowOff>114300</xdr:rowOff>
    </xdr:from>
    <xdr:to>
      <xdr:col>4</xdr:col>
      <xdr:colOff>1438276</xdr:colOff>
      <xdr:row>2</xdr:row>
      <xdr:rowOff>342900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044604" y="304800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47625</xdr:rowOff>
    </xdr:from>
    <xdr:to>
      <xdr:col>6</xdr:col>
      <xdr:colOff>223097</xdr:colOff>
      <xdr:row>3</xdr:row>
      <xdr:rowOff>9525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772150" y="238125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376978</xdr:colOff>
      <xdr:row>20</xdr:row>
      <xdr:rowOff>114300</xdr:rowOff>
    </xdr:from>
    <xdr:to>
      <xdr:col>13</xdr:col>
      <xdr:colOff>0</xdr:colOff>
      <xdr:row>24</xdr:row>
      <xdr:rowOff>0</xdr:rowOff>
    </xdr:to>
    <xdr:sp macro="" textlink="">
      <xdr:nvSpPr>
        <xdr:cNvPr id="3" name="Seta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921153" y="4029075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20</xdr:row>
      <xdr:rowOff>57150</xdr:rowOff>
    </xdr:from>
    <xdr:to>
      <xdr:col>13</xdr:col>
      <xdr:colOff>480272</xdr:colOff>
      <xdr:row>23</xdr:row>
      <xdr:rowOff>0</xdr:rowOff>
    </xdr:to>
    <xdr:sp macro="" textlink="">
      <xdr:nvSpPr>
        <xdr:cNvPr id="3" name="Seta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0506075" y="4686300"/>
          <a:ext cx="1261322" cy="6858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133350</xdr:colOff>
      <xdr:row>21</xdr:row>
      <xdr:rowOff>0</xdr:rowOff>
    </xdr:from>
    <xdr:to>
      <xdr:col>14</xdr:col>
      <xdr:colOff>556472</xdr:colOff>
      <xdr:row>24</xdr:row>
      <xdr:rowOff>76200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3144500" y="4105275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</xdr:row>
      <xdr:rowOff>9525</xdr:rowOff>
    </xdr:from>
    <xdr:to>
      <xdr:col>9</xdr:col>
      <xdr:colOff>1489922</xdr:colOff>
      <xdr:row>2</xdr:row>
      <xdr:rowOff>66675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8105775" y="200025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180975</xdr:rowOff>
    </xdr:from>
    <xdr:to>
      <xdr:col>4</xdr:col>
      <xdr:colOff>1537547</xdr:colOff>
      <xdr:row>3</xdr:row>
      <xdr:rowOff>152400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705225" y="180975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6</xdr:row>
      <xdr:rowOff>171450</xdr:rowOff>
    </xdr:from>
    <xdr:to>
      <xdr:col>12</xdr:col>
      <xdr:colOff>775547</xdr:colOff>
      <xdr:row>10</xdr:row>
      <xdr:rowOff>57150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734425" y="1504950"/>
          <a:ext cx="1261322" cy="923925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381000</xdr:colOff>
      <xdr:row>10</xdr:row>
      <xdr:rowOff>57150</xdr:rowOff>
    </xdr:from>
    <xdr:to>
      <xdr:col>12</xdr:col>
      <xdr:colOff>794597</xdr:colOff>
      <xdr:row>10</xdr:row>
      <xdr:rowOff>704850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9115425" y="2266950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1100878</xdr:colOff>
      <xdr:row>14</xdr:row>
      <xdr:rowOff>0</xdr:rowOff>
    </xdr:from>
    <xdr:to>
      <xdr:col>6</xdr:col>
      <xdr:colOff>0</xdr:colOff>
      <xdr:row>17</xdr:row>
      <xdr:rowOff>76200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0883053" y="2838450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616323</xdr:colOff>
      <xdr:row>12</xdr:row>
      <xdr:rowOff>89647</xdr:rowOff>
    </xdr:from>
    <xdr:to>
      <xdr:col>24</xdr:col>
      <xdr:colOff>633792</xdr:colOff>
      <xdr:row>12</xdr:row>
      <xdr:rowOff>737347</xdr:rowOff>
    </xdr:to>
    <xdr:sp macro="" textlink="">
      <xdr:nvSpPr>
        <xdr:cNvPr id="2" name="Seta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4433176" y="2465294"/>
          <a:ext cx="1261322" cy="647700"/>
        </a:xfrm>
        <a:prstGeom prst="leftArrow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/>
            <a:t>MENU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Compensação" displayName="Compensação" ref="B3:D20" totalsRowShown="0" headerRowDxfId="74" dataDxfId="73">
  <tableColumns count="3">
    <tableColumn id="1" xr3:uid="{00000000-0010-0000-0000-000001000000}" name="NOME" dataDxfId="72">
      <calculatedColumnFormula>quadro_de_func[[#This Row],[NOME]]</calculatedColumnFormula>
    </tableColumn>
    <tableColumn id="2" xr3:uid="{00000000-0010-0000-0000-000002000000}" name="BANCO DE HR." dataDxfId="71">
      <calculatedColumnFormula>SUM(BD!D4:O4)</calculatedColumnFormula>
    </tableColumn>
    <tableColumn id="3" xr3:uid="{00000000-0010-0000-0000-000003000000}" name="COMPENSAÇÃO" dataDxfId="70">
      <calculatedColumnFormula>FLOOR(C4,1/$I$2*VLOOKUP(Compensação[[#This Row],[NOME]],carga_horaria[[NOME]:[CARGA HORARIA DIA]],2,FALSE))*3+(C4-FLOOR(C4,1/$I$2*VLOOKUP(Compensação[[#This Row],[NOME]],carga_horaria[[NOME]:[CARGA HORARIA DIA]],2,FALSE)))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HR_FEITAS" displayName="HR_FEITAS" ref="B3:N20" totalsRowShown="0" headerRowDxfId="69" dataDxfId="68">
  <tableColumns count="13">
    <tableColumn id="1" xr3:uid="{00000000-0010-0000-0100-000001000000}" name="NOME" dataDxfId="67">
      <calculatedColumnFormula>quadro_de_func[[#This Row],[NOME]]</calculatedColumnFormula>
    </tableColumn>
    <tableColumn id="2" xr3:uid="{00000000-0010-0000-0100-000002000000}" name="JANEIRO" dataDxfId="66"/>
    <tableColumn id="3" xr3:uid="{00000000-0010-0000-0100-000003000000}" name="FEVEREIRO" dataDxfId="65"/>
    <tableColumn id="4" xr3:uid="{00000000-0010-0000-0100-000004000000}" name="MARÇO" dataDxfId="64"/>
    <tableColumn id="5" xr3:uid="{00000000-0010-0000-0100-000005000000}" name="ABRIL" dataDxfId="63"/>
    <tableColumn id="6" xr3:uid="{00000000-0010-0000-0100-000006000000}" name="MAIO" dataDxfId="62"/>
    <tableColumn id="7" xr3:uid="{00000000-0010-0000-0100-000007000000}" name="JUNHO" dataDxfId="61"/>
    <tableColumn id="8" xr3:uid="{00000000-0010-0000-0100-000008000000}" name="JULHO" dataDxfId="60"/>
    <tableColumn id="9" xr3:uid="{00000000-0010-0000-0100-000009000000}" name="AGOSTO" dataDxfId="59"/>
    <tableColumn id="10" xr3:uid="{00000000-0010-0000-0100-00000A000000}" name="SETEMBRO" dataDxfId="58"/>
    <tableColumn id="11" xr3:uid="{00000000-0010-0000-0100-00000B000000}" name="OUTUBRO" dataDxfId="57"/>
    <tableColumn id="12" xr3:uid="{00000000-0010-0000-0100-00000C000000}" name="NOVEMBRO" dataDxfId="56"/>
    <tableColumn id="13" xr3:uid="{00000000-0010-0000-0100-00000D000000}" name="DEZEMBRO" dataDxfId="5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R_A_FAZER" displayName="HR_A_FAZER" ref="B3:N20" totalsRowShown="0" headerRowDxfId="54" dataDxfId="53">
  <tableColumns count="13">
    <tableColumn id="1" xr3:uid="{00000000-0010-0000-0200-000001000000}" name="NOME" dataDxfId="52">
      <calculatedColumnFormula>quadro_de_func[[#This Row],[NOME]]</calculatedColumnFormula>
    </tableColumn>
    <tableColumn id="2" xr3:uid="{00000000-0010-0000-0200-000002000000}" name="JANEIRO" dataDxfId="51">
      <calculatedColumnFormula>IF(VLOOKUP($B4,quadro_de_func[#All],3,FALSE)="MENOR APRENDIZ",VLOOKUP($B4,carga_horaria[],2,FALSE)*(HLOOKUP(C$3,'DIA UTEIS'!$B$4:$M$6,3,FALSE)+COUNTA('DIAS FRACIONADOS'!$B$6:$B$12)),IF(VLOOKUP($B4,quadro_de_func[#All],3,FALSE)="ESTAGIÁRIO",((VLOOKUP($B4,carga_horaria[],2,FALSE)*HLOOKUP(C$3,'DIA UTEIS'!$B$4:$M$6,3,FALSE))-(HLOOKUP($B4,'EST. PROVAS'!$B$3:$Z$4,2,FALSE)*(VLOOKUP($B4,carga_horaria[],2,FALSE)/2)))+HLOOKUP(HR_A_FAZER[[#Headers],[JANEIRO]],'DIAS FRACIONADOS'!$B$3:$Y$4,2,FALSE),(VLOOKUP($B4,carga_horaria[],2,FALSE)*(HLOOKUP(C$3,'DIA UTEIS'!$B$4:$M$6,3,FALSE)))+HLOOKUP(HR_A_FAZER[[#Headers],[JANEIRO]],'DIAS FRACIONADOS'!$B$3:$Y$4,2,FALSE)))</calculatedColumnFormula>
    </tableColumn>
    <tableColumn id="5" xr3:uid="{00000000-0010-0000-0200-000005000000}" name="FEVEREIRO" dataDxfId="50">
      <calculatedColumnFormula>IF(VLOOKUP($B4,quadro_de_func[#All],3,FALSE)="MENOR APRENDIZ",VLOOKUP($B4,carga_horaria[],2,FALSE)*(HLOOKUP(D$3,'DIA UTEIS'!$B$4:$M$6,3,FALSE)+COUNTA('DIAS FRACIONADOS'!$B$6:$B$12)),IF(VLOOKUP($B4,quadro_de_func[#All],3,FALSE)="ESTAGIÁRIO",((VLOOKUP($B4,carga_horaria[],2,FALSE)*HLOOKUP(D$3,'DIA UTEIS'!$B$4:$M$6,3,FALSE))-(HLOOKUP($B4,'EST. PROVAS'!$B$3:$Z$4,2,FALSE)*(VLOOKUP($B4,carga_horaria[],2,FALSE)/2)))+HLOOKUP(HR_A_FAZER[[#Headers],[FEVEREIRO]],'DIAS FRACIONADOS'!$B$3:$Y$4,2,FALSE),(VLOOKUP($B4,carga_horaria[],2,FALSE)*(HLOOKUP(D$3,'DIA UTEIS'!$B$4:$M$6,3,FALSE)))+HLOOKUP(HR_A_FAZER[[#Headers],[FEVEREIRO]],'DIAS FRACIONADOS'!$B$3:$Y$4,2,FALSE)))</calculatedColumnFormula>
    </tableColumn>
    <tableColumn id="8" xr3:uid="{00000000-0010-0000-0200-000008000000}" name="MARÇO" dataDxfId="49">
      <calculatedColumnFormula>IF(VLOOKUP($B4,quadro_de_func[#All],3,FALSE)="MENOR APRENDIZ",VLOOKUP($B4,carga_horaria[],2,FALSE)*(HLOOKUP(E$3,'DIA UTEIS'!$B$4:$M$6,3,FALSE)+COUNTA('DIAS FRACIONADOS'!$B$6:$B$12)),IF(VLOOKUP($B4,quadro_de_func[#All],3,FALSE)="ESTAGIÁRIO",((VLOOKUP($B4,carga_horaria[],2,FALSE)*HLOOKUP(E$3,'DIA UTEIS'!$B$4:$M$6,3,FALSE))-(HLOOKUP($B4,'EST. PROVAS'!$B$3:$Z$4,2,FALSE)*(VLOOKUP($B4,carga_horaria[],2,FALSE)/2)))+HLOOKUP(HR_A_FAZER[[#Headers],[MARÇO]],'DIAS FRACIONADOS'!$B$3:$Y$4,2,FALSE),(VLOOKUP($B4,carga_horaria[],2,FALSE)*(HLOOKUP(E$3,'DIA UTEIS'!$B$4:$M$6,3,FALSE)))+HLOOKUP(HR_A_FAZER[[#Headers],[MARÇO]],'DIAS FRACIONADOS'!$B$3:$Y$4,2,FALSE)))</calculatedColumnFormula>
    </tableColumn>
    <tableColumn id="11" xr3:uid="{00000000-0010-0000-0200-00000B000000}" name="ABRIL" dataDxfId="48">
      <calculatedColumnFormula>IF(VLOOKUP($B4,quadro_de_func[#All],3,FALSE)="MENOR APRENDIZ",VLOOKUP($B4,carga_horaria[],2,FALSE)*(HLOOKUP(F$3,'DIA UTEIS'!$B$4:$M$6,3,FALSE)+COUNTA('DIAS FRACIONADOS'!$B$6:$B$12)),IF(VLOOKUP($B4,quadro_de_func[#All],3,FALSE)="ESTAGIÁRIO",((VLOOKUP($B4,carga_horaria[],2,FALSE)*HLOOKUP(F$3,'DIA UTEIS'!$B$4:$M$6,3,FALSE))-(HLOOKUP($B4,'EST. PROVAS'!$B$3:$Z$4,2,FALSE)*(VLOOKUP($B4,carga_horaria[],2,FALSE)/2)))+HLOOKUP(HR_A_FAZER[[#Headers],[ABRIL]],'DIAS FRACIONADOS'!$B$3:$Y$4,2,FALSE),(VLOOKUP($B4,carga_horaria[],2,FALSE)*(HLOOKUP(F$3,'DIA UTEIS'!$B$4:$M$6,3,FALSE)))+HLOOKUP(HR_A_FAZER[[#Headers],[ABRIL]],'DIAS FRACIONADOS'!$B$3:$Y$4,2,FALSE)))</calculatedColumnFormula>
    </tableColumn>
    <tableColumn id="14" xr3:uid="{00000000-0010-0000-0200-00000E000000}" name="MAIO" dataDxfId="47">
      <calculatedColumnFormula>IF(VLOOKUP($B4,quadro_de_func[#All],3,FALSE)="MENOR APRENDIZ",VLOOKUP($B4,carga_horaria[],2,FALSE)*(HLOOKUP(G$3,'DIA UTEIS'!$B$4:$M$6,3,FALSE)+COUNTA('DIAS FRACIONADOS'!$B$6:$B$12)),IF(VLOOKUP($B4,quadro_de_func[#All],3,FALSE)="ESTAGIÁRIO",((VLOOKUP($B4,carga_horaria[],2,FALSE)*HLOOKUP(G$3,'DIA UTEIS'!$B$4:$M$6,3,FALSE))-(HLOOKUP($B4,'EST. PROVAS'!$B$3:$Z$4,2,FALSE)*(VLOOKUP($B4,carga_horaria[],2,FALSE)/2)))+HLOOKUP(HR_A_FAZER[[#Headers],[MAIO]],'DIAS FRACIONADOS'!$B$3:$Y$4,2,FALSE),(VLOOKUP($B4,carga_horaria[],2,FALSE)*(HLOOKUP(G$3,'DIA UTEIS'!$B$4:$M$6,3,FALSE)))+HLOOKUP(HR_A_FAZER[[#Headers],[MAIO]],'DIAS FRACIONADOS'!$B$3:$Y$4,2,FALSE)))</calculatedColumnFormula>
    </tableColumn>
    <tableColumn id="17" xr3:uid="{00000000-0010-0000-0200-000011000000}" name="JUNHO" dataDxfId="46">
      <calculatedColumnFormula>IF(VLOOKUP($B4,quadro_de_func[#All],3,FALSE)="MENOR APRENDIZ",VLOOKUP($B4,carga_horaria[],2,FALSE)*(HLOOKUP(H$3,'DIA UTEIS'!$B$4:$M$6,3,FALSE)+COUNTA('DIAS FRACIONADOS'!$B$6:$B$12)),IF(VLOOKUP($B4,quadro_de_func[#All],3,FALSE)="ESTAGIÁRIO",((VLOOKUP($B4,carga_horaria[],2,FALSE)*HLOOKUP(H$3,'DIA UTEIS'!$B$4:$M$6,3,FALSE))-(HLOOKUP($B4,'EST. PROVAS'!$B$3:$Z$4,2,FALSE)*(VLOOKUP($B4,carga_horaria[],2,FALSE)/2)))+HLOOKUP(HR_A_FAZER[[#Headers],[JUNHO]],'DIAS FRACIONADOS'!$B$3:$Y$4,2,FALSE),(VLOOKUP($B4,carga_horaria[],2,FALSE)*(HLOOKUP(H$3,'DIA UTEIS'!$B$4:$M$6,3,FALSE)))+HLOOKUP(HR_A_FAZER[[#Headers],[JUNHO]],'DIAS FRACIONADOS'!$B$3:$Y$4,2,FALSE)))</calculatedColumnFormula>
    </tableColumn>
    <tableColumn id="20" xr3:uid="{00000000-0010-0000-0200-000014000000}" name="JULHO" dataDxfId="45">
      <calculatedColumnFormula>IF(VLOOKUP($B4,quadro_de_func[#All],3,FALSE)="MENOR APRENDIZ",VLOOKUP($B4,carga_horaria[],2,FALSE)*(HLOOKUP(I$3,'DIA UTEIS'!$B$4:$M$6,3,FALSE)+COUNTA('DIAS FRACIONADOS'!$B$6:$B$12)),IF(VLOOKUP($B4,quadro_de_func[#All],3,FALSE)="ESTAGIÁRIO",((VLOOKUP($B4,carga_horaria[],2,FALSE)*HLOOKUP(I$3,'DIA UTEIS'!$B$4:$M$6,3,FALSE))-(HLOOKUP($B4,'EST. PROVAS'!$B$3:$Z$4,2,FALSE)*(VLOOKUP($B4,carga_horaria[],2,FALSE)/2)))+HLOOKUP(HR_A_FAZER[[#Headers],[JULHO]],'DIAS FRACIONADOS'!$B$3:$Y$4,2,FALSE),(VLOOKUP($B4,carga_horaria[],2,FALSE)*(HLOOKUP(I$3,'DIA UTEIS'!$B$4:$M$6,3,FALSE)))+HLOOKUP(HR_A_FAZER[[#Headers],[JULHO]],'DIAS FRACIONADOS'!$B$3:$Y$4,2,FALSE)))</calculatedColumnFormula>
    </tableColumn>
    <tableColumn id="23" xr3:uid="{00000000-0010-0000-0200-000017000000}" name="AGOSTO" dataDxfId="44">
      <calculatedColumnFormula>IF(VLOOKUP($B4,quadro_de_func[#All],3,FALSE)="MENOR APRENDIZ",VLOOKUP($B4,carga_horaria[],2,FALSE)*(HLOOKUP(J$3,'DIA UTEIS'!$B$4:$M$6,3,FALSE)+COUNTA('DIAS FRACIONADOS'!$B$6:$B$12)),IF(VLOOKUP($B4,quadro_de_func[#All],3,FALSE)="ESTAGIÁRIO",((VLOOKUP($B4,carga_horaria[],2,FALSE)*HLOOKUP(J$3,'DIA UTEIS'!$B$4:$M$6,3,FALSE))-(HLOOKUP($B4,'EST. PROVAS'!$B$3:$Z$4,2,FALSE)*(VLOOKUP($B4,carga_horaria[],2,FALSE)/2)))+HLOOKUP(HR_A_FAZER[[#Headers],[AGOSTO]],'DIAS FRACIONADOS'!$B$3:$Y$4,2,FALSE),(VLOOKUP($B4,carga_horaria[],2,FALSE)*(HLOOKUP(J$3,'DIA UTEIS'!$B$4:$M$6,3,FALSE)))+HLOOKUP(HR_A_FAZER[[#Headers],[AGOSTO]],'DIAS FRACIONADOS'!$B$3:$Y$4,2,FALSE)))</calculatedColumnFormula>
    </tableColumn>
    <tableColumn id="26" xr3:uid="{00000000-0010-0000-0200-00001A000000}" name="SETEMBRO" dataDxfId="43">
      <calculatedColumnFormula>IF(VLOOKUP($B4,quadro_de_func[#All],3,FALSE)="MENOR APRENDIZ",VLOOKUP($B4,carga_horaria[],2,FALSE)*(HLOOKUP(K$3,'DIA UTEIS'!$B$4:$M$6,3,FALSE)+COUNTA('DIAS FRACIONADOS'!$B$6:$B$12)),IF(VLOOKUP($B4,quadro_de_func[#All],3,FALSE)="ESTAGIÁRIO",((VLOOKUP($B4,carga_horaria[],2,FALSE)*HLOOKUP(K$3,'DIA UTEIS'!$B$4:$M$6,3,FALSE))-(HLOOKUP($B4,'EST. PROVAS'!$B$3:$Z$4,2,FALSE)*(VLOOKUP($B4,carga_horaria[],2,FALSE)/2)))+HLOOKUP(HR_A_FAZER[[#Headers],[SETEMBRO]],'DIAS FRACIONADOS'!$B$3:$Y$4,2,FALSE),(VLOOKUP($B4,carga_horaria[],2,FALSE)*(HLOOKUP(K$3,'DIA UTEIS'!$B$4:$M$6,3,FALSE)))+HLOOKUP(HR_A_FAZER[[#Headers],[SETEMBRO]],'DIAS FRACIONADOS'!$B$3:$Y$4,2,FALSE)))</calculatedColumnFormula>
    </tableColumn>
    <tableColumn id="29" xr3:uid="{00000000-0010-0000-0200-00001D000000}" name="OUTUBRO" dataDxfId="42">
      <calculatedColumnFormula>IF(VLOOKUP($B4,quadro_de_func[#All],3,FALSE)="MENOR APRENDIZ",VLOOKUP($B4,carga_horaria[],2,FALSE)*(HLOOKUP(L$3,'DIA UTEIS'!$B$4:$M$6,3,FALSE)+COUNTA('DIAS FRACIONADOS'!$B$6:$B$12)),IF(VLOOKUP($B4,quadro_de_func[#All],3,FALSE)="ESTAGIÁRIO",((VLOOKUP($B4,carga_horaria[],2,FALSE)*HLOOKUP(L$3,'DIA UTEIS'!$B$4:$M$6,3,FALSE))-(HLOOKUP($B4,'EST. PROVAS'!$B$3:$Z$4,2,FALSE)*(VLOOKUP($B4,carga_horaria[],2,FALSE)/2)))+HLOOKUP(HR_A_FAZER[[#Headers],[OUTUBRO]],'DIAS FRACIONADOS'!$B$3:$Y$4,2,FALSE),(VLOOKUP($B4,carga_horaria[],2,FALSE)*(HLOOKUP(L$3,'DIA UTEIS'!$B$4:$M$6,3,FALSE)))+HLOOKUP(HR_A_FAZER[[#Headers],[OUTUBRO]],'DIAS FRACIONADOS'!$B$3:$Y$4,2,FALSE)))</calculatedColumnFormula>
    </tableColumn>
    <tableColumn id="32" xr3:uid="{00000000-0010-0000-0200-000020000000}" name="NOVEMBRO" dataDxfId="41">
      <calculatedColumnFormula>IF(VLOOKUP($B4,quadro_de_func[#All],3,FALSE)="MENOR APRENDIZ",VLOOKUP($B4,carga_horaria[],2,FALSE)*(HLOOKUP(M$3,'DIA UTEIS'!$B$4:$M$6,3,FALSE)+COUNTA('DIAS FRACIONADOS'!$B$6:$B$12)),IF(VLOOKUP($B4,quadro_de_func[#All],3,FALSE)="ESTAGIÁRIO",((VLOOKUP($B4,carga_horaria[],2,FALSE)*HLOOKUP(M$3,'DIA UTEIS'!$B$4:$M$6,3,FALSE))-(HLOOKUP($B4,'EST. PROVAS'!$B$3:$Z$4,2,FALSE)*(VLOOKUP($B4,carga_horaria[],2,FALSE)/2)))+HLOOKUP(HR_A_FAZER[[#Headers],[NOVEMBRO]],'DIAS FRACIONADOS'!$B$3:$Y$4,2,FALSE),(VLOOKUP($B4,carga_horaria[],2,FALSE)*(HLOOKUP(M$3,'DIA UTEIS'!$B$4:$M$6,3,FALSE)))+HLOOKUP(HR_A_FAZER[[#Headers],[NOVEMBRO]],'DIAS FRACIONADOS'!$B$3:$Y$4,2,FALSE)))</calculatedColumnFormula>
    </tableColumn>
    <tableColumn id="35" xr3:uid="{00000000-0010-0000-0200-000023000000}" name="DEZEMBRO" dataDxfId="40">
      <calculatedColumnFormula>IF(VLOOKUP($B4,quadro_de_func[#All],3,FALSE)="MENOR APRENDIZ",VLOOKUP($B4,carga_horaria[],2,FALSE)*(HLOOKUP(N$3,'DIA UTEIS'!$B$4:$M$6,3,FALSE)+COUNTA('DIAS FRACIONADOS'!$B$6:$B$12)),IF(VLOOKUP($B4,quadro_de_func[#All],3,FALSE)="ESTAGIÁRIO",((VLOOKUP($B4,carga_horaria[],2,FALSE)*HLOOKUP(N$3,'DIA UTEIS'!$B$4:$M$6,3,FALSE))-(HLOOKUP($B4,'EST. PROVAS'!$B$3:$Z$4,2,FALSE)*(VLOOKUP($B4,carga_horaria[],2,FALSE)/2)))+HLOOKUP(HR_A_FAZER[[#Headers],[DEZEMBRO]],'DIAS FRACIONADOS'!$B$3:$Y$4,2,FALSE),(VLOOKUP($B4,carga_horaria[],2,FALSE)*(HLOOKUP(N$3,'DIA UTEIS'!$B$4:$M$6,3,FALSE)))+HLOOKUP(HR_A_FAZER[[#Headers],[DEZEMBRO]],'DIAS FRACIONADOS'!$B$3:$Y$4,2,FALSE)))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BANCO_HR" displayName="BANCO_HR" ref="B3:O20" totalsRowShown="0" headerRowDxfId="39" dataDxfId="38">
  <tableColumns count="14">
    <tableColumn id="1" xr3:uid="{00000000-0010-0000-0300-000001000000}" name="NOME" dataDxfId="37">
      <calculatedColumnFormula>quadro_de_func[[#This Row],[NOME]]</calculatedColumnFormula>
    </tableColumn>
    <tableColumn id="14" xr3:uid="{00000000-0010-0000-0300-00000E000000}" name="SALDO ANTERIOR" dataDxfId="36"/>
    <tableColumn id="2" xr3:uid="{00000000-0010-0000-0300-000002000000}" name="JANEIRO" dataDxfId="35">
      <calculatedColumnFormula>IF(VLOOKUP(BANCO_HR[[#This Row],[NOME]],HR_FEITAS[#All],2,FALSE)="","",ABS(VLOOKUP(BANCO_HR[[#This Row],[NOME]],HR_A_FAZER[#All],2,FALSE)-VLOOKUP(BANCO_HR[[#This Row],[NOME]],HR_FEITAS[#All],2,FALSE)))</calculatedColumnFormula>
    </tableColumn>
    <tableColumn id="3" xr3:uid="{00000000-0010-0000-0300-000003000000}" name="FEVEREIRO" dataDxfId="34">
      <calculatedColumnFormula>IF(VLOOKUP(BANCO_HR[[#This Row],[NOME]],HR_FEITAS[#All],3,FALSE)="","",ABS(VLOOKUP(BANCO_HR[[#This Row],[NOME]],HR_A_FAZER[#All],3,FALSE)-VLOOKUP(BANCO_HR[[#This Row],[NOME]],HR_FEITAS[#All],3,FALSE)))</calculatedColumnFormula>
    </tableColumn>
    <tableColumn id="4" xr3:uid="{00000000-0010-0000-0300-000004000000}" name="MARÇO" dataDxfId="33">
      <calculatedColumnFormula>IF(VLOOKUP(BANCO_HR[[#This Row],[NOME]],HR_FEITAS[#All],4,FALSE)="","",ABS(VLOOKUP(BANCO_HR[[#This Row],[NOME]],HR_A_FAZER[#All],4,FALSE)-VLOOKUP(BANCO_HR[[#This Row],[NOME]],HR_FEITAS[#All],4,FALSE)))</calculatedColumnFormula>
    </tableColumn>
    <tableColumn id="5" xr3:uid="{00000000-0010-0000-0300-000005000000}" name="ABRIL" dataDxfId="32">
      <calculatedColumnFormula>IF(VLOOKUP(BANCO_HR[[#This Row],[NOME]],HR_FEITAS[#All],5,FALSE)="","",ABS(VLOOKUP(BANCO_HR[[#This Row],[NOME]],HR_A_FAZER[#All],5,FALSE)-VLOOKUP(BANCO_HR[[#This Row],[NOME]],HR_FEITAS[#All],5,FALSE)))</calculatedColumnFormula>
    </tableColumn>
    <tableColumn id="6" xr3:uid="{00000000-0010-0000-0300-000006000000}" name="MAIO" dataDxfId="31">
      <calculatedColumnFormula>IF(VLOOKUP(BANCO_HR[[#This Row],[NOME]],HR_FEITAS[#All],6,FALSE)="","",ABS(VLOOKUP(BANCO_HR[[#This Row],[NOME]],HR_A_FAZER[#All],6,FALSE)-VLOOKUP(BANCO_HR[[#This Row],[NOME]],HR_FEITAS[#All],6,FALSE)))</calculatedColumnFormula>
    </tableColumn>
    <tableColumn id="7" xr3:uid="{00000000-0010-0000-0300-000007000000}" name="JUNHO" dataDxfId="30">
      <calculatedColumnFormula>IF(VLOOKUP(BANCO_HR[[#This Row],[NOME]],HR_FEITAS[#All],7,FALSE)="","",ABS(VLOOKUP(BANCO_HR[[#This Row],[NOME]],HR_A_FAZER[#All],7,FALSE)-VLOOKUP(BANCO_HR[[#This Row],[NOME]],HR_FEITAS[#All],7,FALSE)))</calculatedColumnFormula>
    </tableColumn>
    <tableColumn id="8" xr3:uid="{00000000-0010-0000-0300-000008000000}" name="JULHO" dataDxfId="29">
      <calculatedColumnFormula>IF(VLOOKUP(BANCO_HR[[#This Row],[NOME]],HR_FEITAS[#All],8,FALSE)="","",ABS(VLOOKUP(BANCO_HR[[#This Row],[NOME]],HR_A_FAZER[#All],8,FALSE)-VLOOKUP(BANCO_HR[[#This Row],[NOME]],HR_FEITAS[#All],8,FALSE)))</calculatedColumnFormula>
    </tableColumn>
    <tableColumn id="9" xr3:uid="{00000000-0010-0000-0300-000009000000}" name="AGOSTO" dataDxfId="28">
      <calculatedColumnFormula>IF(VLOOKUP(BANCO_HR[[#This Row],[NOME]],HR_FEITAS[#All],9,FALSE)="","",ABS(VLOOKUP(BANCO_HR[[#This Row],[NOME]],HR_A_FAZER[#All],9,FALSE)-VLOOKUP(BANCO_HR[[#This Row],[NOME]],HR_FEITAS[#All],9,FALSE)))</calculatedColumnFormula>
    </tableColumn>
    <tableColumn id="10" xr3:uid="{00000000-0010-0000-0300-00000A000000}" name="SETEMBRO" dataDxfId="27">
      <calculatedColumnFormula>IF(VLOOKUP(BANCO_HR[[#This Row],[NOME]],HR_FEITAS[#All],10,FALSE)="","",ABS(VLOOKUP(BANCO_HR[[#This Row],[NOME]],HR_A_FAZER[#All],10,FALSE)-VLOOKUP(BANCO_HR[[#This Row],[NOME]],HR_FEITAS[#All],10,FALSE)))</calculatedColumnFormula>
    </tableColumn>
    <tableColumn id="11" xr3:uid="{00000000-0010-0000-0300-00000B000000}" name="OUTUBRO" dataDxfId="26">
      <calculatedColumnFormula>IF(VLOOKUP(BANCO_HR[[#This Row],[NOME]],HR_FEITAS[#All],11,FALSE)="","",ABS(VLOOKUP(BANCO_HR[[#This Row],[NOME]],HR_A_FAZER[#All],11,FALSE)-VLOOKUP(BANCO_HR[[#This Row],[NOME]],HR_FEITAS[#All],11,FALSE)))</calculatedColumnFormula>
    </tableColumn>
    <tableColumn id="12" xr3:uid="{00000000-0010-0000-0300-00000C000000}" name="NOVEMBRO" dataDxfId="25">
      <calculatedColumnFormula>IF(VLOOKUP(BANCO_HR[[#This Row],[NOME]],HR_FEITAS[#All],12,FALSE)="","",ABS(VLOOKUP(BANCO_HR[[#This Row],[NOME]],HR_A_FAZER[#All],12,FALSE)-VLOOKUP(BANCO_HR[[#This Row],[NOME]],HR_FEITAS[#All],12,FALSE)))</calculatedColumnFormula>
    </tableColumn>
    <tableColumn id="13" xr3:uid="{00000000-0010-0000-0300-00000D000000}" name="DEZEMBRO" dataDxfId="24">
      <calculatedColumnFormula>IF(VLOOKUP(BANCO_HR[[#This Row],[NOME]],HR_FEITAS[#All],13,FALSE)="","",ABS(VLOOKUP(BANCO_HR[[#This Row],[NOME]],HR_A_FAZER[#All],13,FALSE)-VLOOKUP(BANCO_HR[[#This Row],[NOME]],HR_FEITAS[#All],13,FALSE)))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arga_horaria" displayName="carga_horaria" ref="B3:I20" headerRowDxfId="23" dataDxfId="22" totalsRowDxfId="21">
  <autoFilter ref="B3:I20" xr:uid="{00000000-0009-0000-0100-000001000000}"/>
  <tableColumns count="8">
    <tableColumn id="1" xr3:uid="{00000000-0010-0000-0400-000001000000}" name="NOME" totalsRowLabel="Total" dataDxfId="20">
      <calculatedColumnFormula>quadro_de_func[[#This Row],[NOME]]</calculatedColumnFormula>
    </tableColumn>
    <tableColumn id="4" xr3:uid="{00000000-0010-0000-0400-000004000000}" name="CARGA HORARIA DIA" dataDxfId="19">
      <calculatedColumnFormula>ABS(carga_horaria[[#This Row],[SAIDA 1]]-carga_horaria[[#This Row],[ENTRADA 1]]+carga_horaria[[#This Row],[SAIDA 2]]-carga_horaria[[#This Row],[ENTRADA 2]])</calculatedColumnFormula>
    </tableColumn>
    <tableColumn id="5" xr3:uid="{00000000-0010-0000-0400-000005000000}" name="ENTRADA 1" dataDxfId="18"/>
    <tableColumn id="6" xr3:uid="{00000000-0010-0000-0400-000006000000}" name="SAIDA 1" dataDxfId="17"/>
    <tableColumn id="7" xr3:uid="{00000000-0010-0000-0400-000007000000}" name="ENTRADA 2" dataDxfId="16"/>
    <tableColumn id="8" xr3:uid="{00000000-0010-0000-0400-000008000000}" name="SAIDA 2" dataDxfId="15"/>
    <tableColumn id="9" xr3:uid="{00000000-0010-0000-0400-000009000000}" name="ENTRADA 3" dataDxfId="14"/>
    <tableColumn id="10" xr3:uid="{00000000-0010-0000-0400-00000A000000}" name="SAIDA 3" totalsRowFunction="coun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quadro_de_func" displayName="quadro_de_func" ref="B3:D20" totalsRowShown="0" headerRowDxfId="12" dataDxfId="11" tableBorderDxfId="10">
  <autoFilter ref="B3:D20" xr:uid="{00000000-0009-0000-0100-000002000000}"/>
  <sortState xmlns:xlrd2="http://schemas.microsoft.com/office/spreadsheetml/2017/richdata2" ref="B4:D19">
    <sortCondition sortBy="cellColor" ref="B4:B19"/>
  </sortState>
  <tableColumns count="3">
    <tableColumn id="1" xr3:uid="{00000000-0010-0000-0500-000001000000}" name="NOME" dataDxfId="9"/>
    <tableColumn id="2" xr3:uid="{00000000-0010-0000-0500-000002000000}" name="CHAPA" dataDxfId="8"/>
    <tableColumn id="3" xr3:uid="{00000000-0010-0000-0500-000003000000}" name="FUNÇÃO" dataDxfId="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S_PROVAS" displayName="DATAS_PROVAS" ref="B3:G13" totalsRowShown="0" headerRowDxfId="6">
  <tableColumns count="6">
    <tableColumn id="1" xr3:uid="{00000000-0010-0000-0600-000001000000}" name="FLÁVIO SOUZA ROCHA" dataDxfId="5"/>
    <tableColumn id="2" xr3:uid="{00000000-0010-0000-0600-000002000000}" name="LETICIA ANANIAS VIEIRA" dataDxfId="4"/>
    <tableColumn id="3" xr3:uid="{00000000-0010-0000-0600-000003000000}" name="RAPHAELA RIBEIRO ZAULI" dataDxfId="3"/>
    <tableColumn id="4" xr3:uid="{00000000-0010-0000-0600-000004000000}" name="JOÃO CARLOS SOUSA" dataDxfId="2"/>
    <tableColumn id="5" xr3:uid="{00000000-0010-0000-0600-000005000000}" name="MARIANA CAETANO DE MACEDO" dataDxfId="1"/>
    <tableColumn id="6" xr3:uid="{00000000-0010-0000-0600-000006000000}" name="JOÃO PAULO ORLANDO BONAMI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"/>
  <sheetViews>
    <sheetView showGridLines="0" showRowColHeaders="0" view="pageBreakPreview" topLeftCell="A2" zoomScaleNormal="100" zoomScaleSheetLayoutView="10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7"/>
  <dimension ref="A1:H40"/>
  <sheetViews>
    <sheetView showGridLines="0" showRuler="0" zoomScaleNormal="100" zoomScaleSheetLayoutView="85" zoomScalePageLayoutView="85" workbookViewId="0">
      <selection sqref="A1:F1"/>
    </sheetView>
  </sheetViews>
  <sheetFormatPr defaultRowHeight="18" customHeight="1" x14ac:dyDescent="0.2"/>
  <cols>
    <col min="1" max="1" width="19" style="82" customWidth="1"/>
    <col min="2" max="2" width="13.85546875" style="82" customWidth="1"/>
    <col min="3" max="3" width="15.28515625" style="62" customWidth="1"/>
    <col min="4" max="4" width="13.42578125" style="62" customWidth="1"/>
    <col min="5" max="5" width="18.28515625" style="62" customWidth="1"/>
    <col min="6" max="6" width="18.140625" style="62" customWidth="1"/>
    <col min="7" max="255" width="9.140625" style="62"/>
    <col min="256" max="261" width="15.28515625" style="62" customWidth="1"/>
    <col min="262" max="262" width="4.140625" style="62" customWidth="1"/>
    <col min="263" max="511" width="9.140625" style="62"/>
    <col min="512" max="517" width="15.28515625" style="62" customWidth="1"/>
    <col min="518" max="518" width="4.140625" style="62" customWidth="1"/>
    <col min="519" max="767" width="9.140625" style="62"/>
    <col min="768" max="773" width="15.28515625" style="62" customWidth="1"/>
    <col min="774" max="774" width="4.140625" style="62" customWidth="1"/>
    <col min="775" max="1023" width="9.140625" style="62"/>
    <col min="1024" max="1029" width="15.28515625" style="62" customWidth="1"/>
    <col min="1030" max="1030" width="4.140625" style="62" customWidth="1"/>
    <col min="1031" max="1279" width="9.140625" style="62"/>
    <col min="1280" max="1285" width="15.28515625" style="62" customWidth="1"/>
    <col min="1286" max="1286" width="4.140625" style="62" customWidth="1"/>
    <col min="1287" max="1535" width="9.140625" style="62"/>
    <col min="1536" max="1541" width="15.28515625" style="62" customWidth="1"/>
    <col min="1542" max="1542" width="4.140625" style="62" customWidth="1"/>
    <col min="1543" max="1791" width="9.140625" style="62"/>
    <col min="1792" max="1797" width="15.28515625" style="62" customWidth="1"/>
    <col min="1798" max="1798" width="4.140625" style="62" customWidth="1"/>
    <col min="1799" max="2047" width="9.140625" style="62"/>
    <col min="2048" max="2053" width="15.28515625" style="62" customWidth="1"/>
    <col min="2054" max="2054" width="4.140625" style="62" customWidth="1"/>
    <col min="2055" max="2303" width="9.140625" style="62"/>
    <col min="2304" max="2309" width="15.28515625" style="62" customWidth="1"/>
    <col min="2310" max="2310" width="4.140625" style="62" customWidth="1"/>
    <col min="2311" max="2559" width="9.140625" style="62"/>
    <col min="2560" max="2565" width="15.28515625" style="62" customWidth="1"/>
    <col min="2566" max="2566" width="4.140625" style="62" customWidth="1"/>
    <col min="2567" max="2815" width="9.140625" style="62"/>
    <col min="2816" max="2821" width="15.28515625" style="62" customWidth="1"/>
    <col min="2822" max="2822" width="4.140625" style="62" customWidth="1"/>
    <col min="2823" max="3071" width="9.140625" style="62"/>
    <col min="3072" max="3077" width="15.28515625" style="62" customWidth="1"/>
    <col min="3078" max="3078" width="4.140625" style="62" customWidth="1"/>
    <col min="3079" max="3327" width="9.140625" style="62"/>
    <col min="3328" max="3333" width="15.28515625" style="62" customWidth="1"/>
    <col min="3334" max="3334" width="4.140625" style="62" customWidth="1"/>
    <col min="3335" max="3583" width="9.140625" style="62"/>
    <col min="3584" max="3589" width="15.28515625" style="62" customWidth="1"/>
    <col min="3590" max="3590" width="4.140625" style="62" customWidth="1"/>
    <col min="3591" max="3839" width="9.140625" style="62"/>
    <col min="3840" max="3845" width="15.28515625" style="62" customWidth="1"/>
    <col min="3846" max="3846" width="4.140625" style="62" customWidth="1"/>
    <col min="3847" max="4095" width="9.140625" style="62"/>
    <col min="4096" max="4101" width="15.28515625" style="62" customWidth="1"/>
    <col min="4102" max="4102" width="4.140625" style="62" customWidth="1"/>
    <col min="4103" max="4351" width="9.140625" style="62"/>
    <col min="4352" max="4357" width="15.28515625" style="62" customWidth="1"/>
    <col min="4358" max="4358" width="4.140625" style="62" customWidth="1"/>
    <col min="4359" max="4607" width="9.140625" style="62"/>
    <col min="4608" max="4613" width="15.28515625" style="62" customWidth="1"/>
    <col min="4614" max="4614" width="4.140625" style="62" customWidth="1"/>
    <col min="4615" max="4863" width="9.140625" style="62"/>
    <col min="4864" max="4869" width="15.28515625" style="62" customWidth="1"/>
    <col min="4870" max="4870" width="4.140625" style="62" customWidth="1"/>
    <col min="4871" max="5119" width="9.140625" style="62"/>
    <col min="5120" max="5125" width="15.28515625" style="62" customWidth="1"/>
    <col min="5126" max="5126" width="4.140625" style="62" customWidth="1"/>
    <col min="5127" max="5375" width="9.140625" style="62"/>
    <col min="5376" max="5381" width="15.28515625" style="62" customWidth="1"/>
    <col min="5382" max="5382" width="4.140625" style="62" customWidth="1"/>
    <col min="5383" max="5631" width="9.140625" style="62"/>
    <col min="5632" max="5637" width="15.28515625" style="62" customWidth="1"/>
    <col min="5638" max="5638" width="4.140625" style="62" customWidth="1"/>
    <col min="5639" max="5887" width="9.140625" style="62"/>
    <col min="5888" max="5893" width="15.28515625" style="62" customWidth="1"/>
    <col min="5894" max="5894" width="4.140625" style="62" customWidth="1"/>
    <col min="5895" max="6143" width="9.140625" style="62"/>
    <col min="6144" max="6149" width="15.28515625" style="62" customWidth="1"/>
    <col min="6150" max="6150" width="4.140625" style="62" customWidth="1"/>
    <col min="6151" max="6399" width="9.140625" style="62"/>
    <col min="6400" max="6405" width="15.28515625" style="62" customWidth="1"/>
    <col min="6406" max="6406" width="4.140625" style="62" customWidth="1"/>
    <col min="6407" max="6655" width="9.140625" style="62"/>
    <col min="6656" max="6661" width="15.28515625" style="62" customWidth="1"/>
    <col min="6662" max="6662" width="4.140625" style="62" customWidth="1"/>
    <col min="6663" max="6911" width="9.140625" style="62"/>
    <col min="6912" max="6917" width="15.28515625" style="62" customWidth="1"/>
    <col min="6918" max="6918" width="4.140625" style="62" customWidth="1"/>
    <col min="6919" max="7167" width="9.140625" style="62"/>
    <col min="7168" max="7173" width="15.28515625" style="62" customWidth="1"/>
    <col min="7174" max="7174" width="4.140625" style="62" customWidth="1"/>
    <col min="7175" max="7423" width="9.140625" style="62"/>
    <col min="7424" max="7429" width="15.28515625" style="62" customWidth="1"/>
    <col min="7430" max="7430" width="4.140625" style="62" customWidth="1"/>
    <col min="7431" max="7679" width="9.140625" style="62"/>
    <col min="7680" max="7685" width="15.28515625" style="62" customWidth="1"/>
    <col min="7686" max="7686" width="4.140625" style="62" customWidth="1"/>
    <col min="7687" max="7935" width="9.140625" style="62"/>
    <col min="7936" max="7941" width="15.28515625" style="62" customWidth="1"/>
    <col min="7942" max="7942" width="4.140625" style="62" customWidth="1"/>
    <col min="7943" max="8191" width="9.140625" style="62"/>
    <col min="8192" max="8197" width="15.28515625" style="62" customWidth="1"/>
    <col min="8198" max="8198" width="4.140625" style="62" customWidth="1"/>
    <col min="8199" max="8447" width="9.140625" style="62"/>
    <col min="8448" max="8453" width="15.28515625" style="62" customWidth="1"/>
    <col min="8454" max="8454" width="4.140625" style="62" customWidth="1"/>
    <col min="8455" max="8703" width="9.140625" style="62"/>
    <col min="8704" max="8709" width="15.28515625" style="62" customWidth="1"/>
    <col min="8710" max="8710" width="4.140625" style="62" customWidth="1"/>
    <col min="8711" max="8959" width="9.140625" style="62"/>
    <col min="8960" max="8965" width="15.28515625" style="62" customWidth="1"/>
    <col min="8966" max="8966" width="4.140625" style="62" customWidth="1"/>
    <col min="8967" max="9215" width="9.140625" style="62"/>
    <col min="9216" max="9221" width="15.28515625" style="62" customWidth="1"/>
    <col min="9222" max="9222" width="4.140625" style="62" customWidth="1"/>
    <col min="9223" max="9471" width="9.140625" style="62"/>
    <col min="9472" max="9477" width="15.28515625" style="62" customWidth="1"/>
    <col min="9478" max="9478" width="4.140625" style="62" customWidth="1"/>
    <col min="9479" max="9727" width="9.140625" style="62"/>
    <col min="9728" max="9733" width="15.28515625" style="62" customWidth="1"/>
    <col min="9734" max="9734" width="4.140625" style="62" customWidth="1"/>
    <col min="9735" max="9983" width="9.140625" style="62"/>
    <col min="9984" max="9989" width="15.28515625" style="62" customWidth="1"/>
    <col min="9990" max="9990" width="4.140625" style="62" customWidth="1"/>
    <col min="9991" max="10239" width="9.140625" style="62"/>
    <col min="10240" max="10245" width="15.28515625" style="62" customWidth="1"/>
    <col min="10246" max="10246" width="4.140625" style="62" customWidth="1"/>
    <col min="10247" max="10495" width="9.140625" style="62"/>
    <col min="10496" max="10501" width="15.28515625" style="62" customWidth="1"/>
    <col min="10502" max="10502" width="4.140625" style="62" customWidth="1"/>
    <col min="10503" max="10751" width="9.140625" style="62"/>
    <col min="10752" max="10757" width="15.28515625" style="62" customWidth="1"/>
    <col min="10758" max="10758" width="4.140625" style="62" customWidth="1"/>
    <col min="10759" max="11007" width="9.140625" style="62"/>
    <col min="11008" max="11013" width="15.28515625" style="62" customWidth="1"/>
    <col min="11014" max="11014" width="4.140625" style="62" customWidth="1"/>
    <col min="11015" max="11263" width="9.140625" style="62"/>
    <col min="11264" max="11269" width="15.28515625" style="62" customWidth="1"/>
    <col min="11270" max="11270" width="4.140625" style="62" customWidth="1"/>
    <col min="11271" max="11519" width="9.140625" style="62"/>
    <col min="11520" max="11525" width="15.28515625" style="62" customWidth="1"/>
    <col min="11526" max="11526" width="4.140625" style="62" customWidth="1"/>
    <col min="11527" max="11775" width="9.140625" style="62"/>
    <col min="11776" max="11781" width="15.28515625" style="62" customWidth="1"/>
    <col min="11782" max="11782" width="4.140625" style="62" customWidth="1"/>
    <col min="11783" max="12031" width="9.140625" style="62"/>
    <col min="12032" max="12037" width="15.28515625" style="62" customWidth="1"/>
    <col min="12038" max="12038" width="4.140625" style="62" customWidth="1"/>
    <col min="12039" max="12287" width="9.140625" style="62"/>
    <col min="12288" max="12293" width="15.28515625" style="62" customWidth="1"/>
    <col min="12294" max="12294" width="4.140625" style="62" customWidth="1"/>
    <col min="12295" max="12543" width="9.140625" style="62"/>
    <col min="12544" max="12549" width="15.28515625" style="62" customWidth="1"/>
    <col min="12550" max="12550" width="4.140625" style="62" customWidth="1"/>
    <col min="12551" max="12799" width="9.140625" style="62"/>
    <col min="12800" max="12805" width="15.28515625" style="62" customWidth="1"/>
    <col min="12806" max="12806" width="4.140625" style="62" customWidth="1"/>
    <col min="12807" max="13055" width="9.140625" style="62"/>
    <col min="13056" max="13061" width="15.28515625" style="62" customWidth="1"/>
    <col min="13062" max="13062" width="4.140625" style="62" customWidth="1"/>
    <col min="13063" max="13311" width="9.140625" style="62"/>
    <col min="13312" max="13317" width="15.28515625" style="62" customWidth="1"/>
    <col min="13318" max="13318" width="4.140625" style="62" customWidth="1"/>
    <col min="13319" max="13567" width="9.140625" style="62"/>
    <col min="13568" max="13573" width="15.28515625" style="62" customWidth="1"/>
    <col min="13574" max="13574" width="4.140625" style="62" customWidth="1"/>
    <col min="13575" max="13823" width="9.140625" style="62"/>
    <col min="13824" max="13829" width="15.28515625" style="62" customWidth="1"/>
    <col min="13830" max="13830" width="4.140625" style="62" customWidth="1"/>
    <col min="13831" max="14079" width="9.140625" style="62"/>
    <col min="14080" max="14085" width="15.28515625" style="62" customWidth="1"/>
    <col min="14086" max="14086" width="4.140625" style="62" customWidth="1"/>
    <col min="14087" max="14335" width="9.140625" style="62"/>
    <col min="14336" max="14341" width="15.28515625" style="62" customWidth="1"/>
    <col min="14342" max="14342" width="4.140625" style="62" customWidth="1"/>
    <col min="14343" max="14591" width="9.140625" style="62"/>
    <col min="14592" max="14597" width="15.28515625" style="62" customWidth="1"/>
    <col min="14598" max="14598" width="4.140625" style="62" customWidth="1"/>
    <col min="14599" max="14847" width="9.140625" style="62"/>
    <col min="14848" max="14853" width="15.28515625" style="62" customWidth="1"/>
    <col min="14854" max="14854" width="4.140625" style="62" customWidth="1"/>
    <col min="14855" max="15103" width="9.140625" style="62"/>
    <col min="15104" max="15109" width="15.28515625" style="62" customWidth="1"/>
    <col min="15110" max="15110" width="4.140625" style="62" customWidth="1"/>
    <col min="15111" max="15359" width="9.140625" style="62"/>
    <col min="15360" max="15365" width="15.28515625" style="62" customWidth="1"/>
    <col min="15366" max="15366" width="4.140625" style="62" customWidth="1"/>
    <col min="15367" max="15615" width="9.140625" style="62"/>
    <col min="15616" max="15621" width="15.28515625" style="62" customWidth="1"/>
    <col min="15622" max="15622" width="4.140625" style="62" customWidth="1"/>
    <col min="15623" max="15871" width="9.140625" style="62"/>
    <col min="15872" max="15877" width="15.28515625" style="62" customWidth="1"/>
    <col min="15878" max="15878" width="4.140625" style="62" customWidth="1"/>
    <col min="15879" max="16127" width="9.140625" style="62"/>
    <col min="16128" max="16133" width="15.28515625" style="62" customWidth="1"/>
    <col min="16134" max="16134" width="4.140625" style="62" customWidth="1"/>
    <col min="16135" max="16384" width="9.140625" style="62"/>
  </cols>
  <sheetData>
    <row r="1" spans="1:8" s="58" customFormat="1" ht="26.25" customHeight="1" x14ac:dyDescent="0.35">
      <c r="A1" s="125" t="str">
        <f>"Controle de Banco de Horas "&amp;ano</f>
        <v>Controle de Banco de Horas 2019</v>
      </c>
      <c r="B1" s="125"/>
      <c r="C1" s="125"/>
      <c r="D1" s="125"/>
      <c r="E1" s="125"/>
      <c r="F1" s="125"/>
    </row>
    <row r="2" spans="1:8" s="58" customFormat="1" ht="24" customHeight="1" x14ac:dyDescent="0.35">
      <c r="A2" s="59"/>
      <c r="B2" s="60"/>
      <c r="C2" s="57"/>
      <c r="D2" s="57"/>
      <c r="E2" s="57"/>
      <c r="F2" s="57"/>
    </row>
    <row r="3" spans="1:8" ht="19.5" customHeight="1" x14ac:dyDescent="0.25">
      <c r="A3" s="95" t="s">
        <v>44</v>
      </c>
      <c r="B3" s="127" t="e">
        <f>VLOOKUP(B4,'QUADRO DE FUNC'!B3:D20,2,FALSE)</f>
        <v>#N/A</v>
      </c>
      <c r="C3" s="127"/>
      <c r="D3" s="127"/>
      <c r="E3" s="127"/>
      <c r="F3" s="94"/>
    </row>
    <row r="4" spans="1:8" s="64" customFormat="1" ht="19.5" customHeight="1" x14ac:dyDescent="0.25">
      <c r="A4" s="95" t="s">
        <v>45</v>
      </c>
      <c r="B4" s="126" t="s">
        <v>75</v>
      </c>
      <c r="C4" s="126"/>
      <c r="D4" s="126"/>
      <c r="E4" s="126"/>
      <c r="F4" s="94"/>
    </row>
    <row r="5" spans="1:8" s="64" customFormat="1" ht="19.5" customHeight="1" x14ac:dyDescent="0.25">
      <c r="A5" s="91"/>
    </row>
    <row r="6" spans="1:8" s="64" customFormat="1" ht="19.5" customHeight="1" x14ac:dyDescent="0.25">
      <c r="B6" s="92" t="s">
        <v>46</v>
      </c>
      <c r="C6" s="96" t="e">
        <f>VLOOKUP(B4,carga_horaria[[NOME]:[CARGA HORARIA DIA]],2,FALSE)</f>
        <v>#N/A</v>
      </c>
      <c r="D6" s="93"/>
    </row>
    <row r="7" spans="1:8" s="64" customFormat="1" ht="19.5" customHeight="1" x14ac:dyDescent="0.2">
      <c r="B7" s="92" t="str">
        <f>"Saldo até 31/12/"&amp;ano-1</f>
        <v>Saldo até 31/12/2018</v>
      </c>
      <c r="C7" s="96" t="e">
        <f>VLOOKUP(B4,BANCO_HR[[NOME]:[SALDO ANTERIOR]],2,FALSE)</f>
        <v>#N/A</v>
      </c>
    </row>
    <row r="8" spans="1:8" s="64" customFormat="1" ht="44.25" customHeight="1" x14ac:dyDescent="0.2">
      <c r="A8" s="65"/>
      <c r="B8" s="63"/>
      <c r="C8" s="63"/>
      <c r="D8" s="63"/>
      <c r="E8" s="63"/>
      <c r="F8" s="63"/>
    </row>
    <row r="9" spans="1:8" s="68" customFormat="1" ht="36" customHeight="1" x14ac:dyDescent="0.25">
      <c r="A9" s="66"/>
      <c r="B9" s="67" t="s">
        <v>47</v>
      </c>
      <c r="C9" s="67" t="s">
        <v>48</v>
      </c>
      <c r="D9" s="67" t="s">
        <v>49</v>
      </c>
      <c r="E9" s="67" t="s">
        <v>50</v>
      </c>
      <c r="F9" s="84" t="s">
        <v>51</v>
      </c>
      <c r="H9" s="97"/>
    </row>
    <row r="10" spans="1:8" s="70" customFormat="1" ht="41.25" customHeight="1" x14ac:dyDescent="0.2">
      <c r="A10" s="104" t="s">
        <v>15</v>
      </c>
      <c r="B10" s="105">
        <f>HLOOKUP(A10,'DIA UTEIS'!$B$4:$M$6,3,FALSE)</f>
        <v>21</v>
      </c>
      <c r="C10" s="106" t="e">
        <f>VLOOKUP($B$4,HR_A_FAZER[#All],2,FALSE)</f>
        <v>#N/A</v>
      </c>
      <c r="D10" s="106" t="e">
        <f>VLOOKUP($B$4,HR_FEITAS[#All],2,FALSE)</f>
        <v>#N/A</v>
      </c>
      <c r="E10" s="106" t="e">
        <f>IF(D10=0,"",ABS(D10-C10))</f>
        <v>#N/A</v>
      </c>
      <c r="F10" s="107" t="e">
        <f>IF(D10=0,"",IF(D10&lt;C10,$C$7-E10,ABS($C$7+E10)))</f>
        <v>#N/A</v>
      </c>
    </row>
    <row r="11" spans="1:8" ht="24.75" customHeight="1" x14ac:dyDescent="0.2">
      <c r="A11" s="104" t="s">
        <v>16</v>
      </c>
      <c r="B11" s="105">
        <f>HLOOKUP(A11,'DIA UTEIS'!$B$4:$M$6,3,FALSE)</f>
        <v>20</v>
      </c>
      <c r="C11" s="106">
        <v>6.5625</v>
      </c>
      <c r="D11" s="106" t="e">
        <f>VLOOKUP($B$4,HR_FEITAS[#All],3,FALSE)</f>
        <v>#N/A</v>
      </c>
      <c r="E11" s="106" t="e">
        <f t="shared" ref="E11:E21" si="0">IF(D11=0,"",ABS(D11-C11))</f>
        <v>#N/A</v>
      </c>
      <c r="F11" s="107" t="e">
        <f>IF(D11=0,"",ABS($C$7+E11+F10))</f>
        <v>#N/A</v>
      </c>
    </row>
    <row r="12" spans="1:8" s="71" customFormat="1" ht="24.75" customHeight="1" x14ac:dyDescent="0.25">
      <c r="A12" s="104" t="s">
        <v>17</v>
      </c>
      <c r="B12" s="105">
        <f>HLOOKUP(A12,'DIA UTEIS'!$B$4:$M$6,3,FALSE)</f>
        <v>18</v>
      </c>
      <c r="C12" s="106" t="e">
        <f>VLOOKUP($B$4,HR_A_FAZER[#All],4,FALSE)</f>
        <v>#N/A</v>
      </c>
      <c r="D12" s="106" t="e">
        <f>VLOOKUP($B$4,HR_FEITAS[#All],4,FALSE)</f>
        <v>#N/A</v>
      </c>
      <c r="E12" s="106" t="e">
        <f t="shared" si="0"/>
        <v>#N/A</v>
      </c>
      <c r="F12" s="107" t="e">
        <f t="shared" ref="F12:F21" si="1">IF(D12=0,"",ABS($C$7+E12+F11))</f>
        <v>#N/A</v>
      </c>
    </row>
    <row r="13" spans="1:8" s="72" customFormat="1" ht="24.75" customHeight="1" x14ac:dyDescent="0.25">
      <c r="A13" s="104" t="s">
        <v>18</v>
      </c>
      <c r="B13" s="105">
        <f>HLOOKUP(A13,'DIA UTEIS'!$B$4:$M$6,3,FALSE)</f>
        <v>21</v>
      </c>
      <c r="C13" s="106" t="e">
        <f>VLOOKUP($B$4,HR_A_FAZER[#All],5,FALSE)</f>
        <v>#N/A</v>
      </c>
      <c r="D13" s="106" t="e">
        <f>VLOOKUP($B$4,HR_FEITAS[#All],5,FALSE)</f>
        <v>#N/A</v>
      </c>
      <c r="E13" s="106" t="e">
        <f t="shared" si="0"/>
        <v>#N/A</v>
      </c>
      <c r="F13" s="107" t="e">
        <f t="shared" si="1"/>
        <v>#N/A</v>
      </c>
    </row>
    <row r="14" spans="1:8" s="71" customFormat="1" ht="24.75" customHeight="1" x14ac:dyDescent="0.25">
      <c r="A14" s="104" t="s">
        <v>19</v>
      </c>
      <c r="B14" s="105">
        <f>HLOOKUP(A14,'DIA UTEIS'!$B$4:$M$6,3,FALSE)</f>
        <v>22</v>
      </c>
      <c r="C14" s="106" t="e">
        <f>VLOOKUP($B$4,HR_A_FAZER[#All],6,FALSE)</f>
        <v>#N/A</v>
      </c>
      <c r="D14" s="106" t="e">
        <f>VLOOKUP($B$4,HR_FEITAS[#All],6,FALSE)</f>
        <v>#N/A</v>
      </c>
      <c r="E14" s="106" t="e">
        <f t="shared" si="0"/>
        <v>#N/A</v>
      </c>
      <c r="F14" s="107" t="e">
        <f t="shared" si="1"/>
        <v>#N/A</v>
      </c>
    </row>
    <row r="15" spans="1:8" ht="24.75" customHeight="1" x14ac:dyDescent="0.2">
      <c r="A15" s="104" t="s">
        <v>20</v>
      </c>
      <c r="B15" s="105">
        <f>HLOOKUP(A15,'DIA UTEIS'!$B$4:$M$6,3,FALSE)</f>
        <v>19</v>
      </c>
      <c r="C15" s="106" t="e">
        <f>VLOOKUP($B$4,HR_A_FAZER[#All],7,FALSE)</f>
        <v>#N/A</v>
      </c>
      <c r="D15" s="106" t="e">
        <f>VLOOKUP($B$4,HR_FEITAS[#All],7,FALSE)</f>
        <v>#N/A</v>
      </c>
      <c r="E15" s="106" t="e">
        <f t="shared" si="0"/>
        <v>#N/A</v>
      </c>
      <c r="F15" s="107" t="e">
        <f t="shared" si="1"/>
        <v>#N/A</v>
      </c>
    </row>
    <row r="16" spans="1:8" ht="24.75" customHeight="1" x14ac:dyDescent="0.2">
      <c r="A16" s="104" t="s">
        <v>21</v>
      </c>
      <c r="B16" s="105">
        <f>HLOOKUP(A16,'DIA UTEIS'!$B$4:$M$6,3,FALSE)</f>
        <v>22</v>
      </c>
      <c r="C16" s="106" t="e">
        <f>VLOOKUP($B$4,HR_A_FAZER[#All],8,FALSE)</f>
        <v>#N/A</v>
      </c>
      <c r="D16" s="106" t="e">
        <f>VLOOKUP($B$4,HR_FEITAS[#All],8,FALSE)</f>
        <v>#N/A</v>
      </c>
      <c r="E16" s="106" t="e">
        <f t="shared" si="0"/>
        <v>#N/A</v>
      </c>
      <c r="F16" s="107" t="e">
        <f t="shared" si="1"/>
        <v>#N/A</v>
      </c>
    </row>
    <row r="17" spans="1:6" ht="24.75" customHeight="1" x14ac:dyDescent="0.2">
      <c r="A17" s="104" t="s">
        <v>22</v>
      </c>
      <c r="B17" s="105">
        <f>HLOOKUP(A17,'DIA UTEIS'!$B$4:$M$6,3,FALSE)</f>
        <v>22</v>
      </c>
      <c r="C17" s="106" t="e">
        <f>VLOOKUP($B$4,HR_A_FAZER[#All],9,FALSE)</f>
        <v>#N/A</v>
      </c>
      <c r="D17" s="106" t="e">
        <f>VLOOKUP($B$4,HR_FEITAS[#All],9,FALSE)</f>
        <v>#N/A</v>
      </c>
      <c r="E17" s="106" t="e">
        <f t="shared" si="0"/>
        <v>#N/A</v>
      </c>
      <c r="F17" s="107" t="e">
        <f t="shared" si="1"/>
        <v>#N/A</v>
      </c>
    </row>
    <row r="18" spans="1:6" ht="24.75" customHeight="1" x14ac:dyDescent="0.2">
      <c r="A18" s="104" t="s">
        <v>23</v>
      </c>
      <c r="B18" s="105">
        <f>HLOOKUP(A18,'DIA UTEIS'!$B$4:$M$6,3,FALSE)</f>
        <v>20</v>
      </c>
      <c r="C18" s="106" t="e">
        <f>VLOOKUP($B$4,HR_A_FAZER[#All],10,FALSE)</f>
        <v>#N/A</v>
      </c>
      <c r="D18" s="106" t="e">
        <f>VLOOKUP($B$4,HR_FEITAS[#All],10,FALSE)</f>
        <v>#N/A</v>
      </c>
      <c r="E18" s="106" t="e">
        <f t="shared" si="0"/>
        <v>#N/A</v>
      </c>
      <c r="F18" s="107" t="e">
        <f t="shared" si="1"/>
        <v>#N/A</v>
      </c>
    </row>
    <row r="19" spans="1:6" ht="24.75" customHeight="1" x14ac:dyDescent="0.2">
      <c r="A19" s="104" t="s">
        <v>24</v>
      </c>
      <c r="B19" s="105">
        <f>HLOOKUP(A19,'DIA UTEIS'!$B$4:$M$6,3,FALSE)</f>
        <v>23</v>
      </c>
      <c r="C19" s="106" t="e">
        <f>VLOOKUP($B$4,HR_A_FAZER[#All],11,FALSE)</f>
        <v>#N/A</v>
      </c>
      <c r="D19" s="106" t="e">
        <f>VLOOKUP($B$4,HR_FEITAS[#All],11,FALSE)</f>
        <v>#N/A</v>
      </c>
      <c r="E19" s="106" t="e">
        <f t="shared" si="0"/>
        <v>#N/A</v>
      </c>
      <c r="F19" s="107" t="e">
        <f t="shared" si="1"/>
        <v>#N/A</v>
      </c>
    </row>
    <row r="20" spans="1:6" ht="24.75" customHeight="1" x14ac:dyDescent="0.2">
      <c r="A20" s="104" t="s">
        <v>25</v>
      </c>
      <c r="B20" s="105">
        <f>HLOOKUP(A20,'DIA UTEIS'!$B$4:$M$6,3,FALSE)</f>
        <v>20</v>
      </c>
      <c r="C20" s="106" t="e">
        <f>VLOOKUP($B$4,HR_A_FAZER[#All],12,FALSE)</f>
        <v>#N/A</v>
      </c>
      <c r="D20" s="106" t="e">
        <f>VLOOKUP($B$4,HR_FEITAS[#All],12,FALSE)</f>
        <v>#N/A</v>
      </c>
      <c r="E20" s="106" t="e">
        <f t="shared" si="0"/>
        <v>#N/A</v>
      </c>
      <c r="F20" s="107" t="e">
        <f t="shared" si="1"/>
        <v>#N/A</v>
      </c>
    </row>
    <row r="21" spans="1:6" ht="24.75" customHeight="1" x14ac:dyDescent="0.2">
      <c r="A21" s="104" t="s">
        <v>26</v>
      </c>
      <c r="B21" s="105">
        <f>HLOOKUP(A21,'DIA UTEIS'!$B$4:$M$6,3,FALSE)</f>
        <v>21</v>
      </c>
      <c r="C21" s="106" t="e">
        <f>VLOOKUP($B$4,HR_A_FAZER[#All],13,FALSE)</f>
        <v>#N/A</v>
      </c>
      <c r="D21" s="106" t="e">
        <f>VLOOKUP($B$4,HR_FEITAS[#All],13,FALSE)</f>
        <v>#N/A</v>
      </c>
      <c r="E21" s="106" t="e">
        <f t="shared" si="0"/>
        <v>#N/A</v>
      </c>
      <c r="F21" s="107" t="e">
        <f t="shared" si="1"/>
        <v>#N/A</v>
      </c>
    </row>
    <row r="22" spans="1:6" ht="18" customHeight="1" x14ac:dyDescent="0.2">
      <c r="A22" s="73"/>
      <c r="B22" s="73"/>
      <c r="C22" s="61"/>
      <c r="D22" s="61"/>
      <c r="E22" s="61"/>
      <c r="F22" s="61"/>
    </row>
    <row r="23" spans="1:6" ht="18" customHeight="1" x14ac:dyDescent="0.25">
      <c r="A23" s="74"/>
      <c r="B23" s="128"/>
      <c r="C23" s="128"/>
      <c r="D23" s="128"/>
      <c r="E23" s="128"/>
      <c r="F23" s="128"/>
    </row>
    <row r="24" spans="1:6" ht="18" customHeight="1" x14ac:dyDescent="0.25">
      <c r="A24" s="74"/>
      <c r="B24" s="83"/>
      <c r="C24" s="83"/>
      <c r="D24" s="83"/>
      <c r="E24" s="83"/>
      <c r="F24" s="83"/>
    </row>
    <row r="25" spans="1:6" ht="18" customHeight="1" x14ac:dyDescent="0.25">
      <c r="A25" s="75"/>
      <c r="B25" s="128"/>
      <c r="C25" s="128"/>
      <c r="D25" s="128"/>
      <c r="E25" s="128"/>
      <c r="F25" s="128"/>
    </row>
    <row r="26" spans="1:6" ht="18" customHeight="1" x14ac:dyDescent="0.25">
      <c r="A26" s="75"/>
      <c r="B26" s="83"/>
      <c r="C26" s="83"/>
      <c r="D26" s="83"/>
      <c r="E26" s="83"/>
      <c r="F26" s="83"/>
    </row>
    <row r="27" spans="1:6" ht="18" customHeight="1" x14ac:dyDescent="0.25">
      <c r="A27" s="75"/>
      <c r="B27" s="83"/>
      <c r="C27" s="83"/>
      <c r="D27" s="83"/>
      <c r="E27" s="83"/>
      <c r="F27" s="83"/>
    </row>
    <row r="28" spans="1:6" ht="18" customHeight="1" x14ac:dyDescent="0.2">
      <c r="C28" s="61"/>
      <c r="D28" s="61"/>
      <c r="E28" s="61"/>
      <c r="F28" s="61"/>
    </row>
    <row r="29" spans="1:6" ht="18" customHeight="1" x14ac:dyDescent="0.2">
      <c r="A29" s="76"/>
      <c r="B29" s="77"/>
      <c r="C29" s="61"/>
      <c r="D29" s="61"/>
      <c r="E29" s="61"/>
      <c r="F29" s="61"/>
    </row>
    <row r="30" spans="1:6" ht="18" customHeight="1" x14ac:dyDescent="0.2">
      <c r="A30" s="76"/>
      <c r="B30" s="77"/>
      <c r="C30" s="61"/>
      <c r="D30" s="61"/>
      <c r="E30" s="61"/>
      <c r="F30" s="61"/>
    </row>
    <row r="31" spans="1:6" ht="18" customHeight="1" x14ac:dyDescent="0.2">
      <c r="A31" s="76"/>
      <c r="B31" s="77"/>
      <c r="C31" s="61"/>
      <c r="D31" s="76" t="s">
        <v>52</v>
      </c>
      <c r="E31" s="77">
        <f ca="1">TODAY()</f>
        <v>43656</v>
      </c>
    </row>
    <row r="32" spans="1:6" ht="18" customHeight="1" x14ac:dyDescent="0.2">
      <c r="A32" s="76"/>
      <c r="B32" s="77"/>
      <c r="C32" s="61"/>
      <c r="D32" s="61"/>
      <c r="E32" s="61"/>
      <c r="F32" s="61"/>
    </row>
    <row r="33" spans="1:7" ht="18" customHeight="1" x14ac:dyDescent="0.2">
      <c r="A33" s="76"/>
      <c r="B33" s="77"/>
      <c r="C33" s="61"/>
      <c r="D33" s="61"/>
      <c r="E33" s="61"/>
      <c r="F33" s="61"/>
    </row>
    <row r="34" spans="1:7" ht="18" customHeight="1" x14ac:dyDescent="0.2">
      <c r="A34" s="76"/>
      <c r="B34" s="77"/>
      <c r="C34" s="61"/>
      <c r="D34" s="61"/>
      <c r="E34" s="61"/>
      <c r="F34" s="61"/>
    </row>
    <row r="35" spans="1:7" ht="18" customHeight="1" x14ac:dyDescent="0.2">
      <c r="A35" s="78"/>
      <c r="B35" s="79"/>
      <c r="C35" s="61"/>
      <c r="D35" s="78"/>
      <c r="E35" s="80"/>
      <c r="F35" s="61"/>
    </row>
    <row r="36" spans="1:7" ht="18" customHeight="1" x14ac:dyDescent="0.2">
      <c r="A36" s="81" t="str">
        <f>B4</f>
        <v>Camila</v>
      </c>
      <c r="B36" s="73"/>
      <c r="C36" s="61"/>
      <c r="D36" s="81" t="s">
        <v>53</v>
      </c>
      <c r="E36" s="61"/>
      <c r="F36" s="61"/>
    </row>
    <row r="37" spans="1:7" ht="18" customHeight="1" thickBot="1" x14ac:dyDescent="0.25">
      <c r="A37" s="88"/>
      <c r="B37" s="89"/>
      <c r="C37" s="90"/>
      <c r="D37" s="88"/>
      <c r="E37" s="90"/>
      <c r="F37" s="90"/>
    </row>
    <row r="38" spans="1:7" customFormat="1" ht="21" customHeight="1" x14ac:dyDescent="0.25">
      <c r="A38" s="86"/>
      <c r="B38" s="81"/>
      <c r="C38" s="81"/>
      <c r="D38" s="87"/>
      <c r="E38" s="69"/>
      <c r="F38" s="69"/>
      <c r="G38" s="56"/>
    </row>
    <row r="39" spans="1:7" customFormat="1" ht="14.25" customHeight="1" x14ac:dyDescent="0.25">
      <c r="A39" s="85"/>
      <c r="B39" s="85"/>
      <c r="C39" s="85"/>
      <c r="D39" s="85"/>
      <c r="E39" s="85"/>
      <c r="F39" s="85"/>
      <c r="G39" s="56"/>
    </row>
    <row r="40" spans="1:7" customFormat="1" ht="14.25" customHeight="1" x14ac:dyDescent="0.25">
      <c r="A40" s="124"/>
      <c r="B40" s="124"/>
      <c r="C40" s="124"/>
      <c r="D40" s="124"/>
      <c r="E40" s="124"/>
      <c r="F40" s="124"/>
      <c r="G40" s="56"/>
    </row>
  </sheetData>
  <mergeCells count="6">
    <mergeCell ref="A40:F40"/>
    <mergeCell ref="A1:F1"/>
    <mergeCell ref="B4:E4"/>
    <mergeCell ref="B3:E3"/>
    <mergeCell ref="B23:F23"/>
    <mergeCell ref="B25:F25"/>
  </mergeCells>
  <conditionalFormatting sqref="E10:E21">
    <cfRule type="expression" dxfId="79" priority="1">
      <formula>$D10&lt;$C10</formula>
    </cfRule>
  </conditionalFormatting>
  <pageMargins left="0.25" right="0.25" top="1.1979166666666667" bottom="0.75" header="0.3" footer="0.3"/>
  <pageSetup paperSize="9" orientation="portrait" verticalDpi="0" r:id="rId1"/>
  <headerFooter>
    <oddHeader>&amp;C&amp;"-,Negrito"&amp;12PREFEITURA MUNICIPAL DE FRANCA&amp;"-,Regular"&amp;11
&amp;"-,Negrito"ESTADO DE SÃO PAULO&amp;"-,Regular"
SECRETARIA DE RECURSOS HUMANOS
Divisão de Recursos Humanos</oddHeader>
    <oddFooter>&amp;CRua Frederico Moura nº 1517,Cidade Nova
Franca – SP  CEP: 14401-150 – Fone:  (0xx16) 3711-9097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'QUADRO DE FUNC'!B4:B30</xm:f>
          </x14:formula1>
          <xm:sqref>B4:E4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B2:J110"/>
  <sheetViews>
    <sheetView showGridLines="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10" sqref="D10"/>
    </sheetView>
  </sheetViews>
  <sheetFormatPr defaultRowHeight="15" x14ac:dyDescent="0.25"/>
  <cols>
    <col min="1" max="1" width="9.140625" style="19"/>
    <col min="2" max="2" width="59.5703125" style="19" customWidth="1"/>
    <col min="3" max="3" width="27.85546875" style="20" customWidth="1"/>
    <col min="4" max="4" width="47.5703125" style="17" customWidth="1"/>
    <col min="5" max="5" width="31.140625" style="17" customWidth="1"/>
    <col min="6" max="16384" width="9.140625" style="19"/>
  </cols>
  <sheetData>
    <row r="2" spans="2:10" ht="33" customHeight="1" x14ac:dyDescent="0.25">
      <c r="B2" s="129" t="s">
        <v>33</v>
      </c>
      <c r="C2" s="130"/>
      <c r="D2" s="131"/>
    </row>
    <row r="3" spans="2:10" ht="33" customHeight="1" x14ac:dyDescent="0.25">
      <c r="B3" s="29" t="s">
        <v>34</v>
      </c>
      <c r="C3" s="29" t="s">
        <v>35</v>
      </c>
      <c r="D3" s="29" t="s">
        <v>36</v>
      </c>
      <c r="E3" s="21"/>
      <c r="F3" s="26"/>
      <c r="G3" s="26"/>
      <c r="H3" s="26"/>
      <c r="I3" s="26"/>
      <c r="J3" s="26"/>
    </row>
    <row r="4" spans="2:10" ht="33" customHeight="1" x14ac:dyDescent="0.25">
      <c r="B4" s="32" t="s">
        <v>75</v>
      </c>
      <c r="C4" s="30" t="e">
        <f>IF(B4="","",VLOOKUP(B4,Compensação[#All],2,FALSE))</f>
        <v>#N/A</v>
      </c>
      <c r="D4" s="31" t="e">
        <f>IF(B4="","",VLOOKUP(B4,Compensação[#All],3,FALSE))</f>
        <v>#N/A</v>
      </c>
      <c r="E4" s="22"/>
    </row>
    <row r="5" spans="2:10" ht="45" customHeight="1" x14ac:dyDescent="0.25">
      <c r="C5" s="24"/>
      <c r="D5" s="18"/>
      <c r="E5" s="18"/>
      <c r="F5" s="23"/>
    </row>
    <row r="6" spans="2:10" ht="45" customHeight="1" x14ac:dyDescent="0.25">
      <c r="B6" s="23"/>
      <c r="C6" s="24"/>
      <c r="D6" s="18"/>
      <c r="E6" s="18"/>
      <c r="F6" s="23"/>
    </row>
    <row r="7" spans="2:10" x14ac:dyDescent="0.25">
      <c r="E7" s="25"/>
      <c r="F7" s="23"/>
    </row>
    <row r="8" spans="2:10" x14ac:dyDescent="0.25">
      <c r="E8" s="25"/>
      <c r="F8" s="23"/>
    </row>
    <row r="9" spans="2:10" x14ac:dyDescent="0.25">
      <c r="E9" s="25"/>
      <c r="F9" s="23"/>
    </row>
    <row r="10" spans="2:10" x14ac:dyDescent="0.25">
      <c r="E10" s="25"/>
      <c r="F10" s="23"/>
    </row>
    <row r="11" spans="2:10" x14ac:dyDescent="0.25">
      <c r="E11" s="25"/>
      <c r="F11" s="23"/>
    </row>
    <row r="12" spans="2:10" x14ac:dyDescent="0.25">
      <c r="E12" s="25"/>
      <c r="F12" s="23"/>
    </row>
    <row r="13" spans="2:10" x14ac:dyDescent="0.25">
      <c r="E13" s="25"/>
      <c r="F13" s="23"/>
    </row>
    <row r="14" spans="2:10" x14ac:dyDescent="0.25">
      <c r="E14" s="25"/>
      <c r="F14" s="23"/>
    </row>
    <row r="15" spans="2:10" x14ac:dyDescent="0.25">
      <c r="E15" s="25"/>
      <c r="F15" s="23"/>
    </row>
    <row r="16" spans="2:10" x14ac:dyDescent="0.25">
      <c r="E16" s="25"/>
      <c r="F16" s="23"/>
    </row>
    <row r="17" spans="5:6" x14ac:dyDescent="0.25">
      <c r="E17" s="25"/>
      <c r="F17" s="23"/>
    </row>
    <row r="18" spans="5:6" x14ac:dyDescent="0.25">
      <c r="E18" s="25"/>
      <c r="F18" s="23"/>
    </row>
    <row r="19" spans="5:6" x14ac:dyDescent="0.25">
      <c r="E19" s="25"/>
      <c r="F19" s="23"/>
    </row>
    <row r="20" spans="5:6" x14ac:dyDescent="0.25">
      <c r="E20" s="25"/>
      <c r="F20" s="23"/>
    </row>
    <row r="21" spans="5:6" x14ac:dyDescent="0.25">
      <c r="E21" s="25"/>
      <c r="F21" s="23"/>
    </row>
    <row r="22" spans="5:6" x14ac:dyDescent="0.25">
      <c r="E22" s="25"/>
    </row>
    <row r="23" spans="5:6" x14ac:dyDescent="0.25">
      <c r="E23" s="25"/>
    </row>
    <row r="24" spans="5:6" x14ac:dyDescent="0.25">
      <c r="E24" s="25"/>
    </row>
    <row r="25" spans="5:6" x14ac:dyDescent="0.25">
      <c r="E25" s="25"/>
    </row>
    <row r="26" spans="5:6" x14ac:dyDescent="0.25">
      <c r="E26" s="25"/>
    </row>
    <row r="27" spans="5:6" x14ac:dyDescent="0.25">
      <c r="E27" s="25"/>
    </row>
    <row r="28" spans="5:6" x14ac:dyDescent="0.25">
      <c r="E28" s="25"/>
    </row>
    <row r="29" spans="5:6" x14ac:dyDescent="0.25">
      <c r="E29" s="25"/>
    </row>
    <row r="30" spans="5:6" x14ac:dyDescent="0.25">
      <c r="E30" s="25"/>
    </row>
    <row r="31" spans="5:6" x14ac:dyDescent="0.25">
      <c r="E31" s="25"/>
    </row>
    <row r="32" spans="5:6" x14ac:dyDescent="0.25">
      <c r="E32" s="25"/>
    </row>
    <row r="33" spans="5:5" x14ac:dyDescent="0.25">
      <c r="E33" s="25"/>
    </row>
    <row r="34" spans="5:5" x14ac:dyDescent="0.25">
      <c r="E34" s="25"/>
    </row>
    <row r="35" spans="5:5" x14ac:dyDescent="0.25">
      <c r="E35" s="25"/>
    </row>
    <row r="36" spans="5:5" x14ac:dyDescent="0.25">
      <c r="E36" s="25"/>
    </row>
    <row r="37" spans="5:5" x14ac:dyDescent="0.25">
      <c r="E37" s="25"/>
    </row>
    <row r="38" spans="5:5" x14ac:dyDescent="0.25">
      <c r="E38" s="25"/>
    </row>
    <row r="39" spans="5:5" x14ac:dyDescent="0.25">
      <c r="E39" s="25"/>
    </row>
    <row r="40" spans="5:5" x14ac:dyDescent="0.25">
      <c r="E40" s="25"/>
    </row>
    <row r="41" spans="5:5" x14ac:dyDescent="0.25">
      <c r="E41" s="25"/>
    </row>
    <row r="42" spans="5:5" x14ac:dyDescent="0.25">
      <c r="E42" s="25"/>
    </row>
    <row r="43" spans="5:5" x14ac:dyDescent="0.25">
      <c r="E43" s="25"/>
    </row>
    <row r="44" spans="5:5" x14ac:dyDescent="0.25">
      <c r="E44" s="25"/>
    </row>
    <row r="45" spans="5:5" x14ac:dyDescent="0.25">
      <c r="E45" s="25"/>
    </row>
    <row r="46" spans="5:5" x14ac:dyDescent="0.25">
      <c r="E46" s="25"/>
    </row>
    <row r="47" spans="5:5" x14ac:dyDescent="0.25">
      <c r="E47" s="25"/>
    </row>
    <row r="48" spans="5:5" x14ac:dyDescent="0.25">
      <c r="E48" s="25"/>
    </row>
    <row r="49" spans="5:5" x14ac:dyDescent="0.25">
      <c r="E49" s="25"/>
    </row>
    <row r="50" spans="5:5" x14ac:dyDescent="0.25">
      <c r="E50" s="25"/>
    </row>
    <row r="51" spans="5:5" x14ac:dyDescent="0.25">
      <c r="E51" s="25"/>
    </row>
    <row r="52" spans="5:5" x14ac:dyDescent="0.25">
      <c r="E52" s="25"/>
    </row>
    <row r="53" spans="5:5" x14ac:dyDescent="0.25">
      <c r="E53" s="25"/>
    </row>
    <row r="54" spans="5:5" x14ac:dyDescent="0.25">
      <c r="E54" s="25"/>
    </row>
    <row r="55" spans="5:5" x14ac:dyDescent="0.25">
      <c r="E55" s="25"/>
    </row>
    <row r="56" spans="5:5" x14ac:dyDescent="0.25">
      <c r="E56" s="25"/>
    </row>
    <row r="57" spans="5:5" x14ac:dyDescent="0.25">
      <c r="E57" s="25"/>
    </row>
    <row r="58" spans="5:5" x14ac:dyDescent="0.25">
      <c r="E58" s="25"/>
    </row>
    <row r="59" spans="5:5" x14ac:dyDescent="0.25">
      <c r="E59" s="25"/>
    </row>
    <row r="60" spans="5:5" x14ac:dyDescent="0.25">
      <c r="E60" s="25"/>
    </row>
    <row r="61" spans="5:5" x14ac:dyDescent="0.25">
      <c r="E61" s="25"/>
    </row>
    <row r="62" spans="5:5" x14ac:dyDescent="0.25">
      <c r="E62" s="25"/>
    </row>
    <row r="63" spans="5:5" x14ac:dyDescent="0.25">
      <c r="E63" s="25"/>
    </row>
    <row r="64" spans="5:5" x14ac:dyDescent="0.25">
      <c r="E64" s="25"/>
    </row>
    <row r="65" spans="5:5" x14ac:dyDescent="0.25">
      <c r="E65" s="25"/>
    </row>
    <row r="66" spans="5:5" x14ac:dyDescent="0.25">
      <c r="E66" s="25"/>
    </row>
    <row r="67" spans="5:5" x14ac:dyDescent="0.25">
      <c r="E67" s="25"/>
    </row>
    <row r="68" spans="5:5" x14ac:dyDescent="0.25">
      <c r="E68" s="25"/>
    </row>
    <row r="69" spans="5:5" x14ac:dyDescent="0.25">
      <c r="E69" s="25"/>
    </row>
    <row r="70" spans="5:5" x14ac:dyDescent="0.25">
      <c r="E70" s="25"/>
    </row>
    <row r="71" spans="5:5" x14ac:dyDescent="0.25">
      <c r="E71" s="25"/>
    </row>
    <row r="72" spans="5:5" x14ac:dyDescent="0.25">
      <c r="E72" s="25"/>
    </row>
    <row r="73" spans="5:5" x14ac:dyDescent="0.25">
      <c r="E73" s="25"/>
    </row>
    <row r="74" spans="5:5" x14ac:dyDescent="0.25">
      <c r="E74" s="25"/>
    </row>
    <row r="75" spans="5:5" x14ac:dyDescent="0.25">
      <c r="E75" s="25"/>
    </row>
    <row r="76" spans="5:5" x14ac:dyDescent="0.25">
      <c r="E76" s="25"/>
    </row>
    <row r="77" spans="5:5" x14ac:dyDescent="0.25">
      <c r="E77" s="25"/>
    </row>
    <row r="78" spans="5:5" x14ac:dyDescent="0.25">
      <c r="E78" s="25"/>
    </row>
    <row r="79" spans="5:5" x14ac:dyDescent="0.25">
      <c r="E79" s="25"/>
    </row>
    <row r="80" spans="5:5" x14ac:dyDescent="0.25">
      <c r="E80" s="25"/>
    </row>
    <row r="81" spans="5:5" x14ac:dyDescent="0.25">
      <c r="E81" s="25"/>
    </row>
    <row r="82" spans="5:5" x14ac:dyDescent="0.25">
      <c r="E82" s="25"/>
    </row>
    <row r="83" spans="5:5" x14ac:dyDescent="0.25">
      <c r="E83" s="25"/>
    </row>
    <row r="84" spans="5:5" x14ac:dyDescent="0.25">
      <c r="E84" s="25"/>
    </row>
    <row r="85" spans="5:5" x14ac:dyDescent="0.25">
      <c r="E85" s="25"/>
    </row>
    <row r="86" spans="5:5" x14ac:dyDescent="0.25">
      <c r="E86" s="25"/>
    </row>
    <row r="87" spans="5:5" x14ac:dyDescent="0.25">
      <c r="E87" s="25"/>
    </row>
    <row r="88" spans="5:5" x14ac:dyDescent="0.25">
      <c r="E88" s="25"/>
    </row>
    <row r="89" spans="5:5" x14ac:dyDescent="0.25">
      <c r="E89" s="25"/>
    </row>
    <row r="90" spans="5:5" x14ac:dyDescent="0.25">
      <c r="E90" s="25"/>
    </row>
    <row r="91" spans="5:5" x14ac:dyDescent="0.25">
      <c r="E91" s="25"/>
    </row>
    <row r="92" spans="5:5" x14ac:dyDescent="0.25">
      <c r="E92" s="25"/>
    </row>
    <row r="93" spans="5:5" x14ac:dyDescent="0.25">
      <c r="E93" s="25"/>
    </row>
    <row r="94" spans="5:5" x14ac:dyDescent="0.25">
      <c r="E94" s="25"/>
    </row>
    <row r="95" spans="5:5" x14ac:dyDescent="0.25">
      <c r="E95" s="25"/>
    </row>
    <row r="96" spans="5:5" x14ac:dyDescent="0.25">
      <c r="E96" s="25"/>
    </row>
    <row r="97" spans="5:5" x14ac:dyDescent="0.25">
      <c r="E97" s="25"/>
    </row>
    <row r="98" spans="5:5" x14ac:dyDescent="0.25">
      <c r="E98" s="25"/>
    </row>
    <row r="99" spans="5:5" x14ac:dyDescent="0.25">
      <c r="E99" s="25"/>
    </row>
    <row r="100" spans="5:5" x14ac:dyDescent="0.25">
      <c r="E100" s="25"/>
    </row>
    <row r="101" spans="5:5" x14ac:dyDescent="0.25">
      <c r="E101" s="25"/>
    </row>
    <row r="102" spans="5:5" x14ac:dyDescent="0.25">
      <c r="E102" s="25"/>
    </row>
    <row r="103" spans="5:5" x14ac:dyDescent="0.25">
      <c r="E103" s="25"/>
    </row>
    <row r="104" spans="5:5" x14ac:dyDescent="0.25">
      <c r="E104" s="25"/>
    </row>
    <row r="105" spans="5:5" x14ac:dyDescent="0.25">
      <c r="E105" s="25"/>
    </row>
    <row r="106" spans="5:5" x14ac:dyDescent="0.25">
      <c r="E106" s="25"/>
    </row>
    <row r="107" spans="5:5" x14ac:dyDescent="0.25">
      <c r="E107" s="25"/>
    </row>
    <row r="108" spans="5:5" x14ac:dyDescent="0.25">
      <c r="E108" s="25"/>
    </row>
    <row r="109" spans="5:5" x14ac:dyDescent="0.25">
      <c r="E109" s="25"/>
    </row>
    <row r="110" spans="5:5" x14ac:dyDescent="0.25">
      <c r="E110" s="25"/>
    </row>
  </sheetData>
  <sheetProtection sheet="1" objects="1" scenarios="1"/>
  <mergeCells count="1">
    <mergeCell ref="B2:D2"/>
  </mergeCells>
  <conditionalFormatting sqref="A1:A1048576 B1:B4 B6:B1048576 D3:D1048576 C5:C1048576 C1:D1 C3 E1:XFD1048576">
    <cfRule type="cellIs" dxfId="78" priority="4" operator="lessThan">
      <formula>0</formula>
    </cfRule>
  </conditionalFormatting>
  <conditionalFormatting sqref="E1:E3 E5:E1048576">
    <cfRule type="expression" dxfId="77" priority="3">
      <formula>$C1&lt;$D$4</formula>
    </cfRule>
  </conditionalFormatting>
  <conditionalFormatting sqref="E4">
    <cfRule type="expression" dxfId="76" priority="2">
      <formula>$D4&lt;"170:00:00"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'QUADRO DE FUNC'!$B$4:$B$50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B2:J106"/>
  <sheetViews>
    <sheetView showGridLines="0" showRowColHeaders="0" workbookViewId="0">
      <pane xSplit="7" ySplit="20" topLeftCell="H21" activePane="bottomRight" state="frozen"/>
      <selection pane="topRight" activeCell="H1" sqref="H1"/>
      <selection pane="bottomLeft" activeCell="A21" sqref="A21"/>
      <selection pane="bottomRight"/>
    </sheetView>
  </sheetViews>
  <sheetFormatPr defaultRowHeight="15" x14ac:dyDescent="0.25"/>
  <cols>
    <col min="2" max="2" width="46.7109375" customWidth="1"/>
    <col min="3" max="3" width="19.42578125" customWidth="1"/>
    <col min="4" max="4" width="37.5703125" customWidth="1"/>
    <col min="9" max="9" width="0" hidden="1" customWidth="1"/>
  </cols>
  <sheetData>
    <row r="2" spans="2:10" ht="36" x14ac:dyDescent="0.25">
      <c r="B2" s="132" t="s">
        <v>37</v>
      </c>
      <c r="C2" s="132"/>
      <c r="D2" s="132"/>
      <c r="I2" s="20">
        <v>1</v>
      </c>
    </row>
    <row r="3" spans="2:10" ht="22.5" customHeight="1" x14ac:dyDescent="0.25">
      <c r="B3" s="43" t="s">
        <v>0</v>
      </c>
      <c r="C3" s="43" t="s">
        <v>38</v>
      </c>
      <c r="D3" s="43" t="s">
        <v>36</v>
      </c>
    </row>
    <row r="4" spans="2:10" ht="20.25" customHeight="1" x14ac:dyDescent="0.25">
      <c r="B4" s="15" t="str">
        <f>quadro_de_func[[#This Row],[NOME]]</f>
        <v>Amanda</v>
      </c>
      <c r="C4" s="46">
        <f>SUM(BD!D4:O4)</f>
        <v>0</v>
      </c>
      <c r="D4" s="48">
        <f>FLOOR(C4,1/$I$2*VLOOKUP(Compensação[[#This Row],[NOME]],carga_horaria[[NOME]:[CARGA HORARIA DIA]],2,FALSE))*3+(C4-FLOOR(C4,1/$I$2*VLOOKUP(Compensação[[#This Row],[NOME]],carga_horaria[[NOME]:[CARGA HORARIA DIA]],2,FALSE)))</f>
        <v>0</v>
      </c>
    </row>
    <row r="5" spans="2:10" ht="20.25" customHeight="1" x14ac:dyDescent="0.25">
      <c r="B5" s="15" t="str">
        <f>quadro_de_func[[#This Row],[NOME]]</f>
        <v>Bruna</v>
      </c>
      <c r="C5" s="46">
        <f>SUM(BD!D5:O5)</f>
        <v>2.1729166666666648</v>
      </c>
      <c r="D5" s="48">
        <f>FLOOR(C5,1/$I$2*VLOOKUP(Compensação[[#This Row],[NOME]],carga_horaria[[NOME]:[CARGA HORARIA DIA]],2,FALSE))*3+(C5-FLOOR(C5,1/$I$2*VLOOKUP(Compensação[[#This Row],[NOME]],carga_horaria[[NOME]:[CARGA HORARIA DIA]],2,FALSE)))</f>
        <v>5.9229166666666657</v>
      </c>
      <c r="I5" s="1"/>
      <c r="J5" s="49"/>
    </row>
    <row r="6" spans="2:10" ht="20.25" customHeight="1" x14ac:dyDescent="0.25">
      <c r="B6" s="15" t="str">
        <f>quadro_de_func[[#This Row],[NOME]]</f>
        <v>Daiani</v>
      </c>
      <c r="C6" s="46">
        <f>SUM(BD!D6:O6)</f>
        <v>6.8861111111111137</v>
      </c>
      <c r="D6" s="48">
        <f>FLOOR(C6,1/$I$2*VLOOKUP(Compensação[[#This Row],[NOME]],carga_horaria[[NOME]:[CARGA HORARIA DIA]],2,FALSE))*3+(C6-FLOOR(C6,1/$I$2*VLOOKUP(Compensação[[#This Row],[NOME]],carga_horaria[[NOME]:[CARGA HORARIA DIA]],2,FALSE)))</f>
        <v>20.011111111111116</v>
      </c>
      <c r="I6" s="49"/>
    </row>
    <row r="7" spans="2:10" ht="20.25" customHeight="1" x14ac:dyDescent="0.25">
      <c r="B7" s="15" t="str">
        <f>quadro_de_func[[#This Row],[NOME]]</f>
        <v>Érica</v>
      </c>
      <c r="C7" s="46">
        <f>SUM(BD!D7:O7)</f>
        <v>0</v>
      </c>
      <c r="D7" s="48">
        <f>FLOOR(C7,1/$I$2*VLOOKUP(Compensação[[#This Row],[NOME]],carga_horaria[[NOME]:[CARGA HORARIA DIA]],2,FALSE))*3+(C7-FLOOR(C7,1/$I$2*VLOOKUP(Compensação[[#This Row],[NOME]],carga_horaria[[NOME]:[CARGA HORARIA DIA]],2,FALSE)))</f>
        <v>0</v>
      </c>
    </row>
    <row r="8" spans="2:10" ht="20.25" customHeight="1" x14ac:dyDescent="0.25">
      <c r="B8" s="15" t="str">
        <f>quadro_de_func[[#This Row],[NOME]]</f>
        <v>func 5</v>
      </c>
      <c r="C8" s="46">
        <f>SUM(BD!D8:O8)</f>
        <v>0</v>
      </c>
      <c r="D8" s="48">
        <f>FLOOR(C8,1/$I$2*VLOOKUP(Compensação[[#This Row],[NOME]],carga_horaria[[NOME]:[CARGA HORARIA DIA]],2,FALSE))*3+(C8-FLOOR(C8,1/$I$2*VLOOKUP(Compensação[[#This Row],[NOME]],carga_horaria[[NOME]:[CARGA HORARIA DIA]],2,FALSE)))</f>
        <v>0</v>
      </c>
    </row>
    <row r="9" spans="2:10" ht="20.25" customHeight="1" x14ac:dyDescent="0.25">
      <c r="B9" s="15" t="str">
        <f>quadro_de_func[[#This Row],[NOME]]</f>
        <v>func 6</v>
      </c>
      <c r="C9" s="46">
        <f>SUM(BD!D9:O9)</f>
        <v>0</v>
      </c>
      <c r="D9" s="48">
        <f>FLOOR(C9,1/$I$2*VLOOKUP(Compensação[[#This Row],[NOME]],carga_horaria[[NOME]:[CARGA HORARIA DIA]],2,FALSE))*3+(C9-FLOOR(C9,1/$I$2*VLOOKUP(Compensação[[#This Row],[NOME]],carga_horaria[[NOME]:[CARGA HORARIA DIA]],2,FALSE)))</f>
        <v>0</v>
      </c>
    </row>
    <row r="10" spans="2:10" ht="20.25" customHeight="1" x14ac:dyDescent="0.25">
      <c r="B10" s="15" t="str">
        <f>quadro_de_func[[#This Row],[NOME]]</f>
        <v>func 7</v>
      </c>
      <c r="C10" s="46">
        <f>SUM(BD!D10:O10)</f>
        <v>0</v>
      </c>
      <c r="D10" s="48">
        <f>FLOOR(C10,1/$I$2*VLOOKUP(Compensação[[#This Row],[NOME]],carga_horaria[[NOME]:[CARGA HORARIA DIA]],2,FALSE))*3+(C10-FLOOR(C10,1/$I$2*VLOOKUP(Compensação[[#This Row],[NOME]],carga_horaria[[NOME]:[CARGA HORARIA DIA]],2,FALSE)))</f>
        <v>0</v>
      </c>
    </row>
    <row r="11" spans="2:10" ht="20.25" customHeight="1" x14ac:dyDescent="0.25">
      <c r="B11" s="15" t="str">
        <f>quadro_de_func[[#This Row],[NOME]]</f>
        <v>func 8</v>
      </c>
      <c r="C11" s="46">
        <f>SUM(BD!D11:O11)</f>
        <v>0</v>
      </c>
      <c r="D11" s="48">
        <f>FLOOR(C11,1/$I$2*VLOOKUP(Compensação[[#This Row],[NOME]],carga_horaria[[NOME]:[CARGA HORARIA DIA]],2,FALSE))*3+(C11-FLOOR(C11,1/$I$2*VLOOKUP(Compensação[[#This Row],[NOME]],carga_horaria[[NOME]:[CARGA HORARIA DIA]],2,FALSE)))</f>
        <v>0</v>
      </c>
    </row>
    <row r="12" spans="2:10" ht="20.25" customHeight="1" x14ac:dyDescent="0.25">
      <c r="B12" s="15" t="str">
        <f>quadro_de_func[[#This Row],[NOME]]</f>
        <v>func 9</v>
      </c>
      <c r="C12" s="46">
        <f>SUM(BD!D12:O12)</f>
        <v>0</v>
      </c>
      <c r="D12" s="48">
        <f>FLOOR(C12,1/$I$2*VLOOKUP(Compensação[[#This Row],[NOME]],carga_horaria[[NOME]:[CARGA HORARIA DIA]],2,FALSE))*3+(C12-FLOOR(C12,1/$I$2*VLOOKUP(Compensação[[#This Row],[NOME]],carga_horaria[[NOME]:[CARGA HORARIA DIA]],2,FALSE)))</f>
        <v>0</v>
      </c>
    </row>
    <row r="13" spans="2:10" ht="20.25" customHeight="1" x14ac:dyDescent="0.25">
      <c r="B13" s="15" t="str">
        <f>quadro_de_func[[#This Row],[NOME]]</f>
        <v>func 10</v>
      </c>
      <c r="C13" s="46">
        <f>SUM(BD!D13:O13)</f>
        <v>0</v>
      </c>
      <c r="D13" s="48">
        <f>FLOOR(C13,1/$I$2*VLOOKUP(Compensação[[#This Row],[NOME]],carga_horaria[[NOME]:[CARGA HORARIA DIA]],2,FALSE))*3+(C13-FLOOR(C13,1/$I$2*VLOOKUP(Compensação[[#This Row],[NOME]],carga_horaria[[NOME]:[CARGA HORARIA DIA]],2,FALSE)))</f>
        <v>0</v>
      </c>
    </row>
    <row r="14" spans="2:10" ht="20.25" customHeight="1" x14ac:dyDescent="0.25">
      <c r="B14" s="15" t="str">
        <f>quadro_de_func[[#This Row],[NOME]]</f>
        <v>func 11</v>
      </c>
      <c r="C14" s="46">
        <f>SUM(BD!D14:O14)</f>
        <v>0</v>
      </c>
      <c r="D14" s="48">
        <f>FLOOR(C14,1/$I$2*VLOOKUP(Compensação[[#This Row],[NOME]],carga_horaria[[NOME]:[CARGA HORARIA DIA]],2,FALSE))*3+(C14-FLOOR(C14,1/$I$2*VLOOKUP(Compensação[[#This Row],[NOME]],carga_horaria[[NOME]:[CARGA HORARIA DIA]],2,FALSE)))</f>
        <v>0</v>
      </c>
    </row>
    <row r="15" spans="2:10" ht="20.25" customHeight="1" x14ac:dyDescent="0.25">
      <c r="B15" s="15" t="str">
        <f>quadro_de_func[[#This Row],[NOME]]</f>
        <v>func 12</v>
      </c>
      <c r="C15" s="46">
        <f>SUM(BD!D15:O15)</f>
        <v>0</v>
      </c>
      <c r="D15" s="48">
        <f>FLOOR(C15,1/$I$2*VLOOKUP(Compensação[[#This Row],[NOME]],carga_horaria[[NOME]:[CARGA HORARIA DIA]],2,FALSE))*3+(C15-FLOOR(C15,1/$I$2*VLOOKUP(Compensação[[#This Row],[NOME]],carga_horaria[[NOME]:[CARGA HORARIA DIA]],2,FALSE)))</f>
        <v>0</v>
      </c>
    </row>
    <row r="16" spans="2:10" ht="20.25" customHeight="1" x14ac:dyDescent="0.25">
      <c r="B16" s="15" t="str">
        <f>quadro_de_func[[#This Row],[NOME]]</f>
        <v>func 13</v>
      </c>
      <c r="C16" s="46">
        <f>SUM(BD!D16:O16)</f>
        <v>0</v>
      </c>
      <c r="D16" s="48">
        <f>FLOOR(C16,1/$I$2*VLOOKUP(Compensação[[#This Row],[NOME]],carga_horaria[[NOME]:[CARGA HORARIA DIA]],2,FALSE))*3+(C16-FLOOR(C16,1/$I$2*VLOOKUP(Compensação[[#This Row],[NOME]],carga_horaria[[NOME]:[CARGA HORARIA DIA]],2,FALSE)))</f>
        <v>0</v>
      </c>
    </row>
    <row r="17" spans="2:4" ht="20.25" customHeight="1" x14ac:dyDescent="0.25">
      <c r="B17" s="15" t="str">
        <f>quadro_de_func[[#This Row],[NOME]]</f>
        <v>func 14</v>
      </c>
      <c r="C17" s="46">
        <f>SUM(BD!D17:O17)</f>
        <v>0</v>
      </c>
      <c r="D17" s="48">
        <f>FLOOR(C17,1/$I$2*VLOOKUP(Compensação[[#This Row],[NOME]],carga_horaria[[NOME]:[CARGA HORARIA DIA]],2,FALSE))*3+(C17-FLOOR(C17,1/$I$2*VLOOKUP(Compensação[[#This Row],[NOME]],carga_horaria[[NOME]:[CARGA HORARIA DIA]],2,FALSE)))</f>
        <v>0</v>
      </c>
    </row>
    <row r="18" spans="2:4" ht="20.25" customHeight="1" x14ac:dyDescent="0.25">
      <c r="B18" s="15" t="str">
        <f>quadro_de_func[[#This Row],[NOME]]</f>
        <v>func 15</v>
      </c>
      <c r="C18" s="46">
        <f>SUM(BD!D18:O18)</f>
        <v>0</v>
      </c>
      <c r="D18" s="48">
        <f>FLOOR(C18,1/$I$2*VLOOKUP(Compensação[[#This Row],[NOME]],carga_horaria[[NOME]:[CARGA HORARIA DIA]],2,FALSE))*3+(C18-FLOOR(C18,1/$I$2*VLOOKUP(Compensação[[#This Row],[NOME]],carga_horaria[[NOME]:[CARGA HORARIA DIA]],2,FALSE)))</f>
        <v>0</v>
      </c>
    </row>
    <row r="19" spans="2:4" ht="20.25" customHeight="1" x14ac:dyDescent="0.25">
      <c r="B19" s="15" t="str">
        <f>quadro_de_func[[#This Row],[NOME]]</f>
        <v>func 16</v>
      </c>
      <c r="C19" s="46">
        <f>SUM(BD!D19:O19)</f>
        <v>0</v>
      </c>
      <c r="D19" s="48">
        <f>FLOOR(C19,1/$I$2*VLOOKUP(Compensação[[#This Row],[NOME]],carga_horaria[[NOME]:[CARGA HORARIA DIA]],2,FALSE))*3+(C19-FLOOR(C19,1/$I$2*VLOOKUP(Compensação[[#This Row],[NOME]],carga_horaria[[NOME]:[CARGA HORARIA DIA]],2,FALSE)))</f>
        <v>0</v>
      </c>
    </row>
    <row r="20" spans="2:4" ht="20.25" customHeight="1" x14ac:dyDescent="0.25">
      <c r="B20" s="15" t="str">
        <f>quadro_de_func[[#This Row],[NOME]]</f>
        <v>func 17</v>
      </c>
      <c r="C20" s="46">
        <f>SUM(BD!D20:O20)</f>
        <v>0</v>
      </c>
      <c r="D20" s="48">
        <f>FLOOR(C20,1/$I$2*VLOOKUP(Compensação[[#This Row],[NOME]],carga_horaria[[NOME]:[CARGA HORARIA DIA]],2,FALSE))*3+(C20-FLOOR(C20,1/$I$2*VLOOKUP(Compensação[[#This Row],[NOME]],carga_horaria[[NOME]:[CARGA HORARIA DIA]],2,FALSE)))</f>
        <v>0</v>
      </c>
    </row>
    <row r="21" spans="2:4" x14ac:dyDescent="0.25">
      <c r="B21" s="19"/>
      <c r="C21" s="20"/>
      <c r="D21" s="17"/>
    </row>
    <row r="22" spans="2:4" x14ac:dyDescent="0.25">
      <c r="B22" s="19"/>
      <c r="C22" s="20"/>
      <c r="D22" s="17"/>
    </row>
    <row r="23" spans="2:4" x14ac:dyDescent="0.25">
      <c r="B23" s="19"/>
      <c r="C23" s="20"/>
      <c r="D23" s="17"/>
    </row>
    <row r="24" spans="2:4" x14ac:dyDescent="0.25">
      <c r="B24" s="19"/>
      <c r="C24" s="20"/>
      <c r="D24" s="17"/>
    </row>
    <row r="25" spans="2:4" x14ac:dyDescent="0.25">
      <c r="B25" s="19"/>
      <c r="C25" s="20"/>
      <c r="D25" s="17"/>
    </row>
    <row r="26" spans="2:4" x14ac:dyDescent="0.25">
      <c r="B26" s="19"/>
      <c r="C26" s="20"/>
      <c r="D26" s="17"/>
    </row>
    <row r="27" spans="2:4" x14ac:dyDescent="0.25">
      <c r="B27" s="19"/>
      <c r="C27" s="20"/>
      <c r="D27" s="17"/>
    </row>
    <row r="28" spans="2:4" x14ac:dyDescent="0.25">
      <c r="B28" s="19"/>
      <c r="C28" s="20"/>
      <c r="D28" s="17"/>
    </row>
    <row r="29" spans="2:4" x14ac:dyDescent="0.25">
      <c r="B29" s="19"/>
      <c r="C29" s="20"/>
      <c r="D29" s="17"/>
    </row>
    <row r="30" spans="2:4" x14ac:dyDescent="0.25">
      <c r="B30" s="19"/>
      <c r="C30" s="20"/>
      <c r="D30" s="17"/>
    </row>
    <row r="31" spans="2:4" x14ac:dyDescent="0.25">
      <c r="B31" s="19"/>
      <c r="C31" s="20"/>
      <c r="D31" s="17"/>
    </row>
    <row r="32" spans="2:4" x14ac:dyDescent="0.25">
      <c r="B32" s="19"/>
      <c r="C32" s="20"/>
      <c r="D32" s="17"/>
    </row>
    <row r="33" spans="2:4" x14ac:dyDescent="0.25">
      <c r="B33" s="19"/>
      <c r="C33" s="20"/>
      <c r="D33" s="17"/>
    </row>
    <row r="34" spans="2:4" x14ac:dyDescent="0.25">
      <c r="B34" s="19"/>
      <c r="C34" s="20"/>
      <c r="D34" s="17"/>
    </row>
    <row r="35" spans="2:4" x14ac:dyDescent="0.25">
      <c r="B35" s="19"/>
      <c r="C35" s="20"/>
      <c r="D35" s="17"/>
    </row>
    <row r="36" spans="2:4" x14ac:dyDescent="0.25">
      <c r="B36" s="19"/>
      <c r="C36" s="20"/>
      <c r="D36" s="17"/>
    </row>
    <row r="37" spans="2:4" x14ac:dyDescent="0.25">
      <c r="B37" s="19"/>
      <c r="C37" s="20"/>
      <c r="D37" s="17"/>
    </row>
    <row r="38" spans="2:4" x14ac:dyDescent="0.25">
      <c r="B38" s="19"/>
      <c r="C38" s="20"/>
      <c r="D38" s="17"/>
    </row>
    <row r="39" spans="2:4" x14ac:dyDescent="0.25">
      <c r="B39" s="19"/>
      <c r="C39" s="20"/>
      <c r="D39" s="17"/>
    </row>
    <row r="40" spans="2:4" x14ac:dyDescent="0.25">
      <c r="B40" s="19"/>
      <c r="C40" s="20"/>
      <c r="D40" s="17"/>
    </row>
    <row r="41" spans="2:4" x14ac:dyDescent="0.25">
      <c r="B41" s="19"/>
      <c r="C41" s="20"/>
      <c r="D41" s="17"/>
    </row>
    <row r="42" spans="2:4" x14ac:dyDescent="0.25">
      <c r="B42" s="19"/>
      <c r="C42" s="20"/>
      <c r="D42" s="17"/>
    </row>
    <row r="43" spans="2:4" x14ac:dyDescent="0.25">
      <c r="B43" s="19"/>
      <c r="C43" s="20"/>
      <c r="D43" s="17"/>
    </row>
    <row r="44" spans="2:4" x14ac:dyDescent="0.25">
      <c r="B44" s="19"/>
      <c r="C44" s="20"/>
      <c r="D44" s="17"/>
    </row>
    <row r="45" spans="2:4" x14ac:dyDescent="0.25">
      <c r="B45" s="19"/>
      <c r="C45" s="20"/>
      <c r="D45" s="17"/>
    </row>
    <row r="46" spans="2:4" x14ac:dyDescent="0.25">
      <c r="B46" s="19"/>
      <c r="C46" s="20"/>
      <c r="D46" s="17"/>
    </row>
    <row r="47" spans="2:4" x14ac:dyDescent="0.25">
      <c r="B47" s="19"/>
      <c r="C47" s="20"/>
      <c r="D47" s="17"/>
    </row>
    <row r="48" spans="2:4" x14ac:dyDescent="0.25">
      <c r="B48" s="19"/>
      <c r="C48" s="20"/>
      <c r="D48" s="17"/>
    </row>
    <row r="49" spans="2:4" x14ac:dyDescent="0.25">
      <c r="B49" s="19"/>
      <c r="C49" s="20"/>
      <c r="D49" s="17"/>
    </row>
    <row r="50" spans="2:4" x14ac:dyDescent="0.25">
      <c r="B50" s="19"/>
      <c r="C50" s="20"/>
      <c r="D50" s="17"/>
    </row>
    <row r="51" spans="2:4" x14ac:dyDescent="0.25">
      <c r="B51" s="19"/>
      <c r="C51" s="20"/>
      <c r="D51" s="17"/>
    </row>
    <row r="52" spans="2:4" x14ac:dyDescent="0.25">
      <c r="B52" s="19"/>
      <c r="C52" s="20"/>
      <c r="D52" s="17"/>
    </row>
    <row r="53" spans="2:4" x14ac:dyDescent="0.25">
      <c r="B53" s="19"/>
      <c r="C53" s="20"/>
      <c r="D53" s="17"/>
    </row>
    <row r="54" spans="2:4" x14ac:dyDescent="0.25">
      <c r="B54" s="19"/>
      <c r="C54" s="20"/>
      <c r="D54" s="17"/>
    </row>
    <row r="55" spans="2:4" x14ac:dyDescent="0.25">
      <c r="B55" s="19"/>
      <c r="C55" s="20"/>
      <c r="D55" s="17"/>
    </row>
    <row r="56" spans="2:4" x14ac:dyDescent="0.25">
      <c r="B56" s="19"/>
      <c r="C56" s="20"/>
      <c r="D56" s="17"/>
    </row>
    <row r="57" spans="2:4" x14ac:dyDescent="0.25">
      <c r="B57" s="19"/>
      <c r="C57" s="20"/>
      <c r="D57" s="17"/>
    </row>
    <row r="58" spans="2:4" x14ac:dyDescent="0.25">
      <c r="B58" s="19"/>
      <c r="C58" s="20"/>
      <c r="D58" s="17"/>
    </row>
    <row r="59" spans="2:4" x14ac:dyDescent="0.25">
      <c r="B59" s="19"/>
      <c r="C59" s="20"/>
      <c r="D59" s="17"/>
    </row>
    <row r="60" spans="2:4" x14ac:dyDescent="0.25">
      <c r="B60" s="19"/>
      <c r="C60" s="20"/>
      <c r="D60" s="17"/>
    </row>
    <row r="61" spans="2:4" x14ac:dyDescent="0.25">
      <c r="B61" s="19"/>
      <c r="C61" s="20"/>
      <c r="D61" s="17"/>
    </row>
    <row r="62" spans="2:4" x14ac:dyDescent="0.25">
      <c r="B62" s="19"/>
      <c r="C62" s="20"/>
      <c r="D62" s="17"/>
    </row>
    <row r="63" spans="2:4" x14ac:dyDescent="0.25">
      <c r="B63" s="19"/>
      <c r="C63" s="20"/>
      <c r="D63" s="17"/>
    </row>
    <row r="64" spans="2:4" x14ac:dyDescent="0.25">
      <c r="B64" s="19"/>
      <c r="C64" s="20"/>
      <c r="D64" s="17"/>
    </row>
    <row r="65" spans="2:4" x14ac:dyDescent="0.25">
      <c r="B65" s="19"/>
      <c r="C65" s="20"/>
      <c r="D65" s="17"/>
    </row>
    <row r="66" spans="2:4" x14ac:dyDescent="0.25">
      <c r="B66" s="19"/>
      <c r="C66" s="20"/>
      <c r="D66" s="17"/>
    </row>
    <row r="67" spans="2:4" x14ac:dyDescent="0.25">
      <c r="B67" s="19"/>
      <c r="C67" s="20"/>
      <c r="D67" s="17"/>
    </row>
    <row r="68" spans="2:4" x14ac:dyDescent="0.25">
      <c r="B68" s="19"/>
      <c r="C68" s="20"/>
      <c r="D68" s="17"/>
    </row>
    <row r="69" spans="2:4" x14ac:dyDescent="0.25">
      <c r="B69" s="19"/>
      <c r="C69" s="20"/>
      <c r="D69" s="17"/>
    </row>
    <row r="70" spans="2:4" x14ac:dyDescent="0.25">
      <c r="B70" s="19"/>
      <c r="C70" s="20"/>
      <c r="D70" s="17"/>
    </row>
    <row r="71" spans="2:4" x14ac:dyDescent="0.25">
      <c r="B71" s="19"/>
      <c r="C71" s="20"/>
      <c r="D71" s="17"/>
    </row>
    <row r="72" spans="2:4" x14ac:dyDescent="0.25">
      <c r="B72" s="19"/>
      <c r="C72" s="20"/>
      <c r="D72" s="17"/>
    </row>
    <row r="73" spans="2:4" x14ac:dyDescent="0.25">
      <c r="B73" s="19"/>
      <c r="C73" s="20"/>
      <c r="D73" s="17"/>
    </row>
    <row r="74" spans="2:4" x14ac:dyDescent="0.25">
      <c r="B74" s="19"/>
      <c r="C74" s="20"/>
      <c r="D74" s="17"/>
    </row>
    <row r="75" spans="2:4" x14ac:dyDescent="0.25">
      <c r="B75" s="19"/>
      <c r="C75" s="20"/>
      <c r="D75" s="17"/>
    </row>
    <row r="76" spans="2:4" x14ac:dyDescent="0.25">
      <c r="B76" s="19"/>
      <c r="C76" s="20"/>
      <c r="D76" s="17"/>
    </row>
    <row r="77" spans="2:4" x14ac:dyDescent="0.25">
      <c r="B77" s="19"/>
      <c r="C77" s="20"/>
      <c r="D77" s="17"/>
    </row>
    <row r="78" spans="2:4" x14ac:dyDescent="0.25">
      <c r="B78" s="19"/>
      <c r="C78" s="20"/>
      <c r="D78" s="17"/>
    </row>
    <row r="79" spans="2:4" x14ac:dyDescent="0.25">
      <c r="B79" s="19"/>
      <c r="C79" s="20"/>
      <c r="D79" s="17"/>
    </row>
    <row r="80" spans="2:4" x14ac:dyDescent="0.25">
      <c r="B80" s="19"/>
      <c r="C80" s="20"/>
      <c r="D80" s="17"/>
    </row>
    <row r="81" spans="2:4" x14ac:dyDescent="0.25">
      <c r="B81" s="19"/>
      <c r="C81" s="20"/>
      <c r="D81" s="17"/>
    </row>
    <row r="82" spans="2:4" x14ac:dyDescent="0.25">
      <c r="B82" s="19"/>
      <c r="C82" s="20"/>
      <c r="D82" s="17"/>
    </row>
    <row r="83" spans="2:4" x14ac:dyDescent="0.25">
      <c r="B83" s="19"/>
      <c r="C83" s="20"/>
      <c r="D83" s="17"/>
    </row>
    <row r="84" spans="2:4" x14ac:dyDescent="0.25">
      <c r="B84" s="19"/>
      <c r="C84" s="20"/>
      <c r="D84" s="17"/>
    </row>
    <row r="85" spans="2:4" x14ac:dyDescent="0.25">
      <c r="B85" s="19"/>
      <c r="C85" s="20"/>
      <c r="D85" s="17"/>
    </row>
    <row r="86" spans="2:4" x14ac:dyDescent="0.25">
      <c r="B86" s="19"/>
      <c r="C86" s="20"/>
      <c r="D86" s="17"/>
    </row>
    <row r="87" spans="2:4" x14ac:dyDescent="0.25">
      <c r="B87" s="19"/>
      <c r="C87" s="20"/>
      <c r="D87" s="17"/>
    </row>
    <row r="88" spans="2:4" x14ac:dyDescent="0.25">
      <c r="B88" s="19"/>
      <c r="C88" s="20"/>
      <c r="D88" s="17"/>
    </row>
    <row r="89" spans="2:4" x14ac:dyDescent="0.25">
      <c r="B89" s="19"/>
      <c r="C89" s="20"/>
      <c r="D89" s="17"/>
    </row>
    <row r="90" spans="2:4" x14ac:dyDescent="0.25">
      <c r="B90" s="19"/>
      <c r="C90" s="20"/>
      <c r="D90" s="17"/>
    </row>
    <row r="91" spans="2:4" x14ac:dyDescent="0.25">
      <c r="B91" s="19"/>
      <c r="C91" s="20"/>
      <c r="D91" s="17"/>
    </row>
    <row r="92" spans="2:4" x14ac:dyDescent="0.25">
      <c r="B92" s="19"/>
      <c r="C92" s="20"/>
      <c r="D92" s="17"/>
    </row>
    <row r="93" spans="2:4" x14ac:dyDescent="0.25">
      <c r="B93" s="19"/>
      <c r="C93" s="20"/>
      <c r="D93" s="17"/>
    </row>
    <row r="94" spans="2:4" x14ac:dyDescent="0.25">
      <c r="B94" s="19"/>
      <c r="C94" s="20"/>
      <c r="D94" s="17"/>
    </row>
    <row r="95" spans="2:4" x14ac:dyDescent="0.25">
      <c r="B95" s="19"/>
      <c r="C95" s="20"/>
      <c r="D95" s="17"/>
    </row>
    <row r="96" spans="2:4" x14ac:dyDescent="0.25">
      <c r="B96" s="19"/>
      <c r="C96" s="20"/>
      <c r="D96" s="17"/>
    </row>
    <row r="97" spans="2:4" x14ac:dyDescent="0.25">
      <c r="B97" s="19"/>
      <c r="C97" s="20"/>
      <c r="D97" s="17"/>
    </row>
    <row r="98" spans="2:4" x14ac:dyDescent="0.25">
      <c r="B98" s="19"/>
      <c r="C98" s="20"/>
      <c r="D98" s="17"/>
    </row>
    <row r="99" spans="2:4" x14ac:dyDescent="0.25">
      <c r="B99" s="19"/>
      <c r="C99" s="20"/>
      <c r="D99" s="17"/>
    </row>
    <row r="100" spans="2:4" x14ac:dyDescent="0.25">
      <c r="B100" s="19"/>
      <c r="C100" s="20"/>
      <c r="D100" s="17"/>
    </row>
    <row r="101" spans="2:4" x14ac:dyDescent="0.25">
      <c r="B101" s="19"/>
      <c r="C101" s="20"/>
      <c r="D101" s="17"/>
    </row>
    <row r="102" spans="2:4" x14ac:dyDescent="0.25">
      <c r="B102" s="19"/>
      <c r="C102" s="20"/>
      <c r="D102" s="17"/>
    </row>
    <row r="103" spans="2:4" x14ac:dyDescent="0.25">
      <c r="B103" s="19"/>
      <c r="C103" s="20"/>
      <c r="D103" s="17"/>
    </row>
    <row r="104" spans="2:4" x14ac:dyDescent="0.25">
      <c r="B104" s="19"/>
      <c r="C104" s="20"/>
      <c r="D104" s="17"/>
    </row>
    <row r="105" spans="2:4" x14ac:dyDescent="0.25">
      <c r="B105" s="19"/>
      <c r="C105" s="20"/>
      <c r="D105" s="17"/>
    </row>
    <row r="106" spans="2:4" x14ac:dyDescent="0.25">
      <c r="B106" s="19"/>
      <c r="C106" s="20"/>
      <c r="D106" s="17"/>
    </row>
  </sheetData>
  <sheetProtection sheet="1" objects="1" scenarios="1"/>
  <mergeCells count="1">
    <mergeCell ref="B2:D2"/>
  </mergeCells>
  <conditionalFormatting sqref="B21:B106 C4:D106">
    <cfRule type="cellIs" dxfId="75" priority="2" operator="less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C4" calculatedColumn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8"/>
  <dimension ref="B2:N25"/>
  <sheetViews>
    <sheetView showGridLines="0" showRowColHeaders="0" workbookViewId="0">
      <pane xSplit="14" ySplit="26" topLeftCell="O27" activePane="bottomRight" state="frozen"/>
      <selection pane="topRight" activeCell="O1" sqref="O1"/>
      <selection pane="bottomLeft" activeCell="A27" sqref="A27"/>
      <selection pane="bottomRight" activeCell="E6" sqref="E6"/>
    </sheetView>
  </sheetViews>
  <sheetFormatPr defaultRowHeight="15" x14ac:dyDescent="0.25"/>
  <cols>
    <col min="1" max="1" width="4.42578125" customWidth="1"/>
    <col min="2" max="2" width="43.140625" customWidth="1"/>
    <col min="3" max="14" width="12.28515625" customWidth="1"/>
    <col min="15" max="15" width="27.140625" customWidth="1"/>
  </cols>
  <sheetData>
    <row r="2" spans="2:14" ht="23.25" x14ac:dyDescent="0.25">
      <c r="B2" s="133" t="s">
        <v>40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2:14" x14ac:dyDescent="0.25">
      <c r="B3" s="108" t="s">
        <v>0</v>
      </c>
      <c r="C3" s="109" t="s">
        <v>15</v>
      </c>
      <c r="D3" s="109" t="s">
        <v>16</v>
      </c>
      <c r="E3" s="109" t="s">
        <v>17</v>
      </c>
      <c r="F3" s="109" t="s">
        <v>18</v>
      </c>
      <c r="G3" s="109" t="s">
        <v>19</v>
      </c>
      <c r="H3" s="109" t="s">
        <v>20</v>
      </c>
      <c r="I3" s="109" t="s">
        <v>21</v>
      </c>
      <c r="J3" s="109" t="s">
        <v>22</v>
      </c>
      <c r="K3" s="109" t="s">
        <v>23</v>
      </c>
      <c r="L3" s="109" t="s">
        <v>24</v>
      </c>
      <c r="M3" s="109" t="s">
        <v>25</v>
      </c>
      <c r="N3" s="109" t="s">
        <v>26</v>
      </c>
    </row>
    <row r="4" spans="2:14" x14ac:dyDescent="0.25">
      <c r="B4" s="110" t="str">
        <f>quadro_de_func[[#This Row],[NOME]]</f>
        <v>Amanda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pans="2:14" x14ac:dyDescent="0.25">
      <c r="B5" s="110" t="str">
        <f>quadro_de_func[[#This Row],[NOME]]</f>
        <v>Bruna</v>
      </c>
      <c r="C5" s="42"/>
      <c r="D5" s="42">
        <v>6.8458333333333341</v>
      </c>
      <c r="E5" s="42">
        <v>8.5187499999999989</v>
      </c>
      <c r="F5" s="42"/>
      <c r="G5" s="42"/>
      <c r="H5" s="42"/>
      <c r="I5" s="42"/>
      <c r="J5" s="42"/>
      <c r="K5" s="42"/>
      <c r="L5" s="42"/>
      <c r="M5" s="42"/>
      <c r="N5" s="42"/>
    </row>
    <row r="6" spans="2:14" x14ac:dyDescent="0.25">
      <c r="B6" s="110" t="str">
        <f>quadro_de_func[[#This Row],[NOME]]</f>
        <v>Daiani</v>
      </c>
      <c r="C6" s="42">
        <v>7.55</v>
      </c>
      <c r="D6" s="42">
        <v>7.1159722222222221</v>
      </c>
      <c r="E6" s="42">
        <v>0.41666666666666669</v>
      </c>
      <c r="F6" s="42"/>
      <c r="G6" s="42"/>
      <c r="H6" s="42"/>
      <c r="I6" s="42"/>
      <c r="J6" s="42"/>
      <c r="K6" s="42"/>
      <c r="L6" s="42"/>
      <c r="M6" s="42"/>
      <c r="N6" s="42"/>
    </row>
    <row r="7" spans="2:14" x14ac:dyDescent="0.25">
      <c r="B7" s="110" t="str">
        <f>quadro_de_func[[#This Row],[NOME]]</f>
        <v>Érica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2:14" x14ac:dyDescent="0.25">
      <c r="B8" s="110" t="str">
        <f>quadro_de_func[[#This Row],[NOME]]</f>
        <v>func 5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2:14" x14ac:dyDescent="0.25">
      <c r="B9" s="110" t="str">
        <f>quadro_de_func[[#This Row],[NOME]]</f>
        <v>func 6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2:14" x14ac:dyDescent="0.25">
      <c r="B10" s="110" t="str">
        <f>quadro_de_func[[#This Row],[NOME]]</f>
        <v>func 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2:14" x14ac:dyDescent="0.25">
      <c r="B11" s="110" t="str">
        <f>quadro_de_func[[#This Row],[NOME]]</f>
        <v>func 8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spans="2:14" x14ac:dyDescent="0.25">
      <c r="B12" s="110" t="str">
        <f>quadro_de_func[[#This Row],[NOME]]</f>
        <v>func 9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2:14" x14ac:dyDescent="0.25">
      <c r="B13" s="110" t="str">
        <f>quadro_de_func[[#This Row],[NOME]]</f>
        <v>func 10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4" x14ac:dyDescent="0.25">
      <c r="B14" s="110" t="str">
        <f>quadro_de_func[[#This Row],[NOME]]</f>
        <v>func 11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2:14" x14ac:dyDescent="0.25">
      <c r="B15" s="110" t="str">
        <f>quadro_de_func[[#This Row],[NOME]]</f>
        <v>func 12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2:14" x14ac:dyDescent="0.25">
      <c r="B16" s="110" t="str">
        <f>quadro_de_func[[#This Row],[NOME]]</f>
        <v>func 13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2:14" x14ac:dyDescent="0.25">
      <c r="B17" s="110" t="str">
        <f>quadro_de_func[[#This Row],[NOME]]</f>
        <v>func 14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2:14" x14ac:dyDescent="0.25">
      <c r="B18" s="110" t="str">
        <f>quadro_de_func[[#This Row],[NOME]]</f>
        <v>func 15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</row>
    <row r="19" spans="2:14" x14ac:dyDescent="0.25">
      <c r="B19" s="110" t="str">
        <f>quadro_de_func[[#This Row],[NOME]]</f>
        <v>func 16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2:14" x14ac:dyDescent="0.25">
      <c r="B20" s="110" t="str">
        <f>quadro_de_func[[#This Row],[NOME]]</f>
        <v>func 17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</row>
    <row r="25" spans="2:14" x14ac:dyDescent="0.25">
      <c r="E25" s="40"/>
    </row>
  </sheetData>
  <sheetProtection sheet="1" objects="1" scenarios="1" selectLockedCells="1"/>
  <mergeCells count="1">
    <mergeCell ref="B2:N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4"/>
  <dimension ref="B1:Z55"/>
  <sheetViews>
    <sheetView showGridLines="0" showRowColHeaders="0" workbookViewId="0">
      <pane xSplit="14" ySplit="24" topLeftCell="O25" activePane="bottomRight" state="frozen"/>
      <selection pane="topRight" activeCell="O1" sqref="O1"/>
      <selection pane="bottomLeft" activeCell="A25" sqref="A25"/>
      <selection pane="bottomRight" activeCell="O25" sqref="O25"/>
    </sheetView>
  </sheetViews>
  <sheetFormatPr defaultRowHeight="15" x14ac:dyDescent="0.25"/>
  <cols>
    <col min="1" max="1" width="3.85546875" style="14" customWidth="1"/>
    <col min="2" max="2" width="36.5703125" style="14" bestFit="1" customWidth="1"/>
    <col min="3" max="3" width="11.7109375" style="28" customWidth="1"/>
    <col min="4" max="14" width="11.7109375" style="14" customWidth="1"/>
    <col min="15" max="15" width="26.28515625" style="14" customWidth="1"/>
    <col min="16" max="16" width="14.140625" style="14" bestFit="1" customWidth="1"/>
    <col min="17" max="19" width="10.7109375" style="14" customWidth="1"/>
    <col min="20" max="20" width="9.140625" style="14" bestFit="1" customWidth="1"/>
    <col min="21" max="38" width="10.7109375" style="14" customWidth="1"/>
    <col min="39" max="16384" width="9.140625" style="14"/>
  </cols>
  <sheetData>
    <row r="1" spans="2:26" s="27" customFormat="1" x14ac:dyDescent="0.25"/>
    <row r="2" spans="2:26" s="38" customFormat="1" ht="25.5" customHeight="1" x14ac:dyDescent="0.25">
      <c r="B2" s="134" t="s">
        <v>39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2:26" ht="18" customHeight="1" x14ac:dyDescent="0.25">
      <c r="B3" s="41" t="s">
        <v>0</v>
      </c>
      <c r="C3" s="45" t="s">
        <v>15</v>
      </c>
      <c r="D3" s="45" t="s">
        <v>16</v>
      </c>
      <c r="E3" s="45" t="s">
        <v>17</v>
      </c>
      <c r="F3" s="45" t="s">
        <v>18</v>
      </c>
      <c r="G3" s="45" t="s">
        <v>19</v>
      </c>
      <c r="H3" s="45" t="s">
        <v>20</v>
      </c>
      <c r="I3" s="45" t="s">
        <v>21</v>
      </c>
      <c r="J3" s="45" t="s">
        <v>22</v>
      </c>
      <c r="K3" s="45" t="s">
        <v>23</v>
      </c>
      <c r="L3" s="45" t="s">
        <v>24</v>
      </c>
      <c r="M3" s="45" t="s">
        <v>25</v>
      </c>
      <c r="N3" s="45" t="s">
        <v>26</v>
      </c>
    </row>
    <row r="4" spans="2:26" ht="18" customHeight="1" x14ac:dyDescent="0.25">
      <c r="B4" s="15" t="str">
        <f>quadro_de_func[[#This Row],[NOME]]</f>
        <v>Amanda</v>
      </c>
      <c r="C4" s="46">
        <f>IF(VLOOKUP($B4,quadro_de_func[#All],3,FALSE)="MENOR APRENDIZ",VLOOKUP($B4,carga_horaria[],2,FALSE)*(HLOOKUP(C$3,'DIA UTEIS'!$B$4:$M$6,3,FALSE)+COUNTA('DIAS FRACIONADOS'!$B$6:$B$12)),IF(VLOOKUP($B4,quadro_de_func[#All],3,FALSE)="ESTAGIÁRIO",((VLOOKUP($B4,carga_horaria[],2,FALSE)*HLOOKUP(C$3,'DIA UTEIS'!$B$4:$M$6,3,FALSE))-(HLOOKUP($B4,'EST. PROVAS'!$B$3:$Z$4,2,FALSE)*(VLOOKUP($B4,carga_horaria[],2,FALSE)/2)))+HLOOKUP(HR_A_FAZER[[#Headers],[JANEIRO]],'DIAS FRACIONADOS'!$B$3:$Y$4,2,FALSE),(VLOOKUP($B4,carga_horaria[],2,FALSE)*(HLOOKUP(C$3,'DIA UTEIS'!$B$4:$M$6,3,FALSE)))+HLOOKUP(HR_A_FAZER[[#Headers],[JANEIRO]],'DIAS FRACIONADOS'!$B$3:$Y$4,2,FALSE)))</f>
        <v>7.8645833333333339</v>
      </c>
      <c r="D4" s="46">
        <f>IF(VLOOKUP($B4,quadro_de_func[#All],3,FALSE)="MENOR APRENDIZ",VLOOKUP($B4,carga_horaria[],2,FALSE)*(HLOOKUP(D$3,'DIA UTEIS'!$B$4:$M$6,3,FALSE)+COUNTA('DIAS FRACIONADOS'!$B$6:$B$12)),IF(VLOOKUP($B4,quadro_de_func[#All],3,FALSE)="ESTAGIÁRIO",((VLOOKUP($B4,carga_horaria[],2,FALSE)*HLOOKUP(D$3,'DIA UTEIS'!$B$4:$M$6,3,FALSE))-(HLOOKUP($B4,'EST. PROVAS'!$B$3:$Z$4,2,FALSE)*(VLOOKUP($B4,carga_horaria[],2,FALSE)/2)))+HLOOKUP(HR_A_FAZER[[#Headers],[FEVEREIRO]],'DIAS FRACIONADOS'!$B$3:$Y$4,2,FALSE),(VLOOKUP($B4,carga_horaria[],2,FALSE)*(HLOOKUP(D$3,'DIA UTEIS'!$B$4:$M$6,3,FALSE)))+HLOOKUP(HR_A_FAZER[[#Headers],[FEVEREIRO]],'DIAS FRACIONADOS'!$B$3:$Y$4,2,FALSE)))</f>
        <v>7.2916666666666679</v>
      </c>
      <c r="E4" s="46">
        <f>IF(VLOOKUP($B4,quadro_de_func[#All],3,FALSE)="MENOR APRENDIZ",VLOOKUP($B4,carga_horaria[],2,FALSE)*(HLOOKUP(E$3,'DIA UTEIS'!$B$4:$M$6,3,FALSE)+COUNTA('DIAS FRACIONADOS'!$B$6:$B$12)),IF(VLOOKUP($B4,quadro_de_func[#All],3,FALSE)="ESTAGIÁRIO",((VLOOKUP($B4,carga_horaria[],2,FALSE)*HLOOKUP(E$3,'DIA UTEIS'!$B$4:$M$6,3,FALSE))-(HLOOKUP($B4,'EST. PROVAS'!$B$3:$Z$4,2,FALSE)*(VLOOKUP($B4,carga_horaria[],2,FALSE)/2)))+HLOOKUP(HR_A_FAZER[[#Headers],[MARÇO]],'DIAS FRACIONADOS'!$B$3:$Y$4,2,FALSE),(VLOOKUP($B4,carga_horaria[],2,FALSE)*(HLOOKUP(E$3,'DIA UTEIS'!$B$4:$M$6,3,FALSE)))+HLOOKUP(HR_A_FAZER[[#Headers],[MARÇO]],'DIAS FRACIONADOS'!$B$3:$Y$4,2,FALSE)))</f>
        <v>6.8125000000000009</v>
      </c>
      <c r="F4" s="46">
        <f>IF(VLOOKUP($B4,quadro_de_func[#All],3,FALSE)="MENOR APRENDIZ",VLOOKUP($B4,carga_horaria[],2,FALSE)*(HLOOKUP(F$3,'DIA UTEIS'!$B$4:$M$6,3,FALSE)+COUNTA('DIAS FRACIONADOS'!$B$6:$B$12)),IF(VLOOKUP($B4,quadro_de_func[#All],3,FALSE)="ESTAGIÁRIO",((VLOOKUP($B4,carga_horaria[],2,FALSE)*HLOOKUP(F$3,'DIA UTEIS'!$B$4:$M$6,3,FALSE))-(HLOOKUP($B4,'EST. PROVAS'!$B$3:$Z$4,2,FALSE)*(VLOOKUP($B4,carga_horaria[],2,FALSE)/2)))+HLOOKUP(HR_A_FAZER[[#Headers],[ABRIL]],'DIAS FRACIONADOS'!$B$3:$Y$4,2,FALSE),(VLOOKUP($B4,carga_horaria[],2,FALSE)*(HLOOKUP(F$3,'DIA UTEIS'!$B$4:$M$6,3,FALSE)))+HLOOKUP(HR_A_FAZER[[#Headers],[ABRIL]],'DIAS FRACIONADOS'!$B$3:$Y$4,2,FALSE)))</f>
        <v>7.6562500000000009</v>
      </c>
      <c r="G4" s="46">
        <f>IF(VLOOKUP($B4,quadro_de_func[#All],3,FALSE)="MENOR APRENDIZ",VLOOKUP($B4,carga_horaria[],2,FALSE)*(HLOOKUP(G$3,'DIA UTEIS'!$B$4:$M$6,3,FALSE)+COUNTA('DIAS FRACIONADOS'!$B$6:$B$12)),IF(VLOOKUP($B4,quadro_de_func[#All],3,FALSE)="ESTAGIÁRIO",((VLOOKUP($B4,carga_horaria[],2,FALSE)*HLOOKUP(G$3,'DIA UTEIS'!$B$4:$M$6,3,FALSE))-(HLOOKUP($B4,'EST. PROVAS'!$B$3:$Z$4,2,FALSE)*(VLOOKUP($B4,carga_horaria[],2,FALSE)/2)))+HLOOKUP(HR_A_FAZER[[#Headers],[MAIO]],'DIAS FRACIONADOS'!$B$3:$Y$4,2,FALSE),(VLOOKUP($B4,carga_horaria[],2,FALSE)*(HLOOKUP(G$3,'DIA UTEIS'!$B$4:$M$6,3,FALSE)))+HLOOKUP(HR_A_FAZER[[#Headers],[MAIO]],'DIAS FRACIONADOS'!$B$3:$Y$4,2,FALSE)))</f>
        <v>8.0208333333333339</v>
      </c>
      <c r="H4" s="46">
        <f>IF(VLOOKUP($B4,quadro_de_func[#All],3,FALSE)="MENOR APRENDIZ",VLOOKUP($B4,carga_horaria[],2,FALSE)*(HLOOKUP(H$3,'DIA UTEIS'!$B$4:$M$6,3,FALSE)+COUNTA('DIAS FRACIONADOS'!$B$6:$B$12)),IF(VLOOKUP($B4,quadro_de_func[#All],3,FALSE)="ESTAGIÁRIO",((VLOOKUP($B4,carga_horaria[],2,FALSE)*HLOOKUP(H$3,'DIA UTEIS'!$B$4:$M$6,3,FALSE))-(HLOOKUP($B4,'EST. PROVAS'!$B$3:$Z$4,2,FALSE)*(VLOOKUP($B4,carga_horaria[],2,FALSE)/2)))+HLOOKUP(HR_A_FAZER[[#Headers],[JUNHO]],'DIAS FRACIONADOS'!$B$3:$Y$4,2,FALSE),(VLOOKUP($B4,carga_horaria[],2,FALSE)*(HLOOKUP(H$3,'DIA UTEIS'!$B$4:$M$6,3,FALSE)))+HLOOKUP(HR_A_FAZER[[#Headers],[JUNHO]],'DIAS FRACIONADOS'!$B$3:$Y$4,2,FALSE)))</f>
        <v>6.9270833333333339</v>
      </c>
      <c r="I4" s="46">
        <f>IF(VLOOKUP($B4,quadro_de_func[#All],3,FALSE)="MENOR APRENDIZ",VLOOKUP($B4,carga_horaria[],2,FALSE)*(HLOOKUP(I$3,'DIA UTEIS'!$B$4:$M$6,3,FALSE)+COUNTA('DIAS FRACIONADOS'!$B$6:$B$12)),IF(VLOOKUP($B4,quadro_de_func[#All],3,FALSE)="ESTAGIÁRIO",((VLOOKUP($B4,carga_horaria[],2,FALSE)*HLOOKUP(I$3,'DIA UTEIS'!$B$4:$M$6,3,FALSE))-(HLOOKUP($B4,'EST. PROVAS'!$B$3:$Z$4,2,FALSE)*(VLOOKUP($B4,carga_horaria[],2,FALSE)/2)))+HLOOKUP(HR_A_FAZER[[#Headers],[JULHO]],'DIAS FRACIONADOS'!$B$3:$Y$4,2,FALSE),(VLOOKUP($B4,carga_horaria[],2,FALSE)*(HLOOKUP(I$3,'DIA UTEIS'!$B$4:$M$6,3,FALSE)))+HLOOKUP(HR_A_FAZER[[#Headers],[JULHO]],'DIAS FRACIONADOS'!$B$3:$Y$4,2,FALSE)))</f>
        <v>8.0208333333333339</v>
      </c>
      <c r="J4" s="46">
        <f>IF(VLOOKUP($B4,quadro_de_func[#All],3,FALSE)="MENOR APRENDIZ",VLOOKUP($B4,carga_horaria[],2,FALSE)*(HLOOKUP(J$3,'DIA UTEIS'!$B$4:$M$6,3,FALSE)+COUNTA('DIAS FRACIONADOS'!$B$6:$B$12)),IF(VLOOKUP($B4,quadro_de_func[#All],3,FALSE)="ESTAGIÁRIO",((VLOOKUP($B4,carga_horaria[],2,FALSE)*HLOOKUP(J$3,'DIA UTEIS'!$B$4:$M$6,3,FALSE))-(HLOOKUP($B4,'EST. PROVAS'!$B$3:$Z$4,2,FALSE)*(VLOOKUP($B4,carga_horaria[],2,FALSE)/2)))+HLOOKUP(HR_A_FAZER[[#Headers],[AGOSTO]],'DIAS FRACIONADOS'!$B$3:$Y$4,2,FALSE),(VLOOKUP($B4,carga_horaria[],2,FALSE)*(HLOOKUP(J$3,'DIA UTEIS'!$B$4:$M$6,3,FALSE)))+HLOOKUP(HR_A_FAZER[[#Headers],[AGOSTO]],'DIAS FRACIONADOS'!$B$3:$Y$4,2,FALSE)))</f>
        <v>8.0208333333333339</v>
      </c>
      <c r="K4" s="46">
        <f>IF(VLOOKUP($B4,quadro_de_func[#All],3,FALSE)="MENOR APRENDIZ",VLOOKUP($B4,carga_horaria[],2,FALSE)*(HLOOKUP(K$3,'DIA UTEIS'!$B$4:$M$6,3,FALSE)+COUNTA('DIAS FRACIONADOS'!$B$6:$B$12)),IF(VLOOKUP($B4,quadro_de_func[#All],3,FALSE)="ESTAGIÁRIO",((VLOOKUP($B4,carga_horaria[],2,FALSE)*HLOOKUP(K$3,'DIA UTEIS'!$B$4:$M$6,3,FALSE))-(HLOOKUP($B4,'EST. PROVAS'!$B$3:$Z$4,2,FALSE)*(VLOOKUP($B4,carga_horaria[],2,FALSE)/2)))+HLOOKUP(HR_A_FAZER[[#Headers],[SETEMBRO]],'DIAS FRACIONADOS'!$B$3:$Y$4,2,FALSE),(VLOOKUP($B4,carga_horaria[],2,FALSE)*(HLOOKUP(K$3,'DIA UTEIS'!$B$4:$M$6,3,FALSE)))+HLOOKUP(HR_A_FAZER[[#Headers],[SETEMBRO]],'DIAS FRACIONADOS'!$B$3:$Y$4,2,FALSE)))</f>
        <v>7.2916666666666679</v>
      </c>
      <c r="L4" s="46">
        <f>IF(VLOOKUP($B4,quadro_de_func[#All],3,FALSE)="MENOR APRENDIZ",VLOOKUP($B4,carga_horaria[],2,FALSE)*(HLOOKUP(L$3,'DIA UTEIS'!$B$4:$M$6,3,FALSE)+COUNTA('DIAS FRACIONADOS'!$B$6:$B$12)),IF(VLOOKUP($B4,quadro_de_func[#All],3,FALSE)="ESTAGIÁRIO",((VLOOKUP($B4,carga_horaria[],2,FALSE)*HLOOKUP(L$3,'DIA UTEIS'!$B$4:$M$6,3,FALSE))-(HLOOKUP($B4,'EST. PROVAS'!$B$3:$Z$4,2,FALSE)*(VLOOKUP($B4,carga_horaria[],2,FALSE)/2)))+HLOOKUP(HR_A_FAZER[[#Headers],[OUTUBRO]],'DIAS FRACIONADOS'!$B$3:$Y$4,2,FALSE),(VLOOKUP($B4,carga_horaria[],2,FALSE)*(HLOOKUP(L$3,'DIA UTEIS'!$B$4:$M$6,3,FALSE)))+HLOOKUP(HR_A_FAZER[[#Headers],[OUTUBRO]],'DIAS FRACIONADOS'!$B$3:$Y$4,2,FALSE)))</f>
        <v>8.3854166666666679</v>
      </c>
      <c r="M4" s="46">
        <f>IF(VLOOKUP($B4,quadro_de_func[#All],3,FALSE)="MENOR APRENDIZ",VLOOKUP($B4,carga_horaria[],2,FALSE)*(HLOOKUP(M$3,'DIA UTEIS'!$B$4:$M$6,3,FALSE)+COUNTA('DIAS FRACIONADOS'!$B$6:$B$12)),IF(VLOOKUP($B4,quadro_de_func[#All],3,FALSE)="ESTAGIÁRIO",((VLOOKUP($B4,carga_horaria[],2,FALSE)*HLOOKUP(M$3,'DIA UTEIS'!$B$4:$M$6,3,FALSE))-(HLOOKUP($B4,'EST. PROVAS'!$B$3:$Z$4,2,FALSE)*(VLOOKUP($B4,carga_horaria[],2,FALSE)/2)))+HLOOKUP(HR_A_FAZER[[#Headers],[NOVEMBRO]],'DIAS FRACIONADOS'!$B$3:$Y$4,2,FALSE),(VLOOKUP($B4,carga_horaria[],2,FALSE)*(HLOOKUP(M$3,'DIA UTEIS'!$B$4:$M$6,3,FALSE)))+HLOOKUP(HR_A_FAZER[[#Headers],[NOVEMBRO]],'DIAS FRACIONADOS'!$B$3:$Y$4,2,FALSE)))</f>
        <v>7.2916666666666679</v>
      </c>
      <c r="N4" s="46">
        <f>IF(VLOOKUP($B4,quadro_de_func[#All],3,FALSE)="MENOR APRENDIZ",VLOOKUP($B4,carga_horaria[],2,FALSE)*(HLOOKUP(N$3,'DIA UTEIS'!$B$4:$M$6,3,FALSE)+COUNTA('DIAS FRACIONADOS'!$B$6:$B$12)),IF(VLOOKUP($B4,quadro_de_func[#All],3,FALSE)="ESTAGIÁRIO",((VLOOKUP($B4,carga_horaria[],2,FALSE)*HLOOKUP(N$3,'DIA UTEIS'!$B$4:$M$6,3,FALSE))-(HLOOKUP($B4,'EST. PROVAS'!$B$3:$Z$4,2,FALSE)*(VLOOKUP($B4,carga_horaria[],2,FALSE)/2)))+HLOOKUP(HR_A_FAZER[[#Headers],[DEZEMBRO]],'DIAS FRACIONADOS'!$B$3:$Y$4,2,FALSE),(VLOOKUP($B4,carga_horaria[],2,FALSE)*(HLOOKUP(N$3,'DIA UTEIS'!$B$4:$M$6,3,FALSE)))+HLOOKUP(HR_A_FAZER[[#Headers],[DEZEMBRO]],'DIAS FRACIONADOS'!$B$3:$Y$4,2,FALSE)))</f>
        <v>7.6562500000000009</v>
      </c>
    </row>
    <row r="5" spans="2:26" ht="18" customHeight="1" x14ac:dyDescent="0.25">
      <c r="B5" s="15" t="str">
        <f>quadro_de_func[[#This Row],[NOME]]</f>
        <v>Bruna</v>
      </c>
      <c r="C5" s="46">
        <f>IF(VLOOKUP($B5,quadro_de_func[#All],3,FALSE)="MENOR APRENDIZ",VLOOKUP($B5,carga_horaria[],2,FALSE)*(HLOOKUP(C$3,'DIA UTEIS'!$B$4:$M$6,3,FALSE)+COUNTA('DIAS FRACIONADOS'!$B$6:$B$12)),IF(VLOOKUP($B5,quadro_de_func[#All],3,FALSE)="ESTAGIÁRIO",((VLOOKUP($B5,carga_horaria[],2,FALSE)*HLOOKUP(C$3,'DIA UTEIS'!$B$4:$M$6,3,FALSE))-(HLOOKUP($B5,'EST. PROVAS'!$B$3:$Z$4,2,FALSE)*(VLOOKUP($B5,carga_horaria[],2,FALSE)/2)))+HLOOKUP(HR_A_FAZER[[#Headers],[JANEIRO]],'DIAS FRACIONADOS'!$B$3:$Y$4,2,FALSE),(VLOOKUP($B5,carga_horaria[],2,FALSE)*(HLOOKUP(C$3,'DIA UTEIS'!$B$4:$M$6,3,FALSE)))+HLOOKUP(HR_A_FAZER[[#Headers],[JANEIRO]],'DIAS FRACIONADOS'!$B$3:$Y$4,2,FALSE)))</f>
        <v>8.0833333333333357</v>
      </c>
      <c r="D5" s="46">
        <f>IF(VLOOKUP($B5,quadro_de_func[#All],3,FALSE)="MENOR APRENDIZ",VLOOKUP($B5,carga_horaria[],2,FALSE)*(HLOOKUP(D$3,'DIA UTEIS'!$B$4:$M$6,3,FALSE)+COUNTA('DIAS FRACIONADOS'!$B$6:$B$12)),IF(VLOOKUP($B5,quadro_de_func[#All],3,FALSE)="ESTAGIÁRIO",((VLOOKUP($B5,carga_horaria[],2,FALSE)*HLOOKUP(D$3,'DIA UTEIS'!$B$4:$M$6,3,FALSE))-(HLOOKUP($B5,'EST. PROVAS'!$B$3:$Z$4,2,FALSE)*(VLOOKUP($B5,carga_horaria[],2,FALSE)/2)))+HLOOKUP(HR_A_FAZER[[#Headers],[FEVEREIRO]],'DIAS FRACIONADOS'!$B$3:$Y$4,2,FALSE),(VLOOKUP($B5,carga_horaria[],2,FALSE)*(HLOOKUP(D$3,'DIA UTEIS'!$B$4:$M$6,3,FALSE)))+HLOOKUP(HR_A_FAZER[[#Headers],[FEVEREIRO]],'DIAS FRACIONADOS'!$B$3:$Y$4,2,FALSE)))</f>
        <v>7.5000000000000018</v>
      </c>
      <c r="E5" s="46">
        <f>IF(VLOOKUP($B5,quadro_de_func[#All],3,FALSE)="MENOR APRENDIZ",VLOOKUP($B5,carga_horaria[],2,FALSE)*(HLOOKUP(E$3,'DIA UTEIS'!$B$4:$M$6,3,FALSE)+COUNTA('DIAS FRACIONADOS'!$B$6:$B$12)),IF(VLOOKUP($B5,quadro_de_func[#All],3,FALSE)="ESTAGIÁRIO",((VLOOKUP($B5,carga_horaria[],2,FALSE)*HLOOKUP(E$3,'DIA UTEIS'!$B$4:$M$6,3,FALSE))-(HLOOKUP($B5,'EST. PROVAS'!$B$3:$Z$4,2,FALSE)*(VLOOKUP($B5,carga_horaria[],2,FALSE)/2)))+HLOOKUP(HR_A_FAZER[[#Headers],[MARÇO]],'DIAS FRACIONADOS'!$B$3:$Y$4,2,FALSE),(VLOOKUP($B5,carga_horaria[],2,FALSE)*(HLOOKUP(E$3,'DIA UTEIS'!$B$4:$M$6,3,FALSE)))+HLOOKUP(HR_A_FAZER[[#Headers],[MARÇO]],'DIAS FRACIONADOS'!$B$3:$Y$4,2,FALSE)))</f>
        <v>7.0000000000000018</v>
      </c>
      <c r="F5" s="46">
        <f>IF(VLOOKUP($B5,quadro_de_func[#All],3,FALSE)="MENOR APRENDIZ",VLOOKUP($B5,carga_horaria[],2,FALSE)*(HLOOKUP(F$3,'DIA UTEIS'!$B$4:$M$6,3,FALSE)+COUNTA('DIAS FRACIONADOS'!$B$6:$B$12)),IF(VLOOKUP($B5,quadro_de_func[#All],3,FALSE)="ESTAGIÁRIO",((VLOOKUP($B5,carga_horaria[],2,FALSE)*HLOOKUP(F$3,'DIA UTEIS'!$B$4:$M$6,3,FALSE))-(HLOOKUP($B5,'EST. PROVAS'!$B$3:$Z$4,2,FALSE)*(VLOOKUP($B5,carga_horaria[],2,FALSE)/2)))+HLOOKUP(HR_A_FAZER[[#Headers],[ABRIL]],'DIAS FRACIONADOS'!$B$3:$Y$4,2,FALSE),(VLOOKUP($B5,carga_horaria[],2,FALSE)*(HLOOKUP(F$3,'DIA UTEIS'!$B$4:$M$6,3,FALSE)))+HLOOKUP(HR_A_FAZER[[#Headers],[ABRIL]],'DIAS FRACIONADOS'!$B$3:$Y$4,2,FALSE)))</f>
        <v>7.8750000000000027</v>
      </c>
      <c r="G5" s="46">
        <f>IF(VLOOKUP($B5,quadro_de_func[#All],3,FALSE)="MENOR APRENDIZ",VLOOKUP($B5,carga_horaria[],2,FALSE)*(HLOOKUP(G$3,'DIA UTEIS'!$B$4:$M$6,3,FALSE)+COUNTA('DIAS FRACIONADOS'!$B$6:$B$12)),IF(VLOOKUP($B5,quadro_de_func[#All],3,FALSE)="ESTAGIÁRIO",((VLOOKUP($B5,carga_horaria[],2,FALSE)*HLOOKUP(G$3,'DIA UTEIS'!$B$4:$M$6,3,FALSE))-(HLOOKUP($B5,'EST. PROVAS'!$B$3:$Z$4,2,FALSE)*(VLOOKUP($B5,carga_horaria[],2,FALSE)/2)))+HLOOKUP(HR_A_FAZER[[#Headers],[MAIO]],'DIAS FRACIONADOS'!$B$3:$Y$4,2,FALSE),(VLOOKUP($B5,carga_horaria[],2,FALSE)*(HLOOKUP(G$3,'DIA UTEIS'!$B$4:$M$6,3,FALSE)))+HLOOKUP(HR_A_FAZER[[#Headers],[MAIO]],'DIAS FRACIONADOS'!$B$3:$Y$4,2,FALSE)))</f>
        <v>8.2500000000000018</v>
      </c>
      <c r="H5" s="46">
        <f>IF(VLOOKUP($B5,quadro_de_func[#All],3,FALSE)="MENOR APRENDIZ",VLOOKUP($B5,carga_horaria[],2,FALSE)*(HLOOKUP(H$3,'DIA UTEIS'!$B$4:$M$6,3,FALSE)+COUNTA('DIAS FRACIONADOS'!$B$6:$B$12)),IF(VLOOKUP($B5,quadro_de_func[#All],3,FALSE)="ESTAGIÁRIO",((VLOOKUP($B5,carga_horaria[],2,FALSE)*HLOOKUP(H$3,'DIA UTEIS'!$B$4:$M$6,3,FALSE))-(HLOOKUP($B5,'EST. PROVAS'!$B$3:$Z$4,2,FALSE)*(VLOOKUP($B5,carga_horaria[],2,FALSE)/2)))+HLOOKUP(HR_A_FAZER[[#Headers],[JUNHO]],'DIAS FRACIONADOS'!$B$3:$Y$4,2,FALSE),(VLOOKUP($B5,carga_horaria[],2,FALSE)*(HLOOKUP(H$3,'DIA UTEIS'!$B$4:$M$6,3,FALSE)))+HLOOKUP(HR_A_FAZER[[#Headers],[JUNHO]],'DIAS FRACIONADOS'!$B$3:$Y$4,2,FALSE)))</f>
        <v>7.1250000000000018</v>
      </c>
      <c r="I5" s="46">
        <f>IF(VLOOKUP($B5,quadro_de_func[#All],3,FALSE)="MENOR APRENDIZ",VLOOKUP($B5,carga_horaria[],2,FALSE)*(HLOOKUP(I$3,'DIA UTEIS'!$B$4:$M$6,3,FALSE)+COUNTA('DIAS FRACIONADOS'!$B$6:$B$12)),IF(VLOOKUP($B5,quadro_de_func[#All],3,FALSE)="ESTAGIÁRIO",((VLOOKUP($B5,carga_horaria[],2,FALSE)*HLOOKUP(I$3,'DIA UTEIS'!$B$4:$M$6,3,FALSE))-(HLOOKUP($B5,'EST. PROVAS'!$B$3:$Z$4,2,FALSE)*(VLOOKUP($B5,carga_horaria[],2,FALSE)/2)))+HLOOKUP(HR_A_FAZER[[#Headers],[JULHO]],'DIAS FRACIONADOS'!$B$3:$Y$4,2,FALSE),(VLOOKUP($B5,carga_horaria[],2,FALSE)*(HLOOKUP(I$3,'DIA UTEIS'!$B$4:$M$6,3,FALSE)))+HLOOKUP(HR_A_FAZER[[#Headers],[JULHO]],'DIAS FRACIONADOS'!$B$3:$Y$4,2,FALSE)))</f>
        <v>8.2500000000000018</v>
      </c>
      <c r="J5" s="46">
        <f>IF(VLOOKUP($B5,quadro_de_func[#All],3,FALSE)="MENOR APRENDIZ",VLOOKUP($B5,carga_horaria[],2,FALSE)*(HLOOKUP(J$3,'DIA UTEIS'!$B$4:$M$6,3,FALSE)+COUNTA('DIAS FRACIONADOS'!$B$6:$B$12)),IF(VLOOKUP($B5,quadro_de_func[#All],3,FALSE)="ESTAGIÁRIO",((VLOOKUP($B5,carga_horaria[],2,FALSE)*HLOOKUP(J$3,'DIA UTEIS'!$B$4:$M$6,3,FALSE))-(HLOOKUP($B5,'EST. PROVAS'!$B$3:$Z$4,2,FALSE)*(VLOOKUP($B5,carga_horaria[],2,FALSE)/2)))+HLOOKUP(HR_A_FAZER[[#Headers],[AGOSTO]],'DIAS FRACIONADOS'!$B$3:$Y$4,2,FALSE),(VLOOKUP($B5,carga_horaria[],2,FALSE)*(HLOOKUP(J$3,'DIA UTEIS'!$B$4:$M$6,3,FALSE)))+HLOOKUP(HR_A_FAZER[[#Headers],[AGOSTO]],'DIAS FRACIONADOS'!$B$3:$Y$4,2,FALSE)))</f>
        <v>8.2500000000000018</v>
      </c>
      <c r="K5" s="46">
        <f>IF(VLOOKUP($B5,quadro_de_func[#All],3,FALSE)="MENOR APRENDIZ",VLOOKUP($B5,carga_horaria[],2,FALSE)*(HLOOKUP(K$3,'DIA UTEIS'!$B$4:$M$6,3,FALSE)+COUNTA('DIAS FRACIONADOS'!$B$6:$B$12)),IF(VLOOKUP($B5,quadro_de_func[#All],3,FALSE)="ESTAGIÁRIO",((VLOOKUP($B5,carga_horaria[],2,FALSE)*HLOOKUP(K$3,'DIA UTEIS'!$B$4:$M$6,3,FALSE))-(HLOOKUP($B5,'EST. PROVAS'!$B$3:$Z$4,2,FALSE)*(VLOOKUP($B5,carga_horaria[],2,FALSE)/2)))+HLOOKUP(HR_A_FAZER[[#Headers],[SETEMBRO]],'DIAS FRACIONADOS'!$B$3:$Y$4,2,FALSE),(VLOOKUP($B5,carga_horaria[],2,FALSE)*(HLOOKUP(K$3,'DIA UTEIS'!$B$4:$M$6,3,FALSE)))+HLOOKUP(HR_A_FAZER[[#Headers],[SETEMBRO]],'DIAS FRACIONADOS'!$B$3:$Y$4,2,FALSE)))</f>
        <v>7.5000000000000018</v>
      </c>
      <c r="L5" s="46">
        <f>IF(VLOOKUP($B5,quadro_de_func[#All],3,FALSE)="MENOR APRENDIZ",VLOOKUP($B5,carga_horaria[],2,FALSE)*(HLOOKUP(L$3,'DIA UTEIS'!$B$4:$M$6,3,FALSE)+COUNTA('DIAS FRACIONADOS'!$B$6:$B$12)),IF(VLOOKUP($B5,quadro_de_func[#All],3,FALSE)="ESTAGIÁRIO",((VLOOKUP($B5,carga_horaria[],2,FALSE)*HLOOKUP(L$3,'DIA UTEIS'!$B$4:$M$6,3,FALSE))-(HLOOKUP($B5,'EST. PROVAS'!$B$3:$Z$4,2,FALSE)*(VLOOKUP($B5,carga_horaria[],2,FALSE)/2)))+HLOOKUP(HR_A_FAZER[[#Headers],[OUTUBRO]],'DIAS FRACIONADOS'!$B$3:$Y$4,2,FALSE),(VLOOKUP($B5,carga_horaria[],2,FALSE)*(HLOOKUP(L$3,'DIA UTEIS'!$B$4:$M$6,3,FALSE)))+HLOOKUP(HR_A_FAZER[[#Headers],[OUTUBRO]],'DIAS FRACIONADOS'!$B$3:$Y$4,2,FALSE)))</f>
        <v>8.6250000000000018</v>
      </c>
      <c r="M5" s="46">
        <f>IF(VLOOKUP($B5,quadro_de_func[#All],3,FALSE)="MENOR APRENDIZ",VLOOKUP($B5,carga_horaria[],2,FALSE)*(HLOOKUP(M$3,'DIA UTEIS'!$B$4:$M$6,3,FALSE)+COUNTA('DIAS FRACIONADOS'!$B$6:$B$12)),IF(VLOOKUP($B5,quadro_de_func[#All],3,FALSE)="ESTAGIÁRIO",((VLOOKUP($B5,carga_horaria[],2,FALSE)*HLOOKUP(M$3,'DIA UTEIS'!$B$4:$M$6,3,FALSE))-(HLOOKUP($B5,'EST. PROVAS'!$B$3:$Z$4,2,FALSE)*(VLOOKUP($B5,carga_horaria[],2,FALSE)/2)))+HLOOKUP(HR_A_FAZER[[#Headers],[NOVEMBRO]],'DIAS FRACIONADOS'!$B$3:$Y$4,2,FALSE),(VLOOKUP($B5,carga_horaria[],2,FALSE)*(HLOOKUP(M$3,'DIA UTEIS'!$B$4:$M$6,3,FALSE)))+HLOOKUP(HR_A_FAZER[[#Headers],[NOVEMBRO]],'DIAS FRACIONADOS'!$B$3:$Y$4,2,FALSE)))</f>
        <v>7.5000000000000018</v>
      </c>
      <c r="N5" s="46">
        <f>IF(VLOOKUP($B5,quadro_de_func[#All],3,FALSE)="MENOR APRENDIZ",VLOOKUP($B5,carga_horaria[],2,FALSE)*(HLOOKUP(N$3,'DIA UTEIS'!$B$4:$M$6,3,FALSE)+COUNTA('DIAS FRACIONADOS'!$B$6:$B$12)),IF(VLOOKUP($B5,quadro_de_func[#All],3,FALSE)="ESTAGIÁRIO",((VLOOKUP($B5,carga_horaria[],2,FALSE)*HLOOKUP(N$3,'DIA UTEIS'!$B$4:$M$6,3,FALSE))-(HLOOKUP($B5,'EST. PROVAS'!$B$3:$Z$4,2,FALSE)*(VLOOKUP($B5,carga_horaria[],2,FALSE)/2)))+HLOOKUP(HR_A_FAZER[[#Headers],[DEZEMBRO]],'DIAS FRACIONADOS'!$B$3:$Y$4,2,FALSE),(VLOOKUP($B5,carga_horaria[],2,FALSE)*(HLOOKUP(N$3,'DIA UTEIS'!$B$4:$M$6,3,FALSE)))+HLOOKUP(HR_A_FAZER[[#Headers],[DEZEMBRO]],'DIAS FRACIONADOS'!$B$3:$Y$4,2,FALSE)))</f>
        <v>7.8750000000000027</v>
      </c>
    </row>
    <row r="6" spans="2:26" ht="18" customHeight="1" x14ac:dyDescent="0.25">
      <c r="B6" s="15" t="str">
        <f>quadro_de_func[[#This Row],[NOME]]</f>
        <v>Daiani</v>
      </c>
      <c r="C6" s="46">
        <f>IF(VLOOKUP($B6,quadro_de_func[#All],3,FALSE)="MENOR APRENDIZ",VLOOKUP($B6,carga_horaria[],2,FALSE)*(HLOOKUP(C$3,'DIA UTEIS'!$B$4:$M$6,3,FALSE)+COUNTA('DIAS FRACIONADOS'!$B$6:$B$12)),IF(VLOOKUP($B6,quadro_de_func[#All],3,FALSE)="ESTAGIÁRIO",((VLOOKUP($B6,carga_horaria[],2,FALSE)*HLOOKUP(C$3,'DIA UTEIS'!$B$4:$M$6,3,FALSE))-(HLOOKUP($B6,'EST. PROVAS'!$B$3:$Z$4,2,FALSE)*(VLOOKUP($B6,carga_horaria[],2,FALSE)/2)))+HLOOKUP(HR_A_FAZER[[#Headers],[JANEIRO]],'DIAS FRACIONADOS'!$B$3:$Y$4,2,FALSE),(VLOOKUP($B6,carga_horaria[],2,FALSE)*(HLOOKUP(C$3,'DIA UTEIS'!$B$4:$M$6,3,FALSE)))+HLOOKUP(HR_A_FAZER[[#Headers],[JANEIRO]],'DIAS FRACIONADOS'!$B$3:$Y$4,2,FALSE)))</f>
        <v>7.8645833333333339</v>
      </c>
      <c r="D6" s="46">
        <f>IF(VLOOKUP($B6,quadro_de_func[#All],3,FALSE)="MENOR APRENDIZ",VLOOKUP($B6,carga_horaria[],2,FALSE)*(HLOOKUP(D$3,'DIA UTEIS'!$B$4:$M$6,3,FALSE)+COUNTA('DIAS FRACIONADOS'!$B$6:$B$12)),IF(VLOOKUP($B6,quadro_de_func[#All],3,FALSE)="ESTAGIÁRIO",((VLOOKUP($B6,carga_horaria[],2,FALSE)*HLOOKUP(D$3,'DIA UTEIS'!$B$4:$M$6,3,FALSE))-(HLOOKUP($B6,'EST. PROVAS'!$B$3:$Z$4,2,FALSE)*(VLOOKUP($B6,carga_horaria[],2,FALSE)/2)))+HLOOKUP(HR_A_FAZER[[#Headers],[FEVEREIRO]],'DIAS FRACIONADOS'!$B$3:$Y$4,2,FALSE),(VLOOKUP($B6,carga_horaria[],2,FALSE)*(HLOOKUP(D$3,'DIA UTEIS'!$B$4:$M$6,3,FALSE)))+HLOOKUP(HR_A_FAZER[[#Headers],[FEVEREIRO]],'DIAS FRACIONADOS'!$B$3:$Y$4,2,FALSE)))</f>
        <v>7.2916666666666679</v>
      </c>
      <c r="E6" s="46">
        <f>IF(VLOOKUP($B6,quadro_de_func[#All],3,FALSE)="MENOR APRENDIZ",VLOOKUP($B6,carga_horaria[],2,FALSE)*(HLOOKUP(E$3,'DIA UTEIS'!$B$4:$M$6,3,FALSE)+COUNTA('DIAS FRACIONADOS'!$B$6:$B$12)),IF(VLOOKUP($B6,quadro_de_func[#All],3,FALSE)="ESTAGIÁRIO",((VLOOKUP($B6,carga_horaria[],2,FALSE)*HLOOKUP(E$3,'DIA UTEIS'!$B$4:$M$6,3,FALSE))-(HLOOKUP($B6,'EST. PROVAS'!$B$3:$Z$4,2,FALSE)*(VLOOKUP($B6,carga_horaria[],2,FALSE)/2)))+HLOOKUP(HR_A_FAZER[[#Headers],[MARÇO]],'DIAS FRACIONADOS'!$B$3:$Y$4,2,FALSE),(VLOOKUP($B6,carga_horaria[],2,FALSE)*(HLOOKUP(E$3,'DIA UTEIS'!$B$4:$M$6,3,FALSE)))+HLOOKUP(HR_A_FAZER[[#Headers],[MARÇO]],'DIAS FRACIONADOS'!$B$3:$Y$4,2,FALSE)))</f>
        <v>6.8125000000000009</v>
      </c>
      <c r="F6" s="46">
        <f>IF(VLOOKUP($B6,quadro_de_func[#All],3,FALSE)="MENOR APRENDIZ",VLOOKUP($B6,carga_horaria[],2,FALSE)*(HLOOKUP(F$3,'DIA UTEIS'!$B$4:$M$6,3,FALSE)+COUNTA('DIAS FRACIONADOS'!$B$6:$B$12)),IF(VLOOKUP($B6,quadro_de_func[#All],3,FALSE)="ESTAGIÁRIO",((VLOOKUP($B6,carga_horaria[],2,FALSE)*HLOOKUP(F$3,'DIA UTEIS'!$B$4:$M$6,3,FALSE))-(HLOOKUP($B6,'EST. PROVAS'!$B$3:$Z$4,2,FALSE)*(VLOOKUP($B6,carga_horaria[],2,FALSE)/2)))+HLOOKUP(HR_A_FAZER[[#Headers],[ABRIL]],'DIAS FRACIONADOS'!$B$3:$Y$4,2,FALSE),(VLOOKUP($B6,carga_horaria[],2,FALSE)*(HLOOKUP(F$3,'DIA UTEIS'!$B$4:$M$6,3,FALSE)))+HLOOKUP(HR_A_FAZER[[#Headers],[ABRIL]],'DIAS FRACIONADOS'!$B$3:$Y$4,2,FALSE)))</f>
        <v>7.6562500000000009</v>
      </c>
      <c r="G6" s="46">
        <f>IF(VLOOKUP($B6,quadro_de_func[#All],3,FALSE)="MENOR APRENDIZ",VLOOKUP($B6,carga_horaria[],2,FALSE)*(HLOOKUP(G$3,'DIA UTEIS'!$B$4:$M$6,3,FALSE)+COUNTA('DIAS FRACIONADOS'!$B$6:$B$12)),IF(VLOOKUP($B6,quadro_de_func[#All],3,FALSE)="ESTAGIÁRIO",((VLOOKUP($B6,carga_horaria[],2,FALSE)*HLOOKUP(G$3,'DIA UTEIS'!$B$4:$M$6,3,FALSE))-(HLOOKUP($B6,'EST. PROVAS'!$B$3:$Z$4,2,FALSE)*(VLOOKUP($B6,carga_horaria[],2,FALSE)/2)))+HLOOKUP(HR_A_FAZER[[#Headers],[MAIO]],'DIAS FRACIONADOS'!$B$3:$Y$4,2,FALSE),(VLOOKUP($B6,carga_horaria[],2,FALSE)*(HLOOKUP(G$3,'DIA UTEIS'!$B$4:$M$6,3,FALSE)))+HLOOKUP(HR_A_FAZER[[#Headers],[MAIO]],'DIAS FRACIONADOS'!$B$3:$Y$4,2,FALSE)))</f>
        <v>8.0208333333333339</v>
      </c>
      <c r="H6" s="46">
        <f>IF(VLOOKUP($B6,quadro_de_func[#All],3,FALSE)="MENOR APRENDIZ",VLOOKUP($B6,carga_horaria[],2,FALSE)*(HLOOKUP(H$3,'DIA UTEIS'!$B$4:$M$6,3,FALSE)+COUNTA('DIAS FRACIONADOS'!$B$6:$B$12)),IF(VLOOKUP($B6,quadro_de_func[#All],3,FALSE)="ESTAGIÁRIO",((VLOOKUP($B6,carga_horaria[],2,FALSE)*HLOOKUP(H$3,'DIA UTEIS'!$B$4:$M$6,3,FALSE))-(HLOOKUP($B6,'EST. PROVAS'!$B$3:$Z$4,2,FALSE)*(VLOOKUP($B6,carga_horaria[],2,FALSE)/2)))+HLOOKUP(HR_A_FAZER[[#Headers],[JUNHO]],'DIAS FRACIONADOS'!$B$3:$Y$4,2,FALSE),(VLOOKUP($B6,carga_horaria[],2,FALSE)*(HLOOKUP(H$3,'DIA UTEIS'!$B$4:$M$6,3,FALSE)))+HLOOKUP(HR_A_FAZER[[#Headers],[JUNHO]],'DIAS FRACIONADOS'!$B$3:$Y$4,2,FALSE)))</f>
        <v>6.9270833333333339</v>
      </c>
      <c r="I6" s="46">
        <f>IF(VLOOKUP($B6,quadro_de_func[#All],3,FALSE)="MENOR APRENDIZ",VLOOKUP($B6,carga_horaria[],2,FALSE)*(HLOOKUP(I$3,'DIA UTEIS'!$B$4:$M$6,3,FALSE)+COUNTA('DIAS FRACIONADOS'!$B$6:$B$12)),IF(VLOOKUP($B6,quadro_de_func[#All],3,FALSE)="ESTAGIÁRIO",((VLOOKUP($B6,carga_horaria[],2,FALSE)*HLOOKUP(I$3,'DIA UTEIS'!$B$4:$M$6,3,FALSE))-(HLOOKUP($B6,'EST. PROVAS'!$B$3:$Z$4,2,FALSE)*(VLOOKUP($B6,carga_horaria[],2,FALSE)/2)))+HLOOKUP(HR_A_FAZER[[#Headers],[JULHO]],'DIAS FRACIONADOS'!$B$3:$Y$4,2,FALSE),(VLOOKUP($B6,carga_horaria[],2,FALSE)*(HLOOKUP(I$3,'DIA UTEIS'!$B$4:$M$6,3,FALSE)))+HLOOKUP(HR_A_FAZER[[#Headers],[JULHO]],'DIAS FRACIONADOS'!$B$3:$Y$4,2,FALSE)))</f>
        <v>8.0208333333333339</v>
      </c>
      <c r="J6" s="46">
        <f>IF(VLOOKUP($B6,quadro_de_func[#All],3,FALSE)="MENOR APRENDIZ",VLOOKUP($B6,carga_horaria[],2,FALSE)*(HLOOKUP(J$3,'DIA UTEIS'!$B$4:$M$6,3,FALSE)+COUNTA('DIAS FRACIONADOS'!$B$6:$B$12)),IF(VLOOKUP($B6,quadro_de_func[#All],3,FALSE)="ESTAGIÁRIO",((VLOOKUP($B6,carga_horaria[],2,FALSE)*HLOOKUP(J$3,'DIA UTEIS'!$B$4:$M$6,3,FALSE))-(HLOOKUP($B6,'EST. PROVAS'!$B$3:$Z$4,2,FALSE)*(VLOOKUP($B6,carga_horaria[],2,FALSE)/2)))+HLOOKUP(HR_A_FAZER[[#Headers],[AGOSTO]],'DIAS FRACIONADOS'!$B$3:$Y$4,2,FALSE),(VLOOKUP($B6,carga_horaria[],2,FALSE)*(HLOOKUP(J$3,'DIA UTEIS'!$B$4:$M$6,3,FALSE)))+HLOOKUP(HR_A_FAZER[[#Headers],[AGOSTO]],'DIAS FRACIONADOS'!$B$3:$Y$4,2,FALSE)))</f>
        <v>8.0208333333333339</v>
      </c>
      <c r="K6" s="46">
        <f>IF(VLOOKUP($B6,quadro_de_func[#All],3,FALSE)="MENOR APRENDIZ",VLOOKUP($B6,carga_horaria[],2,FALSE)*(HLOOKUP(K$3,'DIA UTEIS'!$B$4:$M$6,3,FALSE)+COUNTA('DIAS FRACIONADOS'!$B$6:$B$12)),IF(VLOOKUP($B6,quadro_de_func[#All],3,FALSE)="ESTAGIÁRIO",((VLOOKUP($B6,carga_horaria[],2,FALSE)*HLOOKUP(K$3,'DIA UTEIS'!$B$4:$M$6,3,FALSE))-(HLOOKUP($B6,'EST. PROVAS'!$B$3:$Z$4,2,FALSE)*(VLOOKUP($B6,carga_horaria[],2,FALSE)/2)))+HLOOKUP(HR_A_FAZER[[#Headers],[SETEMBRO]],'DIAS FRACIONADOS'!$B$3:$Y$4,2,FALSE),(VLOOKUP($B6,carga_horaria[],2,FALSE)*(HLOOKUP(K$3,'DIA UTEIS'!$B$4:$M$6,3,FALSE)))+HLOOKUP(HR_A_FAZER[[#Headers],[SETEMBRO]],'DIAS FRACIONADOS'!$B$3:$Y$4,2,FALSE)))</f>
        <v>7.2916666666666679</v>
      </c>
      <c r="L6" s="46">
        <f>IF(VLOOKUP($B6,quadro_de_func[#All],3,FALSE)="MENOR APRENDIZ",VLOOKUP($B6,carga_horaria[],2,FALSE)*(HLOOKUP(L$3,'DIA UTEIS'!$B$4:$M$6,3,FALSE)+COUNTA('DIAS FRACIONADOS'!$B$6:$B$12)),IF(VLOOKUP($B6,quadro_de_func[#All],3,FALSE)="ESTAGIÁRIO",((VLOOKUP($B6,carga_horaria[],2,FALSE)*HLOOKUP(L$3,'DIA UTEIS'!$B$4:$M$6,3,FALSE))-(HLOOKUP($B6,'EST. PROVAS'!$B$3:$Z$4,2,FALSE)*(VLOOKUP($B6,carga_horaria[],2,FALSE)/2)))+HLOOKUP(HR_A_FAZER[[#Headers],[OUTUBRO]],'DIAS FRACIONADOS'!$B$3:$Y$4,2,FALSE),(VLOOKUP($B6,carga_horaria[],2,FALSE)*(HLOOKUP(L$3,'DIA UTEIS'!$B$4:$M$6,3,FALSE)))+HLOOKUP(HR_A_FAZER[[#Headers],[OUTUBRO]],'DIAS FRACIONADOS'!$B$3:$Y$4,2,FALSE)))</f>
        <v>8.3854166666666679</v>
      </c>
      <c r="M6" s="46">
        <f>IF(VLOOKUP($B6,quadro_de_func[#All],3,FALSE)="MENOR APRENDIZ",VLOOKUP($B6,carga_horaria[],2,FALSE)*(HLOOKUP(M$3,'DIA UTEIS'!$B$4:$M$6,3,FALSE)+COUNTA('DIAS FRACIONADOS'!$B$6:$B$12)),IF(VLOOKUP($B6,quadro_de_func[#All],3,FALSE)="ESTAGIÁRIO",((VLOOKUP($B6,carga_horaria[],2,FALSE)*HLOOKUP(M$3,'DIA UTEIS'!$B$4:$M$6,3,FALSE))-(HLOOKUP($B6,'EST. PROVAS'!$B$3:$Z$4,2,FALSE)*(VLOOKUP($B6,carga_horaria[],2,FALSE)/2)))+HLOOKUP(HR_A_FAZER[[#Headers],[NOVEMBRO]],'DIAS FRACIONADOS'!$B$3:$Y$4,2,FALSE),(VLOOKUP($B6,carga_horaria[],2,FALSE)*(HLOOKUP(M$3,'DIA UTEIS'!$B$4:$M$6,3,FALSE)))+HLOOKUP(HR_A_FAZER[[#Headers],[NOVEMBRO]],'DIAS FRACIONADOS'!$B$3:$Y$4,2,FALSE)))</f>
        <v>7.2916666666666679</v>
      </c>
      <c r="N6" s="46">
        <f>IF(VLOOKUP($B6,quadro_de_func[#All],3,FALSE)="MENOR APRENDIZ",VLOOKUP($B6,carga_horaria[],2,FALSE)*(HLOOKUP(N$3,'DIA UTEIS'!$B$4:$M$6,3,FALSE)+COUNTA('DIAS FRACIONADOS'!$B$6:$B$12)),IF(VLOOKUP($B6,quadro_de_func[#All],3,FALSE)="ESTAGIÁRIO",((VLOOKUP($B6,carga_horaria[],2,FALSE)*HLOOKUP(N$3,'DIA UTEIS'!$B$4:$M$6,3,FALSE))-(HLOOKUP($B6,'EST. PROVAS'!$B$3:$Z$4,2,FALSE)*(VLOOKUP($B6,carga_horaria[],2,FALSE)/2)))+HLOOKUP(HR_A_FAZER[[#Headers],[DEZEMBRO]],'DIAS FRACIONADOS'!$B$3:$Y$4,2,FALSE),(VLOOKUP($B6,carga_horaria[],2,FALSE)*(HLOOKUP(N$3,'DIA UTEIS'!$B$4:$M$6,3,FALSE)))+HLOOKUP(HR_A_FAZER[[#Headers],[DEZEMBRO]],'DIAS FRACIONADOS'!$B$3:$Y$4,2,FALSE)))</f>
        <v>7.6562500000000009</v>
      </c>
    </row>
    <row r="7" spans="2:26" ht="18" customHeight="1" x14ac:dyDescent="0.25">
      <c r="B7" s="15" t="str">
        <f>quadro_de_func[[#This Row],[NOME]]</f>
        <v>Érica</v>
      </c>
      <c r="C7" s="46">
        <f>IF(VLOOKUP($B7,quadro_de_func[#All],3,FALSE)="MENOR APRENDIZ",VLOOKUP($B7,carga_horaria[],2,FALSE)*(HLOOKUP(C$3,'DIA UTEIS'!$B$4:$M$6,3,FALSE)+COUNTA('DIAS FRACIONADOS'!$B$6:$B$12)),IF(VLOOKUP($B7,quadro_de_func[#All],3,FALSE)="ESTAGIÁRIO",((VLOOKUP($B7,carga_horaria[],2,FALSE)*HLOOKUP(C$3,'DIA UTEIS'!$B$4:$M$6,3,FALSE))-(HLOOKUP($B7,'EST. PROVAS'!$B$3:$Z$4,2,FALSE)*(VLOOKUP($B7,carga_horaria[],2,FALSE)/2)))+HLOOKUP(HR_A_FAZER[[#Headers],[JANEIRO]],'DIAS FRACIONADOS'!$B$3:$Y$4,2,FALSE),(VLOOKUP($B7,carga_horaria[],2,FALSE)*(HLOOKUP(C$3,'DIA UTEIS'!$B$4:$M$6,3,FALSE)))+HLOOKUP(HR_A_FAZER[[#Headers],[JANEIRO]],'DIAS FRACIONADOS'!$B$3:$Y$4,2,FALSE)))</f>
        <v>7.8645833333333339</v>
      </c>
      <c r="D7" s="46">
        <f>IF(VLOOKUP($B7,quadro_de_func[#All],3,FALSE)="MENOR APRENDIZ",VLOOKUP($B7,carga_horaria[],2,FALSE)*(HLOOKUP(D$3,'DIA UTEIS'!$B$4:$M$6,3,FALSE)+COUNTA('DIAS FRACIONADOS'!$B$6:$B$12)),IF(VLOOKUP($B7,quadro_de_func[#All],3,FALSE)="ESTAGIÁRIO",((VLOOKUP($B7,carga_horaria[],2,FALSE)*HLOOKUP(D$3,'DIA UTEIS'!$B$4:$M$6,3,FALSE))-(HLOOKUP($B7,'EST. PROVAS'!$B$3:$Z$4,2,FALSE)*(VLOOKUP($B7,carga_horaria[],2,FALSE)/2)))+HLOOKUP(HR_A_FAZER[[#Headers],[FEVEREIRO]],'DIAS FRACIONADOS'!$B$3:$Y$4,2,FALSE),(VLOOKUP($B7,carga_horaria[],2,FALSE)*(HLOOKUP(D$3,'DIA UTEIS'!$B$4:$M$6,3,FALSE)))+HLOOKUP(HR_A_FAZER[[#Headers],[FEVEREIRO]],'DIAS FRACIONADOS'!$B$3:$Y$4,2,FALSE)))</f>
        <v>7.2916666666666679</v>
      </c>
      <c r="E7" s="46">
        <f>IF(VLOOKUP($B7,quadro_de_func[#All],3,FALSE)="MENOR APRENDIZ",VLOOKUP($B7,carga_horaria[],2,FALSE)*(HLOOKUP(E$3,'DIA UTEIS'!$B$4:$M$6,3,FALSE)+COUNTA('DIAS FRACIONADOS'!$B$6:$B$12)),IF(VLOOKUP($B7,quadro_de_func[#All],3,FALSE)="ESTAGIÁRIO",((VLOOKUP($B7,carga_horaria[],2,FALSE)*HLOOKUP(E$3,'DIA UTEIS'!$B$4:$M$6,3,FALSE))-(HLOOKUP($B7,'EST. PROVAS'!$B$3:$Z$4,2,FALSE)*(VLOOKUP($B7,carga_horaria[],2,FALSE)/2)))+HLOOKUP(HR_A_FAZER[[#Headers],[MARÇO]],'DIAS FRACIONADOS'!$B$3:$Y$4,2,FALSE),(VLOOKUP($B7,carga_horaria[],2,FALSE)*(HLOOKUP(E$3,'DIA UTEIS'!$B$4:$M$6,3,FALSE)))+HLOOKUP(HR_A_FAZER[[#Headers],[MARÇO]],'DIAS FRACIONADOS'!$B$3:$Y$4,2,FALSE)))</f>
        <v>6.8125000000000009</v>
      </c>
      <c r="F7" s="46">
        <f>IF(VLOOKUP($B7,quadro_de_func[#All],3,FALSE)="MENOR APRENDIZ",VLOOKUP($B7,carga_horaria[],2,FALSE)*(HLOOKUP(F$3,'DIA UTEIS'!$B$4:$M$6,3,FALSE)+COUNTA('DIAS FRACIONADOS'!$B$6:$B$12)),IF(VLOOKUP($B7,quadro_de_func[#All],3,FALSE)="ESTAGIÁRIO",((VLOOKUP($B7,carga_horaria[],2,FALSE)*HLOOKUP(F$3,'DIA UTEIS'!$B$4:$M$6,3,FALSE))-(HLOOKUP($B7,'EST. PROVAS'!$B$3:$Z$4,2,FALSE)*(VLOOKUP($B7,carga_horaria[],2,FALSE)/2)))+HLOOKUP(HR_A_FAZER[[#Headers],[ABRIL]],'DIAS FRACIONADOS'!$B$3:$Y$4,2,FALSE),(VLOOKUP($B7,carga_horaria[],2,FALSE)*(HLOOKUP(F$3,'DIA UTEIS'!$B$4:$M$6,3,FALSE)))+HLOOKUP(HR_A_FAZER[[#Headers],[ABRIL]],'DIAS FRACIONADOS'!$B$3:$Y$4,2,FALSE)))</f>
        <v>7.6562500000000009</v>
      </c>
      <c r="G7" s="46">
        <f>IF(VLOOKUP($B7,quadro_de_func[#All],3,FALSE)="MENOR APRENDIZ",VLOOKUP($B7,carga_horaria[],2,FALSE)*(HLOOKUP(G$3,'DIA UTEIS'!$B$4:$M$6,3,FALSE)+COUNTA('DIAS FRACIONADOS'!$B$6:$B$12)),IF(VLOOKUP($B7,quadro_de_func[#All],3,FALSE)="ESTAGIÁRIO",((VLOOKUP($B7,carga_horaria[],2,FALSE)*HLOOKUP(G$3,'DIA UTEIS'!$B$4:$M$6,3,FALSE))-(HLOOKUP($B7,'EST. PROVAS'!$B$3:$Z$4,2,FALSE)*(VLOOKUP($B7,carga_horaria[],2,FALSE)/2)))+HLOOKUP(HR_A_FAZER[[#Headers],[MAIO]],'DIAS FRACIONADOS'!$B$3:$Y$4,2,FALSE),(VLOOKUP($B7,carga_horaria[],2,FALSE)*(HLOOKUP(G$3,'DIA UTEIS'!$B$4:$M$6,3,FALSE)))+HLOOKUP(HR_A_FAZER[[#Headers],[MAIO]],'DIAS FRACIONADOS'!$B$3:$Y$4,2,FALSE)))</f>
        <v>8.0208333333333339</v>
      </c>
      <c r="H7" s="46">
        <f>IF(VLOOKUP($B7,quadro_de_func[#All],3,FALSE)="MENOR APRENDIZ",VLOOKUP($B7,carga_horaria[],2,FALSE)*(HLOOKUP(H$3,'DIA UTEIS'!$B$4:$M$6,3,FALSE)+COUNTA('DIAS FRACIONADOS'!$B$6:$B$12)),IF(VLOOKUP($B7,quadro_de_func[#All],3,FALSE)="ESTAGIÁRIO",((VLOOKUP($B7,carga_horaria[],2,FALSE)*HLOOKUP(H$3,'DIA UTEIS'!$B$4:$M$6,3,FALSE))-(HLOOKUP($B7,'EST. PROVAS'!$B$3:$Z$4,2,FALSE)*(VLOOKUP($B7,carga_horaria[],2,FALSE)/2)))+HLOOKUP(HR_A_FAZER[[#Headers],[JUNHO]],'DIAS FRACIONADOS'!$B$3:$Y$4,2,FALSE),(VLOOKUP($B7,carga_horaria[],2,FALSE)*(HLOOKUP(H$3,'DIA UTEIS'!$B$4:$M$6,3,FALSE)))+HLOOKUP(HR_A_FAZER[[#Headers],[JUNHO]],'DIAS FRACIONADOS'!$B$3:$Y$4,2,FALSE)))</f>
        <v>6.9270833333333339</v>
      </c>
      <c r="I7" s="46">
        <f>IF(VLOOKUP($B7,quadro_de_func[#All],3,FALSE)="MENOR APRENDIZ",VLOOKUP($B7,carga_horaria[],2,FALSE)*(HLOOKUP(I$3,'DIA UTEIS'!$B$4:$M$6,3,FALSE)+COUNTA('DIAS FRACIONADOS'!$B$6:$B$12)),IF(VLOOKUP($B7,quadro_de_func[#All],3,FALSE)="ESTAGIÁRIO",((VLOOKUP($B7,carga_horaria[],2,FALSE)*HLOOKUP(I$3,'DIA UTEIS'!$B$4:$M$6,3,FALSE))-(HLOOKUP($B7,'EST. PROVAS'!$B$3:$Z$4,2,FALSE)*(VLOOKUP($B7,carga_horaria[],2,FALSE)/2)))+HLOOKUP(HR_A_FAZER[[#Headers],[JULHO]],'DIAS FRACIONADOS'!$B$3:$Y$4,2,FALSE),(VLOOKUP($B7,carga_horaria[],2,FALSE)*(HLOOKUP(I$3,'DIA UTEIS'!$B$4:$M$6,3,FALSE)))+HLOOKUP(HR_A_FAZER[[#Headers],[JULHO]],'DIAS FRACIONADOS'!$B$3:$Y$4,2,FALSE)))</f>
        <v>8.0208333333333339</v>
      </c>
      <c r="J7" s="46">
        <f>IF(VLOOKUP($B7,quadro_de_func[#All],3,FALSE)="MENOR APRENDIZ",VLOOKUP($B7,carga_horaria[],2,FALSE)*(HLOOKUP(J$3,'DIA UTEIS'!$B$4:$M$6,3,FALSE)+COUNTA('DIAS FRACIONADOS'!$B$6:$B$12)),IF(VLOOKUP($B7,quadro_de_func[#All],3,FALSE)="ESTAGIÁRIO",((VLOOKUP($B7,carga_horaria[],2,FALSE)*HLOOKUP(J$3,'DIA UTEIS'!$B$4:$M$6,3,FALSE))-(HLOOKUP($B7,'EST. PROVAS'!$B$3:$Z$4,2,FALSE)*(VLOOKUP($B7,carga_horaria[],2,FALSE)/2)))+HLOOKUP(HR_A_FAZER[[#Headers],[AGOSTO]],'DIAS FRACIONADOS'!$B$3:$Y$4,2,FALSE),(VLOOKUP($B7,carga_horaria[],2,FALSE)*(HLOOKUP(J$3,'DIA UTEIS'!$B$4:$M$6,3,FALSE)))+HLOOKUP(HR_A_FAZER[[#Headers],[AGOSTO]],'DIAS FRACIONADOS'!$B$3:$Y$4,2,FALSE)))</f>
        <v>8.0208333333333339</v>
      </c>
      <c r="K7" s="46">
        <f>IF(VLOOKUP($B7,quadro_de_func[#All],3,FALSE)="MENOR APRENDIZ",VLOOKUP($B7,carga_horaria[],2,FALSE)*(HLOOKUP(K$3,'DIA UTEIS'!$B$4:$M$6,3,FALSE)+COUNTA('DIAS FRACIONADOS'!$B$6:$B$12)),IF(VLOOKUP($B7,quadro_de_func[#All],3,FALSE)="ESTAGIÁRIO",((VLOOKUP($B7,carga_horaria[],2,FALSE)*HLOOKUP(K$3,'DIA UTEIS'!$B$4:$M$6,3,FALSE))-(HLOOKUP($B7,'EST. PROVAS'!$B$3:$Z$4,2,FALSE)*(VLOOKUP($B7,carga_horaria[],2,FALSE)/2)))+HLOOKUP(HR_A_FAZER[[#Headers],[SETEMBRO]],'DIAS FRACIONADOS'!$B$3:$Y$4,2,FALSE),(VLOOKUP($B7,carga_horaria[],2,FALSE)*(HLOOKUP(K$3,'DIA UTEIS'!$B$4:$M$6,3,FALSE)))+HLOOKUP(HR_A_FAZER[[#Headers],[SETEMBRO]],'DIAS FRACIONADOS'!$B$3:$Y$4,2,FALSE)))</f>
        <v>7.2916666666666679</v>
      </c>
      <c r="L7" s="46">
        <f>IF(VLOOKUP($B7,quadro_de_func[#All],3,FALSE)="MENOR APRENDIZ",VLOOKUP($B7,carga_horaria[],2,FALSE)*(HLOOKUP(L$3,'DIA UTEIS'!$B$4:$M$6,3,FALSE)+COUNTA('DIAS FRACIONADOS'!$B$6:$B$12)),IF(VLOOKUP($B7,quadro_de_func[#All],3,FALSE)="ESTAGIÁRIO",((VLOOKUP($B7,carga_horaria[],2,FALSE)*HLOOKUP(L$3,'DIA UTEIS'!$B$4:$M$6,3,FALSE))-(HLOOKUP($B7,'EST. PROVAS'!$B$3:$Z$4,2,FALSE)*(VLOOKUP($B7,carga_horaria[],2,FALSE)/2)))+HLOOKUP(HR_A_FAZER[[#Headers],[OUTUBRO]],'DIAS FRACIONADOS'!$B$3:$Y$4,2,FALSE),(VLOOKUP($B7,carga_horaria[],2,FALSE)*(HLOOKUP(L$3,'DIA UTEIS'!$B$4:$M$6,3,FALSE)))+HLOOKUP(HR_A_FAZER[[#Headers],[OUTUBRO]],'DIAS FRACIONADOS'!$B$3:$Y$4,2,FALSE)))</f>
        <v>8.3854166666666679</v>
      </c>
      <c r="M7" s="46">
        <f>IF(VLOOKUP($B7,quadro_de_func[#All],3,FALSE)="MENOR APRENDIZ",VLOOKUP($B7,carga_horaria[],2,FALSE)*(HLOOKUP(M$3,'DIA UTEIS'!$B$4:$M$6,3,FALSE)+COUNTA('DIAS FRACIONADOS'!$B$6:$B$12)),IF(VLOOKUP($B7,quadro_de_func[#All],3,FALSE)="ESTAGIÁRIO",((VLOOKUP($B7,carga_horaria[],2,FALSE)*HLOOKUP(M$3,'DIA UTEIS'!$B$4:$M$6,3,FALSE))-(HLOOKUP($B7,'EST. PROVAS'!$B$3:$Z$4,2,FALSE)*(VLOOKUP($B7,carga_horaria[],2,FALSE)/2)))+HLOOKUP(HR_A_FAZER[[#Headers],[NOVEMBRO]],'DIAS FRACIONADOS'!$B$3:$Y$4,2,FALSE),(VLOOKUP($B7,carga_horaria[],2,FALSE)*(HLOOKUP(M$3,'DIA UTEIS'!$B$4:$M$6,3,FALSE)))+HLOOKUP(HR_A_FAZER[[#Headers],[NOVEMBRO]],'DIAS FRACIONADOS'!$B$3:$Y$4,2,FALSE)))</f>
        <v>7.2916666666666679</v>
      </c>
      <c r="N7" s="46">
        <f>IF(VLOOKUP($B7,quadro_de_func[#All],3,FALSE)="MENOR APRENDIZ",VLOOKUP($B7,carga_horaria[],2,FALSE)*(HLOOKUP(N$3,'DIA UTEIS'!$B$4:$M$6,3,FALSE)+COUNTA('DIAS FRACIONADOS'!$B$6:$B$12)),IF(VLOOKUP($B7,quadro_de_func[#All],3,FALSE)="ESTAGIÁRIO",((VLOOKUP($B7,carga_horaria[],2,FALSE)*HLOOKUP(N$3,'DIA UTEIS'!$B$4:$M$6,3,FALSE))-(HLOOKUP($B7,'EST. PROVAS'!$B$3:$Z$4,2,FALSE)*(VLOOKUP($B7,carga_horaria[],2,FALSE)/2)))+HLOOKUP(HR_A_FAZER[[#Headers],[DEZEMBRO]],'DIAS FRACIONADOS'!$B$3:$Y$4,2,FALSE),(VLOOKUP($B7,carga_horaria[],2,FALSE)*(HLOOKUP(N$3,'DIA UTEIS'!$B$4:$M$6,3,FALSE)))+HLOOKUP(HR_A_FAZER[[#Headers],[DEZEMBRO]],'DIAS FRACIONADOS'!$B$3:$Y$4,2,FALSE)))</f>
        <v>7.6562500000000009</v>
      </c>
    </row>
    <row r="8" spans="2:26" ht="18" customHeight="1" x14ac:dyDescent="0.25">
      <c r="B8" s="15" t="str">
        <f>quadro_de_func[[#This Row],[NOME]]</f>
        <v>func 5</v>
      </c>
      <c r="C8" s="46">
        <f>IF(VLOOKUP($B8,quadro_de_func[#All],3,FALSE)="MENOR APRENDIZ",VLOOKUP($B8,carga_horaria[],2,FALSE)*(HLOOKUP(C$3,'DIA UTEIS'!$B$4:$M$6,3,FALSE)+COUNTA('DIAS FRACIONADOS'!$B$6:$B$12)),IF(VLOOKUP($B8,quadro_de_func[#All],3,FALSE)="ESTAGIÁRIO",((VLOOKUP($B8,carga_horaria[],2,FALSE)*HLOOKUP(C$3,'DIA UTEIS'!$B$4:$M$6,3,FALSE))-(HLOOKUP($B8,'EST. PROVAS'!$B$3:$Z$4,2,FALSE)*(VLOOKUP($B8,carga_horaria[],2,FALSE)/2)))+HLOOKUP(HR_A_FAZER[[#Headers],[JANEIRO]],'DIAS FRACIONADOS'!$B$3:$Y$4,2,FALSE),(VLOOKUP($B8,carga_horaria[],2,FALSE)*(HLOOKUP(C$3,'DIA UTEIS'!$B$4:$M$6,3,FALSE)))+HLOOKUP(HR_A_FAZER[[#Headers],[JANEIRO]],'DIAS FRACIONADOS'!$B$3:$Y$4,2,FALSE)))</f>
        <v>7.2083333333333339</v>
      </c>
      <c r="D8" s="46">
        <f>IF(VLOOKUP($B8,quadro_de_func[#All],3,FALSE)="MENOR APRENDIZ",VLOOKUP($B8,carga_horaria[],2,FALSE)*(HLOOKUP(D$3,'DIA UTEIS'!$B$4:$M$6,3,FALSE)+COUNTA('DIAS FRACIONADOS'!$B$6:$B$12)),IF(VLOOKUP($B8,quadro_de_func[#All],3,FALSE)="ESTAGIÁRIO",((VLOOKUP($B8,carga_horaria[],2,FALSE)*HLOOKUP(D$3,'DIA UTEIS'!$B$4:$M$6,3,FALSE))-(HLOOKUP($B8,'EST. PROVAS'!$B$3:$Z$4,2,FALSE)*(VLOOKUP($B8,carga_horaria[],2,FALSE)/2)))+HLOOKUP(HR_A_FAZER[[#Headers],[FEVEREIRO]],'DIAS FRACIONADOS'!$B$3:$Y$4,2,FALSE),(VLOOKUP($B8,carga_horaria[],2,FALSE)*(HLOOKUP(D$3,'DIA UTEIS'!$B$4:$M$6,3,FALSE)))+HLOOKUP(HR_A_FAZER[[#Headers],[FEVEREIRO]],'DIAS FRACIONADOS'!$B$3:$Y$4,2,FALSE)))</f>
        <v>6.6666666666666679</v>
      </c>
      <c r="E8" s="46">
        <f>IF(VLOOKUP($B8,quadro_de_func[#All],3,FALSE)="MENOR APRENDIZ",VLOOKUP($B8,carga_horaria[],2,FALSE)*(HLOOKUP(E$3,'DIA UTEIS'!$B$4:$M$6,3,FALSE)+COUNTA('DIAS FRACIONADOS'!$B$6:$B$12)),IF(VLOOKUP($B8,quadro_de_func[#All],3,FALSE)="ESTAGIÁRIO",((VLOOKUP($B8,carga_horaria[],2,FALSE)*HLOOKUP(E$3,'DIA UTEIS'!$B$4:$M$6,3,FALSE))-(HLOOKUP($B8,'EST. PROVAS'!$B$3:$Z$4,2,FALSE)*(VLOOKUP($B8,carga_horaria[],2,FALSE)/2)))+HLOOKUP(HR_A_FAZER[[#Headers],[MARÇO]],'DIAS FRACIONADOS'!$B$3:$Y$4,2,FALSE),(VLOOKUP($B8,carga_horaria[],2,FALSE)*(HLOOKUP(E$3,'DIA UTEIS'!$B$4:$M$6,3,FALSE)))+HLOOKUP(HR_A_FAZER[[#Headers],[MARÇO]],'DIAS FRACIONADOS'!$B$3:$Y$4,2,FALSE)))</f>
        <v>6.2500000000000009</v>
      </c>
      <c r="F8" s="46">
        <f>IF(VLOOKUP($B8,quadro_de_func[#All],3,FALSE)="MENOR APRENDIZ",VLOOKUP($B8,carga_horaria[],2,FALSE)*(HLOOKUP(F$3,'DIA UTEIS'!$B$4:$M$6,3,FALSE)+COUNTA('DIAS FRACIONADOS'!$B$6:$B$12)),IF(VLOOKUP($B8,quadro_de_func[#All],3,FALSE)="ESTAGIÁRIO",((VLOOKUP($B8,carga_horaria[],2,FALSE)*HLOOKUP(F$3,'DIA UTEIS'!$B$4:$M$6,3,FALSE))-(HLOOKUP($B8,'EST. PROVAS'!$B$3:$Z$4,2,FALSE)*(VLOOKUP($B8,carga_horaria[],2,FALSE)/2)))+HLOOKUP(HR_A_FAZER[[#Headers],[ABRIL]],'DIAS FRACIONADOS'!$B$3:$Y$4,2,FALSE),(VLOOKUP($B8,carga_horaria[],2,FALSE)*(HLOOKUP(F$3,'DIA UTEIS'!$B$4:$M$6,3,FALSE)))+HLOOKUP(HR_A_FAZER[[#Headers],[ABRIL]],'DIAS FRACIONADOS'!$B$3:$Y$4,2,FALSE)))</f>
        <v>7.0000000000000009</v>
      </c>
      <c r="G8" s="46">
        <f>IF(VLOOKUP($B8,quadro_de_func[#All],3,FALSE)="MENOR APRENDIZ",VLOOKUP($B8,carga_horaria[],2,FALSE)*(HLOOKUP(G$3,'DIA UTEIS'!$B$4:$M$6,3,FALSE)+COUNTA('DIAS FRACIONADOS'!$B$6:$B$12)),IF(VLOOKUP($B8,quadro_de_func[#All],3,FALSE)="ESTAGIÁRIO",((VLOOKUP($B8,carga_horaria[],2,FALSE)*HLOOKUP(G$3,'DIA UTEIS'!$B$4:$M$6,3,FALSE))-(HLOOKUP($B8,'EST. PROVAS'!$B$3:$Z$4,2,FALSE)*(VLOOKUP($B8,carga_horaria[],2,FALSE)/2)))+HLOOKUP(HR_A_FAZER[[#Headers],[MAIO]],'DIAS FRACIONADOS'!$B$3:$Y$4,2,FALSE),(VLOOKUP($B8,carga_horaria[],2,FALSE)*(HLOOKUP(G$3,'DIA UTEIS'!$B$4:$M$6,3,FALSE)))+HLOOKUP(HR_A_FAZER[[#Headers],[MAIO]],'DIAS FRACIONADOS'!$B$3:$Y$4,2,FALSE)))</f>
        <v>7.3333333333333339</v>
      </c>
      <c r="H8" s="46">
        <f>IF(VLOOKUP($B8,quadro_de_func[#All],3,FALSE)="MENOR APRENDIZ",VLOOKUP($B8,carga_horaria[],2,FALSE)*(HLOOKUP(H$3,'DIA UTEIS'!$B$4:$M$6,3,FALSE)+COUNTA('DIAS FRACIONADOS'!$B$6:$B$12)),IF(VLOOKUP($B8,quadro_de_func[#All],3,FALSE)="ESTAGIÁRIO",((VLOOKUP($B8,carga_horaria[],2,FALSE)*HLOOKUP(H$3,'DIA UTEIS'!$B$4:$M$6,3,FALSE))-(HLOOKUP($B8,'EST. PROVAS'!$B$3:$Z$4,2,FALSE)*(VLOOKUP($B8,carga_horaria[],2,FALSE)/2)))+HLOOKUP(HR_A_FAZER[[#Headers],[JUNHO]],'DIAS FRACIONADOS'!$B$3:$Y$4,2,FALSE),(VLOOKUP($B8,carga_horaria[],2,FALSE)*(HLOOKUP(H$3,'DIA UTEIS'!$B$4:$M$6,3,FALSE)))+HLOOKUP(HR_A_FAZER[[#Headers],[JUNHO]],'DIAS FRACIONADOS'!$B$3:$Y$4,2,FALSE)))</f>
        <v>6.3333333333333339</v>
      </c>
      <c r="I8" s="46">
        <f>IF(VLOOKUP($B8,quadro_de_func[#All],3,FALSE)="MENOR APRENDIZ",VLOOKUP($B8,carga_horaria[],2,FALSE)*(HLOOKUP(I$3,'DIA UTEIS'!$B$4:$M$6,3,FALSE)+COUNTA('DIAS FRACIONADOS'!$B$6:$B$12)),IF(VLOOKUP($B8,quadro_de_func[#All],3,FALSE)="ESTAGIÁRIO",((VLOOKUP($B8,carga_horaria[],2,FALSE)*HLOOKUP(I$3,'DIA UTEIS'!$B$4:$M$6,3,FALSE))-(HLOOKUP($B8,'EST. PROVAS'!$B$3:$Z$4,2,FALSE)*(VLOOKUP($B8,carga_horaria[],2,FALSE)/2)))+HLOOKUP(HR_A_FAZER[[#Headers],[JULHO]],'DIAS FRACIONADOS'!$B$3:$Y$4,2,FALSE),(VLOOKUP($B8,carga_horaria[],2,FALSE)*(HLOOKUP(I$3,'DIA UTEIS'!$B$4:$M$6,3,FALSE)))+HLOOKUP(HR_A_FAZER[[#Headers],[JULHO]],'DIAS FRACIONADOS'!$B$3:$Y$4,2,FALSE)))</f>
        <v>7.3333333333333339</v>
      </c>
      <c r="J8" s="46">
        <f>IF(VLOOKUP($B8,quadro_de_func[#All],3,FALSE)="MENOR APRENDIZ",VLOOKUP($B8,carga_horaria[],2,FALSE)*(HLOOKUP(J$3,'DIA UTEIS'!$B$4:$M$6,3,FALSE)+COUNTA('DIAS FRACIONADOS'!$B$6:$B$12)),IF(VLOOKUP($B8,quadro_de_func[#All],3,FALSE)="ESTAGIÁRIO",((VLOOKUP($B8,carga_horaria[],2,FALSE)*HLOOKUP(J$3,'DIA UTEIS'!$B$4:$M$6,3,FALSE))-(HLOOKUP($B8,'EST. PROVAS'!$B$3:$Z$4,2,FALSE)*(VLOOKUP($B8,carga_horaria[],2,FALSE)/2)))+HLOOKUP(HR_A_FAZER[[#Headers],[AGOSTO]],'DIAS FRACIONADOS'!$B$3:$Y$4,2,FALSE),(VLOOKUP($B8,carga_horaria[],2,FALSE)*(HLOOKUP(J$3,'DIA UTEIS'!$B$4:$M$6,3,FALSE)))+HLOOKUP(HR_A_FAZER[[#Headers],[AGOSTO]],'DIAS FRACIONADOS'!$B$3:$Y$4,2,FALSE)))</f>
        <v>7.3333333333333339</v>
      </c>
      <c r="K8" s="46">
        <f>IF(VLOOKUP($B8,quadro_de_func[#All],3,FALSE)="MENOR APRENDIZ",VLOOKUP($B8,carga_horaria[],2,FALSE)*(HLOOKUP(K$3,'DIA UTEIS'!$B$4:$M$6,3,FALSE)+COUNTA('DIAS FRACIONADOS'!$B$6:$B$12)),IF(VLOOKUP($B8,quadro_de_func[#All],3,FALSE)="ESTAGIÁRIO",((VLOOKUP($B8,carga_horaria[],2,FALSE)*HLOOKUP(K$3,'DIA UTEIS'!$B$4:$M$6,3,FALSE))-(HLOOKUP($B8,'EST. PROVAS'!$B$3:$Z$4,2,FALSE)*(VLOOKUP($B8,carga_horaria[],2,FALSE)/2)))+HLOOKUP(HR_A_FAZER[[#Headers],[SETEMBRO]],'DIAS FRACIONADOS'!$B$3:$Y$4,2,FALSE),(VLOOKUP($B8,carga_horaria[],2,FALSE)*(HLOOKUP(K$3,'DIA UTEIS'!$B$4:$M$6,3,FALSE)))+HLOOKUP(HR_A_FAZER[[#Headers],[SETEMBRO]],'DIAS FRACIONADOS'!$B$3:$Y$4,2,FALSE)))</f>
        <v>6.6666666666666679</v>
      </c>
      <c r="L8" s="46">
        <f>IF(VLOOKUP($B8,quadro_de_func[#All],3,FALSE)="MENOR APRENDIZ",VLOOKUP($B8,carga_horaria[],2,FALSE)*(HLOOKUP(L$3,'DIA UTEIS'!$B$4:$M$6,3,FALSE)+COUNTA('DIAS FRACIONADOS'!$B$6:$B$12)),IF(VLOOKUP($B8,quadro_de_func[#All],3,FALSE)="ESTAGIÁRIO",((VLOOKUP($B8,carga_horaria[],2,FALSE)*HLOOKUP(L$3,'DIA UTEIS'!$B$4:$M$6,3,FALSE))-(HLOOKUP($B8,'EST. PROVAS'!$B$3:$Z$4,2,FALSE)*(VLOOKUP($B8,carga_horaria[],2,FALSE)/2)))+HLOOKUP(HR_A_FAZER[[#Headers],[OUTUBRO]],'DIAS FRACIONADOS'!$B$3:$Y$4,2,FALSE),(VLOOKUP($B8,carga_horaria[],2,FALSE)*(HLOOKUP(L$3,'DIA UTEIS'!$B$4:$M$6,3,FALSE)))+HLOOKUP(HR_A_FAZER[[#Headers],[OUTUBRO]],'DIAS FRACIONADOS'!$B$3:$Y$4,2,FALSE)))</f>
        <v>7.6666666666666679</v>
      </c>
      <c r="M8" s="46">
        <f>IF(VLOOKUP($B8,quadro_de_func[#All],3,FALSE)="MENOR APRENDIZ",VLOOKUP($B8,carga_horaria[],2,FALSE)*(HLOOKUP(M$3,'DIA UTEIS'!$B$4:$M$6,3,FALSE)+COUNTA('DIAS FRACIONADOS'!$B$6:$B$12)),IF(VLOOKUP($B8,quadro_de_func[#All],3,FALSE)="ESTAGIÁRIO",((VLOOKUP($B8,carga_horaria[],2,FALSE)*HLOOKUP(M$3,'DIA UTEIS'!$B$4:$M$6,3,FALSE))-(HLOOKUP($B8,'EST. PROVAS'!$B$3:$Z$4,2,FALSE)*(VLOOKUP($B8,carga_horaria[],2,FALSE)/2)))+HLOOKUP(HR_A_FAZER[[#Headers],[NOVEMBRO]],'DIAS FRACIONADOS'!$B$3:$Y$4,2,FALSE),(VLOOKUP($B8,carga_horaria[],2,FALSE)*(HLOOKUP(M$3,'DIA UTEIS'!$B$4:$M$6,3,FALSE)))+HLOOKUP(HR_A_FAZER[[#Headers],[NOVEMBRO]],'DIAS FRACIONADOS'!$B$3:$Y$4,2,FALSE)))</f>
        <v>6.6666666666666679</v>
      </c>
      <c r="N8" s="46">
        <f>IF(VLOOKUP($B8,quadro_de_func[#All],3,FALSE)="MENOR APRENDIZ",VLOOKUP($B8,carga_horaria[],2,FALSE)*(HLOOKUP(N$3,'DIA UTEIS'!$B$4:$M$6,3,FALSE)+COUNTA('DIAS FRACIONADOS'!$B$6:$B$12)),IF(VLOOKUP($B8,quadro_de_func[#All],3,FALSE)="ESTAGIÁRIO",((VLOOKUP($B8,carga_horaria[],2,FALSE)*HLOOKUP(N$3,'DIA UTEIS'!$B$4:$M$6,3,FALSE))-(HLOOKUP($B8,'EST. PROVAS'!$B$3:$Z$4,2,FALSE)*(VLOOKUP($B8,carga_horaria[],2,FALSE)/2)))+HLOOKUP(HR_A_FAZER[[#Headers],[DEZEMBRO]],'DIAS FRACIONADOS'!$B$3:$Y$4,2,FALSE),(VLOOKUP($B8,carga_horaria[],2,FALSE)*(HLOOKUP(N$3,'DIA UTEIS'!$B$4:$M$6,3,FALSE)))+HLOOKUP(HR_A_FAZER[[#Headers],[DEZEMBRO]],'DIAS FRACIONADOS'!$B$3:$Y$4,2,FALSE)))</f>
        <v>7.0000000000000009</v>
      </c>
    </row>
    <row r="9" spans="2:26" ht="18" customHeight="1" x14ac:dyDescent="0.25">
      <c r="B9" s="15" t="str">
        <f>quadro_de_func[[#This Row],[NOME]]</f>
        <v>func 6</v>
      </c>
      <c r="C9" s="46">
        <f>IF(VLOOKUP($B9,quadro_de_func[#All],3,FALSE)="MENOR APRENDIZ",VLOOKUP($B9,carga_horaria[],2,FALSE)*(HLOOKUP(C$3,'DIA UTEIS'!$B$4:$M$6,3,FALSE)+COUNTA('DIAS FRACIONADOS'!$B$6:$B$12)),IF(VLOOKUP($B9,quadro_de_func[#All],3,FALSE)="ESTAGIÁRIO",((VLOOKUP($B9,carga_horaria[],2,FALSE)*HLOOKUP(C$3,'DIA UTEIS'!$B$4:$M$6,3,FALSE))-(HLOOKUP($B9,'EST. PROVAS'!$B$3:$Z$4,2,FALSE)*(VLOOKUP($B9,carga_horaria[],2,FALSE)/2)))+HLOOKUP(HR_A_FAZER[[#Headers],[JANEIRO]],'DIAS FRACIONADOS'!$B$3:$Y$4,2,FALSE),(VLOOKUP($B9,carga_horaria[],2,FALSE)*(HLOOKUP(C$3,'DIA UTEIS'!$B$4:$M$6,3,FALSE)))+HLOOKUP(HR_A_FAZER[[#Headers],[JANEIRO]],'DIAS FRACIONADOS'!$B$3:$Y$4,2,FALSE)))</f>
        <v>5.4583333333333339</v>
      </c>
      <c r="D9" s="46">
        <f>IF(VLOOKUP($B9,quadro_de_func[#All],3,FALSE)="MENOR APRENDIZ",VLOOKUP($B9,carga_horaria[],2,FALSE)*(HLOOKUP(D$3,'DIA UTEIS'!$B$4:$M$6,3,FALSE)+COUNTA('DIAS FRACIONADOS'!$B$6:$B$12)),IF(VLOOKUP($B9,quadro_de_func[#All],3,FALSE)="ESTAGIÁRIO",((VLOOKUP($B9,carga_horaria[],2,FALSE)*HLOOKUP(D$3,'DIA UTEIS'!$B$4:$M$6,3,FALSE))-(HLOOKUP($B9,'EST. PROVAS'!$B$3:$Z$4,2,FALSE)*(VLOOKUP($B9,carga_horaria[],2,FALSE)/2)))+HLOOKUP(HR_A_FAZER[[#Headers],[FEVEREIRO]],'DIAS FRACIONADOS'!$B$3:$Y$4,2,FALSE),(VLOOKUP($B9,carga_horaria[],2,FALSE)*(HLOOKUP(D$3,'DIA UTEIS'!$B$4:$M$6,3,FALSE)))+HLOOKUP(HR_A_FAZER[[#Headers],[FEVEREIRO]],'DIAS FRACIONADOS'!$B$3:$Y$4,2,FALSE)))</f>
        <v>5.0000000000000009</v>
      </c>
      <c r="E9" s="46">
        <f>IF(VLOOKUP($B9,quadro_de_func[#All],3,FALSE)="MENOR APRENDIZ",VLOOKUP($B9,carga_horaria[],2,FALSE)*(HLOOKUP(E$3,'DIA UTEIS'!$B$4:$M$6,3,FALSE)+COUNTA('DIAS FRACIONADOS'!$B$6:$B$12)),IF(VLOOKUP($B9,quadro_de_func[#All],3,FALSE)="ESTAGIÁRIO",((VLOOKUP($B9,carga_horaria[],2,FALSE)*HLOOKUP(E$3,'DIA UTEIS'!$B$4:$M$6,3,FALSE))-(HLOOKUP($B9,'EST. PROVAS'!$B$3:$Z$4,2,FALSE)*(VLOOKUP($B9,carga_horaria[],2,FALSE)/2)))+HLOOKUP(HR_A_FAZER[[#Headers],[MARÇO]],'DIAS FRACIONADOS'!$B$3:$Y$4,2,FALSE),(VLOOKUP($B9,carga_horaria[],2,FALSE)*(HLOOKUP(E$3,'DIA UTEIS'!$B$4:$M$6,3,FALSE)))+HLOOKUP(HR_A_FAZER[[#Headers],[MARÇO]],'DIAS FRACIONADOS'!$B$3:$Y$4,2,FALSE)))</f>
        <v>4.7500000000000009</v>
      </c>
      <c r="F9" s="46">
        <f>IF(VLOOKUP($B9,quadro_de_func[#All],3,FALSE)="MENOR APRENDIZ",VLOOKUP($B9,carga_horaria[],2,FALSE)*(HLOOKUP(F$3,'DIA UTEIS'!$B$4:$M$6,3,FALSE)+COUNTA('DIAS FRACIONADOS'!$B$6:$B$12)),IF(VLOOKUP($B9,quadro_de_func[#All],3,FALSE)="ESTAGIÁRIO",((VLOOKUP($B9,carga_horaria[],2,FALSE)*HLOOKUP(F$3,'DIA UTEIS'!$B$4:$M$6,3,FALSE))-(HLOOKUP($B9,'EST. PROVAS'!$B$3:$Z$4,2,FALSE)*(VLOOKUP($B9,carga_horaria[],2,FALSE)/2)))+HLOOKUP(HR_A_FAZER[[#Headers],[ABRIL]],'DIAS FRACIONADOS'!$B$3:$Y$4,2,FALSE),(VLOOKUP($B9,carga_horaria[],2,FALSE)*(HLOOKUP(F$3,'DIA UTEIS'!$B$4:$M$6,3,FALSE)))+HLOOKUP(HR_A_FAZER[[#Headers],[ABRIL]],'DIAS FRACIONADOS'!$B$3:$Y$4,2,FALSE)))</f>
        <v>5.2500000000000009</v>
      </c>
      <c r="G9" s="46">
        <f>IF(VLOOKUP($B9,quadro_de_func[#All],3,FALSE)="MENOR APRENDIZ",VLOOKUP($B9,carga_horaria[],2,FALSE)*(HLOOKUP(G$3,'DIA UTEIS'!$B$4:$M$6,3,FALSE)+COUNTA('DIAS FRACIONADOS'!$B$6:$B$12)),IF(VLOOKUP($B9,quadro_de_func[#All],3,FALSE)="ESTAGIÁRIO",((VLOOKUP($B9,carga_horaria[],2,FALSE)*HLOOKUP(G$3,'DIA UTEIS'!$B$4:$M$6,3,FALSE))-(HLOOKUP($B9,'EST. PROVAS'!$B$3:$Z$4,2,FALSE)*(VLOOKUP($B9,carga_horaria[],2,FALSE)/2)))+HLOOKUP(HR_A_FAZER[[#Headers],[MAIO]],'DIAS FRACIONADOS'!$B$3:$Y$4,2,FALSE),(VLOOKUP($B9,carga_horaria[],2,FALSE)*(HLOOKUP(G$3,'DIA UTEIS'!$B$4:$M$6,3,FALSE)))+HLOOKUP(HR_A_FAZER[[#Headers],[MAIO]],'DIAS FRACIONADOS'!$B$3:$Y$4,2,FALSE)))</f>
        <v>5.5000000000000009</v>
      </c>
      <c r="H9" s="46">
        <f>IF(VLOOKUP($B9,quadro_de_func[#All],3,FALSE)="MENOR APRENDIZ",VLOOKUP($B9,carga_horaria[],2,FALSE)*(HLOOKUP(H$3,'DIA UTEIS'!$B$4:$M$6,3,FALSE)+COUNTA('DIAS FRACIONADOS'!$B$6:$B$12)),IF(VLOOKUP($B9,quadro_de_func[#All],3,FALSE)="ESTAGIÁRIO",((VLOOKUP($B9,carga_horaria[],2,FALSE)*HLOOKUP(H$3,'DIA UTEIS'!$B$4:$M$6,3,FALSE))-(HLOOKUP($B9,'EST. PROVAS'!$B$3:$Z$4,2,FALSE)*(VLOOKUP($B9,carga_horaria[],2,FALSE)/2)))+HLOOKUP(HR_A_FAZER[[#Headers],[JUNHO]],'DIAS FRACIONADOS'!$B$3:$Y$4,2,FALSE),(VLOOKUP($B9,carga_horaria[],2,FALSE)*(HLOOKUP(H$3,'DIA UTEIS'!$B$4:$M$6,3,FALSE)))+HLOOKUP(HR_A_FAZER[[#Headers],[JUNHO]],'DIAS FRACIONADOS'!$B$3:$Y$4,2,FALSE)))</f>
        <v>4.7500000000000009</v>
      </c>
      <c r="I9" s="46">
        <f>IF(VLOOKUP($B9,quadro_de_func[#All],3,FALSE)="MENOR APRENDIZ",VLOOKUP($B9,carga_horaria[],2,FALSE)*(HLOOKUP(I$3,'DIA UTEIS'!$B$4:$M$6,3,FALSE)+COUNTA('DIAS FRACIONADOS'!$B$6:$B$12)),IF(VLOOKUP($B9,quadro_de_func[#All],3,FALSE)="ESTAGIÁRIO",((VLOOKUP($B9,carga_horaria[],2,FALSE)*HLOOKUP(I$3,'DIA UTEIS'!$B$4:$M$6,3,FALSE))-(HLOOKUP($B9,'EST. PROVAS'!$B$3:$Z$4,2,FALSE)*(VLOOKUP($B9,carga_horaria[],2,FALSE)/2)))+HLOOKUP(HR_A_FAZER[[#Headers],[JULHO]],'DIAS FRACIONADOS'!$B$3:$Y$4,2,FALSE),(VLOOKUP($B9,carga_horaria[],2,FALSE)*(HLOOKUP(I$3,'DIA UTEIS'!$B$4:$M$6,3,FALSE)))+HLOOKUP(HR_A_FAZER[[#Headers],[JULHO]],'DIAS FRACIONADOS'!$B$3:$Y$4,2,FALSE)))</f>
        <v>5.5000000000000009</v>
      </c>
      <c r="J9" s="46">
        <f>IF(VLOOKUP($B9,quadro_de_func[#All],3,FALSE)="MENOR APRENDIZ",VLOOKUP($B9,carga_horaria[],2,FALSE)*(HLOOKUP(J$3,'DIA UTEIS'!$B$4:$M$6,3,FALSE)+COUNTA('DIAS FRACIONADOS'!$B$6:$B$12)),IF(VLOOKUP($B9,quadro_de_func[#All],3,FALSE)="ESTAGIÁRIO",((VLOOKUP($B9,carga_horaria[],2,FALSE)*HLOOKUP(J$3,'DIA UTEIS'!$B$4:$M$6,3,FALSE))-(HLOOKUP($B9,'EST. PROVAS'!$B$3:$Z$4,2,FALSE)*(VLOOKUP($B9,carga_horaria[],2,FALSE)/2)))+HLOOKUP(HR_A_FAZER[[#Headers],[AGOSTO]],'DIAS FRACIONADOS'!$B$3:$Y$4,2,FALSE),(VLOOKUP($B9,carga_horaria[],2,FALSE)*(HLOOKUP(J$3,'DIA UTEIS'!$B$4:$M$6,3,FALSE)))+HLOOKUP(HR_A_FAZER[[#Headers],[AGOSTO]],'DIAS FRACIONADOS'!$B$3:$Y$4,2,FALSE)))</f>
        <v>5.5000000000000009</v>
      </c>
      <c r="K9" s="46">
        <f>IF(VLOOKUP($B9,quadro_de_func[#All],3,FALSE)="MENOR APRENDIZ",VLOOKUP($B9,carga_horaria[],2,FALSE)*(HLOOKUP(K$3,'DIA UTEIS'!$B$4:$M$6,3,FALSE)+COUNTA('DIAS FRACIONADOS'!$B$6:$B$12)),IF(VLOOKUP($B9,quadro_de_func[#All],3,FALSE)="ESTAGIÁRIO",((VLOOKUP($B9,carga_horaria[],2,FALSE)*HLOOKUP(K$3,'DIA UTEIS'!$B$4:$M$6,3,FALSE))-(HLOOKUP($B9,'EST. PROVAS'!$B$3:$Z$4,2,FALSE)*(VLOOKUP($B9,carga_horaria[],2,FALSE)/2)))+HLOOKUP(HR_A_FAZER[[#Headers],[SETEMBRO]],'DIAS FRACIONADOS'!$B$3:$Y$4,2,FALSE),(VLOOKUP($B9,carga_horaria[],2,FALSE)*(HLOOKUP(K$3,'DIA UTEIS'!$B$4:$M$6,3,FALSE)))+HLOOKUP(HR_A_FAZER[[#Headers],[SETEMBRO]],'DIAS FRACIONADOS'!$B$3:$Y$4,2,FALSE)))</f>
        <v>5.0000000000000009</v>
      </c>
      <c r="L9" s="46">
        <f>IF(VLOOKUP($B9,quadro_de_func[#All],3,FALSE)="MENOR APRENDIZ",VLOOKUP($B9,carga_horaria[],2,FALSE)*(HLOOKUP(L$3,'DIA UTEIS'!$B$4:$M$6,3,FALSE)+COUNTA('DIAS FRACIONADOS'!$B$6:$B$12)),IF(VLOOKUP($B9,quadro_de_func[#All],3,FALSE)="ESTAGIÁRIO",((VLOOKUP($B9,carga_horaria[],2,FALSE)*HLOOKUP(L$3,'DIA UTEIS'!$B$4:$M$6,3,FALSE))-(HLOOKUP($B9,'EST. PROVAS'!$B$3:$Z$4,2,FALSE)*(VLOOKUP($B9,carga_horaria[],2,FALSE)/2)))+HLOOKUP(HR_A_FAZER[[#Headers],[OUTUBRO]],'DIAS FRACIONADOS'!$B$3:$Y$4,2,FALSE),(VLOOKUP($B9,carga_horaria[],2,FALSE)*(HLOOKUP(L$3,'DIA UTEIS'!$B$4:$M$6,3,FALSE)))+HLOOKUP(HR_A_FAZER[[#Headers],[OUTUBRO]],'DIAS FRACIONADOS'!$B$3:$Y$4,2,FALSE)))</f>
        <v>5.7500000000000009</v>
      </c>
      <c r="M9" s="46">
        <f>IF(VLOOKUP($B9,quadro_de_func[#All],3,FALSE)="MENOR APRENDIZ",VLOOKUP($B9,carga_horaria[],2,FALSE)*(HLOOKUP(M$3,'DIA UTEIS'!$B$4:$M$6,3,FALSE)+COUNTA('DIAS FRACIONADOS'!$B$6:$B$12)),IF(VLOOKUP($B9,quadro_de_func[#All],3,FALSE)="ESTAGIÁRIO",((VLOOKUP($B9,carga_horaria[],2,FALSE)*HLOOKUP(M$3,'DIA UTEIS'!$B$4:$M$6,3,FALSE))-(HLOOKUP($B9,'EST. PROVAS'!$B$3:$Z$4,2,FALSE)*(VLOOKUP($B9,carga_horaria[],2,FALSE)/2)))+HLOOKUP(HR_A_FAZER[[#Headers],[NOVEMBRO]],'DIAS FRACIONADOS'!$B$3:$Y$4,2,FALSE),(VLOOKUP($B9,carga_horaria[],2,FALSE)*(HLOOKUP(M$3,'DIA UTEIS'!$B$4:$M$6,3,FALSE)))+HLOOKUP(HR_A_FAZER[[#Headers],[NOVEMBRO]],'DIAS FRACIONADOS'!$B$3:$Y$4,2,FALSE)))</f>
        <v>5.0000000000000009</v>
      </c>
      <c r="N9" s="46">
        <f>IF(VLOOKUP($B9,quadro_de_func[#All],3,FALSE)="MENOR APRENDIZ",VLOOKUP($B9,carga_horaria[],2,FALSE)*(HLOOKUP(N$3,'DIA UTEIS'!$B$4:$M$6,3,FALSE)+COUNTA('DIAS FRACIONADOS'!$B$6:$B$12)),IF(VLOOKUP($B9,quadro_de_func[#All],3,FALSE)="ESTAGIÁRIO",((VLOOKUP($B9,carga_horaria[],2,FALSE)*HLOOKUP(N$3,'DIA UTEIS'!$B$4:$M$6,3,FALSE))-(HLOOKUP($B9,'EST. PROVAS'!$B$3:$Z$4,2,FALSE)*(VLOOKUP($B9,carga_horaria[],2,FALSE)/2)))+HLOOKUP(HR_A_FAZER[[#Headers],[DEZEMBRO]],'DIAS FRACIONADOS'!$B$3:$Y$4,2,FALSE),(VLOOKUP($B9,carga_horaria[],2,FALSE)*(HLOOKUP(N$3,'DIA UTEIS'!$B$4:$M$6,3,FALSE)))+HLOOKUP(HR_A_FAZER[[#Headers],[DEZEMBRO]],'DIAS FRACIONADOS'!$B$3:$Y$4,2,FALSE)))</f>
        <v>5.2500000000000009</v>
      </c>
      <c r="O9" s="28"/>
      <c r="P9" s="28"/>
    </row>
    <row r="10" spans="2:26" ht="18" customHeight="1" x14ac:dyDescent="0.25">
      <c r="B10" s="15" t="str">
        <f>quadro_de_func[[#This Row],[NOME]]</f>
        <v>func 7</v>
      </c>
      <c r="C10" s="46">
        <f>IF(VLOOKUP($B10,quadro_de_func[#All],3,FALSE)="MENOR APRENDIZ",VLOOKUP($B10,carga_horaria[],2,FALSE)*(HLOOKUP(C$3,'DIA UTEIS'!$B$4:$M$6,3,FALSE)+COUNTA('DIAS FRACIONADOS'!$B$6:$B$12)),IF(VLOOKUP($B10,quadro_de_func[#All],3,FALSE)="ESTAGIÁRIO",((VLOOKUP($B10,carga_horaria[],2,FALSE)*HLOOKUP(C$3,'DIA UTEIS'!$B$4:$M$6,3,FALSE))-(HLOOKUP($B10,'EST. PROVAS'!$B$3:$Z$4,2,FALSE)*(VLOOKUP($B10,carga_horaria[],2,FALSE)/2)))+HLOOKUP(HR_A_FAZER[[#Headers],[JANEIRO]],'DIAS FRACIONADOS'!$B$3:$Y$4,2,FALSE),(VLOOKUP($B10,carga_horaria[],2,FALSE)*(HLOOKUP(C$3,'DIA UTEIS'!$B$4:$M$6,3,FALSE)))+HLOOKUP(HR_A_FAZER[[#Headers],[JANEIRO]],'DIAS FRACIONADOS'!$B$3:$Y$4,2,FALSE)))</f>
        <v>7.2083333333333339</v>
      </c>
      <c r="D10" s="46">
        <f>IF(VLOOKUP($B10,quadro_de_func[#All],3,FALSE)="MENOR APRENDIZ",VLOOKUP($B10,carga_horaria[],2,FALSE)*(HLOOKUP(D$3,'DIA UTEIS'!$B$4:$M$6,3,FALSE)+COUNTA('DIAS FRACIONADOS'!$B$6:$B$12)),IF(VLOOKUP($B10,quadro_de_func[#All],3,FALSE)="ESTAGIÁRIO",((VLOOKUP($B10,carga_horaria[],2,FALSE)*HLOOKUP(D$3,'DIA UTEIS'!$B$4:$M$6,3,FALSE))-(HLOOKUP($B10,'EST. PROVAS'!$B$3:$Z$4,2,FALSE)*(VLOOKUP($B10,carga_horaria[],2,FALSE)/2)))+HLOOKUP(HR_A_FAZER[[#Headers],[FEVEREIRO]],'DIAS FRACIONADOS'!$B$3:$Y$4,2,FALSE),(VLOOKUP($B10,carga_horaria[],2,FALSE)*(HLOOKUP(D$3,'DIA UTEIS'!$B$4:$M$6,3,FALSE)))+HLOOKUP(HR_A_FAZER[[#Headers],[FEVEREIRO]],'DIAS FRACIONADOS'!$B$3:$Y$4,2,FALSE)))</f>
        <v>6.6666666666666679</v>
      </c>
      <c r="E10" s="46">
        <f>IF(VLOOKUP($B10,quadro_de_func[#All],3,FALSE)="MENOR APRENDIZ",VLOOKUP($B10,carga_horaria[],2,FALSE)*(HLOOKUP(E$3,'DIA UTEIS'!$B$4:$M$6,3,FALSE)+COUNTA('DIAS FRACIONADOS'!$B$6:$B$12)),IF(VLOOKUP($B10,quadro_de_func[#All],3,FALSE)="ESTAGIÁRIO",((VLOOKUP($B10,carga_horaria[],2,FALSE)*HLOOKUP(E$3,'DIA UTEIS'!$B$4:$M$6,3,FALSE))-(HLOOKUP($B10,'EST. PROVAS'!$B$3:$Z$4,2,FALSE)*(VLOOKUP($B10,carga_horaria[],2,FALSE)/2)))+HLOOKUP(HR_A_FAZER[[#Headers],[MARÇO]],'DIAS FRACIONADOS'!$B$3:$Y$4,2,FALSE),(VLOOKUP($B10,carga_horaria[],2,FALSE)*(HLOOKUP(E$3,'DIA UTEIS'!$B$4:$M$6,3,FALSE)))+HLOOKUP(HR_A_FAZER[[#Headers],[MARÇO]],'DIAS FRACIONADOS'!$B$3:$Y$4,2,FALSE)))</f>
        <v>6.2500000000000009</v>
      </c>
      <c r="F10" s="46">
        <f>IF(VLOOKUP($B10,quadro_de_func[#All],3,FALSE)="MENOR APRENDIZ",VLOOKUP($B10,carga_horaria[],2,FALSE)*(HLOOKUP(F$3,'DIA UTEIS'!$B$4:$M$6,3,FALSE)+COUNTA('DIAS FRACIONADOS'!$B$6:$B$12)),IF(VLOOKUP($B10,quadro_de_func[#All],3,FALSE)="ESTAGIÁRIO",((VLOOKUP($B10,carga_horaria[],2,FALSE)*HLOOKUP(F$3,'DIA UTEIS'!$B$4:$M$6,3,FALSE))-(HLOOKUP($B10,'EST. PROVAS'!$B$3:$Z$4,2,FALSE)*(VLOOKUP($B10,carga_horaria[],2,FALSE)/2)))+HLOOKUP(HR_A_FAZER[[#Headers],[ABRIL]],'DIAS FRACIONADOS'!$B$3:$Y$4,2,FALSE),(VLOOKUP($B10,carga_horaria[],2,FALSE)*(HLOOKUP(F$3,'DIA UTEIS'!$B$4:$M$6,3,FALSE)))+HLOOKUP(HR_A_FAZER[[#Headers],[ABRIL]],'DIAS FRACIONADOS'!$B$3:$Y$4,2,FALSE)))</f>
        <v>7.0000000000000009</v>
      </c>
      <c r="G10" s="46">
        <f>IF(VLOOKUP($B10,quadro_de_func[#All],3,FALSE)="MENOR APRENDIZ",VLOOKUP($B10,carga_horaria[],2,FALSE)*(HLOOKUP(G$3,'DIA UTEIS'!$B$4:$M$6,3,FALSE)+COUNTA('DIAS FRACIONADOS'!$B$6:$B$12)),IF(VLOOKUP($B10,quadro_de_func[#All],3,FALSE)="ESTAGIÁRIO",((VLOOKUP($B10,carga_horaria[],2,FALSE)*HLOOKUP(G$3,'DIA UTEIS'!$B$4:$M$6,3,FALSE))-(HLOOKUP($B10,'EST. PROVAS'!$B$3:$Z$4,2,FALSE)*(VLOOKUP($B10,carga_horaria[],2,FALSE)/2)))+HLOOKUP(HR_A_FAZER[[#Headers],[MAIO]],'DIAS FRACIONADOS'!$B$3:$Y$4,2,FALSE),(VLOOKUP($B10,carga_horaria[],2,FALSE)*(HLOOKUP(G$3,'DIA UTEIS'!$B$4:$M$6,3,FALSE)))+HLOOKUP(HR_A_FAZER[[#Headers],[MAIO]],'DIAS FRACIONADOS'!$B$3:$Y$4,2,FALSE)))</f>
        <v>7.3333333333333339</v>
      </c>
      <c r="H10" s="46">
        <f>IF(VLOOKUP($B10,quadro_de_func[#All],3,FALSE)="MENOR APRENDIZ",VLOOKUP($B10,carga_horaria[],2,FALSE)*(HLOOKUP(H$3,'DIA UTEIS'!$B$4:$M$6,3,FALSE)+COUNTA('DIAS FRACIONADOS'!$B$6:$B$12)),IF(VLOOKUP($B10,quadro_de_func[#All],3,FALSE)="ESTAGIÁRIO",((VLOOKUP($B10,carga_horaria[],2,FALSE)*HLOOKUP(H$3,'DIA UTEIS'!$B$4:$M$6,3,FALSE))-(HLOOKUP($B10,'EST. PROVAS'!$B$3:$Z$4,2,FALSE)*(VLOOKUP($B10,carga_horaria[],2,FALSE)/2)))+HLOOKUP(HR_A_FAZER[[#Headers],[JUNHO]],'DIAS FRACIONADOS'!$B$3:$Y$4,2,FALSE),(VLOOKUP($B10,carga_horaria[],2,FALSE)*(HLOOKUP(H$3,'DIA UTEIS'!$B$4:$M$6,3,FALSE)))+HLOOKUP(HR_A_FAZER[[#Headers],[JUNHO]],'DIAS FRACIONADOS'!$B$3:$Y$4,2,FALSE)))</f>
        <v>6.3333333333333339</v>
      </c>
      <c r="I10" s="46">
        <f>IF(VLOOKUP($B10,quadro_de_func[#All],3,FALSE)="MENOR APRENDIZ",VLOOKUP($B10,carga_horaria[],2,FALSE)*(HLOOKUP(I$3,'DIA UTEIS'!$B$4:$M$6,3,FALSE)+COUNTA('DIAS FRACIONADOS'!$B$6:$B$12)),IF(VLOOKUP($B10,quadro_de_func[#All],3,FALSE)="ESTAGIÁRIO",((VLOOKUP($B10,carga_horaria[],2,FALSE)*HLOOKUP(I$3,'DIA UTEIS'!$B$4:$M$6,3,FALSE))-(HLOOKUP($B10,'EST. PROVAS'!$B$3:$Z$4,2,FALSE)*(VLOOKUP($B10,carga_horaria[],2,FALSE)/2)))+HLOOKUP(HR_A_FAZER[[#Headers],[JULHO]],'DIAS FRACIONADOS'!$B$3:$Y$4,2,FALSE),(VLOOKUP($B10,carga_horaria[],2,FALSE)*(HLOOKUP(I$3,'DIA UTEIS'!$B$4:$M$6,3,FALSE)))+HLOOKUP(HR_A_FAZER[[#Headers],[JULHO]],'DIAS FRACIONADOS'!$B$3:$Y$4,2,FALSE)))</f>
        <v>7.3333333333333339</v>
      </c>
      <c r="J10" s="46">
        <f>IF(VLOOKUP($B10,quadro_de_func[#All],3,FALSE)="MENOR APRENDIZ",VLOOKUP($B10,carga_horaria[],2,FALSE)*(HLOOKUP(J$3,'DIA UTEIS'!$B$4:$M$6,3,FALSE)+COUNTA('DIAS FRACIONADOS'!$B$6:$B$12)),IF(VLOOKUP($B10,quadro_de_func[#All],3,FALSE)="ESTAGIÁRIO",((VLOOKUP($B10,carga_horaria[],2,FALSE)*HLOOKUP(J$3,'DIA UTEIS'!$B$4:$M$6,3,FALSE))-(HLOOKUP($B10,'EST. PROVAS'!$B$3:$Z$4,2,FALSE)*(VLOOKUP($B10,carga_horaria[],2,FALSE)/2)))+HLOOKUP(HR_A_FAZER[[#Headers],[AGOSTO]],'DIAS FRACIONADOS'!$B$3:$Y$4,2,FALSE),(VLOOKUP($B10,carga_horaria[],2,FALSE)*(HLOOKUP(J$3,'DIA UTEIS'!$B$4:$M$6,3,FALSE)))+HLOOKUP(HR_A_FAZER[[#Headers],[AGOSTO]],'DIAS FRACIONADOS'!$B$3:$Y$4,2,FALSE)))</f>
        <v>7.3333333333333339</v>
      </c>
      <c r="K10" s="46">
        <f>IF(VLOOKUP($B10,quadro_de_func[#All],3,FALSE)="MENOR APRENDIZ",VLOOKUP($B10,carga_horaria[],2,FALSE)*(HLOOKUP(K$3,'DIA UTEIS'!$B$4:$M$6,3,FALSE)+COUNTA('DIAS FRACIONADOS'!$B$6:$B$12)),IF(VLOOKUP($B10,quadro_de_func[#All],3,FALSE)="ESTAGIÁRIO",((VLOOKUP($B10,carga_horaria[],2,FALSE)*HLOOKUP(K$3,'DIA UTEIS'!$B$4:$M$6,3,FALSE))-(HLOOKUP($B10,'EST. PROVAS'!$B$3:$Z$4,2,FALSE)*(VLOOKUP($B10,carga_horaria[],2,FALSE)/2)))+HLOOKUP(HR_A_FAZER[[#Headers],[SETEMBRO]],'DIAS FRACIONADOS'!$B$3:$Y$4,2,FALSE),(VLOOKUP($B10,carga_horaria[],2,FALSE)*(HLOOKUP(K$3,'DIA UTEIS'!$B$4:$M$6,3,FALSE)))+HLOOKUP(HR_A_FAZER[[#Headers],[SETEMBRO]],'DIAS FRACIONADOS'!$B$3:$Y$4,2,FALSE)))</f>
        <v>6.6666666666666679</v>
      </c>
      <c r="L10" s="46">
        <f>IF(VLOOKUP($B10,quadro_de_func[#All],3,FALSE)="MENOR APRENDIZ",VLOOKUP($B10,carga_horaria[],2,FALSE)*(HLOOKUP(L$3,'DIA UTEIS'!$B$4:$M$6,3,FALSE)+COUNTA('DIAS FRACIONADOS'!$B$6:$B$12)),IF(VLOOKUP($B10,quadro_de_func[#All],3,FALSE)="ESTAGIÁRIO",((VLOOKUP($B10,carga_horaria[],2,FALSE)*HLOOKUP(L$3,'DIA UTEIS'!$B$4:$M$6,3,FALSE))-(HLOOKUP($B10,'EST. PROVAS'!$B$3:$Z$4,2,FALSE)*(VLOOKUP($B10,carga_horaria[],2,FALSE)/2)))+HLOOKUP(HR_A_FAZER[[#Headers],[OUTUBRO]],'DIAS FRACIONADOS'!$B$3:$Y$4,2,FALSE),(VLOOKUP($B10,carga_horaria[],2,FALSE)*(HLOOKUP(L$3,'DIA UTEIS'!$B$4:$M$6,3,FALSE)))+HLOOKUP(HR_A_FAZER[[#Headers],[OUTUBRO]],'DIAS FRACIONADOS'!$B$3:$Y$4,2,FALSE)))</f>
        <v>7.6666666666666679</v>
      </c>
      <c r="M10" s="46">
        <f>IF(VLOOKUP($B10,quadro_de_func[#All],3,FALSE)="MENOR APRENDIZ",VLOOKUP($B10,carga_horaria[],2,FALSE)*(HLOOKUP(M$3,'DIA UTEIS'!$B$4:$M$6,3,FALSE)+COUNTA('DIAS FRACIONADOS'!$B$6:$B$12)),IF(VLOOKUP($B10,quadro_de_func[#All],3,FALSE)="ESTAGIÁRIO",((VLOOKUP($B10,carga_horaria[],2,FALSE)*HLOOKUP(M$3,'DIA UTEIS'!$B$4:$M$6,3,FALSE))-(HLOOKUP($B10,'EST. PROVAS'!$B$3:$Z$4,2,FALSE)*(VLOOKUP($B10,carga_horaria[],2,FALSE)/2)))+HLOOKUP(HR_A_FAZER[[#Headers],[NOVEMBRO]],'DIAS FRACIONADOS'!$B$3:$Y$4,2,FALSE),(VLOOKUP($B10,carga_horaria[],2,FALSE)*(HLOOKUP(M$3,'DIA UTEIS'!$B$4:$M$6,3,FALSE)))+HLOOKUP(HR_A_FAZER[[#Headers],[NOVEMBRO]],'DIAS FRACIONADOS'!$B$3:$Y$4,2,FALSE)))</f>
        <v>6.6666666666666679</v>
      </c>
      <c r="N10" s="46">
        <f>IF(VLOOKUP($B10,quadro_de_func[#All],3,FALSE)="MENOR APRENDIZ",VLOOKUP($B10,carga_horaria[],2,FALSE)*(HLOOKUP(N$3,'DIA UTEIS'!$B$4:$M$6,3,FALSE)+COUNTA('DIAS FRACIONADOS'!$B$6:$B$12)),IF(VLOOKUP($B10,quadro_de_func[#All],3,FALSE)="ESTAGIÁRIO",((VLOOKUP($B10,carga_horaria[],2,FALSE)*HLOOKUP(N$3,'DIA UTEIS'!$B$4:$M$6,3,FALSE))-(HLOOKUP($B10,'EST. PROVAS'!$B$3:$Z$4,2,FALSE)*(VLOOKUP($B10,carga_horaria[],2,FALSE)/2)))+HLOOKUP(HR_A_FAZER[[#Headers],[DEZEMBRO]],'DIAS FRACIONADOS'!$B$3:$Y$4,2,FALSE),(VLOOKUP($B10,carga_horaria[],2,FALSE)*(HLOOKUP(N$3,'DIA UTEIS'!$B$4:$M$6,3,FALSE)))+HLOOKUP(HR_A_FAZER[[#Headers],[DEZEMBRO]],'DIAS FRACIONADOS'!$B$3:$Y$4,2,FALSE)))</f>
        <v>7.0000000000000009</v>
      </c>
      <c r="O10" s="28"/>
    </row>
    <row r="11" spans="2:26" ht="18" customHeight="1" x14ac:dyDescent="0.25">
      <c r="B11" s="15" t="str">
        <f>quadro_de_func[[#This Row],[NOME]]</f>
        <v>func 8</v>
      </c>
      <c r="C11" s="46">
        <f>IF(VLOOKUP($B11,quadro_de_func[#All],3,FALSE)="MENOR APRENDIZ",VLOOKUP($B11,carga_horaria[],2,FALSE)*(HLOOKUP(C$3,'DIA UTEIS'!$B$4:$M$6,3,FALSE)+COUNTA('DIAS FRACIONADOS'!$B$6:$B$12)),IF(VLOOKUP($B11,quadro_de_func[#All],3,FALSE)="ESTAGIÁRIO",((VLOOKUP($B11,carga_horaria[],2,FALSE)*HLOOKUP(C$3,'DIA UTEIS'!$B$4:$M$6,3,FALSE))-(HLOOKUP($B11,'EST. PROVAS'!$B$3:$Z$4,2,FALSE)*(VLOOKUP($B11,carga_horaria[],2,FALSE)/2)))+HLOOKUP(HR_A_FAZER[[#Headers],[JANEIRO]],'DIAS FRACIONADOS'!$B$3:$Y$4,2,FALSE),(VLOOKUP($B11,carga_horaria[],2,FALSE)*(HLOOKUP(C$3,'DIA UTEIS'!$B$4:$M$6,3,FALSE)))+HLOOKUP(HR_A_FAZER[[#Headers],[JANEIRO]],'DIAS FRACIONADOS'!$B$3:$Y$4,2,FALSE)))</f>
        <v>7.2083333333333313</v>
      </c>
      <c r="D11" s="46">
        <f>IF(VLOOKUP($B11,quadro_de_func[#All],3,FALSE)="MENOR APRENDIZ",VLOOKUP($B11,carga_horaria[],2,FALSE)*(HLOOKUP(D$3,'DIA UTEIS'!$B$4:$M$6,3,FALSE)+COUNTA('DIAS FRACIONADOS'!$B$6:$B$12)),IF(VLOOKUP($B11,quadro_de_func[#All],3,FALSE)="ESTAGIÁRIO",((VLOOKUP($B11,carga_horaria[],2,FALSE)*HLOOKUP(D$3,'DIA UTEIS'!$B$4:$M$6,3,FALSE))-(HLOOKUP($B11,'EST. PROVAS'!$B$3:$Z$4,2,FALSE)*(VLOOKUP($B11,carga_horaria[],2,FALSE)/2)))+HLOOKUP(HR_A_FAZER[[#Headers],[FEVEREIRO]],'DIAS FRACIONADOS'!$B$3:$Y$4,2,FALSE),(VLOOKUP($B11,carga_horaria[],2,FALSE)*(HLOOKUP(D$3,'DIA UTEIS'!$B$4:$M$6,3,FALSE)))+HLOOKUP(HR_A_FAZER[[#Headers],[FEVEREIRO]],'DIAS FRACIONADOS'!$B$3:$Y$4,2,FALSE)))</f>
        <v>6.6666666666666652</v>
      </c>
      <c r="E11" s="46">
        <f>IF(VLOOKUP($B11,quadro_de_func[#All],3,FALSE)="MENOR APRENDIZ",VLOOKUP($B11,carga_horaria[],2,FALSE)*(HLOOKUP(E$3,'DIA UTEIS'!$B$4:$M$6,3,FALSE)+COUNTA('DIAS FRACIONADOS'!$B$6:$B$12)),IF(VLOOKUP($B11,quadro_de_func[#All],3,FALSE)="ESTAGIÁRIO",((VLOOKUP($B11,carga_horaria[],2,FALSE)*HLOOKUP(E$3,'DIA UTEIS'!$B$4:$M$6,3,FALSE))-(HLOOKUP($B11,'EST. PROVAS'!$B$3:$Z$4,2,FALSE)*(VLOOKUP($B11,carga_horaria[],2,FALSE)/2)))+HLOOKUP(HR_A_FAZER[[#Headers],[MARÇO]],'DIAS FRACIONADOS'!$B$3:$Y$4,2,FALSE),(VLOOKUP($B11,carga_horaria[],2,FALSE)*(HLOOKUP(E$3,'DIA UTEIS'!$B$4:$M$6,3,FALSE)))+HLOOKUP(HR_A_FAZER[[#Headers],[MARÇO]],'DIAS FRACIONADOS'!$B$3:$Y$4,2,FALSE)))</f>
        <v>6.2499999999999982</v>
      </c>
      <c r="F11" s="46">
        <f>IF(VLOOKUP($B11,quadro_de_func[#All],3,FALSE)="MENOR APRENDIZ",VLOOKUP($B11,carga_horaria[],2,FALSE)*(HLOOKUP(F$3,'DIA UTEIS'!$B$4:$M$6,3,FALSE)+COUNTA('DIAS FRACIONADOS'!$B$6:$B$12)),IF(VLOOKUP($B11,quadro_de_func[#All],3,FALSE)="ESTAGIÁRIO",((VLOOKUP($B11,carga_horaria[],2,FALSE)*HLOOKUP(F$3,'DIA UTEIS'!$B$4:$M$6,3,FALSE))-(HLOOKUP($B11,'EST. PROVAS'!$B$3:$Z$4,2,FALSE)*(VLOOKUP($B11,carga_horaria[],2,FALSE)/2)))+HLOOKUP(HR_A_FAZER[[#Headers],[ABRIL]],'DIAS FRACIONADOS'!$B$3:$Y$4,2,FALSE),(VLOOKUP($B11,carga_horaria[],2,FALSE)*(HLOOKUP(F$3,'DIA UTEIS'!$B$4:$M$6,3,FALSE)))+HLOOKUP(HR_A_FAZER[[#Headers],[ABRIL]],'DIAS FRACIONADOS'!$B$3:$Y$4,2,FALSE)))</f>
        <v>6.9999999999999982</v>
      </c>
      <c r="G11" s="46">
        <f>IF(VLOOKUP($B11,quadro_de_func[#All],3,FALSE)="MENOR APRENDIZ",VLOOKUP($B11,carga_horaria[],2,FALSE)*(HLOOKUP(G$3,'DIA UTEIS'!$B$4:$M$6,3,FALSE)+COUNTA('DIAS FRACIONADOS'!$B$6:$B$12)),IF(VLOOKUP($B11,quadro_de_func[#All],3,FALSE)="ESTAGIÁRIO",((VLOOKUP($B11,carga_horaria[],2,FALSE)*HLOOKUP(G$3,'DIA UTEIS'!$B$4:$M$6,3,FALSE))-(HLOOKUP($B11,'EST. PROVAS'!$B$3:$Z$4,2,FALSE)*(VLOOKUP($B11,carga_horaria[],2,FALSE)/2)))+HLOOKUP(HR_A_FAZER[[#Headers],[MAIO]],'DIAS FRACIONADOS'!$B$3:$Y$4,2,FALSE),(VLOOKUP($B11,carga_horaria[],2,FALSE)*(HLOOKUP(G$3,'DIA UTEIS'!$B$4:$M$6,3,FALSE)))+HLOOKUP(HR_A_FAZER[[#Headers],[MAIO]],'DIAS FRACIONADOS'!$B$3:$Y$4,2,FALSE)))</f>
        <v>7.3333333333333321</v>
      </c>
      <c r="H11" s="46">
        <f>IF(VLOOKUP($B11,quadro_de_func[#All],3,FALSE)="MENOR APRENDIZ",VLOOKUP($B11,carga_horaria[],2,FALSE)*(HLOOKUP(H$3,'DIA UTEIS'!$B$4:$M$6,3,FALSE)+COUNTA('DIAS FRACIONADOS'!$B$6:$B$12)),IF(VLOOKUP($B11,quadro_de_func[#All],3,FALSE)="ESTAGIÁRIO",((VLOOKUP($B11,carga_horaria[],2,FALSE)*HLOOKUP(H$3,'DIA UTEIS'!$B$4:$M$6,3,FALSE))-(HLOOKUP($B11,'EST. PROVAS'!$B$3:$Z$4,2,FALSE)*(VLOOKUP($B11,carga_horaria[],2,FALSE)/2)))+HLOOKUP(HR_A_FAZER[[#Headers],[JUNHO]],'DIAS FRACIONADOS'!$B$3:$Y$4,2,FALSE),(VLOOKUP($B11,carga_horaria[],2,FALSE)*(HLOOKUP(H$3,'DIA UTEIS'!$B$4:$M$6,3,FALSE)))+HLOOKUP(HR_A_FAZER[[#Headers],[JUNHO]],'DIAS FRACIONADOS'!$B$3:$Y$4,2,FALSE)))</f>
        <v>6.3333333333333321</v>
      </c>
      <c r="I11" s="46">
        <f>IF(VLOOKUP($B11,quadro_de_func[#All],3,FALSE)="MENOR APRENDIZ",VLOOKUP($B11,carga_horaria[],2,FALSE)*(HLOOKUP(I$3,'DIA UTEIS'!$B$4:$M$6,3,FALSE)+COUNTA('DIAS FRACIONADOS'!$B$6:$B$12)),IF(VLOOKUP($B11,quadro_de_func[#All],3,FALSE)="ESTAGIÁRIO",((VLOOKUP($B11,carga_horaria[],2,FALSE)*HLOOKUP(I$3,'DIA UTEIS'!$B$4:$M$6,3,FALSE))-(HLOOKUP($B11,'EST. PROVAS'!$B$3:$Z$4,2,FALSE)*(VLOOKUP($B11,carga_horaria[],2,FALSE)/2)))+HLOOKUP(HR_A_FAZER[[#Headers],[JULHO]],'DIAS FRACIONADOS'!$B$3:$Y$4,2,FALSE),(VLOOKUP($B11,carga_horaria[],2,FALSE)*(HLOOKUP(I$3,'DIA UTEIS'!$B$4:$M$6,3,FALSE)))+HLOOKUP(HR_A_FAZER[[#Headers],[JULHO]],'DIAS FRACIONADOS'!$B$3:$Y$4,2,FALSE)))</f>
        <v>7.3333333333333321</v>
      </c>
      <c r="J11" s="46">
        <f>IF(VLOOKUP($B11,quadro_de_func[#All],3,FALSE)="MENOR APRENDIZ",VLOOKUP($B11,carga_horaria[],2,FALSE)*(HLOOKUP(J$3,'DIA UTEIS'!$B$4:$M$6,3,FALSE)+COUNTA('DIAS FRACIONADOS'!$B$6:$B$12)),IF(VLOOKUP($B11,quadro_de_func[#All],3,FALSE)="ESTAGIÁRIO",((VLOOKUP($B11,carga_horaria[],2,FALSE)*HLOOKUP(J$3,'DIA UTEIS'!$B$4:$M$6,3,FALSE))-(HLOOKUP($B11,'EST. PROVAS'!$B$3:$Z$4,2,FALSE)*(VLOOKUP($B11,carga_horaria[],2,FALSE)/2)))+HLOOKUP(HR_A_FAZER[[#Headers],[AGOSTO]],'DIAS FRACIONADOS'!$B$3:$Y$4,2,FALSE),(VLOOKUP($B11,carga_horaria[],2,FALSE)*(HLOOKUP(J$3,'DIA UTEIS'!$B$4:$M$6,3,FALSE)))+HLOOKUP(HR_A_FAZER[[#Headers],[AGOSTO]],'DIAS FRACIONADOS'!$B$3:$Y$4,2,FALSE)))</f>
        <v>7.3333333333333321</v>
      </c>
      <c r="K11" s="46">
        <f>IF(VLOOKUP($B11,quadro_de_func[#All],3,FALSE)="MENOR APRENDIZ",VLOOKUP($B11,carga_horaria[],2,FALSE)*(HLOOKUP(K$3,'DIA UTEIS'!$B$4:$M$6,3,FALSE)+COUNTA('DIAS FRACIONADOS'!$B$6:$B$12)),IF(VLOOKUP($B11,quadro_de_func[#All],3,FALSE)="ESTAGIÁRIO",((VLOOKUP($B11,carga_horaria[],2,FALSE)*HLOOKUP(K$3,'DIA UTEIS'!$B$4:$M$6,3,FALSE))-(HLOOKUP($B11,'EST. PROVAS'!$B$3:$Z$4,2,FALSE)*(VLOOKUP($B11,carga_horaria[],2,FALSE)/2)))+HLOOKUP(HR_A_FAZER[[#Headers],[SETEMBRO]],'DIAS FRACIONADOS'!$B$3:$Y$4,2,FALSE),(VLOOKUP($B11,carga_horaria[],2,FALSE)*(HLOOKUP(K$3,'DIA UTEIS'!$B$4:$M$6,3,FALSE)))+HLOOKUP(HR_A_FAZER[[#Headers],[SETEMBRO]],'DIAS FRACIONADOS'!$B$3:$Y$4,2,FALSE)))</f>
        <v>6.6666666666666652</v>
      </c>
      <c r="L11" s="46">
        <f>IF(VLOOKUP($B11,quadro_de_func[#All],3,FALSE)="MENOR APRENDIZ",VLOOKUP($B11,carga_horaria[],2,FALSE)*(HLOOKUP(L$3,'DIA UTEIS'!$B$4:$M$6,3,FALSE)+COUNTA('DIAS FRACIONADOS'!$B$6:$B$12)),IF(VLOOKUP($B11,quadro_de_func[#All],3,FALSE)="ESTAGIÁRIO",((VLOOKUP($B11,carga_horaria[],2,FALSE)*HLOOKUP(L$3,'DIA UTEIS'!$B$4:$M$6,3,FALSE))-(HLOOKUP($B11,'EST. PROVAS'!$B$3:$Z$4,2,FALSE)*(VLOOKUP($B11,carga_horaria[],2,FALSE)/2)))+HLOOKUP(HR_A_FAZER[[#Headers],[OUTUBRO]],'DIAS FRACIONADOS'!$B$3:$Y$4,2,FALSE),(VLOOKUP($B11,carga_horaria[],2,FALSE)*(HLOOKUP(L$3,'DIA UTEIS'!$B$4:$M$6,3,FALSE)))+HLOOKUP(HR_A_FAZER[[#Headers],[OUTUBRO]],'DIAS FRACIONADOS'!$B$3:$Y$4,2,FALSE)))</f>
        <v>7.6666666666666652</v>
      </c>
      <c r="M11" s="46">
        <f>IF(VLOOKUP($B11,quadro_de_func[#All],3,FALSE)="MENOR APRENDIZ",VLOOKUP($B11,carga_horaria[],2,FALSE)*(HLOOKUP(M$3,'DIA UTEIS'!$B$4:$M$6,3,FALSE)+COUNTA('DIAS FRACIONADOS'!$B$6:$B$12)),IF(VLOOKUP($B11,quadro_de_func[#All],3,FALSE)="ESTAGIÁRIO",((VLOOKUP($B11,carga_horaria[],2,FALSE)*HLOOKUP(M$3,'DIA UTEIS'!$B$4:$M$6,3,FALSE))-(HLOOKUP($B11,'EST. PROVAS'!$B$3:$Z$4,2,FALSE)*(VLOOKUP($B11,carga_horaria[],2,FALSE)/2)))+HLOOKUP(HR_A_FAZER[[#Headers],[NOVEMBRO]],'DIAS FRACIONADOS'!$B$3:$Y$4,2,FALSE),(VLOOKUP($B11,carga_horaria[],2,FALSE)*(HLOOKUP(M$3,'DIA UTEIS'!$B$4:$M$6,3,FALSE)))+HLOOKUP(HR_A_FAZER[[#Headers],[NOVEMBRO]],'DIAS FRACIONADOS'!$B$3:$Y$4,2,FALSE)))</f>
        <v>6.6666666666666652</v>
      </c>
      <c r="N11" s="46">
        <f>IF(VLOOKUP($B11,quadro_de_func[#All],3,FALSE)="MENOR APRENDIZ",VLOOKUP($B11,carga_horaria[],2,FALSE)*(HLOOKUP(N$3,'DIA UTEIS'!$B$4:$M$6,3,FALSE)+COUNTA('DIAS FRACIONADOS'!$B$6:$B$12)),IF(VLOOKUP($B11,quadro_de_func[#All],3,FALSE)="ESTAGIÁRIO",((VLOOKUP($B11,carga_horaria[],2,FALSE)*HLOOKUP(N$3,'DIA UTEIS'!$B$4:$M$6,3,FALSE))-(HLOOKUP($B11,'EST. PROVAS'!$B$3:$Z$4,2,FALSE)*(VLOOKUP($B11,carga_horaria[],2,FALSE)/2)))+HLOOKUP(HR_A_FAZER[[#Headers],[DEZEMBRO]],'DIAS FRACIONADOS'!$B$3:$Y$4,2,FALSE),(VLOOKUP($B11,carga_horaria[],2,FALSE)*(HLOOKUP(N$3,'DIA UTEIS'!$B$4:$M$6,3,FALSE)))+HLOOKUP(HR_A_FAZER[[#Headers],[DEZEMBRO]],'DIAS FRACIONADOS'!$B$3:$Y$4,2,FALSE)))</f>
        <v>6.9999999999999982</v>
      </c>
      <c r="O11" s="28"/>
    </row>
    <row r="12" spans="2:26" ht="18" customHeight="1" x14ac:dyDescent="0.25">
      <c r="B12" s="15" t="str">
        <f>quadro_de_func[[#This Row],[NOME]]</f>
        <v>func 9</v>
      </c>
      <c r="C12" s="46">
        <f>IF(VLOOKUP($B12,quadro_de_func[#All],3,FALSE)="MENOR APRENDIZ",VLOOKUP($B12,carga_horaria[],2,FALSE)*(HLOOKUP(C$3,'DIA UTEIS'!$B$4:$M$6,3,FALSE)+COUNTA('DIAS FRACIONADOS'!$B$6:$B$12)),IF(VLOOKUP($B12,quadro_de_func[#All],3,FALSE)="ESTAGIÁRIO",((VLOOKUP($B12,carga_horaria[],2,FALSE)*HLOOKUP(C$3,'DIA UTEIS'!$B$4:$M$6,3,FALSE))-(HLOOKUP($B12,'EST. PROVAS'!$B$3:$Z$4,2,FALSE)*(VLOOKUP($B12,carga_horaria[],2,FALSE)/2)))+HLOOKUP(HR_A_FAZER[[#Headers],[JANEIRO]],'DIAS FRACIONADOS'!$B$3:$Y$4,2,FALSE),(VLOOKUP($B12,carga_horaria[],2,FALSE)*(HLOOKUP(C$3,'DIA UTEIS'!$B$4:$M$6,3,FALSE)))+HLOOKUP(HR_A_FAZER[[#Headers],[JANEIRO]],'DIAS FRACIONADOS'!$B$3:$Y$4,2,FALSE)))</f>
        <v>7.2083333333333313</v>
      </c>
      <c r="D12" s="46">
        <f>IF(VLOOKUP($B12,quadro_de_func[#All],3,FALSE)="MENOR APRENDIZ",VLOOKUP($B12,carga_horaria[],2,FALSE)*(HLOOKUP(D$3,'DIA UTEIS'!$B$4:$M$6,3,FALSE)+COUNTA('DIAS FRACIONADOS'!$B$6:$B$12)),IF(VLOOKUP($B12,quadro_de_func[#All],3,FALSE)="ESTAGIÁRIO",((VLOOKUP($B12,carga_horaria[],2,FALSE)*HLOOKUP(D$3,'DIA UTEIS'!$B$4:$M$6,3,FALSE))-(HLOOKUP($B12,'EST. PROVAS'!$B$3:$Z$4,2,FALSE)*(VLOOKUP($B12,carga_horaria[],2,FALSE)/2)))+HLOOKUP(HR_A_FAZER[[#Headers],[FEVEREIRO]],'DIAS FRACIONADOS'!$B$3:$Y$4,2,FALSE),(VLOOKUP($B12,carga_horaria[],2,FALSE)*(HLOOKUP(D$3,'DIA UTEIS'!$B$4:$M$6,3,FALSE)))+HLOOKUP(HR_A_FAZER[[#Headers],[FEVEREIRO]],'DIAS FRACIONADOS'!$B$3:$Y$4,2,FALSE)))</f>
        <v>6.6666666666666652</v>
      </c>
      <c r="E12" s="46">
        <f>IF(VLOOKUP($B12,quadro_de_func[#All],3,FALSE)="MENOR APRENDIZ",VLOOKUP($B12,carga_horaria[],2,FALSE)*(HLOOKUP(E$3,'DIA UTEIS'!$B$4:$M$6,3,FALSE)+COUNTA('DIAS FRACIONADOS'!$B$6:$B$12)),IF(VLOOKUP($B12,quadro_de_func[#All],3,FALSE)="ESTAGIÁRIO",((VLOOKUP($B12,carga_horaria[],2,FALSE)*HLOOKUP(E$3,'DIA UTEIS'!$B$4:$M$6,3,FALSE))-(HLOOKUP($B12,'EST. PROVAS'!$B$3:$Z$4,2,FALSE)*(VLOOKUP($B12,carga_horaria[],2,FALSE)/2)))+HLOOKUP(HR_A_FAZER[[#Headers],[MARÇO]],'DIAS FRACIONADOS'!$B$3:$Y$4,2,FALSE),(VLOOKUP($B12,carga_horaria[],2,FALSE)*(HLOOKUP(E$3,'DIA UTEIS'!$B$4:$M$6,3,FALSE)))+HLOOKUP(HR_A_FAZER[[#Headers],[MARÇO]],'DIAS FRACIONADOS'!$B$3:$Y$4,2,FALSE)))</f>
        <v>6.2499999999999982</v>
      </c>
      <c r="F12" s="46">
        <f>IF(VLOOKUP($B12,quadro_de_func[#All],3,FALSE)="MENOR APRENDIZ",VLOOKUP($B12,carga_horaria[],2,FALSE)*(HLOOKUP(F$3,'DIA UTEIS'!$B$4:$M$6,3,FALSE)+COUNTA('DIAS FRACIONADOS'!$B$6:$B$12)),IF(VLOOKUP($B12,quadro_de_func[#All],3,FALSE)="ESTAGIÁRIO",((VLOOKUP($B12,carga_horaria[],2,FALSE)*HLOOKUP(F$3,'DIA UTEIS'!$B$4:$M$6,3,FALSE))-(HLOOKUP($B12,'EST. PROVAS'!$B$3:$Z$4,2,FALSE)*(VLOOKUP($B12,carga_horaria[],2,FALSE)/2)))+HLOOKUP(HR_A_FAZER[[#Headers],[ABRIL]],'DIAS FRACIONADOS'!$B$3:$Y$4,2,FALSE),(VLOOKUP($B12,carga_horaria[],2,FALSE)*(HLOOKUP(F$3,'DIA UTEIS'!$B$4:$M$6,3,FALSE)))+HLOOKUP(HR_A_FAZER[[#Headers],[ABRIL]],'DIAS FRACIONADOS'!$B$3:$Y$4,2,FALSE)))</f>
        <v>6.9999999999999982</v>
      </c>
      <c r="G12" s="46">
        <f>IF(VLOOKUP($B12,quadro_de_func[#All],3,FALSE)="MENOR APRENDIZ",VLOOKUP($B12,carga_horaria[],2,FALSE)*(HLOOKUP(G$3,'DIA UTEIS'!$B$4:$M$6,3,FALSE)+COUNTA('DIAS FRACIONADOS'!$B$6:$B$12)),IF(VLOOKUP($B12,quadro_de_func[#All],3,FALSE)="ESTAGIÁRIO",((VLOOKUP($B12,carga_horaria[],2,FALSE)*HLOOKUP(G$3,'DIA UTEIS'!$B$4:$M$6,3,FALSE))-(HLOOKUP($B12,'EST. PROVAS'!$B$3:$Z$4,2,FALSE)*(VLOOKUP($B12,carga_horaria[],2,FALSE)/2)))+HLOOKUP(HR_A_FAZER[[#Headers],[MAIO]],'DIAS FRACIONADOS'!$B$3:$Y$4,2,FALSE),(VLOOKUP($B12,carga_horaria[],2,FALSE)*(HLOOKUP(G$3,'DIA UTEIS'!$B$4:$M$6,3,FALSE)))+HLOOKUP(HR_A_FAZER[[#Headers],[MAIO]],'DIAS FRACIONADOS'!$B$3:$Y$4,2,FALSE)))</f>
        <v>7.3333333333333321</v>
      </c>
      <c r="H12" s="46">
        <f>IF(VLOOKUP($B12,quadro_de_func[#All],3,FALSE)="MENOR APRENDIZ",VLOOKUP($B12,carga_horaria[],2,FALSE)*(HLOOKUP(H$3,'DIA UTEIS'!$B$4:$M$6,3,FALSE)+COUNTA('DIAS FRACIONADOS'!$B$6:$B$12)),IF(VLOOKUP($B12,quadro_de_func[#All],3,FALSE)="ESTAGIÁRIO",((VLOOKUP($B12,carga_horaria[],2,FALSE)*HLOOKUP(H$3,'DIA UTEIS'!$B$4:$M$6,3,FALSE))-(HLOOKUP($B12,'EST. PROVAS'!$B$3:$Z$4,2,FALSE)*(VLOOKUP($B12,carga_horaria[],2,FALSE)/2)))+HLOOKUP(HR_A_FAZER[[#Headers],[JUNHO]],'DIAS FRACIONADOS'!$B$3:$Y$4,2,FALSE),(VLOOKUP($B12,carga_horaria[],2,FALSE)*(HLOOKUP(H$3,'DIA UTEIS'!$B$4:$M$6,3,FALSE)))+HLOOKUP(HR_A_FAZER[[#Headers],[JUNHO]],'DIAS FRACIONADOS'!$B$3:$Y$4,2,FALSE)))</f>
        <v>6.3333333333333321</v>
      </c>
      <c r="I12" s="46">
        <f>IF(VLOOKUP($B12,quadro_de_func[#All],3,FALSE)="MENOR APRENDIZ",VLOOKUP($B12,carga_horaria[],2,FALSE)*(HLOOKUP(I$3,'DIA UTEIS'!$B$4:$M$6,3,FALSE)+COUNTA('DIAS FRACIONADOS'!$B$6:$B$12)),IF(VLOOKUP($B12,quadro_de_func[#All],3,FALSE)="ESTAGIÁRIO",((VLOOKUP($B12,carga_horaria[],2,FALSE)*HLOOKUP(I$3,'DIA UTEIS'!$B$4:$M$6,3,FALSE))-(HLOOKUP($B12,'EST. PROVAS'!$B$3:$Z$4,2,FALSE)*(VLOOKUP($B12,carga_horaria[],2,FALSE)/2)))+HLOOKUP(HR_A_FAZER[[#Headers],[JULHO]],'DIAS FRACIONADOS'!$B$3:$Y$4,2,FALSE),(VLOOKUP($B12,carga_horaria[],2,FALSE)*(HLOOKUP(I$3,'DIA UTEIS'!$B$4:$M$6,3,FALSE)))+HLOOKUP(HR_A_FAZER[[#Headers],[JULHO]],'DIAS FRACIONADOS'!$B$3:$Y$4,2,FALSE)))</f>
        <v>7.3333333333333321</v>
      </c>
      <c r="J12" s="46">
        <f>IF(VLOOKUP($B12,quadro_de_func[#All],3,FALSE)="MENOR APRENDIZ",VLOOKUP($B12,carga_horaria[],2,FALSE)*(HLOOKUP(J$3,'DIA UTEIS'!$B$4:$M$6,3,FALSE)+COUNTA('DIAS FRACIONADOS'!$B$6:$B$12)),IF(VLOOKUP($B12,quadro_de_func[#All],3,FALSE)="ESTAGIÁRIO",((VLOOKUP($B12,carga_horaria[],2,FALSE)*HLOOKUP(J$3,'DIA UTEIS'!$B$4:$M$6,3,FALSE))-(HLOOKUP($B12,'EST. PROVAS'!$B$3:$Z$4,2,FALSE)*(VLOOKUP($B12,carga_horaria[],2,FALSE)/2)))+HLOOKUP(HR_A_FAZER[[#Headers],[AGOSTO]],'DIAS FRACIONADOS'!$B$3:$Y$4,2,FALSE),(VLOOKUP($B12,carga_horaria[],2,FALSE)*(HLOOKUP(J$3,'DIA UTEIS'!$B$4:$M$6,3,FALSE)))+HLOOKUP(HR_A_FAZER[[#Headers],[AGOSTO]],'DIAS FRACIONADOS'!$B$3:$Y$4,2,FALSE)))</f>
        <v>7.3333333333333321</v>
      </c>
      <c r="K12" s="46">
        <f>IF(VLOOKUP($B12,quadro_de_func[#All],3,FALSE)="MENOR APRENDIZ",VLOOKUP($B12,carga_horaria[],2,FALSE)*(HLOOKUP(K$3,'DIA UTEIS'!$B$4:$M$6,3,FALSE)+COUNTA('DIAS FRACIONADOS'!$B$6:$B$12)),IF(VLOOKUP($B12,quadro_de_func[#All],3,FALSE)="ESTAGIÁRIO",((VLOOKUP($B12,carga_horaria[],2,FALSE)*HLOOKUP(K$3,'DIA UTEIS'!$B$4:$M$6,3,FALSE))-(HLOOKUP($B12,'EST. PROVAS'!$B$3:$Z$4,2,FALSE)*(VLOOKUP($B12,carga_horaria[],2,FALSE)/2)))+HLOOKUP(HR_A_FAZER[[#Headers],[SETEMBRO]],'DIAS FRACIONADOS'!$B$3:$Y$4,2,FALSE),(VLOOKUP($B12,carga_horaria[],2,FALSE)*(HLOOKUP(K$3,'DIA UTEIS'!$B$4:$M$6,3,FALSE)))+HLOOKUP(HR_A_FAZER[[#Headers],[SETEMBRO]],'DIAS FRACIONADOS'!$B$3:$Y$4,2,FALSE)))</f>
        <v>6.6666666666666652</v>
      </c>
      <c r="L12" s="46">
        <f>IF(VLOOKUP($B12,quadro_de_func[#All],3,FALSE)="MENOR APRENDIZ",VLOOKUP($B12,carga_horaria[],2,FALSE)*(HLOOKUP(L$3,'DIA UTEIS'!$B$4:$M$6,3,FALSE)+COUNTA('DIAS FRACIONADOS'!$B$6:$B$12)),IF(VLOOKUP($B12,quadro_de_func[#All],3,FALSE)="ESTAGIÁRIO",((VLOOKUP($B12,carga_horaria[],2,FALSE)*HLOOKUP(L$3,'DIA UTEIS'!$B$4:$M$6,3,FALSE))-(HLOOKUP($B12,'EST. PROVAS'!$B$3:$Z$4,2,FALSE)*(VLOOKUP($B12,carga_horaria[],2,FALSE)/2)))+HLOOKUP(HR_A_FAZER[[#Headers],[OUTUBRO]],'DIAS FRACIONADOS'!$B$3:$Y$4,2,FALSE),(VLOOKUP($B12,carga_horaria[],2,FALSE)*(HLOOKUP(L$3,'DIA UTEIS'!$B$4:$M$6,3,FALSE)))+HLOOKUP(HR_A_FAZER[[#Headers],[OUTUBRO]],'DIAS FRACIONADOS'!$B$3:$Y$4,2,FALSE)))</f>
        <v>7.6666666666666652</v>
      </c>
      <c r="M12" s="46">
        <f>IF(VLOOKUP($B12,quadro_de_func[#All],3,FALSE)="MENOR APRENDIZ",VLOOKUP($B12,carga_horaria[],2,FALSE)*(HLOOKUP(M$3,'DIA UTEIS'!$B$4:$M$6,3,FALSE)+COUNTA('DIAS FRACIONADOS'!$B$6:$B$12)),IF(VLOOKUP($B12,quadro_de_func[#All],3,FALSE)="ESTAGIÁRIO",((VLOOKUP($B12,carga_horaria[],2,FALSE)*HLOOKUP(M$3,'DIA UTEIS'!$B$4:$M$6,3,FALSE))-(HLOOKUP($B12,'EST. PROVAS'!$B$3:$Z$4,2,FALSE)*(VLOOKUP($B12,carga_horaria[],2,FALSE)/2)))+HLOOKUP(HR_A_FAZER[[#Headers],[NOVEMBRO]],'DIAS FRACIONADOS'!$B$3:$Y$4,2,FALSE),(VLOOKUP($B12,carga_horaria[],2,FALSE)*(HLOOKUP(M$3,'DIA UTEIS'!$B$4:$M$6,3,FALSE)))+HLOOKUP(HR_A_FAZER[[#Headers],[NOVEMBRO]],'DIAS FRACIONADOS'!$B$3:$Y$4,2,FALSE)))</f>
        <v>6.6666666666666652</v>
      </c>
      <c r="N12" s="46">
        <f>IF(VLOOKUP($B12,quadro_de_func[#All],3,FALSE)="MENOR APRENDIZ",VLOOKUP($B12,carga_horaria[],2,FALSE)*(HLOOKUP(N$3,'DIA UTEIS'!$B$4:$M$6,3,FALSE)+COUNTA('DIAS FRACIONADOS'!$B$6:$B$12)),IF(VLOOKUP($B12,quadro_de_func[#All],3,FALSE)="ESTAGIÁRIO",((VLOOKUP($B12,carga_horaria[],2,FALSE)*HLOOKUP(N$3,'DIA UTEIS'!$B$4:$M$6,3,FALSE))-(HLOOKUP($B12,'EST. PROVAS'!$B$3:$Z$4,2,FALSE)*(VLOOKUP($B12,carga_horaria[],2,FALSE)/2)))+HLOOKUP(HR_A_FAZER[[#Headers],[DEZEMBRO]],'DIAS FRACIONADOS'!$B$3:$Y$4,2,FALSE),(VLOOKUP($B12,carga_horaria[],2,FALSE)*(HLOOKUP(N$3,'DIA UTEIS'!$B$4:$M$6,3,FALSE)))+HLOOKUP(HR_A_FAZER[[#Headers],[DEZEMBRO]],'DIAS FRACIONADOS'!$B$3:$Y$4,2,FALSE)))</f>
        <v>6.9999999999999982</v>
      </c>
      <c r="O12" s="28"/>
    </row>
    <row r="13" spans="2:26" ht="18" customHeight="1" x14ac:dyDescent="0.25">
      <c r="B13" s="15" t="str">
        <f>quadro_de_func[[#This Row],[NOME]]</f>
        <v>func 10</v>
      </c>
      <c r="C13" s="46">
        <f>IF(VLOOKUP($B13,quadro_de_func[#All],3,FALSE)="MENOR APRENDIZ",VLOOKUP($B13,carga_horaria[],2,FALSE)*(HLOOKUP(C$3,'DIA UTEIS'!$B$4:$M$6,3,FALSE)+COUNTA('DIAS FRACIONADOS'!$B$6:$B$12)),IF(VLOOKUP($B13,quadro_de_func[#All],3,FALSE)="ESTAGIÁRIO",((VLOOKUP($B13,carga_horaria[],2,FALSE)*HLOOKUP(C$3,'DIA UTEIS'!$B$4:$M$6,3,FALSE))-(HLOOKUP($B13,'EST. PROVAS'!$B$3:$Z$4,2,FALSE)*(VLOOKUP($B13,carga_horaria[],2,FALSE)/2)))+HLOOKUP(HR_A_FAZER[[#Headers],[JANEIRO]],'DIAS FRACIONADOS'!$B$3:$Y$4,2,FALSE),(VLOOKUP($B13,carga_horaria[],2,FALSE)*(HLOOKUP(C$3,'DIA UTEIS'!$B$4:$M$6,3,FALSE)))+HLOOKUP(HR_A_FAZER[[#Headers],[JANEIRO]],'DIAS FRACIONADOS'!$B$3:$Y$4,2,FALSE)))</f>
        <v>7.2083333333333339</v>
      </c>
      <c r="D13" s="46">
        <f>IF(VLOOKUP($B13,quadro_de_func[#All],3,FALSE)="MENOR APRENDIZ",VLOOKUP($B13,carga_horaria[],2,FALSE)*(HLOOKUP(D$3,'DIA UTEIS'!$B$4:$M$6,3,FALSE)+COUNTA('DIAS FRACIONADOS'!$B$6:$B$12)),IF(VLOOKUP($B13,quadro_de_func[#All],3,FALSE)="ESTAGIÁRIO",((VLOOKUP($B13,carga_horaria[],2,FALSE)*HLOOKUP(D$3,'DIA UTEIS'!$B$4:$M$6,3,FALSE))-(HLOOKUP($B13,'EST. PROVAS'!$B$3:$Z$4,2,FALSE)*(VLOOKUP($B13,carga_horaria[],2,FALSE)/2)))+HLOOKUP(HR_A_FAZER[[#Headers],[FEVEREIRO]],'DIAS FRACIONADOS'!$B$3:$Y$4,2,FALSE),(VLOOKUP($B13,carga_horaria[],2,FALSE)*(HLOOKUP(D$3,'DIA UTEIS'!$B$4:$M$6,3,FALSE)))+HLOOKUP(HR_A_FAZER[[#Headers],[FEVEREIRO]],'DIAS FRACIONADOS'!$B$3:$Y$4,2,FALSE)))</f>
        <v>6.6666666666666679</v>
      </c>
      <c r="E13" s="46">
        <f>IF(VLOOKUP($B13,quadro_de_func[#All],3,FALSE)="MENOR APRENDIZ",VLOOKUP($B13,carga_horaria[],2,FALSE)*(HLOOKUP(E$3,'DIA UTEIS'!$B$4:$M$6,3,FALSE)+COUNTA('DIAS FRACIONADOS'!$B$6:$B$12)),IF(VLOOKUP($B13,quadro_de_func[#All],3,FALSE)="ESTAGIÁRIO",((VLOOKUP($B13,carga_horaria[],2,FALSE)*HLOOKUP(E$3,'DIA UTEIS'!$B$4:$M$6,3,FALSE))-(HLOOKUP($B13,'EST. PROVAS'!$B$3:$Z$4,2,FALSE)*(VLOOKUP($B13,carga_horaria[],2,FALSE)/2)))+HLOOKUP(HR_A_FAZER[[#Headers],[MARÇO]],'DIAS FRACIONADOS'!$B$3:$Y$4,2,FALSE),(VLOOKUP($B13,carga_horaria[],2,FALSE)*(HLOOKUP(E$3,'DIA UTEIS'!$B$4:$M$6,3,FALSE)))+HLOOKUP(HR_A_FAZER[[#Headers],[MARÇO]],'DIAS FRACIONADOS'!$B$3:$Y$4,2,FALSE)))</f>
        <v>6.2500000000000009</v>
      </c>
      <c r="F13" s="46">
        <f>IF(VLOOKUP($B13,quadro_de_func[#All],3,FALSE)="MENOR APRENDIZ",VLOOKUP($B13,carga_horaria[],2,FALSE)*(HLOOKUP(F$3,'DIA UTEIS'!$B$4:$M$6,3,FALSE)+COUNTA('DIAS FRACIONADOS'!$B$6:$B$12)),IF(VLOOKUP($B13,quadro_de_func[#All],3,FALSE)="ESTAGIÁRIO",((VLOOKUP($B13,carga_horaria[],2,FALSE)*HLOOKUP(F$3,'DIA UTEIS'!$B$4:$M$6,3,FALSE))-(HLOOKUP($B13,'EST. PROVAS'!$B$3:$Z$4,2,FALSE)*(VLOOKUP($B13,carga_horaria[],2,FALSE)/2)))+HLOOKUP(HR_A_FAZER[[#Headers],[ABRIL]],'DIAS FRACIONADOS'!$B$3:$Y$4,2,FALSE),(VLOOKUP($B13,carga_horaria[],2,FALSE)*(HLOOKUP(F$3,'DIA UTEIS'!$B$4:$M$6,3,FALSE)))+HLOOKUP(HR_A_FAZER[[#Headers],[ABRIL]],'DIAS FRACIONADOS'!$B$3:$Y$4,2,FALSE)))</f>
        <v>7.0000000000000009</v>
      </c>
      <c r="G13" s="46">
        <f>IF(VLOOKUP($B13,quadro_de_func[#All],3,FALSE)="MENOR APRENDIZ",VLOOKUP($B13,carga_horaria[],2,FALSE)*(HLOOKUP(G$3,'DIA UTEIS'!$B$4:$M$6,3,FALSE)+COUNTA('DIAS FRACIONADOS'!$B$6:$B$12)),IF(VLOOKUP($B13,quadro_de_func[#All],3,FALSE)="ESTAGIÁRIO",((VLOOKUP($B13,carga_horaria[],2,FALSE)*HLOOKUP(G$3,'DIA UTEIS'!$B$4:$M$6,3,FALSE))-(HLOOKUP($B13,'EST. PROVAS'!$B$3:$Z$4,2,FALSE)*(VLOOKUP($B13,carga_horaria[],2,FALSE)/2)))+HLOOKUP(HR_A_FAZER[[#Headers],[MAIO]],'DIAS FRACIONADOS'!$B$3:$Y$4,2,FALSE),(VLOOKUP($B13,carga_horaria[],2,FALSE)*(HLOOKUP(G$3,'DIA UTEIS'!$B$4:$M$6,3,FALSE)))+HLOOKUP(HR_A_FAZER[[#Headers],[MAIO]],'DIAS FRACIONADOS'!$B$3:$Y$4,2,FALSE)))</f>
        <v>7.3333333333333339</v>
      </c>
      <c r="H13" s="46">
        <f>IF(VLOOKUP($B13,quadro_de_func[#All],3,FALSE)="MENOR APRENDIZ",VLOOKUP($B13,carga_horaria[],2,FALSE)*(HLOOKUP(H$3,'DIA UTEIS'!$B$4:$M$6,3,FALSE)+COUNTA('DIAS FRACIONADOS'!$B$6:$B$12)),IF(VLOOKUP($B13,quadro_de_func[#All],3,FALSE)="ESTAGIÁRIO",((VLOOKUP($B13,carga_horaria[],2,FALSE)*HLOOKUP(H$3,'DIA UTEIS'!$B$4:$M$6,3,FALSE))-(HLOOKUP($B13,'EST. PROVAS'!$B$3:$Z$4,2,FALSE)*(VLOOKUP($B13,carga_horaria[],2,FALSE)/2)))+HLOOKUP(HR_A_FAZER[[#Headers],[JUNHO]],'DIAS FRACIONADOS'!$B$3:$Y$4,2,FALSE),(VLOOKUP($B13,carga_horaria[],2,FALSE)*(HLOOKUP(H$3,'DIA UTEIS'!$B$4:$M$6,3,FALSE)))+HLOOKUP(HR_A_FAZER[[#Headers],[JUNHO]],'DIAS FRACIONADOS'!$B$3:$Y$4,2,FALSE)))</f>
        <v>6.3333333333333339</v>
      </c>
      <c r="I13" s="46">
        <f>IF(VLOOKUP($B13,quadro_de_func[#All],3,FALSE)="MENOR APRENDIZ",VLOOKUP($B13,carga_horaria[],2,FALSE)*(HLOOKUP(I$3,'DIA UTEIS'!$B$4:$M$6,3,FALSE)+COUNTA('DIAS FRACIONADOS'!$B$6:$B$12)),IF(VLOOKUP($B13,quadro_de_func[#All],3,FALSE)="ESTAGIÁRIO",((VLOOKUP($B13,carga_horaria[],2,FALSE)*HLOOKUP(I$3,'DIA UTEIS'!$B$4:$M$6,3,FALSE))-(HLOOKUP($B13,'EST. PROVAS'!$B$3:$Z$4,2,FALSE)*(VLOOKUP($B13,carga_horaria[],2,FALSE)/2)))+HLOOKUP(HR_A_FAZER[[#Headers],[JULHO]],'DIAS FRACIONADOS'!$B$3:$Y$4,2,FALSE),(VLOOKUP($B13,carga_horaria[],2,FALSE)*(HLOOKUP(I$3,'DIA UTEIS'!$B$4:$M$6,3,FALSE)))+HLOOKUP(HR_A_FAZER[[#Headers],[JULHO]],'DIAS FRACIONADOS'!$B$3:$Y$4,2,FALSE)))</f>
        <v>7.3333333333333339</v>
      </c>
      <c r="J13" s="46">
        <f>IF(VLOOKUP($B13,quadro_de_func[#All],3,FALSE)="MENOR APRENDIZ",VLOOKUP($B13,carga_horaria[],2,FALSE)*(HLOOKUP(J$3,'DIA UTEIS'!$B$4:$M$6,3,FALSE)+COUNTA('DIAS FRACIONADOS'!$B$6:$B$12)),IF(VLOOKUP($B13,quadro_de_func[#All],3,FALSE)="ESTAGIÁRIO",((VLOOKUP($B13,carga_horaria[],2,FALSE)*HLOOKUP(J$3,'DIA UTEIS'!$B$4:$M$6,3,FALSE))-(HLOOKUP($B13,'EST. PROVAS'!$B$3:$Z$4,2,FALSE)*(VLOOKUP($B13,carga_horaria[],2,FALSE)/2)))+HLOOKUP(HR_A_FAZER[[#Headers],[AGOSTO]],'DIAS FRACIONADOS'!$B$3:$Y$4,2,FALSE),(VLOOKUP($B13,carga_horaria[],2,FALSE)*(HLOOKUP(J$3,'DIA UTEIS'!$B$4:$M$6,3,FALSE)))+HLOOKUP(HR_A_FAZER[[#Headers],[AGOSTO]],'DIAS FRACIONADOS'!$B$3:$Y$4,2,FALSE)))</f>
        <v>7.3333333333333339</v>
      </c>
      <c r="K13" s="46">
        <f>IF(VLOOKUP($B13,quadro_de_func[#All],3,FALSE)="MENOR APRENDIZ",VLOOKUP($B13,carga_horaria[],2,FALSE)*(HLOOKUP(K$3,'DIA UTEIS'!$B$4:$M$6,3,FALSE)+COUNTA('DIAS FRACIONADOS'!$B$6:$B$12)),IF(VLOOKUP($B13,quadro_de_func[#All],3,FALSE)="ESTAGIÁRIO",((VLOOKUP($B13,carga_horaria[],2,FALSE)*HLOOKUP(K$3,'DIA UTEIS'!$B$4:$M$6,3,FALSE))-(HLOOKUP($B13,'EST. PROVAS'!$B$3:$Z$4,2,FALSE)*(VLOOKUP($B13,carga_horaria[],2,FALSE)/2)))+HLOOKUP(HR_A_FAZER[[#Headers],[SETEMBRO]],'DIAS FRACIONADOS'!$B$3:$Y$4,2,FALSE),(VLOOKUP($B13,carga_horaria[],2,FALSE)*(HLOOKUP(K$3,'DIA UTEIS'!$B$4:$M$6,3,FALSE)))+HLOOKUP(HR_A_FAZER[[#Headers],[SETEMBRO]],'DIAS FRACIONADOS'!$B$3:$Y$4,2,FALSE)))</f>
        <v>6.6666666666666679</v>
      </c>
      <c r="L13" s="46">
        <f>IF(VLOOKUP($B13,quadro_de_func[#All],3,FALSE)="MENOR APRENDIZ",VLOOKUP($B13,carga_horaria[],2,FALSE)*(HLOOKUP(L$3,'DIA UTEIS'!$B$4:$M$6,3,FALSE)+COUNTA('DIAS FRACIONADOS'!$B$6:$B$12)),IF(VLOOKUP($B13,quadro_de_func[#All],3,FALSE)="ESTAGIÁRIO",((VLOOKUP($B13,carga_horaria[],2,FALSE)*HLOOKUP(L$3,'DIA UTEIS'!$B$4:$M$6,3,FALSE))-(HLOOKUP($B13,'EST. PROVAS'!$B$3:$Z$4,2,FALSE)*(VLOOKUP($B13,carga_horaria[],2,FALSE)/2)))+HLOOKUP(HR_A_FAZER[[#Headers],[OUTUBRO]],'DIAS FRACIONADOS'!$B$3:$Y$4,2,FALSE),(VLOOKUP($B13,carga_horaria[],2,FALSE)*(HLOOKUP(L$3,'DIA UTEIS'!$B$4:$M$6,3,FALSE)))+HLOOKUP(HR_A_FAZER[[#Headers],[OUTUBRO]],'DIAS FRACIONADOS'!$B$3:$Y$4,2,FALSE)))</f>
        <v>7.6666666666666679</v>
      </c>
      <c r="M13" s="46">
        <f>IF(VLOOKUP($B13,quadro_de_func[#All],3,FALSE)="MENOR APRENDIZ",VLOOKUP($B13,carga_horaria[],2,FALSE)*(HLOOKUP(M$3,'DIA UTEIS'!$B$4:$M$6,3,FALSE)+COUNTA('DIAS FRACIONADOS'!$B$6:$B$12)),IF(VLOOKUP($B13,quadro_de_func[#All],3,FALSE)="ESTAGIÁRIO",((VLOOKUP($B13,carga_horaria[],2,FALSE)*HLOOKUP(M$3,'DIA UTEIS'!$B$4:$M$6,3,FALSE))-(HLOOKUP($B13,'EST. PROVAS'!$B$3:$Z$4,2,FALSE)*(VLOOKUP($B13,carga_horaria[],2,FALSE)/2)))+HLOOKUP(HR_A_FAZER[[#Headers],[NOVEMBRO]],'DIAS FRACIONADOS'!$B$3:$Y$4,2,FALSE),(VLOOKUP($B13,carga_horaria[],2,FALSE)*(HLOOKUP(M$3,'DIA UTEIS'!$B$4:$M$6,3,FALSE)))+HLOOKUP(HR_A_FAZER[[#Headers],[NOVEMBRO]],'DIAS FRACIONADOS'!$B$3:$Y$4,2,FALSE)))</f>
        <v>6.6666666666666679</v>
      </c>
      <c r="N13" s="46">
        <f>IF(VLOOKUP($B13,quadro_de_func[#All],3,FALSE)="MENOR APRENDIZ",VLOOKUP($B13,carga_horaria[],2,FALSE)*(HLOOKUP(N$3,'DIA UTEIS'!$B$4:$M$6,3,FALSE)+COUNTA('DIAS FRACIONADOS'!$B$6:$B$12)),IF(VLOOKUP($B13,quadro_de_func[#All],3,FALSE)="ESTAGIÁRIO",((VLOOKUP($B13,carga_horaria[],2,FALSE)*HLOOKUP(N$3,'DIA UTEIS'!$B$4:$M$6,3,FALSE))-(HLOOKUP($B13,'EST. PROVAS'!$B$3:$Z$4,2,FALSE)*(VLOOKUP($B13,carga_horaria[],2,FALSE)/2)))+HLOOKUP(HR_A_FAZER[[#Headers],[DEZEMBRO]],'DIAS FRACIONADOS'!$B$3:$Y$4,2,FALSE),(VLOOKUP($B13,carga_horaria[],2,FALSE)*(HLOOKUP(N$3,'DIA UTEIS'!$B$4:$M$6,3,FALSE)))+HLOOKUP(HR_A_FAZER[[#Headers],[DEZEMBRO]],'DIAS FRACIONADOS'!$B$3:$Y$4,2,FALSE)))</f>
        <v>7.0000000000000009</v>
      </c>
      <c r="O13" s="28"/>
    </row>
    <row r="14" spans="2:26" ht="18" customHeight="1" x14ac:dyDescent="0.25">
      <c r="B14" s="15" t="str">
        <f>quadro_de_func[[#This Row],[NOME]]</f>
        <v>func 11</v>
      </c>
      <c r="C14" s="46" t="e">
        <f>IF(VLOOKUP($B14,quadro_de_func[#All],3,FALSE)="MENOR APRENDIZ",VLOOKUP($B14,carga_horaria[],2,FALSE)*(HLOOKUP(C$3,'DIA UTEIS'!$B$4:$M$6,3,FALSE)+COUNTA('DIAS FRACIONADOS'!$B$6:$B$12)),IF(VLOOKUP($B14,quadro_de_func[#All],3,FALSE)="ESTAGIÁRIO",((VLOOKUP($B14,carga_horaria[],2,FALSE)*HLOOKUP(C$3,'DIA UTEIS'!$B$4:$M$6,3,FALSE))-(HLOOKUP($B14,'EST. PROVAS'!$B$3:$Z$4,2,FALSE)*(VLOOKUP($B14,carga_horaria[],2,FALSE)/2)))+HLOOKUP(HR_A_FAZER[[#Headers],[JANEIRO]],'DIAS FRACIONADOS'!$B$3:$Y$4,2,FALSE),(VLOOKUP($B14,carga_horaria[],2,FALSE)*(HLOOKUP(C$3,'DIA UTEIS'!$B$4:$M$6,3,FALSE)))+HLOOKUP(HR_A_FAZER[[#Headers],[JANEIRO]],'DIAS FRACIONADOS'!$B$3:$Y$4,2,FALSE)))</f>
        <v>#N/A</v>
      </c>
      <c r="D14" s="46" t="e">
        <f>IF(VLOOKUP($B14,quadro_de_func[#All],3,FALSE)="MENOR APRENDIZ",VLOOKUP($B14,carga_horaria[],2,FALSE)*(HLOOKUP(D$3,'DIA UTEIS'!$B$4:$M$6,3,FALSE)+COUNTA('DIAS FRACIONADOS'!$B$6:$B$12)),IF(VLOOKUP($B14,quadro_de_func[#All],3,FALSE)="ESTAGIÁRIO",((VLOOKUP($B14,carga_horaria[],2,FALSE)*HLOOKUP(D$3,'DIA UTEIS'!$B$4:$M$6,3,FALSE))-(HLOOKUP($B14,'EST. PROVAS'!$B$3:$Z$4,2,FALSE)*(VLOOKUP($B14,carga_horaria[],2,FALSE)/2)))+HLOOKUP(HR_A_FAZER[[#Headers],[FEVEREIRO]],'DIAS FRACIONADOS'!$B$3:$Y$4,2,FALSE),(VLOOKUP($B14,carga_horaria[],2,FALSE)*(HLOOKUP(D$3,'DIA UTEIS'!$B$4:$M$6,3,FALSE)))+HLOOKUP(HR_A_FAZER[[#Headers],[FEVEREIRO]],'DIAS FRACIONADOS'!$B$3:$Y$4,2,FALSE)))</f>
        <v>#N/A</v>
      </c>
      <c r="E14" s="46" t="e">
        <f>IF(VLOOKUP($B14,quadro_de_func[#All],3,FALSE)="MENOR APRENDIZ",VLOOKUP($B14,carga_horaria[],2,FALSE)*(HLOOKUP(E$3,'DIA UTEIS'!$B$4:$M$6,3,FALSE)+COUNTA('DIAS FRACIONADOS'!$B$6:$B$12)),IF(VLOOKUP($B14,quadro_de_func[#All],3,FALSE)="ESTAGIÁRIO",((VLOOKUP($B14,carga_horaria[],2,FALSE)*HLOOKUP(E$3,'DIA UTEIS'!$B$4:$M$6,3,FALSE))-(HLOOKUP($B14,'EST. PROVAS'!$B$3:$Z$4,2,FALSE)*(VLOOKUP($B14,carga_horaria[],2,FALSE)/2)))+HLOOKUP(HR_A_FAZER[[#Headers],[MARÇO]],'DIAS FRACIONADOS'!$B$3:$Y$4,2,FALSE),(VLOOKUP($B14,carga_horaria[],2,FALSE)*(HLOOKUP(E$3,'DIA UTEIS'!$B$4:$M$6,3,FALSE)))+HLOOKUP(HR_A_FAZER[[#Headers],[MARÇO]],'DIAS FRACIONADOS'!$B$3:$Y$4,2,FALSE)))</f>
        <v>#N/A</v>
      </c>
      <c r="F14" s="46" t="e">
        <f>IF(VLOOKUP($B14,quadro_de_func[#All],3,FALSE)="MENOR APRENDIZ",VLOOKUP($B14,carga_horaria[],2,FALSE)*(HLOOKUP(F$3,'DIA UTEIS'!$B$4:$M$6,3,FALSE)+COUNTA('DIAS FRACIONADOS'!$B$6:$B$12)),IF(VLOOKUP($B14,quadro_de_func[#All],3,FALSE)="ESTAGIÁRIO",((VLOOKUP($B14,carga_horaria[],2,FALSE)*HLOOKUP(F$3,'DIA UTEIS'!$B$4:$M$6,3,FALSE))-(HLOOKUP($B14,'EST. PROVAS'!$B$3:$Z$4,2,FALSE)*(VLOOKUP($B14,carga_horaria[],2,FALSE)/2)))+HLOOKUP(HR_A_FAZER[[#Headers],[ABRIL]],'DIAS FRACIONADOS'!$B$3:$Y$4,2,FALSE),(VLOOKUP($B14,carga_horaria[],2,FALSE)*(HLOOKUP(F$3,'DIA UTEIS'!$B$4:$M$6,3,FALSE)))+HLOOKUP(HR_A_FAZER[[#Headers],[ABRIL]],'DIAS FRACIONADOS'!$B$3:$Y$4,2,FALSE)))</f>
        <v>#N/A</v>
      </c>
      <c r="G14" s="46" t="e">
        <f>IF(VLOOKUP($B14,quadro_de_func[#All],3,FALSE)="MENOR APRENDIZ",VLOOKUP($B14,carga_horaria[],2,FALSE)*(HLOOKUP(G$3,'DIA UTEIS'!$B$4:$M$6,3,FALSE)+COUNTA('DIAS FRACIONADOS'!$B$6:$B$12)),IF(VLOOKUP($B14,quadro_de_func[#All],3,FALSE)="ESTAGIÁRIO",((VLOOKUP($B14,carga_horaria[],2,FALSE)*HLOOKUP(G$3,'DIA UTEIS'!$B$4:$M$6,3,FALSE))-(HLOOKUP($B14,'EST. PROVAS'!$B$3:$Z$4,2,FALSE)*(VLOOKUP($B14,carga_horaria[],2,FALSE)/2)))+HLOOKUP(HR_A_FAZER[[#Headers],[MAIO]],'DIAS FRACIONADOS'!$B$3:$Y$4,2,FALSE),(VLOOKUP($B14,carga_horaria[],2,FALSE)*(HLOOKUP(G$3,'DIA UTEIS'!$B$4:$M$6,3,FALSE)))+HLOOKUP(HR_A_FAZER[[#Headers],[MAIO]],'DIAS FRACIONADOS'!$B$3:$Y$4,2,FALSE)))</f>
        <v>#N/A</v>
      </c>
      <c r="H14" s="46" t="e">
        <f>IF(VLOOKUP($B14,quadro_de_func[#All],3,FALSE)="MENOR APRENDIZ",VLOOKUP($B14,carga_horaria[],2,FALSE)*(HLOOKUP(H$3,'DIA UTEIS'!$B$4:$M$6,3,FALSE)+COUNTA('DIAS FRACIONADOS'!$B$6:$B$12)),IF(VLOOKUP($B14,quadro_de_func[#All],3,FALSE)="ESTAGIÁRIO",((VLOOKUP($B14,carga_horaria[],2,FALSE)*HLOOKUP(H$3,'DIA UTEIS'!$B$4:$M$6,3,FALSE))-(HLOOKUP($B14,'EST. PROVAS'!$B$3:$Z$4,2,FALSE)*(VLOOKUP($B14,carga_horaria[],2,FALSE)/2)))+HLOOKUP(HR_A_FAZER[[#Headers],[JUNHO]],'DIAS FRACIONADOS'!$B$3:$Y$4,2,FALSE),(VLOOKUP($B14,carga_horaria[],2,FALSE)*(HLOOKUP(H$3,'DIA UTEIS'!$B$4:$M$6,3,FALSE)))+HLOOKUP(HR_A_FAZER[[#Headers],[JUNHO]],'DIAS FRACIONADOS'!$B$3:$Y$4,2,FALSE)))</f>
        <v>#N/A</v>
      </c>
      <c r="I14" s="46" t="e">
        <f>IF(VLOOKUP($B14,quadro_de_func[#All],3,FALSE)="MENOR APRENDIZ",VLOOKUP($B14,carga_horaria[],2,FALSE)*(HLOOKUP(I$3,'DIA UTEIS'!$B$4:$M$6,3,FALSE)+COUNTA('DIAS FRACIONADOS'!$B$6:$B$12)),IF(VLOOKUP($B14,quadro_de_func[#All],3,FALSE)="ESTAGIÁRIO",((VLOOKUP($B14,carga_horaria[],2,FALSE)*HLOOKUP(I$3,'DIA UTEIS'!$B$4:$M$6,3,FALSE))-(HLOOKUP($B14,'EST. PROVAS'!$B$3:$Z$4,2,FALSE)*(VLOOKUP($B14,carga_horaria[],2,FALSE)/2)))+HLOOKUP(HR_A_FAZER[[#Headers],[JULHO]],'DIAS FRACIONADOS'!$B$3:$Y$4,2,FALSE),(VLOOKUP($B14,carga_horaria[],2,FALSE)*(HLOOKUP(I$3,'DIA UTEIS'!$B$4:$M$6,3,FALSE)))+HLOOKUP(HR_A_FAZER[[#Headers],[JULHO]],'DIAS FRACIONADOS'!$B$3:$Y$4,2,FALSE)))</f>
        <v>#N/A</v>
      </c>
      <c r="J14" s="46" t="e">
        <f>IF(VLOOKUP($B14,quadro_de_func[#All],3,FALSE)="MENOR APRENDIZ",VLOOKUP($B14,carga_horaria[],2,FALSE)*(HLOOKUP(J$3,'DIA UTEIS'!$B$4:$M$6,3,FALSE)+COUNTA('DIAS FRACIONADOS'!$B$6:$B$12)),IF(VLOOKUP($B14,quadro_de_func[#All],3,FALSE)="ESTAGIÁRIO",((VLOOKUP($B14,carga_horaria[],2,FALSE)*HLOOKUP(J$3,'DIA UTEIS'!$B$4:$M$6,3,FALSE))-(HLOOKUP($B14,'EST. PROVAS'!$B$3:$Z$4,2,FALSE)*(VLOOKUP($B14,carga_horaria[],2,FALSE)/2)))+HLOOKUP(HR_A_FAZER[[#Headers],[AGOSTO]],'DIAS FRACIONADOS'!$B$3:$Y$4,2,FALSE),(VLOOKUP($B14,carga_horaria[],2,FALSE)*(HLOOKUP(J$3,'DIA UTEIS'!$B$4:$M$6,3,FALSE)))+HLOOKUP(HR_A_FAZER[[#Headers],[AGOSTO]],'DIAS FRACIONADOS'!$B$3:$Y$4,2,FALSE)))</f>
        <v>#N/A</v>
      </c>
      <c r="K14" s="46" t="e">
        <f>IF(VLOOKUP($B14,quadro_de_func[#All],3,FALSE)="MENOR APRENDIZ",VLOOKUP($B14,carga_horaria[],2,FALSE)*(HLOOKUP(K$3,'DIA UTEIS'!$B$4:$M$6,3,FALSE)+COUNTA('DIAS FRACIONADOS'!$B$6:$B$12)),IF(VLOOKUP($B14,quadro_de_func[#All],3,FALSE)="ESTAGIÁRIO",((VLOOKUP($B14,carga_horaria[],2,FALSE)*HLOOKUP(K$3,'DIA UTEIS'!$B$4:$M$6,3,FALSE))-(HLOOKUP($B14,'EST. PROVAS'!$B$3:$Z$4,2,FALSE)*(VLOOKUP($B14,carga_horaria[],2,FALSE)/2)))+HLOOKUP(HR_A_FAZER[[#Headers],[SETEMBRO]],'DIAS FRACIONADOS'!$B$3:$Y$4,2,FALSE),(VLOOKUP($B14,carga_horaria[],2,FALSE)*(HLOOKUP(K$3,'DIA UTEIS'!$B$4:$M$6,3,FALSE)))+HLOOKUP(HR_A_FAZER[[#Headers],[SETEMBRO]],'DIAS FRACIONADOS'!$B$3:$Y$4,2,FALSE)))</f>
        <v>#N/A</v>
      </c>
      <c r="L14" s="46" t="e">
        <f>IF(VLOOKUP($B14,quadro_de_func[#All],3,FALSE)="MENOR APRENDIZ",VLOOKUP($B14,carga_horaria[],2,FALSE)*(HLOOKUP(L$3,'DIA UTEIS'!$B$4:$M$6,3,FALSE)+COUNTA('DIAS FRACIONADOS'!$B$6:$B$12)),IF(VLOOKUP($B14,quadro_de_func[#All],3,FALSE)="ESTAGIÁRIO",((VLOOKUP($B14,carga_horaria[],2,FALSE)*HLOOKUP(L$3,'DIA UTEIS'!$B$4:$M$6,3,FALSE))-(HLOOKUP($B14,'EST. PROVAS'!$B$3:$Z$4,2,FALSE)*(VLOOKUP($B14,carga_horaria[],2,FALSE)/2)))+HLOOKUP(HR_A_FAZER[[#Headers],[OUTUBRO]],'DIAS FRACIONADOS'!$B$3:$Y$4,2,FALSE),(VLOOKUP($B14,carga_horaria[],2,FALSE)*(HLOOKUP(L$3,'DIA UTEIS'!$B$4:$M$6,3,FALSE)))+HLOOKUP(HR_A_FAZER[[#Headers],[OUTUBRO]],'DIAS FRACIONADOS'!$B$3:$Y$4,2,FALSE)))</f>
        <v>#N/A</v>
      </c>
      <c r="M14" s="46" t="e">
        <f>IF(VLOOKUP($B14,quadro_de_func[#All],3,FALSE)="MENOR APRENDIZ",VLOOKUP($B14,carga_horaria[],2,FALSE)*(HLOOKUP(M$3,'DIA UTEIS'!$B$4:$M$6,3,FALSE)+COUNTA('DIAS FRACIONADOS'!$B$6:$B$12)),IF(VLOOKUP($B14,quadro_de_func[#All],3,FALSE)="ESTAGIÁRIO",((VLOOKUP($B14,carga_horaria[],2,FALSE)*HLOOKUP(M$3,'DIA UTEIS'!$B$4:$M$6,3,FALSE))-(HLOOKUP($B14,'EST. PROVAS'!$B$3:$Z$4,2,FALSE)*(VLOOKUP($B14,carga_horaria[],2,FALSE)/2)))+HLOOKUP(HR_A_FAZER[[#Headers],[NOVEMBRO]],'DIAS FRACIONADOS'!$B$3:$Y$4,2,FALSE),(VLOOKUP($B14,carga_horaria[],2,FALSE)*(HLOOKUP(M$3,'DIA UTEIS'!$B$4:$M$6,3,FALSE)))+HLOOKUP(HR_A_FAZER[[#Headers],[NOVEMBRO]],'DIAS FRACIONADOS'!$B$3:$Y$4,2,FALSE)))</f>
        <v>#N/A</v>
      </c>
      <c r="N14" s="46" t="e">
        <f>IF(VLOOKUP($B14,quadro_de_func[#All],3,FALSE)="MENOR APRENDIZ",VLOOKUP($B14,carga_horaria[],2,FALSE)*(HLOOKUP(N$3,'DIA UTEIS'!$B$4:$M$6,3,FALSE)+COUNTA('DIAS FRACIONADOS'!$B$6:$B$12)),IF(VLOOKUP($B14,quadro_de_func[#All],3,FALSE)="ESTAGIÁRIO",((VLOOKUP($B14,carga_horaria[],2,FALSE)*HLOOKUP(N$3,'DIA UTEIS'!$B$4:$M$6,3,FALSE))-(HLOOKUP($B14,'EST. PROVAS'!$B$3:$Z$4,2,FALSE)*(VLOOKUP($B14,carga_horaria[],2,FALSE)/2)))+HLOOKUP(HR_A_FAZER[[#Headers],[DEZEMBRO]],'DIAS FRACIONADOS'!$B$3:$Y$4,2,FALSE),(VLOOKUP($B14,carga_horaria[],2,FALSE)*(HLOOKUP(N$3,'DIA UTEIS'!$B$4:$M$6,3,FALSE)))+HLOOKUP(HR_A_FAZER[[#Headers],[DEZEMBRO]],'DIAS FRACIONADOS'!$B$3:$Y$4,2,FALSE)))</f>
        <v>#N/A</v>
      </c>
      <c r="O14" s="28"/>
      <c r="Q14" s="28"/>
      <c r="R14" s="24"/>
      <c r="S14" s="24"/>
      <c r="T14" s="24"/>
      <c r="U14" s="27"/>
      <c r="V14" s="27"/>
      <c r="W14" s="24"/>
      <c r="X14" s="53"/>
      <c r="Y14" s="24"/>
      <c r="Z14" s="24"/>
    </row>
    <row r="15" spans="2:26" ht="18" customHeight="1" x14ac:dyDescent="0.25">
      <c r="B15" s="15" t="str">
        <f>quadro_de_func[[#This Row],[NOME]]</f>
        <v>func 12</v>
      </c>
      <c r="C15" s="46" t="e">
        <f>IF(VLOOKUP($B15,quadro_de_func[#All],3,FALSE)="MENOR APRENDIZ",VLOOKUP($B15,carga_horaria[],2,FALSE)*(HLOOKUP(C$3,'DIA UTEIS'!$B$4:$M$6,3,FALSE)+COUNTA('DIAS FRACIONADOS'!$B$6:$B$12)),IF(VLOOKUP($B15,quadro_de_func[#All],3,FALSE)="ESTAGIÁRIO",((VLOOKUP($B15,carga_horaria[],2,FALSE)*HLOOKUP(C$3,'DIA UTEIS'!$B$4:$M$6,3,FALSE))-(HLOOKUP($B15,'EST. PROVAS'!$B$3:$Z$4,2,FALSE)*(VLOOKUP($B15,carga_horaria[],2,FALSE)/2)))+HLOOKUP(HR_A_FAZER[[#Headers],[JANEIRO]],'DIAS FRACIONADOS'!$B$3:$Y$4,2,FALSE),(VLOOKUP($B15,carga_horaria[],2,FALSE)*(HLOOKUP(C$3,'DIA UTEIS'!$B$4:$M$6,3,FALSE)))+HLOOKUP(HR_A_FAZER[[#Headers],[JANEIRO]],'DIAS FRACIONADOS'!$B$3:$Y$4,2,FALSE)))</f>
        <v>#N/A</v>
      </c>
      <c r="D15" s="46" t="e">
        <f>IF(VLOOKUP($B15,quadro_de_func[#All],3,FALSE)="MENOR APRENDIZ",VLOOKUP($B15,carga_horaria[],2,FALSE)*(HLOOKUP(D$3,'DIA UTEIS'!$B$4:$M$6,3,FALSE)+COUNTA('DIAS FRACIONADOS'!$B$6:$B$12)),IF(VLOOKUP($B15,quadro_de_func[#All],3,FALSE)="ESTAGIÁRIO",((VLOOKUP($B15,carga_horaria[],2,FALSE)*HLOOKUP(D$3,'DIA UTEIS'!$B$4:$M$6,3,FALSE))-(HLOOKUP($B15,'EST. PROVAS'!$B$3:$Z$4,2,FALSE)*(VLOOKUP($B15,carga_horaria[],2,FALSE)/2)))+HLOOKUP(HR_A_FAZER[[#Headers],[FEVEREIRO]],'DIAS FRACIONADOS'!$B$3:$Y$4,2,FALSE),(VLOOKUP($B15,carga_horaria[],2,FALSE)*(HLOOKUP(D$3,'DIA UTEIS'!$B$4:$M$6,3,FALSE)))+HLOOKUP(HR_A_FAZER[[#Headers],[FEVEREIRO]],'DIAS FRACIONADOS'!$B$3:$Y$4,2,FALSE)))</f>
        <v>#N/A</v>
      </c>
      <c r="E15" s="46" t="e">
        <f>IF(VLOOKUP($B15,quadro_de_func[#All],3,FALSE)="MENOR APRENDIZ",VLOOKUP($B15,carga_horaria[],2,FALSE)*(HLOOKUP(E$3,'DIA UTEIS'!$B$4:$M$6,3,FALSE)+COUNTA('DIAS FRACIONADOS'!$B$6:$B$12)),IF(VLOOKUP($B15,quadro_de_func[#All],3,FALSE)="ESTAGIÁRIO",((VLOOKUP($B15,carga_horaria[],2,FALSE)*HLOOKUP(E$3,'DIA UTEIS'!$B$4:$M$6,3,FALSE))-(HLOOKUP($B15,'EST. PROVAS'!$B$3:$Z$4,2,FALSE)*(VLOOKUP($B15,carga_horaria[],2,FALSE)/2)))+HLOOKUP(HR_A_FAZER[[#Headers],[MARÇO]],'DIAS FRACIONADOS'!$B$3:$Y$4,2,FALSE),(VLOOKUP($B15,carga_horaria[],2,FALSE)*(HLOOKUP(E$3,'DIA UTEIS'!$B$4:$M$6,3,FALSE)))+HLOOKUP(HR_A_FAZER[[#Headers],[MARÇO]],'DIAS FRACIONADOS'!$B$3:$Y$4,2,FALSE)))</f>
        <v>#N/A</v>
      </c>
      <c r="F15" s="46" t="e">
        <f>IF(VLOOKUP($B15,quadro_de_func[#All],3,FALSE)="MENOR APRENDIZ",VLOOKUP($B15,carga_horaria[],2,FALSE)*(HLOOKUP(F$3,'DIA UTEIS'!$B$4:$M$6,3,FALSE)+COUNTA('DIAS FRACIONADOS'!$B$6:$B$12)),IF(VLOOKUP($B15,quadro_de_func[#All],3,FALSE)="ESTAGIÁRIO",((VLOOKUP($B15,carga_horaria[],2,FALSE)*HLOOKUP(F$3,'DIA UTEIS'!$B$4:$M$6,3,FALSE))-(HLOOKUP($B15,'EST. PROVAS'!$B$3:$Z$4,2,FALSE)*(VLOOKUP($B15,carga_horaria[],2,FALSE)/2)))+HLOOKUP(HR_A_FAZER[[#Headers],[ABRIL]],'DIAS FRACIONADOS'!$B$3:$Y$4,2,FALSE),(VLOOKUP($B15,carga_horaria[],2,FALSE)*(HLOOKUP(F$3,'DIA UTEIS'!$B$4:$M$6,3,FALSE)))+HLOOKUP(HR_A_FAZER[[#Headers],[ABRIL]],'DIAS FRACIONADOS'!$B$3:$Y$4,2,FALSE)))</f>
        <v>#N/A</v>
      </c>
      <c r="G15" s="46" t="e">
        <f>IF(VLOOKUP($B15,quadro_de_func[#All],3,FALSE)="MENOR APRENDIZ",VLOOKUP($B15,carga_horaria[],2,FALSE)*(HLOOKUP(G$3,'DIA UTEIS'!$B$4:$M$6,3,FALSE)+COUNTA('DIAS FRACIONADOS'!$B$6:$B$12)),IF(VLOOKUP($B15,quadro_de_func[#All],3,FALSE)="ESTAGIÁRIO",((VLOOKUP($B15,carga_horaria[],2,FALSE)*HLOOKUP(G$3,'DIA UTEIS'!$B$4:$M$6,3,FALSE))-(HLOOKUP($B15,'EST. PROVAS'!$B$3:$Z$4,2,FALSE)*(VLOOKUP($B15,carga_horaria[],2,FALSE)/2)))+HLOOKUP(HR_A_FAZER[[#Headers],[MAIO]],'DIAS FRACIONADOS'!$B$3:$Y$4,2,FALSE),(VLOOKUP($B15,carga_horaria[],2,FALSE)*(HLOOKUP(G$3,'DIA UTEIS'!$B$4:$M$6,3,FALSE)))+HLOOKUP(HR_A_FAZER[[#Headers],[MAIO]],'DIAS FRACIONADOS'!$B$3:$Y$4,2,FALSE)))</f>
        <v>#N/A</v>
      </c>
      <c r="H15" s="46" t="e">
        <f>IF(VLOOKUP($B15,quadro_de_func[#All],3,FALSE)="MENOR APRENDIZ",VLOOKUP($B15,carga_horaria[],2,FALSE)*(HLOOKUP(H$3,'DIA UTEIS'!$B$4:$M$6,3,FALSE)+COUNTA('DIAS FRACIONADOS'!$B$6:$B$12)),IF(VLOOKUP($B15,quadro_de_func[#All],3,FALSE)="ESTAGIÁRIO",((VLOOKUP($B15,carga_horaria[],2,FALSE)*HLOOKUP(H$3,'DIA UTEIS'!$B$4:$M$6,3,FALSE))-(HLOOKUP($B15,'EST. PROVAS'!$B$3:$Z$4,2,FALSE)*(VLOOKUP($B15,carga_horaria[],2,FALSE)/2)))+HLOOKUP(HR_A_FAZER[[#Headers],[JUNHO]],'DIAS FRACIONADOS'!$B$3:$Y$4,2,FALSE),(VLOOKUP($B15,carga_horaria[],2,FALSE)*(HLOOKUP(H$3,'DIA UTEIS'!$B$4:$M$6,3,FALSE)))+HLOOKUP(HR_A_FAZER[[#Headers],[JUNHO]],'DIAS FRACIONADOS'!$B$3:$Y$4,2,FALSE)))</f>
        <v>#N/A</v>
      </c>
      <c r="I15" s="46" t="e">
        <f>IF(VLOOKUP($B15,quadro_de_func[#All],3,FALSE)="MENOR APRENDIZ",VLOOKUP($B15,carga_horaria[],2,FALSE)*(HLOOKUP(I$3,'DIA UTEIS'!$B$4:$M$6,3,FALSE)+COUNTA('DIAS FRACIONADOS'!$B$6:$B$12)),IF(VLOOKUP($B15,quadro_de_func[#All],3,FALSE)="ESTAGIÁRIO",((VLOOKUP($B15,carga_horaria[],2,FALSE)*HLOOKUP(I$3,'DIA UTEIS'!$B$4:$M$6,3,FALSE))-(HLOOKUP($B15,'EST. PROVAS'!$B$3:$Z$4,2,FALSE)*(VLOOKUP($B15,carga_horaria[],2,FALSE)/2)))+HLOOKUP(HR_A_FAZER[[#Headers],[JULHO]],'DIAS FRACIONADOS'!$B$3:$Y$4,2,FALSE),(VLOOKUP($B15,carga_horaria[],2,FALSE)*(HLOOKUP(I$3,'DIA UTEIS'!$B$4:$M$6,3,FALSE)))+HLOOKUP(HR_A_FAZER[[#Headers],[JULHO]],'DIAS FRACIONADOS'!$B$3:$Y$4,2,FALSE)))</f>
        <v>#N/A</v>
      </c>
      <c r="J15" s="46" t="e">
        <f>IF(VLOOKUP($B15,quadro_de_func[#All],3,FALSE)="MENOR APRENDIZ",VLOOKUP($B15,carga_horaria[],2,FALSE)*(HLOOKUP(J$3,'DIA UTEIS'!$B$4:$M$6,3,FALSE)+COUNTA('DIAS FRACIONADOS'!$B$6:$B$12)),IF(VLOOKUP($B15,quadro_de_func[#All],3,FALSE)="ESTAGIÁRIO",((VLOOKUP($B15,carga_horaria[],2,FALSE)*HLOOKUP(J$3,'DIA UTEIS'!$B$4:$M$6,3,FALSE))-(HLOOKUP($B15,'EST. PROVAS'!$B$3:$Z$4,2,FALSE)*(VLOOKUP($B15,carga_horaria[],2,FALSE)/2)))+HLOOKUP(HR_A_FAZER[[#Headers],[AGOSTO]],'DIAS FRACIONADOS'!$B$3:$Y$4,2,FALSE),(VLOOKUP($B15,carga_horaria[],2,FALSE)*(HLOOKUP(J$3,'DIA UTEIS'!$B$4:$M$6,3,FALSE)))+HLOOKUP(HR_A_FAZER[[#Headers],[AGOSTO]],'DIAS FRACIONADOS'!$B$3:$Y$4,2,FALSE)))</f>
        <v>#N/A</v>
      </c>
      <c r="K15" s="46" t="e">
        <f>IF(VLOOKUP($B15,quadro_de_func[#All],3,FALSE)="MENOR APRENDIZ",VLOOKUP($B15,carga_horaria[],2,FALSE)*(HLOOKUP(K$3,'DIA UTEIS'!$B$4:$M$6,3,FALSE)+COUNTA('DIAS FRACIONADOS'!$B$6:$B$12)),IF(VLOOKUP($B15,quadro_de_func[#All],3,FALSE)="ESTAGIÁRIO",((VLOOKUP($B15,carga_horaria[],2,FALSE)*HLOOKUP(K$3,'DIA UTEIS'!$B$4:$M$6,3,FALSE))-(HLOOKUP($B15,'EST. PROVAS'!$B$3:$Z$4,2,FALSE)*(VLOOKUP($B15,carga_horaria[],2,FALSE)/2)))+HLOOKUP(HR_A_FAZER[[#Headers],[SETEMBRO]],'DIAS FRACIONADOS'!$B$3:$Y$4,2,FALSE),(VLOOKUP($B15,carga_horaria[],2,FALSE)*(HLOOKUP(K$3,'DIA UTEIS'!$B$4:$M$6,3,FALSE)))+HLOOKUP(HR_A_FAZER[[#Headers],[SETEMBRO]],'DIAS FRACIONADOS'!$B$3:$Y$4,2,FALSE)))</f>
        <v>#N/A</v>
      </c>
      <c r="L15" s="46" t="e">
        <f>IF(VLOOKUP($B15,quadro_de_func[#All],3,FALSE)="MENOR APRENDIZ",VLOOKUP($B15,carga_horaria[],2,FALSE)*(HLOOKUP(L$3,'DIA UTEIS'!$B$4:$M$6,3,FALSE)+COUNTA('DIAS FRACIONADOS'!$B$6:$B$12)),IF(VLOOKUP($B15,quadro_de_func[#All],3,FALSE)="ESTAGIÁRIO",((VLOOKUP($B15,carga_horaria[],2,FALSE)*HLOOKUP(L$3,'DIA UTEIS'!$B$4:$M$6,3,FALSE))-(HLOOKUP($B15,'EST. PROVAS'!$B$3:$Z$4,2,FALSE)*(VLOOKUP($B15,carga_horaria[],2,FALSE)/2)))+HLOOKUP(HR_A_FAZER[[#Headers],[OUTUBRO]],'DIAS FRACIONADOS'!$B$3:$Y$4,2,FALSE),(VLOOKUP($B15,carga_horaria[],2,FALSE)*(HLOOKUP(L$3,'DIA UTEIS'!$B$4:$M$6,3,FALSE)))+HLOOKUP(HR_A_FAZER[[#Headers],[OUTUBRO]],'DIAS FRACIONADOS'!$B$3:$Y$4,2,FALSE)))</f>
        <v>#N/A</v>
      </c>
      <c r="M15" s="46" t="e">
        <f>IF(VLOOKUP($B15,quadro_de_func[#All],3,FALSE)="MENOR APRENDIZ",VLOOKUP($B15,carga_horaria[],2,FALSE)*(HLOOKUP(M$3,'DIA UTEIS'!$B$4:$M$6,3,FALSE)+COUNTA('DIAS FRACIONADOS'!$B$6:$B$12)),IF(VLOOKUP($B15,quadro_de_func[#All],3,FALSE)="ESTAGIÁRIO",((VLOOKUP($B15,carga_horaria[],2,FALSE)*HLOOKUP(M$3,'DIA UTEIS'!$B$4:$M$6,3,FALSE))-(HLOOKUP($B15,'EST. PROVAS'!$B$3:$Z$4,2,FALSE)*(VLOOKUP($B15,carga_horaria[],2,FALSE)/2)))+HLOOKUP(HR_A_FAZER[[#Headers],[NOVEMBRO]],'DIAS FRACIONADOS'!$B$3:$Y$4,2,FALSE),(VLOOKUP($B15,carga_horaria[],2,FALSE)*(HLOOKUP(M$3,'DIA UTEIS'!$B$4:$M$6,3,FALSE)))+HLOOKUP(HR_A_FAZER[[#Headers],[NOVEMBRO]],'DIAS FRACIONADOS'!$B$3:$Y$4,2,FALSE)))</f>
        <v>#N/A</v>
      </c>
      <c r="N15" s="46" t="e">
        <f>IF(VLOOKUP($B15,quadro_de_func[#All],3,FALSE)="MENOR APRENDIZ",VLOOKUP($B15,carga_horaria[],2,FALSE)*(HLOOKUP(N$3,'DIA UTEIS'!$B$4:$M$6,3,FALSE)+COUNTA('DIAS FRACIONADOS'!$B$6:$B$12)),IF(VLOOKUP($B15,quadro_de_func[#All],3,FALSE)="ESTAGIÁRIO",((VLOOKUP($B15,carga_horaria[],2,FALSE)*HLOOKUP(N$3,'DIA UTEIS'!$B$4:$M$6,3,FALSE))-(HLOOKUP($B15,'EST. PROVAS'!$B$3:$Z$4,2,FALSE)*(VLOOKUP($B15,carga_horaria[],2,FALSE)/2)))+HLOOKUP(HR_A_FAZER[[#Headers],[DEZEMBRO]],'DIAS FRACIONADOS'!$B$3:$Y$4,2,FALSE),(VLOOKUP($B15,carga_horaria[],2,FALSE)*(HLOOKUP(N$3,'DIA UTEIS'!$B$4:$M$6,3,FALSE)))+HLOOKUP(HR_A_FAZER[[#Headers],[DEZEMBRO]],'DIAS FRACIONADOS'!$B$3:$Y$4,2,FALSE)))</f>
        <v>#N/A</v>
      </c>
      <c r="O15" s="28"/>
      <c r="S15" s="28"/>
      <c r="T15" s="53"/>
    </row>
    <row r="16" spans="2:26" ht="18" customHeight="1" x14ac:dyDescent="0.25">
      <c r="B16" s="15" t="str">
        <f>quadro_de_func[[#This Row],[NOME]]</f>
        <v>func 13</v>
      </c>
      <c r="C16" s="46" t="e">
        <f>IF(VLOOKUP($B16,quadro_de_func[#All],3,FALSE)="MENOR APRENDIZ",VLOOKUP($B16,carga_horaria[],2,FALSE)*(HLOOKUP(C$3,'DIA UTEIS'!$B$4:$M$6,3,FALSE)+COUNTA('DIAS FRACIONADOS'!$B$6:$B$12)),IF(VLOOKUP($B16,quadro_de_func[#All],3,FALSE)="ESTAGIÁRIO",((VLOOKUP($B16,carga_horaria[],2,FALSE)*HLOOKUP(C$3,'DIA UTEIS'!$B$4:$M$6,3,FALSE))-(HLOOKUP($B16,'EST. PROVAS'!$B$3:$Z$4,2,FALSE)*(VLOOKUP($B16,carga_horaria[],2,FALSE)/2)))+HLOOKUP(HR_A_FAZER[[#Headers],[JANEIRO]],'DIAS FRACIONADOS'!$B$3:$Y$4,2,FALSE),(VLOOKUP($B16,carga_horaria[],2,FALSE)*(HLOOKUP(C$3,'DIA UTEIS'!$B$4:$M$6,3,FALSE)))+HLOOKUP(HR_A_FAZER[[#Headers],[JANEIRO]],'DIAS FRACIONADOS'!$B$3:$Y$4,2,FALSE)))</f>
        <v>#N/A</v>
      </c>
      <c r="D16" s="46" t="e">
        <f>IF(VLOOKUP($B16,quadro_de_func[#All],3,FALSE)="MENOR APRENDIZ",VLOOKUP($B16,carga_horaria[],2,FALSE)*(HLOOKUP(D$3,'DIA UTEIS'!$B$4:$M$6,3,FALSE)+COUNTA('DIAS FRACIONADOS'!$B$6:$B$12)),IF(VLOOKUP($B16,quadro_de_func[#All],3,FALSE)="ESTAGIÁRIO",((VLOOKUP($B16,carga_horaria[],2,FALSE)*HLOOKUP(D$3,'DIA UTEIS'!$B$4:$M$6,3,FALSE))-(HLOOKUP($B16,'EST. PROVAS'!$B$3:$Z$4,2,FALSE)*(VLOOKUP($B16,carga_horaria[],2,FALSE)/2)))+HLOOKUP(HR_A_FAZER[[#Headers],[FEVEREIRO]],'DIAS FRACIONADOS'!$B$3:$Y$4,2,FALSE),(VLOOKUP($B16,carga_horaria[],2,FALSE)*(HLOOKUP(D$3,'DIA UTEIS'!$B$4:$M$6,3,FALSE)))+HLOOKUP(HR_A_FAZER[[#Headers],[FEVEREIRO]],'DIAS FRACIONADOS'!$B$3:$Y$4,2,FALSE)))</f>
        <v>#N/A</v>
      </c>
      <c r="E16" s="46" t="e">
        <f>IF(VLOOKUP($B16,quadro_de_func[#All],3,FALSE)="MENOR APRENDIZ",VLOOKUP($B16,carga_horaria[],2,FALSE)*(HLOOKUP(E$3,'DIA UTEIS'!$B$4:$M$6,3,FALSE)+COUNTA('DIAS FRACIONADOS'!$B$6:$B$12)),IF(VLOOKUP($B16,quadro_de_func[#All],3,FALSE)="ESTAGIÁRIO",((VLOOKUP($B16,carga_horaria[],2,FALSE)*HLOOKUP(E$3,'DIA UTEIS'!$B$4:$M$6,3,FALSE))-(HLOOKUP($B16,'EST. PROVAS'!$B$3:$Z$4,2,FALSE)*(VLOOKUP($B16,carga_horaria[],2,FALSE)/2)))+HLOOKUP(HR_A_FAZER[[#Headers],[MARÇO]],'DIAS FRACIONADOS'!$B$3:$Y$4,2,FALSE),(VLOOKUP($B16,carga_horaria[],2,FALSE)*(HLOOKUP(E$3,'DIA UTEIS'!$B$4:$M$6,3,FALSE)))+HLOOKUP(HR_A_FAZER[[#Headers],[MARÇO]],'DIAS FRACIONADOS'!$B$3:$Y$4,2,FALSE)))</f>
        <v>#N/A</v>
      </c>
      <c r="F16" s="46" t="e">
        <f>IF(VLOOKUP($B16,quadro_de_func[#All],3,FALSE)="MENOR APRENDIZ",VLOOKUP($B16,carga_horaria[],2,FALSE)*(HLOOKUP(F$3,'DIA UTEIS'!$B$4:$M$6,3,FALSE)+COUNTA('DIAS FRACIONADOS'!$B$6:$B$12)),IF(VLOOKUP($B16,quadro_de_func[#All],3,FALSE)="ESTAGIÁRIO",((VLOOKUP($B16,carga_horaria[],2,FALSE)*HLOOKUP(F$3,'DIA UTEIS'!$B$4:$M$6,3,FALSE))-(HLOOKUP($B16,'EST. PROVAS'!$B$3:$Z$4,2,FALSE)*(VLOOKUP($B16,carga_horaria[],2,FALSE)/2)))+HLOOKUP(HR_A_FAZER[[#Headers],[ABRIL]],'DIAS FRACIONADOS'!$B$3:$Y$4,2,FALSE),(VLOOKUP($B16,carga_horaria[],2,FALSE)*(HLOOKUP(F$3,'DIA UTEIS'!$B$4:$M$6,3,FALSE)))+HLOOKUP(HR_A_FAZER[[#Headers],[ABRIL]],'DIAS FRACIONADOS'!$B$3:$Y$4,2,FALSE)))</f>
        <v>#N/A</v>
      </c>
      <c r="G16" s="46" t="e">
        <f>IF(VLOOKUP($B16,quadro_de_func[#All],3,FALSE)="MENOR APRENDIZ",VLOOKUP($B16,carga_horaria[],2,FALSE)*(HLOOKUP(G$3,'DIA UTEIS'!$B$4:$M$6,3,FALSE)+COUNTA('DIAS FRACIONADOS'!$B$6:$B$12)),IF(VLOOKUP($B16,quadro_de_func[#All],3,FALSE)="ESTAGIÁRIO",((VLOOKUP($B16,carga_horaria[],2,FALSE)*HLOOKUP(G$3,'DIA UTEIS'!$B$4:$M$6,3,FALSE))-(HLOOKUP($B16,'EST. PROVAS'!$B$3:$Z$4,2,FALSE)*(VLOOKUP($B16,carga_horaria[],2,FALSE)/2)))+HLOOKUP(HR_A_FAZER[[#Headers],[MAIO]],'DIAS FRACIONADOS'!$B$3:$Y$4,2,FALSE),(VLOOKUP($B16,carga_horaria[],2,FALSE)*(HLOOKUP(G$3,'DIA UTEIS'!$B$4:$M$6,3,FALSE)))+HLOOKUP(HR_A_FAZER[[#Headers],[MAIO]],'DIAS FRACIONADOS'!$B$3:$Y$4,2,FALSE)))</f>
        <v>#N/A</v>
      </c>
      <c r="H16" s="46" t="e">
        <f>IF(VLOOKUP($B16,quadro_de_func[#All],3,FALSE)="MENOR APRENDIZ",VLOOKUP($B16,carga_horaria[],2,FALSE)*(HLOOKUP(H$3,'DIA UTEIS'!$B$4:$M$6,3,FALSE)+COUNTA('DIAS FRACIONADOS'!$B$6:$B$12)),IF(VLOOKUP($B16,quadro_de_func[#All],3,FALSE)="ESTAGIÁRIO",((VLOOKUP($B16,carga_horaria[],2,FALSE)*HLOOKUP(H$3,'DIA UTEIS'!$B$4:$M$6,3,FALSE))-(HLOOKUP($B16,'EST. PROVAS'!$B$3:$Z$4,2,FALSE)*(VLOOKUP($B16,carga_horaria[],2,FALSE)/2)))+HLOOKUP(HR_A_FAZER[[#Headers],[JUNHO]],'DIAS FRACIONADOS'!$B$3:$Y$4,2,FALSE),(VLOOKUP($B16,carga_horaria[],2,FALSE)*(HLOOKUP(H$3,'DIA UTEIS'!$B$4:$M$6,3,FALSE)))+HLOOKUP(HR_A_FAZER[[#Headers],[JUNHO]],'DIAS FRACIONADOS'!$B$3:$Y$4,2,FALSE)))</f>
        <v>#N/A</v>
      </c>
      <c r="I16" s="46" t="e">
        <f>IF(VLOOKUP($B16,quadro_de_func[#All],3,FALSE)="MENOR APRENDIZ",VLOOKUP($B16,carga_horaria[],2,FALSE)*(HLOOKUP(I$3,'DIA UTEIS'!$B$4:$M$6,3,FALSE)+COUNTA('DIAS FRACIONADOS'!$B$6:$B$12)),IF(VLOOKUP($B16,quadro_de_func[#All],3,FALSE)="ESTAGIÁRIO",((VLOOKUP($B16,carga_horaria[],2,FALSE)*HLOOKUP(I$3,'DIA UTEIS'!$B$4:$M$6,3,FALSE))-(HLOOKUP($B16,'EST. PROVAS'!$B$3:$Z$4,2,FALSE)*(VLOOKUP($B16,carga_horaria[],2,FALSE)/2)))+HLOOKUP(HR_A_FAZER[[#Headers],[JULHO]],'DIAS FRACIONADOS'!$B$3:$Y$4,2,FALSE),(VLOOKUP($B16,carga_horaria[],2,FALSE)*(HLOOKUP(I$3,'DIA UTEIS'!$B$4:$M$6,3,FALSE)))+HLOOKUP(HR_A_FAZER[[#Headers],[JULHO]],'DIAS FRACIONADOS'!$B$3:$Y$4,2,FALSE)))</f>
        <v>#N/A</v>
      </c>
      <c r="J16" s="46" t="e">
        <f>IF(VLOOKUP($B16,quadro_de_func[#All],3,FALSE)="MENOR APRENDIZ",VLOOKUP($B16,carga_horaria[],2,FALSE)*(HLOOKUP(J$3,'DIA UTEIS'!$B$4:$M$6,3,FALSE)+COUNTA('DIAS FRACIONADOS'!$B$6:$B$12)),IF(VLOOKUP($B16,quadro_de_func[#All],3,FALSE)="ESTAGIÁRIO",((VLOOKUP($B16,carga_horaria[],2,FALSE)*HLOOKUP(J$3,'DIA UTEIS'!$B$4:$M$6,3,FALSE))-(HLOOKUP($B16,'EST. PROVAS'!$B$3:$Z$4,2,FALSE)*(VLOOKUP($B16,carga_horaria[],2,FALSE)/2)))+HLOOKUP(HR_A_FAZER[[#Headers],[AGOSTO]],'DIAS FRACIONADOS'!$B$3:$Y$4,2,FALSE),(VLOOKUP($B16,carga_horaria[],2,FALSE)*(HLOOKUP(J$3,'DIA UTEIS'!$B$4:$M$6,3,FALSE)))+HLOOKUP(HR_A_FAZER[[#Headers],[AGOSTO]],'DIAS FRACIONADOS'!$B$3:$Y$4,2,FALSE)))</f>
        <v>#N/A</v>
      </c>
      <c r="K16" s="46" t="e">
        <f>IF(VLOOKUP($B16,quadro_de_func[#All],3,FALSE)="MENOR APRENDIZ",VLOOKUP($B16,carga_horaria[],2,FALSE)*(HLOOKUP(K$3,'DIA UTEIS'!$B$4:$M$6,3,FALSE)+COUNTA('DIAS FRACIONADOS'!$B$6:$B$12)),IF(VLOOKUP($B16,quadro_de_func[#All],3,FALSE)="ESTAGIÁRIO",((VLOOKUP($B16,carga_horaria[],2,FALSE)*HLOOKUP(K$3,'DIA UTEIS'!$B$4:$M$6,3,FALSE))-(HLOOKUP($B16,'EST. PROVAS'!$B$3:$Z$4,2,FALSE)*(VLOOKUP($B16,carga_horaria[],2,FALSE)/2)))+HLOOKUP(HR_A_FAZER[[#Headers],[SETEMBRO]],'DIAS FRACIONADOS'!$B$3:$Y$4,2,FALSE),(VLOOKUP($B16,carga_horaria[],2,FALSE)*(HLOOKUP(K$3,'DIA UTEIS'!$B$4:$M$6,3,FALSE)))+HLOOKUP(HR_A_FAZER[[#Headers],[SETEMBRO]],'DIAS FRACIONADOS'!$B$3:$Y$4,2,FALSE)))</f>
        <v>#N/A</v>
      </c>
      <c r="L16" s="46" t="e">
        <f>IF(VLOOKUP($B16,quadro_de_func[#All],3,FALSE)="MENOR APRENDIZ",VLOOKUP($B16,carga_horaria[],2,FALSE)*(HLOOKUP(L$3,'DIA UTEIS'!$B$4:$M$6,3,FALSE)+COUNTA('DIAS FRACIONADOS'!$B$6:$B$12)),IF(VLOOKUP($B16,quadro_de_func[#All],3,FALSE)="ESTAGIÁRIO",((VLOOKUP($B16,carga_horaria[],2,FALSE)*HLOOKUP(L$3,'DIA UTEIS'!$B$4:$M$6,3,FALSE))-(HLOOKUP($B16,'EST. PROVAS'!$B$3:$Z$4,2,FALSE)*(VLOOKUP($B16,carga_horaria[],2,FALSE)/2)))+HLOOKUP(HR_A_FAZER[[#Headers],[OUTUBRO]],'DIAS FRACIONADOS'!$B$3:$Y$4,2,FALSE),(VLOOKUP($B16,carga_horaria[],2,FALSE)*(HLOOKUP(L$3,'DIA UTEIS'!$B$4:$M$6,3,FALSE)))+HLOOKUP(HR_A_FAZER[[#Headers],[OUTUBRO]],'DIAS FRACIONADOS'!$B$3:$Y$4,2,FALSE)))</f>
        <v>#N/A</v>
      </c>
      <c r="M16" s="46" t="e">
        <f>IF(VLOOKUP($B16,quadro_de_func[#All],3,FALSE)="MENOR APRENDIZ",VLOOKUP($B16,carga_horaria[],2,FALSE)*(HLOOKUP(M$3,'DIA UTEIS'!$B$4:$M$6,3,FALSE)+COUNTA('DIAS FRACIONADOS'!$B$6:$B$12)),IF(VLOOKUP($B16,quadro_de_func[#All],3,FALSE)="ESTAGIÁRIO",((VLOOKUP($B16,carga_horaria[],2,FALSE)*HLOOKUP(M$3,'DIA UTEIS'!$B$4:$M$6,3,FALSE))-(HLOOKUP($B16,'EST. PROVAS'!$B$3:$Z$4,2,FALSE)*(VLOOKUP($B16,carga_horaria[],2,FALSE)/2)))+HLOOKUP(HR_A_FAZER[[#Headers],[NOVEMBRO]],'DIAS FRACIONADOS'!$B$3:$Y$4,2,FALSE),(VLOOKUP($B16,carga_horaria[],2,FALSE)*(HLOOKUP(M$3,'DIA UTEIS'!$B$4:$M$6,3,FALSE)))+HLOOKUP(HR_A_FAZER[[#Headers],[NOVEMBRO]],'DIAS FRACIONADOS'!$B$3:$Y$4,2,FALSE)))</f>
        <v>#N/A</v>
      </c>
      <c r="N16" s="46" t="e">
        <f>IF(VLOOKUP($B16,quadro_de_func[#All],3,FALSE)="MENOR APRENDIZ",VLOOKUP($B16,carga_horaria[],2,FALSE)*(HLOOKUP(N$3,'DIA UTEIS'!$B$4:$M$6,3,FALSE)+COUNTA('DIAS FRACIONADOS'!$B$6:$B$12)),IF(VLOOKUP($B16,quadro_de_func[#All],3,FALSE)="ESTAGIÁRIO",((VLOOKUP($B16,carga_horaria[],2,FALSE)*HLOOKUP(N$3,'DIA UTEIS'!$B$4:$M$6,3,FALSE))-(HLOOKUP($B16,'EST. PROVAS'!$B$3:$Z$4,2,FALSE)*(VLOOKUP($B16,carga_horaria[],2,FALSE)/2)))+HLOOKUP(HR_A_FAZER[[#Headers],[DEZEMBRO]],'DIAS FRACIONADOS'!$B$3:$Y$4,2,FALSE),(VLOOKUP($B16,carga_horaria[],2,FALSE)*(HLOOKUP(N$3,'DIA UTEIS'!$B$4:$M$6,3,FALSE)))+HLOOKUP(HR_A_FAZER[[#Headers],[DEZEMBRO]],'DIAS FRACIONADOS'!$B$3:$Y$4,2,FALSE)))</f>
        <v>#N/A</v>
      </c>
      <c r="O16" s="28"/>
      <c r="T16" s="28"/>
      <c r="V16" s="50"/>
    </row>
    <row r="17" spans="2:23" ht="18" customHeight="1" x14ac:dyDescent="0.25">
      <c r="B17" s="15" t="str">
        <f>quadro_de_func[[#This Row],[NOME]]</f>
        <v>func 14</v>
      </c>
      <c r="C17" s="46" t="e">
        <f>IF(VLOOKUP($B17,quadro_de_func[#All],3,FALSE)="MENOR APRENDIZ",VLOOKUP($B17,carga_horaria[],2,FALSE)*(HLOOKUP(C$3,'DIA UTEIS'!$B$4:$M$6,3,FALSE)+COUNTA('DIAS FRACIONADOS'!$B$6:$B$12)),IF(VLOOKUP($B17,quadro_de_func[#All],3,FALSE)="ESTAGIÁRIO",((VLOOKUP($B17,carga_horaria[],2,FALSE)*HLOOKUP(C$3,'DIA UTEIS'!$B$4:$M$6,3,FALSE))-(HLOOKUP($B17,'EST. PROVAS'!$B$3:$Z$4,2,FALSE)*(VLOOKUP($B17,carga_horaria[],2,FALSE)/2)))+HLOOKUP(HR_A_FAZER[[#Headers],[JANEIRO]],'DIAS FRACIONADOS'!$B$3:$Y$4,2,FALSE),(VLOOKUP($B17,carga_horaria[],2,FALSE)*(HLOOKUP(C$3,'DIA UTEIS'!$B$4:$M$6,3,FALSE)))+HLOOKUP(HR_A_FAZER[[#Headers],[JANEIRO]],'DIAS FRACIONADOS'!$B$3:$Y$4,2,FALSE)))</f>
        <v>#N/A</v>
      </c>
      <c r="D17" s="46" t="e">
        <f>IF(VLOOKUP($B17,quadro_de_func[#All],3,FALSE)="MENOR APRENDIZ",VLOOKUP($B17,carga_horaria[],2,FALSE)*(HLOOKUP(D$3,'DIA UTEIS'!$B$4:$M$6,3,FALSE)+COUNTA('DIAS FRACIONADOS'!$B$6:$B$12)),IF(VLOOKUP($B17,quadro_de_func[#All],3,FALSE)="ESTAGIÁRIO",((VLOOKUP($B17,carga_horaria[],2,FALSE)*HLOOKUP(D$3,'DIA UTEIS'!$B$4:$M$6,3,FALSE))-(HLOOKUP($B17,'EST. PROVAS'!$B$3:$Z$4,2,FALSE)*(VLOOKUP($B17,carga_horaria[],2,FALSE)/2)))+HLOOKUP(HR_A_FAZER[[#Headers],[FEVEREIRO]],'DIAS FRACIONADOS'!$B$3:$Y$4,2,FALSE),(VLOOKUP($B17,carga_horaria[],2,FALSE)*(HLOOKUP(D$3,'DIA UTEIS'!$B$4:$M$6,3,FALSE)))+HLOOKUP(HR_A_FAZER[[#Headers],[FEVEREIRO]],'DIAS FRACIONADOS'!$B$3:$Y$4,2,FALSE)))</f>
        <v>#N/A</v>
      </c>
      <c r="E17" s="46" t="e">
        <f>IF(VLOOKUP($B17,quadro_de_func[#All],3,FALSE)="MENOR APRENDIZ",VLOOKUP($B17,carga_horaria[],2,FALSE)*(HLOOKUP(E$3,'DIA UTEIS'!$B$4:$M$6,3,FALSE)+COUNTA('DIAS FRACIONADOS'!$B$6:$B$12)),IF(VLOOKUP($B17,quadro_de_func[#All],3,FALSE)="ESTAGIÁRIO",((VLOOKUP($B17,carga_horaria[],2,FALSE)*HLOOKUP(E$3,'DIA UTEIS'!$B$4:$M$6,3,FALSE))-(HLOOKUP($B17,'EST. PROVAS'!$B$3:$Z$4,2,FALSE)*(VLOOKUP($B17,carga_horaria[],2,FALSE)/2)))+HLOOKUP(HR_A_FAZER[[#Headers],[MARÇO]],'DIAS FRACIONADOS'!$B$3:$Y$4,2,FALSE),(VLOOKUP($B17,carga_horaria[],2,FALSE)*(HLOOKUP(E$3,'DIA UTEIS'!$B$4:$M$6,3,FALSE)))+HLOOKUP(HR_A_FAZER[[#Headers],[MARÇO]],'DIAS FRACIONADOS'!$B$3:$Y$4,2,FALSE)))</f>
        <v>#N/A</v>
      </c>
      <c r="F17" s="46" t="e">
        <f>IF(VLOOKUP($B17,quadro_de_func[#All],3,FALSE)="MENOR APRENDIZ",VLOOKUP($B17,carga_horaria[],2,FALSE)*(HLOOKUP(F$3,'DIA UTEIS'!$B$4:$M$6,3,FALSE)+COUNTA('DIAS FRACIONADOS'!$B$6:$B$12)),IF(VLOOKUP($B17,quadro_de_func[#All],3,FALSE)="ESTAGIÁRIO",((VLOOKUP($B17,carga_horaria[],2,FALSE)*HLOOKUP(F$3,'DIA UTEIS'!$B$4:$M$6,3,FALSE))-(HLOOKUP($B17,'EST. PROVAS'!$B$3:$Z$4,2,FALSE)*(VLOOKUP($B17,carga_horaria[],2,FALSE)/2)))+HLOOKUP(HR_A_FAZER[[#Headers],[ABRIL]],'DIAS FRACIONADOS'!$B$3:$Y$4,2,FALSE),(VLOOKUP($B17,carga_horaria[],2,FALSE)*(HLOOKUP(F$3,'DIA UTEIS'!$B$4:$M$6,3,FALSE)))+HLOOKUP(HR_A_FAZER[[#Headers],[ABRIL]],'DIAS FRACIONADOS'!$B$3:$Y$4,2,FALSE)))</f>
        <v>#N/A</v>
      </c>
      <c r="G17" s="46" t="e">
        <f>IF(VLOOKUP($B17,quadro_de_func[#All],3,FALSE)="MENOR APRENDIZ",VLOOKUP($B17,carga_horaria[],2,FALSE)*(HLOOKUP(G$3,'DIA UTEIS'!$B$4:$M$6,3,FALSE)+COUNTA('DIAS FRACIONADOS'!$B$6:$B$12)),IF(VLOOKUP($B17,quadro_de_func[#All],3,FALSE)="ESTAGIÁRIO",((VLOOKUP($B17,carga_horaria[],2,FALSE)*HLOOKUP(G$3,'DIA UTEIS'!$B$4:$M$6,3,FALSE))-(HLOOKUP($B17,'EST. PROVAS'!$B$3:$Z$4,2,FALSE)*(VLOOKUP($B17,carga_horaria[],2,FALSE)/2)))+HLOOKUP(HR_A_FAZER[[#Headers],[MAIO]],'DIAS FRACIONADOS'!$B$3:$Y$4,2,FALSE),(VLOOKUP($B17,carga_horaria[],2,FALSE)*(HLOOKUP(G$3,'DIA UTEIS'!$B$4:$M$6,3,FALSE)))+HLOOKUP(HR_A_FAZER[[#Headers],[MAIO]],'DIAS FRACIONADOS'!$B$3:$Y$4,2,FALSE)))</f>
        <v>#N/A</v>
      </c>
      <c r="H17" s="46" t="e">
        <f>IF(VLOOKUP($B17,quadro_de_func[#All],3,FALSE)="MENOR APRENDIZ",VLOOKUP($B17,carga_horaria[],2,FALSE)*(HLOOKUP(H$3,'DIA UTEIS'!$B$4:$M$6,3,FALSE)+COUNTA('DIAS FRACIONADOS'!$B$6:$B$12)),IF(VLOOKUP($B17,quadro_de_func[#All],3,FALSE)="ESTAGIÁRIO",((VLOOKUP($B17,carga_horaria[],2,FALSE)*HLOOKUP(H$3,'DIA UTEIS'!$B$4:$M$6,3,FALSE))-(HLOOKUP($B17,'EST. PROVAS'!$B$3:$Z$4,2,FALSE)*(VLOOKUP($B17,carga_horaria[],2,FALSE)/2)))+HLOOKUP(HR_A_FAZER[[#Headers],[JUNHO]],'DIAS FRACIONADOS'!$B$3:$Y$4,2,FALSE),(VLOOKUP($B17,carga_horaria[],2,FALSE)*(HLOOKUP(H$3,'DIA UTEIS'!$B$4:$M$6,3,FALSE)))+HLOOKUP(HR_A_FAZER[[#Headers],[JUNHO]],'DIAS FRACIONADOS'!$B$3:$Y$4,2,FALSE)))</f>
        <v>#N/A</v>
      </c>
      <c r="I17" s="46" t="e">
        <f>IF(VLOOKUP($B17,quadro_de_func[#All],3,FALSE)="MENOR APRENDIZ",VLOOKUP($B17,carga_horaria[],2,FALSE)*(HLOOKUP(I$3,'DIA UTEIS'!$B$4:$M$6,3,FALSE)+COUNTA('DIAS FRACIONADOS'!$B$6:$B$12)),IF(VLOOKUP($B17,quadro_de_func[#All],3,FALSE)="ESTAGIÁRIO",((VLOOKUP($B17,carga_horaria[],2,FALSE)*HLOOKUP(I$3,'DIA UTEIS'!$B$4:$M$6,3,FALSE))-(HLOOKUP($B17,'EST. PROVAS'!$B$3:$Z$4,2,FALSE)*(VLOOKUP($B17,carga_horaria[],2,FALSE)/2)))+HLOOKUP(HR_A_FAZER[[#Headers],[JULHO]],'DIAS FRACIONADOS'!$B$3:$Y$4,2,FALSE),(VLOOKUP($B17,carga_horaria[],2,FALSE)*(HLOOKUP(I$3,'DIA UTEIS'!$B$4:$M$6,3,FALSE)))+HLOOKUP(HR_A_FAZER[[#Headers],[JULHO]],'DIAS FRACIONADOS'!$B$3:$Y$4,2,FALSE)))</f>
        <v>#N/A</v>
      </c>
      <c r="J17" s="46" t="e">
        <f>IF(VLOOKUP($B17,quadro_de_func[#All],3,FALSE)="MENOR APRENDIZ",VLOOKUP($B17,carga_horaria[],2,FALSE)*(HLOOKUP(J$3,'DIA UTEIS'!$B$4:$M$6,3,FALSE)+COUNTA('DIAS FRACIONADOS'!$B$6:$B$12)),IF(VLOOKUP($B17,quadro_de_func[#All],3,FALSE)="ESTAGIÁRIO",((VLOOKUP($B17,carga_horaria[],2,FALSE)*HLOOKUP(J$3,'DIA UTEIS'!$B$4:$M$6,3,FALSE))-(HLOOKUP($B17,'EST. PROVAS'!$B$3:$Z$4,2,FALSE)*(VLOOKUP($B17,carga_horaria[],2,FALSE)/2)))+HLOOKUP(HR_A_FAZER[[#Headers],[AGOSTO]],'DIAS FRACIONADOS'!$B$3:$Y$4,2,FALSE),(VLOOKUP($B17,carga_horaria[],2,FALSE)*(HLOOKUP(J$3,'DIA UTEIS'!$B$4:$M$6,3,FALSE)))+HLOOKUP(HR_A_FAZER[[#Headers],[AGOSTO]],'DIAS FRACIONADOS'!$B$3:$Y$4,2,FALSE)))</f>
        <v>#N/A</v>
      </c>
      <c r="K17" s="46" t="e">
        <f>IF(VLOOKUP($B17,quadro_de_func[#All],3,FALSE)="MENOR APRENDIZ",VLOOKUP($B17,carga_horaria[],2,FALSE)*(HLOOKUP(K$3,'DIA UTEIS'!$B$4:$M$6,3,FALSE)+COUNTA('DIAS FRACIONADOS'!$B$6:$B$12)),IF(VLOOKUP($B17,quadro_de_func[#All],3,FALSE)="ESTAGIÁRIO",((VLOOKUP($B17,carga_horaria[],2,FALSE)*HLOOKUP(K$3,'DIA UTEIS'!$B$4:$M$6,3,FALSE))-(HLOOKUP($B17,'EST. PROVAS'!$B$3:$Z$4,2,FALSE)*(VLOOKUP($B17,carga_horaria[],2,FALSE)/2)))+HLOOKUP(HR_A_FAZER[[#Headers],[SETEMBRO]],'DIAS FRACIONADOS'!$B$3:$Y$4,2,FALSE),(VLOOKUP($B17,carga_horaria[],2,FALSE)*(HLOOKUP(K$3,'DIA UTEIS'!$B$4:$M$6,3,FALSE)))+HLOOKUP(HR_A_FAZER[[#Headers],[SETEMBRO]],'DIAS FRACIONADOS'!$B$3:$Y$4,2,FALSE)))</f>
        <v>#N/A</v>
      </c>
      <c r="L17" s="46" t="e">
        <f>IF(VLOOKUP($B17,quadro_de_func[#All],3,FALSE)="MENOR APRENDIZ",VLOOKUP($B17,carga_horaria[],2,FALSE)*(HLOOKUP(L$3,'DIA UTEIS'!$B$4:$M$6,3,FALSE)+COUNTA('DIAS FRACIONADOS'!$B$6:$B$12)),IF(VLOOKUP($B17,quadro_de_func[#All],3,FALSE)="ESTAGIÁRIO",((VLOOKUP($B17,carga_horaria[],2,FALSE)*HLOOKUP(L$3,'DIA UTEIS'!$B$4:$M$6,3,FALSE))-(HLOOKUP($B17,'EST. PROVAS'!$B$3:$Z$4,2,FALSE)*(VLOOKUP($B17,carga_horaria[],2,FALSE)/2)))+HLOOKUP(HR_A_FAZER[[#Headers],[OUTUBRO]],'DIAS FRACIONADOS'!$B$3:$Y$4,2,FALSE),(VLOOKUP($B17,carga_horaria[],2,FALSE)*(HLOOKUP(L$3,'DIA UTEIS'!$B$4:$M$6,3,FALSE)))+HLOOKUP(HR_A_FAZER[[#Headers],[OUTUBRO]],'DIAS FRACIONADOS'!$B$3:$Y$4,2,FALSE)))</f>
        <v>#N/A</v>
      </c>
      <c r="M17" s="46" t="e">
        <f>IF(VLOOKUP($B17,quadro_de_func[#All],3,FALSE)="MENOR APRENDIZ",VLOOKUP($B17,carga_horaria[],2,FALSE)*(HLOOKUP(M$3,'DIA UTEIS'!$B$4:$M$6,3,FALSE)+COUNTA('DIAS FRACIONADOS'!$B$6:$B$12)),IF(VLOOKUP($B17,quadro_de_func[#All],3,FALSE)="ESTAGIÁRIO",((VLOOKUP($B17,carga_horaria[],2,FALSE)*HLOOKUP(M$3,'DIA UTEIS'!$B$4:$M$6,3,FALSE))-(HLOOKUP($B17,'EST. PROVAS'!$B$3:$Z$4,2,FALSE)*(VLOOKUP($B17,carga_horaria[],2,FALSE)/2)))+HLOOKUP(HR_A_FAZER[[#Headers],[NOVEMBRO]],'DIAS FRACIONADOS'!$B$3:$Y$4,2,FALSE),(VLOOKUP($B17,carga_horaria[],2,FALSE)*(HLOOKUP(M$3,'DIA UTEIS'!$B$4:$M$6,3,FALSE)))+HLOOKUP(HR_A_FAZER[[#Headers],[NOVEMBRO]],'DIAS FRACIONADOS'!$B$3:$Y$4,2,FALSE)))</f>
        <v>#N/A</v>
      </c>
      <c r="N17" s="46" t="e">
        <f>IF(VLOOKUP($B17,quadro_de_func[#All],3,FALSE)="MENOR APRENDIZ",VLOOKUP($B17,carga_horaria[],2,FALSE)*(HLOOKUP(N$3,'DIA UTEIS'!$B$4:$M$6,3,FALSE)+COUNTA('DIAS FRACIONADOS'!$B$6:$B$12)),IF(VLOOKUP($B17,quadro_de_func[#All],3,FALSE)="ESTAGIÁRIO",((VLOOKUP($B17,carga_horaria[],2,FALSE)*HLOOKUP(N$3,'DIA UTEIS'!$B$4:$M$6,3,FALSE))-(HLOOKUP($B17,'EST. PROVAS'!$B$3:$Z$4,2,FALSE)*(VLOOKUP($B17,carga_horaria[],2,FALSE)/2)))+HLOOKUP(HR_A_FAZER[[#Headers],[DEZEMBRO]],'DIAS FRACIONADOS'!$B$3:$Y$4,2,FALSE),(VLOOKUP($B17,carga_horaria[],2,FALSE)*(HLOOKUP(N$3,'DIA UTEIS'!$B$4:$M$6,3,FALSE)))+HLOOKUP(HR_A_FAZER[[#Headers],[DEZEMBRO]],'DIAS FRACIONADOS'!$B$3:$Y$4,2,FALSE)))</f>
        <v>#N/A</v>
      </c>
      <c r="O17" s="28"/>
      <c r="T17" s="28"/>
    </row>
    <row r="18" spans="2:23" ht="18" customHeight="1" x14ac:dyDescent="0.25">
      <c r="B18" s="15" t="str">
        <f>quadro_de_func[[#This Row],[NOME]]</f>
        <v>func 15</v>
      </c>
      <c r="C18" s="46">
        <f>IF(VLOOKUP($B18,quadro_de_func[#All],3,FALSE)="MENOR APRENDIZ",VLOOKUP($B18,carga_horaria[],2,FALSE)*(HLOOKUP(C$3,'DIA UTEIS'!$B$4:$M$6,3,FALSE)+COUNTA('DIAS FRACIONADOS'!$B$6:$B$12)),IF(VLOOKUP($B18,quadro_de_func[#All],3,FALSE)="ESTAGIÁRIO",((VLOOKUP($B18,carga_horaria[],2,FALSE)*HLOOKUP(C$3,'DIA UTEIS'!$B$4:$M$6,3,FALSE))-(HLOOKUP($B18,'EST. PROVAS'!$B$3:$Z$4,2,FALSE)*(VLOOKUP($B18,carga_horaria[],2,FALSE)/2)))+HLOOKUP(HR_A_FAZER[[#Headers],[JANEIRO]],'DIAS FRACIONADOS'!$B$3:$Y$4,2,FALSE),(VLOOKUP($B18,carga_horaria[],2,FALSE)*(HLOOKUP(C$3,'DIA UTEIS'!$B$4:$M$6,3,FALSE)))+HLOOKUP(HR_A_FAZER[[#Headers],[JANEIRO]],'DIAS FRACIONADOS'!$B$3:$Y$4,2,FALSE)))</f>
        <v>3.6666666666666661</v>
      </c>
      <c r="D18" s="46">
        <f>IF(VLOOKUP($B18,quadro_de_func[#All],3,FALSE)="MENOR APRENDIZ",VLOOKUP($B18,carga_horaria[],2,FALSE)*(HLOOKUP(D$3,'DIA UTEIS'!$B$4:$M$6,3,FALSE)+COUNTA('DIAS FRACIONADOS'!$B$6:$B$12)),IF(VLOOKUP($B18,quadro_de_func[#All],3,FALSE)="ESTAGIÁRIO",((VLOOKUP($B18,carga_horaria[],2,FALSE)*HLOOKUP(D$3,'DIA UTEIS'!$B$4:$M$6,3,FALSE))-(HLOOKUP($B18,'EST. PROVAS'!$B$3:$Z$4,2,FALSE)*(VLOOKUP($B18,carga_horaria[],2,FALSE)/2)))+HLOOKUP(HR_A_FAZER[[#Headers],[FEVEREIRO]],'DIAS FRACIONADOS'!$B$3:$Y$4,2,FALSE),(VLOOKUP($B18,carga_horaria[],2,FALSE)*(HLOOKUP(D$3,'DIA UTEIS'!$B$4:$M$6,3,FALSE)))+HLOOKUP(HR_A_FAZER[[#Headers],[FEVEREIRO]],'DIAS FRACIONADOS'!$B$3:$Y$4,2,FALSE)))</f>
        <v>3.4999999999999991</v>
      </c>
      <c r="E18" s="46">
        <f>IF(VLOOKUP($B18,quadro_de_func[#All],3,FALSE)="MENOR APRENDIZ",VLOOKUP($B18,carga_horaria[],2,FALSE)*(HLOOKUP(E$3,'DIA UTEIS'!$B$4:$M$6,3,FALSE)+COUNTA('DIAS FRACIONADOS'!$B$6:$B$12)),IF(VLOOKUP($B18,quadro_de_func[#All],3,FALSE)="ESTAGIÁRIO",((VLOOKUP($B18,carga_horaria[],2,FALSE)*HLOOKUP(E$3,'DIA UTEIS'!$B$4:$M$6,3,FALSE))-(HLOOKUP($B18,'EST. PROVAS'!$B$3:$Z$4,2,FALSE)*(VLOOKUP($B18,carga_horaria[],2,FALSE)/2)))+HLOOKUP(HR_A_FAZER[[#Headers],[MARÇO]],'DIAS FRACIONADOS'!$B$3:$Y$4,2,FALSE),(VLOOKUP($B18,carga_horaria[],2,FALSE)*(HLOOKUP(E$3,'DIA UTEIS'!$B$4:$M$6,3,FALSE)))+HLOOKUP(HR_A_FAZER[[#Headers],[MARÇO]],'DIAS FRACIONADOS'!$B$3:$Y$4,2,FALSE)))</f>
        <v>3.1666666666666661</v>
      </c>
      <c r="F18" s="46">
        <f>IF(VLOOKUP($B18,quadro_de_func[#All],3,FALSE)="MENOR APRENDIZ",VLOOKUP($B18,carga_horaria[],2,FALSE)*(HLOOKUP(F$3,'DIA UTEIS'!$B$4:$M$6,3,FALSE)+COUNTA('DIAS FRACIONADOS'!$B$6:$B$12)),IF(VLOOKUP($B18,quadro_de_func[#All],3,FALSE)="ESTAGIÁRIO",((VLOOKUP($B18,carga_horaria[],2,FALSE)*HLOOKUP(F$3,'DIA UTEIS'!$B$4:$M$6,3,FALSE))-(HLOOKUP($B18,'EST. PROVAS'!$B$3:$Z$4,2,FALSE)*(VLOOKUP($B18,carga_horaria[],2,FALSE)/2)))+HLOOKUP(HR_A_FAZER[[#Headers],[ABRIL]],'DIAS FRACIONADOS'!$B$3:$Y$4,2,FALSE),(VLOOKUP($B18,carga_horaria[],2,FALSE)*(HLOOKUP(F$3,'DIA UTEIS'!$B$4:$M$6,3,FALSE)))+HLOOKUP(HR_A_FAZER[[#Headers],[ABRIL]],'DIAS FRACIONADOS'!$B$3:$Y$4,2,FALSE)))</f>
        <v>3.6666666666666661</v>
      </c>
      <c r="G18" s="46">
        <f>IF(VLOOKUP($B18,quadro_de_func[#All],3,FALSE)="MENOR APRENDIZ",VLOOKUP($B18,carga_horaria[],2,FALSE)*(HLOOKUP(G$3,'DIA UTEIS'!$B$4:$M$6,3,FALSE)+COUNTA('DIAS FRACIONADOS'!$B$6:$B$12)),IF(VLOOKUP($B18,quadro_de_func[#All],3,FALSE)="ESTAGIÁRIO",((VLOOKUP($B18,carga_horaria[],2,FALSE)*HLOOKUP(G$3,'DIA UTEIS'!$B$4:$M$6,3,FALSE))-(HLOOKUP($B18,'EST. PROVAS'!$B$3:$Z$4,2,FALSE)*(VLOOKUP($B18,carga_horaria[],2,FALSE)/2)))+HLOOKUP(HR_A_FAZER[[#Headers],[MAIO]],'DIAS FRACIONADOS'!$B$3:$Y$4,2,FALSE),(VLOOKUP($B18,carga_horaria[],2,FALSE)*(HLOOKUP(G$3,'DIA UTEIS'!$B$4:$M$6,3,FALSE)))+HLOOKUP(HR_A_FAZER[[#Headers],[MAIO]],'DIAS FRACIONADOS'!$B$3:$Y$4,2,FALSE)))</f>
        <v>3.8333333333333326</v>
      </c>
      <c r="H18" s="46">
        <f>IF(VLOOKUP($B18,quadro_de_func[#All],3,FALSE)="MENOR APRENDIZ",VLOOKUP($B18,carga_horaria[],2,FALSE)*(HLOOKUP(H$3,'DIA UTEIS'!$B$4:$M$6,3,FALSE)+COUNTA('DIAS FRACIONADOS'!$B$6:$B$12)),IF(VLOOKUP($B18,quadro_de_func[#All],3,FALSE)="ESTAGIÁRIO",((VLOOKUP($B18,carga_horaria[],2,FALSE)*HLOOKUP(H$3,'DIA UTEIS'!$B$4:$M$6,3,FALSE))-(HLOOKUP($B18,'EST. PROVAS'!$B$3:$Z$4,2,FALSE)*(VLOOKUP($B18,carga_horaria[],2,FALSE)/2)))+HLOOKUP(HR_A_FAZER[[#Headers],[JUNHO]],'DIAS FRACIONADOS'!$B$3:$Y$4,2,FALSE),(VLOOKUP($B18,carga_horaria[],2,FALSE)*(HLOOKUP(H$3,'DIA UTEIS'!$B$4:$M$6,3,FALSE)))+HLOOKUP(HR_A_FAZER[[#Headers],[JUNHO]],'DIAS FRACIONADOS'!$B$3:$Y$4,2,FALSE)))</f>
        <v>3.3333333333333326</v>
      </c>
      <c r="I18" s="46">
        <f>IF(VLOOKUP($B18,quadro_de_func[#All],3,FALSE)="MENOR APRENDIZ",VLOOKUP($B18,carga_horaria[],2,FALSE)*(HLOOKUP(I$3,'DIA UTEIS'!$B$4:$M$6,3,FALSE)+COUNTA('DIAS FRACIONADOS'!$B$6:$B$12)),IF(VLOOKUP($B18,quadro_de_func[#All],3,FALSE)="ESTAGIÁRIO",((VLOOKUP($B18,carga_horaria[],2,FALSE)*HLOOKUP(I$3,'DIA UTEIS'!$B$4:$M$6,3,FALSE))-(HLOOKUP($B18,'EST. PROVAS'!$B$3:$Z$4,2,FALSE)*(VLOOKUP($B18,carga_horaria[],2,FALSE)/2)))+HLOOKUP(HR_A_FAZER[[#Headers],[JULHO]],'DIAS FRACIONADOS'!$B$3:$Y$4,2,FALSE),(VLOOKUP($B18,carga_horaria[],2,FALSE)*(HLOOKUP(I$3,'DIA UTEIS'!$B$4:$M$6,3,FALSE)))+HLOOKUP(HR_A_FAZER[[#Headers],[JULHO]],'DIAS FRACIONADOS'!$B$3:$Y$4,2,FALSE)))</f>
        <v>3.8333333333333326</v>
      </c>
      <c r="J18" s="46">
        <f>IF(VLOOKUP($B18,quadro_de_func[#All],3,FALSE)="MENOR APRENDIZ",VLOOKUP($B18,carga_horaria[],2,FALSE)*(HLOOKUP(J$3,'DIA UTEIS'!$B$4:$M$6,3,FALSE)+COUNTA('DIAS FRACIONADOS'!$B$6:$B$12)),IF(VLOOKUP($B18,quadro_de_func[#All],3,FALSE)="ESTAGIÁRIO",((VLOOKUP($B18,carga_horaria[],2,FALSE)*HLOOKUP(J$3,'DIA UTEIS'!$B$4:$M$6,3,FALSE))-(HLOOKUP($B18,'EST. PROVAS'!$B$3:$Z$4,2,FALSE)*(VLOOKUP($B18,carga_horaria[],2,FALSE)/2)))+HLOOKUP(HR_A_FAZER[[#Headers],[AGOSTO]],'DIAS FRACIONADOS'!$B$3:$Y$4,2,FALSE),(VLOOKUP($B18,carga_horaria[],2,FALSE)*(HLOOKUP(J$3,'DIA UTEIS'!$B$4:$M$6,3,FALSE)))+HLOOKUP(HR_A_FAZER[[#Headers],[AGOSTO]],'DIAS FRACIONADOS'!$B$3:$Y$4,2,FALSE)))</f>
        <v>3.8333333333333326</v>
      </c>
      <c r="K18" s="46">
        <f>IF(VLOOKUP($B18,quadro_de_func[#All],3,FALSE)="MENOR APRENDIZ",VLOOKUP($B18,carga_horaria[],2,FALSE)*(HLOOKUP(K$3,'DIA UTEIS'!$B$4:$M$6,3,FALSE)+COUNTA('DIAS FRACIONADOS'!$B$6:$B$12)),IF(VLOOKUP($B18,quadro_de_func[#All],3,FALSE)="ESTAGIÁRIO",((VLOOKUP($B18,carga_horaria[],2,FALSE)*HLOOKUP(K$3,'DIA UTEIS'!$B$4:$M$6,3,FALSE))-(HLOOKUP($B18,'EST. PROVAS'!$B$3:$Z$4,2,FALSE)*(VLOOKUP($B18,carga_horaria[],2,FALSE)/2)))+HLOOKUP(HR_A_FAZER[[#Headers],[SETEMBRO]],'DIAS FRACIONADOS'!$B$3:$Y$4,2,FALSE),(VLOOKUP($B18,carga_horaria[],2,FALSE)*(HLOOKUP(K$3,'DIA UTEIS'!$B$4:$M$6,3,FALSE)))+HLOOKUP(HR_A_FAZER[[#Headers],[SETEMBRO]],'DIAS FRACIONADOS'!$B$3:$Y$4,2,FALSE)))</f>
        <v>3.4999999999999991</v>
      </c>
      <c r="L18" s="46">
        <f>IF(VLOOKUP($B18,quadro_de_func[#All],3,FALSE)="MENOR APRENDIZ",VLOOKUP($B18,carga_horaria[],2,FALSE)*(HLOOKUP(L$3,'DIA UTEIS'!$B$4:$M$6,3,FALSE)+COUNTA('DIAS FRACIONADOS'!$B$6:$B$12)),IF(VLOOKUP($B18,quadro_de_func[#All],3,FALSE)="ESTAGIÁRIO",((VLOOKUP($B18,carga_horaria[],2,FALSE)*HLOOKUP(L$3,'DIA UTEIS'!$B$4:$M$6,3,FALSE))-(HLOOKUP($B18,'EST. PROVAS'!$B$3:$Z$4,2,FALSE)*(VLOOKUP($B18,carga_horaria[],2,FALSE)/2)))+HLOOKUP(HR_A_FAZER[[#Headers],[OUTUBRO]],'DIAS FRACIONADOS'!$B$3:$Y$4,2,FALSE),(VLOOKUP($B18,carga_horaria[],2,FALSE)*(HLOOKUP(L$3,'DIA UTEIS'!$B$4:$M$6,3,FALSE)))+HLOOKUP(HR_A_FAZER[[#Headers],[OUTUBRO]],'DIAS FRACIONADOS'!$B$3:$Y$4,2,FALSE)))</f>
        <v>3.9999999999999991</v>
      </c>
      <c r="M18" s="46">
        <f>IF(VLOOKUP($B18,quadro_de_func[#All],3,FALSE)="MENOR APRENDIZ",VLOOKUP($B18,carga_horaria[],2,FALSE)*(HLOOKUP(M$3,'DIA UTEIS'!$B$4:$M$6,3,FALSE)+COUNTA('DIAS FRACIONADOS'!$B$6:$B$12)),IF(VLOOKUP($B18,quadro_de_func[#All],3,FALSE)="ESTAGIÁRIO",((VLOOKUP($B18,carga_horaria[],2,FALSE)*HLOOKUP(M$3,'DIA UTEIS'!$B$4:$M$6,3,FALSE))-(HLOOKUP($B18,'EST. PROVAS'!$B$3:$Z$4,2,FALSE)*(VLOOKUP($B18,carga_horaria[],2,FALSE)/2)))+HLOOKUP(HR_A_FAZER[[#Headers],[NOVEMBRO]],'DIAS FRACIONADOS'!$B$3:$Y$4,2,FALSE),(VLOOKUP($B18,carga_horaria[],2,FALSE)*(HLOOKUP(M$3,'DIA UTEIS'!$B$4:$M$6,3,FALSE)))+HLOOKUP(HR_A_FAZER[[#Headers],[NOVEMBRO]],'DIAS FRACIONADOS'!$B$3:$Y$4,2,FALSE)))</f>
        <v>3.4999999999999991</v>
      </c>
      <c r="N18" s="46">
        <f>IF(VLOOKUP($B18,quadro_de_func[#All],3,FALSE)="MENOR APRENDIZ",VLOOKUP($B18,carga_horaria[],2,FALSE)*(HLOOKUP(N$3,'DIA UTEIS'!$B$4:$M$6,3,FALSE)+COUNTA('DIAS FRACIONADOS'!$B$6:$B$12)),IF(VLOOKUP($B18,quadro_de_func[#All],3,FALSE)="ESTAGIÁRIO",((VLOOKUP($B18,carga_horaria[],2,FALSE)*HLOOKUP(N$3,'DIA UTEIS'!$B$4:$M$6,3,FALSE))-(HLOOKUP($B18,'EST. PROVAS'!$B$3:$Z$4,2,FALSE)*(VLOOKUP($B18,carga_horaria[],2,FALSE)/2)))+HLOOKUP(HR_A_FAZER[[#Headers],[DEZEMBRO]],'DIAS FRACIONADOS'!$B$3:$Y$4,2,FALSE),(VLOOKUP($B18,carga_horaria[],2,FALSE)*(HLOOKUP(N$3,'DIA UTEIS'!$B$4:$M$6,3,FALSE)))+HLOOKUP(HR_A_FAZER[[#Headers],[DEZEMBRO]],'DIAS FRACIONADOS'!$B$3:$Y$4,2,FALSE)))</f>
        <v>3.6666666666666661</v>
      </c>
      <c r="O18" s="28"/>
      <c r="U18" s="28"/>
      <c r="W18" s="27"/>
    </row>
    <row r="19" spans="2:23" ht="18" customHeight="1" x14ac:dyDescent="0.25">
      <c r="B19" s="15" t="str">
        <f>quadro_de_func[[#This Row],[NOME]]</f>
        <v>func 16</v>
      </c>
      <c r="C19" s="46">
        <f>IF(VLOOKUP($B19,quadro_de_func[#All],3,FALSE)="MENOR APRENDIZ",VLOOKUP($B19,carga_horaria[],2,FALSE)*(HLOOKUP(C$3,'DIA UTEIS'!$B$4:$M$6,3,FALSE)+COUNTA('DIAS FRACIONADOS'!$B$6:$B$12)),IF(VLOOKUP($B19,quadro_de_func[#All],3,FALSE)="ESTAGIÁRIO",((VLOOKUP($B19,carga_horaria[],2,FALSE)*HLOOKUP(C$3,'DIA UTEIS'!$B$4:$M$6,3,FALSE))-(HLOOKUP($B19,'EST. PROVAS'!$B$3:$Z$4,2,FALSE)*(VLOOKUP($B19,carga_horaria[],2,FALSE)/2)))+HLOOKUP(HR_A_FAZER[[#Headers],[JANEIRO]],'DIAS FRACIONADOS'!$B$3:$Y$4,2,FALSE),(VLOOKUP($B19,carga_horaria[],2,FALSE)*(HLOOKUP(C$3,'DIA UTEIS'!$B$4:$M$6,3,FALSE)))+HLOOKUP(HR_A_FAZER[[#Headers],[JANEIRO]],'DIAS FRACIONADOS'!$B$3:$Y$4,2,FALSE)))</f>
        <v>3.6666666666666661</v>
      </c>
      <c r="D19" s="46">
        <f>IF(VLOOKUP($B19,quadro_de_func[#All],3,FALSE)="MENOR APRENDIZ",VLOOKUP($B19,carga_horaria[],2,FALSE)*(HLOOKUP(D$3,'DIA UTEIS'!$B$4:$M$6,3,FALSE)+COUNTA('DIAS FRACIONADOS'!$B$6:$B$12)),IF(VLOOKUP($B19,quadro_de_func[#All],3,FALSE)="ESTAGIÁRIO",((VLOOKUP($B19,carga_horaria[],2,FALSE)*HLOOKUP(D$3,'DIA UTEIS'!$B$4:$M$6,3,FALSE))-(HLOOKUP($B19,'EST. PROVAS'!$B$3:$Z$4,2,FALSE)*(VLOOKUP($B19,carga_horaria[],2,FALSE)/2)))+HLOOKUP(HR_A_FAZER[[#Headers],[FEVEREIRO]],'DIAS FRACIONADOS'!$B$3:$Y$4,2,FALSE),(VLOOKUP($B19,carga_horaria[],2,FALSE)*(HLOOKUP(D$3,'DIA UTEIS'!$B$4:$M$6,3,FALSE)))+HLOOKUP(HR_A_FAZER[[#Headers],[FEVEREIRO]],'DIAS FRACIONADOS'!$B$3:$Y$4,2,FALSE)))</f>
        <v>3.4999999999999991</v>
      </c>
      <c r="E19" s="46">
        <f>IF(VLOOKUP($B19,quadro_de_func[#All],3,FALSE)="MENOR APRENDIZ",VLOOKUP($B19,carga_horaria[],2,FALSE)*(HLOOKUP(E$3,'DIA UTEIS'!$B$4:$M$6,3,FALSE)+COUNTA('DIAS FRACIONADOS'!$B$6:$B$12)),IF(VLOOKUP($B19,quadro_de_func[#All],3,FALSE)="ESTAGIÁRIO",((VLOOKUP($B19,carga_horaria[],2,FALSE)*HLOOKUP(E$3,'DIA UTEIS'!$B$4:$M$6,3,FALSE))-(HLOOKUP($B19,'EST. PROVAS'!$B$3:$Z$4,2,FALSE)*(VLOOKUP($B19,carga_horaria[],2,FALSE)/2)))+HLOOKUP(HR_A_FAZER[[#Headers],[MARÇO]],'DIAS FRACIONADOS'!$B$3:$Y$4,2,FALSE),(VLOOKUP($B19,carga_horaria[],2,FALSE)*(HLOOKUP(E$3,'DIA UTEIS'!$B$4:$M$6,3,FALSE)))+HLOOKUP(HR_A_FAZER[[#Headers],[MARÇO]],'DIAS FRACIONADOS'!$B$3:$Y$4,2,FALSE)))</f>
        <v>3.1666666666666661</v>
      </c>
      <c r="F19" s="46">
        <f>IF(VLOOKUP($B19,quadro_de_func[#All],3,FALSE)="MENOR APRENDIZ",VLOOKUP($B19,carga_horaria[],2,FALSE)*(HLOOKUP(F$3,'DIA UTEIS'!$B$4:$M$6,3,FALSE)+COUNTA('DIAS FRACIONADOS'!$B$6:$B$12)),IF(VLOOKUP($B19,quadro_de_func[#All],3,FALSE)="ESTAGIÁRIO",((VLOOKUP($B19,carga_horaria[],2,FALSE)*HLOOKUP(F$3,'DIA UTEIS'!$B$4:$M$6,3,FALSE))-(HLOOKUP($B19,'EST. PROVAS'!$B$3:$Z$4,2,FALSE)*(VLOOKUP($B19,carga_horaria[],2,FALSE)/2)))+HLOOKUP(HR_A_FAZER[[#Headers],[ABRIL]],'DIAS FRACIONADOS'!$B$3:$Y$4,2,FALSE),(VLOOKUP($B19,carga_horaria[],2,FALSE)*(HLOOKUP(F$3,'DIA UTEIS'!$B$4:$M$6,3,FALSE)))+HLOOKUP(HR_A_FAZER[[#Headers],[ABRIL]],'DIAS FRACIONADOS'!$B$3:$Y$4,2,FALSE)))</f>
        <v>3.6666666666666661</v>
      </c>
      <c r="G19" s="46">
        <f>IF(VLOOKUP($B19,quadro_de_func[#All],3,FALSE)="MENOR APRENDIZ",VLOOKUP($B19,carga_horaria[],2,FALSE)*(HLOOKUP(G$3,'DIA UTEIS'!$B$4:$M$6,3,FALSE)+COUNTA('DIAS FRACIONADOS'!$B$6:$B$12)),IF(VLOOKUP($B19,quadro_de_func[#All],3,FALSE)="ESTAGIÁRIO",((VLOOKUP($B19,carga_horaria[],2,FALSE)*HLOOKUP(G$3,'DIA UTEIS'!$B$4:$M$6,3,FALSE))-(HLOOKUP($B19,'EST. PROVAS'!$B$3:$Z$4,2,FALSE)*(VLOOKUP($B19,carga_horaria[],2,FALSE)/2)))+HLOOKUP(HR_A_FAZER[[#Headers],[MAIO]],'DIAS FRACIONADOS'!$B$3:$Y$4,2,FALSE),(VLOOKUP($B19,carga_horaria[],2,FALSE)*(HLOOKUP(G$3,'DIA UTEIS'!$B$4:$M$6,3,FALSE)))+HLOOKUP(HR_A_FAZER[[#Headers],[MAIO]],'DIAS FRACIONADOS'!$B$3:$Y$4,2,FALSE)))</f>
        <v>3.8333333333333326</v>
      </c>
      <c r="H19" s="46">
        <f>IF(VLOOKUP($B19,quadro_de_func[#All],3,FALSE)="MENOR APRENDIZ",VLOOKUP($B19,carga_horaria[],2,FALSE)*(HLOOKUP(H$3,'DIA UTEIS'!$B$4:$M$6,3,FALSE)+COUNTA('DIAS FRACIONADOS'!$B$6:$B$12)),IF(VLOOKUP($B19,quadro_de_func[#All],3,FALSE)="ESTAGIÁRIO",((VLOOKUP($B19,carga_horaria[],2,FALSE)*HLOOKUP(H$3,'DIA UTEIS'!$B$4:$M$6,3,FALSE))-(HLOOKUP($B19,'EST. PROVAS'!$B$3:$Z$4,2,FALSE)*(VLOOKUP($B19,carga_horaria[],2,FALSE)/2)))+HLOOKUP(HR_A_FAZER[[#Headers],[JUNHO]],'DIAS FRACIONADOS'!$B$3:$Y$4,2,FALSE),(VLOOKUP($B19,carga_horaria[],2,FALSE)*(HLOOKUP(H$3,'DIA UTEIS'!$B$4:$M$6,3,FALSE)))+HLOOKUP(HR_A_FAZER[[#Headers],[JUNHO]],'DIAS FRACIONADOS'!$B$3:$Y$4,2,FALSE)))</f>
        <v>3.3333333333333326</v>
      </c>
      <c r="I19" s="46">
        <f>IF(VLOOKUP($B19,quadro_de_func[#All],3,FALSE)="MENOR APRENDIZ",VLOOKUP($B19,carga_horaria[],2,FALSE)*(HLOOKUP(I$3,'DIA UTEIS'!$B$4:$M$6,3,FALSE)+COUNTA('DIAS FRACIONADOS'!$B$6:$B$12)),IF(VLOOKUP($B19,quadro_de_func[#All],3,FALSE)="ESTAGIÁRIO",((VLOOKUP($B19,carga_horaria[],2,FALSE)*HLOOKUP(I$3,'DIA UTEIS'!$B$4:$M$6,3,FALSE))-(HLOOKUP($B19,'EST. PROVAS'!$B$3:$Z$4,2,FALSE)*(VLOOKUP($B19,carga_horaria[],2,FALSE)/2)))+HLOOKUP(HR_A_FAZER[[#Headers],[JULHO]],'DIAS FRACIONADOS'!$B$3:$Y$4,2,FALSE),(VLOOKUP($B19,carga_horaria[],2,FALSE)*(HLOOKUP(I$3,'DIA UTEIS'!$B$4:$M$6,3,FALSE)))+HLOOKUP(HR_A_FAZER[[#Headers],[JULHO]],'DIAS FRACIONADOS'!$B$3:$Y$4,2,FALSE)))</f>
        <v>3.8333333333333326</v>
      </c>
      <c r="J19" s="46">
        <f>IF(VLOOKUP($B19,quadro_de_func[#All],3,FALSE)="MENOR APRENDIZ",VLOOKUP($B19,carga_horaria[],2,FALSE)*(HLOOKUP(J$3,'DIA UTEIS'!$B$4:$M$6,3,FALSE)+COUNTA('DIAS FRACIONADOS'!$B$6:$B$12)),IF(VLOOKUP($B19,quadro_de_func[#All],3,FALSE)="ESTAGIÁRIO",((VLOOKUP($B19,carga_horaria[],2,FALSE)*HLOOKUP(J$3,'DIA UTEIS'!$B$4:$M$6,3,FALSE))-(HLOOKUP($B19,'EST. PROVAS'!$B$3:$Z$4,2,FALSE)*(VLOOKUP($B19,carga_horaria[],2,FALSE)/2)))+HLOOKUP(HR_A_FAZER[[#Headers],[AGOSTO]],'DIAS FRACIONADOS'!$B$3:$Y$4,2,FALSE),(VLOOKUP($B19,carga_horaria[],2,FALSE)*(HLOOKUP(J$3,'DIA UTEIS'!$B$4:$M$6,3,FALSE)))+HLOOKUP(HR_A_FAZER[[#Headers],[AGOSTO]],'DIAS FRACIONADOS'!$B$3:$Y$4,2,FALSE)))</f>
        <v>3.8333333333333326</v>
      </c>
      <c r="K19" s="46">
        <f>IF(VLOOKUP($B19,quadro_de_func[#All],3,FALSE)="MENOR APRENDIZ",VLOOKUP($B19,carga_horaria[],2,FALSE)*(HLOOKUP(K$3,'DIA UTEIS'!$B$4:$M$6,3,FALSE)+COUNTA('DIAS FRACIONADOS'!$B$6:$B$12)),IF(VLOOKUP($B19,quadro_de_func[#All],3,FALSE)="ESTAGIÁRIO",((VLOOKUP($B19,carga_horaria[],2,FALSE)*HLOOKUP(K$3,'DIA UTEIS'!$B$4:$M$6,3,FALSE))-(HLOOKUP($B19,'EST. PROVAS'!$B$3:$Z$4,2,FALSE)*(VLOOKUP($B19,carga_horaria[],2,FALSE)/2)))+HLOOKUP(HR_A_FAZER[[#Headers],[SETEMBRO]],'DIAS FRACIONADOS'!$B$3:$Y$4,2,FALSE),(VLOOKUP($B19,carga_horaria[],2,FALSE)*(HLOOKUP(K$3,'DIA UTEIS'!$B$4:$M$6,3,FALSE)))+HLOOKUP(HR_A_FAZER[[#Headers],[SETEMBRO]],'DIAS FRACIONADOS'!$B$3:$Y$4,2,FALSE)))</f>
        <v>3.4999999999999991</v>
      </c>
      <c r="L19" s="46">
        <f>IF(VLOOKUP($B19,quadro_de_func[#All],3,FALSE)="MENOR APRENDIZ",VLOOKUP($B19,carga_horaria[],2,FALSE)*(HLOOKUP(L$3,'DIA UTEIS'!$B$4:$M$6,3,FALSE)+COUNTA('DIAS FRACIONADOS'!$B$6:$B$12)),IF(VLOOKUP($B19,quadro_de_func[#All],3,FALSE)="ESTAGIÁRIO",((VLOOKUP($B19,carga_horaria[],2,FALSE)*HLOOKUP(L$3,'DIA UTEIS'!$B$4:$M$6,3,FALSE))-(HLOOKUP($B19,'EST. PROVAS'!$B$3:$Z$4,2,FALSE)*(VLOOKUP($B19,carga_horaria[],2,FALSE)/2)))+HLOOKUP(HR_A_FAZER[[#Headers],[OUTUBRO]],'DIAS FRACIONADOS'!$B$3:$Y$4,2,FALSE),(VLOOKUP($B19,carga_horaria[],2,FALSE)*(HLOOKUP(L$3,'DIA UTEIS'!$B$4:$M$6,3,FALSE)))+HLOOKUP(HR_A_FAZER[[#Headers],[OUTUBRO]],'DIAS FRACIONADOS'!$B$3:$Y$4,2,FALSE)))</f>
        <v>3.9999999999999991</v>
      </c>
      <c r="M19" s="46">
        <f>IF(VLOOKUP($B19,quadro_de_func[#All],3,FALSE)="MENOR APRENDIZ",VLOOKUP($B19,carga_horaria[],2,FALSE)*(HLOOKUP(M$3,'DIA UTEIS'!$B$4:$M$6,3,FALSE)+COUNTA('DIAS FRACIONADOS'!$B$6:$B$12)),IF(VLOOKUP($B19,quadro_de_func[#All],3,FALSE)="ESTAGIÁRIO",((VLOOKUP($B19,carga_horaria[],2,FALSE)*HLOOKUP(M$3,'DIA UTEIS'!$B$4:$M$6,3,FALSE))-(HLOOKUP($B19,'EST. PROVAS'!$B$3:$Z$4,2,FALSE)*(VLOOKUP($B19,carga_horaria[],2,FALSE)/2)))+HLOOKUP(HR_A_FAZER[[#Headers],[NOVEMBRO]],'DIAS FRACIONADOS'!$B$3:$Y$4,2,FALSE),(VLOOKUP($B19,carga_horaria[],2,FALSE)*(HLOOKUP(M$3,'DIA UTEIS'!$B$4:$M$6,3,FALSE)))+HLOOKUP(HR_A_FAZER[[#Headers],[NOVEMBRO]],'DIAS FRACIONADOS'!$B$3:$Y$4,2,FALSE)))</f>
        <v>3.4999999999999991</v>
      </c>
      <c r="N19" s="46">
        <f>IF(VLOOKUP($B19,quadro_de_func[#All],3,FALSE)="MENOR APRENDIZ",VLOOKUP($B19,carga_horaria[],2,FALSE)*(HLOOKUP(N$3,'DIA UTEIS'!$B$4:$M$6,3,FALSE)+COUNTA('DIAS FRACIONADOS'!$B$6:$B$12)),IF(VLOOKUP($B19,quadro_de_func[#All],3,FALSE)="ESTAGIÁRIO",((VLOOKUP($B19,carga_horaria[],2,FALSE)*HLOOKUP(N$3,'DIA UTEIS'!$B$4:$M$6,3,FALSE))-(HLOOKUP($B19,'EST. PROVAS'!$B$3:$Z$4,2,FALSE)*(VLOOKUP($B19,carga_horaria[],2,FALSE)/2)))+HLOOKUP(HR_A_FAZER[[#Headers],[DEZEMBRO]],'DIAS FRACIONADOS'!$B$3:$Y$4,2,FALSE),(VLOOKUP($B19,carga_horaria[],2,FALSE)*(HLOOKUP(N$3,'DIA UTEIS'!$B$4:$M$6,3,FALSE)))+HLOOKUP(HR_A_FAZER[[#Headers],[DEZEMBRO]],'DIAS FRACIONADOS'!$B$3:$Y$4,2,FALSE)))</f>
        <v>3.6666666666666661</v>
      </c>
      <c r="O19" s="28"/>
      <c r="V19" s="28"/>
      <c r="W19" s="27"/>
    </row>
    <row r="20" spans="2:23" ht="18" customHeight="1" x14ac:dyDescent="0.25">
      <c r="B20" s="15" t="str">
        <f>quadro_de_func[[#This Row],[NOME]]</f>
        <v>func 17</v>
      </c>
      <c r="C20" s="98">
        <f>IF(VLOOKUP($B20,quadro_de_func[#All],3,FALSE)="MENOR APRENDIZ",VLOOKUP($B20,carga_horaria[],2,FALSE)*(HLOOKUP(C$3,'DIA UTEIS'!$B$4:$M$6,3,FALSE)+COUNTA('DIAS FRACIONADOS'!$B$6:$B$12)),IF(VLOOKUP($B20,quadro_de_func[#All],3,FALSE)="ESTAGIÁRIO",((VLOOKUP($B20,carga_horaria[],2,FALSE)*HLOOKUP(C$3,'DIA UTEIS'!$B$4:$M$6,3,FALSE))-(HLOOKUP($B20,'EST. PROVAS'!$B$3:$Z$4,2,FALSE)*(VLOOKUP($B20,carga_horaria[],2,FALSE)/2)))+HLOOKUP(HR_A_FAZER[[#Headers],[JANEIRO]],'DIAS FRACIONADOS'!$B$3:$Y$4,2,FALSE),(VLOOKUP($B20,carga_horaria[],2,FALSE)*(HLOOKUP(C$3,'DIA UTEIS'!$B$4:$M$6,3,FALSE)))+HLOOKUP(HR_A_FAZER[[#Headers],[JANEIRO]],'DIAS FRACIONADOS'!$B$3:$Y$4,2,FALSE)))</f>
        <v>7.2083333333333313</v>
      </c>
      <c r="D20" s="98">
        <f>IF(VLOOKUP($B20,quadro_de_func[#All],3,FALSE)="MENOR APRENDIZ",VLOOKUP($B20,carga_horaria[],2,FALSE)*(HLOOKUP(D$3,'DIA UTEIS'!$B$4:$M$6,3,FALSE)+COUNTA('DIAS FRACIONADOS'!$B$6:$B$12)),IF(VLOOKUP($B20,quadro_de_func[#All],3,FALSE)="ESTAGIÁRIO",((VLOOKUP($B20,carga_horaria[],2,FALSE)*HLOOKUP(D$3,'DIA UTEIS'!$B$4:$M$6,3,FALSE))-(HLOOKUP($B20,'EST. PROVAS'!$B$3:$Z$4,2,FALSE)*(VLOOKUP($B20,carga_horaria[],2,FALSE)/2)))+HLOOKUP(HR_A_FAZER[[#Headers],[FEVEREIRO]],'DIAS FRACIONADOS'!$B$3:$Y$4,2,FALSE),(VLOOKUP($B20,carga_horaria[],2,FALSE)*(HLOOKUP(D$3,'DIA UTEIS'!$B$4:$M$6,3,FALSE)))+HLOOKUP(HR_A_FAZER[[#Headers],[FEVEREIRO]],'DIAS FRACIONADOS'!$B$3:$Y$4,2,FALSE)))</f>
        <v>6.6666666666666652</v>
      </c>
      <c r="E20" s="98">
        <f>IF(VLOOKUP($B20,quadro_de_func[#All],3,FALSE)="MENOR APRENDIZ",VLOOKUP($B20,carga_horaria[],2,FALSE)*(HLOOKUP(E$3,'DIA UTEIS'!$B$4:$M$6,3,FALSE)+COUNTA('DIAS FRACIONADOS'!$B$6:$B$12)),IF(VLOOKUP($B20,quadro_de_func[#All],3,FALSE)="ESTAGIÁRIO",((VLOOKUP($B20,carga_horaria[],2,FALSE)*HLOOKUP(E$3,'DIA UTEIS'!$B$4:$M$6,3,FALSE))-(HLOOKUP($B20,'EST. PROVAS'!$B$3:$Z$4,2,FALSE)*(VLOOKUP($B20,carga_horaria[],2,FALSE)/2)))+HLOOKUP(HR_A_FAZER[[#Headers],[MARÇO]],'DIAS FRACIONADOS'!$B$3:$Y$4,2,FALSE),(VLOOKUP($B20,carga_horaria[],2,FALSE)*(HLOOKUP(E$3,'DIA UTEIS'!$B$4:$M$6,3,FALSE)))+HLOOKUP(HR_A_FAZER[[#Headers],[MARÇO]],'DIAS FRACIONADOS'!$B$3:$Y$4,2,FALSE)))</f>
        <v>6.2499999999999982</v>
      </c>
      <c r="F20" s="98">
        <f>IF(VLOOKUP($B20,quadro_de_func[#All],3,FALSE)="MENOR APRENDIZ",VLOOKUP($B20,carga_horaria[],2,FALSE)*(HLOOKUP(F$3,'DIA UTEIS'!$B$4:$M$6,3,FALSE)+COUNTA('DIAS FRACIONADOS'!$B$6:$B$12)),IF(VLOOKUP($B20,quadro_de_func[#All],3,FALSE)="ESTAGIÁRIO",((VLOOKUP($B20,carga_horaria[],2,FALSE)*HLOOKUP(F$3,'DIA UTEIS'!$B$4:$M$6,3,FALSE))-(HLOOKUP($B20,'EST. PROVAS'!$B$3:$Z$4,2,FALSE)*(VLOOKUP($B20,carga_horaria[],2,FALSE)/2)))+HLOOKUP(HR_A_FAZER[[#Headers],[ABRIL]],'DIAS FRACIONADOS'!$B$3:$Y$4,2,FALSE),(VLOOKUP($B20,carga_horaria[],2,FALSE)*(HLOOKUP(F$3,'DIA UTEIS'!$B$4:$M$6,3,FALSE)))+HLOOKUP(HR_A_FAZER[[#Headers],[ABRIL]],'DIAS FRACIONADOS'!$B$3:$Y$4,2,FALSE)))</f>
        <v>6.9999999999999982</v>
      </c>
      <c r="G20" s="98">
        <f>IF(VLOOKUP($B20,quadro_de_func[#All],3,FALSE)="MENOR APRENDIZ",VLOOKUP($B20,carga_horaria[],2,FALSE)*(HLOOKUP(G$3,'DIA UTEIS'!$B$4:$M$6,3,FALSE)+COUNTA('DIAS FRACIONADOS'!$B$6:$B$12)),IF(VLOOKUP($B20,quadro_de_func[#All],3,FALSE)="ESTAGIÁRIO",((VLOOKUP($B20,carga_horaria[],2,FALSE)*HLOOKUP(G$3,'DIA UTEIS'!$B$4:$M$6,3,FALSE))-(HLOOKUP($B20,'EST. PROVAS'!$B$3:$Z$4,2,FALSE)*(VLOOKUP($B20,carga_horaria[],2,FALSE)/2)))+HLOOKUP(HR_A_FAZER[[#Headers],[MAIO]],'DIAS FRACIONADOS'!$B$3:$Y$4,2,FALSE),(VLOOKUP($B20,carga_horaria[],2,FALSE)*(HLOOKUP(G$3,'DIA UTEIS'!$B$4:$M$6,3,FALSE)))+HLOOKUP(HR_A_FAZER[[#Headers],[MAIO]],'DIAS FRACIONADOS'!$B$3:$Y$4,2,FALSE)))</f>
        <v>7.3333333333333321</v>
      </c>
      <c r="H20" s="98">
        <f>IF(VLOOKUP($B20,quadro_de_func[#All],3,FALSE)="MENOR APRENDIZ",VLOOKUP($B20,carga_horaria[],2,FALSE)*(HLOOKUP(H$3,'DIA UTEIS'!$B$4:$M$6,3,FALSE)+COUNTA('DIAS FRACIONADOS'!$B$6:$B$12)),IF(VLOOKUP($B20,quadro_de_func[#All],3,FALSE)="ESTAGIÁRIO",((VLOOKUP($B20,carga_horaria[],2,FALSE)*HLOOKUP(H$3,'DIA UTEIS'!$B$4:$M$6,3,FALSE))-(HLOOKUP($B20,'EST. PROVAS'!$B$3:$Z$4,2,FALSE)*(VLOOKUP($B20,carga_horaria[],2,FALSE)/2)))+HLOOKUP(HR_A_FAZER[[#Headers],[JUNHO]],'DIAS FRACIONADOS'!$B$3:$Y$4,2,FALSE),(VLOOKUP($B20,carga_horaria[],2,FALSE)*(HLOOKUP(H$3,'DIA UTEIS'!$B$4:$M$6,3,FALSE)))+HLOOKUP(HR_A_FAZER[[#Headers],[JUNHO]],'DIAS FRACIONADOS'!$B$3:$Y$4,2,FALSE)))</f>
        <v>6.3333333333333321</v>
      </c>
      <c r="I20" s="98">
        <f>IF(VLOOKUP($B20,quadro_de_func[#All],3,FALSE)="MENOR APRENDIZ",VLOOKUP($B20,carga_horaria[],2,FALSE)*(HLOOKUP(I$3,'DIA UTEIS'!$B$4:$M$6,3,FALSE)+COUNTA('DIAS FRACIONADOS'!$B$6:$B$12)),IF(VLOOKUP($B20,quadro_de_func[#All],3,FALSE)="ESTAGIÁRIO",((VLOOKUP($B20,carga_horaria[],2,FALSE)*HLOOKUP(I$3,'DIA UTEIS'!$B$4:$M$6,3,FALSE))-(HLOOKUP($B20,'EST. PROVAS'!$B$3:$Z$4,2,FALSE)*(VLOOKUP($B20,carga_horaria[],2,FALSE)/2)))+HLOOKUP(HR_A_FAZER[[#Headers],[JULHO]],'DIAS FRACIONADOS'!$B$3:$Y$4,2,FALSE),(VLOOKUP($B20,carga_horaria[],2,FALSE)*(HLOOKUP(I$3,'DIA UTEIS'!$B$4:$M$6,3,FALSE)))+HLOOKUP(HR_A_FAZER[[#Headers],[JULHO]],'DIAS FRACIONADOS'!$B$3:$Y$4,2,FALSE)))</f>
        <v>7.3333333333333321</v>
      </c>
      <c r="J20" s="98">
        <f>IF(VLOOKUP($B20,quadro_de_func[#All],3,FALSE)="MENOR APRENDIZ",VLOOKUP($B20,carga_horaria[],2,FALSE)*(HLOOKUP(J$3,'DIA UTEIS'!$B$4:$M$6,3,FALSE)+COUNTA('DIAS FRACIONADOS'!$B$6:$B$12)),IF(VLOOKUP($B20,quadro_de_func[#All],3,FALSE)="ESTAGIÁRIO",((VLOOKUP($B20,carga_horaria[],2,FALSE)*HLOOKUP(J$3,'DIA UTEIS'!$B$4:$M$6,3,FALSE))-(HLOOKUP($B20,'EST. PROVAS'!$B$3:$Z$4,2,FALSE)*(VLOOKUP($B20,carga_horaria[],2,FALSE)/2)))+HLOOKUP(HR_A_FAZER[[#Headers],[AGOSTO]],'DIAS FRACIONADOS'!$B$3:$Y$4,2,FALSE),(VLOOKUP($B20,carga_horaria[],2,FALSE)*(HLOOKUP(J$3,'DIA UTEIS'!$B$4:$M$6,3,FALSE)))+HLOOKUP(HR_A_FAZER[[#Headers],[AGOSTO]],'DIAS FRACIONADOS'!$B$3:$Y$4,2,FALSE)))</f>
        <v>7.3333333333333321</v>
      </c>
      <c r="K20" s="98">
        <f>IF(VLOOKUP($B20,quadro_de_func[#All],3,FALSE)="MENOR APRENDIZ",VLOOKUP($B20,carga_horaria[],2,FALSE)*(HLOOKUP(K$3,'DIA UTEIS'!$B$4:$M$6,3,FALSE)+COUNTA('DIAS FRACIONADOS'!$B$6:$B$12)),IF(VLOOKUP($B20,quadro_de_func[#All],3,FALSE)="ESTAGIÁRIO",((VLOOKUP($B20,carga_horaria[],2,FALSE)*HLOOKUP(K$3,'DIA UTEIS'!$B$4:$M$6,3,FALSE))-(HLOOKUP($B20,'EST. PROVAS'!$B$3:$Z$4,2,FALSE)*(VLOOKUP($B20,carga_horaria[],2,FALSE)/2)))+HLOOKUP(HR_A_FAZER[[#Headers],[SETEMBRO]],'DIAS FRACIONADOS'!$B$3:$Y$4,2,FALSE),(VLOOKUP($B20,carga_horaria[],2,FALSE)*(HLOOKUP(K$3,'DIA UTEIS'!$B$4:$M$6,3,FALSE)))+HLOOKUP(HR_A_FAZER[[#Headers],[SETEMBRO]],'DIAS FRACIONADOS'!$B$3:$Y$4,2,FALSE)))</f>
        <v>6.6666666666666652</v>
      </c>
      <c r="L20" s="98">
        <f>IF(VLOOKUP($B20,quadro_de_func[#All],3,FALSE)="MENOR APRENDIZ",VLOOKUP($B20,carga_horaria[],2,FALSE)*(HLOOKUP(L$3,'DIA UTEIS'!$B$4:$M$6,3,FALSE)+COUNTA('DIAS FRACIONADOS'!$B$6:$B$12)),IF(VLOOKUP($B20,quadro_de_func[#All],3,FALSE)="ESTAGIÁRIO",((VLOOKUP($B20,carga_horaria[],2,FALSE)*HLOOKUP(L$3,'DIA UTEIS'!$B$4:$M$6,3,FALSE))-(HLOOKUP($B20,'EST. PROVAS'!$B$3:$Z$4,2,FALSE)*(VLOOKUP($B20,carga_horaria[],2,FALSE)/2)))+HLOOKUP(HR_A_FAZER[[#Headers],[OUTUBRO]],'DIAS FRACIONADOS'!$B$3:$Y$4,2,FALSE),(VLOOKUP($B20,carga_horaria[],2,FALSE)*(HLOOKUP(L$3,'DIA UTEIS'!$B$4:$M$6,3,FALSE)))+HLOOKUP(HR_A_FAZER[[#Headers],[OUTUBRO]],'DIAS FRACIONADOS'!$B$3:$Y$4,2,FALSE)))</f>
        <v>7.6666666666666652</v>
      </c>
      <c r="M20" s="98">
        <f>IF(VLOOKUP($B20,quadro_de_func[#All],3,FALSE)="MENOR APRENDIZ",VLOOKUP($B20,carga_horaria[],2,FALSE)*(HLOOKUP(M$3,'DIA UTEIS'!$B$4:$M$6,3,FALSE)+COUNTA('DIAS FRACIONADOS'!$B$6:$B$12)),IF(VLOOKUP($B20,quadro_de_func[#All],3,FALSE)="ESTAGIÁRIO",((VLOOKUP($B20,carga_horaria[],2,FALSE)*HLOOKUP(M$3,'DIA UTEIS'!$B$4:$M$6,3,FALSE))-(HLOOKUP($B20,'EST. PROVAS'!$B$3:$Z$4,2,FALSE)*(VLOOKUP($B20,carga_horaria[],2,FALSE)/2)))+HLOOKUP(HR_A_FAZER[[#Headers],[NOVEMBRO]],'DIAS FRACIONADOS'!$B$3:$Y$4,2,FALSE),(VLOOKUP($B20,carga_horaria[],2,FALSE)*(HLOOKUP(M$3,'DIA UTEIS'!$B$4:$M$6,3,FALSE)))+HLOOKUP(HR_A_FAZER[[#Headers],[NOVEMBRO]],'DIAS FRACIONADOS'!$B$3:$Y$4,2,FALSE)))</f>
        <v>6.6666666666666652</v>
      </c>
      <c r="N20" s="98">
        <f>IF(VLOOKUP($B20,quadro_de_func[#All],3,FALSE)="MENOR APRENDIZ",VLOOKUP($B20,carga_horaria[],2,FALSE)*(HLOOKUP(N$3,'DIA UTEIS'!$B$4:$M$6,3,FALSE)+COUNTA('DIAS FRACIONADOS'!$B$6:$B$12)),IF(VLOOKUP($B20,quadro_de_func[#All],3,FALSE)="ESTAGIÁRIO",((VLOOKUP($B20,carga_horaria[],2,FALSE)*HLOOKUP(N$3,'DIA UTEIS'!$B$4:$M$6,3,FALSE))-(HLOOKUP($B20,'EST. PROVAS'!$B$3:$Z$4,2,FALSE)*(VLOOKUP($B20,carga_horaria[],2,FALSE)/2)))+HLOOKUP(HR_A_FAZER[[#Headers],[DEZEMBRO]],'DIAS FRACIONADOS'!$B$3:$Y$4,2,FALSE),(VLOOKUP($B20,carga_horaria[],2,FALSE)*(HLOOKUP(N$3,'DIA UTEIS'!$B$4:$M$6,3,FALSE)))+HLOOKUP(HR_A_FAZER[[#Headers],[DEZEMBRO]],'DIAS FRACIONADOS'!$B$3:$Y$4,2,FALSE)))</f>
        <v>6.9999999999999982</v>
      </c>
      <c r="T20" s="28"/>
      <c r="U20" s="28"/>
    </row>
    <row r="21" spans="2:23" s="38" customFormat="1" ht="25.5" customHeight="1" x14ac:dyDescent="0.25">
      <c r="P21" s="54"/>
      <c r="T21" s="55"/>
      <c r="U21" s="54"/>
    </row>
    <row r="22" spans="2:23" ht="18" customHeight="1" x14ac:dyDescent="0.25"/>
    <row r="40" s="38" customFormat="1" ht="25.5" customHeight="1" x14ac:dyDescent="0.25"/>
    <row r="41" ht="18" customHeight="1" x14ac:dyDescent="0.25"/>
    <row r="55" spans="16:16" x14ac:dyDescent="0.25">
      <c r="P55" s="28"/>
    </row>
  </sheetData>
  <sheetProtection sheet="1" objects="1" scenarios="1" selectLockedCells="1" selectUnlockedCells="1"/>
  <mergeCells count="1">
    <mergeCell ref="B2:N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9"/>
  <dimension ref="B2:O20"/>
  <sheetViews>
    <sheetView showGridLines="0" showRowColHeaders="0" tabSelected="1" workbookViewId="0">
      <pane xSplit="15" ySplit="26" topLeftCell="Q27" activePane="bottomRight" state="frozen"/>
      <selection pane="topRight" activeCell="P1" sqref="P1"/>
      <selection pane="bottomLeft" activeCell="A27" sqref="A27"/>
      <selection pane="bottomRight" activeCell="C4" sqref="C4"/>
    </sheetView>
  </sheetViews>
  <sheetFormatPr defaultRowHeight="15" x14ac:dyDescent="0.25"/>
  <cols>
    <col min="1" max="1" width="3.7109375" customWidth="1"/>
    <col min="2" max="2" width="41.85546875" customWidth="1"/>
    <col min="3" max="3" width="19.85546875" customWidth="1"/>
    <col min="4" max="15" width="12.5703125" customWidth="1"/>
    <col min="16" max="16" width="26" customWidth="1"/>
  </cols>
  <sheetData>
    <row r="2" spans="2:15" ht="23.25" x14ac:dyDescent="0.25">
      <c r="B2" s="135" t="s">
        <v>41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</row>
    <row r="3" spans="2:15" x14ac:dyDescent="0.25">
      <c r="B3" s="47" t="s">
        <v>0</v>
      </c>
      <c r="C3" s="47" t="s">
        <v>54</v>
      </c>
      <c r="D3" s="45" t="s">
        <v>15</v>
      </c>
      <c r="E3" s="45" t="s">
        <v>16</v>
      </c>
      <c r="F3" s="45" t="s">
        <v>17</v>
      </c>
      <c r="G3" s="45" t="s">
        <v>18</v>
      </c>
      <c r="H3" s="45" t="s">
        <v>19</v>
      </c>
      <c r="I3" s="45" t="s">
        <v>20</v>
      </c>
      <c r="J3" s="45" t="s">
        <v>21</v>
      </c>
      <c r="K3" s="45" t="s">
        <v>22</v>
      </c>
      <c r="L3" s="45" t="s">
        <v>23</v>
      </c>
      <c r="M3" s="45" t="s">
        <v>24</v>
      </c>
      <c r="N3" s="45" t="s">
        <v>25</v>
      </c>
      <c r="O3" s="45" t="s">
        <v>26</v>
      </c>
    </row>
    <row r="4" spans="2:15" x14ac:dyDescent="0.25">
      <c r="B4" s="15" t="str">
        <f>quadro_de_func[[#This Row],[NOME]]</f>
        <v>Amanda</v>
      </c>
      <c r="C4" s="35"/>
      <c r="D4" s="44" t="str">
        <f>IF(VLOOKUP(BANCO_HR[[#This Row],[NOME]],HR_FEITAS[#All],2,FALSE)="","",ABS(VLOOKUP(BANCO_HR[[#This Row],[NOME]],HR_A_FAZER[#All],2,FALSE)-VLOOKUP(BANCO_HR[[#This Row],[NOME]],HR_FEITAS[#All],2,FALSE)))</f>
        <v/>
      </c>
      <c r="E4" s="44" t="str">
        <f>IF(VLOOKUP(BANCO_HR[[#This Row],[NOME]],HR_FEITAS[#All],3,FALSE)="","",ABS(VLOOKUP(BANCO_HR[[#This Row],[NOME]],HR_A_FAZER[#All],3,FALSE)-VLOOKUP(BANCO_HR[[#This Row],[NOME]],HR_FEITAS[#All],3,FALSE)))</f>
        <v/>
      </c>
      <c r="F4" s="44" t="str">
        <f>IF(VLOOKUP(BANCO_HR[[#This Row],[NOME]],HR_FEITAS[#All],4,FALSE)="","",ABS(VLOOKUP(BANCO_HR[[#This Row],[NOME]],HR_A_FAZER[#All],4,FALSE)-VLOOKUP(BANCO_HR[[#This Row],[NOME]],HR_FEITAS[#All],4,FALSE)))</f>
        <v/>
      </c>
      <c r="G4" s="44" t="str">
        <f>IF(VLOOKUP(BANCO_HR[[#This Row],[NOME]],HR_FEITAS[#All],5,FALSE)="","",ABS(VLOOKUP(BANCO_HR[[#This Row],[NOME]],HR_A_FAZER[#All],5,FALSE)-VLOOKUP(BANCO_HR[[#This Row],[NOME]],HR_FEITAS[#All],5,FALSE)))</f>
        <v/>
      </c>
      <c r="H4" s="44" t="str">
        <f>IF(VLOOKUP(BANCO_HR[[#This Row],[NOME]],HR_FEITAS[#All],6,FALSE)="","",ABS(VLOOKUP(BANCO_HR[[#This Row],[NOME]],HR_A_FAZER[#All],6,FALSE)-VLOOKUP(BANCO_HR[[#This Row],[NOME]],HR_FEITAS[#All],6,FALSE)))</f>
        <v/>
      </c>
      <c r="I4" s="44" t="str">
        <f>IF(VLOOKUP(BANCO_HR[[#This Row],[NOME]],HR_FEITAS[#All],7,FALSE)="","",ABS(VLOOKUP(BANCO_HR[[#This Row],[NOME]],HR_A_FAZER[#All],7,FALSE)-VLOOKUP(BANCO_HR[[#This Row],[NOME]],HR_FEITAS[#All],7,FALSE)))</f>
        <v/>
      </c>
      <c r="J4" s="44" t="str">
        <f>IF(VLOOKUP(BANCO_HR[[#This Row],[NOME]],HR_FEITAS[#All],8,FALSE)="","",ABS(VLOOKUP(BANCO_HR[[#This Row],[NOME]],HR_A_FAZER[#All],8,FALSE)-VLOOKUP(BANCO_HR[[#This Row],[NOME]],HR_FEITAS[#All],8,FALSE)))</f>
        <v/>
      </c>
      <c r="K4" s="44" t="str">
        <f>IF(VLOOKUP(BANCO_HR[[#This Row],[NOME]],HR_FEITAS[#All],9,FALSE)="","",ABS(VLOOKUP(BANCO_HR[[#This Row],[NOME]],HR_A_FAZER[#All],9,FALSE)-VLOOKUP(BANCO_HR[[#This Row],[NOME]],HR_FEITAS[#All],9,FALSE)))</f>
        <v/>
      </c>
      <c r="L4" s="44" t="str">
        <f>IF(VLOOKUP(BANCO_HR[[#This Row],[NOME]],HR_FEITAS[#All],10,FALSE)="","",ABS(VLOOKUP(BANCO_HR[[#This Row],[NOME]],HR_A_FAZER[#All],10,FALSE)-VLOOKUP(BANCO_HR[[#This Row],[NOME]],HR_FEITAS[#All],10,FALSE)))</f>
        <v/>
      </c>
      <c r="M4" s="44" t="str">
        <f>IF(VLOOKUP(BANCO_HR[[#This Row],[NOME]],HR_FEITAS[#All],11,FALSE)="","",ABS(VLOOKUP(BANCO_HR[[#This Row],[NOME]],HR_A_FAZER[#All],11,FALSE)-VLOOKUP(BANCO_HR[[#This Row],[NOME]],HR_FEITAS[#All],11,FALSE)))</f>
        <v/>
      </c>
      <c r="N4" s="44" t="str">
        <f>IF(VLOOKUP(BANCO_HR[[#This Row],[NOME]],HR_FEITAS[#All],12,FALSE)="","",ABS(VLOOKUP(BANCO_HR[[#This Row],[NOME]],HR_A_FAZER[#All],12,FALSE)-VLOOKUP(BANCO_HR[[#This Row],[NOME]],HR_FEITAS[#All],12,FALSE)))</f>
        <v/>
      </c>
      <c r="O4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5" spans="2:15" x14ac:dyDescent="0.25">
      <c r="B5" s="15" t="str">
        <f>quadro_de_func[[#This Row],[NOME]]</f>
        <v>Bruna</v>
      </c>
      <c r="C5" s="35"/>
      <c r="D5" s="44" t="str">
        <f>IF(VLOOKUP(BANCO_HR[[#This Row],[NOME]],HR_FEITAS[#All],2,FALSE)="","",ABS(VLOOKUP(BANCO_HR[[#This Row],[NOME]],HR_A_FAZER[#All],2,FALSE)-VLOOKUP(BANCO_HR[[#This Row],[NOME]],HR_FEITAS[#All],2,FALSE)))</f>
        <v/>
      </c>
      <c r="E5" s="44">
        <f>IF(VLOOKUP(BANCO_HR[[#This Row],[NOME]],HR_FEITAS[#All],3,FALSE)="","",ABS(VLOOKUP(BANCO_HR[[#This Row],[NOME]],HR_A_FAZER[#All],3,FALSE)-VLOOKUP(BANCO_HR[[#This Row],[NOME]],HR_FEITAS[#All],3,FALSE)))</f>
        <v>0.65416666666666767</v>
      </c>
      <c r="F5" s="44">
        <f>IF(VLOOKUP(BANCO_HR[[#This Row],[NOME]],HR_FEITAS[#All],4,FALSE)="","",ABS(VLOOKUP(BANCO_HR[[#This Row],[NOME]],HR_A_FAZER[#All],4,FALSE)-VLOOKUP(BANCO_HR[[#This Row],[NOME]],HR_FEITAS[#All],4,FALSE)))</f>
        <v>1.5187499999999972</v>
      </c>
      <c r="G5" s="44" t="str">
        <f>IF(VLOOKUP(BANCO_HR[[#This Row],[NOME]],HR_FEITAS[#All],5,FALSE)="","",ABS(VLOOKUP(BANCO_HR[[#This Row],[NOME]],HR_A_FAZER[#All],5,FALSE)-VLOOKUP(BANCO_HR[[#This Row],[NOME]],HR_FEITAS[#All],5,FALSE)))</f>
        <v/>
      </c>
      <c r="H5" s="44" t="str">
        <f>IF(VLOOKUP(BANCO_HR[[#This Row],[NOME]],HR_FEITAS[#All],6,FALSE)="","",ABS(VLOOKUP(BANCO_HR[[#This Row],[NOME]],HR_A_FAZER[#All],6,FALSE)-VLOOKUP(BANCO_HR[[#This Row],[NOME]],HR_FEITAS[#All],6,FALSE)))</f>
        <v/>
      </c>
      <c r="I5" s="44" t="str">
        <f>IF(VLOOKUP(BANCO_HR[[#This Row],[NOME]],HR_FEITAS[#All],7,FALSE)="","",ABS(VLOOKUP(BANCO_HR[[#This Row],[NOME]],HR_A_FAZER[#All],7,FALSE)-VLOOKUP(BANCO_HR[[#This Row],[NOME]],HR_FEITAS[#All],7,FALSE)))</f>
        <v/>
      </c>
      <c r="J5" s="44" t="str">
        <f>IF(VLOOKUP(BANCO_HR[[#This Row],[NOME]],HR_FEITAS[#All],8,FALSE)="","",ABS(VLOOKUP(BANCO_HR[[#This Row],[NOME]],HR_A_FAZER[#All],8,FALSE)-VLOOKUP(BANCO_HR[[#This Row],[NOME]],HR_FEITAS[#All],8,FALSE)))</f>
        <v/>
      </c>
      <c r="K5" s="44" t="str">
        <f>IF(VLOOKUP(BANCO_HR[[#This Row],[NOME]],HR_FEITAS[#All],9,FALSE)="","",ABS(VLOOKUP(BANCO_HR[[#This Row],[NOME]],HR_A_FAZER[#All],9,FALSE)-VLOOKUP(BANCO_HR[[#This Row],[NOME]],HR_FEITAS[#All],9,FALSE)))</f>
        <v/>
      </c>
      <c r="L5" s="44" t="str">
        <f>IF(VLOOKUP(BANCO_HR[[#This Row],[NOME]],HR_FEITAS[#All],10,FALSE)="","",ABS(VLOOKUP(BANCO_HR[[#This Row],[NOME]],HR_A_FAZER[#All],10,FALSE)-VLOOKUP(BANCO_HR[[#This Row],[NOME]],HR_FEITAS[#All],10,FALSE)))</f>
        <v/>
      </c>
      <c r="M5" s="44" t="str">
        <f>IF(VLOOKUP(BANCO_HR[[#This Row],[NOME]],HR_FEITAS[#All],11,FALSE)="","",ABS(VLOOKUP(BANCO_HR[[#This Row],[NOME]],HR_A_FAZER[#All],11,FALSE)-VLOOKUP(BANCO_HR[[#This Row],[NOME]],HR_FEITAS[#All],11,FALSE)))</f>
        <v/>
      </c>
      <c r="N5" s="44" t="str">
        <f>IF(VLOOKUP(BANCO_HR[[#This Row],[NOME]],HR_FEITAS[#All],12,FALSE)="","",ABS(VLOOKUP(BANCO_HR[[#This Row],[NOME]],HR_A_FAZER[#All],12,FALSE)-VLOOKUP(BANCO_HR[[#This Row],[NOME]],HR_FEITAS[#All],12,FALSE)))</f>
        <v/>
      </c>
      <c r="O5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6" spans="2:15" x14ac:dyDescent="0.25">
      <c r="B6" s="15" t="str">
        <f>quadro_de_func[[#This Row],[NOME]]</f>
        <v>Daiani</v>
      </c>
      <c r="C6" s="123">
        <v>0</v>
      </c>
      <c r="D6" s="44">
        <f>IF(VLOOKUP(BANCO_HR[[#This Row],[NOME]],HR_FEITAS[#All],2,FALSE)="","",ABS(VLOOKUP(BANCO_HR[[#This Row],[NOME]],HR_A_FAZER[#All],2,FALSE)-VLOOKUP(BANCO_HR[[#This Row],[NOME]],HR_FEITAS[#All],2,FALSE)))</f>
        <v>0.3145833333333341</v>
      </c>
      <c r="E6" s="44">
        <f>IF(VLOOKUP(BANCO_HR[[#This Row],[NOME]],HR_FEITAS[#All],3,FALSE)="","",ABS(VLOOKUP(BANCO_HR[[#This Row],[NOME]],HR_A_FAZER[#All],3,FALSE)-VLOOKUP(BANCO_HR[[#This Row],[NOME]],HR_FEITAS[#All],3,FALSE)))</f>
        <v>0.17569444444444571</v>
      </c>
      <c r="F6" s="44">
        <f>IF(VLOOKUP(BANCO_HR[[#This Row],[NOME]],HR_FEITAS[#All],4,FALSE)="","",ABS(VLOOKUP(BANCO_HR[[#This Row],[NOME]],HR_A_FAZER[#All],4,FALSE)-VLOOKUP(BANCO_HR[[#This Row],[NOME]],HR_FEITAS[#All],4,FALSE)))</f>
        <v>6.3958333333333339</v>
      </c>
      <c r="G6" s="44" t="str">
        <f>IF(VLOOKUP(BANCO_HR[[#This Row],[NOME]],HR_FEITAS[#All],5,FALSE)="","",ABS(VLOOKUP(BANCO_HR[[#This Row],[NOME]],HR_A_FAZER[#All],5,FALSE)-VLOOKUP(BANCO_HR[[#This Row],[NOME]],HR_FEITAS[#All],5,FALSE)))</f>
        <v/>
      </c>
      <c r="H6" s="44" t="str">
        <f>IF(VLOOKUP(BANCO_HR[[#This Row],[NOME]],HR_FEITAS[#All],6,FALSE)="","",ABS(VLOOKUP(BANCO_HR[[#This Row],[NOME]],HR_A_FAZER[#All],6,FALSE)-VLOOKUP(BANCO_HR[[#This Row],[NOME]],HR_FEITAS[#All],6,FALSE)))</f>
        <v/>
      </c>
      <c r="I6" s="44" t="str">
        <f>IF(VLOOKUP(BANCO_HR[[#This Row],[NOME]],HR_FEITAS[#All],7,FALSE)="","",ABS(VLOOKUP(BANCO_HR[[#This Row],[NOME]],HR_A_FAZER[#All],7,FALSE)-VLOOKUP(BANCO_HR[[#This Row],[NOME]],HR_FEITAS[#All],7,FALSE)))</f>
        <v/>
      </c>
      <c r="J6" s="44" t="str">
        <f>IF(VLOOKUP(BANCO_HR[[#This Row],[NOME]],HR_FEITAS[#All],8,FALSE)="","",ABS(VLOOKUP(BANCO_HR[[#This Row],[NOME]],HR_A_FAZER[#All],8,FALSE)-VLOOKUP(BANCO_HR[[#This Row],[NOME]],HR_FEITAS[#All],8,FALSE)))</f>
        <v/>
      </c>
      <c r="K6" s="44" t="str">
        <f>IF(VLOOKUP(BANCO_HR[[#This Row],[NOME]],HR_FEITAS[#All],9,FALSE)="","",ABS(VLOOKUP(BANCO_HR[[#This Row],[NOME]],HR_A_FAZER[#All],9,FALSE)-VLOOKUP(BANCO_HR[[#This Row],[NOME]],HR_FEITAS[#All],9,FALSE)))</f>
        <v/>
      </c>
      <c r="L6" s="44" t="str">
        <f>IF(VLOOKUP(BANCO_HR[[#This Row],[NOME]],HR_FEITAS[#All],10,FALSE)="","",ABS(VLOOKUP(BANCO_HR[[#This Row],[NOME]],HR_A_FAZER[#All],10,FALSE)-VLOOKUP(BANCO_HR[[#This Row],[NOME]],HR_FEITAS[#All],10,FALSE)))</f>
        <v/>
      </c>
      <c r="M6" s="44" t="str">
        <f>IF(VLOOKUP(BANCO_HR[[#This Row],[NOME]],HR_FEITAS[#All],11,FALSE)="","",ABS(VLOOKUP(BANCO_HR[[#This Row],[NOME]],HR_A_FAZER[#All],11,FALSE)-VLOOKUP(BANCO_HR[[#This Row],[NOME]],HR_FEITAS[#All],11,FALSE)))</f>
        <v/>
      </c>
      <c r="N6" s="44" t="str">
        <f>IF(VLOOKUP(BANCO_HR[[#This Row],[NOME]],HR_FEITAS[#All],12,FALSE)="","",ABS(VLOOKUP(BANCO_HR[[#This Row],[NOME]],HR_A_FAZER[#All],12,FALSE)-VLOOKUP(BANCO_HR[[#This Row],[NOME]],HR_FEITAS[#All],12,FALSE)))</f>
        <v/>
      </c>
      <c r="O6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7" spans="2:15" x14ac:dyDescent="0.25">
      <c r="B7" s="15" t="str">
        <f>quadro_de_func[[#This Row],[NOME]]</f>
        <v>Érica</v>
      </c>
      <c r="C7" s="35"/>
      <c r="D7" s="44" t="str">
        <f>IF(VLOOKUP(BANCO_HR[[#This Row],[NOME]],HR_FEITAS[#All],2,FALSE)="","",ABS(VLOOKUP(BANCO_HR[[#This Row],[NOME]],HR_A_FAZER[#All],2,FALSE)-VLOOKUP(BANCO_HR[[#This Row],[NOME]],HR_FEITAS[#All],2,FALSE)))</f>
        <v/>
      </c>
      <c r="E7" s="44" t="str">
        <f>IF(VLOOKUP(BANCO_HR[[#This Row],[NOME]],HR_FEITAS[#All],3,FALSE)="","",ABS(VLOOKUP(BANCO_HR[[#This Row],[NOME]],HR_A_FAZER[#All],3,FALSE)-VLOOKUP(BANCO_HR[[#This Row],[NOME]],HR_FEITAS[#All],3,FALSE)))</f>
        <v/>
      </c>
      <c r="F7" s="44" t="str">
        <f>IF(VLOOKUP(BANCO_HR[[#This Row],[NOME]],HR_FEITAS[#All],4,FALSE)="","",ABS(VLOOKUP(BANCO_HR[[#This Row],[NOME]],HR_A_FAZER[#All],4,FALSE)-VLOOKUP(BANCO_HR[[#This Row],[NOME]],HR_FEITAS[#All],4,FALSE)))</f>
        <v/>
      </c>
      <c r="G7" s="44" t="str">
        <f>IF(VLOOKUP(BANCO_HR[[#This Row],[NOME]],HR_FEITAS[#All],5,FALSE)="","",ABS(VLOOKUP(BANCO_HR[[#This Row],[NOME]],HR_A_FAZER[#All],5,FALSE)-VLOOKUP(BANCO_HR[[#This Row],[NOME]],HR_FEITAS[#All],5,FALSE)))</f>
        <v/>
      </c>
      <c r="H7" s="44" t="str">
        <f>IF(VLOOKUP(BANCO_HR[[#This Row],[NOME]],HR_FEITAS[#All],6,FALSE)="","",ABS(VLOOKUP(BANCO_HR[[#This Row],[NOME]],HR_A_FAZER[#All],6,FALSE)-VLOOKUP(BANCO_HR[[#This Row],[NOME]],HR_FEITAS[#All],6,FALSE)))</f>
        <v/>
      </c>
      <c r="I7" s="44" t="str">
        <f>IF(VLOOKUP(BANCO_HR[[#This Row],[NOME]],HR_FEITAS[#All],7,FALSE)="","",ABS(VLOOKUP(BANCO_HR[[#This Row],[NOME]],HR_A_FAZER[#All],7,FALSE)-VLOOKUP(BANCO_HR[[#This Row],[NOME]],HR_FEITAS[#All],7,FALSE)))</f>
        <v/>
      </c>
      <c r="J7" s="44" t="str">
        <f>IF(VLOOKUP(BANCO_HR[[#This Row],[NOME]],HR_FEITAS[#All],8,FALSE)="","",ABS(VLOOKUP(BANCO_HR[[#This Row],[NOME]],HR_A_FAZER[#All],8,FALSE)-VLOOKUP(BANCO_HR[[#This Row],[NOME]],HR_FEITAS[#All],8,FALSE)))</f>
        <v/>
      </c>
      <c r="K7" s="44" t="str">
        <f>IF(VLOOKUP(BANCO_HR[[#This Row],[NOME]],HR_FEITAS[#All],9,FALSE)="","",ABS(VLOOKUP(BANCO_HR[[#This Row],[NOME]],HR_A_FAZER[#All],9,FALSE)-VLOOKUP(BANCO_HR[[#This Row],[NOME]],HR_FEITAS[#All],9,FALSE)))</f>
        <v/>
      </c>
      <c r="L7" s="44" t="str">
        <f>IF(VLOOKUP(BANCO_HR[[#This Row],[NOME]],HR_FEITAS[#All],10,FALSE)="","",ABS(VLOOKUP(BANCO_HR[[#This Row],[NOME]],HR_A_FAZER[#All],10,FALSE)-VLOOKUP(BANCO_HR[[#This Row],[NOME]],HR_FEITAS[#All],10,FALSE)))</f>
        <v/>
      </c>
      <c r="M7" s="44" t="str">
        <f>IF(VLOOKUP(BANCO_HR[[#This Row],[NOME]],HR_FEITAS[#All],11,FALSE)="","",ABS(VLOOKUP(BANCO_HR[[#This Row],[NOME]],HR_A_FAZER[#All],11,FALSE)-VLOOKUP(BANCO_HR[[#This Row],[NOME]],HR_FEITAS[#All],11,FALSE)))</f>
        <v/>
      </c>
      <c r="N7" s="44" t="str">
        <f>IF(VLOOKUP(BANCO_HR[[#This Row],[NOME]],HR_FEITAS[#All],12,FALSE)="","",ABS(VLOOKUP(BANCO_HR[[#This Row],[NOME]],HR_A_FAZER[#All],12,FALSE)-VLOOKUP(BANCO_HR[[#This Row],[NOME]],HR_FEITAS[#All],12,FALSE)))</f>
        <v/>
      </c>
      <c r="O7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8" spans="2:15" x14ac:dyDescent="0.25">
      <c r="B8" s="15" t="str">
        <f>quadro_de_func[[#This Row],[NOME]]</f>
        <v>func 5</v>
      </c>
      <c r="C8" s="35"/>
      <c r="D8" s="44" t="str">
        <f>IF(VLOOKUP(BANCO_HR[[#This Row],[NOME]],HR_FEITAS[#All],2,FALSE)="","",ABS(VLOOKUP(BANCO_HR[[#This Row],[NOME]],HR_A_FAZER[#All],2,FALSE)-VLOOKUP(BANCO_HR[[#This Row],[NOME]],HR_FEITAS[#All],2,FALSE)))</f>
        <v/>
      </c>
      <c r="E8" s="44" t="str">
        <f>IF(VLOOKUP(BANCO_HR[[#This Row],[NOME]],HR_FEITAS[#All],3,FALSE)="","",ABS(VLOOKUP(BANCO_HR[[#This Row],[NOME]],HR_A_FAZER[#All],3,FALSE)-VLOOKUP(BANCO_HR[[#This Row],[NOME]],HR_FEITAS[#All],3,FALSE)))</f>
        <v/>
      </c>
      <c r="F8" s="44" t="str">
        <f>IF(VLOOKUP(BANCO_HR[[#This Row],[NOME]],HR_FEITAS[#All],4,FALSE)="","",ABS(VLOOKUP(BANCO_HR[[#This Row],[NOME]],HR_A_FAZER[#All],4,FALSE)-VLOOKUP(BANCO_HR[[#This Row],[NOME]],HR_FEITAS[#All],4,FALSE)))</f>
        <v/>
      </c>
      <c r="G8" s="44" t="str">
        <f>IF(VLOOKUP(BANCO_HR[[#This Row],[NOME]],HR_FEITAS[#All],5,FALSE)="","",ABS(VLOOKUP(BANCO_HR[[#This Row],[NOME]],HR_A_FAZER[#All],5,FALSE)-VLOOKUP(BANCO_HR[[#This Row],[NOME]],HR_FEITAS[#All],5,FALSE)))</f>
        <v/>
      </c>
      <c r="H8" s="44" t="str">
        <f>IF(VLOOKUP(BANCO_HR[[#This Row],[NOME]],HR_FEITAS[#All],6,FALSE)="","",ABS(VLOOKUP(BANCO_HR[[#This Row],[NOME]],HR_A_FAZER[#All],6,FALSE)-VLOOKUP(BANCO_HR[[#This Row],[NOME]],HR_FEITAS[#All],6,FALSE)))</f>
        <v/>
      </c>
      <c r="I8" s="44" t="str">
        <f>IF(VLOOKUP(BANCO_HR[[#This Row],[NOME]],HR_FEITAS[#All],7,FALSE)="","",ABS(VLOOKUP(BANCO_HR[[#This Row],[NOME]],HR_A_FAZER[#All],7,FALSE)-VLOOKUP(BANCO_HR[[#This Row],[NOME]],HR_FEITAS[#All],7,FALSE)))</f>
        <v/>
      </c>
      <c r="J8" s="44" t="str">
        <f>IF(VLOOKUP(BANCO_HR[[#This Row],[NOME]],HR_FEITAS[#All],8,FALSE)="","",ABS(VLOOKUP(BANCO_HR[[#This Row],[NOME]],HR_A_FAZER[#All],8,FALSE)-VLOOKUP(BANCO_HR[[#This Row],[NOME]],HR_FEITAS[#All],8,FALSE)))</f>
        <v/>
      </c>
      <c r="K8" s="44" t="str">
        <f>IF(VLOOKUP(BANCO_HR[[#This Row],[NOME]],HR_FEITAS[#All],9,FALSE)="","",ABS(VLOOKUP(BANCO_HR[[#This Row],[NOME]],HR_A_FAZER[#All],9,FALSE)-VLOOKUP(BANCO_HR[[#This Row],[NOME]],HR_FEITAS[#All],9,FALSE)))</f>
        <v/>
      </c>
      <c r="L8" s="44" t="str">
        <f>IF(VLOOKUP(BANCO_HR[[#This Row],[NOME]],HR_FEITAS[#All],10,FALSE)="","",ABS(VLOOKUP(BANCO_HR[[#This Row],[NOME]],HR_A_FAZER[#All],10,FALSE)-VLOOKUP(BANCO_HR[[#This Row],[NOME]],HR_FEITAS[#All],10,FALSE)))</f>
        <v/>
      </c>
      <c r="M8" s="44" t="str">
        <f>IF(VLOOKUP(BANCO_HR[[#This Row],[NOME]],HR_FEITAS[#All],11,FALSE)="","",ABS(VLOOKUP(BANCO_HR[[#This Row],[NOME]],HR_A_FAZER[#All],11,FALSE)-VLOOKUP(BANCO_HR[[#This Row],[NOME]],HR_FEITAS[#All],11,FALSE)))</f>
        <v/>
      </c>
      <c r="N8" s="44" t="str">
        <f>IF(VLOOKUP(BANCO_HR[[#This Row],[NOME]],HR_FEITAS[#All],12,FALSE)="","",ABS(VLOOKUP(BANCO_HR[[#This Row],[NOME]],HR_A_FAZER[#All],12,FALSE)-VLOOKUP(BANCO_HR[[#This Row],[NOME]],HR_FEITAS[#All],12,FALSE)))</f>
        <v/>
      </c>
      <c r="O8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9" spans="2:15" x14ac:dyDescent="0.25">
      <c r="B9" s="15" t="str">
        <f>quadro_de_func[[#This Row],[NOME]]</f>
        <v>func 6</v>
      </c>
      <c r="C9" s="35"/>
      <c r="D9" s="44" t="str">
        <f>IF(VLOOKUP(BANCO_HR[[#This Row],[NOME]],HR_FEITAS[#All],2,FALSE)="","",ABS(VLOOKUP(BANCO_HR[[#This Row],[NOME]],HR_A_FAZER[#All],2,FALSE)-VLOOKUP(BANCO_HR[[#This Row],[NOME]],HR_FEITAS[#All],2,FALSE)))</f>
        <v/>
      </c>
      <c r="E9" s="44" t="str">
        <f>IF(VLOOKUP(BANCO_HR[[#This Row],[NOME]],HR_FEITAS[#All],3,FALSE)="","",ABS(VLOOKUP(BANCO_HR[[#This Row],[NOME]],HR_A_FAZER[#All],3,FALSE)-VLOOKUP(BANCO_HR[[#This Row],[NOME]],HR_FEITAS[#All],3,FALSE)))</f>
        <v/>
      </c>
      <c r="F9" s="44" t="str">
        <f>IF(VLOOKUP(BANCO_HR[[#This Row],[NOME]],HR_FEITAS[#All],4,FALSE)="","",ABS(VLOOKUP(BANCO_HR[[#This Row],[NOME]],HR_A_FAZER[#All],4,FALSE)-VLOOKUP(BANCO_HR[[#This Row],[NOME]],HR_FEITAS[#All],4,FALSE)))</f>
        <v/>
      </c>
      <c r="G9" s="44" t="str">
        <f>IF(VLOOKUP(BANCO_HR[[#This Row],[NOME]],HR_FEITAS[#All],5,FALSE)="","",ABS(VLOOKUP(BANCO_HR[[#This Row],[NOME]],HR_A_FAZER[#All],5,FALSE)-VLOOKUP(BANCO_HR[[#This Row],[NOME]],HR_FEITAS[#All],5,FALSE)))</f>
        <v/>
      </c>
      <c r="H9" s="44" t="str">
        <f>IF(VLOOKUP(BANCO_HR[[#This Row],[NOME]],HR_FEITAS[#All],6,FALSE)="","",ABS(VLOOKUP(BANCO_HR[[#This Row],[NOME]],HR_A_FAZER[#All],6,FALSE)-VLOOKUP(BANCO_HR[[#This Row],[NOME]],HR_FEITAS[#All],6,FALSE)))</f>
        <v/>
      </c>
      <c r="I9" s="44" t="str">
        <f>IF(VLOOKUP(BANCO_HR[[#This Row],[NOME]],HR_FEITAS[#All],7,FALSE)="","",ABS(VLOOKUP(BANCO_HR[[#This Row],[NOME]],HR_A_FAZER[#All],7,FALSE)-VLOOKUP(BANCO_HR[[#This Row],[NOME]],HR_FEITAS[#All],7,FALSE)))</f>
        <v/>
      </c>
      <c r="J9" s="44" t="str">
        <f>IF(VLOOKUP(BANCO_HR[[#This Row],[NOME]],HR_FEITAS[#All],8,FALSE)="","",ABS(VLOOKUP(BANCO_HR[[#This Row],[NOME]],HR_A_FAZER[#All],8,FALSE)-VLOOKUP(BANCO_HR[[#This Row],[NOME]],HR_FEITAS[#All],8,FALSE)))</f>
        <v/>
      </c>
      <c r="K9" s="44" t="str">
        <f>IF(VLOOKUP(BANCO_HR[[#This Row],[NOME]],HR_FEITAS[#All],9,FALSE)="","",ABS(VLOOKUP(BANCO_HR[[#This Row],[NOME]],HR_A_FAZER[#All],9,FALSE)-VLOOKUP(BANCO_HR[[#This Row],[NOME]],HR_FEITAS[#All],9,FALSE)))</f>
        <v/>
      </c>
      <c r="L9" s="44" t="str">
        <f>IF(VLOOKUP(BANCO_HR[[#This Row],[NOME]],HR_FEITAS[#All],10,FALSE)="","",ABS(VLOOKUP(BANCO_HR[[#This Row],[NOME]],HR_A_FAZER[#All],10,FALSE)-VLOOKUP(BANCO_HR[[#This Row],[NOME]],HR_FEITAS[#All],10,FALSE)))</f>
        <v/>
      </c>
      <c r="M9" s="44" t="str">
        <f>IF(VLOOKUP(BANCO_HR[[#This Row],[NOME]],HR_FEITAS[#All],11,FALSE)="","",ABS(VLOOKUP(BANCO_HR[[#This Row],[NOME]],HR_A_FAZER[#All],11,FALSE)-VLOOKUP(BANCO_HR[[#This Row],[NOME]],HR_FEITAS[#All],11,FALSE)))</f>
        <v/>
      </c>
      <c r="N9" s="44" t="str">
        <f>IF(VLOOKUP(BANCO_HR[[#This Row],[NOME]],HR_FEITAS[#All],12,FALSE)="","",ABS(VLOOKUP(BANCO_HR[[#This Row],[NOME]],HR_A_FAZER[#All],12,FALSE)-VLOOKUP(BANCO_HR[[#This Row],[NOME]],HR_FEITAS[#All],12,FALSE)))</f>
        <v/>
      </c>
      <c r="O9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0" spans="2:15" x14ac:dyDescent="0.25">
      <c r="B10" s="15" t="str">
        <f>quadro_de_func[[#This Row],[NOME]]</f>
        <v>func 7</v>
      </c>
      <c r="C10" s="35"/>
      <c r="D10" s="44" t="str">
        <f>IF(VLOOKUP(BANCO_HR[[#This Row],[NOME]],HR_FEITAS[#All],2,FALSE)="","",ABS(VLOOKUP(BANCO_HR[[#This Row],[NOME]],HR_A_FAZER[#All],2,FALSE)-VLOOKUP(BANCO_HR[[#This Row],[NOME]],HR_FEITAS[#All],2,FALSE)))</f>
        <v/>
      </c>
      <c r="E10" s="44" t="str">
        <f>IF(VLOOKUP(BANCO_HR[[#This Row],[NOME]],HR_FEITAS[#All],3,FALSE)="","",ABS(VLOOKUP(BANCO_HR[[#This Row],[NOME]],HR_A_FAZER[#All],3,FALSE)-VLOOKUP(BANCO_HR[[#This Row],[NOME]],HR_FEITAS[#All],3,FALSE)))</f>
        <v/>
      </c>
      <c r="F10" s="44" t="str">
        <f>IF(VLOOKUP(BANCO_HR[[#This Row],[NOME]],HR_FEITAS[#All],4,FALSE)="","",ABS(VLOOKUP(BANCO_HR[[#This Row],[NOME]],HR_A_FAZER[#All],4,FALSE)-VLOOKUP(BANCO_HR[[#This Row],[NOME]],HR_FEITAS[#All],4,FALSE)))</f>
        <v/>
      </c>
      <c r="G10" s="44" t="str">
        <f>IF(VLOOKUP(BANCO_HR[[#This Row],[NOME]],HR_FEITAS[#All],5,FALSE)="","",ABS(VLOOKUP(BANCO_HR[[#This Row],[NOME]],HR_A_FAZER[#All],5,FALSE)-VLOOKUP(BANCO_HR[[#This Row],[NOME]],HR_FEITAS[#All],5,FALSE)))</f>
        <v/>
      </c>
      <c r="H10" s="44" t="str">
        <f>IF(VLOOKUP(BANCO_HR[[#This Row],[NOME]],HR_FEITAS[#All],6,FALSE)="","",ABS(VLOOKUP(BANCO_HR[[#This Row],[NOME]],HR_A_FAZER[#All],6,FALSE)-VLOOKUP(BANCO_HR[[#This Row],[NOME]],HR_FEITAS[#All],6,FALSE)))</f>
        <v/>
      </c>
      <c r="I10" s="44" t="str">
        <f>IF(VLOOKUP(BANCO_HR[[#This Row],[NOME]],HR_FEITAS[#All],7,FALSE)="","",ABS(VLOOKUP(BANCO_HR[[#This Row],[NOME]],HR_A_FAZER[#All],7,FALSE)-VLOOKUP(BANCO_HR[[#This Row],[NOME]],HR_FEITAS[#All],7,FALSE)))</f>
        <v/>
      </c>
      <c r="J10" s="44" t="str">
        <f>IF(VLOOKUP(BANCO_HR[[#This Row],[NOME]],HR_FEITAS[#All],8,FALSE)="","",ABS(VLOOKUP(BANCO_HR[[#This Row],[NOME]],HR_A_FAZER[#All],8,FALSE)-VLOOKUP(BANCO_HR[[#This Row],[NOME]],HR_FEITAS[#All],8,FALSE)))</f>
        <v/>
      </c>
      <c r="K10" s="44" t="str">
        <f>IF(VLOOKUP(BANCO_HR[[#This Row],[NOME]],HR_FEITAS[#All],9,FALSE)="","",ABS(VLOOKUP(BANCO_HR[[#This Row],[NOME]],HR_A_FAZER[#All],9,FALSE)-VLOOKUP(BANCO_HR[[#This Row],[NOME]],HR_FEITAS[#All],9,FALSE)))</f>
        <v/>
      </c>
      <c r="L10" s="44" t="str">
        <f>IF(VLOOKUP(BANCO_HR[[#This Row],[NOME]],HR_FEITAS[#All],10,FALSE)="","",ABS(VLOOKUP(BANCO_HR[[#This Row],[NOME]],HR_A_FAZER[#All],10,FALSE)-VLOOKUP(BANCO_HR[[#This Row],[NOME]],HR_FEITAS[#All],10,FALSE)))</f>
        <v/>
      </c>
      <c r="M10" s="44" t="str">
        <f>IF(VLOOKUP(BANCO_HR[[#This Row],[NOME]],HR_FEITAS[#All],11,FALSE)="","",ABS(VLOOKUP(BANCO_HR[[#This Row],[NOME]],HR_A_FAZER[#All],11,FALSE)-VLOOKUP(BANCO_HR[[#This Row],[NOME]],HR_FEITAS[#All],11,FALSE)))</f>
        <v/>
      </c>
      <c r="N10" s="44" t="str">
        <f>IF(VLOOKUP(BANCO_HR[[#This Row],[NOME]],HR_FEITAS[#All],12,FALSE)="","",ABS(VLOOKUP(BANCO_HR[[#This Row],[NOME]],HR_A_FAZER[#All],12,FALSE)-VLOOKUP(BANCO_HR[[#This Row],[NOME]],HR_FEITAS[#All],12,FALSE)))</f>
        <v/>
      </c>
      <c r="O10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1" spans="2:15" x14ac:dyDescent="0.25">
      <c r="B11" s="15" t="str">
        <f>quadro_de_func[[#This Row],[NOME]]</f>
        <v>func 8</v>
      </c>
      <c r="C11" s="35"/>
      <c r="D11" s="44" t="str">
        <f>IF(VLOOKUP(BANCO_HR[[#This Row],[NOME]],HR_FEITAS[#All],2,FALSE)="","",ABS(VLOOKUP(BANCO_HR[[#This Row],[NOME]],HR_A_FAZER[#All],2,FALSE)-VLOOKUP(BANCO_HR[[#This Row],[NOME]],HR_FEITAS[#All],2,FALSE)))</f>
        <v/>
      </c>
      <c r="E11" s="44" t="str">
        <f>IF(VLOOKUP(BANCO_HR[[#This Row],[NOME]],HR_FEITAS[#All],3,FALSE)="","",ABS(VLOOKUP(BANCO_HR[[#This Row],[NOME]],HR_A_FAZER[#All],3,FALSE)-VLOOKUP(BANCO_HR[[#This Row],[NOME]],HR_FEITAS[#All],3,FALSE)))</f>
        <v/>
      </c>
      <c r="F11" s="44" t="str">
        <f>IF(VLOOKUP(BANCO_HR[[#This Row],[NOME]],HR_FEITAS[#All],4,FALSE)="","",ABS(VLOOKUP(BANCO_HR[[#This Row],[NOME]],HR_A_FAZER[#All],4,FALSE)-VLOOKUP(BANCO_HR[[#This Row],[NOME]],HR_FEITAS[#All],4,FALSE)))</f>
        <v/>
      </c>
      <c r="G11" s="44" t="str">
        <f>IF(VLOOKUP(BANCO_HR[[#This Row],[NOME]],HR_FEITAS[#All],5,FALSE)="","",ABS(VLOOKUP(BANCO_HR[[#This Row],[NOME]],HR_A_FAZER[#All],5,FALSE)-VLOOKUP(BANCO_HR[[#This Row],[NOME]],HR_FEITAS[#All],5,FALSE)))</f>
        <v/>
      </c>
      <c r="H11" s="44" t="str">
        <f>IF(VLOOKUP(BANCO_HR[[#This Row],[NOME]],HR_FEITAS[#All],6,FALSE)="","",ABS(VLOOKUP(BANCO_HR[[#This Row],[NOME]],HR_A_FAZER[#All],6,FALSE)-VLOOKUP(BANCO_HR[[#This Row],[NOME]],HR_FEITAS[#All],6,FALSE)))</f>
        <v/>
      </c>
      <c r="I11" s="44" t="str">
        <f>IF(VLOOKUP(BANCO_HR[[#This Row],[NOME]],HR_FEITAS[#All],7,FALSE)="","",ABS(VLOOKUP(BANCO_HR[[#This Row],[NOME]],HR_A_FAZER[#All],7,FALSE)-VLOOKUP(BANCO_HR[[#This Row],[NOME]],HR_FEITAS[#All],7,FALSE)))</f>
        <v/>
      </c>
      <c r="J11" s="44" t="str">
        <f>IF(VLOOKUP(BANCO_HR[[#This Row],[NOME]],HR_FEITAS[#All],8,FALSE)="","",ABS(VLOOKUP(BANCO_HR[[#This Row],[NOME]],HR_A_FAZER[#All],8,FALSE)-VLOOKUP(BANCO_HR[[#This Row],[NOME]],HR_FEITAS[#All],8,FALSE)))</f>
        <v/>
      </c>
      <c r="K11" s="44" t="str">
        <f>IF(VLOOKUP(BANCO_HR[[#This Row],[NOME]],HR_FEITAS[#All],9,FALSE)="","",ABS(VLOOKUP(BANCO_HR[[#This Row],[NOME]],HR_A_FAZER[#All],9,FALSE)-VLOOKUP(BANCO_HR[[#This Row],[NOME]],HR_FEITAS[#All],9,FALSE)))</f>
        <v/>
      </c>
      <c r="L11" s="44" t="str">
        <f>IF(VLOOKUP(BANCO_HR[[#This Row],[NOME]],HR_FEITAS[#All],10,FALSE)="","",ABS(VLOOKUP(BANCO_HR[[#This Row],[NOME]],HR_A_FAZER[#All],10,FALSE)-VLOOKUP(BANCO_HR[[#This Row],[NOME]],HR_FEITAS[#All],10,FALSE)))</f>
        <v/>
      </c>
      <c r="M11" s="44" t="str">
        <f>IF(VLOOKUP(BANCO_HR[[#This Row],[NOME]],HR_FEITAS[#All],11,FALSE)="","",ABS(VLOOKUP(BANCO_HR[[#This Row],[NOME]],HR_A_FAZER[#All],11,FALSE)-VLOOKUP(BANCO_HR[[#This Row],[NOME]],HR_FEITAS[#All],11,FALSE)))</f>
        <v/>
      </c>
      <c r="N11" s="44" t="str">
        <f>IF(VLOOKUP(BANCO_HR[[#This Row],[NOME]],HR_FEITAS[#All],12,FALSE)="","",ABS(VLOOKUP(BANCO_HR[[#This Row],[NOME]],HR_A_FAZER[#All],12,FALSE)-VLOOKUP(BANCO_HR[[#This Row],[NOME]],HR_FEITAS[#All],12,FALSE)))</f>
        <v/>
      </c>
      <c r="O11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2" spans="2:15" x14ac:dyDescent="0.25">
      <c r="B12" s="15" t="str">
        <f>quadro_de_func[[#This Row],[NOME]]</f>
        <v>func 9</v>
      </c>
      <c r="C12" s="35"/>
      <c r="D12" s="44" t="str">
        <f>IF(VLOOKUP(BANCO_HR[[#This Row],[NOME]],HR_FEITAS[#All],2,FALSE)="","",ABS(VLOOKUP(BANCO_HR[[#This Row],[NOME]],HR_A_FAZER[#All],2,FALSE)-VLOOKUP(BANCO_HR[[#This Row],[NOME]],HR_FEITAS[#All],2,FALSE)))</f>
        <v/>
      </c>
      <c r="E12" s="44" t="str">
        <f>IF(VLOOKUP(BANCO_HR[[#This Row],[NOME]],HR_FEITAS[#All],3,FALSE)="","",ABS(VLOOKUP(BANCO_HR[[#This Row],[NOME]],HR_A_FAZER[#All],3,FALSE)-VLOOKUP(BANCO_HR[[#This Row],[NOME]],HR_FEITAS[#All],3,FALSE)))</f>
        <v/>
      </c>
      <c r="F12" s="44" t="str">
        <f>IF(VLOOKUP(BANCO_HR[[#This Row],[NOME]],HR_FEITAS[#All],4,FALSE)="","",ABS(VLOOKUP(BANCO_HR[[#This Row],[NOME]],HR_A_FAZER[#All],4,FALSE)-VLOOKUP(BANCO_HR[[#This Row],[NOME]],HR_FEITAS[#All],4,FALSE)))</f>
        <v/>
      </c>
      <c r="G12" s="44" t="str">
        <f>IF(VLOOKUP(BANCO_HR[[#This Row],[NOME]],HR_FEITAS[#All],5,FALSE)="","",ABS(VLOOKUP(BANCO_HR[[#This Row],[NOME]],HR_A_FAZER[#All],5,FALSE)-VLOOKUP(BANCO_HR[[#This Row],[NOME]],HR_FEITAS[#All],5,FALSE)))</f>
        <v/>
      </c>
      <c r="H12" s="44" t="str">
        <f>IF(VLOOKUP(BANCO_HR[[#This Row],[NOME]],HR_FEITAS[#All],6,FALSE)="","",ABS(VLOOKUP(BANCO_HR[[#This Row],[NOME]],HR_A_FAZER[#All],6,FALSE)-VLOOKUP(BANCO_HR[[#This Row],[NOME]],HR_FEITAS[#All],6,FALSE)))</f>
        <v/>
      </c>
      <c r="I12" s="44" t="str">
        <f>IF(VLOOKUP(BANCO_HR[[#This Row],[NOME]],HR_FEITAS[#All],7,FALSE)="","",ABS(VLOOKUP(BANCO_HR[[#This Row],[NOME]],HR_A_FAZER[#All],7,FALSE)-VLOOKUP(BANCO_HR[[#This Row],[NOME]],HR_FEITAS[#All],7,FALSE)))</f>
        <v/>
      </c>
      <c r="J12" s="44" t="str">
        <f>IF(VLOOKUP(BANCO_HR[[#This Row],[NOME]],HR_FEITAS[#All],8,FALSE)="","",ABS(VLOOKUP(BANCO_HR[[#This Row],[NOME]],HR_A_FAZER[#All],8,FALSE)-VLOOKUP(BANCO_HR[[#This Row],[NOME]],HR_FEITAS[#All],8,FALSE)))</f>
        <v/>
      </c>
      <c r="K12" s="44" t="str">
        <f>IF(VLOOKUP(BANCO_HR[[#This Row],[NOME]],HR_FEITAS[#All],9,FALSE)="","",ABS(VLOOKUP(BANCO_HR[[#This Row],[NOME]],HR_A_FAZER[#All],9,FALSE)-VLOOKUP(BANCO_HR[[#This Row],[NOME]],HR_FEITAS[#All],9,FALSE)))</f>
        <v/>
      </c>
      <c r="L12" s="44" t="str">
        <f>IF(VLOOKUP(BANCO_HR[[#This Row],[NOME]],HR_FEITAS[#All],10,FALSE)="","",ABS(VLOOKUP(BANCO_HR[[#This Row],[NOME]],HR_A_FAZER[#All],10,FALSE)-VLOOKUP(BANCO_HR[[#This Row],[NOME]],HR_FEITAS[#All],10,FALSE)))</f>
        <v/>
      </c>
      <c r="M12" s="44" t="str">
        <f>IF(VLOOKUP(BANCO_HR[[#This Row],[NOME]],HR_FEITAS[#All],11,FALSE)="","",ABS(VLOOKUP(BANCO_HR[[#This Row],[NOME]],HR_A_FAZER[#All],11,FALSE)-VLOOKUP(BANCO_HR[[#This Row],[NOME]],HR_FEITAS[#All],11,FALSE)))</f>
        <v/>
      </c>
      <c r="N12" s="44" t="str">
        <f>IF(VLOOKUP(BANCO_HR[[#This Row],[NOME]],HR_FEITAS[#All],12,FALSE)="","",ABS(VLOOKUP(BANCO_HR[[#This Row],[NOME]],HR_A_FAZER[#All],12,FALSE)-VLOOKUP(BANCO_HR[[#This Row],[NOME]],HR_FEITAS[#All],12,FALSE)))</f>
        <v/>
      </c>
      <c r="O12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3" spans="2:15" x14ac:dyDescent="0.25">
      <c r="B13" s="15" t="str">
        <f>quadro_de_func[[#This Row],[NOME]]</f>
        <v>func 10</v>
      </c>
      <c r="C13" s="35"/>
      <c r="D13" s="44" t="str">
        <f>IF(VLOOKUP(BANCO_HR[[#This Row],[NOME]],HR_FEITAS[#All],2,FALSE)="","",ABS(VLOOKUP(BANCO_HR[[#This Row],[NOME]],HR_A_FAZER[#All],2,FALSE)-VLOOKUP(BANCO_HR[[#This Row],[NOME]],HR_FEITAS[#All],2,FALSE)))</f>
        <v/>
      </c>
      <c r="E13" s="44" t="str">
        <f>IF(VLOOKUP(BANCO_HR[[#This Row],[NOME]],HR_FEITAS[#All],3,FALSE)="","",ABS(VLOOKUP(BANCO_HR[[#This Row],[NOME]],HR_A_FAZER[#All],3,FALSE)-VLOOKUP(BANCO_HR[[#This Row],[NOME]],HR_FEITAS[#All],3,FALSE)))</f>
        <v/>
      </c>
      <c r="F13" s="44" t="str">
        <f>IF(VLOOKUP(BANCO_HR[[#This Row],[NOME]],HR_FEITAS[#All],4,FALSE)="","",ABS(VLOOKUP(BANCO_HR[[#This Row],[NOME]],HR_A_FAZER[#All],4,FALSE)-VLOOKUP(BANCO_HR[[#This Row],[NOME]],HR_FEITAS[#All],4,FALSE)))</f>
        <v/>
      </c>
      <c r="G13" s="44" t="str">
        <f>IF(VLOOKUP(BANCO_HR[[#This Row],[NOME]],HR_FEITAS[#All],5,FALSE)="","",ABS(VLOOKUP(BANCO_HR[[#This Row],[NOME]],HR_A_FAZER[#All],5,FALSE)-VLOOKUP(BANCO_HR[[#This Row],[NOME]],HR_FEITAS[#All],5,FALSE)))</f>
        <v/>
      </c>
      <c r="H13" s="44" t="str">
        <f>IF(VLOOKUP(BANCO_HR[[#This Row],[NOME]],HR_FEITAS[#All],6,FALSE)="","",ABS(VLOOKUP(BANCO_HR[[#This Row],[NOME]],HR_A_FAZER[#All],6,FALSE)-VLOOKUP(BANCO_HR[[#This Row],[NOME]],HR_FEITAS[#All],6,FALSE)))</f>
        <v/>
      </c>
      <c r="I13" s="44" t="str">
        <f>IF(VLOOKUP(BANCO_HR[[#This Row],[NOME]],HR_FEITAS[#All],7,FALSE)="","",ABS(VLOOKUP(BANCO_HR[[#This Row],[NOME]],HR_A_FAZER[#All],7,FALSE)-VLOOKUP(BANCO_HR[[#This Row],[NOME]],HR_FEITAS[#All],7,FALSE)))</f>
        <v/>
      </c>
      <c r="J13" s="44" t="str">
        <f>IF(VLOOKUP(BANCO_HR[[#This Row],[NOME]],HR_FEITAS[#All],8,FALSE)="","",ABS(VLOOKUP(BANCO_HR[[#This Row],[NOME]],HR_A_FAZER[#All],8,FALSE)-VLOOKUP(BANCO_HR[[#This Row],[NOME]],HR_FEITAS[#All],8,FALSE)))</f>
        <v/>
      </c>
      <c r="K13" s="44" t="str">
        <f>IF(VLOOKUP(BANCO_HR[[#This Row],[NOME]],HR_FEITAS[#All],9,FALSE)="","",ABS(VLOOKUP(BANCO_HR[[#This Row],[NOME]],HR_A_FAZER[#All],9,FALSE)-VLOOKUP(BANCO_HR[[#This Row],[NOME]],HR_FEITAS[#All],9,FALSE)))</f>
        <v/>
      </c>
      <c r="L13" s="44" t="str">
        <f>IF(VLOOKUP(BANCO_HR[[#This Row],[NOME]],HR_FEITAS[#All],10,FALSE)="","",ABS(VLOOKUP(BANCO_HR[[#This Row],[NOME]],HR_A_FAZER[#All],10,FALSE)-VLOOKUP(BANCO_HR[[#This Row],[NOME]],HR_FEITAS[#All],10,FALSE)))</f>
        <v/>
      </c>
      <c r="M13" s="44" t="str">
        <f>IF(VLOOKUP(BANCO_HR[[#This Row],[NOME]],HR_FEITAS[#All],11,FALSE)="","",ABS(VLOOKUP(BANCO_HR[[#This Row],[NOME]],HR_A_FAZER[#All],11,FALSE)-VLOOKUP(BANCO_HR[[#This Row],[NOME]],HR_FEITAS[#All],11,FALSE)))</f>
        <v/>
      </c>
      <c r="N13" s="44" t="str">
        <f>IF(VLOOKUP(BANCO_HR[[#This Row],[NOME]],HR_FEITAS[#All],12,FALSE)="","",ABS(VLOOKUP(BANCO_HR[[#This Row],[NOME]],HR_A_FAZER[#All],12,FALSE)-VLOOKUP(BANCO_HR[[#This Row],[NOME]],HR_FEITAS[#All],12,FALSE)))</f>
        <v/>
      </c>
      <c r="O13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4" spans="2:15" x14ac:dyDescent="0.25">
      <c r="B14" s="15" t="str">
        <f>quadro_de_func[[#This Row],[NOME]]</f>
        <v>func 11</v>
      </c>
      <c r="C14" s="35"/>
      <c r="D14" s="44" t="str">
        <f>IF(VLOOKUP(BANCO_HR[[#This Row],[NOME]],HR_FEITAS[#All],2,FALSE)="","",ABS(VLOOKUP(BANCO_HR[[#This Row],[NOME]],HR_A_FAZER[#All],2,FALSE)-VLOOKUP(BANCO_HR[[#This Row],[NOME]],HR_FEITAS[#All],2,FALSE)))</f>
        <v/>
      </c>
      <c r="E14" s="44" t="str">
        <f>IF(VLOOKUP(BANCO_HR[[#This Row],[NOME]],HR_FEITAS[#All],3,FALSE)="","",ABS(VLOOKUP(BANCO_HR[[#This Row],[NOME]],HR_A_FAZER[#All],3,FALSE)-VLOOKUP(BANCO_HR[[#This Row],[NOME]],HR_FEITAS[#All],3,FALSE)))</f>
        <v/>
      </c>
      <c r="F14" s="44" t="str">
        <f>IF(VLOOKUP(BANCO_HR[[#This Row],[NOME]],HR_FEITAS[#All],4,FALSE)="","",ABS(VLOOKUP(BANCO_HR[[#This Row],[NOME]],HR_A_FAZER[#All],4,FALSE)-VLOOKUP(BANCO_HR[[#This Row],[NOME]],HR_FEITAS[#All],4,FALSE)))</f>
        <v/>
      </c>
      <c r="G14" s="44" t="str">
        <f>IF(VLOOKUP(BANCO_HR[[#This Row],[NOME]],HR_FEITAS[#All],5,FALSE)="","",ABS(VLOOKUP(BANCO_HR[[#This Row],[NOME]],HR_A_FAZER[#All],5,FALSE)-VLOOKUP(BANCO_HR[[#This Row],[NOME]],HR_FEITAS[#All],5,FALSE)))</f>
        <v/>
      </c>
      <c r="H14" s="44" t="str">
        <f>IF(VLOOKUP(BANCO_HR[[#This Row],[NOME]],HR_FEITAS[#All],6,FALSE)="","",ABS(VLOOKUP(BANCO_HR[[#This Row],[NOME]],HR_A_FAZER[#All],6,FALSE)-VLOOKUP(BANCO_HR[[#This Row],[NOME]],HR_FEITAS[#All],6,FALSE)))</f>
        <v/>
      </c>
      <c r="I14" s="44" t="str">
        <f>IF(VLOOKUP(BANCO_HR[[#This Row],[NOME]],HR_FEITAS[#All],7,FALSE)="","",ABS(VLOOKUP(BANCO_HR[[#This Row],[NOME]],HR_A_FAZER[#All],7,FALSE)-VLOOKUP(BANCO_HR[[#This Row],[NOME]],HR_FEITAS[#All],7,FALSE)))</f>
        <v/>
      </c>
      <c r="J14" s="44" t="str">
        <f>IF(VLOOKUP(BANCO_HR[[#This Row],[NOME]],HR_FEITAS[#All],8,FALSE)="","",ABS(VLOOKUP(BANCO_HR[[#This Row],[NOME]],HR_A_FAZER[#All],8,FALSE)-VLOOKUP(BANCO_HR[[#This Row],[NOME]],HR_FEITAS[#All],8,FALSE)))</f>
        <v/>
      </c>
      <c r="K14" s="44" t="str">
        <f>IF(VLOOKUP(BANCO_HR[[#This Row],[NOME]],HR_FEITAS[#All],9,FALSE)="","",ABS(VLOOKUP(BANCO_HR[[#This Row],[NOME]],HR_A_FAZER[#All],9,FALSE)-VLOOKUP(BANCO_HR[[#This Row],[NOME]],HR_FEITAS[#All],9,FALSE)))</f>
        <v/>
      </c>
      <c r="L14" s="44" t="str">
        <f>IF(VLOOKUP(BANCO_HR[[#This Row],[NOME]],HR_FEITAS[#All],10,FALSE)="","",ABS(VLOOKUP(BANCO_HR[[#This Row],[NOME]],HR_A_FAZER[#All],10,FALSE)-VLOOKUP(BANCO_HR[[#This Row],[NOME]],HR_FEITAS[#All],10,FALSE)))</f>
        <v/>
      </c>
      <c r="M14" s="44" t="str">
        <f>IF(VLOOKUP(BANCO_HR[[#This Row],[NOME]],HR_FEITAS[#All],11,FALSE)="","",ABS(VLOOKUP(BANCO_HR[[#This Row],[NOME]],HR_A_FAZER[#All],11,FALSE)-VLOOKUP(BANCO_HR[[#This Row],[NOME]],HR_FEITAS[#All],11,FALSE)))</f>
        <v/>
      </c>
      <c r="N14" s="44" t="str">
        <f>IF(VLOOKUP(BANCO_HR[[#This Row],[NOME]],HR_FEITAS[#All],12,FALSE)="","",ABS(VLOOKUP(BANCO_HR[[#This Row],[NOME]],HR_A_FAZER[#All],12,FALSE)-VLOOKUP(BANCO_HR[[#This Row],[NOME]],HR_FEITAS[#All],12,FALSE)))</f>
        <v/>
      </c>
      <c r="O14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5" spans="2:15" x14ac:dyDescent="0.25">
      <c r="B15" s="15" t="str">
        <f>quadro_de_func[[#This Row],[NOME]]</f>
        <v>func 12</v>
      </c>
      <c r="C15" s="35"/>
      <c r="D15" s="44" t="str">
        <f>IF(VLOOKUP(BANCO_HR[[#This Row],[NOME]],HR_FEITAS[#All],2,FALSE)="","",ABS(VLOOKUP(BANCO_HR[[#This Row],[NOME]],HR_A_FAZER[#All],2,FALSE)-VLOOKUP(BANCO_HR[[#This Row],[NOME]],HR_FEITAS[#All],2,FALSE)))</f>
        <v/>
      </c>
      <c r="E15" s="44" t="str">
        <f>IF(VLOOKUP(BANCO_HR[[#This Row],[NOME]],HR_FEITAS[#All],3,FALSE)="","",ABS(VLOOKUP(BANCO_HR[[#This Row],[NOME]],HR_A_FAZER[#All],3,FALSE)-VLOOKUP(BANCO_HR[[#This Row],[NOME]],HR_FEITAS[#All],3,FALSE)))</f>
        <v/>
      </c>
      <c r="F15" s="44" t="str">
        <f>IF(VLOOKUP(BANCO_HR[[#This Row],[NOME]],HR_FEITAS[#All],4,FALSE)="","",ABS(VLOOKUP(BANCO_HR[[#This Row],[NOME]],HR_A_FAZER[#All],4,FALSE)-VLOOKUP(BANCO_HR[[#This Row],[NOME]],HR_FEITAS[#All],4,FALSE)))</f>
        <v/>
      </c>
      <c r="G15" s="44" t="str">
        <f>IF(VLOOKUP(BANCO_HR[[#This Row],[NOME]],HR_FEITAS[#All],5,FALSE)="","",ABS(VLOOKUP(BANCO_HR[[#This Row],[NOME]],HR_A_FAZER[#All],5,FALSE)-VLOOKUP(BANCO_HR[[#This Row],[NOME]],HR_FEITAS[#All],5,FALSE)))</f>
        <v/>
      </c>
      <c r="H15" s="44" t="str">
        <f>IF(VLOOKUP(BANCO_HR[[#This Row],[NOME]],HR_FEITAS[#All],6,FALSE)="","",ABS(VLOOKUP(BANCO_HR[[#This Row],[NOME]],HR_A_FAZER[#All],6,FALSE)-VLOOKUP(BANCO_HR[[#This Row],[NOME]],HR_FEITAS[#All],6,FALSE)))</f>
        <v/>
      </c>
      <c r="I15" s="44" t="str">
        <f>IF(VLOOKUP(BANCO_HR[[#This Row],[NOME]],HR_FEITAS[#All],7,FALSE)="","",ABS(VLOOKUP(BANCO_HR[[#This Row],[NOME]],HR_A_FAZER[#All],7,FALSE)-VLOOKUP(BANCO_HR[[#This Row],[NOME]],HR_FEITAS[#All],7,FALSE)))</f>
        <v/>
      </c>
      <c r="J15" s="44" t="str">
        <f>IF(VLOOKUP(BANCO_HR[[#This Row],[NOME]],HR_FEITAS[#All],8,FALSE)="","",ABS(VLOOKUP(BANCO_HR[[#This Row],[NOME]],HR_A_FAZER[#All],8,FALSE)-VLOOKUP(BANCO_HR[[#This Row],[NOME]],HR_FEITAS[#All],8,FALSE)))</f>
        <v/>
      </c>
      <c r="K15" s="44" t="str">
        <f>IF(VLOOKUP(BANCO_HR[[#This Row],[NOME]],HR_FEITAS[#All],9,FALSE)="","",ABS(VLOOKUP(BANCO_HR[[#This Row],[NOME]],HR_A_FAZER[#All],9,FALSE)-VLOOKUP(BANCO_HR[[#This Row],[NOME]],HR_FEITAS[#All],9,FALSE)))</f>
        <v/>
      </c>
      <c r="L15" s="44" t="str">
        <f>IF(VLOOKUP(BANCO_HR[[#This Row],[NOME]],HR_FEITAS[#All],10,FALSE)="","",ABS(VLOOKUP(BANCO_HR[[#This Row],[NOME]],HR_A_FAZER[#All],10,FALSE)-VLOOKUP(BANCO_HR[[#This Row],[NOME]],HR_FEITAS[#All],10,FALSE)))</f>
        <v/>
      </c>
      <c r="M15" s="44" t="str">
        <f>IF(VLOOKUP(BANCO_HR[[#This Row],[NOME]],HR_FEITAS[#All],11,FALSE)="","",ABS(VLOOKUP(BANCO_HR[[#This Row],[NOME]],HR_A_FAZER[#All],11,FALSE)-VLOOKUP(BANCO_HR[[#This Row],[NOME]],HR_FEITAS[#All],11,FALSE)))</f>
        <v/>
      </c>
      <c r="N15" s="44" t="str">
        <f>IF(VLOOKUP(BANCO_HR[[#This Row],[NOME]],HR_FEITAS[#All],12,FALSE)="","",ABS(VLOOKUP(BANCO_HR[[#This Row],[NOME]],HR_A_FAZER[#All],12,FALSE)-VLOOKUP(BANCO_HR[[#This Row],[NOME]],HR_FEITAS[#All],12,FALSE)))</f>
        <v/>
      </c>
      <c r="O15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6" spans="2:15" x14ac:dyDescent="0.25">
      <c r="B16" s="15" t="str">
        <f>quadro_de_func[[#This Row],[NOME]]</f>
        <v>func 13</v>
      </c>
      <c r="C16" s="35"/>
      <c r="D16" s="44" t="str">
        <f>IF(VLOOKUP(BANCO_HR[[#This Row],[NOME]],HR_FEITAS[#All],2,FALSE)="","",ABS(VLOOKUP(BANCO_HR[[#This Row],[NOME]],HR_A_FAZER[#All],2,FALSE)-VLOOKUP(BANCO_HR[[#This Row],[NOME]],HR_FEITAS[#All],2,FALSE)))</f>
        <v/>
      </c>
      <c r="E16" s="44" t="str">
        <f>IF(VLOOKUP(BANCO_HR[[#This Row],[NOME]],HR_FEITAS[#All],3,FALSE)="","",ABS(VLOOKUP(BANCO_HR[[#This Row],[NOME]],HR_A_FAZER[#All],3,FALSE)-VLOOKUP(BANCO_HR[[#This Row],[NOME]],HR_FEITAS[#All],3,FALSE)))</f>
        <v/>
      </c>
      <c r="F16" s="44" t="str">
        <f>IF(VLOOKUP(BANCO_HR[[#This Row],[NOME]],HR_FEITAS[#All],4,FALSE)="","",ABS(VLOOKUP(BANCO_HR[[#This Row],[NOME]],HR_A_FAZER[#All],4,FALSE)-VLOOKUP(BANCO_HR[[#This Row],[NOME]],HR_FEITAS[#All],4,FALSE)))</f>
        <v/>
      </c>
      <c r="G16" s="44" t="str">
        <f>IF(VLOOKUP(BANCO_HR[[#This Row],[NOME]],HR_FEITAS[#All],5,FALSE)="","",ABS(VLOOKUP(BANCO_HR[[#This Row],[NOME]],HR_A_FAZER[#All],5,FALSE)-VLOOKUP(BANCO_HR[[#This Row],[NOME]],HR_FEITAS[#All],5,FALSE)))</f>
        <v/>
      </c>
      <c r="H16" s="44" t="str">
        <f>IF(VLOOKUP(BANCO_HR[[#This Row],[NOME]],HR_FEITAS[#All],6,FALSE)="","",ABS(VLOOKUP(BANCO_HR[[#This Row],[NOME]],HR_A_FAZER[#All],6,FALSE)-VLOOKUP(BANCO_HR[[#This Row],[NOME]],HR_FEITAS[#All],6,FALSE)))</f>
        <v/>
      </c>
      <c r="I16" s="44" t="str">
        <f>IF(VLOOKUP(BANCO_HR[[#This Row],[NOME]],HR_FEITAS[#All],7,FALSE)="","",ABS(VLOOKUP(BANCO_HR[[#This Row],[NOME]],HR_A_FAZER[#All],7,FALSE)-VLOOKUP(BANCO_HR[[#This Row],[NOME]],HR_FEITAS[#All],7,FALSE)))</f>
        <v/>
      </c>
      <c r="J16" s="44" t="str">
        <f>IF(VLOOKUP(BANCO_HR[[#This Row],[NOME]],HR_FEITAS[#All],8,FALSE)="","",ABS(VLOOKUP(BANCO_HR[[#This Row],[NOME]],HR_A_FAZER[#All],8,FALSE)-VLOOKUP(BANCO_HR[[#This Row],[NOME]],HR_FEITAS[#All],8,FALSE)))</f>
        <v/>
      </c>
      <c r="K16" s="44" t="str">
        <f>IF(VLOOKUP(BANCO_HR[[#This Row],[NOME]],HR_FEITAS[#All],9,FALSE)="","",ABS(VLOOKUP(BANCO_HR[[#This Row],[NOME]],HR_A_FAZER[#All],9,FALSE)-VLOOKUP(BANCO_HR[[#This Row],[NOME]],HR_FEITAS[#All],9,FALSE)))</f>
        <v/>
      </c>
      <c r="L16" s="44" t="str">
        <f>IF(VLOOKUP(BANCO_HR[[#This Row],[NOME]],HR_FEITAS[#All],10,FALSE)="","",ABS(VLOOKUP(BANCO_HR[[#This Row],[NOME]],HR_A_FAZER[#All],10,FALSE)-VLOOKUP(BANCO_HR[[#This Row],[NOME]],HR_FEITAS[#All],10,FALSE)))</f>
        <v/>
      </c>
      <c r="M16" s="44" t="str">
        <f>IF(VLOOKUP(BANCO_HR[[#This Row],[NOME]],HR_FEITAS[#All],11,FALSE)="","",ABS(VLOOKUP(BANCO_HR[[#This Row],[NOME]],HR_A_FAZER[#All],11,FALSE)-VLOOKUP(BANCO_HR[[#This Row],[NOME]],HR_FEITAS[#All],11,FALSE)))</f>
        <v/>
      </c>
      <c r="N16" s="44" t="str">
        <f>IF(VLOOKUP(BANCO_HR[[#This Row],[NOME]],HR_FEITAS[#All],12,FALSE)="","",ABS(VLOOKUP(BANCO_HR[[#This Row],[NOME]],HR_A_FAZER[#All],12,FALSE)-VLOOKUP(BANCO_HR[[#This Row],[NOME]],HR_FEITAS[#All],12,FALSE)))</f>
        <v/>
      </c>
      <c r="O16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7" spans="2:15" x14ac:dyDescent="0.25">
      <c r="B17" s="15" t="str">
        <f>quadro_de_func[[#This Row],[NOME]]</f>
        <v>func 14</v>
      </c>
      <c r="C17" s="35"/>
      <c r="D17" s="44" t="str">
        <f>IF(VLOOKUP(BANCO_HR[[#This Row],[NOME]],HR_FEITAS[#All],2,FALSE)="","",ABS(VLOOKUP(BANCO_HR[[#This Row],[NOME]],HR_A_FAZER[#All],2,FALSE)-VLOOKUP(BANCO_HR[[#This Row],[NOME]],HR_FEITAS[#All],2,FALSE)))</f>
        <v/>
      </c>
      <c r="E17" s="44" t="str">
        <f>IF(VLOOKUP(BANCO_HR[[#This Row],[NOME]],HR_FEITAS[#All],3,FALSE)="","",ABS(VLOOKUP(BANCO_HR[[#This Row],[NOME]],HR_A_FAZER[#All],3,FALSE)-VLOOKUP(BANCO_HR[[#This Row],[NOME]],HR_FEITAS[#All],3,FALSE)))</f>
        <v/>
      </c>
      <c r="F17" s="44" t="str">
        <f>IF(VLOOKUP(BANCO_HR[[#This Row],[NOME]],HR_FEITAS[#All],4,FALSE)="","",ABS(VLOOKUP(BANCO_HR[[#This Row],[NOME]],HR_A_FAZER[#All],4,FALSE)-VLOOKUP(BANCO_HR[[#This Row],[NOME]],HR_FEITAS[#All],4,FALSE)))</f>
        <v/>
      </c>
      <c r="G17" s="44" t="str">
        <f>IF(VLOOKUP(BANCO_HR[[#This Row],[NOME]],HR_FEITAS[#All],5,FALSE)="","",ABS(VLOOKUP(BANCO_HR[[#This Row],[NOME]],HR_A_FAZER[#All],5,FALSE)-VLOOKUP(BANCO_HR[[#This Row],[NOME]],HR_FEITAS[#All],5,FALSE)))</f>
        <v/>
      </c>
      <c r="H17" s="44" t="str">
        <f>IF(VLOOKUP(BANCO_HR[[#This Row],[NOME]],HR_FEITAS[#All],6,FALSE)="","",ABS(VLOOKUP(BANCO_HR[[#This Row],[NOME]],HR_A_FAZER[#All],6,FALSE)-VLOOKUP(BANCO_HR[[#This Row],[NOME]],HR_FEITAS[#All],6,FALSE)))</f>
        <v/>
      </c>
      <c r="I17" s="44" t="str">
        <f>IF(VLOOKUP(BANCO_HR[[#This Row],[NOME]],HR_FEITAS[#All],7,FALSE)="","",ABS(VLOOKUP(BANCO_HR[[#This Row],[NOME]],HR_A_FAZER[#All],7,FALSE)-VLOOKUP(BANCO_HR[[#This Row],[NOME]],HR_FEITAS[#All],7,FALSE)))</f>
        <v/>
      </c>
      <c r="J17" s="44" t="str">
        <f>IF(VLOOKUP(BANCO_HR[[#This Row],[NOME]],HR_FEITAS[#All],8,FALSE)="","",ABS(VLOOKUP(BANCO_HR[[#This Row],[NOME]],HR_A_FAZER[#All],8,FALSE)-VLOOKUP(BANCO_HR[[#This Row],[NOME]],HR_FEITAS[#All],8,FALSE)))</f>
        <v/>
      </c>
      <c r="K17" s="44" t="str">
        <f>IF(VLOOKUP(BANCO_HR[[#This Row],[NOME]],HR_FEITAS[#All],9,FALSE)="","",ABS(VLOOKUP(BANCO_HR[[#This Row],[NOME]],HR_A_FAZER[#All],9,FALSE)-VLOOKUP(BANCO_HR[[#This Row],[NOME]],HR_FEITAS[#All],9,FALSE)))</f>
        <v/>
      </c>
      <c r="L17" s="44" t="str">
        <f>IF(VLOOKUP(BANCO_HR[[#This Row],[NOME]],HR_FEITAS[#All],10,FALSE)="","",ABS(VLOOKUP(BANCO_HR[[#This Row],[NOME]],HR_A_FAZER[#All],10,FALSE)-VLOOKUP(BANCO_HR[[#This Row],[NOME]],HR_FEITAS[#All],10,FALSE)))</f>
        <v/>
      </c>
      <c r="M17" s="44" t="str">
        <f>IF(VLOOKUP(BANCO_HR[[#This Row],[NOME]],HR_FEITAS[#All],11,FALSE)="","",ABS(VLOOKUP(BANCO_HR[[#This Row],[NOME]],HR_A_FAZER[#All],11,FALSE)-VLOOKUP(BANCO_HR[[#This Row],[NOME]],HR_FEITAS[#All],11,FALSE)))</f>
        <v/>
      </c>
      <c r="N17" s="44" t="str">
        <f>IF(VLOOKUP(BANCO_HR[[#This Row],[NOME]],HR_FEITAS[#All],12,FALSE)="","",ABS(VLOOKUP(BANCO_HR[[#This Row],[NOME]],HR_A_FAZER[#All],12,FALSE)-VLOOKUP(BANCO_HR[[#This Row],[NOME]],HR_FEITAS[#All],12,FALSE)))</f>
        <v/>
      </c>
      <c r="O17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8" spans="2:15" x14ac:dyDescent="0.25">
      <c r="B18" s="15" t="str">
        <f>quadro_de_func[[#This Row],[NOME]]</f>
        <v>func 15</v>
      </c>
      <c r="C18" s="35"/>
      <c r="D18" s="44" t="str">
        <f>IF(VLOOKUP(BANCO_HR[[#This Row],[NOME]],HR_FEITAS[#All],2,FALSE)="","",ABS(VLOOKUP(BANCO_HR[[#This Row],[NOME]],HR_A_FAZER[#All],2,FALSE)-VLOOKUP(BANCO_HR[[#This Row],[NOME]],HR_FEITAS[#All],2,FALSE)))</f>
        <v/>
      </c>
      <c r="E18" s="44" t="str">
        <f>IF(VLOOKUP(BANCO_HR[[#This Row],[NOME]],HR_FEITAS[#All],3,FALSE)="","",ABS(VLOOKUP(BANCO_HR[[#This Row],[NOME]],HR_A_FAZER[#All],3,FALSE)-VLOOKUP(BANCO_HR[[#This Row],[NOME]],HR_FEITAS[#All],3,FALSE)))</f>
        <v/>
      </c>
      <c r="F18" s="44" t="str">
        <f>IF(VLOOKUP(BANCO_HR[[#This Row],[NOME]],HR_FEITAS[#All],4,FALSE)="","",ABS(VLOOKUP(BANCO_HR[[#This Row],[NOME]],HR_A_FAZER[#All],4,FALSE)-VLOOKUP(BANCO_HR[[#This Row],[NOME]],HR_FEITAS[#All],4,FALSE)))</f>
        <v/>
      </c>
      <c r="G18" s="44" t="str">
        <f>IF(VLOOKUP(BANCO_HR[[#This Row],[NOME]],HR_FEITAS[#All],5,FALSE)="","",ABS(VLOOKUP(BANCO_HR[[#This Row],[NOME]],HR_A_FAZER[#All],5,FALSE)-VLOOKUP(BANCO_HR[[#This Row],[NOME]],HR_FEITAS[#All],5,FALSE)))</f>
        <v/>
      </c>
      <c r="H18" s="44" t="str">
        <f>IF(VLOOKUP(BANCO_HR[[#This Row],[NOME]],HR_FEITAS[#All],6,FALSE)="","",ABS(VLOOKUP(BANCO_HR[[#This Row],[NOME]],HR_A_FAZER[#All],6,FALSE)-VLOOKUP(BANCO_HR[[#This Row],[NOME]],HR_FEITAS[#All],6,FALSE)))</f>
        <v/>
      </c>
      <c r="I18" s="44" t="str">
        <f>IF(VLOOKUP(BANCO_HR[[#This Row],[NOME]],HR_FEITAS[#All],7,FALSE)="","",ABS(VLOOKUP(BANCO_HR[[#This Row],[NOME]],HR_A_FAZER[#All],7,FALSE)-VLOOKUP(BANCO_HR[[#This Row],[NOME]],HR_FEITAS[#All],7,FALSE)))</f>
        <v/>
      </c>
      <c r="J18" s="44" t="str">
        <f>IF(VLOOKUP(BANCO_HR[[#This Row],[NOME]],HR_FEITAS[#All],8,FALSE)="","",ABS(VLOOKUP(BANCO_HR[[#This Row],[NOME]],HR_A_FAZER[#All],8,FALSE)-VLOOKUP(BANCO_HR[[#This Row],[NOME]],HR_FEITAS[#All],8,FALSE)))</f>
        <v/>
      </c>
      <c r="K18" s="44" t="str">
        <f>IF(VLOOKUP(BANCO_HR[[#This Row],[NOME]],HR_FEITAS[#All],9,FALSE)="","",ABS(VLOOKUP(BANCO_HR[[#This Row],[NOME]],HR_A_FAZER[#All],9,FALSE)-VLOOKUP(BANCO_HR[[#This Row],[NOME]],HR_FEITAS[#All],9,FALSE)))</f>
        <v/>
      </c>
      <c r="L18" s="44" t="str">
        <f>IF(VLOOKUP(BANCO_HR[[#This Row],[NOME]],HR_FEITAS[#All],10,FALSE)="","",ABS(VLOOKUP(BANCO_HR[[#This Row],[NOME]],HR_A_FAZER[#All],10,FALSE)-VLOOKUP(BANCO_HR[[#This Row],[NOME]],HR_FEITAS[#All],10,FALSE)))</f>
        <v/>
      </c>
      <c r="M18" s="44" t="str">
        <f>IF(VLOOKUP(BANCO_HR[[#This Row],[NOME]],HR_FEITAS[#All],11,FALSE)="","",ABS(VLOOKUP(BANCO_HR[[#This Row],[NOME]],HR_A_FAZER[#All],11,FALSE)-VLOOKUP(BANCO_HR[[#This Row],[NOME]],HR_FEITAS[#All],11,FALSE)))</f>
        <v/>
      </c>
      <c r="N18" s="44" t="str">
        <f>IF(VLOOKUP(BANCO_HR[[#This Row],[NOME]],HR_FEITAS[#All],12,FALSE)="","",ABS(VLOOKUP(BANCO_HR[[#This Row],[NOME]],HR_A_FAZER[#All],12,FALSE)-VLOOKUP(BANCO_HR[[#This Row],[NOME]],HR_FEITAS[#All],12,FALSE)))</f>
        <v/>
      </c>
      <c r="O18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19" spans="2:15" x14ac:dyDescent="0.25">
      <c r="B19" s="15" t="str">
        <f>quadro_de_func[[#This Row],[NOME]]</f>
        <v>func 16</v>
      </c>
      <c r="C19" s="35"/>
      <c r="D19" s="44" t="str">
        <f>IF(VLOOKUP(BANCO_HR[[#This Row],[NOME]],HR_FEITAS[#All],2,FALSE)="","",ABS(VLOOKUP(BANCO_HR[[#This Row],[NOME]],HR_A_FAZER[#All],2,FALSE)-VLOOKUP(BANCO_HR[[#This Row],[NOME]],HR_FEITAS[#All],2,FALSE)))</f>
        <v/>
      </c>
      <c r="E19" s="44" t="str">
        <f>IF(VLOOKUP(BANCO_HR[[#This Row],[NOME]],HR_FEITAS[#All],3,FALSE)="","",ABS(VLOOKUP(BANCO_HR[[#This Row],[NOME]],HR_A_FAZER[#All],3,FALSE)-VLOOKUP(BANCO_HR[[#This Row],[NOME]],HR_FEITAS[#All],3,FALSE)))</f>
        <v/>
      </c>
      <c r="F19" s="44" t="str">
        <f>IF(VLOOKUP(BANCO_HR[[#This Row],[NOME]],HR_FEITAS[#All],4,FALSE)="","",ABS(VLOOKUP(BANCO_HR[[#This Row],[NOME]],HR_A_FAZER[#All],4,FALSE)-VLOOKUP(BANCO_HR[[#This Row],[NOME]],HR_FEITAS[#All],4,FALSE)))</f>
        <v/>
      </c>
      <c r="G19" s="44" t="str">
        <f>IF(VLOOKUP(BANCO_HR[[#This Row],[NOME]],HR_FEITAS[#All],5,FALSE)="","",ABS(VLOOKUP(BANCO_HR[[#This Row],[NOME]],HR_A_FAZER[#All],5,FALSE)-VLOOKUP(BANCO_HR[[#This Row],[NOME]],HR_FEITAS[#All],5,FALSE)))</f>
        <v/>
      </c>
      <c r="H19" s="44" t="str">
        <f>IF(VLOOKUP(BANCO_HR[[#This Row],[NOME]],HR_FEITAS[#All],6,FALSE)="","",ABS(VLOOKUP(BANCO_HR[[#This Row],[NOME]],HR_A_FAZER[#All],6,FALSE)-VLOOKUP(BANCO_HR[[#This Row],[NOME]],HR_FEITAS[#All],6,FALSE)))</f>
        <v/>
      </c>
      <c r="I19" s="44" t="str">
        <f>IF(VLOOKUP(BANCO_HR[[#This Row],[NOME]],HR_FEITAS[#All],7,FALSE)="","",ABS(VLOOKUP(BANCO_HR[[#This Row],[NOME]],HR_A_FAZER[#All],7,FALSE)-VLOOKUP(BANCO_HR[[#This Row],[NOME]],HR_FEITAS[#All],7,FALSE)))</f>
        <v/>
      </c>
      <c r="J19" s="44" t="str">
        <f>IF(VLOOKUP(BANCO_HR[[#This Row],[NOME]],HR_FEITAS[#All],8,FALSE)="","",ABS(VLOOKUP(BANCO_HR[[#This Row],[NOME]],HR_A_FAZER[#All],8,FALSE)-VLOOKUP(BANCO_HR[[#This Row],[NOME]],HR_FEITAS[#All],8,FALSE)))</f>
        <v/>
      </c>
      <c r="K19" s="44" t="str">
        <f>IF(VLOOKUP(BANCO_HR[[#This Row],[NOME]],HR_FEITAS[#All],9,FALSE)="","",ABS(VLOOKUP(BANCO_HR[[#This Row],[NOME]],HR_A_FAZER[#All],9,FALSE)-VLOOKUP(BANCO_HR[[#This Row],[NOME]],HR_FEITAS[#All],9,FALSE)))</f>
        <v/>
      </c>
      <c r="L19" s="44" t="str">
        <f>IF(VLOOKUP(BANCO_HR[[#This Row],[NOME]],HR_FEITAS[#All],10,FALSE)="","",ABS(VLOOKUP(BANCO_HR[[#This Row],[NOME]],HR_A_FAZER[#All],10,FALSE)-VLOOKUP(BANCO_HR[[#This Row],[NOME]],HR_FEITAS[#All],10,FALSE)))</f>
        <v/>
      </c>
      <c r="M19" s="44" t="str">
        <f>IF(VLOOKUP(BANCO_HR[[#This Row],[NOME]],HR_FEITAS[#All],11,FALSE)="","",ABS(VLOOKUP(BANCO_HR[[#This Row],[NOME]],HR_A_FAZER[#All],11,FALSE)-VLOOKUP(BANCO_HR[[#This Row],[NOME]],HR_FEITAS[#All],11,FALSE)))</f>
        <v/>
      </c>
      <c r="N19" s="44" t="str">
        <f>IF(VLOOKUP(BANCO_HR[[#This Row],[NOME]],HR_FEITAS[#All],12,FALSE)="","",ABS(VLOOKUP(BANCO_HR[[#This Row],[NOME]],HR_A_FAZER[#All],12,FALSE)-VLOOKUP(BANCO_HR[[#This Row],[NOME]],HR_FEITAS[#All],12,FALSE)))</f>
        <v/>
      </c>
      <c r="O19" s="44" t="str">
        <f>IF(VLOOKUP(BANCO_HR[[#This Row],[NOME]],HR_FEITAS[#All],13,FALSE)="","",ABS(VLOOKUP(BANCO_HR[[#This Row],[NOME]],HR_A_FAZER[#All],13,FALSE)-VLOOKUP(BANCO_HR[[#This Row],[NOME]],HR_FEITAS[#All],13,FALSE)))</f>
        <v/>
      </c>
    </row>
    <row r="20" spans="2:15" x14ac:dyDescent="0.25">
      <c r="B20" s="15" t="str">
        <f>quadro_de_func[[#This Row],[NOME]]</f>
        <v>func 17</v>
      </c>
      <c r="C20" s="35"/>
      <c r="D20" s="44" t="str">
        <f>IF(VLOOKUP(BANCO_HR[[#This Row],[NOME]],HR_FEITAS[#All],2,FALSE)="","",ABS(VLOOKUP(BANCO_HR[[#This Row],[NOME]],HR_A_FAZER[#All],2,FALSE)-VLOOKUP(BANCO_HR[[#This Row],[NOME]],HR_FEITAS[#All],2,FALSE)))</f>
        <v/>
      </c>
      <c r="E20" s="44" t="str">
        <f>IF(VLOOKUP(BANCO_HR[[#This Row],[NOME]],HR_FEITAS[#All],3,FALSE)="","",ABS(VLOOKUP(BANCO_HR[[#This Row],[NOME]],HR_A_FAZER[#All],3,FALSE)-VLOOKUP(BANCO_HR[[#This Row],[NOME]],HR_FEITAS[#All],3,FALSE)))</f>
        <v/>
      </c>
      <c r="F20" s="44" t="str">
        <f>IF(VLOOKUP(BANCO_HR[[#This Row],[NOME]],HR_FEITAS[#All],4,FALSE)="","",ABS(VLOOKUP(BANCO_HR[[#This Row],[NOME]],HR_A_FAZER[#All],4,FALSE)-VLOOKUP(BANCO_HR[[#This Row],[NOME]],HR_FEITAS[#All],4,FALSE)))</f>
        <v/>
      </c>
      <c r="G20" s="44" t="str">
        <f>IF(VLOOKUP(BANCO_HR[[#This Row],[NOME]],HR_FEITAS[#All],5,FALSE)="","",ABS(VLOOKUP(BANCO_HR[[#This Row],[NOME]],HR_A_FAZER[#All],5,FALSE)-VLOOKUP(BANCO_HR[[#This Row],[NOME]],HR_FEITAS[#All],5,FALSE)))</f>
        <v/>
      </c>
      <c r="H20" s="44" t="str">
        <f>IF(VLOOKUP(BANCO_HR[[#This Row],[NOME]],HR_FEITAS[#All],6,FALSE)="","",ABS(VLOOKUP(BANCO_HR[[#This Row],[NOME]],HR_A_FAZER[#All],6,FALSE)-VLOOKUP(BANCO_HR[[#This Row],[NOME]],HR_FEITAS[#All],6,FALSE)))</f>
        <v/>
      </c>
      <c r="I20" s="44" t="str">
        <f>IF(VLOOKUP(BANCO_HR[[#This Row],[NOME]],HR_FEITAS[#All],7,FALSE)="","",ABS(VLOOKUP(BANCO_HR[[#This Row],[NOME]],HR_A_FAZER[#All],7,FALSE)-VLOOKUP(BANCO_HR[[#This Row],[NOME]],HR_FEITAS[#All],7,FALSE)))</f>
        <v/>
      </c>
      <c r="J20" s="44" t="str">
        <f>IF(VLOOKUP(BANCO_HR[[#This Row],[NOME]],HR_FEITAS[#All],8,FALSE)="","",ABS(VLOOKUP(BANCO_HR[[#This Row],[NOME]],HR_A_FAZER[#All],8,FALSE)-VLOOKUP(BANCO_HR[[#This Row],[NOME]],HR_FEITAS[#All],8,FALSE)))</f>
        <v/>
      </c>
      <c r="K20" s="44" t="str">
        <f>IF(VLOOKUP(BANCO_HR[[#This Row],[NOME]],HR_FEITAS[#All],9,FALSE)="","",ABS(VLOOKUP(BANCO_HR[[#This Row],[NOME]],HR_A_FAZER[#All],9,FALSE)-VLOOKUP(BANCO_HR[[#This Row],[NOME]],HR_FEITAS[#All],9,FALSE)))</f>
        <v/>
      </c>
      <c r="L20" s="44" t="str">
        <f>IF(VLOOKUP(BANCO_HR[[#This Row],[NOME]],HR_FEITAS[#All],10,FALSE)="","",ABS(VLOOKUP(BANCO_HR[[#This Row],[NOME]],HR_A_FAZER[#All],10,FALSE)-VLOOKUP(BANCO_HR[[#This Row],[NOME]],HR_FEITAS[#All],10,FALSE)))</f>
        <v/>
      </c>
      <c r="M20" s="44" t="str">
        <f>IF(VLOOKUP(BANCO_HR[[#This Row],[NOME]],HR_FEITAS[#All],11,FALSE)="","",ABS(VLOOKUP(BANCO_HR[[#This Row],[NOME]],HR_A_FAZER[#All],11,FALSE)-VLOOKUP(BANCO_HR[[#This Row],[NOME]],HR_FEITAS[#All],11,FALSE)))</f>
        <v/>
      </c>
      <c r="N20" s="44" t="str">
        <f>IF(VLOOKUP(BANCO_HR[[#This Row],[NOME]],HR_FEITAS[#All],12,FALSE)="","",ABS(VLOOKUP(BANCO_HR[[#This Row],[NOME]],HR_A_FAZER[#All],12,FALSE)-VLOOKUP(BANCO_HR[[#This Row],[NOME]],HR_FEITAS[#All],12,FALSE)))</f>
        <v/>
      </c>
      <c r="O20" s="44" t="str">
        <f>IF(VLOOKUP(BANCO_HR[[#This Row],[NOME]],HR_FEITAS[#All],13,FALSE)="","",ABS(VLOOKUP(BANCO_HR[[#This Row],[NOME]],HR_A_FAZER[#All],13,FALSE)-VLOOKUP(BANCO_HR[[#This Row],[NOME]],HR_FEITAS[#All],13,FALSE)))</f>
        <v/>
      </c>
    </row>
  </sheetData>
  <sheetProtection sheet="1" objects="1" scenarios="1"/>
  <mergeCells count="1">
    <mergeCell ref="B2:O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31"/>
  <dimension ref="B2:I20"/>
  <sheetViews>
    <sheetView showGridLines="0" showRowColHeaders="0" workbookViewId="0">
      <pane xSplit="10" ySplit="20" topLeftCell="K45" activePane="bottomRight" state="frozen"/>
      <selection pane="topRight" activeCell="K1" sqref="K1"/>
      <selection pane="bottomLeft" activeCell="A21" sqref="A21"/>
      <selection pane="bottomRight"/>
    </sheetView>
  </sheetViews>
  <sheetFormatPr defaultRowHeight="15" x14ac:dyDescent="0.25"/>
  <cols>
    <col min="1" max="1" width="4" style="39" customWidth="1"/>
    <col min="2" max="2" width="13.85546875" style="39" customWidth="1"/>
    <col min="3" max="3" width="16.7109375" style="39" customWidth="1"/>
    <col min="4" max="4" width="15.42578125" style="39" bestFit="1" customWidth="1"/>
    <col min="5" max="5" width="12.42578125" style="39" bestFit="1" customWidth="1"/>
    <col min="6" max="6" width="15.42578125" style="39" bestFit="1" customWidth="1"/>
    <col min="7" max="7" width="12.42578125" style="39" bestFit="1" customWidth="1"/>
    <col min="8" max="8" width="15.42578125" style="39" bestFit="1" customWidth="1"/>
    <col min="9" max="9" width="12.42578125" style="39" bestFit="1" customWidth="1"/>
    <col min="10" max="10" width="26.42578125" style="39" customWidth="1"/>
    <col min="11" max="16384" width="9.140625" style="39"/>
  </cols>
  <sheetData>
    <row r="2" spans="2:9" ht="46.5" x14ac:dyDescent="0.7">
      <c r="B2" s="136" t="s">
        <v>13</v>
      </c>
      <c r="C2" s="136"/>
      <c r="D2" s="136"/>
      <c r="E2" s="136"/>
      <c r="F2" s="136"/>
      <c r="G2" s="136"/>
      <c r="H2" s="136"/>
      <c r="I2" s="136"/>
    </row>
    <row r="3" spans="2:9" s="112" customFormat="1" ht="31.5" customHeight="1" x14ac:dyDescent="0.25">
      <c r="B3" s="111" t="s">
        <v>0</v>
      </c>
      <c r="C3" s="111" t="s">
        <v>10</v>
      </c>
      <c r="D3" s="111" t="s">
        <v>4</v>
      </c>
      <c r="E3" s="111" t="s">
        <v>5</v>
      </c>
      <c r="F3" s="111" t="s">
        <v>6</v>
      </c>
      <c r="G3" s="111" t="s">
        <v>7</v>
      </c>
      <c r="H3" s="111" t="s">
        <v>8</v>
      </c>
      <c r="I3" s="111" t="s">
        <v>9</v>
      </c>
    </row>
    <row r="4" spans="2:9" x14ac:dyDescent="0.25">
      <c r="B4" s="39" t="str">
        <f>quadro_de_func[[#This Row],[NOME]]</f>
        <v>Amanda</v>
      </c>
      <c r="C4" s="113">
        <f>ABS(carga_horaria[[#This Row],[SAIDA 1]]-carga_horaria[[#This Row],[ENTRADA 1]]+carga_horaria[[#This Row],[SAIDA 2]]-carga_horaria[[#This Row],[ENTRADA 2]])</f>
        <v>0.36458333333333337</v>
      </c>
      <c r="D4" s="36">
        <v>0.33333333333333331</v>
      </c>
      <c r="E4" s="36">
        <v>0.5</v>
      </c>
      <c r="F4" s="36">
        <v>0.55208333333333337</v>
      </c>
      <c r="G4" s="36">
        <v>0.75</v>
      </c>
      <c r="H4" s="37"/>
      <c r="I4" s="37"/>
    </row>
    <row r="5" spans="2:9" x14ac:dyDescent="0.25">
      <c r="B5" s="39" t="str">
        <f>quadro_de_func[[#This Row],[NOME]]</f>
        <v>Bruna</v>
      </c>
      <c r="C5" s="113">
        <f>ABS(carga_horaria[[#This Row],[SAIDA 1]]-carga_horaria[[#This Row],[ENTRADA 1]]+carga_horaria[[#This Row],[SAIDA 2]]-carga_horaria[[#This Row],[ENTRADA 2]])</f>
        <v>0.37500000000000011</v>
      </c>
      <c r="D5" s="36">
        <v>0.33333333333333331</v>
      </c>
      <c r="E5" s="36">
        <v>0.5</v>
      </c>
      <c r="F5" s="36">
        <v>0.54166666666666663</v>
      </c>
      <c r="G5" s="36">
        <v>0.75</v>
      </c>
      <c r="H5" s="37"/>
      <c r="I5" s="37"/>
    </row>
    <row r="6" spans="2:9" x14ac:dyDescent="0.25">
      <c r="B6" s="39" t="str">
        <f>quadro_de_func[[#This Row],[NOME]]</f>
        <v>Daiani</v>
      </c>
      <c r="C6" s="113">
        <f>ABS(carga_horaria[[#This Row],[SAIDA 1]]-carga_horaria[[#This Row],[ENTRADA 1]]+carga_horaria[[#This Row],[SAIDA 2]]-carga_horaria[[#This Row],[ENTRADA 2]])</f>
        <v>0.36458333333333337</v>
      </c>
      <c r="D6" s="36">
        <v>0.33333333333333331</v>
      </c>
      <c r="E6" s="36">
        <v>0.5</v>
      </c>
      <c r="F6" s="36">
        <v>0.55208333333333337</v>
      </c>
      <c r="G6" s="36">
        <v>0.75</v>
      </c>
      <c r="H6" s="37"/>
      <c r="I6" s="37"/>
    </row>
    <row r="7" spans="2:9" x14ac:dyDescent="0.25">
      <c r="B7" s="39" t="str">
        <f>quadro_de_func[[#This Row],[NOME]]</f>
        <v>Érica</v>
      </c>
      <c r="C7" s="113">
        <f>ABS(carga_horaria[[#This Row],[SAIDA 1]]-carga_horaria[[#This Row],[ENTRADA 1]]+carga_horaria[[#This Row],[SAIDA 2]]-carga_horaria[[#This Row],[ENTRADA 2]])</f>
        <v>0.36458333333333337</v>
      </c>
      <c r="D7" s="36">
        <v>0.33333333333333331</v>
      </c>
      <c r="E7" s="36">
        <v>0.5</v>
      </c>
      <c r="F7" s="36">
        <v>0.55208333333333337</v>
      </c>
      <c r="G7" s="36">
        <v>0.75</v>
      </c>
      <c r="H7" s="37"/>
      <c r="I7" s="37"/>
    </row>
    <row r="8" spans="2:9" x14ac:dyDescent="0.25">
      <c r="B8" s="39" t="str">
        <f>quadro_de_func[[#This Row],[NOME]]</f>
        <v>func 5</v>
      </c>
      <c r="C8" s="113">
        <f>ABS(carga_horaria[[#This Row],[SAIDA 1]]-carga_horaria[[#This Row],[ENTRADA 1]]+carga_horaria[[#This Row],[SAIDA 2]]-carga_horaria[[#This Row],[ENTRADA 2]])</f>
        <v>0.33333333333333337</v>
      </c>
      <c r="D8" s="36">
        <v>0.29166666666666669</v>
      </c>
      <c r="E8" s="36">
        <v>0.5</v>
      </c>
      <c r="F8" s="36">
        <v>0.54166666666666663</v>
      </c>
      <c r="G8" s="36">
        <v>0.66666666666666663</v>
      </c>
      <c r="H8" s="37"/>
      <c r="I8" s="37"/>
    </row>
    <row r="9" spans="2:9" x14ac:dyDescent="0.25">
      <c r="B9" s="39" t="str">
        <f>quadro_de_func[[#This Row],[NOME]]</f>
        <v>func 6</v>
      </c>
      <c r="C9" s="113">
        <f>ABS(carga_horaria[[#This Row],[SAIDA 1]]-carga_horaria[[#This Row],[ENTRADA 1]]+carga_horaria[[#This Row],[SAIDA 2]]-carga_horaria[[#This Row],[ENTRADA 2]])</f>
        <v>0.25000000000000006</v>
      </c>
      <c r="D9" s="36">
        <v>0.27083333333333331</v>
      </c>
      <c r="E9" s="36">
        <v>0.52083333333333337</v>
      </c>
      <c r="F9" s="37"/>
      <c r="G9" s="37"/>
      <c r="H9" s="37"/>
      <c r="I9" s="37"/>
    </row>
    <row r="10" spans="2:9" x14ac:dyDescent="0.25">
      <c r="B10" s="39" t="str">
        <f>quadro_de_func[[#This Row],[NOME]]</f>
        <v>func 7</v>
      </c>
      <c r="C10" s="113">
        <f>ABS(carga_horaria[[#This Row],[SAIDA 1]]-carga_horaria[[#This Row],[ENTRADA 1]]+carga_horaria[[#This Row],[SAIDA 2]]-carga_horaria[[#This Row],[ENTRADA 2]])</f>
        <v>0.33333333333333337</v>
      </c>
      <c r="D10" s="36">
        <v>0.29166666666666669</v>
      </c>
      <c r="E10" s="36">
        <v>0.5</v>
      </c>
      <c r="F10" s="36">
        <v>0.54166666666666663</v>
      </c>
      <c r="G10" s="36">
        <v>0.66666666666666663</v>
      </c>
      <c r="H10" s="37"/>
      <c r="I10" s="37"/>
    </row>
    <row r="11" spans="2:9" x14ac:dyDescent="0.25">
      <c r="B11" s="39" t="str">
        <f>quadro_de_func[[#This Row],[NOME]]</f>
        <v>func 8</v>
      </c>
      <c r="C11" s="113">
        <f>ABS(carga_horaria[[#This Row],[SAIDA 1]]-carga_horaria[[#This Row],[ENTRADA 1]]+carga_horaria[[#This Row],[SAIDA 2]]-carga_horaria[[#This Row],[ENTRADA 2]])</f>
        <v>0.33333333333333326</v>
      </c>
      <c r="D11" s="36">
        <v>0.29166666666666669</v>
      </c>
      <c r="E11" s="36">
        <v>0.45833333333333331</v>
      </c>
      <c r="F11" s="36">
        <v>0.5</v>
      </c>
      <c r="G11" s="36">
        <v>0.66666666666666663</v>
      </c>
      <c r="H11" s="37"/>
      <c r="I11" s="37"/>
    </row>
    <row r="12" spans="2:9" x14ac:dyDescent="0.25">
      <c r="B12" s="39" t="str">
        <f>quadro_de_func[[#This Row],[NOME]]</f>
        <v>func 9</v>
      </c>
      <c r="C12" s="113">
        <f>ABS(carga_horaria[[#This Row],[SAIDA 1]]-carga_horaria[[#This Row],[ENTRADA 1]]+carga_horaria[[#This Row],[SAIDA 2]]-carga_horaria[[#This Row],[ENTRADA 2]])</f>
        <v>0.33333333333333326</v>
      </c>
      <c r="D12" s="36">
        <v>0.29166666666666669</v>
      </c>
      <c r="E12" s="36">
        <v>0.45833333333333331</v>
      </c>
      <c r="F12" s="36">
        <v>0.5</v>
      </c>
      <c r="G12" s="36">
        <v>0.66666666666666663</v>
      </c>
      <c r="H12" s="37"/>
      <c r="I12" s="37"/>
    </row>
    <row r="13" spans="2:9" x14ac:dyDescent="0.25">
      <c r="B13" s="39" t="str">
        <f>quadro_de_func[[#This Row],[NOME]]</f>
        <v>func 10</v>
      </c>
      <c r="C13" s="113">
        <f>ABS(carga_horaria[[#This Row],[SAIDA 1]]-carga_horaria[[#This Row],[ENTRADA 1]]+carga_horaria[[#This Row],[SAIDA 2]]-carga_horaria[[#This Row],[ENTRADA 2]])</f>
        <v>0.33333333333333337</v>
      </c>
      <c r="D13" s="36">
        <v>0.29166666666666669</v>
      </c>
      <c r="E13" s="36">
        <v>0.5</v>
      </c>
      <c r="F13" s="36">
        <v>0.54166666666666663</v>
      </c>
      <c r="G13" s="36">
        <v>0.66666666666666663</v>
      </c>
      <c r="H13" s="37"/>
      <c r="I13" s="37"/>
    </row>
    <row r="14" spans="2:9" x14ac:dyDescent="0.25">
      <c r="B14" s="39" t="str">
        <f>quadro_de_func[[#This Row],[NOME]]</f>
        <v>func 11</v>
      </c>
      <c r="C14" s="113">
        <f>ABS(carga_horaria[[#This Row],[SAIDA 1]]-carga_horaria[[#This Row],[ENTRADA 1]]+carga_horaria[[#This Row],[SAIDA 2]]-carga_horaria[[#This Row],[ENTRADA 2]])</f>
        <v>0.25000000000000006</v>
      </c>
      <c r="D14" s="36">
        <v>0.33333333333333331</v>
      </c>
      <c r="E14" s="36">
        <v>0.58333333333333337</v>
      </c>
      <c r="F14" s="37"/>
      <c r="G14" s="37"/>
      <c r="H14" s="37"/>
      <c r="I14" s="37"/>
    </row>
    <row r="15" spans="2:9" x14ac:dyDescent="0.25">
      <c r="B15" s="39" t="str">
        <f>quadro_de_func[[#This Row],[NOME]]</f>
        <v>func 12</v>
      </c>
      <c r="C15" s="113">
        <f>ABS(carga_horaria[[#This Row],[SAIDA 1]]-carga_horaria[[#This Row],[ENTRADA 1]]+carga_horaria[[#This Row],[SAIDA 2]]-carga_horaria[[#This Row],[ENTRADA 2]])</f>
        <v>0.25000000000000006</v>
      </c>
      <c r="D15" s="36">
        <v>0.33333333333333331</v>
      </c>
      <c r="E15" s="36">
        <v>0.58333333333333337</v>
      </c>
      <c r="F15" s="37"/>
      <c r="G15" s="37"/>
      <c r="H15" s="37"/>
      <c r="I15" s="37"/>
    </row>
    <row r="16" spans="2:9" x14ac:dyDescent="0.25">
      <c r="B16" s="39" t="str">
        <f>quadro_de_func[[#This Row],[NOME]]</f>
        <v>func 13</v>
      </c>
      <c r="C16" s="113">
        <f>ABS(carga_horaria[[#This Row],[SAIDA 1]]-carga_horaria[[#This Row],[ENTRADA 1]]+carga_horaria[[#This Row],[SAIDA 2]]-carga_horaria[[#This Row],[ENTRADA 2]])</f>
        <v>0.24999999999999994</v>
      </c>
      <c r="D16" s="36">
        <v>0.41666666666666669</v>
      </c>
      <c r="E16" s="36">
        <v>0.66666666666666663</v>
      </c>
      <c r="F16" s="37"/>
      <c r="G16" s="37"/>
      <c r="H16" s="37"/>
      <c r="I16" s="37"/>
    </row>
    <row r="17" spans="2:9" x14ac:dyDescent="0.25">
      <c r="B17" s="39" t="str">
        <f>quadro_de_func[[#This Row],[NOME]]</f>
        <v>func 14</v>
      </c>
      <c r="C17" s="113">
        <f>ABS(carga_horaria[[#This Row],[SAIDA 1]]-carga_horaria[[#This Row],[ENTRADA 1]]+carga_horaria[[#This Row],[SAIDA 2]]-carga_horaria[[#This Row],[ENTRADA 2]])</f>
        <v>0.24999999999999994</v>
      </c>
      <c r="D17" s="36">
        <v>0.41666666666666669</v>
      </c>
      <c r="E17" s="36">
        <v>0.66666666666666663</v>
      </c>
      <c r="F17" s="37"/>
      <c r="G17" s="37"/>
      <c r="H17" s="37"/>
      <c r="I17" s="37"/>
    </row>
    <row r="18" spans="2:9" x14ac:dyDescent="0.25">
      <c r="B18" s="39" t="str">
        <f>quadro_de_func[[#This Row],[NOME]]</f>
        <v>func 15</v>
      </c>
      <c r="C18" s="113">
        <f>ABS(carga_horaria[[#This Row],[SAIDA 1]]-carga_horaria[[#This Row],[ENTRADA 1]]+carga_horaria[[#This Row],[SAIDA 2]]-carga_horaria[[#This Row],[ENTRADA 2]])</f>
        <v>0.16666666666666663</v>
      </c>
      <c r="D18" s="36">
        <v>0.29166666666666669</v>
      </c>
      <c r="E18" s="36">
        <v>0.45833333333333331</v>
      </c>
      <c r="F18" s="37"/>
      <c r="G18" s="37"/>
      <c r="H18" s="37"/>
      <c r="I18" s="37"/>
    </row>
    <row r="19" spans="2:9" x14ac:dyDescent="0.25">
      <c r="B19" s="39" t="str">
        <f>quadro_de_func[[#This Row],[NOME]]</f>
        <v>func 16</v>
      </c>
      <c r="C19" s="113">
        <f>ABS(carga_horaria[[#This Row],[SAIDA 1]]-carga_horaria[[#This Row],[ENTRADA 1]]+carga_horaria[[#This Row],[SAIDA 2]]-carga_horaria[[#This Row],[ENTRADA 2]])</f>
        <v>0.16666666666666663</v>
      </c>
      <c r="D19" s="36">
        <v>0.52430555555555558</v>
      </c>
      <c r="E19" s="36">
        <v>0.69097222222222221</v>
      </c>
      <c r="F19" s="37"/>
      <c r="G19" s="37"/>
      <c r="H19" s="37"/>
      <c r="I19" s="37"/>
    </row>
    <row r="20" spans="2:9" x14ac:dyDescent="0.25">
      <c r="B20" s="39" t="str">
        <f>quadro_de_func[[#This Row],[NOME]]</f>
        <v>func 17</v>
      </c>
      <c r="C20" s="113">
        <f>ABS(carga_horaria[[#This Row],[SAIDA 1]]-carga_horaria[[#This Row],[ENTRADA 1]]+carga_horaria[[#This Row],[SAIDA 2]]-carga_horaria[[#This Row],[ENTRADA 2]])</f>
        <v>0.33333333333333326</v>
      </c>
      <c r="D20" s="36">
        <v>0.29166666666666669</v>
      </c>
      <c r="E20" s="36">
        <v>0.45833333333333331</v>
      </c>
      <c r="F20" s="36">
        <v>0.5</v>
      </c>
      <c r="G20" s="36">
        <v>0.66666666666666663</v>
      </c>
      <c r="H20" s="37"/>
      <c r="I20" s="37"/>
    </row>
  </sheetData>
  <sheetProtection sheet="1" objects="1" scenarios="1"/>
  <mergeCells count="1">
    <mergeCell ref="B2:I2"/>
  </mergeCells>
  <pageMargins left="0.25" right="0.25" top="0.75" bottom="0.75" header="0.3" footer="0.3"/>
  <pageSetup paperSize="9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1"/>
  <dimension ref="B1:D20"/>
  <sheetViews>
    <sheetView showGridLines="0" showRowColHeaders="0" workbookViewId="0">
      <pane xSplit="5" ySplit="27" topLeftCell="F40" activePane="bottomRight" state="frozen"/>
      <selection pane="topRight" activeCell="F1" sqref="F1"/>
      <selection pane="bottomLeft" activeCell="A28" sqref="A28"/>
      <selection pane="bottomRight" activeCell="D6" sqref="D6"/>
    </sheetView>
  </sheetViews>
  <sheetFormatPr defaultRowHeight="15" x14ac:dyDescent="0.25"/>
  <cols>
    <col min="1" max="1" width="15.28515625" style="2" customWidth="1"/>
    <col min="2" max="2" width="49" style="2" customWidth="1"/>
    <col min="3" max="3" width="11.7109375" style="2" bestFit="1" customWidth="1"/>
    <col min="4" max="4" width="24.140625" style="2" bestFit="1" customWidth="1"/>
    <col min="5" max="5" width="27.140625" style="2" customWidth="1"/>
    <col min="6" max="16384" width="9.140625" style="2"/>
  </cols>
  <sheetData>
    <row r="1" spans="2:4" ht="30" customHeight="1" x14ac:dyDescent="0.25"/>
    <row r="2" spans="2:4" ht="23.25" x14ac:dyDescent="0.25">
      <c r="B2" s="137" t="s">
        <v>32</v>
      </c>
      <c r="C2" s="137"/>
      <c r="D2" s="137"/>
    </row>
    <row r="3" spans="2:4" x14ac:dyDescent="0.25">
      <c r="B3" s="14" t="s">
        <v>0</v>
      </c>
      <c r="C3" s="14" t="s">
        <v>1</v>
      </c>
      <c r="D3" s="14" t="s">
        <v>2</v>
      </c>
    </row>
    <row r="4" spans="2:4" x14ac:dyDescent="0.25">
      <c r="B4" s="103" t="s">
        <v>74</v>
      </c>
      <c r="C4" s="33">
        <v>1</v>
      </c>
      <c r="D4" s="33" t="s">
        <v>77</v>
      </c>
    </row>
    <row r="5" spans="2:4" x14ac:dyDescent="0.25">
      <c r="B5" s="103" t="s">
        <v>81</v>
      </c>
      <c r="C5" s="33">
        <v>1</v>
      </c>
      <c r="D5" s="34" t="s">
        <v>82</v>
      </c>
    </row>
    <row r="6" spans="2:4" x14ac:dyDescent="0.25">
      <c r="B6" s="103" t="s">
        <v>76</v>
      </c>
      <c r="C6" s="33">
        <v>1</v>
      </c>
      <c r="D6" s="34" t="s">
        <v>78</v>
      </c>
    </row>
    <row r="7" spans="2:4" x14ac:dyDescent="0.25">
      <c r="B7" s="103" t="s">
        <v>79</v>
      </c>
      <c r="C7" s="33">
        <v>1</v>
      </c>
      <c r="D7" s="34" t="s">
        <v>80</v>
      </c>
    </row>
    <row r="8" spans="2:4" x14ac:dyDescent="0.25">
      <c r="B8" s="103" t="s">
        <v>61</v>
      </c>
      <c r="C8" s="33">
        <v>1</v>
      </c>
      <c r="D8" s="34" t="s">
        <v>3</v>
      </c>
    </row>
    <row r="9" spans="2:4" x14ac:dyDescent="0.25">
      <c r="B9" s="103" t="s">
        <v>62</v>
      </c>
      <c r="C9" s="33">
        <v>1</v>
      </c>
      <c r="D9" s="34" t="s">
        <v>3</v>
      </c>
    </row>
    <row r="10" spans="2:4" x14ac:dyDescent="0.25">
      <c r="B10" s="103" t="s">
        <v>63</v>
      </c>
      <c r="C10" s="33">
        <v>1</v>
      </c>
      <c r="D10" s="34" t="s">
        <v>3</v>
      </c>
    </row>
    <row r="11" spans="2:4" x14ac:dyDescent="0.25">
      <c r="B11" s="103" t="s">
        <v>64</v>
      </c>
      <c r="C11" s="33">
        <v>1</v>
      </c>
      <c r="D11" s="34" t="s">
        <v>3</v>
      </c>
    </row>
    <row r="12" spans="2:4" x14ac:dyDescent="0.25">
      <c r="B12" s="103" t="s">
        <v>65</v>
      </c>
      <c r="C12" s="33">
        <v>1</v>
      </c>
      <c r="D12" s="34" t="s">
        <v>3</v>
      </c>
    </row>
    <row r="13" spans="2:4" x14ac:dyDescent="0.25">
      <c r="B13" s="103" t="s">
        <v>66</v>
      </c>
      <c r="C13" s="33">
        <v>1</v>
      </c>
      <c r="D13" s="34" t="s">
        <v>11</v>
      </c>
    </row>
    <row r="14" spans="2:4" x14ac:dyDescent="0.25">
      <c r="B14" s="103" t="s">
        <v>67</v>
      </c>
      <c r="C14" s="33">
        <v>1</v>
      </c>
      <c r="D14" s="51" t="s">
        <v>43</v>
      </c>
    </row>
    <row r="15" spans="2:4" x14ac:dyDescent="0.25">
      <c r="B15" s="103" t="s">
        <v>68</v>
      </c>
      <c r="C15" s="33">
        <v>1</v>
      </c>
      <c r="D15" s="51" t="s">
        <v>43</v>
      </c>
    </row>
    <row r="16" spans="2:4" x14ac:dyDescent="0.25">
      <c r="B16" s="103" t="s">
        <v>69</v>
      </c>
      <c r="C16" s="33">
        <v>1</v>
      </c>
      <c r="D16" s="51" t="s">
        <v>43</v>
      </c>
    </row>
    <row r="17" spans="2:4" x14ac:dyDescent="0.25">
      <c r="B17" s="103" t="s">
        <v>70</v>
      </c>
      <c r="C17" s="33">
        <v>1</v>
      </c>
      <c r="D17" s="51" t="s">
        <v>43</v>
      </c>
    </row>
    <row r="18" spans="2:4" x14ac:dyDescent="0.25">
      <c r="B18" s="103" t="s">
        <v>71</v>
      </c>
      <c r="C18" s="33">
        <v>1</v>
      </c>
      <c r="D18" s="34" t="s">
        <v>12</v>
      </c>
    </row>
    <row r="19" spans="2:4" x14ac:dyDescent="0.25">
      <c r="B19" s="103" t="s">
        <v>72</v>
      </c>
      <c r="C19" s="33">
        <v>1</v>
      </c>
      <c r="D19" s="35" t="s">
        <v>12</v>
      </c>
    </row>
    <row r="20" spans="2:4" x14ac:dyDescent="0.25">
      <c r="B20" s="103" t="s">
        <v>73</v>
      </c>
      <c r="C20" s="33">
        <v>1</v>
      </c>
      <c r="D20" s="35" t="s">
        <v>3</v>
      </c>
    </row>
  </sheetData>
  <sheetProtection sheet="1" objects="1" scenarios="1"/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41"/>
  <dimension ref="B2:M15"/>
  <sheetViews>
    <sheetView showGridLines="0" showRowColHeaders="0" zoomScaleNormal="100" zoomScaleSheetLayoutView="115" workbookViewId="0">
      <pane xSplit="16" ySplit="14" topLeftCell="Q15" activePane="bottomRight" state="frozen"/>
      <selection pane="topRight" activeCell="Q1" sqref="Q1"/>
      <selection pane="bottomLeft" activeCell="A15" sqref="A15"/>
      <selection pane="bottomRight" activeCell="H3" sqref="H3:I3"/>
    </sheetView>
  </sheetViews>
  <sheetFormatPr defaultRowHeight="15" x14ac:dyDescent="0.25"/>
  <cols>
    <col min="1" max="1" width="3.140625" customWidth="1"/>
    <col min="2" max="13" width="12.28515625" customWidth="1"/>
    <col min="14" max="14" width="10.7109375" bestFit="1" customWidth="1"/>
  </cols>
  <sheetData>
    <row r="2" spans="2:13" ht="28.5" x14ac:dyDescent="0.25">
      <c r="B2" s="138" t="s">
        <v>14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2:13" ht="23.25" x14ac:dyDescent="0.25">
      <c r="B3" s="139" t="s">
        <v>27</v>
      </c>
      <c r="C3" s="139"/>
      <c r="D3" s="139"/>
      <c r="E3" s="139"/>
      <c r="F3" s="139"/>
      <c r="G3" s="139"/>
      <c r="H3" s="140">
        <v>2019</v>
      </c>
      <c r="I3" s="140"/>
      <c r="J3" s="4"/>
      <c r="K3" s="4"/>
      <c r="L3" s="4"/>
      <c r="M3" s="4"/>
    </row>
    <row r="4" spans="2:13" x14ac:dyDescent="0.25"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spans="2:13" hidden="1" x14ac:dyDescent="0.25">
      <c r="B5" s="6" t="str">
        <f>"01/01/"&amp;H3</f>
        <v>01/01/2019</v>
      </c>
      <c r="C5" s="6">
        <f>EOMONTH(B5,0)+1</f>
        <v>43497</v>
      </c>
      <c r="D5" s="6">
        <f>EOMONTH(C5,0)+1</f>
        <v>43525</v>
      </c>
      <c r="E5" s="6">
        <f t="shared" ref="E5:M5" si="0">EOMONTH(D5,0)+1</f>
        <v>43556</v>
      </c>
      <c r="F5" s="6">
        <f t="shared" si="0"/>
        <v>43586</v>
      </c>
      <c r="G5" s="6">
        <f t="shared" si="0"/>
        <v>43617</v>
      </c>
      <c r="H5" s="6">
        <f t="shared" si="0"/>
        <v>43647</v>
      </c>
      <c r="I5" s="6">
        <f t="shared" si="0"/>
        <v>43678</v>
      </c>
      <c r="J5" s="6">
        <f t="shared" si="0"/>
        <v>43709</v>
      </c>
      <c r="K5" s="6">
        <f t="shared" si="0"/>
        <v>43739</v>
      </c>
      <c r="L5" s="6">
        <f t="shared" si="0"/>
        <v>43770</v>
      </c>
      <c r="M5" s="6">
        <f t="shared" si="0"/>
        <v>43800</v>
      </c>
    </row>
    <row r="6" spans="2:13" ht="23.25" x14ac:dyDescent="0.25">
      <c r="B6" s="16">
        <f>NETWORKDAYS(B5,EOMONTH(B5,0),FERIADOS!$B$4:$M$10)-COUNTA('DIAS FRACIONADOS'!$B$6:$B$12)</f>
        <v>21</v>
      </c>
      <c r="C6" s="16">
        <f>NETWORKDAYS(C5,EOMONTH(C5,0),FERIADOS!$B$4:$M$10)-COUNTA('DIAS FRACIONADOS'!$D$6:$D$12)</f>
        <v>20</v>
      </c>
      <c r="D6" s="16">
        <f>NETWORKDAYS(D5,EOMONTH(D5,0),FERIADOS!$B$4:$M$10)-COUNTA('DIAS FRACIONADOS'!$F$6:$F$12)</f>
        <v>18</v>
      </c>
      <c r="E6" s="16">
        <f>NETWORKDAYS(E5,EOMONTH(E5,0),FERIADOS!$B$4:$M$10)-COUNTA('DIAS FRACIONADOS'!$H$6:$H$12)</f>
        <v>21</v>
      </c>
      <c r="F6" s="16">
        <f>NETWORKDAYS(F5,EOMONTH(F5,0),FERIADOS!$B$4:$M$10)-COUNTA('DIAS FRACIONADOS'!$J$6:$J$12)</f>
        <v>22</v>
      </c>
      <c r="G6" s="16">
        <f>NETWORKDAYS(G5,EOMONTH(G5,0),FERIADOS!$B$4:$M$10)-COUNTA('DIAS FRACIONADOS'!$L$6:$L$12)</f>
        <v>19</v>
      </c>
      <c r="H6" s="16">
        <f>NETWORKDAYS(H5,EOMONTH(H5,0),FERIADOS!$B$4:$M$10)-COUNTA('DIAS FRACIONADOS'!$N$6:$N$12)</f>
        <v>22</v>
      </c>
      <c r="I6" s="16">
        <f>NETWORKDAYS(I5,EOMONTH(I5,0),FERIADOS!$B$4:$M$10)-COUNTA('DIAS FRACIONADOS'!$P$6:$P$12)</f>
        <v>22</v>
      </c>
      <c r="J6" s="16">
        <f>NETWORKDAYS(J5,EOMONTH(J5,0),FERIADOS!$B$4:$M$10)-COUNTA('DIAS FRACIONADOS'!$R$6:$R$12)</f>
        <v>20</v>
      </c>
      <c r="K6" s="16">
        <f>NETWORKDAYS(K5,EOMONTH(K5,0),FERIADOS!$B$4:$M$10)-COUNTA('DIAS FRACIONADOS'!$T$6:$T$12)</f>
        <v>23</v>
      </c>
      <c r="L6" s="16">
        <f>NETWORKDAYS(L5,EOMONTH(L5,0),FERIADOS!$B$4:$M$10)-COUNTA('DIAS FRACIONADOS'!$V$6:$V$12)</f>
        <v>20</v>
      </c>
      <c r="M6" s="16">
        <f>NETWORKDAYS(M5,EOMONTH(M5,0),FERIADOS!$B$4:$M$10)-COUNTA('DIAS FRACIONADOS'!$X$6:$X$12)</f>
        <v>21</v>
      </c>
    </row>
    <row r="8" spans="2:13" x14ac:dyDescent="0.25">
      <c r="C8" s="3"/>
      <c r="D8" s="3"/>
    </row>
    <row r="9" spans="2:13" x14ac:dyDescent="0.25">
      <c r="C9" s="3"/>
      <c r="D9" s="3"/>
    </row>
    <row r="10" spans="2:13" x14ac:dyDescent="0.25">
      <c r="C10" s="3"/>
      <c r="D10" s="3"/>
    </row>
    <row r="11" spans="2:13" x14ac:dyDescent="0.25">
      <c r="C11" s="3"/>
      <c r="D11" s="3"/>
    </row>
    <row r="12" spans="2:13" x14ac:dyDescent="0.25">
      <c r="C12" s="3"/>
      <c r="D12" s="3"/>
    </row>
    <row r="13" spans="2:13" x14ac:dyDescent="0.25">
      <c r="C13" s="3"/>
      <c r="D13" s="3"/>
    </row>
    <row r="14" spans="2:13" x14ac:dyDescent="0.25">
      <c r="C14" s="3"/>
      <c r="D14" s="3"/>
    </row>
    <row r="15" spans="2:13" x14ac:dyDescent="0.25">
      <c r="C15" s="3"/>
      <c r="D15" s="3"/>
    </row>
  </sheetData>
  <sheetProtection sheet="1" objects="1" scenarios="1" selectLockedCells="1"/>
  <mergeCells count="3">
    <mergeCell ref="B2:M2"/>
    <mergeCell ref="B3:G3"/>
    <mergeCell ref="H3:I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5"/>
  <dimension ref="B2:M11"/>
  <sheetViews>
    <sheetView showGridLines="0" showRowColHeaders="0" workbookViewId="0">
      <pane xSplit="14" ySplit="11" topLeftCell="O12" activePane="bottomRight" state="frozen"/>
      <selection pane="topRight" activeCell="O1" sqref="O1"/>
      <selection pane="bottomLeft" activeCell="A12" sqref="A12"/>
      <selection pane="bottomRight" activeCell="M7" sqref="M7"/>
    </sheetView>
  </sheetViews>
  <sheetFormatPr defaultRowHeight="15" x14ac:dyDescent="0.25"/>
  <cols>
    <col min="1" max="1" width="3.85546875" style="39" customWidth="1"/>
    <col min="2" max="13" width="12.7109375" style="39" customWidth="1"/>
    <col min="14" max="16384" width="9.140625" style="39"/>
  </cols>
  <sheetData>
    <row r="2" spans="2:13" ht="28.5" x14ac:dyDescent="0.25">
      <c r="B2" s="141" t="s">
        <v>29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2:13" x14ac:dyDescent="0.25">
      <c r="B3" s="114" t="s">
        <v>15</v>
      </c>
      <c r="C3" s="114" t="s">
        <v>16</v>
      </c>
      <c r="D3" s="114" t="s">
        <v>17</v>
      </c>
      <c r="E3" s="114" t="s">
        <v>18</v>
      </c>
      <c r="F3" s="114" t="s">
        <v>19</v>
      </c>
      <c r="G3" s="114" t="s">
        <v>20</v>
      </c>
      <c r="H3" s="114" t="s">
        <v>21</v>
      </c>
      <c r="I3" s="114" t="s">
        <v>22</v>
      </c>
      <c r="J3" s="114" t="s">
        <v>23</v>
      </c>
      <c r="K3" s="114" t="s">
        <v>24</v>
      </c>
      <c r="L3" s="114" t="s">
        <v>25</v>
      </c>
      <c r="M3" s="114" t="s">
        <v>26</v>
      </c>
    </row>
    <row r="4" spans="2:13" ht="16.5" customHeight="1" x14ac:dyDescent="0.25">
      <c r="B4" s="7">
        <v>42736</v>
      </c>
      <c r="C4" s="7">
        <v>42793</v>
      </c>
      <c r="D4" s="7">
        <v>41701</v>
      </c>
      <c r="E4" s="7">
        <v>42839</v>
      </c>
      <c r="F4" s="7">
        <v>42856</v>
      </c>
      <c r="G4" s="7">
        <v>42901</v>
      </c>
      <c r="H4" s="7">
        <v>42925</v>
      </c>
      <c r="I4" s="7"/>
      <c r="J4" s="7">
        <v>42985</v>
      </c>
      <c r="K4" s="7">
        <v>43020</v>
      </c>
      <c r="L4" s="7">
        <v>43041</v>
      </c>
      <c r="M4" s="7">
        <v>43094</v>
      </c>
    </row>
    <row r="5" spans="2:13" ht="16.5" customHeight="1" x14ac:dyDescent="0.25">
      <c r="B5" s="8"/>
      <c r="C5" s="9">
        <v>42794</v>
      </c>
      <c r="D5" s="8">
        <v>41702</v>
      </c>
      <c r="E5" s="8">
        <v>42846</v>
      </c>
      <c r="F5" s="8">
        <v>43586</v>
      </c>
      <c r="G5" s="8">
        <v>43636</v>
      </c>
      <c r="H5" s="8">
        <v>43655</v>
      </c>
      <c r="I5" s="8"/>
      <c r="J5" s="8">
        <v>43715</v>
      </c>
      <c r="K5" s="8">
        <v>43720</v>
      </c>
      <c r="L5" s="8">
        <v>43054</v>
      </c>
      <c r="M5" s="8">
        <v>43824</v>
      </c>
    </row>
    <row r="6" spans="2:13" ht="16.5" customHeight="1" x14ac:dyDescent="0.25">
      <c r="B6" s="10">
        <v>43466</v>
      </c>
      <c r="C6" s="10"/>
      <c r="D6" s="10">
        <v>43528</v>
      </c>
      <c r="E6" s="10">
        <v>43574</v>
      </c>
      <c r="F6" s="10"/>
      <c r="G6" s="10"/>
      <c r="H6" s="10"/>
      <c r="I6" s="10"/>
      <c r="J6" s="10"/>
      <c r="K6" s="10"/>
      <c r="L6" s="10">
        <v>43771</v>
      </c>
      <c r="M6" s="10"/>
    </row>
    <row r="7" spans="2:13" ht="16.5" customHeight="1" x14ac:dyDescent="0.25">
      <c r="B7" s="8"/>
      <c r="C7" s="8"/>
      <c r="D7" s="8">
        <v>43529</v>
      </c>
      <c r="E7" s="8"/>
      <c r="F7" s="8"/>
      <c r="G7" s="8"/>
      <c r="H7" s="8"/>
      <c r="I7" s="8"/>
      <c r="J7" s="8"/>
      <c r="K7" s="8"/>
      <c r="L7" s="8">
        <v>43784</v>
      </c>
      <c r="M7" s="8"/>
    </row>
    <row r="8" spans="2:13" ht="16.5" customHeigh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2:13" ht="16.5" customHeight="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2:13" ht="16.5" customHeight="1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ht="63.75" customHeight="1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</row>
  </sheetData>
  <sheetProtection sheet="1" objects="1" scenarios="1"/>
  <mergeCells count="1">
    <mergeCell ref="B2:M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0"/>
  <dimension ref="B2:G13"/>
  <sheetViews>
    <sheetView showGridLines="0" showRowColHeaders="0" workbookViewId="0">
      <pane xSplit="7" ySplit="19" topLeftCell="H20" activePane="bottomRight" state="frozen"/>
      <selection pane="topRight" activeCell="H1" sqref="H1"/>
      <selection pane="bottomLeft" activeCell="A20" sqref="A20"/>
      <selection pane="bottomRight" activeCell="E5" sqref="E5"/>
    </sheetView>
  </sheetViews>
  <sheetFormatPr defaultRowHeight="15" x14ac:dyDescent="0.25"/>
  <cols>
    <col min="1" max="1" width="5" customWidth="1"/>
    <col min="2" max="7" width="35.42578125" style="3" customWidth="1"/>
  </cols>
  <sheetData>
    <row r="2" spans="2:7" ht="23.25" x14ac:dyDescent="0.35">
      <c r="B2" s="142" t="s">
        <v>42</v>
      </c>
      <c r="C2" s="142"/>
      <c r="D2" s="142"/>
      <c r="E2" s="142"/>
      <c r="F2" s="142"/>
      <c r="G2" s="142"/>
    </row>
    <row r="3" spans="2:7" ht="15.75" thickBot="1" x14ac:dyDescent="0.3">
      <c r="B3" s="52" t="s">
        <v>58</v>
      </c>
      <c r="C3" s="52" t="s">
        <v>57</v>
      </c>
      <c r="D3" s="52" t="s">
        <v>55</v>
      </c>
      <c r="E3" s="52" t="s">
        <v>60</v>
      </c>
      <c r="F3" s="52" t="s">
        <v>59</v>
      </c>
      <c r="G3" s="52" t="s">
        <v>56</v>
      </c>
    </row>
    <row r="4" spans="2:7" ht="19.5" thickBot="1" x14ac:dyDescent="0.35">
      <c r="B4" s="100">
        <f>COUNTA(B5:B24)</f>
        <v>4</v>
      </c>
      <c r="C4" s="101">
        <f t="shared" ref="C4:G4" si="0">COUNTA(C5:C24)</f>
        <v>2</v>
      </c>
      <c r="D4" s="101">
        <f t="shared" si="0"/>
        <v>5</v>
      </c>
      <c r="E4" s="101">
        <f t="shared" si="0"/>
        <v>1</v>
      </c>
      <c r="F4" s="101">
        <f t="shared" si="0"/>
        <v>0</v>
      </c>
      <c r="G4" s="102">
        <f t="shared" si="0"/>
        <v>0</v>
      </c>
    </row>
    <row r="5" spans="2:7" x14ac:dyDescent="0.25">
      <c r="B5" s="116">
        <v>41736</v>
      </c>
      <c r="C5" s="116">
        <v>41736</v>
      </c>
      <c r="D5" s="116">
        <v>41736</v>
      </c>
      <c r="E5" s="116">
        <v>41741</v>
      </c>
      <c r="F5" s="116"/>
      <c r="G5" s="116"/>
    </row>
    <row r="6" spans="2:7" x14ac:dyDescent="0.25">
      <c r="B6" s="116">
        <v>41737</v>
      </c>
      <c r="C6" s="116">
        <v>41738</v>
      </c>
      <c r="D6" s="116">
        <v>41737</v>
      </c>
      <c r="E6" s="116"/>
      <c r="F6" s="116"/>
      <c r="G6" s="116"/>
    </row>
    <row r="7" spans="2:7" x14ac:dyDescent="0.25">
      <c r="B7" s="116">
        <v>41738</v>
      </c>
      <c r="C7" s="116"/>
      <c r="D7" s="116">
        <v>41738</v>
      </c>
      <c r="E7" s="116"/>
      <c r="F7" s="116"/>
      <c r="G7" s="116"/>
    </row>
    <row r="8" spans="2:7" x14ac:dyDescent="0.25">
      <c r="B8" s="116">
        <v>41739</v>
      </c>
      <c r="C8" s="116"/>
      <c r="D8" s="116">
        <v>41739</v>
      </c>
      <c r="E8" s="116"/>
      <c r="F8" s="116"/>
      <c r="G8" s="116"/>
    </row>
    <row r="9" spans="2:7" x14ac:dyDescent="0.25">
      <c r="B9" s="116"/>
      <c r="C9" s="116"/>
      <c r="D9" s="116">
        <v>41740</v>
      </c>
      <c r="E9" s="116"/>
      <c r="F9" s="116"/>
      <c r="G9" s="116"/>
    </row>
    <row r="10" spans="2:7" x14ac:dyDescent="0.25">
      <c r="B10" s="116"/>
      <c r="C10" s="116"/>
      <c r="D10" s="116"/>
      <c r="E10" s="116"/>
      <c r="F10" s="116"/>
      <c r="G10" s="116"/>
    </row>
    <row r="11" spans="2:7" x14ac:dyDescent="0.25">
      <c r="B11" s="116"/>
      <c r="C11" s="116"/>
      <c r="D11" s="116"/>
      <c r="E11" s="116"/>
      <c r="F11" s="116"/>
      <c r="G11" s="116"/>
    </row>
    <row r="12" spans="2:7" x14ac:dyDescent="0.25">
      <c r="B12" s="116"/>
      <c r="C12" s="116"/>
      <c r="D12" s="116"/>
      <c r="E12" s="116"/>
      <c r="F12" s="116"/>
      <c r="G12" s="116"/>
    </row>
    <row r="13" spans="2:7" x14ac:dyDescent="0.25">
      <c r="B13" s="116"/>
      <c r="C13" s="116"/>
      <c r="D13" s="116"/>
      <c r="E13" s="116"/>
      <c r="F13" s="116"/>
      <c r="G13" s="116"/>
    </row>
  </sheetData>
  <mergeCells count="1">
    <mergeCell ref="B2:G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'QUADRO DE FUNC'!B4:B50</xm:f>
          </x14:formula1>
          <xm:sqref>B3 C3 D3 E3 F3 G3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6"/>
  <dimension ref="B1:Y19"/>
  <sheetViews>
    <sheetView showGridLines="0" showRowColHeaders="0" zoomScaleNormal="100" workbookViewId="0">
      <pane xSplit="25" ySplit="14" topLeftCell="AB15" activePane="bottomRight" state="frozen"/>
      <selection pane="topRight" activeCell="Z1" sqref="Z1"/>
      <selection pane="bottomLeft" activeCell="A15" sqref="A15"/>
      <selection pane="bottomRight" activeCell="B2" sqref="B2:Y12"/>
    </sheetView>
  </sheetViews>
  <sheetFormatPr defaultRowHeight="15" x14ac:dyDescent="0.25"/>
  <cols>
    <col min="1" max="1" width="2.28515625" style="39" customWidth="1"/>
    <col min="2" max="2" width="7.7109375" style="113" customWidth="1"/>
    <col min="3" max="3" width="10.85546875" style="117" customWidth="1"/>
    <col min="4" max="4" width="7.7109375" style="113" customWidth="1"/>
    <col min="5" max="5" width="10.85546875" style="117" customWidth="1"/>
    <col min="6" max="6" width="7.7109375" style="113" customWidth="1"/>
    <col min="7" max="7" width="10.85546875" style="117" customWidth="1"/>
    <col min="8" max="8" width="7.7109375" style="113" customWidth="1"/>
    <col min="9" max="9" width="10.85546875" style="117" customWidth="1"/>
    <col min="10" max="10" width="7.7109375" style="113" customWidth="1"/>
    <col min="11" max="11" width="10.85546875" style="117" customWidth="1"/>
    <col min="12" max="12" width="7.7109375" style="113" customWidth="1"/>
    <col min="13" max="13" width="10.85546875" style="117" customWidth="1"/>
    <col min="14" max="14" width="7.7109375" style="39" customWidth="1"/>
    <col min="15" max="15" width="10.85546875" style="39" customWidth="1"/>
    <col min="16" max="16" width="7.7109375" style="39" customWidth="1"/>
    <col min="17" max="17" width="10.85546875" style="39" customWidth="1"/>
    <col min="18" max="18" width="7.7109375" style="39" customWidth="1"/>
    <col min="19" max="19" width="10.85546875" style="39" customWidth="1"/>
    <col min="20" max="20" width="7.7109375" style="39" customWidth="1"/>
    <col min="21" max="21" width="10.85546875" style="39" customWidth="1"/>
    <col min="22" max="22" width="7.7109375" style="39" customWidth="1"/>
    <col min="23" max="23" width="10.85546875" style="39" customWidth="1"/>
    <col min="24" max="24" width="7.7109375" style="39" customWidth="1"/>
    <col min="25" max="25" width="10.85546875" style="39" customWidth="1"/>
    <col min="26" max="16384" width="9.140625" style="39"/>
  </cols>
  <sheetData>
    <row r="1" spans="2:25" ht="24" customHeight="1" x14ac:dyDescent="0.25"/>
    <row r="2" spans="2:25" ht="28.5" x14ac:dyDescent="0.25">
      <c r="B2" s="145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2:25" x14ac:dyDescent="0.25">
      <c r="B3" s="143" t="s">
        <v>15</v>
      </c>
      <c r="C3" s="144"/>
      <c r="D3" s="143" t="s">
        <v>16</v>
      </c>
      <c r="E3" s="144"/>
      <c r="F3" s="143" t="s">
        <v>17</v>
      </c>
      <c r="G3" s="144"/>
      <c r="H3" s="143" t="s">
        <v>18</v>
      </c>
      <c r="I3" s="144"/>
      <c r="J3" s="143" t="s">
        <v>19</v>
      </c>
      <c r="K3" s="144"/>
      <c r="L3" s="143" t="s">
        <v>20</v>
      </c>
      <c r="M3" s="144"/>
      <c r="N3" s="143" t="s">
        <v>21</v>
      </c>
      <c r="O3" s="144"/>
      <c r="P3" s="143" t="s">
        <v>22</v>
      </c>
      <c r="Q3" s="144"/>
      <c r="R3" s="143" t="s">
        <v>23</v>
      </c>
      <c r="S3" s="144"/>
      <c r="T3" s="143" t="s">
        <v>24</v>
      </c>
      <c r="U3" s="144"/>
      <c r="V3" s="143" t="s">
        <v>25</v>
      </c>
      <c r="W3" s="144"/>
      <c r="X3" s="143" t="s">
        <v>26</v>
      </c>
      <c r="Y3" s="144"/>
    </row>
    <row r="4" spans="2:25" x14ac:dyDescent="0.25">
      <c r="B4" s="118">
        <f>SUM(B6:B12)</f>
        <v>0.20833333333333334</v>
      </c>
      <c r="C4" s="119">
        <f>COUNTA(C6:C12)</f>
        <v>1</v>
      </c>
      <c r="D4" s="118">
        <f t="shared" ref="D4" si="0">SUM(D6:D12)</f>
        <v>0</v>
      </c>
      <c r="E4" s="119">
        <f t="shared" ref="E4" si="1">COUNTA(E6:E12)</f>
        <v>0</v>
      </c>
      <c r="F4" s="118">
        <f t="shared" ref="F4" si="2">SUM(F6:F12)</f>
        <v>0.25</v>
      </c>
      <c r="G4" s="119">
        <f t="shared" ref="G4" si="3">COUNTA(G6:G12)</f>
        <v>1</v>
      </c>
      <c r="H4" s="118">
        <f t="shared" ref="H4" si="4">SUM(H6:H12)</f>
        <v>0</v>
      </c>
      <c r="I4" s="119">
        <f t="shared" ref="I4" si="5">COUNTA(I6:I12)</f>
        <v>0</v>
      </c>
      <c r="J4" s="118">
        <f t="shared" ref="J4" si="6">SUM(J6:J12)</f>
        <v>0</v>
      </c>
      <c r="K4" s="119">
        <f t="shared" ref="K4" si="7">COUNTA(K6:K12)</f>
        <v>0</v>
      </c>
      <c r="L4" s="118">
        <f t="shared" ref="L4" si="8">SUM(L6:L12)</f>
        <v>0</v>
      </c>
      <c r="M4" s="119">
        <f t="shared" ref="M4" si="9">COUNTA(M6:M12)</f>
        <v>0</v>
      </c>
      <c r="N4" s="118">
        <f t="shared" ref="N4" si="10">SUM(N6:N12)</f>
        <v>0</v>
      </c>
      <c r="O4" s="119">
        <f t="shared" ref="O4" si="11">COUNTA(O6:O12)</f>
        <v>0</v>
      </c>
      <c r="P4" s="118">
        <f t="shared" ref="P4" si="12">SUM(P6:P12)</f>
        <v>0</v>
      </c>
      <c r="Q4" s="119">
        <f t="shared" ref="Q4" si="13">COUNTA(Q6:Q12)</f>
        <v>0</v>
      </c>
      <c r="R4" s="118">
        <f t="shared" ref="R4" si="14">SUM(R6:R12)</f>
        <v>0</v>
      </c>
      <c r="S4" s="119">
        <f t="shared" ref="S4" si="15">COUNTA(S6:S12)</f>
        <v>0</v>
      </c>
      <c r="T4" s="118">
        <f t="shared" ref="T4" si="16">SUM(T6:T12)</f>
        <v>0</v>
      </c>
      <c r="U4" s="119">
        <f t="shared" ref="U4" si="17">COUNTA(U6:U12)</f>
        <v>0</v>
      </c>
      <c r="V4" s="118">
        <f t="shared" ref="V4" si="18">SUM(V6:V12)</f>
        <v>0</v>
      </c>
      <c r="W4" s="119">
        <f t="shared" ref="W4" si="19">COUNTA(W6:W12)</f>
        <v>0</v>
      </c>
      <c r="X4" s="118">
        <f t="shared" ref="X4" si="20">SUM(X6:X12)</f>
        <v>0</v>
      </c>
      <c r="Y4" s="119">
        <f t="shared" ref="Y4" si="21">COUNTA(Y6:Y12)</f>
        <v>0</v>
      </c>
    </row>
    <row r="5" spans="2:25" x14ac:dyDescent="0.25">
      <c r="B5" s="120" t="s">
        <v>31</v>
      </c>
      <c r="C5" s="121" t="s">
        <v>28</v>
      </c>
      <c r="D5" s="120" t="s">
        <v>31</v>
      </c>
      <c r="E5" s="121" t="s">
        <v>28</v>
      </c>
      <c r="F5" s="120" t="s">
        <v>31</v>
      </c>
      <c r="G5" s="121" t="s">
        <v>28</v>
      </c>
      <c r="H5" s="120" t="s">
        <v>31</v>
      </c>
      <c r="I5" s="121" t="s">
        <v>28</v>
      </c>
      <c r="J5" s="120" t="s">
        <v>31</v>
      </c>
      <c r="K5" s="121" t="s">
        <v>28</v>
      </c>
      <c r="L5" s="120" t="s">
        <v>31</v>
      </c>
      <c r="M5" s="121" t="s">
        <v>28</v>
      </c>
      <c r="N5" s="120" t="s">
        <v>31</v>
      </c>
      <c r="O5" s="121" t="s">
        <v>28</v>
      </c>
      <c r="P5" s="120" t="s">
        <v>31</v>
      </c>
      <c r="Q5" s="121" t="s">
        <v>28</v>
      </c>
      <c r="R5" s="120" t="s">
        <v>31</v>
      </c>
      <c r="S5" s="121" t="s">
        <v>28</v>
      </c>
      <c r="T5" s="120" t="s">
        <v>31</v>
      </c>
      <c r="U5" s="121" t="s">
        <v>28</v>
      </c>
      <c r="V5" s="120" t="s">
        <v>31</v>
      </c>
      <c r="W5" s="121" t="s">
        <v>28</v>
      </c>
      <c r="X5" s="120" t="s">
        <v>31</v>
      </c>
      <c r="Y5" s="121" t="s">
        <v>28</v>
      </c>
    </row>
    <row r="6" spans="2:25" x14ac:dyDescent="0.25">
      <c r="B6" s="11">
        <v>0.20833333333333334</v>
      </c>
      <c r="C6" s="7">
        <v>41641</v>
      </c>
      <c r="D6" s="11"/>
      <c r="E6" s="7"/>
      <c r="F6" s="11">
        <v>0.25</v>
      </c>
      <c r="G6" s="7">
        <v>41703</v>
      </c>
      <c r="H6" s="11"/>
      <c r="I6" s="7"/>
      <c r="J6" s="11"/>
      <c r="K6" s="7"/>
      <c r="L6" s="11"/>
      <c r="M6" s="7"/>
      <c r="N6" s="11"/>
      <c r="O6" s="7"/>
      <c r="P6" s="11"/>
      <c r="Q6" s="7"/>
      <c r="R6" s="11"/>
      <c r="S6" s="7"/>
      <c r="T6" s="11"/>
      <c r="U6" s="7"/>
      <c r="V6" s="11"/>
      <c r="W6" s="7"/>
      <c r="X6" s="11"/>
      <c r="Y6" s="7"/>
    </row>
    <row r="7" spans="2:25" x14ac:dyDescent="0.25">
      <c r="B7" s="13"/>
      <c r="C7" s="9"/>
      <c r="D7" s="13"/>
      <c r="E7" s="9"/>
      <c r="F7" s="13"/>
      <c r="G7" s="9"/>
      <c r="H7" s="13"/>
      <c r="I7" s="9"/>
      <c r="J7" s="13"/>
      <c r="K7" s="9"/>
      <c r="L7" s="13"/>
      <c r="M7" s="9"/>
      <c r="N7" s="13"/>
      <c r="O7" s="8"/>
      <c r="P7" s="13"/>
      <c r="Q7" s="8"/>
      <c r="R7" s="13"/>
      <c r="S7" s="8"/>
      <c r="T7" s="13"/>
      <c r="U7" s="8"/>
      <c r="V7" s="13"/>
      <c r="W7" s="8"/>
      <c r="X7" s="13"/>
      <c r="Y7" s="8"/>
    </row>
    <row r="8" spans="2:25" x14ac:dyDescent="0.25">
      <c r="B8" s="12"/>
      <c r="C8" s="10"/>
      <c r="D8" s="12"/>
      <c r="E8" s="10"/>
      <c r="F8" s="12"/>
      <c r="G8" s="10"/>
      <c r="H8" s="12"/>
      <c r="I8" s="10"/>
      <c r="J8" s="12"/>
      <c r="K8" s="10"/>
      <c r="L8" s="12"/>
      <c r="M8" s="10"/>
      <c r="N8" s="12"/>
      <c r="O8" s="10"/>
      <c r="P8" s="12"/>
      <c r="Q8" s="10"/>
      <c r="R8" s="12"/>
      <c r="S8" s="10"/>
      <c r="T8" s="12"/>
      <c r="U8" s="10"/>
      <c r="V8" s="12"/>
      <c r="W8" s="10"/>
      <c r="X8" s="12"/>
      <c r="Y8" s="10"/>
    </row>
    <row r="9" spans="2:25" x14ac:dyDescent="0.25">
      <c r="B9" s="13"/>
      <c r="C9" s="8"/>
      <c r="D9" s="13"/>
      <c r="E9" s="8"/>
      <c r="F9" s="13"/>
      <c r="G9" s="8"/>
      <c r="H9" s="13"/>
      <c r="I9" s="8"/>
      <c r="J9" s="13"/>
      <c r="K9" s="8"/>
      <c r="L9" s="13"/>
      <c r="M9" s="8"/>
      <c r="N9" s="13"/>
      <c r="O9" s="8"/>
      <c r="P9" s="13"/>
      <c r="Q9" s="8"/>
      <c r="R9" s="13"/>
      <c r="S9" s="8"/>
      <c r="T9" s="13"/>
      <c r="U9" s="8"/>
      <c r="V9" s="13"/>
      <c r="W9" s="8"/>
      <c r="X9" s="13"/>
      <c r="Y9" s="8"/>
    </row>
    <row r="10" spans="2:25" x14ac:dyDescent="0.25">
      <c r="B10" s="12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  <c r="T10" s="12"/>
      <c r="U10" s="10"/>
      <c r="V10" s="12"/>
      <c r="W10" s="10"/>
      <c r="X10" s="12"/>
      <c r="Y10" s="10"/>
    </row>
    <row r="11" spans="2:25" x14ac:dyDescent="0.25">
      <c r="B11" s="13"/>
      <c r="C11" s="8"/>
      <c r="D11" s="13"/>
      <c r="E11" s="8"/>
      <c r="F11" s="13"/>
      <c r="G11" s="8"/>
      <c r="H11" s="13"/>
      <c r="I11" s="8"/>
      <c r="J11" s="13"/>
      <c r="K11" s="8"/>
      <c r="L11" s="13"/>
      <c r="M11" s="8"/>
      <c r="N11" s="13"/>
      <c r="O11" s="8"/>
      <c r="P11" s="13"/>
      <c r="Q11" s="8"/>
      <c r="R11" s="13"/>
      <c r="S11" s="8"/>
      <c r="T11" s="13"/>
      <c r="U11" s="8"/>
      <c r="V11" s="13"/>
      <c r="W11" s="8"/>
      <c r="X11" s="13"/>
      <c r="Y11" s="8"/>
    </row>
    <row r="12" spans="2:25" x14ac:dyDescent="0.25">
      <c r="B12" s="12"/>
      <c r="C12" s="10"/>
      <c r="D12" s="12"/>
      <c r="E12" s="10"/>
      <c r="F12" s="12"/>
      <c r="G12" s="10"/>
      <c r="H12" s="12"/>
      <c r="I12" s="10"/>
      <c r="J12" s="12"/>
      <c r="K12" s="10"/>
      <c r="L12" s="12"/>
      <c r="M12" s="10"/>
      <c r="N12" s="12"/>
      <c r="O12" s="10"/>
      <c r="P12" s="12"/>
      <c r="Q12" s="10"/>
      <c r="R12" s="12"/>
      <c r="S12" s="10"/>
      <c r="T12" s="12"/>
      <c r="U12" s="10"/>
      <c r="V12" s="12"/>
      <c r="W12" s="10"/>
      <c r="X12" s="12"/>
      <c r="Y12" s="10"/>
    </row>
    <row r="13" spans="2:25" ht="68.25" customHeight="1" x14ac:dyDescent="0.25">
      <c r="E13" s="113"/>
      <c r="F13" s="117"/>
      <c r="G13" s="113"/>
      <c r="K13" s="113"/>
      <c r="L13" s="117"/>
      <c r="M13" s="113"/>
      <c r="N13" s="113"/>
      <c r="O13" s="117"/>
      <c r="P13" s="113"/>
      <c r="Q13" s="113"/>
      <c r="R13" s="117"/>
      <c r="S13" s="113"/>
      <c r="T13" s="113"/>
      <c r="U13" s="117"/>
      <c r="V13" s="113"/>
      <c r="W13" s="113"/>
      <c r="X13" s="117"/>
      <c r="Y13" s="113"/>
    </row>
    <row r="15" spans="2:25" x14ac:dyDescent="0.25">
      <c r="B15" s="39"/>
      <c r="D15" s="39"/>
      <c r="F15" s="39"/>
      <c r="H15" s="39"/>
      <c r="J15" s="39"/>
      <c r="L15" s="39"/>
    </row>
    <row r="18" spans="2:25" x14ac:dyDescent="0.25">
      <c r="N18" s="113"/>
      <c r="O18" s="117"/>
      <c r="P18" s="113"/>
      <c r="Q18" s="117"/>
      <c r="R18" s="113"/>
      <c r="S18" s="117"/>
      <c r="T18" s="113"/>
      <c r="U18" s="117"/>
      <c r="V18" s="113"/>
      <c r="W18" s="117"/>
      <c r="X18" s="113"/>
      <c r="Y18" s="117"/>
    </row>
    <row r="19" spans="2:25" x14ac:dyDescent="0.25">
      <c r="B19" s="122"/>
    </row>
  </sheetData>
  <sheetProtection sheet="1" objects="1" scenarios="1"/>
  <mergeCells count="13">
    <mergeCell ref="X3:Y3"/>
    <mergeCell ref="B2:Y2"/>
    <mergeCell ref="N3:O3"/>
    <mergeCell ref="P3:Q3"/>
    <mergeCell ref="R3:S3"/>
    <mergeCell ref="T3:U3"/>
    <mergeCell ref="V3:W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  <ignoredErrors>
    <ignoredError sqref="C4:Y4" formula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5</vt:i4>
      </vt:variant>
    </vt:vector>
  </HeadingPairs>
  <TitlesOfParts>
    <vt:vector size="19" baseType="lpstr">
      <vt:lpstr>MENU</vt:lpstr>
      <vt:lpstr>RELATORIO</vt:lpstr>
      <vt:lpstr>CONSULTAS</vt:lpstr>
      <vt:lpstr>COMPENSAÇÃO</vt:lpstr>
      <vt:lpstr>HR FEITAS</vt:lpstr>
      <vt:lpstr>HR À FAZER</vt:lpstr>
      <vt:lpstr>BD</vt:lpstr>
      <vt:lpstr>CARGA HORARIA</vt:lpstr>
      <vt:lpstr>QUADRO DE FUNC</vt:lpstr>
      <vt:lpstr>DIA UTEIS</vt:lpstr>
      <vt:lpstr>FERIADOS</vt:lpstr>
      <vt:lpstr>EST. PROVAS</vt:lpstr>
      <vt:lpstr>DIAS FRACIONADOS</vt:lpstr>
      <vt:lpstr>Planilha1</vt:lpstr>
      <vt:lpstr>ano</vt:lpstr>
      <vt:lpstr>CONSULTA</vt:lpstr>
      <vt:lpstr>Dias_úteis</vt:lpstr>
      <vt:lpstr>Feriados</vt:lpstr>
      <vt:lpstr>Reduzido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MARCOS</cp:lastModifiedBy>
  <dcterms:created xsi:type="dcterms:W3CDTF">2014-03-11T20:41:45Z</dcterms:created>
  <dcterms:modified xsi:type="dcterms:W3CDTF">2019-07-10T13:11:08Z</dcterms:modified>
</cp:coreProperties>
</file>