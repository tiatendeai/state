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3ce\AC\Temp\"/>
    </mc:Choice>
  </mc:AlternateContent>
  <xr:revisionPtr revIDLastSave="0" documentId="8_{C9D68124-6C2D-8745-A798-BE733E1C1197}" xr6:coauthVersionLast="28" xr6:coauthVersionMax="28" xr10:uidLastSave="{00000000-0000-0000-0000-000000000000}"/>
  <bookViews>
    <workbookView xWindow="0" yWindow="0" windowWidth="15480" windowHeight="8190" tabRatio="264" xr2:uid="{00000000-000D-0000-FFFF-FFFF00000000}"/>
  </bookViews>
  <sheets>
    <sheet name="Planilha1" sheetId="1" r:id="rId1"/>
  </sheets>
  <calcPr calcId="171026"/>
</workbook>
</file>

<file path=xl/calcChain.xml><?xml version="1.0" encoding="utf-8"?>
<calcChain xmlns="http://schemas.openxmlformats.org/spreadsheetml/2006/main">
  <c r="D7" i="1" l="1"/>
  <c r="D12" i="1"/>
  <c r="D13" i="1"/>
  <c r="D15" i="1"/>
  <c r="D14" i="1"/>
  <c r="D17" i="1"/>
  <c r="D18" i="1"/>
  <c r="D16" i="1"/>
  <c r="D30" i="1"/>
  <c r="D24" i="1"/>
  <c r="D31" i="1"/>
  <c r="D29" i="1"/>
  <c r="D32" i="1"/>
  <c r="D40" i="1"/>
  <c r="D38" i="1"/>
  <c r="D39" i="1"/>
  <c r="D37" i="1"/>
  <c r="D43" i="1"/>
  <c r="D42" i="1"/>
  <c r="D41" i="1"/>
  <c r="D44" i="1"/>
  <c r="D46" i="1"/>
</calcChain>
</file>

<file path=xl/sharedStrings.xml><?xml version="1.0" encoding="utf-8"?>
<sst xmlns="http://schemas.openxmlformats.org/spreadsheetml/2006/main" count="56" uniqueCount="53">
  <si>
    <t>Remunerações/Encargos</t>
  </si>
  <si>
    <t>Valor</t>
  </si>
  <si>
    <t>Salário Base</t>
  </si>
  <si>
    <t xml:space="preserve">1/12 Avos 13.º Salário </t>
  </si>
  <si>
    <t xml:space="preserve">1/12 Avos Férias Proporcionais </t>
  </si>
  <si>
    <t xml:space="preserve">1/3 Abono Pecuniário </t>
  </si>
  <si>
    <t xml:space="preserve">1/12 Avos Aviso Prévio </t>
  </si>
  <si>
    <t xml:space="preserve">FGTS Mês </t>
  </si>
  <si>
    <t>Encargos s/salário empregado (Parte Empresa)</t>
  </si>
  <si>
    <t>%</t>
  </si>
  <si>
    <t>INSS (Exclusivo Aviso Prévio)</t>
  </si>
  <si>
    <t>Seg.Obrig.(Exclusivo Av.Prévio)</t>
  </si>
  <si>
    <t>Terceiros (Sebrae/Senac/Etc)</t>
  </si>
  <si>
    <t>Encargos s/salário empregado (Faturamento)</t>
  </si>
  <si>
    <t xml:space="preserve">COFINS </t>
  </si>
  <si>
    <t>PIS</t>
  </si>
  <si>
    <t xml:space="preserve">IRPJ </t>
  </si>
  <si>
    <t xml:space="preserve">CSLL </t>
  </si>
  <si>
    <t>ISSQN</t>
  </si>
  <si>
    <t>ICMS</t>
  </si>
  <si>
    <t>SIMPLES NACIONAL</t>
  </si>
  <si>
    <t>TOTAL GERAL FINAL (A + B + C) =</t>
  </si>
  <si>
    <t xml:space="preserve">* Não incluso no cálculo o valor do desconto a título de contribuição previdenciária do INSS (parte do empregado), que será descontado mensalmente do salário do empregado; </t>
  </si>
  <si>
    <t>* No caso de empresas Optantes pelo SIMPLES NACIONAL, tributadas pelos Anexos I à III, não haverá repasse de encargos s/o salário do empregado (INSS Pte. Empresa – Terceiros – Grau de Risco)</t>
  </si>
  <si>
    <t xml:space="preserve">FGTS Rescisão </t>
  </si>
  <si>
    <t>OBSERVAÇÕES</t>
  </si>
  <si>
    <t>PLANILHA DE CUSTOS POR EMPREGADO</t>
  </si>
  <si>
    <t>Colaborador</t>
  </si>
  <si>
    <t>Empresa</t>
  </si>
  <si>
    <t>Salario</t>
  </si>
  <si>
    <t>(A) PROVISÃO DA PARTE DO PAGAMENTO AO EMPREGADO MÊS</t>
  </si>
  <si>
    <t>Dias, Avos e %</t>
  </si>
  <si>
    <t>(A) TOTAL REMUNERAÇÃO/ENCARGOS</t>
  </si>
  <si>
    <t>(B) PROVISÃO DA PARTE DO PAGAMENTO DO EMPREGADOR POR MÊS</t>
  </si>
  <si>
    <t>(B) TOTAL ENCARGOS S/SAL. (PTE EMPRESA)</t>
  </si>
  <si>
    <t>(C) PROVISÃO DA TRIBUTAÇÃO FISCAL E SOCIAL POR MÊS</t>
  </si>
  <si>
    <t>(C) TOTAL TRIBUTAÇÃO FISCAL E SOCIAL</t>
  </si>
  <si>
    <t>RAZÃO SOCIAL EMPRESA</t>
  </si>
  <si>
    <t>NOME DO COLABORADOR</t>
  </si>
  <si>
    <t>Estrutura planilha elaborada por:-</t>
  </si>
  <si>
    <t>DINÂMICA CONTÁBIL LTDA.</t>
  </si>
  <si>
    <t>Rua Virgílio Malta nº 8-32 – Centro</t>
  </si>
  <si>
    <t>CEP 17015-220 – Bauru/SP</t>
  </si>
  <si>
    <t>Fone(14) 3234-4362</t>
  </si>
  <si>
    <t>www.dinamicacontabil.adm.br</t>
  </si>
  <si>
    <t>Total remuneração</t>
  </si>
  <si>
    <t>Outros proventos (variáveis H.E, / Prêmio / Gratificação / Quebra de Caixa / etc)</t>
  </si>
  <si>
    <r>
      <t>* Não incluso no cálculo o valor do desconto a título de contribuição assistencial do sindicato de classe (parte do empregado), que será descontado mensalmente do salário do empregado</t>
    </r>
    <r>
      <rPr>
        <b/>
        <sz val="8"/>
        <rFont val="Calibri"/>
        <family val="2"/>
      </rPr>
      <t xml:space="preserve">;  </t>
    </r>
  </si>
  <si>
    <t>Co-participação/Convênio Farmacia</t>
  </si>
  <si>
    <t>Co-participação/Assistência Médica</t>
  </si>
  <si>
    <t>Co-participação/Vale Transporte</t>
  </si>
  <si>
    <t>Co-participação/Vale Refeição</t>
  </si>
  <si>
    <t>Outros benefícios co-participação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</si>
</sst>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[Red]\-[$R$-416]\ #,##0.00"/>
  </numFmts>
  <fonts count="19" x14ac:knownFonts="1">
    <font>
      <sz val="10"/>
      <name val="Arial"/>
      <family val="2"/>
    </font>
    <font>
      <b/>
      <sz val="8"/>
      <name val="Calibri"/>
      <family val="2"/>
    </font>
    <font>
      <sz val="11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i/>
      <u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i/>
      <u/>
      <sz val="8"/>
      <color indexed="12"/>
      <name val="Calibri"/>
      <family val="2"/>
      <scheme val="minor"/>
    </font>
    <font>
      <b/>
      <sz val="8"/>
      <color indexed="12"/>
      <name val="Calibri"/>
      <family val="2"/>
      <scheme val="minor"/>
    </font>
    <font>
      <b/>
      <i/>
      <u/>
      <sz val="8"/>
      <color indexed="17"/>
      <name val="Calibri"/>
      <family val="2"/>
      <scheme val="minor"/>
    </font>
    <font>
      <b/>
      <sz val="8"/>
      <color indexed="17"/>
      <name val="Calibri"/>
      <family val="2"/>
      <scheme val="minor"/>
    </font>
    <font>
      <b/>
      <i/>
      <u/>
      <sz val="8"/>
      <color rgb="FF00B0F0"/>
      <name val="Calibri"/>
      <family val="2"/>
      <scheme val="minor"/>
    </font>
    <font>
      <b/>
      <i/>
      <u/>
      <sz val="8"/>
      <color indexed="24"/>
      <name val="Calibri"/>
      <family val="2"/>
      <scheme val="minor"/>
    </font>
    <font>
      <b/>
      <sz val="8"/>
      <color rgb="FF00B0F0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i/>
      <u/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40">
    <xf numFmtId="0" fontId="0" fillId="0" borderId="0" xfId="0"/>
    <xf numFmtId="0" fontId="3" fillId="4" borderId="0" xfId="1" applyFont="1" applyFill="1" applyProtection="1">
      <protection hidden="1"/>
    </xf>
    <xf numFmtId="0" fontId="4" fillId="4" borderId="0" xfId="1" applyFont="1" applyFill="1" applyProtection="1">
      <protection hidden="1"/>
    </xf>
    <xf numFmtId="0" fontId="6" fillId="0" borderId="0" xfId="0" applyFont="1" applyProtection="1">
      <protection hidden="1"/>
    </xf>
    <xf numFmtId="0" fontId="7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justify"/>
      <protection hidden="1"/>
    </xf>
    <xf numFmtId="164" fontId="9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center" wrapText="1"/>
      <protection hidden="1"/>
    </xf>
    <xf numFmtId="0" fontId="10" fillId="0" borderId="0" xfId="0" applyFont="1" applyAlignment="1" applyProtection="1">
      <alignment horizontal="center"/>
      <protection hidden="1"/>
    </xf>
    <xf numFmtId="164" fontId="8" fillId="0" borderId="0" xfId="0" applyNumberFormat="1" applyFont="1" applyProtection="1">
      <protection hidden="1"/>
    </xf>
    <xf numFmtId="0" fontId="8" fillId="2" borderId="2" xfId="0" applyFont="1" applyFill="1" applyBorder="1" applyAlignment="1" applyProtection="1">
      <alignment horizontal="center"/>
      <protection hidden="1"/>
    </xf>
    <xf numFmtId="164" fontId="11" fillId="0" borderId="0" xfId="0" applyNumberFormat="1" applyFont="1" applyProtection="1">
      <protection hidden="1"/>
    </xf>
    <xf numFmtId="164" fontId="6" fillId="0" borderId="0" xfId="0" applyNumberFormat="1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0" fontId="8" fillId="0" borderId="0" xfId="0" applyNumberFormat="1" applyFont="1" applyAlignment="1" applyProtection="1">
      <alignment horizontal="center"/>
      <protection locked="0"/>
    </xf>
    <xf numFmtId="164" fontId="13" fillId="0" borderId="0" xfId="0" applyNumberFormat="1" applyFont="1" applyProtection="1">
      <protection hidden="1"/>
    </xf>
    <xf numFmtId="0" fontId="14" fillId="0" borderId="0" xfId="0" applyFont="1" applyAlignment="1" applyProtection="1">
      <alignment horizontal="center"/>
      <protection hidden="1"/>
    </xf>
    <xf numFmtId="164" fontId="16" fillId="0" borderId="0" xfId="0" applyNumberFormat="1" applyFont="1" applyProtection="1">
      <protection hidden="1"/>
    </xf>
    <xf numFmtId="164" fontId="17" fillId="0" borderId="0" xfId="0" applyNumberFormat="1" applyFont="1" applyProtection="1">
      <protection hidden="1"/>
    </xf>
    <xf numFmtId="164" fontId="9" fillId="0" borderId="0" xfId="0" applyNumberFormat="1" applyFont="1" applyProtection="1">
      <protection hidden="1"/>
    </xf>
    <xf numFmtId="0" fontId="8" fillId="0" borderId="0" xfId="0" applyFont="1" applyAlignment="1" applyProtection="1">
      <alignment horizontal="center"/>
      <protection locked="0"/>
    </xf>
    <xf numFmtId="164" fontId="8" fillId="0" borderId="0" xfId="0" applyNumberFormat="1" applyFont="1" applyProtection="1">
      <protection locked="0"/>
    </xf>
    <xf numFmtId="0" fontId="8" fillId="0" borderId="0" xfId="0" applyFont="1" applyAlignment="1" applyProtection="1">
      <alignment horizontal="justify"/>
      <protection hidden="1"/>
    </xf>
    <xf numFmtId="0" fontId="8" fillId="0" borderId="0" xfId="0" applyFont="1" applyAlignment="1" applyProtection="1">
      <alignment horizontal="justify" wrapText="1"/>
      <protection hidden="1"/>
    </xf>
    <xf numFmtId="0" fontId="18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protection hidden="1"/>
    </xf>
    <xf numFmtId="0" fontId="14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5" fillId="5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hidden="1"/>
    </xf>
    <xf numFmtId="0" fontId="8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left"/>
      <protection hidden="1"/>
    </xf>
    <xf numFmtId="0" fontId="17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left"/>
      <protection hidden="1"/>
    </xf>
    <xf numFmtId="0" fontId="14" fillId="0" borderId="0" xfId="0" applyFont="1" applyAlignment="1" applyProtection="1">
      <alignment horizontal="justify"/>
      <protection hidden="1"/>
    </xf>
    <xf numFmtId="0" fontId="14" fillId="0" borderId="0" xfId="0" applyFont="1" applyAlignment="1" applyProtection="1">
      <alignment horizontal="left"/>
      <protection hidden="1"/>
    </xf>
    <xf numFmtId="0" fontId="15" fillId="0" borderId="0" xfId="0" applyFont="1" applyAlignment="1" applyProtection="1">
      <alignment horizontal="center"/>
      <protection hidden="1"/>
    </xf>
  </cellXfs>
  <cellStyles count="2">
    <cellStyle name="20% - Ênfase1" xfId="1" builtinId="30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E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1381125</xdr:colOff>
      <xdr:row>51</xdr:row>
      <xdr:rowOff>66675</xdr:rowOff>
    </xdr:from>
    <xdr:to>
      <xdr:col>1</xdr:col>
      <xdr:colOff>2543175</xdr:colOff>
      <xdr:row>58</xdr:row>
      <xdr:rowOff>28575</xdr:rowOff>
    </xdr:to>
    <xdr:pic>
      <xdr:nvPicPr>
        <xdr:cNvPr id="1042" name="Picture 12">
          <a:extLst>
            <a:ext uri="{FF2B5EF4-FFF2-40B4-BE49-F238E27FC236}">
              <a16:creationId xmlns:a16="http://schemas.microsoft.com/office/drawing/2014/main" id="{01F6673E-4143-4462-B322-6A34614BC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8029575"/>
          <a:ext cx="11620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150" zoomScaleNormal="150" workbookViewId="0" xr3:uid="{AEA406A1-0E4B-5B11-9CD5-51D6E497D94C}">
      <selection activeCell="B3" sqref="B3:D3"/>
    </sheetView>
  </sheetViews>
  <sheetFormatPr defaultColWidth="11.59375" defaultRowHeight="11.25" x14ac:dyDescent="0.15"/>
  <cols>
    <col min="1" max="1" width="11.73046875" style="3" customWidth="1"/>
    <col min="2" max="2" width="40.05078125" style="3" customWidth="1"/>
    <col min="3" max="3" width="9.9765625" style="3" customWidth="1"/>
    <col min="4" max="4" width="17.52734375" style="3" customWidth="1"/>
    <col min="5" max="16384" width="11.59375" style="3"/>
  </cols>
  <sheetData>
    <row r="1" spans="1:4" x14ac:dyDescent="0.15">
      <c r="A1" s="28" t="s">
        <v>26</v>
      </c>
      <c r="B1" s="28"/>
      <c r="C1" s="28"/>
      <c r="D1" s="28"/>
    </row>
    <row r="2" spans="1:4" x14ac:dyDescent="0.15">
      <c r="A2" s="4"/>
      <c r="B2" s="4"/>
      <c r="C2" s="4"/>
      <c r="D2" s="4"/>
    </row>
    <row r="3" spans="1:4" x14ac:dyDescent="0.15">
      <c r="A3" s="5" t="s">
        <v>28</v>
      </c>
      <c r="B3" s="29" t="s">
        <v>37</v>
      </c>
      <c r="C3" s="29"/>
      <c r="D3" s="29"/>
    </row>
    <row r="4" spans="1:4" x14ac:dyDescent="0.15">
      <c r="A4" s="5" t="s">
        <v>27</v>
      </c>
      <c r="B4" s="29" t="s">
        <v>38</v>
      </c>
      <c r="C4" s="29"/>
      <c r="D4" s="29"/>
    </row>
    <row r="5" spans="1:4" x14ac:dyDescent="0.15">
      <c r="A5" s="31" t="s">
        <v>29</v>
      </c>
      <c r="B5" s="31"/>
      <c r="C5" s="31"/>
      <c r="D5" s="6">
        <v>0</v>
      </c>
    </row>
    <row r="6" spans="1:4" x14ac:dyDescent="0.15">
      <c r="A6" s="31" t="s">
        <v>46</v>
      </c>
      <c r="B6" s="31"/>
      <c r="C6" s="31"/>
      <c r="D6" s="6">
        <v>0</v>
      </c>
    </row>
    <row r="7" spans="1:4" x14ac:dyDescent="0.15">
      <c r="A7" s="31" t="s">
        <v>45</v>
      </c>
      <c r="B7" s="31"/>
      <c r="C7" s="31"/>
      <c r="D7" s="19">
        <f>D5+D6</f>
        <v>0</v>
      </c>
    </row>
    <row r="8" spans="1:4" ht="4.5" customHeight="1" x14ac:dyDescent="0.15">
      <c r="A8" s="27"/>
      <c r="B8" s="27"/>
      <c r="C8" s="27"/>
      <c r="D8" s="27"/>
    </row>
    <row r="9" spans="1:4" x14ac:dyDescent="0.15">
      <c r="A9" s="30" t="s">
        <v>30</v>
      </c>
      <c r="B9" s="30"/>
      <c r="C9" s="30"/>
      <c r="D9" s="30"/>
    </row>
    <row r="10" spans="1:4" ht="5.25" customHeight="1" x14ac:dyDescent="0.15">
      <c r="A10" s="34"/>
      <c r="B10" s="34"/>
      <c r="C10" s="34"/>
      <c r="D10" s="34"/>
    </row>
    <row r="11" spans="1:4" x14ac:dyDescent="0.15">
      <c r="A11" s="30" t="s">
        <v>0</v>
      </c>
      <c r="B11" s="30"/>
      <c r="C11" s="7" t="s">
        <v>31</v>
      </c>
      <c r="D11" s="8" t="s">
        <v>1</v>
      </c>
    </row>
    <row r="12" spans="1:4" x14ac:dyDescent="0.15">
      <c r="A12" s="31" t="s">
        <v>2</v>
      </c>
      <c r="B12" s="31"/>
      <c r="C12" s="20">
        <v>30</v>
      </c>
      <c r="D12" s="9">
        <f>(D7/30)*C12</f>
        <v>0</v>
      </c>
    </row>
    <row r="13" spans="1:4" x14ac:dyDescent="0.15">
      <c r="A13" s="31" t="s">
        <v>3</v>
      </c>
      <c r="B13" s="31"/>
      <c r="C13" s="20">
        <v>1</v>
      </c>
      <c r="D13" s="9">
        <f>D12/12</f>
        <v>0</v>
      </c>
    </row>
    <row r="14" spans="1:4" ht="12" thickBot="1" x14ac:dyDescent="0.2">
      <c r="A14" s="31" t="s">
        <v>4</v>
      </c>
      <c r="B14" s="31"/>
      <c r="C14" s="20">
        <v>1</v>
      </c>
      <c r="D14" s="9">
        <f>D13</f>
        <v>0</v>
      </c>
    </row>
    <row r="15" spans="1:4" ht="12" thickBot="1" x14ac:dyDescent="0.2">
      <c r="A15" s="31" t="s">
        <v>5</v>
      </c>
      <c r="B15" s="36"/>
      <c r="C15" s="10"/>
      <c r="D15" s="9">
        <f>D13/3</f>
        <v>0</v>
      </c>
    </row>
    <row r="16" spans="1:4" x14ac:dyDescent="0.15">
      <c r="A16" s="31" t="s">
        <v>6</v>
      </c>
      <c r="B16" s="31"/>
      <c r="C16" s="20">
        <v>1</v>
      </c>
      <c r="D16" s="9">
        <f>D14</f>
        <v>0</v>
      </c>
    </row>
    <row r="17" spans="1:5" x14ac:dyDescent="0.15">
      <c r="A17" s="31" t="s">
        <v>7</v>
      </c>
      <c r="B17" s="31"/>
      <c r="C17" s="14">
        <v>0.08</v>
      </c>
      <c r="D17" s="9">
        <f>(D12+D13+D14+D15)*C17</f>
        <v>0</v>
      </c>
    </row>
    <row r="18" spans="1:5" ht="12" thickBot="1" x14ac:dyDescent="0.2">
      <c r="A18" s="31" t="s">
        <v>24</v>
      </c>
      <c r="B18" s="31"/>
      <c r="C18" s="14">
        <v>0.5</v>
      </c>
      <c r="D18" s="9">
        <f>D17*C18</f>
        <v>0</v>
      </c>
    </row>
    <row r="19" spans="1:5" ht="12" thickBot="1" x14ac:dyDescent="0.2">
      <c r="A19" s="31" t="s">
        <v>48</v>
      </c>
      <c r="B19" s="31"/>
      <c r="C19" s="10"/>
      <c r="D19" s="21">
        <v>0</v>
      </c>
    </row>
    <row r="20" spans="1:5" ht="12" thickBot="1" x14ac:dyDescent="0.2">
      <c r="A20" s="31" t="s">
        <v>49</v>
      </c>
      <c r="B20" s="31"/>
      <c r="C20" s="10"/>
      <c r="D20" s="21">
        <v>0</v>
      </c>
    </row>
    <row r="21" spans="1:5" ht="12" thickBot="1" x14ac:dyDescent="0.2">
      <c r="A21" s="31" t="s">
        <v>50</v>
      </c>
      <c r="B21" s="31"/>
      <c r="C21" s="10"/>
      <c r="D21" s="21">
        <v>0</v>
      </c>
    </row>
    <row r="22" spans="1:5" ht="12" thickBot="1" x14ac:dyDescent="0.2">
      <c r="A22" s="31" t="s">
        <v>51</v>
      </c>
      <c r="B22" s="31"/>
      <c r="C22" s="10"/>
      <c r="D22" s="21">
        <v>0</v>
      </c>
    </row>
    <row r="23" spans="1:5" ht="12" thickBot="1" x14ac:dyDescent="0.2">
      <c r="A23" s="31" t="s">
        <v>52</v>
      </c>
      <c r="B23" s="31"/>
      <c r="C23" s="10"/>
      <c r="D23" s="21">
        <v>0</v>
      </c>
    </row>
    <row r="24" spans="1:5" x14ac:dyDescent="0.15">
      <c r="A24" s="30" t="s">
        <v>32</v>
      </c>
      <c r="B24" s="30"/>
      <c r="C24" s="30"/>
      <c r="D24" s="11">
        <f>D12+D13+D14+D15+D16+D17+D18+D19+D20+D21+D22+D23</f>
        <v>0</v>
      </c>
      <c r="E24" s="12"/>
    </row>
    <row r="25" spans="1:5" ht="6" customHeight="1" x14ac:dyDescent="0.15">
      <c r="A25" s="27"/>
      <c r="B25" s="27"/>
      <c r="C25" s="27"/>
      <c r="D25" s="27"/>
    </row>
    <row r="26" spans="1:5" ht="14.85" customHeight="1" x14ac:dyDescent="0.15">
      <c r="A26" s="32" t="s">
        <v>33</v>
      </c>
      <c r="B26" s="32"/>
      <c r="C26" s="32"/>
      <c r="D26" s="32"/>
    </row>
    <row r="27" spans="1:5" ht="5.25" customHeight="1" x14ac:dyDescent="0.15">
      <c r="A27" s="35"/>
      <c r="B27" s="35"/>
      <c r="C27" s="35"/>
      <c r="D27" s="35"/>
    </row>
    <row r="28" spans="1:5" x14ac:dyDescent="0.15">
      <c r="A28" s="32" t="s">
        <v>8</v>
      </c>
      <c r="B28" s="32"/>
      <c r="C28" s="13" t="s">
        <v>9</v>
      </c>
      <c r="D28" s="13" t="s">
        <v>1</v>
      </c>
    </row>
    <row r="29" spans="1:5" x14ac:dyDescent="0.15">
      <c r="A29" s="31" t="s">
        <v>10</v>
      </c>
      <c r="B29" s="31"/>
      <c r="C29" s="14">
        <v>0</v>
      </c>
      <c r="D29" s="9">
        <f>(D12+D13+D14+D15+D16)*C29</f>
        <v>0</v>
      </c>
    </row>
    <row r="30" spans="1:5" x14ac:dyDescent="0.15">
      <c r="A30" s="31" t="s">
        <v>11</v>
      </c>
      <c r="B30" s="31"/>
      <c r="C30" s="14">
        <v>0</v>
      </c>
      <c r="D30" s="9">
        <f>(D12+D13+D14+D15+D16)*C30</f>
        <v>0</v>
      </c>
    </row>
    <row r="31" spans="1:5" x14ac:dyDescent="0.15">
      <c r="A31" s="31" t="s">
        <v>12</v>
      </c>
      <c r="B31" s="31"/>
      <c r="C31" s="14">
        <v>0</v>
      </c>
      <c r="D31" s="9">
        <f>(D12+D13+D14+D15+D16)*C31</f>
        <v>0</v>
      </c>
    </row>
    <row r="32" spans="1:5" x14ac:dyDescent="0.15">
      <c r="A32" s="32" t="s">
        <v>34</v>
      </c>
      <c r="B32" s="32"/>
      <c r="C32" s="32"/>
      <c r="D32" s="15">
        <f>SUM(D29:D31)</f>
        <v>0</v>
      </c>
    </row>
    <row r="33" spans="1:4" ht="6" customHeight="1" x14ac:dyDescent="0.15">
      <c r="A33" s="27"/>
      <c r="B33" s="27"/>
      <c r="C33" s="27"/>
      <c r="D33" s="27"/>
    </row>
    <row r="34" spans="1:4" x14ac:dyDescent="0.15">
      <c r="A34" s="37" t="s">
        <v>35</v>
      </c>
      <c r="B34" s="37"/>
      <c r="C34" s="37"/>
      <c r="D34" s="37"/>
    </row>
    <row r="35" spans="1:4" ht="5.25" customHeight="1" x14ac:dyDescent="0.15">
      <c r="A35" s="39"/>
      <c r="B35" s="39"/>
      <c r="C35" s="39"/>
      <c r="D35" s="39"/>
    </row>
    <row r="36" spans="1:4" x14ac:dyDescent="0.15">
      <c r="A36" s="38" t="s">
        <v>13</v>
      </c>
      <c r="B36" s="38"/>
      <c r="C36" s="16" t="s">
        <v>9</v>
      </c>
      <c r="D36" s="16" t="s">
        <v>1</v>
      </c>
    </row>
    <row r="37" spans="1:4" x14ac:dyDescent="0.15">
      <c r="A37" s="25" t="s">
        <v>14</v>
      </c>
      <c r="B37" s="25"/>
      <c r="C37" s="14">
        <v>0</v>
      </c>
      <c r="D37" s="9">
        <f>(D24+D32)*C37</f>
        <v>0</v>
      </c>
    </row>
    <row r="38" spans="1:4" x14ac:dyDescent="0.15">
      <c r="A38" s="25" t="s">
        <v>15</v>
      </c>
      <c r="B38" s="25"/>
      <c r="C38" s="14">
        <v>0</v>
      </c>
      <c r="D38" s="9">
        <f>(D24+D32)*C38</f>
        <v>0</v>
      </c>
    </row>
    <row r="39" spans="1:4" x14ac:dyDescent="0.15">
      <c r="A39" s="25" t="s">
        <v>16</v>
      </c>
      <c r="B39" s="25"/>
      <c r="C39" s="14">
        <v>0</v>
      </c>
      <c r="D39" s="9">
        <f>(D24+D32)*C39</f>
        <v>0</v>
      </c>
    </row>
    <row r="40" spans="1:4" x14ac:dyDescent="0.15">
      <c r="A40" s="25" t="s">
        <v>17</v>
      </c>
      <c r="B40" s="25"/>
      <c r="C40" s="14">
        <v>0</v>
      </c>
      <c r="D40" s="9">
        <f>(D24+D32)*C40</f>
        <v>0</v>
      </c>
    </row>
    <row r="41" spans="1:4" x14ac:dyDescent="0.15">
      <c r="A41" s="25" t="s">
        <v>18</v>
      </c>
      <c r="B41" s="25"/>
      <c r="C41" s="14">
        <v>0</v>
      </c>
      <c r="D41" s="9">
        <f>(D24+D32)*C41</f>
        <v>0</v>
      </c>
    </row>
    <row r="42" spans="1:4" x14ac:dyDescent="0.15">
      <c r="A42" s="25" t="s">
        <v>19</v>
      </c>
      <c r="B42" s="25"/>
      <c r="C42" s="14">
        <v>0</v>
      </c>
      <c r="D42" s="9">
        <f>(D24+D32)*C42</f>
        <v>0</v>
      </c>
    </row>
    <row r="43" spans="1:4" x14ac:dyDescent="0.15">
      <c r="A43" s="25" t="s">
        <v>20</v>
      </c>
      <c r="B43" s="25"/>
      <c r="C43" s="14">
        <v>0</v>
      </c>
      <c r="D43" s="9">
        <f>(D24+D32)*C43</f>
        <v>0</v>
      </c>
    </row>
    <row r="44" spans="1:4" x14ac:dyDescent="0.15">
      <c r="A44" s="38" t="s">
        <v>36</v>
      </c>
      <c r="B44" s="38"/>
      <c r="C44" s="38"/>
      <c r="D44" s="17">
        <f>SUM(D37:D43)</f>
        <v>0</v>
      </c>
    </row>
    <row r="45" spans="1:4" ht="5.25" customHeight="1" x14ac:dyDescent="0.15">
      <c r="A45" s="26"/>
      <c r="B45" s="26"/>
      <c r="C45" s="26"/>
      <c r="D45" s="26"/>
    </row>
    <row r="46" spans="1:4" x14ac:dyDescent="0.15">
      <c r="A46" s="33" t="s">
        <v>21</v>
      </c>
      <c r="B46" s="33"/>
      <c r="C46" s="33"/>
      <c r="D46" s="18">
        <f>D44+D32+D24</f>
        <v>0</v>
      </c>
    </row>
    <row r="47" spans="1:4" ht="6.75" customHeight="1" x14ac:dyDescent="0.15">
      <c r="A47" s="27"/>
      <c r="B47" s="27"/>
      <c r="C47" s="27"/>
      <c r="D47" s="27"/>
    </row>
    <row r="48" spans="1:4" x14ac:dyDescent="0.15">
      <c r="A48" s="24" t="s">
        <v>25</v>
      </c>
      <c r="B48" s="24"/>
      <c r="C48" s="24"/>
      <c r="D48" s="24"/>
    </row>
    <row r="49" spans="1:4" ht="26.25" customHeight="1" x14ac:dyDescent="0.15">
      <c r="A49" s="22" t="s">
        <v>22</v>
      </c>
      <c r="B49" s="22"/>
      <c r="C49" s="22"/>
      <c r="D49" s="22"/>
    </row>
    <row r="50" spans="1:4" ht="28.5" customHeight="1" x14ac:dyDescent="0.15">
      <c r="A50" s="23" t="s">
        <v>47</v>
      </c>
      <c r="B50" s="23"/>
      <c r="C50" s="23"/>
      <c r="D50" s="23"/>
    </row>
    <row r="51" spans="1:4" ht="29.25" customHeight="1" x14ac:dyDescent="0.15">
      <c r="A51" s="23" t="s">
        <v>23</v>
      </c>
      <c r="B51" s="23"/>
      <c r="C51" s="23"/>
      <c r="D51" s="23"/>
    </row>
    <row r="53" spans="1:4" x14ac:dyDescent="0.15">
      <c r="C53" s="1" t="s">
        <v>39</v>
      </c>
    </row>
    <row r="54" spans="1:4" x14ac:dyDescent="0.15">
      <c r="C54" s="2" t="s">
        <v>40</v>
      </c>
    </row>
    <row r="55" spans="1:4" x14ac:dyDescent="0.15">
      <c r="C55" s="1" t="s">
        <v>41</v>
      </c>
    </row>
    <row r="56" spans="1:4" x14ac:dyDescent="0.15">
      <c r="C56" s="1" t="s">
        <v>42</v>
      </c>
    </row>
    <row r="57" spans="1:4" x14ac:dyDescent="0.15">
      <c r="C57" s="1" t="s">
        <v>43</v>
      </c>
    </row>
    <row r="58" spans="1:4" x14ac:dyDescent="0.15">
      <c r="C58" s="1" t="s">
        <v>44</v>
      </c>
    </row>
  </sheetData>
  <sheetProtection password="EAB1" sheet="1" objects="1" scenarios="1"/>
  <mergeCells count="50">
    <mergeCell ref="A51:D51"/>
    <mergeCell ref="A26:D26"/>
    <mergeCell ref="A28:B28"/>
    <mergeCell ref="A32:C32"/>
    <mergeCell ref="A46:C46"/>
    <mergeCell ref="A27:D27"/>
    <mergeCell ref="A29:B29"/>
    <mergeCell ref="A34:D34"/>
    <mergeCell ref="A44:C44"/>
    <mergeCell ref="A40:B40"/>
    <mergeCell ref="A41:B41"/>
    <mergeCell ref="A42:B42"/>
    <mergeCell ref="A35:D35"/>
    <mergeCell ref="A31:B31"/>
    <mergeCell ref="A33:D33"/>
    <mergeCell ref="A36:B36"/>
    <mergeCell ref="A24:C24"/>
    <mergeCell ref="A30:B30"/>
    <mergeCell ref="A17:B17"/>
    <mergeCell ref="A18:B18"/>
    <mergeCell ref="A12:B12"/>
    <mergeCell ref="A13:B13"/>
    <mergeCell ref="A22:B22"/>
    <mergeCell ref="A25:D25"/>
    <mergeCell ref="A21:B21"/>
    <mergeCell ref="A14:B14"/>
    <mergeCell ref="A15:B15"/>
    <mergeCell ref="A16:B16"/>
    <mergeCell ref="A23:B23"/>
    <mergeCell ref="A19:B19"/>
    <mergeCell ref="A20:B20"/>
    <mergeCell ref="A1:D1"/>
    <mergeCell ref="B4:D4"/>
    <mergeCell ref="B3:D3"/>
    <mergeCell ref="A9:D9"/>
    <mergeCell ref="A11:B11"/>
    <mergeCell ref="A8:D8"/>
    <mergeCell ref="A10:D10"/>
    <mergeCell ref="A5:C5"/>
    <mergeCell ref="A6:C6"/>
    <mergeCell ref="A7:C7"/>
    <mergeCell ref="A49:D49"/>
    <mergeCell ref="A50:D50"/>
    <mergeCell ref="A48:D48"/>
    <mergeCell ref="A37:B37"/>
    <mergeCell ref="A38:B38"/>
    <mergeCell ref="A39:B39"/>
    <mergeCell ref="A45:D45"/>
    <mergeCell ref="A47:D47"/>
    <mergeCell ref="A43:B43"/>
  </mergeCells>
  <pageMargins left="0.78749999999999998" right="0.78749999999999998" top="0.78749999999999998" bottom="0.78749999999999998" header="0.51180555555555562" footer="0.51180555555555562"/>
  <pageSetup paperSize="9" orientation="portrait" useFirstPageNumber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Jadir Carlos de Sousa</dc:creator>
  <cp:lastModifiedBy>X</cp:lastModifiedBy>
  <cp:lastPrinted>2013-03-20T21:39:39Z</cp:lastPrinted>
  <dcterms:created xsi:type="dcterms:W3CDTF">2018-02-21T10:36:49Z</dcterms:created>
  <dcterms:modified xsi:type="dcterms:W3CDTF">2018-02-21T10:36:49Z</dcterms:modified>
</cp:coreProperties>
</file>