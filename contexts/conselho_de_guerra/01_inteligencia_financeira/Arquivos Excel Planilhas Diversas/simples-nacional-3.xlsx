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gela Dantas\Documents\Documentos Angela\Documents\Conselho_Contabilidade\Palestra_Curso_Slides\Simples Nacional\"/>
    </mc:Choice>
  </mc:AlternateContent>
  <bookViews>
    <workbookView xWindow="0" yWindow="0" windowWidth="20115" windowHeight="6780"/>
  </bookViews>
  <sheets>
    <sheet name="Análise" sheetId="2" r:id="rId1"/>
    <sheet name="Mestres" sheetId="4" r:id="rId2"/>
    <sheet name="Anexos 2018" sheetId="1" r:id="rId3"/>
    <sheet name="Anexos 2017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44" i="2" l="1"/>
  <c r="R45" i="2" s="1"/>
  <c r="N43" i="2" s="1"/>
  <c r="R43" i="2"/>
  <c r="Q44" i="2"/>
  <c r="D17" i="2"/>
  <c r="N39" i="2"/>
  <c r="N41" i="2"/>
  <c r="M48" i="2"/>
  <c r="M47" i="2"/>
  <c r="O39" i="2"/>
  <c r="M10" i="4"/>
  <c r="M11" i="4" s="1"/>
  <c r="M12" i="4" s="1"/>
  <c r="M13" i="4" s="1"/>
  <c r="M25" i="2" l="1"/>
  <c r="M24" i="2"/>
  <c r="B128" i="3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07" i="3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85" i="3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64" i="3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43" i="3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22" i="3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3" i="3"/>
  <c r="B2" i="3"/>
  <c r="I10" i="4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C5" i="2"/>
  <c r="C6" i="2" s="1"/>
  <c r="C7" i="2" s="1"/>
  <c r="D5" i="2" l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V14" i="2"/>
  <c r="V12" i="2"/>
  <c r="C8" i="2" l="1"/>
  <c r="C9" i="2" s="1"/>
  <c r="C10" i="2" s="1"/>
  <c r="C11" i="2" s="1"/>
  <c r="C12" i="2" s="1"/>
  <c r="C13" i="2" s="1"/>
  <c r="C14" i="2" s="1"/>
  <c r="C15" i="2" s="1"/>
  <c r="C17" i="2" s="1"/>
  <c r="W13" i="2" l="1"/>
  <c r="X13" i="2"/>
  <c r="X14" i="2" s="1"/>
  <c r="X15" i="2" s="1"/>
  <c r="J40" i="2"/>
  <c r="S19" i="2"/>
  <c r="S20" i="2" s="1"/>
  <c r="D29" i="2" l="1"/>
  <c r="W16" i="2"/>
  <c r="D16" i="2"/>
  <c r="C29" i="2" l="1"/>
  <c r="G6" i="2" s="1"/>
  <c r="G7" i="2" s="1"/>
  <c r="J14" i="2" s="1"/>
  <c r="J11" i="2" l="1"/>
  <c r="C16" i="2"/>
  <c r="J22" i="2" s="1"/>
  <c r="J21" i="2" s="1"/>
  <c r="J20" i="2" s="1"/>
  <c r="O40" i="2" l="1"/>
  <c r="N40" i="2" s="1"/>
  <c r="N25" i="2"/>
  <c r="G22" i="2"/>
  <c r="G41" i="2" s="1"/>
  <c r="L3" i="2"/>
  <c r="W12" i="2"/>
  <c r="W10" i="2"/>
  <c r="W15" i="2"/>
  <c r="W9" i="2"/>
  <c r="W14" i="2"/>
  <c r="G5" i="2"/>
  <c r="G15" i="2"/>
  <c r="F16" i="2" s="1"/>
  <c r="N36" i="2" l="1"/>
  <c r="J41" i="2" s="1"/>
  <c r="W11" i="2"/>
  <c r="W17" i="2" s="1"/>
  <c r="W18" i="2" s="1"/>
  <c r="G12" i="2"/>
  <c r="G11" i="2"/>
  <c r="G13" i="2" l="1"/>
  <c r="G21" i="2" l="1"/>
  <c r="G40" i="2"/>
  <c r="J13" i="2"/>
  <c r="W19" i="2" s="1"/>
  <c r="J15" i="2"/>
  <c r="J16" i="2" l="1"/>
  <c r="G20" i="2" l="1"/>
  <c r="N24" i="2" s="1"/>
  <c r="G39" i="2"/>
  <c r="N47" i="2" s="1"/>
  <c r="J39" i="2"/>
  <c r="N48" i="2" s="1"/>
</calcChain>
</file>

<file path=xl/sharedStrings.xml><?xml version="1.0" encoding="utf-8"?>
<sst xmlns="http://schemas.openxmlformats.org/spreadsheetml/2006/main" count="394" uniqueCount="133">
  <si>
    <t>Anexo</t>
  </si>
  <si>
    <t>Receita Bruta</t>
  </si>
  <si>
    <t>Alíquota</t>
  </si>
  <si>
    <t>Desconto</t>
  </si>
  <si>
    <t>Faixa</t>
  </si>
  <si>
    <t>Vigência</t>
  </si>
  <si>
    <t>Receita Bruta em 12 meses (em R$)</t>
  </si>
  <si>
    <t>IRPJ</t>
  </si>
  <si>
    <t>CSLL</t>
  </si>
  <si>
    <t>Cofins</t>
  </si>
  <si>
    <t>PIS/Pasep</t>
  </si>
  <si>
    <t>CPP</t>
  </si>
  <si>
    <t>ICMS</t>
  </si>
  <si>
    <t>Até 180.000,00</t>
  </si>
  <si>
    <t>De 180.000,01 a 360.000,00</t>
  </si>
  <si>
    <t>De 360.000,01 a 540.000,00</t>
  </si>
  <si>
    <t>De 540.000,01 a 720.000,00</t>
  </si>
  <si>
    <t>De 720.000,01 a 900.000,00</t>
  </si>
  <si>
    <t>De 900.000,01 a 1.080.000,00</t>
  </si>
  <si>
    <t>De 1.080.000,01 a 1.260.000,00</t>
  </si>
  <si>
    <t>De 1.260.000,01 a 1.440.000,00</t>
  </si>
  <si>
    <t>De 1.440.000,01 a 1.620.000,00</t>
  </si>
  <si>
    <t>De 1.620.000,01 a 1.800.000,00</t>
  </si>
  <si>
    <t>De 1.800.000,01 a 1.980.000,00</t>
  </si>
  <si>
    <t>De 1.980.000,01 a 2.160.000,00</t>
  </si>
  <si>
    <t>De 2.160.000,01 a 2.340.000,00</t>
  </si>
  <si>
    <t>De 2.340.000,01 a 2.520.000,00</t>
  </si>
  <si>
    <t>De 2.520.000,01 a 2.700.000,00</t>
  </si>
  <si>
    <t>De 2.700.000,01 a 2.880.000,00</t>
  </si>
  <si>
    <t>De 2.880.000,01 a 3.060.000,00</t>
  </si>
  <si>
    <t>De 3.060.000,01 a 3.240.000,00</t>
  </si>
  <si>
    <t>De 3.240.000,01 a 3.420.000,00</t>
  </si>
  <si>
    <t>De 3.420.000,01 a 3.600.000,00</t>
  </si>
  <si>
    <t>IPI</t>
  </si>
  <si>
    <t>ISS</t>
  </si>
  <si>
    <t>(r)&lt;0,10</t>
  </si>
  <si>
    <t>0,10=&lt; (r) e (r) &lt; 0,15</t>
  </si>
  <si>
    <t>0,15=&lt; (r) e (r) &lt; 0,20</t>
  </si>
  <si>
    <t>0,20=&lt; (r) e (r) &lt; 0,25</t>
  </si>
  <si>
    <t>0,25=&lt; (r) e (r) &lt; 0,30</t>
  </si>
  <si>
    <t>0,30=&lt; (r) e (r) &lt; 0,35</t>
  </si>
  <si>
    <t>0,35=&lt; (r) e (r) &lt; 0,40</t>
  </si>
  <si>
    <t>(r)&gt;= 0,40</t>
  </si>
  <si>
    <t>COFINS</t>
  </si>
  <si>
    <t>I</t>
  </si>
  <si>
    <t>J</t>
  </si>
  <si>
    <t>K</t>
  </si>
  <si>
    <t>L</t>
  </si>
  <si>
    <t>M</t>
  </si>
  <si>
    <t>N x0,9</t>
  </si>
  <si>
    <t>0,75 X(100 - I)X P</t>
  </si>
  <si>
    <t>0,25 X(100 - I)X P</t>
  </si>
  <si>
    <t>0,75 X(100 - I - J - K)</t>
  </si>
  <si>
    <t>100 - I - J - K - L</t>
  </si>
  <si>
    <t>N x0,875</t>
  </si>
  <si>
    <t>N x0,85</t>
  </si>
  <si>
    <t>N x0,825</t>
  </si>
  <si>
    <t>N x0,8</t>
  </si>
  <si>
    <t>N x0,775</t>
  </si>
  <si>
    <t>N x0,75</t>
  </si>
  <si>
    <t>N x0,725</t>
  </si>
  <si>
    <t>N x0,7</t>
  </si>
  <si>
    <t>N x0,675</t>
  </si>
  <si>
    <t>N x0,65</t>
  </si>
  <si>
    <t>N x0,625</t>
  </si>
  <si>
    <t>N x0,6</t>
  </si>
  <si>
    <t>N x0,575</t>
  </si>
  <si>
    <t>N x0,55</t>
  </si>
  <si>
    <t>N x0,525</t>
  </si>
  <si>
    <t>N x0,5</t>
  </si>
  <si>
    <t>N x0,475</t>
  </si>
  <si>
    <t>N x0,45</t>
  </si>
  <si>
    <t>N x0,425</t>
  </si>
  <si>
    <t>IRPJ, PIS/Pasep, CSLL, Cofins e CPP</t>
  </si>
  <si>
    <t>aaaa</t>
  </si>
  <si>
    <t>Limite Faturamento</t>
  </si>
  <si>
    <t>Faixas</t>
  </si>
  <si>
    <t>Limite</t>
  </si>
  <si>
    <t>Vigencia</t>
  </si>
  <si>
    <t>Redutor</t>
  </si>
  <si>
    <t>Imposto Devido</t>
  </si>
  <si>
    <t>Anexos</t>
  </si>
  <si>
    <t>Descrição</t>
  </si>
  <si>
    <t>RBT</t>
  </si>
  <si>
    <t>Alíquota Efetiva</t>
  </si>
  <si>
    <t>Ano</t>
  </si>
  <si>
    <t>Faturamento do Período</t>
  </si>
  <si>
    <t>Excesso:</t>
  </si>
  <si>
    <t>Folha</t>
  </si>
  <si>
    <t>Fator "R"</t>
  </si>
  <si>
    <t>Alíquota do Excedente</t>
  </si>
  <si>
    <t>Imposto Excesso Devido</t>
  </si>
  <si>
    <t>Total SIMPLES Devido</t>
  </si>
  <si>
    <t>RBT12 -  Ultimos 12 Meses Ant. Ano Apuração</t>
  </si>
  <si>
    <t>RBA - Receita Bruta Acumulada Ano Calendário</t>
  </si>
  <si>
    <t>Anexo I - Comércio</t>
  </si>
  <si>
    <t>Anexo II - Indústria</t>
  </si>
  <si>
    <t>Anexo III - Serviço</t>
  </si>
  <si>
    <t>Anexo IV - Serviço II</t>
  </si>
  <si>
    <t>Anexo V - Serviço III</t>
  </si>
  <si>
    <t>PIS</t>
  </si>
  <si>
    <t>AD</t>
  </si>
  <si>
    <t>Total</t>
  </si>
  <si>
    <t>INSS Pat</t>
  </si>
  <si>
    <t>Lucro Presumido</t>
  </si>
  <si>
    <t>S/ Receita</t>
  </si>
  <si>
    <t>CÁLCULO DO SIMPLES</t>
  </si>
  <si>
    <t>COMPARATIVO</t>
  </si>
  <si>
    <t>Anexo 2018:</t>
  </si>
  <si>
    <t>Anexo 2017:</t>
  </si>
  <si>
    <t>SIMPLES - 2018</t>
  </si>
  <si>
    <t>SIMPLES - 2017</t>
  </si>
  <si>
    <t>COMPARATIVO - LUCRO PRESUMIDO</t>
  </si>
  <si>
    <t>Atividade exercida</t>
  </si>
  <si>
    <t>Revenda de combustíveis e gás natural</t>
  </si>
  <si>
    <t>Transporte de cargas</t>
  </si>
  <si>
    <t>Atividades imobiliárias</t>
  </si>
  <si>
    <t>Industrialização para terceiros com recebimento do material </t>
  </si>
  <si>
    <t>Demais atividades não especificadas que não sejam prestação de serviço </t>
  </si>
  <si>
    <t>Transporte que não seja de cargas e serviços em geral</t>
  </si>
  <si>
    <t>Serviços profissionais que exijam formação técnica ou acadêmica - como advocacia e engenharia</t>
  </si>
  <si>
    <t>Intermediação de negócios</t>
  </si>
  <si>
    <t>Administração de bens móveis ou imóveis, locação ou cessão desses mesmos bens</t>
  </si>
  <si>
    <t>Construção civil e serviços em geral</t>
  </si>
  <si>
    <t>Margem</t>
  </si>
  <si>
    <t>LP</t>
  </si>
  <si>
    <t>MP</t>
  </si>
  <si>
    <t>INSS</t>
  </si>
  <si>
    <t>INSS Patronal</t>
  </si>
  <si>
    <t>Venda</t>
  </si>
  <si>
    <t>Valor</t>
  </si>
  <si>
    <t>Compra</t>
  </si>
  <si>
    <t>ICMS Estimado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</si>
</sst>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0.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10"/>
      <color theme="0" tint="-0.1499984740745262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 val="singleAccounting"/>
      <sz val="9"/>
      <color theme="1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9"/>
      <color rgb="FF314046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u/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 tint="-0.34998626667073579"/>
      </top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double">
        <color theme="0" tint="-0.34998626667073579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 tint="-0.49998474074526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9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43" fontId="5" fillId="0" borderId="0" xfId="1" applyFont="1"/>
    <xf numFmtId="0" fontId="6" fillId="2" borderId="1" xfId="0" applyFont="1" applyFill="1" applyBorder="1" applyAlignment="1">
      <alignment horizontal="center"/>
    </xf>
    <xf numFmtId="43" fontId="5" fillId="3" borderId="0" xfId="1" applyFont="1" applyFill="1"/>
    <xf numFmtId="0" fontId="4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10" fontId="5" fillId="0" borderId="0" xfId="2" applyNumberFormat="1" applyFont="1" applyAlignment="1">
      <alignment horizontal="center"/>
    </xf>
    <xf numFmtId="10" fontId="5" fillId="3" borderId="0" xfId="2" applyNumberFormat="1" applyFont="1" applyFill="1" applyAlignment="1">
      <alignment horizontal="center"/>
    </xf>
    <xf numFmtId="0" fontId="0" fillId="0" borderId="0" xfId="0" applyAlignment="1"/>
    <xf numFmtId="0" fontId="3" fillId="0" borderId="0" xfId="0" applyFont="1"/>
    <xf numFmtId="0" fontId="3" fillId="0" borderId="0" xfId="0" applyFont="1" applyAlignment="1"/>
    <xf numFmtId="0" fontId="0" fillId="0" borderId="0" xfId="0" applyFont="1"/>
    <xf numFmtId="0" fontId="0" fillId="0" borderId="0" xfId="0" applyFont="1" applyAlignment="1"/>
    <xf numFmtId="0" fontId="0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3" fillId="0" borderId="2" xfId="0" applyFont="1" applyBorder="1"/>
    <xf numFmtId="0" fontId="8" fillId="0" borderId="2" xfId="0" applyFont="1" applyBorder="1" applyAlignment="1">
      <alignment vertical="center"/>
    </xf>
    <xf numFmtId="10" fontId="8" fillId="0" borderId="2" xfId="0" applyNumberFormat="1" applyFont="1" applyBorder="1" applyAlignment="1">
      <alignment horizontal="center" vertical="center" wrapText="1"/>
    </xf>
    <xf numFmtId="0" fontId="2" fillId="5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/>
    </xf>
    <xf numFmtId="10" fontId="3" fillId="5" borderId="2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2" xfId="0" applyFont="1" applyBorder="1" applyAlignment="1"/>
    <xf numFmtId="0" fontId="3" fillId="5" borderId="2" xfId="0" applyFont="1" applyFill="1" applyBorder="1" applyAlignment="1">
      <alignment vertical="top"/>
    </xf>
    <xf numFmtId="0" fontId="7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10" fontId="8" fillId="0" borderId="2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43" fontId="2" fillId="0" borderId="2" xfId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43" fontId="2" fillId="0" borderId="2" xfId="1" applyFont="1" applyBorder="1" applyAlignment="1">
      <alignment horizontal="center"/>
    </xf>
    <xf numFmtId="0" fontId="2" fillId="0" borderId="2" xfId="0" applyFont="1" applyFill="1" applyBorder="1" applyAlignment="1">
      <alignment horizontal="center" vertical="center"/>
    </xf>
    <xf numFmtId="43" fontId="3" fillId="0" borderId="0" xfId="1" applyFont="1" applyAlignment="1">
      <alignment horizontal="center"/>
    </xf>
    <xf numFmtId="0" fontId="9" fillId="6" borderId="3" xfId="0" applyFont="1" applyFill="1" applyBorder="1"/>
    <xf numFmtId="10" fontId="2" fillId="4" borderId="3" xfId="2" applyNumberFormat="1" applyFont="1" applyFill="1" applyBorder="1" applyAlignment="1">
      <alignment horizontal="center"/>
    </xf>
    <xf numFmtId="43" fontId="2" fillId="4" borderId="3" xfId="1" applyFont="1" applyFill="1" applyBorder="1"/>
    <xf numFmtId="43" fontId="2" fillId="4" borderId="3" xfId="0" applyNumberFormat="1" applyFont="1" applyFill="1" applyBorder="1"/>
    <xf numFmtId="0" fontId="9" fillId="8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43" fontId="11" fillId="0" borderId="3" xfId="1" applyFont="1" applyBorder="1"/>
    <xf numFmtId="0" fontId="10" fillId="7" borderId="3" xfId="0" applyFont="1" applyFill="1" applyBorder="1" applyAlignment="1">
      <alignment horizontal="left" indent="1"/>
    </xf>
    <xf numFmtId="43" fontId="11" fillId="0" borderId="0" xfId="1" applyFont="1" applyBorder="1"/>
    <xf numFmtId="9" fontId="5" fillId="0" borderId="0" xfId="2" applyFont="1"/>
    <xf numFmtId="0" fontId="2" fillId="0" borderId="0" xfId="0" applyFont="1" applyAlignment="1">
      <alignment horizontal="center"/>
    </xf>
    <xf numFmtId="0" fontId="12" fillId="0" borderId="0" xfId="0" applyFont="1"/>
    <xf numFmtId="43" fontId="2" fillId="7" borderId="4" xfId="0" applyNumberFormat="1" applyFont="1" applyFill="1" applyBorder="1" applyAlignment="1">
      <alignment horizontal="center"/>
    </xf>
    <xf numFmtId="0" fontId="0" fillId="7" borderId="0" xfId="0" applyFill="1"/>
    <xf numFmtId="0" fontId="14" fillId="0" borderId="0" xfId="0" applyFont="1"/>
    <xf numFmtId="0" fontId="15" fillId="0" borderId="0" xfId="0" applyFont="1"/>
    <xf numFmtId="43" fontId="14" fillId="0" borderId="0" xfId="1" applyFont="1"/>
    <xf numFmtId="43" fontId="14" fillId="0" borderId="0" xfId="0" applyNumberFormat="1" applyFont="1"/>
    <xf numFmtId="0" fontId="10" fillId="0" borderId="0" xfId="0" applyFont="1"/>
    <xf numFmtId="9" fontId="14" fillId="0" borderId="0" xfId="2" applyFont="1"/>
    <xf numFmtId="9" fontId="0" fillId="0" borderId="0" xfId="2" applyFont="1"/>
    <xf numFmtId="10" fontId="0" fillId="0" borderId="0" xfId="2" applyNumberFormat="1" applyFont="1"/>
    <xf numFmtId="0" fontId="9" fillId="6" borderId="5" xfId="0" applyFont="1" applyFill="1" applyBorder="1" applyAlignment="1">
      <alignment horizontal="center" vertical="center"/>
    </xf>
    <xf numFmtId="10" fontId="10" fillId="4" borderId="3" xfId="2" applyNumberFormat="1" applyFont="1" applyFill="1" applyBorder="1" applyAlignment="1">
      <alignment horizontal="center"/>
    </xf>
    <xf numFmtId="43" fontId="10" fillId="4" borderId="3" xfId="1" applyFont="1" applyFill="1" applyBorder="1"/>
    <xf numFmtId="43" fontId="0" fillId="0" borderId="0" xfId="0" applyNumberFormat="1"/>
    <xf numFmtId="0" fontId="5" fillId="0" borderId="0" xfId="0" applyFont="1"/>
    <xf numFmtId="10" fontId="5" fillId="0" borderId="0" xfId="0" applyNumberFormat="1" applyFont="1"/>
    <xf numFmtId="43" fontId="5" fillId="0" borderId="0" xfId="0" applyNumberFormat="1" applyFont="1"/>
    <xf numFmtId="43" fontId="20" fillId="0" borderId="0" xfId="0" applyNumberFormat="1" applyFont="1"/>
    <xf numFmtId="164" fontId="0" fillId="0" borderId="0" xfId="2" applyNumberFormat="1" applyFont="1"/>
    <xf numFmtId="0" fontId="5" fillId="0" borderId="0" xfId="0" applyFont="1" applyAlignment="1">
      <alignment horizontal="center"/>
    </xf>
    <xf numFmtId="10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 indent="1"/>
    </xf>
    <xf numFmtId="0" fontId="5" fillId="0" borderId="6" xfId="0" applyFont="1" applyBorder="1" applyAlignment="1">
      <alignment horizontal="left" indent="1"/>
    </xf>
    <xf numFmtId="10" fontId="5" fillId="0" borderId="6" xfId="0" applyNumberFormat="1" applyFont="1" applyBorder="1" applyAlignment="1">
      <alignment horizontal="center"/>
    </xf>
    <xf numFmtId="43" fontId="5" fillId="0" borderId="6" xfId="0" applyNumberFormat="1" applyFont="1" applyBorder="1"/>
    <xf numFmtId="0" fontId="4" fillId="9" borderId="4" xfId="0" applyFont="1" applyFill="1" applyBorder="1"/>
    <xf numFmtId="9" fontId="5" fillId="9" borderId="4" xfId="0" applyNumberFormat="1" applyFont="1" applyFill="1" applyBorder="1"/>
    <xf numFmtId="43" fontId="4" fillId="9" borderId="4" xfId="0" applyNumberFormat="1" applyFont="1" applyFill="1" applyBorder="1"/>
    <xf numFmtId="0" fontId="16" fillId="11" borderId="8" xfId="0" applyFont="1" applyFill="1" applyBorder="1"/>
    <xf numFmtId="43" fontId="13" fillId="7" borderId="8" xfId="0" applyNumberFormat="1" applyFont="1" applyFill="1" applyBorder="1"/>
    <xf numFmtId="0" fontId="9" fillId="6" borderId="7" xfId="0" applyFont="1" applyFill="1" applyBorder="1"/>
    <xf numFmtId="43" fontId="2" fillId="4" borderId="7" xfId="0" applyNumberFormat="1" applyFont="1" applyFill="1" applyBorder="1"/>
    <xf numFmtId="0" fontId="17" fillId="10" borderId="3" xfId="0" applyFont="1" applyFill="1" applyBorder="1"/>
    <xf numFmtId="10" fontId="18" fillId="4" borderId="0" xfId="2" applyNumberFormat="1" applyFont="1" applyFill="1" applyAlignment="1">
      <alignment horizontal="center"/>
    </xf>
    <xf numFmtId="43" fontId="0" fillId="0" borderId="0" xfId="1" applyFont="1"/>
    <xf numFmtId="0" fontId="4" fillId="0" borderId="1" xfId="0" applyFont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43" fontId="22" fillId="0" borderId="0" xfId="1" applyFont="1"/>
    <xf numFmtId="10" fontId="2" fillId="4" borderId="0" xfId="2" applyNumberFormat="1" applyFont="1" applyFill="1" applyBorder="1" applyAlignment="1">
      <alignment horizontal="center"/>
    </xf>
    <xf numFmtId="0" fontId="19" fillId="0" borderId="0" xfId="0" applyFont="1"/>
    <xf numFmtId="43" fontId="19" fillId="0" borderId="0" xfId="0" applyNumberFormat="1" applyFont="1"/>
    <xf numFmtId="0" fontId="4" fillId="0" borderId="1" xfId="0" applyFont="1" applyBorder="1" applyAlignment="1">
      <alignment horizontal="left"/>
    </xf>
    <xf numFmtId="0" fontId="0" fillId="0" borderId="1" xfId="0" applyBorder="1"/>
    <xf numFmtId="164" fontId="23" fillId="5" borderId="0" xfId="0" applyNumberFormat="1" applyFont="1" applyFill="1" applyBorder="1" applyAlignment="1">
      <alignment horizontal="center" vertical="top"/>
    </xf>
    <xf numFmtId="0" fontId="23" fillId="5" borderId="0" xfId="0" applyFont="1" applyFill="1" applyBorder="1" applyAlignment="1">
      <alignment horizontal="left" vertical="top"/>
    </xf>
    <xf numFmtId="0" fontId="21" fillId="7" borderId="0" xfId="0" applyFont="1" applyFill="1" applyAlignment="1">
      <alignment horizontal="center"/>
    </xf>
    <xf numFmtId="0" fontId="24" fillId="0" borderId="0" xfId="0" applyFont="1"/>
    <xf numFmtId="0" fontId="19" fillId="6" borderId="2" xfId="0" applyFont="1" applyFill="1" applyBorder="1"/>
    <xf numFmtId="0" fontId="17" fillId="6" borderId="2" xfId="0" applyFont="1" applyFill="1" applyBorder="1"/>
    <xf numFmtId="10" fontId="18" fillId="7" borderId="2" xfId="0" applyNumberFormat="1" applyFont="1" applyFill="1" applyBorder="1" applyAlignment="1">
      <alignment horizontal="center"/>
    </xf>
    <xf numFmtId="10" fontId="24" fillId="0" borderId="0" xfId="0" applyNumberFormat="1" applyFont="1" applyAlignment="1">
      <alignment horizontal="center"/>
    </xf>
    <xf numFmtId="9" fontId="24" fillId="0" borderId="0" xfId="0" applyNumberFormat="1" applyFont="1" applyAlignment="1">
      <alignment horizontal="center"/>
    </xf>
    <xf numFmtId="10" fontId="24" fillId="0" borderId="0" xfId="2" applyNumberFormat="1" applyFont="1" applyAlignment="1">
      <alignment horizontal="center"/>
    </xf>
    <xf numFmtId="9" fontId="24" fillId="0" borderId="0" xfId="2" applyFont="1" applyAlignment="1">
      <alignment horizontal="center"/>
    </xf>
    <xf numFmtId="9" fontId="24" fillId="7" borderId="2" xfId="0" applyNumberFormat="1" applyFont="1" applyFill="1" applyBorder="1" applyAlignment="1">
      <alignment horizontal="center"/>
    </xf>
    <xf numFmtId="164" fontId="24" fillId="0" borderId="2" xfId="2" applyNumberFormat="1" applyFont="1" applyBorder="1" applyAlignment="1">
      <alignment horizontal="center"/>
    </xf>
    <xf numFmtId="4" fontId="24" fillId="0" borderId="2" xfId="0" applyNumberFormat="1" applyFont="1" applyBorder="1" applyAlignment="1">
      <alignment horizontal="center"/>
    </xf>
    <xf numFmtId="0" fontId="19" fillId="6" borderId="2" xfId="0" applyFont="1" applyFill="1" applyBorder="1" applyAlignment="1">
      <alignment horizontal="center"/>
    </xf>
    <xf numFmtId="0" fontId="19" fillId="12" borderId="2" xfId="0" applyFont="1" applyFill="1" applyBorder="1"/>
    <xf numFmtId="9" fontId="24" fillId="13" borderId="2" xfId="0" applyNumberFormat="1" applyFont="1" applyFill="1" applyBorder="1" applyAlignment="1">
      <alignment horizontal="center"/>
    </xf>
    <xf numFmtId="0" fontId="25" fillId="0" borderId="0" xfId="0" applyFont="1"/>
    <xf numFmtId="0" fontId="26" fillId="0" borderId="1" xfId="0" applyFont="1" applyBorder="1" applyAlignment="1">
      <alignment horizontal="center"/>
    </xf>
    <xf numFmtId="0" fontId="27" fillId="13" borderId="0" xfId="0" applyFont="1" applyFill="1"/>
    <xf numFmtId="0" fontId="6" fillId="8" borderId="0" xfId="0" applyFont="1" applyFill="1" applyAlignment="1">
      <alignment horizontal="center"/>
    </xf>
    <xf numFmtId="0" fontId="21" fillId="6" borderId="0" xfId="0" applyFont="1" applyFill="1" applyAlignment="1">
      <alignment horizontal="center"/>
    </xf>
    <xf numFmtId="0" fontId="13" fillId="7" borderId="0" xfId="0" applyFont="1" applyFill="1" applyAlignment="1">
      <alignment horizontal="left" vertical="center"/>
    </xf>
    <xf numFmtId="0" fontId="9" fillId="6" borderId="5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4" fillId="0" borderId="6" xfId="0" applyFont="1" applyBorder="1" applyAlignment="1">
      <alignment horizontal="center"/>
    </xf>
  </cellXfs>
  <cellStyles count="3">
    <cellStyle name="Normal" xfId="0" builtinId="0"/>
    <cellStyle name="Porcentagem" xfId="2" builtinId="5"/>
    <cellStyle name="Vírgula" xfId="1" builtin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pt-BR"/>
              <a:t>Comparativo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Análise!$M$24:$M$25</c:f>
              <c:strCache>
                <c:ptCount val="2"/>
                <c:pt idx="0">
                  <c:v>SIMPLES - 2018</c:v>
                </c:pt>
                <c:pt idx="1">
                  <c:v>SIMPLES - 2017</c:v>
                </c:pt>
              </c:strCache>
            </c:strRef>
          </c:cat>
          <c:val>
            <c:numRef>
              <c:f>Análise!$N$24:$N$25</c:f>
              <c:numCache>
                <c:formatCode>_(* #,##0.00_);_(* \(#,##0.00\);_(* "-"??_);_(@_)</c:formatCode>
                <c:ptCount val="2"/>
                <c:pt idx="0">
                  <c:v>2714.0405999999998</c:v>
                </c:pt>
                <c:pt idx="1">
                  <c:v>2514.0625200000004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06-4D1F-BAD9-D7BE6BDBC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689327599"/>
        <c:axId val="1404333567"/>
      </c:barChart>
      <c:catAx>
        <c:axId val="1689327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333567"/>
        <c:crosses val="autoZero"/>
        <c:auto val="1"/>
        <c:lblAlgn val="ctr"/>
        <c:lblOffset val="100"/>
        <c:noMultiLvlLbl val="0"/>
      </c:catAx>
      <c:valAx>
        <c:axId val="140433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32759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pt-BR"/>
              <a:t>Comparativo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Análise!$M$47:$M$48</c:f>
              <c:strCache>
                <c:ptCount val="2"/>
                <c:pt idx="0">
                  <c:v>SIMPLES - 2018</c:v>
                </c:pt>
                <c:pt idx="1">
                  <c:v>Lucro Presumido</c:v>
                </c:pt>
              </c:strCache>
            </c:strRef>
          </c:cat>
          <c:val>
            <c:numRef>
              <c:f>Análise!$N$47:$N$48</c:f>
              <c:numCache>
                <c:formatCode>_(* #,##0.00_);_(* \(#,##0.00\);_(* "-"??_);_(@_)</c:formatCode>
                <c:ptCount val="2"/>
                <c:pt idx="0">
                  <c:v>2714.0405999999998</c:v>
                </c:pt>
                <c:pt idx="1">
                  <c:v>9601.5008899999993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38-441B-806B-C2FFD805E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689327599"/>
        <c:axId val="1404333567"/>
      </c:barChart>
      <c:catAx>
        <c:axId val="1689327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333567"/>
        <c:crosses val="autoZero"/>
        <c:auto val="1"/>
        <c:lblAlgn val="ctr"/>
        <c:lblOffset val="100"/>
        <c:noMultiLvlLbl val="0"/>
      </c:catAx>
      <c:valAx>
        <c:axId val="140433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32759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trlProps/ctrlProp1.xml><?xml version="1.0" encoding="utf-8"?>
<formControlPr xmlns="http://schemas.microsoft.com/office/spreadsheetml/2009/9/main" objectType="Drop" dropStyle="combo" dx="22" fmlaLink="Análise!$V$2" fmlaRange="Mestres!$G$4:$G$8" noThreeD="1" sel="4" val="0"/>
</file>

<file path=xl/ctrlProps/ctrlProp2.xml><?xml version="1.0" encoding="utf-8"?>
<formControlPr xmlns="http://schemas.microsoft.com/office/spreadsheetml/2009/9/main" objectType="Drop" dropStyle="combo" dx="22" fmlaLink="$V$3" fmlaRange="Mestres!$G$12:$G$18" noThreeD="1" sel="1" val="0"/>
</file>

<file path=xl/ctrlProps/ctrlProp3.xml><?xml version="1.0" encoding="utf-8"?>
<formControlPr xmlns="http://schemas.microsoft.com/office/spreadsheetml/2009/9/main" objectType="Drop" dropStyle="combo" dx="22" fmlaLink="$X$2" fmlaRange="Mestres!$O$4:$O$13" noThreeD="1" sel="7" val="2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866775</xdr:colOff>
          <xdr:row>1</xdr:row>
          <xdr:rowOff>66675</xdr:rowOff>
        </xdr:from>
        <xdr:to>
          <xdr:col>6</xdr:col>
          <xdr:colOff>781050</xdr:colOff>
          <xdr:row>2</xdr:row>
          <xdr:rowOff>133350</xdr:rowOff>
        </xdr:to>
        <xdr:sp macro="" textlink="">
          <xdr:nvSpPr>
            <xdr:cNvPr id="2049" name="Drop-dow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1076325</xdr:colOff>
          <xdr:row>1</xdr:row>
          <xdr:rowOff>66675</xdr:rowOff>
        </xdr:from>
        <xdr:to>
          <xdr:col>9</xdr:col>
          <xdr:colOff>752475</xdr:colOff>
          <xdr:row>2</xdr:row>
          <xdr:rowOff>133350</xdr:rowOff>
        </xdr:to>
        <xdr:sp macro="" textlink="">
          <xdr:nvSpPr>
            <xdr:cNvPr id="2050" name="Drop Dow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4761</xdr:colOff>
      <xdr:row>22</xdr:row>
      <xdr:rowOff>171450</xdr:rowOff>
    </xdr:from>
    <xdr:to>
      <xdr:col>10</xdr:col>
      <xdr:colOff>9524</xdr:colOff>
      <xdr:row>31</xdr:row>
      <xdr:rowOff>66675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4761</xdr:colOff>
      <xdr:row>41</xdr:row>
      <xdr:rowOff>171450</xdr:rowOff>
    </xdr:from>
    <xdr:to>
      <xdr:col>10</xdr:col>
      <xdr:colOff>9524</xdr:colOff>
      <xdr:row>50</xdr:row>
      <xdr:rowOff>66675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4473979-1EEC-4987-876D-3D44B185BE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</xdr:colOff>
          <xdr:row>35</xdr:row>
          <xdr:rowOff>76200</xdr:rowOff>
        </xdr:from>
        <xdr:to>
          <xdr:col>9</xdr:col>
          <xdr:colOff>742950</xdr:colOff>
          <xdr:row>36</xdr:row>
          <xdr:rowOff>133350</xdr:rowOff>
        </xdr:to>
        <xdr:sp macro="" textlink="">
          <xdr:nvSpPr>
            <xdr:cNvPr id="2051" name="Drop Down 2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64F35649-FEB1-46F9-9501-1EE3E3FB13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62</xdr:row>
          <xdr:rowOff>0</xdr:rowOff>
        </xdr:from>
        <xdr:to>
          <xdr:col>5</xdr:col>
          <xdr:colOff>542925</xdr:colOff>
          <xdr:row>64</xdr:row>
          <xdr:rowOff>28575</xdr:rowOff>
        </xdr:to>
        <xdr:sp macro="" textlink="">
          <xdr:nvSpPr>
            <xdr:cNvPr id="3075" name="Controle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3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X48"/>
  <sheetViews>
    <sheetView showGridLines="0" tabSelected="1" zoomScaleNormal="100" workbookViewId="0">
      <pane ySplit="3" topLeftCell="A4" activePane="bottomLeft" state="frozen"/>
      <selection pane="bottomLeft" activeCell="E44" sqref="E44"/>
    </sheetView>
  </sheetViews>
  <sheetFormatPr defaultRowHeight="15" x14ac:dyDescent="0.25"/>
  <cols>
    <col min="1" max="1" width="5" bestFit="1" customWidth="1"/>
    <col min="2" max="2" width="3" bestFit="1" customWidth="1"/>
    <col min="3" max="3" width="13.5703125" style="1" bestFit="1" customWidth="1"/>
    <col min="4" max="4" width="12.42578125" style="1" bestFit="1" customWidth="1"/>
    <col min="5" max="5" width="5.42578125" customWidth="1"/>
    <col min="6" max="6" width="38.5703125" bestFit="1" customWidth="1"/>
    <col min="7" max="7" width="13.28515625" bestFit="1" customWidth="1"/>
    <col min="8" max="8" width="4.85546875" bestFit="1" customWidth="1"/>
    <col min="9" max="9" width="32.28515625" customWidth="1"/>
    <col min="10" max="10" width="12.42578125" bestFit="1" customWidth="1"/>
    <col min="11" max="11" width="4.85546875" bestFit="1" customWidth="1"/>
    <col min="12" max="12" width="10.85546875" bestFit="1" customWidth="1"/>
    <col min="13" max="13" width="14" bestFit="1" customWidth="1"/>
    <col min="14" max="14" width="12.28515625" bestFit="1" customWidth="1"/>
    <col min="15" max="15" width="13.5703125" bestFit="1" customWidth="1"/>
    <col min="17" max="17" width="10.85546875" bestFit="1" customWidth="1"/>
  </cols>
  <sheetData>
    <row r="2" spans="1:24" x14ac:dyDescent="0.25">
      <c r="A2" s="116" t="s">
        <v>85</v>
      </c>
      <c r="B2" s="116" t="s">
        <v>48</v>
      </c>
      <c r="C2" s="60" t="s">
        <v>83</v>
      </c>
      <c r="D2" s="116" t="s">
        <v>88</v>
      </c>
      <c r="F2" s="115" t="s">
        <v>108</v>
      </c>
      <c r="G2" s="51"/>
      <c r="I2" s="115" t="s">
        <v>109</v>
      </c>
      <c r="J2" s="51"/>
      <c r="O2" s="52"/>
      <c r="U2" s="52">
        <v>2018</v>
      </c>
      <c r="V2" s="53">
        <v>4</v>
      </c>
      <c r="W2" t="s">
        <v>125</v>
      </c>
      <c r="X2">
        <v>7</v>
      </c>
    </row>
    <row r="3" spans="1:24" x14ac:dyDescent="0.25">
      <c r="A3" s="116"/>
      <c r="B3" s="116"/>
      <c r="C3" s="60">
        <v>2017</v>
      </c>
      <c r="D3" s="116"/>
      <c r="F3" s="115"/>
      <c r="G3" s="51"/>
      <c r="I3" s="115"/>
      <c r="J3" s="51"/>
      <c r="L3" s="87">
        <f>SUMIF(Mestres!I3:I23,J22,Mestres!K3:K23)</f>
        <v>540000</v>
      </c>
      <c r="O3" s="52"/>
      <c r="U3" s="52">
        <v>2017</v>
      </c>
      <c r="V3" s="52">
        <v>1</v>
      </c>
    </row>
    <row r="4" spans="1:24" x14ac:dyDescent="0.25">
      <c r="A4" s="48">
        <v>2017</v>
      </c>
      <c r="B4" s="48">
        <v>1</v>
      </c>
      <c r="C4" s="37">
        <v>36755.300000000003</v>
      </c>
      <c r="D4" s="37">
        <v>5500</v>
      </c>
    </row>
    <row r="5" spans="1:24" x14ac:dyDescent="0.25">
      <c r="A5" s="48">
        <v>2017</v>
      </c>
      <c r="B5" s="48">
        <v>2</v>
      </c>
      <c r="C5" s="37">
        <f t="shared" ref="C5:C7" si="0">C4</f>
        <v>36755.300000000003</v>
      </c>
      <c r="D5" s="37">
        <f>D4</f>
        <v>5500</v>
      </c>
      <c r="F5" s="56" t="s">
        <v>93</v>
      </c>
      <c r="G5" s="44">
        <f>C16</f>
        <v>441063.59999999992</v>
      </c>
    </row>
    <row r="6" spans="1:24" x14ac:dyDescent="0.25">
      <c r="A6" s="48">
        <v>2017</v>
      </c>
      <c r="B6" s="48">
        <v>3</v>
      </c>
      <c r="C6" s="37">
        <f t="shared" si="0"/>
        <v>36755.300000000003</v>
      </c>
      <c r="D6" s="37">
        <f t="shared" ref="C6:D15" si="1">D5</f>
        <v>5500</v>
      </c>
      <c r="F6" s="56" t="s">
        <v>94</v>
      </c>
      <c r="G6" s="46">
        <f>C29</f>
        <v>36755.300000000003</v>
      </c>
    </row>
    <row r="7" spans="1:24" x14ac:dyDescent="0.25">
      <c r="A7" s="48">
        <v>2017</v>
      </c>
      <c r="B7" s="48">
        <v>4</v>
      </c>
      <c r="C7" s="37">
        <f t="shared" si="0"/>
        <v>36755.300000000003</v>
      </c>
      <c r="D7" s="37">
        <f t="shared" si="1"/>
        <v>5500</v>
      </c>
      <c r="F7" s="56" t="s">
        <v>87</v>
      </c>
      <c r="G7" s="46">
        <f>IF(G6&gt;Mestres!D9,Análise!G6-Mestres!D9,0)</f>
        <v>0</v>
      </c>
      <c r="H7" s="47"/>
      <c r="I7" s="58"/>
      <c r="J7" s="64"/>
      <c r="K7" s="64"/>
      <c r="L7" s="64"/>
      <c r="M7" s="64"/>
    </row>
    <row r="8" spans="1:24" x14ac:dyDescent="0.25">
      <c r="A8" s="48">
        <v>2017</v>
      </c>
      <c r="B8" s="48">
        <v>5</v>
      </c>
      <c r="C8" s="37">
        <f>C7</f>
        <v>36755.300000000003</v>
      </c>
      <c r="D8" s="37">
        <f>D7</f>
        <v>5500</v>
      </c>
      <c r="F8" s="56"/>
      <c r="G8" s="46"/>
      <c r="H8" s="47"/>
      <c r="I8" s="58"/>
      <c r="J8" s="64"/>
      <c r="U8" s="113" t="s">
        <v>104</v>
      </c>
      <c r="V8" s="113"/>
      <c r="W8" s="113"/>
      <c r="X8" s="113"/>
    </row>
    <row r="9" spans="1:24" ht="15.75" x14ac:dyDescent="0.25">
      <c r="A9" s="48">
        <v>2017</v>
      </c>
      <c r="B9" s="48">
        <v>6</v>
      </c>
      <c r="C9" s="37">
        <f t="shared" si="1"/>
        <v>36755.300000000003</v>
      </c>
      <c r="D9" s="37">
        <f t="shared" si="1"/>
        <v>5500</v>
      </c>
      <c r="F9" s="114" t="s">
        <v>106</v>
      </c>
      <c r="G9" s="114"/>
      <c r="H9" s="114"/>
      <c r="I9" s="114"/>
      <c r="J9" s="114"/>
      <c r="U9" s="71" t="s">
        <v>100</v>
      </c>
      <c r="V9" s="70">
        <v>6.4999999999999997E-3</v>
      </c>
      <c r="W9" s="66">
        <f>$J$11*V9</f>
        <v>238.90945000000002</v>
      </c>
      <c r="X9" s="64"/>
    </row>
    <row r="10" spans="1:24" x14ac:dyDescent="0.25">
      <c r="A10" s="48">
        <v>2017</v>
      </c>
      <c r="B10" s="48">
        <v>7</v>
      </c>
      <c r="C10" s="37">
        <f t="shared" si="1"/>
        <v>36755.300000000003</v>
      </c>
      <c r="D10" s="37">
        <f t="shared" si="1"/>
        <v>5500</v>
      </c>
      <c r="U10" s="72" t="s">
        <v>43</v>
      </c>
      <c r="V10" s="73">
        <v>0.03</v>
      </c>
      <c r="W10" s="74">
        <f>$J$11*V10</f>
        <v>1102.6590000000001</v>
      </c>
      <c r="X10" s="64"/>
    </row>
    <row r="11" spans="1:24" ht="15.75" thickBot="1" x14ac:dyDescent="0.3">
      <c r="A11" s="48">
        <v>2017</v>
      </c>
      <c r="B11" s="48">
        <v>8</v>
      </c>
      <c r="C11" s="37">
        <f t="shared" si="1"/>
        <v>36755.300000000003</v>
      </c>
      <c r="D11" s="37">
        <f t="shared" si="1"/>
        <v>5500</v>
      </c>
      <c r="F11" s="45" t="s">
        <v>2</v>
      </c>
      <c r="G11" s="61">
        <f>SUMIFS('Anexos 2018'!E:E,'Anexos 2018'!A:A,Análise!V2,'Anexos 2018'!C:C,Análise!G22)</f>
        <v>0.10199999999999999</v>
      </c>
      <c r="I11" s="38" t="s">
        <v>86</v>
      </c>
      <c r="J11" s="40">
        <f>C17</f>
        <v>36755.300000000003</v>
      </c>
      <c r="U11" s="75" t="s">
        <v>105</v>
      </c>
      <c r="V11" s="76"/>
      <c r="W11" s="77">
        <f>SUM(W9:W10)</f>
        <v>1341.5684500000002</v>
      </c>
      <c r="X11" s="64"/>
    </row>
    <row r="12" spans="1:24" ht="15.75" thickTop="1" x14ac:dyDescent="0.25">
      <c r="A12" s="48">
        <v>2017</v>
      </c>
      <c r="B12" s="48">
        <v>9</v>
      </c>
      <c r="C12" s="37">
        <f t="shared" si="1"/>
        <v>36755.300000000003</v>
      </c>
      <c r="D12" s="37">
        <f t="shared" si="1"/>
        <v>5500</v>
      </c>
      <c r="F12" s="45" t="s">
        <v>79</v>
      </c>
      <c r="G12" s="62">
        <f>SUMIFS('Anexos 2018'!F:F,'Anexos 2018'!A:A,Análise!V2,'Anexos 2018'!C:C,Análise!G22)</f>
        <v>12420</v>
      </c>
      <c r="U12" s="64" t="s">
        <v>7</v>
      </c>
      <c r="V12" s="65">
        <f>32%*15%</f>
        <v>4.8000000000000001E-2</v>
      </c>
      <c r="W12" s="66">
        <f>$J$11*V12</f>
        <v>1764.2544000000003</v>
      </c>
      <c r="X12" s="64"/>
    </row>
    <row r="13" spans="1:24" x14ac:dyDescent="0.25">
      <c r="A13" s="48">
        <v>2017</v>
      </c>
      <c r="B13" s="48">
        <v>10</v>
      </c>
      <c r="C13" s="37">
        <f t="shared" si="1"/>
        <v>36755.300000000003</v>
      </c>
      <c r="D13" s="37">
        <f t="shared" si="1"/>
        <v>5500</v>
      </c>
      <c r="F13" s="38" t="s">
        <v>84</v>
      </c>
      <c r="G13" s="39">
        <f>((C16*G11)-G12)/C16</f>
        <v>7.3840795749184465E-2</v>
      </c>
      <c r="I13" s="38" t="s">
        <v>80</v>
      </c>
      <c r="J13" s="41">
        <f>J11*G13</f>
        <v>2714.0405999999998</v>
      </c>
      <c r="U13" s="64" t="s">
        <v>101</v>
      </c>
      <c r="V13" s="64"/>
      <c r="W13" s="66">
        <f>IF(((C17*3)*0.32)&lt;60000,0,((C17*3)*0.32)-60000)*0.1</f>
        <v>0</v>
      </c>
      <c r="X13" s="66">
        <f>C17*3</f>
        <v>110265.90000000001</v>
      </c>
    </row>
    <row r="14" spans="1:24" x14ac:dyDescent="0.25">
      <c r="A14" s="48">
        <v>2017</v>
      </c>
      <c r="B14" s="48">
        <v>11</v>
      </c>
      <c r="C14" s="37">
        <f t="shared" si="1"/>
        <v>36755.300000000003</v>
      </c>
      <c r="D14" s="37">
        <f t="shared" si="1"/>
        <v>5500</v>
      </c>
      <c r="I14" s="38" t="s">
        <v>90</v>
      </c>
      <c r="J14" s="39">
        <f>IF(G7=0,0,G13*1.2)</f>
        <v>0</v>
      </c>
      <c r="U14" s="64" t="s">
        <v>8</v>
      </c>
      <c r="V14" s="65">
        <f>32%*9%</f>
        <v>2.8799999999999999E-2</v>
      </c>
      <c r="W14" s="66">
        <f>$J$11*V14</f>
        <v>1058.5526400000001</v>
      </c>
      <c r="X14" s="66">
        <f>X13*32%</f>
        <v>35285.088000000003</v>
      </c>
    </row>
    <row r="15" spans="1:24" ht="15.75" thickBot="1" x14ac:dyDescent="0.3">
      <c r="A15" s="48">
        <v>2017</v>
      </c>
      <c r="B15" s="48">
        <v>12</v>
      </c>
      <c r="C15" s="37">
        <f t="shared" si="1"/>
        <v>36755.300000000003</v>
      </c>
      <c r="D15" s="37">
        <f t="shared" si="1"/>
        <v>5500</v>
      </c>
      <c r="F15" s="82" t="s">
        <v>89</v>
      </c>
      <c r="G15" s="83" t="str">
        <f>IF(V2=3,D16/C16,"N/A")</f>
        <v>N/A</v>
      </c>
      <c r="I15" s="80" t="s">
        <v>91</v>
      </c>
      <c r="J15" s="81">
        <f>G7*J14</f>
        <v>0</v>
      </c>
      <c r="U15" s="64" t="s">
        <v>34</v>
      </c>
      <c r="V15" s="65">
        <v>0.05</v>
      </c>
      <c r="W15" s="66">
        <f>$J$11*V15</f>
        <v>1837.7650000000003</v>
      </c>
      <c r="X15" s="66">
        <f>X14*32%</f>
        <v>11291.228160000001</v>
      </c>
    </row>
    <row r="16" spans="1:24" ht="17.25" thickTop="1" thickBot="1" x14ac:dyDescent="0.3">
      <c r="B16" s="11"/>
      <c r="C16" s="50">
        <f>SUM(C4:C15)</f>
        <v>441063.59999999992</v>
      </c>
      <c r="D16" s="50">
        <f>SUM(D4:D15)</f>
        <v>66000</v>
      </c>
      <c r="F16" s="49" t="str">
        <f>IF(V2&lt;&gt;3,"",IF(G15&lt;0.28,"MIGRAR PARA ANEXO V",""))</f>
        <v/>
      </c>
      <c r="I16" s="78" t="s">
        <v>92</v>
      </c>
      <c r="J16" s="79">
        <f>J15+J13</f>
        <v>2714.0405999999998</v>
      </c>
      <c r="K16" s="59"/>
      <c r="S16" s="54">
        <v>3800000</v>
      </c>
      <c r="U16" s="64" t="s">
        <v>103</v>
      </c>
      <c r="V16" s="65">
        <v>0.2</v>
      </c>
      <c r="W16" s="66">
        <f>V16*D17</f>
        <v>1100</v>
      </c>
      <c r="X16" s="52"/>
    </row>
    <row r="17" spans="1:23" ht="17.25" thickTop="1" x14ac:dyDescent="0.35">
      <c r="A17" s="48">
        <v>2018</v>
      </c>
      <c r="B17" s="48">
        <v>1</v>
      </c>
      <c r="C17" s="37">
        <f>C15</f>
        <v>36755.300000000003</v>
      </c>
      <c r="D17" s="37">
        <f>D15</f>
        <v>5500</v>
      </c>
      <c r="S17" s="54">
        <v>3600000</v>
      </c>
      <c r="U17" s="67" t="s">
        <v>102</v>
      </c>
      <c r="V17" s="64"/>
      <c r="W17" s="67">
        <f>SUM(W9:W16)</f>
        <v>8443.7089400000004</v>
      </c>
    </row>
    <row r="18" spans="1:23" ht="15.75" x14ac:dyDescent="0.25">
      <c r="A18" s="48">
        <v>2018</v>
      </c>
      <c r="B18" s="48">
        <v>2</v>
      </c>
      <c r="F18" s="114" t="s">
        <v>107</v>
      </c>
      <c r="G18" s="114"/>
      <c r="H18" s="114"/>
      <c r="I18" s="114"/>
      <c r="J18" s="114"/>
      <c r="K18" s="84"/>
      <c r="S18" s="54">
        <v>4320000</v>
      </c>
      <c r="W18" s="68">
        <f>W17/J11</f>
        <v>0.22972765669168799</v>
      </c>
    </row>
    <row r="19" spans="1:23" x14ac:dyDescent="0.25">
      <c r="A19" s="48">
        <v>2018</v>
      </c>
      <c r="B19" s="48">
        <v>3</v>
      </c>
      <c r="S19" s="55">
        <f>S18-S17</f>
        <v>720000</v>
      </c>
      <c r="W19" s="63">
        <f>W17-J13</f>
        <v>5729.6683400000002</v>
      </c>
    </row>
    <row r="20" spans="1:23" x14ac:dyDescent="0.25">
      <c r="A20" s="48">
        <v>2018</v>
      </c>
      <c r="B20" s="48">
        <v>4</v>
      </c>
      <c r="F20" s="38" t="s">
        <v>110</v>
      </c>
      <c r="G20" s="41">
        <f>J16</f>
        <v>2714.0405999999998</v>
      </c>
      <c r="I20" s="38" t="s">
        <v>111</v>
      </c>
      <c r="J20" s="41">
        <f>J21*J11</f>
        <v>2514.0625200000004</v>
      </c>
      <c r="L20" s="63"/>
      <c r="S20" s="57">
        <f>S19/S17</f>
        <v>0.2</v>
      </c>
    </row>
    <row r="21" spans="1:23" x14ac:dyDescent="0.25">
      <c r="A21" s="48">
        <v>2018</v>
      </c>
      <c r="B21" s="48">
        <v>5</v>
      </c>
      <c r="F21" s="38" t="s">
        <v>84</v>
      </c>
      <c r="G21" s="39">
        <f>G13</f>
        <v>7.3840795749184465E-2</v>
      </c>
      <c r="I21" s="38" t="s">
        <v>84</v>
      </c>
      <c r="J21" s="88">
        <f>SUMIFS('Anexos 2017'!E:E,'Anexos 2017'!B:B,Análise!J22,'Anexos 2017'!A:A,Análise!V3)</f>
        <v>6.8400000000000002E-2</v>
      </c>
      <c r="S21" s="52"/>
    </row>
    <row r="22" spans="1:23" x14ac:dyDescent="0.25">
      <c r="A22" s="48">
        <v>2018</v>
      </c>
      <c r="B22" s="48">
        <v>6</v>
      </c>
      <c r="F22" s="42" t="s">
        <v>4</v>
      </c>
      <c r="G22" s="43">
        <f>IF(C16&lt;=Mestres!D4,Mestres!B4,IF(C16&lt;=Mestres!D5,Mestres!B5,IF(C16&lt;=Mestres!D6,Mestres!B6,IF(C16&lt;=Mestres!D7,Mestres!B7,IF(C16&lt;=Mestres!D8,Mestres!B8,Mestres!B9)))))</f>
        <v>3</v>
      </c>
      <c r="I22" s="42" t="s">
        <v>4</v>
      </c>
      <c r="J22" s="43">
        <f>IF(C16&lt;=Mestres!K4,Mestres!I4,IF(C16&lt;=Mestres!K5,Mestres!I5,IF(C16&lt;=Mestres!K6,Mestres!I6,IF(C16&lt;=Mestres!K7,Mestres!I7,IF(C16&lt;=Mestres!K8,Mestres!I8,IF(C16&lt;=Mestres!K9,Mestres!I9,IF(C16&lt;=Mestres!K10,Mestres!I10,IF(C16&lt;=Mestres!K11,Mestres!I11,IF(C16&lt;=Mestres!K12,Mestres!I12,IF(C16&lt;=Mestres!K13,Mestres!I13,IF(C16&lt;=Mestres!K14,Mestres!I14,IF(C16&lt;=Mestres!K15,Mestres!I15,IF(C16&lt;=Mestres!K16,Mestres!I16,IF(C16&lt;=Mestres!K17,Mestres!I17,IF(C16&lt;=Mestres!K18,Mestres!I18,IF(C16&lt;=Mestres!K19,Mestres!I19,IF(C16&lt;=Mestres!K20,Mestres!I20,IF(C16&lt;=Mestres!K21,Mestres!I21,IF(C16&lt;=Mestres!K22,Mestres!I22,Mestres!I23)))))))))))))))))))</f>
        <v>3</v>
      </c>
    </row>
    <row r="23" spans="1:23" x14ac:dyDescent="0.25">
      <c r="A23" s="48">
        <v>2018</v>
      </c>
      <c r="B23" s="48">
        <v>7</v>
      </c>
      <c r="I23" s="59"/>
    </row>
    <row r="24" spans="1:23" x14ac:dyDescent="0.25">
      <c r="A24" s="48">
        <v>2018</v>
      </c>
      <c r="B24" s="48">
        <v>8</v>
      </c>
      <c r="G24" s="63"/>
      <c r="M24" s="89" t="str">
        <f>F20</f>
        <v>SIMPLES - 2018</v>
      </c>
      <c r="N24" s="90">
        <f>G20</f>
        <v>2714.0405999999998</v>
      </c>
    </row>
    <row r="25" spans="1:23" x14ac:dyDescent="0.25">
      <c r="A25" s="48">
        <v>2018</v>
      </c>
      <c r="B25" s="48">
        <v>9</v>
      </c>
      <c r="M25" s="89" t="str">
        <f>I20</f>
        <v>SIMPLES - 2017</v>
      </c>
      <c r="N25" s="90">
        <f>J20</f>
        <v>2514.0625200000004</v>
      </c>
    </row>
    <row r="26" spans="1:23" x14ac:dyDescent="0.25">
      <c r="A26" s="48">
        <v>2018</v>
      </c>
      <c r="B26" s="48">
        <v>10</v>
      </c>
    </row>
    <row r="27" spans="1:23" x14ac:dyDescent="0.25">
      <c r="A27" s="48">
        <v>2018</v>
      </c>
      <c r="B27" s="48">
        <v>11</v>
      </c>
      <c r="G27" s="63"/>
    </row>
    <row r="28" spans="1:23" x14ac:dyDescent="0.25">
      <c r="A28" s="48">
        <v>2018</v>
      </c>
      <c r="B28" s="48">
        <v>12</v>
      </c>
      <c r="G28" s="58"/>
    </row>
    <row r="29" spans="1:23" ht="15.75" thickBot="1" x14ac:dyDescent="0.3">
      <c r="C29" s="50">
        <f>SUM(C17:C28)</f>
        <v>36755.300000000003</v>
      </c>
      <c r="D29" s="50">
        <f>SUM(D17:D28)</f>
        <v>5500</v>
      </c>
    </row>
    <row r="30" spans="1:23" ht="15.75" thickTop="1" x14ac:dyDescent="0.25"/>
    <row r="34" spans="6:18" ht="15.75" x14ac:dyDescent="0.25">
      <c r="F34" s="114" t="s">
        <v>112</v>
      </c>
      <c r="G34" s="114"/>
      <c r="H34" s="114"/>
      <c r="I34" s="114"/>
      <c r="J34" s="114"/>
      <c r="L34" s="96"/>
      <c r="M34" s="96"/>
      <c r="N34" s="96"/>
      <c r="O34" s="96"/>
    </row>
    <row r="35" spans="6:18" x14ac:dyDescent="0.25">
      <c r="L35" s="96"/>
      <c r="M35" s="96"/>
      <c r="N35" s="96"/>
      <c r="O35" s="96"/>
    </row>
    <row r="36" spans="6:18" ht="15.75" x14ac:dyDescent="0.25">
      <c r="F36" s="95"/>
      <c r="G36" s="95"/>
      <c r="H36" s="95"/>
      <c r="I36" s="95"/>
      <c r="J36" s="95"/>
      <c r="L36" s="96"/>
      <c r="M36" s="98" t="s">
        <v>102</v>
      </c>
      <c r="N36" s="99">
        <f>SUM(N37:N43)</f>
        <v>0.23129999999999995</v>
      </c>
      <c r="O36" s="96"/>
    </row>
    <row r="37" spans="6:18" ht="15.75" x14ac:dyDescent="0.25">
      <c r="F37" s="95"/>
      <c r="G37" s="95"/>
      <c r="H37" s="95"/>
      <c r="I37" s="95"/>
      <c r="J37" s="95"/>
      <c r="L37" s="96"/>
      <c r="M37" s="96" t="s">
        <v>100</v>
      </c>
      <c r="N37" s="100">
        <v>6.4999999999999997E-3</v>
      </c>
      <c r="O37" s="96"/>
    </row>
    <row r="38" spans="6:18" x14ac:dyDescent="0.25">
      <c r="L38" s="96"/>
      <c r="M38" s="96" t="s">
        <v>43</v>
      </c>
      <c r="N38" s="101">
        <v>0.03</v>
      </c>
      <c r="O38" s="107" t="s">
        <v>126</v>
      </c>
    </row>
    <row r="39" spans="6:18" x14ac:dyDescent="0.25">
      <c r="F39" s="38" t="s">
        <v>110</v>
      </c>
      <c r="G39" s="41">
        <f>J16</f>
        <v>2714.0405999999998</v>
      </c>
      <c r="I39" s="38" t="s">
        <v>104</v>
      </c>
      <c r="J39" s="41">
        <f>J41*J11</f>
        <v>9601.5008899999993</v>
      </c>
      <c r="L39" s="96"/>
      <c r="M39" s="96" t="s">
        <v>7</v>
      </c>
      <c r="N39" s="102">
        <f>SUMIF(Mestres!M4:M13,X2,Mestres!N4:N13)*0.15</f>
        <v>4.8000000000000001E-2</v>
      </c>
      <c r="O39" s="105">
        <f>SUMIF(Mestres!M4:M13,X2,Mestres!N4:N13)</f>
        <v>0.32</v>
      </c>
    </row>
    <row r="40" spans="6:18" x14ac:dyDescent="0.25">
      <c r="F40" s="38" t="s">
        <v>84</v>
      </c>
      <c r="G40" s="39">
        <f>G13</f>
        <v>7.3840795749184465E-2</v>
      </c>
      <c r="I40" s="38" t="s">
        <v>128</v>
      </c>
      <c r="J40" s="41">
        <f>D17*N44</f>
        <v>1100</v>
      </c>
      <c r="L40" s="96"/>
      <c r="M40" s="96" t="s">
        <v>101</v>
      </c>
      <c r="N40" s="103">
        <f>IF(O40&gt;20000,(O40-20000)/J11*0.1,0)</f>
        <v>0</v>
      </c>
      <c r="O40" s="106">
        <f>O39*J11</f>
        <v>11761.696000000002</v>
      </c>
    </row>
    <row r="41" spans="6:18" x14ac:dyDescent="0.25">
      <c r="F41" s="42" t="s">
        <v>4</v>
      </c>
      <c r="G41" s="43">
        <f>G22</f>
        <v>3</v>
      </c>
      <c r="I41" s="38" t="s">
        <v>84</v>
      </c>
      <c r="J41" s="88">
        <f>N36+(J40/J11)</f>
        <v>0.26122765669168796</v>
      </c>
      <c r="L41" s="96"/>
      <c r="M41" s="96" t="s">
        <v>8</v>
      </c>
      <c r="N41" s="102">
        <f>SUMIF(Mestres!M4:M13,X2,Mestres!N4:N13)*0.09</f>
        <v>2.8799999999999999E-2</v>
      </c>
      <c r="O41" s="96"/>
    </row>
    <row r="42" spans="6:18" x14ac:dyDescent="0.25">
      <c r="I42" s="59"/>
      <c r="L42" s="96"/>
      <c r="M42" s="97" t="s">
        <v>34</v>
      </c>
      <c r="N42" s="104">
        <v>0</v>
      </c>
      <c r="O42" s="96"/>
      <c r="P42" s="110"/>
      <c r="Q42" s="111" t="s">
        <v>130</v>
      </c>
      <c r="R42" s="111" t="s">
        <v>12</v>
      </c>
    </row>
    <row r="43" spans="6:18" x14ac:dyDescent="0.25">
      <c r="G43" s="63"/>
      <c r="L43" s="96"/>
      <c r="M43" s="97" t="s">
        <v>12</v>
      </c>
      <c r="N43" s="104">
        <f>R45</f>
        <v>0.11799999999999997</v>
      </c>
      <c r="O43" s="96"/>
      <c r="P43" s="110" t="s">
        <v>131</v>
      </c>
      <c r="Q43" s="110">
        <v>100</v>
      </c>
      <c r="R43" s="110">
        <f>-Q43*0.17</f>
        <v>-17</v>
      </c>
    </row>
    <row r="44" spans="6:18" x14ac:dyDescent="0.25">
      <c r="L44" s="96"/>
      <c r="M44" s="108" t="s">
        <v>127</v>
      </c>
      <c r="N44" s="109">
        <v>0.2</v>
      </c>
      <c r="O44" s="96"/>
      <c r="P44" s="110" t="s">
        <v>129</v>
      </c>
      <c r="Q44" s="110">
        <f>Q43*1.6</f>
        <v>160</v>
      </c>
      <c r="R44" s="110">
        <f>Q44*0.18</f>
        <v>28.799999999999997</v>
      </c>
    </row>
    <row r="45" spans="6:18" x14ac:dyDescent="0.25">
      <c r="L45" s="96"/>
      <c r="O45" s="96"/>
      <c r="P45" s="110"/>
      <c r="Q45" s="110" t="s">
        <v>132</v>
      </c>
      <c r="R45" s="112">
        <f>SUM(R43:R44)/100</f>
        <v>0.11799999999999997</v>
      </c>
    </row>
    <row r="46" spans="6:18" x14ac:dyDescent="0.25">
      <c r="G46" s="63"/>
    </row>
    <row r="47" spans="6:18" x14ac:dyDescent="0.25">
      <c r="G47" s="58"/>
      <c r="M47" s="89" t="str">
        <f>F39</f>
        <v>SIMPLES - 2018</v>
      </c>
      <c r="N47" s="90">
        <f>G39</f>
        <v>2714.0405999999998</v>
      </c>
    </row>
    <row r="48" spans="6:18" x14ac:dyDescent="0.25">
      <c r="M48" s="89" t="str">
        <f>I39</f>
        <v>Lucro Presumido</v>
      </c>
      <c r="N48" s="90">
        <f>J39</f>
        <v>9601.5008899999993</v>
      </c>
    </row>
  </sheetData>
  <mergeCells count="9">
    <mergeCell ref="A2:A3"/>
    <mergeCell ref="B2:B3"/>
    <mergeCell ref="D2:D3"/>
    <mergeCell ref="U8:X8"/>
    <mergeCell ref="F34:J34"/>
    <mergeCell ref="F9:J9"/>
    <mergeCell ref="F18:J18"/>
    <mergeCell ref="I2:I3"/>
    <mergeCell ref="F2:F3"/>
  </mergeCells>
  <conditionalFormatting sqref="G15">
    <cfRule type="cellIs" dxfId="0" priority="5" operator="lessThan">
      <formula>0.28</formula>
    </cfRule>
  </conditionalFormatting>
  <conditionalFormatting sqref="G24">
    <cfRule type="iconSet" priority="4">
      <iconSet iconSet="3Symbols2">
        <cfvo type="percent" val="0"/>
        <cfvo type="num" val="0"/>
        <cfvo type="num" val="0"/>
      </iconSet>
    </cfRule>
  </conditionalFormatting>
  <conditionalFormatting sqref="G20">
    <cfRule type="iconSet" priority="3">
      <iconSet iconSet="3Symbols2" reverse="1">
        <cfvo type="percent" val="0"/>
        <cfvo type="num" val="$J$20"/>
        <cfvo type="num" val="$J$20"/>
      </iconSet>
    </cfRule>
  </conditionalFormatting>
  <conditionalFormatting sqref="G43">
    <cfRule type="iconSet" priority="2">
      <iconSet iconSet="3Symbols2">
        <cfvo type="percent" val="0"/>
        <cfvo type="num" val="0"/>
        <cfvo type="num" val="0"/>
      </iconSet>
    </cfRule>
  </conditionalFormatting>
  <conditionalFormatting sqref="G39">
    <cfRule type="iconSet" priority="1">
      <iconSet iconSet="3Symbols2" reverse="1">
        <cfvo type="percent" val="0"/>
        <cfvo type="num" val="$J$39"/>
        <cfvo type="num" val="$J$39"/>
      </iconSet>
    </cfRule>
  </conditionalFormatting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Drop-down 1">
              <controlPr defaultSize="0" autoLine="0" autoPict="0">
                <anchor moveWithCells="1">
                  <from>
                    <xdr:col>5</xdr:col>
                    <xdr:colOff>866775</xdr:colOff>
                    <xdr:row>1</xdr:row>
                    <xdr:rowOff>66675</xdr:rowOff>
                  </from>
                  <to>
                    <xdr:col>6</xdr:col>
                    <xdr:colOff>781050</xdr:colOff>
                    <xdr:row>2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4" name="Drop Down 2">
              <controlPr defaultSize="0" autoLine="0" autoPict="0">
                <anchor moveWithCells="1">
                  <from>
                    <xdr:col>8</xdr:col>
                    <xdr:colOff>1076325</xdr:colOff>
                    <xdr:row>1</xdr:row>
                    <xdr:rowOff>66675</xdr:rowOff>
                  </from>
                  <to>
                    <xdr:col>9</xdr:col>
                    <xdr:colOff>752475</xdr:colOff>
                    <xdr:row>2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5" name="Drop Down 2">
              <controlPr defaultSize="0" autoLine="0" autoPict="0">
                <anchor moveWithCells="1">
                  <from>
                    <xdr:col>5</xdr:col>
                    <xdr:colOff>95250</xdr:colOff>
                    <xdr:row>35</xdr:row>
                    <xdr:rowOff>76200</xdr:rowOff>
                  </from>
                  <to>
                    <xdr:col>9</xdr:col>
                    <xdr:colOff>742950</xdr:colOff>
                    <xdr:row>36</xdr:row>
                    <xdr:rowOff>133350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55"/>
  <sheetViews>
    <sheetView showGridLines="0" workbookViewId="0">
      <selection activeCell="O5" sqref="O5"/>
    </sheetView>
  </sheetViews>
  <sheetFormatPr defaultRowHeight="15" x14ac:dyDescent="0.25"/>
  <cols>
    <col min="1" max="1" width="3.85546875" customWidth="1"/>
    <col min="2" max="2" width="6.42578125" bestFit="1" customWidth="1"/>
    <col min="3" max="3" width="8.5703125" bestFit="1" customWidth="1"/>
    <col min="4" max="4" width="11.140625" bestFit="1" customWidth="1"/>
    <col min="5" max="5" width="3.85546875" customWidth="1"/>
    <col min="7" max="7" width="19.5703125" bestFit="1" customWidth="1"/>
    <col min="8" max="8" width="3.85546875" customWidth="1"/>
    <col min="11" max="11" width="13.28515625" bestFit="1" customWidth="1"/>
    <col min="15" max="15" width="49.7109375" customWidth="1"/>
  </cols>
  <sheetData>
    <row r="2" spans="2:16" x14ac:dyDescent="0.25">
      <c r="B2" s="118">
        <v>2018</v>
      </c>
      <c r="C2" s="118"/>
      <c r="D2" s="118"/>
      <c r="E2" s="64"/>
      <c r="F2" s="118">
        <v>2018</v>
      </c>
      <c r="G2" s="118"/>
      <c r="I2" s="118">
        <v>2017</v>
      </c>
      <c r="J2" s="118"/>
      <c r="K2" s="118"/>
      <c r="M2" s="117" t="s">
        <v>104</v>
      </c>
      <c r="N2" s="117"/>
      <c r="O2" s="117"/>
      <c r="P2" s="117"/>
    </row>
    <row r="3" spans="2:16" x14ac:dyDescent="0.25">
      <c r="B3" s="85" t="s">
        <v>76</v>
      </c>
      <c r="C3" s="85" t="s">
        <v>78</v>
      </c>
      <c r="D3" s="85" t="s">
        <v>77</v>
      </c>
      <c r="E3" s="64"/>
      <c r="F3" s="86" t="s">
        <v>81</v>
      </c>
      <c r="G3" s="86" t="s">
        <v>82</v>
      </c>
      <c r="I3" s="85" t="s">
        <v>76</v>
      </c>
      <c r="J3" s="85" t="s">
        <v>78</v>
      </c>
      <c r="K3" s="85" t="s">
        <v>77</v>
      </c>
      <c r="M3" s="85" t="s">
        <v>4</v>
      </c>
      <c r="N3" s="85" t="s">
        <v>124</v>
      </c>
      <c r="O3" s="91" t="s">
        <v>113</v>
      </c>
      <c r="P3" s="92"/>
    </row>
    <row r="4" spans="2:16" x14ac:dyDescent="0.25">
      <c r="B4" s="69">
        <v>1</v>
      </c>
      <c r="C4" s="69">
        <v>2018</v>
      </c>
      <c r="D4" s="3">
        <v>180000</v>
      </c>
      <c r="E4" s="64"/>
      <c r="F4" s="69">
        <v>1</v>
      </c>
      <c r="G4" s="64" t="s">
        <v>95</v>
      </c>
      <c r="I4" s="69">
        <v>1</v>
      </c>
      <c r="J4" s="69">
        <v>2017</v>
      </c>
      <c r="K4" s="3">
        <v>180000</v>
      </c>
      <c r="M4" s="69">
        <v>1</v>
      </c>
      <c r="N4" s="93">
        <v>1.6E-2</v>
      </c>
      <c r="O4" s="94" t="s">
        <v>114</v>
      </c>
    </row>
    <row r="5" spans="2:16" x14ac:dyDescent="0.25">
      <c r="B5" s="69">
        <v>2</v>
      </c>
      <c r="C5" s="69">
        <v>2018</v>
      </c>
      <c r="D5" s="3">
        <v>360000</v>
      </c>
      <c r="E5" s="64"/>
      <c r="F5" s="69">
        <v>2</v>
      </c>
      <c r="G5" s="64" t="s">
        <v>96</v>
      </c>
      <c r="I5" s="69">
        <v>2</v>
      </c>
      <c r="J5" s="69">
        <v>2017</v>
      </c>
      <c r="K5" s="3">
        <v>360000</v>
      </c>
      <c r="M5" s="69">
        <v>2</v>
      </c>
      <c r="N5" s="93">
        <v>0.08</v>
      </c>
      <c r="O5" s="94" t="s">
        <v>115</v>
      </c>
    </row>
    <row r="6" spans="2:16" x14ac:dyDescent="0.25">
      <c r="B6" s="69">
        <v>3</v>
      </c>
      <c r="C6" s="69">
        <v>2018</v>
      </c>
      <c r="D6" s="3">
        <v>720000</v>
      </c>
      <c r="E6" s="64"/>
      <c r="F6" s="69">
        <v>3</v>
      </c>
      <c r="G6" s="64" t="s">
        <v>97</v>
      </c>
      <c r="I6" s="69">
        <v>3</v>
      </c>
      <c r="J6" s="69">
        <v>2017</v>
      </c>
      <c r="K6" s="3">
        <v>540000</v>
      </c>
      <c r="M6" s="69">
        <v>3</v>
      </c>
      <c r="N6" s="93">
        <v>0.08</v>
      </c>
      <c r="O6" s="94" t="s">
        <v>116</v>
      </c>
    </row>
    <row r="7" spans="2:16" x14ac:dyDescent="0.25">
      <c r="B7" s="69">
        <v>4</v>
      </c>
      <c r="C7" s="69">
        <v>2018</v>
      </c>
      <c r="D7" s="3">
        <v>1800000</v>
      </c>
      <c r="E7" s="64"/>
      <c r="F7" s="69">
        <v>4</v>
      </c>
      <c r="G7" s="64" t="s">
        <v>98</v>
      </c>
      <c r="I7" s="69">
        <v>4</v>
      </c>
      <c r="J7" s="69">
        <v>2017</v>
      </c>
      <c r="K7" s="3">
        <v>720000</v>
      </c>
      <c r="M7" s="69">
        <v>4</v>
      </c>
      <c r="N7" s="93">
        <v>0.08</v>
      </c>
      <c r="O7" s="94" t="s">
        <v>117</v>
      </c>
    </row>
    <row r="8" spans="2:16" x14ac:dyDescent="0.25">
      <c r="B8" s="69">
        <v>5</v>
      </c>
      <c r="C8" s="69">
        <v>2018</v>
      </c>
      <c r="D8" s="3">
        <v>3600000</v>
      </c>
      <c r="E8" s="64"/>
      <c r="F8" s="69">
        <v>5</v>
      </c>
      <c r="G8" s="64" t="s">
        <v>99</v>
      </c>
      <c r="I8" s="69">
        <v>5</v>
      </c>
      <c r="J8" s="69">
        <v>2017</v>
      </c>
      <c r="K8" s="3">
        <v>900000</v>
      </c>
      <c r="M8" s="69">
        <v>5</v>
      </c>
      <c r="N8" s="93">
        <v>0.08</v>
      </c>
      <c r="O8" s="94" t="s">
        <v>118</v>
      </c>
    </row>
    <row r="9" spans="2:16" x14ac:dyDescent="0.25">
      <c r="B9" s="69">
        <v>6</v>
      </c>
      <c r="C9" s="69">
        <v>2018</v>
      </c>
      <c r="D9" s="3">
        <v>4800000</v>
      </c>
      <c r="E9" s="64"/>
      <c r="I9" s="69">
        <v>6</v>
      </c>
      <c r="J9" s="69">
        <v>2017</v>
      </c>
      <c r="K9" s="3">
        <v>1080000</v>
      </c>
      <c r="M9" s="69">
        <v>6</v>
      </c>
      <c r="N9" s="93">
        <v>0.16</v>
      </c>
      <c r="O9" s="94" t="s">
        <v>119</v>
      </c>
    </row>
    <row r="10" spans="2:16" x14ac:dyDescent="0.25">
      <c r="B10" s="64"/>
      <c r="C10" s="64"/>
      <c r="D10" s="64"/>
      <c r="E10" s="64"/>
      <c r="F10" s="118">
        <v>2017</v>
      </c>
      <c r="G10" s="118"/>
      <c r="I10" s="69">
        <f t="shared" ref="I10:I23" si="0">I9+1</f>
        <v>7</v>
      </c>
      <c r="J10" s="69">
        <v>2017</v>
      </c>
      <c r="K10" s="3">
        <v>1260000</v>
      </c>
      <c r="M10" s="69">
        <f t="shared" ref="M10:M13" si="1">M9+1</f>
        <v>7</v>
      </c>
      <c r="N10" s="93">
        <v>0.32</v>
      </c>
      <c r="O10" s="94" t="s">
        <v>120</v>
      </c>
    </row>
    <row r="11" spans="2:16" x14ac:dyDescent="0.25">
      <c r="B11" s="64"/>
      <c r="C11" s="64"/>
      <c r="D11" s="64"/>
      <c r="E11" s="64"/>
      <c r="F11" s="86" t="s">
        <v>81</v>
      </c>
      <c r="G11" s="86" t="s">
        <v>82</v>
      </c>
      <c r="I11" s="69">
        <f t="shared" si="0"/>
        <v>8</v>
      </c>
      <c r="J11" s="69">
        <v>2017</v>
      </c>
      <c r="K11" s="3">
        <v>1440000</v>
      </c>
      <c r="M11" s="69">
        <f t="shared" si="1"/>
        <v>8</v>
      </c>
      <c r="N11" s="93">
        <v>0.32</v>
      </c>
      <c r="O11" s="94" t="s">
        <v>121</v>
      </c>
    </row>
    <row r="12" spans="2:16" x14ac:dyDescent="0.25">
      <c r="B12" s="64"/>
      <c r="C12" s="64"/>
      <c r="D12" s="64"/>
      <c r="E12" s="64"/>
      <c r="F12" s="69">
        <v>1</v>
      </c>
      <c r="G12" s="64" t="s">
        <v>95</v>
      </c>
      <c r="I12" s="69">
        <f t="shared" si="0"/>
        <v>9</v>
      </c>
      <c r="J12" s="69">
        <v>2017</v>
      </c>
      <c r="K12" s="3">
        <v>1620000</v>
      </c>
      <c r="M12" s="69">
        <f t="shared" si="1"/>
        <v>9</v>
      </c>
      <c r="N12" s="93">
        <v>0.32</v>
      </c>
      <c r="O12" s="94" t="s">
        <v>122</v>
      </c>
    </row>
    <row r="13" spans="2:16" x14ac:dyDescent="0.25">
      <c r="B13" s="64"/>
      <c r="C13" s="64"/>
      <c r="D13" s="64"/>
      <c r="E13" s="64"/>
      <c r="F13" s="69">
        <v>2</v>
      </c>
      <c r="G13" s="64" t="s">
        <v>96</v>
      </c>
      <c r="I13" s="69">
        <f t="shared" si="0"/>
        <v>10</v>
      </c>
      <c r="J13" s="69">
        <v>2017</v>
      </c>
      <c r="K13" s="3">
        <v>1800000</v>
      </c>
      <c r="M13" s="69">
        <f t="shared" si="1"/>
        <v>10</v>
      </c>
      <c r="N13" s="93">
        <v>0.32</v>
      </c>
      <c r="O13" s="94" t="s">
        <v>123</v>
      </c>
    </row>
    <row r="14" spans="2:16" x14ac:dyDescent="0.25">
      <c r="B14" s="64"/>
      <c r="C14" s="64"/>
      <c r="D14" s="64"/>
      <c r="E14" s="64"/>
      <c r="F14" s="69">
        <v>3</v>
      </c>
      <c r="G14" s="64" t="s">
        <v>97</v>
      </c>
      <c r="I14" s="69">
        <f t="shared" si="0"/>
        <v>11</v>
      </c>
      <c r="J14" s="69">
        <v>2017</v>
      </c>
      <c r="K14" s="3">
        <v>1980000</v>
      </c>
    </row>
    <row r="15" spans="2:16" x14ac:dyDescent="0.25">
      <c r="B15" s="64"/>
      <c r="C15" s="64"/>
      <c r="D15" s="64"/>
      <c r="E15" s="64"/>
      <c r="F15" s="69">
        <v>4</v>
      </c>
      <c r="G15" s="64" t="s">
        <v>98</v>
      </c>
      <c r="I15" s="69">
        <f t="shared" si="0"/>
        <v>12</v>
      </c>
      <c r="J15" s="69">
        <v>2017</v>
      </c>
      <c r="K15" s="3">
        <v>2160000</v>
      </c>
    </row>
    <row r="16" spans="2:16" x14ac:dyDescent="0.25">
      <c r="B16" s="64"/>
      <c r="C16" s="64"/>
      <c r="D16" s="64"/>
      <c r="E16" s="64"/>
      <c r="F16" s="69">
        <v>5.0999999999999996</v>
      </c>
      <c r="G16" s="64" t="s">
        <v>99</v>
      </c>
      <c r="I16" s="69">
        <f t="shared" si="0"/>
        <v>13</v>
      </c>
      <c r="J16" s="69">
        <v>2017</v>
      </c>
      <c r="K16" s="3">
        <v>2340000</v>
      </c>
    </row>
    <row r="17" spans="2:11" x14ac:dyDescent="0.25">
      <c r="B17" s="64"/>
      <c r="C17" s="64"/>
      <c r="D17" s="64"/>
      <c r="E17" s="64"/>
      <c r="F17" s="69">
        <v>5.2</v>
      </c>
      <c r="G17" s="64" t="s">
        <v>99</v>
      </c>
      <c r="I17" s="69">
        <f t="shared" si="0"/>
        <v>14</v>
      </c>
      <c r="J17" s="69">
        <v>2017</v>
      </c>
      <c r="K17" s="3">
        <v>2520000</v>
      </c>
    </row>
    <row r="18" spans="2:11" x14ac:dyDescent="0.25">
      <c r="B18" s="64"/>
      <c r="C18" s="64"/>
      <c r="D18" s="64"/>
      <c r="E18" s="64"/>
      <c r="F18" s="69">
        <v>5.3</v>
      </c>
      <c r="G18" s="64" t="s">
        <v>99</v>
      </c>
      <c r="I18" s="69">
        <f t="shared" si="0"/>
        <v>15</v>
      </c>
      <c r="J18" s="69">
        <v>2017</v>
      </c>
      <c r="K18" s="3">
        <v>2700000</v>
      </c>
    </row>
    <row r="19" spans="2:11" x14ac:dyDescent="0.25">
      <c r="B19" s="64"/>
      <c r="C19" s="64"/>
      <c r="D19" s="64"/>
      <c r="E19" s="64"/>
      <c r="F19" s="10"/>
      <c r="G19" s="64"/>
      <c r="I19" s="69">
        <f t="shared" si="0"/>
        <v>16</v>
      </c>
      <c r="J19" s="69">
        <v>2017</v>
      </c>
      <c r="K19" s="3">
        <v>2880000</v>
      </c>
    </row>
    <row r="20" spans="2:11" x14ac:dyDescent="0.25">
      <c r="B20" s="64"/>
      <c r="C20" s="64"/>
      <c r="D20" s="64"/>
      <c r="E20" s="64"/>
      <c r="F20" s="10"/>
      <c r="G20" s="64"/>
      <c r="I20" s="69">
        <f t="shared" si="0"/>
        <v>17</v>
      </c>
      <c r="J20" s="69">
        <v>2017</v>
      </c>
      <c r="K20" s="3">
        <v>3060000</v>
      </c>
    </row>
    <row r="21" spans="2:11" x14ac:dyDescent="0.25">
      <c r="B21" s="64"/>
      <c r="C21" s="64"/>
      <c r="D21" s="64"/>
      <c r="E21" s="64"/>
      <c r="F21" s="10"/>
      <c r="G21" s="64"/>
      <c r="H21" s="64"/>
      <c r="I21" s="69">
        <f t="shared" si="0"/>
        <v>18</v>
      </c>
      <c r="J21" s="69">
        <v>2017</v>
      </c>
      <c r="K21" s="3">
        <v>3240000</v>
      </c>
    </row>
    <row r="22" spans="2:11" x14ac:dyDescent="0.25">
      <c r="B22" s="64"/>
      <c r="C22" s="64"/>
      <c r="D22" s="64"/>
      <c r="E22" s="64"/>
      <c r="F22" s="10"/>
      <c r="G22" s="64"/>
      <c r="H22" s="64"/>
      <c r="I22" s="69">
        <f t="shared" si="0"/>
        <v>19</v>
      </c>
      <c r="J22" s="69">
        <v>2017</v>
      </c>
      <c r="K22" s="3">
        <v>3420000</v>
      </c>
    </row>
    <row r="23" spans="2:11" x14ac:dyDescent="0.25">
      <c r="B23" s="64"/>
      <c r="C23" s="64"/>
      <c r="D23" s="64"/>
      <c r="E23" s="64"/>
      <c r="F23" s="10"/>
      <c r="G23" s="64"/>
      <c r="H23" s="64"/>
      <c r="I23" s="69">
        <f t="shared" si="0"/>
        <v>20</v>
      </c>
      <c r="J23" s="69">
        <v>2017</v>
      </c>
      <c r="K23" s="3">
        <v>3600000</v>
      </c>
    </row>
    <row r="24" spans="2:11" x14ac:dyDescent="0.25">
      <c r="B24" s="64"/>
      <c r="C24" s="64"/>
      <c r="D24" s="64"/>
      <c r="E24" s="64"/>
      <c r="F24" s="10"/>
      <c r="G24" s="64"/>
      <c r="H24" s="64"/>
      <c r="I24" s="64"/>
      <c r="J24" s="64"/>
      <c r="K24" s="64"/>
    </row>
    <row r="25" spans="2:11" x14ac:dyDescent="0.25">
      <c r="F25" s="10"/>
    </row>
    <row r="26" spans="2:11" x14ac:dyDescent="0.25">
      <c r="F26" s="10"/>
    </row>
    <row r="27" spans="2:11" x14ac:dyDescent="0.25">
      <c r="F27" s="10"/>
    </row>
    <row r="28" spans="2:11" x14ac:dyDescent="0.25">
      <c r="F28" s="10"/>
    </row>
    <row r="29" spans="2:11" x14ac:dyDescent="0.25">
      <c r="F29" s="10"/>
    </row>
    <row r="30" spans="2:11" x14ac:dyDescent="0.25">
      <c r="F30" s="10"/>
    </row>
    <row r="31" spans="2:11" x14ac:dyDescent="0.25">
      <c r="F31" s="10"/>
    </row>
    <row r="32" spans="2:11" x14ac:dyDescent="0.25">
      <c r="F32" s="10"/>
    </row>
    <row r="33" spans="6:6" x14ac:dyDescent="0.25">
      <c r="F33" s="10"/>
    </row>
    <row r="34" spans="6:6" x14ac:dyDescent="0.25">
      <c r="F34" s="10"/>
    </row>
    <row r="35" spans="6:6" x14ac:dyDescent="0.25">
      <c r="F35" s="10"/>
    </row>
    <row r="36" spans="6:6" x14ac:dyDescent="0.25">
      <c r="F36" s="10"/>
    </row>
    <row r="37" spans="6:6" x14ac:dyDescent="0.25">
      <c r="F37" s="10"/>
    </row>
    <row r="38" spans="6:6" x14ac:dyDescent="0.25">
      <c r="F38" s="10"/>
    </row>
    <row r="39" spans="6:6" x14ac:dyDescent="0.25">
      <c r="F39" s="10"/>
    </row>
    <row r="40" spans="6:6" x14ac:dyDescent="0.25">
      <c r="F40" s="10"/>
    </row>
    <row r="41" spans="6:6" x14ac:dyDescent="0.25">
      <c r="F41" s="10"/>
    </row>
    <row r="42" spans="6:6" x14ac:dyDescent="0.25">
      <c r="F42" s="10"/>
    </row>
    <row r="43" spans="6:6" x14ac:dyDescent="0.25">
      <c r="F43" s="10"/>
    </row>
    <row r="44" spans="6:6" x14ac:dyDescent="0.25">
      <c r="F44" s="10"/>
    </row>
    <row r="45" spans="6:6" x14ac:dyDescent="0.25">
      <c r="F45" s="10"/>
    </row>
    <row r="46" spans="6:6" x14ac:dyDescent="0.25">
      <c r="F46" s="10"/>
    </row>
    <row r="47" spans="6:6" x14ac:dyDescent="0.25">
      <c r="F47" s="10"/>
    </row>
    <row r="48" spans="6:6" x14ac:dyDescent="0.25">
      <c r="F48" s="10"/>
    </row>
    <row r="49" spans="6:6" x14ac:dyDescent="0.25">
      <c r="F49" s="10"/>
    </row>
    <row r="50" spans="6:6" x14ac:dyDescent="0.25">
      <c r="F50" s="10"/>
    </row>
    <row r="51" spans="6:6" x14ac:dyDescent="0.25">
      <c r="F51" s="10"/>
    </row>
    <row r="52" spans="6:6" x14ac:dyDescent="0.25">
      <c r="F52" s="10"/>
    </row>
    <row r="53" spans="6:6" x14ac:dyDescent="0.25">
      <c r="F53" s="10"/>
    </row>
    <row r="54" spans="6:6" x14ac:dyDescent="0.25">
      <c r="F54" s="10"/>
    </row>
    <row r="55" spans="6:6" x14ac:dyDescent="0.25">
      <c r="F55" s="10"/>
    </row>
    <row r="56" spans="6:6" x14ac:dyDescent="0.25">
      <c r="F56" s="10"/>
    </row>
    <row r="57" spans="6:6" x14ac:dyDescent="0.25">
      <c r="F57" s="10"/>
    </row>
    <row r="58" spans="6:6" x14ac:dyDescent="0.25">
      <c r="F58" s="10"/>
    </row>
    <row r="59" spans="6:6" x14ac:dyDescent="0.25">
      <c r="F59" s="10"/>
    </row>
    <row r="60" spans="6:6" x14ac:dyDescent="0.25">
      <c r="F60" s="10"/>
    </row>
    <row r="61" spans="6:6" x14ac:dyDescent="0.25">
      <c r="F61" s="10"/>
    </row>
    <row r="62" spans="6:6" x14ac:dyDescent="0.25">
      <c r="F62" s="10"/>
    </row>
    <row r="63" spans="6:6" x14ac:dyDescent="0.25">
      <c r="F63" s="10"/>
    </row>
    <row r="64" spans="6:6" x14ac:dyDescent="0.25">
      <c r="F64" s="10"/>
    </row>
    <row r="65" spans="6:6" x14ac:dyDescent="0.25">
      <c r="F65" s="10"/>
    </row>
    <row r="66" spans="6:6" x14ac:dyDescent="0.25">
      <c r="F66" s="10"/>
    </row>
    <row r="67" spans="6:6" x14ac:dyDescent="0.25">
      <c r="F67" s="10"/>
    </row>
    <row r="68" spans="6:6" x14ac:dyDescent="0.25">
      <c r="F68" s="10"/>
    </row>
    <row r="69" spans="6:6" x14ac:dyDescent="0.25">
      <c r="F69" s="10"/>
    </row>
    <row r="70" spans="6:6" x14ac:dyDescent="0.25">
      <c r="F70" s="10"/>
    </row>
    <row r="71" spans="6:6" x14ac:dyDescent="0.25">
      <c r="F71" s="10"/>
    </row>
    <row r="72" spans="6:6" x14ac:dyDescent="0.25">
      <c r="F72" s="10"/>
    </row>
    <row r="73" spans="6:6" x14ac:dyDescent="0.25">
      <c r="F73" s="10"/>
    </row>
    <row r="74" spans="6:6" x14ac:dyDescent="0.25">
      <c r="F74" s="10"/>
    </row>
    <row r="75" spans="6:6" x14ac:dyDescent="0.25">
      <c r="F75" s="10"/>
    </row>
    <row r="76" spans="6:6" x14ac:dyDescent="0.25">
      <c r="F76" s="10"/>
    </row>
    <row r="77" spans="6:6" x14ac:dyDescent="0.25">
      <c r="F77" s="10"/>
    </row>
    <row r="78" spans="6:6" x14ac:dyDescent="0.25">
      <c r="F78" s="10"/>
    </row>
    <row r="79" spans="6:6" x14ac:dyDescent="0.25">
      <c r="F79" s="10"/>
    </row>
    <row r="80" spans="6:6" x14ac:dyDescent="0.25">
      <c r="F80" s="10"/>
    </row>
    <row r="81" spans="6:6" x14ac:dyDescent="0.25">
      <c r="F81" s="10"/>
    </row>
    <row r="82" spans="6:6" x14ac:dyDescent="0.25">
      <c r="F82" s="10"/>
    </row>
    <row r="83" spans="6:6" x14ac:dyDescent="0.25">
      <c r="F83" s="10"/>
    </row>
    <row r="84" spans="6:6" x14ac:dyDescent="0.25">
      <c r="F84" s="10"/>
    </row>
    <row r="85" spans="6:6" x14ac:dyDescent="0.25">
      <c r="F85" s="10"/>
    </row>
    <row r="86" spans="6:6" x14ac:dyDescent="0.25">
      <c r="F86" s="10"/>
    </row>
    <row r="87" spans="6:6" x14ac:dyDescent="0.25">
      <c r="F87" s="10"/>
    </row>
    <row r="88" spans="6:6" x14ac:dyDescent="0.25">
      <c r="F88" s="10"/>
    </row>
    <row r="89" spans="6:6" x14ac:dyDescent="0.25">
      <c r="F89" s="10"/>
    </row>
    <row r="90" spans="6:6" x14ac:dyDescent="0.25">
      <c r="F90" s="10"/>
    </row>
    <row r="91" spans="6:6" x14ac:dyDescent="0.25">
      <c r="F91" s="10"/>
    </row>
    <row r="92" spans="6:6" x14ac:dyDescent="0.25">
      <c r="F92" s="10"/>
    </row>
    <row r="93" spans="6:6" x14ac:dyDescent="0.25">
      <c r="F93" s="10"/>
    </row>
    <row r="94" spans="6:6" x14ac:dyDescent="0.25">
      <c r="F94" s="10"/>
    </row>
    <row r="95" spans="6:6" x14ac:dyDescent="0.25">
      <c r="F95" s="10"/>
    </row>
    <row r="96" spans="6:6" x14ac:dyDescent="0.25">
      <c r="F96" s="10"/>
    </row>
    <row r="97" spans="6:6" x14ac:dyDescent="0.25">
      <c r="F97" s="10"/>
    </row>
    <row r="98" spans="6:6" x14ac:dyDescent="0.25">
      <c r="F98" s="10"/>
    </row>
    <row r="99" spans="6:6" x14ac:dyDescent="0.25">
      <c r="F99" s="10"/>
    </row>
    <row r="100" spans="6:6" x14ac:dyDescent="0.25">
      <c r="F100" s="10"/>
    </row>
    <row r="101" spans="6:6" x14ac:dyDescent="0.25">
      <c r="F101" s="10"/>
    </row>
    <row r="102" spans="6:6" x14ac:dyDescent="0.25">
      <c r="F102" s="10"/>
    </row>
    <row r="103" spans="6:6" x14ac:dyDescent="0.25">
      <c r="F103" s="10"/>
    </row>
    <row r="104" spans="6:6" x14ac:dyDescent="0.25">
      <c r="F104" s="10"/>
    </row>
    <row r="105" spans="6:6" x14ac:dyDescent="0.25">
      <c r="F105" s="10"/>
    </row>
    <row r="106" spans="6:6" x14ac:dyDescent="0.25">
      <c r="F106" s="10"/>
    </row>
    <row r="107" spans="6:6" x14ac:dyDescent="0.25">
      <c r="F107" s="10"/>
    </row>
    <row r="108" spans="6:6" x14ac:dyDescent="0.25">
      <c r="F108" s="10"/>
    </row>
    <row r="109" spans="6:6" x14ac:dyDescent="0.25">
      <c r="F109" s="10"/>
    </row>
    <row r="110" spans="6:6" x14ac:dyDescent="0.25">
      <c r="F110" s="10"/>
    </row>
    <row r="111" spans="6:6" x14ac:dyDescent="0.25">
      <c r="F111" s="10"/>
    </row>
    <row r="112" spans="6:6" x14ac:dyDescent="0.25">
      <c r="F112" s="10"/>
    </row>
    <row r="113" spans="6:6" x14ac:dyDescent="0.25">
      <c r="F113" s="10"/>
    </row>
    <row r="114" spans="6:6" x14ac:dyDescent="0.25">
      <c r="F114" s="10"/>
    </row>
    <row r="115" spans="6:6" x14ac:dyDescent="0.25">
      <c r="F115" s="10"/>
    </row>
    <row r="116" spans="6:6" x14ac:dyDescent="0.25">
      <c r="F116" s="10"/>
    </row>
    <row r="117" spans="6:6" x14ac:dyDescent="0.25">
      <c r="F117" s="10"/>
    </row>
    <row r="118" spans="6:6" x14ac:dyDescent="0.25">
      <c r="F118" s="10"/>
    </row>
    <row r="119" spans="6:6" x14ac:dyDescent="0.25">
      <c r="F119" s="10"/>
    </row>
    <row r="120" spans="6:6" x14ac:dyDescent="0.25">
      <c r="F120" s="10"/>
    </row>
    <row r="121" spans="6:6" x14ac:dyDescent="0.25">
      <c r="F121" s="10"/>
    </row>
    <row r="122" spans="6:6" x14ac:dyDescent="0.25">
      <c r="F122" s="10"/>
    </row>
    <row r="123" spans="6:6" x14ac:dyDescent="0.25">
      <c r="F123" s="10"/>
    </row>
    <row r="124" spans="6:6" x14ac:dyDescent="0.25">
      <c r="F124" s="10"/>
    </row>
    <row r="125" spans="6:6" x14ac:dyDescent="0.25">
      <c r="F125" s="10"/>
    </row>
    <row r="126" spans="6:6" x14ac:dyDescent="0.25">
      <c r="F126" s="10"/>
    </row>
    <row r="127" spans="6:6" x14ac:dyDescent="0.25">
      <c r="F127" s="10"/>
    </row>
    <row r="128" spans="6:6" x14ac:dyDescent="0.25">
      <c r="F128" s="10"/>
    </row>
    <row r="129" spans="6:6" x14ac:dyDescent="0.25">
      <c r="F129" s="10"/>
    </row>
    <row r="130" spans="6:6" x14ac:dyDescent="0.25">
      <c r="F130" s="10"/>
    </row>
    <row r="131" spans="6:6" x14ac:dyDescent="0.25">
      <c r="F131" s="10"/>
    </row>
    <row r="132" spans="6:6" x14ac:dyDescent="0.25">
      <c r="F132" s="10"/>
    </row>
    <row r="133" spans="6:6" x14ac:dyDescent="0.25">
      <c r="F133" s="10"/>
    </row>
    <row r="134" spans="6:6" x14ac:dyDescent="0.25">
      <c r="F134" s="10"/>
    </row>
    <row r="135" spans="6:6" x14ac:dyDescent="0.25">
      <c r="F135" s="10"/>
    </row>
    <row r="136" spans="6:6" x14ac:dyDescent="0.25">
      <c r="F136" s="10"/>
    </row>
    <row r="137" spans="6:6" x14ac:dyDescent="0.25">
      <c r="F137" s="10"/>
    </row>
    <row r="138" spans="6:6" x14ac:dyDescent="0.25">
      <c r="F138" s="10"/>
    </row>
    <row r="139" spans="6:6" x14ac:dyDescent="0.25">
      <c r="F139" s="10"/>
    </row>
    <row r="140" spans="6:6" x14ac:dyDescent="0.25">
      <c r="F140" s="10"/>
    </row>
    <row r="141" spans="6:6" x14ac:dyDescent="0.25">
      <c r="F141" s="10"/>
    </row>
    <row r="142" spans="6:6" x14ac:dyDescent="0.25">
      <c r="F142" s="10"/>
    </row>
    <row r="143" spans="6:6" x14ac:dyDescent="0.25">
      <c r="F143" s="10"/>
    </row>
    <row r="144" spans="6:6" x14ac:dyDescent="0.25">
      <c r="F144" s="10"/>
    </row>
    <row r="145" spans="6:6" x14ac:dyDescent="0.25">
      <c r="F145" s="10"/>
    </row>
    <row r="146" spans="6:6" x14ac:dyDescent="0.25">
      <c r="F146" s="10"/>
    </row>
    <row r="147" spans="6:6" x14ac:dyDescent="0.25">
      <c r="F147" s="10"/>
    </row>
    <row r="148" spans="6:6" x14ac:dyDescent="0.25">
      <c r="F148" s="10"/>
    </row>
    <row r="149" spans="6:6" x14ac:dyDescent="0.25">
      <c r="F149" s="10"/>
    </row>
    <row r="150" spans="6:6" x14ac:dyDescent="0.25">
      <c r="F150" s="10"/>
    </row>
    <row r="151" spans="6:6" x14ac:dyDescent="0.25">
      <c r="F151" s="10"/>
    </row>
    <row r="152" spans="6:6" x14ac:dyDescent="0.25">
      <c r="F152" s="10"/>
    </row>
    <row r="153" spans="6:6" x14ac:dyDescent="0.25">
      <c r="F153" s="10"/>
    </row>
    <row r="154" spans="6:6" x14ac:dyDescent="0.25">
      <c r="F154" s="10"/>
    </row>
    <row r="155" spans="6:6" x14ac:dyDescent="0.25">
      <c r="F155" s="10"/>
    </row>
  </sheetData>
  <mergeCells count="5">
    <mergeCell ref="M2:P2"/>
    <mergeCell ref="B2:D2"/>
    <mergeCell ref="I2:K2"/>
    <mergeCell ref="F10:G10"/>
    <mergeCell ref="F2:G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showGridLines="0" workbookViewId="0">
      <pane ySplit="1" topLeftCell="A2" activePane="bottomLeft" state="frozen"/>
      <selection pane="bottomLeft" activeCell="E9" sqref="E9"/>
    </sheetView>
  </sheetViews>
  <sheetFormatPr defaultRowHeight="15" x14ac:dyDescent="0.25"/>
  <cols>
    <col min="1" max="1" width="5.42578125" bestFit="1" customWidth="1"/>
    <col min="2" max="2" width="5.42578125" customWidth="1"/>
    <col min="3" max="3" width="4.85546875" bestFit="1" customWidth="1"/>
    <col min="4" max="4" width="11.5703125" customWidth="1"/>
    <col min="5" max="5" width="8.140625" customWidth="1"/>
    <col min="6" max="6" width="10.85546875" customWidth="1"/>
  </cols>
  <sheetData>
    <row r="1" spans="1:6" x14ac:dyDescent="0.25">
      <c r="A1" s="4" t="s">
        <v>0</v>
      </c>
      <c r="B1" s="4" t="s">
        <v>5</v>
      </c>
      <c r="C1" s="4" t="s">
        <v>4</v>
      </c>
      <c r="D1" s="4" t="s">
        <v>1</v>
      </c>
      <c r="E1" s="4" t="s">
        <v>2</v>
      </c>
      <c r="F1" s="4" t="s">
        <v>3</v>
      </c>
    </row>
    <row r="2" spans="1:6" x14ac:dyDescent="0.25">
      <c r="A2" s="6">
        <v>1</v>
      </c>
      <c r="B2" s="6">
        <v>2018</v>
      </c>
      <c r="C2" s="6">
        <v>1</v>
      </c>
      <c r="D2" s="3">
        <v>180000</v>
      </c>
      <c r="E2" s="8">
        <v>0.04</v>
      </c>
      <c r="F2" s="3">
        <v>0</v>
      </c>
    </row>
    <row r="3" spans="1:6" x14ac:dyDescent="0.25">
      <c r="A3" s="6">
        <v>1</v>
      </c>
      <c r="B3" s="6">
        <v>2018</v>
      </c>
      <c r="C3" s="6">
        <v>2</v>
      </c>
      <c r="D3" s="3">
        <v>360000</v>
      </c>
      <c r="E3" s="8">
        <v>7.2999999999999995E-2</v>
      </c>
      <c r="F3" s="3">
        <v>5940</v>
      </c>
    </row>
    <row r="4" spans="1:6" x14ac:dyDescent="0.25">
      <c r="A4" s="6">
        <v>1</v>
      </c>
      <c r="B4" s="6">
        <v>2018</v>
      </c>
      <c r="C4" s="6">
        <v>3</v>
      </c>
      <c r="D4" s="3">
        <v>720000</v>
      </c>
      <c r="E4" s="8">
        <v>9.5000000000000001E-2</v>
      </c>
      <c r="F4" s="3">
        <v>13860</v>
      </c>
    </row>
    <row r="5" spans="1:6" x14ac:dyDescent="0.25">
      <c r="A5" s="6">
        <v>1</v>
      </c>
      <c r="B5" s="6">
        <v>2018</v>
      </c>
      <c r="C5" s="6">
        <v>4</v>
      </c>
      <c r="D5" s="3">
        <v>1800000</v>
      </c>
      <c r="E5" s="8">
        <v>0.107</v>
      </c>
      <c r="F5" s="3">
        <v>22500</v>
      </c>
    </row>
    <row r="6" spans="1:6" x14ac:dyDescent="0.25">
      <c r="A6" s="6">
        <v>1</v>
      </c>
      <c r="B6" s="6">
        <v>2018</v>
      </c>
      <c r="C6" s="6">
        <v>5</v>
      </c>
      <c r="D6" s="3">
        <v>3600000</v>
      </c>
      <c r="E6" s="8">
        <v>0.14299999999999999</v>
      </c>
      <c r="F6" s="3">
        <v>87300</v>
      </c>
    </row>
    <row r="7" spans="1:6" x14ac:dyDescent="0.25">
      <c r="A7" s="6">
        <v>1</v>
      </c>
      <c r="B7" s="6">
        <v>2018</v>
      </c>
      <c r="C7" s="6">
        <v>6</v>
      </c>
      <c r="D7" s="3">
        <v>4800000</v>
      </c>
      <c r="E7" s="8">
        <v>0.19</v>
      </c>
      <c r="F7" s="3">
        <v>378000</v>
      </c>
    </row>
    <row r="8" spans="1:6" x14ac:dyDescent="0.25">
      <c r="A8" s="7">
        <v>2</v>
      </c>
      <c r="B8" s="7">
        <v>2018</v>
      </c>
      <c r="C8" s="7">
        <v>1</v>
      </c>
      <c r="D8" s="5">
        <v>180000</v>
      </c>
      <c r="E8" s="9">
        <v>4.4999999999999998E-2</v>
      </c>
      <c r="F8" s="5">
        <v>0</v>
      </c>
    </row>
    <row r="9" spans="1:6" x14ac:dyDescent="0.25">
      <c r="A9" s="6">
        <v>2</v>
      </c>
      <c r="B9" s="6">
        <v>2018</v>
      </c>
      <c r="C9" s="6">
        <v>2</v>
      </c>
      <c r="D9" s="3">
        <v>360000</v>
      </c>
      <c r="E9" s="8">
        <v>7.9000000000000001E-2</v>
      </c>
      <c r="F9" s="3">
        <v>5940</v>
      </c>
    </row>
    <row r="10" spans="1:6" x14ac:dyDescent="0.25">
      <c r="A10" s="6">
        <v>2</v>
      </c>
      <c r="B10" s="6">
        <v>2018</v>
      </c>
      <c r="C10" s="6">
        <v>3</v>
      </c>
      <c r="D10" s="3">
        <v>720000</v>
      </c>
      <c r="E10" s="8">
        <v>0.1</v>
      </c>
      <c r="F10" s="3">
        <v>13860</v>
      </c>
    </row>
    <row r="11" spans="1:6" x14ac:dyDescent="0.25">
      <c r="A11" s="6">
        <v>2</v>
      </c>
      <c r="B11" s="6">
        <v>2018</v>
      </c>
      <c r="C11" s="6">
        <v>4</v>
      </c>
      <c r="D11" s="3">
        <v>1800000</v>
      </c>
      <c r="E11" s="8">
        <v>0.112</v>
      </c>
      <c r="F11" s="3">
        <v>22500</v>
      </c>
    </row>
    <row r="12" spans="1:6" x14ac:dyDescent="0.25">
      <c r="A12" s="6">
        <v>2</v>
      </c>
      <c r="B12" s="6">
        <v>2018</v>
      </c>
      <c r="C12" s="6">
        <v>5</v>
      </c>
      <c r="D12" s="3">
        <v>3600000</v>
      </c>
      <c r="E12" s="8">
        <v>0.14699999999999999</v>
      </c>
      <c r="F12" s="3">
        <v>85000</v>
      </c>
    </row>
    <row r="13" spans="1:6" x14ac:dyDescent="0.25">
      <c r="A13" s="6">
        <v>2</v>
      </c>
      <c r="B13" s="6">
        <v>2018</v>
      </c>
      <c r="C13" s="6">
        <v>6</v>
      </c>
      <c r="D13" s="3">
        <v>4800000</v>
      </c>
      <c r="E13" s="8">
        <v>0.3</v>
      </c>
      <c r="F13" s="3">
        <v>720000</v>
      </c>
    </row>
    <row r="14" spans="1:6" x14ac:dyDescent="0.25">
      <c r="A14" s="7">
        <v>3</v>
      </c>
      <c r="B14" s="7">
        <v>2018</v>
      </c>
      <c r="C14" s="7">
        <v>1</v>
      </c>
      <c r="D14" s="5">
        <v>180000</v>
      </c>
      <c r="E14" s="9">
        <v>0.06</v>
      </c>
      <c r="F14" s="5">
        <v>0</v>
      </c>
    </row>
    <row r="15" spans="1:6" x14ac:dyDescent="0.25">
      <c r="A15" s="6">
        <v>3</v>
      </c>
      <c r="B15" s="6">
        <v>2018</v>
      </c>
      <c r="C15" s="6">
        <v>2</v>
      </c>
      <c r="D15" s="3">
        <v>360000</v>
      </c>
      <c r="E15" s="8">
        <v>0.112</v>
      </c>
      <c r="F15" s="3">
        <v>9360</v>
      </c>
    </row>
    <row r="16" spans="1:6" x14ac:dyDescent="0.25">
      <c r="A16" s="6">
        <v>3</v>
      </c>
      <c r="B16" s="6">
        <v>2018</v>
      </c>
      <c r="C16" s="6">
        <v>3</v>
      </c>
      <c r="D16" s="3">
        <v>720000</v>
      </c>
      <c r="E16" s="8">
        <v>0.13500000000000001</v>
      </c>
      <c r="F16" s="3">
        <v>17640</v>
      </c>
    </row>
    <row r="17" spans="1:6" x14ac:dyDescent="0.25">
      <c r="A17" s="6">
        <v>3</v>
      </c>
      <c r="B17" s="6">
        <v>2018</v>
      </c>
      <c r="C17" s="6">
        <v>4</v>
      </c>
      <c r="D17" s="3">
        <v>1800000</v>
      </c>
      <c r="E17" s="8">
        <v>0.16</v>
      </c>
      <c r="F17" s="3">
        <v>35640</v>
      </c>
    </row>
    <row r="18" spans="1:6" x14ac:dyDescent="0.25">
      <c r="A18" s="6">
        <v>3</v>
      </c>
      <c r="B18" s="6">
        <v>2018</v>
      </c>
      <c r="C18" s="6">
        <v>5</v>
      </c>
      <c r="D18" s="3">
        <v>3600000</v>
      </c>
      <c r="E18" s="8">
        <v>0.21</v>
      </c>
      <c r="F18" s="3">
        <v>125640</v>
      </c>
    </row>
    <row r="19" spans="1:6" x14ac:dyDescent="0.25">
      <c r="A19" s="6">
        <v>3</v>
      </c>
      <c r="B19" s="6">
        <v>2018</v>
      </c>
      <c r="C19" s="6">
        <v>6</v>
      </c>
      <c r="D19" s="3">
        <v>4800000</v>
      </c>
      <c r="E19" s="8">
        <v>0.33</v>
      </c>
      <c r="F19" s="3">
        <v>648000</v>
      </c>
    </row>
    <row r="20" spans="1:6" x14ac:dyDescent="0.25">
      <c r="A20" s="7">
        <v>4</v>
      </c>
      <c r="B20" s="7">
        <v>2018</v>
      </c>
      <c r="C20" s="7">
        <v>1</v>
      </c>
      <c r="D20" s="5">
        <v>180000</v>
      </c>
      <c r="E20" s="9">
        <v>4.4999999999999998E-2</v>
      </c>
      <c r="F20" s="5">
        <v>0</v>
      </c>
    </row>
    <row r="21" spans="1:6" x14ac:dyDescent="0.25">
      <c r="A21" s="6">
        <v>4</v>
      </c>
      <c r="B21" s="6">
        <v>2018</v>
      </c>
      <c r="C21" s="6">
        <v>2</v>
      </c>
      <c r="D21" s="3">
        <v>360000</v>
      </c>
      <c r="E21" s="8">
        <v>0.09</v>
      </c>
      <c r="F21" s="3">
        <v>8100</v>
      </c>
    </row>
    <row r="22" spans="1:6" x14ac:dyDescent="0.25">
      <c r="A22" s="6">
        <v>4</v>
      </c>
      <c r="B22" s="6">
        <v>2018</v>
      </c>
      <c r="C22" s="6">
        <v>3</v>
      </c>
      <c r="D22" s="3">
        <v>720000</v>
      </c>
      <c r="E22" s="8">
        <v>0.10199999999999999</v>
      </c>
      <c r="F22" s="3">
        <v>12420</v>
      </c>
    </row>
    <row r="23" spans="1:6" x14ac:dyDescent="0.25">
      <c r="A23" s="6">
        <v>4</v>
      </c>
      <c r="B23" s="6">
        <v>2018</v>
      </c>
      <c r="C23" s="6">
        <v>4</v>
      </c>
      <c r="D23" s="3">
        <v>1800000</v>
      </c>
      <c r="E23" s="8">
        <v>0.14000000000000001</v>
      </c>
      <c r="F23" s="3">
        <v>39780</v>
      </c>
    </row>
    <row r="24" spans="1:6" x14ac:dyDescent="0.25">
      <c r="A24" s="6">
        <v>4</v>
      </c>
      <c r="B24" s="6">
        <v>2018</v>
      </c>
      <c r="C24" s="6">
        <v>5</v>
      </c>
      <c r="D24" s="3">
        <v>3600000</v>
      </c>
      <c r="E24" s="8">
        <v>0.22</v>
      </c>
      <c r="F24" s="3">
        <v>183780</v>
      </c>
    </row>
    <row r="25" spans="1:6" x14ac:dyDescent="0.25">
      <c r="A25" s="6">
        <v>4</v>
      </c>
      <c r="B25" s="6">
        <v>2018</v>
      </c>
      <c r="C25" s="6">
        <v>6</v>
      </c>
      <c r="D25" s="3">
        <v>4800000</v>
      </c>
      <c r="E25" s="8">
        <v>0.33</v>
      </c>
      <c r="F25" s="3">
        <v>828000</v>
      </c>
    </row>
    <row r="26" spans="1:6" x14ac:dyDescent="0.25">
      <c r="A26" s="7">
        <v>5</v>
      </c>
      <c r="B26" s="7">
        <v>2018</v>
      </c>
      <c r="C26" s="7">
        <v>1</v>
      </c>
      <c r="D26" s="5">
        <v>180000</v>
      </c>
      <c r="E26" s="9">
        <v>0.155</v>
      </c>
      <c r="F26" s="5">
        <v>0</v>
      </c>
    </row>
    <row r="27" spans="1:6" x14ac:dyDescent="0.25">
      <c r="A27" s="6">
        <v>5</v>
      </c>
      <c r="B27" s="6">
        <v>2018</v>
      </c>
      <c r="C27" s="6">
        <v>2</v>
      </c>
      <c r="D27" s="3">
        <v>360000</v>
      </c>
      <c r="E27" s="8">
        <v>0.18</v>
      </c>
      <c r="F27" s="3">
        <v>4500</v>
      </c>
    </row>
    <row r="28" spans="1:6" x14ac:dyDescent="0.25">
      <c r="A28" s="6">
        <v>5</v>
      </c>
      <c r="B28" s="6">
        <v>2018</v>
      </c>
      <c r="C28" s="6">
        <v>3</v>
      </c>
      <c r="D28" s="3">
        <v>720000</v>
      </c>
      <c r="E28" s="8">
        <v>0.19500000000000001</v>
      </c>
      <c r="F28" s="3">
        <v>9900</v>
      </c>
    </row>
    <row r="29" spans="1:6" x14ac:dyDescent="0.25">
      <c r="A29" s="6">
        <v>5</v>
      </c>
      <c r="B29" s="6">
        <v>2018</v>
      </c>
      <c r="C29" s="6">
        <v>4</v>
      </c>
      <c r="D29" s="3">
        <v>1800000</v>
      </c>
      <c r="E29" s="8">
        <v>0.20499999999999999</v>
      </c>
      <c r="F29" s="3">
        <v>17100</v>
      </c>
    </row>
    <row r="30" spans="1:6" x14ac:dyDescent="0.25">
      <c r="A30" s="6">
        <v>5</v>
      </c>
      <c r="B30" s="6">
        <v>2018</v>
      </c>
      <c r="C30" s="6">
        <v>5</v>
      </c>
      <c r="D30" s="3">
        <v>3600000</v>
      </c>
      <c r="E30" s="8">
        <v>0.23</v>
      </c>
      <c r="F30" s="3">
        <v>62100</v>
      </c>
    </row>
    <row r="31" spans="1:6" x14ac:dyDescent="0.25">
      <c r="A31" s="6">
        <v>5</v>
      </c>
      <c r="B31" s="6">
        <v>2018</v>
      </c>
      <c r="C31" s="6">
        <v>6</v>
      </c>
      <c r="D31" s="3">
        <v>4800000</v>
      </c>
      <c r="E31" s="8">
        <v>0.30499999999999999</v>
      </c>
      <c r="F31" s="3">
        <v>540000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ilha1"/>
  <dimension ref="A1:N149"/>
  <sheetViews>
    <sheetView showGridLines="0" workbookViewId="0">
      <pane ySplit="1" topLeftCell="A2" activePane="bottomLeft" state="frozen"/>
      <selection pane="bottomLeft" activeCell="M17" sqref="M17"/>
    </sheetView>
  </sheetViews>
  <sheetFormatPr defaultRowHeight="15" x14ac:dyDescent="0.25"/>
  <cols>
    <col min="1" max="1" width="7.140625" style="15" bestFit="1" customWidth="1"/>
    <col min="2" max="2" width="7.140625" style="15" customWidth="1"/>
    <col min="3" max="3" width="14.140625" style="15" customWidth="1"/>
    <col min="4" max="4" width="29.140625" style="13" customWidth="1"/>
    <col min="5" max="13" width="9.140625" style="13"/>
  </cols>
  <sheetData>
    <row r="1" spans="1:14" ht="25.5" x14ac:dyDescent="0.25">
      <c r="A1" s="16" t="s">
        <v>0</v>
      </c>
      <c r="B1" s="16" t="s">
        <v>4</v>
      </c>
      <c r="C1" s="16" t="s">
        <v>75</v>
      </c>
      <c r="D1" s="17" t="s">
        <v>6</v>
      </c>
      <c r="E1" s="16" t="s">
        <v>2</v>
      </c>
      <c r="F1" s="16" t="s">
        <v>7</v>
      </c>
      <c r="G1" s="16" t="s">
        <v>8</v>
      </c>
      <c r="H1" s="16" t="s">
        <v>9</v>
      </c>
      <c r="I1" s="16" t="s">
        <v>10</v>
      </c>
      <c r="J1" s="16" t="s">
        <v>11</v>
      </c>
      <c r="K1" s="16" t="s">
        <v>12</v>
      </c>
      <c r="L1" s="22" t="s">
        <v>33</v>
      </c>
      <c r="M1" s="22" t="s">
        <v>34</v>
      </c>
      <c r="N1" s="11"/>
    </row>
    <row r="2" spans="1:14" x14ac:dyDescent="0.25">
      <c r="A2" s="32">
        <v>1</v>
      </c>
      <c r="B2" s="32">
        <f>1</f>
        <v>1</v>
      </c>
      <c r="C2" s="33">
        <v>180000</v>
      </c>
      <c r="D2" s="19" t="s">
        <v>13</v>
      </c>
      <c r="E2" s="20">
        <v>0.04</v>
      </c>
      <c r="F2" s="20">
        <v>0</v>
      </c>
      <c r="G2" s="20">
        <v>0</v>
      </c>
      <c r="H2" s="20">
        <v>0</v>
      </c>
      <c r="I2" s="20">
        <v>0</v>
      </c>
      <c r="J2" s="20">
        <v>2.75E-2</v>
      </c>
      <c r="K2" s="20">
        <v>1.2500000000000001E-2</v>
      </c>
      <c r="L2" s="18"/>
      <c r="M2" s="11"/>
      <c r="N2" s="11"/>
    </row>
    <row r="3" spans="1:14" x14ac:dyDescent="0.25">
      <c r="A3" s="32">
        <v>1</v>
      </c>
      <c r="B3" s="32">
        <f>B2+1</f>
        <v>2</v>
      </c>
      <c r="C3" s="33">
        <v>360000</v>
      </c>
      <c r="D3" s="19" t="s">
        <v>14</v>
      </c>
      <c r="E3" s="20">
        <v>5.4699999999999999E-2</v>
      </c>
      <c r="F3" s="20">
        <v>0</v>
      </c>
      <c r="G3" s="20">
        <v>0</v>
      </c>
      <c r="H3" s="20">
        <v>8.6E-3</v>
      </c>
      <c r="I3" s="20">
        <v>0</v>
      </c>
      <c r="J3" s="20">
        <v>2.75E-2</v>
      </c>
      <c r="K3" s="20">
        <v>1.8599999999999998E-2</v>
      </c>
      <c r="L3" s="18"/>
      <c r="M3" s="11"/>
      <c r="N3" s="11"/>
    </row>
    <row r="4" spans="1:14" x14ac:dyDescent="0.25">
      <c r="A4" s="32">
        <v>1</v>
      </c>
      <c r="B4" s="32">
        <f t="shared" ref="B4:B21" si="0">B3+1</f>
        <v>3</v>
      </c>
      <c r="C4" s="33">
        <v>540000</v>
      </c>
      <c r="D4" s="19" t="s">
        <v>15</v>
      </c>
      <c r="E4" s="20">
        <v>6.8400000000000002E-2</v>
      </c>
      <c r="F4" s="20">
        <v>2.7000000000000001E-3</v>
      </c>
      <c r="G4" s="20">
        <v>3.0999999999999999E-3</v>
      </c>
      <c r="H4" s="20">
        <v>9.4999999999999998E-3</v>
      </c>
      <c r="I4" s="20">
        <v>2.3E-3</v>
      </c>
      <c r="J4" s="20">
        <v>2.75E-2</v>
      </c>
      <c r="K4" s="20">
        <v>2.3300000000000001E-2</v>
      </c>
      <c r="L4" s="18"/>
      <c r="M4" s="11"/>
      <c r="N4" s="11"/>
    </row>
    <row r="5" spans="1:14" x14ac:dyDescent="0.25">
      <c r="A5" s="32">
        <v>1</v>
      </c>
      <c r="B5" s="32">
        <f t="shared" si="0"/>
        <v>4</v>
      </c>
      <c r="C5" s="33">
        <v>720000</v>
      </c>
      <c r="D5" s="19" t="s">
        <v>16</v>
      </c>
      <c r="E5" s="20">
        <v>7.5399999999999995E-2</v>
      </c>
      <c r="F5" s="20">
        <v>3.5000000000000001E-3</v>
      </c>
      <c r="G5" s="20">
        <v>3.5000000000000001E-3</v>
      </c>
      <c r="H5" s="20">
        <v>1.04E-2</v>
      </c>
      <c r="I5" s="20">
        <v>2.5000000000000001E-3</v>
      </c>
      <c r="J5" s="20">
        <v>2.9899999999999999E-2</v>
      </c>
      <c r="K5" s="20">
        <v>2.5600000000000001E-2</v>
      </c>
      <c r="L5" s="18"/>
      <c r="M5" s="11"/>
      <c r="N5" s="11"/>
    </row>
    <row r="6" spans="1:14" x14ac:dyDescent="0.25">
      <c r="A6" s="32">
        <v>1</v>
      </c>
      <c r="B6" s="32">
        <f t="shared" si="0"/>
        <v>5</v>
      </c>
      <c r="C6" s="33">
        <v>900000</v>
      </c>
      <c r="D6" s="19" t="s">
        <v>17</v>
      </c>
      <c r="E6" s="20">
        <v>7.5999999999999998E-2</v>
      </c>
      <c r="F6" s="20">
        <v>3.5000000000000001E-3</v>
      </c>
      <c r="G6" s="20">
        <v>3.5000000000000001E-3</v>
      </c>
      <c r="H6" s="20">
        <v>1.0500000000000001E-2</v>
      </c>
      <c r="I6" s="20">
        <v>2.5000000000000001E-3</v>
      </c>
      <c r="J6" s="20">
        <v>3.0200000000000001E-2</v>
      </c>
      <c r="K6" s="20">
        <v>2.58E-2</v>
      </c>
      <c r="L6" s="18"/>
      <c r="M6" s="11"/>
      <c r="N6" s="11"/>
    </row>
    <row r="7" spans="1:14" x14ac:dyDescent="0.25">
      <c r="A7" s="32">
        <v>1</v>
      </c>
      <c r="B7" s="32">
        <f t="shared" si="0"/>
        <v>6</v>
      </c>
      <c r="C7" s="33">
        <v>1080000</v>
      </c>
      <c r="D7" s="19" t="s">
        <v>18</v>
      </c>
      <c r="E7" s="20">
        <v>8.2799999999999999E-2</v>
      </c>
      <c r="F7" s="20">
        <v>3.8E-3</v>
      </c>
      <c r="G7" s="20">
        <v>3.8E-3</v>
      </c>
      <c r="H7" s="20">
        <v>1.15E-2</v>
      </c>
      <c r="I7" s="20">
        <v>2.7000000000000001E-3</v>
      </c>
      <c r="J7" s="20">
        <v>3.2800000000000003E-2</v>
      </c>
      <c r="K7" s="20">
        <v>2.8199999999999999E-2</v>
      </c>
      <c r="L7" s="18"/>
      <c r="M7" s="11"/>
      <c r="N7" s="11"/>
    </row>
    <row r="8" spans="1:14" x14ac:dyDescent="0.25">
      <c r="A8" s="32">
        <v>1</v>
      </c>
      <c r="B8" s="32">
        <f t="shared" si="0"/>
        <v>7</v>
      </c>
      <c r="C8" s="33">
        <v>1260000</v>
      </c>
      <c r="D8" s="19" t="s">
        <v>19</v>
      </c>
      <c r="E8" s="20">
        <v>8.3599999999999994E-2</v>
      </c>
      <c r="F8" s="20">
        <v>3.8999999999999998E-3</v>
      </c>
      <c r="G8" s="20">
        <v>3.8999999999999998E-3</v>
      </c>
      <c r="H8" s="20">
        <v>1.1599999999999999E-2</v>
      </c>
      <c r="I8" s="20">
        <v>2.8E-3</v>
      </c>
      <c r="J8" s="20">
        <v>3.3000000000000002E-2</v>
      </c>
      <c r="K8" s="20">
        <v>2.8400000000000002E-2</v>
      </c>
      <c r="L8" s="18"/>
      <c r="M8" s="11"/>
      <c r="N8" s="11"/>
    </row>
    <row r="9" spans="1:14" x14ac:dyDescent="0.25">
      <c r="A9" s="32">
        <v>1</v>
      </c>
      <c r="B9" s="32">
        <f t="shared" si="0"/>
        <v>8</v>
      </c>
      <c r="C9" s="33">
        <v>1440000</v>
      </c>
      <c r="D9" s="19" t="s">
        <v>20</v>
      </c>
      <c r="E9" s="20">
        <v>8.4500000000000006E-2</v>
      </c>
      <c r="F9" s="20">
        <v>3.8999999999999998E-3</v>
      </c>
      <c r="G9" s="20">
        <v>3.8999999999999998E-3</v>
      </c>
      <c r="H9" s="20">
        <v>1.17E-2</v>
      </c>
      <c r="I9" s="20">
        <v>2.8E-3</v>
      </c>
      <c r="J9" s="20">
        <v>3.3500000000000002E-2</v>
      </c>
      <c r="K9" s="20">
        <v>2.87E-2</v>
      </c>
      <c r="L9" s="18"/>
      <c r="M9" s="11"/>
      <c r="N9" s="11"/>
    </row>
    <row r="10" spans="1:14" x14ac:dyDescent="0.25">
      <c r="A10" s="32">
        <v>1</v>
      </c>
      <c r="B10" s="32">
        <f t="shared" si="0"/>
        <v>9</v>
      </c>
      <c r="C10" s="33">
        <v>1620000</v>
      </c>
      <c r="D10" s="19" t="s">
        <v>21</v>
      </c>
      <c r="E10" s="20">
        <v>9.0300000000000005E-2</v>
      </c>
      <c r="F10" s="20">
        <v>4.1999999999999997E-3</v>
      </c>
      <c r="G10" s="20">
        <v>4.1999999999999997E-3</v>
      </c>
      <c r="H10" s="20">
        <v>1.2500000000000001E-2</v>
      </c>
      <c r="I10" s="20">
        <v>3.0000000000000001E-3</v>
      </c>
      <c r="J10" s="20">
        <v>3.5700000000000003E-2</v>
      </c>
      <c r="K10" s="20">
        <v>3.0700000000000002E-2</v>
      </c>
      <c r="L10" s="18"/>
      <c r="M10" s="11"/>
      <c r="N10" s="11"/>
    </row>
    <row r="11" spans="1:14" x14ac:dyDescent="0.25">
      <c r="A11" s="32">
        <v>1</v>
      </c>
      <c r="B11" s="32">
        <f t="shared" si="0"/>
        <v>10</v>
      </c>
      <c r="C11" s="33">
        <v>1800000</v>
      </c>
      <c r="D11" s="19" t="s">
        <v>22</v>
      </c>
      <c r="E11" s="20">
        <v>9.1200000000000003E-2</v>
      </c>
      <c r="F11" s="20">
        <v>4.3E-3</v>
      </c>
      <c r="G11" s="20">
        <v>4.3E-3</v>
      </c>
      <c r="H11" s="20">
        <v>1.26E-2</v>
      </c>
      <c r="I11" s="20">
        <v>3.0000000000000001E-3</v>
      </c>
      <c r="J11" s="20">
        <v>3.5999999999999997E-2</v>
      </c>
      <c r="K11" s="20">
        <v>3.1E-2</v>
      </c>
      <c r="L11" s="18"/>
      <c r="M11" s="11"/>
      <c r="N11" s="11"/>
    </row>
    <row r="12" spans="1:14" x14ac:dyDescent="0.25">
      <c r="A12" s="32">
        <v>1</v>
      </c>
      <c r="B12" s="32">
        <f t="shared" si="0"/>
        <v>11</v>
      </c>
      <c r="C12" s="33">
        <v>1980000</v>
      </c>
      <c r="D12" s="19" t="s">
        <v>23</v>
      </c>
      <c r="E12" s="20">
        <v>9.9500000000000005E-2</v>
      </c>
      <c r="F12" s="20">
        <v>4.5999999999999999E-3</v>
      </c>
      <c r="G12" s="20">
        <v>4.5999999999999999E-3</v>
      </c>
      <c r="H12" s="20">
        <v>1.38E-2</v>
      </c>
      <c r="I12" s="20">
        <v>3.3E-3</v>
      </c>
      <c r="J12" s="20">
        <v>3.9399999999999998E-2</v>
      </c>
      <c r="K12" s="20">
        <v>3.3799999999999997E-2</v>
      </c>
      <c r="L12" s="18"/>
      <c r="M12" s="11"/>
      <c r="N12" s="11"/>
    </row>
    <row r="13" spans="1:14" x14ac:dyDescent="0.25">
      <c r="A13" s="32">
        <v>1</v>
      </c>
      <c r="B13" s="32">
        <f t="shared" si="0"/>
        <v>12</v>
      </c>
      <c r="C13" s="33">
        <v>2160000</v>
      </c>
      <c r="D13" s="19" t="s">
        <v>24</v>
      </c>
      <c r="E13" s="20">
        <v>0.1004</v>
      </c>
      <c r="F13" s="20">
        <v>4.5999999999999999E-3</v>
      </c>
      <c r="G13" s="20">
        <v>4.5999999999999999E-3</v>
      </c>
      <c r="H13" s="20">
        <v>1.3899999999999999E-2</v>
      </c>
      <c r="I13" s="20">
        <v>3.3E-3</v>
      </c>
      <c r="J13" s="20">
        <v>3.9899999999999998E-2</v>
      </c>
      <c r="K13" s="20">
        <v>3.4099999999999998E-2</v>
      </c>
      <c r="L13" s="18"/>
      <c r="M13" s="11"/>
      <c r="N13" s="11"/>
    </row>
    <row r="14" spans="1:14" x14ac:dyDescent="0.25">
      <c r="A14" s="32">
        <v>1</v>
      </c>
      <c r="B14" s="32">
        <f t="shared" si="0"/>
        <v>13</v>
      </c>
      <c r="C14" s="33">
        <v>2340000</v>
      </c>
      <c r="D14" s="19" t="s">
        <v>25</v>
      </c>
      <c r="E14" s="20">
        <v>0.1013</v>
      </c>
      <c r="F14" s="20">
        <v>4.7000000000000002E-3</v>
      </c>
      <c r="G14" s="20">
        <v>4.7000000000000002E-3</v>
      </c>
      <c r="H14" s="20">
        <v>1.4E-2</v>
      </c>
      <c r="I14" s="20">
        <v>3.3E-3</v>
      </c>
      <c r="J14" s="20">
        <v>4.0099999999999997E-2</v>
      </c>
      <c r="K14" s="20">
        <v>3.4500000000000003E-2</v>
      </c>
      <c r="L14" s="18"/>
      <c r="M14" s="11"/>
      <c r="N14" s="11"/>
    </row>
    <row r="15" spans="1:14" x14ac:dyDescent="0.25">
      <c r="A15" s="32">
        <v>1</v>
      </c>
      <c r="B15" s="32">
        <f t="shared" si="0"/>
        <v>14</v>
      </c>
      <c r="C15" s="33">
        <v>2520000</v>
      </c>
      <c r="D15" s="19" t="s">
        <v>26</v>
      </c>
      <c r="E15" s="20">
        <v>0.1023</v>
      </c>
      <c r="F15" s="20">
        <v>4.7000000000000002E-3</v>
      </c>
      <c r="G15" s="20">
        <v>4.7000000000000002E-3</v>
      </c>
      <c r="H15" s="20">
        <v>1.4200000000000001E-2</v>
      </c>
      <c r="I15" s="20">
        <v>3.3999999999999998E-3</v>
      </c>
      <c r="J15" s="20">
        <v>4.0500000000000001E-2</v>
      </c>
      <c r="K15" s="20">
        <v>3.4799999999999998E-2</v>
      </c>
      <c r="L15" s="18"/>
      <c r="M15" s="11"/>
      <c r="N15" s="11"/>
    </row>
    <row r="16" spans="1:14" x14ac:dyDescent="0.25">
      <c r="A16" s="32">
        <v>1</v>
      </c>
      <c r="B16" s="32">
        <f t="shared" si="0"/>
        <v>15</v>
      </c>
      <c r="C16" s="33">
        <v>2700000</v>
      </c>
      <c r="D16" s="19" t="s">
        <v>27</v>
      </c>
      <c r="E16" s="20">
        <v>0.1032</v>
      </c>
      <c r="F16" s="20">
        <v>4.7999999999999996E-3</v>
      </c>
      <c r="G16" s="20">
        <v>4.7999999999999996E-3</v>
      </c>
      <c r="H16" s="20">
        <v>1.43E-2</v>
      </c>
      <c r="I16" s="20">
        <v>3.3999999999999998E-3</v>
      </c>
      <c r="J16" s="20">
        <v>4.0800000000000003E-2</v>
      </c>
      <c r="K16" s="20">
        <v>3.5099999999999999E-2</v>
      </c>
      <c r="L16" s="18"/>
      <c r="M16" s="11"/>
      <c r="N16" s="11"/>
    </row>
    <row r="17" spans="1:14" x14ac:dyDescent="0.25">
      <c r="A17" s="32">
        <v>1</v>
      </c>
      <c r="B17" s="32">
        <f t="shared" si="0"/>
        <v>16</v>
      </c>
      <c r="C17" s="33">
        <v>2880000</v>
      </c>
      <c r="D17" s="19" t="s">
        <v>28</v>
      </c>
      <c r="E17" s="20">
        <v>0.1123</v>
      </c>
      <c r="F17" s="20">
        <v>5.1999999999999998E-3</v>
      </c>
      <c r="G17" s="20">
        <v>5.1999999999999998E-3</v>
      </c>
      <c r="H17" s="20">
        <v>1.5599999999999999E-2</v>
      </c>
      <c r="I17" s="20">
        <v>3.7000000000000002E-3</v>
      </c>
      <c r="J17" s="20">
        <v>4.4400000000000002E-2</v>
      </c>
      <c r="K17" s="20">
        <v>3.8199999999999998E-2</v>
      </c>
      <c r="L17" s="18"/>
      <c r="M17" s="11"/>
      <c r="N17" s="11"/>
    </row>
    <row r="18" spans="1:14" x14ac:dyDescent="0.25">
      <c r="A18" s="32">
        <v>1</v>
      </c>
      <c r="B18" s="32">
        <f t="shared" si="0"/>
        <v>17</v>
      </c>
      <c r="C18" s="33">
        <v>3060000</v>
      </c>
      <c r="D18" s="19" t="s">
        <v>29</v>
      </c>
      <c r="E18" s="20">
        <v>0.1132</v>
      </c>
      <c r="F18" s="20">
        <v>5.1999999999999998E-3</v>
      </c>
      <c r="G18" s="20">
        <v>5.1999999999999998E-3</v>
      </c>
      <c r="H18" s="20">
        <v>1.5699999999999999E-2</v>
      </c>
      <c r="I18" s="20">
        <v>3.7000000000000002E-3</v>
      </c>
      <c r="J18" s="20">
        <v>4.4900000000000002E-2</v>
      </c>
      <c r="K18" s="20">
        <v>3.85E-2</v>
      </c>
      <c r="L18" s="18"/>
      <c r="M18" s="11"/>
      <c r="N18" s="11"/>
    </row>
    <row r="19" spans="1:14" x14ac:dyDescent="0.25">
      <c r="A19" s="32">
        <v>1</v>
      </c>
      <c r="B19" s="32">
        <f t="shared" si="0"/>
        <v>18</v>
      </c>
      <c r="C19" s="33">
        <v>3240000</v>
      </c>
      <c r="D19" s="19" t="s">
        <v>30</v>
      </c>
      <c r="E19" s="20">
        <v>0.1142</v>
      </c>
      <c r="F19" s="20">
        <v>5.3E-3</v>
      </c>
      <c r="G19" s="20">
        <v>5.3E-3</v>
      </c>
      <c r="H19" s="20">
        <v>1.5800000000000002E-2</v>
      </c>
      <c r="I19" s="20">
        <v>3.8E-3</v>
      </c>
      <c r="J19" s="20">
        <v>4.5199999999999997E-2</v>
      </c>
      <c r="K19" s="20">
        <v>3.8800000000000001E-2</v>
      </c>
      <c r="L19" s="18"/>
      <c r="M19" s="11"/>
      <c r="N19" s="11"/>
    </row>
    <row r="20" spans="1:14" x14ac:dyDescent="0.25">
      <c r="A20" s="32">
        <v>1</v>
      </c>
      <c r="B20" s="32">
        <f t="shared" si="0"/>
        <v>19</v>
      </c>
      <c r="C20" s="33">
        <v>3420000</v>
      </c>
      <c r="D20" s="19" t="s">
        <v>31</v>
      </c>
      <c r="E20" s="20">
        <v>0.11509999999999999</v>
      </c>
      <c r="F20" s="20">
        <v>5.3E-3</v>
      </c>
      <c r="G20" s="20">
        <v>5.3E-3</v>
      </c>
      <c r="H20" s="20">
        <v>1.6E-2</v>
      </c>
      <c r="I20" s="20">
        <v>3.8E-3</v>
      </c>
      <c r="J20" s="20">
        <v>4.5600000000000002E-2</v>
      </c>
      <c r="K20" s="20">
        <v>3.9100000000000003E-2</v>
      </c>
      <c r="L20" s="18"/>
      <c r="M20" s="11"/>
      <c r="N20" s="11"/>
    </row>
    <row r="21" spans="1:14" x14ac:dyDescent="0.25">
      <c r="A21" s="32">
        <v>1</v>
      </c>
      <c r="B21" s="32">
        <f t="shared" si="0"/>
        <v>20</v>
      </c>
      <c r="C21" s="33">
        <v>3600000</v>
      </c>
      <c r="D21" s="19" t="s">
        <v>32</v>
      </c>
      <c r="E21" s="20">
        <v>0.11609999999999999</v>
      </c>
      <c r="F21" s="20">
        <v>5.4000000000000003E-3</v>
      </c>
      <c r="G21" s="20">
        <v>5.4000000000000003E-3</v>
      </c>
      <c r="H21" s="20">
        <v>1.6E-2</v>
      </c>
      <c r="I21" s="20">
        <v>3.8E-3</v>
      </c>
      <c r="J21" s="20">
        <v>4.5999999999999999E-2</v>
      </c>
      <c r="K21" s="20">
        <v>3.95E-2</v>
      </c>
      <c r="L21" s="18"/>
      <c r="M21" s="11"/>
      <c r="N21" s="11"/>
    </row>
    <row r="22" spans="1:14" x14ac:dyDescent="0.25">
      <c r="A22" s="32">
        <v>2</v>
      </c>
      <c r="B22" s="32">
        <f>1</f>
        <v>1</v>
      </c>
      <c r="C22" s="33">
        <v>180000</v>
      </c>
      <c r="D22" s="23" t="s">
        <v>13</v>
      </c>
      <c r="E22" s="24">
        <v>4.4999999999999998E-2</v>
      </c>
      <c r="F22" s="24">
        <v>0</v>
      </c>
      <c r="G22" s="24">
        <v>0</v>
      </c>
      <c r="H22" s="24">
        <v>0</v>
      </c>
      <c r="I22" s="24">
        <v>0</v>
      </c>
      <c r="J22" s="24">
        <v>2.75E-2</v>
      </c>
      <c r="K22" s="24">
        <v>1.2500000000000001E-2</v>
      </c>
      <c r="L22" s="24">
        <v>5.0000000000000001E-3</v>
      </c>
      <c r="M22" s="11"/>
      <c r="N22" s="11"/>
    </row>
    <row r="23" spans="1:14" x14ac:dyDescent="0.25">
      <c r="A23" s="32">
        <v>2</v>
      </c>
      <c r="B23" s="32">
        <f>B22+1</f>
        <v>2</v>
      </c>
      <c r="C23" s="33">
        <v>360000</v>
      </c>
      <c r="D23" s="23" t="s">
        <v>14</v>
      </c>
      <c r="E23" s="24">
        <v>5.9700000000000003E-2</v>
      </c>
      <c r="F23" s="24">
        <v>0</v>
      </c>
      <c r="G23" s="24">
        <v>0</v>
      </c>
      <c r="H23" s="24">
        <v>8.6E-3</v>
      </c>
      <c r="I23" s="24">
        <v>0</v>
      </c>
      <c r="J23" s="24">
        <v>2.75E-2</v>
      </c>
      <c r="K23" s="24">
        <v>1.8599999999999998E-2</v>
      </c>
      <c r="L23" s="24">
        <v>5.0000000000000001E-3</v>
      </c>
      <c r="M23" s="11"/>
      <c r="N23" s="11"/>
    </row>
    <row r="24" spans="1:14" x14ac:dyDescent="0.25">
      <c r="A24" s="32">
        <v>2</v>
      </c>
      <c r="B24" s="32">
        <f t="shared" ref="B24:B41" si="1">B23+1</f>
        <v>3</v>
      </c>
      <c r="C24" s="33">
        <v>540000</v>
      </c>
      <c r="D24" s="23" t="s">
        <v>15</v>
      </c>
      <c r="E24" s="24">
        <v>7.3400000000000007E-2</v>
      </c>
      <c r="F24" s="24">
        <v>2.7000000000000001E-3</v>
      </c>
      <c r="G24" s="24">
        <v>3.0999999999999999E-3</v>
      </c>
      <c r="H24" s="24">
        <v>9.4999999999999998E-3</v>
      </c>
      <c r="I24" s="24">
        <v>2.3E-3</v>
      </c>
      <c r="J24" s="24">
        <v>2.75E-2</v>
      </c>
      <c r="K24" s="24">
        <v>2.3300000000000001E-2</v>
      </c>
      <c r="L24" s="24">
        <v>5.0000000000000001E-3</v>
      </c>
      <c r="M24" s="11"/>
      <c r="N24" s="11"/>
    </row>
    <row r="25" spans="1:14" x14ac:dyDescent="0.25">
      <c r="A25" s="32">
        <v>2</v>
      </c>
      <c r="B25" s="32">
        <f t="shared" si="1"/>
        <v>4</v>
      </c>
      <c r="C25" s="33">
        <v>720000</v>
      </c>
      <c r="D25" s="23" t="s">
        <v>16</v>
      </c>
      <c r="E25" s="24">
        <v>8.0399999999999999E-2</v>
      </c>
      <c r="F25" s="24">
        <v>3.5000000000000001E-3</v>
      </c>
      <c r="G25" s="24">
        <v>3.5000000000000001E-3</v>
      </c>
      <c r="H25" s="24">
        <v>1.04E-2</v>
      </c>
      <c r="I25" s="24">
        <v>2.5000000000000001E-3</v>
      </c>
      <c r="J25" s="24">
        <v>2.9899999999999999E-2</v>
      </c>
      <c r="K25" s="24">
        <v>2.5600000000000001E-2</v>
      </c>
      <c r="L25" s="24">
        <v>5.0000000000000001E-3</v>
      </c>
      <c r="M25" s="11"/>
      <c r="N25" s="11"/>
    </row>
    <row r="26" spans="1:14" x14ac:dyDescent="0.25">
      <c r="A26" s="32">
        <v>2</v>
      </c>
      <c r="B26" s="32">
        <f t="shared" si="1"/>
        <v>5</v>
      </c>
      <c r="C26" s="33">
        <v>900000</v>
      </c>
      <c r="D26" s="23" t="s">
        <v>17</v>
      </c>
      <c r="E26" s="24">
        <v>8.1000000000000003E-2</v>
      </c>
      <c r="F26" s="24">
        <v>3.5000000000000001E-3</v>
      </c>
      <c r="G26" s="24">
        <v>3.5000000000000001E-3</v>
      </c>
      <c r="H26" s="24">
        <v>1.0500000000000001E-2</v>
      </c>
      <c r="I26" s="24">
        <v>2.5000000000000001E-3</v>
      </c>
      <c r="J26" s="24">
        <v>3.0200000000000001E-2</v>
      </c>
      <c r="K26" s="24">
        <v>2.58E-2</v>
      </c>
      <c r="L26" s="24">
        <v>5.0000000000000001E-3</v>
      </c>
      <c r="M26" s="11"/>
      <c r="N26" s="11"/>
    </row>
    <row r="27" spans="1:14" x14ac:dyDescent="0.25">
      <c r="A27" s="32">
        <v>2</v>
      </c>
      <c r="B27" s="32">
        <f t="shared" si="1"/>
        <v>6</v>
      </c>
      <c r="C27" s="33">
        <v>1080000</v>
      </c>
      <c r="D27" s="23" t="s">
        <v>18</v>
      </c>
      <c r="E27" s="24">
        <v>8.7800000000000003E-2</v>
      </c>
      <c r="F27" s="24">
        <v>3.8E-3</v>
      </c>
      <c r="G27" s="24">
        <v>3.8E-3</v>
      </c>
      <c r="H27" s="24">
        <v>1.15E-2</v>
      </c>
      <c r="I27" s="24">
        <v>2.7000000000000001E-3</v>
      </c>
      <c r="J27" s="24">
        <v>3.2800000000000003E-2</v>
      </c>
      <c r="K27" s="24">
        <v>2.8199999999999999E-2</v>
      </c>
      <c r="L27" s="24">
        <v>5.0000000000000001E-3</v>
      </c>
      <c r="M27" s="11"/>
      <c r="N27" s="11"/>
    </row>
    <row r="28" spans="1:14" x14ac:dyDescent="0.25">
      <c r="A28" s="32">
        <v>2</v>
      </c>
      <c r="B28" s="32">
        <f t="shared" si="1"/>
        <v>7</v>
      </c>
      <c r="C28" s="33">
        <v>1260000</v>
      </c>
      <c r="D28" s="23" t="s">
        <v>19</v>
      </c>
      <c r="E28" s="24">
        <v>8.8599999999999998E-2</v>
      </c>
      <c r="F28" s="24">
        <v>3.8999999999999998E-3</v>
      </c>
      <c r="G28" s="24">
        <v>3.8999999999999998E-3</v>
      </c>
      <c r="H28" s="24">
        <v>1.1599999999999999E-2</v>
      </c>
      <c r="I28" s="24">
        <v>2.8E-3</v>
      </c>
      <c r="J28" s="24">
        <v>3.3000000000000002E-2</v>
      </c>
      <c r="K28" s="24">
        <v>2.8400000000000002E-2</v>
      </c>
      <c r="L28" s="24">
        <v>5.0000000000000001E-3</v>
      </c>
      <c r="M28" s="11"/>
      <c r="N28" s="11"/>
    </row>
    <row r="29" spans="1:14" x14ac:dyDescent="0.25">
      <c r="A29" s="32">
        <v>2</v>
      </c>
      <c r="B29" s="32">
        <f t="shared" si="1"/>
        <v>8</v>
      </c>
      <c r="C29" s="33">
        <v>1440000</v>
      </c>
      <c r="D29" s="23" t="s">
        <v>20</v>
      </c>
      <c r="E29" s="24">
        <v>8.9499999999999996E-2</v>
      </c>
      <c r="F29" s="24">
        <v>3.8999999999999998E-3</v>
      </c>
      <c r="G29" s="24">
        <v>3.8999999999999998E-3</v>
      </c>
      <c r="H29" s="24">
        <v>1.17E-2</v>
      </c>
      <c r="I29" s="24">
        <v>2.8E-3</v>
      </c>
      <c r="J29" s="24">
        <v>3.3500000000000002E-2</v>
      </c>
      <c r="K29" s="24">
        <v>2.87E-2</v>
      </c>
      <c r="L29" s="24">
        <v>5.0000000000000001E-3</v>
      </c>
      <c r="M29" s="11"/>
      <c r="N29" s="11"/>
    </row>
    <row r="30" spans="1:14" x14ac:dyDescent="0.25">
      <c r="A30" s="32">
        <v>2</v>
      </c>
      <c r="B30" s="32">
        <f t="shared" si="1"/>
        <v>9</v>
      </c>
      <c r="C30" s="33">
        <v>1620000</v>
      </c>
      <c r="D30" s="23" t="s">
        <v>21</v>
      </c>
      <c r="E30" s="24">
        <v>9.5299999999999996E-2</v>
      </c>
      <c r="F30" s="24">
        <v>4.1999999999999997E-3</v>
      </c>
      <c r="G30" s="24">
        <v>4.1999999999999997E-3</v>
      </c>
      <c r="H30" s="24">
        <v>1.2500000000000001E-2</v>
      </c>
      <c r="I30" s="24">
        <v>3.0000000000000001E-3</v>
      </c>
      <c r="J30" s="24">
        <v>3.5700000000000003E-2</v>
      </c>
      <c r="K30" s="24">
        <v>3.0700000000000002E-2</v>
      </c>
      <c r="L30" s="24">
        <v>5.0000000000000001E-3</v>
      </c>
      <c r="M30" s="11"/>
      <c r="N30" s="11"/>
    </row>
    <row r="31" spans="1:14" x14ac:dyDescent="0.25">
      <c r="A31" s="32">
        <v>2</v>
      </c>
      <c r="B31" s="32">
        <f t="shared" si="1"/>
        <v>10</v>
      </c>
      <c r="C31" s="33">
        <v>1800000</v>
      </c>
      <c r="D31" s="23" t="s">
        <v>22</v>
      </c>
      <c r="E31" s="24">
        <v>9.6199999999999994E-2</v>
      </c>
      <c r="F31" s="24">
        <v>4.1999999999999997E-3</v>
      </c>
      <c r="G31" s="24">
        <v>4.1999999999999997E-3</v>
      </c>
      <c r="H31" s="24">
        <v>1.26E-2</v>
      </c>
      <c r="I31" s="24">
        <v>3.0000000000000001E-3</v>
      </c>
      <c r="J31" s="24">
        <v>3.6200000000000003E-2</v>
      </c>
      <c r="K31" s="24">
        <v>3.1E-2</v>
      </c>
      <c r="L31" s="24">
        <v>5.0000000000000001E-3</v>
      </c>
      <c r="M31" s="11"/>
      <c r="N31" s="11"/>
    </row>
    <row r="32" spans="1:14" x14ac:dyDescent="0.25">
      <c r="A32" s="32">
        <v>2</v>
      </c>
      <c r="B32" s="32">
        <f t="shared" si="1"/>
        <v>11</v>
      </c>
      <c r="C32" s="33">
        <v>1980000</v>
      </c>
      <c r="D32" s="23" t="s">
        <v>23</v>
      </c>
      <c r="E32" s="24">
        <v>0.1045</v>
      </c>
      <c r="F32" s="24">
        <v>4.5999999999999999E-3</v>
      </c>
      <c r="G32" s="24">
        <v>4.5999999999999999E-3</v>
      </c>
      <c r="H32" s="24">
        <v>1.38E-2</v>
      </c>
      <c r="I32" s="24">
        <v>3.3E-3</v>
      </c>
      <c r="J32" s="24">
        <v>3.9399999999999998E-2</v>
      </c>
      <c r="K32" s="24">
        <v>3.3799999999999997E-2</v>
      </c>
      <c r="L32" s="24">
        <v>5.0000000000000001E-3</v>
      </c>
      <c r="M32" s="11"/>
      <c r="N32" s="11"/>
    </row>
    <row r="33" spans="1:14" x14ac:dyDescent="0.25">
      <c r="A33" s="32">
        <v>2</v>
      </c>
      <c r="B33" s="32">
        <f t="shared" si="1"/>
        <v>12</v>
      </c>
      <c r="C33" s="33">
        <v>2160000</v>
      </c>
      <c r="D33" s="23" t="s">
        <v>24</v>
      </c>
      <c r="E33" s="24">
        <v>0.10539999999999999</v>
      </c>
      <c r="F33" s="24">
        <v>4.5999999999999999E-3</v>
      </c>
      <c r="G33" s="24">
        <v>4.5999999999999999E-3</v>
      </c>
      <c r="H33" s="24">
        <v>1.3899999999999999E-2</v>
      </c>
      <c r="I33" s="24">
        <v>3.3E-3</v>
      </c>
      <c r="J33" s="24">
        <v>3.9899999999999998E-2</v>
      </c>
      <c r="K33" s="24">
        <v>3.4099999999999998E-2</v>
      </c>
      <c r="L33" s="24">
        <v>5.0000000000000001E-3</v>
      </c>
      <c r="M33" s="11"/>
      <c r="N33" s="11"/>
    </row>
    <row r="34" spans="1:14" x14ac:dyDescent="0.25">
      <c r="A34" s="32">
        <v>2</v>
      </c>
      <c r="B34" s="32">
        <f t="shared" si="1"/>
        <v>13</v>
      </c>
      <c r="C34" s="33">
        <v>2340000</v>
      </c>
      <c r="D34" s="23" t="s">
        <v>25</v>
      </c>
      <c r="E34" s="24">
        <v>0.10630000000000001</v>
      </c>
      <c r="F34" s="24">
        <v>4.7000000000000002E-3</v>
      </c>
      <c r="G34" s="24">
        <v>4.7000000000000002E-3</v>
      </c>
      <c r="H34" s="24">
        <v>1.4E-2</v>
      </c>
      <c r="I34" s="24">
        <v>3.3E-3</v>
      </c>
      <c r="J34" s="24">
        <v>4.0099999999999997E-2</v>
      </c>
      <c r="K34" s="24">
        <v>3.4500000000000003E-2</v>
      </c>
      <c r="L34" s="24">
        <v>5.0000000000000001E-3</v>
      </c>
      <c r="M34" s="11"/>
      <c r="N34" s="11"/>
    </row>
    <row r="35" spans="1:14" x14ac:dyDescent="0.25">
      <c r="A35" s="32">
        <v>2</v>
      </c>
      <c r="B35" s="32">
        <f t="shared" si="1"/>
        <v>14</v>
      </c>
      <c r="C35" s="33">
        <v>2520000</v>
      </c>
      <c r="D35" s="23" t="s">
        <v>26</v>
      </c>
      <c r="E35" s="24">
        <v>0.10730000000000001</v>
      </c>
      <c r="F35" s="24">
        <v>4.7000000000000002E-3</v>
      </c>
      <c r="G35" s="24">
        <v>4.7000000000000002E-3</v>
      </c>
      <c r="H35" s="24">
        <v>1.4200000000000001E-2</v>
      </c>
      <c r="I35" s="24">
        <v>3.3999999999999998E-3</v>
      </c>
      <c r="J35" s="24">
        <v>4.0500000000000001E-2</v>
      </c>
      <c r="K35" s="24">
        <v>3.4799999999999998E-2</v>
      </c>
      <c r="L35" s="24">
        <v>5.0000000000000001E-3</v>
      </c>
      <c r="M35" s="11"/>
      <c r="N35" s="11"/>
    </row>
    <row r="36" spans="1:14" x14ac:dyDescent="0.25">
      <c r="A36" s="32">
        <v>2</v>
      </c>
      <c r="B36" s="32">
        <f t="shared" si="1"/>
        <v>15</v>
      </c>
      <c r="C36" s="33">
        <v>2700000</v>
      </c>
      <c r="D36" s="23" t="s">
        <v>27</v>
      </c>
      <c r="E36" s="24">
        <v>0.1082</v>
      </c>
      <c r="F36" s="24">
        <v>4.7999999999999996E-3</v>
      </c>
      <c r="G36" s="24">
        <v>4.7999999999999996E-3</v>
      </c>
      <c r="H36" s="24">
        <v>1.43E-2</v>
      </c>
      <c r="I36" s="24">
        <v>3.3999999999999998E-3</v>
      </c>
      <c r="J36" s="24">
        <v>4.0800000000000003E-2</v>
      </c>
      <c r="K36" s="24">
        <v>3.5099999999999999E-2</v>
      </c>
      <c r="L36" s="24">
        <v>5.0000000000000001E-3</v>
      </c>
      <c r="M36" s="11"/>
      <c r="N36" s="11"/>
    </row>
    <row r="37" spans="1:14" x14ac:dyDescent="0.25">
      <c r="A37" s="32">
        <v>2</v>
      </c>
      <c r="B37" s="32">
        <f t="shared" si="1"/>
        <v>16</v>
      </c>
      <c r="C37" s="33">
        <v>2880000</v>
      </c>
      <c r="D37" s="23" t="s">
        <v>28</v>
      </c>
      <c r="E37" s="24">
        <v>0.1173</v>
      </c>
      <c r="F37" s="24">
        <v>5.1999999999999998E-3</v>
      </c>
      <c r="G37" s="24">
        <v>5.1999999999999998E-3</v>
      </c>
      <c r="H37" s="24">
        <v>1.5599999999999999E-2</v>
      </c>
      <c r="I37" s="24">
        <v>3.7000000000000002E-3</v>
      </c>
      <c r="J37" s="24">
        <v>4.4400000000000002E-2</v>
      </c>
      <c r="K37" s="24">
        <v>3.8199999999999998E-2</v>
      </c>
      <c r="L37" s="24">
        <v>5.0000000000000001E-3</v>
      </c>
      <c r="M37" s="11"/>
      <c r="N37" s="11"/>
    </row>
    <row r="38" spans="1:14" x14ac:dyDescent="0.25">
      <c r="A38" s="32">
        <v>2</v>
      </c>
      <c r="B38" s="32">
        <f t="shared" si="1"/>
        <v>17</v>
      </c>
      <c r="C38" s="33">
        <v>3060000</v>
      </c>
      <c r="D38" s="23" t="s">
        <v>29</v>
      </c>
      <c r="E38" s="24">
        <v>0.1182</v>
      </c>
      <c r="F38" s="24">
        <v>5.1999999999999998E-3</v>
      </c>
      <c r="G38" s="24">
        <v>5.1999999999999998E-3</v>
      </c>
      <c r="H38" s="24">
        <v>1.5699999999999999E-2</v>
      </c>
      <c r="I38" s="24">
        <v>3.7000000000000002E-3</v>
      </c>
      <c r="J38" s="24">
        <v>4.4900000000000002E-2</v>
      </c>
      <c r="K38" s="24">
        <v>3.85E-2</v>
      </c>
      <c r="L38" s="24">
        <v>5.0000000000000001E-3</v>
      </c>
      <c r="M38" s="11"/>
      <c r="N38" s="11"/>
    </row>
    <row r="39" spans="1:14" x14ac:dyDescent="0.25">
      <c r="A39" s="32">
        <v>2</v>
      </c>
      <c r="B39" s="32">
        <f t="shared" si="1"/>
        <v>18</v>
      </c>
      <c r="C39" s="33">
        <v>3240000</v>
      </c>
      <c r="D39" s="23" t="s">
        <v>30</v>
      </c>
      <c r="E39" s="24">
        <v>0.1192</v>
      </c>
      <c r="F39" s="24">
        <v>5.3E-3</v>
      </c>
      <c r="G39" s="24">
        <v>5.3E-3</v>
      </c>
      <c r="H39" s="24">
        <v>1.5800000000000002E-2</v>
      </c>
      <c r="I39" s="24">
        <v>3.8E-3</v>
      </c>
      <c r="J39" s="24">
        <v>4.5199999999999997E-2</v>
      </c>
      <c r="K39" s="24">
        <v>3.8800000000000001E-2</v>
      </c>
      <c r="L39" s="24">
        <v>5.0000000000000001E-3</v>
      </c>
      <c r="M39" s="11"/>
      <c r="N39" s="11"/>
    </row>
    <row r="40" spans="1:14" x14ac:dyDescent="0.25">
      <c r="A40" s="32">
        <v>2</v>
      </c>
      <c r="B40" s="32">
        <f t="shared" si="1"/>
        <v>19</v>
      </c>
      <c r="C40" s="33">
        <v>3420000</v>
      </c>
      <c r="D40" s="23" t="s">
        <v>31</v>
      </c>
      <c r="E40" s="24">
        <v>0.1201</v>
      </c>
      <c r="F40" s="24">
        <v>5.3E-3</v>
      </c>
      <c r="G40" s="24">
        <v>5.3E-3</v>
      </c>
      <c r="H40" s="24">
        <v>1.6E-2</v>
      </c>
      <c r="I40" s="24">
        <v>3.8E-3</v>
      </c>
      <c r="J40" s="24">
        <v>4.5600000000000002E-2</v>
      </c>
      <c r="K40" s="24">
        <v>3.9100000000000003E-2</v>
      </c>
      <c r="L40" s="24">
        <v>5.0000000000000001E-3</v>
      </c>
      <c r="M40" s="11"/>
      <c r="N40" s="11"/>
    </row>
    <row r="41" spans="1:14" x14ac:dyDescent="0.25">
      <c r="A41" s="32">
        <v>2</v>
      </c>
      <c r="B41" s="32">
        <f t="shared" si="1"/>
        <v>20</v>
      </c>
      <c r="C41" s="33">
        <v>3600000</v>
      </c>
      <c r="D41" s="23" t="s">
        <v>32</v>
      </c>
      <c r="E41" s="24">
        <v>0.1211</v>
      </c>
      <c r="F41" s="24">
        <v>5.4000000000000003E-3</v>
      </c>
      <c r="G41" s="24">
        <v>5.4000000000000003E-3</v>
      </c>
      <c r="H41" s="24">
        <v>1.6E-2</v>
      </c>
      <c r="I41" s="24">
        <v>3.8E-3</v>
      </c>
      <c r="J41" s="24">
        <v>4.5999999999999999E-2</v>
      </c>
      <c r="K41" s="24">
        <v>3.95E-2</v>
      </c>
      <c r="L41" s="24">
        <v>5.0000000000000001E-3</v>
      </c>
      <c r="M41" s="11"/>
      <c r="N41" s="11"/>
    </row>
    <row r="42" spans="1:14" x14ac:dyDescent="0.25">
      <c r="A42" s="34"/>
      <c r="B42" s="34"/>
      <c r="C42" s="35"/>
      <c r="D42" s="21" t="s">
        <v>6</v>
      </c>
      <c r="E42" s="22" t="s">
        <v>2</v>
      </c>
      <c r="F42" s="22" t="s">
        <v>7</v>
      </c>
      <c r="G42" s="22" t="s">
        <v>8</v>
      </c>
      <c r="H42" s="22" t="s">
        <v>9</v>
      </c>
      <c r="I42" s="22" t="s">
        <v>10</v>
      </c>
      <c r="J42" s="22" t="s">
        <v>11</v>
      </c>
      <c r="L42" s="18"/>
      <c r="M42" s="22" t="s">
        <v>34</v>
      </c>
      <c r="N42" s="11"/>
    </row>
    <row r="43" spans="1:14" x14ac:dyDescent="0.25">
      <c r="A43" s="36">
        <v>3</v>
      </c>
      <c r="B43" s="32">
        <f>1</f>
        <v>1</v>
      </c>
      <c r="C43" s="33">
        <v>180000</v>
      </c>
      <c r="D43" s="23" t="s">
        <v>13</v>
      </c>
      <c r="E43" s="24">
        <v>0.06</v>
      </c>
      <c r="F43" s="24">
        <v>0</v>
      </c>
      <c r="G43" s="24">
        <v>0</v>
      </c>
      <c r="H43" s="24">
        <v>0</v>
      </c>
      <c r="I43" s="24">
        <v>0</v>
      </c>
      <c r="J43" s="24">
        <v>0.04</v>
      </c>
      <c r="L43" s="18"/>
      <c r="M43" s="24">
        <v>0.02</v>
      </c>
      <c r="N43" s="11"/>
    </row>
    <row r="44" spans="1:14" x14ac:dyDescent="0.25">
      <c r="A44" s="36">
        <v>3</v>
      </c>
      <c r="B44" s="32">
        <f>B43+1</f>
        <v>2</v>
      </c>
      <c r="C44" s="33">
        <v>360000</v>
      </c>
      <c r="D44" s="23" t="s">
        <v>14</v>
      </c>
      <c r="E44" s="24">
        <v>8.2100000000000006E-2</v>
      </c>
      <c r="F44" s="24">
        <v>0</v>
      </c>
      <c r="G44" s="24">
        <v>0</v>
      </c>
      <c r="H44" s="24">
        <v>1.4200000000000001E-2</v>
      </c>
      <c r="I44" s="24">
        <v>0</v>
      </c>
      <c r="J44" s="24">
        <v>0.04</v>
      </c>
      <c r="L44" s="18"/>
      <c r="M44" s="24">
        <v>2.7900000000000001E-2</v>
      </c>
      <c r="N44" s="11"/>
    </row>
    <row r="45" spans="1:14" x14ac:dyDescent="0.25">
      <c r="A45" s="36">
        <v>3</v>
      </c>
      <c r="B45" s="32">
        <f t="shared" ref="B45:B62" si="2">B44+1</f>
        <v>3</v>
      </c>
      <c r="C45" s="33">
        <v>540000</v>
      </c>
      <c r="D45" s="23" t="s">
        <v>15</v>
      </c>
      <c r="E45" s="24">
        <v>0.1026</v>
      </c>
      <c r="F45" s="24">
        <v>4.7999999999999996E-3</v>
      </c>
      <c r="G45" s="24">
        <v>4.3E-3</v>
      </c>
      <c r="H45" s="24">
        <v>1.43E-2</v>
      </c>
      <c r="I45" s="24">
        <v>3.5000000000000001E-3</v>
      </c>
      <c r="J45" s="24">
        <v>4.07E-2</v>
      </c>
      <c r="L45" s="18"/>
      <c r="M45" s="24">
        <v>3.5000000000000003E-2</v>
      </c>
      <c r="N45" s="11"/>
    </row>
    <row r="46" spans="1:14" x14ac:dyDescent="0.25">
      <c r="A46" s="36">
        <v>3</v>
      </c>
      <c r="B46" s="32">
        <f t="shared" si="2"/>
        <v>4</v>
      </c>
      <c r="C46" s="33">
        <v>720000</v>
      </c>
      <c r="D46" s="23" t="s">
        <v>16</v>
      </c>
      <c r="E46" s="24">
        <v>0.11310000000000001</v>
      </c>
      <c r="F46" s="24">
        <v>5.3E-3</v>
      </c>
      <c r="G46" s="24">
        <v>5.3E-3</v>
      </c>
      <c r="H46" s="24">
        <v>1.5599999999999999E-2</v>
      </c>
      <c r="I46" s="24">
        <v>3.8E-3</v>
      </c>
      <c r="J46" s="24">
        <v>4.4699999999999997E-2</v>
      </c>
      <c r="L46" s="18"/>
      <c r="M46" s="24">
        <v>3.8399999999999997E-2</v>
      </c>
      <c r="N46" s="11"/>
    </row>
    <row r="47" spans="1:14" x14ac:dyDescent="0.25">
      <c r="A47" s="36">
        <v>3</v>
      </c>
      <c r="B47" s="32">
        <f t="shared" si="2"/>
        <v>5</v>
      </c>
      <c r="C47" s="33">
        <v>900000</v>
      </c>
      <c r="D47" s="23" t="s">
        <v>17</v>
      </c>
      <c r="E47" s="24">
        <v>0.114</v>
      </c>
      <c r="F47" s="24">
        <v>5.3E-3</v>
      </c>
      <c r="G47" s="24">
        <v>5.1999999999999998E-3</v>
      </c>
      <c r="H47" s="24">
        <v>1.5800000000000002E-2</v>
      </c>
      <c r="I47" s="24">
        <v>3.8E-3</v>
      </c>
      <c r="J47" s="24">
        <v>4.5199999999999997E-2</v>
      </c>
      <c r="L47" s="18"/>
      <c r="M47" s="24">
        <v>3.8699999999999998E-2</v>
      </c>
      <c r="N47" s="11"/>
    </row>
    <row r="48" spans="1:14" x14ac:dyDescent="0.25">
      <c r="A48" s="36">
        <v>3</v>
      </c>
      <c r="B48" s="32">
        <f t="shared" si="2"/>
        <v>6</v>
      </c>
      <c r="C48" s="33">
        <v>1080000</v>
      </c>
      <c r="D48" s="23" t="s">
        <v>18</v>
      </c>
      <c r="E48" s="24">
        <v>0.1242</v>
      </c>
      <c r="F48" s="24">
        <v>5.7000000000000002E-3</v>
      </c>
      <c r="G48" s="24">
        <v>5.7000000000000002E-3</v>
      </c>
      <c r="H48" s="24">
        <v>1.7299999999999999E-2</v>
      </c>
      <c r="I48" s="24">
        <v>4.0000000000000001E-3</v>
      </c>
      <c r="J48" s="24">
        <v>4.9200000000000001E-2</v>
      </c>
      <c r="L48" s="18"/>
      <c r="M48" s="24">
        <v>4.2299999999999997E-2</v>
      </c>
      <c r="N48" s="11"/>
    </row>
    <row r="49" spans="1:14" x14ac:dyDescent="0.25">
      <c r="A49" s="36">
        <v>3</v>
      </c>
      <c r="B49" s="32">
        <f t="shared" si="2"/>
        <v>7</v>
      </c>
      <c r="C49" s="33">
        <v>1260000</v>
      </c>
      <c r="D49" s="23" t="s">
        <v>19</v>
      </c>
      <c r="E49" s="24">
        <v>0.12540000000000001</v>
      </c>
      <c r="F49" s="24">
        <v>5.8999999999999999E-3</v>
      </c>
      <c r="G49" s="24">
        <v>5.5999999999999999E-3</v>
      </c>
      <c r="H49" s="24">
        <v>1.7399999999999999E-2</v>
      </c>
      <c r="I49" s="24">
        <v>4.1999999999999997E-3</v>
      </c>
      <c r="J49" s="24">
        <v>4.9700000000000001E-2</v>
      </c>
      <c r="L49" s="18"/>
      <c r="M49" s="24">
        <v>4.2599999999999999E-2</v>
      </c>
      <c r="N49" s="11"/>
    </row>
    <row r="50" spans="1:14" x14ac:dyDescent="0.25">
      <c r="A50" s="36">
        <v>3</v>
      </c>
      <c r="B50" s="32">
        <f t="shared" si="2"/>
        <v>8</v>
      </c>
      <c r="C50" s="33">
        <v>1440000</v>
      </c>
      <c r="D50" s="23" t="s">
        <v>20</v>
      </c>
      <c r="E50" s="24">
        <v>0.1268</v>
      </c>
      <c r="F50" s="24">
        <v>5.8999999999999999E-3</v>
      </c>
      <c r="G50" s="24">
        <v>5.7000000000000002E-3</v>
      </c>
      <c r="H50" s="24">
        <v>1.7600000000000001E-2</v>
      </c>
      <c r="I50" s="24">
        <v>4.1999999999999997E-3</v>
      </c>
      <c r="J50" s="24">
        <v>5.0299999999999997E-2</v>
      </c>
      <c r="L50" s="18"/>
      <c r="M50" s="24">
        <v>4.3099999999999999E-2</v>
      </c>
      <c r="N50" s="11"/>
    </row>
    <row r="51" spans="1:14" x14ac:dyDescent="0.25">
      <c r="A51" s="36">
        <v>3</v>
      </c>
      <c r="B51" s="32">
        <f t="shared" si="2"/>
        <v>9</v>
      </c>
      <c r="C51" s="33">
        <v>1620000</v>
      </c>
      <c r="D51" s="23" t="s">
        <v>21</v>
      </c>
      <c r="E51" s="24">
        <v>0.13550000000000001</v>
      </c>
      <c r="F51" s="24">
        <v>6.3E-3</v>
      </c>
      <c r="G51" s="24">
        <v>6.1000000000000004E-3</v>
      </c>
      <c r="H51" s="24">
        <v>1.8800000000000001E-2</v>
      </c>
      <c r="I51" s="24">
        <v>4.4999999999999997E-3</v>
      </c>
      <c r="J51" s="24">
        <v>5.3699999999999998E-2</v>
      </c>
      <c r="L51" s="18"/>
      <c r="M51" s="24">
        <v>4.6100000000000002E-2</v>
      </c>
      <c r="N51" s="11"/>
    </row>
    <row r="52" spans="1:14" x14ac:dyDescent="0.25">
      <c r="A52" s="36">
        <v>3</v>
      </c>
      <c r="B52" s="32">
        <f t="shared" si="2"/>
        <v>10</v>
      </c>
      <c r="C52" s="33">
        <v>1800000</v>
      </c>
      <c r="D52" s="23" t="s">
        <v>22</v>
      </c>
      <c r="E52" s="24">
        <v>0.1368</v>
      </c>
      <c r="F52" s="24">
        <v>6.3E-3</v>
      </c>
      <c r="G52" s="24">
        <v>6.4000000000000003E-3</v>
      </c>
      <c r="H52" s="24">
        <v>1.89E-2</v>
      </c>
      <c r="I52" s="24">
        <v>4.4999999999999997E-3</v>
      </c>
      <c r="J52" s="24">
        <v>5.4199999999999998E-2</v>
      </c>
      <c r="L52" s="18"/>
      <c r="M52" s="24">
        <v>4.65E-2</v>
      </c>
      <c r="N52" s="11"/>
    </row>
    <row r="53" spans="1:14" x14ac:dyDescent="0.25">
      <c r="A53" s="36">
        <v>3</v>
      </c>
      <c r="B53" s="32">
        <f t="shared" si="2"/>
        <v>11</v>
      </c>
      <c r="C53" s="33">
        <v>1980000</v>
      </c>
      <c r="D53" s="23" t="s">
        <v>23</v>
      </c>
      <c r="E53" s="24">
        <v>0.14929999999999999</v>
      </c>
      <c r="F53" s="24">
        <v>6.8999999999999999E-3</v>
      </c>
      <c r="G53" s="24">
        <v>6.8999999999999999E-3</v>
      </c>
      <c r="H53" s="24">
        <v>2.07E-2</v>
      </c>
      <c r="I53" s="24">
        <v>5.0000000000000001E-3</v>
      </c>
      <c r="J53" s="24">
        <v>5.9799999999999999E-2</v>
      </c>
      <c r="L53" s="18"/>
      <c r="M53" s="24">
        <v>0.05</v>
      </c>
      <c r="N53" s="11"/>
    </row>
    <row r="54" spans="1:14" x14ac:dyDescent="0.25">
      <c r="A54" s="36">
        <v>3</v>
      </c>
      <c r="B54" s="32">
        <f t="shared" si="2"/>
        <v>12</v>
      </c>
      <c r="C54" s="33">
        <v>2160000</v>
      </c>
      <c r="D54" s="23" t="s">
        <v>24</v>
      </c>
      <c r="E54" s="24">
        <v>0.15060000000000001</v>
      </c>
      <c r="F54" s="24">
        <v>6.8999999999999999E-3</v>
      </c>
      <c r="G54" s="24">
        <v>6.8999999999999999E-3</v>
      </c>
      <c r="H54" s="24">
        <v>2.0899999999999998E-2</v>
      </c>
      <c r="I54" s="24">
        <v>5.0000000000000001E-3</v>
      </c>
      <c r="J54" s="24">
        <v>6.0900000000000003E-2</v>
      </c>
      <c r="L54" s="18"/>
      <c r="M54" s="24">
        <v>0.05</v>
      </c>
      <c r="N54" s="11"/>
    </row>
    <row r="55" spans="1:14" x14ac:dyDescent="0.25">
      <c r="A55" s="36">
        <v>3</v>
      </c>
      <c r="B55" s="32">
        <f t="shared" si="2"/>
        <v>13</v>
      </c>
      <c r="C55" s="33">
        <v>2340000</v>
      </c>
      <c r="D55" s="23" t="s">
        <v>25</v>
      </c>
      <c r="E55" s="24">
        <v>0.152</v>
      </c>
      <c r="F55" s="24">
        <v>7.1000000000000004E-3</v>
      </c>
      <c r="G55" s="24">
        <v>7.0000000000000001E-3</v>
      </c>
      <c r="H55" s="24">
        <v>2.1000000000000001E-2</v>
      </c>
      <c r="I55" s="24">
        <v>5.0000000000000001E-3</v>
      </c>
      <c r="J55" s="24">
        <v>6.1899999999999997E-2</v>
      </c>
      <c r="L55" s="18"/>
      <c r="M55" s="24">
        <v>0.05</v>
      </c>
      <c r="N55" s="11"/>
    </row>
    <row r="56" spans="1:14" x14ac:dyDescent="0.25">
      <c r="A56" s="36">
        <v>3</v>
      </c>
      <c r="B56" s="32">
        <f t="shared" si="2"/>
        <v>14</v>
      </c>
      <c r="C56" s="33">
        <v>2520000</v>
      </c>
      <c r="D56" s="23" t="s">
        <v>26</v>
      </c>
      <c r="E56" s="24">
        <v>0.1535</v>
      </c>
      <c r="F56" s="24">
        <v>7.1000000000000004E-3</v>
      </c>
      <c r="G56" s="24">
        <v>7.0000000000000001E-3</v>
      </c>
      <c r="H56" s="24">
        <v>2.1299999999999999E-2</v>
      </c>
      <c r="I56" s="24">
        <v>5.1000000000000004E-3</v>
      </c>
      <c r="J56" s="24">
        <v>6.3E-2</v>
      </c>
      <c r="L56" s="18"/>
      <c r="M56" s="24">
        <v>0.05</v>
      </c>
      <c r="N56" s="11"/>
    </row>
    <row r="57" spans="1:14" x14ac:dyDescent="0.25">
      <c r="A57" s="36">
        <v>3</v>
      </c>
      <c r="B57" s="32">
        <f t="shared" si="2"/>
        <v>15</v>
      </c>
      <c r="C57" s="33">
        <v>2700000</v>
      </c>
      <c r="D57" s="23" t="s">
        <v>27</v>
      </c>
      <c r="E57" s="24">
        <v>0.15479999999999999</v>
      </c>
      <c r="F57" s="24">
        <v>7.1999999999999998E-3</v>
      </c>
      <c r="G57" s="24">
        <v>7.0000000000000001E-3</v>
      </c>
      <c r="H57" s="24">
        <v>2.1499999999999998E-2</v>
      </c>
      <c r="I57" s="24">
        <v>5.1000000000000004E-3</v>
      </c>
      <c r="J57" s="24">
        <v>6.4000000000000001E-2</v>
      </c>
      <c r="L57" s="18"/>
      <c r="M57" s="24">
        <v>0.05</v>
      </c>
      <c r="N57" s="11"/>
    </row>
    <row r="58" spans="1:14" x14ac:dyDescent="0.25">
      <c r="A58" s="36">
        <v>3</v>
      </c>
      <c r="B58" s="32">
        <f t="shared" si="2"/>
        <v>16</v>
      </c>
      <c r="C58" s="33">
        <v>2880000</v>
      </c>
      <c r="D58" s="23" t="s">
        <v>28</v>
      </c>
      <c r="E58" s="24">
        <v>0.16850000000000001</v>
      </c>
      <c r="F58" s="24">
        <v>7.7999999999999996E-3</v>
      </c>
      <c r="G58" s="24">
        <v>7.6E-3</v>
      </c>
      <c r="H58" s="24">
        <v>2.3400000000000001E-2</v>
      </c>
      <c r="I58" s="24">
        <v>5.5999999999999999E-3</v>
      </c>
      <c r="J58" s="24">
        <v>7.4099999999999999E-2</v>
      </c>
      <c r="L58" s="18"/>
      <c r="M58" s="24">
        <v>0.05</v>
      </c>
      <c r="N58" s="11"/>
    </row>
    <row r="59" spans="1:14" x14ac:dyDescent="0.25">
      <c r="A59" s="36">
        <v>3</v>
      </c>
      <c r="B59" s="32">
        <f t="shared" si="2"/>
        <v>17</v>
      </c>
      <c r="C59" s="33">
        <v>3060000</v>
      </c>
      <c r="D59" s="23" t="s">
        <v>29</v>
      </c>
      <c r="E59" s="24">
        <v>0.16980000000000001</v>
      </c>
      <c r="F59" s="24">
        <v>7.7999999999999996E-3</v>
      </c>
      <c r="G59" s="24">
        <v>7.7999999999999996E-3</v>
      </c>
      <c r="H59" s="24">
        <v>2.3599999999999999E-2</v>
      </c>
      <c r="I59" s="24">
        <v>5.5999999999999999E-3</v>
      </c>
      <c r="J59" s="24">
        <v>7.4999999999999997E-2</v>
      </c>
      <c r="L59" s="18"/>
      <c r="M59" s="24">
        <v>0.05</v>
      </c>
      <c r="N59" s="11"/>
    </row>
    <row r="60" spans="1:14" x14ac:dyDescent="0.25">
      <c r="A60" s="36">
        <v>3</v>
      </c>
      <c r="B60" s="32">
        <f t="shared" si="2"/>
        <v>18</v>
      </c>
      <c r="C60" s="33">
        <v>3240000</v>
      </c>
      <c r="D60" s="23" t="s">
        <v>30</v>
      </c>
      <c r="E60" s="24">
        <v>0.17130000000000001</v>
      </c>
      <c r="F60" s="24">
        <v>8.0000000000000002E-3</v>
      </c>
      <c r="G60" s="24">
        <v>7.9000000000000008E-3</v>
      </c>
      <c r="H60" s="24">
        <v>2.3699999999999999E-2</v>
      </c>
      <c r="I60" s="24">
        <v>5.7000000000000002E-3</v>
      </c>
      <c r="J60" s="24">
        <v>7.5999999999999998E-2</v>
      </c>
      <c r="L60" s="18"/>
      <c r="M60" s="24">
        <v>0.05</v>
      </c>
      <c r="N60" s="11"/>
    </row>
    <row r="61" spans="1:14" x14ac:dyDescent="0.25">
      <c r="A61" s="36">
        <v>3</v>
      </c>
      <c r="B61" s="32">
        <f t="shared" si="2"/>
        <v>19</v>
      </c>
      <c r="C61" s="33">
        <v>3420000</v>
      </c>
      <c r="D61" s="23" t="s">
        <v>31</v>
      </c>
      <c r="E61" s="24">
        <v>0.17269999999999999</v>
      </c>
      <c r="F61" s="24">
        <v>8.0000000000000002E-3</v>
      </c>
      <c r="G61" s="24">
        <v>7.9000000000000008E-3</v>
      </c>
      <c r="H61" s="24">
        <v>2.4E-2</v>
      </c>
      <c r="I61" s="24">
        <v>5.7000000000000002E-3</v>
      </c>
      <c r="J61" s="24">
        <v>7.7100000000000002E-2</v>
      </c>
      <c r="L61" s="18"/>
      <c r="M61" s="24">
        <v>0.05</v>
      </c>
      <c r="N61" s="11"/>
    </row>
    <row r="62" spans="1:14" x14ac:dyDescent="0.25">
      <c r="A62" s="36">
        <v>3</v>
      </c>
      <c r="B62" s="32">
        <f t="shared" si="2"/>
        <v>20</v>
      </c>
      <c r="C62" s="33">
        <v>3600000</v>
      </c>
      <c r="D62" s="23" t="s">
        <v>32</v>
      </c>
      <c r="E62" s="24">
        <v>0.17419999999999999</v>
      </c>
      <c r="F62" s="24">
        <v>8.0999999999999996E-3</v>
      </c>
      <c r="G62" s="24">
        <v>7.9000000000000008E-3</v>
      </c>
      <c r="H62" s="24">
        <v>2.4199999999999999E-2</v>
      </c>
      <c r="I62" s="24">
        <v>5.7000000000000002E-3</v>
      </c>
      <c r="J62" s="24">
        <v>7.8299999999999995E-2</v>
      </c>
      <c r="L62" s="18"/>
      <c r="M62" s="24">
        <v>0.05</v>
      </c>
      <c r="N62" s="11"/>
    </row>
    <row r="63" spans="1:14" x14ac:dyDescent="0.25">
      <c r="A63" s="34"/>
      <c r="B63" s="34"/>
      <c r="C63" s="35"/>
      <c r="D63" s="21" t="s">
        <v>6</v>
      </c>
      <c r="E63" s="22" t="s">
        <v>2</v>
      </c>
      <c r="F63" s="22" t="s">
        <v>7</v>
      </c>
      <c r="G63" s="22" t="s">
        <v>8</v>
      </c>
      <c r="H63" s="22" t="s">
        <v>9</v>
      </c>
      <c r="I63" s="22" t="s">
        <v>10</v>
      </c>
      <c r="K63" s="18"/>
      <c r="L63" s="18"/>
      <c r="M63" s="22" t="s">
        <v>34</v>
      </c>
      <c r="N63" s="11"/>
    </row>
    <row r="64" spans="1:14" x14ac:dyDescent="0.25">
      <c r="A64" s="36">
        <v>4</v>
      </c>
      <c r="B64" s="32">
        <f>1</f>
        <v>1</v>
      </c>
      <c r="C64" s="33">
        <v>180000</v>
      </c>
      <c r="D64" s="23" t="s">
        <v>13</v>
      </c>
      <c r="E64" s="24">
        <v>4.4999999999999998E-2</v>
      </c>
      <c r="F64" s="24">
        <v>0</v>
      </c>
      <c r="G64" s="24">
        <v>1.2200000000000001E-2</v>
      </c>
      <c r="H64" s="24">
        <v>1.2800000000000001E-2</v>
      </c>
      <c r="I64" s="24">
        <v>0</v>
      </c>
      <c r="K64" s="18"/>
      <c r="L64" s="18"/>
      <c r="M64" s="24">
        <v>0.02</v>
      </c>
      <c r="N64" s="11"/>
    </row>
    <row r="65" spans="1:14" x14ac:dyDescent="0.25">
      <c r="A65" s="36">
        <v>4</v>
      </c>
      <c r="B65" s="32">
        <f>B64+1</f>
        <v>2</v>
      </c>
      <c r="C65" s="33">
        <v>360000</v>
      </c>
      <c r="D65" s="23" t="s">
        <v>14</v>
      </c>
      <c r="E65" s="24">
        <v>6.54E-2</v>
      </c>
      <c r="F65" s="24">
        <v>0</v>
      </c>
      <c r="G65" s="24">
        <v>1.84E-2</v>
      </c>
      <c r="H65" s="24">
        <v>1.9099999999999999E-2</v>
      </c>
      <c r="I65" s="24">
        <v>0</v>
      </c>
      <c r="K65" s="18"/>
      <c r="L65" s="18"/>
      <c r="M65" s="24">
        <v>2.7900000000000001E-2</v>
      </c>
      <c r="N65" s="11"/>
    </row>
    <row r="66" spans="1:14" x14ac:dyDescent="0.25">
      <c r="A66" s="36">
        <v>4</v>
      </c>
      <c r="B66" s="32">
        <f t="shared" ref="B66:B83" si="3">B65+1</f>
        <v>3</v>
      </c>
      <c r="C66" s="33">
        <v>540000</v>
      </c>
      <c r="D66" s="23" t="s">
        <v>15</v>
      </c>
      <c r="E66" s="24">
        <v>7.6999999999999999E-2</v>
      </c>
      <c r="F66" s="24">
        <v>1.6000000000000001E-3</v>
      </c>
      <c r="G66" s="24">
        <v>1.8499999999999999E-2</v>
      </c>
      <c r="H66" s="24">
        <v>1.95E-2</v>
      </c>
      <c r="I66" s="24">
        <v>2.3999999999999998E-3</v>
      </c>
      <c r="K66" s="18"/>
      <c r="L66" s="18"/>
      <c r="M66" s="24">
        <v>3.5000000000000003E-2</v>
      </c>
      <c r="N66" s="11"/>
    </row>
    <row r="67" spans="1:14" x14ac:dyDescent="0.25">
      <c r="A67" s="36">
        <v>4</v>
      </c>
      <c r="B67" s="32">
        <f t="shared" si="3"/>
        <v>4</v>
      </c>
      <c r="C67" s="33">
        <v>720000</v>
      </c>
      <c r="D67" s="23" t="s">
        <v>16</v>
      </c>
      <c r="E67" s="24">
        <v>8.4900000000000003E-2</v>
      </c>
      <c r="F67" s="24">
        <v>5.1999999999999998E-3</v>
      </c>
      <c r="G67" s="24">
        <v>1.8700000000000001E-2</v>
      </c>
      <c r="H67" s="24">
        <v>1.9900000000000001E-2</v>
      </c>
      <c r="I67" s="24">
        <v>2.7000000000000001E-3</v>
      </c>
      <c r="K67" s="18"/>
      <c r="L67" s="18"/>
      <c r="M67" s="24">
        <v>3.8399999999999997E-2</v>
      </c>
      <c r="N67" s="11"/>
    </row>
    <row r="68" spans="1:14" x14ac:dyDescent="0.25">
      <c r="A68" s="36">
        <v>4</v>
      </c>
      <c r="B68" s="32">
        <f t="shared" si="3"/>
        <v>5</v>
      </c>
      <c r="C68" s="33">
        <v>900000</v>
      </c>
      <c r="D68" s="23" t="s">
        <v>17</v>
      </c>
      <c r="E68" s="24">
        <v>8.9700000000000002E-2</v>
      </c>
      <c r="F68" s="24">
        <v>8.8999999999999999E-3</v>
      </c>
      <c r="G68" s="24">
        <v>1.89E-2</v>
      </c>
      <c r="H68" s="24">
        <v>2.0299999999999999E-2</v>
      </c>
      <c r="I68" s="24">
        <v>2.8999999999999998E-3</v>
      </c>
      <c r="K68" s="18"/>
      <c r="L68" s="18"/>
      <c r="M68" s="24">
        <v>3.8699999999999998E-2</v>
      </c>
      <c r="N68" s="11"/>
    </row>
    <row r="69" spans="1:14" x14ac:dyDescent="0.25">
      <c r="A69" s="36">
        <v>4</v>
      </c>
      <c r="B69" s="32">
        <f t="shared" si="3"/>
        <v>6</v>
      </c>
      <c r="C69" s="33">
        <v>1080000</v>
      </c>
      <c r="D69" s="23" t="s">
        <v>18</v>
      </c>
      <c r="E69" s="24">
        <v>9.7799999999999998E-2</v>
      </c>
      <c r="F69" s="24">
        <v>1.2500000000000001E-2</v>
      </c>
      <c r="G69" s="24">
        <v>1.9099999999999999E-2</v>
      </c>
      <c r="H69" s="24">
        <v>2.07E-2</v>
      </c>
      <c r="I69" s="24">
        <v>3.2000000000000002E-3</v>
      </c>
      <c r="K69" s="18"/>
      <c r="L69" s="18"/>
      <c r="M69" s="24">
        <v>4.2299999999999997E-2</v>
      </c>
      <c r="N69" s="11"/>
    </row>
    <row r="70" spans="1:14" x14ac:dyDescent="0.25">
      <c r="A70" s="36">
        <v>4</v>
      </c>
      <c r="B70" s="32">
        <f t="shared" si="3"/>
        <v>7</v>
      </c>
      <c r="C70" s="33">
        <v>1260000</v>
      </c>
      <c r="D70" s="23" t="s">
        <v>19</v>
      </c>
      <c r="E70" s="24">
        <v>0.1026</v>
      </c>
      <c r="F70" s="24">
        <v>1.6199999999999999E-2</v>
      </c>
      <c r="G70" s="24">
        <v>1.9300000000000001E-2</v>
      </c>
      <c r="H70" s="24">
        <v>2.1100000000000001E-2</v>
      </c>
      <c r="I70" s="24">
        <v>3.3999999999999998E-3</v>
      </c>
      <c r="K70" s="18"/>
      <c r="L70" s="18"/>
      <c r="M70" s="24">
        <v>4.2599999999999999E-2</v>
      </c>
      <c r="N70" s="11"/>
    </row>
    <row r="71" spans="1:14" x14ac:dyDescent="0.25">
      <c r="A71" s="36">
        <v>4</v>
      </c>
      <c r="B71" s="32">
        <f t="shared" si="3"/>
        <v>8</v>
      </c>
      <c r="C71" s="33">
        <v>1440000</v>
      </c>
      <c r="D71" s="23" t="s">
        <v>20</v>
      </c>
      <c r="E71" s="24">
        <v>0.1076</v>
      </c>
      <c r="F71" s="24">
        <v>0.02</v>
      </c>
      <c r="G71" s="24">
        <v>1.95E-2</v>
      </c>
      <c r="H71" s="24">
        <v>2.1499999999999998E-2</v>
      </c>
      <c r="I71" s="24">
        <v>3.5000000000000001E-3</v>
      </c>
      <c r="K71" s="18"/>
      <c r="L71" s="18"/>
      <c r="M71" s="24">
        <v>4.3099999999999999E-2</v>
      </c>
      <c r="N71" s="11"/>
    </row>
    <row r="72" spans="1:14" x14ac:dyDescent="0.25">
      <c r="A72" s="36">
        <v>4</v>
      </c>
      <c r="B72" s="32">
        <f t="shared" si="3"/>
        <v>9</v>
      </c>
      <c r="C72" s="33">
        <v>1620000</v>
      </c>
      <c r="D72" s="23" t="s">
        <v>21</v>
      </c>
      <c r="E72" s="24">
        <v>0.11509999999999999</v>
      </c>
      <c r="F72" s="24">
        <v>2.3699999999999999E-2</v>
      </c>
      <c r="G72" s="24">
        <v>1.9699999999999999E-2</v>
      </c>
      <c r="H72" s="24">
        <v>2.1899999999999999E-2</v>
      </c>
      <c r="I72" s="24">
        <v>3.7000000000000002E-3</v>
      </c>
      <c r="K72" s="18"/>
      <c r="L72" s="18"/>
      <c r="M72" s="24">
        <v>4.6100000000000002E-2</v>
      </c>
      <c r="N72" s="11"/>
    </row>
    <row r="73" spans="1:14" x14ac:dyDescent="0.25">
      <c r="A73" s="36">
        <v>4</v>
      </c>
      <c r="B73" s="32">
        <f t="shared" si="3"/>
        <v>10</v>
      </c>
      <c r="C73" s="33">
        <v>1800000</v>
      </c>
      <c r="D73" s="23" t="s">
        <v>22</v>
      </c>
      <c r="E73" s="24">
        <v>0.12</v>
      </c>
      <c r="F73" s="24">
        <v>2.7400000000000001E-2</v>
      </c>
      <c r="G73" s="24">
        <v>0.02</v>
      </c>
      <c r="H73" s="24">
        <v>2.23E-2</v>
      </c>
      <c r="I73" s="24">
        <v>3.8E-3</v>
      </c>
      <c r="K73" s="18"/>
      <c r="L73" s="18"/>
      <c r="M73" s="24">
        <v>4.65E-2</v>
      </c>
      <c r="N73" s="11"/>
    </row>
    <row r="74" spans="1:14" x14ac:dyDescent="0.25">
      <c r="A74" s="36">
        <v>4</v>
      </c>
      <c r="B74" s="32">
        <f t="shared" si="3"/>
        <v>11</v>
      </c>
      <c r="C74" s="33">
        <v>1980000</v>
      </c>
      <c r="D74" s="23" t="s">
        <v>23</v>
      </c>
      <c r="E74" s="24">
        <v>0.128</v>
      </c>
      <c r="F74" s="24">
        <v>3.1199999999999999E-2</v>
      </c>
      <c r="G74" s="24">
        <v>2.01E-2</v>
      </c>
      <c r="H74" s="24">
        <v>2.2700000000000001E-2</v>
      </c>
      <c r="I74" s="24">
        <v>4.0000000000000001E-3</v>
      </c>
      <c r="K74" s="18"/>
      <c r="L74" s="18"/>
      <c r="M74" s="24">
        <v>0.05</v>
      </c>
      <c r="N74" s="11"/>
    </row>
    <row r="75" spans="1:14" x14ac:dyDescent="0.25">
      <c r="A75" s="36">
        <v>4</v>
      </c>
      <c r="B75" s="32">
        <f t="shared" si="3"/>
        <v>12</v>
      </c>
      <c r="C75" s="33">
        <v>2160000</v>
      </c>
      <c r="D75" s="23" t="s">
        <v>24</v>
      </c>
      <c r="E75" s="24">
        <v>0.13250000000000001</v>
      </c>
      <c r="F75" s="24">
        <v>3.49E-2</v>
      </c>
      <c r="G75" s="24">
        <v>2.0299999999999999E-2</v>
      </c>
      <c r="H75" s="24">
        <v>2.3099999999999999E-2</v>
      </c>
      <c r="I75" s="24">
        <v>4.1999999999999997E-3</v>
      </c>
      <c r="K75" s="18"/>
      <c r="L75" s="18"/>
      <c r="M75" s="24">
        <v>0.05</v>
      </c>
      <c r="N75" s="11"/>
    </row>
    <row r="76" spans="1:14" x14ac:dyDescent="0.25">
      <c r="A76" s="36">
        <v>4</v>
      </c>
      <c r="B76" s="32">
        <f t="shared" si="3"/>
        <v>13</v>
      </c>
      <c r="C76" s="33">
        <v>2340000</v>
      </c>
      <c r="D76" s="23" t="s">
        <v>25</v>
      </c>
      <c r="E76" s="24">
        <v>0.13700000000000001</v>
      </c>
      <c r="F76" s="24">
        <v>3.8600000000000002E-2</v>
      </c>
      <c r="G76" s="24">
        <v>2.0500000000000001E-2</v>
      </c>
      <c r="H76" s="24">
        <v>2.35E-2</v>
      </c>
      <c r="I76" s="24">
        <v>4.4000000000000003E-3</v>
      </c>
      <c r="K76" s="18"/>
      <c r="L76" s="18"/>
      <c r="M76" s="24">
        <v>0.05</v>
      </c>
      <c r="N76" s="11"/>
    </row>
    <row r="77" spans="1:14" x14ac:dyDescent="0.25">
      <c r="A77" s="36">
        <v>4</v>
      </c>
      <c r="B77" s="32">
        <f t="shared" si="3"/>
        <v>14</v>
      </c>
      <c r="C77" s="33">
        <v>2520000</v>
      </c>
      <c r="D77" s="23" t="s">
        <v>26</v>
      </c>
      <c r="E77" s="24">
        <v>0.14149999999999999</v>
      </c>
      <c r="F77" s="24">
        <v>4.2299999999999997E-2</v>
      </c>
      <c r="G77" s="24">
        <v>2.07E-2</v>
      </c>
      <c r="H77" s="24">
        <v>2.3900000000000001E-2</v>
      </c>
      <c r="I77" s="24">
        <v>4.5999999999999999E-3</v>
      </c>
      <c r="K77" s="18"/>
      <c r="L77" s="18"/>
      <c r="M77" s="24">
        <v>0.05</v>
      </c>
      <c r="N77" s="11"/>
    </row>
    <row r="78" spans="1:14" x14ac:dyDescent="0.25">
      <c r="A78" s="36">
        <v>4</v>
      </c>
      <c r="B78" s="32">
        <f t="shared" si="3"/>
        <v>15</v>
      </c>
      <c r="C78" s="33">
        <v>2700000</v>
      </c>
      <c r="D78" s="23" t="s">
        <v>27</v>
      </c>
      <c r="E78" s="24">
        <v>0.14599999999999999</v>
      </c>
      <c r="F78" s="24">
        <v>4.5999999999999999E-2</v>
      </c>
      <c r="G78" s="24">
        <v>2.1000000000000001E-2</v>
      </c>
      <c r="H78" s="24">
        <v>2.4299999999999999E-2</v>
      </c>
      <c r="I78" s="24">
        <v>4.7000000000000002E-3</v>
      </c>
      <c r="K78" s="18"/>
      <c r="L78" s="18"/>
      <c r="M78" s="24">
        <v>0.05</v>
      </c>
      <c r="N78" s="11"/>
    </row>
    <row r="79" spans="1:14" x14ac:dyDescent="0.25">
      <c r="A79" s="36">
        <v>4</v>
      </c>
      <c r="B79" s="32">
        <f t="shared" si="3"/>
        <v>16</v>
      </c>
      <c r="C79" s="33">
        <v>2880000</v>
      </c>
      <c r="D79" s="23" t="s">
        <v>28</v>
      </c>
      <c r="E79" s="24">
        <v>0.15049999999999999</v>
      </c>
      <c r="F79" s="24">
        <v>4.9000000000000002E-2</v>
      </c>
      <c r="G79" s="24">
        <v>2.1899999999999999E-2</v>
      </c>
      <c r="H79" s="24">
        <v>2.47E-2</v>
      </c>
      <c r="I79" s="24">
        <v>4.8999999999999998E-3</v>
      </c>
      <c r="K79" s="18"/>
      <c r="L79" s="18"/>
      <c r="M79" s="24">
        <v>0.05</v>
      </c>
      <c r="N79" s="11"/>
    </row>
    <row r="80" spans="1:14" x14ac:dyDescent="0.25">
      <c r="A80" s="36">
        <v>4</v>
      </c>
      <c r="B80" s="32">
        <f t="shared" si="3"/>
        <v>17</v>
      </c>
      <c r="C80" s="33">
        <v>3060000</v>
      </c>
      <c r="D80" s="23" t="s">
        <v>29</v>
      </c>
      <c r="E80" s="24">
        <v>0.155</v>
      </c>
      <c r="F80" s="24">
        <v>5.21E-2</v>
      </c>
      <c r="G80" s="24">
        <v>2.2700000000000001E-2</v>
      </c>
      <c r="H80" s="24">
        <v>2.5100000000000001E-2</v>
      </c>
      <c r="I80" s="24">
        <v>5.1000000000000004E-3</v>
      </c>
      <c r="K80" s="18"/>
      <c r="L80" s="18"/>
      <c r="M80" s="24">
        <v>0.05</v>
      </c>
      <c r="N80" s="11"/>
    </row>
    <row r="81" spans="1:14" x14ac:dyDescent="0.25">
      <c r="A81" s="36">
        <v>4</v>
      </c>
      <c r="B81" s="32">
        <f t="shared" si="3"/>
        <v>18</v>
      </c>
      <c r="C81" s="33">
        <v>3240000</v>
      </c>
      <c r="D81" s="23" t="s">
        <v>30</v>
      </c>
      <c r="E81" s="24">
        <v>0.1595</v>
      </c>
      <c r="F81" s="24">
        <v>5.5100000000000003E-2</v>
      </c>
      <c r="G81" s="24">
        <v>2.3599999999999999E-2</v>
      </c>
      <c r="H81" s="24">
        <v>2.5499999999999998E-2</v>
      </c>
      <c r="I81" s="24">
        <v>5.3E-3</v>
      </c>
      <c r="K81" s="18"/>
      <c r="L81" s="18"/>
      <c r="M81" s="24">
        <v>0.05</v>
      </c>
      <c r="N81" s="11"/>
    </row>
    <row r="82" spans="1:14" x14ac:dyDescent="0.25">
      <c r="A82" s="36">
        <v>4</v>
      </c>
      <c r="B82" s="32">
        <f t="shared" si="3"/>
        <v>19</v>
      </c>
      <c r="C82" s="33">
        <v>3420000</v>
      </c>
      <c r="D82" s="23" t="s">
        <v>31</v>
      </c>
      <c r="E82" s="24">
        <v>0.16400000000000001</v>
      </c>
      <c r="F82" s="24">
        <v>5.8099999999999999E-2</v>
      </c>
      <c r="G82" s="24">
        <v>2.4500000000000001E-2</v>
      </c>
      <c r="H82" s="24">
        <v>2.5899999999999999E-2</v>
      </c>
      <c r="I82" s="24">
        <v>5.4999999999999997E-3</v>
      </c>
      <c r="K82" s="18"/>
      <c r="L82" s="18"/>
      <c r="M82" s="24">
        <v>0.05</v>
      </c>
    </row>
    <row r="83" spans="1:14" x14ac:dyDescent="0.25">
      <c r="A83" s="36">
        <v>4</v>
      </c>
      <c r="B83" s="32">
        <f t="shared" si="3"/>
        <v>20</v>
      </c>
      <c r="C83" s="33">
        <v>3600000</v>
      </c>
      <c r="D83" s="23" t="s">
        <v>32</v>
      </c>
      <c r="E83" s="24">
        <v>0.16850000000000001</v>
      </c>
      <c r="F83" s="24">
        <v>6.1199999999999997E-2</v>
      </c>
      <c r="G83" s="24">
        <v>2.53E-2</v>
      </c>
      <c r="H83" s="24">
        <v>2.63E-2</v>
      </c>
      <c r="I83" s="24">
        <v>5.7000000000000002E-3</v>
      </c>
      <c r="K83" s="18"/>
      <c r="L83" s="18"/>
      <c r="M83" s="24">
        <v>0.05</v>
      </c>
    </row>
    <row r="84" spans="1:14" ht="38.25" x14ac:dyDescent="0.25">
      <c r="A84" s="34"/>
      <c r="B84" s="34"/>
      <c r="C84" s="35"/>
      <c r="D84" s="23" t="s">
        <v>6</v>
      </c>
      <c r="E84" s="25" t="s">
        <v>35</v>
      </c>
      <c r="F84" s="25" t="s">
        <v>36</v>
      </c>
      <c r="G84" s="25" t="s">
        <v>37</v>
      </c>
      <c r="H84" s="25" t="s">
        <v>38</v>
      </c>
      <c r="I84" s="25" t="s">
        <v>39</v>
      </c>
      <c r="J84" s="25" t="s">
        <v>40</v>
      </c>
      <c r="K84" s="25" t="s">
        <v>41</v>
      </c>
      <c r="L84" s="25" t="s">
        <v>42</v>
      </c>
    </row>
    <row r="85" spans="1:14" x14ac:dyDescent="0.25">
      <c r="A85" s="34">
        <v>5.0999999999999996</v>
      </c>
      <c r="B85" s="32">
        <f>1</f>
        <v>1</v>
      </c>
      <c r="C85" s="33">
        <v>180000</v>
      </c>
      <c r="D85" s="23" t="s">
        <v>13</v>
      </c>
      <c r="E85" s="24">
        <v>0.17499999999999999</v>
      </c>
      <c r="F85" s="24">
        <v>0.157</v>
      </c>
      <c r="G85" s="24">
        <v>0.13700000000000001</v>
      </c>
      <c r="H85" s="24">
        <v>0.1182</v>
      </c>
      <c r="I85" s="24">
        <v>0.1047</v>
      </c>
      <c r="J85" s="24">
        <v>9.9699999999999997E-2</v>
      </c>
      <c r="K85" s="24">
        <v>8.7999999999999995E-2</v>
      </c>
      <c r="L85" s="24">
        <v>0.08</v>
      </c>
    </row>
    <row r="86" spans="1:14" x14ac:dyDescent="0.25">
      <c r="A86" s="34">
        <v>5.0999999999999996</v>
      </c>
      <c r="B86" s="32">
        <f>B85+1</f>
        <v>2</v>
      </c>
      <c r="C86" s="33">
        <v>360000</v>
      </c>
      <c r="D86" s="23" t="s">
        <v>14</v>
      </c>
      <c r="E86" s="24">
        <v>0.17519999999999999</v>
      </c>
      <c r="F86" s="24">
        <v>0.1575</v>
      </c>
      <c r="G86" s="24">
        <v>0.13900000000000001</v>
      </c>
      <c r="H86" s="24">
        <v>0.126</v>
      </c>
      <c r="I86" s="24">
        <v>0.12330000000000001</v>
      </c>
      <c r="J86" s="24">
        <v>0.1072</v>
      </c>
      <c r="K86" s="24">
        <v>9.0999999999999998E-2</v>
      </c>
      <c r="L86" s="24">
        <v>8.48E-2</v>
      </c>
    </row>
    <row r="87" spans="1:14" x14ac:dyDescent="0.25">
      <c r="A87" s="34">
        <v>5.0999999999999996</v>
      </c>
      <c r="B87" s="32">
        <f t="shared" ref="B87:B104" si="4">B86+1</f>
        <v>3</v>
      </c>
      <c r="C87" s="33">
        <v>540000</v>
      </c>
      <c r="D87" s="23" t="s">
        <v>15</v>
      </c>
      <c r="E87" s="24">
        <v>0.17549999999999999</v>
      </c>
      <c r="F87" s="24">
        <v>0.1595</v>
      </c>
      <c r="G87" s="24">
        <v>0.14199999999999999</v>
      </c>
      <c r="H87" s="24">
        <v>0.129</v>
      </c>
      <c r="I87" s="24">
        <v>0.12640000000000001</v>
      </c>
      <c r="J87" s="24">
        <v>0.1111</v>
      </c>
      <c r="K87" s="24">
        <v>9.5799999999999996E-2</v>
      </c>
      <c r="L87" s="24">
        <v>9.0300000000000005E-2</v>
      </c>
    </row>
    <row r="88" spans="1:14" x14ac:dyDescent="0.25">
      <c r="A88" s="34">
        <v>5.0999999999999996</v>
      </c>
      <c r="B88" s="32">
        <f t="shared" si="4"/>
        <v>4</v>
      </c>
      <c r="C88" s="33">
        <v>720000</v>
      </c>
      <c r="D88" s="23" t="s">
        <v>16</v>
      </c>
      <c r="E88" s="24">
        <v>0.17949999999999999</v>
      </c>
      <c r="F88" s="24">
        <v>0.16700000000000001</v>
      </c>
      <c r="G88" s="24">
        <v>0.15</v>
      </c>
      <c r="H88" s="24">
        <v>0.13700000000000001</v>
      </c>
      <c r="I88" s="24">
        <v>0.13450000000000001</v>
      </c>
      <c r="J88" s="24">
        <v>0.12</v>
      </c>
      <c r="K88" s="24">
        <v>0.1056</v>
      </c>
      <c r="L88" s="24">
        <v>9.3399999999999997E-2</v>
      </c>
    </row>
    <row r="89" spans="1:14" x14ac:dyDescent="0.25">
      <c r="A89" s="34">
        <v>5.0999999999999996</v>
      </c>
      <c r="B89" s="32">
        <f t="shared" si="4"/>
        <v>5</v>
      </c>
      <c r="C89" s="33">
        <v>900000</v>
      </c>
      <c r="D89" s="23" t="s">
        <v>17</v>
      </c>
      <c r="E89" s="24">
        <v>0.18149999999999999</v>
      </c>
      <c r="F89" s="24">
        <v>0.16950000000000001</v>
      </c>
      <c r="G89" s="24">
        <v>0.153</v>
      </c>
      <c r="H89" s="24">
        <v>0.14030000000000001</v>
      </c>
      <c r="I89" s="24">
        <v>0.1353</v>
      </c>
      <c r="J89" s="24">
        <v>0.124</v>
      </c>
      <c r="K89" s="24">
        <v>0.1104</v>
      </c>
      <c r="L89" s="24">
        <v>0.10059999999999999</v>
      </c>
    </row>
    <row r="90" spans="1:14" x14ac:dyDescent="0.25">
      <c r="A90" s="34">
        <v>5.0999999999999996</v>
      </c>
      <c r="B90" s="32">
        <f t="shared" si="4"/>
        <v>6</v>
      </c>
      <c r="C90" s="33">
        <v>1080000</v>
      </c>
      <c r="D90" s="23" t="s">
        <v>18</v>
      </c>
      <c r="E90" s="24">
        <v>0.1845</v>
      </c>
      <c r="F90" s="24">
        <v>0.17199999999999999</v>
      </c>
      <c r="G90" s="24">
        <v>0.154</v>
      </c>
      <c r="H90" s="24">
        <v>0.14099999999999999</v>
      </c>
      <c r="I90" s="24">
        <v>0.13600000000000001</v>
      </c>
      <c r="J90" s="24">
        <v>0.126</v>
      </c>
      <c r="K90" s="24">
        <v>0.11600000000000001</v>
      </c>
      <c r="L90" s="24">
        <v>0.106</v>
      </c>
    </row>
    <row r="91" spans="1:14" x14ac:dyDescent="0.25">
      <c r="A91" s="34">
        <v>5.0999999999999996</v>
      </c>
      <c r="B91" s="32">
        <f t="shared" si="4"/>
        <v>7</v>
      </c>
      <c r="C91" s="33">
        <v>1260000</v>
      </c>
      <c r="D91" s="23" t="s">
        <v>19</v>
      </c>
      <c r="E91" s="24">
        <v>0.1855</v>
      </c>
      <c r="F91" s="24">
        <v>0.17299999999999999</v>
      </c>
      <c r="G91" s="24">
        <v>0.155</v>
      </c>
      <c r="H91" s="24">
        <v>0.1411</v>
      </c>
      <c r="I91" s="24">
        <v>0.1368</v>
      </c>
      <c r="J91" s="24">
        <v>0.1268</v>
      </c>
      <c r="K91" s="24">
        <v>0.1168</v>
      </c>
      <c r="L91" s="24">
        <v>0.10680000000000001</v>
      </c>
    </row>
    <row r="92" spans="1:14" x14ac:dyDescent="0.25">
      <c r="A92" s="34">
        <v>5.0999999999999996</v>
      </c>
      <c r="B92" s="32">
        <f t="shared" si="4"/>
        <v>8</v>
      </c>
      <c r="C92" s="33">
        <v>1440000</v>
      </c>
      <c r="D92" s="23" t="s">
        <v>20</v>
      </c>
      <c r="E92" s="24">
        <v>0.1862</v>
      </c>
      <c r="F92" s="24">
        <v>0.17319999999999999</v>
      </c>
      <c r="G92" s="24">
        <v>0.156</v>
      </c>
      <c r="H92" s="24">
        <v>0.14119999999999999</v>
      </c>
      <c r="I92" s="24">
        <v>0.13689999999999999</v>
      </c>
      <c r="J92" s="24">
        <v>0.12690000000000001</v>
      </c>
      <c r="K92" s="24">
        <v>0.1169</v>
      </c>
      <c r="L92" s="24">
        <v>0.1069</v>
      </c>
    </row>
    <row r="93" spans="1:14" x14ac:dyDescent="0.25">
      <c r="A93" s="34">
        <v>5.0999999999999996</v>
      </c>
      <c r="B93" s="32">
        <f t="shared" si="4"/>
        <v>9</v>
      </c>
      <c r="C93" s="33">
        <v>1620000</v>
      </c>
      <c r="D93" s="23" t="s">
        <v>21</v>
      </c>
      <c r="E93" s="24">
        <v>0.18720000000000001</v>
      </c>
      <c r="F93" s="24">
        <v>0.17419999999999999</v>
      </c>
      <c r="G93" s="24">
        <v>0.157</v>
      </c>
      <c r="H93" s="24">
        <v>0.14130000000000001</v>
      </c>
      <c r="I93" s="24">
        <v>0.14080000000000001</v>
      </c>
      <c r="J93" s="24">
        <v>0.1308</v>
      </c>
      <c r="K93" s="24">
        <v>0.1208</v>
      </c>
      <c r="L93" s="24">
        <v>0.1108</v>
      </c>
    </row>
    <row r="94" spans="1:14" x14ac:dyDescent="0.25">
      <c r="A94" s="34">
        <v>5.0999999999999996</v>
      </c>
      <c r="B94" s="32">
        <f t="shared" si="4"/>
        <v>10</v>
      </c>
      <c r="C94" s="33">
        <v>1800000</v>
      </c>
      <c r="D94" s="23" t="s">
        <v>22</v>
      </c>
      <c r="E94" s="24">
        <v>0.18859999999999999</v>
      </c>
      <c r="F94" s="24">
        <v>0.17560000000000001</v>
      </c>
      <c r="G94" s="24">
        <v>0.158</v>
      </c>
      <c r="H94" s="24">
        <v>0.1414</v>
      </c>
      <c r="I94" s="24">
        <v>0.1409</v>
      </c>
      <c r="J94" s="24">
        <v>0.13089999999999999</v>
      </c>
      <c r="K94" s="24">
        <v>0.12089999999999999</v>
      </c>
      <c r="L94" s="24">
        <v>0.1109</v>
      </c>
    </row>
    <row r="95" spans="1:14" x14ac:dyDescent="0.25">
      <c r="A95" s="34">
        <v>5.0999999999999996</v>
      </c>
      <c r="B95" s="32">
        <f t="shared" si="4"/>
        <v>11</v>
      </c>
      <c r="C95" s="33">
        <v>1980000</v>
      </c>
      <c r="D95" s="23" t="s">
        <v>23</v>
      </c>
      <c r="E95" s="24">
        <v>0.18959999999999999</v>
      </c>
      <c r="F95" s="24">
        <v>0.17660000000000001</v>
      </c>
      <c r="G95" s="24">
        <v>0.159</v>
      </c>
      <c r="H95" s="24">
        <v>0.1449</v>
      </c>
      <c r="I95" s="24">
        <v>0.14449999999999999</v>
      </c>
      <c r="J95" s="24">
        <v>0.1361</v>
      </c>
      <c r="K95" s="24">
        <v>0.1278</v>
      </c>
      <c r="L95" s="24">
        <v>0.1187</v>
      </c>
    </row>
    <row r="96" spans="1:14" x14ac:dyDescent="0.25">
      <c r="A96" s="34">
        <v>5.0999999999999996</v>
      </c>
      <c r="B96" s="32">
        <f t="shared" si="4"/>
        <v>12</v>
      </c>
      <c r="C96" s="33">
        <v>2160000</v>
      </c>
      <c r="D96" s="23" t="s">
        <v>24</v>
      </c>
      <c r="E96" s="24">
        <v>0.19059999999999999</v>
      </c>
      <c r="F96" s="24">
        <v>0.17760000000000001</v>
      </c>
      <c r="G96" s="24">
        <v>0.16</v>
      </c>
      <c r="H96" s="24">
        <v>0.1467</v>
      </c>
      <c r="I96" s="24">
        <v>0.1464</v>
      </c>
      <c r="J96" s="24">
        <v>0.1389</v>
      </c>
      <c r="K96" s="24">
        <v>0.13150000000000001</v>
      </c>
      <c r="L96" s="24">
        <v>0.12280000000000001</v>
      </c>
    </row>
    <row r="97" spans="1:13" x14ac:dyDescent="0.25">
      <c r="A97" s="34">
        <v>5.0999999999999996</v>
      </c>
      <c r="B97" s="32">
        <f t="shared" si="4"/>
        <v>13</v>
      </c>
      <c r="C97" s="33">
        <v>2340000</v>
      </c>
      <c r="D97" s="23" t="s">
        <v>25</v>
      </c>
      <c r="E97" s="24">
        <v>0.19259999999999999</v>
      </c>
      <c r="F97" s="24">
        <v>0.17960000000000001</v>
      </c>
      <c r="G97" s="24">
        <v>0.16200000000000001</v>
      </c>
      <c r="H97" s="24">
        <v>0.14860000000000001</v>
      </c>
      <c r="I97" s="24">
        <v>0.1482</v>
      </c>
      <c r="J97" s="24">
        <v>0.14169999999999999</v>
      </c>
      <c r="K97" s="24">
        <v>0.1351</v>
      </c>
      <c r="L97" s="24">
        <v>0.1268</v>
      </c>
    </row>
    <row r="98" spans="1:13" x14ac:dyDescent="0.25">
      <c r="A98" s="34">
        <v>5.0999999999999996</v>
      </c>
      <c r="B98" s="32">
        <f t="shared" si="4"/>
        <v>14</v>
      </c>
      <c r="C98" s="33">
        <v>2520000</v>
      </c>
      <c r="D98" s="23" t="s">
        <v>26</v>
      </c>
      <c r="E98" s="24">
        <v>0.1956</v>
      </c>
      <c r="F98" s="24">
        <v>0.183</v>
      </c>
      <c r="G98" s="24">
        <v>0.16500000000000001</v>
      </c>
      <c r="H98" s="24">
        <v>0.15459999999999999</v>
      </c>
      <c r="I98" s="24">
        <v>0.15179999999999999</v>
      </c>
      <c r="J98" s="24">
        <v>0.14610000000000001</v>
      </c>
      <c r="K98" s="24">
        <v>0.1404</v>
      </c>
      <c r="L98" s="24">
        <v>0.1326</v>
      </c>
    </row>
    <row r="99" spans="1:13" x14ac:dyDescent="0.25">
      <c r="A99" s="34">
        <v>5.0999999999999996</v>
      </c>
      <c r="B99" s="32">
        <f t="shared" si="4"/>
        <v>15</v>
      </c>
      <c r="C99" s="33">
        <v>2700000</v>
      </c>
      <c r="D99" s="23" t="s">
        <v>27</v>
      </c>
      <c r="E99" s="24">
        <v>0.20699999999999999</v>
      </c>
      <c r="F99" s="24">
        <v>0.193</v>
      </c>
      <c r="G99" s="24">
        <v>0.17449999999999999</v>
      </c>
      <c r="H99" s="24">
        <v>0.16239999999999999</v>
      </c>
      <c r="I99" s="24">
        <v>0.16</v>
      </c>
      <c r="J99" s="24">
        <v>0.1552</v>
      </c>
      <c r="K99" s="24">
        <v>0.15029999999999999</v>
      </c>
      <c r="L99" s="24">
        <v>0.1429</v>
      </c>
    </row>
    <row r="100" spans="1:13" x14ac:dyDescent="0.25">
      <c r="A100" s="34">
        <v>5.0999999999999996</v>
      </c>
      <c r="B100" s="32">
        <f t="shared" si="4"/>
        <v>16</v>
      </c>
      <c r="C100" s="33">
        <v>2880000</v>
      </c>
      <c r="D100" s="23" t="s">
        <v>28</v>
      </c>
      <c r="E100" s="24">
        <v>0.21199999999999999</v>
      </c>
      <c r="F100" s="24">
        <v>0.2</v>
      </c>
      <c r="G100" s="24">
        <v>0.182</v>
      </c>
      <c r="H100" s="24">
        <v>0.1691</v>
      </c>
      <c r="I100" s="24">
        <v>0.16719999999999999</v>
      </c>
      <c r="J100" s="24">
        <v>0.16320000000000001</v>
      </c>
      <c r="K100" s="24">
        <v>0.1593</v>
      </c>
      <c r="L100" s="24">
        <v>0.15229999999999999</v>
      </c>
    </row>
    <row r="101" spans="1:13" x14ac:dyDescent="0.25">
      <c r="A101" s="34">
        <v>5.0999999999999996</v>
      </c>
      <c r="B101" s="32">
        <f t="shared" si="4"/>
        <v>17</v>
      </c>
      <c r="C101" s="33">
        <v>3060000</v>
      </c>
      <c r="D101" s="23" t="s">
        <v>29</v>
      </c>
      <c r="E101" s="24">
        <v>0.217</v>
      </c>
      <c r="F101" s="24">
        <v>0.20499999999999999</v>
      </c>
      <c r="G101" s="24">
        <v>0.187</v>
      </c>
      <c r="H101" s="24">
        <v>0.17399999999999999</v>
      </c>
      <c r="I101" s="24">
        <v>0.17130000000000001</v>
      </c>
      <c r="J101" s="24">
        <v>0.16819999999999999</v>
      </c>
      <c r="K101" s="24">
        <v>0.1638</v>
      </c>
      <c r="L101" s="24">
        <v>0.16170000000000001</v>
      </c>
    </row>
    <row r="102" spans="1:13" x14ac:dyDescent="0.25">
      <c r="A102" s="34">
        <v>5.0999999999999996</v>
      </c>
      <c r="B102" s="32">
        <f t="shared" si="4"/>
        <v>18</v>
      </c>
      <c r="C102" s="33">
        <v>3240000</v>
      </c>
      <c r="D102" s="23" t="s">
        <v>30</v>
      </c>
      <c r="E102" s="24">
        <v>0.222</v>
      </c>
      <c r="F102" s="24">
        <v>0.20899999999999999</v>
      </c>
      <c r="G102" s="24">
        <v>0.191</v>
      </c>
      <c r="H102" s="24">
        <v>0.17799999999999999</v>
      </c>
      <c r="I102" s="24">
        <v>0.17549999999999999</v>
      </c>
      <c r="J102" s="24">
        <v>0.17219999999999999</v>
      </c>
      <c r="K102" s="24">
        <v>0.16819999999999999</v>
      </c>
      <c r="L102" s="24">
        <v>0.1651</v>
      </c>
    </row>
    <row r="103" spans="1:13" x14ac:dyDescent="0.25">
      <c r="A103" s="34">
        <v>5.0999999999999996</v>
      </c>
      <c r="B103" s="32">
        <f t="shared" si="4"/>
        <v>19</v>
      </c>
      <c r="C103" s="33">
        <v>3420000</v>
      </c>
      <c r="D103" s="23" t="s">
        <v>31</v>
      </c>
      <c r="E103" s="24">
        <v>0.22500000000000001</v>
      </c>
      <c r="F103" s="24">
        <v>0.21299999999999999</v>
      </c>
      <c r="G103" s="24">
        <v>0.19500000000000001</v>
      </c>
      <c r="H103" s="24">
        <v>0.182</v>
      </c>
      <c r="I103" s="24">
        <v>0.1797</v>
      </c>
      <c r="J103" s="24">
        <v>0.1744</v>
      </c>
      <c r="K103" s="24">
        <v>0.1721</v>
      </c>
      <c r="L103" s="24">
        <v>0.1694</v>
      </c>
    </row>
    <row r="104" spans="1:13" x14ac:dyDescent="0.25">
      <c r="A104" s="34">
        <v>5.0999999999999996</v>
      </c>
      <c r="B104" s="32">
        <f t="shared" si="4"/>
        <v>20</v>
      </c>
      <c r="C104" s="33">
        <v>3600000</v>
      </c>
      <c r="D104" s="23" t="s">
        <v>32</v>
      </c>
      <c r="E104" s="24">
        <v>0.22900000000000001</v>
      </c>
      <c r="F104" s="24">
        <v>0.218</v>
      </c>
      <c r="G104" s="24">
        <v>0.2</v>
      </c>
      <c r="H104" s="24">
        <v>0.186</v>
      </c>
      <c r="I104" s="24">
        <v>0.184</v>
      </c>
      <c r="J104" s="24">
        <v>0.17849999999999999</v>
      </c>
      <c r="K104" s="24">
        <v>0.17599999999999999</v>
      </c>
      <c r="L104" s="24">
        <v>0.17180000000000001</v>
      </c>
    </row>
    <row r="105" spans="1:13" s="10" customFormat="1" x14ac:dyDescent="0.25">
      <c r="A105" s="34"/>
      <c r="B105" s="34"/>
      <c r="C105" s="35"/>
      <c r="D105" s="23" t="s">
        <v>6</v>
      </c>
      <c r="E105" s="26" t="s">
        <v>11</v>
      </c>
      <c r="F105" s="26" t="s">
        <v>7</v>
      </c>
      <c r="G105" s="26" t="s">
        <v>8</v>
      </c>
      <c r="H105" s="26" t="s">
        <v>43</v>
      </c>
      <c r="I105" s="26" t="s">
        <v>10</v>
      </c>
      <c r="J105" s="27"/>
      <c r="K105" s="27"/>
      <c r="L105" s="27"/>
      <c r="M105" s="14"/>
    </row>
    <row r="106" spans="1:13" s="10" customFormat="1" x14ac:dyDescent="0.25">
      <c r="A106" s="34"/>
      <c r="B106" s="34"/>
      <c r="C106" s="35"/>
      <c r="D106" s="28" t="s">
        <v>74</v>
      </c>
      <c r="E106" s="26" t="s">
        <v>44</v>
      </c>
      <c r="F106" s="26" t="s">
        <v>45</v>
      </c>
      <c r="G106" s="26" t="s">
        <v>46</v>
      </c>
      <c r="H106" s="26" t="s">
        <v>47</v>
      </c>
      <c r="I106" s="26" t="s">
        <v>48</v>
      </c>
      <c r="J106" s="27"/>
      <c r="K106" s="27"/>
      <c r="L106" s="27"/>
      <c r="M106" s="14"/>
    </row>
    <row r="107" spans="1:13" s="10" customFormat="1" x14ac:dyDescent="0.25">
      <c r="A107" s="34">
        <v>5.2</v>
      </c>
      <c r="B107" s="32">
        <f>1</f>
        <v>1</v>
      </c>
      <c r="C107" s="33">
        <v>180000</v>
      </c>
      <c r="D107" s="23" t="s">
        <v>13</v>
      </c>
      <c r="E107" s="23" t="s">
        <v>49</v>
      </c>
      <c r="F107" s="23" t="s">
        <v>50</v>
      </c>
      <c r="G107" s="23" t="s">
        <v>51</v>
      </c>
      <c r="H107" s="23" t="s">
        <v>52</v>
      </c>
      <c r="I107" s="23" t="s">
        <v>53</v>
      </c>
      <c r="J107" s="27"/>
      <c r="K107" s="27"/>
      <c r="L107" s="27"/>
      <c r="M107" s="14"/>
    </row>
    <row r="108" spans="1:13" s="10" customFormat="1" x14ac:dyDescent="0.25">
      <c r="A108" s="34">
        <v>5.2</v>
      </c>
      <c r="B108" s="32">
        <f>B107+1</f>
        <v>2</v>
      </c>
      <c r="C108" s="33">
        <v>360000</v>
      </c>
      <c r="D108" s="23" t="s">
        <v>14</v>
      </c>
      <c r="E108" s="23" t="s">
        <v>54</v>
      </c>
      <c r="F108" s="23" t="s">
        <v>50</v>
      </c>
      <c r="G108" s="23" t="s">
        <v>51</v>
      </c>
      <c r="H108" s="23" t="s">
        <v>52</v>
      </c>
      <c r="I108" s="23" t="s">
        <v>53</v>
      </c>
      <c r="J108" s="27"/>
      <c r="K108" s="27"/>
      <c r="L108" s="27"/>
      <c r="M108" s="14"/>
    </row>
    <row r="109" spans="1:13" s="10" customFormat="1" x14ac:dyDescent="0.25">
      <c r="A109" s="34">
        <v>5.2</v>
      </c>
      <c r="B109" s="32">
        <f t="shared" ref="B109:B126" si="5">B108+1</f>
        <v>3</v>
      </c>
      <c r="C109" s="33">
        <v>540000</v>
      </c>
      <c r="D109" s="23" t="s">
        <v>15</v>
      </c>
      <c r="E109" s="23" t="s">
        <v>55</v>
      </c>
      <c r="F109" s="23" t="s">
        <v>50</v>
      </c>
      <c r="G109" s="23" t="s">
        <v>51</v>
      </c>
      <c r="H109" s="23" t="s">
        <v>52</v>
      </c>
      <c r="I109" s="23" t="s">
        <v>53</v>
      </c>
      <c r="J109" s="27"/>
      <c r="K109" s="27"/>
      <c r="L109" s="27"/>
      <c r="M109" s="14"/>
    </row>
    <row r="110" spans="1:13" s="10" customFormat="1" x14ac:dyDescent="0.25">
      <c r="A110" s="34">
        <v>5.2</v>
      </c>
      <c r="B110" s="32">
        <f t="shared" si="5"/>
        <v>4</v>
      </c>
      <c r="C110" s="33">
        <v>720000</v>
      </c>
      <c r="D110" s="23" t="s">
        <v>16</v>
      </c>
      <c r="E110" s="23" t="s">
        <v>56</v>
      </c>
      <c r="F110" s="23" t="s">
        <v>50</v>
      </c>
      <c r="G110" s="23" t="s">
        <v>51</v>
      </c>
      <c r="H110" s="23" t="s">
        <v>52</v>
      </c>
      <c r="I110" s="23" t="s">
        <v>53</v>
      </c>
      <c r="J110" s="27"/>
      <c r="K110" s="27"/>
      <c r="L110" s="27"/>
      <c r="M110" s="14"/>
    </row>
    <row r="111" spans="1:13" s="10" customFormat="1" x14ac:dyDescent="0.25">
      <c r="A111" s="34">
        <v>5.2</v>
      </c>
      <c r="B111" s="32">
        <f t="shared" si="5"/>
        <v>5</v>
      </c>
      <c r="C111" s="33">
        <v>900000</v>
      </c>
      <c r="D111" s="23" t="s">
        <v>17</v>
      </c>
      <c r="E111" s="23" t="s">
        <v>57</v>
      </c>
      <c r="F111" s="23" t="s">
        <v>50</v>
      </c>
      <c r="G111" s="23" t="s">
        <v>51</v>
      </c>
      <c r="H111" s="23" t="s">
        <v>52</v>
      </c>
      <c r="I111" s="23" t="s">
        <v>53</v>
      </c>
      <c r="J111" s="27"/>
      <c r="K111" s="27"/>
      <c r="L111" s="27"/>
      <c r="M111" s="14"/>
    </row>
    <row r="112" spans="1:13" s="10" customFormat="1" x14ac:dyDescent="0.25">
      <c r="A112" s="34">
        <v>5.2</v>
      </c>
      <c r="B112" s="32">
        <f t="shared" si="5"/>
        <v>6</v>
      </c>
      <c r="C112" s="33">
        <v>1080000</v>
      </c>
      <c r="D112" s="23" t="s">
        <v>18</v>
      </c>
      <c r="E112" s="23" t="s">
        <v>58</v>
      </c>
      <c r="F112" s="23" t="s">
        <v>50</v>
      </c>
      <c r="G112" s="23" t="s">
        <v>51</v>
      </c>
      <c r="H112" s="23" t="s">
        <v>52</v>
      </c>
      <c r="I112" s="23" t="s">
        <v>53</v>
      </c>
      <c r="J112" s="27"/>
      <c r="K112" s="27"/>
      <c r="L112" s="27"/>
      <c r="M112" s="14"/>
    </row>
    <row r="113" spans="1:13" s="10" customFormat="1" x14ac:dyDescent="0.25">
      <c r="A113" s="34">
        <v>5.2</v>
      </c>
      <c r="B113" s="32">
        <f t="shared" si="5"/>
        <v>7</v>
      </c>
      <c r="C113" s="33">
        <v>1260000</v>
      </c>
      <c r="D113" s="23" t="s">
        <v>19</v>
      </c>
      <c r="E113" s="23" t="s">
        <v>59</v>
      </c>
      <c r="F113" s="23" t="s">
        <v>50</v>
      </c>
      <c r="G113" s="23" t="s">
        <v>51</v>
      </c>
      <c r="H113" s="23" t="s">
        <v>52</v>
      </c>
      <c r="I113" s="23" t="s">
        <v>53</v>
      </c>
      <c r="J113" s="27"/>
      <c r="K113" s="27"/>
      <c r="L113" s="27"/>
      <c r="M113" s="14"/>
    </row>
    <row r="114" spans="1:13" s="10" customFormat="1" x14ac:dyDescent="0.25">
      <c r="A114" s="34">
        <v>5.2</v>
      </c>
      <c r="B114" s="32">
        <f t="shared" si="5"/>
        <v>8</v>
      </c>
      <c r="C114" s="33">
        <v>1440000</v>
      </c>
      <c r="D114" s="23" t="s">
        <v>20</v>
      </c>
      <c r="E114" s="23" t="s">
        <v>60</v>
      </c>
      <c r="F114" s="23" t="s">
        <v>50</v>
      </c>
      <c r="G114" s="23" t="s">
        <v>51</v>
      </c>
      <c r="H114" s="23" t="s">
        <v>52</v>
      </c>
      <c r="I114" s="23" t="s">
        <v>53</v>
      </c>
      <c r="J114" s="27"/>
      <c r="K114" s="27"/>
      <c r="L114" s="27"/>
      <c r="M114" s="14"/>
    </row>
    <row r="115" spans="1:13" s="10" customFormat="1" x14ac:dyDescent="0.25">
      <c r="A115" s="34">
        <v>5.2</v>
      </c>
      <c r="B115" s="32">
        <f t="shared" si="5"/>
        <v>9</v>
      </c>
      <c r="C115" s="33">
        <v>1620000</v>
      </c>
      <c r="D115" s="23" t="s">
        <v>21</v>
      </c>
      <c r="E115" s="23" t="s">
        <v>61</v>
      </c>
      <c r="F115" s="23" t="s">
        <v>50</v>
      </c>
      <c r="G115" s="23" t="s">
        <v>51</v>
      </c>
      <c r="H115" s="23" t="s">
        <v>52</v>
      </c>
      <c r="I115" s="23" t="s">
        <v>53</v>
      </c>
      <c r="J115" s="27"/>
      <c r="K115" s="27"/>
      <c r="L115" s="27"/>
      <c r="M115" s="14"/>
    </row>
    <row r="116" spans="1:13" s="10" customFormat="1" x14ac:dyDescent="0.25">
      <c r="A116" s="34">
        <v>5.2</v>
      </c>
      <c r="B116" s="32">
        <f t="shared" si="5"/>
        <v>10</v>
      </c>
      <c r="C116" s="33">
        <v>1800000</v>
      </c>
      <c r="D116" s="23" t="s">
        <v>22</v>
      </c>
      <c r="E116" s="23" t="s">
        <v>62</v>
      </c>
      <c r="F116" s="23" t="s">
        <v>50</v>
      </c>
      <c r="G116" s="23" t="s">
        <v>51</v>
      </c>
      <c r="H116" s="23" t="s">
        <v>52</v>
      </c>
      <c r="I116" s="23" t="s">
        <v>53</v>
      </c>
      <c r="J116" s="27"/>
      <c r="K116" s="27"/>
      <c r="L116" s="27"/>
      <c r="M116" s="14"/>
    </row>
    <row r="117" spans="1:13" s="10" customFormat="1" x14ac:dyDescent="0.25">
      <c r="A117" s="34">
        <v>5.2</v>
      </c>
      <c r="B117" s="32">
        <f t="shared" si="5"/>
        <v>11</v>
      </c>
      <c r="C117" s="33">
        <v>1980000</v>
      </c>
      <c r="D117" s="23" t="s">
        <v>23</v>
      </c>
      <c r="E117" s="23" t="s">
        <v>63</v>
      </c>
      <c r="F117" s="23" t="s">
        <v>50</v>
      </c>
      <c r="G117" s="23" t="s">
        <v>51</v>
      </c>
      <c r="H117" s="23" t="s">
        <v>52</v>
      </c>
      <c r="I117" s="23" t="s">
        <v>53</v>
      </c>
      <c r="J117" s="27"/>
      <c r="K117" s="27"/>
      <c r="L117" s="27"/>
      <c r="M117" s="14"/>
    </row>
    <row r="118" spans="1:13" s="10" customFormat="1" x14ac:dyDescent="0.25">
      <c r="A118" s="34">
        <v>5.2</v>
      </c>
      <c r="B118" s="32">
        <f t="shared" si="5"/>
        <v>12</v>
      </c>
      <c r="C118" s="33">
        <v>2160000</v>
      </c>
      <c r="D118" s="23" t="s">
        <v>24</v>
      </c>
      <c r="E118" s="23" t="s">
        <v>64</v>
      </c>
      <c r="F118" s="23" t="s">
        <v>50</v>
      </c>
      <c r="G118" s="23" t="s">
        <v>51</v>
      </c>
      <c r="H118" s="23" t="s">
        <v>52</v>
      </c>
      <c r="I118" s="23" t="s">
        <v>53</v>
      </c>
      <c r="J118" s="27"/>
      <c r="K118" s="27"/>
      <c r="L118" s="27"/>
      <c r="M118" s="14"/>
    </row>
    <row r="119" spans="1:13" s="10" customFormat="1" x14ac:dyDescent="0.25">
      <c r="A119" s="34">
        <v>5.2</v>
      </c>
      <c r="B119" s="32">
        <f t="shared" si="5"/>
        <v>13</v>
      </c>
      <c r="C119" s="33">
        <v>2340000</v>
      </c>
      <c r="D119" s="23" t="s">
        <v>25</v>
      </c>
      <c r="E119" s="23" t="s">
        <v>65</v>
      </c>
      <c r="F119" s="23" t="s">
        <v>50</v>
      </c>
      <c r="G119" s="23" t="s">
        <v>51</v>
      </c>
      <c r="H119" s="23" t="s">
        <v>52</v>
      </c>
      <c r="I119" s="23" t="s">
        <v>53</v>
      </c>
      <c r="J119" s="27"/>
      <c r="K119" s="27"/>
      <c r="L119" s="27"/>
      <c r="M119" s="14"/>
    </row>
    <row r="120" spans="1:13" s="10" customFormat="1" x14ac:dyDescent="0.25">
      <c r="A120" s="34">
        <v>5.2</v>
      </c>
      <c r="B120" s="32">
        <f t="shared" si="5"/>
        <v>14</v>
      </c>
      <c r="C120" s="33">
        <v>2520000</v>
      </c>
      <c r="D120" s="23" t="s">
        <v>26</v>
      </c>
      <c r="E120" s="23" t="s">
        <v>66</v>
      </c>
      <c r="F120" s="23" t="s">
        <v>50</v>
      </c>
      <c r="G120" s="23" t="s">
        <v>51</v>
      </c>
      <c r="H120" s="23" t="s">
        <v>52</v>
      </c>
      <c r="I120" s="23" t="s">
        <v>53</v>
      </c>
      <c r="J120" s="27"/>
      <c r="K120" s="27"/>
      <c r="L120" s="27"/>
      <c r="M120" s="14"/>
    </row>
    <row r="121" spans="1:13" s="10" customFormat="1" x14ac:dyDescent="0.25">
      <c r="A121" s="34">
        <v>5.2</v>
      </c>
      <c r="B121" s="32">
        <f t="shared" si="5"/>
        <v>15</v>
      </c>
      <c r="C121" s="33">
        <v>2700000</v>
      </c>
      <c r="D121" s="23" t="s">
        <v>27</v>
      </c>
      <c r="E121" s="23" t="s">
        <v>67</v>
      </c>
      <c r="F121" s="23" t="s">
        <v>50</v>
      </c>
      <c r="G121" s="23" t="s">
        <v>51</v>
      </c>
      <c r="H121" s="23" t="s">
        <v>52</v>
      </c>
      <c r="I121" s="23" t="s">
        <v>53</v>
      </c>
      <c r="J121" s="27"/>
      <c r="K121" s="27"/>
      <c r="L121" s="27"/>
      <c r="M121" s="14"/>
    </row>
    <row r="122" spans="1:13" s="10" customFormat="1" x14ac:dyDescent="0.25">
      <c r="A122" s="34">
        <v>5.2</v>
      </c>
      <c r="B122" s="32">
        <f t="shared" si="5"/>
        <v>16</v>
      </c>
      <c r="C122" s="33">
        <v>2880000</v>
      </c>
      <c r="D122" s="23" t="s">
        <v>28</v>
      </c>
      <c r="E122" s="23" t="s">
        <v>68</v>
      </c>
      <c r="F122" s="23" t="s">
        <v>50</v>
      </c>
      <c r="G122" s="23" t="s">
        <v>51</v>
      </c>
      <c r="H122" s="23" t="s">
        <v>52</v>
      </c>
      <c r="I122" s="23" t="s">
        <v>53</v>
      </c>
      <c r="J122" s="27"/>
      <c r="K122" s="27"/>
      <c r="L122" s="27"/>
      <c r="M122" s="14"/>
    </row>
    <row r="123" spans="1:13" s="10" customFormat="1" x14ac:dyDescent="0.25">
      <c r="A123" s="34">
        <v>5.2</v>
      </c>
      <c r="B123" s="32">
        <f t="shared" si="5"/>
        <v>17</v>
      </c>
      <c r="C123" s="33">
        <v>3060000</v>
      </c>
      <c r="D123" s="23" t="s">
        <v>29</v>
      </c>
      <c r="E123" s="23" t="s">
        <v>69</v>
      </c>
      <c r="F123" s="23" t="s">
        <v>50</v>
      </c>
      <c r="G123" s="23" t="s">
        <v>51</v>
      </c>
      <c r="H123" s="23" t="s">
        <v>52</v>
      </c>
      <c r="I123" s="23" t="s">
        <v>53</v>
      </c>
      <c r="J123" s="27"/>
      <c r="K123" s="27"/>
      <c r="L123" s="27"/>
      <c r="M123" s="14"/>
    </row>
    <row r="124" spans="1:13" s="10" customFormat="1" x14ac:dyDescent="0.25">
      <c r="A124" s="34">
        <v>5.2</v>
      </c>
      <c r="B124" s="32">
        <f t="shared" si="5"/>
        <v>18</v>
      </c>
      <c r="C124" s="33">
        <v>3240000</v>
      </c>
      <c r="D124" s="23" t="s">
        <v>30</v>
      </c>
      <c r="E124" s="23" t="s">
        <v>70</v>
      </c>
      <c r="F124" s="23" t="s">
        <v>50</v>
      </c>
      <c r="G124" s="23" t="s">
        <v>51</v>
      </c>
      <c r="H124" s="23" t="s">
        <v>52</v>
      </c>
      <c r="I124" s="23" t="s">
        <v>53</v>
      </c>
      <c r="J124" s="27"/>
      <c r="K124" s="27"/>
      <c r="L124" s="27"/>
      <c r="M124" s="14"/>
    </row>
    <row r="125" spans="1:13" s="10" customFormat="1" x14ac:dyDescent="0.25">
      <c r="A125" s="34">
        <v>5.2</v>
      </c>
      <c r="B125" s="32">
        <f t="shared" si="5"/>
        <v>19</v>
      </c>
      <c r="C125" s="33">
        <v>3420000</v>
      </c>
      <c r="D125" s="23" t="s">
        <v>31</v>
      </c>
      <c r="E125" s="23" t="s">
        <v>71</v>
      </c>
      <c r="F125" s="23" t="s">
        <v>50</v>
      </c>
      <c r="G125" s="23" t="s">
        <v>51</v>
      </c>
      <c r="H125" s="23" t="s">
        <v>52</v>
      </c>
      <c r="I125" s="23" t="s">
        <v>53</v>
      </c>
      <c r="J125" s="27"/>
      <c r="K125" s="27"/>
      <c r="L125" s="27"/>
      <c r="M125" s="14"/>
    </row>
    <row r="126" spans="1:13" s="10" customFormat="1" x14ac:dyDescent="0.25">
      <c r="A126" s="34">
        <v>5.2</v>
      </c>
      <c r="B126" s="32">
        <f t="shared" si="5"/>
        <v>20</v>
      </c>
      <c r="C126" s="33">
        <v>3600000</v>
      </c>
      <c r="D126" s="23" t="s">
        <v>32</v>
      </c>
      <c r="E126" s="23" t="s">
        <v>72</v>
      </c>
      <c r="F126" s="23" t="s">
        <v>50</v>
      </c>
      <c r="G126" s="23" t="s">
        <v>51</v>
      </c>
      <c r="H126" s="23" t="s">
        <v>52</v>
      </c>
      <c r="I126" s="23" t="s">
        <v>53</v>
      </c>
      <c r="J126" s="27"/>
      <c r="K126" s="27"/>
      <c r="L126" s="27"/>
      <c r="M126" s="14"/>
    </row>
    <row r="127" spans="1:13" s="10" customFormat="1" x14ac:dyDescent="0.25">
      <c r="A127" s="34"/>
      <c r="B127" s="34"/>
      <c r="C127" s="35"/>
      <c r="D127" s="29" t="s">
        <v>6</v>
      </c>
      <c r="E127" s="29" t="s">
        <v>2</v>
      </c>
      <c r="F127" s="29" t="s">
        <v>73</v>
      </c>
      <c r="H127" s="27"/>
      <c r="I127" s="27"/>
      <c r="J127" s="27"/>
      <c r="K127" s="27"/>
      <c r="L127" s="27"/>
      <c r="M127" s="29" t="s">
        <v>34</v>
      </c>
    </row>
    <row r="128" spans="1:13" s="10" customFormat="1" x14ac:dyDescent="0.25">
      <c r="A128" s="34">
        <v>5.3</v>
      </c>
      <c r="B128" s="32">
        <f>1</f>
        <v>1</v>
      </c>
      <c r="C128" s="33">
        <v>180000</v>
      </c>
      <c r="D128" s="30" t="s">
        <v>13</v>
      </c>
      <c r="E128" s="31">
        <v>0.16930000000000001</v>
      </c>
      <c r="F128" s="31">
        <v>0.14929999999999999</v>
      </c>
      <c r="H128" s="27"/>
      <c r="I128" s="27"/>
      <c r="J128" s="27"/>
      <c r="K128" s="27"/>
      <c r="L128" s="27"/>
      <c r="M128" s="31">
        <v>0.02</v>
      </c>
    </row>
    <row r="129" spans="1:13" s="10" customFormat="1" x14ac:dyDescent="0.25">
      <c r="A129" s="34">
        <v>5.3</v>
      </c>
      <c r="B129" s="32">
        <f>B128+1</f>
        <v>2</v>
      </c>
      <c r="C129" s="33">
        <v>360000</v>
      </c>
      <c r="D129" s="30" t="s">
        <v>14</v>
      </c>
      <c r="E129" s="31">
        <v>0.1772</v>
      </c>
      <c r="F129" s="31">
        <v>0.14929999999999999</v>
      </c>
      <c r="H129" s="27"/>
      <c r="I129" s="27"/>
      <c r="J129" s="27"/>
      <c r="K129" s="27"/>
      <c r="L129" s="27"/>
      <c r="M129" s="31">
        <v>2.7900000000000001E-2</v>
      </c>
    </row>
    <row r="130" spans="1:13" s="10" customFormat="1" x14ac:dyDescent="0.25">
      <c r="A130" s="34">
        <v>5.3</v>
      </c>
      <c r="B130" s="32">
        <f t="shared" ref="B130:B147" si="6">B129+1</f>
        <v>3</v>
      </c>
      <c r="C130" s="33">
        <v>540000</v>
      </c>
      <c r="D130" s="30" t="s">
        <v>15</v>
      </c>
      <c r="E130" s="31">
        <v>0.18429999999999999</v>
      </c>
      <c r="F130" s="31">
        <v>0.14929999999999999</v>
      </c>
      <c r="H130" s="27"/>
      <c r="I130" s="27"/>
      <c r="J130" s="27"/>
      <c r="K130" s="27"/>
      <c r="L130" s="27"/>
      <c r="M130" s="31">
        <v>3.5000000000000003E-2</v>
      </c>
    </row>
    <row r="131" spans="1:13" s="10" customFormat="1" x14ac:dyDescent="0.25">
      <c r="A131" s="34">
        <v>5.3</v>
      </c>
      <c r="B131" s="32">
        <f t="shared" si="6"/>
        <v>4</v>
      </c>
      <c r="C131" s="33">
        <v>720000</v>
      </c>
      <c r="D131" s="30" t="s">
        <v>16</v>
      </c>
      <c r="E131" s="31">
        <v>0.18770000000000001</v>
      </c>
      <c r="F131" s="31">
        <v>0.14929999999999999</v>
      </c>
      <c r="H131" s="27"/>
      <c r="I131" s="27"/>
      <c r="J131" s="27"/>
      <c r="K131" s="27"/>
      <c r="L131" s="27"/>
      <c r="M131" s="31">
        <v>3.8399999999999997E-2</v>
      </c>
    </row>
    <row r="132" spans="1:13" s="10" customFormat="1" x14ac:dyDescent="0.25">
      <c r="A132" s="34">
        <v>5.3</v>
      </c>
      <c r="B132" s="32">
        <f t="shared" si="6"/>
        <v>5</v>
      </c>
      <c r="C132" s="33">
        <v>900000</v>
      </c>
      <c r="D132" s="30" t="s">
        <v>17</v>
      </c>
      <c r="E132" s="31">
        <v>0.19040000000000001</v>
      </c>
      <c r="F132" s="31">
        <v>0.1517</v>
      </c>
      <c r="H132" s="27"/>
      <c r="I132" s="27"/>
      <c r="J132" s="27"/>
      <c r="K132" s="27"/>
      <c r="L132" s="27"/>
      <c r="M132" s="31">
        <v>3.8699999999999998E-2</v>
      </c>
    </row>
    <row r="133" spans="1:13" s="10" customFormat="1" x14ac:dyDescent="0.25">
      <c r="A133" s="34">
        <v>5.3</v>
      </c>
      <c r="B133" s="32">
        <f t="shared" si="6"/>
        <v>6</v>
      </c>
      <c r="C133" s="33">
        <v>1080000</v>
      </c>
      <c r="D133" s="30" t="s">
        <v>18</v>
      </c>
      <c r="E133" s="31">
        <v>0.19939999999999999</v>
      </c>
      <c r="F133" s="31">
        <v>0.15709999999999999</v>
      </c>
      <c r="H133" s="27"/>
      <c r="I133" s="27"/>
      <c r="J133" s="27"/>
      <c r="K133" s="27"/>
      <c r="L133" s="27"/>
      <c r="M133" s="31">
        <v>4.2299999999999997E-2</v>
      </c>
    </row>
    <row r="134" spans="1:13" s="10" customFormat="1" x14ac:dyDescent="0.25">
      <c r="A134" s="34">
        <v>5.3</v>
      </c>
      <c r="B134" s="32">
        <f t="shared" si="6"/>
        <v>7</v>
      </c>
      <c r="C134" s="33">
        <v>1260000</v>
      </c>
      <c r="D134" s="30" t="s">
        <v>19</v>
      </c>
      <c r="E134" s="31">
        <v>0.2034</v>
      </c>
      <c r="F134" s="31">
        <v>0.1608</v>
      </c>
      <c r="H134" s="27"/>
      <c r="I134" s="27"/>
      <c r="J134" s="27"/>
      <c r="K134" s="27"/>
      <c r="L134" s="27"/>
      <c r="M134" s="31">
        <v>4.2599999999999999E-2</v>
      </c>
    </row>
    <row r="135" spans="1:13" s="10" customFormat="1" x14ac:dyDescent="0.25">
      <c r="A135" s="34">
        <v>5.3</v>
      </c>
      <c r="B135" s="32">
        <f t="shared" si="6"/>
        <v>8</v>
      </c>
      <c r="C135" s="33">
        <v>1440000</v>
      </c>
      <c r="D135" s="30" t="s">
        <v>20</v>
      </c>
      <c r="E135" s="31">
        <v>0.20660000000000001</v>
      </c>
      <c r="F135" s="31">
        <v>0.16350000000000001</v>
      </c>
      <c r="H135" s="27"/>
      <c r="I135" s="27"/>
      <c r="J135" s="27"/>
      <c r="K135" s="27"/>
      <c r="L135" s="27"/>
      <c r="M135" s="31">
        <v>4.3099999999999999E-2</v>
      </c>
    </row>
    <row r="136" spans="1:13" s="10" customFormat="1" x14ac:dyDescent="0.25">
      <c r="A136" s="34">
        <v>5.3</v>
      </c>
      <c r="B136" s="32">
        <f t="shared" si="6"/>
        <v>9</v>
      </c>
      <c r="C136" s="33">
        <v>1620000</v>
      </c>
      <c r="D136" s="30" t="s">
        <v>21</v>
      </c>
      <c r="E136" s="31">
        <v>0.2117</v>
      </c>
      <c r="F136" s="31">
        <v>0.1656</v>
      </c>
      <c r="H136" s="27"/>
      <c r="I136" s="27"/>
      <c r="J136" s="27"/>
      <c r="K136" s="27"/>
      <c r="L136" s="27"/>
      <c r="M136" s="31">
        <v>4.6100000000000002E-2</v>
      </c>
    </row>
    <row r="137" spans="1:13" s="10" customFormat="1" x14ac:dyDescent="0.25">
      <c r="A137" s="34">
        <v>5.3</v>
      </c>
      <c r="B137" s="32">
        <f t="shared" si="6"/>
        <v>10</v>
      </c>
      <c r="C137" s="33">
        <v>1800000</v>
      </c>
      <c r="D137" s="30" t="s">
        <v>22</v>
      </c>
      <c r="E137" s="31">
        <v>0.21379999999999999</v>
      </c>
      <c r="F137" s="31">
        <v>0.1673</v>
      </c>
      <c r="H137" s="27"/>
      <c r="I137" s="27"/>
      <c r="J137" s="27"/>
      <c r="K137" s="27"/>
      <c r="L137" s="27"/>
      <c r="M137" s="31">
        <v>4.65E-2</v>
      </c>
    </row>
    <row r="138" spans="1:13" s="10" customFormat="1" x14ac:dyDescent="0.25">
      <c r="A138" s="34">
        <v>5.3</v>
      </c>
      <c r="B138" s="32">
        <f t="shared" si="6"/>
        <v>11</v>
      </c>
      <c r="C138" s="33">
        <v>1980000</v>
      </c>
      <c r="D138" s="30" t="s">
        <v>23</v>
      </c>
      <c r="E138" s="31">
        <v>0.21859999999999999</v>
      </c>
      <c r="F138" s="31">
        <v>0.1686</v>
      </c>
      <c r="H138" s="27"/>
      <c r="I138" s="27"/>
      <c r="J138" s="27"/>
      <c r="K138" s="27"/>
      <c r="L138" s="27"/>
      <c r="M138" s="31">
        <v>0.05</v>
      </c>
    </row>
    <row r="139" spans="1:13" s="10" customFormat="1" x14ac:dyDescent="0.25">
      <c r="A139" s="34">
        <v>5.3</v>
      </c>
      <c r="B139" s="32">
        <f t="shared" si="6"/>
        <v>12</v>
      </c>
      <c r="C139" s="33">
        <v>2160000</v>
      </c>
      <c r="D139" s="30" t="s">
        <v>24</v>
      </c>
      <c r="E139" s="31">
        <v>0.21970000000000001</v>
      </c>
      <c r="F139" s="31">
        <v>0.16969999999999999</v>
      </c>
      <c r="H139" s="27"/>
      <c r="I139" s="27"/>
      <c r="J139" s="27"/>
      <c r="K139" s="27"/>
      <c r="L139" s="27"/>
      <c r="M139" s="31">
        <v>0.05</v>
      </c>
    </row>
    <row r="140" spans="1:13" s="10" customFormat="1" x14ac:dyDescent="0.25">
      <c r="A140" s="34">
        <v>5.3</v>
      </c>
      <c r="B140" s="32">
        <f t="shared" si="6"/>
        <v>13</v>
      </c>
      <c r="C140" s="33">
        <v>2340000</v>
      </c>
      <c r="D140" s="30" t="s">
        <v>25</v>
      </c>
      <c r="E140" s="31">
        <v>0.22059999999999999</v>
      </c>
      <c r="F140" s="31">
        <v>0.1706</v>
      </c>
      <c r="H140" s="27"/>
      <c r="I140" s="27"/>
      <c r="J140" s="27"/>
      <c r="K140" s="27"/>
      <c r="L140" s="27"/>
      <c r="M140" s="31">
        <v>0.05</v>
      </c>
    </row>
    <row r="141" spans="1:13" s="10" customFormat="1" x14ac:dyDescent="0.25">
      <c r="A141" s="34">
        <v>5.3</v>
      </c>
      <c r="B141" s="32">
        <f t="shared" si="6"/>
        <v>14</v>
      </c>
      <c r="C141" s="33">
        <v>2520000</v>
      </c>
      <c r="D141" s="30" t="s">
        <v>26</v>
      </c>
      <c r="E141" s="31">
        <v>0.22140000000000001</v>
      </c>
      <c r="F141" s="31">
        <v>0.1714</v>
      </c>
      <c r="H141" s="27"/>
      <c r="I141" s="27"/>
      <c r="J141" s="27"/>
      <c r="K141" s="27"/>
      <c r="L141" s="27"/>
      <c r="M141" s="31">
        <v>0.05</v>
      </c>
    </row>
    <row r="142" spans="1:13" s="10" customFormat="1" x14ac:dyDescent="0.25">
      <c r="A142" s="34">
        <v>5.3</v>
      </c>
      <c r="B142" s="32">
        <f t="shared" si="6"/>
        <v>15</v>
      </c>
      <c r="C142" s="33">
        <v>2700000</v>
      </c>
      <c r="D142" s="30" t="s">
        <v>27</v>
      </c>
      <c r="E142" s="31">
        <v>0.22209999999999999</v>
      </c>
      <c r="F142" s="31">
        <v>0.1721</v>
      </c>
      <c r="H142" s="27"/>
      <c r="I142" s="27"/>
      <c r="J142" s="27"/>
      <c r="K142" s="27"/>
      <c r="L142" s="27"/>
      <c r="M142" s="31">
        <v>0.05</v>
      </c>
    </row>
    <row r="143" spans="1:13" s="10" customFormat="1" x14ac:dyDescent="0.25">
      <c r="A143" s="34">
        <v>5.3</v>
      </c>
      <c r="B143" s="32">
        <f t="shared" si="6"/>
        <v>16</v>
      </c>
      <c r="C143" s="33">
        <v>2880000</v>
      </c>
      <c r="D143" s="30" t="s">
        <v>28</v>
      </c>
      <c r="E143" s="31">
        <v>0.22209999999999999</v>
      </c>
      <c r="F143" s="31">
        <v>0.1721</v>
      </c>
      <c r="H143" s="27"/>
      <c r="I143" s="27"/>
      <c r="J143" s="27"/>
      <c r="K143" s="27"/>
      <c r="L143" s="27"/>
      <c r="M143" s="31">
        <v>0.05</v>
      </c>
    </row>
    <row r="144" spans="1:13" s="10" customFormat="1" x14ac:dyDescent="0.25">
      <c r="A144" s="34">
        <v>5.3</v>
      </c>
      <c r="B144" s="32">
        <f t="shared" si="6"/>
        <v>17</v>
      </c>
      <c r="C144" s="33">
        <v>3060000</v>
      </c>
      <c r="D144" s="30" t="s">
        <v>29</v>
      </c>
      <c r="E144" s="31">
        <v>0.22320000000000001</v>
      </c>
      <c r="F144" s="31">
        <v>0.17319999999999999</v>
      </c>
      <c r="H144" s="27"/>
      <c r="I144" s="27"/>
      <c r="J144" s="27"/>
      <c r="K144" s="27"/>
      <c r="L144" s="27"/>
      <c r="M144" s="31">
        <v>0.05</v>
      </c>
    </row>
    <row r="145" spans="1:13" s="10" customFormat="1" x14ac:dyDescent="0.25">
      <c r="A145" s="34">
        <v>5.3</v>
      </c>
      <c r="B145" s="32">
        <f t="shared" si="6"/>
        <v>18</v>
      </c>
      <c r="C145" s="33">
        <v>3240000</v>
      </c>
      <c r="D145" s="30" t="s">
        <v>30</v>
      </c>
      <c r="E145" s="31">
        <v>0.22370000000000001</v>
      </c>
      <c r="F145" s="31">
        <v>0.17369999999999999</v>
      </c>
      <c r="H145" s="27"/>
      <c r="I145" s="27"/>
      <c r="J145" s="27"/>
      <c r="K145" s="27"/>
      <c r="L145" s="27"/>
      <c r="M145" s="31">
        <v>0.05</v>
      </c>
    </row>
    <row r="146" spans="1:13" s="10" customFormat="1" x14ac:dyDescent="0.25">
      <c r="A146" s="34">
        <v>5.3</v>
      </c>
      <c r="B146" s="32">
        <f t="shared" si="6"/>
        <v>19</v>
      </c>
      <c r="C146" s="33">
        <v>3420000</v>
      </c>
      <c r="D146" s="30" t="s">
        <v>31</v>
      </c>
      <c r="E146" s="31">
        <v>0.22409999999999999</v>
      </c>
      <c r="F146" s="31">
        <v>0.1741</v>
      </c>
      <c r="H146" s="27"/>
      <c r="I146" s="27"/>
      <c r="J146" s="27"/>
      <c r="K146" s="27"/>
      <c r="L146" s="27"/>
      <c r="M146" s="31">
        <v>0.05</v>
      </c>
    </row>
    <row r="147" spans="1:13" s="10" customFormat="1" x14ac:dyDescent="0.25">
      <c r="A147" s="34">
        <v>5.3</v>
      </c>
      <c r="B147" s="32">
        <f t="shared" si="6"/>
        <v>20</v>
      </c>
      <c r="C147" s="33">
        <v>3600000</v>
      </c>
      <c r="D147" s="30" t="s">
        <v>32</v>
      </c>
      <c r="E147" s="31">
        <v>0.22450000000000001</v>
      </c>
      <c r="F147" s="31">
        <v>0.17449999999999999</v>
      </c>
      <c r="H147" s="27"/>
      <c r="I147" s="27"/>
      <c r="J147" s="27"/>
      <c r="K147" s="27"/>
      <c r="L147" s="27"/>
      <c r="M147" s="31">
        <v>0.05</v>
      </c>
    </row>
    <row r="148" spans="1:13" x14ac:dyDescent="0.25">
      <c r="A148" s="2"/>
      <c r="B148" s="2"/>
      <c r="D148" s="12"/>
      <c r="E148" s="11"/>
      <c r="F148" s="11"/>
      <c r="G148" s="11"/>
      <c r="H148" s="11"/>
      <c r="I148" s="11"/>
      <c r="J148" s="11"/>
      <c r="K148" s="11"/>
      <c r="L148" s="11"/>
    </row>
    <row r="149" spans="1:13" x14ac:dyDescent="0.25">
      <c r="A149" s="2"/>
      <c r="B149" s="2"/>
      <c r="C149" s="2"/>
      <c r="D149" s="11"/>
      <c r="E149" s="11"/>
      <c r="F149" s="11"/>
      <c r="G149" s="11"/>
      <c r="H149" s="11"/>
      <c r="I149" s="11"/>
      <c r="J149" s="11"/>
      <c r="K149" s="11"/>
      <c r="L149" s="11"/>
    </row>
  </sheetData>
  <pageMargins left="0.511811024" right="0.511811024" top="0.78740157499999996" bottom="0.78740157499999996" header="0.31496062000000002" footer="0.31496062000000002"/>
  <drawing r:id="rId1"/>
  <legacyDrawing r:id="rId2"/>
  <controls>
    <mc:AlternateContent xmlns:mc="http://schemas.openxmlformats.org/markup-compatibility/2006">
      <mc:Choice Requires="x14">
        <control shapeId="3075" r:id="rId3" name="Controle 3">
          <controlPr defaultSize="0" r:id="rId4">
            <anchor moveWithCells="1">
              <from>
                <xdr:col>5</xdr:col>
                <xdr:colOff>0</xdr:colOff>
                <xdr:row>62</xdr:row>
                <xdr:rowOff>0</xdr:rowOff>
              </from>
              <to>
                <xdr:col>5</xdr:col>
                <xdr:colOff>542925</xdr:colOff>
                <xdr:row>64</xdr:row>
                <xdr:rowOff>28575</xdr:rowOff>
              </to>
            </anchor>
          </controlPr>
        </control>
      </mc:Choice>
      <mc:Fallback>
        <control shapeId="3075" r:id="rId3" name="Controle 3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Análise</vt:lpstr>
      <vt:lpstr>Mestres</vt:lpstr>
      <vt:lpstr>Anexos 2018</vt:lpstr>
      <vt:lpstr>Anexos 2017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Gilvan Sousa Marques Junior</dc:creator>
  <cp:lastModifiedBy>Angela Dantas</cp:lastModifiedBy>
  <dcterms:created xsi:type="dcterms:W3CDTF">2017-10-16T17:20:39Z</dcterms:created>
  <dcterms:modified xsi:type="dcterms:W3CDTF">2017-11-07T00:40:28Z</dcterms:modified>
</cp:coreProperties>
</file>