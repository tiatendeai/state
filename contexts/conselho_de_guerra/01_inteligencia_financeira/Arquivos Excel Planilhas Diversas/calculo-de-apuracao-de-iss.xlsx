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F28D59C7-F17F-4C20-BB21-3B9BF91B64B4}" xr6:coauthVersionLast="41" xr6:coauthVersionMax="41" xr10:uidLastSave="{00000000-0000-0000-0000-000000000000}"/>
  <bookViews>
    <workbookView xWindow="-108" yWindow="-108" windowWidth="19416" windowHeight="10416"/>
  </bookViews>
  <sheets>
    <sheet name="APURAÇAO DE ISS" sheetId="1" r:id="rId1"/>
  </sheets>
  <definedNames>
    <definedName name="_xlnm.Print_Area" localSheetId="0">'APURAÇAO DE ISS'!$A$4:$N$21</definedName>
    <definedName name="_xlnm.Print_Titles" localSheetId="0">'APURAÇAO DE ISS'!$4:$6</definedName>
  </definedNames>
  <calcPr calcId="191029" fullCalcOnLoad="1"/>
</workbook>
</file>

<file path=xl/calcChain.xml><?xml version="1.0" encoding="utf-8"?>
<calcChain xmlns="http://schemas.openxmlformats.org/spreadsheetml/2006/main">
  <c r="C11" i="1" l="1"/>
  <c r="D11" i="1"/>
  <c r="E11" i="1"/>
  <c r="F11" i="1"/>
  <c r="F17" i="1" s="1"/>
  <c r="F18" i="1" s="1"/>
  <c r="G11" i="1"/>
  <c r="G17" i="1" s="1"/>
  <c r="G18" i="1" s="1"/>
  <c r="H11" i="1"/>
  <c r="H17" i="1" s="1"/>
  <c r="H18" i="1" s="1"/>
  <c r="I11" i="1"/>
  <c r="I17" i="1" s="1"/>
  <c r="I18" i="1" s="1"/>
  <c r="J11" i="1"/>
  <c r="J17" i="1" s="1"/>
  <c r="J18" i="1" s="1"/>
  <c r="K11" i="1"/>
  <c r="K17" i="1" s="1"/>
  <c r="K18" i="1" s="1"/>
  <c r="L11" i="1"/>
  <c r="L17" i="1" s="1"/>
  <c r="L18" i="1" s="1"/>
  <c r="M11" i="1"/>
  <c r="M17" i="1" s="1"/>
  <c r="M18" i="1" s="1"/>
  <c r="B11" i="1"/>
  <c r="B17" i="1"/>
  <c r="B18" i="1" s="1"/>
  <c r="G13" i="1"/>
  <c r="E17" i="1"/>
  <c r="N14" i="1"/>
  <c r="M13" i="1"/>
  <c r="L13" i="1"/>
  <c r="K13" i="1"/>
  <c r="J13" i="1"/>
  <c r="I13" i="1"/>
  <c r="H13" i="1"/>
  <c r="F13" i="1"/>
  <c r="E13" i="1"/>
  <c r="D13" i="1"/>
  <c r="C13" i="1"/>
  <c r="B13" i="1"/>
  <c r="D17" i="1"/>
  <c r="N9" i="1"/>
  <c r="M8" i="1"/>
  <c r="L8" i="1"/>
  <c r="K8" i="1"/>
  <c r="J8" i="1"/>
  <c r="I8" i="1"/>
  <c r="H8" i="1"/>
  <c r="G8" i="1"/>
  <c r="F8" i="1"/>
  <c r="E8" i="1"/>
  <c r="E18" i="1" s="1"/>
  <c r="D8" i="1"/>
  <c r="C8" i="1"/>
  <c r="N8" i="1" s="1"/>
  <c r="B8" i="1"/>
  <c r="N13" i="1"/>
  <c r="D18" i="1"/>
  <c r="C17" i="1"/>
  <c r="N11" i="1"/>
  <c r="C18" i="1"/>
  <c r="N17" i="1" l="1"/>
</calcChain>
</file>

<file path=xl/sharedStrings.xml><?xml version="1.0" encoding="utf-8"?>
<sst xmlns="http://schemas.openxmlformats.org/spreadsheetml/2006/main" count="52" uniqueCount="13">
  <si>
    <t>Natureza dos Ajustes</t>
  </si>
  <si>
    <t>Acumulado</t>
  </si>
  <si>
    <t xml:space="preserve">Receitas/serviços </t>
  </si>
  <si>
    <t xml:space="preserve">Base </t>
  </si>
  <si>
    <t>(=) ISS deste Calculo</t>
  </si>
  <si>
    <t>%</t>
  </si>
  <si>
    <t>Base de Cálculo</t>
  </si>
  <si>
    <t xml:space="preserve">Base de Cálculo Retemções de ISS </t>
  </si>
  <si>
    <t>ISS- (*) Alíquota</t>
  </si>
  <si>
    <t xml:space="preserve">ISS </t>
  </si>
  <si>
    <t>EMPRESA PRESTADORA DE SERVIÇOS LTDA.</t>
  </si>
  <si>
    <t>Base de Calculo</t>
  </si>
  <si>
    <t>CALCULO DE APURAÇÃO DO 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</si>
</sst>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mmm\-yy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b/>
      <i/>
      <u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u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41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2" borderId="0" xfId="0" applyNumberFormat="1" applyFont="1" applyFill="1" applyBorder="1" applyAlignment="1" applyProtection="1"/>
    <xf numFmtId="0" fontId="7" fillId="0" borderId="0" xfId="0" applyFont="1"/>
    <xf numFmtId="171" fontId="7" fillId="0" borderId="0" xfId="0" applyNumberFormat="1" applyFont="1"/>
    <xf numFmtId="0" fontId="8" fillId="3" borderId="2" xfId="0" applyFont="1" applyFill="1" applyBorder="1" applyAlignment="1">
      <alignment horizontal="center" vertical="center"/>
    </xf>
    <xf numFmtId="17" fontId="8" fillId="3" borderId="2" xfId="0" applyNumberFormat="1" applyFont="1" applyFill="1" applyBorder="1" applyAlignment="1">
      <alignment horizontal="center" vertical="center"/>
    </xf>
    <xf numFmtId="0" fontId="7" fillId="3" borderId="0" xfId="0" applyFont="1" applyFill="1"/>
    <xf numFmtId="0" fontId="8" fillId="3" borderId="3" xfId="0" applyFont="1" applyFill="1" applyBorder="1" applyAlignment="1">
      <alignment vertical="center"/>
    </xf>
    <xf numFmtId="0" fontId="7" fillId="3" borderId="3" xfId="0" applyNumberFormat="1" applyFont="1" applyFill="1" applyBorder="1" applyAlignment="1" applyProtection="1"/>
    <xf numFmtId="39" fontId="8" fillId="3" borderId="3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vertical="center"/>
    </xf>
    <xf numFmtId="171" fontId="8" fillId="3" borderId="1" xfId="5" applyNumberFormat="1" applyFont="1" applyFill="1" applyBorder="1" applyAlignment="1">
      <alignment horizontal="right" vertical="center"/>
    </xf>
    <xf numFmtId="171" fontId="8" fillId="3" borderId="1" xfId="5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171" fontId="9" fillId="3" borderId="1" xfId="0" applyNumberFormat="1" applyFont="1" applyFill="1" applyBorder="1" applyAlignment="1">
      <alignment horizontal="right" vertical="center"/>
    </xf>
    <xf numFmtId="171" fontId="9" fillId="3" borderId="1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vertical="center"/>
    </xf>
    <xf numFmtId="171" fontId="9" fillId="3" borderId="5" xfId="0" applyNumberFormat="1" applyFont="1" applyFill="1" applyBorder="1" applyAlignment="1">
      <alignment horizontal="right" vertical="center"/>
    </xf>
    <xf numFmtId="171" fontId="8" fillId="3" borderId="1" xfId="0" applyNumberFormat="1" applyFont="1" applyFill="1" applyBorder="1" applyAlignment="1">
      <alignment horizontal="right" vertical="center"/>
    </xf>
    <xf numFmtId="0" fontId="9" fillId="3" borderId="5" xfId="0" applyFont="1" applyFill="1" applyBorder="1" applyAlignment="1">
      <alignment vertical="center"/>
    </xf>
    <xf numFmtId="39" fontId="9" fillId="3" borderId="5" xfId="0" applyNumberFormat="1" applyFont="1" applyFill="1" applyBorder="1" applyAlignment="1">
      <alignment horizontal="right" vertical="center"/>
    </xf>
    <xf numFmtId="0" fontId="7" fillId="3" borderId="0" xfId="0" applyFont="1" applyFill="1" applyBorder="1"/>
    <xf numFmtId="0" fontId="8" fillId="3" borderId="0" xfId="0" applyFont="1" applyFill="1" applyAlignment="1">
      <alignment vertical="center"/>
    </xf>
    <xf numFmtId="39" fontId="8" fillId="3" borderId="0" xfId="0" applyNumberFormat="1" applyFont="1" applyFill="1" applyAlignment="1">
      <alignment horizontal="right" vertical="center"/>
    </xf>
    <xf numFmtId="0" fontId="7" fillId="3" borderId="0" xfId="0" applyNumberFormat="1" applyFont="1" applyFill="1" applyBorder="1" applyAlignment="1" applyProtection="1"/>
    <xf numFmtId="0" fontId="8" fillId="3" borderId="4" xfId="0" applyFont="1" applyFill="1" applyBorder="1" applyAlignment="1">
      <alignment vertical="center"/>
    </xf>
    <xf numFmtId="39" fontId="8" fillId="3" borderId="5" xfId="0" applyNumberFormat="1" applyFont="1" applyFill="1" applyBorder="1" applyAlignment="1">
      <alignment horizontal="right" vertical="center"/>
    </xf>
    <xf numFmtId="10" fontId="8" fillId="3" borderId="5" xfId="17" applyNumberFormat="1" applyFont="1" applyFill="1" applyBorder="1" applyAlignment="1">
      <alignment horizontal="right" vertical="center"/>
    </xf>
    <xf numFmtId="0" fontId="5" fillId="4" borderId="0" xfId="0" applyFont="1" applyFill="1"/>
    <xf numFmtId="0" fontId="8" fillId="3" borderId="6" xfId="0" applyFont="1" applyFill="1" applyBorder="1" applyAlignment="1">
      <alignment horizontal="center" vertical="center"/>
    </xf>
    <xf numFmtId="39" fontId="8" fillId="3" borderId="4" xfId="0" applyNumberFormat="1" applyFont="1" applyFill="1" applyBorder="1" applyAlignment="1">
      <alignment horizontal="right" vertical="center"/>
    </xf>
    <xf numFmtId="0" fontId="7" fillId="0" borderId="0" xfId="0" applyFont="1" applyFill="1" applyBorder="1"/>
    <xf numFmtId="0" fontId="5" fillId="0" borderId="0" xfId="0" applyFont="1" applyFill="1" applyBorder="1"/>
    <xf numFmtId="0" fontId="10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NumberFormat="1" applyFont="1" applyFill="1" applyBorder="1" applyAlignment="1" applyProtection="1"/>
    <xf numFmtId="0" fontId="13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1" fontId="12" fillId="5" borderId="0" xfId="0" applyNumberFormat="1" applyFont="1" applyFill="1" applyAlignment="1">
      <alignment horizontal="right" vertical="center"/>
    </xf>
  </cellXfs>
  <cellStyles count="21">
    <cellStyle name="Normal" xfId="0" builtinId="0"/>
    <cellStyle name="Normal 13" xfId="1"/>
    <cellStyle name="Normal 14" xfId="2"/>
    <cellStyle name="Normal 15" xfId="3"/>
    <cellStyle name="Normal 18" xfId="4"/>
    <cellStyle name="Normal 2" xfId="5"/>
    <cellStyle name="Normal 2 11" xfId="6"/>
    <cellStyle name="Normal 2 2" xfId="7"/>
    <cellStyle name="Normal 2 2 11" xfId="8"/>
    <cellStyle name="Normal 2 2 13" xfId="9"/>
    <cellStyle name="Normal 2 4" xfId="10"/>
    <cellStyle name="Normal 3" xfId="11"/>
    <cellStyle name="Normal 4" xfId="12"/>
    <cellStyle name="Normal 5" xfId="13"/>
    <cellStyle name="Normal 5 4" xfId="14"/>
    <cellStyle name="Normal 5 7" xfId="15"/>
    <cellStyle name="Normal 6" xfId="16"/>
    <cellStyle name="Porcentagem" xfId="17" builtinId="5"/>
    <cellStyle name="Separador de milhares 2" xfId="18"/>
    <cellStyle name="Separador de milhares 2 2" xfId="19"/>
    <cellStyle name="Separador de milhares 3" xfId="2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19</xdr:row>
      <xdr:rowOff>9525</xdr:rowOff>
    </xdr:from>
    <xdr:to>
      <xdr:col>4</xdr:col>
      <xdr:colOff>520065</xdr:colOff>
      <xdr:row>23</xdr:row>
      <xdr:rowOff>76200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2004BAB-8E3A-47D6-83A3-E1DAC7903406}"/>
            </a:ext>
          </a:extLst>
        </xdr:cNvPr>
        <xdr:cNvSpPr txBox="1"/>
      </xdr:nvSpPr>
      <xdr:spPr>
        <a:xfrm>
          <a:off x="3057525" y="2933700"/>
          <a:ext cx="2238375" cy="828675"/>
        </a:xfrm>
        <a:prstGeom prst="rect">
          <a:avLst/>
        </a:prstGeom>
        <a:solidFill>
          <a:srgbClr val="FBDA9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 b="1">
              <a:solidFill>
                <a:schemeClr val="tx1"/>
              </a:solidFill>
            </a:rPr>
            <a:t>A</a:t>
          </a:r>
          <a:r>
            <a:rPr lang="pt-BR" sz="1100" b="1" baseline="0">
              <a:solidFill>
                <a:schemeClr val="tx1"/>
              </a:solidFill>
            </a:rPr>
            <a:t> aliquota varia de acordo com o Município onde a empresa está instalado e o serviços que ela presta</a:t>
          </a:r>
          <a:r>
            <a:rPr lang="pt-BR" sz="1100" b="1" baseline="0">
              <a:solidFill>
                <a:schemeClr val="dk1"/>
              </a:solidFill>
            </a:rPr>
            <a:t> execulta.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showGridLines="0" tabSelected="1" zoomScaleNormal="100" zoomScaleSheetLayoutView="100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A8" sqref="A8"/>
    </sheetView>
  </sheetViews>
  <sheetFormatPr defaultColWidth="9.109375" defaultRowHeight="14.4" x14ac:dyDescent="0.3"/>
  <cols>
    <col min="1" max="1" width="33.109375" style="3" customWidth="1"/>
    <col min="2" max="3" width="12.5546875" style="3" customWidth="1"/>
    <col min="4" max="4" width="13.5546875" style="3" customWidth="1"/>
    <col min="5" max="5" width="15.44140625" style="3" bestFit="1" customWidth="1"/>
    <col min="6" max="7" width="14" style="3" bestFit="1" customWidth="1"/>
    <col min="8" max="8" width="13.5546875" style="3" customWidth="1"/>
    <col min="9" max="9" width="12" style="3" customWidth="1"/>
    <col min="10" max="10" width="10" style="3" bestFit="1" customWidth="1"/>
    <col min="11" max="11" width="11" style="3" bestFit="1" customWidth="1"/>
    <col min="12" max="12" width="11.5546875" style="3" customWidth="1"/>
    <col min="13" max="13" width="11.88671875" style="3" customWidth="1"/>
    <col min="14" max="14" width="13.5546875" style="3" customWidth="1"/>
    <col min="15" max="15" width="16.5546875" style="32" bestFit="1" customWidth="1"/>
    <col min="16" max="16" width="18.88671875" style="32" bestFit="1" customWidth="1"/>
    <col min="17" max="17" width="18.5546875" style="32" customWidth="1"/>
    <col min="18" max="18" width="10.33203125" style="32" bestFit="1" customWidth="1"/>
    <col min="19" max="53" width="9.109375" style="32"/>
    <col min="54" max="16384" width="9.109375" style="3"/>
  </cols>
  <sheetData>
    <row r="1" spans="1:53" x14ac:dyDescent="0.3">
      <c r="C1" s="34" t="s">
        <v>12</v>
      </c>
      <c r="D1" s="34"/>
      <c r="E1" s="34"/>
      <c r="F1" s="34"/>
      <c r="G1" s="34"/>
      <c r="H1" s="34"/>
      <c r="I1" s="34"/>
    </row>
    <row r="2" spans="1:53" x14ac:dyDescent="0.3">
      <c r="C2" s="34"/>
      <c r="D2" s="34"/>
      <c r="E2" s="34"/>
      <c r="F2" s="34"/>
      <c r="G2" s="34"/>
      <c r="H2" s="34"/>
      <c r="I2" s="34"/>
    </row>
    <row r="4" spans="1:53" s="29" customFormat="1" ht="21" x14ac:dyDescent="0.4">
      <c r="A4" s="35" t="s">
        <v>9</v>
      </c>
      <c r="B4" s="36"/>
      <c r="C4" s="37" t="s">
        <v>10</v>
      </c>
      <c r="D4" s="36"/>
      <c r="E4" s="36"/>
      <c r="F4" s="36"/>
      <c r="G4" s="37"/>
      <c r="H4" s="37"/>
      <c r="I4" s="36"/>
      <c r="J4" s="36"/>
      <c r="K4" s="38"/>
      <c r="L4" s="36"/>
      <c r="M4" s="36"/>
      <c r="N4" s="36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</row>
    <row r="5" spans="1:53" s="29" customFormat="1" ht="21" x14ac:dyDescent="0.4">
      <c r="A5" s="39"/>
      <c r="B5" s="36"/>
      <c r="C5" s="36"/>
      <c r="D5" s="36"/>
      <c r="E5" s="36"/>
      <c r="F5" s="36"/>
      <c r="G5" s="36"/>
      <c r="H5" s="36"/>
      <c r="I5" s="36"/>
      <c r="J5" s="39"/>
      <c r="K5" s="38"/>
      <c r="L5" s="36"/>
      <c r="M5" s="40"/>
      <c r="N5" s="36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</row>
    <row r="6" spans="1:53" s="7" customFormat="1" x14ac:dyDescent="0.3">
      <c r="A6" s="5" t="s">
        <v>0</v>
      </c>
      <c r="B6" s="6">
        <v>44562</v>
      </c>
      <c r="C6" s="6">
        <v>44593</v>
      </c>
      <c r="D6" s="6">
        <v>44621</v>
      </c>
      <c r="E6" s="6">
        <v>44652</v>
      </c>
      <c r="F6" s="6">
        <v>44682</v>
      </c>
      <c r="G6" s="6">
        <v>44713</v>
      </c>
      <c r="H6" s="6">
        <v>44743</v>
      </c>
      <c r="I6" s="6">
        <v>44774</v>
      </c>
      <c r="J6" s="6">
        <v>44805</v>
      </c>
      <c r="K6" s="6">
        <v>44835</v>
      </c>
      <c r="L6" s="6">
        <v>44866</v>
      </c>
      <c r="M6" s="6">
        <v>44896</v>
      </c>
      <c r="N6" s="30" t="s">
        <v>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</row>
    <row r="7" spans="1:53" s="7" customFormat="1" ht="11.25" customHeight="1" x14ac:dyDescent="0.3">
      <c r="A7" s="8"/>
      <c r="B7" s="9"/>
      <c r="C7" s="10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</row>
    <row r="8" spans="1:53" s="7" customFormat="1" x14ac:dyDescent="0.3">
      <c r="A8" s="11" t="s">
        <v>3</v>
      </c>
      <c r="B8" s="12">
        <f t="shared" ref="B8:G8" si="0">B9</f>
        <v>0</v>
      </c>
      <c r="C8" s="12">
        <f t="shared" si="0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3">
        <f t="shared" si="0"/>
        <v>0</v>
      </c>
      <c r="H8" s="12">
        <f t="shared" ref="H8:M8" si="1">H9</f>
        <v>0</v>
      </c>
      <c r="I8" s="12">
        <f t="shared" si="1"/>
        <v>0</v>
      </c>
      <c r="J8" s="12">
        <f t="shared" si="1"/>
        <v>0</v>
      </c>
      <c r="K8" s="12">
        <f t="shared" si="1"/>
        <v>0</v>
      </c>
      <c r="L8" s="12">
        <f t="shared" si="1"/>
        <v>0</v>
      </c>
      <c r="M8" s="12">
        <f t="shared" si="1"/>
        <v>0</v>
      </c>
      <c r="N8" s="31">
        <f>SUM(B8:M8)</f>
        <v>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</row>
    <row r="9" spans="1:53" s="7" customFormat="1" x14ac:dyDescent="0.3">
      <c r="A9" s="14" t="s">
        <v>2</v>
      </c>
      <c r="B9" s="15"/>
      <c r="C9" s="15"/>
      <c r="D9" s="15"/>
      <c r="E9" s="15"/>
      <c r="F9" s="15"/>
      <c r="G9" s="16"/>
      <c r="H9" s="15"/>
      <c r="I9" s="15"/>
      <c r="J9" s="15"/>
      <c r="K9" s="15"/>
      <c r="L9" s="15"/>
      <c r="M9" s="15"/>
      <c r="N9" s="31">
        <f>SUM(B9:M9)</f>
        <v>0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</row>
    <row r="10" spans="1:53" s="7" customFormat="1" x14ac:dyDescent="0.3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27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</row>
    <row r="11" spans="1:53" s="7" customFormat="1" x14ac:dyDescent="0.3">
      <c r="A11" s="11" t="s">
        <v>6</v>
      </c>
      <c r="B11" s="19">
        <f>B12</f>
        <v>0</v>
      </c>
      <c r="C11" s="19">
        <f t="shared" ref="C11:M11" si="2">C12</f>
        <v>0</v>
      </c>
      <c r="D11" s="19">
        <f t="shared" si="2"/>
        <v>0</v>
      </c>
      <c r="E11" s="19">
        <f t="shared" si="2"/>
        <v>0</v>
      </c>
      <c r="F11" s="19">
        <f t="shared" si="2"/>
        <v>0</v>
      </c>
      <c r="G11" s="19">
        <f t="shared" si="2"/>
        <v>0</v>
      </c>
      <c r="H11" s="19">
        <f t="shared" si="2"/>
        <v>0</v>
      </c>
      <c r="I11" s="19">
        <f t="shared" si="2"/>
        <v>0</v>
      </c>
      <c r="J11" s="19">
        <f t="shared" si="2"/>
        <v>0</v>
      </c>
      <c r="K11" s="19">
        <f t="shared" si="2"/>
        <v>0</v>
      </c>
      <c r="L11" s="19">
        <f t="shared" si="2"/>
        <v>0</v>
      </c>
      <c r="M11" s="19">
        <f t="shared" si="2"/>
        <v>0</v>
      </c>
      <c r="N11" s="31">
        <f>SUM(B11:M11)</f>
        <v>0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</row>
    <row r="12" spans="1:53" s="7" customFormat="1" x14ac:dyDescent="0.3">
      <c r="A12" s="17" t="s">
        <v>11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</row>
    <row r="13" spans="1:53" s="7" customFormat="1" x14ac:dyDescent="0.3">
      <c r="A13" s="11" t="s">
        <v>7</v>
      </c>
      <c r="B13" s="19">
        <f t="shared" ref="B13:M13" si="3">SUM(B14:B14)</f>
        <v>0</v>
      </c>
      <c r="C13" s="19">
        <f t="shared" si="3"/>
        <v>0</v>
      </c>
      <c r="D13" s="19">
        <f t="shared" si="3"/>
        <v>0</v>
      </c>
      <c r="E13" s="19">
        <f t="shared" si="3"/>
        <v>0</v>
      </c>
      <c r="F13" s="19">
        <f t="shared" si="3"/>
        <v>0</v>
      </c>
      <c r="G13" s="13">
        <f>G14</f>
        <v>0</v>
      </c>
      <c r="H13" s="19">
        <f t="shared" si="3"/>
        <v>0</v>
      </c>
      <c r="I13" s="19">
        <f t="shared" si="3"/>
        <v>0</v>
      </c>
      <c r="J13" s="19">
        <f t="shared" si="3"/>
        <v>0</v>
      </c>
      <c r="K13" s="19">
        <f t="shared" si="3"/>
        <v>0</v>
      </c>
      <c r="L13" s="19">
        <f t="shared" si="3"/>
        <v>0</v>
      </c>
      <c r="M13" s="19">
        <f t="shared" si="3"/>
        <v>0</v>
      </c>
      <c r="N13" s="31">
        <f>SUM(B13:M13)</f>
        <v>0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</row>
    <row r="14" spans="1:53" s="7" customFormat="1" x14ac:dyDescent="0.3">
      <c r="A14" s="14"/>
      <c r="B14" s="15"/>
      <c r="C14" s="15"/>
      <c r="D14" s="15"/>
      <c r="E14" s="15"/>
      <c r="F14" s="15"/>
      <c r="G14" s="16"/>
      <c r="H14" s="15"/>
      <c r="I14" s="15"/>
      <c r="J14" s="15"/>
      <c r="K14" s="15"/>
      <c r="L14" s="15"/>
      <c r="M14" s="15"/>
      <c r="N14" s="31">
        <f>SUM(B14:M14)</f>
        <v>0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</row>
    <row r="15" spans="1:53" s="22" customFormat="1" x14ac:dyDescent="0.3">
      <c r="A15" s="2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1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</row>
    <row r="16" spans="1:53" s="7" customFormat="1" x14ac:dyDescent="0.3">
      <c r="A16" s="23" t="s">
        <v>8</v>
      </c>
      <c r="B16" s="24">
        <v>2</v>
      </c>
      <c r="C16" s="24">
        <v>2</v>
      </c>
      <c r="D16" s="24">
        <v>2</v>
      </c>
      <c r="E16" s="24">
        <v>2</v>
      </c>
      <c r="F16" s="24">
        <v>2</v>
      </c>
      <c r="G16" s="24">
        <v>2</v>
      </c>
      <c r="H16" s="24">
        <v>2</v>
      </c>
      <c r="I16" s="24">
        <v>2</v>
      </c>
      <c r="J16" s="24">
        <v>2</v>
      </c>
      <c r="K16" s="24">
        <v>2</v>
      </c>
      <c r="L16" s="24">
        <v>2</v>
      </c>
      <c r="M16" s="24">
        <v>2</v>
      </c>
      <c r="N16" s="25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</row>
    <row r="17" spans="1:53" s="7" customFormat="1" x14ac:dyDescent="0.3">
      <c r="A17" s="26" t="s">
        <v>4</v>
      </c>
      <c r="B17" s="27">
        <f>((B11*B16/100)-(B14*B16/100))</f>
        <v>0</v>
      </c>
      <c r="C17" s="27">
        <f>C11*2%</f>
        <v>0</v>
      </c>
      <c r="D17" s="27">
        <f>((D11*D16/100)-(D14*D16/100))</f>
        <v>0</v>
      </c>
      <c r="E17" s="27">
        <f>((E11*E16/100)-(E14*E16/100))</f>
        <v>0</v>
      </c>
      <c r="F17" s="27">
        <f t="shared" ref="F17:M17" si="4">((F11*F16/100)-(F14*F16/100))</f>
        <v>0</v>
      </c>
      <c r="G17" s="27">
        <f t="shared" si="4"/>
        <v>0</v>
      </c>
      <c r="H17" s="27">
        <f t="shared" si="4"/>
        <v>0</v>
      </c>
      <c r="I17" s="27">
        <f t="shared" si="4"/>
        <v>0</v>
      </c>
      <c r="J17" s="27">
        <f t="shared" si="4"/>
        <v>0</v>
      </c>
      <c r="K17" s="27">
        <f t="shared" si="4"/>
        <v>0</v>
      </c>
      <c r="L17" s="27">
        <f t="shared" si="4"/>
        <v>0</v>
      </c>
      <c r="M17" s="27">
        <f t="shared" si="4"/>
        <v>0</v>
      </c>
      <c r="N17" s="31">
        <f>SUM(B17:M17)</f>
        <v>0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</row>
    <row r="18" spans="1:53" s="7" customFormat="1" x14ac:dyDescent="0.3">
      <c r="A18" s="26" t="s">
        <v>5</v>
      </c>
      <c r="B18" s="28" t="e">
        <f>B17/B8</f>
        <v>#DIV/0!</v>
      </c>
      <c r="C18" s="28" t="e">
        <f>C17/C8</f>
        <v>#DIV/0!</v>
      </c>
      <c r="D18" s="28" t="e">
        <f>D17/D8</f>
        <v>#DIV/0!</v>
      </c>
      <c r="E18" s="28" t="e">
        <f>E17/E8</f>
        <v>#DIV/0!</v>
      </c>
      <c r="F18" s="28" t="e">
        <f t="shared" ref="F18:M18" si="5">F17/F8</f>
        <v>#DIV/0!</v>
      </c>
      <c r="G18" s="28" t="e">
        <f t="shared" si="5"/>
        <v>#DIV/0!</v>
      </c>
      <c r="H18" s="28" t="e">
        <f t="shared" si="5"/>
        <v>#DIV/0!</v>
      </c>
      <c r="I18" s="28" t="e">
        <f t="shared" si="5"/>
        <v>#DIV/0!</v>
      </c>
      <c r="J18" s="28" t="e">
        <f t="shared" si="5"/>
        <v>#DIV/0!</v>
      </c>
      <c r="K18" s="28" t="e">
        <f t="shared" si="5"/>
        <v>#DIV/0!</v>
      </c>
      <c r="L18" s="28" t="e">
        <f t="shared" si="5"/>
        <v>#DIV/0!</v>
      </c>
      <c r="M18" s="28" t="e">
        <f t="shared" si="5"/>
        <v>#DIV/0!</v>
      </c>
      <c r="N18" s="31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</row>
    <row r="19" spans="1:53" ht="9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53" x14ac:dyDescent="0.3">
      <c r="A20" s="1"/>
      <c r="B20" s="2"/>
      <c r="C20" s="2"/>
      <c r="D20" s="2"/>
      <c r="E20" s="2"/>
      <c r="F20" s="2"/>
      <c r="H20" s="2"/>
      <c r="I20" s="2"/>
      <c r="J20" s="2"/>
      <c r="K20" s="1"/>
      <c r="L20" s="2"/>
      <c r="M20" s="2"/>
      <c r="N20" s="2"/>
    </row>
    <row r="21" spans="1:53" x14ac:dyDescent="0.3">
      <c r="G21" s="4"/>
    </row>
  </sheetData>
  <mergeCells count="1">
    <mergeCell ref="C1:I2"/>
  </mergeCells>
  <printOptions horizontalCentered="1"/>
  <pageMargins left="0.19685039370078741" right="0.19685039370078741" top="0.27559055118110237" bottom="0.27559055118110237" header="0.15748031496062992" footer="0.15748031496062992"/>
  <pageSetup paperSize="9" scale="75" orientation="landscape" r:id="rId1"/>
  <headerFooter alignWithMargins="0">
    <oddHeader>&amp;L&amp;8Franklimm&amp;R&amp;P</oddHeader>
    <oddFooter>&amp;L&amp;7&amp;T&amp;C&amp;7&amp;Z&amp;F&amp;R&amp;7&amp;D</oddFooter>
  </headerFooter>
  <ignoredErrors>
    <ignoredError sqref="I18:L18" evalError="1"/>
    <ignoredError sqref="C17 G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APURAÇAO DE ISS</vt:lpstr>
      <vt:lpstr>'APURAÇAO DE ISS'!Area_de_impressao</vt:lpstr>
      <vt:lpstr>'APURAÇAO DE ISS'!Titulos_de_impressao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franklimm</dc:creator>
  <cp:lastModifiedBy>milgoncalves120122</cp:lastModifiedBy>
  <cp:lastPrinted>2010-12-03T16:47:37Z</cp:lastPrinted>
  <dcterms:created xsi:type="dcterms:W3CDTF">2009-04-08T14:51:08Z</dcterms:created>
  <dcterms:modified xsi:type="dcterms:W3CDTF">2022-01-18T17:04:48Z</dcterms:modified>
</cp:coreProperties>
</file>