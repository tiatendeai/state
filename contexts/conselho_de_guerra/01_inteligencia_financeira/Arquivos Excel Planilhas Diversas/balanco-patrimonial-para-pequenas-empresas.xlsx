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OVO\Downloads\Telegram Desktop\"/>
    </mc:Choice>
  </mc:AlternateContent>
  <xr:revisionPtr revIDLastSave="0" documentId="8_{7D4813E0-1A14-4732-AD19-31CC485FE34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P-DRE" sheetId="1" r:id="rId1"/>
    <sheet name="Lançamentos" sheetId="2" r:id="rId2"/>
  </sheets>
  <definedNames>
    <definedName name="_xlnm.Print_Area" localSheetId="0">'BP-DRE'!$A$1:$L$45</definedName>
    <definedName name="_xlnm.Print_Area" localSheetId="1">Lançamentos!$A$1:$DA$27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Y25" i="2" l="1"/>
  <c r="BX25" i="2"/>
  <c r="BV25" i="2"/>
  <c r="BU25" i="2"/>
  <c r="BS25" i="2"/>
  <c r="BR25" i="2"/>
  <c r="BP25" i="2"/>
  <c r="BM25" i="2"/>
  <c r="BL25" i="2"/>
  <c r="BI25" i="2"/>
  <c r="CB8" i="2"/>
  <c r="CB6" i="2"/>
  <c r="CB5" i="2"/>
  <c r="CB3" i="2"/>
  <c r="CA24" i="2"/>
  <c r="CA23" i="2"/>
  <c r="CA22" i="2"/>
  <c r="CA21" i="2"/>
  <c r="CA20" i="2"/>
  <c r="CA15" i="2"/>
  <c r="CA14" i="2"/>
  <c r="CA13" i="2"/>
  <c r="CA12" i="2"/>
  <c r="CA11" i="2"/>
  <c r="CA10" i="2"/>
  <c r="CA9" i="2"/>
  <c r="CA8" i="2"/>
  <c r="CA7" i="2"/>
  <c r="CA6" i="2"/>
  <c r="CA5" i="2"/>
  <c r="CA4" i="2"/>
  <c r="CA3" i="2"/>
  <c r="BE2" i="2"/>
  <c r="J22" i="1" s="1"/>
  <c r="J43" i="1"/>
  <c r="J39" i="1"/>
  <c r="J38" i="1"/>
  <c r="J37" i="1"/>
  <c r="J33" i="1"/>
  <c r="J17" i="1"/>
  <c r="J14" i="1"/>
  <c r="J13" i="1"/>
  <c r="J12" i="1"/>
  <c r="J11" i="1"/>
  <c r="J9" i="1"/>
  <c r="BB25" i="2"/>
  <c r="AY25" i="2"/>
  <c r="AW25" i="2"/>
  <c r="AV25" i="2"/>
  <c r="AS25" i="2"/>
  <c r="AP25" i="2"/>
  <c r="AN25" i="2"/>
  <c r="AM25" i="2"/>
  <c r="AJ25" i="2"/>
  <c r="AG25" i="2"/>
  <c r="AD25" i="2"/>
  <c r="AA25" i="2"/>
  <c r="Z25" i="2"/>
  <c r="Y25" i="2"/>
  <c r="W25" i="2"/>
  <c r="V25" i="2"/>
  <c r="T25" i="2"/>
  <c r="S25" i="2"/>
  <c r="Q25" i="2"/>
  <c r="P25" i="2"/>
  <c r="M25" i="2"/>
  <c r="K25" i="2"/>
  <c r="J25" i="2"/>
  <c r="G25" i="2"/>
  <c r="D25" i="2"/>
  <c r="D22" i="1"/>
  <c r="D19" i="1"/>
  <c r="D20" i="1"/>
  <c r="D17" i="1"/>
  <c r="D14" i="1"/>
  <c r="D13" i="1"/>
  <c r="D12" i="1"/>
  <c r="D11" i="1"/>
  <c r="D10" i="1"/>
  <c r="D9" i="1"/>
  <c r="BF25" i="2"/>
  <c r="BC2" i="2"/>
  <c r="J21" i="1" s="1"/>
  <c r="BJ2" i="2"/>
  <c r="J31" i="1" s="1"/>
  <c r="AZ2" i="2"/>
  <c r="AZ25" i="2" s="1"/>
  <c r="AK2" i="2"/>
  <c r="CB24" i="2"/>
  <c r="CB23" i="2"/>
  <c r="CB22" i="2"/>
  <c r="CB21" i="2"/>
  <c r="CB20" i="2"/>
  <c r="CB19" i="2"/>
  <c r="CB18" i="2"/>
  <c r="CB17" i="2"/>
  <c r="CB16" i="2"/>
  <c r="CB15" i="2"/>
  <c r="BE15" i="2" s="1"/>
  <c r="CB14" i="2"/>
  <c r="CB12" i="2"/>
  <c r="CB10" i="2"/>
  <c r="CB9" i="2"/>
  <c r="AT14" i="2"/>
  <c r="AT25" i="2" s="1"/>
  <c r="H16" i="2"/>
  <c r="H25" i="2" s="1"/>
  <c r="N17" i="2"/>
  <c r="BO17" i="2" s="1"/>
  <c r="CA17" i="2" s="1"/>
  <c r="AB18" i="2"/>
  <c r="BO18" i="2" s="1"/>
  <c r="CA18" i="2" s="1"/>
  <c r="AH20" i="2"/>
  <c r="AQ21" i="2"/>
  <c r="AQ25" i="2" s="1"/>
  <c r="BJ13" i="2"/>
  <c r="CB13" i="2" s="1"/>
  <c r="N13" i="2"/>
  <c r="N4" i="2"/>
  <c r="E24" i="2"/>
  <c r="AK23" i="2"/>
  <c r="AK22" i="2"/>
  <c r="AK12" i="2"/>
  <c r="BJ11" i="2"/>
  <c r="CB11" i="2" s="1"/>
  <c r="E10" i="2"/>
  <c r="AK8" i="2"/>
  <c r="BJ7" i="2"/>
  <c r="CB7" i="2" s="1"/>
  <c r="AH6" i="2"/>
  <c r="AK5" i="2"/>
  <c r="BJ4" i="2"/>
  <c r="BJ25" i="2" s="1"/>
  <c r="BE24" i="2" l="1"/>
  <c r="AH25" i="2"/>
  <c r="AH26" i="2" s="1"/>
  <c r="K9" i="1" s="1"/>
  <c r="E25" i="2"/>
  <c r="AK25" i="2"/>
  <c r="CB4" i="2"/>
  <c r="CB25" i="2" s="1"/>
  <c r="N25" i="2"/>
  <c r="AB25" i="2"/>
  <c r="J10" i="1"/>
  <c r="AT26" i="2"/>
  <c r="K13" i="1" s="1"/>
  <c r="AZ26" i="2"/>
  <c r="K17" i="1" s="1"/>
  <c r="BC25" i="2"/>
  <c r="J35" i="1"/>
  <c r="D25" i="1"/>
  <c r="E26" i="2"/>
  <c r="E9" i="1" s="1"/>
  <c r="K26" i="2"/>
  <c r="E11" i="1" s="1"/>
  <c r="Q26" i="2"/>
  <c r="AB26" i="2"/>
  <c r="E20" i="1" s="1"/>
  <c r="J41" i="1"/>
  <c r="J45" i="1" s="1"/>
  <c r="BE14" i="2"/>
  <c r="BY26" i="2"/>
  <c r="BJ26" i="2"/>
  <c r="N26" i="2"/>
  <c r="E12" i="1" s="1"/>
  <c r="T26" i="2"/>
  <c r="AK26" i="2"/>
  <c r="K10" i="1" s="1"/>
  <c r="AQ26" i="2"/>
  <c r="K12" i="1" s="1"/>
  <c r="AW26" i="2"/>
  <c r="BC26" i="2"/>
  <c r="K21" i="1" s="1"/>
  <c r="H26" i="2"/>
  <c r="E10" i="1" s="1"/>
  <c r="Z26" i="2"/>
  <c r="E19" i="1" s="1"/>
  <c r="W26" i="2"/>
  <c r="BS26" i="2"/>
  <c r="BV26" i="2"/>
  <c r="K39" i="1" s="1"/>
  <c r="BM26" i="2"/>
  <c r="AN26" i="2"/>
  <c r="K11" i="1" s="1"/>
  <c r="BE13" i="2"/>
  <c r="BE20" i="2"/>
  <c r="BE17" i="2"/>
  <c r="BE8" i="2"/>
  <c r="BE22" i="2"/>
  <c r="BE11" i="2"/>
  <c r="BE6" i="2"/>
  <c r="BE12" i="2"/>
  <c r="BE5" i="2"/>
  <c r="BE4" i="2"/>
  <c r="BE3" i="2"/>
  <c r="BE18" i="2"/>
  <c r="BE7" i="2"/>
  <c r="BE21" i="2"/>
  <c r="BE9" i="2"/>
  <c r="BE10" i="2"/>
  <c r="BE23" i="2"/>
  <c r="BO16" i="2"/>
  <c r="E14" i="1"/>
  <c r="CA16" i="2" l="1"/>
  <c r="BE16" i="2" l="1"/>
  <c r="J25" i="1"/>
  <c r="AE19" i="2" l="1"/>
  <c r="AE25" i="2" s="1"/>
  <c r="AE26" i="2" s="1"/>
  <c r="K38" i="1"/>
  <c r="K14" i="1"/>
  <c r="E13" i="1"/>
  <c r="BO19" i="2" l="1"/>
  <c r="CA19" i="2" l="1"/>
  <c r="CA25" i="2" s="1"/>
  <c r="CB26" i="2" s="1"/>
  <c r="BO25" i="2"/>
  <c r="BP26" i="2" s="1"/>
  <c r="BE19" i="2" l="1"/>
  <c r="E22" i="1"/>
  <c r="K31" i="1"/>
  <c r="BE25" i="2" l="1"/>
  <c r="BE26" i="2" s="1"/>
  <c r="K22" i="1" s="1"/>
  <c r="K37" i="1"/>
  <c r="K33" i="1"/>
  <c r="K35" i="1" s="1"/>
  <c r="BF26" i="2" l="1"/>
  <c r="K41" i="1"/>
  <c r="K45" i="1" s="1"/>
  <c r="K25" i="1" s="1"/>
  <c r="E17" i="1" l="1"/>
  <c r="E25" i="1" s="1"/>
  <c r="K27" i="1" l="1"/>
</calcChain>
</file>

<file path=xl/sharedStrings.xml><?xml version="1.0" encoding="utf-8"?>
<sst xmlns="http://schemas.openxmlformats.org/spreadsheetml/2006/main" count="96" uniqueCount="73">
  <si>
    <t>Caixa e bancos</t>
  </si>
  <si>
    <t>Contas a receber</t>
  </si>
  <si>
    <t>Estoques</t>
  </si>
  <si>
    <t>Imobilizado</t>
  </si>
  <si>
    <t>Fornecedores</t>
  </si>
  <si>
    <t>Receitas vendas</t>
  </si>
  <si>
    <t>CMV</t>
  </si>
  <si>
    <t>Salarios a pagar</t>
  </si>
  <si>
    <t>ARE</t>
  </si>
  <si>
    <t>SALDO 31.12.2011</t>
  </si>
  <si>
    <t>ELP</t>
  </si>
  <si>
    <t>Ativo não circulante</t>
  </si>
  <si>
    <t>Ativo circulante</t>
  </si>
  <si>
    <t>Patrimonio Liquido</t>
  </si>
  <si>
    <t>Vendas produtos a vista</t>
  </si>
  <si>
    <t>Resultado do Exercicio</t>
  </si>
  <si>
    <t>TOTAL  ATIVO</t>
  </si>
  <si>
    <t>TOTAL  PASSIVO</t>
  </si>
  <si>
    <t>PASSIVO</t>
  </si>
  <si>
    <t>ATIVO</t>
  </si>
  <si>
    <t>Demonstraçaõ do resultado do exercicio BR GAAP</t>
  </si>
  <si>
    <t>Lançamentos BR GAAP</t>
  </si>
  <si>
    <t>Intangivel</t>
  </si>
  <si>
    <t>Passivo não circulante</t>
  </si>
  <si>
    <t>RLP</t>
  </si>
  <si>
    <t>Aquisição de Leasing Financeiro</t>
  </si>
  <si>
    <t>Distrb. De Dividendos</t>
  </si>
  <si>
    <t>Distribuição de dividendos</t>
  </si>
  <si>
    <t>Desp.Administrativas</t>
  </si>
  <si>
    <t>Partes relacionadas</t>
  </si>
  <si>
    <t>Outras contas Rec.</t>
  </si>
  <si>
    <t>Adiantamentos</t>
  </si>
  <si>
    <t>Empres. e Financiamnetos</t>
  </si>
  <si>
    <t>Outras contas pagar</t>
  </si>
  <si>
    <t>Despesas Administrativas</t>
  </si>
  <si>
    <t>Despesas Comerciais</t>
  </si>
  <si>
    <t>Lucro operacional Liquido</t>
  </si>
  <si>
    <t>Resultado Financeiro, liquido</t>
  </si>
  <si>
    <t>Resultado antes do IR e CSLL</t>
  </si>
  <si>
    <t xml:space="preserve">Imposto de renda e Contribuição social </t>
  </si>
  <si>
    <t>Outras contas a receber</t>
  </si>
  <si>
    <t>Empres. E Fiananciamentos</t>
  </si>
  <si>
    <t>Outras contas a pagar</t>
  </si>
  <si>
    <t>Capital social</t>
  </si>
  <si>
    <t>Reserva de lucros</t>
  </si>
  <si>
    <t>Receitas liquidas de vendas</t>
  </si>
  <si>
    <t>Resultado Financeiro Loq</t>
  </si>
  <si>
    <t>Impostos sobre fat.</t>
  </si>
  <si>
    <t>Vendas produtos a prazo</t>
  </si>
  <si>
    <t>Financiamento Banco do Brasil</t>
  </si>
  <si>
    <t>Vendas produtos a prazo-Parte relacionada</t>
  </si>
  <si>
    <t>Compras a prazo Estoques</t>
  </si>
  <si>
    <t>Compra a prazo Ativo Imobilizado</t>
  </si>
  <si>
    <t>Compra de softawares a vista</t>
  </si>
  <si>
    <t>Compras a prazo estoques materia prima</t>
  </si>
  <si>
    <t>Gastos com energia eletrica</t>
  </si>
  <si>
    <t>Gastos com telefonia</t>
  </si>
  <si>
    <t>Gastos a vista com publicidade</t>
  </si>
  <si>
    <t>Venda de estoque partes relaciondas</t>
  </si>
  <si>
    <t>Apripriação Folha de pagamento</t>
  </si>
  <si>
    <t>Depreciação ativo imobilizado-10%</t>
  </si>
  <si>
    <t>Apropriação de PECLD- 3% Inadimplencia</t>
  </si>
  <si>
    <t>Constituição de provisão para perdas de estoques-2%</t>
  </si>
  <si>
    <t>Depreciação ativo Intangivel-10%</t>
  </si>
  <si>
    <t>Capitalização juros sobre financiamentos</t>
  </si>
  <si>
    <t>Recebimento de subvenções governamentais</t>
  </si>
  <si>
    <t>Movimentação Mês</t>
  </si>
  <si>
    <t>Apropriações</t>
  </si>
  <si>
    <t>Investimentos</t>
  </si>
  <si>
    <t>Diferido</t>
  </si>
  <si>
    <t>x1</t>
  </si>
  <si>
    <t>x2</t>
  </si>
  <si>
    <t xml:space="preserve">BALANÇO PATRIMONIAL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</si>
</sst>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2" fillId="0" borderId="0" xfId="0" applyFont="1"/>
    <xf numFmtId="0" fontId="2" fillId="0" borderId="0" xfId="0" applyFont="1" applyBorder="1"/>
    <xf numFmtId="165" fontId="0" fillId="0" borderId="0" xfId="1" applyNumberFormat="1" applyFont="1" applyBorder="1"/>
    <xf numFmtId="165" fontId="0" fillId="0" borderId="0" xfId="1" applyNumberFormat="1" applyFont="1"/>
    <xf numFmtId="165" fontId="0" fillId="0" borderId="1" xfId="1" applyNumberFormat="1" applyFont="1" applyBorder="1"/>
    <xf numFmtId="165" fontId="0" fillId="0" borderId="0" xfId="0" applyNumberFormat="1" applyBorder="1"/>
    <xf numFmtId="165" fontId="0" fillId="0" borderId="0" xfId="0" applyNumberFormat="1"/>
    <xf numFmtId="165" fontId="0" fillId="0" borderId="0" xfId="1" applyNumberFormat="1" applyFont="1" applyFill="1"/>
    <xf numFmtId="165" fontId="0" fillId="0" borderId="0" xfId="1" applyNumberFormat="1" applyFont="1" applyFill="1" applyBorder="1"/>
    <xf numFmtId="165" fontId="2" fillId="2" borderId="1" xfId="1" applyNumberFormat="1" applyFont="1" applyFill="1" applyBorder="1"/>
    <xf numFmtId="165" fontId="2" fillId="2" borderId="0" xfId="1" applyNumberFormat="1" applyFont="1" applyFill="1"/>
    <xf numFmtId="165" fontId="0" fillId="2" borderId="0" xfId="1" applyNumberFormat="1" applyFont="1" applyFill="1"/>
    <xf numFmtId="165" fontId="0" fillId="3" borderId="0" xfId="1" applyNumberFormat="1" applyFont="1" applyFill="1"/>
    <xf numFmtId="165" fontId="2" fillId="0" borderId="0" xfId="1" applyNumberFormat="1" applyFont="1" applyFill="1"/>
    <xf numFmtId="165" fontId="0" fillId="0" borderId="6" xfId="1" applyNumberFormat="1" applyFont="1" applyBorder="1"/>
    <xf numFmtId="165" fontId="2" fillId="4" borderId="0" xfId="1" applyNumberFormat="1" applyFont="1" applyFill="1" applyBorder="1"/>
    <xf numFmtId="165" fontId="0" fillId="4" borderId="0" xfId="1" applyNumberFormat="1" applyFont="1" applyFill="1" applyBorder="1"/>
    <xf numFmtId="165" fontId="0" fillId="4" borderId="0" xfId="1" applyNumberFormat="1" applyFont="1" applyFill="1"/>
    <xf numFmtId="165" fontId="2" fillId="2" borderId="1" xfId="1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/>
    <xf numFmtId="0" fontId="2" fillId="0" borderId="0" xfId="0" applyFont="1" applyFill="1" applyBorder="1"/>
    <xf numFmtId="165" fontId="2" fillId="0" borderId="0" xfId="1" applyNumberFormat="1" applyFont="1" applyBorder="1"/>
    <xf numFmtId="0" fontId="0" fillId="0" borderId="0" xfId="0" applyFill="1"/>
    <xf numFmtId="165" fontId="2" fillId="0" borderId="0" xfId="1" applyNumberFormat="1" applyFont="1" applyFill="1" applyBorder="1" applyAlignment="1">
      <alignment horizontal="center"/>
    </xf>
    <xf numFmtId="165" fontId="2" fillId="0" borderId="0" xfId="1" applyNumberFormat="1" applyFont="1" applyFill="1" applyBorder="1"/>
    <xf numFmtId="0" fontId="2" fillId="0" borderId="0" xfId="0" applyFont="1" applyBorder="1" applyAlignment="1">
      <alignment horizontal="center"/>
    </xf>
    <xf numFmtId="165" fontId="0" fillId="0" borderId="2" xfId="1" applyNumberFormat="1" applyFont="1" applyBorder="1"/>
    <xf numFmtId="165" fontId="2" fillId="0" borderId="0" xfId="1" applyNumberFormat="1" applyFont="1"/>
    <xf numFmtId="165" fontId="0" fillId="0" borderId="0" xfId="1" quotePrefix="1" applyNumberFormat="1" applyFont="1"/>
    <xf numFmtId="0" fontId="2" fillId="0" borderId="0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65" fontId="2" fillId="2" borderId="1" xfId="1" applyNumberFormat="1" applyFont="1" applyFill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60"/>
  <sheetViews>
    <sheetView tabSelected="1" view="pageBreakPreview" zoomScale="80" zoomScaleNormal="72" zoomScaleSheetLayoutView="80" workbookViewId="0">
      <selection activeCell="K23" sqref="K23"/>
    </sheetView>
  </sheetViews>
  <sheetFormatPr defaultRowHeight="15" x14ac:dyDescent="0.25"/>
  <cols>
    <col min="1" max="1" width="2" customWidth="1"/>
    <col min="2" max="2" width="3.42578125" customWidth="1"/>
    <col min="3" max="3" width="21" bestFit="1" customWidth="1"/>
    <col min="4" max="4" width="12.5703125" bestFit="1" customWidth="1"/>
    <col min="5" max="5" width="12.5703125" style="7" bestFit="1" customWidth="1"/>
    <col min="6" max="6" width="1.42578125" customWidth="1"/>
    <col min="7" max="7" width="1.28515625" style="3" customWidth="1"/>
    <col min="8" max="8" width="3.42578125" customWidth="1"/>
    <col min="9" max="9" width="27.28515625" bestFit="1" customWidth="1"/>
    <col min="10" max="10" width="14.140625" bestFit="1" customWidth="1"/>
    <col min="11" max="11" width="15.7109375" style="7" bestFit="1" customWidth="1"/>
    <col min="12" max="12" width="10.28515625" bestFit="1" customWidth="1"/>
  </cols>
  <sheetData>
    <row r="1" spans="2:12" x14ac:dyDescent="0.25">
      <c r="G1" s="2"/>
    </row>
    <row r="2" spans="2:12" x14ac:dyDescent="0.25">
      <c r="G2" s="2"/>
    </row>
    <row r="3" spans="2:12" x14ac:dyDescent="0.25">
      <c r="G3" s="2"/>
    </row>
    <row r="4" spans="2:12" ht="15.75" thickBot="1" x14ac:dyDescent="0.3">
      <c r="G4" s="2"/>
    </row>
    <row r="5" spans="2:12" s="5" customFormat="1" ht="15.75" thickBot="1" x14ac:dyDescent="0.3">
      <c r="B5" s="35" t="s">
        <v>72</v>
      </c>
      <c r="C5" s="36"/>
      <c r="D5" s="36"/>
      <c r="E5" s="36"/>
      <c r="F5" s="36"/>
      <c r="G5" s="36"/>
      <c r="H5" s="36"/>
      <c r="I5" s="36"/>
      <c r="J5" s="36"/>
      <c r="K5" s="37"/>
    </row>
    <row r="6" spans="2:12" s="2" customFormat="1" ht="15.75" thickBot="1" x14ac:dyDescent="0.3">
      <c r="B6" s="38" t="s">
        <v>19</v>
      </c>
      <c r="C6" s="39"/>
      <c r="D6" s="39"/>
      <c r="E6" s="39"/>
      <c r="F6" s="40"/>
      <c r="G6" s="38" t="s">
        <v>18</v>
      </c>
      <c r="H6" s="39"/>
      <c r="I6" s="39"/>
      <c r="J6" s="39"/>
      <c r="K6" s="40"/>
    </row>
    <row r="7" spans="2:12" s="2" customFormat="1" x14ac:dyDescent="0.25">
      <c r="B7" s="23"/>
      <c r="C7" s="23"/>
      <c r="D7" s="30" t="s">
        <v>70</v>
      </c>
      <c r="E7" s="30" t="s">
        <v>71</v>
      </c>
      <c r="F7" s="23"/>
      <c r="G7" s="23"/>
      <c r="H7" s="23"/>
      <c r="I7" s="23"/>
      <c r="J7" s="30" t="s">
        <v>70</v>
      </c>
      <c r="K7" s="30" t="s">
        <v>71</v>
      </c>
    </row>
    <row r="8" spans="2:12" x14ac:dyDescent="0.25">
      <c r="B8" s="4" t="s">
        <v>12</v>
      </c>
      <c r="D8" s="7"/>
      <c r="F8" s="7"/>
      <c r="G8" s="31"/>
      <c r="H8" s="32" t="s">
        <v>12</v>
      </c>
      <c r="I8" s="7"/>
      <c r="J8" s="7"/>
    </row>
    <row r="9" spans="2:12" x14ac:dyDescent="0.25">
      <c r="C9" t="s">
        <v>0</v>
      </c>
      <c r="D9" s="7">
        <f>Lançamentos!D2</f>
        <v>100000</v>
      </c>
      <c r="E9" s="7">
        <f>Lançamentos!E26</f>
        <v>3001000</v>
      </c>
      <c r="F9" s="7"/>
      <c r="G9" s="31"/>
      <c r="H9" s="32"/>
      <c r="I9" s="7" t="s">
        <v>32</v>
      </c>
      <c r="J9" s="7">
        <f>Lançamentos!AH2</f>
        <v>0</v>
      </c>
      <c r="K9" s="33">
        <f>Lançamentos!AH26</f>
        <v>-2270000</v>
      </c>
    </row>
    <row r="10" spans="2:12" x14ac:dyDescent="0.25">
      <c r="C10" t="s">
        <v>1</v>
      </c>
      <c r="D10" s="7">
        <f>Lançamentos!G2</f>
        <v>650000</v>
      </c>
      <c r="E10" s="7">
        <f>Lançamentos!H26</f>
        <v>1492588</v>
      </c>
      <c r="F10" s="7"/>
      <c r="G10" s="31"/>
      <c r="H10" s="32"/>
      <c r="I10" s="7" t="s">
        <v>4</v>
      </c>
      <c r="J10" s="7">
        <f>Lançamentos!AK2</f>
        <v>-180000</v>
      </c>
      <c r="K10" s="7">
        <f>Lançamentos!AK26</f>
        <v>-1332700</v>
      </c>
      <c r="L10" s="10"/>
    </row>
    <row r="11" spans="2:12" x14ac:dyDescent="0.25">
      <c r="C11" t="s">
        <v>29</v>
      </c>
      <c r="D11" s="7">
        <f>Lançamentos!J2</f>
        <v>0</v>
      </c>
      <c r="E11" s="7">
        <f>Lançamentos!K26</f>
        <v>135000</v>
      </c>
      <c r="F11" s="7"/>
      <c r="G11" s="31"/>
      <c r="H11" s="32"/>
      <c r="I11" s="7" t="s">
        <v>29</v>
      </c>
      <c r="J11" s="7">
        <f>Lançamentos!AN2</f>
        <v>0</v>
      </c>
      <c r="K11" s="7">
        <f>Lançamentos!AN26</f>
        <v>0</v>
      </c>
    </row>
    <row r="12" spans="2:12" x14ac:dyDescent="0.25">
      <c r="C12" t="s">
        <v>2</v>
      </c>
      <c r="D12" s="7">
        <f>Lançamentos!M2</f>
        <v>40000</v>
      </c>
      <c r="E12" s="7">
        <f>Lançamentos!N26</f>
        <v>290696</v>
      </c>
      <c r="F12" s="7"/>
      <c r="G12" s="31"/>
      <c r="H12" s="32"/>
      <c r="I12" s="7" t="s">
        <v>7</v>
      </c>
      <c r="J12" s="7">
        <f>Lançamentos!AQ2</f>
        <v>0</v>
      </c>
      <c r="K12" s="7">
        <f>Lançamentos!AQ26</f>
        <v>-133400</v>
      </c>
    </row>
    <row r="13" spans="2:12" x14ac:dyDescent="0.25">
      <c r="C13" t="s">
        <v>30</v>
      </c>
      <c r="D13" s="7">
        <f>Lançamentos!P2</f>
        <v>0</v>
      </c>
      <c r="E13" s="7">
        <f>Lançamentos!Q26</f>
        <v>0</v>
      </c>
      <c r="F13" s="7"/>
      <c r="G13" s="31"/>
      <c r="H13" s="32"/>
      <c r="I13" s="7" t="s">
        <v>33</v>
      </c>
      <c r="J13" s="7">
        <f>Lançamentos!AT2</f>
        <v>0</v>
      </c>
      <c r="K13" s="7">
        <f>Lançamentos!AT26</f>
        <v>-200000</v>
      </c>
    </row>
    <row r="14" spans="2:12" x14ac:dyDescent="0.25">
      <c r="C14" t="s">
        <v>31</v>
      </c>
      <c r="D14" s="7">
        <f>Lançamentos!S2</f>
        <v>0</v>
      </c>
      <c r="E14" s="7">
        <f>Lançamentos!T26</f>
        <v>0</v>
      </c>
      <c r="F14" s="7"/>
      <c r="G14" s="31"/>
      <c r="H14" s="32"/>
      <c r="I14" s="7" t="s">
        <v>27</v>
      </c>
      <c r="J14" s="7">
        <f>Lançamentos!AW2</f>
        <v>0</v>
      </c>
      <c r="K14" s="7">
        <f>Lançamentos!AW26</f>
        <v>0</v>
      </c>
    </row>
    <row r="15" spans="2:12" x14ac:dyDescent="0.25">
      <c r="B15" s="4"/>
      <c r="D15" s="7"/>
      <c r="F15" s="7"/>
      <c r="G15" s="31"/>
      <c r="H15" s="32"/>
      <c r="I15" s="7"/>
      <c r="J15" s="7"/>
    </row>
    <row r="16" spans="2:12" x14ac:dyDescent="0.25">
      <c r="B16" s="4" t="s">
        <v>11</v>
      </c>
      <c r="D16" s="7"/>
      <c r="F16" s="7"/>
      <c r="G16" s="31"/>
      <c r="H16" s="32" t="s">
        <v>23</v>
      </c>
      <c r="I16" s="7"/>
      <c r="J16" s="7"/>
    </row>
    <row r="17" spans="2:11" x14ac:dyDescent="0.25">
      <c r="B17" s="4"/>
      <c r="C17" t="s">
        <v>24</v>
      </c>
      <c r="D17" s="7">
        <f>Lançamentos!V2</f>
        <v>0</v>
      </c>
      <c r="E17" s="7">
        <f>Lançamentos!W26</f>
        <v>0</v>
      </c>
      <c r="F17" s="7"/>
      <c r="G17" s="31"/>
      <c r="H17" s="32"/>
      <c r="I17" s="7" t="s">
        <v>10</v>
      </c>
      <c r="J17" s="7">
        <f>Lançamentos!AZ2</f>
        <v>-320000</v>
      </c>
      <c r="K17" s="7">
        <f>Lançamentos!AZ26</f>
        <v>-320000</v>
      </c>
    </row>
    <row r="18" spans="2:11" x14ac:dyDescent="0.25">
      <c r="B18" s="4"/>
      <c r="D18" s="7"/>
      <c r="F18" s="7"/>
      <c r="G18" s="31"/>
      <c r="H18" s="32"/>
      <c r="I18" s="7"/>
      <c r="J18" s="7"/>
    </row>
    <row r="19" spans="2:11" x14ac:dyDescent="0.25">
      <c r="C19" t="s">
        <v>68</v>
      </c>
      <c r="D19" s="7">
        <f>Lançamentos!Y2</f>
        <v>60000</v>
      </c>
      <c r="E19" s="7">
        <f>Lançamentos!Z26</f>
        <v>60000</v>
      </c>
      <c r="F19" s="7"/>
      <c r="G19" s="31"/>
      <c r="H19" s="32"/>
      <c r="I19" s="7"/>
      <c r="J19" s="7"/>
    </row>
    <row r="20" spans="2:11" x14ac:dyDescent="0.25">
      <c r="B20" s="4"/>
      <c r="C20" t="s">
        <v>3</v>
      </c>
      <c r="D20" s="7">
        <f>Lançamentos!AA2</f>
        <v>500000</v>
      </c>
      <c r="E20" s="7">
        <f>Lançamentos!AB26</f>
        <v>849450</v>
      </c>
      <c r="F20" s="7"/>
      <c r="G20" s="31"/>
      <c r="H20" s="32" t="s">
        <v>13</v>
      </c>
      <c r="I20" s="7"/>
      <c r="J20" s="7"/>
    </row>
    <row r="21" spans="2:11" x14ac:dyDescent="0.25">
      <c r="C21" t="s">
        <v>22</v>
      </c>
      <c r="D21" s="7">
        <v>0</v>
      </c>
      <c r="E21" s="7">
        <v>0</v>
      </c>
      <c r="F21" s="7"/>
      <c r="G21" s="31"/>
      <c r="H21" s="32"/>
      <c r="I21" s="7" t="s">
        <v>43</v>
      </c>
      <c r="J21" s="7">
        <f>Lançamentos!BC2</f>
        <v>-600000</v>
      </c>
      <c r="K21" s="7">
        <f>Lançamentos!BC26</f>
        <v>-600000</v>
      </c>
    </row>
    <row r="22" spans="2:11" x14ac:dyDescent="0.25">
      <c r="C22" t="s">
        <v>69</v>
      </c>
      <c r="D22" s="7">
        <f>Lançamentos!AD2</f>
        <v>50000</v>
      </c>
      <c r="E22" s="7">
        <f>Lançamentos!AE26</f>
        <v>64800</v>
      </c>
      <c r="F22" s="7"/>
      <c r="G22" s="31"/>
      <c r="H22" s="7"/>
      <c r="I22" s="7" t="s">
        <v>44</v>
      </c>
      <c r="J22" s="7">
        <f>Lançamentos!BE2</f>
        <v>-300000</v>
      </c>
      <c r="K22" s="7">
        <f>Lançamentos!BE26</f>
        <v>-1037434</v>
      </c>
    </row>
    <row r="23" spans="2:11" x14ac:dyDescent="0.25">
      <c r="B23" s="1"/>
      <c r="C23" s="1"/>
      <c r="D23" s="8"/>
      <c r="E23" s="8"/>
      <c r="F23" s="7"/>
      <c r="G23" s="31"/>
      <c r="H23" s="8"/>
      <c r="I23" s="8"/>
      <c r="J23" s="8"/>
      <c r="K23" s="8"/>
    </row>
    <row r="24" spans="2:11" x14ac:dyDescent="0.25">
      <c r="D24" s="7"/>
      <c r="F24" s="7"/>
      <c r="G24" s="31"/>
      <c r="H24" s="7"/>
      <c r="I24" s="7"/>
      <c r="J24" s="7"/>
    </row>
    <row r="25" spans="2:11" ht="15.75" thickBot="1" x14ac:dyDescent="0.3">
      <c r="B25" s="4" t="s">
        <v>16</v>
      </c>
      <c r="D25" s="18">
        <f>SUM(D8:D23)</f>
        <v>1400000</v>
      </c>
      <c r="E25" s="18">
        <f>SUM(E8:E23)</f>
        <v>5893534</v>
      </c>
      <c r="F25" s="7"/>
      <c r="G25" s="31"/>
      <c r="H25" s="32" t="s">
        <v>17</v>
      </c>
      <c r="I25" s="7"/>
      <c r="J25" s="18">
        <f>SUM(J8:J23)</f>
        <v>-1400000</v>
      </c>
      <c r="K25" s="18">
        <f>SUM(K8:K23)</f>
        <v>-5893534</v>
      </c>
    </row>
    <row r="26" spans="2:11" s="2" customFormat="1" ht="15.75" thickTop="1" x14ac:dyDescent="0.25">
      <c r="E26" s="6"/>
      <c r="K26" s="6"/>
    </row>
    <row r="27" spans="2:11" s="2" customFormat="1" x14ac:dyDescent="0.25">
      <c r="D27" s="9"/>
      <c r="E27" s="6"/>
      <c r="K27" s="6">
        <f>K25+E25</f>
        <v>0</v>
      </c>
    </row>
    <row r="28" spans="2:11" s="2" customFormat="1" ht="15.75" thickBot="1" x14ac:dyDescent="0.3">
      <c r="E28" s="6"/>
      <c r="K28" s="6"/>
    </row>
    <row r="29" spans="2:11" s="5" customFormat="1" ht="15.75" thickBot="1" x14ac:dyDescent="0.3">
      <c r="B29" s="35" t="s">
        <v>20</v>
      </c>
      <c r="C29" s="36"/>
      <c r="D29" s="36"/>
      <c r="E29" s="36"/>
      <c r="F29" s="36"/>
      <c r="G29" s="36"/>
      <c r="H29" s="36"/>
      <c r="I29" s="36"/>
      <c r="J29" s="36"/>
      <c r="K29" s="37"/>
    </row>
    <row r="30" spans="2:11" s="25" customFormat="1" x14ac:dyDescent="0.25">
      <c r="B30" s="34"/>
      <c r="C30" s="34"/>
      <c r="D30" s="34"/>
      <c r="E30" s="34"/>
      <c r="F30" s="34"/>
      <c r="G30" s="34"/>
      <c r="H30" s="34"/>
      <c r="I30" s="34"/>
      <c r="J30" s="30" t="s">
        <v>70</v>
      </c>
      <c r="K30" s="30" t="s">
        <v>71</v>
      </c>
    </row>
    <row r="31" spans="2:11" s="2" customFormat="1" x14ac:dyDescent="0.25">
      <c r="C31" s="2" t="s">
        <v>45</v>
      </c>
      <c r="E31" s="6"/>
      <c r="J31" s="6">
        <f>Lançamentos!BJ2</f>
        <v>-700000</v>
      </c>
      <c r="K31" s="6">
        <f>Lançamentos!BJ26</f>
        <v>-1815400</v>
      </c>
    </row>
    <row r="32" spans="2:11" s="2" customFormat="1" x14ac:dyDescent="0.25">
      <c r="E32" s="6"/>
      <c r="J32" s="6"/>
      <c r="K32" s="6"/>
    </row>
    <row r="33" spans="3:11" s="2" customFormat="1" x14ac:dyDescent="0.25">
      <c r="C33" s="2" t="s">
        <v>6</v>
      </c>
      <c r="E33" s="6"/>
      <c r="J33" s="8">
        <f>Lançamentos!BL2</f>
        <v>195000</v>
      </c>
      <c r="K33" s="8">
        <f>Lançamentos!BM26</f>
        <v>640000</v>
      </c>
    </row>
    <row r="34" spans="3:11" s="2" customFormat="1" x14ac:dyDescent="0.25">
      <c r="E34" s="6"/>
      <c r="J34" s="6"/>
      <c r="K34" s="6"/>
    </row>
    <row r="35" spans="3:11" s="5" customFormat="1" x14ac:dyDescent="0.25">
      <c r="C35" s="25" t="s">
        <v>36</v>
      </c>
      <c r="D35" s="25"/>
      <c r="E35" s="26"/>
      <c r="J35" s="26">
        <f>J31+J33</f>
        <v>-505000</v>
      </c>
      <c r="K35" s="26">
        <f>K31+K33</f>
        <v>-1175400</v>
      </c>
    </row>
    <row r="36" spans="3:11" s="2" customFormat="1" x14ac:dyDescent="0.25">
      <c r="E36" s="6"/>
      <c r="J36" s="6"/>
      <c r="K36" s="6"/>
    </row>
    <row r="37" spans="3:11" s="2" customFormat="1" x14ac:dyDescent="0.25">
      <c r="C37" s="24" t="s">
        <v>34</v>
      </c>
      <c r="D37" s="24"/>
      <c r="E37" s="6"/>
      <c r="J37" s="6">
        <f>Lançamentos!BO2</f>
        <v>180000</v>
      </c>
      <c r="K37" s="6">
        <f>Lançamentos!BP26</f>
        <v>360966</v>
      </c>
    </row>
    <row r="38" spans="3:11" s="2" customFormat="1" x14ac:dyDescent="0.25">
      <c r="C38" s="24" t="s">
        <v>35</v>
      </c>
      <c r="D38" s="24"/>
      <c r="E38" s="6"/>
      <c r="J38" s="6">
        <f>Lançamentos!BR2</f>
        <v>20000</v>
      </c>
      <c r="K38" s="6">
        <f>Lançamentos!BS26</f>
        <v>77000</v>
      </c>
    </row>
    <row r="39" spans="3:11" s="2" customFormat="1" x14ac:dyDescent="0.25">
      <c r="C39" s="24" t="s">
        <v>37</v>
      </c>
      <c r="D39" s="24"/>
      <c r="E39" s="6"/>
      <c r="J39" s="8">
        <f>Lançamentos!BU2</f>
        <v>0</v>
      </c>
      <c r="K39" s="8">
        <f>Lançamentos!BV26</f>
        <v>0</v>
      </c>
    </row>
    <row r="40" spans="3:11" s="2" customFormat="1" x14ac:dyDescent="0.25">
      <c r="C40" s="24"/>
      <c r="D40" s="24"/>
      <c r="E40" s="6"/>
      <c r="J40" s="6"/>
      <c r="K40" s="6"/>
    </row>
    <row r="41" spans="3:11" s="5" customFormat="1" x14ac:dyDescent="0.25">
      <c r="C41" s="25" t="s">
        <v>38</v>
      </c>
      <c r="D41" s="25"/>
      <c r="E41" s="26"/>
      <c r="J41" s="26">
        <f>J35+J37+J38+J39</f>
        <v>-305000</v>
      </c>
      <c r="K41" s="26">
        <f>K35+K37+K38+K39</f>
        <v>-737434</v>
      </c>
    </row>
    <row r="42" spans="3:11" s="2" customFormat="1" x14ac:dyDescent="0.25">
      <c r="C42" s="24"/>
      <c r="D42" s="24"/>
      <c r="E42" s="6"/>
      <c r="J42" s="6"/>
      <c r="K42" s="6"/>
    </row>
    <row r="43" spans="3:11" s="2" customFormat="1" x14ac:dyDescent="0.25">
      <c r="C43" s="24" t="s">
        <v>39</v>
      </c>
      <c r="D43" s="24"/>
      <c r="E43" s="6"/>
      <c r="J43" s="6">
        <f>Lançamentos!BX2</f>
        <v>5000</v>
      </c>
      <c r="K43" s="6"/>
    </row>
    <row r="44" spans="3:11" s="2" customFormat="1" x14ac:dyDescent="0.25">
      <c r="C44" s="24"/>
      <c r="D44" s="24"/>
      <c r="E44" s="6"/>
      <c r="J44" s="6"/>
      <c r="K44" s="6"/>
    </row>
    <row r="45" spans="3:11" s="2" customFormat="1" ht="15.75" thickBot="1" x14ac:dyDescent="0.3">
      <c r="C45" s="5" t="s">
        <v>15</v>
      </c>
      <c r="D45" s="5"/>
      <c r="E45" s="6"/>
      <c r="J45" s="18">
        <f>J41+J43</f>
        <v>-300000</v>
      </c>
      <c r="K45" s="18">
        <f>K41+K43</f>
        <v>-737434</v>
      </c>
    </row>
    <row r="46" spans="3:11" s="2" customFormat="1" ht="15.75" thickTop="1" x14ac:dyDescent="0.25">
      <c r="E46" s="6"/>
      <c r="K46" s="6"/>
    </row>
    <row r="47" spans="3:11" s="2" customFormat="1" x14ac:dyDescent="0.25">
      <c r="E47" s="6"/>
      <c r="K47" s="6"/>
    </row>
    <row r="48" spans="3:11" s="2" customFormat="1" x14ac:dyDescent="0.25">
      <c r="E48" s="6"/>
      <c r="J48" s="9"/>
      <c r="K48" s="6"/>
    </row>
    <row r="49" spans="5:11" s="2" customFormat="1" x14ac:dyDescent="0.25">
      <c r="E49" s="6"/>
      <c r="K49" s="6"/>
    </row>
    <row r="50" spans="5:11" s="2" customFormat="1" x14ac:dyDescent="0.25">
      <c r="E50" s="6"/>
      <c r="K50" s="6"/>
    </row>
    <row r="51" spans="5:11" s="2" customFormat="1" x14ac:dyDescent="0.25">
      <c r="E51" s="6"/>
      <c r="K51" s="6"/>
    </row>
    <row r="52" spans="5:11" s="2" customFormat="1" x14ac:dyDescent="0.25">
      <c r="E52" s="6"/>
      <c r="K52" s="6"/>
    </row>
    <row r="53" spans="5:11" s="2" customFormat="1" x14ac:dyDescent="0.25">
      <c r="E53" s="6"/>
      <c r="K53" s="6"/>
    </row>
    <row r="54" spans="5:11" s="2" customFormat="1" x14ac:dyDescent="0.25">
      <c r="E54" s="6"/>
      <c r="K54" s="6"/>
    </row>
    <row r="55" spans="5:11" s="2" customFormat="1" x14ac:dyDescent="0.25">
      <c r="E55" s="6"/>
      <c r="K55" s="6"/>
    </row>
    <row r="56" spans="5:11" s="2" customFormat="1" x14ac:dyDescent="0.25">
      <c r="E56" s="6"/>
      <c r="K56" s="6"/>
    </row>
    <row r="57" spans="5:11" s="2" customFormat="1" x14ac:dyDescent="0.25">
      <c r="E57" s="6"/>
      <c r="K57" s="6"/>
    </row>
    <row r="58" spans="5:11" s="2" customFormat="1" x14ac:dyDescent="0.25">
      <c r="E58" s="6"/>
      <c r="K58" s="6"/>
    </row>
    <row r="59" spans="5:11" s="2" customFormat="1" x14ac:dyDescent="0.25">
      <c r="E59" s="6"/>
      <c r="K59" s="6"/>
    </row>
    <row r="60" spans="5:11" s="2" customFormat="1" x14ac:dyDescent="0.25">
      <c r="E60" s="6"/>
      <c r="K60" s="6"/>
    </row>
    <row r="61" spans="5:11" s="2" customFormat="1" x14ac:dyDescent="0.25">
      <c r="E61" s="6"/>
      <c r="K61" s="6"/>
    </row>
    <row r="62" spans="5:11" s="2" customFormat="1" x14ac:dyDescent="0.25">
      <c r="E62" s="6"/>
      <c r="K62" s="6"/>
    </row>
    <row r="63" spans="5:11" s="2" customFormat="1" x14ac:dyDescent="0.25">
      <c r="E63" s="6"/>
      <c r="K63" s="6"/>
    </row>
    <row r="64" spans="5:11" s="2" customFormat="1" x14ac:dyDescent="0.25">
      <c r="E64" s="6"/>
      <c r="K64" s="6"/>
    </row>
    <row r="65" spans="5:11" s="2" customFormat="1" x14ac:dyDescent="0.25">
      <c r="E65" s="6"/>
      <c r="K65" s="6"/>
    </row>
    <row r="66" spans="5:11" s="2" customFormat="1" x14ac:dyDescent="0.25">
      <c r="E66" s="6"/>
      <c r="K66" s="6"/>
    </row>
    <row r="67" spans="5:11" s="2" customFormat="1" x14ac:dyDescent="0.25">
      <c r="E67" s="6"/>
      <c r="K67" s="6"/>
    </row>
    <row r="68" spans="5:11" s="2" customFormat="1" x14ac:dyDescent="0.25">
      <c r="E68" s="6"/>
      <c r="K68" s="6"/>
    </row>
    <row r="69" spans="5:11" s="2" customFormat="1" x14ac:dyDescent="0.25">
      <c r="E69" s="6"/>
      <c r="K69" s="6"/>
    </row>
    <row r="70" spans="5:11" s="2" customFormat="1" x14ac:dyDescent="0.25">
      <c r="E70" s="6"/>
      <c r="K70" s="6"/>
    </row>
    <row r="71" spans="5:11" s="2" customFormat="1" x14ac:dyDescent="0.25">
      <c r="E71" s="6"/>
      <c r="K71" s="6"/>
    </row>
    <row r="72" spans="5:11" s="2" customFormat="1" x14ac:dyDescent="0.25">
      <c r="E72" s="6"/>
      <c r="K72" s="6"/>
    </row>
    <row r="73" spans="5:11" s="2" customFormat="1" x14ac:dyDescent="0.25">
      <c r="E73" s="6"/>
      <c r="K73" s="6"/>
    </row>
    <row r="74" spans="5:11" s="2" customFormat="1" x14ac:dyDescent="0.25">
      <c r="E74" s="6"/>
      <c r="K74" s="6"/>
    </row>
    <row r="75" spans="5:11" s="2" customFormat="1" x14ac:dyDescent="0.25">
      <c r="E75" s="6"/>
      <c r="K75" s="6"/>
    </row>
    <row r="76" spans="5:11" s="2" customFormat="1" x14ac:dyDescent="0.25">
      <c r="E76" s="6"/>
      <c r="K76" s="6"/>
    </row>
    <row r="77" spans="5:11" s="2" customFormat="1" x14ac:dyDescent="0.25">
      <c r="E77" s="6"/>
      <c r="K77" s="6"/>
    </row>
    <row r="78" spans="5:11" s="2" customFormat="1" x14ac:dyDescent="0.25">
      <c r="E78" s="6"/>
      <c r="K78" s="6"/>
    </row>
    <row r="79" spans="5:11" s="2" customFormat="1" x14ac:dyDescent="0.25">
      <c r="E79" s="6"/>
      <c r="K79" s="6"/>
    </row>
    <row r="80" spans="5:11" s="2" customFormat="1" x14ac:dyDescent="0.25">
      <c r="E80" s="6"/>
      <c r="K80" s="6"/>
    </row>
    <row r="81" spans="5:11" s="2" customFormat="1" x14ac:dyDescent="0.25">
      <c r="E81" s="6"/>
      <c r="K81" s="6"/>
    </row>
    <row r="82" spans="5:11" s="2" customFormat="1" x14ac:dyDescent="0.25">
      <c r="E82" s="6"/>
      <c r="K82" s="6"/>
    </row>
    <row r="83" spans="5:11" s="2" customFormat="1" x14ac:dyDescent="0.25">
      <c r="E83" s="6"/>
      <c r="K83" s="6"/>
    </row>
    <row r="84" spans="5:11" s="2" customFormat="1" x14ac:dyDescent="0.25">
      <c r="E84" s="6"/>
      <c r="K84" s="6"/>
    </row>
    <row r="85" spans="5:11" s="2" customFormat="1" x14ac:dyDescent="0.25">
      <c r="E85" s="6"/>
      <c r="K85" s="6"/>
    </row>
    <row r="86" spans="5:11" s="2" customFormat="1" x14ac:dyDescent="0.25">
      <c r="E86" s="6"/>
      <c r="K86" s="6"/>
    </row>
    <row r="87" spans="5:11" s="2" customFormat="1" x14ac:dyDescent="0.25">
      <c r="E87" s="6"/>
      <c r="K87" s="6"/>
    </row>
    <row r="88" spans="5:11" s="2" customFormat="1" x14ac:dyDescent="0.25">
      <c r="E88" s="6"/>
      <c r="K88" s="6"/>
    </row>
    <row r="89" spans="5:11" s="2" customFormat="1" x14ac:dyDescent="0.25">
      <c r="E89" s="6"/>
      <c r="K89" s="6"/>
    </row>
    <row r="90" spans="5:11" s="2" customFormat="1" x14ac:dyDescent="0.25">
      <c r="E90" s="6"/>
      <c r="K90" s="6"/>
    </row>
    <row r="91" spans="5:11" s="2" customFormat="1" x14ac:dyDescent="0.25">
      <c r="E91" s="6"/>
      <c r="K91" s="6"/>
    </row>
    <row r="92" spans="5:11" s="2" customFormat="1" x14ac:dyDescent="0.25">
      <c r="E92" s="6"/>
      <c r="K92" s="6"/>
    </row>
    <row r="93" spans="5:11" s="2" customFormat="1" x14ac:dyDescent="0.25">
      <c r="E93" s="6"/>
      <c r="K93" s="6"/>
    </row>
    <row r="94" spans="5:11" s="2" customFormat="1" x14ac:dyDescent="0.25">
      <c r="E94" s="6"/>
      <c r="K94" s="6"/>
    </row>
    <row r="95" spans="5:11" s="2" customFormat="1" x14ac:dyDescent="0.25">
      <c r="E95" s="6"/>
      <c r="K95" s="6"/>
    </row>
    <row r="96" spans="5:11" s="2" customFormat="1" x14ac:dyDescent="0.25">
      <c r="E96" s="6"/>
      <c r="K96" s="6"/>
    </row>
    <row r="97" spans="5:11" s="2" customFormat="1" x14ac:dyDescent="0.25">
      <c r="E97" s="6"/>
      <c r="K97" s="6"/>
    </row>
    <row r="98" spans="5:11" s="2" customFormat="1" x14ac:dyDescent="0.25">
      <c r="E98" s="6"/>
      <c r="K98" s="6"/>
    </row>
    <row r="99" spans="5:11" s="2" customFormat="1" x14ac:dyDescent="0.25">
      <c r="E99" s="6"/>
      <c r="K99" s="6"/>
    </row>
    <row r="100" spans="5:11" s="2" customFormat="1" x14ac:dyDescent="0.25">
      <c r="E100" s="6"/>
      <c r="K100" s="6"/>
    </row>
    <row r="101" spans="5:11" s="2" customFormat="1" x14ac:dyDescent="0.25">
      <c r="E101" s="6"/>
      <c r="K101" s="6"/>
    </row>
    <row r="102" spans="5:11" s="2" customFormat="1" x14ac:dyDescent="0.25">
      <c r="E102" s="6"/>
      <c r="K102" s="6"/>
    </row>
    <row r="103" spans="5:11" s="2" customFormat="1" x14ac:dyDescent="0.25">
      <c r="E103" s="6"/>
      <c r="K103" s="6"/>
    </row>
    <row r="104" spans="5:11" s="2" customFormat="1" x14ac:dyDescent="0.25">
      <c r="E104" s="6"/>
      <c r="K104" s="6"/>
    </row>
    <row r="105" spans="5:11" s="2" customFormat="1" x14ac:dyDescent="0.25">
      <c r="E105" s="6"/>
      <c r="K105" s="6"/>
    </row>
    <row r="106" spans="5:11" s="2" customFormat="1" x14ac:dyDescent="0.25">
      <c r="E106" s="6"/>
      <c r="K106" s="6"/>
    </row>
    <row r="107" spans="5:11" s="2" customFormat="1" x14ac:dyDescent="0.25">
      <c r="E107" s="6"/>
      <c r="K107" s="6"/>
    </row>
    <row r="108" spans="5:11" s="2" customFormat="1" x14ac:dyDescent="0.25">
      <c r="E108" s="6"/>
      <c r="K108" s="6"/>
    </row>
    <row r="109" spans="5:11" s="2" customFormat="1" x14ac:dyDescent="0.25">
      <c r="E109" s="6"/>
      <c r="K109" s="6"/>
    </row>
    <row r="110" spans="5:11" s="2" customFormat="1" x14ac:dyDescent="0.25">
      <c r="E110" s="6"/>
      <c r="K110" s="6"/>
    </row>
    <row r="111" spans="5:11" s="2" customFormat="1" x14ac:dyDescent="0.25">
      <c r="E111" s="6"/>
      <c r="K111" s="6"/>
    </row>
    <row r="112" spans="5:11" s="2" customFormat="1" x14ac:dyDescent="0.25">
      <c r="E112" s="6"/>
      <c r="K112" s="6"/>
    </row>
    <row r="113" spans="5:11" s="2" customFormat="1" x14ac:dyDescent="0.25">
      <c r="E113" s="6"/>
      <c r="K113" s="6"/>
    </row>
    <row r="114" spans="5:11" s="2" customFormat="1" x14ac:dyDescent="0.25">
      <c r="E114" s="6"/>
      <c r="K114" s="6"/>
    </row>
    <row r="115" spans="5:11" s="2" customFormat="1" x14ac:dyDescent="0.25">
      <c r="E115" s="6"/>
      <c r="K115" s="6"/>
    </row>
    <row r="116" spans="5:11" s="2" customFormat="1" x14ac:dyDescent="0.25">
      <c r="E116" s="6"/>
      <c r="K116" s="6"/>
    </row>
    <row r="117" spans="5:11" s="2" customFormat="1" x14ac:dyDescent="0.25">
      <c r="E117" s="6"/>
      <c r="K117" s="6"/>
    </row>
    <row r="118" spans="5:11" s="2" customFormat="1" x14ac:dyDescent="0.25">
      <c r="E118" s="6"/>
      <c r="K118" s="6"/>
    </row>
    <row r="119" spans="5:11" s="2" customFormat="1" x14ac:dyDescent="0.25">
      <c r="E119" s="6"/>
      <c r="K119" s="6"/>
    </row>
    <row r="120" spans="5:11" s="2" customFormat="1" x14ac:dyDescent="0.25">
      <c r="E120" s="6"/>
      <c r="K120" s="6"/>
    </row>
    <row r="121" spans="5:11" s="2" customFormat="1" x14ac:dyDescent="0.25">
      <c r="E121" s="6"/>
      <c r="K121" s="6"/>
    </row>
    <row r="122" spans="5:11" s="2" customFormat="1" x14ac:dyDescent="0.25">
      <c r="E122" s="6"/>
      <c r="K122" s="6"/>
    </row>
    <row r="123" spans="5:11" s="2" customFormat="1" x14ac:dyDescent="0.25">
      <c r="E123" s="6"/>
      <c r="K123" s="6"/>
    </row>
    <row r="124" spans="5:11" s="2" customFormat="1" x14ac:dyDescent="0.25">
      <c r="E124" s="6"/>
      <c r="K124" s="6"/>
    </row>
    <row r="125" spans="5:11" s="2" customFormat="1" x14ac:dyDescent="0.25">
      <c r="E125" s="6"/>
      <c r="K125" s="6"/>
    </row>
    <row r="126" spans="5:11" s="2" customFormat="1" x14ac:dyDescent="0.25">
      <c r="E126" s="6"/>
      <c r="K126" s="6"/>
    </row>
    <row r="127" spans="5:11" s="2" customFormat="1" x14ac:dyDescent="0.25">
      <c r="E127" s="6"/>
      <c r="K127" s="6"/>
    </row>
    <row r="128" spans="5:11" s="2" customFormat="1" x14ac:dyDescent="0.25">
      <c r="E128" s="6"/>
      <c r="K128" s="6"/>
    </row>
    <row r="129" spans="5:11" s="2" customFormat="1" x14ac:dyDescent="0.25">
      <c r="E129" s="6"/>
      <c r="K129" s="6"/>
    </row>
    <row r="130" spans="5:11" s="2" customFormat="1" x14ac:dyDescent="0.25">
      <c r="E130" s="6"/>
      <c r="K130" s="6"/>
    </row>
    <row r="131" spans="5:11" s="2" customFormat="1" x14ac:dyDescent="0.25">
      <c r="E131" s="6"/>
      <c r="K131" s="6"/>
    </row>
    <row r="132" spans="5:11" s="2" customFormat="1" x14ac:dyDescent="0.25">
      <c r="E132" s="6"/>
      <c r="K132" s="6"/>
    </row>
    <row r="133" spans="5:11" s="2" customFormat="1" x14ac:dyDescent="0.25">
      <c r="E133" s="6"/>
      <c r="K133" s="6"/>
    </row>
    <row r="134" spans="5:11" s="2" customFormat="1" x14ac:dyDescent="0.25">
      <c r="E134" s="6"/>
      <c r="K134" s="6"/>
    </row>
    <row r="135" spans="5:11" s="2" customFormat="1" x14ac:dyDescent="0.25">
      <c r="E135" s="6"/>
      <c r="K135" s="6"/>
    </row>
    <row r="136" spans="5:11" s="2" customFormat="1" x14ac:dyDescent="0.25">
      <c r="E136" s="6"/>
      <c r="K136" s="6"/>
    </row>
    <row r="137" spans="5:11" s="2" customFormat="1" x14ac:dyDescent="0.25">
      <c r="E137" s="6"/>
      <c r="K137" s="6"/>
    </row>
    <row r="138" spans="5:11" s="2" customFormat="1" x14ac:dyDescent="0.25">
      <c r="E138" s="6"/>
      <c r="K138" s="6"/>
    </row>
    <row r="139" spans="5:11" s="2" customFormat="1" x14ac:dyDescent="0.25">
      <c r="E139" s="6"/>
      <c r="K139" s="6"/>
    </row>
    <row r="140" spans="5:11" s="2" customFormat="1" x14ac:dyDescent="0.25">
      <c r="E140" s="6"/>
      <c r="K140" s="6"/>
    </row>
    <row r="141" spans="5:11" s="2" customFormat="1" x14ac:dyDescent="0.25">
      <c r="E141" s="6"/>
      <c r="K141" s="6"/>
    </row>
    <row r="142" spans="5:11" s="2" customFormat="1" x14ac:dyDescent="0.25">
      <c r="E142" s="6"/>
      <c r="K142" s="6"/>
    </row>
    <row r="143" spans="5:11" s="2" customFormat="1" x14ac:dyDescent="0.25">
      <c r="E143" s="6"/>
      <c r="K143" s="6"/>
    </row>
    <row r="144" spans="5:11" s="2" customFormat="1" x14ac:dyDescent="0.25">
      <c r="E144" s="6"/>
      <c r="K144" s="6"/>
    </row>
    <row r="145" spans="5:11" s="2" customFormat="1" x14ac:dyDescent="0.25">
      <c r="E145" s="6"/>
      <c r="K145" s="6"/>
    </row>
    <row r="146" spans="5:11" s="2" customFormat="1" x14ac:dyDescent="0.25">
      <c r="E146" s="6"/>
      <c r="K146" s="6"/>
    </row>
    <row r="147" spans="5:11" s="2" customFormat="1" x14ac:dyDescent="0.25">
      <c r="E147" s="6"/>
      <c r="K147" s="6"/>
    </row>
    <row r="148" spans="5:11" s="2" customFormat="1" x14ac:dyDescent="0.25">
      <c r="E148" s="6"/>
      <c r="K148" s="6"/>
    </row>
    <row r="149" spans="5:11" s="2" customFormat="1" x14ac:dyDescent="0.25">
      <c r="E149" s="6"/>
      <c r="K149" s="6"/>
    </row>
    <row r="150" spans="5:11" s="2" customFormat="1" x14ac:dyDescent="0.25">
      <c r="E150" s="6"/>
      <c r="K150" s="6"/>
    </row>
    <row r="151" spans="5:11" s="2" customFormat="1" x14ac:dyDescent="0.25">
      <c r="E151" s="6"/>
      <c r="K151" s="6"/>
    </row>
    <row r="152" spans="5:11" s="2" customFormat="1" x14ac:dyDescent="0.25">
      <c r="E152" s="6"/>
      <c r="K152" s="6"/>
    </row>
    <row r="153" spans="5:11" s="2" customFormat="1" x14ac:dyDescent="0.25">
      <c r="E153" s="6"/>
      <c r="K153" s="6"/>
    </row>
    <row r="154" spans="5:11" s="2" customFormat="1" x14ac:dyDescent="0.25">
      <c r="E154" s="6"/>
      <c r="K154" s="6"/>
    </row>
    <row r="155" spans="5:11" s="2" customFormat="1" x14ac:dyDescent="0.25">
      <c r="E155" s="6"/>
      <c r="K155" s="6"/>
    </row>
    <row r="156" spans="5:11" s="2" customFormat="1" x14ac:dyDescent="0.25">
      <c r="E156" s="6"/>
      <c r="K156" s="6"/>
    </row>
    <row r="157" spans="5:11" s="2" customFormat="1" x14ac:dyDescent="0.25">
      <c r="E157" s="6"/>
      <c r="K157" s="6"/>
    </row>
    <row r="158" spans="5:11" s="2" customFormat="1" x14ac:dyDescent="0.25">
      <c r="E158" s="6"/>
      <c r="K158" s="6"/>
    </row>
    <row r="159" spans="5:11" s="2" customFormat="1" x14ac:dyDescent="0.25">
      <c r="E159" s="6"/>
      <c r="K159" s="6"/>
    </row>
    <row r="160" spans="5:11" s="2" customFormat="1" x14ac:dyDescent="0.25">
      <c r="E160" s="6"/>
      <c r="K160" s="6"/>
    </row>
    <row r="161" spans="5:11" s="2" customFormat="1" x14ac:dyDescent="0.25">
      <c r="E161" s="6"/>
      <c r="K161" s="6"/>
    </row>
    <row r="162" spans="5:11" s="2" customFormat="1" x14ac:dyDescent="0.25">
      <c r="E162" s="6"/>
      <c r="K162" s="6"/>
    </row>
    <row r="163" spans="5:11" s="2" customFormat="1" x14ac:dyDescent="0.25">
      <c r="E163" s="6"/>
      <c r="K163" s="6"/>
    </row>
    <row r="164" spans="5:11" s="2" customFormat="1" x14ac:dyDescent="0.25">
      <c r="E164" s="6"/>
      <c r="K164" s="6"/>
    </row>
    <row r="165" spans="5:11" s="2" customFormat="1" x14ac:dyDescent="0.25">
      <c r="E165" s="6"/>
      <c r="K165" s="6"/>
    </row>
    <row r="166" spans="5:11" s="2" customFormat="1" x14ac:dyDescent="0.25">
      <c r="E166" s="6"/>
      <c r="K166" s="6"/>
    </row>
    <row r="167" spans="5:11" s="2" customFormat="1" x14ac:dyDescent="0.25">
      <c r="E167" s="6"/>
      <c r="K167" s="6"/>
    </row>
    <row r="168" spans="5:11" s="2" customFormat="1" x14ac:dyDescent="0.25">
      <c r="E168" s="6"/>
      <c r="K168" s="6"/>
    </row>
    <row r="169" spans="5:11" s="2" customFormat="1" x14ac:dyDescent="0.25">
      <c r="E169" s="6"/>
      <c r="K169" s="6"/>
    </row>
    <row r="170" spans="5:11" s="2" customFormat="1" x14ac:dyDescent="0.25">
      <c r="E170" s="6"/>
      <c r="K170" s="6"/>
    </row>
    <row r="171" spans="5:11" s="2" customFormat="1" x14ac:dyDescent="0.25">
      <c r="E171" s="6"/>
      <c r="K171" s="6"/>
    </row>
    <row r="172" spans="5:11" s="2" customFormat="1" x14ac:dyDescent="0.25">
      <c r="E172" s="6"/>
      <c r="K172" s="6"/>
    </row>
    <row r="173" spans="5:11" s="2" customFormat="1" x14ac:dyDescent="0.25">
      <c r="E173" s="6"/>
      <c r="K173" s="6"/>
    </row>
    <row r="174" spans="5:11" s="2" customFormat="1" x14ac:dyDescent="0.25">
      <c r="E174" s="6"/>
      <c r="K174" s="6"/>
    </row>
    <row r="175" spans="5:11" s="2" customFormat="1" x14ac:dyDescent="0.25">
      <c r="E175" s="6"/>
      <c r="K175" s="6"/>
    </row>
    <row r="176" spans="5:11" s="2" customFormat="1" x14ac:dyDescent="0.25">
      <c r="E176" s="6"/>
      <c r="K176" s="6"/>
    </row>
    <row r="177" spans="5:11" s="2" customFormat="1" x14ac:dyDescent="0.25">
      <c r="E177" s="6"/>
      <c r="K177" s="6"/>
    </row>
    <row r="178" spans="5:11" s="2" customFormat="1" x14ac:dyDescent="0.25">
      <c r="E178" s="6"/>
      <c r="K178" s="6"/>
    </row>
    <row r="179" spans="5:11" s="2" customFormat="1" x14ac:dyDescent="0.25">
      <c r="E179" s="6"/>
      <c r="K179" s="6"/>
    </row>
    <row r="180" spans="5:11" s="2" customFormat="1" x14ac:dyDescent="0.25">
      <c r="E180" s="6"/>
      <c r="K180" s="6"/>
    </row>
    <row r="181" spans="5:11" s="2" customFormat="1" x14ac:dyDescent="0.25">
      <c r="E181" s="6"/>
      <c r="K181" s="6"/>
    </row>
    <row r="182" spans="5:11" s="2" customFormat="1" x14ac:dyDescent="0.25">
      <c r="E182" s="6"/>
      <c r="K182" s="6"/>
    </row>
    <row r="183" spans="5:11" s="2" customFormat="1" x14ac:dyDescent="0.25">
      <c r="E183" s="6"/>
      <c r="K183" s="6"/>
    </row>
    <row r="184" spans="5:11" s="2" customFormat="1" x14ac:dyDescent="0.25">
      <c r="E184" s="6"/>
      <c r="K184" s="6"/>
    </row>
    <row r="185" spans="5:11" s="2" customFormat="1" x14ac:dyDescent="0.25">
      <c r="E185" s="6"/>
      <c r="K185" s="6"/>
    </row>
    <row r="186" spans="5:11" s="2" customFormat="1" x14ac:dyDescent="0.25">
      <c r="E186" s="6"/>
      <c r="K186" s="6"/>
    </row>
    <row r="187" spans="5:11" s="2" customFormat="1" x14ac:dyDescent="0.25">
      <c r="E187" s="6"/>
      <c r="K187" s="6"/>
    </row>
    <row r="188" spans="5:11" s="2" customFormat="1" x14ac:dyDescent="0.25">
      <c r="E188" s="6"/>
      <c r="K188" s="6"/>
    </row>
    <row r="189" spans="5:11" s="2" customFormat="1" x14ac:dyDescent="0.25">
      <c r="E189" s="6"/>
      <c r="K189" s="6"/>
    </row>
    <row r="190" spans="5:11" s="2" customFormat="1" x14ac:dyDescent="0.25">
      <c r="E190" s="6"/>
      <c r="K190" s="6"/>
    </row>
    <row r="191" spans="5:11" s="2" customFormat="1" x14ac:dyDescent="0.25">
      <c r="E191" s="6"/>
      <c r="K191" s="6"/>
    </row>
    <row r="192" spans="5:11" s="2" customFormat="1" x14ac:dyDescent="0.25">
      <c r="E192" s="6"/>
      <c r="K192" s="6"/>
    </row>
    <row r="193" spans="5:11" s="2" customFormat="1" x14ac:dyDescent="0.25">
      <c r="E193" s="6"/>
      <c r="K193" s="6"/>
    </row>
    <row r="194" spans="5:11" s="2" customFormat="1" x14ac:dyDescent="0.25">
      <c r="E194" s="6"/>
      <c r="K194" s="6"/>
    </row>
    <row r="195" spans="5:11" s="2" customFormat="1" x14ac:dyDescent="0.25">
      <c r="E195" s="6"/>
      <c r="K195" s="6"/>
    </row>
    <row r="196" spans="5:11" s="2" customFormat="1" x14ac:dyDescent="0.25">
      <c r="E196" s="6"/>
      <c r="K196" s="6"/>
    </row>
    <row r="197" spans="5:11" s="2" customFormat="1" x14ac:dyDescent="0.25">
      <c r="E197" s="6"/>
      <c r="K197" s="6"/>
    </row>
    <row r="198" spans="5:11" s="2" customFormat="1" x14ac:dyDescent="0.25">
      <c r="E198" s="6"/>
      <c r="K198" s="6"/>
    </row>
    <row r="199" spans="5:11" s="2" customFormat="1" x14ac:dyDescent="0.25">
      <c r="E199" s="6"/>
      <c r="K199" s="6"/>
    </row>
    <row r="200" spans="5:11" s="2" customFormat="1" x14ac:dyDescent="0.25">
      <c r="E200" s="6"/>
      <c r="K200" s="6"/>
    </row>
    <row r="201" spans="5:11" s="2" customFormat="1" x14ac:dyDescent="0.25">
      <c r="E201" s="6"/>
      <c r="K201" s="6"/>
    </row>
    <row r="202" spans="5:11" s="2" customFormat="1" x14ac:dyDescent="0.25">
      <c r="E202" s="6"/>
      <c r="K202" s="6"/>
    </row>
    <row r="203" spans="5:11" s="2" customFormat="1" x14ac:dyDescent="0.25">
      <c r="E203" s="6"/>
      <c r="K203" s="6"/>
    </row>
    <row r="204" spans="5:11" s="2" customFormat="1" x14ac:dyDescent="0.25">
      <c r="E204" s="6"/>
      <c r="K204" s="6"/>
    </row>
    <row r="205" spans="5:11" s="2" customFormat="1" x14ac:dyDescent="0.25">
      <c r="E205" s="6"/>
      <c r="K205" s="6"/>
    </row>
    <row r="206" spans="5:11" s="2" customFormat="1" x14ac:dyDescent="0.25">
      <c r="E206" s="6"/>
      <c r="K206" s="6"/>
    </row>
    <row r="207" spans="5:11" s="2" customFormat="1" x14ac:dyDescent="0.25">
      <c r="E207" s="6"/>
      <c r="K207" s="6"/>
    </row>
    <row r="208" spans="5:11" s="2" customFormat="1" x14ac:dyDescent="0.25">
      <c r="E208" s="6"/>
      <c r="K208" s="6"/>
    </row>
    <row r="209" spans="5:11" s="2" customFormat="1" x14ac:dyDescent="0.25">
      <c r="E209" s="6"/>
      <c r="K209" s="6"/>
    </row>
    <row r="210" spans="5:11" s="2" customFormat="1" x14ac:dyDescent="0.25">
      <c r="E210" s="6"/>
      <c r="K210" s="6"/>
    </row>
    <row r="211" spans="5:11" s="2" customFormat="1" x14ac:dyDescent="0.25">
      <c r="E211" s="6"/>
      <c r="K211" s="6"/>
    </row>
    <row r="212" spans="5:11" s="2" customFormat="1" x14ac:dyDescent="0.25">
      <c r="E212" s="6"/>
      <c r="K212" s="6"/>
    </row>
    <row r="213" spans="5:11" s="2" customFormat="1" x14ac:dyDescent="0.25">
      <c r="E213" s="6"/>
      <c r="K213" s="6"/>
    </row>
    <row r="214" spans="5:11" s="2" customFormat="1" x14ac:dyDescent="0.25">
      <c r="E214" s="6"/>
      <c r="K214" s="6"/>
    </row>
    <row r="215" spans="5:11" s="2" customFormat="1" x14ac:dyDescent="0.25">
      <c r="E215" s="6"/>
      <c r="K215" s="6"/>
    </row>
    <row r="216" spans="5:11" s="2" customFormat="1" x14ac:dyDescent="0.25">
      <c r="E216" s="6"/>
      <c r="K216" s="6"/>
    </row>
    <row r="217" spans="5:11" s="2" customFormat="1" x14ac:dyDescent="0.25">
      <c r="E217" s="6"/>
      <c r="K217" s="6"/>
    </row>
    <row r="218" spans="5:11" s="2" customFormat="1" x14ac:dyDescent="0.25">
      <c r="E218" s="6"/>
      <c r="K218" s="6"/>
    </row>
    <row r="219" spans="5:11" s="2" customFormat="1" x14ac:dyDescent="0.25">
      <c r="E219" s="6"/>
      <c r="K219" s="6"/>
    </row>
    <row r="220" spans="5:11" s="2" customFormat="1" x14ac:dyDescent="0.25">
      <c r="E220" s="6"/>
      <c r="K220" s="6"/>
    </row>
    <row r="221" spans="5:11" s="2" customFormat="1" x14ac:dyDescent="0.25">
      <c r="E221" s="6"/>
      <c r="K221" s="6"/>
    </row>
    <row r="222" spans="5:11" s="2" customFormat="1" x14ac:dyDescent="0.25">
      <c r="E222" s="6"/>
      <c r="K222" s="6"/>
    </row>
    <row r="223" spans="5:11" s="2" customFormat="1" x14ac:dyDescent="0.25">
      <c r="E223" s="6"/>
      <c r="K223" s="6"/>
    </row>
    <row r="224" spans="5:11" s="2" customFormat="1" x14ac:dyDescent="0.25">
      <c r="E224" s="6"/>
      <c r="K224" s="6"/>
    </row>
    <row r="225" spans="5:11" s="2" customFormat="1" x14ac:dyDescent="0.25">
      <c r="E225" s="6"/>
      <c r="K225" s="6"/>
    </row>
    <row r="226" spans="5:11" s="2" customFormat="1" x14ac:dyDescent="0.25">
      <c r="E226" s="6"/>
      <c r="K226" s="6"/>
    </row>
    <row r="227" spans="5:11" s="2" customFormat="1" x14ac:dyDescent="0.25">
      <c r="E227" s="6"/>
      <c r="K227" s="6"/>
    </row>
    <row r="228" spans="5:11" s="2" customFormat="1" x14ac:dyDescent="0.25">
      <c r="E228" s="6"/>
      <c r="K228" s="6"/>
    </row>
    <row r="229" spans="5:11" s="2" customFormat="1" x14ac:dyDescent="0.25">
      <c r="E229" s="6"/>
      <c r="K229" s="6"/>
    </row>
    <row r="230" spans="5:11" s="2" customFormat="1" x14ac:dyDescent="0.25">
      <c r="E230" s="6"/>
      <c r="K230" s="6"/>
    </row>
    <row r="231" spans="5:11" s="2" customFormat="1" x14ac:dyDescent="0.25">
      <c r="E231" s="6"/>
      <c r="K231" s="6"/>
    </row>
    <row r="232" spans="5:11" s="2" customFormat="1" x14ac:dyDescent="0.25">
      <c r="E232" s="6"/>
      <c r="K232" s="6"/>
    </row>
    <row r="233" spans="5:11" s="2" customFormat="1" x14ac:dyDescent="0.25">
      <c r="E233" s="6"/>
      <c r="K233" s="6"/>
    </row>
    <row r="234" spans="5:11" s="2" customFormat="1" x14ac:dyDescent="0.25">
      <c r="E234" s="6"/>
      <c r="K234" s="6"/>
    </row>
    <row r="235" spans="5:11" s="2" customFormat="1" x14ac:dyDescent="0.25">
      <c r="E235" s="6"/>
      <c r="K235" s="6"/>
    </row>
    <row r="236" spans="5:11" s="2" customFormat="1" x14ac:dyDescent="0.25">
      <c r="E236" s="6"/>
      <c r="K236" s="6"/>
    </row>
    <row r="237" spans="5:11" s="2" customFormat="1" x14ac:dyDescent="0.25">
      <c r="E237" s="6"/>
      <c r="K237" s="6"/>
    </row>
    <row r="238" spans="5:11" s="2" customFormat="1" x14ac:dyDescent="0.25">
      <c r="E238" s="6"/>
      <c r="K238" s="6"/>
    </row>
    <row r="239" spans="5:11" s="2" customFormat="1" x14ac:dyDescent="0.25">
      <c r="E239" s="6"/>
      <c r="K239" s="6"/>
    </row>
    <row r="240" spans="5:11" s="2" customFormat="1" x14ac:dyDescent="0.25">
      <c r="E240" s="6"/>
      <c r="K240" s="6"/>
    </row>
    <row r="241" spans="5:11" s="2" customFormat="1" x14ac:dyDescent="0.25">
      <c r="E241" s="6"/>
      <c r="K241" s="6"/>
    </row>
    <row r="242" spans="5:11" s="2" customFormat="1" x14ac:dyDescent="0.25">
      <c r="E242" s="6"/>
      <c r="K242" s="6"/>
    </row>
    <row r="243" spans="5:11" s="2" customFormat="1" x14ac:dyDescent="0.25">
      <c r="E243" s="6"/>
      <c r="K243" s="6"/>
    </row>
    <row r="244" spans="5:11" s="2" customFormat="1" x14ac:dyDescent="0.25">
      <c r="E244" s="6"/>
      <c r="K244" s="6"/>
    </row>
    <row r="245" spans="5:11" s="2" customFormat="1" x14ac:dyDescent="0.25">
      <c r="E245" s="6"/>
      <c r="K245" s="6"/>
    </row>
    <row r="246" spans="5:11" s="2" customFormat="1" x14ac:dyDescent="0.25">
      <c r="E246" s="6"/>
      <c r="K246" s="6"/>
    </row>
    <row r="247" spans="5:11" s="2" customFormat="1" x14ac:dyDescent="0.25">
      <c r="E247" s="6"/>
      <c r="K247" s="6"/>
    </row>
    <row r="248" spans="5:11" s="2" customFormat="1" x14ac:dyDescent="0.25">
      <c r="E248" s="6"/>
      <c r="K248" s="6"/>
    </row>
    <row r="249" spans="5:11" s="2" customFormat="1" x14ac:dyDescent="0.25">
      <c r="E249" s="6"/>
      <c r="K249" s="6"/>
    </row>
    <row r="250" spans="5:11" s="2" customFormat="1" x14ac:dyDescent="0.25">
      <c r="E250" s="6"/>
      <c r="K250" s="6"/>
    </row>
    <row r="251" spans="5:11" s="2" customFormat="1" x14ac:dyDescent="0.25">
      <c r="E251" s="6"/>
      <c r="K251" s="6"/>
    </row>
    <row r="252" spans="5:11" s="2" customFormat="1" x14ac:dyDescent="0.25">
      <c r="E252" s="6"/>
      <c r="K252" s="6"/>
    </row>
    <row r="253" spans="5:11" s="2" customFormat="1" x14ac:dyDescent="0.25">
      <c r="E253" s="6"/>
      <c r="K253" s="6"/>
    </row>
    <row r="254" spans="5:11" s="2" customFormat="1" x14ac:dyDescent="0.25">
      <c r="E254" s="6"/>
      <c r="K254" s="6"/>
    </row>
    <row r="255" spans="5:11" s="2" customFormat="1" x14ac:dyDescent="0.25">
      <c r="E255" s="6"/>
      <c r="K255" s="6"/>
    </row>
    <row r="256" spans="5:11" s="2" customFormat="1" x14ac:dyDescent="0.25">
      <c r="E256" s="6"/>
      <c r="K256" s="6"/>
    </row>
    <row r="257" spans="5:11" s="2" customFormat="1" x14ac:dyDescent="0.25">
      <c r="E257" s="6"/>
      <c r="K257" s="6"/>
    </row>
    <row r="258" spans="5:11" s="2" customFormat="1" x14ac:dyDescent="0.25">
      <c r="E258" s="6"/>
      <c r="K258" s="6"/>
    </row>
    <row r="259" spans="5:11" s="2" customFormat="1" x14ac:dyDescent="0.25">
      <c r="E259" s="6"/>
      <c r="K259" s="6"/>
    </row>
    <row r="260" spans="5:11" s="2" customFormat="1" x14ac:dyDescent="0.25">
      <c r="E260" s="6"/>
      <c r="K260" s="6"/>
    </row>
  </sheetData>
  <mergeCells count="4">
    <mergeCell ref="B5:K5"/>
    <mergeCell ref="B29:K29"/>
    <mergeCell ref="B6:F6"/>
    <mergeCell ref="G6:K6"/>
  </mergeCells>
  <pageMargins left="0.511811024" right="0.511811024" top="0.78740157499999996" bottom="0.78740157499999996" header="0.31496062000000002" footer="0.31496062000000002"/>
  <pageSetup paperSize="9" scale="6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X35"/>
  <sheetViews>
    <sheetView view="pageBreakPreview" zoomScale="60" zoomScaleNormal="70" workbookViewId="0">
      <selection activeCell="A4" sqref="A4"/>
    </sheetView>
  </sheetViews>
  <sheetFormatPr defaultRowHeight="15" outlineLevelRow="1" x14ac:dyDescent="0.25"/>
  <cols>
    <col min="1" max="1" width="2.5703125" style="11" customWidth="1"/>
    <col min="2" max="2" width="54.140625" style="7" customWidth="1"/>
    <col min="3" max="3" width="1.140625" style="11" customWidth="1"/>
    <col min="4" max="4" width="12.42578125" style="7" bestFit="1" customWidth="1"/>
    <col min="5" max="5" width="12.28515625" style="7" bestFit="1" customWidth="1"/>
    <col min="6" max="6" width="1.140625" style="12" customWidth="1"/>
    <col min="7" max="7" width="15.85546875" style="7" bestFit="1" customWidth="1"/>
    <col min="8" max="8" width="12" style="7" bestFit="1" customWidth="1"/>
    <col min="9" max="9" width="1.140625" style="11" customWidth="1"/>
    <col min="10" max="10" width="10.28515625" style="7" bestFit="1" customWidth="1"/>
    <col min="11" max="11" width="10.140625" style="7" bestFit="1" customWidth="1"/>
    <col min="12" max="12" width="1.140625" style="12" customWidth="1"/>
    <col min="13" max="13" width="11.28515625" style="7" bestFit="1" customWidth="1"/>
    <col min="14" max="14" width="12.140625" style="7" bestFit="1" customWidth="1"/>
    <col min="15" max="15" width="1.140625" style="11" customWidth="1"/>
    <col min="16" max="16" width="11.28515625" style="7" bestFit="1" customWidth="1"/>
    <col min="17" max="17" width="12.140625" style="7" bestFit="1" customWidth="1"/>
    <col min="18" max="18" width="1.140625" style="11" customWidth="1"/>
    <col min="19" max="20" width="11.28515625" style="7" bestFit="1" customWidth="1"/>
    <col min="21" max="21" width="1.140625" style="11" customWidth="1"/>
    <col min="22" max="23" width="11.28515625" style="7" bestFit="1" customWidth="1"/>
    <col min="24" max="24" width="1.140625" style="11" customWidth="1"/>
    <col min="25" max="26" width="13.42578125" style="7" customWidth="1"/>
    <col min="27" max="27" width="14.28515625" style="7" customWidth="1"/>
    <col min="28" max="28" width="13.42578125" style="7" customWidth="1"/>
    <col min="29" max="29" width="1.140625" style="11" customWidth="1"/>
    <col min="30" max="30" width="10.5703125" style="7" customWidth="1"/>
    <col min="31" max="31" width="9.28515625" style="7" customWidth="1"/>
    <col min="32" max="32" width="1.140625" style="12" customWidth="1"/>
    <col min="33" max="34" width="12.5703125" style="7" customWidth="1"/>
    <col min="35" max="35" width="1.140625" style="12" customWidth="1"/>
    <col min="36" max="36" width="11.28515625" style="7" bestFit="1" customWidth="1"/>
    <col min="37" max="37" width="12.5703125" style="7" bestFit="1" customWidth="1"/>
    <col min="38" max="38" width="1.140625" style="11" customWidth="1"/>
    <col min="39" max="39" width="11.28515625" style="7" bestFit="1" customWidth="1"/>
    <col min="40" max="40" width="12" style="7" bestFit="1" customWidth="1"/>
    <col min="41" max="41" width="1.140625" style="11" customWidth="1"/>
    <col min="42" max="42" width="9.5703125" style="7" bestFit="1" customWidth="1"/>
    <col min="43" max="43" width="10.7109375" style="7" bestFit="1" customWidth="1"/>
    <col min="44" max="44" width="1.140625" style="11" customWidth="1"/>
    <col min="45" max="45" width="9.5703125" style="7" bestFit="1" customWidth="1"/>
    <col min="46" max="46" width="11.5703125" style="7" customWidth="1"/>
    <col min="47" max="47" width="1.140625" style="11" customWidth="1"/>
    <col min="48" max="48" width="9.5703125" style="7" bestFit="1" customWidth="1"/>
    <col min="49" max="49" width="12.28515625" style="7" customWidth="1"/>
    <col min="50" max="50" width="1.140625" style="11" customWidth="1"/>
    <col min="51" max="51" width="9.5703125" style="7" bestFit="1" customWidth="1"/>
    <col min="52" max="52" width="11.140625" style="7" bestFit="1" customWidth="1"/>
    <col min="53" max="53" width="1.140625" style="11" customWidth="1"/>
    <col min="54" max="54" width="9.5703125" style="7" bestFit="1" customWidth="1"/>
    <col min="55" max="55" width="12" style="7" bestFit="1" customWidth="1"/>
    <col min="56" max="56" width="1.140625" style="11" customWidth="1"/>
    <col min="57" max="57" width="18.42578125" style="7" bestFit="1" customWidth="1"/>
    <col min="58" max="58" width="1.140625" style="12" customWidth="1"/>
    <col min="59" max="59" width="1.7109375" style="20" customWidth="1"/>
    <col min="60" max="60" width="1.140625" style="12" customWidth="1"/>
    <col min="61" max="61" width="9.28515625" style="7" bestFit="1" customWidth="1"/>
    <col min="62" max="62" width="13.140625" style="7" bestFit="1" customWidth="1"/>
    <col min="63" max="63" width="1.140625" style="12" customWidth="1"/>
    <col min="64" max="64" width="11.42578125" style="7" bestFit="1" customWidth="1"/>
    <col min="65" max="65" width="11.28515625" style="7" bestFit="1" customWidth="1"/>
    <col min="66" max="66" width="1.140625" style="11" customWidth="1"/>
    <col min="67" max="68" width="13.7109375" style="7" customWidth="1"/>
    <col min="69" max="69" width="1.140625" style="11" customWidth="1"/>
    <col min="70" max="70" width="10.42578125" style="7" customWidth="1"/>
    <col min="71" max="71" width="9.28515625" style="7" bestFit="1" customWidth="1"/>
    <col min="72" max="72" width="1.140625" style="11" customWidth="1"/>
    <col min="73" max="73" width="14.140625" style="7" customWidth="1"/>
    <col min="74" max="74" width="9.28515625" style="7" bestFit="1" customWidth="1"/>
    <col min="75" max="75" width="1.140625" style="11" customWidth="1"/>
    <col min="76" max="77" width="9.28515625" style="7" bestFit="1" customWidth="1"/>
    <col min="78" max="78" width="1.140625" style="11" customWidth="1"/>
    <col min="79" max="79" width="15.85546875" style="7" bestFit="1" customWidth="1"/>
    <col min="80" max="80" width="13.140625" style="7" bestFit="1" customWidth="1"/>
    <col min="81" max="102" width="9.140625" style="11"/>
    <col min="103" max="16384" width="9.140625" style="7"/>
  </cols>
  <sheetData>
    <row r="1" spans="1:102" s="14" customFormat="1" x14ac:dyDescent="0.25">
      <c r="A1" s="17"/>
      <c r="B1" s="13" t="s">
        <v>21</v>
      </c>
      <c r="C1" s="17"/>
      <c r="D1" s="41" t="s">
        <v>0</v>
      </c>
      <c r="E1" s="41"/>
      <c r="F1" s="28"/>
      <c r="G1" s="41" t="s">
        <v>1</v>
      </c>
      <c r="H1" s="41"/>
      <c r="I1" s="28"/>
      <c r="J1" s="41" t="s">
        <v>29</v>
      </c>
      <c r="K1" s="41"/>
      <c r="L1" s="28"/>
      <c r="M1" s="41" t="s">
        <v>2</v>
      </c>
      <c r="N1" s="41"/>
      <c r="O1" s="28"/>
      <c r="P1" s="41" t="s">
        <v>40</v>
      </c>
      <c r="Q1" s="41"/>
      <c r="R1" s="28"/>
      <c r="S1" s="41" t="s">
        <v>31</v>
      </c>
      <c r="T1" s="41"/>
      <c r="U1" s="28"/>
      <c r="V1" s="41" t="s">
        <v>24</v>
      </c>
      <c r="W1" s="41"/>
      <c r="X1" s="28"/>
      <c r="Y1" s="41" t="s">
        <v>68</v>
      </c>
      <c r="Z1" s="41"/>
      <c r="AA1" s="41" t="s">
        <v>3</v>
      </c>
      <c r="AB1" s="41"/>
      <c r="AC1" s="28"/>
      <c r="AD1" s="41" t="s">
        <v>69</v>
      </c>
      <c r="AE1" s="41"/>
      <c r="AF1" s="29"/>
      <c r="AG1" s="41" t="s">
        <v>41</v>
      </c>
      <c r="AH1" s="41"/>
      <c r="AI1" s="29"/>
      <c r="AJ1" s="41" t="s">
        <v>4</v>
      </c>
      <c r="AK1" s="41"/>
      <c r="AL1" s="28"/>
      <c r="AM1" s="41" t="s">
        <v>29</v>
      </c>
      <c r="AN1" s="41"/>
      <c r="AO1" s="28"/>
      <c r="AP1" s="41" t="s">
        <v>7</v>
      </c>
      <c r="AQ1" s="41"/>
      <c r="AR1" s="28"/>
      <c r="AS1" s="41" t="s">
        <v>42</v>
      </c>
      <c r="AT1" s="41"/>
      <c r="AU1" s="28"/>
      <c r="AV1" s="41" t="s">
        <v>26</v>
      </c>
      <c r="AW1" s="41"/>
      <c r="AX1" s="28"/>
      <c r="AY1" s="41" t="s">
        <v>10</v>
      </c>
      <c r="AZ1" s="41"/>
      <c r="BA1" s="28"/>
      <c r="BB1" s="41" t="s">
        <v>43</v>
      </c>
      <c r="BC1" s="41"/>
      <c r="BD1" s="28"/>
      <c r="BE1" s="22" t="s">
        <v>44</v>
      </c>
      <c r="BF1" s="29"/>
      <c r="BG1" s="19"/>
      <c r="BH1" s="29"/>
      <c r="BI1" s="41" t="s">
        <v>5</v>
      </c>
      <c r="BJ1" s="41"/>
      <c r="BK1" s="29"/>
      <c r="BL1" s="41" t="s">
        <v>6</v>
      </c>
      <c r="BM1" s="41"/>
      <c r="BN1" s="17"/>
      <c r="BO1" s="41" t="s">
        <v>28</v>
      </c>
      <c r="BP1" s="41"/>
      <c r="BQ1" s="28"/>
      <c r="BR1" s="41" t="s">
        <v>35</v>
      </c>
      <c r="BS1" s="41"/>
      <c r="BT1" s="17"/>
      <c r="BU1" s="41" t="s">
        <v>46</v>
      </c>
      <c r="BV1" s="41"/>
      <c r="BW1" s="17"/>
      <c r="BX1" s="41" t="s">
        <v>47</v>
      </c>
      <c r="BY1" s="41"/>
      <c r="BZ1" s="17"/>
      <c r="CA1" s="41" t="s">
        <v>8</v>
      </c>
      <c r="CB1" s="41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</row>
    <row r="2" spans="1:102" outlineLevel="1" x14ac:dyDescent="0.25">
      <c r="B2" s="7" t="s">
        <v>9</v>
      </c>
      <c r="D2" s="7">
        <v>100000</v>
      </c>
      <c r="G2" s="7">
        <v>650000</v>
      </c>
      <c r="J2" s="7">
        <v>0</v>
      </c>
      <c r="M2" s="7">
        <v>40000</v>
      </c>
      <c r="S2" s="7">
        <v>0</v>
      </c>
      <c r="Y2" s="7">
        <v>60000</v>
      </c>
      <c r="AA2" s="7">
        <v>500000</v>
      </c>
      <c r="AD2" s="7">
        <v>50000</v>
      </c>
      <c r="AH2" s="7">
        <v>0</v>
      </c>
      <c r="AK2" s="7">
        <f>-180000</f>
        <v>-180000</v>
      </c>
      <c r="AN2" s="7">
        <v>0</v>
      </c>
      <c r="AO2" s="11">
        <v>0</v>
      </c>
      <c r="AQ2" s="7">
        <v>0</v>
      </c>
      <c r="AT2" s="7">
        <v>0</v>
      </c>
      <c r="AX2" s="11">
        <v>0</v>
      </c>
      <c r="AZ2" s="7">
        <f>-320000</f>
        <v>-320000</v>
      </c>
      <c r="BA2" s="11">
        <v>0</v>
      </c>
      <c r="BC2" s="7">
        <f>-600000</f>
        <v>-600000</v>
      </c>
      <c r="BE2" s="7">
        <f>-300000</f>
        <v>-300000</v>
      </c>
      <c r="BI2" s="7">
        <v>0</v>
      </c>
      <c r="BJ2" s="7">
        <f>-700000</f>
        <v>-700000</v>
      </c>
      <c r="BL2" s="7">
        <v>195000</v>
      </c>
      <c r="BO2" s="7">
        <v>180000</v>
      </c>
      <c r="BR2" s="7">
        <v>20000</v>
      </c>
      <c r="BX2" s="7">
        <v>5000</v>
      </c>
      <c r="CA2" s="7">
        <v>0</v>
      </c>
      <c r="CB2" s="7">
        <v>0</v>
      </c>
    </row>
    <row r="3" spans="1:102" outlineLevel="1" x14ac:dyDescent="0.25">
      <c r="A3" s="17" t="s">
        <v>66</v>
      </c>
      <c r="BE3" s="7">
        <f t="shared" ref="BE3" si="0">CB3+CA3</f>
        <v>0</v>
      </c>
      <c r="CA3" s="7">
        <f t="shared" ref="CA3:CB8" si="1">BI3+BL3+BO3+BR3+BU3+BX3</f>
        <v>0</v>
      </c>
      <c r="CB3" s="7">
        <f t="shared" si="1"/>
        <v>0</v>
      </c>
    </row>
    <row r="4" spans="1:102" outlineLevel="1" x14ac:dyDescent="0.25">
      <c r="A4" s="27"/>
      <c r="B4" s="7" t="s">
        <v>14</v>
      </c>
      <c r="D4" s="7">
        <v>800000</v>
      </c>
      <c r="N4" s="7">
        <f>-440000</f>
        <v>-440000</v>
      </c>
      <c r="BE4" s="7">
        <f t="shared" ref="BE4:BE23" si="2">CB4+CA4</f>
        <v>-360000</v>
      </c>
      <c r="BJ4" s="7">
        <f>-800000</f>
        <v>-800000</v>
      </c>
      <c r="BL4" s="7">
        <v>440000</v>
      </c>
      <c r="CA4" s="7">
        <f t="shared" si="1"/>
        <v>440000</v>
      </c>
      <c r="CB4" s="7">
        <f t="shared" si="1"/>
        <v>-800000</v>
      </c>
    </row>
    <row r="5" spans="1:102" outlineLevel="1" x14ac:dyDescent="0.25">
      <c r="A5" s="27"/>
      <c r="B5" s="7" t="s">
        <v>51</v>
      </c>
      <c r="M5" s="7">
        <v>750000</v>
      </c>
      <c r="AK5" s="7">
        <f>-750000</f>
        <v>-750000</v>
      </c>
      <c r="BE5" s="7">
        <f t="shared" si="2"/>
        <v>0</v>
      </c>
      <c r="CA5" s="7">
        <f t="shared" si="1"/>
        <v>0</v>
      </c>
      <c r="CB5" s="7">
        <f t="shared" si="1"/>
        <v>0</v>
      </c>
    </row>
    <row r="6" spans="1:102" outlineLevel="1" x14ac:dyDescent="0.25">
      <c r="A6" s="27"/>
      <c r="B6" s="7" t="s">
        <v>49</v>
      </c>
      <c r="D6" s="7">
        <v>2000000</v>
      </c>
      <c r="AH6" s="7">
        <f>-2000000</f>
        <v>-2000000</v>
      </c>
      <c r="BE6" s="7">
        <f t="shared" si="2"/>
        <v>0</v>
      </c>
      <c r="CA6" s="7">
        <f t="shared" si="1"/>
        <v>0</v>
      </c>
      <c r="CB6" s="7">
        <f t="shared" si="1"/>
        <v>0</v>
      </c>
    </row>
    <row r="7" spans="1:102" outlineLevel="1" x14ac:dyDescent="0.25">
      <c r="A7" s="27"/>
      <c r="B7" s="7" t="s">
        <v>50</v>
      </c>
      <c r="J7" s="7">
        <v>135000</v>
      </c>
      <c r="BE7" s="7">
        <f t="shared" si="2"/>
        <v>-135000</v>
      </c>
      <c r="BJ7" s="7">
        <f>-135000</f>
        <v>-135000</v>
      </c>
      <c r="CA7" s="7">
        <f t="shared" si="1"/>
        <v>0</v>
      </c>
      <c r="CB7" s="7">
        <f t="shared" si="1"/>
        <v>-135000</v>
      </c>
    </row>
    <row r="8" spans="1:102" outlineLevel="1" x14ac:dyDescent="0.25">
      <c r="A8" s="27"/>
      <c r="B8" s="7" t="s">
        <v>52</v>
      </c>
      <c r="AA8" s="7">
        <v>190500</v>
      </c>
      <c r="AK8" s="7">
        <f>-190500</f>
        <v>-190500</v>
      </c>
      <c r="BE8" s="7">
        <f t="shared" si="2"/>
        <v>0</v>
      </c>
      <c r="CA8" s="7">
        <f t="shared" si="1"/>
        <v>0</v>
      </c>
      <c r="CB8" s="7">
        <f t="shared" si="1"/>
        <v>0</v>
      </c>
    </row>
    <row r="9" spans="1:102" outlineLevel="1" x14ac:dyDescent="0.25">
      <c r="A9" s="27"/>
      <c r="B9" s="7" t="s">
        <v>25</v>
      </c>
      <c r="AA9" s="7">
        <v>220000</v>
      </c>
      <c r="AH9" s="7">
        <v>-220000</v>
      </c>
      <c r="BE9" s="7">
        <f t="shared" si="2"/>
        <v>0</v>
      </c>
      <c r="CA9" s="7">
        <f t="shared" ref="CA9:CA24" si="3">BI9+BL9+BO9+BR9+BU9+BX9</f>
        <v>0</v>
      </c>
      <c r="CB9" s="7">
        <f t="shared" ref="CB9:CB24" si="4">BJ9+BM9+BP9+BS9+BV9+BY9</f>
        <v>0</v>
      </c>
    </row>
    <row r="10" spans="1:102" outlineLevel="1" x14ac:dyDescent="0.25">
      <c r="A10" s="27"/>
      <c r="B10" s="7" t="s">
        <v>53</v>
      </c>
      <c r="E10" s="7">
        <f>-22000</f>
        <v>-22000</v>
      </c>
      <c r="AD10" s="7">
        <v>22000</v>
      </c>
      <c r="BE10" s="7">
        <f t="shared" si="2"/>
        <v>0</v>
      </c>
      <c r="CA10" s="7">
        <f t="shared" si="3"/>
        <v>0</v>
      </c>
      <c r="CB10" s="7">
        <f t="shared" si="4"/>
        <v>0</v>
      </c>
    </row>
    <row r="11" spans="1:102" outlineLevel="1" x14ac:dyDescent="0.25">
      <c r="A11" s="27"/>
      <c r="B11" s="7" t="s">
        <v>48</v>
      </c>
      <c r="G11" s="7">
        <v>530400</v>
      </c>
      <c r="BE11" s="7">
        <f t="shared" si="2"/>
        <v>-530400</v>
      </c>
      <c r="BJ11" s="7">
        <f>-530400</f>
        <v>-530400</v>
      </c>
      <c r="CA11" s="7">
        <f t="shared" si="3"/>
        <v>0</v>
      </c>
      <c r="CB11" s="7">
        <f t="shared" si="4"/>
        <v>-530400</v>
      </c>
    </row>
    <row r="12" spans="1:102" outlineLevel="1" x14ac:dyDescent="0.25">
      <c r="A12" s="27"/>
      <c r="B12" s="7" t="s">
        <v>54</v>
      </c>
      <c r="M12" s="7">
        <v>175200</v>
      </c>
      <c r="AK12" s="7">
        <f>-175200</f>
        <v>-175200</v>
      </c>
      <c r="BE12" s="7">
        <f t="shared" si="2"/>
        <v>0</v>
      </c>
      <c r="CA12" s="7">
        <f t="shared" si="3"/>
        <v>0</v>
      </c>
      <c r="CB12" s="7">
        <f t="shared" si="4"/>
        <v>0</v>
      </c>
    </row>
    <row r="13" spans="1:102" outlineLevel="1" x14ac:dyDescent="0.25">
      <c r="A13" s="27"/>
      <c r="B13" s="7" t="s">
        <v>58</v>
      </c>
      <c r="G13" s="7">
        <v>350000</v>
      </c>
      <c r="N13" s="7">
        <f>-200000</f>
        <v>-200000</v>
      </c>
      <c r="BE13" s="7">
        <f t="shared" si="2"/>
        <v>-150000</v>
      </c>
      <c r="BJ13" s="7">
        <f>-350000</f>
        <v>-350000</v>
      </c>
      <c r="BL13" s="7">
        <v>200000</v>
      </c>
      <c r="CA13" s="7">
        <f t="shared" si="3"/>
        <v>200000</v>
      </c>
      <c r="CB13" s="7">
        <f t="shared" si="4"/>
        <v>-350000</v>
      </c>
    </row>
    <row r="14" spans="1:102" outlineLevel="1" x14ac:dyDescent="0.25">
      <c r="A14" s="27"/>
      <c r="B14" s="7" t="s">
        <v>65</v>
      </c>
      <c r="D14" s="7">
        <v>200000</v>
      </c>
      <c r="AT14" s="7">
        <f>-200000</f>
        <v>-200000</v>
      </c>
      <c r="BE14" s="7">
        <f t="shared" si="2"/>
        <v>0</v>
      </c>
      <c r="CA14" s="7">
        <f t="shared" si="3"/>
        <v>0</v>
      </c>
      <c r="CB14" s="7">
        <f t="shared" si="4"/>
        <v>0</v>
      </c>
    </row>
    <row r="15" spans="1:102" outlineLevel="1" x14ac:dyDescent="0.25">
      <c r="A15" s="17" t="s">
        <v>67</v>
      </c>
      <c r="BE15" s="7">
        <f t="shared" si="2"/>
        <v>0</v>
      </c>
      <c r="CA15" s="7">
        <f t="shared" si="3"/>
        <v>0</v>
      </c>
      <c r="CB15" s="7">
        <f t="shared" si="4"/>
        <v>0</v>
      </c>
    </row>
    <row r="16" spans="1:102" outlineLevel="1" x14ac:dyDescent="0.25">
      <c r="A16" s="27"/>
      <c r="B16" s="7" t="s">
        <v>61</v>
      </c>
      <c r="H16" s="7">
        <f>-37812</f>
        <v>-37812</v>
      </c>
      <c r="BE16" s="7">
        <f t="shared" si="2"/>
        <v>37812</v>
      </c>
      <c r="BO16" s="7">
        <f>H16*-1</f>
        <v>37812</v>
      </c>
      <c r="CA16" s="7">
        <f t="shared" si="3"/>
        <v>37812</v>
      </c>
      <c r="CB16" s="7">
        <f t="shared" si="4"/>
        <v>0</v>
      </c>
    </row>
    <row r="17" spans="1:80" outlineLevel="1" x14ac:dyDescent="0.25">
      <c r="A17" s="27"/>
      <c r="B17" s="7" t="s">
        <v>62</v>
      </c>
      <c r="N17" s="7">
        <f>-34504</f>
        <v>-34504</v>
      </c>
      <c r="BE17" s="7">
        <f t="shared" si="2"/>
        <v>34504</v>
      </c>
      <c r="BO17" s="7">
        <f>N17*-1</f>
        <v>34504</v>
      </c>
      <c r="CA17" s="7">
        <f t="shared" si="3"/>
        <v>34504</v>
      </c>
      <c r="CB17" s="7">
        <f t="shared" si="4"/>
        <v>0</v>
      </c>
    </row>
    <row r="18" spans="1:80" outlineLevel="1" x14ac:dyDescent="0.25">
      <c r="A18" s="27"/>
      <c r="B18" s="7" t="s">
        <v>60</v>
      </c>
      <c r="AB18" s="7">
        <f>-111050</f>
        <v>-111050</v>
      </c>
      <c r="BE18" s="7">
        <f t="shared" si="2"/>
        <v>111050</v>
      </c>
      <c r="BO18" s="7">
        <f>AB18*-1</f>
        <v>111050</v>
      </c>
      <c r="CA18" s="7">
        <f t="shared" si="3"/>
        <v>111050</v>
      </c>
      <c r="CB18" s="7">
        <f t="shared" si="4"/>
        <v>0</v>
      </c>
    </row>
    <row r="19" spans="1:80" outlineLevel="1" x14ac:dyDescent="0.25">
      <c r="B19" s="7" t="s">
        <v>63</v>
      </c>
      <c r="AE19" s="7">
        <f>(AD25*10%)*-1</f>
        <v>-7200</v>
      </c>
      <c r="BE19" s="7">
        <f t="shared" si="2"/>
        <v>7200</v>
      </c>
      <c r="BO19" s="7">
        <f>AE19*-1</f>
        <v>7200</v>
      </c>
      <c r="CA19" s="7">
        <f t="shared" si="3"/>
        <v>7200</v>
      </c>
      <c r="CB19" s="7">
        <f t="shared" si="4"/>
        <v>0</v>
      </c>
    </row>
    <row r="20" spans="1:80" outlineLevel="1" x14ac:dyDescent="0.25">
      <c r="A20" s="27"/>
      <c r="B20" s="7" t="s">
        <v>64</v>
      </c>
      <c r="AA20" s="7">
        <v>50000</v>
      </c>
      <c r="AH20" s="7">
        <f>-50000</f>
        <v>-50000</v>
      </c>
      <c r="BE20" s="7">
        <f t="shared" si="2"/>
        <v>0</v>
      </c>
      <c r="CA20" s="7">
        <f t="shared" si="3"/>
        <v>0</v>
      </c>
      <c r="CB20" s="7">
        <f t="shared" si="4"/>
        <v>0</v>
      </c>
    </row>
    <row r="21" spans="1:80" outlineLevel="1" x14ac:dyDescent="0.25">
      <c r="A21" s="27"/>
      <c r="B21" s="7" t="s">
        <v>59</v>
      </c>
      <c r="AQ21" s="7">
        <f>-133400</f>
        <v>-133400</v>
      </c>
      <c r="BE21" s="7">
        <f t="shared" si="2"/>
        <v>133400</v>
      </c>
      <c r="BO21" s="7">
        <v>133400</v>
      </c>
      <c r="CA21" s="7">
        <f t="shared" si="3"/>
        <v>133400</v>
      </c>
      <c r="CB21" s="7">
        <f t="shared" si="4"/>
        <v>0</v>
      </c>
    </row>
    <row r="22" spans="1:80" outlineLevel="1" x14ac:dyDescent="0.25">
      <c r="A22" s="27"/>
      <c r="B22" s="7" t="s">
        <v>55</v>
      </c>
      <c r="AK22" s="7">
        <f>-22000</f>
        <v>-22000</v>
      </c>
      <c r="BE22" s="7">
        <f t="shared" si="2"/>
        <v>22000</v>
      </c>
      <c r="BO22" s="7">
        <v>22000</v>
      </c>
      <c r="CA22" s="7">
        <f t="shared" si="3"/>
        <v>22000</v>
      </c>
      <c r="CB22" s="7">
        <f t="shared" si="4"/>
        <v>0</v>
      </c>
    </row>
    <row r="23" spans="1:80" outlineLevel="1" x14ac:dyDescent="0.25">
      <c r="A23" s="27"/>
      <c r="B23" s="7" t="s">
        <v>56</v>
      </c>
      <c r="AK23" s="7">
        <f>-15000</f>
        <v>-15000</v>
      </c>
      <c r="BE23" s="7">
        <f t="shared" si="2"/>
        <v>15000</v>
      </c>
      <c r="BO23" s="7">
        <v>15000</v>
      </c>
      <c r="CA23" s="7">
        <f t="shared" si="3"/>
        <v>15000</v>
      </c>
      <c r="CB23" s="7">
        <f t="shared" si="4"/>
        <v>0</v>
      </c>
    </row>
    <row r="24" spans="1:80" outlineLevel="1" x14ac:dyDescent="0.25">
      <c r="A24" s="27"/>
      <c r="B24" s="7" t="s">
        <v>57</v>
      </c>
      <c r="E24" s="7">
        <f>-77000</f>
        <v>-77000</v>
      </c>
      <c r="BE24" s="7">
        <f>CB24+CA24</f>
        <v>77000</v>
      </c>
      <c r="BR24" s="7">
        <v>77000</v>
      </c>
      <c r="CA24" s="7">
        <f t="shared" si="3"/>
        <v>77000</v>
      </c>
      <c r="CB24" s="7">
        <f t="shared" si="4"/>
        <v>0</v>
      </c>
    </row>
    <row r="25" spans="1:80" x14ac:dyDescent="0.25">
      <c r="D25" s="16">
        <f>SUM(D2:D24)</f>
        <v>3100000</v>
      </c>
      <c r="E25" s="16">
        <f>SUM(E2:E24)</f>
        <v>-99000</v>
      </c>
      <c r="F25" s="11"/>
      <c r="G25" s="16">
        <f>SUM(G2:G24)</f>
        <v>1530400</v>
      </c>
      <c r="H25" s="16">
        <f>SUM(H2:H24)</f>
        <v>-37812</v>
      </c>
      <c r="J25" s="16">
        <f>SUM(J2:J24)</f>
        <v>135000</v>
      </c>
      <c r="K25" s="16">
        <f>SUM(K2:K24)</f>
        <v>0</v>
      </c>
      <c r="L25" s="11"/>
      <c r="M25" s="16">
        <f>SUM(M2:M24)</f>
        <v>965200</v>
      </c>
      <c r="N25" s="16">
        <f>SUM(N2:N24)</f>
        <v>-674504</v>
      </c>
      <c r="P25" s="16">
        <f>SUM(P2:P24)</f>
        <v>0</v>
      </c>
      <c r="Q25" s="16">
        <f>SUM(Q2:Q24)</f>
        <v>0</v>
      </c>
      <c r="S25" s="16">
        <f>SUM(S2:S24)</f>
        <v>0</v>
      </c>
      <c r="T25" s="16">
        <f>SUM(T2:T24)</f>
        <v>0</v>
      </c>
      <c r="V25" s="16">
        <f>SUM(V2:V24)</f>
        <v>0</v>
      </c>
      <c r="W25" s="16">
        <f>SUM(W2:W24)</f>
        <v>0</v>
      </c>
      <c r="Y25" s="16">
        <f>SUM(Y2:Y24)</f>
        <v>60000</v>
      </c>
      <c r="Z25" s="16">
        <f>SUM(Z2:Z24)</f>
        <v>0</v>
      </c>
      <c r="AA25" s="16">
        <f>SUM(AA2:AA24)</f>
        <v>960500</v>
      </c>
      <c r="AB25" s="16">
        <f>SUM(AB2:AB24)</f>
        <v>-111050</v>
      </c>
      <c r="AD25" s="16">
        <f>SUM(AD2:AD24)</f>
        <v>72000</v>
      </c>
      <c r="AE25" s="16">
        <f>SUM(AE2:AE24)</f>
        <v>-7200</v>
      </c>
      <c r="AF25" s="11"/>
      <c r="AG25" s="16">
        <f>SUM(AG2:AG24)</f>
        <v>0</v>
      </c>
      <c r="AH25" s="16">
        <f>SUM(AH2:AH24)</f>
        <v>-2270000</v>
      </c>
      <c r="AI25" s="11"/>
      <c r="AJ25" s="16">
        <f>SUM(AJ2:AJ24)</f>
        <v>0</v>
      </c>
      <c r="AK25" s="16">
        <f>SUM(AK2:AK24)</f>
        <v>-1332700</v>
      </c>
      <c r="AM25" s="16">
        <f>SUM(AM2:AM24)</f>
        <v>0</v>
      </c>
      <c r="AN25" s="16">
        <f>SUM(AN2:AN24)</f>
        <v>0</v>
      </c>
      <c r="AP25" s="16">
        <f>SUM(AP2:AP24)</f>
        <v>0</v>
      </c>
      <c r="AQ25" s="16">
        <f>SUM(AQ2:AQ24)</f>
        <v>-133400</v>
      </c>
      <c r="AS25" s="16">
        <f>SUM(AS2:AS24)</f>
        <v>0</v>
      </c>
      <c r="AT25" s="16">
        <f>SUM(AT2:AT24)</f>
        <v>-200000</v>
      </c>
      <c r="AV25" s="16">
        <f>SUM(AV2:AV24)</f>
        <v>0</v>
      </c>
      <c r="AW25" s="16">
        <f>SUM(AW2:AW24)</f>
        <v>0</v>
      </c>
      <c r="AY25" s="16">
        <f>SUM(AY2:AY24)</f>
        <v>0</v>
      </c>
      <c r="AZ25" s="16">
        <f>SUM(AZ2:AZ24)</f>
        <v>-320000</v>
      </c>
      <c r="BB25" s="16">
        <f>SUM(BB2:BB24)</f>
        <v>0</v>
      </c>
      <c r="BC25" s="16">
        <f>SUM(BC2:BC24)</f>
        <v>-600000</v>
      </c>
      <c r="BE25" s="16">
        <f>SUM(BE2:BE24)</f>
        <v>-1037434</v>
      </c>
      <c r="BF25" s="11">
        <f>SUM(BF2:BF24)</f>
        <v>0</v>
      </c>
      <c r="BG25" s="21"/>
      <c r="BH25" s="11"/>
      <c r="BI25" s="16">
        <f>SUM(BI3:BI24)</f>
        <v>0</v>
      </c>
      <c r="BJ25" s="16">
        <f>SUM(BJ3:BJ24)</f>
        <v>-1815400</v>
      </c>
      <c r="BK25" s="11"/>
      <c r="BL25" s="16">
        <f>SUM(BL3:BL24)</f>
        <v>640000</v>
      </c>
      <c r="BM25" s="16">
        <f>SUM(BM3:BM24)</f>
        <v>0</v>
      </c>
      <c r="BO25" s="16">
        <f>SUM(BO3:BO24)</f>
        <v>360966</v>
      </c>
      <c r="BP25" s="16">
        <f>SUM(BP3:BP24)</f>
        <v>0</v>
      </c>
      <c r="BR25" s="16">
        <f>SUM(BR3:BR24)</f>
        <v>77000</v>
      </c>
      <c r="BS25" s="16">
        <f>SUM(BS3:BS24)</f>
        <v>0</v>
      </c>
      <c r="BU25" s="16">
        <f>SUM(BU3:BU24)</f>
        <v>0</v>
      </c>
      <c r="BV25" s="16">
        <f>SUM(BV3:BV24)</f>
        <v>0</v>
      </c>
      <c r="BX25" s="16">
        <f>SUM(BX3:BX24)</f>
        <v>0</v>
      </c>
      <c r="BY25" s="16">
        <f>SUM(BY3:BY24)</f>
        <v>0</v>
      </c>
      <c r="CA25" s="16">
        <f>SUM(CA3:CA24)</f>
        <v>1077966</v>
      </c>
      <c r="CB25" s="16">
        <f>SUM(CB3:CB24)</f>
        <v>-1815400</v>
      </c>
    </row>
    <row r="26" spans="1:80" x14ac:dyDescent="0.25">
      <c r="D26" s="15"/>
      <c r="E26" s="15">
        <f>D25+E25</f>
        <v>3001000</v>
      </c>
      <c r="F26" s="11"/>
      <c r="G26" s="15"/>
      <c r="H26" s="15">
        <f>G25+H25</f>
        <v>1492588</v>
      </c>
      <c r="J26" s="15"/>
      <c r="K26" s="15">
        <f>J25+K25</f>
        <v>135000</v>
      </c>
      <c r="L26" s="11"/>
      <c r="M26" s="15"/>
      <c r="N26" s="15">
        <f>M25+N25</f>
        <v>290696</v>
      </c>
      <c r="P26" s="15"/>
      <c r="Q26" s="15">
        <f>P25+Q25</f>
        <v>0</v>
      </c>
      <c r="S26" s="15"/>
      <c r="T26" s="15">
        <f>S25+T25</f>
        <v>0</v>
      </c>
      <c r="V26" s="15"/>
      <c r="W26" s="15">
        <f>V25+W25</f>
        <v>0</v>
      </c>
      <c r="Y26" s="15"/>
      <c r="Z26" s="15">
        <f>Y25+Z25</f>
        <v>60000</v>
      </c>
      <c r="AA26" s="15"/>
      <c r="AB26" s="15">
        <f>AA25+AB25</f>
        <v>849450</v>
      </c>
      <c r="AD26" s="15"/>
      <c r="AE26" s="15">
        <f>AD25+AE25</f>
        <v>64800</v>
      </c>
      <c r="AF26" s="11"/>
      <c r="AG26" s="15"/>
      <c r="AH26" s="15">
        <f>AG25+AH25</f>
        <v>-2270000</v>
      </c>
      <c r="AI26" s="11"/>
      <c r="AJ26" s="15"/>
      <c r="AK26" s="15">
        <f>AJ25+AK25</f>
        <v>-1332700</v>
      </c>
      <c r="AM26" s="15"/>
      <c r="AN26" s="15">
        <f>AM25+AN25</f>
        <v>0</v>
      </c>
      <c r="AP26" s="15"/>
      <c r="AQ26" s="15">
        <f>AP25+AQ25</f>
        <v>-133400</v>
      </c>
      <c r="AS26" s="15"/>
      <c r="AT26" s="15">
        <f>AS25+AT25</f>
        <v>-200000</v>
      </c>
      <c r="AV26" s="15"/>
      <c r="AW26" s="15">
        <f>AV25+AW25</f>
        <v>0</v>
      </c>
      <c r="AY26" s="15"/>
      <c r="AZ26" s="15">
        <f>AY25+AZ25</f>
        <v>-320000</v>
      </c>
      <c r="BB26" s="15"/>
      <c r="BC26" s="15">
        <f>BB25+BC25</f>
        <v>-600000</v>
      </c>
      <c r="BE26" s="15">
        <f>BD25+BE25</f>
        <v>-1037434</v>
      </c>
      <c r="BF26" s="11">
        <f>BE25+BF25</f>
        <v>-1037434</v>
      </c>
      <c r="BG26" s="21"/>
      <c r="BH26" s="11"/>
      <c r="BI26" s="15"/>
      <c r="BJ26" s="15">
        <f>BI25+BJ25</f>
        <v>-1815400</v>
      </c>
      <c r="BK26" s="11"/>
      <c r="BL26" s="15"/>
      <c r="BM26" s="15">
        <f>BL25+BM25</f>
        <v>640000</v>
      </c>
      <c r="BO26" s="15"/>
      <c r="BP26" s="15">
        <f>BO25+BP25</f>
        <v>360966</v>
      </c>
      <c r="BR26" s="15"/>
      <c r="BS26" s="15">
        <f>BR25+BS25</f>
        <v>77000</v>
      </c>
      <c r="BU26" s="15"/>
      <c r="BV26" s="15">
        <f>BU25+BV25</f>
        <v>0</v>
      </c>
      <c r="BX26" s="15"/>
      <c r="BY26" s="15">
        <f>BX25+BY25</f>
        <v>0</v>
      </c>
      <c r="CA26" s="15"/>
      <c r="CB26" s="15">
        <f>CA25+CB25</f>
        <v>-737434</v>
      </c>
    </row>
    <row r="28" spans="1:80" x14ac:dyDescent="0.25">
      <c r="AG28"/>
    </row>
    <row r="29" spans="1:80" x14ac:dyDescent="0.25">
      <c r="AG29"/>
    </row>
    <row r="30" spans="1:80" x14ac:dyDescent="0.25">
      <c r="AG30"/>
    </row>
    <row r="31" spans="1:80" x14ac:dyDescent="0.25">
      <c r="AG31"/>
    </row>
    <row r="32" spans="1:80" x14ac:dyDescent="0.25">
      <c r="AG32"/>
    </row>
    <row r="33" spans="33:33" x14ac:dyDescent="0.25">
      <c r="AG33"/>
    </row>
    <row r="34" spans="33:33" x14ac:dyDescent="0.25">
      <c r="AG34"/>
    </row>
    <row r="35" spans="33:33" x14ac:dyDescent="0.25">
      <c r="AG35"/>
    </row>
  </sheetData>
  <mergeCells count="25">
    <mergeCell ref="AP1:AQ1"/>
    <mergeCell ref="CA1:CB1"/>
    <mergeCell ref="BB1:BC1"/>
    <mergeCell ref="AY1:AZ1"/>
    <mergeCell ref="BI1:BJ1"/>
    <mergeCell ref="BL1:BM1"/>
    <mergeCell ref="BO1:BP1"/>
    <mergeCell ref="BX1:BY1"/>
    <mergeCell ref="BU1:BV1"/>
    <mergeCell ref="AV1:AW1"/>
    <mergeCell ref="BR1:BS1"/>
    <mergeCell ref="D1:E1"/>
    <mergeCell ref="G1:H1"/>
    <mergeCell ref="M1:N1"/>
    <mergeCell ref="AA1:AB1"/>
    <mergeCell ref="AJ1:AK1"/>
    <mergeCell ref="AD1:AE1"/>
    <mergeCell ref="P1:Q1"/>
    <mergeCell ref="J1:K1"/>
    <mergeCell ref="AG1:AH1"/>
    <mergeCell ref="S1:T1"/>
    <mergeCell ref="V1:W1"/>
    <mergeCell ref="Y1:Z1"/>
    <mergeCell ref="AM1:AN1"/>
    <mergeCell ref="AS1:AT1"/>
  </mergeCells>
  <pageMargins left="0.511811024" right="0.511811024" top="0.78740157499999996" bottom="0.78740157499999996" header="0.31496062000000002" footer="0.31496062000000002"/>
  <pageSetup paperSize="9" scale="13" orientation="landscape" r:id="rId1"/>
  <colBreaks count="1" manualBreakCount="1">
    <brk id="8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BP-DRE</vt:lpstr>
      <vt:lpstr>Lançamentos</vt:lpstr>
      <vt:lpstr>'BP-DRE'!Area_de_impressao</vt:lpstr>
      <vt:lpstr>Lançamentos!Area_de_impressao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NOVO</cp:lastModifiedBy>
  <cp:lastPrinted>2013-06-10T21:39:42Z</cp:lastPrinted>
  <dcterms:created xsi:type="dcterms:W3CDTF">2013-05-22T18:29:44Z</dcterms:created>
  <dcterms:modified xsi:type="dcterms:W3CDTF">2022-03-28T18:53:49Z</dcterms:modified>
</cp:coreProperties>
</file>