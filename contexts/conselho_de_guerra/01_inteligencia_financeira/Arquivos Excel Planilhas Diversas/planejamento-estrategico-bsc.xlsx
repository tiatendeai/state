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9155" windowHeight="8505"/>
  </bookViews>
  <sheets>
    <sheet name="Início" sheetId="4" r:id="rId1"/>
    <sheet name="Financeira" sheetId="5" r:id="rId2"/>
    <sheet name="Clientes" sheetId="9" r:id="rId3"/>
    <sheet name="Processos Internos" sheetId="10" r:id="rId4"/>
    <sheet name="Crescimento e Aprendizado" sheetId="11" r:id="rId5"/>
  </sheets>
  <calcPr calcId="145621" concurrentCalc="0"/>
</workbook>
</file>

<file path=xl/calcChain.xml><?xml version="1.0" encoding="utf-8"?>
<calcChain xmlns="http://schemas.openxmlformats.org/spreadsheetml/2006/main">
  <c r="G63" i="9" l="1"/>
  <c r="G63" i="5"/>
  <c r="L15" i="5"/>
  <c r="G63" i="11"/>
  <c r="G64" i="11"/>
  <c r="G65" i="11"/>
  <c r="G66" i="11"/>
  <c r="G67" i="11"/>
  <c r="H63" i="11"/>
  <c r="H64" i="11"/>
  <c r="H65" i="11"/>
  <c r="H66" i="11"/>
  <c r="H67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L24" i="11"/>
  <c r="M24" i="11"/>
  <c r="L23" i="11"/>
  <c r="M23" i="11"/>
  <c r="L22" i="11"/>
  <c r="M22" i="11"/>
  <c r="L21" i="11"/>
  <c r="M21" i="11"/>
  <c r="L20" i="11"/>
  <c r="M20" i="11"/>
  <c r="L19" i="11"/>
  <c r="M19" i="11"/>
  <c r="L18" i="11"/>
  <c r="M18" i="11"/>
  <c r="L17" i="11"/>
  <c r="M17" i="11"/>
  <c r="L16" i="11"/>
  <c r="M16" i="11"/>
  <c r="L15" i="11"/>
  <c r="M15" i="11"/>
  <c r="G63" i="10"/>
  <c r="G64" i="10"/>
  <c r="G65" i="10"/>
  <c r="G66" i="10"/>
  <c r="G67" i="10"/>
  <c r="H63" i="10"/>
  <c r="H64" i="10"/>
  <c r="H65" i="10"/>
  <c r="H66" i="10"/>
  <c r="H67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L24" i="10"/>
  <c r="M24" i="10"/>
  <c r="L23" i="10"/>
  <c r="M23" i="10"/>
  <c r="L22" i="10"/>
  <c r="M22" i="10"/>
  <c r="L21" i="10"/>
  <c r="M21" i="10"/>
  <c r="L20" i="10"/>
  <c r="M20" i="10"/>
  <c r="L19" i="10"/>
  <c r="M19" i="10"/>
  <c r="L18" i="10"/>
  <c r="M18" i="10"/>
  <c r="L17" i="10"/>
  <c r="M17" i="10"/>
  <c r="L16" i="10"/>
  <c r="M16" i="10"/>
  <c r="L15" i="10"/>
  <c r="M15" i="10"/>
  <c r="G64" i="9"/>
  <c r="G65" i="9"/>
  <c r="G66" i="9"/>
  <c r="G67" i="9"/>
  <c r="H63" i="9"/>
  <c r="H64" i="9"/>
  <c r="H65" i="9"/>
  <c r="H66" i="9"/>
  <c r="H67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L24" i="9"/>
  <c r="M24" i="9"/>
  <c r="L23" i="9"/>
  <c r="M23" i="9"/>
  <c r="L22" i="9"/>
  <c r="M22" i="9"/>
  <c r="L21" i="9"/>
  <c r="M21" i="9"/>
  <c r="L20" i="9"/>
  <c r="M20" i="9"/>
  <c r="L19" i="9"/>
  <c r="M19" i="9"/>
  <c r="L18" i="9"/>
  <c r="M18" i="9"/>
  <c r="L17" i="9"/>
  <c r="M17" i="9"/>
  <c r="L16" i="9"/>
  <c r="M16" i="9"/>
  <c r="L15" i="9"/>
  <c r="M15" i="9"/>
  <c r="G66" i="5"/>
  <c r="G65" i="5"/>
  <c r="G64" i="5"/>
  <c r="G67" i="5"/>
  <c r="H63" i="5"/>
  <c r="H64" i="5"/>
  <c r="H65" i="5"/>
  <c r="H66" i="5"/>
  <c r="H67" i="5"/>
  <c r="D31" i="5"/>
  <c r="D32" i="5"/>
  <c r="D33" i="5"/>
  <c r="D34" i="5"/>
  <c r="D35" i="5"/>
  <c r="D36" i="5"/>
  <c r="D37" i="5"/>
  <c r="D38" i="5"/>
  <c r="D39" i="5"/>
  <c r="D40" i="5"/>
  <c r="D41" i="5"/>
  <c r="D42" i="5"/>
  <c r="L20" i="5"/>
  <c r="L24" i="5"/>
  <c r="M24" i="5"/>
  <c r="L23" i="5"/>
  <c r="M23" i="5"/>
  <c r="L22" i="5"/>
  <c r="M22" i="5"/>
  <c r="L21" i="5"/>
  <c r="M21" i="5"/>
  <c r="M20" i="5"/>
  <c r="L16" i="5"/>
  <c r="L17" i="5"/>
  <c r="L18" i="5"/>
  <c r="L19" i="5"/>
  <c r="M16" i="5"/>
  <c r="M17" i="5"/>
  <c r="M18" i="5"/>
  <c r="M19" i="5"/>
  <c r="M15" i="5"/>
</calcChain>
</file>

<file path=xl/sharedStrings.xml><?xml version="1.0" encoding="utf-8"?>
<sst xmlns="http://schemas.openxmlformats.org/spreadsheetml/2006/main" count="170" uniqueCount="45">
  <si>
    <t>Total</t>
  </si>
  <si>
    <t>Quantidade</t>
  </si>
  <si>
    <t>Porcentagem</t>
  </si>
  <si>
    <t>Planejamento Estratégico</t>
  </si>
  <si>
    <t>Perspectiva Financeira</t>
  </si>
  <si>
    <t>Perspectiva Clientes</t>
  </si>
  <si>
    <t>Perspectiva Processos Internos</t>
  </si>
  <si>
    <t>Objetivos</t>
  </si>
  <si>
    <t>PERÍODO (ano):</t>
  </si>
  <si>
    <t>Objetivo</t>
  </si>
  <si>
    <t>Resumo da situação atual:</t>
  </si>
  <si>
    <t>Resumo da situação desejada:</t>
  </si>
  <si>
    <t>Meta</t>
  </si>
  <si>
    <t>Indicador</t>
  </si>
  <si>
    <t>Unidade
de Medida</t>
  </si>
  <si>
    <t>Frequência</t>
  </si>
  <si>
    <t>Responsável</t>
  </si>
  <si>
    <t>Melhor</t>
  </si>
  <si>
    <t>Real</t>
  </si>
  <si>
    <t>Farol</t>
  </si>
  <si>
    <t>Ação</t>
  </si>
  <si>
    <t>ID</t>
  </si>
  <si>
    <t>Observações</t>
  </si>
  <si>
    <t>P/ Baixo</t>
  </si>
  <si>
    <t>P/ Cima</t>
  </si>
  <si>
    <t>Diário</t>
  </si>
  <si>
    <t>Semanal</t>
  </si>
  <si>
    <t>Mensal</t>
  </si>
  <si>
    <t>Trimestral</t>
  </si>
  <si>
    <t>Semestral</t>
  </si>
  <si>
    <t>Anual</t>
  </si>
  <si>
    <t>Necessário ação?</t>
  </si>
  <si>
    <t>Situação</t>
  </si>
  <si>
    <t xml:space="preserve">AÇÕES PROPOSTAS </t>
  </si>
  <si>
    <t>Objetivos e Indicadores</t>
  </si>
  <si>
    <t>Gráficos de Acompanhamento das Ações</t>
  </si>
  <si>
    <t xml:space="preserve">Início </t>
  </si>
  <si>
    <t>Término</t>
  </si>
  <si>
    <t>Prazo</t>
  </si>
  <si>
    <t>Concluída</t>
  </si>
  <si>
    <t>Atrasada</t>
  </si>
  <si>
    <t>Não Iniciada</t>
  </si>
  <si>
    <t>Status Ações</t>
  </si>
  <si>
    <t>Em Andamento</t>
  </si>
  <si>
    <t>Perspectiva Aprendizado e Crescimento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</si>
</sst>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3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theme="3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Border="1"/>
    <xf numFmtId="0" fontId="0" fillId="3" borderId="0" xfId="0" applyFill="1" applyBorder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44" fontId="0" fillId="0" borderId="6" xfId="2" applyFont="1" applyBorder="1" applyAlignment="1">
      <alignment horizontal="center" vertical="center"/>
    </xf>
    <xf numFmtId="44" fontId="0" fillId="0" borderId="3" xfId="2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12" fillId="7" borderId="5" xfId="0" applyFont="1" applyFill="1" applyBorder="1" applyAlignment="1">
      <alignment horizontal="center" vertical="center"/>
    </xf>
    <xf numFmtId="9" fontId="12" fillId="7" borderId="5" xfId="1" applyFont="1" applyFill="1" applyBorder="1" applyAlignment="1">
      <alignment horizontal="center" vertical="center"/>
    </xf>
    <xf numFmtId="0" fontId="12" fillId="7" borderId="24" xfId="0" applyFont="1" applyFill="1" applyBorder="1" applyAlignment="1">
      <alignment horizontal="center" vertical="center"/>
    </xf>
    <xf numFmtId="9" fontId="12" fillId="7" borderId="24" xfId="1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2" fillId="6" borderId="24" xfId="0" applyFont="1" applyFill="1" applyBorder="1" applyAlignment="1">
      <alignment horizontal="center" vertical="center"/>
    </xf>
    <xf numFmtId="9" fontId="12" fillId="6" borderId="24" xfId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7" xfId="0" applyBorder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9" fillId="9" borderId="0" xfId="0" applyFont="1" applyFill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0" fillId="0" borderId="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left"/>
    </xf>
  </cellXfs>
  <cellStyles count="3">
    <cellStyle name="Moeda" xfId="2" builtinId="4"/>
    <cellStyle name="Normal" xfId="0" builtinId="0"/>
    <cellStyle name="Porcentagem" xfId="1" builtinId="5"/>
  </cellStyles>
  <dxfs count="8">
    <dxf>
      <fill>
        <gradientFill degree="45">
          <stop position="0">
            <color theme="0"/>
          </stop>
          <stop position="1">
            <color rgb="FF008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008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008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008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Ações (Qtde)</a:t>
            </a:r>
          </a:p>
        </c:rich>
      </c:tx>
      <c:layout/>
      <c:overlay val="1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655E-2"/>
          <c:y val="0.17481968068908521"/>
          <c:w val="0.81388888888888922"/>
          <c:h val="0.71635359116022068"/>
        </c:manualLayout>
      </c:layout>
      <c:pie3DChart>
        <c:varyColors val="1"/>
        <c:ser>
          <c:idx val="0"/>
          <c:order val="0"/>
          <c:dPt>
            <c:idx val="1"/>
            <c:bubble3D val="0"/>
            <c:spPr>
              <a:solidFill>
                <a:srgbClr val="92D050"/>
              </a:solidFill>
            </c:spPr>
          </c:dPt>
          <c:dPt>
            <c:idx val="2"/>
            <c:bubble3D val="0"/>
            <c:spPr>
              <a:solidFill>
                <a:srgbClr val="C00000"/>
              </a:solidFill>
            </c:spPr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Lbls>
            <c:txPr>
              <a:bodyPr/>
              <a:lstStyle/>
              <a:p>
                <a:pPr>
                  <a:defRPr lang="en-US"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Financeira!$F$63:$F$66</c:f>
              <c:strCache>
                <c:ptCount val="4"/>
                <c:pt idx="0">
                  <c:v>Concluída</c:v>
                </c:pt>
                <c:pt idx="1">
                  <c:v>Em Andamento</c:v>
                </c:pt>
                <c:pt idx="2">
                  <c:v>Atrasada</c:v>
                </c:pt>
                <c:pt idx="3">
                  <c:v>Não Iniciada</c:v>
                </c:pt>
              </c:strCache>
            </c:strRef>
          </c:cat>
          <c:val>
            <c:numRef>
              <c:f>Financeira!$G$63:$G$66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Ações (%)</a:t>
            </a:r>
          </a:p>
        </c:rich>
      </c:tx>
      <c:layout/>
      <c:overlay val="1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725E-2"/>
          <c:y val="0.17481968068908521"/>
          <c:w val="0.81388888888888944"/>
          <c:h val="0.71635359116022057"/>
        </c:manualLayout>
      </c:layout>
      <c:pie3DChart>
        <c:varyColors val="1"/>
        <c:ser>
          <c:idx val="0"/>
          <c:order val="0"/>
          <c:dPt>
            <c:idx val="1"/>
            <c:bubble3D val="0"/>
            <c:spPr>
              <a:solidFill>
                <a:srgbClr val="92D050"/>
              </a:solidFill>
            </c:spPr>
          </c:dPt>
          <c:dPt>
            <c:idx val="2"/>
            <c:bubble3D val="0"/>
            <c:spPr>
              <a:solidFill>
                <a:srgbClr val="C00000"/>
              </a:solidFill>
            </c:spPr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Lbls>
            <c:txPr>
              <a:bodyPr/>
              <a:lstStyle/>
              <a:p>
                <a:pPr>
                  <a:defRPr lang="en-US"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Financeira!$F$63:$F$66</c:f>
              <c:strCache>
                <c:ptCount val="4"/>
                <c:pt idx="0">
                  <c:v>Concluída</c:v>
                </c:pt>
                <c:pt idx="1">
                  <c:v>Em Andamento</c:v>
                </c:pt>
                <c:pt idx="2">
                  <c:v>Atrasada</c:v>
                </c:pt>
                <c:pt idx="3">
                  <c:v>Não Iniciada</c:v>
                </c:pt>
              </c:strCache>
            </c:strRef>
          </c:cat>
          <c:val>
            <c:numRef>
              <c:f>Financeira!$H$63:$H$66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  <c:txPr>
        <a:bodyPr/>
        <a:lstStyle/>
        <a:p>
          <a:pPr rtl="0"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Ações (Qtde)</a:t>
            </a:r>
          </a:p>
        </c:rich>
      </c:tx>
      <c:layout/>
      <c:overlay val="1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725E-2"/>
          <c:y val="0.17481968068908521"/>
          <c:w val="0.81388888888888944"/>
          <c:h val="0.71635359116022057"/>
        </c:manualLayout>
      </c:layout>
      <c:pie3DChart>
        <c:varyColors val="1"/>
        <c:ser>
          <c:idx val="0"/>
          <c:order val="0"/>
          <c:dPt>
            <c:idx val="1"/>
            <c:bubble3D val="0"/>
            <c:spPr>
              <a:solidFill>
                <a:srgbClr val="92D050"/>
              </a:solidFill>
            </c:spPr>
          </c:dPt>
          <c:dPt>
            <c:idx val="2"/>
            <c:bubble3D val="0"/>
            <c:spPr>
              <a:solidFill>
                <a:srgbClr val="C00000"/>
              </a:solidFill>
            </c:spPr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Lbls>
            <c:txPr>
              <a:bodyPr/>
              <a:lstStyle/>
              <a:p>
                <a:pPr>
                  <a:defRPr lang="en-US"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Clientes!$F$63:$F$66</c:f>
              <c:strCache>
                <c:ptCount val="4"/>
                <c:pt idx="0">
                  <c:v>Concluída</c:v>
                </c:pt>
                <c:pt idx="1">
                  <c:v>Em Andamento</c:v>
                </c:pt>
                <c:pt idx="2">
                  <c:v>Atrasada</c:v>
                </c:pt>
                <c:pt idx="3">
                  <c:v>Não Iniciada</c:v>
                </c:pt>
              </c:strCache>
            </c:strRef>
          </c:cat>
          <c:val>
            <c:numRef>
              <c:f>Clientes!$G$63:$G$66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Ações (%)</a:t>
            </a:r>
          </a:p>
        </c:rich>
      </c:tx>
      <c:layout/>
      <c:overlay val="1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766E-2"/>
          <c:y val="0.17481968068908521"/>
          <c:w val="0.81388888888888966"/>
          <c:h val="0.71635359116022057"/>
        </c:manualLayout>
      </c:layout>
      <c:pie3DChart>
        <c:varyColors val="1"/>
        <c:ser>
          <c:idx val="0"/>
          <c:order val="0"/>
          <c:dPt>
            <c:idx val="1"/>
            <c:bubble3D val="0"/>
            <c:spPr>
              <a:solidFill>
                <a:srgbClr val="92D050"/>
              </a:solidFill>
            </c:spPr>
          </c:dPt>
          <c:dPt>
            <c:idx val="2"/>
            <c:bubble3D val="0"/>
            <c:spPr>
              <a:solidFill>
                <a:srgbClr val="C00000"/>
              </a:solidFill>
            </c:spPr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Lbls>
            <c:txPr>
              <a:bodyPr/>
              <a:lstStyle/>
              <a:p>
                <a:pPr>
                  <a:defRPr lang="en-US"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Clientes!$F$63:$F$66</c:f>
              <c:strCache>
                <c:ptCount val="4"/>
                <c:pt idx="0">
                  <c:v>Concluída</c:v>
                </c:pt>
                <c:pt idx="1">
                  <c:v>Em Andamento</c:v>
                </c:pt>
                <c:pt idx="2">
                  <c:v>Atrasada</c:v>
                </c:pt>
                <c:pt idx="3">
                  <c:v>Não Iniciada</c:v>
                </c:pt>
              </c:strCache>
            </c:strRef>
          </c:cat>
          <c:val>
            <c:numRef>
              <c:f>Clientes!$H$63:$H$66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  <c:txPr>
        <a:bodyPr/>
        <a:lstStyle/>
        <a:p>
          <a:pPr rtl="0"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8740157499999996" l="0.511811024" r="0.511811024" t="0.78740157499999996" header="0.31496062000000086" footer="0.3149606200000008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Ações (Qtde)</a:t>
            </a:r>
          </a:p>
        </c:rich>
      </c:tx>
      <c:overlay val="1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725E-2"/>
          <c:y val="0.17481968068908521"/>
          <c:w val="0.81388888888888944"/>
          <c:h val="0.71635359116022057"/>
        </c:manualLayout>
      </c:layout>
      <c:pie3DChart>
        <c:varyColors val="1"/>
        <c:ser>
          <c:idx val="0"/>
          <c:order val="0"/>
          <c:dPt>
            <c:idx val="1"/>
            <c:bubble3D val="0"/>
            <c:spPr>
              <a:solidFill>
                <a:srgbClr val="92D050"/>
              </a:solidFill>
            </c:spPr>
          </c:dPt>
          <c:dPt>
            <c:idx val="2"/>
            <c:bubble3D val="0"/>
            <c:spPr>
              <a:solidFill>
                <a:srgbClr val="C00000"/>
              </a:solidFill>
            </c:spPr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Lbls>
            <c:txPr>
              <a:bodyPr/>
              <a:lstStyle/>
              <a:p>
                <a:pPr>
                  <a:defRPr lang="en-US"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'Processos Internos'!$F$63:$F$66</c:f>
              <c:strCache>
                <c:ptCount val="4"/>
                <c:pt idx="0">
                  <c:v>Concluída</c:v>
                </c:pt>
                <c:pt idx="1">
                  <c:v>Em Andamento</c:v>
                </c:pt>
                <c:pt idx="2">
                  <c:v>Atrasada</c:v>
                </c:pt>
                <c:pt idx="3">
                  <c:v>Não Iniciada</c:v>
                </c:pt>
              </c:strCache>
            </c:strRef>
          </c:cat>
          <c:val>
            <c:numRef>
              <c:f>'Processos Internos'!$G$63:$G$66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Ações (%)</a:t>
            </a:r>
          </a:p>
        </c:rich>
      </c:tx>
      <c:overlay val="1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766E-2"/>
          <c:y val="0.17481968068908521"/>
          <c:w val="0.81388888888888966"/>
          <c:h val="0.71635359116022057"/>
        </c:manualLayout>
      </c:layout>
      <c:pie3DChart>
        <c:varyColors val="1"/>
        <c:ser>
          <c:idx val="0"/>
          <c:order val="0"/>
          <c:dPt>
            <c:idx val="1"/>
            <c:bubble3D val="0"/>
            <c:spPr>
              <a:solidFill>
                <a:srgbClr val="92D050"/>
              </a:solidFill>
            </c:spPr>
          </c:dPt>
          <c:dPt>
            <c:idx val="2"/>
            <c:bubble3D val="0"/>
            <c:spPr>
              <a:solidFill>
                <a:srgbClr val="C00000"/>
              </a:solidFill>
            </c:spPr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Lbls>
            <c:txPr>
              <a:bodyPr/>
              <a:lstStyle/>
              <a:p>
                <a:pPr>
                  <a:defRPr lang="en-US"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'Processos Internos'!$F$63:$F$66</c:f>
              <c:strCache>
                <c:ptCount val="4"/>
                <c:pt idx="0">
                  <c:v>Concluída</c:v>
                </c:pt>
                <c:pt idx="1">
                  <c:v>Em Andamento</c:v>
                </c:pt>
                <c:pt idx="2">
                  <c:v>Atrasada</c:v>
                </c:pt>
                <c:pt idx="3">
                  <c:v>Não Iniciada</c:v>
                </c:pt>
              </c:strCache>
            </c:strRef>
          </c:cat>
          <c:val>
            <c:numRef>
              <c:f>'Processos Internos'!$H$63:$H$66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rtl="0"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8740157499999996" l="0.511811024" r="0.511811024" t="0.78740157499999996" header="0.31496062000000086" footer="0.3149606200000008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Ações (Qtde)</a:t>
            </a:r>
          </a:p>
        </c:rich>
      </c:tx>
      <c:overlay val="1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725E-2"/>
          <c:y val="0.17481968068908521"/>
          <c:w val="0.81388888888888944"/>
          <c:h val="0.71635359116022057"/>
        </c:manualLayout>
      </c:layout>
      <c:pie3DChart>
        <c:varyColors val="1"/>
        <c:ser>
          <c:idx val="0"/>
          <c:order val="0"/>
          <c:dPt>
            <c:idx val="1"/>
            <c:bubble3D val="0"/>
            <c:spPr>
              <a:solidFill>
                <a:srgbClr val="92D050"/>
              </a:solidFill>
            </c:spPr>
          </c:dPt>
          <c:dPt>
            <c:idx val="2"/>
            <c:bubble3D val="0"/>
            <c:spPr>
              <a:solidFill>
                <a:srgbClr val="C00000"/>
              </a:solidFill>
            </c:spPr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Lbls>
            <c:txPr>
              <a:bodyPr/>
              <a:lstStyle/>
              <a:p>
                <a:pPr>
                  <a:defRPr lang="en-US"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'Crescimento e Aprendizado'!$F$63:$F$66</c:f>
              <c:strCache>
                <c:ptCount val="4"/>
                <c:pt idx="0">
                  <c:v>Concluída</c:v>
                </c:pt>
                <c:pt idx="1">
                  <c:v>Em Andamento</c:v>
                </c:pt>
                <c:pt idx="2">
                  <c:v>Atrasada</c:v>
                </c:pt>
                <c:pt idx="3">
                  <c:v>Não Iniciada</c:v>
                </c:pt>
              </c:strCache>
            </c:strRef>
          </c:cat>
          <c:val>
            <c:numRef>
              <c:f>'Crescimento e Aprendizado'!$G$63:$G$66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Ações (%)</a:t>
            </a:r>
          </a:p>
        </c:rich>
      </c:tx>
      <c:overlay val="1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766E-2"/>
          <c:y val="0.17481968068908521"/>
          <c:w val="0.81388888888888966"/>
          <c:h val="0.71635359116022057"/>
        </c:manualLayout>
      </c:layout>
      <c:pie3DChart>
        <c:varyColors val="1"/>
        <c:ser>
          <c:idx val="0"/>
          <c:order val="0"/>
          <c:dPt>
            <c:idx val="1"/>
            <c:bubble3D val="0"/>
            <c:spPr>
              <a:solidFill>
                <a:srgbClr val="92D050"/>
              </a:solidFill>
            </c:spPr>
          </c:dPt>
          <c:dPt>
            <c:idx val="2"/>
            <c:bubble3D val="0"/>
            <c:spPr>
              <a:solidFill>
                <a:srgbClr val="C00000"/>
              </a:solidFill>
            </c:spPr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</c:dPt>
          <c:dLbls>
            <c:txPr>
              <a:bodyPr/>
              <a:lstStyle/>
              <a:p>
                <a:pPr>
                  <a:defRPr lang="en-US"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'Crescimento e Aprendizado'!$F$63:$F$66</c:f>
              <c:strCache>
                <c:ptCount val="4"/>
                <c:pt idx="0">
                  <c:v>Concluída</c:v>
                </c:pt>
                <c:pt idx="1">
                  <c:v>Em Andamento</c:v>
                </c:pt>
                <c:pt idx="2">
                  <c:v>Atrasada</c:v>
                </c:pt>
                <c:pt idx="3">
                  <c:v>Não Iniciada</c:v>
                </c:pt>
              </c:strCache>
            </c:strRef>
          </c:cat>
          <c:val>
            <c:numRef>
              <c:f>'Crescimento e Aprendizado'!$H$63:$H$66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rtl="0"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8740157499999996" l="0.511811024" r="0.511811024" t="0.78740157499999996" header="0.31496062000000086" footer="0.3149606200000008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cessos Internos'!A1"/><Relationship Id="rId2" Type="http://schemas.openxmlformats.org/officeDocument/2006/relationships/image" Target="../media/image1.png"/><Relationship Id="rId1" Type="http://schemas.openxmlformats.org/officeDocument/2006/relationships/hyperlink" Target="#Clientes!A1"/><Relationship Id="rId5" Type="http://schemas.openxmlformats.org/officeDocument/2006/relationships/hyperlink" Target="#'Crescimento e Aprendizado'!A1"/><Relationship Id="rId4" Type="http://schemas.openxmlformats.org/officeDocument/2006/relationships/hyperlink" Target="#Financeir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hyperlink" Target="#In&#237;ci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hyperlink" Target="#In&#237;cio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hyperlink" Target="#In&#237;cio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hyperlink" Target="#In&#237;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160052</xdr:colOff>
      <xdr:row>4</xdr:row>
      <xdr:rowOff>112724</xdr:rowOff>
    </xdr:from>
    <xdr:to>
      <xdr:col>8</xdr:col>
      <xdr:colOff>208096</xdr:colOff>
      <xdr:row>12</xdr:row>
      <xdr:rowOff>32183</xdr:rowOff>
    </xdr:to>
    <xdr:cxnSp macro="">
      <xdr:nvCxnSpPr>
        <xdr:cNvPr id="21" name="Conector angulado 20"/>
        <xdr:cNvCxnSpPr>
          <a:stCxn id="10" idx="1"/>
          <a:endCxn id="2" idx="0"/>
        </xdr:cNvCxnSpPr>
      </xdr:nvCxnSpPr>
      <xdr:spPr>
        <a:xfrm rot="10800000" flipV="1">
          <a:off x="1975405" y="1143665"/>
          <a:ext cx="3073632" cy="1443459"/>
        </a:xfrm>
        <a:prstGeom prst="bentConnector2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152401</xdr:colOff>
      <xdr:row>17</xdr:row>
      <xdr:rowOff>168648</xdr:rowOff>
    </xdr:from>
    <xdr:to>
      <xdr:col>16</xdr:col>
      <xdr:colOff>271227</xdr:colOff>
      <xdr:row>26</xdr:row>
      <xdr:rowOff>29842</xdr:rowOff>
    </xdr:to>
    <xdr:cxnSp macro="">
      <xdr:nvCxnSpPr>
        <xdr:cNvPr id="29" name="Conector angulado 20"/>
        <xdr:cNvCxnSpPr/>
      </xdr:nvCxnSpPr>
      <xdr:spPr>
        <a:xfrm rot="5400000">
          <a:off x="7609863" y="2874921"/>
          <a:ext cx="1542077" cy="3144414"/>
        </a:xfrm>
        <a:prstGeom prst="bentConnector2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160052</xdr:colOff>
      <xdr:row>17</xdr:row>
      <xdr:rowOff>114861</xdr:rowOff>
    </xdr:from>
    <xdr:to>
      <xdr:col>8</xdr:col>
      <xdr:colOff>226024</xdr:colOff>
      <xdr:row>25</xdr:row>
      <xdr:rowOff>175519</xdr:rowOff>
    </xdr:to>
    <xdr:cxnSp macro="">
      <xdr:nvCxnSpPr>
        <xdr:cNvPr id="32" name="Conector angulado 20"/>
        <xdr:cNvCxnSpPr/>
      </xdr:nvCxnSpPr>
      <xdr:spPr>
        <a:xfrm rot="10800000">
          <a:off x="1975405" y="3622302"/>
          <a:ext cx="3091560" cy="1551041"/>
        </a:xfrm>
        <a:prstGeom prst="bentConnector2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179297</xdr:colOff>
      <xdr:row>4</xdr:row>
      <xdr:rowOff>112725</xdr:rowOff>
    </xdr:from>
    <xdr:to>
      <xdr:col>16</xdr:col>
      <xdr:colOff>316051</xdr:colOff>
      <xdr:row>12</xdr:row>
      <xdr:rowOff>41148</xdr:rowOff>
    </xdr:to>
    <xdr:cxnSp macro="">
      <xdr:nvCxnSpPr>
        <xdr:cNvPr id="24" name="Conector angulado 20"/>
        <xdr:cNvCxnSpPr>
          <a:stCxn id="9" idx="0"/>
          <a:endCxn id="10" idx="3"/>
        </xdr:cNvCxnSpPr>
      </xdr:nvCxnSpPr>
      <xdr:spPr>
        <a:xfrm rot="16200000" flipV="1">
          <a:off x="7690550" y="288707"/>
          <a:ext cx="1452423" cy="3162342"/>
        </a:xfrm>
        <a:prstGeom prst="bentConnector2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477010</xdr:colOff>
      <xdr:row>12</xdr:row>
      <xdr:rowOff>32184</xdr:rowOff>
    </xdr:from>
    <xdr:to>
      <xdr:col>4</xdr:col>
      <xdr:colOff>448210</xdr:colOff>
      <xdr:row>17</xdr:row>
      <xdr:rowOff>159684</xdr:rowOff>
    </xdr:to>
    <xdr:sp macro="" textlink="">
      <xdr:nvSpPr>
        <xdr:cNvPr id="2" name="Retângulo de cantos arredondados 1">
          <a:hlinkClick xmlns:r="http://schemas.openxmlformats.org/officeDocument/2006/relationships" r:id="rId1"/>
        </xdr:cNvPr>
        <xdr:cNvSpPr/>
      </xdr:nvSpPr>
      <xdr:spPr>
        <a:xfrm>
          <a:off x="1082128" y="2587125"/>
          <a:ext cx="1786553" cy="108000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600" b="1">
              <a:solidFill>
                <a:schemeClr val="tx2">
                  <a:lumMod val="50000"/>
                </a:schemeClr>
              </a:solidFill>
            </a:rPr>
            <a:t>Clientes</a:t>
          </a:r>
        </a:p>
      </xdr:txBody>
    </xdr:sp>
    <xdr:clientData/>
  </xdr:twoCellAnchor>
  <xdr:twoCellAnchor>
    <xdr:from>
      <xdr:col>8</xdr:col>
      <xdr:colOff>224968</xdr:colOff>
      <xdr:row>12</xdr:row>
      <xdr:rowOff>36668</xdr:rowOff>
    </xdr:from>
    <xdr:to>
      <xdr:col>11</xdr:col>
      <xdr:colOff>196168</xdr:colOff>
      <xdr:row>17</xdr:row>
      <xdr:rowOff>164168</xdr:rowOff>
    </xdr:to>
    <xdr:sp macro="" textlink="">
      <xdr:nvSpPr>
        <xdr:cNvPr id="3" name="Retângulo de cantos arredondados 2"/>
        <xdr:cNvSpPr/>
      </xdr:nvSpPr>
      <xdr:spPr>
        <a:xfrm>
          <a:off x="5065909" y="2591609"/>
          <a:ext cx="1786553" cy="1080000"/>
        </a:xfrm>
        <a:prstGeom prst="roundRect">
          <a:avLst/>
        </a:prstGeom>
        <a:solidFill>
          <a:schemeClr val="accent3">
            <a:lumMod val="75000"/>
          </a:schemeClr>
        </a:solid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600" b="1"/>
            <a:t>Visão Estratégica</a:t>
          </a:r>
        </a:p>
      </xdr:txBody>
    </xdr:sp>
    <xdr:clientData/>
  </xdr:twoCellAnchor>
  <xdr:twoCellAnchor editAs="oneCell">
    <xdr:from>
      <xdr:col>22</xdr:col>
      <xdr:colOff>132337</xdr:colOff>
      <xdr:row>25</xdr:row>
      <xdr:rowOff>10646</xdr:rowOff>
    </xdr:from>
    <xdr:to>
      <xdr:col>24</xdr:col>
      <xdr:colOff>134471</xdr:colOff>
      <xdr:row>27</xdr:row>
      <xdr:rowOff>128001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4925" y="5142940"/>
          <a:ext cx="1212369" cy="498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27890</xdr:colOff>
      <xdr:row>12</xdr:row>
      <xdr:rowOff>41148</xdr:rowOff>
    </xdr:from>
    <xdr:to>
      <xdr:col>17</xdr:col>
      <xdr:colOff>604208</xdr:colOff>
      <xdr:row>17</xdr:row>
      <xdr:rowOff>168648</xdr:rowOff>
    </xdr:to>
    <xdr:sp macro="" textlink="">
      <xdr:nvSpPr>
        <xdr:cNvPr id="9" name="Retângulo de cantos arredondados 8">
          <a:hlinkClick xmlns:r="http://schemas.openxmlformats.org/officeDocument/2006/relationships" r:id="rId3"/>
        </xdr:cNvPr>
        <xdr:cNvSpPr/>
      </xdr:nvSpPr>
      <xdr:spPr>
        <a:xfrm>
          <a:off x="9104655" y="2596089"/>
          <a:ext cx="1786553" cy="108000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600" b="1">
              <a:solidFill>
                <a:schemeClr val="tx2">
                  <a:lumMod val="50000"/>
                </a:schemeClr>
              </a:solidFill>
            </a:rPr>
            <a:t>Processos</a:t>
          </a:r>
          <a:r>
            <a:rPr lang="pt-BR" sz="1600" b="1" baseline="0">
              <a:solidFill>
                <a:schemeClr val="tx2">
                  <a:lumMod val="50000"/>
                </a:schemeClr>
              </a:solidFill>
            </a:rPr>
            <a:t> Internos</a:t>
          </a:r>
          <a:endParaRPr lang="pt-BR" sz="16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208096</xdr:colOff>
      <xdr:row>1</xdr:row>
      <xdr:rowOff>144225</xdr:rowOff>
    </xdr:from>
    <xdr:to>
      <xdr:col>11</xdr:col>
      <xdr:colOff>179296</xdr:colOff>
      <xdr:row>7</xdr:row>
      <xdr:rowOff>81225</xdr:rowOff>
    </xdr:to>
    <xdr:sp macro="" textlink="">
      <xdr:nvSpPr>
        <xdr:cNvPr id="10" name="Retângulo de cantos arredondados 9">
          <a:hlinkClick xmlns:r="http://schemas.openxmlformats.org/officeDocument/2006/relationships" r:id="rId4"/>
        </xdr:cNvPr>
        <xdr:cNvSpPr/>
      </xdr:nvSpPr>
      <xdr:spPr>
        <a:xfrm>
          <a:off x="5049037" y="603666"/>
          <a:ext cx="1786553" cy="108000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600" b="1">
              <a:solidFill>
                <a:schemeClr val="tx2">
                  <a:lumMod val="50000"/>
                </a:schemeClr>
              </a:solidFill>
            </a:rPr>
            <a:t>Financeira</a:t>
          </a:r>
        </a:p>
      </xdr:txBody>
    </xdr:sp>
    <xdr:clientData/>
  </xdr:twoCellAnchor>
  <xdr:twoCellAnchor>
    <xdr:from>
      <xdr:col>8</xdr:col>
      <xdr:colOff>226024</xdr:colOff>
      <xdr:row>23</xdr:row>
      <xdr:rowOff>38931</xdr:rowOff>
    </xdr:from>
    <xdr:to>
      <xdr:col>11</xdr:col>
      <xdr:colOff>197224</xdr:colOff>
      <xdr:row>28</xdr:row>
      <xdr:rowOff>188842</xdr:rowOff>
    </xdr:to>
    <xdr:sp macro="" textlink="">
      <xdr:nvSpPr>
        <xdr:cNvPr id="11" name="Retângulo de cantos arredondados 10">
          <a:hlinkClick xmlns:r="http://schemas.openxmlformats.org/officeDocument/2006/relationships" r:id="rId5"/>
        </xdr:cNvPr>
        <xdr:cNvSpPr/>
      </xdr:nvSpPr>
      <xdr:spPr>
        <a:xfrm>
          <a:off x="5066965" y="4678166"/>
          <a:ext cx="1786553" cy="108000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600" b="1">
              <a:solidFill>
                <a:schemeClr val="tx2">
                  <a:lumMod val="50000"/>
                </a:schemeClr>
              </a:solidFill>
            </a:rPr>
            <a:t>Crescimento e Aprendizado</a:t>
          </a:r>
        </a:p>
      </xdr:txBody>
    </xdr:sp>
    <xdr:clientData/>
  </xdr:twoCellAnchor>
  <xdr:twoCellAnchor>
    <xdr:from>
      <xdr:col>9</xdr:col>
      <xdr:colOff>347384</xdr:colOff>
      <xdr:row>7</xdr:row>
      <xdr:rowOff>134471</xdr:rowOff>
    </xdr:from>
    <xdr:to>
      <xdr:col>10</xdr:col>
      <xdr:colOff>44825</xdr:colOff>
      <xdr:row>11</xdr:row>
      <xdr:rowOff>168089</xdr:rowOff>
    </xdr:to>
    <xdr:sp macro="" textlink="">
      <xdr:nvSpPr>
        <xdr:cNvPr id="12" name="Seta para cima e para baixo 11"/>
        <xdr:cNvSpPr/>
      </xdr:nvSpPr>
      <xdr:spPr>
        <a:xfrm>
          <a:off x="5793443" y="1736912"/>
          <a:ext cx="302558" cy="795618"/>
        </a:xfrm>
        <a:prstGeom prst="upDownArrow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9</xdr:col>
      <xdr:colOff>342902</xdr:colOff>
      <xdr:row>18</xdr:row>
      <xdr:rowOff>51566</xdr:rowOff>
    </xdr:from>
    <xdr:to>
      <xdr:col>10</xdr:col>
      <xdr:colOff>40343</xdr:colOff>
      <xdr:row>22</xdr:row>
      <xdr:rowOff>85184</xdr:rowOff>
    </xdr:to>
    <xdr:sp macro="" textlink="">
      <xdr:nvSpPr>
        <xdr:cNvPr id="13" name="Seta para cima e para baixo 12"/>
        <xdr:cNvSpPr/>
      </xdr:nvSpPr>
      <xdr:spPr>
        <a:xfrm>
          <a:off x="5788961" y="3749507"/>
          <a:ext cx="302558" cy="795618"/>
        </a:xfrm>
        <a:prstGeom prst="upDownArrow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11</xdr:col>
      <xdr:colOff>488580</xdr:colOff>
      <xdr:row>14</xdr:row>
      <xdr:rowOff>40342</xdr:rowOff>
    </xdr:from>
    <xdr:to>
      <xdr:col>14</xdr:col>
      <xdr:colOff>291354</xdr:colOff>
      <xdr:row>15</xdr:row>
      <xdr:rowOff>152400</xdr:rowOff>
    </xdr:to>
    <xdr:sp macro="" textlink="">
      <xdr:nvSpPr>
        <xdr:cNvPr id="14" name="Seta para cima e para baixo 13"/>
        <xdr:cNvSpPr/>
      </xdr:nvSpPr>
      <xdr:spPr>
        <a:xfrm rot="5400000">
          <a:off x="7802659" y="2318498"/>
          <a:ext cx="302558" cy="1618127"/>
        </a:xfrm>
        <a:prstGeom prst="upDownArrow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5</xdr:col>
      <xdr:colOff>136715</xdr:colOff>
      <xdr:row>14</xdr:row>
      <xdr:rowOff>35861</xdr:rowOff>
    </xdr:from>
    <xdr:to>
      <xdr:col>7</xdr:col>
      <xdr:colOff>544606</xdr:colOff>
      <xdr:row>15</xdr:row>
      <xdr:rowOff>147919</xdr:rowOff>
    </xdr:to>
    <xdr:sp macro="" textlink="">
      <xdr:nvSpPr>
        <xdr:cNvPr id="15" name="Seta para cima e para baixo 14"/>
        <xdr:cNvSpPr/>
      </xdr:nvSpPr>
      <xdr:spPr>
        <a:xfrm rot="5400000">
          <a:off x="3820088" y="2314017"/>
          <a:ext cx="302558" cy="1618127"/>
        </a:xfrm>
        <a:prstGeom prst="upDownArrow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470648</xdr:colOff>
      <xdr:row>6</xdr:row>
      <xdr:rowOff>67235</xdr:rowOff>
    </xdr:from>
    <xdr:to>
      <xdr:col>4</xdr:col>
      <xdr:colOff>403412</xdr:colOff>
      <xdr:row>11</xdr:row>
      <xdr:rowOff>134471</xdr:rowOff>
    </xdr:to>
    <xdr:sp macro="" textlink="">
      <xdr:nvSpPr>
        <xdr:cNvPr id="17" name="CaixaDeTexto 16"/>
        <xdr:cNvSpPr txBox="1"/>
      </xdr:nvSpPr>
      <xdr:spPr>
        <a:xfrm>
          <a:off x="1075766" y="1479176"/>
          <a:ext cx="1748117" cy="10197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Para alcançarmos nossa visão como deveremos ser</a:t>
          </a:r>
          <a:r>
            <a:rPr lang="pt-BR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vistos pelos nossos clientes e o que iremos entregar ao mercado?</a:t>
          </a:r>
        </a:p>
        <a:p>
          <a:pPr algn="ctr"/>
          <a:endParaRPr lang="pt-BR" sz="1100"/>
        </a:p>
      </xdr:txBody>
    </xdr:sp>
    <xdr:clientData/>
  </xdr:twoCellAnchor>
  <xdr:twoCellAnchor>
    <xdr:from>
      <xdr:col>11</xdr:col>
      <xdr:colOff>275665</xdr:colOff>
      <xdr:row>2</xdr:row>
      <xdr:rowOff>85162</xdr:rowOff>
    </xdr:from>
    <xdr:to>
      <xdr:col>14</xdr:col>
      <xdr:colOff>208429</xdr:colOff>
      <xdr:row>6</xdr:row>
      <xdr:rowOff>186016</xdr:rowOff>
    </xdr:to>
    <xdr:sp macro="" textlink="">
      <xdr:nvSpPr>
        <xdr:cNvPr id="18" name="CaixaDeTexto 17"/>
        <xdr:cNvSpPr txBox="1"/>
      </xdr:nvSpPr>
      <xdr:spPr>
        <a:xfrm>
          <a:off x="6931959" y="735103"/>
          <a:ext cx="1748117" cy="8628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Para termos</a:t>
          </a:r>
          <a:r>
            <a:rPr lang="pt-BR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sucesso financeiro em quais objetivos deveremos focar?</a:t>
          </a:r>
        </a:p>
        <a:p>
          <a:pPr algn="ctr"/>
          <a:endParaRPr lang="pt-BR" sz="1100"/>
        </a:p>
      </xdr:txBody>
    </xdr:sp>
    <xdr:clientData/>
  </xdr:twoCellAnchor>
  <xdr:twoCellAnchor>
    <xdr:from>
      <xdr:col>5</xdr:col>
      <xdr:colOff>186020</xdr:colOff>
      <xdr:row>24</xdr:row>
      <xdr:rowOff>22411</xdr:rowOff>
    </xdr:from>
    <xdr:to>
      <xdr:col>8</xdr:col>
      <xdr:colOff>118784</xdr:colOff>
      <xdr:row>28</xdr:row>
      <xdr:rowOff>134470</xdr:rowOff>
    </xdr:to>
    <xdr:sp macro="" textlink="">
      <xdr:nvSpPr>
        <xdr:cNvPr id="27" name="CaixaDeTexto 26"/>
        <xdr:cNvSpPr txBox="1"/>
      </xdr:nvSpPr>
      <xdr:spPr>
        <a:xfrm>
          <a:off x="3211608" y="4840940"/>
          <a:ext cx="1748117" cy="8628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Como</a:t>
          </a:r>
          <a:r>
            <a:rPr lang="pt-BR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a empresa sustentará a capacidade de mudar e melhorar para alcançar a visão?</a:t>
          </a:r>
        </a:p>
        <a:p>
          <a:pPr algn="ctr"/>
          <a:endParaRPr lang="pt-BR" sz="1100"/>
        </a:p>
      </xdr:txBody>
    </xdr:sp>
    <xdr:clientData/>
  </xdr:twoCellAnchor>
  <xdr:twoCellAnchor>
    <xdr:from>
      <xdr:col>15</xdr:col>
      <xdr:colOff>62753</xdr:colOff>
      <xdr:row>18</xdr:row>
      <xdr:rowOff>96369</xdr:rowOff>
    </xdr:from>
    <xdr:to>
      <xdr:col>18</xdr:col>
      <xdr:colOff>11206</xdr:colOff>
      <xdr:row>24</xdr:row>
      <xdr:rowOff>123265</xdr:rowOff>
    </xdr:to>
    <xdr:sp macro="" textlink="">
      <xdr:nvSpPr>
        <xdr:cNvPr id="28" name="CaixaDeTexto 27"/>
        <xdr:cNvSpPr txBox="1"/>
      </xdr:nvSpPr>
      <xdr:spPr>
        <a:xfrm>
          <a:off x="9139518" y="3794310"/>
          <a:ext cx="1763806" cy="11474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Para satisfazer</a:t>
          </a:r>
          <a:r>
            <a:rPr lang="pt-BR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nossos clientes e alcançar os objetivos financeiros em que processos internos devemos ter excelência?</a:t>
          </a:r>
          <a:endParaRPr lang="pt-BR" sz="1100"/>
        </a:p>
      </xdr:txBody>
    </xdr:sp>
    <xdr:clientData/>
  </xdr:twoCellAnchor>
  <xdr:oneCellAnchor>
    <xdr:from>
      <xdr:col>5</xdr:col>
      <xdr:colOff>78442</xdr:colOff>
      <xdr:row>0</xdr:row>
      <xdr:rowOff>1422</xdr:rowOff>
    </xdr:from>
    <xdr:ext cx="9312088" cy="530658"/>
    <xdr:sp macro="" textlink="">
      <xdr:nvSpPr>
        <xdr:cNvPr id="4" name="CaixaDeTexto 3"/>
        <xdr:cNvSpPr txBox="1"/>
      </xdr:nvSpPr>
      <xdr:spPr>
        <a:xfrm>
          <a:off x="3104030" y="1422"/>
          <a:ext cx="9312088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2800" b="1">
              <a:solidFill>
                <a:schemeClr val="tx2">
                  <a:lumMod val="50000"/>
                </a:schemeClr>
              </a:solidFill>
            </a:rPr>
            <a:t>Planejamento Estratégico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44</xdr:row>
      <xdr:rowOff>66675</xdr:rowOff>
    </xdr:from>
    <xdr:to>
      <xdr:col>5</xdr:col>
      <xdr:colOff>152400</xdr:colOff>
      <xdr:row>59</xdr:row>
      <xdr:rowOff>66675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44</xdr:row>
      <xdr:rowOff>66675</xdr:rowOff>
    </xdr:from>
    <xdr:to>
      <xdr:col>12</xdr:col>
      <xdr:colOff>47625</xdr:colOff>
      <xdr:row>59</xdr:row>
      <xdr:rowOff>66675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266700</xdr:colOff>
      <xdr:row>68</xdr:row>
      <xdr:rowOff>63620</xdr:rowOff>
    </xdr:from>
    <xdr:to>
      <xdr:col>12</xdr:col>
      <xdr:colOff>736119</xdr:colOff>
      <xdr:row>70</xdr:row>
      <xdr:rowOff>180974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0" y="20466170"/>
          <a:ext cx="1212369" cy="498354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  <xdr:twoCellAnchor>
    <xdr:from>
      <xdr:col>2</xdr:col>
      <xdr:colOff>1</xdr:colOff>
      <xdr:row>0</xdr:row>
      <xdr:rowOff>0</xdr:rowOff>
    </xdr:from>
    <xdr:to>
      <xdr:col>3</xdr:col>
      <xdr:colOff>219075</xdr:colOff>
      <xdr:row>0</xdr:row>
      <xdr:rowOff>342900</xdr:rowOff>
    </xdr:to>
    <xdr:sp macro="" textlink="">
      <xdr:nvSpPr>
        <xdr:cNvPr id="6" name="Seta para a esquerda 5">
          <a:hlinkClick xmlns:r="http://schemas.openxmlformats.org/officeDocument/2006/relationships" r:id="rId4"/>
        </xdr:cNvPr>
        <xdr:cNvSpPr/>
      </xdr:nvSpPr>
      <xdr:spPr>
        <a:xfrm>
          <a:off x="104776" y="0"/>
          <a:ext cx="409574" cy="342900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44</xdr:row>
      <xdr:rowOff>66675</xdr:rowOff>
    </xdr:from>
    <xdr:to>
      <xdr:col>5</xdr:col>
      <xdr:colOff>152400</xdr:colOff>
      <xdr:row>59</xdr:row>
      <xdr:rowOff>66675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44</xdr:row>
      <xdr:rowOff>66675</xdr:rowOff>
    </xdr:from>
    <xdr:to>
      <xdr:col>12</xdr:col>
      <xdr:colOff>47625</xdr:colOff>
      <xdr:row>59</xdr:row>
      <xdr:rowOff>66675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276225</xdr:colOff>
      <xdr:row>68</xdr:row>
      <xdr:rowOff>63621</xdr:rowOff>
    </xdr:from>
    <xdr:to>
      <xdr:col>12</xdr:col>
      <xdr:colOff>745644</xdr:colOff>
      <xdr:row>70</xdr:row>
      <xdr:rowOff>180974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20466171"/>
          <a:ext cx="1212369" cy="498353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3</xdr:col>
      <xdr:colOff>219074</xdr:colOff>
      <xdr:row>0</xdr:row>
      <xdr:rowOff>342900</xdr:rowOff>
    </xdr:to>
    <xdr:sp macro="" textlink="">
      <xdr:nvSpPr>
        <xdr:cNvPr id="5" name="Seta para a esquerda 4">
          <a:hlinkClick xmlns:r="http://schemas.openxmlformats.org/officeDocument/2006/relationships" r:id="rId4"/>
        </xdr:cNvPr>
        <xdr:cNvSpPr/>
      </xdr:nvSpPr>
      <xdr:spPr>
        <a:xfrm>
          <a:off x="104775" y="0"/>
          <a:ext cx="409574" cy="342900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44</xdr:row>
      <xdr:rowOff>66675</xdr:rowOff>
    </xdr:from>
    <xdr:to>
      <xdr:col>5</xdr:col>
      <xdr:colOff>152400</xdr:colOff>
      <xdr:row>59</xdr:row>
      <xdr:rowOff>66675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44</xdr:row>
      <xdr:rowOff>66675</xdr:rowOff>
    </xdr:from>
    <xdr:to>
      <xdr:col>12</xdr:col>
      <xdr:colOff>47625</xdr:colOff>
      <xdr:row>59</xdr:row>
      <xdr:rowOff>66675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276225</xdr:colOff>
      <xdr:row>68</xdr:row>
      <xdr:rowOff>38100</xdr:rowOff>
    </xdr:from>
    <xdr:to>
      <xdr:col>12</xdr:col>
      <xdr:colOff>745644</xdr:colOff>
      <xdr:row>70</xdr:row>
      <xdr:rowOff>155453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20440650"/>
          <a:ext cx="1212369" cy="498353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3</xdr:col>
      <xdr:colOff>219074</xdr:colOff>
      <xdr:row>0</xdr:row>
      <xdr:rowOff>342900</xdr:rowOff>
    </xdr:to>
    <xdr:sp macro="" textlink="">
      <xdr:nvSpPr>
        <xdr:cNvPr id="6" name="Seta para a esquerda 5">
          <a:hlinkClick xmlns:r="http://schemas.openxmlformats.org/officeDocument/2006/relationships" r:id="rId4"/>
        </xdr:cNvPr>
        <xdr:cNvSpPr/>
      </xdr:nvSpPr>
      <xdr:spPr>
        <a:xfrm>
          <a:off x="104775" y="0"/>
          <a:ext cx="409574" cy="342900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44</xdr:row>
      <xdr:rowOff>66675</xdr:rowOff>
    </xdr:from>
    <xdr:to>
      <xdr:col>5</xdr:col>
      <xdr:colOff>152400</xdr:colOff>
      <xdr:row>59</xdr:row>
      <xdr:rowOff>66675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44</xdr:row>
      <xdr:rowOff>66675</xdr:rowOff>
    </xdr:from>
    <xdr:to>
      <xdr:col>12</xdr:col>
      <xdr:colOff>47625</xdr:colOff>
      <xdr:row>59</xdr:row>
      <xdr:rowOff>66675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276225</xdr:colOff>
      <xdr:row>68</xdr:row>
      <xdr:rowOff>47625</xdr:rowOff>
    </xdr:from>
    <xdr:to>
      <xdr:col>12</xdr:col>
      <xdr:colOff>745644</xdr:colOff>
      <xdr:row>70</xdr:row>
      <xdr:rowOff>164979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20450175"/>
          <a:ext cx="1212369" cy="498354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3</xdr:col>
      <xdr:colOff>219074</xdr:colOff>
      <xdr:row>0</xdr:row>
      <xdr:rowOff>342900</xdr:rowOff>
    </xdr:to>
    <xdr:sp macro="" textlink="">
      <xdr:nvSpPr>
        <xdr:cNvPr id="6" name="Seta para a esquerda 5">
          <a:hlinkClick xmlns:r="http://schemas.openxmlformats.org/officeDocument/2006/relationships" r:id="rId4"/>
        </xdr:cNvPr>
        <xdr:cNvSpPr/>
      </xdr:nvSpPr>
      <xdr:spPr>
        <a:xfrm>
          <a:off x="104775" y="0"/>
          <a:ext cx="409574" cy="342900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showGridLines="0" tabSelected="1" zoomScale="85" zoomScaleNormal="85" workbookViewId="0">
      <selection sqref="A1:XFD1"/>
    </sheetView>
  </sheetViews>
  <sheetFormatPr defaultColWidth="9.140625" defaultRowHeight="0" customHeight="1" zeroHeight="1" x14ac:dyDescent="0.25"/>
  <cols>
    <col min="1" max="4" width="9.140625" customWidth="1"/>
    <col min="5" max="7" width="9.140625" style="1" customWidth="1"/>
    <col min="8" max="8" width="14.140625" customWidth="1"/>
    <col min="9" max="10" width="9.140625" customWidth="1"/>
    <col min="11" max="15" width="9.140625" style="1" customWidth="1"/>
    <col min="16" max="20" width="9.140625" customWidth="1"/>
    <col min="21" max="27" width="9.140625" style="2" customWidth="1"/>
    <col min="28" max="16384" width="9.140625" style="2"/>
  </cols>
  <sheetData>
    <row r="1" spans="1:24" s="40" customFormat="1" ht="45" customHeight="1" thickBot="1" x14ac:dyDescent="0.3">
      <c r="A1" s="40" t="s">
        <v>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</row>
    <row r="2" spans="1:24" ht="15.75" thickBot="1" x14ac:dyDescent="0.3">
      <c r="A2" s="36" t="s">
        <v>8</v>
      </c>
      <c r="B2" s="37"/>
    </row>
    <row r="3" spans="1:24" ht="15.75" thickBot="1" x14ac:dyDescent="0.3">
      <c r="A3" s="38"/>
      <c r="B3" s="39"/>
    </row>
    <row r="4" spans="1:24" ht="15" x14ac:dyDescent="0.25"/>
    <row r="5" spans="1:24" ht="15" x14ac:dyDescent="0.25"/>
    <row r="6" spans="1:24" ht="15" x14ac:dyDescent="0.25">
      <c r="A6" s="1"/>
      <c r="B6" s="1"/>
      <c r="C6" s="1"/>
      <c r="D6" s="1"/>
      <c r="H6" s="1"/>
      <c r="I6" s="1"/>
      <c r="J6" s="1"/>
      <c r="P6" s="1"/>
      <c r="Q6" s="1"/>
      <c r="R6" s="1"/>
      <c r="S6" s="1"/>
      <c r="T6" s="1"/>
    </row>
    <row r="7" spans="1:24" ht="15" x14ac:dyDescent="0.25">
      <c r="A7" s="1"/>
      <c r="B7" s="1"/>
      <c r="C7" s="1"/>
      <c r="D7" s="1"/>
      <c r="H7" s="1"/>
      <c r="I7" s="1"/>
      <c r="J7" s="1"/>
      <c r="P7" s="1"/>
      <c r="Q7" s="1"/>
      <c r="R7" s="1"/>
      <c r="S7" s="1"/>
      <c r="T7" s="1"/>
    </row>
    <row r="8" spans="1:24" ht="15" x14ac:dyDescent="0.25"/>
    <row r="9" spans="1:24" ht="15" x14ac:dyDescent="0.25"/>
    <row r="10" spans="1:24" ht="15" x14ac:dyDescent="0.25"/>
    <row r="11" spans="1:24" ht="15" x14ac:dyDescent="0.25"/>
    <row r="12" spans="1:24" ht="15" x14ac:dyDescent="0.25"/>
    <row r="13" spans="1:24" ht="15" x14ac:dyDescent="0.25"/>
    <row r="14" spans="1:24" ht="15" x14ac:dyDescent="0.25"/>
    <row r="15" spans="1:24" ht="15" x14ac:dyDescent="0.25"/>
    <row r="16" spans="1:24" ht="15" x14ac:dyDescent="0.25"/>
    <row r="17" spans="12:12" ht="15" x14ac:dyDescent="0.25"/>
    <row r="18" spans="12:12" ht="15" x14ac:dyDescent="0.25"/>
    <row r="19" spans="12:12" ht="15" x14ac:dyDescent="0.25"/>
    <row r="20" spans="12:12" ht="15" x14ac:dyDescent="0.25"/>
    <row r="21" spans="12:12" ht="15" x14ac:dyDescent="0.25"/>
    <row r="22" spans="12:12" ht="15" x14ac:dyDescent="0.25"/>
    <row r="23" spans="12:12" ht="14.25" customHeight="1" x14ac:dyDescent="0.25"/>
    <row r="24" spans="12:12" ht="14.25" customHeight="1" x14ac:dyDescent="0.25"/>
    <row r="25" spans="12:12" ht="14.25" customHeight="1" x14ac:dyDescent="0.25"/>
    <row r="26" spans="12:12" ht="15" x14ac:dyDescent="0.25"/>
    <row r="27" spans="12:12" ht="15" x14ac:dyDescent="0.25">
      <c r="L27"/>
    </row>
    <row r="28" spans="12:12" ht="15" x14ac:dyDescent="0.25"/>
    <row r="29" spans="12:12" ht="15" x14ac:dyDescent="0.25"/>
    <row r="30" spans="12:12" ht="15" x14ac:dyDescent="0.25"/>
  </sheetData>
  <mergeCells count="3">
    <mergeCell ref="A2:B2"/>
    <mergeCell ref="A3:B3"/>
    <mergeCell ref="A1:XFD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4"/>
  <sheetViews>
    <sheetView showGridLines="0" topLeftCell="A40" workbookViewId="0">
      <selection activeCell="D29" sqref="D29:I30"/>
    </sheetView>
  </sheetViews>
  <sheetFormatPr defaultRowHeight="15" zeroHeight="1" x14ac:dyDescent="0.25"/>
  <cols>
    <col min="1" max="1" width="0.140625" style="3" customWidth="1"/>
    <col min="2" max="2" width="1.42578125" style="3" customWidth="1"/>
    <col min="3" max="3" width="2.85546875" style="3" customWidth="1"/>
    <col min="4" max="4" width="38" style="3" customWidth="1"/>
    <col min="5" max="5" width="32" style="3" customWidth="1"/>
    <col min="6" max="6" width="14.42578125" style="3" customWidth="1"/>
    <col min="7" max="7" width="12.140625" style="3" customWidth="1"/>
    <col min="8" max="8" width="13.140625" style="3" bestFit="1" customWidth="1"/>
    <col min="9" max="9" width="14" style="3" customWidth="1"/>
    <col min="10" max="10" width="14.28515625" style="3" bestFit="1" customWidth="1"/>
    <col min="11" max="11" width="14" style="3" customWidth="1"/>
    <col min="12" max="12" width="11.140625" style="3" customWidth="1"/>
    <col min="13" max="13" width="11.28515625" style="3" customWidth="1"/>
    <col min="14" max="16384" width="9.140625" style="3"/>
  </cols>
  <sheetData>
    <row r="1" spans="1:17" s="25" customFormat="1" ht="36" customHeight="1" thickBot="1" x14ac:dyDescent="0.3">
      <c r="C1" s="43" t="s">
        <v>4</v>
      </c>
      <c r="D1" s="41"/>
      <c r="E1" s="41"/>
      <c r="F1" s="41"/>
      <c r="G1" s="41"/>
      <c r="H1" s="41"/>
      <c r="I1" s="41"/>
      <c r="J1" s="41"/>
      <c r="K1" s="41"/>
      <c r="L1" s="41"/>
      <c r="M1" s="44"/>
      <c r="N1" s="77"/>
      <c r="O1" s="77"/>
      <c r="P1" s="77"/>
      <c r="Q1" s="77"/>
    </row>
    <row r="2" spans="1:17" s="25" customFormat="1" ht="15" customHeight="1" x14ac:dyDescent="0.2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1:17" ht="13.5" customHeight="1" x14ac:dyDescent="0.25">
      <c r="C3" s="87" t="s">
        <v>10</v>
      </c>
      <c r="D3" s="87"/>
    </row>
    <row r="4" spans="1:17" ht="15" customHeight="1" x14ac:dyDescent="0.25"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17" x14ac:dyDescent="0.25"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6" spans="1:17" x14ac:dyDescent="0.25"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</row>
    <row r="7" spans="1:17" x14ac:dyDescent="0.25"/>
    <row r="8" spans="1:17" x14ac:dyDescent="0.25">
      <c r="C8" s="42" t="s">
        <v>11</v>
      </c>
      <c r="D8" s="42"/>
    </row>
    <row r="9" spans="1:17" x14ac:dyDescent="0.25">
      <c r="C9" s="53"/>
      <c r="D9" s="54"/>
      <c r="E9" s="54"/>
      <c r="F9" s="54"/>
      <c r="G9" s="54"/>
      <c r="H9" s="54"/>
      <c r="I9" s="54"/>
      <c r="J9" s="54"/>
      <c r="K9" s="54"/>
      <c r="L9" s="54"/>
      <c r="M9" s="55"/>
    </row>
    <row r="10" spans="1:17" x14ac:dyDescent="0.25">
      <c r="C10" s="56"/>
      <c r="D10" s="57"/>
      <c r="E10" s="57"/>
      <c r="F10" s="57"/>
      <c r="G10" s="57"/>
      <c r="H10" s="57"/>
      <c r="I10" s="57"/>
      <c r="J10" s="57"/>
      <c r="K10" s="57"/>
      <c r="L10" s="57"/>
      <c r="M10" s="58"/>
    </row>
    <row r="11" spans="1:17" x14ac:dyDescent="0.25"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1"/>
    </row>
    <row r="12" spans="1:17" ht="14.25" customHeight="1" thickBot="1" x14ac:dyDescent="0.3"/>
    <row r="13" spans="1:17" ht="27" customHeight="1" thickBot="1" x14ac:dyDescent="0.3">
      <c r="C13" s="51" t="s">
        <v>34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</row>
    <row r="14" spans="1:17" ht="33" customHeight="1" x14ac:dyDescent="0.25">
      <c r="C14" s="19" t="s">
        <v>21</v>
      </c>
      <c r="D14" s="19" t="s">
        <v>7</v>
      </c>
      <c r="E14" s="19" t="s">
        <v>13</v>
      </c>
      <c r="F14" s="20" t="s">
        <v>14</v>
      </c>
      <c r="G14" s="19" t="s">
        <v>15</v>
      </c>
      <c r="H14" s="19" t="s">
        <v>16</v>
      </c>
      <c r="I14" s="19" t="s">
        <v>17</v>
      </c>
      <c r="J14" s="19" t="s">
        <v>12</v>
      </c>
      <c r="K14" s="19" t="s">
        <v>18</v>
      </c>
      <c r="L14" s="19" t="s">
        <v>19</v>
      </c>
      <c r="M14" s="20" t="s">
        <v>31</v>
      </c>
    </row>
    <row r="15" spans="1:17" ht="33.75" customHeight="1" x14ac:dyDescent="0.25">
      <c r="C15" s="7">
        <v>1</v>
      </c>
      <c r="D15" s="8"/>
      <c r="E15" s="8"/>
      <c r="F15" s="7"/>
      <c r="G15" s="7"/>
      <c r="H15" s="7"/>
      <c r="I15" s="7"/>
      <c r="J15" s="12"/>
      <c r="K15" s="12"/>
      <c r="L15" s="17" t="str">
        <f>IF(I15="","",IF(I15="P/ Cima",IF(J15&gt;K15,"Vermelho",IF(J15&lt;K15,"Verde",IF(J15="","",IF(K15="","",IF(J15=K15,"Verde",""))))),IF(I15="P/ Baixo",IF(J15&lt;K15,"Vermelho",IF(J15&gt;K15,"Verde",IF(J15="","",IF(K15="","",IF(J15=K15,"Verde",""))))))))</f>
        <v/>
      </c>
      <c r="M15" s="17" t="str">
        <f>IF(L15="Verde","Não",IF(L15="Vermelho","Sim",""))</f>
        <v/>
      </c>
    </row>
    <row r="16" spans="1:17" ht="33.75" customHeight="1" x14ac:dyDescent="0.25">
      <c r="C16" s="5">
        <v>2</v>
      </c>
      <c r="D16" s="8"/>
      <c r="E16" s="8"/>
      <c r="F16" s="7"/>
      <c r="G16" s="7"/>
      <c r="H16" s="7"/>
      <c r="I16" s="5"/>
      <c r="J16" s="13"/>
      <c r="K16" s="13"/>
      <c r="L16" s="14" t="str">
        <f t="shared" ref="L16:L19" si="0">IF(I16="","",IF(I16="P/ Cima",IF(J16&gt;K16,"Vermelho",IF(J16&lt;K16,"Verde",IF(J16="","",IF(K16="","",IF(J16=K16,"Verde",""))))),IF(I16="P/ Baixo",IF(J16&lt;K16,"Vermelho",IF(J16&gt;K16,"Verde",IF(J16="","",IF(K16="","",IF(J16=K16,"Verde",""))))))))</f>
        <v/>
      </c>
      <c r="M16" s="14" t="str">
        <f t="shared" ref="M16:M24" si="1">IF(L16="Verde","Não",IF(L16="Vermelho","Sim",""))</f>
        <v/>
      </c>
    </row>
    <row r="17" spans="3:13" ht="33.75" customHeight="1" x14ac:dyDescent="0.25">
      <c r="C17" s="5">
        <v>3</v>
      </c>
      <c r="D17" s="9"/>
      <c r="E17" s="9"/>
      <c r="F17" s="5"/>
      <c r="G17" s="5"/>
      <c r="H17" s="5"/>
      <c r="I17" s="5"/>
      <c r="J17" s="5"/>
      <c r="K17" s="5"/>
      <c r="L17" s="14" t="str">
        <f t="shared" si="0"/>
        <v/>
      </c>
      <c r="M17" s="14" t="str">
        <f t="shared" si="1"/>
        <v/>
      </c>
    </row>
    <row r="18" spans="3:13" ht="33.75" customHeight="1" x14ac:dyDescent="0.25">
      <c r="C18" s="5">
        <v>4</v>
      </c>
      <c r="D18" s="9"/>
      <c r="E18" s="9"/>
      <c r="F18" s="5"/>
      <c r="G18" s="5"/>
      <c r="H18" s="5"/>
      <c r="I18" s="5"/>
      <c r="J18" s="5"/>
      <c r="K18" s="5"/>
      <c r="L18" s="14" t="str">
        <f t="shared" si="0"/>
        <v/>
      </c>
      <c r="M18" s="14" t="str">
        <f t="shared" si="1"/>
        <v/>
      </c>
    </row>
    <row r="19" spans="3:13" ht="33.75" customHeight="1" x14ac:dyDescent="0.25">
      <c r="C19" s="5">
        <v>5</v>
      </c>
      <c r="D19" s="9"/>
      <c r="E19" s="9"/>
      <c r="F19" s="5"/>
      <c r="G19" s="5"/>
      <c r="H19" s="5"/>
      <c r="I19" s="5"/>
      <c r="J19" s="5"/>
      <c r="K19" s="5"/>
      <c r="L19" s="14" t="str">
        <f t="shared" si="0"/>
        <v/>
      </c>
      <c r="M19" s="14" t="str">
        <f t="shared" si="1"/>
        <v/>
      </c>
    </row>
    <row r="20" spans="3:13" ht="33.75" customHeight="1" x14ac:dyDescent="0.25">
      <c r="C20" s="5">
        <v>6</v>
      </c>
      <c r="D20" s="9"/>
      <c r="E20" s="9"/>
      <c r="F20" s="5"/>
      <c r="G20" s="5"/>
      <c r="H20" s="5"/>
      <c r="I20" s="5"/>
      <c r="J20" s="5"/>
      <c r="K20" s="5"/>
      <c r="L20" s="14" t="str">
        <f>IF(I20="","",IF(I20="P/ Cima",IF(J20&gt;K20,"Vermelho",IF(J20&lt;K20,"Verde",IF(J20="","",IF(K20="","",IF(J20=K20,"Verde",""))))),IF(I20="P/ Baixo",IF(J20&lt;K20,"Vermelho",IF(J20&gt;K20,"Verde",IF(J20="","",IF(K20="","",IF(J20=K20,"Verde",""))))))))</f>
        <v/>
      </c>
      <c r="M20" s="14" t="str">
        <f>IF(L20="Verde","Não",IF(L20="Vermelho","Sim",""))</f>
        <v/>
      </c>
    </row>
    <row r="21" spans="3:13" ht="33.75" customHeight="1" x14ac:dyDescent="0.25">
      <c r="C21" s="5">
        <v>7</v>
      </c>
      <c r="D21" s="9"/>
      <c r="E21" s="9"/>
      <c r="F21" s="5"/>
      <c r="G21" s="5"/>
      <c r="H21" s="5"/>
      <c r="I21" s="5"/>
      <c r="J21" s="5"/>
      <c r="K21" s="5"/>
      <c r="L21" s="14" t="str">
        <f t="shared" ref="L21:L24" si="2">IF(I21="","",IF(I21="P/ Cima",IF(J21&gt;K21,"Vermelho",IF(J21&lt;K21,"Verde",IF(J21="","",IF(K21="","",IF(J21=K21,"Verde",""))))),IF(I21="P/ Baixo",IF(J21&lt;K21,"Vermelho",IF(J21&gt;K21,"Verde",IF(J21="","",IF(K21="","",IF(J21=K21,"Verde",""))))))))</f>
        <v/>
      </c>
      <c r="M21" s="14" t="str">
        <f t="shared" si="1"/>
        <v/>
      </c>
    </row>
    <row r="22" spans="3:13" ht="33.75" customHeight="1" x14ac:dyDescent="0.25">
      <c r="C22" s="5">
        <v>8</v>
      </c>
      <c r="D22" s="9"/>
      <c r="E22" s="9"/>
      <c r="F22" s="5"/>
      <c r="G22" s="5"/>
      <c r="H22" s="5"/>
      <c r="I22" s="5"/>
      <c r="J22" s="5"/>
      <c r="K22" s="5"/>
      <c r="L22" s="14" t="str">
        <f t="shared" si="2"/>
        <v/>
      </c>
      <c r="M22" s="14" t="str">
        <f t="shared" si="1"/>
        <v/>
      </c>
    </row>
    <row r="23" spans="3:13" ht="33.75" customHeight="1" x14ac:dyDescent="0.25">
      <c r="C23" s="5">
        <v>9</v>
      </c>
      <c r="D23" s="9"/>
      <c r="E23" s="9"/>
      <c r="F23" s="5"/>
      <c r="G23" s="5"/>
      <c r="H23" s="5"/>
      <c r="I23" s="5"/>
      <c r="J23" s="5"/>
      <c r="K23" s="5"/>
      <c r="L23" s="14" t="str">
        <f t="shared" si="2"/>
        <v/>
      </c>
      <c r="M23" s="14" t="str">
        <f t="shared" si="1"/>
        <v/>
      </c>
    </row>
    <row r="24" spans="3:13" ht="33.75" customHeight="1" x14ac:dyDescent="0.25">
      <c r="C24" s="5">
        <v>10</v>
      </c>
      <c r="D24" s="9"/>
      <c r="E24" s="9"/>
      <c r="F24" s="5"/>
      <c r="G24" s="5"/>
      <c r="H24" s="5"/>
      <c r="I24" s="5"/>
      <c r="J24" s="5"/>
      <c r="K24" s="5"/>
      <c r="L24" s="14" t="str">
        <f t="shared" si="2"/>
        <v/>
      </c>
      <c r="M24" s="14" t="str">
        <f t="shared" si="1"/>
        <v/>
      </c>
    </row>
    <row r="25" spans="3:13" ht="18" customHeight="1" thickBot="1" x14ac:dyDescent="0.3"/>
    <row r="26" spans="3:13" ht="27" customHeight="1" thickBot="1" x14ac:dyDescent="0.3">
      <c r="C26" s="48" t="s">
        <v>33</v>
      </c>
      <c r="D26" s="49"/>
      <c r="E26" s="49"/>
      <c r="F26" s="49"/>
      <c r="G26" s="49"/>
      <c r="H26" s="49"/>
      <c r="I26" s="49"/>
      <c r="J26" s="49"/>
      <c r="K26" s="49"/>
      <c r="L26" s="49"/>
      <c r="M26" s="50"/>
    </row>
    <row r="27" spans="3:13" ht="27.75" customHeight="1" thickBot="1" x14ac:dyDescent="0.3">
      <c r="C27" s="19" t="s">
        <v>21</v>
      </c>
      <c r="D27" s="19" t="s">
        <v>9</v>
      </c>
      <c r="E27" s="19" t="s">
        <v>20</v>
      </c>
      <c r="F27" s="20" t="s">
        <v>16</v>
      </c>
      <c r="G27" s="63" t="s">
        <v>38</v>
      </c>
      <c r="H27" s="64"/>
      <c r="I27" s="19" t="s">
        <v>32</v>
      </c>
      <c r="J27" s="19" t="s">
        <v>22</v>
      </c>
      <c r="K27" s="19"/>
      <c r="L27" s="19"/>
      <c r="M27" s="20"/>
    </row>
    <row r="28" spans="3:13" ht="15.75" x14ac:dyDescent="0.25">
      <c r="C28" s="19"/>
      <c r="D28" s="19"/>
      <c r="E28" s="19"/>
      <c r="F28" s="20"/>
      <c r="G28" s="19" t="s">
        <v>36</v>
      </c>
      <c r="H28" s="19" t="s">
        <v>37</v>
      </c>
      <c r="I28" s="19"/>
      <c r="J28" s="19"/>
      <c r="K28" s="19"/>
      <c r="L28" s="19"/>
      <c r="M28" s="20"/>
    </row>
    <row r="29" spans="3:13" ht="33.75" customHeight="1" x14ac:dyDescent="0.25">
      <c r="C29" s="7">
        <v>1</v>
      </c>
      <c r="D29" s="15"/>
      <c r="E29" s="78"/>
      <c r="F29" s="8"/>
      <c r="G29" s="10"/>
      <c r="H29" s="10"/>
      <c r="I29" s="7"/>
      <c r="J29" s="45"/>
      <c r="K29" s="46"/>
      <c r="L29" s="46"/>
      <c r="M29" s="47"/>
    </row>
    <row r="30" spans="3:13" x14ac:dyDescent="0.25">
      <c r="C30" s="7">
        <v>2</v>
      </c>
      <c r="D30" s="16"/>
      <c r="E30" s="79"/>
      <c r="F30" s="9"/>
      <c r="G30" s="18"/>
      <c r="H30" s="18"/>
      <c r="I30" s="7"/>
      <c r="J30" s="45"/>
      <c r="K30" s="46"/>
      <c r="L30" s="46"/>
      <c r="M30" s="47"/>
    </row>
    <row r="31" spans="3:13" ht="33.75" customHeight="1" x14ac:dyDescent="0.25">
      <c r="C31" s="7"/>
      <c r="D31" s="16" t="str">
        <f t="shared" ref="D30:D42" si="3">IFERROR(VLOOKUP(C31,$C$15:$D$24,2,FALSE),"")</f>
        <v/>
      </c>
      <c r="E31" s="79"/>
      <c r="F31" s="9"/>
      <c r="G31" s="5"/>
      <c r="H31" s="5"/>
      <c r="I31" s="7"/>
      <c r="J31" s="45"/>
      <c r="K31" s="46"/>
      <c r="L31" s="46"/>
      <c r="M31" s="47"/>
    </row>
    <row r="32" spans="3:13" ht="33.75" customHeight="1" x14ac:dyDescent="0.25">
      <c r="C32" s="7"/>
      <c r="D32" s="16" t="str">
        <f t="shared" si="3"/>
        <v/>
      </c>
      <c r="E32" s="79"/>
      <c r="F32" s="9"/>
      <c r="G32" s="5"/>
      <c r="H32" s="5"/>
      <c r="I32" s="7"/>
      <c r="J32" s="45"/>
      <c r="K32" s="46"/>
      <c r="L32" s="46"/>
      <c r="M32" s="47"/>
    </row>
    <row r="33" spans="3:13" ht="33.75" customHeight="1" x14ac:dyDescent="0.25">
      <c r="C33" s="7"/>
      <c r="D33" s="16" t="str">
        <f t="shared" si="3"/>
        <v/>
      </c>
      <c r="E33" s="79"/>
      <c r="F33" s="9"/>
      <c r="G33" s="5"/>
      <c r="H33" s="5"/>
      <c r="I33" s="7"/>
      <c r="J33" s="45"/>
      <c r="K33" s="46"/>
      <c r="L33" s="46"/>
      <c r="M33" s="47"/>
    </row>
    <row r="34" spans="3:13" ht="33.75" customHeight="1" x14ac:dyDescent="0.25">
      <c r="C34" s="7"/>
      <c r="D34" s="16" t="str">
        <f t="shared" si="3"/>
        <v/>
      </c>
      <c r="E34" s="79"/>
      <c r="F34" s="9"/>
      <c r="G34" s="5"/>
      <c r="H34" s="5"/>
      <c r="I34" s="7"/>
      <c r="J34" s="45"/>
      <c r="K34" s="46"/>
      <c r="L34" s="46"/>
      <c r="M34" s="47"/>
    </row>
    <row r="35" spans="3:13" ht="33.75" customHeight="1" x14ac:dyDescent="0.25">
      <c r="C35" s="7"/>
      <c r="D35" s="16" t="str">
        <f t="shared" si="3"/>
        <v/>
      </c>
      <c r="E35" s="79"/>
      <c r="F35" s="9"/>
      <c r="G35" s="5"/>
      <c r="H35" s="5"/>
      <c r="I35" s="7"/>
      <c r="J35" s="45"/>
      <c r="K35" s="46"/>
      <c r="L35" s="46"/>
      <c r="M35" s="47"/>
    </row>
    <row r="36" spans="3:13" ht="33.75" customHeight="1" x14ac:dyDescent="0.25">
      <c r="C36" s="7"/>
      <c r="D36" s="16" t="str">
        <f t="shared" si="3"/>
        <v/>
      </c>
      <c r="E36" s="79"/>
      <c r="F36" s="9"/>
      <c r="G36" s="5"/>
      <c r="H36" s="5"/>
      <c r="I36" s="7"/>
      <c r="J36" s="45"/>
      <c r="K36" s="46"/>
      <c r="L36" s="46"/>
      <c r="M36" s="47"/>
    </row>
    <row r="37" spans="3:13" ht="33.75" customHeight="1" x14ac:dyDescent="0.25">
      <c r="C37" s="7"/>
      <c r="D37" s="16" t="str">
        <f t="shared" si="3"/>
        <v/>
      </c>
      <c r="E37" s="79"/>
      <c r="F37" s="9"/>
      <c r="G37" s="5"/>
      <c r="H37" s="5"/>
      <c r="I37" s="7"/>
      <c r="J37" s="45"/>
      <c r="K37" s="46"/>
      <c r="L37" s="46"/>
      <c r="M37" s="47"/>
    </row>
    <row r="38" spans="3:13" ht="33.75" customHeight="1" x14ac:dyDescent="0.25">
      <c r="C38" s="7"/>
      <c r="D38" s="16" t="str">
        <f t="shared" si="3"/>
        <v/>
      </c>
      <c r="E38" s="79"/>
      <c r="F38" s="9"/>
      <c r="G38" s="5"/>
      <c r="H38" s="5"/>
      <c r="I38" s="7"/>
      <c r="J38" s="45"/>
      <c r="K38" s="46"/>
      <c r="L38" s="46"/>
      <c r="M38" s="47"/>
    </row>
    <row r="39" spans="3:13" ht="33.75" customHeight="1" x14ac:dyDescent="0.25">
      <c r="C39" s="7"/>
      <c r="D39" s="16" t="str">
        <f t="shared" si="3"/>
        <v/>
      </c>
      <c r="E39" s="79"/>
      <c r="F39" s="9"/>
      <c r="G39" s="5"/>
      <c r="H39" s="5"/>
      <c r="I39" s="7"/>
      <c r="J39" s="45"/>
      <c r="K39" s="46"/>
      <c r="L39" s="46"/>
      <c r="M39" s="47"/>
    </row>
    <row r="40" spans="3:13" ht="33.75" customHeight="1" x14ac:dyDescent="0.25">
      <c r="C40" s="7"/>
      <c r="D40" s="16" t="str">
        <f t="shared" si="3"/>
        <v/>
      </c>
      <c r="E40" s="79"/>
      <c r="F40" s="9"/>
      <c r="G40" s="5"/>
      <c r="H40" s="5"/>
      <c r="I40" s="7"/>
      <c r="J40" s="45"/>
      <c r="K40" s="46"/>
      <c r="L40" s="46"/>
      <c r="M40" s="47"/>
    </row>
    <row r="41" spans="3:13" ht="33.75" customHeight="1" x14ac:dyDescent="0.25">
      <c r="C41" s="7"/>
      <c r="D41" s="16" t="str">
        <f t="shared" si="3"/>
        <v/>
      </c>
      <c r="E41" s="79"/>
      <c r="F41" s="9"/>
      <c r="G41" s="5"/>
      <c r="H41" s="5"/>
      <c r="I41" s="7"/>
      <c r="J41" s="45"/>
      <c r="K41" s="46"/>
      <c r="L41" s="46"/>
      <c r="M41" s="47"/>
    </row>
    <row r="42" spans="3:13" ht="33.75" customHeight="1" x14ac:dyDescent="0.25">
      <c r="C42" s="7"/>
      <c r="D42" s="16" t="str">
        <f t="shared" si="3"/>
        <v/>
      </c>
      <c r="E42" s="79"/>
      <c r="F42" s="9"/>
      <c r="G42" s="5"/>
      <c r="H42" s="5"/>
      <c r="I42" s="7"/>
      <c r="J42" s="45"/>
      <c r="K42" s="46"/>
      <c r="L42" s="46"/>
      <c r="M42" s="47"/>
    </row>
    <row r="43" spans="3:13" ht="25.5" customHeight="1" x14ac:dyDescent="0.25">
      <c r="C43" s="6"/>
      <c r="D43" s="6"/>
      <c r="E43" s="6"/>
      <c r="F43" s="6"/>
      <c r="G43" s="6"/>
      <c r="H43" s="6"/>
      <c r="I43" s="6"/>
      <c r="J43" s="6"/>
      <c r="K43" s="6"/>
      <c r="L43" s="80"/>
      <c r="M43" s="80"/>
    </row>
    <row r="44" spans="3:13" ht="27" customHeight="1" x14ac:dyDescent="0.25">
      <c r="C44" s="62" t="s">
        <v>35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spans="3:13" ht="16.5" customHeight="1" x14ac:dyDescent="0.25">
      <c r="C45" s="22"/>
      <c r="D45" s="23"/>
      <c r="E45" s="23"/>
      <c r="F45" s="23"/>
      <c r="G45" s="23"/>
      <c r="H45" s="23"/>
      <c r="I45" s="23"/>
      <c r="J45" s="23"/>
      <c r="K45" s="23"/>
      <c r="L45" s="81"/>
      <c r="M45" s="82"/>
    </row>
    <row r="46" spans="3:13" ht="16.5" customHeight="1" x14ac:dyDescent="0.25">
      <c r="C46" s="24"/>
      <c r="D46" s="21"/>
      <c r="E46" s="21"/>
      <c r="F46" s="21"/>
      <c r="G46" s="21"/>
      <c r="H46" s="21"/>
      <c r="I46" s="21"/>
      <c r="J46" s="21"/>
      <c r="K46" s="21"/>
      <c r="L46" s="83"/>
      <c r="M46" s="84"/>
    </row>
    <row r="47" spans="3:13" ht="16.5" customHeight="1" x14ac:dyDescent="0.25">
      <c r="C47" s="24"/>
      <c r="D47" s="21"/>
      <c r="E47" s="21"/>
      <c r="F47" s="21"/>
      <c r="G47" s="21"/>
      <c r="H47" s="21"/>
      <c r="I47" s="21"/>
      <c r="J47" s="21"/>
      <c r="K47" s="21"/>
      <c r="L47" s="83"/>
      <c r="M47" s="84"/>
    </row>
    <row r="48" spans="3:13" ht="16.5" customHeight="1" x14ac:dyDescent="0.25">
      <c r="C48" s="24"/>
      <c r="D48" s="21"/>
      <c r="E48" s="21"/>
      <c r="F48" s="21"/>
      <c r="G48" s="21"/>
      <c r="H48" s="21"/>
      <c r="I48" s="21"/>
      <c r="J48" s="21"/>
      <c r="K48" s="21"/>
      <c r="L48" s="83"/>
      <c r="M48" s="84"/>
    </row>
    <row r="49" spans="3:14" ht="16.5" customHeight="1" x14ac:dyDescent="0.25">
      <c r="C49" s="24"/>
      <c r="D49" s="21"/>
      <c r="E49" s="21"/>
      <c r="F49" s="21"/>
      <c r="G49" s="21"/>
      <c r="H49" s="21"/>
      <c r="I49" s="21"/>
      <c r="J49" s="21"/>
      <c r="K49" s="21"/>
      <c r="L49" s="83"/>
      <c r="M49" s="84"/>
    </row>
    <row r="50" spans="3:14" ht="16.5" customHeight="1" x14ac:dyDescent="0.25">
      <c r="C50" s="24"/>
      <c r="D50" s="25"/>
      <c r="E50" s="21"/>
      <c r="F50" s="25"/>
      <c r="G50" s="25"/>
      <c r="H50" s="25"/>
      <c r="I50" s="21"/>
      <c r="J50" s="25"/>
      <c r="K50" s="25"/>
      <c r="L50" s="25"/>
      <c r="M50" s="26"/>
    </row>
    <row r="51" spans="3:14" ht="16.5" customHeight="1" x14ac:dyDescent="0.25">
      <c r="C51" s="24"/>
      <c r="D51" s="25"/>
      <c r="E51" s="21"/>
      <c r="F51" s="25"/>
      <c r="G51" s="25"/>
      <c r="H51" s="25"/>
      <c r="I51" s="21"/>
      <c r="J51" s="25"/>
      <c r="K51" s="25"/>
      <c r="L51" s="25"/>
      <c r="M51" s="26"/>
    </row>
    <row r="52" spans="3:14" ht="16.5" customHeight="1" x14ac:dyDescent="0.25">
      <c r="C52" s="24"/>
      <c r="D52" s="25"/>
      <c r="E52" s="21"/>
      <c r="F52" s="25"/>
      <c r="G52" s="25"/>
      <c r="H52" s="25"/>
      <c r="I52" s="21"/>
      <c r="J52" s="25"/>
      <c r="K52" s="25"/>
      <c r="L52" s="25"/>
      <c r="M52" s="26"/>
    </row>
    <row r="53" spans="3:14" ht="16.5" customHeight="1" x14ac:dyDescent="0.25">
      <c r="C53" s="24"/>
      <c r="D53" s="25"/>
      <c r="E53" s="21"/>
      <c r="F53" s="25"/>
      <c r="G53" s="25"/>
      <c r="H53" s="25"/>
      <c r="I53" s="21"/>
      <c r="J53" s="25"/>
      <c r="K53" s="25"/>
      <c r="L53" s="25"/>
      <c r="M53" s="26"/>
    </row>
    <row r="54" spans="3:14" ht="16.5" customHeight="1" x14ac:dyDescent="0.25">
      <c r="C54" s="24"/>
      <c r="D54" s="25"/>
      <c r="E54" s="21"/>
      <c r="F54" s="25"/>
      <c r="G54" s="25"/>
      <c r="H54" s="25"/>
      <c r="I54" s="21"/>
      <c r="J54" s="25"/>
      <c r="K54" s="25"/>
      <c r="L54" s="25"/>
      <c r="M54" s="26"/>
    </row>
    <row r="55" spans="3:14" ht="25.5" customHeight="1" x14ac:dyDescent="0.25">
      <c r="C55" s="24"/>
      <c r="D55" s="21"/>
      <c r="E55" s="21"/>
      <c r="F55" s="25"/>
      <c r="G55" s="25"/>
      <c r="H55" s="25"/>
      <c r="I55" s="21"/>
      <c r="J55" s="25"/>
      <c r="K55" s="25"/>
      <c r="L55" s="25"/>
      <c r="M55" s="26"/>
      <c r="N55" s="4"/>
    </row>
    <row r="56" spans="3:14" ht="25.5" customHeight="1" x14ac:dyDescent="0.25">
      <c r="C56" s="24"/>
      <c r="D56" s="21"/>
      <c r="E56" s="21"/>
      <c r="F56" s="21"/>
      <c r="G56" s="21"/>
      <c r="H56" s="21"/>
      <c r="I56" s="21"/>
      <c r="J56" s="21"/>
      <c r="K56" s="21"/>
      <c r="L56" s="83"/>
      <c r="M56" s="84"/>
    </row>
    <row r="57" spans="3:14" ht="25.5" customHeight="1" x14ac:dyDescent="0.25">
      <c r="C57" s="24"/>
      <c r="D57" s="21"/>
      <c r="E57" s="21"/>
      <c r="F57" s="21"/>
      <c r="G57" s="21"/>
      <c r="H57" s="21"/>
      <c r="I57" s="21"/>
      <c r="J57" s="21"/>
      <c r="K57" s="21"/>
      <c r="L57" s="83"/>
      <c r="M57" s="84"/>
    </row>
    <row r="58" spans="3:14" x14ac:dyDescent="0.25">
      <c r="C58" s="85"/>
      <c r="D58" s="25"/>
      <c r="E58" s="25"/>
      <c r="F58" s="25"/>
      <c r="G58" s="25"/>
      <c r="H58" s="25"/>
      <c r="I58" s="25"/>
      <c r="J58" s="25"/>
      <c r="K58" s="25"/>
      <c r="L58" s="25"/>
      <c r="M58" s="26"/>
    </row>
    <row r="59" spans="3:14" x14ac:dyDescent="0.25">
      <c r="C59" s="85"/>
      <c r="D59" s="25"/>
      <c r="E59" s="25"/>
      <c r="F59" s="25"/>
      <c r="G59" s="25"/>
      <c r="H59" s="25"/>
      <c r="I59" s="25"/>
      <c r="J59" s="25"/>
      <c r="K59" s="25"/>
      <c r="L59" s="25"/>
      <c r="M59" s="26"/>
    </row>
    <row r="60" spans="3:14" x14ac:dyDescent="0.25">
      <c r="C60" s="86"/>
      <c r="D60" s="27"/>
      <c r="E60" s="27"/>
      <c r="F60" s="27"/>
      <c r="G60" s="27"/>
      <c r="H60" s="27"/>
      <c r="I60" s="27"/>
      <c r="J60" s="27"/>
      <c r="K60" s="27"/>
      <c r="L60" s="27"/>
      <c r="M60" s="28"/>
    </row>
    <row r="61" spans="3:14" x14ac:dyDescent="0.25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3:14" x14ac:dyDescent="0.25">
      <c r="C62" s="4"/>
      <c r="D62" s="4"/>
      <c r="E62" s="4"/>
      <c r="F62" s="33" t="s">
        <v>42</v>
      </c>
      <c r="G62" s="33" t="s">
        <v>1</v>
      </c>
      <c r="H62" s="33" t="s">
        <v>2</v>
      </c>
      <c r="I62" s="4"/>
      <c r="J62" s="4"/>
      <c r="K62" s="4"/>
      <c r="L62" s="4"/>
      <c r="M62" s="4"/>
    </row>
    <row r="63" spans="3:14" x14ac:dyDescent="0.25">
      <c r="C63" s="4"/>
      <c r="D63" s="4"/>
      <c r="E63" s="4"/>
      <c r="F63" s="29" t="s">
        <v>39</v>
      </c>
      <c r="G63" s="29">
        <f>COUNTIF($I$29:$I$42,"Concluída")</f>
        <v>0</v>
      </c>
      <c r="H63" s="30" t="str">
        <f>IFERROR(G63/$G$67,"")</f>
        <v/>
      </c>
      <c r="I63" s="4"/>
      <c r="J63" s="4"/>
      <c r="K63" s="4"/>
      <c r="L63" s="4"/>
      <c r="M63" s="4"/>
    </row>
    <row r="64" spans="3:14" x14ac:dyDescent="0.25">
      <c r="C64" s="4"/>
      <c r="D64" s="4"/>
      <c r="E64" s="4"/>
      <c r="F64" s="29" t="s">
        <v>43</v>
      </c>
      <c r="G64" s="29">
        <f>COUNTIF($I$29:$I$42,"Em andamento")</f>
        <v>0</v>
      </c>
      <c r="H64" s="30" t="str">
        <f>IFERROR(G64/$G$67,"")</f>
        <v/>
      </c>
      <c r="I64" s="4"/>
      <c r="J64" s="4"/>
      <c r="K64" s="4"/>
      <c r="L64" s="4"/>
      <c r="M64" s="4"/>
    </row>
    <row r="65" spans="3:13" x14ac:dyDescent="0.25">
      <c r="C65" s="4"/>
      <c r="D65" s="4"/>
      <c r="E65" s="4"/>
      <c r="F65" s="29" t="s">
        <v>40</v>
      </c>
      <c r="G65" s="29">
        <f>COUNTIF($I$29:$I$42,"Atrasada")</f>
        <v>0</v>
      </c>
      <c r="H65" s="30" t="str">
        <f>IFERROR(G65/$G$67,"")</f>
        <v/>
      </c>
      <c r="I65" s="4"/>
      <c r="J65" s="4"/>
      <c r="K65" s="4"/>
      <c r="L65" s="4"/>
      <c r="M65" s="4"/>
    </row>
    <row r="66" spans="3:13" x14ac:dyDescent="0.25">
      <c r="C66" s="4"/>
      <c r="D66" s="4"/>
      <c r="E66" s="4"/>
      <c r="F66" s="31" t="s">
        <v>41</v>
      </c>
      <c r="G66" s="31">
        <f>COUNTIF($I$29:$I$42,"Não Iniciada")</f>
        <v>0</v>
      </c>
      <c r="H66" s="32" t="str">
        <f>IFERROR(G66/$G$67,"")</f>
        <v/>
      </c>
      <c r="I66" s="4"/>
      <c r="J66" s="4"/>
      <c r="K66" s="4"/>
      <c r="L66" s="4"/>
      <c r="M66" s="4"/>
    </row>
    <row r="67" spans="3:13" x14ac:dyDescent="0.25">
      <c r="C67" s="4"/>
      <c r="D67" s="4"/>
      <c r="E67" s="4"/>
      <c r="F67" s="34" t="s">
        <v>0</v>
      </c>
      <c r="G67" s="34">
        <f>SUM(G63:G66)</f>
        <v>0</v>
      </c>
      <c r="H67" s="35">
        <f>SUM(H63:H66)</f>
        <v>0</v>
      </c>
      <c r="I67" s="4"/>
      <c r="J67" s="4"/>
      <c r="K67" s="4"/>
      <c r="L67" s="4"/>
      <c r="M67" s="4"/>
    </row>
    <row r="68" spans="3:13" x14ac:dyDescent="0.25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3:13" s="4" customFormat="1" x14ac:dyDescent="0.25"/>
    <row r="70" spans="3:13" s="4" customFormat="1" x14ac:dyDescent="0.25"/>
    <row r="71" spans="3:13" x14ac:dyDescent="0.25"/>
    <row r="72" spans="3:13" hidden="1" x14ac:dyDescent="0.25">
      <c r="D72" s="3" t="s">
        <v>25</v>
      </c>
    </row>
    <row r="73" spans="3:13" hidden="1" x14ac:dyDescent="0.25">
      <c r="D73" s="3" t="s">
        <v>26</v>
      </c>
    </row>
    <row r="74" spans="3:13" hidden="1" x14ac:dyDescent="0.25">
      <c r="D74" s="3" t="s">
        <v>27</v>
      </c>
    </row>
    <row r="75" spans="3:13" hidden="1" x14ac:dyDescent="0.25">
      <c r="D75" s="3" t="s">
        <v>28</v>
      </c>
    </row>
    <row r="76" spans="3:13" hidden="1" x14ac:dyDescent="0.25">
      <c r="D76" s="3" t="s">
        <v>29</v>
      </c>
    </row>
    <row r="77" spans="3:13" hidden="1" x14ac:dyDescent="0.25">
      <c r="D77" s="3" t="s">
        <v>30</v>
      </c>
    </row>
    <row r="78" spans="3:13" hidden="1" x14ac:dyDescent="0.25"/>
    <row r="79" spans="3:13" hidden="1" x14ac:dyDescent="0.25">
      <c r="D79" s="3" t="s">
        <v>23</v>
      </c>
    </row>
    <row r="80" spans="3:13" hidden="1" x14ac:dyDescent="0.25">
      <c r="D80" s="3" t="s">
        <v>24</v>
      </c>
    </row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x14ac:dyDescent="0.25"/>
    <row r="91" x14ac:dyDescent="0.25"/>
    <row r="92" x14ac:dyDescent="0.25"/>
    <row r="93" x14ac:dyDescent="0.25"/>
    <row r="94" x14ac:dyDescent="0.25"/>
  </sheetData>
  <mergeCells count="23">
    <mergeCell ref="J41:M41"/>
    <mergeCell ref="J42:M42"/>
    <mergeCell ref="C44:M44"/>
    <mergeCell ref="G27:H27"/>
    <mergeCell ref="J29:M29"/>
    <mergeCell ref="J30:M30"/>
    <mergeCell ref="J31:M31"/>
    <mergeCell ref="J32:M32"/>
    <mergeCell ref="J33:M33"/>
    <mergeCell ref="J34:M34"/>
    <mergeCell ref="C8:D8"/>
    <mergeCell ref="C1:M1"/>
    <mergeCell ref="J40:M40"/>
    <mergeCell ref="C26:M26"/>
    <mergeCell ref="C13:M13"/>
    <mergeCell ref="J35:M35"/>
    <mergeCell ref="J36:M36"/>
    <mergeCell ref="J37:M37"/>
    <mergeCell ref="J38:M38"/>
    <mergeCell ref="J39:M39"/>
    <mergeCell ref="C3:D3"/>
    <mergeCell ref="C4:M6"/>
    <mergeCell ref="C9:M11"/>
  </mergeCells>
  <conditionalFormatting sqref="L15:L24">
    <cfRule type="cellIs" dxfId="7" priority="1" operator="equal">
      <formula>"Vermelho"</formula>
    </cfRule>
    <cfRule type="cellIs" dxfId="6" priority="2" operator="equal">
      <formula>"Verde"</formula>
    </cfRule>
  </conditionalFormatting>
  <dataValidations count="3">
    <dataValidation type="list" allowBlank="1" showInputMessage="1" showErrorMessage="1" sqref="I15:I24">
      <formula1>$D$79:$D$80</formula1>
    </dataValidation>
    <dataValidation type="list" allowBlank="1" showInputMessage="1" showErrorMessage="1" sqref="G15:G24">
      <formula1>$D$72:$D$77</formula1>
    </dataValidation>
    <dataValidation type="list" allowBlank="1" showInputMessage="1" showErrorMessage="1" sqref="I29:I42">
      <formula1>$F$63:$F$66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3"/>
  <sheetViews>
    <sheetView showGridLines="0" topLeftCell="A40" workbookViewId="0">
      <selection activeCell="D15" sqref="D15:K15"/>
    </sheetView>
  </sheetViews>
  <sheetFormatPr defaultRowHeight="15" customHeight="1" zeroHeight="1" x14ac:dyDescent="0.25"/>
  <cols>
    <col min="1" max="1" width="0.140625" style="3" customWidth="1"/>
    <col min="2" max="2" width="1.42578125" style="3" customWidth="1"/>
    <col min="3" max="3" width="2.85546875" style="3" customWidth="1"/>
    <col min="4" max="4" width="38" style="3" customWidth="1"/>
    <col min="5" max="5" width="32" style="3" customWidth="1"/>
    <col min="6" max="6" width="14.42578125" style="3" customWidth="1"/>
    <col min="7" max="7" width="12.140625" style="3" customWidth="1"/>
    <col min="8" max="8" width="13.140625" style="3" bestFit="1" customWidth="1"/>
    <col min="9" max="9" width="14" style="3" customWidth="1"/>
    <col min="10" max="10" width="13.42578125" style="3" customWidth="1"/>
    <col min="11" max="11" width="14" style="3" customWidth="1"/>
    <col min="12" max="12" width="11.140625" style="3" customWidth="1"/>
    <col min="13" max="13" width="11.28515625" style="3" customWidth="1"/>
    <col min="14" max="16384" width="9.140625" style="3"/>
  </cols>
  <sheetData>
    <row r="1" spans="1:17" s="25" customFormat="1" ht="36" customHeight="1" thickBot="1" x14ac:dyDescent="0.3">
      <c r="C1" s="43" t="s">
        <v>5</v>
      </c>
      <c r="D1" s="65"/>
      <c r="E1" s="65"/>
      <c r="F1" s="65"/>
      <c r="G1" s="65"/>
      <c r="H1" s="65"/>
      <c r="I1" s="65"/>
      <c r="J1" s="65"/>
      <c r="K1" s="65"/>
      <c r="L1" s="65"/>
      <c r="M1" s="66"/>
      <c r="N1" s="77"/>
      <c r="O1" s="77"/>
      <c r="P1" s="77"/>
      <c r="Q1" s="77"/>
    </row>
    <row r="2" spans="1:17" s="25" customFormat="1" ht="15" customHeight="1" x14ac:dyDescent="0.2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1:17" ht="13.5" customHeight="1" x14ac:dyDescent="0.25">
      <c r="C3" s="89" t="s">
        <v>10</v>
      </c>
      <c r="D3" s="89"/>
    </row>
    <row r="4" spans="1:17" ht="15" customHeight="1" x14ac:dyDescent="0.25"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</row>
    <row r="5" spans="1:17" x14ac:dyDescent="0.25"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7" x14ac:dyDescent="0.25"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</row>
    <row r="7" spans="1:17" x14ac:dyDescent="0.25"/>
    <row r="8" spans="1:17" x14ac:dyDescent="0.25">
      <c r="C8" s="42" t="s">
        <v>11</v>
      </c>
      <c r="D8" s="42"/>
    </row>
    <row r="9" spans="1:17" x14ac:dyDescent="0.25">
      <c r="C9" s="68"/>
      <c r="D9" s="69"/>
      <c r="E9" s="69"/>
      <c r="F9" s="69"/>
      <c r="G9" s="69"/>
      <c r="H9" s="69"/>
      <c r="I9" s="69"/>
      <c r="J9" s="69"/>
      <c r="K9" s="69"/>
      <c r="L9" s="69"/>
      <c r="M9" s="70"/>
    </row>
    <row r="10" spans="1:17" x14ac:dyDescent="0.25">
      <c r="C10" s="71"/>
      <c r="D10" s="72"/>
      <c r="E10" s="72"/>
      <c r="F10" s="72"/>
      <c r="G10" s="72"/>
      <c r="H10" s="72"/>
      <c r="I10" s="72"/>
      <c r="J10" s="72"/>
      <c r="K10" s="72"/>
      <c r="L10" s="72"/>
      <c r="M10" s="73"/>
    </row>
    <row r="11" spans="1:17" x14ac:dyDescent="0.25">
      <c r="C11" s="74"/>
      <c r="D11" s="75"/>
      <c r="E11" s="75"/>
      <c r="F11" s="75"/>
      <c r="G11" s="75"/>
      <c r="H11" s="75"/>
      <c r="I11" s="75"/>
      <c r="J11" s="75"/>
      <c r="K11" s="75"/>
      <c r="L11" s="75"/>
      <c r="M11" s="76"/>
    </row>
    <row r="12" spans="1:17" ht="14.25" customHeight="1" thickBot="1" x14ac:dyDescent="0.3"/>
    <row r="13" spans="1:17" ht="27" customHeight="1" thickBot="1" x14ac:dyDescent="0.3">
      <c r="C13" s="51" t="s">
        <v>34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</row>
    <row r="14" spans="1:17" ht="33" customHeight="1" x14ac:dyDescent="0.25">
      <c r="C14" s="19" t="s">
        <v>21</v>
      </c>
      <c r="D14" s="19" t="s">
        <v>7</v>
      </c>
      <c r="E14" s="19" t="s">
        <v>13</v>
      </c>
      <c r="F14" s="20" t="s">
        <v>14</v>
      </c>
      <c r="G14" s="19" t="s">
        <v>15</v>
      </c>
      <c r="H14" s="19" t="s">
        <v>16</v>
      </c>
      <c r="I14" s="19" t="s">
        <v>17</v>
      </c>
      <c r="J14" s="19" t="s">
        <v>12</v>
      </c>
      <c r="K14" s="19" t="s">
        <v>18</v>
      </c>
      <c r="L14" s="19" t="s">
        <v>19</v>
      </c>
      <c r="M14" s="20" t="s">
        <v>31</v>
      </c>
    </row>
    <row r="15" spans="1:17" ht="33.75" customHeight="1" x14ac:dyDescent="0.25">
      <c r="C15" s="7">
        <v>1</v>
      </c>
      <c r="D15" s="8"/>
      <c r="E15" s="8"/>
      <c r="F15" s="7"/>
      <c r="G15" s="7"/>
      <c r="H15" s="7"/>
      <c r="I15" s="7"/>
      <c r="J15" s="11"/>
      <c r="K15" s="11"/>
      <c r="L15" s="17" t="str">
        <f t="shared" ref="L15:L19" si="0">IF(I15="","",IF(I15="P/ Cima",IF(J15&gt;K15,"Vermelho",IF(J15&lt;K15,"Verde",IF(J15="","",IF(K15="","",IF(J15=K15,"Verde",""))))),IF(I15="P/ Baixo",IF(J15&lt;K15,"Vermelho",IF(J15&gt;K15,"Verde",IF(J15="","",IF(K15="","",IF(J15=K15,"Verde",""))))))))</f>
        <v/>
      </c>
      <c r="M15" s="17" t="str">
        <f>IF(L15="Verde","Não",IF(L15="Vermelho","Sim",""))</f>
        <v/>
      </c>
    </row>
    <row r="16" spans="1:17" ht="33.75" customHeight="1" x14ac:dyDescent="0.25">
      <c r="C16" s="5">
        <v>2</v>
      </c>
      <c r="D16" s="9"/>
      <c r="E16" s="9"/>
      <c r="F16" s="5"/>
      <c r="G16" s="5"/>
      <c r="H16" s="5"/>
      <c r="I16" s="5"/>
      <c r="J16" s="5"/>
      <c r="K16" s="5"/>
      <c r="L16" s="14" t="str">
        <f t="shared" si="0"/>
        <v/>
      </c>
      <c r="M16" s="14" t="str">
        <f t="shared" ref="M16:M24" si="1">IF(L16="Verde","Não",IF(L16="Vermelho","Sim",""))</f>
        <v/>
      </c>
    </row>
    <row r="17" spans="3:13" ht="33.75" customHeight="1" x14ac:dyDescent="0.25">
      <c r="C17" s="5">
        <v>3</v>
      </c>
      <c r="D17" s="9"/>
      <c r="E17" s="9"/>
      <c r="F17" s="5"/>
      <c r="G17" s="5"/>
      <c r="H17" s="5"/>
      <c r="I17" s="5"/>
      <c r="J17" s="5"/>
      <c r="K17" s="5"/>
      <c r="L17" s="14" t="str">
        <f t="shared" si="0"/>
        <v/>
      </c>
      <c r="M17" s="14" t="str">
        <f t="shared" si="1"/>
        <v/>
      </c>
    </row>
    <row r="18" spans="3:13" ht="33.75" customHeight="1" x14ac:dyDescent="0.25">
      <c r="C18" s="5">
        <v>4</v>
      </c>
      <c r="D18" s="9"/>
      <c r="E18" s="9"/>
      <c r="F18" s="5"/>
      <c r="G18" s="5"/>
      <c r="H18" s="5"/>
      <c r="I18" s="5"/>
      <c r="J18" s="5"/>
      <c r="K18" s="5"/>
      <c r="L18" s="14" t="str">
        <f t="shared" si="0"/>
        <v/>
      </c>
      <c r="M18" s="14" t="str">
        <f t="shared" si="1"/>
        <v/>
      </c>
    </row>
    <row r="19" spans="3:13" ht="33.75" customHeight="1" x14ac:dyDescent="0.25">
      <c r="C19" s="5">
        <v>5</v>
      </c>
      <c r="D19" s="9"/>
      <c r="E19" s="9"/>
      <c r="F19" s="5"/>
      <c r="G19" s="5"/>
      <c r="H19" s="5"/>
      <c r="I19" s="5"/>
      <c r="J19" s="5"/>
      <c r="K19" s="5"/>
      <c r="L19" s="14" t="str">
        <f t="shared" si="0"/>
        <v/>
      </c>
      <c r="M19" s="14" t="str">
        <f t="shared" si="1"/>
        <v/>
      </c>
    </row>
    <row r="20" spans="3:13" ht="33.75" customHeight="1" x14ac:dyDescent="0.25">
      <c r="C20" s="5">
        <v>6</v>
      </c>
      <c r="D20" s="9"/>
      <c r="E20" s="9"/>
      <c r="F20" s="5"/>
      <c r="G20" s="5"/>
      <c r="H20" s="5"/>
      <c r="I20" s="5"/>
      <c r="J20" s="5"/>
      <c r="K20" s="5"/>
      <c r="L20" s="14" t="str">
        <f>IF(I20="","",IF(I20="P/ Cima",IF(J20&gt;K20,"Vermelho",IF(J20&lt;K20,"Verde",IF(J20="","",IF(K20="","",IF(J20=K20,"Verde",""))))),IF(I20="P/ Baixo",IF(J20&lt;K20,"Vermelho",IF(J20&gt;K20,"Verde",IF(J20="","",IF(K20="","",IF(J20=K20,"Verde",""))))))))</f>
        <v/>
      </c>
      <c r="M20" s="14" t="str">
        <f>IF(L20="Verde","Não",IF(L20="Vermelho","Sim",""))</f>
        <v/>
      </c>
    </row>
    <row r="21" spans="3:13" ht="33.75" customHeight="1" x14ac:dyDescent="0.25">
      <c r="C21" s="5">
        <v>7</v>
      </c>
      <c r="D21" s="9"/>
      <c r="E21" s="9"/>
      <c r="F21" s="5"/>
      <c r="G21" s="5"/>
      <c r="H21" s="5"/>
      <c r="I21" s="5"/>
      <c r="J21" s="5"/>
      <c r="K21" s="5"/>
      <c r="L21" s="14" t="str">
        <f t="shared" ref="L21:L24" si="2">IF(I21="","",IF(I21="P/ Cima",IF(J21&gt;K21,"Vermelho",IF(J21&lt;K21,"Verde",IF(J21="","",IF(K21="","",IF(J21=K21,"Verde",""))))),IF(I21="P/ Baixo",IF(J21&lt;K21,"Vermelho",IF(J21&gt;K21,"Verde",IF(J21="","",IF(K21="","",IF(J21=K21,"Verde",""))))))))</f>
        <v/>
      </c>
      <c r="M21" s="14" t="str">
        <f t="shared" si="1"/>
        <v/>
      </c>
    </row>
    <row r="22" spans="3:13" ht="33.75" customHeight="1" x14ac:dyDescent="0.25">
      <c r="C22" s="5">
        <v>8</v>
      </c>
      <c r="D22" s="9"/>
      <c r="E22" s="9"/>
      <c r="F22" s="5"/>
      <c r="G22" s="5"/>
      <c r="H22" s="5"/>
      <c r="I22" s="5"/>
      <c r="J22" s="5"/>
      <c r="K22" s="5"/>
      <c r="L22" s="14" t="str">
        <f t="shared" si="2"/>
        <v/>
      </c>
      <c r="M22" s="14" t="str">
        <f t="shared" si="1"/>
        <v/>
      </c>
    </row>
    <row r="23" spans="3:13" ht="33.75" customHeight="1" x14ac:dyDescent="0.25">
      <c r="C23" s="5">
        <v>9</v>
      </c>
      <c r="D23" s="9"/>
      <c r="E23" s="9"/>
      <c r="F23" s="5"/>
      <c r="G23" s="5"/>
      <c r="H23" s="5"/>
      <c r="I23" s="5"/>
      <c r="J23" s="5"/>
      <c r="K23" s="5"/>
      <c r="L23" s="14" t="str">
        <f t="shared" si="2"/>
        <v/>
      </c>
      <c r="M23" s="14" t="str">
        <f t="shared" si="1"/>
        <v/>
      </c>
    </row>
    <row r="24" spans="3:13" ht="33.75" customHeight="1" x14ac:dyDescent="0.25">
      <c r="C24" s="5">
        <v>10</v>
      </c>
      <c r="D24" s="9"/>
      <c r="E24" s="9"/>
      <c r="F24" s="5"/>
      <c r="G24" s="5"/>
      <c r="H24" s="5"/>
      <c r="I24" s="5"/>
      <c r="J24" s="5"/>
      <c r="K24" s="5"/>
      <c r="L24" s="14" t="str">
        <f t="shared" si="2"/>
        <v/>
      </c>
      <c r="M24" s="14" t="str">
        <f t="shared" si="1"/>
        <v/>
      </c>
    </row>
    <row r="25" spans="3:13" ht="18" customHeight="1" thickBot="1" x14ac:dyDescent="0.3"/>
    <row r="26" spans="3:13" ht="27" customHeight="1" thickBot="1" x14ac:dyDescent="0.3">
      <c r="C26" s="48" t="s">
        <v>33</v>
      </c>
      <c r="D26" s="49"/>
      <c r="E26" s="49"/>
      <c r="F26" s="49"/>
      <c r="G26" s="49"/>
      <c r="H26" s="49"/>
      <c r="I26" s="49"/>
      <c r="J26" s="49"/>
      <c r="K26" s="49"/>
      <c r="L26" s="49"/>
      <c r="M26" s="50"/>
    </row>
    <row r="27" spans="3:13" ht="27.75" customHeight="1" thickBot="1" x14ac:dyDescent="0.3">
      <c r="C27" s="19" t="s">
        <v>21</v>
      </c>
      <c r="D27" s="19" t="s">
        <v>9</v>
      </c>
      <c r="E27" s="19" t="s">
        <v>20</v>
      </c>
      <c r="F27" s="20" t="s">
        <v>16</v>
      </c>
      <c r="G27" s="63" t="s">
        <v>38</v>
      </c>
      <c r="H27" s="64"/>
      <c r="I27" s="19" t="s">
        <v>32</v>
      </c>
      <c r="J27" s="19" t="s">
        <v>22</v>
      </c>
      <c r="K27" s="19"/>
      <c r="L27" s="19"/>
      <c r="M27" s="20"/>
    </row>
    <row r="28" spans="3:13" ht="15.75" x14ac:dyDescent="0.25">
      <c r="C28" s="19"/>
      <c r="D28" s="19"/>
      <c r="E28" s="19"/>
      <c r="F28" s="20"/>
      <c r="G28" s="19" t="s">
        <v>36</v>
      </c>
      <c r="H28" s="19" t="s">
        <v>37</v>
      </c>
      <c r="I28" s="19"/>
      <c r="J28" s="19"/>
      <c r="K28" s="19"/>
      <c r="L28" s="19"/>
      <c r="M28" s="20"/>
    </row>
    <row r="29" spans="3:13" ht="33.75" customHeight="1" x14ac:dyDescent="0.25">
      <c r="C29" s="7"/>
      <c r="D29" s="15" t="str">
        <f>IFERROR(VLOOKUP(C29,$C$15:$D$24,2,FALSE),"")</f>
        <v/>
      </c>
      <c r="E29" s="8"/>
      <c r="F29" s="7"/>
      <c r="G29" s="10"/>
      <c r="H29" s="7"/>
      <c r="I29" s="7"/>
      <c r="J29" s="45"/>
      <c r="K29" s="46"/>
      <c r="L29" s="46"/>
      <c r="M29" s="47"/>
    </row>
    <row r="30" spans="3:13" ht="33.75" customHeight="1" x14ac:dyDescent="0.25">
      <c r="C30" s="5"/>
      <c r="D30" s="16" t="str">
        <f t="shared" ref="D30:D42" si="3">IFERROR(VLOOKUP(C30,$C$15:$D$24,2,FALSE),"")</f>
        <v/>
      </c>
      <c r="E30" s="9"/>
      <c r="F30" s="5"/>
      <c r="G30" s="5"/>
      <c r="H30" s="5"/>
      <c r="I30" s="7"/>
      <c r="J30" s="45"/>
      <c r="K30" s="46"/>
      <c r="L30" s="46"/>
      <c r="M30" s="47"/>
    </row>
    <row r="31" spans="3:13" ht="33.75" customHeight="1" x14ac:dyDescent="0.25">
      <c r="C31" s="5"/>
      <c r="D31" s="16" t="str">
        <f t="shared" si="3"/>
        <v/>
      </c>
      <c r="E31" s="9"/>
      <c r="F31" s="5"/>
      <c r="G31" s="5"/>
      <c r="H31" s="5"/>
      <c r="I31" s="7"/>
      <c r="J31" s="45"/>
      <c r="K31" s="46"/>
      <c r="L31" s="46"/>
      <c r="M31" s="47"/>
    </row>
    <row r="32" spans="3:13" ht="33.75" customHeight="1" x14ac:dyDescent="0.25">
      <c r="C32" s="5"/>
      <c r="D32" s="16" t="str">
        <f t="shared" si="3"/>
        <v/>
      </c>
      <c r="E32" s="9"/>
      <c r="F32" s="5"/>
      <c r="G32" s="5"/>
      <c r="H32" s="5"/>
      <c r="I32" s="7"/>
      <c r="J32" s="45"/>
      <c r="K32" s="46"/>
      <c r="L32" s="46"/>
      <c r="M32" s="47"/>
    </row>
    <row r="33" spans="3:13" ht="33.75" customHeight="1" x14ac:dyDescent="0.25">
      <c r="C33" s="5"/>
      <c r="D33" s="16" t="str">
        <f t="shared" si="3"/>
        <v/>
      </c>
      <c r="E33" s="9"/>
      <c r="F33" s="5"/>
      <c r="G33" s="5"/>
      <c r="H33" s="5"/>
      <c r="I33" s="7"/>
      <c r="J33" s="45"/>
      <c r="K33" s="46"/>
      <c r="L33" s="46"/>
      <c r="M33" s="47"/>
    </row>
    <row r="34" spans="3:13" ht="33.75" customHeight="1" x14ac:dyDescent="0.25">
      <c r="C34" s="5"/>
      <c r="D34" s="16" t="str">
        <f t="shared" si="3"/>
        <v/>
      </c>
      <c r="E34" s="9"/>
      <c r="F34" s="5"/>
      <c r="G34" s="5"/>
      <c r="H34" s="5"/>
      <c r="I34" s="7"/>
      <c r="J34" s="45"/>
      <c r="K34" s="46"/>
      <c r="L34" s="46"/>
      <c r="M34" s="47"/>
    </row>
    <row r="35" spans="3:13" ht="33.75" customHeight="1" x14ac:dyDescent="0.25">
      <c r="C35" s="5"/>
      <c r="D35" s="16" t="str">
        <f t="shared" si="3"/>
        <v/>
      </c>
      <c r="E35" s="9"/>
      <c r="F35" s="5"/>
      <c r="G35" s="5"/>
      <c r="H35" s="5"/>
      <c r="I35" s="7"/>
      <c r="J35" s="45"/>
      <c r="K35" s="46"/>
      <c r="L35" s="46"/>
      <c r="M35" s="47"/>
    </row>
    <row r="36" spans="3:13" ht="33.75" customHeight="1" x14ac:dyDescent="0.25">
      <c r="C36" s="5"/>
      <c r="D36" s="16" t="str">
        <f t="shared" si="3"/>
        <v/>
      </c>
      <c r="E36" s="9"/>
      <c r="F36" s="5"/>
      <c r="G36" s="5"/>
      <c r="H36" s="5"/>
      <c r="I36" s="7"/>
      <c r="J36" s="45"/>
      <c r="K36" s="46"/>
      <c r="L36" s="46"/>
      <c r="M36" s="47"/>
    </row>
    <row r="37" spans="3:13" ht="33.75" customHeight="1" x14ac:dyDescent="0.25">
      <c r="C37" s="5"/>
      <c r="D37" s="16" t="str">
        <f t="shared" si="3"/>
        <v/>
      </c>
      <c r="E37" s="9"/>
      <c r="F37" s="5"/>
      <c r="G37" s="5"/>
      <c r="H37" s="5"/>
      <c r="I37" s="7"/>
      <c r="J37" s="45"/>
      <c r="K37" s="46"/>
      <c r="L37" s="46"/>
      <c r="M37" s="47"/>
    </row>
    <row r="38" spans="3:13" ht="33.75" customHeight="1" x14ac:dyDescent="0.25">
      <c r="C38" s="5"/>
      <c r="D38" s="16" t="str">
        <f t="shared" si="3"/>
        <v/>
      </c>
      <c r="E38" s="9"/>
      <c r="F38" s="5"/>
      <c r="G38" s="5"/>
      <c r="H38" s="5"/>
      <c r="I38" s="7"/>
      <c r="J38" s="45"/>
      <c r="K38" s="46"/>
      <c r="L38" s="46"/>
      <c r="M38" s="47"/>
    </row>
    <row r="39" spans="3:13" ht="33.75" customHeight="1" x14ac:dyDescent="0.25">
      <c r="C39" s="5"/>
      <c r="D39" s="16" t="str">
        <f t="shared" si="3"/>
        <v/>
      </c>
      <c r="E39" s="9"/>
      <c r="F39" s="5"/>
      <c r="G39" s="5"/>
      <c r="H39" s="5"/>
      <c r="I39" s="7"/>
      <c r="J39" s="45"/>
      <c r="K39" s="46"/>
      <c r="L39" s="46"/>
      <c r="M39" s="47"/>
    </row>
    <row r="40" spans="3:13" ht="33.75" customHeight="1" x14ac:dyDescent="0.25">
      <c r="C40" s="5"/>
      <c r="D40" s="16" t="str">
        <f t="shared" si="3"/>
        <v/>
      </c>
      <c r="E40" s="9"/>
      <c r="F40" s="5"/>
      <c r="G40" s="5"/>
      <c r="H40" s="5"/>
      <c r="I40" s="7"/>
      <c r="J40" s="45"/>
      <c r="K40" s="46"/>
      <c r="L40" s="46"/>
      <c r="M40" s="47"/>
    </row>
    <row r="41" spans="3:13" ht="33.75" customHeight="1" x14ac:dyDescent="0.25">
      <c r="C41" s="5"/>
      <c r="D41" s="16" t="str">
        <f t="shared" si="3"/>
        <v/>
      </c>
      <c r="E41" s="9"/>
      <c r="F41" s="5"/>
      <c r="G41" s="5"/>
      <c r="H41" s="5"/>
      <c r="I41" s="7"/>
      <c r="J41" s="45"/>
      <c r="K41" s="46"/>
      <c r="L41" s="46"/>
      <c r="M41" s="47"/>
    </row>
    <row r="42" spans="3:13" ht="33.75" customHeight="1" x14ac:dyDescent="0.25">
      <c r="C42" s="5"/>
      <c r="D42" s="16" t="str">
        <f t="shared" si="3"/>
        <v/>
      </c>
      <c r="E42" s="9"/>
      <c r="F42" s="5"/>
      <c r="G42" s="5"/>
      <c r="H42" s="5"/>
      <c r="I42" s="7"/>
      <c r="J42" s="45"/>
      <c r="K42" s="46"/>
      <c r="L42" s="46"/>
      <c r="M42" s="47"/>
    </row>
    <row r="43" spans="3:13" ht="25.5" customHeight="1" x14ac:dyDescent="0.25">
      <c r="C43" s="6"/>
      <c r="D43" s="6"/>
      <c r="E43" s="6"/>
      <c r="F43" s="6"/>
      <c r="G43" s="6"/>
      <c r="H43" s="6"/>
      <c r="I43" s="6"/>
      <c r="J43" s="6"/>
      <c r="K43" s="6"/>
      <c r="L43" s="80"/>
      <c r="M43" s="80"/>
    </row>
    <row r="44" spans="3:13" ht="27" customHeight="1" x14ac:dyDescent="0.25">
      <c r="C44" s="62" t="s">
        <v>35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spans="3:13" ht="16.5" customHeight="1" x14ac:dyDescent="0.25">
      <c r="C45" s="22"/>
      <c r="D45" s="23"/>
      <c r="E45" s="23"/>
      <c r="F45" s="23"/>
      <c r="G45" s="23"/>
      <c r="H45" s="23"/>
      <c r="I45" s="23"/>
      <c r="J45" s="23"/>
      <c r="K45" s="23"/>
      <c r="L45" s="81"/>
      <c r="M45" s="82"/>
    </row>
    <row r="46" spans="3:13" ht="16.5" customHeight="1" x14ac:dyDescent="0.25">
      <c r="C46" s="24"/>
      <c r="D46" s="21"/>
      <c r="E46" s="21"/>
      <c r="F46" s="21"/>
      <c r="G46" s="21"/>
      <c r="H46" s="21"/>
      <c r="I46" s="21"/>
      <c r="J46" s="21"/>
      <c r="K46" s="21"/>
      <c r="L46" s="83"/>
      <c r="M46" s="84"/>
    </row>
    <row r="47" spans="3:13" ht="16.5" customHeight="1" x14ac:dyDescent="0.25">
      <c r="C47" s="24"/>
      <c r="D47" s="21"/>
      <c r="E47" s="21"/>
      <c r="F47" s="21"/>
      <c r="G47" s="21"/>
      <c r="H47" s="21"/>
      <c r="I47" s="21"/>
      <c r="J47" s="21"/>
      <c r="K47" s="21"/>
      <c r="L47" s="83"/>
      <c r="M47" s="84"/>
    </row>
    <row r="48" spans="3:13" ht="16.5" customHeight="1" x14ac:dyDescent="0.25">
      <c r="C48" s="24"/>
      <c r="D48" s="21"/>
      <c r="E48" s="21"/>
      <c r="F48" s="21"/>
      <c r="G48" s="21"/>
      <c r="H48" s="21"/>
      <c r="I48" s="21"/>
      <c r="J48" s="21"/>
      <c r="K48" s="21"/>
      <c r="L48" s="83"/>
      <c r="M48" s="84"/>
    </row>
    <row r="49" spans="3:14" ht="16.5" customHeight="1" x14ac:dyDescent="0.25">
      <c r="C49" s="24"/>
      <c r="D49" s="21"/>
      <c r="E49" s="21"/>
      <c r="F49" s="21"/>
      <c r="G49" s="21"/>
      <c r="H49" s="21"/>
      <c r="I49" s="21"/>
      <c r="J49" s="21"/>
      <c r="K49" s="21"/>
      <c r="L49" s="83"/>
      <c r="M49" s="84"/>
    </row>
    <row r="50" spans="3:14" ht="16.5" customHeight="1" x14ac:dyDescent="0.25">
      <c r="C50" s="24"/>
      <c r="D50" s="25"/>
      <c r="E50" s="21"/>
      <c r="F50" s="25"/>
      <c r="G50" s="25"/>
      <c r="H50" s="25"/>
      <c r="I50" s="21"/>
      <c r="J50" s="25"/>
      <c r="K50" s="25"/>
      <c r="L50" s="25"/>
      <c r="M50" s="26"/>
    </row>
    <row r="51" spans="3:14" ht="16.5" customHeight="1" x14ac:dyDescent="0.25">
      <c r="C51" s="24"/>
      <c r="D51" s="25"/>
      <c r="E51" s="21"/>
      <c r="F51" s="25"/>
      <c r="G51" s="25"/>
      <c r="H51" s="25"/>
      <c r="I51" s="21"/>
      <c r="J51" s="25"/>
      <c r="K51" s="25"/>
      <c r="L51" s="25"/>
      <c r="M51" s="26"/>
    </row>
    <row r="52" spans="3:14" ht="16.5" customHeight="1" x14ac:dyDescent="0.25">
      <c r="C52" s="24"/>
      <c r="D52" s="25"/>
      <c r="E52" s="21"/>
      <c r="F52" s="25"/>
      <c r="G52" s="25"/>
      <c r="H52" s="25"/>
      <c r="I52" s="21"/>
      <c r="J52" s="25"/>
      <c r="K52" s="25"/>
      <c r="L52" s="25"/>
      <c r="M52" s="26"/>
    </row>
    <row r="53" spans="3:14" ht="16.5" customHeight="1" x14ac:dyDescent="0.25">
      <c r="C53" s="24"/>
      <c r="D53" s="25"/>
      <c r="E53" s="21"/>
      <c r="F53" s="25"/>
      <c r="G53" s="25"/>
      <c r="H53" s="25"/>
      <c r="I53" s="21"/>
      <c r="J53" s="25"/>
      <c r="K53" s="25"/>
      <c r="L53" s="25"/>
      <c r="M53" s="26"/>
    </row>
    <row r="54" spans="3:14" ht="16.5" customHeight="1" x14ac:dyDescent="0.25">
      <c r="C54" s="24"/>
      <c r="D54" s="25"/>
      <c r="E54" s="21"/>
      <c r="F54" s="25"/>
      <c r="G54" s="25"/>
      <c r="H54" s="25"/>
      <c r="I54" s="21"/>
      <c r="J54" s="25"/>
      <c r="K54" s="25"/>
      <c r="L54" s="25"/>
      <c r="M54" s="26"/>
    </row>
    <row r="55" spans="3:14" ht="25.5" customHeight="1" x14ac:dyDescent="0.25">
      <c r="C55" s="24"/>
      <c r="D55" s="21"/>
      <c r="E55" s="21"/>
      <c r="F55" s="25"/>
      <c r="G55" s="25"/>
      <c r="H55" s="25"/>
      <c r="I55" s="21"/>
      <c r="J55" s="25"/>
      <c r="K55" s="25"/>
      <c r="L55" s="25"/>
      <c r="M55" s="26"/>
      <c r="N55" s="4"/>
    </row>
    <row r="56" spans="3:14" ht="25.5" customHeight="1" x14ac:dyDescent="0.25">
      <c r="C56" s="24"/>
      <c r="D56" s="21"/>
      <c r="E56" s="21"/>
      <c r="F56" s="21"/>
      <c r="G56" s="21"/>
      <c r="H56" s="21"/>
      <c r="I56" s="21"/>
      <c r="J56" s="21"/>
      <c r="K56" s="21"/>
      <c r="L56" s="83"/>
      <c r="M56" s="84"/>
    </row>
    <row r="57" spans="3:14" ht="25.5" customHeight="1" x14ac:dyDescent="0.25">
      <c r="C57" s="24"/>
      <c r="D57" s="21"/>
      <c r="E57" s="21"/>
      <c r="F57" s="21"/>
      <c r="G57" s="21"/>
      <c r="H57" s="21"/>
      <c r="I57" s="21"/>
      <c r="J57" s="21"/>
      <c r="K57" s="21"/>
      <c r="L57" s="83"/>
      <c r="M57" s="84"/>
    </row>
    <row r="58" spans="3:14" x14ac:dyDescent="0.25">
      <c r="C58" s="85"/>
      <c r="D58" s="25"/>
      <c r="E58" s="25"/>
      <c r="F58" s="25"/>
      <c r="G58" s="25"/>
      <c r="H58" s="25"/>
      <c r="I58" s="25"/>
      <c r="J58" s="25"/>
      <c r="K58" s="25"/>
      <c r="L58" s="25"/>
      <c r="M58" s="26"/>
    </row>
    <row r="59" spans="3:14" x14ac:dyDescent="0.25">
      <c r="C59" s="85"/>
      <c r="D59" s="25"/>
      <c r="E59" s="25"/>
      <c r="F59" s="25"/>
      <c r="G59" s="25"/>
      <c r="H59" s="25"/>
      <c r="I59" s="25"/>
      <c r="J59" s="25"/>
      <c r="K59" s="25"/>
      <c r="L59" s="25"/>
      <c r="M59" s="26"/>
    </row>
    <row r="60" spans="3:14" x14ac:dyDescent="0.25">
      <c r="C60" s="86"/>
      <c r="D60" s="27"/>
      <c r="E60" s="27"/>
      <c r="F60" s="27"/>
      <c r="G60" s="27"/>
      <c r="H60" s="27"/>
      <c r="I60" s="27"/>
      <c r="J60" s="27"/>
      <c r="K60" s="27"/>
      <c r="L60" s="27"/>
      <c r="M60" s="28"/>
    </row>
    <row r="61" spans="3:14" x14ac:dyDescent="0.25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3:14" x14ac:dyDescent="0.25">
      <c r="C62" s="4"/>
      <c r="D62" s="4"/>
      <c r="E62" s="4"/>
      <c r="F62" s="33" t="s">
        <v>42</v>
      </c>
      <c r="G62" s="33" t="s">
        <v>1</v>
      </c>
      <c r="H62" s="33" t="s">
        <v>2</v>
      </c>
      <c r="I62" s="4"/>
      <c r="J62" s="4"/>
      <c r="K62" s="4"/>
      <c r="L62" s="4"/>
      <c r="M62" s="4"/>
    </row>
    <row r="63" spans="3:14" x14ac:dyDescent="0.25">
      <c r="C63" s="4"/>
      <c r="D63" s="4"/>
      <c r="E63" s="4"/>
      <c r="F63" s="29" t="s">
        <v>39</v>
      </c>
      <c r="G63" s="29">
        <f>COUNTIF($I$29:$I$42,"Concluída")</f>
        <v>0</v>
      </c>
      <c r="H63" s="30" t="str">
        <f>IFERROR(G63/$G$67,"")</f>
        <v/>
      </c>
      <c r="I63" s="4"/>
      <c r="J63" s="4"/>
      <c r="K63" s="4"/>
      <c r="L63" s="4"/>
      <c r="M63" s="4"/>
    </row>
    <row r="64" spans="3:14" x14ac:dyDescent="0.25">
      <c r="C64" s="4"/>
      <c r="D64" s="4"/>
      <c r="E64" s="4"/>
      <c r="F64" s="29" t="s">
        <v>43</v>
      </c>
      <c r="G64" s="29">
        <f>COUNTIF($I$29:$I$42,"Em andamento")</f>
        <v>0</v>
      </c>
      <c r="H64" s="30" t="str">
        <f>IFERROR(G64/$G$67,"")</f>
        <v/>
      </c>
      <c r="I64" s="4"/>
      <c r="J64" s="4"/>
      <c r="K64" s="4"/>
      <c r="L64" s="4"/>
      <c r="M64" s="4"/>
    </row>
    <row r="65" spans="3:13" x14ac:dyDescent="0.25">
      <c r="C65" s="4"/>
      <c r="D65" s="4"/>
      <c r="E65" s="4"/>
      <c r="F65" s="29" t="s">
        <v>40</v>
      </c>
      <c r="G65" s="29">
        <f>COUNTIF($I$29:$I$42,"Atrasada")</f>
        <v>0</v>
      </c>
      <c r="H65" s="30" t="str">
        <f>IFERROR(G65/$G$67,"")</f>
        <v/>
      </c>
      <c r="I65" s="4"/>
      <c r="J65" s="4"/>
      <c r="K65" s="4"/>
      <c r="L65" s="4"/>
      <c r="M65" s="4"/>
    </row>
    <row r="66" spans="3:13" x14ac:dyDescent="0.25">
      <c r="C66" s="4"/>
      <c r="D66" s="4"/>
      <c r="E66" s="4"/>
      <c r="F66" s="31" t="s">
        <v>41</v>
      </c>
      <c r="G66" s="31">
        <f>COUNTIF($I$29:$I$42,"Não Iniciada")</f>
        <v>0</v>
      </c>
      <c r="H66" s="32" t="str">
        <f>IFERROR(G66/$G$67,"")</f>
        <v/>
      </c>
      <c r="I66" s="4"/>
      <c r="J66" s="4"/>
      <c r="K66" s="4"/>
      <c r="L66" s="4"/>
      <c r="M66" s="4"/>
    </row>
    <row r="67" spans="3:13" x14ac:dyDescent="0.25">
      <c r="C67" s="4"/>
      <c r="D67" s="4"/>
      <c r="E67" s="4"/>
      <c r="F67" s="34" t="s">
        <v>0</v>
      </c>
      <c r="G67" s="34">
        <f>SUM(G63:G66)</f>
        <v>0</v>
      </c>
      <c r="H67" s="35">
        <f>SUM(H63:H66)</f>
        <v>0</v>
      </c>
      <c r="I67" s="4"/>
      <c r="J67" s="4"/>
      <c r="K67" s="4"/>
      <c r="L67" s="4"/>
      <c r="M67" s="4"/>
    </row>
    <row r="68" spans="3:13" x14ac:dyDescent="0.25">
      <c r="C68" s="21"/>
      <c r="D68" s="21"/>
      <c r="E68" s="21"/>
      <c r="F68" s="21"/>
      <c r="G68" s="21"/>
      <c r="H68" s="21"/>
      <c r="I68" s="21"/>
      <c r="J68" s="21"/>
      <c r="K68" s="21"/>
      <c r="L68" s="83"/>
      <c r="M68" s="83"/>
    </row>
    <row r="69" spans="3:13" s="4" customFormat="1" x14ac:dyDescent="0.25"/>
    <row r="70" spans="3:13" s="4" customFormat="1" x14ac:dyDescent="0.25"/>
    <row r="71" spans="3:13" s="4" customFormat="1" x14ac:dyDescent="0.25"/>
    <row r="72" spans="3:13" hidden="1" x14ac:dyDescent="0.25">
      <c r="D72" s="3" t="s">
        <v>25</v>
      </c>
    </row>
    <row r="73" spans="3:13" hidden="1" x14ac:dyDescent="0.25">
      <c r="D73" s="3" t="s">
        <v>26</v>
      </c>
    </row>
    <row r="74" spans="3:13" hidden="1" x14ac:dyDescent="0.25">
      <c r="D74" s="3" t="s">
        <v>27</v>
      </c>
    </row>
    <row r="75" spans="3:13" hidden="1" x14ac:dyDescent="0.25">
      <c r="D75" s="3" t="s">
        <v>28</v>
      </c>
    </row>
    <row r="76" spans="3:13" hidden="1" x14ac:dyDescent="0.25">
      <c r="D76" s="3" t="s">
        <v>29</v>
      </c>
    </row>
    <row r="77" spans="3:13" hidden="1" x14ac:dyDescent="0.25">
      <c r="D77" s="3" t="s">
        <v>30</v>
      </c>
    </row>
    <row r="78" spans="3:13" hidden="1" x14ac:dyDescent="0.25"/>
    <row r="79" spans="3:13" hidden="1" x14ac:dyDescent="0.25">
      <c r="D79" s="3" t="s">
        <v>23</v>
      </c>
    </row>
    <row r="80" spans="3:13" hidden="1" x14ac:dyDescent="0.25">
      <c r="D80" s="3" t="s">
        <v>24</v>
      </c>
    </row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</sheetData>
  <mergeCells count="23">
    <mergeCell ref="J41:M41"/>
    <mergeCell ref="J42:M42"/>
    <mergeCell ref="C44:M44"/>
    <mergeCell ref="J35:M35"/>
    <mergeCell ref="J36:M36"/>
    <mergeCell ref="J37:M37"/>
    <mergeCell ref="J38:M38"/>
    <mergeCell ref="J39:M39"/>
    <mergeCell ref="J40:M40"/>
    <mergeCell ref="J34:M34"/>
    <mergeCell ref="C26:M26"/>
    <mergeCell ref="G27:H27"/>
    <mergeCell ref="J29:M29"/>
    <mergeCell ref="J30:M30"/>
    <mergeCell ref="J31:M31"/>
    <mergeCell ref="J32:M32"/>
    <mergeCell ref="J33:M33"/>
    <mergeCell ref="C13:M13"/>
    <mergeCell ref="C1:M1"/>
    <mergeCell ref="C3:D3"/>
    <mergeCell ref="C4:M6"/>
    <mergeCell ref="C9:M11"/>
    <mergeCell ref="C8:D8"/>
  </mergeCells>
  <conditionalFormatting sqref="L15:L24">
    <cfRule type="cellIs" dxfId="5" priority="1" operator="equal">
      <formula>"Vermelho"</formula>
    </cfRule>
    <cfRule type="cellIs" dxfId="4" priority="2" operator="equal">
      <formula>"Verde"</formula>
    </cfRule>
  </conditionalFormatting>
  <dataValidations disablePrompts="1" count="3">
    <dataValidation type="list" allowBlank="1" showInputMessage="1" showErrorMessage="1" sqref="I29:I42">
      <formula1>$F$63:$F$66</formula1>
    </dataValidation>
    <dataValidation type="list" allowBlank="1" showInputMessage="1" showErrorMessage="1" sqref="G15:G24">
      <formula1>$D$72:$D$77</formula1>
    </dataValidation>
    <dataValidation type="list" allowBlank="1" showInputMessage="1" showErrorMessage="1" sqref="I15:I24">
      <formula1>$D$79:$D$80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3"/>
  <sheetViews>
    <sheetView showGridLines="0" topLeftCell="A31" workbookViewId="0">
      <selection activeCell="D15" sqref="D15:K15"/>
    </sheetView>
  </sheetViews>
  <sheetFormatPr defaultRowHeight="15" customHeight="1" zeroHeight="1" x14ac:dyDescent="0.25"/>
  <cols>
    <col min="1" max="1" width="0.140625" style="3" customWidth="1"/>
    <col min="2" max="2" width="1.42578125" style="3" customWidth="1"/>
    <col min="3" max="3" width="2.85546875" style="3" customWidth="1"/>
    <col min="4" max="4" width="38" style="3" customWidth="1"/>
    <col min="5" max="5" width="32" style="3" customWidth="1"/>
    <col min="6" max="6" width="14.42578125" style="3" customWidth="1"/>
    <col min="7" max="7" width="12.140625" style="3" customWidth="1"/>
    <col min="8" max="8" width="13.140625" style="3" bestFit="1" customWidth="1"/>
    <col min="9" max="9" width="14" style="3" customWidth="1"/>
    <col min="10" max="10" width="13.42578125" style="3" customWidth="1"/>
    <col min="11" max="11" width="14" style="3" customWidth="1"/>
    <col min="12" max="12" width="11.140625" style="3" customWidth="1"/>
    <col min="13" max="13" width="11.28515625" style="3" customWidth="1"/>
    <col min="14" max="16384" width="9.140625" style="3"/>
  </cols>
  <sheetData>
    <row r="1" spans="1:17" s="25" customFormat="1" ht="36" customHeight="1" thickBot="1" x14ac:dyDescent="0.3">
      <c r="C1" s="43" t="s">
        <v>6</v>
      </c>
      <c r="D1" s="65"/>
      <c r="E1" s="65"/>
      <c r="F1" s="65"/>
      <c r="G1" s="65"/>
      <c r="H1" s="65"/>
      <c r="I1" s="65"/>
      <c r="J1" s="65"/>
      <c r="K1" s="65"/>
      <c r="L1" s="65"/>
      <c r="M1" s="66"/>
      <c r="N1" s="77"/>
      <c r="O1" s="77"/>
      <c r="P1" s="77"/>
      <c r="Q1" s="77"/>
    </row>
    <row r="2" spans="1:17" s="25" customFormat="1" ht="15" customHeight="1" x14ac:dyDescent="0.2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1:17" ht="13.5" customHeight="1" x14ac:dyDescent="0.25">
      <c r="C3" s="89" t="s">
        <v>10</v>
      </c>
      <c r="D3" s="89"/>
    </row>
    <row r="4" spans="1:17" ht="15" customHeight="1" x14ac:dyDescent="0.25"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</row>
    <row r="5" spans="1:17" x14ac:dyDescent="0.25"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7" x14ac:dyDescent="0.25"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</row>
    <row r="7" spans="1:17" x14ac:dyDescent="0.25"/>
    <row r="8" spans="1:17" x14ac:dyDescent="0.25">
      <c r="C8" s="42" t="s">
        <v>11</v>
      </c>
      <c r="D8" s="42"/>
    </row>
    <row r="9" spans="1:17" x14ac:dyDescent="0.25">
      <c r="C9" s="68"/>
      <c r="D9" s="69"/>
      <c r="E9" s="69"/>
      <c r="F9" s="69"/>
      <c r="G9" s="69"/>
      <c r="H9" s="69"/>
      <c r="I9" s="69"/>
      <c r="J9" s="69"/>
      <c r="K9" s="69"/>
      <c r="L9" s="69"/>
      <c r="M9" s="70"/>
    </row>
    <row r="10" spans="1:17" x14ac:dyDescent="0.25">
      <c r="C10" s="71"/>
      <c r="D10" s="72"/>
      <c r="E10" s="72"/>
      <c r="F10" s="72"/>
      <c r="G10" s="72"/>
      <c r="H10" s="72"/>
      <c r="I10" s="72"/>
      <c r="J10" s="72"/>
      <c r="K10" s="72"/>
      <c r="L10" s="72"/>
      <c r="M10" s="73"/>
    </row>
    <row r="11" spans="1:17" x14ac:dyDescent="0.25">
      <c r="C11" s="74"/>
      <c r="D11" s="75"/>
      <c r="E11" s="75"/>
      <c r="F11" s="75"/>
      <c r="G11" s="75"/>
      <c r="H11" s="75"/>
      <c r="I11" s="75"/>
      <c r="J11" s="75"/>
      <c r="K11" s="75"/>
      <c r="L11" s="75"/>
      <c r="M11" s="76"/>
    </row>
    <row r="12" spans="1:17" ht="14.25" customHeight="1" thickBot="1" x14ac:dyDescent="0.3"/>
    <row r="13" spans="1:17" ht="27" customHeight="1" thickBot="1" x14ac:dyDescent="0.3">
      <c r="C13" s="51" t="s">
        <v>34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</row>
    <row r="14" spans="1:17" ht="33" customHeight="1" x14ac:dyDescent="0.25">
      <c r="C14" s="19" t="s">
        <v>21</v>
      </c>
      <c r="D14" s="19" t="s">
        <v>7</v>
      </c>
      <c r="E14" s="19" t="s">
        <v>13</v>
      </c>
      <c r="F14" s="20" t="s">
        <v>14</v>
      </c>
      <c r="G14" s="19" t="s">
        <v>15</v>
      </c>
      <c r="H14" s="19" t="s">
        <v>16</v>
      </c>
      <c r="I14" s="19" t="s">
        <v>17</v>
      </c>
      <c r="J14" s="19" t="s">
        <v>12</v>
      </c>
      <c r="K14" s="19" t="s">
        <v>18</v>
      </c>
      <c r="L14" s="19" t="s">
        <v>19</v>
      </c>
      <c r="M14" s="20" t="s">
        <v>31</v>
      </c>
    </row>
    <row r="15" spans="1:17" ht="33.75" customHeight="1" x14ac:dyDescent="0.25">
      <c r="C15" s="7">
        <v>1</v>
      </c>
      <c r="D15" s="8"/>
      <c r="E15" s="8"/>
      <c r="F15" s="7"/>
      <c r="G15" s="7"/>
      <c r="H15" s="7"/>
      <c r="I15" s="7"/>
      <c r="J15" s="11"/>
      <c r="K15" s="11"/>
      <c r="L15" s="17" t="str">
        <f t="shared" ref="L15:L19" si="0">IF(I15="","",IF(I15="P/ Cima",IF(J15&gt;K15,"Vermelho",IF(J15&lt;K15,"Verde",IF(J15="","",IF(K15="","",IF(J15=K15,"Verde",""))))),IF(I15="P/ Baixo",IF(J15&lt;K15,"Vermelho",IF(J15&gt;K15,"Verde",IF(J15="","",IF(K15="","",IF(J15=K15,"Verde",""))))))))</f>
        <v/>
      </c>
      <c r="M15" s="17" t="str">
        <f>IF(L15="Verde","Não",IF(L15="Vermelho","Sim",""))</f>
        <v/>
      </c>
    </row>
    <row r="16" spans="1:17" ht="33.75" customHeight="1" x14ac:dyDescent="0.25">
      <c r="C16" s="5">
        <v>2</v>
      </c>
      <c r="D16" s="9"/>
      <c r="E16" s="9"/>
      <c r="F16" s="5"/>
      <c r="G16" s="5"/>
      <c r="H16" s="5"/>
      <c r="I16" s="5"/>
      <c r="J16" s="5"/>
      <c r="K16" s="5"/>
      <c r="L16" s="14" t="str">
        <f t="shared" si="0"/>
        <v/>
      </c>
      <c r="M16" s="14" t="str">
        <f t="shared" ref="M16:M24" si="1">IF(L16="Verde","Não",IF(L16="Vermelho","Sim",""))</f>
        <v/>
      </c>
    </row>
    <row r="17" spans="3:13" ht="33.75" customHeight="1" x14ac:dyDescent="0.25">
      <c r="C17" s="5">
        <v>3</v>
      </c>
      <c r="D17" s="9"/>
      <c r="E17" s="9"/>
      <c r="F17" s="5"/>
      <c r="G17" s="5"/>
      <c r="H17" s="5"/>
      <c r="I17" s="5"/>
      <c r="J17" s="5"/>
      <c r="K17" s="5"/>
      <c r="L17" s="14" t="str">
        <f t="shared" si="0"/>
        <v/>
      </c>
      <c r="M17" s="14" t="str">
        <f t="shared" si="1"/>
        <v/>
      </c>
    </row>
    <row r="18" spans="3:13" ht="33.75" customHeight="1" x14ac:dyDescent="0.25">
      <c r="C18" s="5">
        <v>4</v>
      </c>
      <c r="D18" s="9"/>
      <c r="E18" s="9"/>
      <c r="F18" s="5"/>
      <c r="G18" s="5"/>
      <c r="H18" s="5"/>
      <c r="I18" s="5"/>
      <c r="J18" s="5"/>
      <c r="K18" s="5"/>
      <c r="L18" s="14" t="str">
        <f t="shared" si="0"/>
        <v/>
      </c>
      <c r="M18" s="14" t="str">
        <f t="shared" si="1"/>
        <v/>
      </c>
    </row>
    <row r="19" spans="3:13" ht="33.75" customHeight="1" x14ac:dyDescent="0.25">
      <c r="C19" s="5">
        <v>5</v>
      </c>
      <c r="D19" s="9"/>
      <c r="E19" s="9"/>
      <c r="F19" s="5"/>
      <c r="G19" s="5"/>
      <c r="H19" s="5"/>
      <c r="I19" s="5"/>
      <c r="J19" s="5"/>
      <c r="K19" s="5"/>
      <c r="L19" s="14" t="str">
        <f t="shared" si="0"/>
        <v/>
      </c>
      <c r="M19" s="14" t="str">
        <f t="shared" si="1"/>
        <v/>
      </c>
    </row>
    <row r="20" spans="3:13" ht="33.75" customHeight="1" x14ac:dyDescent="0.25">
      <c r="C20" s="5">
        <v>6</v>
      </c>
      <c r="D20" s="9"/>
      <c r="E20" s="9"/>
      <c r="F20" s="5"/>
      <c r="G20" s="5"/>
      <c r="H20" s="5"/>
      <c r="I20" s="5"/>
      <c r="J20" s="5"/>
      <c r="K20" s="5"/>
      <c r="L20" s="14" t="str">
        <f>IF(I20="","",IF(I20="P/ Cima",IF(J20&gt;K20,"Vermelho",IF(J20&lt;K20,"Verde",IF(J20="","",IF(K20="","",IF(J20=K20,"Verde",""))))),IF(I20="P/ Baixo",IF(J20&lt;K20,"Vermelho",IF(J20&gt;K20,"Verde",IF(J20="","",IF(K20="","",IF(J20=K20,"Verde",""))))))))</f>
        <v/>
      </c>
      <c r="M20" s="14" t="str">
        <f>IF(L20="Verde","Não",IF(L20="Vermelho","Sim",""))</f>
        <v/>
      </c>
    </row>
    <row r="21" spans="3:13" ht="33.75" customHeight="1" x14ac:dyDescent="0.25">
      <c r="C21" s="5">
        <v>7</v>
      </c>
      <c r="D21" s="9"/>
      <c r="E21" s="9"/>
      <c r="F21" s="5"/>
      <c r="G21" s="5"/>
      <c r="H21" s="5"/>
      <c r="I21" s="5"/>
      <c r="J21" s="5"/>
      <c r="K21" s="5"/>
      <c r="L21" s="14" t="str">
        <f t="shared" ref="L21:L24" si="2">IF(I21="","",IF(I21="P/ Cima",IF(J21&gt;K21,"Vermelho",IF(J21&lt;K21,"Verde",IF(J21="","",IF(K21="","",IF(J21=K21,"Verde",""))))),IF(I21="P/ Baixo",IF(J21&lt;K21,"Vermelho",IF(J21&gt;K21,"Verde",IF(J21="","",IF(K21="","",IF(J21=K21,"Verde",""))))))))</f>
        <v/>
      </c>
      <c r="M21" s="14" t="str">
        <f t="shared" si="1"/>
        <v/>
      </c>
    </row>
    <row r="22" spans="3:13" ht="33.75" customHeight="1" x14ac:dyDescent="0.25">
      <c r="C22" s="5">
        <v>8</v>
      </c>
      <c r="D22" s="9"/>
      <c r="E22" s="9"/>
      <c r="F22" s="5"/>
      <c r="G22" s="5"/>
      <c r="H22" s="5"/>
      <c r="I22" s="5"/>
      <c r="J22" s="5"/>
      <c r="K22" s="5"/>
      <c r="L22" s="14" t="str">
        <f t="shared" si="2"/>
        <v/>
      </c>
      <c r="M22" s="14" t="str">
        <f t="shared" si="1"/>
        <v/>
      </c>
    </row>
    <row r="23" spans="3:13" ht="33.75" customHeight="1" x14ac:dyDescent="0.25">
      <c r="C23" s="5">
        <v>9</v>
      </c>
      <c r="D23" s="9"/>
      <c r="E23" s="9"/>
      <c r="F23" s="5"/>
      <c r="G23" s="5"/>
      <c r="H23" s="5"/>
      <c r="I23" s="5"/>
      <c r="J23" s="5"/>
      <c r="K23" s="5"/>
      <c r="L23" s="14" t="str">
        <f t="shared" si="2"/>
        <v/>
      </c>
      <c r="M23" s="14" t="str">
        <f t="shared" si="1"/>
        <v/>
      </c>
    </row>
    <row r="24" spans="3:13" ht="33.75" customHeight="1" x14ac:dyDescent="0.25">
      <c r="C24" s="5">
        <v>10</v>
      </c>
      <c r="D24" s="9"/>
      <c r="E24" s="9"/>
      <c r="F24" s="5"/>
      <c r="G24" s="5"/>
      <c r="H24" s="5"/>
      <c r="I24" s="5"/>
      <c r="J24" s="5"/>
      <c r="K24" s="5"/>
      <c r="L24" s="14" t="str">
        <f t="shared" si="2"/>
        <v/>
      </c>
      <c r="M24" s="14" t="str">
        <f t="shared" si="1"/>
        <v/>
      </c>
    </row>
    <row r="25" spans="3:13" ht="18" customHeight="1" thickBot="1" x14ac:dyDescent="0.3"/>
    <row r="26" spans="3:13" ht="27" customHeight="1" thickBot="1" x14ac:dyDescent="0.3">
      <c r="C26" s="48" t="s">
        <v>33</v>
      </c>
      <c r="D26" s="49"/>
      <c r="E26" s="49"/>
      <c r="F26" s="49"/>
      <c r="G26" s="49"/>
      <c r="H26" s="49"/>
      <c r="I26" s="49"/>
      <c r="J26" s="49"/>
      <c r="K26" s="49"/>
      <c r="L26" s="49"/>
      <c r="M26" s="50"/>
    </row>
    <row r="27" spans="3:13" ht="27.75" customHeight="1" thickBot="1" x14ac:dyDescent="0.3">
      <c r="C27" s="19" t="s">
        <v>21</v>
      </c>
      <c r="D27" s="19" t="s">
        <v>9</v>
      </c>
      <c r="E27" s="19" t="s">
        <v>20</v>
      </c>
      <c r="F27" s="20" t="s">
        <v>16</v>
      </c>
      <c r="G27" s="63" t="s">
        <v>38</v>
      </c>
      <c r="H27" s="64"/>
      <c r="I27" s="19" t="s">
        <v>32</v>
      </c>
      <c r="J27" s="19" t="s">
        <v>22</v>
      </c>
      <c r="K27" s="19"/>
      <c r="L27" s="19"/>
      <c r="M27" s="20"/>
    </row>
    <row r="28" spans="3:13" ht="15.75" x14ac:dyDescent="0.25">
      <c r="C28" s="19"/>
      <c r="D28" s="19"/>
      <c r="E28" s="19"/>
      <c r="F28" s="20"/>
      <c r="G28" s="19" t="s">
        <v>36</v>
      </c>
      <c r="H28" s="19" t="s">
        <v>37</v>
      </c>
      <c r="I28" s="19"/>
      <c r="J28" s="19"/>
      <c r="K28" s="19"/>
      <c r="L28" s="19"/>
      <c r="M28" s="20"/>
    </row>
    <row r="29" spans="3:13" ht="33.75" customHeight="1" x14ac:dyDescent="0.25">
      <c r="C29" s="7"/>
      <c r="D29" s="15" t="str">
        <f>IFERROR(VLOOKUP(C29,$C$15:$D$24,2,FALSE),"")</f>
        <v/>
      </c>
      <c r="E29" s="88"/>
      <c r="F29" s="7"/>
      <c r="G29" s="10"/>
      <c r="H29" s="7"/>
      <c r="I29" s="7"/>
      <c r="J29" s="45"/>
      <c r="K29" s="46"/>
      <c r="L29" s="46"/>
      <c r="M29" s="47"/>
    </row>
    <row r="30" spans="3:13" ht="33.75" customHeight="1" x14ac:dyDescent="0.25">
      <c r="C30" s="5"/>
      <c r="D30" s="16" t="str">
        <f t="shared" ref="D30:D42" si="3">IFERROR(VLOOKUP(C30,$C$15:$D$24,2,FALSE),"")</f>
        <v/>
      </c>
      <c r="E30" s="9"/>
      <c r="F30" s="5"/>
      <c r="G30" s="5"/>
      <c r="H30" s="5"/>
      <c r="I30" s="7"/>
      <c r="J30" s="45"/>
      <c r="K30" s="46"/>
      <c r="L30" s="46"/>
      <c r="M30" s="47"/>
    </row>
    <row r="31" spans="3:13" ht="33.75" customHeight="1" x14ac:dyDescent="0.25">
      <c r="C31" s="5"/>
      <c r="D31" s="16" t="str">
        <f t="shared" si="3"/>
        <v/>
      </c>
      <c r="E31" s="9"/>
      <c r="F31" s="5"/>
      <c r="G31" s="5"/>
      <c r="H31" s="5"/>
      <c r="I31" s="7"/>
      <c r="J31" s="45"/>
      <c r="K31" s="46"/>
      <c r="L31" s="46"/>
      <c r="M31" s="47"/>
    </row>
    <row r="32" spans="3:13" ht="33.75" customHeight="1" x14ac:dyDescent="0.25">
      <c r="C32" s="5"/>
      <c r="D32" s="16" t="str">
        <f t="shared" si="3"/>
        <v/>
      </c>
      <c r="E32" s="9"/>
      <c r="F32" s="5"/>
      <c r="G32" s="5"/>
      <c r="H32" s="5"/>
      <c r="I32" s="7"/>
      <c r="J32" s="45"/>
      <c r="K32" s="46"/>
      <c r="L32" s="46"/>
      <c r="M32" s="47"/>
    </row>
    <row r="33" spans="3:13" ht="33.75" customHeight="1" x14ac:dyDescent="0.25">
      <c r="C33" s="5"/>
      <c r="D33" s="16" t="str">
        <f t="shared" si="3"/>
        <v/>
      </c>
      <c r="E33" s="9"/>
      <c r="F33" s="5"/>
      <c r="G33" s="5"/>
      <c r="H33" s="5"/>
      <c r="I33" s="7"/>
      <c r="J33" s="45"/>
      <c r="K33" s="46"/>
      <c r="L33" s="46"/>
      <c r="M33" s="47"/>
    </row>
    <row r="34" spans="3:13" ht="33.75" customHeight="1" x14ac:dyDescent="0.25">
      <c r="C34" s="5"/>
      <c r="D34" s="16" t="str">
        <f t="shared" si="3"/>
        <v/>
      </c>
      <c r="E34" s="9"/>
      <c r="F34" s="5"/>
      <c r="G34" s="5"/>
      <c r="H34" s="5"/>
      <c r="I34" s="7"/>
      <c r="J34" s="45"/>
      <c r="K34" s="46"/>
      <c r="L34" s="46"/>
      <c r="M34" s="47"/>
    </row>
    <row r="35" spans="3:13" ht="33.75" customHeight="1" x14ac:dyDescent="0.25">
      <c r="C35" s="5"/>
      <c r="D35" s="16" t="str">
        <f t="shared" si="3"/>
        <v/>
      </c>
      <c r="E35" s="9"/>
      <c r="F35" s="5"/>
      <c r="G35" s="5"/>
      <c r="H35" s="5"/>
      <c r="I35" s="7"/>
      <c r="J35" s="45"/>
      <c r="K35" s="46"/>
      <c r="L35" s="46"/>
      <c r="M35" s="47"/>
    </row>
    <row r="36" spans="3:13" ht="33.75" customHeight="1" x14ac:dyDescent="0.25">
      <c r="C36" s="5"/>
      <c r="D36" s="16" t="str">
        <f t="shared" si="3"/>
        <v/>
      </c>
      <c r="E36" s="9"/>
      <c r="F36" s="5"/>
      <c r="G36" s="5"/>
      <c r="H36" s="5"/>
      <c r="I36" s="7"/>
      <c r="J36" s="45"/>
      <c r="K36" s="46"/>
      <c r="L36" s="46"/>
      <c r="M36" s="47"/>
    </row>
    <row r="37" spans="3:13" ht="33.75" customHeight="1" x14ac:dyDescent="0.25">
      <c r="C37" s="5"/>
      <c r="D37" s="16" t="str">
        <f t="shared" si="3"/>
        <v/>
      </c>
      <c r="E37" s="9"/>
      <c r="F37" s="5"/>
      <c r="G37" s="5"/>
      <c r="H37" s="5"/>
      <c r="I37" s="7"/>
      <c r="J37" s="45"/>
      <c r="K37" s="46"/>
      <c r="L37" s="46"/>
      <c r="M37" s="47"/>
    </row>
    <row r="38" spans="3:13" ht="33.75" customHeight="1" x14ac:dyDescent="0.25">
      <c r="C38" s="5"/>
      <c r="D38" s="16" t="str">
        <f t="shared" si="3"/>
        <v/>
      </c>
      <c r="E38" s="9"/>
      <c r="F38" s="5"/>
      <c r="G38" s="5"/>
      <c r="H38" s="5"/>
      <c r="I38" s="7"/>
      <c r="J38" s="45"/>
      <c r="K38" s="46"/>
      <c r="L38" s="46"/>
      <c r="M38" s="47"/>
    </row>
    <row r="39" spans="3:13" ht="33.75" customHeight="1" x14ac:dyDescent="0.25">
      <c r="C39" s="5"/>
      <c r="D39" s="16" t="str">
        <f t="shared" si="3"/>
        <v/>
      </c>
      <c r="E39" s="9"/>
      <c r="F39" s="5"/>
      <c r="G39" s="5"/>
      <c r="H39" s="5"/>
      <c r="I39" s="7"/>
      <c r="J39" s="45"/>
      <c r="K39" s="46"/>
      <c r="L39" s="46"/>
      <c r="M39" s="47"/>
    </row>
    <row r="40" spans="3:13" ht="33.75" customHeight="1" x14ac:dyDescent="0.25">
      <c r="C40" s="5"/>
      <c r="D40" s="16" t="str">
        <f t="shared" si="3"/>
        <v/>
      </c>
      <c r="E40" s="9"/>
      <c r="F40" s="5"/>
      <c r="G40" s="5"/>
      <c r="H40" s="5"/>
      <c r="I40" s="7"/>
      <c r="J40" s="45"/>
      <c r="K40" s="46"/>
      <c r="L40" s="46"/>
      <c r="M40" s="47"/>
    </row>
    <row r="41" spans="3:13" ht="33.75" customHeight="1" x14ac:dyDescent="0.25">
      <c r="C41" s="5"/>
      <c r="D41" s="16" t="str">
        <f t="shared" si="3"/>
        <v/>
      </c>
      <c r="E41" s="9"/>
      <c r="F41" s="5"/>
      <c r="G41" s="5"/>
      <c r="H41" s="5"/>
      <c r="I41" s="7"/>
      <c r="J41" s="45"/>
      <c r="K41" s="46"/>
      <c r="L41" s="46"/>
      <c r="M41" s="47"/>
    </row>
    <row r="42" spans="3:13" ht="33.75" customHeight="1" x14ac:dyDescent="0.25">
      <c r="C42" s="5"/>
      <c r="D42" s="16" t="str">
        <f t="shared" si="3"/>
        <v/>
      </c>
      <c r="E42" s="9"/>
      <c r="F42" s="5"/>
      <c r="G42" s="5"/>
      <c r="H42" s="5"/>
      <c r="I42" s="7"/>
      <c r="J42" s="45"/>
      <c r="K42" s="46"/>
      <c r="L42" s="46"/>
      <c r="M42" s="47"/>
    </row>
    <row r="43" spans="3:13" ht="25.5" customHeight="1" x14ac:dyDescent="0.25">
      <c r="C43" s="6"/>
      <c r="D43" s="6"/>
      <c r="E43" s="6"/>
      <c r="F43" s="6"/>
      <c r="G43" s="6"/>
      <c r="H43" s="6"/>
      <c r="I43" s="6"/>
      <c r="J43" s="6"/>
      <c r="K43" s="6"/>
      <c r="L43" s="80"/>
      <c r="M43" s="80"/>
    </row>
    <row r="44" spans="3:13" ht="27" customHeight="1" x14ac:dyDescent="0.25">
      <c r="C44" s="62" t="s">
        <v>35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spans="3:13" ht="16.5" customHeight="1" x14ac:dyDescent="0.25">
      <c r="C45" s="22"/>
      <c r="D45" s="23"/>
      <c r="E45" s="23"/>
      <c r="F45" s="23"/>
      <c r="G45" s="23"/>
      <c r="H45" s="23"/>
      <c r="I45" s="23"/>
      <c r="J45" s="23"/>
      <c r="K45" s="23"/>
      <c r="L45" s="81"/>
      <c r="M45" s="82"/>
    </row>
    <row r="46" spans="3:13" ht="16.5" customHeight="1" x14ac:dyDescent="0.25">
      <c r="C46" s="24"/>
      <c r="D46" s="21"/>
      <c r="E46" s="21"/>
      <c r="F46" s="21"/>
      <c r="G46" s="21"/>
      <c r="H46" s="21"/>
      <c r="I46" s="21"/>
      <c r="J46" s="21"/>
      <c r="K46" s="21"/>
      <c r="L46" s="83"/>
      <c r="M46" s="84"/>
    </row>
    <row r="47" spans="3:13" ht="16.5" customHeight="1" x14ac:dyDescent="0.25">
      <c r="C47" s="24"/>
      <c r="D47" s="21"/>
      <c r="E47" s="21"/>
      <c r="F47" s="21"/>
      <c r="G47" s="21"/>
      <c r="H47" s="21"/>
      <c r="I47" s="21"/>
      <c r="J47" s="21"/>
      <c r="K47" s="21"/>
      <c r="L47" s="83"/>
      <c r="M47" s="84"/>
    </row>
    <row r="48" spans="3:13" ht="16.5" customHeight="1" x14ac:dyDescent="0.25">
      <c r="C48" s="24"/>
      <c r="D48" s="21"/>
      <c r="E48" s="21"/>
      <c r="F48" s="21"/>
      <c r="G48" s="21"/>
      <c r="H48" s="21"/>
      <c r="I48" s="21"/>
      <c r="J48" s="21"/>
      <c r="K48" s="21"/>
      <c r="L48" s="83"/>
      <c r="M48" s="84"/>
    </row>
    <row r="49" spans="3:14" ht="16.5" customHeight="1" x14ac:dyDescent="0.25">
      <c r="C49" s="24"/>
      <c r="D49" s="21"/>
      <c r="E49" s="21"/>
      <c r="F49" s="21"/>
      <c r="G49" s="21"/>
      <c r="H49" s="21"/>
      <c r="I49" s="21"/>
      <c r="J49" s="21"/>
      <c r="K49" s="21"/>
      <c r="L49" s="83"/>
      <c r="M49" s="84"/>
    </row>
    <row r="50" spans="3:14" ht="16.5" customHeight="1" x14ac:dyDescent="0.25">
      <c r="C50" s="24"/>
      <c r="D50" s="25"/>
      <c r="E50" s="21"/>
      <c r="F50" s="25"/>
      <c r="G50" s="25"/>
      <c r="H50" s="25"/>
      <c r="I50" s="21"/>
      <c r="J50" s="25"/>
      <c r="K50" s="25"/>
      <c r="L50" s="25"/>
      <c r="M50" s="26"/>
    </row>
    <row r="51" spans="3:14" ht="16.5" customHeight="1" x14ac:dyDescent="0.25">
      <c r="C51" s="24"/>
      <c r="D51" s="25"/>
      <c r="E51" s="21"/>
      <c r="F51" s="25"/>
      <c r="G51" s="25"/>
      <c r="H51" s="25"/>
      <c r="I51" s="21"/>
      <c r="J51" s="25"/>
      <c r="K51" s="25"/>
      <c r="L51" s="25"/>
      <c r="M51" s="26"/>
    </row>
    <row r="52" spans="3:14" ht="16.5" customHeight="1" x14ac:dyDescent="0.25">
      <c r="C52" s="24"/>
      <c r="D52" s="25"/>
      <c r="E52" s="21"/>
      <c r="F52" s="25"/>
      <c r="G52" s="25"/>
      <c r="H52" s="25"/>
      <c r="I52" s="21"/>
      <c r="J52" s="25"/>
      <c r="K52" s="25"/>
      <c r="L52" s="25"/>
      <c r="M52" s="26"/>
    </row>
    <row r="53" spans="3:14" ht="16.5" customHeight="1" x14ac:dyDescent="0.25">
      <c r="C53" s="24"/>
      <c r="D53" s="25"/>
      <c r="E53" s="21"/>
      <c r="F53" s="25"/>
      <c r="G53" s="25"/>
      <c r="H53" s="25"/>
      <c r="I53" s="21"/>
      <c r="J53" s="25"/>
      <c r="K53" s="25"/>
      <c r="L53" s="25"/>
      <c r="M53" s="26"/>
    </row>
    <row r="54" spans="3:14" ht="16.5" customHeight="1" x14ac:dyDescent="0.25">
      <c r="C54" s="24"/>
      <c r="D54" s="25"/>
      <c r="E54" s="21"/>
      <c r="F54" s="25"/>
      <c r="G54" s="25"/>
      <c r="H54" s="25"/>
      <c r="I54" s="21"/>
      <c r="J54" s="25"/>
      <c r="K54" s="25"/>
      <c r="L54" s="25"/>
      <c r="M54" s="26"/>
    </row>
    <row r="55" spans="3:14" ht="25.5" customHeight="1" x14ac:dyDescent="0.25">
      <c r="C55" s="24"/>
      <c r="D55" s="21"/>
      <c r="E55" s="21"/>
      <c r="F55" s="25"/>
      <c r="G55" s="25"/>
      <c r="H55" s="25"/>
      <c r="I55" s="21"/>
      <c r="J55" s="25"/>
      <c r="K55" s="25"/>
      <c r="L55" s="25"/>
      <c r="M55" s="26"/>
      <c r="N55" s="4"/>
    </row>
    <row r="56" spans="3:14" ht="25.5" customHeight="1" x14ac:dyDescent="0.25">
      <c r="C56" s="24"/>
      <c r="D56" s="21"/>
      <c r="E56" s="21"/>
      <c r="F56" s="21"/>
      <c r="G56" s="21"/>
      <c r="H56" s="21"/>
      <c r="I56" s="21"/>
      <c r="J56" s="21"/>
      <c r="K56" s="21"/>
      <c r="L56" s="83"/>
      <c r="M56" s="84"/>
    </row>
    <row r="57" spans="3:14" ht="25.5" customHeight="1" x14ac:dyDescent="0.25">
      <c r="C57" s="24"/>
      <c r="D57" s="21"/>
      <c r="E57" s="21"/>
      <c r="F57" s="21"/>
      <c r="G57" s="21"/>
      <c r="H57" s="21"/>
      <c r="I57" s="21"/>
      <c r="J57" s="21"/>
      <c r="K57" s="21"/>
      <c r="L57" s="83"/>
      <c r="M57" s="84"/>
    </row>
    <row r="58" spans="3:14" x14ac:dyDescent="0.25">
      <c r="C58" s="85"/>
      <c r="D58" s="25"/>
      <c r="E58" s="25"/>
      <c r="F58" s="25"/>
      <c r="G58" s="25"/>
      <c r="H58" s="25"/>
      <c r="I58" s="25"/>
      <c r="J58" s="25"/>
      <c r="K58" s="25"/>
      <c r="L58" s="25"/>
      <c r="M58" s="26"/>
    </row>
    <row r="59" spans="3:14" x14ac:dyDescent="0.25">
      <c r="C59" s="85"/>
      <c r="D59" s="25"/>
      <c r="E59" s="25"/>
      <c r="F59" s="25"/>
      <c r="G59" s="25"/>
      <c r="H59" s="25"/>
      <c r="I59" s="25"/>
      <c r="J59" s="25"/>
      <c r="K59" s="25"/>
      <c r="L59" s="25"/>
      <c r="M59" s="26"/>
    </row>
    <row r="60" spans="3:14" x14ac:dyDescent="0.25">
      <c r="C60" s="86"/>
      <c r="D60" s="27"/>
      <c r="E60" s="27"/>
      <c r="F60" s="27"/>
      <c r="G60" s="27"/>
      <c r="H60" s="27"/>
      <c r="I60" s="27"/>
      <c r="J60" s="27"/>
      <c r="K60" s="27"/>
      <c r="L60" s="27"/>
      <c r="M60" s="28"/>
    </row>
    <row r="61" spans="3:14" x14ac:dyDescent="0.25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3:14" x14ac:dyDescent="0.25">
      <c r="C62" s="4"/>
      <c r="D62" s="4"/>
      <c r="E62" s="4"/>
      <c r="F62" s="33" t="s">
        <v>42</v>
      </c>
      <c r="G62" s="33" t="s">
        <v>1</v>
      </c>
      <c r="H62" s="33" t="s">
        <v>2</v>
      </c>
      <c r="I62" s="4"/>
      <c r="J62" s="4"/>
      <c r="K62" s="4"/>
      <c r="L62" s="4"/>
      <c r="M62" s="4"/>
    </row>
    <row r="63" spans="3:14" x14ac:dyDescent="0.25">
      <c r="C63" s="4"/>
      <c r="D63" s="4"/>
      <c r="E63" s="4"/>
      <c r="F63" s="29" t="s">
        <v>39</v>
      </c>
      <c r="G63" s="29">
        <f>COUNTIF($I$29:$I$42,"Concluída")</f>
        <v>0</v>
      </c>
      <c r="H63" s="30" t="str">
        <f>IFERROR(G63/$G$67,"")</f>
        <v/>
      </c>
      <c r="I63" s="4"/>
      <c r="J63" s="4"/>
      <c r="K63" s="4"/>
      <c r="L63" s="4"/>
      <c r="M63" s="4"/>
    </row>
    <row r="64" spans="3:14" x14ac:dyDescent="0.25">
      <c r="C64" s="4"/>
      <c r="D64" s="4"/>
      <c r="E64" s="4"/>
      <c r="F64" s="29" t="s">
        <v>43</v>
      </c>
      <c r="G64" s="29">
        <f>COUNTIF($I$29:$I$42,"Em andamento")</f>
        <v>0</v>
      </c>
      <c r="H64" s="30" t="str">
        <f>IFERROR(G64/$G$67,"")</f>
        <v/>
      </c>
      <c r="I64" s="4"/>
      <c r="J64" s="4"/>
      <c r="K64" s="4"/>
      <c r="L64" s="4"/>
      <c r="M64" s="4"/>
    </row>
    <row r="65" spans="3:13" x14ac:dyDescent="0.25">
      <c r="C65" s="4"/>
      <c r="D65" s="4"/>
      <c r="E65" s="4"/>
      <c r="F65" s="29" t="s">
        <v>40</v>
      </c>
      <c r="G65" s="29">
        <f>COUNTIF($I$29:$I$42,"Atrasada")</f>
        <v>0</v>
      </c>
      <c r="H65" s="30" t="str">
        <f>IFERROR(G65/$G$67,"")</f>
        <v/>
      </c>
      <c r="I65" s="4"/>
      <c r="J65" s="4"/>
      <c r="K65" s="4"/>
      <c r="L65" s="4"/>
      <c r="M65" s="4"/>
    </row>
    <row r="66" spans="3:13" x14ac:dyDescent="0.25">
      <c r="C66" s="4"/>
      <c r="D66" s="4"/>
      <c r="E66" s="4"/>
      <c r="F66" s="31" t="s">
        <v>41</v>
      </c>
      <c r="G66" s="31">
        <f>COUNTIF($I$29:$I$42,"Não Iniciada")</f>
        <v>0</v>
      </c>
      <c r="H66" s="32" t="str">
        <f>IFERROR(G66/$G$67,"")</f>
        <v/>
      </c>
      <c r="I66" s="4"/>
      <c r="J66" s="4"/>
      <c r="K66" s="4"/>
      <c r="L66" s="4"/>
      <c r="M66" s="4"/>
    </row>
    <row r="67" spans="3:13" x14ac:dyDescent="0.25">
      <c r="C67" s="4"/>
      <c r="D67" s="4"/>
      <c r="E67" s="4"/>
      <c r="F67" s="34" t="s">
        <v>0</v>
      </c>
      <c r="G67" s="34">
        <f>SUM(G63:G66)</f>
        <v>0</v>
      </c>
      <c r="H67" s="35">
        <f>SUM(H63:H66)</f>
        <v>0</v>
      </c>
      <c r="I67" s="4"/>
      <c r="J67" s="4"/>
      <c r="K67" s="4"/>
      <c r="L67" s="4"/>
      <c r="M67" s="4"/>
    </row>
    <row r="68" spans="3:13" x14ac:dyDescent="0.25"/>
    <row r="69" spans="3:13" s="4" customFormat="1" x14ac:dyDescent="0.25"/>
    <row r="70" spans="3:13" s="4" customFormat="1" x14ac:dyDescent="0.25"/>
    <row r="71" spans="3:13" s="4" customFormat="1" x14ac:dyDescent="0.25"/>
    <row r="72" spans="3:13" hidden="1" x14ac:dyDescent="0.25">
      <c r="D72" s="3" t="s">
        <v>25</v>
      </c>
    </row>
    <row r="73" spans="3:13" hidden="1" x14ac:dyDescent="0.25">
      <c r="D73" s="3" t="s">
        <v>26</v>
      </c>
    </row>
    <row r="74" spans="3:13" hidden="1" x14ac:dyDescent="0.25">
      <c r="D74" s="3" t="s">
        <v>27</v>
      </c>
    </row>
    <row r="75" spans="3:13" hidden="1" x14ac:dyDescent="0.25">
      <c r="D75" s="3" t="s">
        <v>28</v>
      </c>
    </row>
    <row r="76" spans="3:13" hidden="1" x14ac:dyDescent="0.25">
      <c r="D76" s="3" t="s">
        <v>29</v>
      </c>
    </row>
    <row r="77" spans="3:13" hidden="1" x14ac:dyDescent="0.25">
      <c r="D77" s="3" t="s">
        <v>30</v>
      </c>
    </row>
    <row r="78" spans="3:13" hidden="1" x14ac:dyDescent="0.25"/>
    <row r="79" spans="3:13" hidden="1" x14ac:dyDescent="0.25">
      <c r="D79" s="3" t="s">
        <v>23</v>
      </c>
    </row>
    <row r="80" spans="3:13" hidden="1" x14ac:dyDescent="0.25">
      <c r="D80" s="3" t="s">
        <v>24</v>
      </c>
    </row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</sheetData>
  <mergeCells count="23">
    <mergeCell ref="J41:M41"/>
    <mergeCell ref="J42:M42"/>
    <mergeCell ref="C44:M44"/>
    <mergeCell ref="J35:M35"/>
    <mergeCell ref="J36:M36"/>
    <mergeCell ref="J37:M37"/>
    <mergeCell ref="J38:M38"/>
    <mergeCell ref="J39:M39"/>
    <mergeCell ref="J40:M40"/>
    <mergeCell ref="J34:M34"/>
    <mergeCell ref="C26:M26"/>
    <mergeCell ref="G27:H27"/>
    <mergeCell ref="J29:M29"/>
    <mergeCell ref="J30:M30"/>
    <mergeCell ref="J31:M31"/>
    <mergeCell ref="J32:M32"/>
    <mergeCell ref="J33:M33"/>
    <mergeCell ref="C13:M13"/>
    <mergeCell ref="C1:M1"/>
    <mergeCell ref="C3:D3"/>
    <mergeCell ref="C4:M6"/>
    <mergeCell ref="C9:M11"/>
    <mergeCell ref="C8:D8"/>
  </mergeCells>
  <conditionalFormatting sqref="L15:L24">
    <cfRule type="cellIs" dxfId="3" priority="1" operator="equal">
      <formula>"Vermelho"</formula>
    </cfRule>
    <cfRule type="cellIs" dxfId="2" priority="2" operator="equal">
      <formula>"Verde"</formula>
    </cfRule>
  </conditionalFormatting>
  <dataValidations disablePrompts="1" count="3">
    <dataValidation type="list" allowBlank="1" showInputMessage="1" showErrorMessage="1" sqref="I29:I42">
      <formula1>$F$63:$F$66</formula1>
    </dataValidation>
    <dataValidation type="list" allowBlank="1" showInputMessage="1" showErrorMessage="1" sqref="G15:G24">
      <formula1>$D$72:$D$77</formula1>
    </dataValidation>
    <dataValidation type="list" allowBlank="1" showInputMessage="1" showErrorMessage="1" sqref="I15:I24">
      <formula1>$D$79:$D$80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3"/>
  <sheetViews>
    <sheetView showGridLines="0" workbookViewId="0">
      <selection activeCell="D15" sqref="D15:K15"/>
    </sheetView>
  </sheetViews>
  <sheetFormatPr defaultRowHeight="15" customHeight="1" zeroHeight="1" x14ac:dyDescent="0.25"/>
  <cols>
    <col min="1" max="1" width="0.140625" style="3" customWidth="1"/>
    <col min="2" max="2" width="1.42578125" style="3" customWidth="1"/>
    <col min="3" max="3" width="2.85546875" style="3" customWidth="1"/>
    <col min="4" max="4" width="38" style="3" customWidth="1"/>
    <col min="5" max="5" width="32" style="3" customWidth="1"/>
    <col min="6" max="6" width="14.42578125" style="3" customWidth="1"/>
    <col min="7" max="7" width="12.140625" style="3" customWidth="1"/>
    <col min="8" max="8" width="13.140625" style="3" bestFit="1" customWidth="1"/>
    <col min="9" max="9" width="14" style="3" customWidth="1"/>
    <col min="10" max="10" width="13.42578125" style="3" customWidth="1"/>
    <col min="11" max="11" width="14" style="3" customWidth="1"/>
    <col min="12" max="12" width="11.140625" style="3" customWidth="1"/>
    <col min="13" max="13" width="11.28515625" style="3" customWidth="1"/>
    <col min="14" max="16384" width="9.140625" style="3"/>
  </cols>
  <sheetData>
    <row r="1" spans="1:17" s="25" customFormat="1" ht="36" customHeight="1" thickBot="1" x14ac:dyDescent="0.3">
      <c r="C1" s="43" t="s">
        <v>44</v>
      </c>
      <c r="D1" s="65"/>
      <c r="E1" s="65"/>
      <c r="F1" s="65"/>
      <c r="G1" s="65"/>
      <c r="H1" s="65"/>
      <c r="I1" s="65"/>
      <c r="J1" s="65"/>
      <c r="K1" s="65"/>
      <c r="L1" s="65"/>
      <c r="M1" s="66"/>
      <c r="N1" s="77"/>
      <c r="O1" s="77"/>
      <c r="P1" s="77"/>
      <c r="Q1" s="77"/>
    </row>
    <row r="2" spans="1:17" s="25" customFormat="1" ht="15" customHeight="1" x14ac:dyDescent="0.2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1:17" ht="13.5" customHeight="1" x14ac:dyDescent="0.25">
      <c r="C3" s="89" t="s">
        <v>10</v>
      </c>
      <c r="D3" s="89"/>
    </row>
    <row r="4" spans="1:17" ht="15" customHeight="1" x14ac:dyDescent="0.25"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</row>
    <row r="5" spans="1:17" x14ac:dyDescent="0.25"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7" x14ac:dyDescent="0.25"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</row>
    <row r="7" spans="1:17" x14ac:dyDescent="0.25"/>
    <row r="8" spans="1:17" x14ac:dyDescent="0.25">
      <c r="C8" s="42" t="s">
        <v>11</v>
      </c>
      <c r="D8" s="42"/>
    </row>
    <row r="9" spans="1:17" x14ac:dyDescent="0.25">
      <c r="C9" s="68"/>
      <c r="D9" s="69"/>
      <c r="E9" s="69"/>
      <c r="F9" s="69"/>
      <c r="G9" s="69"/>
      <c r="H9" s="69"/>
      <c r="I9" s="69"/>
      <c r="J9" s="69"/>
      <c r="K9" s="69"/>
      <c r="L9" s="69"/>
      <c r="M9" s="70"/>
    </row>
    <row r="10" spans="1:17" x14ac:dyDescent="0.25">
      <c r="C10" s="71"/>
      <c r="D10" s="72"/>
      <c r="E10" s="72"/>
      <c r="F10" s="72"/>
      <c r="G10" s="72"/>
      <c r="H10" s="72"/>
      <c r="I10" s="72"/>
      <c r="J10" s="72"/>
      <c r="K10" s="72"/>
      <c r="L10" s="72"/>
      <c r="M10" s="73"/>
    </row>
    <row r="11" spans="1:17" x14ac:dyDescent="0.25">
      <c r="C11" s="74"/>
      <c r="D11" s="75"/>
      <c r="E11" s="75"/>
      <c r="F11" s="75"/>
      <c r="G11" s="75"/>
      <c r="H11" s="75"/>
      <c r="I11" s="75"/>
      <c r="J11" s="75"/>
      <c r="K11" s="75"/>
      <c r="L11" s="75"/>
      <c r="M11" s="76"/>
    </row>
    <row r="12" spans="1:17" ht="14.25" customHeight="1" thickBot="1" x14ac:dyDescent="0.3"/>
    <row r="13" spans="1:17" ht="27" customHeight="1" thickBot="1" x14ac:dyDescent="0.3">
      <c r="C13" s="51" t="s">
        <v>34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</row>
    <row r="14" spans="1:17" ht="33" customHeight="1" x14ac:dyDescent="0.25">
      <c r="C14" s="19" t="s">
        <v>21</v>
      </c>
      <c r="D14" s="19" t="s">
        <v>7</v>
      </c>
      <c r="E14" s="19" t="s">
        <v>13</v>
      </c>
      <c r="F14" s="20" t="s">
        <v>14</v>
      </c>
      <c r="G14" s="19" t="s">
        <v>15</v>
      </c>
      <c r="H14" s="19" t="s">
        <v>16</v>
      </c>
      <c r="I14" s="19" t="s">
        <v>17</v>
      </c>
      <c r="J14" s="19" t="s">
        <v>12</v>
      </c>
      <c r="K14" s="19" t="s">
        <v>18</v>
      </c>
      <c r="L14" s="19" t="s">
        <v>19</v>
      </c>
      <c r="M14" s="20" t="s">
        <v>31</v>
      </c>
    </row>
    <row r="15" spans="1:17" ht="33.75" customHeight="1" x14ac:dyDescent="0.25">
      <c r="C15" s="7">
        <v>1</v>
      </c>
      <c r="D15" s="8"/>
      <c r="E15" s="8"/>
      <c r="F15" s="7"/>
      <c r="G15" s="7"/>
      <c r="H15" s="7"/>
      <c r="I15" s="7"/>
      <c r="J15" s="7"/>
      <c r="K15" s="7"/>
      <c r="L15" s="17" t="str">
        <f t="shared" ref="L15:L19" si="0">IF(I15="","",IF(I15="P/ Cima",IF(J15&gt;K15,"Vermelho",IF(J15&lt;K15,"Verde",IF(J15="","",IF(K15="","",IF(J15=K15,"Verde",""))))),IF(I15="P/ Baixo",IF(J15&lt;K15,"Vermelho",IF(J15&gt;K15,"Verde",IF(J15="","",IF(K15="","",IF(J15=K15,"Verde",""))))))))</f>
        <v/>
      </c>
      <c r="M15" s="17" t="str">
        <f>IF(L15="Verde","Não",IF(L15="Vermelho","Sim",""))</f>
        <v/>
      </c>
    </row>
    <row r="16" spans="1:17" ht="33.75" customHeight="1" x14ac:dyDescent="0.25">
      <c r="C16" s="5">
        <v>2</v>
      </c>
      <c r="D16" s="9"/>
      <c r="E16" s="9"/>
      <c r="F16" s="5"/>
      <c r="G16" s="5"/>
      <c r="H16" s="5"/>
      <c r="I16" s="5"/>
      <c r="J16" s="5"/>
      <c r="K16" s="5"/>
      <c r="L16" s="14" t="str">
        <f t="shared" si="0"/>
        <v/>
      </c>
      <c r="M16" s="14" t="str">
        <f t="shared" ref="M16:M24" si="1">IF(L16="Verde","Não",IF(L16="Vermelho","Sim",""))</f>
        <v/>
      </c>
    </row>
    <row r="17" spans="3:13" ht="33.75" customHeight="1" x14ac:dyDescent="0.25">
      <c r="C17" s="5">
        <v>3</v>
      </c>
      <c r="D17" s="9"/>
      <c r="E17" s="9"/>
      <c r="F17" s="5"/>
      <c r="G17" s="5"/>
      <c r="H17" s="5"/>
      <c r="I17" s="5"/>
      <c r="J17" s="5"/>
      <c r="K17" s="5"/>
      <c r="L17" s="14" t="str">
        <f t="shared" si="0"/>
        <v/>
      </c>
      <c r="M17" s="14" t="str">
        <f t="shared" si="1"/>
        <v/>
      </c>
    </row>
    <row r="18" spans="3:13" ht="33.75" customHeight="1" x14ac:dyDescent="0.25">
      <c r="C18" s="5">
        <v>4</v>
      </c>
      <c r="D18" s="9"/>
      <c r="E18" s="9"/>
      <c r="F18" s="5"/>
      <c r="G18" s="5"/>
      <c r="H18" s="5"/>
      <c r="I18" s="5"/>
      <c r="J18" s="5"/>
      <c r="K18" s="5"/>
      <c r="L18" s="14" t="str">
        <f t="shared" si="0"/>
        <v/>
      </c>
      <c r="M18" s="14" t="str">
        <f t="shared" si="1"/>
        <v/>
      </c>
    </row>
    <row r="19" spans="3:13" ht="33.75" customHeight="1" x14ac:dyDescent="0.25">
      <c r="C19" s="5">
        <v>5</v>
      </c>
      <c r="D19" s="9"/>
      <c r="E19" s="9"/>
      <c r="F19" s="5"/>
      <c r="G19" s="5"/>
      <c r="H19" s="5"/>
      <c r="I19" s="5"/>
      <c r="J19" s="5"/>
      <c r="K19" s="5"/>
      <c r="L19" s="14" t="str">
        <f t="shared" si="0"/>
        <v/>
      </c>
      <c r="M19" s="14" t="str">
        <f t="shared" si="1"/>
        <v/>
      </c>
    </row>
    <row r="20" spans="3:13" ht="33.75" customHeight="1" x14ac:dyDescent="0.25">
      <c r="C20" s="5">
        <v>6</v>
      </c>
      <c r="D20" s="9"/>
      <c r="E20" s="9"/>
      <c r="F20" s="5"/>
      <c r="G20" s="5"/>
      <c r="H20" s="5"/>
      <c r="I20" s="5"/>
      <c r="J20" s="5"/>
      <c r="K20" s="5"/>
      <c r="L20" s="14" t="str">
        <f>IF(I20="","",IF(I20="P/ Cima",IF(J20&gt;K20,"Vermelho",IF(J20&lt;K20,"Verde",IF(J20="","",IF(K20="","",IF(J20=K20,"Verde",""))))),IF(I20="P/ Baixo",IF(J20&lt;K20,"Vermelho",IF(J20&gt;K20,"Verde",IF(J20="","",IF(K20="","",IF(J20=K20,"Verde",""))))))))</f>
        <v/>
      </c>
      <c r="M20" s="14" t="str">
        <f>IF(L20="Verde","Não",IF(L20="Vermelho","Sim",""))</f>
        <v/>
      </c>
    </row>
    <row r="21" spans="3:13" ht="33.75" customHeight="1" x14ac:dyDescent="0.25">
      <c r="C21" s="5">
        <v>7</v>
      </c>
      <c r="D21" s="9"/>
      <c r="E21" s="9"/>
      <c r="F21" s="5"/>
      <c r="G21" s="5"/>
      <c r="H21" s="5"/>
      <c r="I21" s="5"/>
      <c r="J21" s="5"/>
      <c r="K21" s="5"/>
      <c r="L21" s="14" t="str">
        <f t="shared" ref="L21:L24" si="2">IF(I21="","",IF(I21="P/ Cima",IF(J21&gt;K21,"Vermelho",IF(J21&lt;K21,"Verde",IF(J21="","",IF(K21="","",IF(J21=K21,"Verde",""))))),IF(I21="P/ Baixo",IF(J21&lt;K21,"Vermelho",IF(J21&gt;K21,"Verde",IF(J21="","",IF(K21="","",IF(J21=K21,"Verde",""))))))))</f>
        <v/>
      </c>
      <c r="M21" s="14" t="str">
        <f t="shared" si="1"/>
        <v/>
      </c>
    </row>
    <row r="22" spans="3:13" ht="33.75" customHeight="1" x14ac:dyDescent="0.25">
      <c r="C22" s="5">
        <v>8</v>
      </c>
      <c r="D22" s="9"/>
      <c r="E22" s="9"/>
      <c r="F22" s="5"/>
      <c r="G22" s="5"/>
      <c r="H22" s="5"/>
      <c r="I22" s="5"/>
      <c r="J22" s="5"/>
      <c r="K22" s="5"/>
      <c r="L22" s="14" t="str">
        <f t="shared" si="2"/>
        <v/>
      </c>
      <c r="M22" s="14" t="str">
        <f t="shared" si="1"/>
        <v/>
      </c>
    </row>
    <row r="23" spans="3:13" ht="33.75" customHeight="1" x14ac:dyDescent="0.25">
      <c r="C23" s="5">
        <v>9</v>
      </c>
      <c r="D23" s="9"/>
      <c r="E23" s="9"/>
      <c r="F23" s="5"/>
      <c r="G23" s="5"/>
      <c r="H23" s="5"/>
      <c r="I23" s="5"/>
      <c r="J23" s="5"/>
      <c r="K23" s="5"/>
      <c r="L23" s="14" t="str">
        <f t="shared" si="2"/>
        <v/>
      </c>
      <c r="M23" s="14" t="str">
        <f t="shared" si="1"/>
        <v/>
      </c>
    </row>
    <row r="24" spans="3:13" ht="33.75" customHeight="1" x14ac:dyDescent="0.25">
      <c r="C24" s="5">
        <v>10</v>
      </c>
      <c r="D24" s="9"/>
      <c r="E24" s="9"/>
      <c r="F24" s="5"/>
      <c r="G24" s="5"/>
      <c r="H24" s="5"/>
      <c r="I24" s="5"/>
      <c r="J24" s="5"/>
      <c r="K24" s="5"/>
      <c r="L24" s="14" t="str">
        <f t="shared" si="2"/>
        <v/>
      </c>
      <c r="M24" s="14" t="str">
        <f t="shared" si="1"/>
        <v/>
      </c>
    </row>
    <row r="25" spans="3:13" ht="18" customHeight="1" thickBot="1" x14ac:dyDescent="0.3"/>
    <row r="26" spans="3:13" ht="27" customHeight="1" thickBot="1" x14ac:dyDescent="0.3">
      <c r="C26" s="48" t="s">
        <v>33</v>
      </c>
      <c r="D26" s="49"/>
      <c r="E26" s="49"/>
      <c r="F26" s="49"/>
      <c r="G26" s="49"/>
      <c r="H26" s="49"/>
      <c r="I26" s="49"/>
      <c r="J26" s="49"/>
      <c r="K26" s="49"/>
      <c r="L26" s="49"/>
      <c r="M26" s="50"/>
    </row>
    <row r="27" spans="3:13" ht="27.75" customHeight="1" thickBot="1" x14ac:dyDescent="0.3">
      <c r="C27" s="19" t="s">
        <v>21</v>
      </c>
      <c r="D27" s="19" t="s">
        <v>9</v>
      </c>
      <c r="E27" s="19" t="s">
        <v>20</v>
      </c>
      <c r="F27" s="20" t="s">
        <v>16</v>
      </c>
      <c r="G27" s="63" t="s">
        <v>38</v>
      </c>
      <c r="H27" s="64"/>
      <c r="I27" s="19" t="s">
        <v>32</v>
      </c>
      <c r="J27" s="19" t="s">
        <v>22</v>
      </c>
      <c r="K27" s="19"/>
      <c r="L27" s="19"/>
      <c r="M27" s="20"/>
    </row>
    <row r="28" spans="3:13" ht="15.75" x14ac:dyDescent="0.25">
      <c r="C28" s="19"/>
      <c r="D28" s="19"/>
      <c r="E28" s="19"/>
      <c r="F28" s="20"/>
      <c r="G28" s="19" t="s">
        <v>36</v>
      </c>
      <c r="H28" s="19" t="s">
        <v>37</v>
      </c>
      <c r="I28" s="19"/>
      <c r="J28" s="19"/>
      <c r="K28" s="19"/>
      <c r="L28" s="19"/>
      <c r="M28" s="20"/>
    </row>
    <row r="29" spans="3:13" ht="33.75" customHeight="1" x14ac:dyDescent="0.25">
      <c r="C29" s="7"/>
      <c r="D29" s="15" t="str">
        <f>IFERROR(VLOOKUP(C29,$C$15:$D$24,2,FALSE),"")</f>
        <v/>
      </c>
      <c r="E29" s="88"/>
      <c r="F29" s="7"/>
      <c r="G29" s="10"/>
      <c r="H29" s="7"/>
      <c r="I29" s="7"/>
      <c r="J29" s="45"/>
      <c r="K29" s="46"/>
      <c r="L29" s="46"/>
      <c r="M29" s="47"/>
    </row>
    <row r="30" spans="3:13" ht="33.75" customHeight="1" x14ac:dyDescent="0.25">
      <c r="C30" s="5"/>
      <c r="D30" s="16" t="str">
        <f t="shared" ref="D30:D42" si="3">IFERROR(VLOOKUP(C30,$C$15:$D$24,2,FALSE),"")</f>
        <v/>
      </c>
      <c r="E30" s="9"/>
      <c r="F30" s="5"/>
      <c r="G30" s="5"/>
      <c r="H30" s="5"/>
      <c r="I30" s="7"/>
      <c r="J30" s="45"/>
      <c r="K30" s="46"/>
      <c r="L30" s="46"/>
      <c r="M30" s="47"/>
    </row>
    <row r="31" spans="3:13" ht="33.75" customHeight="1" x14ac:dyDescent="0.25">
      <c r="C31" s="5"/>
      <c r="D31" s="16" t="str">
        <f t="shared" si="3"/>
        <v/>
      </c>
      <c r="E31" s="9"/>
      <c r="F31" s="5"/>
      <c r="G31" s="5"/>
      <c r="H31" s="5"/>
      <c r="I31" s="7"/>
      <c r="J31" s="45"/>
      <c r="K31" s="46"/>
      <c r="L31" s="46"/>
      <c r="M31" s="47"/>
    </row>
    <row r="32" spans="3:13" ht="33.75" customHeight="1" x14ac:dyDescent="0.25">
      <c r="C32" s="5"/>
      <c r="D32" s="16" t="str">
        <f t="shared" si="3"/>
        <v/>
      </c>
      <c r="E32" s="9"/>
      <c r="F32" s="5"/>
      <c r="G32" s="5"/>
      <c r="H32" s="5"/>
      <c r="I32" s="7"/>
      <c r="J32" s="45"/>
      <c r="K32" s="46"/>
      <c r="L32" s="46"/>
      <c r="M32" s="47"/>
    </row>
    <row r="33" spans="3:13" ht="33.75" customHeight="1" x14ac:dyDescent="0.25">
      <c r="C33" s="5"/>
      <c r="D33" s="16" t="str">
        <f t="shared" si="3"/>
        <v/>
      </c>
      <c r="E33" s="9"/>
      <c r="F33" s="5"/>
      <c r="G33" s="5"/>
      <c r="H33" s="5"/>
      <c r="I33" s="7"/>
      <c r="J33" s="45"/>
      <c r="K33" s="46"/>
      <c r="L33" s="46"/>
      <c r="M33" s="47"/>
    </row>
    <row r="34" spans="3:13" ht="33.75" customHeight="1" x14ac:dyDescent="0.25">
      <c r="C34" s="5"/>
      <c r="D34" s="16" t="str">
        <f t="shared" si="3"/>
        <v/>
      </c>
      <c r="E34" s="9"/>
      <c r="F34" s="5"/>
      <c r="G34" s="5"/>
      <c r="H34" s="5"/>
      <c r="I34" s="7"/>
      <c r="J34" s="45"/>
      <c r="K34" s="46"/>
      <c r="L34" s="46"/>
      <c r="M34" s="47"/>
    </row>
    <row r="35" spans="3:13" ht="33.75" customHeight="1" x14ac:dyDescent="0.25">
      <c r="C35" s="5"/>
      <c r="D35" s="16" t="str">
        <f t="shared" si="3"/>
        <v/>
      </c>
      <c r="E35" s="9"/>
      <c r="F35" s="5"/>
      <c r="G35" s="5"/>
      <c r="H35" s="5"/>
      <c r="I35" s="7"/>
      <c r="J35" s="45"/>
      <c r="K35" s="46"/>
      <c r="L35" s="46"/>
      <c r="M35" s="47"/>
    </row>
    <row r="36" spans="3:13" ht="33.75" customHeight="1" x14ac:dyDescent="0.25">
      <c r="C36" s="5"/>
      <c r="D36" s="16" t="str">
        <f t="shared" si="3"/>
        <v/>
      </c>
      <c r="E36" s="9"/>
      <c r="F36" s="5"/>
      <c r="G36" s="5"/>
      <c r="H36" s="5"/>
      <c r="I36" s="7"/>
      <c r="J36" s="45"/>
      <c r="K36" s="46"/>
      <c r="L36" s="46"/>
      <c r="M36" s="47"/>
    </row>
    <row r="37" spans="3:13" ht="33.75" customHeight="1" x14ac:dyDescent="0.25">
      <c r="C37" s="5"/>
      <c r="D37" s="16" t="str">
        <f t="shared" si="3"/>
        <v/>
      </c>
      <c r="E37" s="9"/>
      <c r="F37" s="5"/>
      <c r="G37" s="5"/>
      <c r="H37" s="5"/>
      <c r="I37" s="7"/>
      <c r="J37" s="45"/>
      <c r="K37" s="46"/>
      <c r="L37" s="46"/>
      <c r="M37" s="47"/>
    </row>
    <row r="38" spans="3:13" ht="33.75" customHeight="1" x14ac:dyDescent="0.25">
      <c r="C38" s="5"/>
      <c r="D38" s="16" t="str">
        <f t="shared" si="3"/>
        <v/>
      </c>
      <c r="E38" s="9"/>
      <c r="F38" s="5"/>
      <c r="G38" s="5"/>
      <c r="H38" s="5"/>
      <c r="I38" s="7"/>
      <c r="J38" s="45"/>
      <c r="K38" s="46"/>
      <c r="L38" s="46"/>
      <c r="M38" s="47"/>
    </row>
    <row r="39" spans="3:13" ht="33.75" customHeight="1" x14ac:dyDescent="0.25">
      <c r="C39" s="5"/>
      <c r="D39" s="16" t="str">
        <f t="shared" si="3"/>
        <v/>
      </c>
      <c r="E39" s="9"/>
      <c r="F39" s="5"/>
      <c r="G39" s="5"/>
      <c r="H39" s="5"/>
      <c r="I39" s="7"/>
      <c r="J39" s="45"/>
      <c r="K39" s="46"/>
      <c r="L39" s="46"/>
      <c r="M39" s="47"/>
    </row>
    <row r="40" spans="3:13" ht="33.75" customHeight="1" x14ac:dyDescent="0.25">
      <c r="C40" s="5"/>
      <c r="D40" s="16" t="str">
        <f t="shared" si="3"/>
        <v/>
      </c>
      <c r="E40" s="9"/>
      <c r="F40" s="5"/>
      <c r="G40" s="5"/>
      <c r="H40" s="5"/>
      <c r="I40" s="7"/>
      <c r="J40" s="45"/>
      <c r="K40" s="46"/>
      <c r="L40" s="46"/>
      <c r="M40" s="47"/>
    </row>
    <row r="41" spans="3:13" ht="33.75" customHeight="1" x14ac:dyDescent="0.25">
      <c r="C41" s="5"/>
      <c r="D41" s="16" t="str">
        <f t="shared" si="3"/>
        <v/>
      </c>
      <c r="E41" s="9"/>
      <c r="F41" s="5"/>
      <c r="G41" s="5"/>
      <c r="H41" s="5"/>
      <c r="I41" s="7"/>
      <c r="J41" s="45"/>
      <c r="K41" s="46"/>
      <c r="L41" s="46"/>
      <c r="M41" s="47"/>
    </row>
    <row r="42" spans="3:13" ht="33.75" customHeight="1" x14ac:dyDescent="0.25">
      <c r="C42" s="5"/>
      <c r="D42" s="16" t="str">
        <f t="shared" si="3"/>
        <v/>
      </c>
      <c r="E42" s="9"/>
      <c r="F42" s="5"/>
      <c r="G42" s="5"/>
      <c r="H42" s="5"/>
      <c r="I42" s="7"/>
      <c r="J42" s="45"/>
      <c r="K42" s="46"/>
      <c r="L42" s="46"/>
      <c r="M42" s="47"/>
    </row>
    <row r="43" spans="3:13" ht="25.5" customHeight="1" x14ac:dyDescent="0.25">
      <c r="C43" s="6"/>
      <c r="D43" s="6"/>
      <c r="E43" s="6"/>
      <c r="F43" s="6"/>
      <c r="G43" s="6"/>
      <c r="H43" s="6"/>
      <c r="I43" s="6"/>
      <c r="J43" s="6"/>
      <c r="K43" s="6"/>
      <c r="L43" s="80"/>
      <c r="M43" s="80"/>
    </row>
    <row r="44" spans="3:13" ht="27" customHeight="1" x14ac:dyDescent="0.25">
      <c r="C44" s="62" t="s">
        <v>35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spans="3:13" ht="16.5" customHeight="1" x14ac:dyDescent="0.25">
      <c r="C45" s="22"/>
      <c r="D45" s="23"/>
      <c r="E45" s="23"/>
      <c r="F45" s="23"/>
      <c r="G45" s="23"/>
      <c r="H45" s="23"/>
      <c r="I45" s="23"/>
      <c r="J45" s="23"/>
      <c r="K45" s="23"/>
      <c r="L45" s="81"/>
      <c r="M45" s="82"/>
    </row>
    <row r="46" spans="3:13" ht="16.5" customHeight="1" x14ac:dyDescent="0.25">
      <c r="C46" s="24"/>
      <c r="D46" s="21"/>
      <c r="E46" s="21"/>
      <c r="F46" s="21"/>
      <c r="G46" s="21"/>
      <c r="H46" s="21"/>
      <c r="I46" s="21"/>
      <c r="J46" s="21"/>
      <c r="K46" s="21"/>
      <c r="L46" s="83"/>
      <c r="M46" s="84"/>
    </row>
    <row r="47" spans="3:13" ht="16.5" customHeight="1" x14ac:dyDescent="0.25">
      <c r="C47" s="24"/>
      <c r="D47" s="21"/>
      <c r="E47" s="21"/>
      <c r="F47" s="21"/>
      <c r="G47" s="21"/>
      <c r="H47" s="21"/>
      <c r="I47" s="21"/>
      <c r="J47" s="21"/>
      <c r="K47" s="21"/>
      <c r="L47" s="83"/>
      <c r="M47" s="84"/>
    </row>
    <row r="48" spans="3:13" ht="16.5" customHeight="1" x14ac:dyDescent="0.25">
      <c r="C48" s="24"/>
      <c r="D48" s="21"/>
      <c r="E48" s="21"/>
      <c r="F48" s="21"/>
      <c r="G48" s="21"/>
      <c r="H48" s="21"/>
      <c r="I48" s="21"/>
      <c r="J48" s="21"/>
      <c r="K48" s="21"/>
      <c r="L48" s="83"/>
      <c r="M48" s="84"/>
    </row>
    <row r="49" spans="3:14" ht="16.5" customHeight="1" x14ac:dyDescent="0.25">
      <c r="C49" s="24"/>
      <c r="D49" s="21"/>
      <c r="E49" s="21"/>
      <c r="F49" s="21"/>
      <c r="G49" s="21"/>
      <c r="H49" s="21"/>
      <c r="I49" s="21"/>
      <c r="J49" s="21"/>
      <c r="K49" s="21"/>
      <c r="L49" s="83"/>
      <c r="M49" s="84"/>
    </row>
    <row r="50" spans="3:14" ht="16.5" customHeight="1" x14ac:dyDescent="0.25">
      <c r="C50" s="24"/>
      <c r="D50" s="25"/>
      <c r="E50" s="21"/>
      <c r="F50" s="25"/>
      <c r="G50" s="25"/>
      <c r="H50" s="25"/>
      <c r="I50" s="21"/>
      <c r="J50" s="25"/>
      <c r="K50" s="25"/>
      <c r="L50" s="25"/>
      <c r="M50" s="26"/>
    </row>
    <row r="51" spans="3:14" ht="16.5" customHeight="1" x14ac:dyDescent="0.25">
      <c r="C51" s="24"/>
      <c r="D51" s="25"/>
      <c r="E51" s="21"/>
      <c r="F51" s="25"/>
      <c r="G51" s="25"/>
      <c r="H51" s="25"/>
      <c r="I51" s="21"/>
      <c r="J51" s="25"/>
      <c r="K51" s="25"/>
      <c r="L51" s="25"/>
      <c r="M51" s="26"/>
    </row>
    <row r="52" spans="3:14" ht="16.5" customHeight="1" x14ac:dyDescent="0.25">
      <c r="C52" s="24"/>
      <c r="D52" s="25"/>
      <c r="E52" s="21"/>
      <c r="F52" s="25"/>
      <c r="G52" s="25"/>
      <c r="H52" s="25"/>
      <c r="I52" s="21"/>
      <c r="J52" s="25"/>
      <c r="K52" s="25"/>
      <c r="L52" s="25"/>
      <c r="M52" s="26"/>
    </row>
    <row r="53" spans="3:14" ht="16.5" customHeight="1" x14ac:dyDescent="0.25">
      <c r="C53" s="24"/>
      <c r="D53" s="25"/>
      <c r="E53" s="21"/>
      <c r="F53" s="25"/>
      <c r="G53" s="25"/>
      <c r="H53" s="25"/>
      <c r="I53" s="21"/>
      <c r="J53" s="25"/>
      <c r="K53" s="25"/>
      <c r="L53" s="25"/>
      <c r="M53" s="26"/>
    </row>
    <row r="54" spans="3:14" ht="16.5" customHeight="1" x14ac:dyDescent="0.25">
      <c r="C54" s="24"/>
      <c r="D54" s="25"/>
      <c r="E54" s="21"/>
      <c r="F54" s="25"/>
      <c r="G54" s="25"/>
      <c r="H54" s="25"/>
      <c r="I54" s="21"/>
      <c r="J54" s="25"/>
      <c r="K54" s="25"/>
      <c r="L54" s="25"/>
      <c r="M54" s="26"/>
    </row>
    <row r="55" spans="3:14" ht="25.5" customHeight="1" x14ac:dyDescent="0.25">
      <c r="C55" s="24"/>
      <c r="D55" s="21"/>
      <c r="E55" s="21"/>
      <c r="F55" s="25"/>
      <c r="G55" s="25"/>
      <c r="H55" s="25"/>
      <c r="I55" s="21"/>
      <c r="J55" s="25"/>
      <c r="K55" s="25"/>
      <c r="L55" s="25"/>
      <c r="M55" s="26"/>
      <c r="N55" s="4"/>
    </row>
    <row r="56" spans="3:14" ht="25.5" customHeight="1" x14ac:dyDescent="0.25">
      <c r="C56" s="24"/>
      <c r="D56" s="21"/>
      <c r="E56" s="21"/>
      <c r="F56" s="21"/>
      <c r="G56" s="21"/>
      <c r="H56" s="21"/>
      <c r="I56" s="21"/>
      <c r="J56" s="21"/>
      <c r="K56" s="21"/>
      <c r="L56" s="83"/>
      <c r="M56" s="84"/>
    </row>
    <row r="57" spans="3:14" ht="25.5" customHeight="1" x14ac:dyDescent="0.25">
      <c r="C57" s="24"/>
      <c r="D57" s="21"/>
      <c r="E57" s="21"/>
      <c r="F57" s="21"/>
      <c r="G57" s="21"/>
      <c r="H57" s="21"/>
      <c r="I57" s="21"/>
      <c r="J57" s="21"/>
      <c r="K57" s="21"/>
      <c r="L57" s="83"/>
      <c r="M57" s="84"/>
    </row>
    <row r="58" spans="3:14" x14ac:dyDescent="0.25">
      <c r="C58" s="85"/>
      <c r="D58" s="25"/>
      <c r="E58" s="25"/>
      <c r="F58" s="25"/>
      <c r="G58" s="25"/>
      <c r="H58" s="25"/>
      <c r="I58" s="25"/>
      <c r="J58" s="25"/>
      <c r="K58" s="25"/>
      <c r="L58" s="25"/>
      <c r="M58" s="26"/>
    </row>
    <row r="59" spans="3:14" x14ac:dyDescent="0.25">
      <c r="C59" s="85"/>
      <c r="D59" s="25"/>
      <c r="E59" s="25"/>
      <c r="F59" s="25"/>
      <c r="G59" s="25"/>
      <c r="H59" s="25"/>
      <c r="I59" s="25"/>
      <c r="J59" s="25"/>
      <c r="K59" s="25"/>
      <c r="L59" s="25"/>
      <c r="M59" s="26"/>
    </row>
    <row r="60" spans="3:14" x14ac:dyDescent="0.25">
      <c r="C60" s="86"/>
      <c r="D60" s="27"/>
      <c r="E60" s="27"/>
      <c r="F60" s="27"/>
      <c r="G60" s="27"/>
      <c r="H60" s="27"/>
      <c r="I60" s="27"/>
      <c r="J60" s="27"/>
      <c r="K60" s="27"/>
      <c r="L60" s="27"/>
      <c r="M60" s="28"/>
    </row>
    <row r="61" spans="3:14" x14ac:dyDescent="0.25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3:14" x14ac:dyDescent="0.25">
      <c r="C62" s="4"/>
      <c r="D62" s="4"/>
      <c r="E62" s="4"/>
      <c r="F62" s="33" t="s">
        <v>42</v>
      </c>
      <c r="G62" s="33" t="s">
        <v>1</v>
      </c>
      <c r="H62" s="33" t="s">
        <v>2</v>
      </c>
      <c r="I62" s="4"/>
      <c r="J62" s="4"/>
      <c r="K62" s="4"/>
      <c r="L62" s="4"/>
      <c r="M62" s="4"/>
    </row>
    <row r="63" spans="3:14" x14ac:dyDescent="0.25">
      <c r="C63" s="4"/>
      <c r="D63" s="4"/>
      <c r="E63" s="4"/>
      <c r="F63" s="29" t="s">
        <v>39</v>
      </c>
      <c r="G63" s="29">
        <f>COUNTIF($I$29:$I$42,"Concluída")</f>
        <v>0</v>
      </c>
      <c r="H63" s="30" t="str">
        <f>IFERROR(G63/$G$67,"")</f>
        <v/>
      </c>
      <c r="I63" s="4"/>
      <c r="J63" s="4"/>
      <c r="K63" s="4"/>
      <c r="L63" s="4"/>
      <c r="M63" s="4"/>
    </row>
    <row r="64" spans="3:14" x14ac:dyDescent="0.25">
      <c r="C64" s="4"/>
      <c r="D64" s="4"/>
      <c r="E64" s="4"/>
      <c r="F64" s="29" t="s">
        <v>43</v>
      </c>
      <c r="G64" s="29">
        <f>COUNTIF($I$29:$I$42,"Em andamento")</f>
        <v>0</v>
      </c>
      <c r="H64" s="30" t="str">
        <f>IFERROR(G64/$G$67,"")</f>
        <v/>
      </c>
      <c r="I64" s="4"/>
      <c r="J64" s="4"/>
      <c r="K64" s="4"/>
      <c r="L64" s="4"/>
      <c r="M64" s="4"/>
    </row>
    <row r="65" spans="3:13" x14ac:dyDescent="0.25">
      <c r="C65" s="4"/>
      <c r="D65" s="4"/>
      <c r="E65" s="4"/>
      <c r="F65" s="29" t="s">
        <v>40</v>
      </c>
      <c r="G65" s="29">
        <f>COUNTIF($I$29:$I$42,"Atrasada")</f>
        <v>0</v>
      </c>
      <c r="H65" s="30" t="str">
        <f>IFERROR(G65/$G$67,"")</f>
        <v/>
      </c>
      <c r="I65" s="4"/>
      <c r="J65" s="4"/>
      <c r="K65" s="4"/>
      <c r="L65" s="4"/>
      <c r="M65" s="4"/>
    </row>
    <row r="66" spans="3:13" x14ac:dyDescent="0.25">
      <c r="C66" s="4"/>
      <c r="D66" s="4"/>
      <c r="E66" s="4"/>
      <c r="F66" s="31" t="s">
        <v>41</v>
      </c>
      <c r="G66" s="31">
        <f>COUNTIF($I$29:$I$42,"Não Iniciada")</f>
        <v>0</v>
      </c>
      <c r="H66" s="32" t="str">
        <f>IFERROR(G66/$G$67,"")</f>
        <v/>
      </c>
      <c r="I66" s="4"/>
      <c r="J66" s="4"/>
      <c r="K66" s="4"/>
      <c r="L66" s="4"/>
      <c r="M66" s="4"/>
    </row>
    <row r="67" spans="3:13" x14ac:dyDescent="0.25">
      <c r="C67" s="4"/>
      <c r="D67" s="4"/>
      <c r="E67" s="4"/>
      <c r="F67" s="34" t="s">
        <v>0</v>
      </c>
      <c r="G67" s="34">
        <f>SUM(G63:G66)</f>
        <v>0</v>
      </c>
      <c r="H67" s="35">
        <f>SUM(H63:H66)</f>
        <v>0</v>
      </c>
      <c r="I67" s="4"/>
      <c r="J67" s="4"/>
      <c r="K67" s="4"/>
      <c r="L67" s="4"/>
      <c r="M67" s="4"/>
    </row>
    <row r="68" spans="3:13" x14ac:dyDescent="0.25"/>
    <row r="69" spans="3:13" s="4" customFormat="1" x14ac:dyDescent="0.25"/>
    <row r="70" spans="3:13" s="4" customFormat="1" x14ac:dyDescent="0.25"/>
    <row r="71" spans="3:13" s="4" customFormat="1" x14ac:dyDescent="0.25"/>
    <row r="72" spans="3:13" hidden="1" x14ac:dyDescent="0.25">
      <c r="D72" s="3" t="s">
        <v>25</v>
      </c>
    </row>
    <row r="73" spans="3:13" hidden="1" x14ac:dyDescent="0.25">
      <c r="D73" s="3" t="s">
        <v>26</v>
      </c>
    </row>
    <row r="74" spans="3:13" hidden="1" x14ac:dyDescent="0.25">
      <c r="D74" s="3" t="s">
        <v>27</v>
      </c>
    </row>
    <row r="75" spans="3:13" hidden="1" x14ac:dyDescent="0.25">
      <c r="D75" s="3" t="s">
        <v>28</v>
      </c>
    </row>
    <row r="76" spans="3:13" hidden="1" x14ac:dyDescent="0.25">
      <c r="D76" s="3" t="s">
        <v>29</v>
      </c>
    </row>
    <row r="77" spans="3:13" hidden="1" x14ac:dyDescent="0.25">
      <c r="D77" s="3" t="s">
        <v>30</v>
      </c>
    </row>
    <row r="78" spans="3:13" hidden="1" x14ac:dyDescent="0.25"/>
    <row r="79" spans="3:13" hidden="1" x14ac:dyDescent="0.25">
      <c r="D79" s="3" t="s">
        <v>23</v>
      </c>
    </row>
    <row r="80" spans="3:13" hidden="1" x14ac:dyDescent="0.25">
      <c r="D80" s="3" t="s">
        <v>24</v>
      </c>
    </row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</sheetData>
  <mergeCells count="23">
    <mergeCell ref="J41:M41"/>
    <mergeCell ref="J42:M42"/>
    <mergeCell ref="C44:M44"/>
    <mergeCell ref="J35:M35"/>
    <mergeCell ref="J36:M36"/>
    <mergeCell ref="J37:M37"/>
    <mergeCell ref="J38:M38"/>
    <mergeCell ref="J39:M39"/>
    <mergeCell ref="J40:M40"/>
    <mergeCell ref="J34:M34"/>
    <mergeCell ref="C26:M26"/>
    <mergeCell ref="G27:H27"/>
    <mergeCell ref="J29:M29"/>
    <mergeCell ref="J30:M30"/>
    <mergeCell ref="J31:M31"/>
    <mergeCell ref="J32:M32"/>
    <mergeCell ref="J33:M33"/>
    <mergeCell ref="C13:M13"/>
    <mergeCell ref="C1:M1"/>
    <mergeCell ref="C3:D3"/>
    <mergeCell ref="C4:M6"/>
    <mergeCell ref="C9:M11"/>
    <mergeCell ref="C8:D8"/>
  </mergeCells>
  <conditionalFormatting sqref="L15:L24">
    <cfRule type="cellIs" dxfId="1" priority="1" operator="equal">
      <formula>"Vermelho"</formula>
    </cfRule>
    <cfRule type="cellIs" dxfId="0" priority="2" operator="equal">
      <formula>"Verde"</formula>
    </cfRule>
  </conditionalFormatting>
  <dataValidations count="3">
    <dataValidation type="list" allowBlank="1" showInputMessage="1" showErrorMessage="1" sqref="I29:I42">
      <formula1>$F$63:$F$66</formula1>
    </dataValidation>
    <dataValidation type="list" allowBlank="1" showInputMessage="1" showErrorMessage="1" sqref="G15:G24">
      <formula1>$D$72:$D$77</formula1>
    </dataValidation>
    <dataValidation type="list" allowBlank="1" showInputMessage="1" showErrorMessage="1" sqref="I15:I24">
      <formula1>$D$79:$D$80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Início</vt:lpstr>
      <vt:lpstr>Financeira</vt:lpstr>
      <vt:lpstr>Clientes</vt:lpstr>
      <vt:lpstr>Processos Internos</vt:lpstr>
      <vt:lpstr>Crescimento e Aprendizado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Acelere.vc</cp:lastModifiedBy>
  <cp:lastPrinted>2014-02-09T14:10:54Z</cp:lastPrinted>
  <dcterms:created xsi:type="dcterms:W3CDTF">2014-02-08T20:32:06Z</dcterms:created>
  <dcterms:modified xsi:type="dcterms:W3CDTF">2014-04-02T13:42:47Z</dcterms:modified>
</cp:coreProperties>
</file>