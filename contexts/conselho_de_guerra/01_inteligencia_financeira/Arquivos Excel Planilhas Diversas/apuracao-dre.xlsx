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4370" windowHeight="7530"/>
  </bookViews>
  <sheets>
    <sheet name="DRE" sheetId="1" r:id="rId1"/>
    <sheet name="Impostos" sheetId="2" r:id="rId2"/>
  </sheets>
  <externalReferences>
    <externalReference r:id="rId3"/>
  </externalReferences>
  <definedNames>
    <definedName name="aprovacao">#REF!</definedName>
    <definedName name="condpgto">#REF!</definedName>
    <definedName name="CSLL">Impostos!$B$3</definedName>
    <definedName name="descprodutos">#REF!</definedName>
    <definedName name="freteconta">#REF!</definedName>
    <definedName name="IR">Impostos!$B$2</definedName>
    <definedName name="lstacuracidadefrete">[1]Tabelas!$B$8:$G$19</definedName>
    <definedName name="lstano">[1]Painel!$V$6:$V$12</definedName>
    <definedName name="lstcustofrete">[1]Tabelas!$P$8:$U$19</definedName>
    <definedName name="lstfretenaoconformidade">[1]Tabelas!$I$8:$N$19</definedName>
    <definedName name="lstmeses">[1]Painel!$X$6:$X$17</definedName>
    <definedName name="matrizpedidos">#REF!</definedName>
    <definedName name="matrizprodutos">#REF!</definedName>
    <definedName name="produtos">#REF!</definedName>
    <definedName name="TAXA">Impostos!$B$4</definedName>
    <definedName name="transportadora">#REF!</definedName>
    <definedName name="vendedor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1"/>
  <c r="N33"/>
  <c r="J57"/>
  <c r="I57"/>
  <c r="H57"/>
  <c r="G57"/>
  <c r="F57"/>
  <c r="E57"/>
  <c r="D57"/>
  <c r="C57"/>
  <c r="B57"/>
  <c r="N55"/>
  <c r="N54" s="1"/>
  <c r="M54"/>
  <c r="L54"/>
  <c r="K54"/>
  <c r="J54"/>
  <c r="I54"/>
  <c r="H54"/>
  <c r="G54"/>
  <c r="F54"/>
  <c r="E54"/>
  <c r="D54"/>
  <c r="C54"/>
  <c r="B54"/>
  <c r="N48"/>
  <c r="N42"/>
  <c r="N41"/>
  <c r="N40"/>
  <c r="N39"/>
  <c r="N38"/>
  <c r="N37"/>
  <c r="N36"/>
  <c r="N35"/>
  <c r="N34"/>
  <c r="N32"/>
  <c r="N31"/>
  <c r="N43"/>
  <c r="N30"/>
  <c r="N29"/>
  <c r="N28"/>
  <c r="N27"/>
  <c r="N26"/>
  <c r="N25"/>
  <c r="N24"/>
  <c r="N11"/>
  <c r="N10"/>
  <c r="M5"/>
  <c r="M51"/>
  <c r="M46"/>
  <c r="M17"/>
  <c r="M8"/>
  <c r="M15" l="1"/>
  <c r="M20" s="1"/>
  <c r="B51" l="1"/>
  <c r="C51"/>
  <c r="D51"/>
  <c r="E51"/>
  <c r="F51"/>
  <c r="G51"/>
  <c r="H51"/>
  <c r="I51"/>
  <c r="J51"/>
  <c r="K51"/>
  <c r="L51"/>
  <c r="N52"/>
  <c r="N51" s="1"/>
  <c r="N6"/>
  <c r="N9"/>
  <c r="N12"/>
  <c r="N13"/>
  <c r="N18"/>
  <c r="N23"/>
  <c r="N44"/>
  <c r="N47"/>
  <c r="N49"/>
  <c r="A61"/>
  <c r="A57"/>
  <c r="L46"/>
  <c r="K46"/>
  <c r="J46"/>
  <c r="I46"/>
  <c r="H46"/>
  <c r="G46"/>
  <c r="F46"/>
  <c r="E46"/>
  <c r="D46"/>
  <c r="C46"/>
  <c r="B46"/>
  <c r="L22"/>
  <c r="K22"/>
  <c r="J22"/>
  <c r="I22"/>
  <c r="H22"/>
  <c r="G22"/>
  <c r="F22"/>
  <c r="E22"/>
  <c r="D22"/>
  <c r="C22"/>
  <c r="B22"/>
  <c r="A20"/>
  <c r="L17"/>
  <c r="K17"/>
  <c r="J17"/>
  <c r="I17"/>
  <c r="H17"/>
  <c r="G17"/>
  <c r="F17"/>
  <c r="E17"/>
  <c r="D17"/>
  <c r="C17"/>
  <c r="B17"/>
  <c r="A15"/>
  <c r="L8"/>
  <c r="K8"/>
  <c r="J8"/>
  <c r="I8"/>
  <c r="H8"/>
  <c r="G8"/>
  <c r="F8"/>
  <c r="E8"/>
  <c r="D8"/>
  <c r="C8"/>
  <c r="B8"/>
  <c r="L5"/>
  <c r="K5"/>
  <c r="J5"/>
  <c r="I5"/>
  <c r="H5"/>
  <c r="G5"/>
  <c r="F5"/>
  <c r="E5"/>
  <c r="D5"/>
  <c r="C5"/>
  <c r="B5"/>
  <c r="N46" l="1"/>
  <c r="N8"/>
  <c r="N5"/>
  <c r="N17"/>
  <c r="M57"/>
  <c r="D15"/>
  <c r="D20" s="1"/>
  <c r="I15"/>
  <c r="I20" s="1"/>
  <c r="G15"/>
  <c r="G20" s="1"/>
  <c r="E15"/>
  <c r="E20" s="1"/>
  <c r="K15"/>
  <c r="K20" s="1"/>
  <c r="H15"/>
  <c r="H20" s="1"/>
  <c r="C15"/>
  <c r="C20" s="1"/>
  <c r="J15"/>
  <c r="J20" s="1"/>
  <c r="F15"/>
  <c r="F20" s="1"/>
  <c r="L15"/>
  <c r="L20" s="1"/>
  <c r="B15"/>
  <c r="L57" l="1"/>
  <c r="K57"/>
  <c r="N22"/>
  <c r="N15"/>
  <c r="N20" s="1"/>
  <c r="B20"/>
  <c r="N57" l="1"/>
</calcChain>
</file>

<file path=xl/comments1.xml><?xml version="1.0" encoding="utf-8"?>
<comments xmlns="http://schemas.openxmlformats.org/spreadsheetml/2006/main">
  <authors>
    <author>Usuario Consistem gerson</author>
  </authors>
  <commentList>
    <comment ref="A5" authorId="0">
      <text>
        <r>
          <rPr>
            <sz val="9"/>
            <color indexed="81"/>
            <rFont val="Segoe UI"/>
            <family val="2"/>
          </rPr>
          <t xml:space="preserve"> Soma das vendas de bens e serviços relativos à atividade-fim da
empresa</t>
        </r>
      </text>
    </comment>
    <comment ref="A8" authorId="0">
      <text>
        <r>
          <rPr>
            <b/>
            <sz val="9"/>
            <color indexed="81"/>
            <rFont val="Segoe UI"/>
            <family val="2"/>
          </rPr>
          <t xml:space="preserve"> Inclui impostos relativos à comercialização dos bens e serviços, tais como
ISS, ICMS, IR e CSLL. Também engloba abatimentos e devoluções inerentes da operação</t>
        </r>
      </text>
    </comment>
    <comment ref="A15" authorId="0">
      <text>
        <r>
          <rPr>
            <b/>
            <sz val="9"/>
            <color indexed="81"/>
            <rFont val="Segoe UI"/>
            <family val="2"/>
          </rPr>
          <t>Resultado da subtração de Impostos e Devoluções sobre o valor da
Receita Operacional Bruta</t>
        </r>
      </text>
    </comment>
    <comment ref="A17" authorId="0">
      <text>
        <r>
          <rPr>
            <b/>
            <sz val="9"/>
            <color indexed="81"/>
            <rFont val="Segoe UI"/>
            <family val="2"/>
          </rPr>
          <t>Agrupa os valores alocados diretamente na venda dos produtos ou serviços, com destaque
para o próprio custo de aquisição (ou produção) da mercadoria vendida (CMV)</t>
        </r>
      </text>
    </comment>
    <comment ref="A20" authorId="0">
      <text>
        <r>
          <rPr>
            <b/>
            <sz val="9"/>
            <color indexed="81"/>
            <rFont val="Segoe UI"/>
            <family val="2"/>
          </rPr>
          <t>É o Resultado da Receita Operacional Líquida menos os Custos do período</t>
        </r>
      </text>
    </comment>
    <comment ref="A22" authorId="0">
      <text>
        <r>
          <rPr>
            <b/>
            <sz val="9"/>
            <color indexed="81"/>
            <rFont val="Segoe UI"/>
            <family val="2"/>
          </rPr>
          <t>Corresponde ao conjunto de gastos relacionados ao desenvolvimento da
operação da empresa, excetuando-se o custo de aquisição/produção da mercadoria</t>
        </r>
      </text>
    </comment>
    <comment ref="A46" authorId="0">
      <text>
        <r>
          <rPr>
            <b/>
            <sz val="9"/>
            <color indexed="81"/>
            <rFont val="Segoe UI"/>
            <family val="2"/>
          </rPr>
          <t xml:space="preserve"> Somatório dos gastos com tarifas bancárias e juros pagos em eventuais
empréstimos junto a bancos </t>
        </r>
      </text>
    </comment>
  </commentList>
</comments>
</file>

<file path=xl/sharedStrings.xml><?xml version="1.0" encoding="utf-8"?>
<sst xmlns="http://schemas.openxmlformats.org/spreadsheetml/2006/main" count="60" uniqueCount="60">
  <si>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</si>
  <si>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</si>
  <si>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</si>
  <si>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</si>
  <si>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</si>
  <si>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</si>
  <si>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</si>
  <si>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</si>
  <si>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</si>
  <si>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</si>
  <si>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</si>
  <si>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</si>
  <si>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</si>
  <si>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t>RECEITA OPERACIONAL BRUTA</t>
  </si>
  <si>
    <t>(-) DEDUÇÕES DA RECEITA BRUTA </t>
  </si>
  <si>
    <t>(-) CUSTOS DAS VENDAS</t>
  </si>
  <si>
    <t>(-) DESPESAS OPERACIONAIS </t>
  </si>
  <si>
    <t>(-) DESPESAS FINANCEIRAS LÍQUIDAS</t>
  </si>
  <si>
    <t>(=) RESULTADO LÍQUIDO DO EXERCÍCIO</t>
  </si>
  <si>
    <t>IR</t>
  </si>
  <si>
    <t>CSSL</t>
  </si>
  <si>
    <t>TAXA</t>
  </si>
  <si>
    <t>IMPOSTOS</t>
  </si>
  <si>
    <t>COMBUSTÍVEIS E LUBRIFICANTES</t>
  </si>
  <si>
    <t>DESPESAS COM VENDAS </t>
  </si>
  <si>
    <t>SALÁRIOS</t>
  </si>
  <si>
    <t>ENCARGOS TRABALHISTAS/INSS</t>
  </si>
  <si>
    <t>VENDAS DE MERCADORIAS</t>
  </si>
  <si>
    <t>ICMS SOBRE VENDAS</t>
  </si>
  <si>
    <t>PIS SOBRE VENDAS</t>
  </si>
  <si>
    <t>COFINS SOBRE VENDAS</t>
  </si>
  <si>
    <t>VENDAS CANCELADAS</t>
  </si>
  <si>
    <t>DEVOLUÇÕES DE VENDAS</t>
  </si>
  <si>
    <t>CUSTO DAS MERCADORIAS VENDIDAS</t>
  </si>
  <si>
    <t>ALUGUEL</t>
  </si>
  <si>
    <t>SERVIÇOS DE TERCEIROS</t>
  </si>
  <si>
    <t>FÉRIAS</t>
  </si>
  <si>
    <t>ENCARGOS TRABALHISTAS/FGTS</t>
  </si>
  <si>
    <t>(-) PERDAS DIVERSAS</t>
  </si>
  <si>
    <t>(-) DESPESAS BANCÁRIAS</t>
  </si>
  <si>
    <t>(-) IOF - IMPOSTO SOBRE OPERAÇÕES FINANCEIRAS</t>
  </si>
  <si>
    <t>SEGUROS GERAIS</t>
  </si>
  <si>
    <t>DESPESA COM VIAGEM</t>
  </si>
  <si>
    <t>PRÓ-LABORE</t>
  </si>
  <si>
    <t>PROPAGANDA E PUBLICIDADE</t>
  </si>
  <si>
    <t>CONTRIBUIÇÕES ASSOCIAÇÕES</t>
  </si>
  <si>
    <t>MATERIAL DE ESCRITÓRIO</t>
  </si>
  <si>
    <t>HONORÁRIOS CONTÁBEIS</t>
  </si>
  <si>
    <t>CONTRIBUIÇÃO SINDICAL</t>
  </si>
  <si>
    <t>INDENIZAÇÕES TRABALHISTAS</t>
  </si>
  <si>
    <t>MATERIAL DE USO E CONSUMO</t>
  </si>
  <si>
    <t>MANUTENÇÃO E REPAROS</t>
  </si>
  <si>
    <t>DESPESAS COM VEÍCULOS - PEÇAS</t>
  </si>
  <si>
    <t>(-) JUROS DIVERSOS</t>
  </si>
  <si>
    <t>ÁGUA, LUZ E TELEFONE</t>
  </si>
  <si>
    <t>FRETES E CARRETOS</t>
  </si>
  <si>
    <t>OUTRAS DESPESAS OPERACIONAIS</t>
  </si>
  <si>
    <t>OUTRAS RECEITAS OPERACIONAIS</t>
  </si>
  <si>
    <t>(+) BONIFICAÇÃO</t>
  </si>
  <si>
    <t>(-) PROVISÃO PARA IRPJ E CSLL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</si>
</sst>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sz val="9"/>
      <color theme="1"/>
      <name val="Tahoma"/>
      <family val="2"/>
    </font>
    <font>
      <sz val="12"/>
      <color theme="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CAB7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/>
    <xf numFmtId="0" fontId="6" fillId="0" borderId="0" xfId="0" applyFont="1"/>
    <xf numFmtId="9" fontId="0" fillId="0" borderId="0" xfId="0" applyNumberFormat="1"/>
    <xf numFmtId="10" fontId="0" fillId="0" borderId="0" xfId="0" applyNumberFormat="1"/>
    <xf numFmtId="0" fontId="2" fillId="0" borderId="0" xfId="0" applyFont="1"/>
    <xf numFmtId="0" fontId="5" fillId="0" borderId="0" xfId="0" applyFont="1"/>
    <xf numFmtId="0" fontId="9" fillId="0" borderId="0" xfId="0" applyFont="1"/>
    <xf numFmtId="0" fontId="10" fillId="3" borderId="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wrapText="1" indent="2"/>
    </xf>
    <xf numFmtId="44" fontId="9" fillId="2" borderId="0" xfId="1" applyFont="1" applyFill="1"/>
    <xf numFmtId="0" fontId="12" fillId="0" borderId="0" xfId="0" applyFont="1" applyAlignment="1">
      <alignment horizontal="left" vertical="center" wrapText="1" indent="2"/>
    </xf>
    <xf numFmtId="44" fontId="9" fillId="0" borderId="0" xfId="1" applyFont="1"/>
    <xf numFmtId="0" fontId="9" fillId="0" borderId="0" xfId="0" applyFont="1" applyAlignment="1">
      <alignment horizontal="left" vertical="center" wrapText="1" indent="2"/>
    </xf>
    <xf numFmtId="0" fontId="11" fillId="2" borderId="0" xfId="0" applyFont="1" applyFill="1" applyAlignment="1">
      <alignment horizontal="justify" vertical="center" wrapText="1"/>
    </xf>
    <xf numFmtId="0" fontId="12" fillId="0" borderId="0" xfId="0" applyFont="1" applyAlignment="1">
      <alignment horizontal="justify" vertical="center" wrapText="1"/>
    </xf>
    <xf numFmtId="0" fontId="13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1CAB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rson/Dropbox/Minhas%20Planilhas/Venda%20de%20Planilhas/KPI%20TRansportes/Painel_kpi_transportes_preenchid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inel"/>
      <sheetName val="Tabelas"/>
      <sheetName val="Frete  -  Acuracidade"/>
      <sheetName val="Frete  -  Não Conformidade"/>
      <sheetName val="Frete  -  Avarias no Transporte"/>
      <sheetName val="Frete  -  Utilização da Capacid"/>
      <sheetName val="Frete  -  Coletas no Prazo"/>
      <sheetName val="Frete  -  Custo Trasnp.%Vendas"/>
      <sheetName val="Frete  -  Custo Frete por Unid"/>
      <sheetName val="Pedido Perfeito"/>
      <sheetName val="Pedidos Completos no prazo "/>
      <sheetName val="Entregas no Prazo"/>
      <sheetName val="Taxa atendimento do pedido"/>
      <sheetName val="Tempo do ciclo do pedido"/>
      <sheetName val="Satisfação do Cliente"/>
      <sheetName val="Dock to Stock"/>
      <sheetName val="Acuracidade do Inventário"/>
      <sheetName val="Estoque Indisponível para Venda"/>
      <sheetName val="Utili da Capacidade Estocagem"/>
      <sheetName val="Entregas reali. no prazo"/>
      <sheetName val="Entregas Devolvidas"/>
      <sheetName val="Receb.de Produtos Qualidade"/>
      <sheetName val="Atendimento do Pedido"/>
      <sheetName val="Tempo de Entrega"/>
      <sheetName val="sobre"/>
    </sheetNames>
    <sheetDataSet>
      <sheetData sheetId="0">
        <row r="6">
          <cell r="V6">
            <v>2013</v>
          </cell>
          <cell r="X6" t="str">
            <v>Janeiro</v>
          </cell>
        </row>
        <row r="7">
          <cell r="V7">
            <v>2014</v>
          </cell>
          <cell r="X7" t="str">
            <v>Fevereiro</v>
          </cell>
        </row>
        <row r="8">
          <cell r="V8">
            <v>2015</v>
          </cell>
          <cell r="X8" t="str">
            <v>Março</v>
          </cell>
        </row>
        <row r="9">
          <cell r="V9">
            <v>2016</v>
          </cell>
          <cell r="X9" t="str">
            <v>Abril</v>
          </cell>
        </row>
        <row r="10">
          <cell r="V10">
            <v>2017</v>
          </cell>
          <cell r="X10" t="str">
            <v>Maio</v>
          </cell>
        </row>
        <row r="11">
          <cell r="V11">
            <v>2018</v>
          </cell>
          <cell r="X11" t="str">
            <v>Junho</v>
          </cell>
        </row>
        <row r="12">
          <cell r="V12">
            <v>2019</v>
          </cell>
          <cell r="X12" t="str">
            <v>Julho</v>
          </cell>
        </row>
        <row r="13">
          <cell r="X13" t="str">
            <v>Agosto</v>
          </cell>
        </row>
        <row r="14">
          <cell r="X14" t="str">
            <v>Setembro</v>
          </cell>
        </row>
        <row r="15">
          <cell r="X15" t="str">
            <v>Outubro</v>
          </cell>
        </row>
        <row r="16">
          <cell r="X16" t="str">
            <v>Novembro</v>
          </cell>
        </row>
        <row r="17">
          <cell r="X17" t="str">
            <v>Dezembro</v>
          </cell>
        </row>
      </sheetData>
      <sheetData sheetId="1">
        <row r="8">
          <cell r="B8">
            <v>1</v>
          </cell>
          <cell r="C8" t="str">
            <v>JAN</v>
          </cell>
          <cell r="D8">
            <v>0.98499999999999999</v>
          </cell>
          <cell r="E8">
            <v>0.99</v>
          </cell>
          <cell r="F8">
            <v>0.99</v>
          </cell>
          <cell r="G8">
            <v>1</v>
          </cell>
          <cell r="I8">
            <v>1</v>
          </cell>
          <cell r="J8" t="str">
            <v>JAN</v>
          </cell>
          <cell r="K8">
            <v>0.99</v>
          </cell>
          <cell r="L8">
            <v>0.33</v>
          </cell>
          <cell r="M8">
            <v>0.33</v>
          </cell>
          <cell r="N8">
            <v>4</v>
          </cell>
          <cell r="P8">
            <v>1</v>
          </cell>
          <cell r="Q8" t="str">
            <v>JAN</v>
          </cell>
          <cell r="R8">
            <v>0.9</v>
          </cell>
          <cell r="S8">
            <v>0.5</v>
          </cell>
          <cell r="T8">
            <v>0.5</v>
          </cell>
          <cell r="U8">
            <v>3</v>
          </cell>
        </row>
        <row r="9">
          <cell r="B9">
            <v>2</v>
          </cell>
          <cell r="C9" t="str">
            <v>FEV</v>
          </cell>
          <cell r="D9">
            <v>0.98499999999999999</v>
          </cell>
          <cell r="E9">
            <v>0.99</v>
          </cell>
          <cell r="F9">
            <v>0.99</v>
          </cell>
          <cell r="G9">
            <v>1</v>
          </cell>
          <cell r="I9">
            <v>2</v>
          </cell>
          <cell r="J9" t="str">
            <v>FEV</v>
          </cell>
          <cell r="K9">
            <v>0.99</v>
          </cell>
          <cell r="L9">
            <v>0.55000000000000004</v>
          </cell>
          <cell r="M9">
            <v>0.44000000000000006</v>
          </cell>
          <cell r="N9">
            <v>3</v>
          </cell>
          <cell r="P9">
            <v>2</v>
          </cell>
          <cell r="Q9" t="str">
            <v>FEV</v>
          </cell>
          <cell r="R9">
            <v>0.9</v>
          </cell>
          <cell r="S9">
            <v>0.66</v>
          </cell>
          <cell r="T9">
            <v>0.58000000000000007</v>
          </cell>
          <cell r="U9">
            <v>2</v>
          </cell>
        </row>
        <row r="10">
          <cell r="B10">
            <v>3</v>
          </cell>
          <cell r="C10" t="str">
            <v>MAR</v>
          </cell>
          <cell r="D10">
            <v>0.98499999999999999</v>
          </cell>
          <cell r="E10">
            <v>0.89</v>
          </cell>
          <cell r="F10">
            <v>0.95666666666666667</v>
          </cell>
          <cell r="G10">
            <v>2</v>
          </cell>
          <cell r="I10">
            <v>3</v>
          </cell>
          <cell r="J10" t="str">
            <v>MAR</v>
          </cell>
          <cell r="K10">
            <v>0.99</v>
          </cell>
          <cell r="L10">
            <v>0.77</v>
          </cell>
          <cell r="M10">
            <v>0.55000000000000004</v>
          </cell>
          <cell r="N10">
            <v>2</v>
          </cell>
          <cell r="P10">
            <v>3</v>
          </cell>
          <cell r="Q10" t="str">
            <v>MAR</v>
          </cell>
          <cell r="R10">
            <v>0.9</v>
          </cell>
          <cell r="S10">
            <v>0.95</v>
          </cell>
          <cell r="T10">
            <v>0.70333333333333348</v>
          </cell>
          <cell r="U10">
            <v>1</v>
          </cell>
        </row>
        <row r="11">
          <cell r="B11">
            <v>4</v>
          </cell>
          <cell r="C11" t="str">
            <v>ABR</v>
          </cell>
          <cell r="D11">
            <v>0.98499999999999999</v>
          </cell>
          <cell r="E11">
            <v>0.92</v>
          </cell>
          <cell r="F11">
            <v>0.94750000000000001</v>
          </cell>
          <cell r="G11">
            <v>2</v>
          </cell>
          <cell r="I11">
            <v>4</v>
          </cell>
          <cell r="J11" t="str">
            <v>ABR</v>
          </cell>
          <cell r="K11">
            <v>0.99</v>
          </cell>
          <cell r="L11">
            <v>0.99</v>
          </cell>
          <cell r="M11">
            <v>0.66</v>
          </cell>
          <cell r="N11">
            <v>1</v>
          </cell>
          <cell r="P11">
            <v>4</v>
          </cell>
          <cell r="Q11" t="str">
            <v>ABR</v>
          </cell>
          <cell r="R11">
            <v>0.9</v>
          </cell>
          <cell r="S11">
            <v>0.99</v>
          </cell>
          <cell r="T11">
            <v>0.77500000000000013</v>
          </cell>
          <cell r="U11">
            <v>1</v>
          </cell>
        </row>
        <row r="12">
          <cell r="B12">
            <v>5</v>
          </cell>
          <cell r="C12" t="str">
            <v>MAI</v>
          </cell>
          <cell r="D12">
            <v>0.98499999999999999</v>
          </cell>
          <cell r="E12">
            <v>0.79</v>
          </cell>
          <cell r="F12">
            <v>0.91600000000000004</v>
          </cell>
          <cell r="G12">
            <v>3</v>
          </cell>
          <cell r="I12">
            <v>5</v>
          </cell>
          <cell r="J12" t="str">
            <v>MAI</v>
          </cell>
          <cell r="K12">
            <v>0.99</v>
          </cell>
          <cell r="L12">
            <v>0.85</v>
          </cell>
          <cell r="M12">
            <v>0.69800000000000006</v>
          </cell>
          <cell r="N12">
            <v>2</v>
          </cell>
          <cell r="P12">
            <v>5</v>
          </cell>
          <cell r="Q12" t="str">
            <v>MAI</v>
          </cell>
          <cell r="R12">
            <v>0.9</v>
          </cell>
          <cell r="S12">
            <v>0.85</v>
          </cell>
          <cell r="T12">
            <v>0.79000000000000015</v>
          </cell>
          <cell r="U12">
            <v>1</v>
          </cell>
        </row>
        <row r="13">
          <cell r="B13">
            <v>6</v>
          </cell>
          <cell r="C13" t="str">
            <v>JUN</v>
          </cell>
          <cell r="D13">
            <v>0.98499999999999999</v>
          </cell>
          <cell r="E13">
            <v>0.99464293240562607</v>
          </cell>
          <cell r="F13">
            <v>0.92910715540093769</v>
          </cell>
          <cell r="G13">
            <v>1</v>
          </cell>
          <cell r="I13">
            <v>6</v>
          </cell>
          <cell r="J13" t="str">
            <v>JUN</v>
          </cell>
          <cell r="K13">
            <v>0.99</v>
          </cell>
          <cell r="L13">
            <v>0.99464293240562607</v>
          </cell>
          <cell r="M13">
            <v>0.74744048873427105</v>
          </cell>
          <cell r="N13">
            <v>1</v>
          </cell>
          <cell r="P13">
            <v>6</v>
          </cell>
          <cell r="Q13" t="str">
            <v>JUN</v>
          </cell>
          <cell r="R13">
            <v>0.9</v>
          </cell>
          <cell r="S13">
            <v>0.99464293240562607</v>
          </cell>
          <cell r="T13">
            <v>0.82410715540093771</v>
          </cell>
          <cell r="U13">
            <v>1</v>
          </cell>
        </row>
        <row r="14">
          <cell r="B14">
            <v>7</v>
          </cell>
          <cell r="C14" t="str">
            <v>JUL</v>
          </cell>
          <cell r="D14">
            <v>0.98499999999999999</v>
          </cell>
          <cell r="E14">
            <v>1</v>
          </cell>
          <cell r="F14">
            <v>0.93923470462937519</v>
          </cell>
          <cell r="G14">
            <v>1</v>
          </cell>
          <cell r="I14">
            <v>7</v>
          </cell>
          <cell r="J14" t="str">
            <v>JUL</v>
          </cell>
          <cell r="K14">
            <v>0.99</v>
          </cell>
          <cell r="L14">
            <v>1</v>
          </cell>
          <cell r="M14">
            <v>0.7835204189150895</v>
          </cell>
          <cell r="N14">
            <v>1</v>
          </cell>
          <cell r="P14">
            <v>7</v>
          </cell>
          <cell r="Q14" t="str">
            <v>JUL</v>
          </cell>
          <cell r="R14">
            <v>0.9</v>
          </cell>
          <cell r="S14">
            <v>1</v>
          </cell>
          <cell r="T14">
            <v>0.84923470462937523</v>
          </cell>
          <cell r="U14">
            <v>1</v>
          </cell>
        </row>
        <row r="15">
          <cell r="B15">
            <v>8</v>
          </cell>
          <cell r="C15" t="str">
            <v>AGO</v>
          </cell>
          <cell r="D15">
            <v>0.98499999999999999</v>
          </cell>
          <cell r="E15">
            <v>0.95</v>
          </cell>
          <cell r="F15">
            <v>0.94058036655070332</v>
          </cell>
          <cell r="G15">
            <v>2</v>
          </cell>
          <cell r="I15">
            <v>8</v>
          </cell>
          <cell r="J15" t="str">
            <v>AGO</v>
          </cell>
          <cell r="K15">
            <v>0.99</v>
          </cell>
          <cell r="L15">
            <v>0.95</v>
          </cell>
          <cell r="M15">
            <v>0.80433036655070334</v>
          </cell>
          <cell r="N15">
            <v>1</v>
          </cell>
          <cell r="P15">
            <v>8</v>
          </cell>
          <cell r="Q15" t="str">
            <v>AGO</v>
          </cell>
          <cell r="R15">
            <v>0.9</v>
          </cell>
          <cell r="S15">
            <v>0.97</v>
          </cell>
          <cell r="T15">
            <v>0.86433036655070328</v>
          </cell>
          <cell r="U15">
            <v>1</v>
          </cell>
        </row>
        <row r="16">
          <cell r="B16">
            <v>9</v>
          </cell>
          <cell r="C16" t="str">
            <v>SET</v>
          </cell>
          <cell r="D16">
            <v>0.98499999999999999</v>
          </cell>
          <cell r="E16">
            <v>0.97</v>
          </cell>
          <cell r="F16">
            <v>0.94384921471173633</v>
          </cell>
          <cell r="G16">
            <v>2</v>
          </cell>
          <cell r="I16">
            <v>9</v>
          </cell>
          <cell r="J16" t="str">
            <v>SET</v>
          </cell>
          <cell r="K16">
            <v>0.99</v>
          </cell>
          <cell r="L16">
            <v>0.96</v>
          </cell>
          <cell r="M16">
            <v>0.8216269924895141</v>
          </cell>
          <cell r="N16">
            <v>1</v>
          </cell>
          <cell r="P16">
            <v>9</v>
          </cell>
          <cell r="Q16" t="str">
            <v>SET</v>
          </cell>
          <cell r="R16">
            <v>0.9</v>
          </cell>
          <cell r="S16">
            <v>0.95</v>
          </cell>
          <cell r="T16">
            <v>0.87384921471173627</v>
          </cell>
          <cell r="U16">
            <v>1</v>
          </cell>
        </row>
        <row r="17">
          <cell r="B17">
            <v>10</v>
          </cell>
          <cell r="C17" t="str">
            <v>OUT</v>
          </cell>
          <cell r="D17">
            <v>0.98499999999999999</v>
          </cell>
          <cell r="E17">
            <v>0.96</v>
          </cell>
          <cell r="F17">
            <v>0.94546429324056258</v>
          </cell>
          <cell r="G17">
            <v>2</v>
          </cell>
          <cell r="I17">
            <v>10</v>
          </cell>
          <cell r="J17" t="str">
            <v>OUT</v>
          </cell>
          <cell r="K17">
            <v>0.99</v>
          </cell>
          <cell r="L17">
            <v>0.8</v>
          </cell>
          <cell r="M17">
            <v>0.81946429324056269</v>
          </cell>
          <cell r="N17">
            <v>2</v>
          </cell>
          <cell r="P17">
            <v>10</v>
          </cell>
          <cell r="Q17" t="str">
            <v>OUT</v>
          </cell>
          <cell r="R17">
            <v>0.9</v>
          </cell>
          <cell r="S17">
            <v>0.8</v>
          </cell>
          <cell r="T17">
            <v>0.86646429324056273</v>
          </cell>
          <cell r="U17">
            <v>2</v>
          </cell>
        </row>
        <row r="18">
          <cell r="B18">
            <v>11</v>
          </cell>
          <cell r="C18" t="str">
            <v>NOV</v>
          </cell>
          <cell r="D18">
            <v>0.98499999999999999</v>
          </cell>
          <cell r="E18">
            <v>0.99</v>
          </cell>
          <cell r="F18">
            <v>0.94951299385505694</v>
          </cell>
          <cell r="G18">
            <v>1</v>
          </cell>
          <cell r="I18">
            <v>11</v>
          </cell>
          <cell r="J18" t="str">
            <v>NOV</v>
          </cell>
          <cell r="K18">
            <v>0.99</v>
          </cell>
          <cell r="L18">
            <v>0.75</v>
          </cell>
          <cell r="M18">
            <v>0.81314935749142059</v>
          </cell>
          <cell r="N18">
            <v>2</v>
          </cell>
          <cell r="P18">
            <v>11</v>
          </cell>
          <cell r="Q18" t="str">
            <v>NOV</v>
          </cell>
          <cell r="R18">
            <v>0.9</v>
          </cell>
          <cell r="S18">
            <v>0.79</v>
          </cell>
          <cell r="T18">
            <v>0.85951299385505697</v>
          </cell>
          <cell r="U18">
            <v>2</v>
          </cell>
        </row>
        <row r="19">
          <cell r="B19">
            <v>12</v>
          </cell>
          <cell r="C19" t="str">
            <v>DEZ</v>
          </cell>
          <cell r="D19">
            <v>0.98499999999999999</v>
          </cell>
          <cell r="E19">
            <v>1</v>
          </cell>
          <cell r="F19">
            <v>0.95372024436713554</v>
          </cell>
          <cell r="G19">
            <v>1</v>
          </cell>
          <cell r="I19">
            <v>12</v>
          </cell>
          <cell r="J19" t="str">
            <v>DEZ</v>
          </cell>
          <cell r="K19">
            <v>0.99</v>
          </cell>
          <cell r="L19">
            <v>0.99</v>
          </cell>
          <cell r="M19">
            <v>0.82788691103380219</v>
          </cell>
          <cell r="N19">
            <v>1</v>
          </cell>
          <cell r="P19">
            <v>12</v>
          </cell>
          <cell r="Q19" t="str">
            <v>DEZ</v>
          </cell>
          <cell r="R19">
            <v>0.9</v>
          </cell>
          <cell r="S19">
            <v>0.77</v>
          </cell>
          <cell r="T19">
            <v>0.85205357770046886</v>
          </cell>
          <cell r="U19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N64"/>
  <sheetViews>
    <sheetView tabSelected="1" topLeftCell="A29" zoomScale="80" zoomScaleNormal="80" workbookViewId="0">
      <selection activeCell="O62" sqref="O62"/>
    </sheetView>
  </sheetViews>
  <sheetFormatPr defaultRowHeight="15"/>
  <cols>
    <col min="1" max="1" width="57.7109375" style="2" bestFit="1" customWidth="1"/>
    <col min="2" max="10" width="15" style="1" bestFit="1" customWidth="1"/>
    <col min="11" max="13" width="15.28515625" style="1" bestFit="1" customWidth="1"/>
    <col min="14" max="14" width="16.42578125" style="1" bestFit="1" customWidth="1"/>
    <col min="15" max="16384" width="9.140625" style="1"/>
  </cols>
  <sheetData>
    <row r="4" spans="1:14" s="6" customFormat="1" ht="12.75">
      <c r="A4" s="7"/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</row>
    <row r="5" spans="1:14" s="6" customFormat="1" ht="12.75">
      <c r="A5" s="9" t="s">
        <v>13</v>
      </c>
      <c r="B5" s="10">
        <f t="shared" ref="B5:N5" si="0">SUM(B6:B6)</f>
        <v>0</v>
      </c>
      <c r="C5" s="10">
        <f t="shared" si="0"/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520642.42</v>
      </c>
      <c r="L5" s="10">
        <f t="shared" si="0"/>
        <v>503027.93</v>
      </c>
      <c r="M5" s="10">
        <f>SUM(M6:M6)</f>
        <v>0</v>
      </c>
      <c r="N5" s="10">
        <f t="shared" si="0"/>
        <v>1023670.35</v>
      </c>
    </row>
    <row r="6" spans="1:14" s="6" customFormat="1" ht="12.75">
      <c r="A6" s="11" t="s">
        <v>27</v>
      </c>
      <c r="B6" s="12">
        <v>0</v>
      </c>
      <c r="C6" s="12">
        <v>0</v>
      </c>
      <c r="D6" s="12"/>
      <c r="E6" s="12"/>
      <c r="F6" s="12"/>
      <c r="G6" s="12"/>
      <c r="H6" s="12"/>
      <c r="I6" s="12"/>
      <c r="J6" s="12"/>
      <c r="K6" s="12">
        <v>520642.42</v>
      </c>
      <c r="L6" s="12">
        <v>503027.93</v>
      </c>
      <c r="M6" s="12"/>
      <c r="N6" s="12">
        <f t="shared" ref="N6:N52" si="1">SUM(B6:M6)</f>
        <v>1023670.35</v>
      </c>
    </row>
    <row r="7" spans="1:14" s="6" customFormat="1" ht="12.75">
      <c r="A7" s="13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s="6" customFormat="1" ht="12.75">
      <c r="A8" s="9" t="s">
        <v>14</v>
      </c>
      <c r="B8" s="10">
        <f>-SUM(B9:B13)</f>
        <v>0</v>
      </c>
      <c r="C8" s="10">
        <f t="shared" ref="C8:D8" si="2">-SUM(C9:C13)</f>
        <v>0</v>
      </c>
      <c r="D8" s="10">
        <f t="shared" si="2"/>
        <v>0</v>
      </c>
      <c r="E8" s="10">
        <f>-SUM(E9:E13)</f>
        <v>0</v>
      </c>
      <c r="F8" s="10">
        <f t="shared" ref="F8:G8" si="3">-SUM(F9:F13)</f>
        <v>0</v>
      </c>
      <c r="G8" s="10">
        <f t="shared" si="3"/>
        <v>0</v>
      </c>
      <c r="H8" s="10">
        <f>-SUM(H9:H13)</f>
        <v>0</v>
      </c>
      <c r="I8" s="10">
        <f t="shared" ref="I8:J8" si="4">-SUM(I9:I13)</f>
        <v>0</v>
      </c>
      <c r="J8" s="10">
        <f t="shared" si="4"/>
        <v>0</v>
      </c>
      <c r="K8" s="10">
        <f>-SUM(K9:K13)</f>
        <v>-34251.659999999996</v>
      </c>
      <c r="L8" s="10">
        <f t="shared" ref="L8" si="5">-SUM(L9:L13)</f>
        <v>-34327.700000000004</v>
      </c>
      <c r="M8" s="10">
        <f t="shared" ref="M8:N8" si="6">-SUM(M9:M13)</f>
        <v>0</v>
      </c>
      <c r="N8" s="10">
        <f t="shared" si="6"/>
        <v>-68579.360000000001</v>
      </c>
    </row>
    <row r="9" spans="1:14" s="6" customFormat="1" ht="12.75">
      <c r="A9" s="11" t="s">
        <v>28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13562.98</v>
      </c>
      <c r="L9" s="12">
        <v>13608.15</v>
      </c>
      <c r="M9" s="12"/>
      <c r="N9" s="12">
        <f t="shared" si="1"/>
        <v>27171.129999999997</v>
      </c>
    </row>
    <row r="10" spans="1:14" s="6" customFormat="1" ht="12.75">
      <c r="A10" s="11" t="s">
        <v>29</v>
      </c>
      <c r="B10" s="12">
        <v>0</v>
      </c>
      <c r="C10" s="12"/>
      <c r="D10" s="12"/>
      <c r="E10" s="12"/>
      <c r="F10" s="12"/>
      <c r="G10" s="12"/>
      <c r="H10" s="12"/>
      <c r="I10" s="12"/>
      <c r="J10" s="12"/>
      <c r="K10" s="12">
        <v>3563.01</v>
      </c>
      <c r="L10" s="12">
        <v>3517.96</v>
      </c>
      <c r="M10" s="12"/>
      <c r="N10" s="12">
        <f>SUM(B10:M10)</f>
        <v>7080.97</v>
      </c>
    </row>
    <row r="11" spans="1:14" s="6" customFormat="1" ht="12.75">
      <c r="A11" s="11" t="s">
        <v>30</v>
      </c>
      <c r="B11" s="12">
        <v>0</v>
      </c>
      <c r="C11" s="12"/>
      <c r="D11" s="12"/>
      <c r="E11" s="12"/>
      <c r="F11" s="12"/>
      <c r="G11" s="12"/>
      <c r="H11" s="12"/>
      <c r="I11" s="12"/>
      <c r="J11" s="12"/>
      <c r="K11" s="12">
        <v>16411.46</v>
      </c>
      <c r="L11" s="12">
        <v>16203.94</v>
      </c>
      <c r="M11" s="12"/>
      <c r="N11" s="12">
        <f>SUM(B11:M11)</f>
        <v>32615.4</v>
      </c>
    </row>
    <row r="12" spans="1:14" s="6" customFormat="1" ht="12.75">
      <c r="A12" s="11" t="s">
        <v>31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/>
      <c r="L12" s="12">
        <v>0</v>
      </c>
      <c r="M12" s="12">
        <v>0</v>
      </c>
      <c r="N12" s="12">
        <f t="shared" si="1"/>
        <v>0</v>
      </c>
    </row>
    <row r="13" spans="1:14" s="6" customFormat="1" ht="12.75">
      <c r="A13" s="11" t="s">
        <v>32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714.21</v>
      </c>
      <c r="L13" s="12">
        <v>997.65</v>
      </c>
      <c r="M13" s="12"/>
      <c r="N13" s="12">
        <f t="shared" si="1"/>
        <v>1711.8600000000001</v>
      </c>
    </row>
    <row r="14" spans="1:14" s="6" customFormat="1" ht="12.75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s="6" customFormat="1" ht="12.75">
      <c r="A15" s="9" t="str">
        <f>"= RECEITA OPERACIONAL LÍQUIDA"</f>
        <v>= RECEITA OPERACIONAL LÍQUIDA</v>
      </c>
      <c r="B15" s="10">
        <f t="shared" ref="B15:N15" si="7">SUM(B5+B8)</f>
        <v>0</v>
      </c>
      <c r="C15" s="10">
        <f t="shared" si="7"/>
        <v>0</v>
      </c>
      <c r="D15" s="10">
        <f t="shared" si="7"/>
        <v>0</v>
      </c>
      <c r="E15" s="10">
        <f t="shared" si="7"/>
        <v>0</v>
      </c>
      <c r="F15" s="10">
        <f t="shared" si="7"/>
        <v>0</v>
      </c>
      <c r="G15" s="10">
        <f t="shared" si="7"/>
        <v>0</v>
      </c>
      <c r="H15" s="10">
        <f t="shared" si="7"/>
        <v>0</v>
      </c>
      <c r="I15" s="10">
        <f t="shared" si="7"/>
        <v>0</v>
      </c>
      <c r="J15" s="10">
        <f t="shared" si="7"/>
        <v>0</v>
      </c>
      <c r="K15" s="10">
        <f t="shared" si="7"/>
        <v>486390.76</v>
      </c>
      <c r="L15" s="10">
        <f t="shared" si="7"/>
        <v>468700.23</v>
      </c>
      <c r="M15" s="10">
        <f t="shared" si="7"/>
        <v>0</v>
      </c>
      <c r="N15" s="10">
        <f t="shared" si="7"/>
        <v>955090.99</v>
      </c>
    </row>
    <row r="16" spans="1:14" s="6" customFormat="1" ht="12.75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s="6" customFormat="1" ht="12.75">
      <c r="A17" s="9" t="s">
        <v>15</v>
      </c>
      <c r="B17" s="10">
        <f t="shared" ref="B17:N17" si="8">-SUM(B18:B18)</f>
        <v>0</v>
      </c>
      <c r="C17" s="10">
        <f t="shared" si="8"/>
        <v>0</v>
      </c>
      <c r="D17" s="10">
        <f t="shared" si="8"/>
        <v>0</v>
      </c>
      <c r="E17" s="10">
        <f t="shared" si="8"/>
        <v>0</v>
      </c>
      <c r="F17" s="10">
        <f t="shared" si="8"/>
        <v>0</v>
      </c>
      <c r="G17" s="10">
        <f t="shared" si="8"/>
        <v>0</v>
      </c>
      <c r="H17" s="10">
        <f t="shared" si="8"/>
        <v>0</v>
      </c>
      <c r="I17" s="10">
        <f t="shared" si="8"/>
        <v>0</v>
      </c>
      <c r="J17" s="10">
        <f t="shared" si="8"/>
        <v>0</v>
      </c>
      <c r="K17" s="10">
        <f t="shared" si="8"/>
        <v>-323250.02</v>
      </c>
      <c r="L17" s="10">
        <f t="shared" si="8"/>
        <v>-464776.52</v>
      </c>
      <c r="M17" s="10">
        <f t="shared" si="8"/>
        <v>0</v>
      </c>
      <c r="N17" s="10">
        <f t="shared" si="8"/>
        <v>-788026.54</v>
      </c>
    </row>
    <row r="18" spans="1:14" s="6" customFormat="1" ht="12.75">
      <c r="A18" s="11" t="s">
        <v>33</v>
      </c>
      <c r="B18" s="12">
        <v>0</v>
      </c>
      <c r="C18" s="12"/>
      <c r="D18" s="12"/>
      <c r="E18" s="12"/>
      <c r="F18" s="12"/>
      <c r="G18" s="12"/>
      <c r="H18" s="12"/>
      <c r="I18" s="12"/>
      <c r="J18" s="12"/>
      <c r="K18" s="12">
        <v>323250.02</v>
      </c>
      <c r="L18" s="12">
        <v>464776.52</v>
      </c>
      <c r="M18" s="12"/>
      <c r="N18" s="12">
        <f t="shared" si="1"/>
        <v>788026.54</v>
      </c>
    </row>
    <row r="19" spans="1:14" s="6" customFormat="1" ht="12.75">
      <c r="A19" s="1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s="6" customFormat="1" ht="12.75">
      <c r="A20" s="9" t="str">
        <f>"= RESULTADO OPERACIONAL BRUTO"</f>
        <v>= RESULTADO OPERACIONAL BRUTO</v>
      </c>
      <c r="B20" s="10">
        <f>B15+B17</f>
        <v>0</v>
      </c>
      <c r="C20" s="10">
        <f t="shared" ref="C20:L20" si="9">C15+C17</f>
        <v>0</v>
      </c>
      <c r="D20" s="10">
        <f t="shared" si="9"/>
        <v>0</v>
      </c>
      <c r="E20" s="10">
        <f t="shared" si="9"/>
        <v>0</v>
      </c>
      <c r="F20" s="10">
        <f t="shared" si="9"/>
        <v>0</v>
      </c>
      <c r="G20" s="10">
        <f t="shared" si="9"/>
        <v>0</v>
      </c>
      <c r="H20" s="10">
        <f t="shared" si="9"/>
        <v>0</v>
      </c>
      <c r="I20" s="10">
        <f t="shared" si="9"/>
        <v>0</v>
      </c>
      <c r="J20" s="10">
        <f t="shared" si="9"/>
        <v>0</v>
      </c>
      <c r="K20" s="10">
        <f t="shared" si="9"/>
        <v>163140.74</v>
      </c>
      <c r="L20" s="10">
        <f t="shared" si="9"/>
        <v>3923.7099999999627</v>
      </c>
      <c r="M20" s="10">
        <f t="shared" ref="M20:N20" si="10">M15+M17</f>
        <v>0</v>
      </c>
      <c r="N20" s="10">
        <f t="shared" si="10"/>
        <v>167064.44999999995</v>
      </c>
    </row>
    <row r="21" spans="1:14" s="6" customFormat="1" ht="12.75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s="6" customFormat="1" ht="12.75">
      <c r="A22" s="9" t="s">
        <v>16</v>
      </c>
      <c r="B22" s="10">
        <f>-SUM(B23:B45)</f>
        <v>0</v>
      </c>
      <c r="C22" s="10">
        <f>-SUM(C23:C45)</f>
        <v>0</v>
      </c>
      <c r="D22" s="10">
        <f>-SUM(D23:D45)</f>
        <v>0</v>
      </c>
      <c r="E22" s="10">
        <f t="shared" ref="E22:G22" si="11">-SUM(E23:E45)</f>
        <v>0</v>
      </c>
      <c r="F22" s="10">
        <f t="shared" si="11"/>
        <v>0</v>
      </c>
      <c r="G22" s="10">
        <f t="shared" si="11"/>
        <v>0</v>
      </c>
      <c r="H22" s="10">
        <f t="shared" ref="H22:J22" si="12">-SUM(H23:H45)</f>
        <v>0</v>
      </c>
      <c r="I22" s="10">
        <f t="shared" si="12"/>
        <v>0</v>
      </c>
      <c r="J22" s="10">
        <f t="shared" si="12"/>
        <v>0</v>
      </c>
      <c r="K22" s="10">
        <f t="shared" ref="K22:L22" si="13">-SUM(K23:K45)</f>
        <v>-70096.59</v>
      </c>
      <c r="L22" s="10">
        <f t="shared" si="13"/>
        <v>-96585.04</v>
      </c>
      <c r="M22" s="10">
        <f>-SUM(M23:M45)</f>
        <v>0</v>
      </c>
      <c r="N22" s="10">
        <f t="shared" ref="N22" si="14">SUM(B22:M22)</f>
        <v>-166681.63</v>
      </c>
    </row>
    <row r="23" spans="1:14" s="6" customFormat="1" ht="12.75">
      <c r="A23" s="11" t="s">
        <v>24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3712.86</v>
      </c>
      <c r="L23" s="12">
        <v>0</v>
      </c>
      <c r="M23" s="12"/>
      <c r="N23" s="12">
        <f t="shared" si="1"/>
        <v>3712.86</v>
      </c>
    </row>
    <row r="24" spans="1:14" s="6" customFormat="1" ht="12.75">
      <c r="A24" s="11" t="s">
        <v>25</v>
      </c>
      <c r="B24" s="12">
        <v>0</v>
      </c>
      <c r="C24" s="12"/>
      <c r="D24" s="12"/>
      <c r="E24" s="12"/>
      <c r="F24" s="12"/>
      <c r="G24" s="12"/>
      <c r="H24" s="12"/>
      <c r="I24" s="12"/>
      <c r="J24" s="12"/>
      <c r="K24" s="12">
        <v>14235.55</v>
      </c>
      <c r="L24" s="12">
        <v>13993.97</v>
      </c>
      <c r="M24" s="12"/>
      <c r="N24" s="12">
        <f t="shared" ref="N24:N43" si="15">SUM(B24:M24)</f>
        <v>28229.519999999997</v>
      </c>
    </row>
    <row r="25" spans="1:14" s="6" customFormat="1" ht="12.75">
      <c r="A25" s="11" t="s">
        <v>26</v>
      </c>
      <c r="B25" s="12"/>
      <c r="C25" s="12"/>
      <c r="D25" s="12"/>
      <c r="E25" s="12"/>
      <c r="F25" s="12"/>
      <c r="G25" s="12"/>
      <c r="H25" s="12"/>
      <c r="I25" s="12"/>
      <c r="J25" s="12"/>
      <c r="K25" s="12">
        <v>5223.79</v>
      </c>
      <c r="L25" s="12">
        <v>9595.65</v>
      </c>
      <c r="M25" s="12"/>
      <c r="N25" s="12">
        <f t="shared" si="15"/>
        <v>14819.439999999999</v>
      </c>
    </row>
    <row r="26" spans="1:14" s="6" customFormat="1" ht="12.75">
      <c r="A26" s="11" t="s">
        <v>37</v>
      </c>
      <c r="B26" s="12"/>
      <c r="C26" s="12"/>
      <c r="D26" s="12"/>
      <c r="E26" s="12"/>
      <c r="F26" s="12"/>
      <c r="G26" s="12"/>
      <c r="H26" s="12"/>
      <c r="I26" s="12"/>
      <c r="J26" s="12"/>
      <c r="K26" s="12">
        <v>1332.2</v>
      </c>
      <c r="L26" s="12">
        <v>1969.7</v>
      </c>
      <c r="M26" s="12"/>
      <c r="N26" s="12">
        <f t="shared" si="15"/>
        <v>3301.9</v>
      </c>
    </row>
    <row r="27" spans="1:14" s="6" customFormat="1" ht="12.75">
      <c r="A27" s="11" t="s">
        <v>36</v>
      </c>
      <c r="B27" s="12"/>
      <c r="C27" s="12"/>
      <c r="D27" s="12"/>
      <c r="E27" s="12"/>
      <c r="F27" s="12"/>
      <c r="G27" s="12"/>
      <c r="H27" s="12"/>
      <c r="I27" s="12"/>
      <c r="J27" s="12"/>
      <c r="K27" s="12">
        <v>2628.98</v>
      </c>
      <c r="L27" s="12"/>
      <c r="M27" s="12"/>
      <c r="N27" s="12">
        <f t="shared" si="15"/>
        <v>2628.98</v>
      </c>
    </row>
    <row r="28" spans="1:14" s="6" customFormat="1" ht="12.75">
      <c r="A28" s="11" t="s">
        <v>54</v>
      </c>
      <c r="B28" s="12"/>
      <c r="C28" s="12"/>
      <c r="D28" s="12"/>
      <c r="E28" s="12"/>
      <c r="F28" s="12"/>
      <c r="G28" s="12"/>
      <c r="H28" s="12"/>
      <c r="I28" s="12"/>
      <c r="J28" s="12"/>
      <c r="K28" s="12">
        <v>4835.37</v>
      </c>
      <c r="L28" s="12">
        <v>5596.77</v>
      </c>
      <c r="M28" s="12"/>
      <c r="N28" s="12">
        <f t="shared" si="15"/>
        <v>10432.14</v>
      </c>
    </row>
    <row r="29" spans="1:14" s="6" customFormat="1" ht="12.75">
      <c r="A29" s="11" t="s">
        <v>34</v>
      </c>
      <c r="B29" s="12"/>
      <c r="C29" s="12"/>
      <c r="D29" s="12"/>
      <c r="E29" s="12"/>
      <c r="F29" s="12"/>
      <c r="G29" s="12"/>
      <c r="H29" s="12"/>
      <c r="I29" s="12"/>
      <c r="J29" s="12"/>
      <c r="K29" s="12">
        <v>4000</v>
      </c>
      <c r="L29" s="12">
        <v>4000</v>
      </c>
      <c r="M29" s="12"/>
      <c r="N29" s="12">
        <f t="shared" si="15"/>
        <v>8000</v>
      </c>
    </row>
    <row r="30" spans="1:14" s="6" customFormat="1" ht="12.75">
      <c r="A30" s="11" t="s">
        <v>49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f t="shared" si="15"/>
        <v>0</v>
      </c>
    </row>
    <row r="31" spans="1:14" s="6" customFormat="1" ht="12.75">
      <c r="A31" s="11" t="s">
        <v>23</v>
      </c>
      <c r="B31" s="12"/>
      <c r="C31" s="12"/>
      <c r="D31" s="12"/>
      <c r="E31" s="12"/>
      <c r="F31" s="12"/>
      <c r="G31" s="12"/>
      <c r="H31" s="12"/>
      <c r="I31" s="12"/>
      <c r="J31" s="12"/>
      <c r="K31" s="12">
        <v>2742.01</v>
      </c>
      <c r="L31" s="12">
        <v>4744.7700000000004</v>
      </c>
      <c r="M31" s="12"/>
      <c r="N31" s="12">
        <f t="shared" si="15"/>
        <v>7486.7800000000007</v>
      </c>
    </row>
    <row r="32" spans="1:14" s="6" customFormat="1" ht="12.75">
      <c r="A32" s="11" t="s">
        <v>50</v>
      </c>
      <c r="B32" s="12"/>
      <c r="C32" s="12"/>
      <c r="D32" s="12"/>
      <c r="E32" s="12"/>
      <c r="F32" s="12"/>
      <c r="G32" s="12"/>
      <c r="H32" s="12"/>
      <c r="I32" s="12"/>
      <c r="J32" s="12"/>
      <c r="K32" s="12">
        <v>14533.57</v>
      </c>
      <c r="L32" s="12">
        <v>32387.48</v>
      </c>
      <c r="M32" s="12"/>
      <c r="N32" s="12">
        <f t="shared" si="15"/>
        <v>46921.05</v>
      </c>
    </row>
    <row r="33" spans="1:14" s="6" customFormat="1" ht="12.75">
      <c r="A33" s="11" t="s">
        <v>55</v>
      </c>
      <c r="B33" s="12"/>
      <c r="C33" s="12"/>
      <c r="D33" s="12"/>
      <c r="E33" s="12"/>
      <c r="F33" s="12"/>
      <c r="G33" s="12"/>
      <c r="H33" s="12"/>
      <c r="I33" s="12"/>
      <c r="J33" s="12"/>
      <c r="K33" s="12">
        <v>1147.51</v>
      </c>
      <c r="L33" s="12">
        <v>66.7</v>
      </c>
      <c r="M33" s="12"/>
      <c r="N33" s="12">
        <f t="shared" si="15"/>
        <v>1214.21</v>
      </c>
    </row>
    <row r="34" spans="1:14" s="6" customFormat="1" ht="12.75">
      <c r="A34" s="11" t="s">
        <v>47</v>
      </c>
      <c r="B34" s="12"/>
      <c r="C34" s="12"/>
      <c r="D34" s="12"/>
      <c r="E34" s="12"/>
      <c r="F34" s="12"/>
      <c r="G34" s="12"/>
      <c r="H34" s="12"/>
      <c r="I34" s="12"/>
      <c r="J34" s="12"/>
      <c r="K34" s="12">
        <v>1874</v>
      </c>
      <c r="L34" s="12">
        <v>1874</v>
      </c>
      <c r="M34" s="12"/>
      <c r="N34" s="12">
        <f t="shared" si="15"/>
        <v>3748</v>
      </c>
    </row>
    <row r="35" spans="1:14" s="6" customFormat="1" ht="12.75">
      <c r="A35" s="11" t="s">
        <v>46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>
        <f t="shared" si="15"/>
        <v>0</v>
      </c>
    </row>
    <row r="36" spans="1:14" s="6" customFormat="1" ht="12.75">
      <c r="A36" s="11" t="s">
        <v>43</v>
      </c>
      <c r="B36" s="12"/>
      <c r="C36" s="12"/>
      <c r="D36" s="12"/>
      <c r="E36" s="12"/>
      <c r="F36" s="12"/>
      <c r="G36" s="12"/>
      <c r="H36" s="12"/>
      <c r="I36" s="12"/>
      <c r="J36" s="12"/>
      <c r="K36" s="12">
        <v>2811</v>
      </c>
      <c r="L36" s="12">
        <v>2811</v>
      </c>
      <c r="M36" s="12"/>
      <c r="N36" s="12">
        <f t="shared" si="15"/>
        <v>5622</v>
      </c>
    </row>
    <row r="37" spans="1:14" s="6" customFormat="1" ht="12.75">
      <c r="A37" s="11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>
        <v>7071.32</v>
      </c>
      <c r="L37" s="12">
        <v>11295.99</v>
      </c>
      <c r="M37" s="12"/>
      <c r="N37" s="12">
        <f t="shared" si="15"/>
        <v>18367.309999999998</v>
      </c>
    </row>
    <row r="38" spans="1:14" s="6" customFormat="1" ht="12.75">
      <c r="A38" s="11" t="s">
        <v>48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>
        <f t="shared" si="15"/>
        <v>0</v>
      </c>
    </row>
    <row r="39" spans="1:14" s="6" customFormat="1" ht="12.75">
      <c r="A39" s="11" t="s">
        <v>51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>
        <f t="shared" si="15"/>
        <v>0</v>
      </c>
    </row>
    <row r="40" spans="1:14" s="6" customFormat="1" ht="12.75">
      <c r="A40" s="11" t="s">
        <v>41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>
        <f t="shared" si="15"/>
        <v>0</v>
      </c>
    </row>
    <row r="41" spans="1:14" s="6" customFormat="1" ht="12.75">
      <c r="A41" s="11" t="s">
        <v>44</v>
      </c>
      <c r="B41" s="12"/>
      <c r="C41" s="12"/>
      <c r="D41" s="12"/>
      <c r="E41" s="12"/>
      <c r="F41" s="12"/>
      <c r="G41" s="12"/>
      <c r="H41" s="12"/>
      <c r="I41" s="12"/>
      <c r="J41" s="12"/>
      <c r="K41" s="12">
        <v>1480</v>
      </c>
      <c r="L41" s="12">
        <v>3730</v>
      </c>
      <c r="M41" s="12"/>
      <c r="N41" s="12">
        <f t="shared" si="15"/>
        <v>5210</v>
      </c>
    </row>
    <row r="42" spans="1:14" s="6" customFormat="1" ht="12.75">
      <c r="A42" s="11" t="s">
        <v>52</v>
      </c>
      <c r="B42" s="12"/>
      <c r="C42" s="12"/>
      <c r="D42" s="12"/>
      <c r="E42" s="12"/>
      <c r="F42" s="12"/>
      <c r="G42" s="12"/>
      <c r="H42" s="12"/>
      <c r="I42" s="12"/>
      <c r="J42" s="12"/>
      <c r="K42" s="12">
        <v>1402</v>
      </c>
      <c r="L42" s="12">
        <v>4250.01</v>
      </c>
      <c r="M42" s="12"/>
      <c r="N42" s="12">
        <f t="shared" si="15"/>
        <v>5652.01</v>
      </c>
    </row>
    <row r="43" spans="1:14" s="6" customFormat="1" ht="12.75">
      <c r="A43" s="11" t="s">
        <v>42</v>
      </c>
      <c r="B43" s="12"/>
      <c r="C43" s="12"/>
      <c r="D43" s="12"/>
      <c r="E43" s="12"/>
      <c r="F43" s="12"/>
      <c r="G43" s="12"/>
      <c r="H43" s="12"/>
      <c r="I43" s="12"/>
      <c r="J43" s="12"/>
      <c r="K43" s="12">
        <v>797.43</v>
      </c>
      <c r="L43" s="12"/>
      <c r="M43" s="12"/>
      <c r="N43" s="12">
        <f t="shared" si="15"/>
        <v>797.43</v>
      </c>
    </row>
    <row r="44" spans="1:14" s="6" customFormat="1" ht="12.75">
      <c r="A44" s="11" t="s">
        <v>45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269</v>
      </c>
      <c r="L44" s="12">
        <v>269</v>
      </c>
      <c r="M44" s="12">
        <v>0</v>
      </c>
      <c r="N44" s="12">
        <f t="shared" si="1"/>
        <v>538</v>
      </c>
    </row>
    <row r="45" spans="1:14" s="6" customFormat="1" ht="12.75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s="6" customFormat="1" ht="12.75">
      <c r="A46" s="9" t="s">
        <v>17</v>
      </c>
      <c r="B46" s="10">
        <f>-SUM(B47:B50)</f>
        <v>0</v>
      </c>
      <c r="C46" s="10">
        <f>-SUM(C47:C50)</f>
        <v>0</v>
      </c>
      <c r="D46" s="10">
        <f>-SUM(D47:D50)</f>
        <v>0</v>
      </c>
      <c r="E46" s="10">
        <f t="shared" ref="E46:G46" si="16">-SUM(E47:E50)</f>
        <v>0</v>
      </c>
      <c r="F46" s="10">
        <f t="shared" si="16"/>
        <v>0</v>
      </c>
      <c r="G46" s="10">
        <f t="shared" si="16"/>
        <v>0</v>
      </c>
      <c r="H46" s="10">
        <f t="shared" ref="H46:J46" si="17">-SUM(H47:H50)</f>
        <v>0</v>
      </c>
      <c r="I46" s="10">
        <f t="shared" si="17"/>
        <v>0</v>
      </c>
      <c r="J46" s="10">
        <f t="shared" si="17"/>
        <v>0</v>
      </c>
      <c r="K46" s="10">
        <f t="shared" ref="K46:L46" si="18">-SUM(K47:K50)</f>
        <v>-364.80999999999995</v>
      </c>
      <c r="L46" s="10">
        <f t="shared" si="18"/>
        <v>-335.62</v>
      </c>
      <c r="M46" s="10">
        <f t="shared" ref="M46:N46" si="19">-SUM(M47:M50)</f>
        <v>0</v>
      </c>
      <c r="N46" s="10">
        <f t="shared" si="19"/>
        <v>-700.43000000000006</v>
      </c>
    </row>
    <row r="47" spans="1:14" s="6" customFormat="1" ht="12.75">
      <c r="A47" s="11" t="s">
        <v>53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74.209999999999994</v>
      </c>
      <c r="L47" s="12">
        <v>123.15</v>
      </c>
      <c r="M47" s="12">
        <v>0</v>
      </c>
      <c r="N47" s="12">
        <f t="shared" si="1"/>
        <v>197.36</v>
      </c>
    </row>
    <row r="48" spans="1:14" s="6" customFormat="1" ht="12.75">
      <c r="A48" s="11" t="s">
        <v>39</v>
      </c>
      <c r="B48" s="12"/>
      <c r="C48" s="12"/>
      <c r="D48" s="12"/>
      <c r="E48" s="12"/>
      <c r="F48" s="12"/>
      <c r="G48" s="12"/>
      <c r="H48" s="12"/>
      <c r="I48" s="12"/>
      <c r="J48" s="12"/>
      <c r="K48" s="12">
        <v>139.69999999999999</v>
      </c>
      <c r="L48" s="12">
        <v>98.71</v>
      </c>
      <c r="M48" s="12"/>
      <c r="N48" s="12">
        <f>SUM(B48:M48)</f>
        <v>238.40999999999997</v>
      </c>
    </row>
    <row r="49" spans="1:14" s="6" customFormat="1" ht="12.75">
      <c r="A49" s="11" t="s">
        <v>40</v>
      </c>
      <c r="B49" s="12"/>
      <c r="C49" s="12"/>
      <c r="D49" s="12"/>
      <c r="E49" s="12"/>
      <c r="F49" s="12"/>
      <c r="G49" s="12"/>
      <c r="H49" s="12"/>
      <c r="I49" s="12"/>
      <c r="J49" s="12"/>
      <c r="K49" s="12">
        <v>150.9</v>
      </c>
      <c r="L49" s="12">
        <v>113.76</v>
      </c>
      <c r="M49" s="12"/>
      <c r="N49" s="12">
        <f t="shared" si="1"/>
        <v>264.66000000000003</v>
      </c>
    </row>
    <row r="50" spans="1:14" s="6" customFormat="1" ht="12.75">
      <c r="A50" s="1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s="6" customFormat="1" ht="12.75">
      <c r="A51" s="14" t="s">
        <v>56</v>
      </c>
      <c r="B51" s="10">
        <f>-B52</f>
        <v>0</v>
      </c>
      <c r="C51" s="10">
        <f t="shared" ref="C51:D51" si="20">-C52</f>
        <v>0</v>
      </c>
      <c r="D51" s="10">
        <f t="shared" si="20"/>
        <v>0</v>
      </c>
      <c r="E51" s="10">
        <f t="shared" ref="E51:G51" si="21">-E52</f>
        <v>0</v>
      </c>
      <c r="F51" s="10">
        <f t="shared" si="21"/>
        <v>0</v>
      </c>
      <c r="G51" s="10">
        <f t="shared" si="21"/>
        <v>0</v>
      </c>
      <c r="H51" s="10">
        <f t="shared" ref="H51:J51" si="22">-H52</f>
        <v>0</v>
      </c>
      <c r="I51" s="10">
        <f t="shared" si="22"/>
        <v>0</v>
      </c>
      <c r="J51" s="10">
        <f t="shared" si="22"/>
        <v>0</v>
      </c>
      <c r="K51" s="10">
        <f t="shared" ref="K51:L51" si="23">-K52</f>
        <v>-6545.45</v>
      </c>
      <c r="L51" s="10">
        <f t="shared" si="23"/>
        <v>-30508.23</v>
      </c>
      <c r="M51" s="10">
        <f t="shared" ref="M51:N51" si="24">-M52</f>
        <v>0</v>
      </c>
      <c r="N51" s="10">
        <f t="shared" si="24"/>
        <v>-37053.68</v>
      </c>
    </row>
    <row r="52" spans="1:14" s="6" customFormat="1" ht="12.75">
      <c r="A52" s="15" t="s">
        <v>38</v>
      </c>
      <c r="B52" s="12"/>
      <c r="C52" s="12"/>
      <c r="D52" s="12"/>
      <c r="E52" s="12"/>
      <c r="F52" s="12"/>
      <c r="G52" s="12"/>
      <c r="H52" s="12"/>
      <c r="I52" s="12"/>
      <c r="J52" s="12"/>
      <c r="K52" s="12">
        <v>6545.45</v>
      </c>
      <c r="L52" s="12">
        <v>30508.23</v>
      </c>
      <c r="M52" s="12"/>
      <c r="N52" s="12">
        <f t="shared" si="1"/>
        <v>37053.68</v>
      </c>
    </row>
    <row r="53" spans="1:14" s="6" customFormat="1" ht="12.75">
      <c r="A53" s="15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s="6" customFormat="1" ht="12.75">
      <c r="A54" s="16" t="s">
        <v>57</v>
      </c>
      <c r="B54" s="10">
        <f t="shared" ref="B54:N54" si="25">SUM(B55)</f>
        <v>0</v>
      </c>
      <c r="C54" s="10">
        <f t="shared" si="25"/>
        <v>0</v>
      </c>
      <c r="D54" s="10">
        <f t="shared" si="25"/>
        <v>0</v>
      </c>
      <c r="E54" s="10">
        <f t="shared" si="25"/>
        <v>0</v>
      </c>
      <c r="F54" s="10">
        <f t="shared" si="25"/>
        <v>0</v>
      </c>
      <c r="G54" s="10">
        <f t="shared" si="25"/>
        <v>0</v>
      </c>
      <c r="H54" s="10">
        <f t="shared" si="25"/>
        <v>0</v>
      </c>
      <c r="I54" s="10">
        <f t="shared" si="25"/>
        <v>0</v>
      </c>
      <c r="J54" s="10">
        <f t="shared" si="25"/>
        <v>0</v>
      </c>
      <c r="K54" s="10">
        <f t="shared" si="25"/>
        <v>2319.5500000000002</v>
      </c>
      <c r="L54" s="10">
        <f t="shared" si="25"/>
        <v>967.97</v>
      </c>
      <c r="M54" s="10">
        <f t="shared" si="25"/>
        <v>0</v>
      </c>
      <c r="N54" s="10">
        <f t="shared" si="25"/>
        <v>3287.5200000000004</v>
      </c>
    </row>
    <row r="55" spans="1:14" s="6" customFormat="1" ht="12.75">
      <c r="A55" s="13" t="s">
        <v>58</v>
      </c>
      <c r="B55" s="12"/>
      <c r="C55" s="12"/>
      <c r="D55" s="12"/>
      <c r="E55" s="12"/>
      <c r="F55" s="12"/>
      <c r="G55" s="12"/>
      <c r="H55" s="12"/>
      <c r="I55" s="12"/>
      <c r="J55" s="12"/>
      <c r="K55" s="12">
        <v>2319.5500000000002</v>
      </c>
      <c r="L55" s="12">
        <v>967.97</v>
      </c>
      <c r="M55" s="12"/>
      <c r="N55" s="12">
        <f>SUM(B55:M55)</f>
        <v>3287.5200000000004</v>
      </c>
    </row>
    <row r="56" spans="1:14" s="6" customFormat="1" ht="12.75">
      <c r="A56" s="1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s="6" customFormat="1" ht="12.75">
      <c r="A57" s="14" t="str">
        <f>"= RESULTADO OPERACIONAL ANTES DO IR E CSLL"</f>
        <v>= RESULTADO OPERACIONAL ANTES DO IR E CSLL</v>
      </c>
      <c r="B57" s="10">
        <f t="shared" ref="B57:N57" si="26">(B20+B22+B46+B51+B54)</f>
        <v>0</v>
      </c>
      <c r="C57" s="10">
        <f t="shared" si="26"/>
        <v>0</v>
      </c>
      <c r="D57" s="10">
        <f t="shared" si="26"/>
        <v>0</v>
      </c>
      <c r="E57" s="10">
        <f t="shared" si="26"/>
        <v>0</v>
      </c>
      <c r="F57" s="10">
        <f t="shared" si="26"/>
        <v>0</v>
      </c>
      <c r="G57" s="10">
        <f t="shared" si="26"/>
        <v>0</v>
      </c>
      <c r="H57" s="10">
        <f t="shared" si="26"/>
        <v>0</v>
      </c>
      <c r="I57" s="10">
        <f t="shared" si="26"/>
        <v>0</v>
      </c>
      <c r="J57" s="10">
        <f t="shared" si="26"/>
        <v>0</v>
      </c>
      <c r="K57" s="10">
        <f t="shared" si="26"/>
        <v>88453.440000000002</v>
      </c>
      <c r="L57" s="10">
        <f t="shared" si="26"/>
        <v>-122537.21000000002</v>
      </c>
      <c r="M57" s="10">
        <f t="shared" si="26"/>
        <v>0</v>
      </c>
      <c r="N57" s="10">
        <f t="shared" si="26"/>
        <v>-34083.770000000048</v>
      </c>
    </row>
    <row r="58" spans="1:14" s="6" customFormat="1" ht="12.75">
      <c r="A58" s="1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 s="6" customFormat="1" ht="12.75">
      <c r="A59" s="9" t="s">
        <v>59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s="6" customFormat="1" ht="12.75">
      <c r="A60" s="1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 s="6" customFormat="1" ht="12.75">
      <c r="A61" s="9" t="str">
        <f>"= LUCRO LÍQUIDO ANTES DAS PARTICIPAÇÕES"</f>
        <v>= LUCRO LÍQUIDO ANTES DAS PARTICIPAÇÕES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s="6" customFormat="1" ht="12.75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 s="6" customFormat="1" ht="12.75">
      <c r="A63" s="9" t="s">
        <v>18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4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4" sqref="B4"/>
    </sheetView>
  </sheetViews>
  <sheetFormatPr defaultRowHeight="15"/>
  <sheetData>
    <row r="1" spans="1:2">
      <c r="A1" s="17" t="s">
        <v>22</v>
      </c>
      <c r="B1" s="17"/>
    </row>
    <row r="2" spans="1:2">
      <c r="A2" s="5" t="s">
        <v>19</v>
      </c>
      <c r="B2" s="3">
        <v>0.15</v>
      </c>
    </row>
    <row r="3" spans="1:2">
      <c r="A3" s="5" t="s">
        <v>20</v>
      </c>
      <c r="B3" s="3">
        <v>0.09</v>
      </c>
    </row>
    <row r="4" spans="1:2">
      <c r="A4" s="5" t="s">
        <v>21</v>
      </c>
      <c r="B4" s="4">
        <v>8.5000000000000006E-2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DRE</vt:lpstr>
      <vt:lpstr>Impostos</vt:lpstr>
      <vt:lpstr>CSLL</vt:lpstr>
      <vt:lpstr>IR</vt:lpstr>
      <vt:lpstr>TAXA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Consistem gerson</dc:creator>
  <cp:lastModifiedBy>User</cp:lastModifiedBy>
  <dcterms:created xsi:type="dcterms:W3CDTF">2015-07-14T18:12:51Z</dcterms:created>
  <dcterms:modified xsi:type="dcterms:W3CDTF">2018-02-02T01:00:47Z</dcterms:modified>
</cp:coreProperties>
</file>