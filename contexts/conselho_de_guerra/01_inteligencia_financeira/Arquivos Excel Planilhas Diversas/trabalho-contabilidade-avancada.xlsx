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Plan1" sheetId="1" r:id="rId1"/>
    <sheet name="Plan2" sheetId="2" r:id="rId2"/>
    <sheet name="Plan3" sheetId="3" r:id="rId3"/>
  </sheets>
  <calcPr calcId="124519"/>
</workbook>
</file>

<file path=xl/calcChain.xml><?xml version="1.0" encoding="utf-8"?>
<calcChain xmlns="http://schemas.openxmlformats.org/spreadsheetml/2006/main">
  <c r="I36" i="1"/>
  <c r="I33"/>
  <c r="I25"/>
  <c r="I17"/>
  <c r="F8"/>
  <c r="I43"/>
  <c r="I44"/>
  <c r="I45"/>
  <c r="I46"/>
  <c r="I47"/>
  <c r="I48"/>
  <c r="I49"/>
  <c r="I50"/>
  <c r="I51"/>
  <c r="I52"/>
  <c r="I53"/>
  <c r="I55"/>
  <c r="I42"/>
  <c r="I37"/>
  <c r="I38"/>
  <c r="I39"/>
  <c r="I34"/>
  <c r="I26"/>
  <c r="I27"/>
  <c r="I28"/>
  <c r="I29"/>
  <c r="I30"/>
  <c r="I31"/>
  <c r="I18"/>
  <c r="I19"/>
  <c r="I20"/>
  <c r="I21"/>
  <c r="I22"/>
  <c r="I10"/>
  <c r="I11"/>
  <c r="I9" s="1"/>
  <c r="I12"/>
  <c r="I13"/>
  <c r="I14"/>
  <c r="I15"/>
  <c r="H44"/>
  <c r="B73"/>
  <c r="D73" s="1"/>
  <c r="B71"/>
  <c r="D66"/>
  <c r="C66" s="1"/>
  <c r="C71" s="1"/>
  <c r="F42"/>
  <c r="D44"/>
  <c r="D52" s="1"/>
  <c r="E44"/>
  <c r="E52" s="1"/>
  <c r="C44"/>
  <c r="C52" s="1"/>
  <c r="C55" s="1"/>
  <c r="E36"/>
  <c r="D36"/>
  <c r="C36"/>
  <c r="E33"/>
  <c r="D33"/>
  <c r="C33"/>
  <c r="E25"/>
  <c r="E24" s="1"/>
  <c r="D25"/>
  <c r="D24" s="1"/>
  <c r="C25"/>
  <c r="C24" s="1"/>
  <c r="E17"/>
  <c r="D17"/>
  <c r="C17"/>
  <c r="E9"/>
  <c r="E8" s="1"/>
  <c r="D9"/>
  <c r="D8" s="1"/>
  <c r="C9"/>
  <c r="C8" s="1"/>
  <c r="F48"/>
  <c r="F46"/>
  <c r="F45"/>
  <c r="F43"/>
  <c r="F39"/>
  <c r="F38"/>
  <c r="F34"/>
  <c r="F33" s="1"/>
  <c r="F30"/>
  <c r="F29"/>
  <c r="F27"/>
  <c r="F26"/>
  <c r="F22"/>
  <c r="F21"/>
  <c r="F19"/>
  <c r="F18"/>
  <c r="F15"/>
  <c r="F14"/>
  <c r="F13"/>
  <c r="F11"/>
  <c r="F10"/>
  <c r="F47"/>
  <c r="F49"/>
  <c r="F50"/>
  <c r="F51"/>
  <c r="F53"/>
  <c r="F37"/>
  <c r="F36" s="1"/>
  <c r="F28"/>
  <c r="F31"/>
  <c r="F20"/>
  <c r="F17" s="1"/>
  <c r="F12"/>
  <c r="F9" s="1"/>
  <c r="I24" l="1"/>
  <c r="I8"/>
  <c r="D71"/>
  <c r="C73"/>
  <c r="E55"/>
  <c r="E54"/>
  <c r="C54"/>
  <c r="D54"/>
  <c r="D55"/>
  <c r="F44"/>
  <c r="F52" s="1"/>
  <c r="F55" s="1"/>
  <c r="F25"/>
  <c r="F24" s="1"/>
  <c r="F54" l="1"/>
</calcChain>
</file>

<file path=xl/comments1.xml><?xml version="1.0" encoding="utf-8"?>
<comments xmlns="http://schemas.openxmlformats.org/spreadsheetml/2006/main">
  <authors>
    <author>Waldir</author>
  </authors>
  <commentList>
    <comment ref="C4" authorId="0">
      <text>
        <r>
          <rPr>
            <b/>
            <sz val="9"/>
            <color indexed="81"/>
            <rFont val="Tahoma"/>
            <family val="2"/>
          </rPr>
          <t>Waldir:</t>
        </r>
        <r>
          <rPr>
            <sz val="9"/>
            <color indexed="81"/>
            <rFont val="Tahoma"/>
            <family val="2"/>
          </rPr>
          <t xml:space="preserve">
A Cia Distribuidora de Grãos Sustain controla as Cias Fazendas Reunidas Sustain e Sustain Transportes;
</t>
        </r>
      </text>
    </comment>
    <comment ref="B49" authorId="0">
      <text>
        <r>
          <rPr>
            <b/>
            <sz val="9"/>
            <color indexed="81"/>
            <rFont val="Tahoma"/>
            <family val="2"/>
          </rPr>
          <t>Waldir:</t>
        </r>
        <r>
          <rPr>
            <sz val="9"/>
            <color indexed="81"/>
            <rFont val="Tahoma"/>
            <family val="2"/>
          </rPr>
          <t xml:space="preserve">
Não entra no lucro liquido antes IR e CSLL mas entra depois no lucro liquido </t>
        </r>
      </text>
    </comment>
    <comment ref="B54" authorId="0">
      <text>
        <r>
          <rPr>
            <b/>
            <sz val="9"/>
            <color indexed="81"/>
            <rFont val="Tahoma"/>
            <family val="2"/>
          </rPr>
          <t>Waldir:</t>
        </r>
        <r>
          <rPr>
            <sz val="9"/>
            <color indexed="81"/>
            <rFont val="Tahoma"/>
            <family val="2"/>
          </rPr>
          <t xml:space="preserve">
Apenas para conferir</t>
        </r>
      </text>
    </comment>
  </commentList>
</comments>
</file>

<file path=xl/sharedStrings.xml><?xml version="1.0" encoding="utf-8"?>
<sst xmlns="http://schemas.openxmlformats.org/spreadsheetml/2006/main" count="80" uniqueCount="80">
  <si>
    <t>Caixa e Bancos</t>
  </si>
  <si>
    <t>Clientes</t>
  </si>
  <si>
    <t>Estoques de Mercadorias</t>
  </si>
  <si>
    <t>Dividendos a receber</t>
  </si>
  <si>
    <t>Outros ativos circulantes</t>
  </si>
  <si>
    <t>Empréstimos a receber</t>
  </si>
  <si>
    <t>Investimentos em controladas</t>
  </si>
  <si>
    <t>Outros investimentos</t>
  </si>
  <si>
    <t>Veículos</t>
  </si>
  <si>
    <t>Máquinas</t>
  </si>
  <si>
    <t>Ágio</t>
  </si>
  <si>
    <t>Obrigações trabalhistas</t>
  </si>
  <si>
    <t>Obrigações tributárias</t>
  </si>
  <si>
    <t>Fornecedores</t>
  </si>
  <si>
    <t>Empréstimos e Financ a pagar CP</t>
  </si>
  <si>
    <t>Dividendos a pagar</t>
  </si>
  <si>
    <t>Outras contas a pagar</t>
  </si>
  <si>
    <t>Empréstimos e Financ a pagar LP</t>
  </si>
  <si>
    <t>Capital Social</t>
  </si>
  <si>
    <t>Reservas de capital</t>
  </si>
  <si>
    <t>Reservas de lucros</t>
  </si>
  <si>
    <t>Contas</t>
  </si>
  <si>
    <t>Grupo 4</t>
  </si>
  <si>
    <t xml:space="preserve"> Distribuidora de
Grãos Sustain</t>
  </si>
  <si>
    <t>Fazendas Reunidas Sustain</t>
  </si>
  <si>
    <t xml:space="preserve"> Sustain Transportes</t>
  </si>
  <si>
    <t>Receita Líquida de Vendas</t>
  </si>
  <si>
    <t>Custos das mercadorias vendidas</t>
  </si>
  <si>
    <t>Despesas com vendas</t>
  </si>
  <si>
    <t>Despesas administrativas</t>
  </si>
  <si>
    <t>Despesas Financeiras</t>
  </si>
  <si>
    <t>Receitas Financeiras</t>
  </si>
  <si>
    <t>Resultado da Equivalência Patrimonial</t>
  </si>
  <si>
    <t>Outras despesas operacionais</t>
  </si>
  <si>
    <t>Outras receitas operacionais</t>
  </si>
  <si>
    <t>Provisão para o Imposto de Renda e Contrib. Social</t>
  </si>
  <si>
    <t xml:space="preserve">      Ativo não Circulante</t>
  </si>
  <si>
    <t xml:space="preserve">      Ativo Circulante</t>
  </si>
  <si>
    <t xml:space="preserve">            Ativo</t>
  </si>
  <si>
    <t xml:space="preserve">      Passivo Circulante</t>
  </si>
  <si>
    <t xml:space="preserve">            Passivo</t>
  </si>
  <si>
    <t xml:space="preserve">      Passivo não Circulante</t>
  </si>
  <si>
    <t xml:space="preserve">            Patrimônio Líquido</t>
  </si>
  <si>
    <t xml:space="preserve">            DRE</t>
  </si>
  <si>
    <t>Soma</t>
  </si>
  <si>
    <t>Lucro Bruto</t>
  </si>
  <si>
    <t>Lucro Liquido</t>
  </si>
  <si>
    <t>Lucro Liquido Antes IR e CSLL</t>
  </si>
  <si>
    <t>Aliquota IR e CSLL</t>
  </si>
  <si>
    <t>Eliminação</t>
  </si>
  <si>
    <t>Consolidado</t>
  </si>
  <si>
    <t>Referência</t>
  </si>
  <si>
    <t>Grupo Sustain Alimentos</t>
  </si>
  <si>
    <t>Distribuidora</t>
  </si>
  <si>
    <t>Fazendas Reu.</t>
  </si>
  <si>
    <t>Transportes</t>
  </si>
  <si>
    <t xml:space="preserve">
</t>
  </si>
  <si>
    <t>O ágio contabilizado refere-se aos seguintes valores:</t>
  </si>
  <si>
    <t xml:space="preserve"> O ágio fundamentado por ativos identificados deve ser reclassificado para os respectivos ativos e será realizado proporcionalmente à realização do correspondente ativo;</t>
  </si>
  <si>
    <t xml:space="preserve">(1) Por determinação do conselho de administração do Grupo, as vendas realizadas entre as companhias possuem uma margem de lucro de 20% sobre o preço de venda;
</t>
  </si>
  <si>
    <t>(2) A Cia Fazendas Reunidas Sustain vendeu para Distribuidora de Grãos Sustain, a prazo, grãos extraídos de suas fazendas nos seguintes valores:           ( Distribuidora R$ 138.915 )</t>
  </si>
  <si>
    <t>(3) No final do período, remanesciam no estoque da Cia Distribuidora 25% das mercadorias referente ao lote adquirido da Cia Fazendas Reunidas.</t>
  </si>
  <si>
    <t>(4) Do ágio registrado 75% refere-se à Fazendas Reunidas e o restante da Sustain Transportes;</t>
  </si>
  <si>
    <t>(5) i) valor justo dos estoques – 15%;</t>
  </si>
  <si>
    <t>(6)  ii) Valor Justo dos ativos imobilizados – 30% (máquinas e equipamentos)</t>
  </si>
  <si>
    <t>(7)  iii) Lucros Futuros – 55%.</t>
  </si>
  <si>
    <t xml:space="preserve">(8) Durante o período houve um empréstimo da Cia Distribuidora de Grãos para a Sustain Transportes, nos seguintes montantes:                                                   ( Transportes R$ 57.881 )
</t>
  </si>
  <si>
    <t>(9) A Cia Distribuidora de Grãos possuía os seguintes dividendos a receber:      ( Fazenda R$ 23.152 ) ( Transportes R$ 13.892 )</t>
  </si>
  <si>
    <t xml:space="preserve">(10) A Cia Distribuidora de Grãos alugou um prédio de sua propriedade para a Cia Fazendas Reunidas Sustain para funcionamento da área comercial, tendo recebido os seguintes montantes durante o ano:                                          (Fazendas R$ 69.458 )
</t>
  </si>
  <si>
    <t>Resolução tópico 1,2,3</t>
  </si>
  <si>
    <t>x (1) Lucro</t>
  </si>
  <si>
    <t>x (2) Vendas</t>
  </si>
  <si>
    <t>x (3) Não Realizado</t>
  </si>
  <si>
    <t>CMV</t>
  </si>
  <si>
    <t>LUCRO</t>
  </si>
  <si>
    <t>CMV Não Real.</t>
  </si>
  <si>
    <t>Lucro Não Real.</t>
  </si>
  <si>
    <t>Realizado Vendas</t>
  </si>
  <si>
    <t>Realizado CMV</t>
  </si>
  <si>
    <t>Realizado Lucro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</si>
</sst>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2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i/>
      <sz val="11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b/>
      <u/>
      <sz val="11"/>
      <color theme="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3" tint="-0.249977111117893"/>
      <name val="Calibri"/>
      <family val="2"/>
      <scheme val="minor"/>
    </font>
    <font>
      <b/>
      <sz val="9"/>
      <color theme="3"/>
      <name val="Calibri"/>
      <family val="2"/>
      <scheme val="minor"/>
    </font>
    <font>
      <sz val="8.8000000000000007"/>
      <color theme="3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5" fillId="0" borderId="4" applyNumberFormat="0" applyFill="0" applyAlignment="0" applyProtection="0"/>
    <xf numFmtId="0" fontId="6" fillId="2" borderId="0" applyNumberFormat="0" applyBorder="0" applyAlignment="0" applyProtection="0"/>
    <xf numFmtId="43" fontId="20" fillId="0" borderId="0" applyFont="0" applyFill="0" applyBorder="0" applyAlignment="0" applyProtection="0"/>
  </cellStyleXfs>
  <cellXfs count="87">
    <xf numFmtId="0" fontId="0" fillId="0" borderId="0" xfId="0"/>
    <xf numFmtId="0" fontId="1" fillId="0" borderId="1" xfId="1"/>
    <xf numFmtId="0" fontId="3" fillId="0" borderId="3" xfId="3"/>
    <xf numFmtId="3" fontId="3" fillId="0" borderId="3" xfId="3" applyNumberFormat="1"/>
    <xf numFmtId="3" fontId="3" fillId="0" borderId="3" xfId="3" applyNumberFormat="1" applyAlignment="1">
      <alignment horizontal="center"/>
    </xf>
    <xf numFmtId="0" fontId="3" fillId="0" borderId="1" xfId="1" applyFont="1" applyAlignment="1">
      <alignment horizontal="center" wrapText="1"/>
    </xf>
    <xf numFmtId="0" fontId="8" fillId="0" borderId="1" xfId="1" applyFont="1" applyAlignment="1">
      <alignment horizontal="center" wrapText="1"/>
    </xf>
    <xf numFmtId="0" fontId="9" fillId="0" borderId="3" xfId="3" applyFont="1"/>
    <xf numFmtId="0" fontId="10" fillId="0" borderId="3" xfId="3" applyFont="1"/>
    <xf numFmtId="0" fontId="10" fillId="0" borderId="0" xfId="3" applyFont="1" applyFill="1" applyBorder="1"/>
    <xf numFmtId="0" fontId="3" fillId="0" borderId="0" xfId="3" applyFont="1" applyFill="1" applyBorder="1"/>
    <xf numFmtId="3" fontId="9" fillId="0" borderId="3" xfId="3" applyNumberFormat="1" applyFont="1" applyAlignment="1">
      <alignment horizontal="center"/>
    </xf>
    <xf numFmtId="3" fontId="10" fillId="0" borderId="3" xfId="3" applyNumberFormat="1" applyFont="1" applyAlignment="1">
      <alignment horizontal="center"/>
    </xf>
    <xf numFmtId="3" fontId="10" fillId="0" borderId="3" xfId="3" applyNumberFormat="1" applyFont="1"/>
    <xf numFmtId="0" fontId="10" fillId="0" borderId="3" xfId="3" applyFont="1" applyAlignment="1">
      <alignment horizontal="center"/>
    </xf>
    <xf numFmtId="3" fontId="11" fillId="0" borderId="3" xfId="3" applyNumberFormat="1" applyFont="1" applyAlignment="1">
      <alignment horizontal="center"/>
    </xf>
    <xf numFmtId="3" fontId="12" fillId="0" borderId="3" xfId="3" applyNumberFormat="1" applyFont="1"/>
    <xf numFmtId="3" fontId="11" fillId="0" borderId="3" xfId="3" applyNumberFormat="1" applyFont="1"/>
    <xf numFmtId="3" fontId="3" fillId="0" borderId="3" xfId="3" applyNumberFormat="1" applyFont="1"/>
    <xf numFmtId="3" fontId="4" fillId="0" borderId="3" xfId="3" applyNumberFormat="1" applyFont="1"/>
    <xf numFmtId="3" fontId="13" fillId="0" borderId="3" xfId="3" applyNumberFormat="1" applyFont="1"/>
    <xf numFmtId="3" fontId="13" fillId="3" borderId="3" xfId="3" applyNumberFormat="1" applyFont="1" applyFill="1"/>
    <xf numFmtId="3" fontId="16" fillId="0" borderId="3" xfId="3" applyNumberFormat="1" applyFont="1"/>
    <xf numFmtId="0" fontId="18" fillId="3" borderId="3" xfId="3" applyFont="1" applyFill="1"/>
    <xf numFmtId="0" fontId="7" fillId="0" borderId="3" xfId="3" applyFont="1"/>
    <xf numFmtId="0" fontId="3" fillId="4" borderId="3" xfId="3" applyFill="1"/>
    <xf numFmtId="3" fontId="3" fillId="4" borderId="3" xfId="3" applyNumberFormat="1" applyFill="1" applyAlignment="1">
      <alignment horizontal="center"/>
    </xf>
    <xf numFmtId="0" fontId="3" fillId="4" borderId="3" xfId="3" applyFill="1" applyAlignment="1">
      <alignment horizontal="center"/>
    </xf>
    <xf numFmtId="0" fontId="0" fillId="4" borderId="0" xfId="0" applyFill="1"/>
    <xf numFmtId="0" fontId="10" fillId="4" borderId="3" xfId="3" applyFont="1" applyFill="1"/>
    <xf numFmtId="3" fontId="3" fillId="4" borderId="3" xfId="3" applyNumberFormat="1" applyFill="1"/>
    <xf numFmtId="9" fontId="0" fillId="0" borderId="0" xfId="0" applyNumberFormat="1" applyAlignment="1">
      <alignment horizontal="center" vertical="center"/>
    </xf>
    <xf numFmtId="0" fontId="5" fillId="0" borderId="4" xfId="4" applyAlignment="1">
      <alignment horizontal="center" vertical="center"/>
    </xf>
    <xf numFmtId="0" fontId="0" fillId="5" borderId="0" xfId="0" applyFill="1"/>
    <xf numFmtId="0" fontId="19" fillId="5" borderId="0" xfId="0" applyFont="1" applyFill="1" applyBorder="1" applyAlignment="1">
      <alignment vertical="center"/>
    </xf>
    <xf numFmtId="0" fontId="0" fillId="5" borderId="0" xfId="0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19" fillId="5" borderId="8" xfId="0" applyFont="1" applyFill="1" applyBorder="1" applyAlignment="1">
      <alignment horizontal="center" vertical="center" wrapText="1"/>
    </xf>
    <xf numFmtId="0" fontId="19" fillId="5" borderId="0" xfId="0" applyFont="1" applyFill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19" fillId="5" borderId="5" xfId="0" applyFont="1" applyFill="1" applyBorder="1" applyAlignment="1">
      <alignment horizontal="center" vertical="center" wrapText="1"/>
    </xf>
    <xf numFmtId="0" fontId="19" fillId="5" borderId="6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center" vertical="center" wrapText="1"/>
    </xf>
    <xf numFmtId="0" fontId="19" fillId="5" borderId="8" xfId="0" applyFont="1" applyFill="1" applyBorder="1" applyAlignment="1">
      <alignment horizontal="left" vertical="center" wrapText="1"/>
    </xf>
    <xf numFmtId="0" fontId="19" fillId="5" borderId="0" xfId="0" applyFont="1" applyFill="1" applyBorder="1" applyAlignment="1">
      <alignment horizontal="left" vertical="center" wrapText="1"/>
    </xf>
    <xf numFmtId="0" fontId="19" fillId="5" borderId="9" xfId="0" applyFont="1" applyFill="1" applyBorder="1" applyAlignment="1">
      <alignment horizontal="left" vertical="center" wrapText="1"/>
    </xf>
    <xf numFmtId="0" fontId="2" fillId="0" borderId="2" xfId="2" applyAlignment="1">
      <alignment horizontal="center"/>
    </xf>
    <xf numFmtId="0" fontId="6" fillId="2" borderId="0" xfId="5" applyAlignment="1">
      <alignment horizontal="center"/>
    </xf>
    <xf numFmtId="0" fontId="0" fillId="5" borderId="0" xfId="0" applyFill="1" applyAlignment="1">
      <alignment horizontal="center" vertical="center"/>
    </xf>
    <xf numFmtId="43" fontId="0" fillId="5" borderId="13" xfId="6" applyFont="1" applyFill="1" applyBorder="1" applyAlignment="1">
      <alignment horizontal="center" vertical="center"/>
    </xf>
    <xf numFmtId="43" fontId="0" fillId="5" borderId="17" xfId="6" applyFont="1" applyFill="1" applyBorder="1" applyAlignment="1">
      <alignment horizontal="center" vertical="center"/>
    </xf>
    <xf numFmtId="43" fontId="0" fillId="5" borderId="18" xfId="6" applyFont="1" applyFill="1" applyBorder="1" applyAlignment="1">
      <alignment horizontal="center" vertical="center"/>
    </xf>
    <xf numFmtId="43" fontId="0" fillId="5" borderId="0" xfId="0" applyNumberFormat="1" applyFill="1"/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3" fontId="0" fillId="0" borderId="13" xfId="6" applyFont="1" applyBorder="1" applyAlignment="1">
      <alignment horizontal="center" vertical="center"/>
    </xf>
    <xf numFmtId="43" fontId="0" fillId="0" borderId="20" xfId="0" applyNumberFormat="1" applyBorder="1" applyAlignment="1">
      <alignment horizontal="center" vertical="center"/>
    </xf>
    <xf numFmtId="43" fontId="0" fillId="0" borderId="21" xfId="0" applyNumberFormat="1" applyBorder="1" applyAlignment="1">
      <alignment horizontal="center" vertical="center"/>
    </xf>
    <xf numFmtId="0" fontId="17" fillId="0" borderId="1" xfId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3" fontId="11" fillId="0" borderId="0" xfId="3" applyNumberFormat="1" applyFont="1" applyFill="1" applyBorder="1" applyAlignment="1">
      <alignment horizontal="center" vertical="center"/>
    </xf>
    <xf numFmtId="3" fontId="12" fillId="0" borderId="0" xfId="3" applyNumberFormat="1" applyFont="1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10" fillId="6" borderId="14" xfId="3" applyFont="1" applyFill="1" applyBorder="1" applyAlignment="1">
      <alignment horizontal="center"/>
    </xf>
    <xf numFmtId="0" fontId="10" fillId="6" borderId="15" xfId="3" applyFont="1" applyFill="1" applyBorder="1" applyAlignment="1">
      <alignment horizontal="center"/>
    </xf>
    <xf numFmtId="0" fontId="10" fillId="6" borderId="16" xfId="3" applyFont="1" applyFill="1" applyBorder="1" applyAlignment="1">
      <alignment horizontal="center"/>
    </xf>
    <xf numFmtId="43" fontId="0" fillId="0" borderId="25" xfId="0" applyNumberFormat="1" applyBorder="1" applyAlignment="1">
      <alignment horizontal="center" vertical="center"/>
    </xf>
    <xf numFmtId="43" fontId="0" fillId="0" borderId="26" xfId="0" applyNumberFormat="1" applyBorder="1" applyAlignment="1">
      <alignment horizontal="center" vertical="center"/>
    </xf>
    <xf numFmtId="43" fontId="0" fillId="0" borderId="27" xfId="0" applyNumberFormat="1" applyBorder="1" applyAlignment="1">
      <alignment horizontal="center" vertical="center"/>
    </xf>
    <xf numFmtId="43" fontId="0" fillId="0" borderId="28" xfId="0" applyNumberFormat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5" borderId="17" xfId="0" applyFill="1" applyBorder="1" applyAlignment="1">
      <alignment horizontal="right" vertical="center"/>
    </xf>
    <xf numFmtId="9" fontId="0" fillId="5" borderId="17" xfId="0" applyNumberFormat="1" applyFill="1" applyBorder="1" applyAlignment="1">
      <alignment horizontal="right" vertical="center"/>
    </xf>
    <xf numFmtId="43" fontId="0" fillId="0" borderId="17" xfId="6" applyFont="1" applyBorder="1" applyAlignment="1">
      <alignment horizontal="right" vertical="center"/>
    </xf>
    <xf numFmtId="0" fontId="0" fillId="6" borderId="17" xfId="0" applyFill="1" applyBorder="1" applyAlignment="1">
      <alignment horizontal="right" vertical="center"/>
    </xf>
    <xf numFmtId="43" fontId="0" fillId="0" borderId="19" xfId="0" applyNumberFormat="1" applyBorder="1" applyAlignment="1">
      <alignment horizontal="right" vertical="center"/>
    </xf>
    <xf numFmtId="3" fontId="3" fillId="0" borderId="3" xfId="3" applyNumberFormat="1" applyFont="1" applyAlignment="1">
      <alignment horizontal="center"/>
    </xf>
    <xf numFmtId="3" fontId="4" fillId="0" borderId="3" xfId="3" applyNumberFormat="1" applyFont="1" applyAlignment="1">
      <alignment horizontal="center"/>
    </xf>
    <xf numFmtId="3" fontId="12" fillId="0" borderId="3" xfId="3" applyNumberFormat="1" applyFont="1" applyAlignment="1">
      <alignment horizontal="center"/>
    </xf>
    <xf numFmtId="3" fontId="13" fillId="0" borderId="3" xfId="3" applyNumberFormat="1" applyFont="1" applyAlignment="1">
      <alignment horizontal="center"/>
    </xf>
  </cellXfs>
  <cellStyles count="7">
    <cellStyle name="Ênfase1" xfId="5" builtinId="29"/>
    <cellStyle name="Normal" xfId="0" builtinId="0"/>
    <cellStyle name="Separador de milhares" xfId="6" builtinId="3"/>
    <cellStyle name="Título 1" xfId="1" builtinId="16"/>
    <cellStyle name="Título 2" xfId="2" builtinId="17"/>
    <cellStyle name="Título 3" xfId="3" builtinId="18"/>
    <cellStyle name="Total" xfId="4" builtinId="2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>
      <selection activeCell="C1" sqref="C1"/>
    </sheetView>
  </sheetViews>
  <sheetFormatPr defaultRowHeight="15"/>
  <cols>
    <col min="1" max="1" width="4.7109375" style="33" customWidth="1"/>
    <col min="2" max="2" width="31.42578125" customWidth="1"/>
    <col min="3" max="3" width="16.5703125" customWidth="1"/>
    <col min="4" max="4" width="14.5703125" customWidth="1"/>
    <col min="5" max="5" width="14.28515625" customWidth="1"/>
    <col min="6" max="6" width="12.5703125" bestFit="1" customWidth="1"/>
    <col min="7" max="7" width="8.7109375" style="62" customWidth="1"/>
    <col min="8" max="8" width="11.140625" customWidth="1"/>
    <col min="9" max="9" width="13.28515625" customWidth="1"/>
    <col min="10" max="10" width="4.28515625" style="33" customWidth="1"/>
    <col min="11" max="15" width="9.140625" style="33"/>
    <col min="16" max="16" width="19" style="33" customWidth="1"/>
    <col min="17" max="17" width="9.140625" style="33"/>
  </cols>
  <sheetData>
    <row r="1" spans="2:16" s="33" customFormat="1">
      <c r="G1" s="51"/>
    </row>
    <row r="2" spans="2:16">
      <c r="B2" s="33"/>
      <c r="C2" s="50" t="s">
        <v>52</v>
      </c>
      <c r="D2" s="50"/>
      <c r="E2" s="50"/>
      <c r="F2" s="33"/>
      <c r="G2" s="51"/>
      <c r="H2" s="33"/>
      <c r="I2" s="33"/>
    </row>
    <row r="3" spans="2:16">
      <c r="B3" s="33"/>
      <c r="C3" s="31">
        <v>1</v>
      </c>
      <c r="D3" s="31">
        <v>0.8</v>
      </c>
      <c r="E3" s="31">
        <v>0.6</v>
      </c>
      <c r="F3" s="33"/>
      <c r="G3" s="51"/>
      <c r="H3" s="33"/>
      <c r="I3" s="33"/>
    </row>
    <row r="4" spans="2:16" ht="15.75" thickBot="1">
      <c r="B4" s="33"/>
      <c r="C4" s="32" t="s">
        <v>53</v>
      </c>
      <c r="D4" s="32" t="s">
        <v>54</v>
      </c>
      <c r="E4" s="32" t="s">
        <v>55</v>
      </c>
      <c r="F4" s="33"/>
      <c r="G4" s="51"/>
      <c r="H4" s="33"/>
      <c r="I4" s="33"/>
    </row>
    <row r="5" spans="2:16" s="33" customFormat="1" ht="15.75" thickTop="1">
      <c r="G5" s="51"/>
    </row>
    <row r="6" spans="2:16" ht="18" thickBot="1">
      <c r="B6" s="49" t="s">
        <v>22</v>
      </c>
      <c r="C6" s="49"/>
      <c r="D6" s="49"/>
      <c r="E6" s="49"/>
      <c r="F6" s="49"/>
      <c r="G6" s="49"/>
      <c r="H6" s="49"/>
      <c r="I6" s="49"/>
    </row>
    <row r="7" spans="2:16" ht="32.25" customHeight="1" thickTop="1" thickBot="1">
      <c r="B7" s="1" t="s">
        <v>21</v>
      </c>
      <c r="C7" s="5" t="s">
        <v>23</v>
      </c>
      <c r="D7" s="6" t="s">
        <v>24</v>
      </c>
      <c r="E7" s="5" t="s">
        <v>25</v>
      </c>
      <c r="F7" s="5" t="s">
        <v>44</v>
      </c>
      <c r="G7" s="61" t="s">
        <v>51</v>
      </c>
      <c r="H7" s="5" t="s">
        <v>49</v>
      </c>
      <c r="I7" s="5" t="s">
        <v>50</v>
      </c>
      <c r="K7" s="43" t="s">
        <v>59</v>
      </c>
      <c r="L7" s="44"/>
      <c r="M7" s="44"/>
      <c r="N7" s="44"/>
      <c r="O7" s="44"/>
      <c r="P7" s="45"/>
    </row>
    <row r="8" spans="2:16" ht="17.25" thickTop="1" thickBot="1">
      <c r="B8" s="24" t="s">
        <v>38</v>
      </c>
      <c r="C8" s="15">
        <f>C9+C17</f>
        <v>3232092</v>
      </c>
      <c r="D8" s="15">
        <f>D9+D17</f>
        <v>1817473</v>
      </c>
      <c r="E8" s="15">
        <f>E9+E17</f>
        <v>1018712</v>
      </c>
      <c r="F8" s="15">
        <f>F9+F17</f>
        <v>6068277</v>
      </c>
      <c r="H8" s="15"/>
      <c r="I8" s="15">
        <f>I9+I17</f>
        <v>6068277</v>
      </c>
      <c r="K8" s="37"/>
      <c r="L8" s="38"/>
      <c r="M8" s="38"/>
      <c r="N8" s="38"/>
      <c r="O8" s="38"/>
      <c r="P8" s="39"/>
    </row>
    <row r="9" spans="2:16" ht="15.75" thickBot="1">
      <c r="B9" s="7" t="s">
        <v>37</v>
      </c>
      <c r="C9" s="11">
        <f>SUM(C10:C15)</f>
        <v>1460924</v>
      </c>
      <c r="D9" s="11">
        <f>SUM(D10:D15)</f>
        <v>891372</v>
      </c>
      <c r="E9" s="11">
        <f>SUM(E10:E15)</f>
        <v>555662</v>
      </c>
      <c r="F9" s="11">
        <f>SUM(F10:F15)</f>
        <v>2907958</v>
      </c>
      <c r="H9" s="11"/>
      <c r="I9" s="11">
        <f>SUM(I10:I15)</f>
        <v>2907958</v>
      </c>
      <c r="K9" s="40"/>
      <c r="L9" s="41"/>
      <c r="M9" s="41"/>
      <c r="N9" s="41"/>
      <c r="O9" s="41"/>
      <c r="P9" s="42"/>
    </row>
    <row r="10" spans="2:16" ht="15.75" thickBot="1">
      <c r="B10" s="8" t="s">
        <v>0</v>
      </c>
      <c r="C10" s="12">
        <v>173644</v>
      </c>
      <c r="D10" s="12">
        <v>115763</v>
      </c>
      <c r="E10" s="13">
        <v>115763</v>
      </c>
      <c r="F10" s="13">
        <f>SUM(C10:E10)</f>
        <v>405170</v>
      </c>
      <c r="H10" s="13"/>
      <c r="I10" s="12">
        <f t="shared" ref="I9:I39" si="0">F10-H10</f>
        <v>405170</v>
      </c>
      <c r="K10" s="34"/>
      <c r="L10" s="34"/>
      <c r="M10" s="34"/>
      <c r="N10" s="34"/>
      <c r="O10" s="34"/>
      <c r="P10" s="34"/>
    </row>
    <row r="11" spans="2:16" ht="15.75" customHeight="1" thickBot="1">
      <c r="B11" s="8" t="s">
        <v>1</v>
      </c>
      <c r="C11" s="12">
        <v>532508</v>
      </c>
      <c r="D11" s="12">
        <v>277830</v>
      </c>
      <c r="E11" s="13">
        <v>191009</v>
      </c>
      <c r="F11" s="13">
        <f>SUM(C11:E11)</f>
        <v>1001347</v>
      </c>
      <c r="H11" s="13"/>
      <c r="I11" s="12">
        <f t="shared" si="0"/>
        <v>1001347</v>
      </c>
      <c r="K11" s="43" t="s">
        <v>60</v>
      </c>
      <c r="L11" s="44"/>
      <c r="M11" s="44"/>
      <c r="N11" s="44"/>
      <c r="O11" s="44"/>
      <c r="P11" s="45"/>
    </row>
    <row r="12" spans="2:16" ht="15.75" customHeight="1" thickBot="1">
      <c r="B12" s="8" t="s">
        <v>2</v>
      </c>
      <c r="C12" s="12">
        <v>578813</v>
      </c>
      <c r="D12" s="12">
        <v>416745</v>
      </c>
      <c r="E12" s="13">
        <v>208373</v>
      </c>
      <c r="F12" s="13">
        <f t="shared" ref="F12" si="1">SUM(C12:E12)</f>
        <v>1203931</v>
      </c>
      <c r="H12" s="13"/>
      <c r="I12" s="12">
        <f t="shared" si="0"/>
        <v>1203931</v>
      </c>
      <c r="K12" s="37"/>
      <c r="L12" s="38"/>
      <c r="M12" s="38"/>
      <c r="N12" s="38"/>
      <c r="O12" s="38"/>
      <c r="P12" s="39"/>
    </row>
    <row r="13" spans="2:16" ht="15.75" thickBot="1">
      <c r="B13" s="8" t="s">
        <v>3</v>
      </c>
      <c r="C13" s="12">
        <v>37044</v>
      </c>
      <c r="D13" s="14">
        <v>0</v>
      </c>
      <c r="E13" s="8">
        <v>0</v>
      </c>
      <c r="F13" s="13">
        <f>SUM(C13:E13)</f>
        <v>37044</v>
      </c>
      <c r="H13" s="13"/>
      <c r="I13" s="12">
        <f t="shared" si="0"/>
        <v>37044</v>
      </c>
      <c r="K13" s="37"/>
      <c r="L13" s="38"/>
      <c r="M13" s="38"/>
      <c r="N13" s="38"/>
      <c r="O13" s="38"/>
      <c r="P13" s="39"/>
    </row>
    <row r="14" spans="2:16" ht="15.75" thickBot="1">
      <c r="B14" s="8" t="s">
        <v>4</v>
      </c>
      <c r="C14" s="12">
        <v>81034</v>
      </c>
      <c r="D14" s="12">
        <v>81034</v>
      </c>
      <c r="E14" s="13">
        <v>40517</v>
      </c>
      <c r="F14" s="13">
        <f>SUM(C14:E14)</f>
        <v>202585</v>
      </c>
      <c r="H14" s="13"/>
      <c r="I14" s="12">
        <f t="shared" si="0"/>
        <v>202585</v>
      </c>
      <c r="K14" s="40"/>
      <c r="L14" s="41"/>
      <c r="M14" s="41"/>
      <c r="N14" s="41"/>
      <c r="O14" s="41"/>
      <c r="P14" s="42"/>
    </row>
    <row r="15" spans="2:16" ht="15.75" thickBot="1">
      <c r="B15" s="8" t="s">
        <v>5</v>
      </c>
      <c r="C15" s="12">
        <v>57881</v>
      </c>
      <c r="D15" s="12">
        <v>0</v>
      </c>
      <c r="E15" s="8">
        <v>0</v>
      </c>
      <c r="F15" s="13">
        <f>SUM(C15:E15)</f>
        <v>57881</v>
      </c>
      <c r="H15" s="13"/>
      <c r="I15" s="12">
        <f t="shared" si="0"/>
        <v>57881</v>
      </c>
      <c r="K15" s="36"/>
      <c r="L15" s="36"/>
      <c r="M15" s="36"/>
      <c r="N15" s="36"/>
      <c r="O15" s="36"/>
      <c r="P15" s="36"/>
    </row>
    <row r="16" spans="2:16" ht="5.25" customHeight="1" thickBot="1">
      <c r="B16" s="2"/>
      <c r="C16" s="4"/>
      <c r="D16" s="4"/>
      <c r="E16" s="2"/>
      <c r="F16" s="2"/>
      <c r="H16" s="2"/>
      <c r="I16" s="2"/>
      <c r="K16" s="43" t="s">
        <v>61</v>
      </c>
      <c r="L16" s="44"/>
      <c r="M16" s="44"/>
      <c r="N16" s="44"/>
      <c r="O16" s="44"/>
      <c r="P16" s="45"/>
    </row>
    <row r="17" spans="2:16" ht="15.75" thickBot="1">
      <c r="B17" s="7" t="s">
        <v>36</v>
      </c>
      <c r="C17" s="11">
        <f>SUM(C18:C22)</f>
        <v>1771168</v>
      </c>
      <c r="D17" s="11">
        <f>SUM(D18:D22)</f>
        <v>926101</v>
      </c>
      <c r="E17" s="11">
        <f>SUM(E18:E22)</f>
        <v>463050</v>
      </c>
      <c r="F17" s="11">
        <f>SUM(F18:F22)</f>
        <v>3160319</v>
      </c>
      <c r="H17" s="11"/>
      <c r="I17" s="11">
        <f>SUM(I18:I22)</f>
        <v>3160319</v>
      </c>
      <c r="K17" s="37"/>
      <c r="L17" s="38"/>
      <c r="M17" s="38"/>
      <c r="N17" s="38"/>
      <c r="O17" s="38"/>
      <c r="P17" s="39"/>
    </row>
    <row r="18" spans="2:16" ht="15.75" thickBot="1">
      <c r="B18" s="8" t="s">
        <v>6</v>
      </c>
      <c r="C18" s="12">
        <v>694575</v>
      </c>
      <c r="D18" s="12">
        <v>0</v>
      </c>
      <c r="E18" s="8">
        <v>0</v>
      </c>
      <c r="F18" s="13">
        <f>SUM(C18:E18)</f>
        <v>694575</v>
      </c>
      <c r="H18" s="13"/>
      <c r="I18" s="12">
        <f t="shared" si="0"/>
        <v>694575</v>
      </c>
      <c r="K18" s="37"/>
      <c r="L18" s="38"/>
      <c r="M18" s="38"/>
      <c r="N18" s="38"/>
      <c r="O18" s="38"/>
      <c r="P18" s="39"/>
    </row>
    <row r="19" spans="2:16" ht="15.75" thickBot="1">
      <c r="B19" s="8" t="s">
        <v>7</v>
      </c>
      <c r="C19" s="12">
        <v>69458</v>
      </c>
      <c r="D19" s="12">
        <v>46305</v>
      </c>
      <c r="E19" s="13">
        <v>23153</v>
      </c>
      <c r="F19" s="13">
        <f>SUM(C19:E19)</f>
        <v>138916</v>
      </c>
      <c r="H19" s="13"/>
      <c r="I19" s="12">
        <f t="shared" si="0"/>
        <v>138916</v>
      </c>
      <c r="K19" s="40"/>
      <c r="L19" s="41"/>
      <c r="M19" s="41"/>
      <c r="N19" s="41"/>
      <c r="O19" s="41"/>
      <c r="P19" s="42"/>
    </row>
    <row r="20" spans="2:16" ht="15.75" thickBot="1">
      <c r="B20" s="8" t="s">
        <v>8</v>
      </c>
      <c r="C20" s="12">
        <v>69458</v>
      </c>
      <c r="D20" s="12">
        <v>115763</v>
      </c>
      <c r="E20" s="13">
        <v>57881</v>
      </c>
      <c r="F20" s="13">
        <f t="shared" ref="F20" si="2">SUM(C20:E20)</f>
        <v>243102</v>
      </c>
      <c r="H20" s="13"/>
      <c r="I20" s="12">
        <f t="shared" si="0"/>
        <v>243102</v>
      </c>
      <c r="K20" s="35"/>
      <c r="L20" s="35"/>
      <c r="M20" s="35"/>
      <c r="N20" s="35"/>
      <c r="O20" s="35"/>
      <c r="P20" s="35"/>
    </row>
    <row r="21" spans="2:16" ht="15.75" thickBot="1">
      <c r="B21" s="8" t="s">
        <v>9</v>
      </c>
      <c r="C21" s="12">
        <v>208373</v>
      </c>
      <c r="D21" s="12">
        <v>764033</v>
      </c>
      <c r="E21" s="13">
        <v>382016</v>
      </c>
      <c r="F21" s="13">
        <f>SUM(C21:E21)</f>
        <v>1354422</v>
      </c>
      <c r="H21" s="13"/>
      <c r="I21" s="12">
        <f t="shared" si="0"/>
        <v>1354422</v>
      </c>
      <c r="K21" s="43" t="s">
        <v>62</v>
      </c>
      <c r="L21" s="44"/>
      <c r="M21" s="44"/>
      <c r="N21" s="44"/>
      <c r="O21" s="44"/>
      <c r="P21" s="45"/>
    </row>
    <row r="22" spans="2:16" ht="15.75" thickBot="1">
      <c r="B22" s="8" t="s">
        <v>10</v>
      </c>
      <c r="C22" s="12">
        <v>729304</v>
      </c>
      <c r="D22" s="12">
        <v>0</v>
      </c>
      <c r="E22" s="8">
        <v>0</v>
      </c>
      <c r="F22" s="13">
        <f>SUM(C22:E22)</f>
        <v>729304</v>
      </c>
      <c r="H22" s="13"/>
      <c r="I22" s="12">
        <f t="shared" si="0"/>
        <v>729304</v>
      </c>
      <c r="K22" s="37"/>
      <c r="L22" s="38"/>
      <c r="M22" s="38"/>
      <c r="N22" s="38"/>
      <c r="O22" s="38"/>
      <c r="P22" s="39"/>
    </row>
    <row r="23" spans="2:16" ht="15.75" thickBot="1">
      <c r="B23" s="25"/>
      <c r="C23" s="26"/>
      <c r="D23" s="27"/>
      <c r="E23" s="25"/>
      <c r="F23" s="25"/>
      <c r="G23" s="63"/>
      <c r="H23" s="25"/>
      <c r="I23" s="25"/>
      <c r="K23" s="40"/>
      <c r="L23" s="41"/>
      <c r="M23" s="41"/>
      <c r="N23" s="41"/>
      <c r="O23" s="41"/>
      <c r="P23" s="42"/>
    </row>
    <row r="24" spans="2:16" ht="16.5" customHeight="1" thickBot="1">
      <c r="B24" s="24" t="s">
        <v>40</v>
      </c>
      <c r="C24" s="15">
        <f>C25+C33+C36</f>
        <v>3232092</v>
      </c>
      <c r="D24" s="15">
        <f>D25+D33+D36</f>
        <v>1817473</v>
      </c>
      <c r="E24" s="15">
        <f>E25+E33+E36</f>
        <v>1018712</v>
      </c>
      <c r="F24" s="15">
        <f>F25+F33+F36</f>
        <v>6068277</v>
      </c>
      <c r="H24" s="15"/>
      <c r="I24" s="15">
        <f>I25+I33+I36</f>
        <v>6068277</v>
      </c>
      <c r="K24" s="35" t="s">
        <v>56</v>
      </c>
      <c r="L24" s="36"/>
      <c r="M24" s="36"/>
      <c r="N24" s="36"/>
      <c r="O24" s="36"/>
      <c r="P24" s="36"/>
    </row>
    <row r="25" spans="2:16" ht="15.75" customHeight="1" thickBot="1">
      <c r="B25" s="7" t="s">
        <v>39</v>
      </c>
      <c r="C25" s="11">
        <f>SUM(C26:C31)</f>
        <v>2023530</v>
      </c>
      <c r="D25" s="11">
        <f>SUM(D26:D31)</f>
        <v>723518</v>
      </c>
      <c r="E25" s="11">
        <f>SUM(E26:E31)</f>
        <v>370442</v>
      </c>
      <c r="F25" s="11">
        <f>SUM(F26:F31)</f>
        <v>3117490</v>
      </c>
      <c r="H25" s="11"/>
      <c r="I25" s="11">
        <f>SUM(I26:I31)</f>
        <v>3117490</v>
      </c>
      <c r="K25" s="43" t="s">
        <v>57</v>
      </c>
      <c r="L25" s="44"/>
      <c r="M25" s="44"/>
      <c r="N25" s="44"/>
      <c r="O25" s="44"/>
      <c r="P25" s="45"/>
    </row>
    <row r="26" spans="2:16" ht="15.75" customHeight="1" thickBot="1">
      <c r="B26" s="8" t="s">
        <v>11</v>
      </c>
      <c r="C26" s="12">
        <v>314874</v>
      </c>
      <c r="D26" s="12">
        <v>46305</v>
      </c>
      <c r="E26" s="13">
        <v>23153</v>
      </c>
      <c r="F26" s="13">
        <f>SUM(C26:E26)</f>
        <v>384332</v>
      </c>
      <c r="H26" s="13"/>
      <c r="I26" s="12">
        <f t="shared" si="0"/>
        <v>384332</v>
      </c>
      <c r="K26" s="46" t="s">
        <v>63</v>
      </c>
      <c r="L26" s="47"/>
      <c r="M26" s="47"/>
      <c r="N26" s="47"/>
      <c r="O26" s="47"/>
      <c r="P26" s="48"/>
    </row>
    <row r="27" spans="2:16" ht="15.75" thickBot="1">
      <c r="B27" s="8" t="s">
        <v>12</v>
      </c>
      <c r="C27" s="12">
        <v>69458</v>
      </c>
      <c r="D27" s="12">
        <v>162068</v>
      </c>
      <c r="E27" s="13">
        <v>81034</v>
      </c>
      <c r="F27" s="13">
        <f>SUM(C27:E27)</f>
        <v>312560</v>
      </c>
      <c r="H27" s="13"/>
      <c r="I27" s="12">
        <f t="shared" si="0"/>
        <v>312560</v>
      </c>
      <c r="K27" s="46" t="s">
        <v>64</v>
      </c>
      <c r="L27" s="47"/>
      <c r="M27" s="47"/>
      <c r="N27" s="47"/>
      <c r="O27" s="47"/>
      <c r="P27" s="48"/>
    </row>
    <row r="28" spans="2:16" ht="15.75" thickBot="1">
      <c r="B28" s="8" t="s">
        <v>13</v>
      </c>
      <c r="C28" s="12">
        <v>666792</v>
      </c>
      <c r="D28" s="12">
        <v>162068</v>
      </c>
      <c r="E28" s="13">
        <v>81034</v>
      </c>
      <c r="F28" s="13">
        <f t="shared" ref="F28:F31" si="3">SUM(C28:E28)</f>
        <v>909894</v>
      </c>
      <c r="H28" s="13"/>
      <c r="I28" s="12">
        <f t="shared" si="0"/>
        <v>909894</v>
      </c>
      <c r="K28" s="46" t="s">
        <v>65</v>
      </c>
      <c r="L28" s="47"/>
      <c r="M28" s="47"/>
      <c r="N28" s="47"/>
      <c r="O28" s="47"/>
      <c r="P28" s="48"/>
    </row>
    <row r="29" spans="2:16" ht="15.75" thickBot="1">
      <c r="B29" s="8" t="s">
        <v>14</v>
      </c>
      <c r="C29" s="12">
        <v>347288</v>
      </c>
      <c r="D29" s="12">
        <v>254678</v>
      </c>
      <c r="E29" s="13">
        <v>127339</v>
      </c>
      <c r="F29" s="13">
        <f>SUM(C29:E29)</f>
        <v>729305</v>
      </c>
      <c r="H29" s="13"/>
      <c r="I29" s="12">
        <f t="shared" si="0"/>
        <v>729305</v>
      </c>
      <c r="K29" s="37" t="s">
        <v>58</v>
      </c>
      <c r="L29" s="38"/>
      <c r="M29" s="38"/>
      <c r="N29" s="38"/>
      <c r="O29" s="38"/>
      <c r="P29" s="39"/>
    </row>
    <row r="30" spans="2:16" ht="15.75" thickBot="1">
      <c r="B30" s="8" t="s">
        <v>15</v>
      </c>
      <c r="C30" s="12">
        <v>416745</v>
      </c>
      <c r="D30" s="12">
        <v>28941</v>
      </c>
      <c r="E30" s="13">
        <v>23153</v>
      </c>
      <c r="F30" s="13">
        <f>SUM(C30:E30)</f>
        <v>468839</v>
      </c>
      <c r="H30" s="13"/>
      <c r="I30" s="12">
        <f t="shared" si="0"/>
        <v>468839</v>
      </c>
      <c r="K30" s="37"/>
      <c r="L30" s="38"/>
      <c r="M30" s="38"/>
      <c r="N30" s="38"/>
      <c r="O30" s="38"/>
      <c r="P30" s="39"/>
    </row>
    <row r="31" spans="2:16" ht="15.75" thickBot="1">
      <c r="B31" s="8" t="s">
        <v>16</v>
      </c>
      <c r="C31" s="12">
        <v>208373</v>
      </c>
      <c r="D31" s="12">
        <v>69458</v>
      </c>
      <c r="E31" s="13">
        <v>34729</v>
      </c>
      <c r="F31" s="13">
        <f t="shared" si="3"/>
        <v>312560</v>
      </c>
      <c r="H31" s="13"/>
      <c r="I31" s="12">
        <f t="shared" si="0"/>
        <v>312560</v>
      </c>
      <c r="K31" s="40"/>
      <c r="L31" s="41"/>
      <c r="M31" s="41"/>
      <c r="N31" s="41"/>
      <c r="O31" s="41"/>
      <c r="P31" s="42"/>
    </row>
    <row r="32" spans="2:16" ht="5.25" customHeight="1" thickBot="1">
      <c r="B32" s="2"/>
      <c r="C32" s="4"/>
      <c r="D32" s="4"/>
      <c r="E32" s="2"/>
      <c r="F32" s="2"/>
      <c r="H32" s="2"/>
      <c r="I32" s="2"/>
    </row>
    <row r="33" spans="2:16" ht="15.75" thickBot="1">
      <c r="B33" s="7" t="s">
        <v>41</v>
      </c>
      <c r="C33" s="11">
        <f>SUM(C34)</f>
        <v>0</v>
      </c>
      <c r="D33" s="11">
        <f>SUM(D34)</f>
        <v>486203</v>
      </c>
      <c r="E33" s="11">
        <f>SUM(E34)</f>
        <v>300983</v>
      </c>
      <c r="F33" s="11">
        <f>SUM(F34)</f>
        <v>787186</v>
      </c>
      <c r="H33" s="11"/>
      <c r="I33" s="11">
        <f>SUM(I34)</f>
        <v>787186</v>
      </c>
    </row>
    <row r="34" spans="2:16" ht="15.75" thickBot="1">
      <c r="B34" s="8" t="s">
        <v>17</v>
      </c>
      <c r="C34" s="14">
        <v>0</v>
      </c>
      <c r="D34" s="12">
        <v>486203</v>
      </c>
      <c r="E34" s="13">
        <v>300983</v>
      </c>
      <c r="F34" s="13">
        <f>SUM(C34:E34)</f>
        <v>787186</v>
      </c>
      <c r="H34" s="13"/>
      <c r="I34" s="12">
        <f t="shared" si="0"/>
        <v>787186</v>
      </c>
      <c r="K34" s="43" t="s">
        <v>66</v>
      </c>
      <c r="L34" s="44"/>
      <c r="M34" s="44"/>
      <c r="N34" s="44"/>
      <c r="O34" s="44"/>
      <c r="P34" s="45"/>
    </row>
    <row r="35" spans="2:16" ht="14.25" customHeight="1" thickBot="1">
      <c r="B35" s="2"/>
      <c r="C35" s="4"/>
      <c r="D35" s="4"/>
      <c r="E35" s="2"/>
      <c r="F35" s="2"/>
      <c r="H35" s="2"/>
      <c r="I35" s="2"/>
      <c r="K35" s="37"/>
      <c r="L35" s="38"/>
      <c r="M35" s="38"/>
      <c r="N35" s="38"/>
      <c r="O35" s="38"/>
      <c r="P35" s="39"/>
    </row>
    <row r="36" spans="2:16" ht="15.75" thickBot="1">
      <c r="B36" s="2" t="s">
        <v>42</v>
      </c>
      <c r="C36" s="11">
        <f>SUM(C37:C39)</f>
        <v>1208562</v>
      </c>
      <c r="D36" s="11">
        <f>SUM(D37:D39)</f>
        <v>607752</v>
      </c>
      <c r="E36" s="11">
        <f>SUM(E37:E39)</f>
        <v>347287</v>
      </c>
      <c r="F36" s="11">
        <f>SUM(F37:F39)</f>
        <v>2163601</v>
      </c>
      <c r="H36" s="11"/>
      <c r="I36" s="11">
        <f>SUM(I37:I39)</f>
        <v>2163601</v>
      </c>
      <c r="K36" s="40"/>
      <c r="L36" s="41"/>
      <c r="M36" s="41"/>
      <c r="N36" s="41"/>
      <c r="O36" s="41"/>
      <c r="P36" s="42"/>
    </row>
    <row r="37" spans="2:16" ht="15.75" thickBot="1">
      <c r="B37" s="8" t="s">
        <v>18</v>
      </c>
      <c r="C37" s="12">
        <v>926100</v>
      </c>
      <c r="D37" s="12">
        <v>515144</v>
      </c>
      <c r="E37" s="13">
        <v>254678</v>
      </c>
      <c r="F37" s="13">
        <f t="shared" ref="F37" si="4">SUM(C37:E37)</f>
        <v>1695922</v>
      </c>
      <c r="H37" s="13"/>
      <c r="I37" s="12">
        <f t="shared" si="0"/>
        <v>1695922</v>
      </c>
    </row>
    <row r="38" spans="2:16" ht="15.75" thickBot="1">
      <c r="B38" s="8" t="s">
        <v>19</v>
      </c>
      <c r="C38" s="12">
        <v>196795</v>
      </c>
      <c r="D38" s="12">
        <v>57880</v>
      </c>
      <c r="E38" s="13">
        <v>69457</v>
      </c>
      <c r="F38" s="13">
        <f>SUM(C38:E38)</f>
        <v>324132</v>
      </c>
      <c r="H38" s="13"/>
      <c r="I38" s="12">
        <f t="shared" si="0"/>
        <v>324132</v>
      </c>
      <c r="K38" s="43" t="s">
        <v>67</v>
      </c>
      <c r="L38" s="44"/>
      <c r="M38" s="44"/>
      <c r="N38" s="44"/>
      <c r="O38" s="44"/>
      <c r="P38" s="45"/>
    </row>
    <row r="39" spans="2:16" ht="15.75" thickBot="1">
      <c r="B39" s="8" t="s">
        <v>20</v>
      </c>
      <c r="C39" s="12">
        <v>85667</v>
      </c>
      <c r="D39" s="12">
        <v>34728</v>
      </c>
      <c r="E39" s="13">
        <v>23152</v>
      </c>
      <c r="F39" s="13">
        <f>SUM(C39:E39)</f>
        <v>143547</v>
      </c>
      <c r="H39" s="13"/>
      <c r="I39" s="12">
        <f t="shared" si="0"/>
        <v>143547</v>
      </c>
      <c r="K39" s="40"/>
      <c r="L39" s="41"/>
      <c r="M39" s="41"/>
      <c r="N39" s="41"/>
      <c r="O39" s="41"/>
      <c r="P39" s="42"/>
    </row>
    <row r="40" spans="2:16" ht="15.75" thickBot="1">
      <c r="B40" s="29"/>
      <c r="C40" s="26"/>
      <c r="D40" s="26"/>
      <c r="E40" s="30"/>
      <c r="F40" s="25"/>
      <c r="G40" s="63"/>
      <c r="H40" s="25"/>
      <c r="I40" s="25"/>
    </row>
    <row r="41" spans="2:16" ht="17.25" customHeight="1">
      <c r="B41" s="10" t="s">
        <v>43</v>
      </c>
      <c r="K41" s="43" t="s">
        <v>68</v>
      </c>
      <c r="L41" s="44"/>
      <c r="M41" s="44"/>
      <c r="N41" s="44"/>
      <c r="O41" s="44"/>
      <c r="P41" s="45"/>
    </row>
    <row r="42" spans="2:16" ht="15.75" thickBot="1">
      <c r="B42" s="8" t="s">
        <v>26</v>
      </c>
      <c r="C42" s="17">
        <v>6390096</v>
      </c>
      <c r="D42" s="17">
        <v>3333960</v>
      </c>
      <c r="E42" s="17">
        <v>2292108</v>
      </c>
      <c r="F42" s="17">
        <f>SUM(C42:E42)</f>
        <v>12016164</v>
      </c>
      <c r="G42" s="64">
        <v>1</v>
      </c>
      <c r="H42" s="17">
        <v>138915</v>
      </c>
      <c r="I42" s="15">
        <f t="shared" ref="I42:I55" si="5">F42-H42</f>
        <v>11877249</v>
      </c>
      <c r="K42" s="37"/>
      <c r="L42" s="38"/>
      <c r="M42" s="38"/>
      <c r="N42" s="38"/>
      <c r="O42" s="38"/>
      <c r="P42" s="39"/>
    </row>
    <row r="43" spans="2:16" ht="15.75" thickBot="1">
      <c r="B43" s="8" t="s">
        <v>27</v>
      </c>
      <c r="C43" s="16">
        <v>2875543</v>
      </c>
      <c r="D43" s="16">
        <v>2333772</v>
      </c>
      <c r="E43" s="16">
        <v>1604476</v>
      </c>
      <c r="F43" s="16">
        <f>SUM(C43:E43)</f>
        <v>6813791</v>
      </c>
      <c r="G43" s="65">
        <v>1</v>
      </c>
      <c r="H43" s="16">
        <v>83349</v>
      </c>
      <c r="I43" s="85">
        <f t="shared" si="5"/>
        <v>6730442</v>
      </c>
      <c r="K43" s="37"/>
      <c r="L43" s="38"/>
      <c r="M43" s="38"/>
      <c r="N43" s="38"/>
      <c r="O43" s="38"/>
      <c r="P43" s="39"/>
    </row>
    <row r="44" spans="2:16" ht="15.75" thickBot="1">
      <c r="B44" s="8" t="s">
        <v>45</v>
      </c>
      <c r="C44" s="18">
        <f>C42-C43</f>
        <v>3514553</v>
      </c>
      <c r="D44" s="18">
        <f t="shared" ref="D44:E44" si="6">D42-D43</f>
        <v>1000188</v>
      </c>
      <c r="E44" s="18">
        <f t="shared" si="6"/>
        <v>687632</v>
      </c>
      <c r="F44" s="18">
        <f>F42-F43</f>
        <v>5202373</v>
      </c>
      <c r="G44" s="62">
        <v>1</v>
      </c>
      <c r="H44" s="18">
        <f>H42-H43</f>
        <v>55566</v>
      </c>
      <c r="I44" s="83">
        <f t="shared" si="5"/>
        <v>5146807</v>
      </c>
      <c r="K44" s="40"/>
      <c r="L44" s="41"/>
      <c r="M44" s="41"/>
      <c r="N44" s="41"/>
      <c r="O44" s="41"/>
      <c r="P44" s="42"/>
    </row>
    <row r="45" spans="2:16" ht="15.75" thickBot="1">
      <c r="B45" s="8" t="s">
        <v>28</v>
      </c>
      <c r="C45" s="19">
        <v>766812</v>
      </c>
      <c r="D45" s="19">
        <v>400075</v>
      </c>
      <c r="E45" s="19">
        <v>275053</v>
      </c>
      <c r="F45" s="19">
        <f>SUM(C45:E45)</f>
        <v>1441940</v>
      </c>
      <c r="H45" s="19"/>
      <c r="I45" s="84">
        <f t="shared" si="5"/>
        <v>1441940</v>
      </c>
    </row>
    <row r="46" spans="2:16" ht="15.75" thickBot="1">
      <c r="B46" s="8" t="s">
        <v>29</v>
      </c>
      <c r="C46" s="19">
        <v>319505</v>
      </c>
      <c r="D46" s="19">
        <v>166698</v>
      </c>
      <c r="E46" s="19">
        <v>114605</v>
      </c>
      <c r="F46" s="19">
        <f>SUM(C46:E46)</f>
        <v>600808</v>
      </c>
      <c r="H46" s="19"/>
      <c r="I46" s="84">
        <f t="shared" si="5"/>
        <v>600808</v>
      </c>
    </row>
    <row r="47" spans="2:16" ht="15.75" thickBot="1">
      <c r="B47" s="8" t="s">
        <v>30</v>
      </c>
      <c r="C47" s="19">
        <v>37044</v>
      </c>
      <c r="D47" s="19">
        <v>72236</v>
      </c>
      <c r="E47" s="19">
        <v>41761</v>
      </c>
      <c r="F47" s="19">
        <f t="shared" ref="F47:F53" si="7">SUM(C47:E47)</f>
        <v>151041</v>
      </c>
      <c r="H47" s="19"/>
      <c r="I47" s="84">
        <f t="shared" si="5"/>
        <v>151041</v>
      </c>
    </row>
    <row r="48" spans="2:16" ht="15.75" thickBot="1">
      <c r="B48" s="8" t="s">
        <v>31</v>
      </c>
      <c r="C48" s="20">
        <v>81034</v>
      </c>
      <c r="D48" s="20">
        <v>0</v>
      </c>
      <c r="E48" s="20">
        <v>0</v>
      </c>
      <c r="F48" s="20">
        <f>SUM(C48:E48)</f>
        <v>81034</v>
      </c>
      <c r="H48" s="20"/>
      <c r="I48" s="86">
        <f t="shared" si="5"/>
        <v>81034</v>
      </c>
    </row>
    <row r="49" spans="2:9" ht="15.75" thickBot="1">
      <c r="B49" s="23" t="s">
        <v>32</v>
      </c>
      <c r="C49" s="21">
        <v>155975</v>
      </c>
      <c r="D49" s="21">
        <v>0</v>
      </c>
      <c r="E49" s="21">
        <v>0</v>
      </c>
      <c r="F49" s="21">
        <f t="shared" si="7"/>
        <v>155975</v>
      </c>
      <c r="H49" s="20"/>
      <c r="I49" s="86">
        <f t="shared" si="5"/>
        <v>155975</v>
      </c>
    </row>
    <row r="50" spans="2:9" ht="15.75" thickBot="1">
      <c r="B50" s="8" t="s">
        <v>33</v>
      </c>
      <c r="C50" s="19">
        <v>241595</v>
      </c>
      <c r="D50" s="19">
        <v>276566</v>
      </c>
      <c r="E50" s="19">
        <v>177269</v>
      </c>
      <c r="F50" s="19">
        <f t="shared" si="7"/>
        <v>695430</v>
      </c>
      <c r="H50" s="19"/>
      <c r="I50" s="84">
        <f t="shared" si="5"/>
        <v>695430</v>
      </c>
    </row>
    <row r="51" spans="2:9" ht="15.75" thickBot="1">
      <c r="B51" s="8" t="s">
        <v>34</v>
      </c>
      <c r="C51" s="20">
        <v>191703</v>
      </c>
      <c r="D51" s="20">
        <v>100019</v>
      </c>
      <c r="E51" s="20">
        <v>68763</v>
      </c>
      <c r="F51" s="20">
        <f t="shared" si="7"/>
        <v>360485</v>
      </c>
      <c r="H51" s="20"/>
      <c r="I51" s="86">
        <f t="shared" si="5"/>
        <v>360485</v>
      </c>
    </row>
    <row r="52" spans="2:9" ht="15.75" thickBot="1">
      <c r="B52" s="8" t="s">
        <v>47</v>
      </c>
      <c r="C52" s="3">
        <f>(C44+C48+C51)-C45-C46-C47-C50</f>
        <v>2422334</v>
      </c>
      <c r="D52" s="3">
        <f t="shared" ref="D52:E52" si="8">(D44+D48+D51+D49)-D45-D46-D47-D50</f>
        <v>184632</v>
      </c>
      <c r="E52" s="3">
        <f t="shared" si="8"/>
        <v>147707</v>
      </c>
      <c r="F52" s="3">
        <f>(F44+F48+F51)-F45-F46-F47-F50</f>
        <v>2754673</v>
      </c>
      <c r="H52" s="3"/>
      <c r="I52" s="83">
        <f t="shared" si="5"/>
        <v>2754673</v>
      </c>
    </row>
    <row r="53" spans="2:9" ht="15.75" thickBot="1">
      <c r="B53" s="8" t="s">
        <v>35</v>
      </c>
      <c r="C53" s="19">
        <v>823594</v>
      </c>
      <c r="D53" s="19">
        <v>62775</v>
      </c>
      <c r="E53" s="19">
        <v>50220</v>
      </c>
      <c r="F53" s="19">
        <f t="shared" si="7"/>
        <v>936589</v>
      </c>
      <c r="H53" s="19"/>
      <c r="I53" s="84">
        <f t="shared" si="5"/>
        <v>936589</v>
      </c>
    </row>
    <row r="54" spans="2:9" ht="15.75" thickBot="1">
      <c r="B54" s="9" t="s">
        <v>48</v>
      </c>
      <c r="C54">
        <f>C53/C52</f>
        <v>0.34000018164299389</v>
      </c>
      <c r="D54">
        <f t="shared" ref="D54:F54" si="9">D53/D52</f>
        <v>0.34000064994150525</v>
      </c>
      <c r="E54">
        <f t="shared" si="9"/>
        <v>0.33999742733925947</v>
      </c>
      <c r="F54">
        <f t="shared" si="9"/>
        <v>0.34000006534350902</v>
      </c>
      <c r="I54" s="12"/>
    </row>
    <row r="55" spans="2:9" ht="15.75" thickBot="1">
      <c r="B55" s="8" t="s">
        <v>46</v>
      </c>
      <c r="C55" s="22">
        <f>C52-C53+C49</f>
        <v>1754715</v>
      </c>
      <c r="D55" s="22">
        <f t="shared" ref="D55:E55" si="10">D52-D53</f>
        <v>121857</v>
      </c>
      <c r="E55" s="22">
        <f t="shared" si="10"/>
        <v>97487</v>
      </c>
      <c r="F55" s="22">
        <f>F52-F53+F49</f>
        <v>1974059</v>
      </c>
      <c r="H55" s="22"/>
      <c r="I55" s="83">
        <f t="shared" si="5"/>
        <v>1974059</v>
      </c>
    </row>
    <row r="56" spans="2:9">
      <c r="B56" s="28"/>
      <c r="C56" s="28"/>
      <c r="D56" s="28"/>
      <c r="E56" s="28"/>
      <c r="F56" s="28"/>
      <c r="G56" s="63"/>
      <c r="H56" s="28"/>
      <c r="I56" s="28"/>
    </row>
    <row r="57" spans="2:9" s="33" customFormat="1">
      <c r="G57" s="51"/>
    </row>
    <row r="58" spans="2:9" s="33" customFormat="1">
      <c r="G58" s="51"/>
    </row>
    <row r="59" spans="2:9" s="33" customFormat="1">
      <c r="G59" s="51"/>
    </row>
    <row r="60" spans="2:9" s="33" customFormat="1">
      <c r="G60" s="51"/>
    </row>
    <row r="61" spans="2:9" s="33" customFormat="1">
      <c r="G61" s="51"/>
    </row>
    <row r="62" spans="2:9" s="33" customFormat="1">
      <c r="G62" s="51"/>
    </row>
    <row r="63" spans="2:9" s="33" customFormat="1" ht="15.75" thickBot="1">
      <c r="G63" s="51"/>
    </row>
    <row r="64" spans="2:9">
      <c r="B64" s="68" t="s">
        <v>69</v>
      </c>
      <c r="C64" s="69"/>
      <c r="D64" s="70"/>
      <c r="E64" s="33"/>
      <c r="F64" s="33"/>
      <c r="G64" s="51"/>
      <c r="H64" s="33"/>
      <c r="I64" s="33"/>
    </row>
    <row r="65" spans="2:9">
      <c r="B65" s="81" t="s">
        <v>71</v>
      </c>
      <c r="C65" s="66" t="s">
        <v>73</v>
      </c>
      <c r="D65" s="67" t="s">
        <v>74</v>
      </c>
      <c r="E65" s="33"/>
      <c r="F65" s="33"/>
      <c r="G65" s="51"/>
      <c r="H65" s="33"/>
      <c r="I65" s="33"/>
    </row>
    <row r="66" spans="2:9">
      <c r="B66" s="53">
        <v>138915</v>
      </c>
      <c r="C66" s="52">
        <f>B66-D66</f>
        <v>111132</v>
      </c>
      <c r="D66" s="54">
        <f>B66*B68</f>
        <v>27783</v>
      </c>
      <c r="E66" s="55"/>
      <c r="F66" s="33"/>
      <c r="G66" s="51"/>
      <c r="H66" s="33"/>
      <c r="I66" s="33"/>
    </row>
    <row r="67" spans="2:9">
      <c r="B67" s="78" t="s">
        <v>70</v>
      </c>
      <c r="C67" s="71"/>
      <c r="D67" s="72"/>
      <c r="E67" s="55"/>
      <c r="F67" s="33"/>
      <c r="G67" s="51"/>
      <c r="H67" s="33"/>
      <c r="I67" s="33"/>
    </row>
    <row r="68" spans="2:9">
      <c r="B68" s="79">
        <v>0.2</v>
      </c>
      <c r="C68" s="73"/>
      <c r="D68" s="74"/>
      <c r="E68" s="55"/>
      <c r="F68" s="33"/>
      <c r="G68" s="51"/>
      <c r="H68" s="33"/>
      <c r="I68" s="33"/>
    </row>
    <row r="69" spans="2:9">
      <c r="B69" s="75" t="s">
        <v>72</v>
      </c>
      <c r="C69" s="76"/>
      <c r="D69" s="77"/>
      <c r="E69" s="33"/>
      <c r="F69" s="33"/>
      <c r="G69" s="51"/>
      <c r="H69" s="33"/>
      <c r="I69" s="33"/>
    </row>
    <row r="70" spans="2:9">
      <c r="B70" s="79">
        <v>0.25</v>
      </c>
      <c r="C70" s="56" t="s">
        <v>75</v>
      </c>
      <c r="D70" s="57" t="s">
        <v>76</v>
      </c>
      <c r="E70" s="33"/>
      <c r="F70" s="33"/>
      <c r="G70" s="51"/>
      <c r="H70" s="33"/>
      <c r="I70" s="33"/>
    </row>
    <row r="71" spans="2:9">
      <c r="B71" s="80">
        <f>B66*B70</f>
        <v>34728.75</v>
      </c>
      <c r="C71" s="58">
        <f>C66*B70</f>
        <v>27783</v>
      </c>
      <c r="D71" s="54">
        <f>D66*B70</f>
        <v>6945.75</v>
      </c>
      <c r="E71" s="33"/>
      <c r="F71" s="33"/>
      <c r="G71" s="51"/>
      <c r="H71" s="33"/>
      <c r="I71" s="33"/>
    </row>
    <row r="72" spans="2:9">
      <c r="B72" s="81" t="s">
        <v>77</v>
      </c>
      <c r="C72" s="66" t="s">
        <v>78</v>
      </c>
      <c r="D72" s="67" t="s">
        <v>79</v>
      </c>
      <c r="E72" s="33"/>
      <c r="F72" s="33"/>
      <c r="G72" s="51"/>
      <c r="H72" s="33"/>
      <c r="I72" s="33"/>
    </row>
    <row r="73" spans="2:9" ht="15.75" thickBot="1">
      <c r="B73" s="82">
        <f>B66*75%</f>
        <v>104186.25</v>
      </c>
      <c r="C73" s="59">
        <f>B73-D73</f>
        <v>83349</v>
      </c>
      <c r="D73" s="60">
        <f>B73*B68</f>
        <v>20837.25</v>
      </c>
      <c r="E73" s="33"/>
      <c r="F73" s="33"/>
      <c r="G73" s="51"/>
      <c r="H73" s="33"/>
      <c r="I73" s="33"/>
    </row>
    <row r="74" spans="2:9" s="33" customFormat="1">
      <c r="G74" s="51"/>
    </row>
    <row r="75" spans="2:9" s="33" customFormat="1">
      <c r="G75" s="51"/>
    </row>
    <row r="76" spans="2:9" s="33" customFormat="1">
      <c r="G76" s="51"/>
    </row>
    <row r="77" spans="2:9" s="33" customFormat="1">
      <c r="G77" s="51"/>
    </row>
    <row r="78" spans="2:9" s="33" customFormat="1">
      <c r="G78" s="51"/>
    </row>
    <row r="79" spans="2:9" s="33" customFormat="1">
      <c r="G79" s="51"/>
    </row>
    <row r="80" spans="2:9" s="33" customFormat="1">
      <c r="G80" s="51"/>
    </row>
    <row r="81" spans="7:7" s="33" customFormat="1">
      <c r="G81" s="51"/>
    </row>
    <row r="82" spans="7:7" s="33" customFormat="1">
      <c r="G82" s="51"/>
    </row>
    <row r="83" spans="7:7" s="33" customFormat="1">
      <c r="G83" s="51"/>
    </row>
    <row r="84" spans="7:7" s="33" customFormat="1">
      <c r="G84" s="51"/>
    </row>
    <row r="85" spans="7:7" s="33" customFormat="1">
      <c r="G85" s="51"/>
    </row>
    <row r="86" spans="7:7" s="33" customFormat="1">
      <c r="G86" s="51"/>
    </row>
    <row r="87" spans="7:7" s="33" customFormat="1">
      <c r="G87" s="51"/>
    </row>
    <row r="88" spans="7:7" s="33" customFormat="1">
      <c r="G88" s="51"/>
    </row>
    <row r="89" spans="7:7" s="33" customFormat="1">
      <c r="G89" s="51"/>
    </row>
    <row r="90" spans="7:7" s="33" customFormat="1">
      <c r="G90" s="51"/>
    </row>
    <row r="91" spans="7:7" s="33" customFormat="1">
      <c r="G91" s="51"/>
    </row>
    <row r="92" spans="7:7" s="33" customFormat="1">
      <c r="G92" s="51"/>
    </row>
    <row r="93" spans="7:7" s="33" customFormat="1">
      <c r="G93" s="51"/>
    </row>
  </sheetData>
  <mergeCells count="17">
    <mergeCell ref="B69:D69"/>
    <mergeCell ref="C67:D68"/>
    <mergeCell ref="B6:I6"/>
    <mergeCell ref="C2:E2"/>
    <mergeCell ref="K7:P9"/>
    <mergeCell ref="B64:D64"/>
    <mergeCell ref="K29:P31"/>
    <mergeCell ref="K34:P36"/>
    <mergeCell ref="K38:P39"/>
    <mergeCell ref="K41:P44"/>
    <mergeCell ref="K11:P14"/>
    <mergeCell ref="K16:P19"/>
    <mergeCell ref="K21:P23"/>
    <mergeCell ref="K26:P26"/>
    <mergeCell ref="K25:P25"/>
    <mergeCell ref="K27:P27"/>
    <mergeCell ref="K28:P28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ignoredErrors>
    <ignoredError sqref="F44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Waldir</dc:creator>
  <cp:lastModifiedBy>Waldir</cp:lastModifiedBy>
  <dcterms:created xsi:type="dcterms:W3CDTF">2015-11-19T17:08:59Z</dcterms:created>
  <dcterms:modified xsi:type="dcterms:W3CDTF">2015-11-20T20:13:30Z</dcterms:modified>
</cp:coreProperties>
</file>