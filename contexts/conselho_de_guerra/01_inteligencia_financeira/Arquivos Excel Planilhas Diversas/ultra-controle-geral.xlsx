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LTRA\ADMIN\"/>
    </mc:Choice>
  </mc:AlternateContent>
  <bookViews>
    <workbookView xWindow="0" yWindow="0" windowWidth="20490" windowHeight="7650" firstSheet="4" activeTab="6"/>
  </bookViews>
  <sheets>
    <sheet name="VISÃO GERAL" sheetId="9" r:id="rId1"/>
    <sheet name="DIVISÃO DE LUCRO" sheetId="8" r:id="rId2"/>
    <sheet name="INVEST. INICIAL" sheetId="1" r:id="rId3"/>
    <sheet name="DESPESAS DA EMPRESA" sheetId="3" r:id="rId4"/>
    <sheet name="VALOR GERAL DE VENDAS" sheetId="4" r:id="rId5"/>
    <sheet name="CUSTO PRODUÇÃO" sheetId="2" r:id="rId6"/>
    <sheet name="FINANCIEIRO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C42" i="2" l="1"/>
  <c r="C45" i="2"/>
  <c r="F28" i="2" l="1"/>
  <c r="D21" i="10" l="1"/>
  <c r="D7" i="10"/>
  <c r="C3" i="10"/>
  <c r="B3" i="10"/>
  <c r="C3" i="9"/>
  <c r="F15" i="2" l="1"/>
  <c r="C15" i="2"/>
  <c r="F17" i="2"/>
  <c r="C8" i="2" l="1"/>
  <c r="C7" i="2"/>
  <c r="C13" i="4"/>
  <c r="E28" i="2" l="1"/>
  <c r="D28" i="2"/>
  <c r="F46" i="2"/>
  <c r="F45" i="2"/>
  <c r="C44" i="2"/>
  <c r="F44" i="2" s="1"/>
  <c r="F42" i="2"/>
  <c r="C41" i="2"/>
  <c r="F41" i="2" s="1"/>
  <c r="C40" i="2"/>
  <c r="F39" i="2"/>
  <c r="F38" i="2"/>
  <c r="F37" i="2"/>
  <c r="F30" i="2"/>
  <c r="C32" i="2" s="1"/>
  <c r="C29" i="2"/>
  <c r="F29" i="2" s="1"/>
  <c r="C27" i="2"/>
  <c r="F27" i="2" s="1"/>
  <c r="C26" i="2"/>
  <c r="F25" i="2"/>
  <c r="F24" i="2"/>
  <c r="F23" i="2"/>
  <c r="F7" i="2"/>
  <c r="F8" i="2"/>
  <c r="C47" i="2" l="1"/>
  <c r="D43" i="2"/>
  <c r="E43" i="2"/>
  <c r="F40" i="2"/>
  <c r="F43" i="2" s="1"/>
  <c r="F33" i="2"/>
  <c r="F26" i="2"/>
  <c r="F48" i="2" l="1"/>
  <c r="C9" i="2" l="1"/>
  <c r="C17" i="2"/>
  <c r="C16" i="2"/>
  <c r="F16" i="2" s="1"/>
  <c r="C12" i="2"/>
  <c r="F12" i="2" s="1"/>
  <c r="D12" i="4"/>
  <c r="F12" i="4" s="1"/>
  <c r="D10" i="4"/>
  <c r="F10" i="4" s="1"/>
  <c r="D11" i="4"/>
  <c r="F11" i="4" s="1"/>
  <c r="D9" i="4"/>
  <c r="F13" i="2"/>
  <c r="F6" i="2"/>
  <c r="F7" i="4"/>
  <c r="F9" i="2" l="1"/>
  <c r="F14" i="2" s="1"/>
  <c r="E14" i="2"/>
  <c r="D14" i="2"/>
  <c r="F6" i="4"/>
  <c r="F8" i="4" s="1"/>
  <c r="F16" i="3"/>
  <c r="F18" i="2"/>
  <c r="F19" i="2" l="1"/>
  <c r="H19" i="2" s="1"/>
  <c r="F9" i="4"/>
  <c r="F14" i="4" l="1"/>
  <c r="H14" i="4" l="1"/>
</calcChain>
</file>

<file path=xl/sharedStrings.xml><?xml version="1.0" encoding="utf-8"?>
<sst xmlns="http://schemas.openxmlformats.org/spreadsheetml/2006/main" count="193" uniqueCount="117">
  <si>
    <t>ULTRA.</t>
  </si>
  <si>
    <t>TABELA DE CUSTOS</t>
  </si>
  <si>
    <t>DESCRIÇÃO</t>
  </si>
  <si>
    <t>R$ UNIT.</t>
  </si>
  <si>
    <t>QNTD.</t>
  </si>
  <si>
    <t>R$ TOTAL</t>
  </si>
  <si>
    <t>OBSERVAÇÃO</t>
  </si>
  <si>
    <t>FRETE</t>
  </si>
  <si>
    <t>M.O.</t>
  </si>
  <si>
    <t>FINALIDADE</t>
  </si>
  <si>
    <t>Pendente preço mão de obra</t>
  </si>
  <si>
    <t>Estampa marca "ULTRA." (peito)</t>
  </si>
  <si>
    <t>Estampa desenho/folha (diverso)</t>
  </si>
  <si>
    <t xml:space="preserve">Opcional </t>
  </si>
  <si>
    <t>-----------------------------------</t>
  </si>
  <si>
    <t>Sacola papel</t>
  </si>
  <si>
    <t>Estampa sacola papel</t>
  </si>
  <si>
    <t>Frete</t>
  </si>
  <si>
    <t>TOTAL</t>
  </si>
  <si>
    <t>-----------------------------------------------</t>
  </si>
  <si>
    <t>-------------------------------------------------------------</t>
  </si>
  <si>
    <t>----------------</t>
  </si>
  <si>
    <t>FREQUÊNCIA</t>
  </si>
  <si>
    <t>TABELA DE VENDAS</t>
  </si>
  <si>
    <t>Camiseta básica</t>
  </si>
  <si>
    <t>Camiseta estampada</t>
  </si>
  <si>
    <t>TABELA DE PRODUÇÃO MENSAL - mod. ESTAMPADO</t>
  </si>
  <si>
    <t>Material - Básica</t>
  </si>
  <si>
    <t>Material - Estampada</t>
  </si>
  <si>
    <t>TOTAL VENDAS</t>
  </si>
  <si>
    <t>Custo Fixo Mensal</t>
  </si>
  <si>
    <t>TOTAL DE LUCRO</t>
  </si>
  <si>
    <t>PERCENTUAL LUC.</t>
  </si>
  <si>
    <t>Modelagem e Corte</t>
  </si>
  <si>
    <t>Jaqueta</t>
  </si>
  <si>
    <t>Calça</t>
  </si>
  <si>
    <t>Tecido 100% Algodão 26/1</t>
  </si>
  <si>
    <t>Costura Geral</t>
  </si>
  <si>
    <t>Aviamentos</t>
  </si>
  <si>
    <t>Mão de Obra Basica</t>
  </si>
  <si>
    <t>Mão de Obra Estampada</t>
  </si>
  <si>
    <t>Saco plástico</t>
  </si>
  <si>
    <t>DESPESAS GERAIS - DESPESAS GERAIS - DESPESAS GERAIS - DESPESAS GERAIS</t>
  </si>
  <si>
    <t>TABELA DE PRODUÇÃO DA PEÇA DE ROUPA</t>
  </si>
  <si>
    <t>TABELA DE PRODUÇÃO MENSAL DE CAMISETAS - mod. BÁSICO</t>
  </si>
  <si>
    <t>Camiseta 100% Algodão</t>
  </si>
  <si>
    <t>Etiqueta Ultra.</t>
  </si>
  <si>
    <t>DIVISÃO GERAL DE LUCRO</t>
  </si>
  <si>
    <t>ITEM</t>
  </si>
  <si>
    <t>SÓCIO</t>
  </si>
  <si>
    <t>CONTATO</t>
  </si>
  <si>
    <t>CPF</t>
  </si>
  <si>
    <t>PIX</t>
  </si>
  <si>
    <t>Δ%</t>
  </si>
  <si>
    <t>PERÍODO</t>
  </si>
  <si>
    <t>ALEX</t>
  </si>
  <si>
    <t>BIANCA</t>
  </si>
  <si>
    <t>JULIANA</t>
  </si>
  <si>
    <t xml:space="preserve">LUCAS </t>
  </si>
  <si>
    <t>LEVI</t>
  </si>
  <si>
    <t>EMPRESA</t>
  </si>
  <si>
    <t>-</t>
  </si>
  <si>
    <t>PRODUÇÃO</t>
  </si>
  <si>
    <t>VISÃO GERAL DO NEGÓCIO</t>
  </si>
  <si>
    <t>HOJE É</t>
  </si>
  <si>
    <t>VGV</t>
  </si>
  <si>
    <t>QNTD. VENDAS</t>
  </si>
  <si>
    <t>LUCRO</t>
  </si>
  <si>
    <t>VENDAS</t>
  </si>
  <si>
    <t>MATERIAL</t>
  </si>
  <si>
    <t>MÃO DE OBRA</t>
  </si>
  <si>
    <t>MARKETING</t>
  </si>
  <si>
    <t>COMPRAS &amp; ESTOQUE</t>
  </si>
  <si>
    <t>MATERIAIS</t>
  </si>
  <si>
    <t>CAMPANHAS</t>
  </si>
  <si>
    <t>GERAIS</t>
  </si>
  <si>
    <t>INSUMOS</t>
  </si>
  <si>
    <r>
      <rPr>
        <b/>
        <sz val="12"/>
        <rFont val="Calibri"/>
        <family val="2"/>
      </rPr>
      <t>Δ</t>
    </r>
    <r>
      <rPr>
        <b/>
        <sz val="12"/>
        <rFont val="Arial"/>
        <family val="2"/>
      </rPr>
      <t>% LUCRO</t>
    </r>
  </si>
  <si>
    <t>MOVIMENTAÇÃO</t>
  </si>
  <si>
    <t>CAIXA</t>
  </si>
  <si>
    <t>R$</t>
  </si>
  <si>
    <t>Aluguel</t>
  </si>
  <si>
    <t>Água + Luz</t>
  </si>
  <si>
    <t>Internet</t>
  </si>
  <si>
    <t>Insumos</t>
  </si>
  <si>
    <t>Materiais</t>
  </si>
  <si>
    <t>Papelaria</t>
  </si>
  <si>
    <t>Marketing</t>
  </si>
  <si>
    <t>SETOR</t>
  </si>
  <si>
    <t>Campanhas Redes Sociais</t>
  </si>
  <si>
    <t>Testes e Protótipos</t>
  </si>
  <si>
    <t>Admin.</t>
  </si>
  <si>
    <t>Comp.</t>
  </si>
  <si>
    <t>Desenvol.</t>
  </si>
  <si>
    <t>Vendas</t>
  </si>
  <si>
    <t>SAÍDA - DESPESAS</t>
  </si>
  <si>
    <t>ENTRADA - VENDAS</t>
  </si>
  <si>
    <t>Camiseta Estampada</t>
  </si>
  <si>
    <t>Camiseta Básica</t>
  </si>
  <si>
    <t>Camiseta Polo</t>
  </si>
  <si>
    <t>Camiseta Regata</t>
  </si>
  <si>
    <t>Camiseta M.L. Básica</t>
  </si>
  <si>
    <t>Camiseta M.L. Estampada</t>
  </si>
  <si>
    <t>Moletom Gorro + Canguru</t>
  </si>
  <si>
    <t>Moletom Gorro + Zíper</t>
  </si>
  <si>
    <t>FORMA PGTO.</t>
  </si>
  <si>
    <t>SALDO TOTAL</t>
  </si>
  <si>
    <t>DÉBITO TOTAL</t>
  </si>
  <si>
    <t>Produção</t>
  </si>
  <si>
    <t>Embalagem Camiseta</t>
  </si>
  <si>
    <t>Papel ou Plastico</t>
  </si>
  <si>
    <t>Papel ou Plástico</t>
  </si>
  <si>
    <t>R$ FRETE</t>
  </si>
  <si>
    <t>ULTRA. Lab - INVESTIMENTO INICIAL</t>
  </si>
  <si>
    <t>DESPESAS MENSAIS:</t>
  </si>
  <si>
    <t>DESPESAS ANUAIS: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</si>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</sst>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R$&quot;* #,##0.00_-;\-&quot;R$&quot;* #,##0.00_-;_-&quot;R$&quot;* &quot;-&quot;??_-;_-@_-"/>
    <numFmt numFmtId="164" formatCode="_-&quot;R$&quot;\ * #,##0.00_-;\-&quot;R$&quot;\ * #,##0.00_-;_-&quot;R$&quot;\ * &quot;-&quot;??_-;_-@_-"/>
    <numFmt numFmtId="165" formatCode="0.0000%"/>
    <numFmt numFmtId="166" formatCode="&quot;R$&quot;#,##0.00"/>
    <numFmt numFmtId="167" formatCode="d/m/yy\ h:mm;@"/>
    <numFmt numFmtId="168" formatCode="_-[$R$-416]\ * #,##0.00_-;\-[$R$-416]\ * #,##0.00_-;_-[$R$-416]\ * &quot;-&quot;??_-;_-@_-"/>
    <numFmt numFmtId="169" formatCode="[$-F400]h:mm:ss\ AM/PM"/>
    <numFmt numFmtId="170" formatCode="[$-F800]dddd\,\ mmmm\ dd\,\ yyyy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 val="singleAccounting"/>
      <sz val="14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36"/>
      <color theme="0"/>
      <name val="Arial"/>
      <family val="2"/>
    </font>
    <font>
      <sz val="36"/>
      <color theme="0"/>
      <name val="Arial"/>
      <family val="2"/>
    </font>
    <font>
      <b/>
      <sz val="12"/>
      <color theme="0"/>
      <name val="Arial"/>
      <family val="2"/>
    </font>
    <font>
      <b/>
      <u val="singleAccounting"/>
      <sz val="12"/>
      <color theme="0"/>
      <name val="Arial"/>
      <family val="2"/>
    </font>
    <font>
      <b/>
      <u/>
      <sz val="12"/>
      <color theme="1"/>
      <name val="Arial"/>
      <family val="2"/>
    </font>
    <font>
      <b/>
      <u val="singleAccounting"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 Black"/>
      <family val="2"/>
    </font>
    <font>
      <b/>
      <sz val="12"/>
      <name val="Arial"/>
      <family val="2"/>
    </font>
    <font>
      <b/>
      <sz val="12"/>
      <name val="Arial Black"/>
      <family val="2"/>
    </font>
    <font>
      <b/>
      <sz val="12"/>
      <name val="Calibri"/>
      <family val="2"/>
    </font>
    <font>
      <b/>
      <sz val="14"/>
      <color rgb="FF0000CC"/>
      <name val="Arial"/>
      <family val="2"/>
    </font>
    <font>
      <b/>
      <sz val="14"/>
      <color rgb="FFFF0000"/>
      <name val="Arial"/>
      <family val="2"/>
    </font>
    <font>
      <i/>
      <u/>
      <sz val="14"/>
      <color rgb="FF00B0F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3" fillId="0" borderId="1" xfId="0" quotePrefix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4" fontId="8" fillId="2" borderId="8" xfId="0" applyNumberFormat="1" applyFont="1" applyFill="1" applyBorder="1" applyAlignment="1">
      <alignment horizontal="center" vertical="center"/>
    </xf>
    <xf numFmtId="0" fontId="9" fillId="2" borderId="7" xfId="0" quotePrefix="1" applyFont="1" applyFill="1" applyBorder="1" applyAlignment="1">
      <alignment horizontal="center" vertical="center"/>
    </xf>
    <xf numFmtId="164" fontId="9" fillId="2" borderId="21" xfId="0" quotePrefix="1" applyNumberFormat="1" applyFont="1" applyFill="1" applyBorder="1" applyAlignment="1">
      <alignment vertical="center"/>
    </xf>
    <xf numFmtId="164" fontId="9" fillId="2" borderId="23" xfId="0" quotePrefix="1" applyNumberFormat="1" applyFont="1" applyFill="1" applyBorder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13" fillId="0" borderId="0" xfId="3" applyAlignment="1">
      <alignment horizontal="center" vertical="center"/>
    </xf>
    <xf numFmtId="0" fontId="9" fillId="2" borderId="31" xfId="0" quotePrefix="1" applyFont="1" applyFill="1" applyBorder="1" applyAlignment="1">
      <alignment horizontal="center" vertical="center"/>
    </xf>
    <xf numFmtId="0" fontId="9" fillId="2" borderId="35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2" fillId="0" borderId="0" xfId="2" applyNumberFormat="1" applyFont="1" applyBorder="1" applyAlignment="1">
      <alignment horizontal="center" vertical="center"/>
    </xf>
    <xf numFmtId="9" fontId="2" fillId="0" borderId="0" xfId="2" applyFont="1" applyBorder="1" applyAlignment="1">
      <alignment horizontal="center" vertical="center"/>
    </xf>
    <xf numFmtId="165" fontId="10" fillId="2" borderId="9" xfId="2" applyNumberFormat="1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9" fillId="2" borderId="7" xfId="0" quotePrefix="1" applyFont="1" applyFill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/>
    </xf>
    <xf numFmtId="164" fontId="20" fillId="2" borderId="21" xfId="0" applyNumberFormat="1" applyFont="1" applyFill="1" applyBorder="1" applyAlignment="1">
      <alignment horizontal="center" vertical="center"/>
    </xf>
    <xf numFmtId="0" fontId="19" fillId="2" borderId="9" xfId="0" quotePrefix="1" applyFont="1" applyFill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22" fillId="0" borderId="1" xfId="0" applyNumberFormat="1" applyFont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44" fontId="8" fillId="2" borderId="8" xfId="0" applyNumberFormat="1" applyFont="1" applyFill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164" fontId="19" fillId="2" borderId="11" xfId="0" applyNumberFormat="1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164" fontId="19" fillId="2" borderId="20" xfId="0" applyNumberFormat="1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9" fontId="16" fillId="0" borderId="0" xfId="2" applyFont="1" applyAlignment="1">
      <alignment horizontal="center" vertical="center"/>
    </xf>
    <xf numFmtId="9" fontId="25" fillId="0" borderId="0" xfId="2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" fontId="16" fillId="0" borderId="17" xfId="0" applyNumberFormat="1" applyFont="1" applyBorder="1" applyAlignment="1">
      <alignment horizontal="center" vertical="center"/>
    </xf>
    <xf numFmtId="9" fontId="16" fillId="0" borderId="17" xfId="2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" fontId="25" fillId="0" borderId="0" xfId="0" applyNumberFormat="1" applyFont="1" applyBorder="1" applyAlignment="1">
      <alignment horizontal="center" vertical="center"/>
    </xf>
    <xf numFmtId="9" fontId="25" fillId="0" borderId="0" xfId="2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" fontId="25" fillId="0" borderId="18" xfId="0" applyNumberFormat="1" applyFont="1" applyBorder="1" applyAlignment="1">
      <alignment horizontal="center" vertical="center"/>
    </xf>
    <xf numFmtId="9" fontId="25" fillId="0" borderId="18" xfId="2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68" fontId="25" fillId="0" borderId="0" xfId="0" applyNumberFormat="1" applyFont="1" applyAlignment="1">
      <alignment horizontal="center" vertical="center"/>
    </xf>
    <xf numFmtId="168" fontId="1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3" borderId="18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3" borderId="44" xfId="0" applyFont="1" applyFill="1" applyBorder="1" applyAlignment="1">
      <alignment horizontal="center" vertical="center"/>
    </xf>
    <xf numFmtId="0" fontId="28" fillId="3" borderId="45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6" fillId="0" borderId="44" xfId="0" applyFont="1" applyBorder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168" fontId="25" fillId="0" borderId="0" xfId="0" applyNumberFormat="1" applyFont="1" applyBorder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/>
    </xf>
    <xf numFmtId="0" fontId="25" fillId="0" borderId="18" xfId="0" applyFont="1" applyBorder="1" applyAlignment="1">
      <alignment horizontal="left" vertical="center"/>
    </xf>
    <xf numFmtId="168" fontId="25" fillId="0" borderId="18" xfId="0" applyNumberFormat="1" applyFont="1" applyBorder="1" applyAlignment="1">
      <alignment horizontal="center" vertical="center"/>
    </xf>
    <xf numFmtId="0" fontId="25" fillId="0" borderId="47" xfId="0" applyFont="1" applyBorder="1" applyAlignment="1">
      <alignment horizontal="left" vertical="center"/>
    </xf>
    <xf numFmtId="168" fontId="19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168" fontId="19" fillId="2" borderId="1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47" xfId="0" applyFont="1" applyFill="1" applyBorder="1" applyAlignment="1">
      <alignment horizontal="center" vertical="center"/>
    </xf>
    <xf numFmtId="0" fontId="23" fillId="2" borderId="44" xfId="0" applyFont="1" applyFill="1" applyBorder="1" applyAlignment="1">
      <alignment horizontal="center" vertical="center"/>
    </xf>
    <xf numFmtId="168" fontId="28" fillId="0" borderId="0" xfId="0" applyNumberFormat="1" applyFont="1" applyFill="1" applyBorder="1" applyAlignment="1">
      <alignment horizontal="center" vertical="center"/>
    </xf>
    <xf numFmtId="169" fontId="32" fillId="2" borderId="44" xfId="0" applyNumberFormat="1" applyFont="1" applyFill="1" applyBorder="1" applyAlignment="1">
      <alignment horizontal="center" vertical="center"/>
    </xf>
    <xf numFmtId="0" fontId="35" fillId="2" borderId="44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168" fontId="35" fillId="2" borderId="0" xfId="0" applyNumberFormat="1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29" fillId="3" borderId="44" xfId="0" applyFont="1" applyFill="1" applyBorder="1" applyAlignment="1">
      <alignment horizontal="center" vertical="center"/>
    </xf>
    <xf numFmtId="168" fontId="28" fillId="0" borderId="41" xfId="0" applyNumberFormat="1" applyFont="1" applyFill="1" applyBorder="1" applyAlignment="1">
      <alignment horizontal="center" vertical="center"/>
    </xf>
    <xf numFmtId="166" fontId="28" fillId="0" borderId="41" xfId="0" applyNumberFormat="1" applyFont="1" applyFill="1" applyBorder="1" applyAlignment="1">
      <alignment horizontal="center" vertical="center"/>
    </xf>
    <xf numFmtId="0" fontId="28" fillId="0" borderId="41" xfId="0" applyFont="1" applyFill="1" applyBorder="1" applyAlignment="1">
      <alignment horizontal="center" vertical="center"/>
    </xf>
    <xf numFmtId="9" fontId="28" fillId="0" borderId="41" xfId="2" applyFont="1" applyFill="1" applyBorder="1" applyAlignment="1">
      <alignment horizontal="center" vertical="center"/>
    </xf>
    <xf numFmtId="1" fontId="28" fillId="0" borderId="4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8" fontId="2" fillId="0" borderId="0" xfId="1" applyNumberFormat="1" applyFont="1" applyAlignment="1">
      <alignment horizontal="center" vertical="center"/>
    </xf>
    <xf numFmtId="168" fontId="3" fillId="0" borderId="3" xfId="1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168" fontId="11" fillId="2" borderId="34" xfId="1" applyNumberFormat="1" applyFont="1" applyFill="1" applyBorder="1" applyAlignment="1">
      <alignment horizontal="center" vertical="center"/>
    </xf>
    <xf numFmtId="168" fontId="2" fillId="0" borderId="11" xfId="1" applyNumberFormat="1" applyFont="1" applyBorder="1" applyAlignment="1">
      <alignment horizontal="center" vertical="center"/>
    </xf>
    <xf numFmtId="168" fontId="2" fillId="0" borderId="37" xfId="1" applyNumberFormat="1" applyFont="1" applyBorder="1" applyAlignment="1">
      <alignment horizontal="center" vertical="center"/>
    </xf>
    <xf numFmtId="168" fontId="2" fillId="0" borderId="8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3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2" borderId="18" xfId="0" quotePrefix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8" fontId="2" fillId="0" borderId="3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36" fillId="4" borderId="48" xfId="0" applyFont="1" applyFill="1" applyBorder="1" applyAlignment="1">
      <alignment horizontal="right" vertical="center"/>
    </xf>
    <xf numFmtId="168" fontId="36" fillId="4" borderId="49" xfId="0" applyNumberFormat="1" applyFont="1" applyFill="1" applyBorder="1" applyAlignment="1">
      <alignment horizontal="left" vertical="center"/>
    </xf>
    <xf numFmtId="0" fontId="27" fillId="2" borderId="42" xfId="0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27" fillId="2" borderId="43" xfId="0" applyFont="1" applyFill="1" applyBorder="1" applyAlignment="1">
      <alignment horizontal="center" vertical="center"/>
    </xf>
    <xf numFmtId="167" fontId="31" fillId="0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45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8" fillId="2" borderId="45" xfId="0" applyFont="1" applyFill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4" fontId="11" fillId="2" borderId="32" xfId="0" applyNumberFormat="1" applyFont="1" applyFill="1" applyBorder="1" applyAlignment="1">
      <alignment horizontal="center"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33" xfId="0" applyNumberFormat="1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4" fillId="2" borderId="28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164" fontId="20" fillId="2" borderId="21" xfId="0" applyNumberFormat="1" applyFont="1" applyFill="1" applyBorder="1" applyAlignment="1">
      <alignment horizontal="center" vertical="center"/>
    </xf>
    <xf numFmtId="164" fontId="19" fillId="2" borderId="22" xfId="0" applyNumberFormat="1" applyFont="1" applyFill="1" applyBorder="1" applyAlignment="1">
      <alignment horizontal="center" vertical="center"/>
    </xf>
    <xf numFmtId="164" fontId="19" fillId="2" borderId="16" xfId="0" applyNumberFormat="1" applyFont="1" applyFill="1" applyBorder="1" applyAlignment="1">
      <alignment horizontal="center" vertical="center"/>
    </xf>
    <xf numFmtId="0" fontId="36" fillId="4" borderId="48" xfId="0" applyFont="1" applyFill="1" applyBorder="1" applyAlignment="1">
      <alignment horizontal="right" vertical="center"/>
    </xf>
    <xf numFmtId="0" fontId="36" fillId="4" borderId="19" xfId="0" applyFont="1" applyFill="1" applyBorder="1" applyAlignment="1">
      <alignment horizontal="right" vertical="center"/>
    </xf>
    <xf numFmtId="168" fontId="36" fillId="4" borderId="19" xfId="0" applyNumberFormat="1" applyFont="1" applyFill="1" applyBorder="1" applyAlignment="1">
      <alignment horizontal="left" vertical="center"/>
    </xf>
    <xf numFmtId="168" fontId="36" fillId="4" borderId="49" xfId="0" applyNumberFormat="1" applyFont="1" applyFill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2" fontId="3" fillId="0" borderId="0" xfId="2" applyNumberFormat="1" applyFont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5" fillId="2" borderId="44" xfId="0" applyFont="1" applyFill="1" applyBorder="1" applyAlignment="1">
      <alignment horizontal="right" vertical="center"/>
    </xf>
    <xf numFmtId="0" fontId="35" fillId="2" borderId="0" xfId="0" applyFont="1" applyFill="1" applyBorder="1" applyAlignment="1">
      <alignment horizontal="right" vertical="center"/>
    </xf>
    <xf numFmtId="168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45" xfId="0" applyFont="1" applyFill="1" applyBorder="1" applyAlignment="1">
      <alignment horizontal="center" vertical="center"/>
    </xf>
    <xf numFmtId="0" fontId="35" fillId="2" borderId="42" xfId="0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0" fontId="35" fillId="2" borderId="43" xfId="0" applyFont="1" applyFill="1" applyBorder="1" applyAlignment="1">
      <alignment horizontal="center" vertical="center"/>
    </xf>
    <xf numFmtId="0" fontId="24" fillId="2" borderId="42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center" vertical="center"/>
    </xf>
    <xf numFmtId="0" fontId="24" fillId="2" borderId="43" xfId="0" applyFont="1" applyFill="1" applyBorder="1" applyAlignment="1">
      <alignment horizontal="center" vertical="center"/>
    </xf>
    <xf numFmtId="170" fontId="33" fillId="2" borderId="0" xfId="0" applyNumberFormat="1" applyFont="1" applyFill="1" applyBorder="1" applyAlignment="1">
      <alignment horizontal="center" vertical="center"/>
    </xf>
    <xf numFmtId="170" fontId="33" fillId="2" borderId="45" xfId="0" applyNumberFormat="1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168" fontId="34" fillId="0" borderId="45" xfId="0" applyNumberFormat="1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CC"/>
      <color rgb="FF002F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workbookViewId="0">
      <selection activeCell="K10" sqref="K10"/>
    </sheetView>
  </sheetViews>
  <sheetFormatPr defaultRowHeight="18.75" customHeight="1" x14ac:dyDescent="0.25"/>
  <cols>
    <col min="1" max="1" width="9.140625" style="109"/>
    <col min="2" max="2" width="32.85546875" style="109" bestFit="1" customWidth="1"/>
    <col min="3" max="3" width="4.28515625" style="109" customWidth="1"/>
    <col min="4" max="4" width="17.85546875" style="109" bestFit="1" customWidth="1"/>
    <col min="5" max="5" width="4.28515625" style="109" customWidth="1"/>
    <col min="6" max="6" width="13.85546875" style="109" bestFit="1" customWidth="1"/>
    <col min="7" max="7" width="4.28515625" style="109" customWidth="1"/>
    <col min="8" max="8" width="19" style="109" bestFit="1" customWidth="1"/>
    <col min="9" max="16384" width="9.140625" style="109"/>
  </cols>
  <sheetData>
    <row r="1" spans="2:8" ht="18.75" customHeight="1" thickBot="1" x14ac:dyDescent="0.3"/>
    <row r="2" spans="2:8" ht="22.5" customHeight="1" x14ac:dyDescent="0.25">
      <c r="B2" s="171" t="s">
        <v>63</v>
      </c>
      <c r="C2" s="172"/>
      <c r="D2" s="172"/>
      <c r="E2" s="172"/>
      <c r="F2" s="172"/>
      <c r="G2" s="172"/>
      <c r="H2" s="173"/>
    </row>
    <row r="3" spans="2:8" ht="18.75" customHeight="1" x14ac:dyDescent="0.25">
      <c r="B3" s="138" t="s">
        <v>64</v>
      </c>
      <c r="C3" s="174">
        <f ca="1">NOW()</f>
        <v>44591.923105092596</v>
      </c>
      <c r="D3" s="174"/>
      <c r="E3" s="114"/>
      <c r="F3" s="111" t="s">
        <v>67</v>
      </c>
      <c r="G3" s="178"/>
      <c r="H3" s="179"/>
    </row>
    <row r="4" spans="2:8" ht="18.75" customHeight="1" x14ac:dyDescent="0.25">
      <c r="B4" s="112"/>
      <c r="C4" s="178"/>
      <c r="D4" s="178"/>
      <c r="E4" s="114"/>
      <c r="F4" s="111" t="s">
        <v>77</v>
      </c>
      <c r="G4" s="178"/>
      <c r="H4" s="179"/>
    </row>
    <row r="5" spans="2:8" ht="18.75" customHeight="1" x14ac:dyDescent="0.25">
      <c r="B5" s="180"/>
      <c r="C5" s="181"/>
      <c r="D5" s="181"/>
      <c r="E5" s="181"/>
      <c r="F5" s="181"/>
      <c r="G5" s="181"/>
      <c r="H5" s="182"/>
    </row>
    <row r="6" spans="2:8" ht="18.75" customHeight="1" x14ac:dyDescent="0.25">
      <c r="B6" s="177" t="s">
        <v>71</v>
      </c>
      <c r="C6" s="175"/>
      <c r="D6" s="175"/>
      <c r="E6" s="111"/>
      <c r="F6" s="175" t="s">
        <v>68</v>
      </c>
      <c r="G6" s="175"/>
      <c r="H6" s="176"/>
    </row>
    <row r="7" spans="2:8" ht="18.75" customHeight="1" thickBot="1" x14ac:dyDescent="0.3">
      <c r="B7" s="112" t="s">
        <v>74</v>
      </c>
      <c r="C7" s="111"/>
      <c r="D7" s="111" t="s">
        <v>75</v>
      </c>
      <c r="E7" s="111"/>
      <c r="F7" s="111" t="s">
        <v>65</v>
      </c>
      <c r="G7" s="111"/>
      <c r="H7" s="113" t="s">
        <v>66</v>
      </c>
    </row>
    <row r="8" spans="2:8" ht="18.75" customHeight="1" thickBot="1" x14ac:dyDescent="0.3">
      <c r="B8" s="140"/>
      <c r="C8" s="111"/>
      <c r="D8" s="143">
        <v>0</v>
      </c>
      <c r="E8" s="111"/>
      <c r="F8" s="139"/>
      <c r="G8" s="111"/>
      <c r="H8" s="142"/>
    </row>
    <row r="9" spans="2:8" ht="18.75" customHeight="1" x14ac:dyDescent="0.25">
      <c r="B9" s="112"/>
      <c r="C9" s="111"/>
      <c r="D9" s="111"/>
      <c r="E9" s="111"/>
      <c r="F9" s="111"/>
      <c r="G9" s="111"/>
      <c r="H9" s="113"/>
    </row>
    <row r="10" spans="2:8" ht="18.75" customHeight="1" x14ac:dyDescent="0.25">
      <c r="B10" s="177" t="s">
        <v>62</v>
      </c>
      <c r="C10" s="175"/>
      <c r="D10" s="175"/>
      <c r="E10" s="111"/>
      <c r="F10" s="175" t="s">
        <v>72</v>
      </c>
      <c r="G10" s="175"/>
      <c r="H10" s="176"/>
    </row>
    <row r="11" spans="2:8" ht="18.75" customHeight="1" thickBot="1" x14ac:dyDescent="0.3">
      <c r="B11" s="112" t="s">
        <v>69</v>
      </c>
      <c r="C11" s="111"/>
      <c r="D11" s="111" t="s">
        <v>70</v>
      </c>
      <c r="E11" s="111"/>
      <c r="F11" s="111" t="s">
        <v>73</v>
      </c>
      <c r="G11" s="111"/>
      <c r="H11" s="113" t="s">
        <v>76</v>
      </c>
    </row>
    <row r="12" spans="2:8" ht="18.75" customHeight="1" thickBot="1" x14ac:dyDescent="0.3">
      <c r="B12" s="139"/>
      <c r="C12" s="110"/>
      <c r="D12" s="139"/>
      <c r="E12" s="110"/>
      <c r="F12" s="141"/>
      <c r="G12" s="110"/>
      <c r="H12" s="141"/>
    </row>
  </sheetData>
  <mergeCells count="10">
    <mergeCell ref="B2:H2"/>
    <mergeCell ref="C3:D3"/>
    <mergeCell ref="F6:H6"/>
    <mergeCell ref="B6:D6"/>
    <mergeCell ref="B10:D10"/>
    <mergeCell ref="F10:H10"/>
    <mergeCell ref="G3:H3"/>
    <mergeCell ref="G4:H4"/>
    <mergeCell ref="C4:D4"/>
    <mergeCell ref="B5:H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"/>
  <sheetViews>
    <sheetView workbookViewId="0">
      <selection activeCell="G5" sqref="G5"/>
    </sheetView>
  </sheetViews>
  <sheetFormatPr defaultRowHeight="18.75" customHeight="1" x14ac:dyDescent="0.25"/>
  <cols>
    <col min="1" max="1" width="9.140625" style="86"/>
    <col min="2" max="2" width="32.5703125" style="86" bestFit="1" customWidth="1"/>
    <col min="3" max="3" width="11.28515625" style="86" bestFit="1" customWidth="1"/>
    <col min="4" max="4" width="5.28515625" style="91" bestFit="1" customWidth="1"/>
    <col min="5" max="5" width="4.140625" style="86" bestFit="1" customWidth="1"/>
    <col min="6" max="6" width="7.42578125" style="89" bestFit="1" customWidth="1"/>
    <col min="7" max="7" width="10.85546875" style="86" bestFit="1" customWidth="1"/>
    <col min="8" max="16384" width="9.140625" style="86"/>
  </cols>
  <sheetData>
    <row r="1" spans="2:7" s="77" customFormat="1" ht="18.75" customHeight="1" thickBot="1" x14ac:dyDescent="0.3">
      <c r="D1" s="90"/>
      <c r="F1" s="88"/>
    </row>
    <row r="2" spans="2:7" s="77" customFormat="1" ht="18.75" customHeight="1" thickBot="1" x14ac:dyDescent="0.3">
      <c r="B2" s="183" t="s">
        <v>47</v>
      </c>
      <c r="C2" s="184"/>
      <c r="D2" s="184"/>
      <c r="E2" s="184"/>
      <c r="F2" s="184"/>
      <c r="G2" s="185"/>
    </row>
    <row r="3" spans="2:7" s="77" customFormat="1" ht="18.75" customHeight="1" x14ac:dyDescent="0.25">
      <c r="D3" s="90"/>
      <c r="F3" s="88"/>
    </row>
    <row r="4" spans="2:7" s="77" customFormat="1" ht="18.75" customHeight="1" x14ac:dyDescent="0.25">
      <c r="D4" s="90"/>
      <c r="F4" s="88"/>
    </row>
    <row r="5" spans="2:7" s="77" customFormat="1" ht="18.75" customHeight="1" x14ac:dyDescent="0.25">
      <c r="D5" s="90"/>
      <c r="F5" s="88"/>
    </row>
    <row r="6" spans="2:7" s="77" customFormat="1" ht="18.75" customHeight="1" thickBot="1" x14ac:dyDescent="0.3">
      <c r="D6" s="90"/>
      <c r="F6" s="88"/>
    </row>
    <row r="7" spans="2:7" s="77" customFormat="1" ht="18.75" customHeight="1" x14ac:dyDescent="0.25">
      <c r="B7" s="92" t="s">
        <v>49</v>
      </c>
      <c r="C7" s="93" t="s">
        <v>50</v>
      </c>
      <c r="D7" s="94" t="s">
        <v>51</v>
      </c>
      <c r="E7" s="93" t="s">
        <v>52</v>
      </c>
      <c r="F7" s="95" t="s">
        <v>53</v>
      </c>
      <c r="G7" s="96" t="s">
        <v>54</v>
      </c>
    </row>
    <row r="8" spans="2:7" ht="18.75" customHeight="1" x14ac:dyDescent="0.25">
      <c r="B8" s="97" t="s">
        <v>55</v>
      </c>
      <c r="C8" s="98"/>
      <c r="D8" s="99"/>
      <c r="E8" s="98"/>
      <c r="F8" s="100">
        <v>0.2</v>
      </c>
      <c r="G8" s="101"/>
    </row>
    <row r="9" spans="2:7" ht="18.75" customHeight="1" x14ac:dyDescent="0.25">
      <c r="B9" s="97" t="s">
        <v>56</v>
      </c>
      <c r="C9" s="98"/>
      <c r="D9" s="99"/>
      <c r="E9" s="98"/>
      <c r="F9" s="100">
        <v>0.2</v>
      </c>
      <c r="G9" s="101"/>
    </row>
    <row r="10" spans="2:7" ht="18.75" customHeight="1" x14ac:dyDescent="0.25">
      <c r="B10" s="97" t="s">
        <v>57</v>
      </c>
      <c r="C10" s="98"/>
      <c r="D10" s="99"/>
      <c r="E10" s="98"/>
      <c r="F10" s="100">
        <v>0.2</v>
      </c>
      <c r="G10" s="101"/>
    </row>
    <row r="11" spans="2:7" ht="18.75" customHeight="1" x14ac:dyDescent="0.25">
      <c r="B11" s="97" t="s">
        <v>58</v>
      </c>
      <c r="C11" s="98"/>
      <c r="D11" s="99"/>
      <c r="E11" s="98"/>
      <c r="F11" s="100">
        <v>0.2</v>
      </c>
      <c r="G11" s="101"/>
    </row>
    <row r="12" spans="2:7" ht="18.75" customHeight="1" x14ac:dyDescent="0.25">
      <c r="B12" s="97" t="s">
        <v>59</v>
      </c>
      <c r="C12" s="98"/>
      <c r="D12" s="99"/>
      <c r="E12" s="98"/>
      <c r="F12" s="100">
        <v>0.2</v>
      </c>
      <c r="G12" s="101"/>
    </row>
    <row r="13" spans="2:7" ht="18.75" customHeight="1" thickBot="1" x14ac:dyDescent="0.3">
      <c r="B13" s="102" t="s">
        <v>60</v>
      </c>
      <c r="C13" s="103"/>
      <c r="D13" s="104" t="s">
        <v>61</v>
      </c>
      <c r="E13" s="103"/>
      <c r="F13" s="105">
        <v>0</v>
      </c>
      <c r="G13" s="106"/>
    </row>
  </sheetData>
  <mergeCells count="1">
    <mergeCell ref="B2:G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topLeftCell="A2" workbookViewId="0">
      <selection activeCell="B4" sqref="B4:H4"/>
    </sheetView>
  </sheetViews>
  <sheetFormatPr defaultRowHeight="18.75" customHeight="1" x14ac:dyDescent="0.25"/>
  <cols>
    <col min="1" max="1" width="3.5703125" style="1" customWidth="1"/>
    <col min="2" max="2" width="41.28515625" style="1" bestFit="1" customWidth="1"/>
    <col min="3" max="3" width="41.28515625" style="1" customWidth="1"/>
    <col min="4" max="4" width="13.5703125" style="145" bestFit="1" customWidth="1"/>
    <col min="5" max="5" width="7.28515625" style="152" customWidth="1"/>
    <col min="6" max="6" width="11.7109375" style="164" bestFit="1" customWidth="1"/>
    <col min="7" max="7" width="13.5703125" style="145" bestFit="1" customWidth="1"/>
    <col min="8" max="8" width="51.5703125" style="1" bestFit="1" customWidth="1"/>
    <col min="9" max="9" width="26.7109375" style="1" bestFit="1" customWidth="1"/>
    <col min="10" max="16384" width="9.140625" style="1"/>
  </cols>
  <sheetData>
    <row r="1" spans="2:10" ht="18.75" customHeight="1" thickBot="1" x14ac:dyDescent="0.3"/>
    <row r="2" spans="2:10" ht="18.75" customHeight="1" x14ac:dyDescent="0.25">
      <c r="B2" s="186" t="s">
        <v>113</v>
      </c>
      <c r="C2" s="187"/>
      <c r="D2" s="188"/>
      <c r="E2" s="188"/>
      <c r="F2" s="188"/>
      <c r="G2" s="188"/>
      <c r="H2" s="189"/>
    </row>
    <row r="3" spans="2:10" ht="18.75" customHeight="1" thickBot="1" x14ac:dyDescent="0.3">
      <c r="B3" s="190"/>
      <c r="C3" s="191"/>
      <c r="D3" s="192"/>
      <c r="E3" s="192"/>
      <c r="F3" s="192"/>
      <c r="G3" s="192"/>
      <c r="H3" s="193"/>
    </row>
    <row r="4" spans="2:10" s="3" customFormat="1" ht="18.75" customHeight="1" thickBot="1" x14ac:dyDescent="0.3">
      <c r="B4" s="194" t="s">
        <v>1</v>
      </c>
      <c r="C4" s="195"/>
      <c r="D4" s="196"/>
      <c r="E4" s="196"/>
      <c r="F4" s="196"/>
      <c r="G4" s="196"/>
      <c r="H4" s="197"/>
    </row>
    <row r="5" spans="2:10" s="3" customFormat="1" ht="18.75" customHeight="1" x14ac:dyDescent="0.25">
      <c r="B5" s="30" t="s">
        <v>2</v>
      </c>
      <c r="C5" s="158" t="s">
        <v>9</v>
      </c>
      <c r="D5" s="146" t="s">
        <v>3</v>
      </c>
      <c r="E5" s="153" t="s">
        <v>4</v>
      </c>
      <c r="F5" s="165" t="s">
        <v>112</v>
      </c>
      <c r="G5" s="146" t="s">
        <v>5</v>
      </c>
      <c r="H5" s="32" t="s">
        <v>6</v>
      </c>
    </row>
    <row r="6" spans="2:10" ht="18.75" customHeight="1" x14ac:dyDescent="0.25">
      <c r="B6" s="57"/>
      <c r="C6" s="159"/>
      <c r="D6" s="149"/>
      <c r="E6" s="154"/>
      <c r="F6" s="166"/>
      <c r="G6" s="147"/>
      <c r="H6" s="11"/>
    </row>
    <row r="7" spans="2:10" ht="18.75" customHeight="1" x14ac:dyDescent="0.25">
      <c r="B7" s="10"/>
      <c r="C7" s="160"/>
      <c r="D7" s="147"/>
      <c r="E7" s="155"/>
      <c r="F7" s="166"/>
      <c r="G7" s="147"/>
      <c r="H7" s="11"/>
    </row>
    <row r="8" spans="2:10" ht="18.75" customHeight="1" x14ac:dyDescent="0.25">
      <c r="B8" s="10"/>
      <c r="C8" s="160"/>
      <c r="D8" s="147"/>
      <c r="E8" s="155"/>
      <c r="F8" s="166"/>
      <c r="G8" s="147"/>
      <c r="H8" s="11"/>
      <c r="I8" s="27"/>
    </row>
    <row r="9" spans="2:10" ht="18.75" customHeight="1" x14ac:dyDescent="0.25">
      <c r="B9" s="10"/>
      <c r="C9" s="160"/>
      <c r="D9" s="147"/>
      <c r="E9" s="155"/>
      <c r="F9" s="166"/>
      <c r="G9" s="147"/>
      <c r="H9" s="11"/>
      <c r="I9" s="27"/>
    </row>
    <row r="10" spans="2:10" ht="18.75" customHeight="1" x14ac:dyDescent="0.25">
      <c r="B10" s="10"/>
      <c r="C10" s="160"/>
      <c r="D10" s="147"/>
      <c r="E10" s="155"/>
      <c r="F10" s="166"/>
      <c r="G10" s="147"/>
      <c r="H10" s="11"/>
      <c r="I10" s="27"/>
    </row>
    <row r="11" spans="2:10" ht="18.75" customHeight="1" x14ac:dyDescent="0.25">
      <c r="B11" s="10"/>
      <c r="C11" s="160"/>
      <c r="D11" s="147"/>
      <c r="E11" s="155"/>
      <c r="F11" s="166"/>
      <c r="G11" s="147"/>
      <c r="H11" s="11"/>
      <c r="I11" s="27"/>
      <c r="J11" s="27"/>
    </row>
    <row r="12" spans="2:10" ht="18.75" customHeight="1" x14ac:dyDescent="0.25">
      <c r="B12" s="10"/>
      <c r="C12" s="160"/>
      <c r="D12" s="147"/>
      <c r="E12" s="155"/>
      <c r="F12" s="166"/>
      <c r="G12" s="147"/>
      <c r="H12" s="11"/>
      <c r="I12" s="27"/>
    </row>
    <row r="13" spans="2:10" ht="18.75" customHeight="1" x14ac:dyDescent="0.25">
      <c r="B13" s="10"/>
      <c r="C13" s="160"/>
      <c r="D13" s="147"/>
      <c r="E13" s="155"/>
      <c r="F13" s="166"/>
      <c r="G13" s="147"/>
      <c r="H13" s="11"/>
      <c r="I13" s="27"/>
    </row>
    <row r="14" spans="2:10" ht="18.75" customHeight="1" x14ac:dyDescent="0.25">
      <c r="B14" s="10"/>
      <c r="C14" s="160"/>
      <c r="D14" s="147"/>
      <c r="E14" s="155"/>
      <c r="F14" s="166"/>
      <c r="G14" s="147"/>
      <c r="H14" s="11"/>
      <c r="I14" s="27"/>
    </row>
    <row r="15" spans="2:10" ht="18.75" customHeight="1" x14ac:dyDescent="0.25">
      <c r="B15" s="10"/>
      <c r="C15" s="160"/>
      <c r="D15" s="147"/>
      <c r="E15" s="155"/>
      <c r="F15" s="166"/>
      <c r="G15" s="147"/>
      <c r="H15" s="11"/>
      <c r="I15" s="27"/>
    </row>
    <row r="16" spans="2:10" ht="18.75" customHeight="1" x14ac:dyDescent="0.25">
      <c r="B16" s="10"/>
      <c r="C16" s="160"/>
      <c r="D16" s="147"/>
      <c r="E16" s="155"/>
      <c r="F16" s="166"/>
      <c r="G16" s="147"/>
      <c r="H16" s="11"/>
      <c r="I16" s="27"/>
    </row>
    <row r="17" spans="2:9" ht="18.75" customHeight="1" x14ac:dyDescent="0.25">
      <c r="B17" s="10"/>
      <c r="C17" s="160"/>
      <c r="D17" s="147"/>
      <c r="E17" s="155"/>
      <c r="F17" s="166"/>
      <c r="G17" s="147"/>
      <c r="H17" s="11"/>
      <c r="I17" s="27"/>
    </row>
    <row r="18" spans="2:9" ht="18.75" customHeight="1" x14ac:dyDescent="0.25">
      <c r="B18" s="10"/>
      <c r="C18" s="160"/>
      <c r="D18" s="147"/>
      <c r="E18" s="155"/>
      <c r="F18" s="166"/>
      <c r="G18" s="147"/>
      <c r="H18" s="11"/>
    </row>
    <row r="19" spans="2:9" ht="18.75" customHeight="1" x14ac:dyDescent="0.25">
      <c r="B19" s="10"/>
      <c r="C19" s="160"/>
      <c r="D19" s="147"/>
      <c r="E19" s="155"/>
      <c r="F19" s="166"/>
      <c r="G19" s="147"/>
      <c r="H19" s="11"/>
    </row>
    <row r="20" spans="2:9" ht="18.75" customHeight="1" x14ac:dyDescent="0.25">
      <c r="B20" s="55"/>
      <c r="C20" s="161"/>
      <c r="D20" s="150"/>
      <c r="E20" s="156"/>
      <c r="F20" s="166"/>
      <c r="G20" s="147"/>
      <c r="H20" s="56"/>
    </row>
    <row r="21" spans="2:9" ht="18.75" customHeight="1" x14ac:dyDescent="0.25">
      <c r="B21" s="55"/>
      <c r="C21" s="161"/>
      <c r="D21" s="150"/>
      <c r="E21" s="156"/>
      <c r="F21" s="166"/>
      <c r="G21" s="147"/>
      <c r="H21" s="56"/>
    </row>
    <row r="22" spans="2:9" ht="18.75" customHeight="1" x14ac:dyDescent="0.25">
      <c r="B22" s="55"/>
      <c r="C22" s="161"/>
      <c r="D22" s="150"/>
      <c r="E22" s="156"/>
      <c r="F22" s="167"/>
      <c r="G22" s="147"/>
      <c r="H22" s="56"/>
    </row>
    <row r="23" spans="2:9" ht="18.75" customHeight="1" x14ac:dyDescent="0.25">
      <c r="B23" s="55"/>
      <c r="C23" s="161"/>
      <c r="D23" s="150"/>
      <c r="E23" s="156"/>
      <c r="F23" s="167"/>
      <c r="G23" s="147"/>
      <c r="H23" s="56"/>
    </row>
    <row r="24" spans="2:9" ht="18.75" customHeight="1" x14ac:dyDescent="0.25">
      <c r="B24" s="55"/>
      <c r="C24" s="161"/>
      <c r="D24" s="150"/>
      <c r="E24" s="156"/>
      <c r="F24" s="167"/>
      <c r="G24" s="147"/>
      <c r="H24" s="56"/>
    </row>
    <row r="25" spans="2:9" ht="18.75" customHeight="1" thickBot="1" x14ac:dyDescent="0.3">
      <c r="B25" s="12"/>
      <c r="C25" s="162"/>
      <c r="D25" s="151"/>
      <c r="E25" s="157"/>
      <c r="F25" s="168"/>
      <c r="G25" s="147"/>
      <c r="H25" s="13"/>
    </row>
    <row r="26" spans="2:9" ht="18.75" customHeight="1" thickBot="1" x14ac:dyDescent="0.3">
      <c r="B26" s="28" t="s">
        <v>19</v>
      </c>
      <c r="C26" s="163"/>
      <c r="D26" s="198" t="s">
        <v>18</v>
      </c>
      <c r="E26" s="199"/>
      <c r="F26" s="200"/>
      <c r="G26" s="148">
        <f>SUM(G6:G25)</f>
        <v>0</v>
      </c>
      <c r="H26" s="29" t="s">
        <v>20</v>
      </c>
    </row>
  </sheetData>
  <mergeCells count="3">
    <mergeCell ref="B2:H3"/>
    <mergeCell ref="B4:H4"/>
    <mergeCell ref="D26:F2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topLeftCell="A2" zoomScaleNormal="100" workbookViewId="0">
      <selection activeCell="C17" sqref="C17:E17"/>
    </sheetView>
  </sheetViews>
  <sheetFormatPr defaultColWidth="9.28515625" defaultRowHeight="18.75" customHeight="1" x14ac:dyDescent="0.25"/>
  <cols>
    <col min="1" max="1" width="4.28515625" style="58" customWidth="1"/>
    <col min="2" max="2" width="39.7109375" style="58" bestFit="1" customWidth="1"/>
    <col min="3" max="3" width="13.140625" style="58" bestFit="1" customWidth="1"/>
    <col min="4" max="4" width="8.42578125" style="58" bestFit="1" customWidth="1"/>
    <col min="5" max="5" width="11.85546875" style="58" bestFit="1" customWidth="1"/>
    <col min="6" max="6" width="15.28515625" style="58" bestFit="1" customWidth="1"/>
    <col min="7" max="7" width="24.140625" style="58" bestFit="1" customWidth="1"/>
    <col min="8" max="8" width="49.140625" style="58" bestFit="1" customWidth="1"/>
    <col min="9" max="16384" width="9.28515625" style="58"/>
  </cols>
  <sheetData>
    <row r="1" spans="2:8" ht="18.75" customHeight="1" thickBot="1" x14ac:dyDescent="0.3"/>
    <row r="2" spans="2:8" ht="22.5" customHeight="1" x14ac:dyDescent="0.25">
      <c r="B2" s="203" t="s">
        <v>0</v>
      </c>
      <c r="C2" s="204"/>
      <c r="D2" s="204"/>
      <c r="E2" s="204"/>
      <c r="F2" s="204"/>
      <c r="G2" s="205"/>
      <c r="H2" s="206"/>
    </row>
    <row r="3" spans="2:8" ht="22.5" customHeight="1" thickBot="1" x14ac:dyDescent="0.3">
      <c r="B3" s="207"/>
      <c r="C3" s="208"/>
      <c r="D3" s="208"/>
      <c r="E3" s="208"/>
      <c r="F3" s="208"/>
      <c r="G3" s="209"/>
      <c r="H3" s="210"/>
    </row>
    <row r="4" spans="2:8" ht="22.5" customHeight="1" thickBot="1" x14ac:dyDescent="0.3">
      <c r="B4" s="211" t="s">
        <v>42</v>
      </c>
      <c r="C4" s="212"/>
      <c r="D4" s="212"/>
      <c r="E4" s="212"/>
      <c r="F4" s="212"/>
      <c r="G4" s="213"/>
      <c r="H4" s="214"/>
    </row>
    <row r="5" spans="2:8" s="144" customFormat="1" ht="22.5" customHeight="1" thickBot="1" x14ac:dyDescent="0.3">
      <c r="B5" s="169" t="s">
        <v>115</v>
      </c>
      <c r="C5" s="220"/>
      <c r="D5" s="220"/>
      <c r="E5" s="221"/>
      <c r="F5" s="218" t="s">
        <v>114</v>
      </c>
      <c r="G5" s="219"/>
      <c r="H5" s="170"/>
    </row>
    <row r="6" spans="2:8" ht="18.75" customHeight="1" x14ac:dyDescent="0.25">
      <c r="B6" s="81" t="s">
        <v>2</v>
      </c>
      <c r="C6" s="82" t="s">
        <v>3</v>
      </c>
      <c r="D6" s="83" t="s">
        <v>4</v>
      </c>
      <c r="E6" s="82" t="s">
        <v>7</v>
      </c>
      <c r="F6" s="82" t="s">
        <v>5</v>
      </c>
      <c r="G6" s="84" t="s">
        <v>22</v>
      </c>
      <c r="H6" s="85" t="s">
        <v>6</v>
      </c>
    </row>
    <row r="7" spans="2:8" ht="18.75" customHeight="1" x14ac:dyDescent="0.25">
      <c r="B7" s="59"/>
      <c r="C7" s="60"/>
      <c r="D7" s="61"/>
      <c r="E7" s="60"/>
      <c r="F7" s="60"/>
      <c r="G7" s="62"/>
      <c r="H7" s="63"/>
    </row>
    <row r="8" spans="2:8" ht="18.75" customHeight="1" x14ac:dyDescent="0.25">
      <c r="B8" s="59"/>
      <c r="C8" s="60"/>
      <c r="D8" s="61"/>
      <c r="E8" s="60"/>
      <c r="F8" s="60"/>
      <c r="G8" s="62"/>
      <c r="H8" s="63"/>
    </row>
    <row r="9" spans="2:8" ht="18.75" customHeight="1" x14ac:dyDescent="0.25">
      <c r="B9" s="59"/>
      <c r="C9" s="60"/>
      <c r="D9" s="61"/>
      <c r="E9" s="60"/>
      <c r="F9" s="60"/>
      <c r="G9" s="62"/>
      <c r="H9" s="63"/>
    </row>
    <row r="10" spans="2:8" ht="18.75" customHeight="1" x14ac:dyDescent="0.25">
      <c r="B10" s="59"/>
      <c r="C10" s="60"/>
      <c r="D10" s="61"/>
      <c r="E10" s="60"/>
      <c r="F10" s="60"/>
      <c r="G10" s="62"/>
      <c r="H10" s="63"/>
    </row>
    <row r="11" spans="2:8" ht="18.75" customHeight="1" x14ac:dyDescent="0.25">
      <c r="B11" s="59"/>
      <c r="C11" s="60"/>
      <c r="D11" s="61"/>
      <c r="E11" s="60"/>
      <c r="F11" s="60"/>
      <c r="G11" s="62"/>
      <c r="H11" s="63"/>
    </row>
    <row r="12" spans="2:8" ht="18.75" customHeight="1" x14ac:dyDescent="0.25">
      <c r="B12" s="59"/>
      <c r="C12" s="60"/>
      <c r="D12" s="61"/>
      <c r="E12" s="60"/>
      <c r="F12" s="60"/>
      <c r="G12" s="62"/>
      <c r="H12" s="63"/>
    </row>
    <row r="13" spans="2:8" ht="18.75" customHeight="1" x14ac:dyDescent="0.25">
      <c r="B13" s="59"/>
      <c r="C13" s="60"/>
      <c r="D13" s="61"/>
      <c r="E13" s="60"/>
      <c r="F13" s="60"/>
      <c r="G13" s="62"/>
      <c r="H13" s="63"/>
    </row>
    <row r="14" spans="2:8" ht="18.75" customHeight="1" x14ac:dyDescent="0.25">
      <c r="B14" s="59"/>
      <c r="C14" s="60"/>
      <c r="D14" s="61"/>
      <c r="E14" s="60"/>
      <c r="F14" s="60"/>
      <c r="G14" s="62"/>
      <c r="H14" s="63"/>
    </row>
    <row r="15" spans="2:8" ht="18.75" customHeight="1" x14ac:dyDescent="0.25">
      <c r="B15" s="59"/>
      <c r="C15" s="60"/>
      <c r="D15" s="61"/>
      <c r="E15" s="60"/>
      <c r="F15" s="60"/>
      <c r="G15" s="62"/>
      <c r="H15" s="63"/>
    </row>
    <row r="16" spans="2:8" ht="18.75" customHeight="1" thickBot="1" x14ac:dyDescent="0.3">
      <c r="B16" s="64" t="s">
        <v>19</v>
      </c>
      <c r="C16" s="215" t="s">
        <v>116</v>
      </c>
      <c r="D16" s="216"/>
      <c r="E16" s="217"/>
      <c r="F16" s="65">
        <f>SUM(F7:F15)</f>
        <v>0</v>
      </c>
      <c r="G16" s="66"/>
      <c r="H16" s="67" t="s">
        <v>20</v>
      </c>
    </row>
    <row r="17" spans="3:8" ht="18.75" customHeight="1" x14ac:dyDescent="0.25">
      <c r="C17" s="201"/>
      <c r="D17" s="201"/>
      <c r="E17" s="201"/>
      <c r="F17" s="68"/>
      <c r="H17" s="69"/>
    </row>
    <row r="18" spans="3:8" ht="18.75" customHeight="1" x14ac:dyDescent="0.25">
      <c r="C18" s="202"/>
      <c r="D18" s="202"/>
      <c r="E18" s="202"/>
      <c r="F18" s="70"/>
    </row>
    <row r="19" spans="3:8" ht="18.75" customHeight="1" x14ac:dyDescent="0.25">
      <c r="C19" s="202"/>
      <c r="D19" s="202"/>
      <c r="E19" s="202"/>
      <c r="F19" s="70"/>
    </row>
  </sheetData>
  <mergeCells count="8">
    <mergeCell ref="C17:E17"/>
    <mergeCell ref="C18:E18"/>
    <mergeCell ref="C19:E19"/>
    <mergeCell ref="B2:H3"/>
    <mergeCell ref="B4:H4"/>
    <mergeCell ref="C16:E16"/>
    <mergeCell ref="F5:G5"/>
    <mergeCell ref="C5:E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zoomScaleNormal="100" workbookViewId="0">
      <selection activeCell="F15" sqref="F15"/>
    </sheetView>
  </sheetViews>
  <sheetFormatPr defaultRowHeight="18.75" customHeight="1" x14ac:dyDescent="0.25"/>
  <cols>
    <col min="1" max="1" width="9.140625" style="1"/>
    <col min="2" max="2" width="27.5703125" style="1" bestFit="1" customWidth="1"/>
    <col min="3" max="3" width="13.5703125" style="2" bestFit="1" customWidth="1"/>
    <col min="4" max="4" width="10.5703125" style="26" bestFit="1" customWidth="1"/>
    <col min="5" max="5" width="10.5703125" style="2" bestFit="1" customWidth="1"/>
    <col min="6" max="6" width="18.28515625" style="2" bestFit="1" customWidth="1"/>
    <col min="7" max="7" width="18.42578125" style="1" bestFit="1" customWidth="1"/>
    <col min="8" max="8" width="14.42578125" style="1" bestFit="1" customWidth="1"/>
    <col min="9" max="9" width="41.42578125" style="1" bestFit="1" customWidth="1"/>
    <col min="10" max="11" width="10.5703125" style="1" bestFit="1" customWidth="1"/>
    <col min="12" max="16384" width="9.140625" style="1"/>
  </cols>
  <sheetData>
    <row r="1" spans="2:11" ht="18.75" customHeight="1" thickBot="1" x14ac:dyDescent="0.3"/>
    <row r="2" spans="2:11" ht="18.75" customHeight="1" x14ac:dyDescent="0.25">
      <c r="B2" s="186" t="s">
        <v>0</v>
      </c>
      <c r="C2" s="188"/>
      <c r="D2" s="188"/>
      <c r="E2" s="188"/>
      <c r="F2" s="188"/>
      <c r="G2" s="188"/>
      <c r="H2" s="189"/>
    </row>
    <row r="3" spans="2:11" ht="18.75" customHeight="1" thickBot="1" x14ac:dyDescent="0.3">
      <c r="B3" s="190"/>
      <c r="C3" s="192"/>
      <c r="D3" s="192"/>
      <c r="E3" s="192"/>
      <c r="F3" s="192"/>
      <c r="G3" s="192"/>
      <c r="H3" s="193"/>
    </row>
    <row r="4" spans="2:11" ht="18.75" customHeight="1" thickBot="1" x14ac:dyDescent="0.3">
      <c r="B4" s="194" t="s">
        <v>23</v>
      </c>
      <c r="C4" s="196"/>
      <c r="D4" s="196"/>
      <c r="E4" s="196"/>
      <c r="F4" s="196"/>
      <c r="G4" s="196"/>
      <c r="H4" s="197"/>
    </row>
    <row r="5" spans="2:11" ht="18.75" customHeight="1" x14ac:dyDescent="0.25">
      <c r="B5" s="30" t="s">
        <v>2</v>
      </c>
      <c r="C5" s="31" t="s">
        <v>3</v>
      </c>
      <c r="D5" s="38" t="s">
        <v>4</v>
      </c>
      <c r="E5" s="31" t="s">
        <v>7</v>
      </c>
      <c r="F5" s="31" t="s">
        <v>5</v>
      </c>
      <c r="G5" s="31" t="s">
        <v>22</v>
      </c>
      <c r="H5" s="32" t="s">
        <v>6</v>
      </c>
    </row>
    <row r="6" spans="2:11" ht="18.75" customHeight="1" x14ac:dyDescent="0.25">
      <c r="B6" s="10" t="s">
        <v>24</v>
      </c>
      <c r="C6" s="7">
        <v>65</v>
      </c>
      <c r="D6" s="39">
        <v>0</v>
      </c>
      <c r="E6" s="7">
        <v>0</v>
      </c>
      <c r="F6" s="7">
        <f>SUM(C6*D6+E6*D6)</f>
        <v>0</v>
      </c>
      <c r="G6" s="6"/>
      <c r="H6" s="11"/>
      <c r="I6" s="51"/>
    </row>
    <row r="7" spans="2:11" ht="18.75" customHeight="1" x14ac:dyDescent="0.25">
      <c r="B7" s="10" t="s">
        <v>25</v>
      </c>
      <c r="C7" s="7">
        <v>75</v>
      </c>
      <c r="D7" s="39">
        <v>50</v>
      </c>
      <c r="E7" s="7">
        <v>0</v>
      </c>
      <c r="F7" s="7">
        <f>SUM(C7*D7+E7*D7)</f>
        <v>3750</v>
      </c>
      <c r="G7" s="6"/>
      <c r="H7" s="11"/>
      <c r="I7" s="51"/>
    </row>
    <row r="8" spans="2:11" ht="18.75" customHeight="1" x14ac:dyDescent="0.25">
      <c r="B8" s="45"/>
      <c r="C8" s="224" t="s">
        <v>29</v>
      </c>
      <c r="D8" s="224"/>
      <c r="E8" s="224"/>
      <c r="F8" s="42">
        <f>F6+F7</f>
        <v>3750</v>
      </c>
      <c r="G8" s="41"/>
      <c r="H8" s="46"/>
      <c r="I8" s="3"/>
    </row>
    <row r="9" spans="2:11" s="35" customFormat="1" ht="18.75" customHeight="1" x14ac:dyDescent="0.25">
      <c r="B9" s="8" t="s">
        <v>27</v>
      </c>
      <c r="C9" s="76">
        <v>27.61</v>
      </c>
      <c r="D9" s="40">
        <f>D6</f>
        <v>0</v>
      </c>
      <c r="E9" s="19">
        <v>0</v>
      </c>
      <c r="F9" s="5">
        <f>D9*C9</f>
        <v>0</v>
      </c>
      <c r="G9" s="4"/>
      <c r="H9" s="9">
        <v>33.979999999999997</v>
      </c>
      <c r="J9" s="34"/>
      <c r="K9" s="34"/>
    </row>
    <row r="10" spans="2:11" s="35" customFormat="1" ht="18.75" customHeight="1" x14ac:dyDescent="0.25">
      <c r="B10" s="8" t="s">
        <v>28</v>
      </c>
      <c r="C10" s="19">
        <v>38.119999999999997</v>
      </c>
      <c r="D10" s="40">
        <f>D7</f>
        <v>50</v>
      </c>
      <c r="E10" s="19">
        <v>0</v>
      </c>
      <c r="F10" s="5">
        <f t="shared" ref="F10:F12" si="0">D10*C10</f>
        <v>1905.9999999999998</v>
      </c>
      <c r="G10" s="4"/>
      <c r="H10" s="9">
        <v>41.23</v>
      </c>
      <c r="J10" s="34"/>
      <c r="K10" s="34"/>
    </row>
    <row r="11" spans="2:11" s="35" customFormat="1" ht="18.75" customHeight="1" x14ac:dyDescent="0.25">
      <c r="B11" s="8" t="s">
        <v>39</v>
      </c>
      <c r="C11" s="19">
        <v>1.8</v>
      </c>
      <c r="D11" s="40">
        <f>D6</f>
        <v>0</v>
      </c>
      <c r="E11" s="19">
        <v>0</v>
      </c>
      <c r="F11" s="5">
        <f t="shared" si="0"/>
        <v>0</v>
      </c>
      <c r="G11" s="5"/>
      <c r="H11" s="9"/>
    </row>
    <row r="12" spans="2:11" s="35" customFormat="1" ht="18.75" customHeight="1" x14ac:dyDescent="0.25">
      <c r="B12" s="8" t="s">
        <v>40</v>
      </c>
      <c r="C12" s="19">
        <v>2.7</v>
      </c>
      <c r="D12" s="40">
        <f>D7</f>
        <v>50</v>
      </c>
      <c r="E12" s="19">
        <v>0</v>
      </c>
      <c r="F12" s="5">
        <f t="shared" si="0"/>
        <v>135</v>
      </c>
      <c r="G12" s="43"/>
      <c r="H12" s="9"/>
    </row>
    <row r="13" spans="2:11" s="33" customFormat="1" ht="18.75" customHeight="1" x14ac:dyDescent="0.25">
      <c r="B13" s="8" t="s">
        <v>30</v>
      </c>
      <c r="C13" s="19">
        <f>(F13/D13)</f>
        <v>4.4444444444444446</v>
      </c>
      <c r="D13" s="40">
        <v>45</v>
      </c>
      <c r="E13" s="19"/>
      <c r="F13" s="5">
        <v>200</v>
      </c>
      <c r="G13" s="44"/>
      <c r="H13" s="47"/>
    </row>
    <row r="14" spans="2:11" s="33" customFormat="1" ht="18.75" customHeight="1" thickBot="1" x14ac:dyDescent="0.3">
      <c r="B14" s="48"/>
      <c r="C14" s="225" t="s">
        <v>31</v>
      </c>
      <c r="D14" s="225"/>
      <c r="E14" s="225"/>
      <c r="F14" s="49">
        <f>SUM(F8-F9-F10-F11-F12-F13)</f>
        <v>1509.0000000000002</v>
      </c>
      <c r="G14" s="50" t="s">
        <v>32</v>
      </c>
      <c r="H14" s="54">
        <f>((F14/F8))</f>
        <v>0.40240000000000004</v>
      </c>
      <c r="I14" s="36"/>
    </row>
    <row r="15" spans="2:11" s="33" customFormat="1" ht="18.75" customHeight="1" x14ac:dyDescent="0.25">
      <c r="C15" s="36"/>
      <c r="D15" s="37"/>
      <c r="E15" s="36"/>
      <c r="F15" s="36"/>
    </row>
    <row r="16" spans="2:11" ht="18.75" customHeight="1" x14ac:dyDescent="0.25">
      <c r="B16" s="33"/>
      <c r="C16" s="52"/>
      <c r="D16" s="222"/>
      <c r="E16" s="222"/>
    </row>
    <row r="17" spans="2:5" ht="18.75" customHeight="1" x14ac:dyDescent="0.25">
      <c r="B17" s="33"/>
      <c r="C17" s="53"/>
      <c r="D17" s="222"/>
      <c r="E17" s="222"/>
    </row>
    <row r="18" spans="2:5" ht="18.75" customHeight="1" x14ac:dyDescent="0.25">
      <c r="B18" s="33"/>
      <c r="C18" s="53"/>
      <c r="D18" s="223"/>
      <c r="E18" s="223"/>
    </row>
  </sheetData>
  <mergeCells count="7">
    <mergeCell ref="B2:H3"/>
    <mergeCell ref="B4:H4"/>
    <mergeCell ref="D17:E17"/>
    <mergeCell ref="D16:E16"/>
    <mergeCell ref="D18:E18"/>
    <mergeCell ref="C8:E8"/>
    <mergeCell ref="C14:E1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8"/>
  <sheetViews>
    <sheetView showGridLines="0" workbookViewId="0">
      <selection activeCell="B38" sqref="B38"/>
    </sheetView>
  </sheetViews>
  <sheetFormatPr defaultRowHeight="18.75" customHeight="1" x14ac:dyDescent="0.25"/>
  <cols>
    <col min="1" max="1" width="9.140625" style="1"/>
    <col min="2" max="2" width="32.42578125" style="1" bestFit="1" customWidth="1"/>
    <col min="3" max="3" width="7.28515625" style="1" bestFit="1" customWidth="1"/>
    <col min="4" max="4" width="14.7109375" style="2" bestFit="1" customWidth="1"/>
    <col min="5" max="5" width="13.5703125" style="2" bestFit="1" customWidth="1"/>
    <col min="6" max="6" width="14.7109375" style="2" bestFit="1" customWidth="1"/>
    <col min="7" max="7" width="14.140625" style="2" bestFit="1" customWidth="1"/>
    <col min="8" max="8" width="28.140625" style="1" bestFit="1" customWidth="1"/>
    <col min="9" max="16384" width="9.140625" style="1"/>
  </cols>
  <sheetData>
    <row r="1" spans="2:8" ht="18.75" customHeight="1" thickBot="1" x14ac:dyDescent="0.3"/>
    <row r="2" spans="2:8" ht="18.75" customHeight="1" x14ac:dyDescent="0.25">
      <c r="B2" s="186" t="s">
        <v>0</v>
      </c>
      <c r="C2" s="235"/>
      <c r="D2" s="235"/>
      <c r="E2" s="235"/>
      <c r="F2" s="235"/>
      <c r="G2" s="235"/>
      <c r="H2" s="236"/>
    </row>
    <row r="3" spans="2:8" ht="18.75" customHeight="1" thickBot="1" x14ac:dyDescent="0.3">
      <c r="B3" s="237"/>
      <c r="C3" s="238"/>
      <c r="D3" s="238"/>
      <c r="E3" s="238"/>
      <c r="F3" s="238"/>
      <c r="G3" s="238"/>
      <c r="H3" s="239"/>
    </row>
    <row r="4" spans="2:8" ht="18.75" customHeight="1" thickBot="1" x14ac:dyDescent="0.3">
      <c r="B4" s="240" t="s">
        <v>43</v>
      </c>
      <c r="C4" s="241"/>
      <c r="D4" s="241"/>
      <c r="E4" s="241"/>
      <c r="F4" s="241"/>
      <c r="G4" s="241"/>
      <c r="H4" s="242"/>
    </row>
    <row r="5" spans="2:8" ht="18.75" customHeight="1" x14ac:dyDescent="0.25">
      <c r="B5" s="14" t="s">
        <v>2</v>
      </c>
      <c r="C5" s="16" t="s">
        <v>4</v>
      </c>
      <c r="D5" s="15" t="s">
        <v>3</v>
      </c>
      <c r="E5" s="15" t="s">
        <v>8</v>
      </c>
      <c r="F5" s="15" t="s">
        <v>5</v>
      </c>
      <c r="G5" s="15" t="s">
        <v>9</v>
      </c>
      <c r="H5" s="17" t="s">
        <v>6</v>
      </c>
    </row>
    <row r="6" spans="2:8" ht="18.75" customHeight="1" x14ac:dyDescent="0.25">
      <c r="B6" s="10" t="s">
        <v>36</v>
      </c>
      <c r="C6" s="6">
        <v>1</v>
      </c>
      <c r="D6" s="7">
        <v>18</v>
      </c>
      <c r="E6" s="7">
        <v>0</v>
      </c>
      <c r="F6" s="7">
        <f>SUM(D6*C6+(E6*C6))</f>
        <v>18</v>
      </c>
      <c r="G6" s="7"/>
      <c r="H6" s="11"/>
    </row>
    <row r="7" spans="2:8" ht="18.75" customHeight="1" x14ac:dyDescent="0.25">
      <c r="B7" s="10" t="s">
        <v>33</v>
      </c>
      <c r="C7" s="6">
        <f>C6</f>
        <v>1</v>
      </c>
      <c r="D7" s="7">
        <v>0</v>
      </c>
      <c r="E7" s="7">
        <v>0</v>
      </c>
      <c r="F7" s="7">
        <f t="shared" ref="F7:F8" si="0">SUM(D7*C7+(E7*C7))</f>
        <v>0</v>
      </c>
      <c r="G7" s="7"/>
      <c r="H7" s="11"/>
    </row>
    <row r="8" spans="2:8" ht="18.75" customHeight="1" x14ac:dyDescent="0.25">
      <c r="B8" s="10" t="s">
        <v>37</v>
      </c>
      <c r="C8" s="6">
        <f>C6</f>
        <v>1</v>
      </c>
      <c r="D8" s="7">
        <v>0</v>
      </c>
      <c r="E8" s="7">
        <v>0</v>
      </c>
      <c r="F8" s="7">
        <f t="shared" si="0"/>
        <v>0</v>
      </c>
      <c r="G8" s="7"/>
      <c r="H8" s="11"/>
    </row>
    <row r="9" spans="2:8" ht="18.75" customHeight="1" x14ac:dyDescent="0.25">
      <c r="B9" s="10" t="s">
        <v>38</v>
      </c>
      <c r="C9" s="6">
        <f>C6</f>
        <v>1</v>
      </c>
      <c r="D9" s="7">
        <v>7</v>
      </c>
      <c r="E9" s="7">
        <v>0.9</v>
      </c>
      <c r="F9" s="7">
        <f>SUM(D9*C9+(E9*C9))</f>
        <v>7.9</v>
      </c>
      <c r="G9" s="7"/>
      <c r="H9" s="11" t="s">
        <v>10</v>
      </c>
    </row>
    <row r="10" spans="2:8" ht="18.75" customHeight="1" x14ac:dyDescent="0.25">
      <c r="B10" s="10"/>
      <c r="C10" s="6"/>
      <c r="D10" s="7"/>
      <c r="E10" s="7"/>
      <c r="F10" s="7"/>
      <c r="G10" s="7"/>
      <c r="H10" s="11"/>
    </row>
    <row r="11" spans="2:8" ht="18.75" customHeight="1" x14ac:dyDescent="0.25">
      <c r="B11" s="10"/>
      <c r="C11" s="6"/>
      <c r="D11" s="7"/>
      <c r="E11" s="7"/>
      <c r="F11" s="7"/>
      <c r="G11" s="7"/>
      <c r="H11" s="11"/>
    </row>
    <row r="12" spans="2:8" ht="18.75" customHeight="1" x14ac:dyDescent="0.25">
      <c r="B12" s="10" t="s">
        <v>11</v>
      </c>
      <c r="C12" s="6">
        <f>C6</f>
        <v>1</v>
      </c>
      <c r="D12" s="7">
        <v>0.45</v>
      </c>
      <c r="E12" s="7">
        <v>0.9</v>
      </c>
      <c r="F12" s="7">
        <f>SUM(D12*C12+(E12*C12))</f>
        <v>1.35</v>
      </c>
      <c r="G12" s="7"/>
      <c r="H12" s="11"/>
    </row>
    <row r="13" spans="2:8" ht="18.75" customHeight="1" x14ac:dyDescent="0.25">
      <c r="B13" s="10" t="s">
        <v>12</v>
      </c>
      <c r="C13" s="6">
        <v>1</v>
      </c>
      <c r="D13" s="7">
        <v>9</v>
      </c>
      <c r="E13" s="7">
        <v>0.9</v>
      </c>
      <c r="F13" s="7">
        <f>SUM(D13*C13+(E13*C13))</f>
        <v>9.9</v>
      </c>
      <c r="G13" s="7"/>
      <c r="H13" s="11" t="s">
        <v>13</v>
      </c>
    </row>
    <row r="14" spans="2:8" s="3" customFormat="1" ht="18.75" customHeight="1" x14ac:dyDescent="0.25">
      <c r="B14" s="20" t="s">
        <v>14</v>
      </c>
      <c r="C14" s="71"/>
      <c r="D14" s="19">
        <f>SUM(D6*C6+D7*C7+D8*C8+D9*C9+D12*C12+D13*C13)</f>
        <v>34.450000000000003</v>
      </c>
      <c r="E14" s="19">
        <f>SUM(E6*C6+E7*C7+E8*C8+E9*C9+E12*C12+E13*C13)</f>
        <v>2.7</v>
      </c>
      <c r="F14" s="72">
        <f>SUM(F6:F13)</f>
        <v>37.15</v>
      </c>
      <c r="G14" s="18"/>
      <c r="H14" s="21"/>
    </row>
    <row r="15" spans="2:8" ht="18.75" customHeight="1" x14ac:dyDescent="0.25">
      <c r="B15" s="78" t="s">
        <v>41</v>
      </c>
      <c r="C15" s="6">
        <f>C6</f>
        <v>1</v>
      </c>
      <c r="D15" s="7">
        <v>0.27</v>
      </c>
      <c r="E15" s="7">
        <v>0</v>
      </c>
      <c r="F15" s="7">
        <f>SUM(D15*C15)</f>
        <v>0.27</v>
      </c>
      <c r="G15" s="79"/>
      <c r="H15" s="80"/>
    </row>
    <row r="16" spans="2:8" ht="18.75" customHeight="1" x14ac:dyDescent="0.25">
      <c r="B16" s="10" t="s">
        <v>15</v>
      </c>
      <c r="C16" s="6">
        <f>C6</f>
        <v>1</v>
      </c>
      <c r="D16" s="7">
        <v>2.16</v>
      </c>
      <c r="E16" s="7">
        <v>0</v>
      </c>
      <c r="F16" s="7">
        <f>SUM(D16*C16+(E16*C16))</f>
        <v>2.16</v>
      </c>
      <c r="G16" s="7"/>
      <c r="H16" s="11"/>
    </row>
    <row r="17" spans="2:8" ht="18.75" customHeight="1" x14ac:dyDescent="0.25">
      <c r="B17" s="10" t="s">
        <v>16</v>
      </c>
      <c r="C17" s="6">
        <f>(C6*2)</f>
        <v>2</v>
      </c>
      <c r="D17" s="7">
        <v>0</v>
      </c>
      <c r="E17" s="7">
        <v>0</v>
      </c>
      <c r="F17" s="7">
        <f>SUM(D17+E17)*C17</f>
        <v>0</v>
      </c>
      <c r="G17" s="7"/>
      <c r="H17" s="11"/>
    </row>
    <row r="18" spans="2:8" ht="18.75" customHeight="1" x14ac:dyDescent="0.25">
      <c r="B18" s="10" t="s">
        <v>17</v>
      </c>
      <c r="C18" s="6">
        <v>1</v>
      </c>
      <c r="D18" s="7"/>
      <c r="E18" s="7"/>
      <c r="F18" s="7">
        <f>SUM(D18*C18+E18*C18)</f>
        <v>0</v>
      </c>
      <c r="G18" s="7"/>
      <c r="H18" s="11"/>
    </row>
    <row r="19" spans="2:8" ht="18.75" customHeight="1" thickBot="1" x14ac:dyDescent="0.3">
      <c r="B19" s="23" t="s">
        <v>14</v>
      </c>
      <c r="C19" s="243" t="s">
        <v>18</v>
      </c>
      <c r="D19" s="243"/>
      <c r="E19" s="243"/>
      <c r="F19" s="22">
        <f>SUM(F14+F16+F17+F18)</f>
        <v>39.31</v>
      </c>
      <c r="G19" s="24" t="s">
        <v>21</v>
      </c>
      <c r="H19" s="25">
        <f>SUM(F19-E14)</f>
        <v>36.61</v>
      </c>
    </row>
    <row r="20" spans="2:8" ht="18.75" customHeight="1" thickBot="1" x14ac:dyDescent="0.3">
      <c r="B20" s="244"/>
      <c r="C20" s="244"/>
      <c r="D20" s="244"/>
      <c r="E20" s="244"/>
      <c r="F20" s="244"/>
      <c r="G20" s="244"/>
      <c r="H20" s="244"/>
    </row>
    <row r="21" spans="2:8" ht="18.75" customHeight="1" thickBot="1" x14ac:dyDescent="0.3">
      <c r="B21" s="226" t="s">
        <v>44</v>
      </c>
      <c r="C21" s="227"/>
      <c r="D21" s="227"/>
      <c r="E21" s="227"/>
      <c r="F21" s="227"/>
      <c r="G21" s="227"/>
      <c r="H21" s="228"/>
    </row>
    <row r="22" spans="2:8" ht="18.75" customHeight="1" x14ac:dyDescent="0.25">
      <c r="B22" s="14" t="s">
        <v>2</v>
      </c>
      <c r="C22" s="16" t="s">
        <v>4</v>
      </c>
      <c r="D22" s="15" t="s">
        <v>3</v>
      </c>
      <c r="E22" s="15" t="s">
        <v>8</v>
      </c>
      <c r="F22" s="15" t="s">
        <v>5</v>
      </c>
      <c r="G22" s="15" t="s">
        <v>9</v>
      </c>
      <c r="H22" s="17" t="s">
        <v>6</v>
      </c>
    </row>
    <row r="23" spans="2:8" ht="18.75" customHeight="1" x14ac:dyDescent="0.25">
      <c r="B23" s="10" t="s">
        <v>45</v>
      </c>
      <c r="C23" s="6">
        <v>1</v>
      </c>
      <c r="D23" s="7">
        <v>26</v>
      </c>
      <c r="E23" s="7">
        <v>0</v>
      </c>
      <c r="F23" s="7">
        <f>SUM(D23*C23+(E23*C23))</f>
        <v>26</v>
      </c>
      <c r="G23" s="7"/>
      <c r="H23" s="11"/>
    </row>
    <row r="24" spans="2:8" ht="18.75" customHeight="1" x14ac:dyDescent="0.25">
      <c r="B24" s="10" t="s">
        <v>46</v>
      </c>
      <c r="C24" s="6">
        <v>1</v>
      </c>
      <c r="D24" s="7">
        <v>0</v>
      </c>
      <c r="E24" s="7">
        <v>5</v>
      </c>
      <c r="F24" s="7">
        <f t="shared" ref="F24:F25" si="1">SUM(D24*C24+(E24*C24))</f>
        <v>5</v>
      </c>
      <c r="G24" s="7"/>
      <c r="H24" s="11"/>
    </row>
    <row r="25" spans="2:8" ht="18.75" customHeight="1" x14ac:dyDescent="0.25">
      <c r="B25" s="10" t="s">
        <v>37</v>
      </c>
      <c r="C25" s="6">
        <v>1</v>
      </c>
      <c r="D25" s="7">
        <v>0.1</v>
      </c>
      <c r="E25" s="7">
        <v>0</v>
      </c>
      <c r="F25" s="7">
        <f t="shared" si="1"/>
        <v>0.1</v>
      </c>
      <c r="G25" s="7"/>
      <c r="H25" s="11"/>
    </row>
    <row r="26" spans="2:8" ht="18.75" customHeight="1" x14ac:dyDescent="0.25">
      <c r="B26" s="10" t="s">
        <v>38</v>
      </c>
      <c r="C26" s="6">
        <f>C23</f>
        <v>1</v>
      </c>
      <c r="D26" s="7">
        <v>5</v>
      </c>
      <c r="E26" s="7">
        <v>0</v>
      </c>
      <c r="F26" s="7">
        <f>SUM(D26*C26+(E26*C26))</f>
        <v>5</v>
      </c>
      <c r="G26" s="7"/>
      <c r="H26" s="11" t="s">
        <v>10</v>
      </c>
    </row>
    <row r="27" spans="2:8" ht="18.75" customHeight="1" x14ac:dyDescent="0.25">
      <c r="B27" s="10" t="s">
        <v>11</v>
      </c>
      <c r="C27" s="6">
        <f>C23</f>
        <v>1</v>
      </c>
      <c r="D27" s="7">
        <v>0.4</v>
      </c>
      <c r="E27" s="7">
        <v>0.85</v>
      </c>
      <c r="F27" s="7">
        <f>SUM(D27*C27+(E27*C27))</f>
        <v>1.25</v>
      </c>
      <c r="G27" s="7"/>
      <c r="H27" s="11"/>
    </row>
    <row r="28" spans="2:8" ht="18.75" customHeight="1" x14ac:dyDescent="0.25">
      <c r="B28" s="20" t="s">
        <v>14</v>
      </c>
      <c r="C28" s="71"/>
      <c r="D28" s="19">
        <f>SUM(D23*C23+D24*C24+D25*C25+D26*C26+D27*C27)</f>
        <v>31.5</v>
      </c>
      <c r="E28" s="19">
        <f>SUM(E23*C23+E24*C24+E25*C25+E26*C26+E27*C27)</f>
        <v>5.85</v>
      </c>
      <c r="F28" s="72">
        <f>SUM(F23:F27)</f>
        <v>37.35</v>
      </c>
      <c r="G28" s="18"/>
      <c r="H28" s="21"/>
    </row>
    <row r="29" spans="2:8" ht="18.75" customHeight="1" x14ac:dyDescent="0.25">
      <c r="B29" s="10" t="s">
        <v>15</v>
      </c>
      <c r="C29" s="6">
        <f>C23</f>
        <v>1</v>
      </c>
      <c r="D29" s="7">
        <v>1.24</v>
      </c>
      <c r="E29" s="7">
        <v>0</v>
      </c>
      <c r="F29" s="7">
        <f>SUM(D29*C29+(E29*C29))</f>
        <v>1.24</v>
      </c>
      <c r="G29" s="7"/>
      <c r="H29" s="11"/>
    </row>
    <row r="30" spans="2:8" ht="18.75" customHeight="1" x14ac:dyDescent="0.25">
      <c r="B30" s="10" t="s">
        <v>109</v>
      </c>
      <c r="C30" s="6">
        <v>1</v>
      </c>
      <c r="D30" s="7">
        <v>0.22</v>
      </c>
      <c r="E30" s="7">
        <v>0.5</v>
      </c>
      <c r="F30" s="7">
        <f>SUM(D30*C30+(E30*C30))</f>
        <v>0.72</v>
      </c>
      <c r="G30" s="7"/>
      <c r="H30" s="11" t="s">
        <v>111</v>
      </c>
    </row>
    <row r="31" spans="2:8" ht="18.75" customHeight="1" x14ac:dyDescent="0.25">
      <c r="B31" s="10" t="s">
        <v>17</v>
      </c>
      <c r="C31" s="6">
        <v>1</v>
      </c>
      <c r="D31" s="7"/>
      <c r="E31" s="7">
        <v>0</v>
      </c>
      <c r="F31" s="7">
        <v>0</v>
      </c>
      <c r="G31" s="7"/>
      <c r="H31" s="11"/>
    </row>
    <row r="32" spans="2:8" ht="18.75" customHeight="1" x14ac:dyDescent="0.25">
      <c r="B32" s="55" t="s">
        <v>18</v>
      </c>
      <c r="C32" s="232">
        <f>SUM(F29:F31)</f>
        <v>1.96</v>
      </c>
      <c r="D32" s="233"/>
      <c r="E32" s="233"/>
      <c r="F32" s="234"/>
      <c r="G32" s="73"/>
      <c r="H32" s="74"/>
    </row>
    <row r="33" spans="2:8" ht="18.75" customHeight="1" thickBot="1" x14ac:dyDescent="0.3">
      <c r="B33" s="23" t="s">
        <v>14</v>
      </c>
      <c r="C33" s="229" t="s">
        <v>18</v>
      </c>
      <c r="D33" s="230"/>
      <c r="E33" s="231"/>
      <c r="F33" s="75">
        <f>SUM(F28+C32)</f>
        <v>39.31</v>
      </c>
      <c r="G33" s="24" t="s">
        <v>21</v>
      </c>
      <c r="H33" s="25"/>
    </row>
    <row r="34" spans="2:8" ht="18.75" customHeight="1" thickBot="1" x14ac:dyDescent="0.3"/>
    <row r="35" spans="2:8" ht="18.75" customHeight="1" thickBot="1" x14ac:dyDescent="0.3">
      <c r="B35" s="226" t="s">
        <v>26</v>
      </c>
      <c r="C35" s="227"/>
      <c r="D35" s="227"/>
      <c r="E35" s="227"/>
      <c r="F35" s="227"/>
      <c r="G35" s="227"/>
      <c r="H35" s="228"/>
    </row>
    <row r="36" spans="2:8" ht="18.75" customHeight="1" x14ac:dyDescent="0.25">
      <c r="B36" s="14" t="s">
        <v>2</v>
      </c>
      <c r="C36" s="16" t="s">
        <v>4</v>
      </c>
      <c r="D36" s="15" t="s">
        <v>3</v>
      </c>
      <c r="E36" s="15" t="s">
        <v>8</v>
      </c>
      <c r="F36" s="15" t="s">
        <v>5</v>
      </c>
      <c r="G36" s="15" t="s">
        <v>9</v>
      </c>
      <c r="H36" s="17" t="s">
        <v>6</v>
      </c>
    </row>
    <row r="37" spans="2:8" ht="18.75" customHeight="1" x14ac:dyDescent="0.25">
      <c r="B37" s="10" t="s">
        <v>36</v>
      </c>
      <c r="C37" s="6">
        <v>50</v>
      </c>
      <c r="D37" s="7">
        <v>18</v>
      </c>
      <c r="E37" s="7">
        <v>0</v>
      </c>
      <c r="F37" s="7">
        <f>SUM(D37*C37+(E37*C37))</f>
        <v>900</v>
      </c>
      <c r="G37" s="7"/>
      <c r="H37" s="11"/>
    </row>
    <row r="38" spans="2:8" ht="18.75" customHeight="1" x14ac:dyDescent="0.25">
      <c r="B38" s="10" t="s">
        <v>33</v>
      </c>
      <c r="C38" s="6">
        <v>0</v>
      </c>
      <c r="D38" s="7">
        <v>0</v>
      </c>
      <c r="E38" s="7">
        <v>5</v>
      </c>
      <c r="F38" s="7">
        <f t="shared" ref="F38:F39" si="2">SUM(D38*C38+(E38*C38))</f>
        <v>0</v>
      </c>
      <c r="G38" s="7"/>
      <c r="H38" s="11"/>
    </row>
    <row r="39" spans="2:8" ht="18.75" customHeight="1" x14ac:dyDescent="0.25">
      <c r="B39" s="10" t="s">
        <v>37</v>
      </c>
      <c r="C39" s="6">
        <v>0</v>
      </c>
      <c r="D39" s="7">
        <v>0</v>
      </c>
      <c r="E39" s="7">
        <v>0</v>
      </c>
      <c r="F39" s="7">
        <f t="shared" si="2"/>
        <v>0</v>
      </c>
      <c r="G39" s="7"/>
      <c r="H39" s="11"/>
    </row>
    <row r="40" spans="2:8" ht="18.75" customHeight="1" x14ac:dyDescent="0.25">
      <c r="B40" s="10" t="s">
        <v>38</v>
      </c>
      <c r="C40" s="6">
        <f>C37</f>
        <v>50</v>
      </c>
      <c r="D40" s="7">
        <v>5</v>
      </c>
      <c r="E40" s="7">
        <v>0</v>
      </c>
      <c r="F40" s="7">
        <f>SUM(D40*C40+(E40*C40))</f>
        <v>250</v>
      </c>
      <c r="G40" s="7"/>
      <c r="H40" s="11" t="s">
        <v>10</v>
      </c>
    </row>
    <row r="41" spans="2:8" ht="18.75" customHeight="1" x14ac:dyDescent="0.25">
      <c r="B41" s="10" t="s">
        <v>11</v>
      </c>
      <c r="C41" s="6">
        <f>C37</f>
        <v>50</v>
      </c>
      <c r="D41" s="7">
        <v>0.4</v>
      </c>
      <c r="E41" s="7">
        <v>0.85</v>
      </c>
      <c r="F41" s="7">
        <f>SUM(D41*C41+(E41*C41))</f>
        <v>62.5</v>
      </c>
      <c r="G41" s="7"/>
      <c r="H41" s="11"/>
    </row>
    <row r="42" spans="2:8" ht="18.75" customHeight="1" x14ac:dyDescent="0.25">
      <c r="B42" s="10" t="s">
        <v>12</v>
      </c>
      <c r="C42" s="6">
        <f>C37</f>
        <v>50</v>
      </c>
      <c r="D42" s="7">
        <v>9.5</v>
      </c>
      <c r="E42" s="7">
        <v>0.85</v>
      </c>
      <c r="F42" s="7">
        <f>SUM(D42*C42+(E42*C42))</f>
        <v>517.5</v>
      </c>
      <c r="G42" s="7"/>
      <c r="H42" s="11"/>
    </row>
    <row r="43" spans="2:8" ht="18.75" customHeight="1" x14ac:dyDescent="0.25">
      <c r="B43" s="20" t="s">
        <v>14</v>
      </c>
      <c r="C43" s="71"/>
      <c r="D43" s="19">
        <f>SUM(D37*C37+D38*C38+D39*C39+D40*C40+D41*C41+D42*C42)</f>
        <v>1645</v>
      </c>
      <c r="E43" s="19">
        <f>SUM(E37*C37+E38*C38+E39*C39+E40*C40+E41*C41+E42*C42)</f>
        <v>85</v>
      </c>
      <c r="F43" s="72">
        <f>SUM(F37:F42)</f>
        <v>1730</v>
      </c>
      <c r="G43" s="18"/>
      <c r="H43" s="21"/>
    </row>
    <row r="44" spans="2:8" ht="18.75" customHeight="1" x14ac:dyDescent="0.25">
      <c r="B44" s="10" t="s">
        <v>15</v>
      </c>
      <c r="C44" s="6">
        <f>C37</f>
        <v>50</v>
      </c>
      <c r="D44" s="7">
        <v>2.8</v>
      </c>
      <c r="E44" s="7">
        <v>0</v>
      </c>
      <c r="F44" s="7">
        <f>SUM(D44*C44+(E44*C44))</f>
        <v>140</v>
      </c>
      <c r="G44" s="7"/>
      <c r="H44" s="11"/>
    </row>
    <row r="45" spans="2:8" ht="18.75" customHeight="1" x14ac:dyDescent="0.25">
      <c r="B45" s="10" t="s">
        <v>109</v>
      </c>
      <c r="C45" s="6">
        <f>C37</f>
        <v>50</v>
      </c>
      <c r="D45" s="7">
        <v>0.22</v>
      </c>
      <c r="E45" s="7">
        <v>0.5</v>
      </c>
      <c r="F45" s="7">
        <f>SUM(D45*C45+(E45*C45))</f>
        <v>36</v>
      </c>
      <c r="G45" s="7"/>
      <c r="H45" s="11" t="s">
        <v>110</v>
      </c>
    </row>
    <row r="46" spans="2:8" ht="18.75" customHeight="1" x14ac:dyDescent="0.25">
      <c r="B46" s="10" t="s">
        <v>17</v>
      </c>
      <c r="C46" s="6">
        <v>1</v>
      </c>
      <c r="D46" s="7"/>
      <c r="E46" s="7"/>
      <c r="F46" s="7">
        <f>SUM(D46*C46+E46*C46)</f>
        <v>0</v>
      </c>
      <c r="G46" s="7"/>
      <c r="H46" s="11"/>
    </row>
    <row r="47" spans="2:8" ht="18.75" customHeight="1" x14ac:dyDescent="0.25">
      <c r="B47" s="55" t="s">
        <v>18</v>
      </c>
      <c r="C47" s="232">
        <f>SUM(F44:F46)</f>
        <v>176</v>
      </c>
      <c r="D47" s="233"/>
      <c r="E47" s="233"/>
      <c r="F47" s="234"/>
      <c r="G47" s="73"/>
      <c r="H47" s="74"/>
    </row>
    <row r="48" spans="2:8" ht="18.75" customHeight="1" thickBot="1" x14ac:dyDescent="0.3">
      <c r="B48" s="23" t="s">
        <v>14</v>
      </c>
      <c r="C48" s="229" t="s">
        <v>18</v>
      </c>
      <c r="D48" s="230"/>
      <c r="E48" s="231"/>
      <c r="F48" s="22">
        <f>SUM(F43+C47)</f>
        <v>1906</v>
      </c>
      <c r="G48" s="24" t="s">
        <v>21</v>
      </c>
      <c r="H48" s="25"/>
    </row>
  </sheetData>
  <mergeCells count="10">
    <mergeCell ref="B35:H35"/>
    <mergeCell ref="C48:E48"/>
    <mergeCell ref="C32:F32"/>
    <mergeCell ref="C47:F47"/>
    <mergeCell ref="B2:H3"/>
    <mergeCell ref="B4:H4"/>
    <mergeCell ref="C19:E19"/>
    <mergeCell ref="C33:E33"/>
    <mergeCell ref="B20:H20"/>
    <mergeCell ref="B21:H2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F14 F4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abSelected="1" workbookViewId="0">
      <selection activeCell="F24" sqref="F24"/>
    </sheetView>
  </sheetViews>
  <sheetFormatPr defaultColWidth="4.42578125" defaultRowHeight="18.75" customHeight="1" x14ac:dyDescent="0.25"/>
  <cols>
    <col min="1" max="1" width="4.42578125" style="116"/>
    <col min="2" max="2" width="12.7109375" style="87" bestFit="1" customWidth="1"/>
    <col min="3" max="3" width="27.140625" style="116" bestFit="1" customWidth="1"/>
    <col min="4" max="4" width="13.85546875" style="107" bestFit="1" customWidth="1"/>
    <col min="5" max="5" width="7.85546875" style="86" bestFit="1" customWidth="1"/>
    <col min="6" max="6" width="16.28515625" style="116" bestFit="1" customWidth="1"/>
    <col min="7" max="16384" width="4.42578125" style="116"/>
  </cols>
  <sheetData>
    <row r="1" spans="2:7" s="77" customFormat="1" ht="22.5" customHeight="1" thickBot="1" x14ac:dyDescent="0.3">
      <c r="D1" s="108"/>
    </row>
    <row r="2" spans="2:7" s="77" customFormat="1" ht="22.5" customHeight="1" x14ac:dyDescent="0.25">
      <c r="B2" s="253" t="s">
        <v>78</v>
      </c>
      <c r="C2" s="254"/>
      <c r="D2" s="254"/>
      <c r="E2" s="254"/>
      <c r="F2" s="255"/>
    </row>
    <row r="3" spans="2:7" s="77" customFormat="1" ht="22.5" customHeight="1" x14ac:dyDescent="0.25">
      <c r="B3" s="133">
        <f ca="1">NOW()</f>
        <v>44591.923105092596</v>
      </c>
      <c r="C3" s="256">
        <f ca="1">TODAY()</f>
        <v>44591</v>
      </c>
      <c r="D3" s="256"/>
      <c r="E3" s="256"/>
      <c r="F3" s="257"/>
    </row>
    <row r="4" spans="2:7" s="77" customFormat="1" ht="22.5" customHeight="1" x14ac:dyDescent="0.25">
      <c r="B4" s="131" t="s">
        <v>79</v>
      </c>
      <c r="C4" s="132">
        <v>0</v>
      </c>
      <c r="D4" s="125"/>
      <c r="E4" s="126"/>
      <c r="F4" s="127"/>
    </row>
    <row r="5" spans="2:7" s="77" customFormat="1" ht="22.5" customHeight="1" thickBot="1" x14ac:dyDescent="0.3">
      <c r="B5" s="258"/>
      <c r="C5" s="259"/>
      <c r="D5" s="128"/>
      <c r="E5" s="129"/>
      <c r="F5" s="130"/>
    </row>
    <row r="6" spans="2:7" s="77" customFormat="1" ht="22.5" customHeight="1" x14ac:dyDescent="0.25">
      <c r="B6" s="250" t="s">
        <v>95</v>
      </c>
      <c r="C6" s="251"/>
      <c r="D6" s="251"/>
      <c r="E6" s="251"/>
      <c r="F6" s="252"/>
      <c r="G6" s="115"/>
    </row>
    <row r="7" spans="2:7" s="77" customFormat="1" ht="22.5" customHeight="1" x14ac:dyDescent="0.25">
      <c r="B7" s="245" t="s">
        <v>107</v>
      </c>
      <c r="C7" s="246"/>
      <c r="D7" s="247">
        <f>SUM(D9*E9+D10*E10+D11*E11+D12*E12+D13*E13+D14*E14+D15*E15+D16*E16+D17*E17)</f>
        <v>0</v>
      </c>
      <c r="E7" s="247"/>
      <c r="F7" s="260"/>
    </row>
    <row r="8" spans="2:7" s="87" customFormat="1" ht="18.75" customHeight="1" x14ac:dyDescent="0.25">
      <c r="B8" s="134" t="s">
        <v>48</v>
      </c>
      <c r="C8" s="135" t="s">
        <v>2</v>
      </c>
      <c r="D8" s="136" t="s">
        <v>80</v>
      </c>
      <c r="E8" s="135" t="s">
        <v>4</v>
      </c>
      <c r="F8" s="137" t="s">
        <v>88</v>
      </c>
    </row>
    <row r="9" spans="2:7" ht="18.75" customHeight="1" x14ac:dyDescent="0.25">
      <c r="B9" s="117">
        <v>1</v>
      </c>
      <c r="C9" s="118" t="s">
        <v>81</v>
      </c>
      <c r="D9" s="119">
        <v>2000</v>
      </c>
      <c r="E9" s="98">
        <v>0</v>
      </c>
      <c r="F9" s="120" t="s">
        <v>91</v>
      </c>
    </row>
    <row r="10" spans="2:7" ht="18.75" customHeight="1" x14ac:dyDescent="0.25">
      <c r="B10" s="117">
        <v>2</v>
      </c>
      <c r="C10" s="118" t="s">
        <v>82</v>
      </c>
      <c r="D10" s="119">
        <v>500</v>
      </c>
      <c r="E10" s="98">
        <v>0</v>
      </c>
      <c r="F10" s="120" t="s">
        <v>91</v>
      </c>
    </row>
    <row r="11" spans="2:7" ht="18.75" customHeight="1" x14ac:dyDescent="0.25">
      <c r="B11" s="117">
        <v>3</v>
      </c>
      <c r="C11" s="118" t="s">
        <v>83</v>
      </c>
      <c r="D11" s="119">
        <v>150</v>
      </c>
      <c r="E11" s="98">
        <v>0</v>
      </c>
      <c r="F11" s="120" t="s">
        <v>91</v>
      </c>
    </row>
    <row r="12" spans="2:7" ht="18.75" customHeight="1" x14ac:dyDescent="0.25">
      <c r="B12" s="117">
        <v>4</v>
      </c>
      <c r="C12" s="118" t="s">
        <v>84</v>
      </c>
      <c r="D12" s="119">
        <v>250</v>
      </c>
      <c r="E12" s="98">
        <v>0</v>
      </c>
      <c r="F12" s="120" t="s">
        <v>92</v>
      </c>
    </row>
    <row r="13" spans="2:7" ht="18.75" customHeight="1" x14ac:dyDescent="0.25">
      <c r="B13" s="117">
        <v>5</v>
      </c>
      <c r="C13" s="118" t="s">
        <v>85</v>
      </c>
      <c r="D13" s="119">
        <v>0</v>
      </c>
      <c r="E13" s="98">
        <v>0</v>
      </c>
      <c r="F13" s="120" t="s">
        <v>92</v>
      </c>
    </row>
    <row r="14" spans="2:7" ht="18.75" customHeight="1" x14ac:dyDescent="0.25">
      <c r="B14" s="117">
        <v>6</v>
      </c>
      <c r="C14" s="118" t="s">
        <v>86</v>
      </c>
      <c r="D14" s="119">
        <v>0</v>
      </c>
      <c r="E14" s="98">
        <v>0</v>
      </c>
      <c r="F14" s="120" t="s">
        <v>92</v>
      </c>
    </row>
    <row r="15" spans="2:7" ht="18.75" customHeight="1" x14ac:dyDescent="0.25">
      <c r="B15" s="117">
        <v>7</v>
      </c>
      <c r="C15" s="118" t="s">
        <v>89</v>
      </c>
      <c r="D15" s="119">
        <v>0</v>
      </c>
      <c r="E15" s="98">
        <v>0</v>
      </c>
      <c r="F15" s="120" t="s">
        <v>87</v>
      </c>
    </row>
    <row r="16" spans="2:7" ht="18.75" customHeight="1" x14ac:dyDescent="0.25">
      <c r="B16" s="117">
        <v>8</v>
      </c>
      <c r="C16" s="118" t="s">
        <v>90</v>
      </c>
      <c r="D16" s="119">
        <v>0</v>
      </c>
      <c r="E16" s="98">
        <v>0</v>
      </c>
      <c r="F16" s="120" t="s">
        <v>93</v>
      </c>
    </row>
    <row r="17" spans="2:6" ht="18.75" customHeight="1" x14ac:dyDescent="0.25">
      <c r="B17" s="117">
        <v>9</v>
      </c>
      <c r="C17" s="118" t="s">
        <v>17</v>
      </c>
      <c r="D17" s="119">
        <v>0</v>
      </c>
      <c r="E17" s="98">
        <v>0</v>
      </c>
      <c r="F17" s="120" t="s">
        <v>94</v>
      </c>
    </row>
    <row r="18" spans="2:6" ht="18.75" customHeight="1" x14ac:dyDescent="0.25">
      <c r="B18" s="117">
        <v>10</v>
      </c>
      <c r="C18" s="118" t="s">
        <v>108</v>
      </c>
      <c r="D18" s="119">
        <v>0</v>
      </c>
      <c r="E18" s="98">
        <v>0</v>
      </c>
      <c r="F18" s="120" t="s">
        <v>108</v>
      </c>
    </row>
    <row r="19" spans="2:6" ht="18.75" customHeight="1" thickBot="1" x14ac:dyDescent="0.3">
      <c r="B19" s="121"/>
      <c r="C19" s="122"/>
      <c r="D19" s="123"/>
      <c r="E19" s="103"/>
      <c r="F19" s="124"/>
    </row>
    <row r="20" spans="2:6" ht="18.75" customHeight="1" x14ac:dyDescent="0.25">
      <c r="B20" s="250" t="s">
        <v>96</v>
      </c>
      <c r="C20" s="251"/>
      <c r="D20" s="251"/>
      <c r="E20" s="251"/>
      <c r="F20" s="252"/>
    </row>
    <row r="21" spans="2:6" ht="18.75" customHeight="1" x14ac:dyDescent="0.25">
      <c r="B21" s="245" t="s">
        <v>106</v>
      </c>
      <c r="C21" s="246"/>
      <c r="D21" s="247">
        <f>SUM(D23*E23+D24*E24+D25*E25+D26*E26+D27*E27+D28*E28+D29*E29+D30*E30+D31*E31+D32*E32)</f>
        <v>3750</v>
      </c>
      <c r="E21" s="248"/>
      <c r="F21" s="249"/>
    </row>
    <row r="22" spans="2:6" s="87" customFormat="1" ht="18.75" customHeight="1" x14ac:dyDescent="0.25">
      <c r="B22" s="134" t="s">
        <v>48</v>
      </c>
      <c r="C22" s="135" t="s">
        <v>2</v>
      </c>
      <c r="D22" s="136" t="s">
        <v>80</v>
      </c>
      <c r="E22" s="135" t="s">
        <v>4</v>
      </c>
      <c r="F22" s="137" t="s">
        <v>105</v>
      </c>
    </row>
    <row r="23" spans="2:6" ht="18.75" customHeight="1" x14ac:dyDescent="0.25">
      <c r="B23" s="117">
        <v>1</v>
      </c>
      <c r="C23" s="118" t="s">
        <v>98</v>
      </c>
      <c r="D23" s="119">
        <v>65</v>
      </c>
      <c r="E23" s="98">
        <v>0</v>
      </c>
      <c r="F23" s="120"/>
    </row>
    <row r="24" spans="2:6" ht="18.75" customHeight="1" x14ac:dyDescent="0.25">
      <c r="B24" s="117">
        <v>2</v>
      </c>
      <c r="C24" s="118" t="s">
        <v>97</v>
      </c>
      <c r="D24" s="119">
        <v>75</v>
      </c>
      <c r="E24" s="98">
        <v>50</v>
      </c>
      <c r="F24" s="120"/>
    </row>
    <row r="25" spans="2:6" ht="18.75" customHeight="1" x14ac:dyDescent="0.25">
      <c r="B25" s="117">
        <v>3</v>
      </c>
      <c r="C25" s="118" t="s">
        <v>99</v>
      </c>
      <c r="D25" s="119">
        <v>80</v>
      </c>
      <c r="E25" s="98">
        <v>0</v>
      </c>
      <c r="F25" s="120"/>
    </row>
    <row r="26" spans="2:6" ht="18.75" customHeight="1" x14ac:dyDescent="0.25">
      <c r="B26" s="117">
        <v>4</v>
      </c>
      <c r="C26" s="118" t="s">
        <v>100</v>
      </c>
      <c r="D26" s="119">
        <v>60</v>
      </c>
      <c r="E26" s="98">
        <v>0</v>
      </c>
      <c r="F26" s="120"/>
    </row>
    <row r="27" spans="2:6" ht="18.75" customHeight="1" x14ac:dyDescent="0.25">
      <c r="B27" s="117">
        <v>5</v>
      </c>
      <c r="C27" s="118" t="s">
        <v>101</v>
      </c>
      <c r="D27" s="119">
        <v>70</v>
      </c>
      <c r="E27" s="98">
        <v>0</v>
      </c>
      <c r="F27" s="120"/>
    </row>
    <row r="28" spans="2:6" ht="18.75" customHeight="1" x14ac:dyDescent="0.25">
      <c r="B28" s="117">
        <v>6</v>
      </c>
      <c r="C28" s="118" t="s">
        <v>102</v>
      </c>
      <c r="D28" s="119">
        <v>80</v>
      </c>
      <c r="E28" s="98">
        <v>0</v>
      </c>
      <c r="F28" s="120"/>
    </row>
    <row r="29" spans="2:6" ht="18.75" customHeight="1" x14ac:dyDescent="0.25">
      <c r="B29" s="117">
        <v>7</v>
      </c>
      <c r="C29" s="118" t="s">
        <v>103</v>
      </c>
      <c r="D29" s="119">
        <v>0</v>
      </c>
      <c r="E29" s="98">
        <v>0</v>
      </c>
      <c r="F29" s="120"/>
    </row>
    <row r="30" spans="2:6" ht="18.75" customHeight="1" x14ac:dyDescent="0.25">
      <c r="B30" s="117">
        <v>8</v>
      </c>
      <c r="C30" s="118" t="s">
        <v>104</v>
      </c>
      <c r="D30" s="119">
        <v>0</v>
      </c>
      <c r="E30" s="98">
        <v>0</v>
      </c>
      <c r="F30" s="120"/>
    </row>
    <row r="31" spans="2:6" ht="18.75" customHeight="1" x14ac:dyDescent="0.25">
      <c r="B31" s="117">
        <v>9</v>
      </c>
      <c r="C31" s="118" t="s">
        <v>34</v>
      </c>
      <c r="D31" s="119">
        <v>0</v>
      </c>
      <c r="E31" s="98">
        <v>0</v>
      </c>
      <c r="F31" s="120"/>
    </row>
    <row r="32" spans="2:6" ht="18.75" customHeight="1" x14ac:dyDescent="0.25">
      <c r="B32" s="117">
        <v>10</v>
      </c>
      <c r="C32" s="118" t="s">
        <v>35</v>
      </c>
      <c r="D32" s="119">
        <v>0</v>
      </c>
      <c r="E32" s="98">
        <v>0</v>
      </c>
      <c r="F32" s="120"/>
    </row>
    <row r="33" spans="2:6" ht="18.75" customHeight="1" thickBot="1" x14ac:dyDescent="0.3">
      <c r="B33" s="121"/>
      <c r="C33" s="122"/>
      <c r="D33" s="123"/>
      <c r="E33" s="103"/>
      <c r="F33" s="124"/>
    </row>
  </sheetData>
  <mergeCells count="9">
    <mergeCell ref="B21:C21"/>
    <mergeCell ref="D21:F21"/>
    <mergeCell ref="B20:F20"/>
    <mergeCell ref="B2:F2"/>
    <mergeCell ref="C3:F3"/>
    <mergeCell ref="B5:C5"/>
    <mergeCell ref="D7:F7"/>
    <mergeCell ref="B7:C7"/>
    <mergeCell ref="B6:F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VISÃO GERAL</vt:lpstr>
      <vt:lpstr>DIVISÃO DE LUCRO</vt:lpstr>
      <vt:lpstr>INVEST. INICIAL</vt:lpstr>
      <vt:lpstr>DESPESAS DA EMPRESA</vt:lpstr>
      <vt:lpstr>VALOR GERAL DE VENDAS</vt:lpstr>
      <vt:lpstr>CUSTO PRODUÇÃO</vt:lpstr>
      <vt:lpstr>FINANCIEIRO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Alcantara</dc:creator>
  <cp:lastModifiedBy>Levi</cp:lastModifiedBy>
  <dcterms:created xsi:type="dcterms:W3CDTF">2020-08-08T15:02:04Z</dcterms:created>
  <dcterms:modified xsi:type="dcterms:W3CDTF">2022-01-31T01:09:24Z</dcterms:modified>
</cp:coreProperties>
</file>