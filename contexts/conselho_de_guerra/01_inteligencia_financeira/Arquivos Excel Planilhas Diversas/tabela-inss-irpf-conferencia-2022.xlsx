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@DP\"/>
    </mc:Choice>
  </mc:AlternateContent>
  <bookViews>
    <workbookView xWindow="0" yWindow="0" windowWidth="20490" windowHeight="7755"/>
  </bookViews>
  <sheets>
    <sheet name="2022" sheetId="4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4" l="1"/>
  <c r="O14" i="4"/>
  <c r="O13" i="4"/>
  <c r="O12" i="4"/>
  <c r="N12" i="4"/>
  <c r="D17" i="4" l="1"/>
  <c r="D18" i="4" s="1"/>
</calcChain>
</file>

<file path=xl/sharedStrings.xml><?xml version="1.0" encoding="utf-8"?>
<sst xmlns="http://schemas.openxmlformats.org/spreadsheetml/2006/main" count="21" uniqueCount="16">
  <si>
    <t>Remuneração</t>
  </si>
  <si>
    <t>%</t>
  </si>
  <si>
    <t>Tabela IRPF</t>
  </si>
  <si>
    <t>Tabela INSS</t>
  </si>
  <si>
    <t xml:space="preserve">dep </t>
  </si>
  <si>
    <t>TABELA INSS e IRPF 2022 - conferencia</t>
  </si>
  <si>
    <t>Conferencia PD</t>
  </si>
  <si>
    <t>INSS a descontar</t>
  </si>
  <si>
    <t>IRPF</t>
  </si>
  <si>
    <t>*Tabela a ser aprovada pelo INSS , porém com base no novo salário mínimo</t>
  </si>
  <si>
    <t>Deduzir</t>
  </si>
  <si>
    <t>Até</t>
  </si>
  <si>
    <t>contribuição máxima teto</t>
  </si>
  <si>
    <t>acima</t>
  </si>
  <si>
    <t>preencher</t>
  </si>
  <si>
    <t>Calculadora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</si>
</sst>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">
    <xf numFmtId="0" fontId="0" fillId="0" borderId="0" xfId="0"/>
    <xf numFmtId="43" fontId="0" fillId="0" borderId="0" xfId="1" applyFont="1"/>
    <xf numFmtId="9" fontId="0" fillId="0" borderId="0" xfId="0" applyNumberFormat="1"/>
    <xf numFmtId="9" fontId="0" fillId="0" borderId="0" xfId="3" applyFont="1"/>
    <xf numFmtId="10" fontId="0" fillId="0" borderId="0" xfId="0" applyNumberFormat="1"/>
    <xf numFmtId="43" fontId="0" fillId="0" borderId="0" xfId="0" applyNumberFormat="1"/>
    <xf numFmtId="10" fontId="0" fillId="0" borderId="0" xfId="3" applyNumberFormat="1" applyFont="1"/>
    <xf numFmtId="0" fontId="2" fillId="0" borderId="0" xfId="0" applyFont="1"/>
    <xf numFmtId="0" fontId="3" fillId="0" borderId="0" xfId="0" applyFont="1"/>
    <xf numFmtId="0" fontId="0" fillId="0" borderId="0" xfId="0" applyFont="1"/>
    <xf numFmtId="0" fontId="0" fillId="0" borderId="0" xfId="0" applyFill="1"/>
    <xf numFmtId="0" fontId="0" fillId="0" borderId="0" xfId="0" applyFill="1" applyAlignment="1">
      <alignment horizontal="center"/>
    </xf>
    <xf numFmtId="0" fontId="0" fillId="0" borderId="1" xfId="0" applyBorder="1"/>
    <xf numFmtId="43" fontId="0" fillId="0" borderId="1" xfId="1" applyFont="1" applyBorder="1"/>
    <xf numFmtId="10" fontId="0" fillId="0" borderId="1" xfId="0" applyNumberFormat="1" applyBorder="1"/>
    <xf numFmtId="9" fontId="0" fillId="0" borderId="1" xfId="0" applyNumberFormat="1" applyBorder="1"/>
    <xf numFmtId="43" fontId="0" fillId="0" borderId="1" xfId="0" applyNumberFormat="1" applyBorder="1"/>
    <xf numFmtId="0" fontId="2" fillId="2" borderId="0" xfId="0" applyFont="1" applyFill="1"/>
    <xf numFmtId="0" fontId="0" fillId="2" borderId="0" xfId="0" applyFill="1"/>
    <xf numFmtId="0" fontId="3" fillId="0" borderId="0" xfId="0" applyFont="1" applyFill="1" applyBorder="1"/>
    <xf numFmtId="44" fontId="4" fillId="0" borderId="0" xfId="2" applyFont="1" applyFill="1" applyBorder="1"/>
    <xf numFmtId="0" fontId="3" fillId="0" borderId="0" xfId="0" applyFont="1" applyFill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9" fontId="0" fillId="0" borderId="1" xfId="3" applyFont="1" applyBorder="1"/>
    <xf numFmtId="10" fontId="0" fillId="0" borderId="1" xfId="3" applyNumberFormat="1" applyFont="1" applyBorder="1"/>
    <xf numFmtId="44" fontId="5" fillId="0" borderId="1" xfId="2" applyFont="1" applyFill="1" applyBorder="1"/>
    <xf numFmtId="0" fontId="5" fillId="3" borderId="1" xfId="0" applyFont="1" applyFill="1" applyBorder="1"/>
    <xf numFmtId="44" fontId="5" fillId="3" borderId="1" xfId="2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1</xdr:row>
      <xdr:rowOff>19050</xdr:rowOff>
    </xdr:from>
    <xdr:to>
      <xdr:col>1</xdr:col>
      <xdr:colOff>933450</xdr:colOff>
      <xdr:row>6</xdr:row>
      <xdr:rowOff>81534</xdr:rowOff>
    </xdr:to>
    <xdr:pic>
      <xdr:nvPicPr>
        <xdr:cNvPr id="2" name="Imagem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864" y="257175"/>
          <a:ext cx="906236" cy="101498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>
      <selection activeCell="C5" sqref="C5"/>
    </sheetView>
  </sheetViews>
  <sheetFormatPr defaultRowHeight="15" x14ac:dyDescent="0.25"/>
  <cols>
    <col min="1" max="1" width="3.7109375" customWidth="1"/>
    <col min="2" max="2" width="26.85546875" customWidth="1"/>
    <col min="4" max="4" width="18" bestFit="1" customWidth="1"/>
    <col min="5" max="5" width="2.28515625" customWidth="1"/>
    <col min="6" max="6" width="7" customWidth="1"/>
    <col min="7" max="7" width="14.7109375" customWidth="1"/>
    <col min="8" max="9" width="13.28515625" customWidth="1"/>
    <col min="10" max="10" width="7" customWidth="1"/>
    <col min="12" max="12" width="9.5703125" bestFit="1" customWidth="1"/>
  </cols>
  <sheetData>
    <row r="1" spans="1:16" ht="18.75" x14ac:dyDescent="0.3">
      <c r="B1" s="30" t="s">
        <v>5</v>
      </c>
      <c r="C1" s="17"/>
      <c r="D1" s="17"/>
    </row>
    <row r="2" spans="1:16" x14ac:dyDescent="0.25">
      <c r="G2" s="17" t="s">
        <v>2</v>
      </c>
      <c r="H2" s="18"/>
      <c r="I2" s="18"/>
      <c r="L2" s="7" t="s">
        <v>2</v>
      </c>
    </row>
    <row r="3" spans="1:16" x14ac:dyDescent="0.25">
      <c r="A3" s="19"/>
      <c r="B3" s="19"/>
      <c r="C3" s="19"/>
      <c r="D3" s="8"/>
      <c r="E3" s="8"/>
      <c r="G3" s="12" t="s">
        <v>11</v>
      </c>
      <c r="H3" s="12" t="s">
        <v>1</v>
      </c>
      <c r="I3" s="12" t="s">
        <v>10</v>
      </c>
      <c r="L3">
        <v>0</v>
      </c>
      <c r="M3" s="3">
        <v>0</v>
      </c>
      <c r="N3" s="1">
        <v>0</v>
      </c>
      <c r="O3" t="s">
        <v>4</v>
      </c>
      <c r="P3">
        <v>189.59</v>
      </c>
    </row>
    <row r="4" spans="1:16" x14ac:dyDescent="0.25">
      <c r="A4" s="19"/>
      <c r="B4" s="20"/>
      <c r="C4" s="19"/>
      <c r="D4" s="8"/>
      <c r="E4" s="8"/>
      <c r="G4" s="13">
        <v>1903.98</v>
      </c>
      <c r="H4" s="24">
        <v>0</v>
      </c>
      <c r="I4" s="13">
        <v>0</v>
      </c>
      <c r="L4" s="1">
        <v>1903.98</v>
      </c>
      <c r="M4" s="6">
        <v>7.4999999999999997E-2</v>
      </c>
      <c r="N4" s="1">
        <v>-142.5</v>
      </c>
    </row>
    <row r="5" spans="1:16" s="9" customFormat="1" x14ac:dyDescent="0.25">
      <c r="A5" s="19"/>
      <c r="E5" s="8"/>
      <c r="G5" s="13">
        <v>2826.65</v>
      </c>
      <c r="H5" s="25">
        <v>7.4999999999999997E-2</v>
      </c>
      <c r="I5" s="13">
        <v>-142.5</v>
      </c>
      <c r="L5" s="1">
        <v>2826.66</v>
      </c>
      <c r="M5" s="6">
        <v>0.15</v>
      </c>
      <c r="N5" s="1">
        <v>-354.8</v>
      </c>
    </row>
    <row r="6" spans="1:16" x14ac:dyDescent="0.25">
      <c r="A6" s="21"/>
      <c r="E6" s="21"/>
      <c r="F6" s="10"/>
      <c r="G6" s="13">
        <v>3751.05</v>
      </c>
      <c r="H6" s="25">
        <v>0.15</v>
      </c>
      <c r="I6" s="13">
        <v>-354.8</v>
      </c>
      <c r="J6" s="10"/>
      <c r="L6" s="1">
        <v>3751.06</v>
      </c>
      <c r="M6" s="6">
        <v>0.22500000000000001</v>
      </c>
      <c r="N6" s="1">
        <v>-636.13</v>
      </c>
    </row>
    <row r="7" spans="1:16" x14ac:dyDescent="0.25">
      <c r="A7" s="21"/>
      <c r="E7" s="23"/>
      <c r="F7" s="11"/>
      <c r="G7" s="13">
        <v>4664.68</v>
      </c>
      <c r="H7" s="25">
        <v>0.22500000000000001</v>
      </c>
      <c r="I7" s="13">
        <v>-636.13</v>
      </c>
      <c r="J7" s="11"/>
      <c r="L7" s="1">
        <v>4664.6899999999996</v>
      </c>
      <c r="M7" s="6">
        <v>0.27500000000000002</v>
      </c>
      <c r="N7" s="1">
        <v>-869.36</v>
      </c>
    </row>
    <row r="8" spans="1:16" x14ac:dyDescent="0.25">
      <c r="A8" s="10"/>
      <c r="E8" s="10"/>
      <c r="F8" s="10"/>
      <c r="G8" s="12" t="s">
        <v>13</v>
      </c>
      <c r="H8" s="25">
        <v>0.27500000000000002</v>
      </c>
      <c r="I8" s="13">
        <v>-869.36</v>
      </c>
      <c r="J8" s="10"/>
      <c r="L8" s="1"/>
      <c r="M8" s="6"/>
    </row>
    <row r="9" spans="1:16" x14ac:dyDescent="0.25">
      <c r="A9" s="10"/>
      <c r="E9" s="10"/>
      <c r="F9" s="10"/>
      <c r="G9" s="1"/>
      <c r="H9" s="6"/>
      <c r="J9" s="10"/>
    </row>
    <row r="10" spans="1:16" x14ac:dyDescent="0.25">
      <c r="A10" s="10"/>
      <c r="E10" s="10"/>
      <c r="F10" s="10"/>
      <c r="J10" s="10"/>
      <c r="L10" s="7" t="s">
        <v>3</v>
      </c>
    </row>
    <row r="11" spans="1:16" x14ac:dyDescent="0.25">
      <c r="A11" s="10"/>
      <c r="B11" s="10"/>
      <c r="C11" s="10"/>
      <c r="D11" s="10"/>
      <c r="E11" s="10"/>
      <c r="F11" s="10"/>
      <c r="G11" s="17" t="s">
        <v>3</v>
      </c>
      <c r="H11" s="18"/>
      <c r="I11" s="18"/>
      <c r="J11" s="10"/>
      <c r="L11">
        <v>0</v>
      </c>
      <c r="M11" s="4">
        <v>7.4999999999999997E-2</v>
      </c>
      <c r="N11" s="1">
        <v>0</v>
      </c>
      <c r="O11" t="s">
        <v>6</v>
      </c>
    </row>
    <row r="12" spans="1:16" x14ac:dyDescent="0.25">
      <c r="A12" s="10"/>
      <c r="B12" s="10"/>
      <c r="C12" s="10"/>
      <c r="D12" s="10"/>
      <c r="E12" s="10"/>
      <c r="F12" s="10"/>
      <c r="G12" s="12" t="s">
        <v>11</v>
      </c>
      <c r="H12" s="12" t="s">
        <v>1</v>
      </c>
      <c r="I12" s="12" t="s">
        <v>10</v>
      </c>
      <c r="J12" s="10"/>
      <c r="L12" s="1">
        <v>1212</v>
      </c>
      <c r="M12" s="2">
        <v>0.09</v>
      </c>
      <c r="N12" s="1">
        <f>+L12*1.5%</f>
        <v>18.18</v>
      </c>
      <c r="O12" s="5">
        <f>ROUNDDOWN(L13*9%-(((L13-L12)*9%)+(L12*7.5%)),2)</f>
        <v>18.18</v>
      </c>
    </row>
    <row r="13" spans="1:16" ht="18.75" x14ac:dyDescent="0.3">
      <c r="A13" s="10"/>
      <c r="B13" s="29" t="s">
        <v>15</v>
      </c>
      <c r="C13" s="29"/>
      <c r="D13" s="29"/>
      <c r="E13" s="10"/>
      <c r="F13" s="10"/>
      <c r="G13" s="13">
        <v>1212</v>
      </c>
      <c r="H13" s="14">
        <v>7.4999999999999997E-2</v>
      </c>
      <c r="I13" s="13">
        <v>0</v>
      </c>
      <c r="J13" s="10"/>
      <c r="L13" s="1">
        <v>2427.79</v>
      </c>
      <c r="M13" s="2">
        <v>0.12</v>
      </c>
      <c r="N13" s="1">
        <v>91.01</v>
      </c>
      <c r="O13" s="5">
        <f>ROUNDDOWN((L14*12%-(((L14-L13)*12%)+((L13-L12)*9%)+(L12*7.5%))),2)</f>
        <v>91.01</v>
      </c>
    </row>
    <row r="14" spans="1:16" x14ac:dyDescent="0.25">
      <c r="A14" s="10"/>
      <c r="B14" s="21"/>
      <c r="C14" s="22"/>
      <c r="D14" s="22"/>
      <c r="E14" s="10"/>
      <c r="F14" s="10"/>
      <c r="G14" s="13">
        <v>2427.79</v>
      </c>
      <c r="H14" s="15">
        <v>0.09</v>
      </c>
      <c r="I14" s="13">
        <v>-18.18</v>
      </c>
      <c r="J14" s="10"/>
      <c r="L14" s="1">
        <v>3641.69</v>
      </c>
      <c r="M14" s="2">
        <v>0.14000000000000001</v>
      </c>
      <c r="N14" s="1">
        <v>163.84</v>
      </c>
      <c r="O14" s="1">
        <f>ROUNDDOWN(L15*14%-(((L14-L13)*12%)+((L13-L12)*9%)+(L12*7.5%))-((L15-L14)*0.14),2)</f>
        <v>163.84</v>
      </c>
    </row>
    <row r="15" spans="1:16" x14ac:dyDescent="0.25">
      <c r="B15" s="21"/>
      <c r="C15" s="23"/>
      <c r="D15" s="23" t="s">
        <v>14</v>
      </c>
      <c r="G15" s="13">
        <v>3641.69</v>
      </c>
      <c r="H15" s="15">
        <v>0.12</v>
      </c>
      <c r="I15" s="13">
        <v>-82.6</v>
      </c>
      <c r="L15" s="1">
        <v>7088.5</v>
      </c>
    </row>
    <row r="16" spans="1:16" ht="21" x14ac:dyDescent="0.35">
      <c r="B16" s="27" t="s">
        <v>0</v>
      </c>
      <c r="C16" s="27"/>
      <c r="D16" s="26">
        <v>1230</v>
      </c>
      <c r="G16" s="13">
        <v>7088.5</v>
      </c>
      <c r="H16" s="15">
        <v>0.14000000000000001</v>
      </c>
      <c r="I16" s="13">
        <v>-148.69999999999999</v>
      </c>
    </row>
    <row r="17" spans="2:12" ht="21" x14ac:dyDescent="0.35">
      <c r="B17" s="27" t="s">
        <v>7</v>
      </c>
      <c r="C17" s="27"/>
      <c r="D17" s="28">
        <f>IF(D16&gt;$L$15,$L$15*$M$14+$N$14,+D16*VLOOKUP(D16,$L$11:$N$15,2)+VLOOKUP(D16,$L$11:$N$15,3))</f>
        <v>128.88</v>
      </c>
      <c r="G17" s="12"/>
      <c r="H17" s="12"/>
      <c r="I17" s="12"/>
    </row>
    <row r="18" spans="2:12" ht="21" x14ac:dyDescent="0.35">
      <c r="B18" s="27" t="s">
        <v>8</v>
      </c>
      <c r="C18" s="27"/>
      <c r="D18" s="28">
        <f>((D16-D17)*VLOOKUP(D16,$L$3:$N$7,2))+(VLOOKUP(D16,$L$3:$N$7,3))</f>
        <v>0</v>
      </c>
      <c r="G18" s="16">
        <f>(+G16*H16)-I16</f>
        <v>1141.0900000000001</v>
      </c>
      <c r="H18" s="12" t="s">
        <v>12</v>
      </c>
      <c r="I18" s="12"/>
    </row>
    <row r="19" spans="2:12" x14ac:dyDescent="0.25">
      <c r="L19" s="5"/>
    </row>
    <row r="20" spans="2:12" x14ac:dyDescent="0.25">
      <c r="L20" s="5"/>
    </row>
    <row r="21" spans="2:12" x14ac:dyDescent="0.25">
      <c r="G21" t="s">
        <v>9</v>
      </c>
    </row>
  </sheetData>
  <mergeCells count="2">
    <mergeCell ref="C14:D14"/>
    <mergeCell ref="B13:D1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</dc:creator>
  <cp:lastModifiedBy>Eduardo</cp:lastModifiedBy>
  <dcterms:created xsi:type="dcterms:W3CDTF">2021-03-31T15:01:46Z</dcterms:created>
  <dcterms:modified xsi:type="dcterms:W3CDTF">2022-01-13T19:25:33Z</dcterms:modified>
</cp:coreProperties>
</file>