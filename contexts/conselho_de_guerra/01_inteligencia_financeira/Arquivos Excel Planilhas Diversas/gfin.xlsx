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esktop\"/>
    </mc:Choice>
  </mc:AlternateContent>
  <xr:revisionPtr revIDLastSave="0" documentId="13_ncr:1_{CB6E117B-D541-448D-B095-04AE7AE2C1F2}" xr6:coauthVersionLast="45" xr6:coauthVersionMax="45" xr10:uidLastSave="{00000000-0000-0000-0000-000000000000}"/>
  <bookViews>
    <workbookView xWindow="-120" yWindow="-120" windowWidth="20730" windowHeight="11160" activeTab="8" xr2:uid="{232FF901-8DE1-4DE8-83A1-E85157FB8759}"/>
  </bookViews>
  <sheets>
    <sheet name="GIN" sheetId="8" r:id="rId1"/>
    <sheet name="FCL" sheetId="1" r:id="rId2"/>
    <sheet name="PE" sheetId="2" r:id="rId3"/>
    <sheet name="VALUATION" sheetId="3" r:id="rId4"/>
    <sheet name="PE'S" sheetId="4" r:id="rId5"/>
    <sheet name="WORKING CAPITAL" sheetId="5" r:id="rId6"/>
    <sheet name="FLEURIET" sheetId="7" r:id="rId7"/>
    <sheet name="MFIN" sheetId="9" r:id="rId8"/>
    <sheet name="VPL TIR" sheetId="10" r:id="rId9"/>
  </sheets>
  <externalReferences>
    <externalReference r:id="rId10"/>
  </externalReferences>
  <definedNames>
    <definedName name="_xlnm.Print_Area" localSheetId="6">FLEURIET!$B$1:$F$32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0" l="1"/>
  <c r="G10" i="10"/>
  <c r="G22" i="10"/>
  <c r="D24" i="10"/>
  <c r="C20" i="10"/>
  <c r="D20" i="10" s="1"/>
  <c r="C19" i="10"/>
  <c r="D19" i="10" s="1"/>
  <c r="C18" i="10"/>
  <c r="C22" i="10"/>
  <c r="D14" i="10"/>
  <c r="C21" i="10" s="1"/>
  <c r="D21" i="10" s="1"/>
  <c r="I12" i="10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F11" i="10"/>
  <c r="F12" i="10" s="1"/>
  <c r="F13" i="10" s="1"/>
  <c r="F14" i="10" s="1"/>
  <c r="F15" i="10" s="1"/>
  <c r="F16" i="10" s="1"/>
  <c r="F17" i="10" s="1"/>
  <c r="F18" i="10" s="1"/>
  <c r="F19" i="10" s="1"/>
  <c r="F20" i="10" s="1"/>
  <c r="C23" i="10" l="1"/>
  <c r="D23" i="10" s="1"/>
  <c r="C26" i="10"/>
  <c r="D22" i="10"/>
  <c r="D18" i="10"/>
  <c r="Q32" i="9"/>
  <c r="L32" i="9"/>
  <c r="I32" i="9"/>
  <c r="F32" i="9"/>
  <c r="C32" i="9"/>
  <c r="L19" i="9"/>
  <c r="I19" i="9"/>
  <c r="F19" i="9"/>
  <c r="C19" i="9"/>
  <c r="R11" i="9"/>
  <c r="O11" i="9"/>
  <c r="L11" i="9"/>
  <c r="I11" i="9"/>
  <c r="F11" i="9"/>
  <c r="C11" i="9"/>
  <c r="C25" i="10" l="1"/>
  <c r="G18" i="10"/>
  <c r="G16" i="10"/>
  <c r="G11" i="10"/>
  <c r="G17" i="10"/>
  <c r="G20" i="10"/>
  <c r="G12" i="10"/>
  <c r="D26" i="10"/>
  <c r="G19" i="10"/>
  <c r="G15" i="10"/>
  <c r="G14" i="10"/>
  <c r="G13" i="10"/>
  <c r="C27" i="10"/>
  <c r="D27" i="10" s="1"/>
  <c r="D25" i="10"/>
  <c r="D13" i="7"/>
  <c r="E15" i="7"/>
  <c r="E12" i="7"/>
  <c r="F12" i="7"/>
  <c r="E13" i="7"/>
  <c r="F13" i="7"/>
  <c r="F15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15" i="7"/>
  <c r="B3" i="7"/>
  <c r="F24" i="5"/>
  <c r="E25" i="5" s="1"/>
  <c r="E29" i="5" s="1"/>
  <c r="F20" i="5"/>
  <c r="E21" i="5" s="1"/>
  <c r="E28" i="5" s="1"/>
  <c r="E17" i="5"/>
  <c r="E27" i="5" s="1"/>
  <c r="E16" i="5"/>
  <c r="G23" i="10" l="1"/>
  <c r="J10" i="10"/>
  <c r="D12" i="7"/>
  <c r="E30" i="5"/>
  <c r="E32" i="5" s="1"/>
  <c r="E30" i="4" l="1"/>
  <c r="M34" i="4"/>
  <c r="K34" i="4"/>
  <c r="E34" i="4"/>
  <c r="M33" i="4"/>
  <c r="K33" i="4"/>
  <c r="E33" i="4"/>
  <c r="E35" i="4" s="1"/>
  <c r="E37" i="4" s="1"/>
  <c r="E39" i="4" s="1"/>
  <c r="E41" i="4" s="1"/>
  <c r="E44" i="4" s="1"/>
  <c r="O26" i="4"/>
  <c r="M26" i="4"/>
  <c r="K26" i="4"/>
  <c r="E26" i="4"/>
  <c r="O17" i="4"/>
  <c r="M17" i="4"/>
  <c r="K17" i="4"/>
  <c r="E17" i="4"/>
  <c r="O16" i="4"/>
  <c r="O18" i="4" s="1"/>
  <c r="O20" i="4" s="1"/>
  <c r="O22" i="4" s="1"/>
  <c r="M16" i="4"/>
  <c r="M18" i="4" s="1"/>
  <c r="M20" i="4" s="1"/>
  <c r="M22" i="4" s="1"/>
  <c r="K16" i="4"/>
  <c r="K18" i="4" s="1"/>
  <c r="K20" i="4" s="1"/>
  <c r="K22" i="4" s="1"/>
  <c r="E16" i="4"/>
  <c r="E18" i="4" s="1"/>
  <c r="E20" i="4" s="1"/>
  <c r="E22" i="4" s="1"/>
  <c r="M9" i="4"/>
  <c r="G69" i="3"/>
  <c r="G70" i="3" s="1"/>
  <c r="F69" i="3"/>
  <c r="F70" i="3" s="1"/>
  <c r="E69" i="3"/>
  <c r="E70" i="3" s="1"/>
  <c r="D69" i="3"/>
  <c r="D70" i="3" s="1"/>
  <c r="D68" i="3"/>
  <c r="D64" i="3"/>
  <c r="D63" i="3"/>
  <c r="D62" i="3"/>
  <c r="D54" i="3"/>
  <c r="D52" i="3"/>
  <c r="D51" i="3"/>
  <c r="D50" i="3"/>
  <c r="D42" i="3"/>
  <c r="D46" i="3" s="1"/>
  <c r="G34" i="3"/>
  <c r="G35" i="3" s="1"/>
  <c r="F34" i="3"/>
  <c r="F35" i="3" s="1"/>
  <c r="E34" i="3"/>
  <c r="E35" i="3" s="1"/>
  <c r="D34" i="3"/>
  <c r="D35" i="3" s="1"/>
  <c r="D33" i="3"/>
  <c r="G49" i="3" s="1"/>
  <c r="E50" i="3" s="1"/>
  <c r="F22" i="3"/>
  <c r="F27" i="3" s="1"/>
  <c r="E22" i="3"/>
  <c r="E27" i="3" s="1"/>
  <c r="D22" i="3"/>
  <c r="D27" i="3" s="1"/>
  <c r="F20" i="3"/>
  <c r="E20" i="3"/>
  <c r="D20" i="3"/>
  <c r="F18" i="3"/>
  <c r="E18" i="3"/>
  <c r="D18" i="3"/>
  <c r="F17" i="3"/>
  <c r="E17" i="3"/>
  <c r="D17" i="3"/>
  <c r="K35" i="4" l="1"/>
  <c r="K37" i="4" s="1"/>
  <c r="K39" i="4" s="1"/>
  <c r="K41" i="4" s="1"/>
  <c r="K44" i="4" s="1"/>
  <c r="E19" i="3"/>
  <c r="E21" i="3" s="1"/>
  <c r="E23" i="3" s="1"/>
  <c r="F19" i="3"/>
  <c r="F21" i="3" s="1"/>
  <c r="F23" i="3" s="1"/>
  <c r="M35" i="4"/>
  <c r="M37" i="4" s="1"/>
  <c r="M39" i="4" s="1"/>
  <c r="M41" i="4" s="1"/>
  <c r="M44" i="4" s="1"/>
  <c r="D19" i="3"/>
  <c r="D21" i="3" s="1"/>
  <c r="D23" i="3" s="1"/>
  <c r="K23" i="4"/>
  <c r="K24" i="4" s="1"/>
  <c r="K27" i="4" s="1"/>
  <c r="M23" i="4"/>
  <c r="M24" i="4" s="1"/>
  <c r="M27" i="4" s="1"/>
  <c r="E23" i="4"/>
  <c r="E24" i="4" s="1"/>
  <c r="E27" i="4" s="1"/>
  <c r="O23" i="4"/>
  <c r="O24" i="4" s="1"/>
  <c r="O27" i="4" s="1"/>
  <c r="O9" i="4" s="1"/>
  <c r="D24" i="3"/>
  <c r="D25" i="3" s="1"/>
  <c r="D28" i="3" s="1"/>
  <c r="E24" i="3"/>
  <c r="E25" i="3" s="1"/>
  <c r="E28" i="3" s="1"/>
  <c r="F24" i="3"/>
  <c r="F25" i="3" s="1"/>
  <c r="F28" i="3" s="1"/>
  <c r="D71" i="3"/>
  <c r="G55" i="3"/>
  <c r="D36" i="3"/>
  <c r="G43" i="3"/>
  <c r="D56" i="3"/>
  <c r="D57" i="3"/>
  <c r="D58" i="3"/>
  <c r="G61" i="3"/>
  <c r="E62" i="3" s="1"/>
  <c r="D44" i="3"/>
  <c r="D45" i="3"/>
  <c r="B26" i="2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6" i="2"/>
  <c r="C27" i="2"/>
  <c r="C28" i="2"/>
  <c r="F25" i="2"/>
  <c r="C25" i="2"/>
  <c r="E25" i="2" s="1"/>
  <c r="C11" i="2"/>
  <c r="C13" i="2" s="1"/>
  <c r="C15" i="2" s="1"/>
  <c r="G68" i="3" l="1"/>
  <c r="G71" i="3" s="1"/>
  <c r="C78" i="3" s="1"/>
  <c r="G33" i="3"/>
  <c r="E33" i="3"/>
  <c r="E68" i="3"/>
  <c r="E71" i="3" s="1"/>
  <c r="D74" i="3" s="1"/>
  <c r="D72" i="3"/>
  <c r="F68" i="3"/>
  <c r="F71" i="3" s="1"/>
  <c r="F33" i="3"/>
  <c r="E44" i="3"/>
  <c r="E56" i="3"/>
  <c r="D26" i="2"/>
  <c r="F26" i="2"/>
  <c r="F27" i="2"/>
  <c r="D27" i="2"/>
  <c r="E27" i="2" s="1"/>
  <c r="E26" i="2"/>
  <c r="C12" i="2"/>
  <c r="C14" i="2"/>
  <c r="M12" i="1"/>
  <c r="L12" i="1"/>
  <c r="K12" i="1"/>
  <c r="J12" i="1"/>
  <c r="I12" i="1"/>
  <c r="H12" i="1"/>
  <c r="G12" i="1"/>
  <c r="F12" i="1"/>
  <c r="E12" i="1"/>
  <c r="D12" i="1"/>
  <c r="C12" i="1"/>
  <c r="M9" i="1"/>
  <c r="M11" i="1" s="1"/>
  <c r="L9" i="1"/>
  <c r="L11" i="1" s="1"/>
  <c r="K9" i="1"/>
  <c r="K11" i="1" s="1"/>
  <c r="J9" i="1"/>
  <c r="J11" i="1" s="1"/>
  <c r="I9" i="1"/>
  <c r="I11" i="1" s="1"/>
  <c r="H9" i="1"/>
  <c r="H11" i="1" s="1"/>
  <c r="G9" i="1"/>
  <c r="G11" i="1" s="1"/>
  <c r="F9" i="1"/>
  <c r="F11" i="1" s="1"/>
  <c r="E9" i="1"/>
  <c r="E11" i="1" s="1"/>
  <c r="D9" i="1"/>
  <c r="D11" i="1" s="1"/>
  <c r="C9" i="1"/>
  <c r="C11" i="1" s="1"/>
  <c r="C13" i="1" l="1"/>
  <c r="C16" i="1" s="1"/>
  <c r="G13" i="1"/>
  <c r="G16" i="1" s="1"/>
  <c r="J13" i="1"/>
  <c r="J16" i="1" s="1"/>
  <c r="K13" i="1"/>
  <c r="K16" i="1" s="1"/>
  <c r="F51" i="3"/>
  <c r="F63" i="3"/>
  <c r="F45" i="3"/>
  <c r="F57" i="3"/>
  <c r="F36" i="3"/>
  <c r="E36" i="3"/>
  <c r="F50" i="3"/>
  <c r="G50" i="3" s="1"/>
  <c r="E51" i="3" s="1"/>
  <c r="G51" i="3" s="1"/>
  <c r="E52" i="3" s="1"/>
  <c r="G52" i="3" s="1"/>
  <c r="F62" i="3"/>
  <c r="G62" i="3" s="1"/>
  <c r="E63" i="3" s="1"/>
  <c r="G63" i="3" s="1"/>
  <c r="E64" i="3" s="1"/>
  <c r="G64" i="3" s="1"/>
  <c r="F44" i="3"/>
  <c r="F56" i="3"/>
  <c r="G44" i="3"/>
  <c r="E45" i="3" s="1"/>
  <c r="G45" i="3" s="1"/>
  <c r="E46" i="3" s="1"/>
  <c r="E72" i="3"/>
  <c r="F72" i="3" s="1"/>
  <c r="F52" i="3"/>
  <c r="F64" i="3"/>
  <c r="F46" i="3"/>
  <c r="G36" i="3"/>
  <c r="F58" i="3"/>
  <c r="G56" i="3"/>
  <c r="E57" i="3" s="1"/>
  <c r="I13" i="1"/>
  <c r="I16" i="1" s="1"/>
  <c r="M13" i="1"/>
  <c r="M16" i="1" s="1"/>
  <c r="E13" i="1"/>
  <c r="E16" i="1" s="1"/>
  <c r="F28" i="2"/>
  <c r="D28" i="2"/>
  <c r="E28" i="2" s="1"/>
  <c r="F29" i="2"/>
  <c r="D29" i="2"/>
  <c r="E29" i="2" s="1"/>
  <c r="D13" i="1"/>
  <c r="D16" i="1" s="1"/>
  <c r="H13" i="1"/>
  <c r="H16" i="1" s="1"/>
  <c r="L13" i="1"/>
  <c r="L16" i="1" s="1"/>
  <c r="F13" i="1"/>
  <c r="F16" i="1" s="1"/>
  <c r="G72" i="3" l="1"/>
  <c r="C77" i="3"/>
  <c r="C79" i="3" s="1"/>
  <c r="C81" i="3" s="1"/>
  <c r="G46" i="3"/>
  <c r="G57" i="3"/>
  <c r="E58" i="3" s="1"/>
  <c r="G58" i="3" s="1"/>
  <c r="D37" i="3"/>
  <c r="D39" i="3" s="1"/>
  <c r="D40" i="3" s="1"/>
  <c r="D30" i="2"/>
  <c r="E30" i="2" s="1"/>
  <c r="F30" i="2"/>
  <c r="D31" i="2" l="1"/>
  <c r="E31" i="2" s="1"/>
  <c r="F31" i="2"/>
  <c r="F32" i="2" l="1"/>
  <c r="D32" i="2"/>
  <c r="E32" i="2" s="1"/>
  <c r="F33" i="2" l="1"/>
  <c r="D33" i="2"/>
  <c r="E33" i="2" s="1"/>
  <c r="F34" i="2" l="1"/>
  <c r="D34" i="2"/>
  <c r="E34" i="2" s="1"/>
  <c r="D35" i="2" l="1"/>
  <c r="E35" i="2" s="1"/>
  <c r="F35" i="2"/>
  <c r="F36" i="2" l="1"/>
  <c r="D36" i="2"/>
  <c r="E36" i="2" s="1"/>
  <c r="F37" i="2" l="1"/>
  <c r="D37" i="2"/>
  <c r="E37" i="2" s="1"/>
  <c r="D38" i="2" l="1"/>
  <c r="E38" i="2" s="1"/>
  <c r="F38" i="2"/>
  <c r="D39" i="2" l="1"/>
  <c r="E39" i="2" s="1"/>
  <c r="F39" i="2"/>
  <c r="F40" i="2" l="1"/>
  <c r="D40" i="2"/>
  <c r="E40" i="2" s="1"/>
  <c r="F41" i="2" l="1"/>
  <c r="D41" i="2"/>
  <c r="E41" i="2" s="1"/>
  <c r="D42" i="2" l="1"/>
  <c r="E42" i="2" s="1"/>
  <c r="F42" i="2"/>
  <c r="D43" i="2" l="1"/>
  <c r="E43" i="2" s="1"/>
  <c r="F43" i="2"/>
  <c r="F44" i="2" l="1"/>
  <c r="D44" i="2"/>
  <c r="E44" i="2" s="1"/>
  <c r="F45" i="2" l="1"/>
  <c r="D45" i="2"/>
  <c r="E45" i="2" s="1"/>
</calcChain>
</file>

<file path=xl/sharedStrings.xml><?xml version="1.0" encoding="utf-8"?>
<sst xmlns="http://schemas.openxmlformats.org/spreadsheetml/2006/main" count="371" uniqueCount="224">
  <si>
    <t>Descrição</t>
  </si>
  <si>
    <t>Período 0</t>
  </si>
  <si>
    <t>Período 1</t>
  </si>
  <si>
    <t>Período 2</t>
  </si>
  <si>
    <t>Período 3</t>
  </si>
  <si>
    <t>Período 4</t>
  </si>
  <si>
    <t>Período 5</t>
  </si>
  <si>
    <t>Período 6</t>
  </si>
  <si>
    <t>Período 7</t>
  </si>
  <si>
    <t>Período 8</t>
  </si>
  <si>
    <t>Período 9</t>
  </si>
  <si>
    <t>Período 10</t>
  </si>
  <si>
    <t>(+) Receitas</t>
  </si>
  <si>
    <t xml:space="preserve">   (-) Custos e despesas variáveis</t>
  </si>
  <si>
    <t xml:space="preserve">   (-) Custos e despesas fixos (exceto depreciação)</t>
  </si>
  <si>
    <t xml:space="preserve">   (-) Depreciação</t>
  </si>
  <si>
    <t>= Lucro Operacional Tributável</t>
  </si>
  <si>
    <t xml:space="preserve">   (-) IR</t>
  </si>
  <si>
    <t>= Lucro Líquido Operacional</t>
  </si>
  <si>
    <t xml:space="preserve">   (+) Depreciação</t>
  </si>
  <si>
    <t>= FCO (Fluxo de Caixa Operacional)</t>
  </si>
  <si>
    <t xml:space="preserve">   (+/-) Investimento ou desinvestimentos líquidos em equipamentos</t>
  </si>
  <si>
    <t xml:space="preserve">   (+/-) Investimentos ou desinvestimentos em capital de giro</t>
  </si>
  <si>
    <t>= FCL (Fluxo de Caixa Livre)</t>
  </si>
  <si>
    <t>FCL - FLUXO DE CAIXA LIVRE</t>
  </si>
  <si>
    <t>Gastos Fixos Totais</t>
  </si>
  <si>
    <t>Gasto Variável Unitário</t>
  </si>
  <si>
    <t>Preço de Venda Unitário</t>
  </si>
  <si>
    <t>Vendas atuais (qtde)</t>
  </si>
  <si>
    <t>Intervalo do gráfico</t>
  </si>
  <si>
    <t>Ponto de Equilíbrio (q)</t>
  </si>
  <si>
    <t>Ponto de Equilíbrio ($)</t>
  </si>
  <si>
    <t>Margem Segurança (Qtde)</t>
  </si>
  <si>
    <t>Margem Segurança ($)</t>
  </si>
  <si>
    <t>Margem Segurança (%)</t>
  </si>
  <si>
    <t>Qtde.</t>
  </si>
  <si>
    <t>GF</t>
  </si>
  <si>
    <t>GV</t>
  </si>
  <si>
    <t>GT</t>
  </si>
  <si>
    <t>Receita</t>
  </si>
  <si>
    <t>PONTO DE EQUILIBRIO</t>
  </si>
  <si>
    <t>Informações</t>
  </si>
  <si>
    <t>Investimento Inicial</t>
  </si>
  <si>
    <t>Depreciação</t>
  </si>
  <si>
    <t>Custo do Capital (k)</t>
  </si>
  <si>
    <t>Alíquota de IR</t>
  </si>
  <si>
    <t>Tempo</t>
  </si>
  <si>
    <t>Quantidade</t>
  </si>
  <si>
    <t>Preço</t>
  </si>
  <si>
    <t>Custo Variável Unitário</t>
  </si>
  <si>
    <t>Custo Fixo</t>
  </si>
  <si>
    <t>DRE - Demonstração de Resultados do Exercício</t>
  </si>
  <si>
    <t>(=) Faturamento</t>
  </si>
  <si>
    <t>(-) Custo Variável</t>
  </si>
  <si>
    <t>(=) Lucro Bruto</t>
  </si>
  <si>
    <t>(-) Custo Fixo</t>
  </si>
  <si>
    <t>(=) Lucro Operacional (EBITDA)</t>
  </si>
  <si>
    <t>(-) Depreciação</t>
  </si>
  <si>
    <t>(=) LAIR</t>
  </si>
  <si>
    <t>(-) IR</t>
  </si>
  <si>
    <t>(=) LL - Lucro Líquido</t>
  </si>
  <si>
    <t>(+) Depreciação</t>
  </si>
  <si>
    <t>(=) FCL - Fluxo de Caixa Livre</t>
  </si>
  <si>
    <t>FC - Fluxo de Caixa</t>
  </si>
  <si>
    <t>Fator do Período (1+k)^n</t>
  </si>
  <si>
    <t>VP dos FCj</t>
  </si>
  <si>
    <t>Σ dos VPs</t>
  </si>
  <si>
    <t>Valor da Empresa / Valuation</t>
  </si>
  <si>
    <t>ILL - Índice de Lucratividade Líquida</t>
  </si>
  <si>
    <t>Ano</t>
  </si>
  <si>
    <t>Atualizado</t>
  </si>
  <si>
    <t>Pagamento</t>
  </si>
  <si>
    <t>Saldo</t>
  </si>
  <si>
    <t>Payback Simples</t>
  </si>
  <si>
    <t>Payback Descontado</t>
  </si>
  <si>
    <t>Σ dos VPs Acumulado</t>
  </si>
  <si>
    <t>QUAL A PERFORMANCE</t>
  </si>
  <si>
    <t>QUAL A NECESSIDADE ?</t>
  </si>
  <si>
    <t>QUAL O % NECESSARIO?</t>
  </si>
  <si>
    <t>NÚMERO DE MESES NECESSARIOS?</t>
  </si>
  <si>
    <t>QUANTOS MESES?</t>
  </si>
  <si>
    <t>ANALISE 3º ANO</t>
  </si>
  <si>
    <t>Como Calcular os Pontos de Equilíbrios</t>
  </si>
  <si>
    <t>Cálculo do Custo do Capital</t>
  </si>
  <si>
    <t>1-) Tabular dados</t>
  </si>
  <si>
    <t>VP</t>
  </si>
  <si>
    <t>2-) Calcular o PMT (custo do capital)</t>
  </si>
  <si>
    <t>n</t>
  </si>
  <si>
    <t>3-) Utilizar fórmulas</t>
  </si>
  <si>
    <t>i</t>
  </si>
  <si>
    <t>4-) Checar com a tabela</t>
  </si>
  <si>
    <t>PMT</t>
  </si>
  <si>
    <t>Cálculo dos Pontos de Equilíbrios (Operacional, Contábil e Econômico)</t>
  </si>
  <si>
    <t>EMPRESA TESTE</t>
  </si>
  <si>
    <t>PEO</t>
  </si>
  <si>
    <t>PEC</t>
  </si>
  <si>
    <t>(+) Faturamento</t>
  </si>
  <si>
    <t>(=) Lucro Operacional</t>
  </si>
  <si>
    <t>(=) Lucro Líquido</t>
  </si>
  <si>
    <t>(=) Fluxo de Caixa Livre</t>
  </si>
  <si>
    <t>PONTO DE EQUILIBRIO E CUSTO DE CAPITAL</t>
  </si>
  <si>
    <t>Operacional</t>
  </si>
  <si>
    <t>Contabil</t>
  </si>
  <si>
    <t>Economico</t>
  </si>
  <si>
    <t>Invest Ativo permanente</t>
  </si>
  <si>
    <t>CMV</t>
  </si>
  <si>
    <t>Vlr Vendas</t>
  </si>
  <si>
    <t>Previsao de Vendas</t>
  </si>
  <si>
    <t>Conta Caixa</t>
  </si>
  <si>
    <t>Giro do Caixa</t>
  </si>
  <si>
    <t xml:space="preserve"> ( 360 / 30 dias)</t>
  </si>
  <si>
    <t xml:space="preserve">Investimento </t>
  </si>
  <si>
    <t>( 1 / 12 ) * Previsao de Vendas</t>
  </si>
  <si>
    <t>Conta Clientes</t>
  </si>
  <si>
    <t>Giro Clientes</t>
  </si>
  <si>
    <t>( 1 / 8 ) * Previsao de Vendas</t>
  </si>
  <si>
    <t>Conta Estoques</t>
  </si>
  <si>
    <t>Giro Estoques</t>
  </si>
  <si>
    <t>( 1 / 12) * CMV</t>
  </si>
  <si>
    <t>50% das Vendas é o CMV</t>
  </si>
  <si>
    <t>TOTAL ATIVO CIRCULANTE</t>
  </si>
  <si>
    <t>INEST. ATIVO PERMANENTE</t>
  </si>
  <si>
    <t>INVESTIMENTO TOTAL</t>
  </si>
  <si>
    <t>WORKING CAPITAL - CALCULO DE NECESSIDADES</t>
  </si>
  <si>
    <t>QUAL A NECESSIDADE DE CAIXA PARA UM FATURAMENTO DE 30 DIAS ?</t>
  </si>
  <si>
    <t>COM PRAZO MEDIDO DE RECEBIMENTO DE 45DD</t>
  </si>
  <si>
    <t>E PRAZO MEDIO DE ESTOQUE DE 45 DD</t>
  </si>
  <si>
    <t>QUANTO DEVE SER INVESTIDO NO ATIVO?</t>
  </si>
  <si>
    <t>CALCULOS: (METODO SIMPLIFICADO) ANALISAR HISTORICO DE BALANÇOS E CONTROLES INTERNOS PARA APRIMORAR SUA ANALISE</t>
  </si>
  <si>
    <t>DESCRIÇÃO</t>
  </si>
  <si>
    <t>FÓRMULA DE CÁLCULO</t>
  </si>
  <si>
    <t>Sim</t>
  </si>
  <si>
    <t>Não</t>
  </si>
  <si>
    <t>N/A</t>
  </si>
  <si>
    <t>Capital de giro (CDG)</t>
  </si>
  <si>
    <t>CDG = PNC - ANC</t>
  </si>
  <si>
    <t>Saldo em tesouraria (ST)</t>
  </si>
  <si>
    <t>ST = ACF - PCF = CDG - NCG</t>
  </si>
  <si>
    <t>Efeito tesoura?</t>
  </si>
  <si>
    <t>Situação de solvência</t>
  </si>
  <si>
    <t>Diagnóstico por faixa de solvência:</t>
  </si>
  <si>
    <t>Nota</t>
  </si>
  <si>
    <t>NCG (IOG)</t>
  </si>
  <si>
    <t>CDG</t>
  </si>
  <si>
    <t>ST</t>
  </si>
  <si>
    <t>Situação</t>
  </si>
  <si>
    <t>Negativo</t>
  </si>
  <si>
    <t>Positivo</t>
  </si>
  <si>
    <t>Excelente</t>
  </si>
  <si>
    <t>Muito boa</t>
  </si>
  <si>
    <t>Boa</t>
  </si>
  <si>
    <t>Ruim</t>
  </si>
  <si>
    <t>Muito ruim</t>
  </si>
  <si>
    <t>Péssima</t>
  </si>
  <si>
    <t>ANÁLISE  MODELO FLEURIET</t>
  </si>
  <si>
    <r>
      <t xml:space="preserve">NCG (ou IOG ou </t>
    </r>
    <r>
      <rPr>
        <i/>
        <sz val="12"/>
        <color indexed="8"/>
        <rFont val="Tahoma"/>
        <family val="2"/>
      </rPr>
      <t>WC</t>
    </r>
    <r>
      <rPr>
        <sz val="12"/>
        <color indexed="8"/>
        <rFont val="Tahoma"/>
        <family val="2"/>
      </rPr>
      <t>) = ACO - PCO</t>
    </r>
  </si>
  <si>
    <r>
      <t xml:space="preserve">Necessidade de capital de giro (NCG) </t>
    </r>
    <r>
      <rPr>
        <b/>
        <i/>
        <sz val="12"/>
        <rFont val="Tahoma"/>
        <family val="2"/>
      </rPr>
      <t>working capital</t>
    </r>
  </si>
  <si>
    <t>ANO X1</t>
  </si>
  <si>
    <t>ANO X2</t>
  </si>
  <si>
    <t>ANO X3</t>
  </si>
  <si>
    <t>FUNÇÕES FINANCEIRAS</t>
  </si>
  <si>
    <t>JUROS SIMPLES</t>
  </si>
  <si>
    <t>VF</t>
  </si>
  <si>
    <t>J</t>
  </si>
  <si>
    <t>Resultado</t>
  </si>
  <si>
    <t>JUROS COMPOSTOS</t>
  </si>
  <si>
    <t>12% AO TRIMESTRE</t>
  </si>
  <si>
    <t>=12% / 3</t>
  </si>
  <si>
    <t>VALOR FUTURO</t>
  </si>
  <si>
    <t>VALOR PRESENTE</t>
  </si>
  <si>
    <t>TAXA DE JUROS</t>
  </si>
  <si>
    <t>PERÍODO</t>
  </si>
  <si>
    <t>EQUIVALENCIA DE TAXA</t>
  </si>
  <si>
    <t>Conversão de Taxas</t>
  </si>
  <si>
    <t>Taxa que eu tenho</t>
  </si>
  <si>
    <t>Período que eu tenho</t>
  </si>
  <si>
    <t>dias</t>
  </si>
  <si>
    <t>Período que eu quero</t>
  </si>
  <si>
    <t>Taxa que eu quero</t>
  </si>
  <si>
    <t>VALOR X TAXA X PERIODO</t>
  </si>
  <si>
    <t>VF(C35;C36;;-C34)</t>
  </si>
  <si>
    <t>VP(F35;F36;;-F34)</t>
  </si>
  <si>
    <t>TAXA(I36;;-I34;I35)</t>
  </si>
  <si>
    <t>NPER(L35;;-L34;L36)</t>
  </si>
  <si>
    <t>((1+Q34)^(Q36/Q35))-1</t>
  </si>
  <si>
    <t>conversao de taxas:</t>
  </si>
  <si>
    <t xml:space="preserve">i eq = </t>
  </si>
  <si>
    <t>( 1 + taxa de juros) ^ (periodo  que quero / periodo q tenho)</t>
  </si>
  <si>
    <t>CALCULO PONTO DE EQUILÍBRIO</t>
  </si>
  <si>
    <t>VALUATION</t>
  </si>
  <si>
    <t>CALCULO DE PONTO DE EQUILIBRIO (COMPARATIVOS)</t>
  </si>
  <si>
    <t>ANALISE FLEURIET</t>
  </si>
  <si>
    <t>MATEMATICA FINANCEIRA - CACULOS DIVERSOS</t>
  </si>
  <si>
    <t>Adriano Müller - 19-99495-2390 - adriano.muller05@gmail.com</t>
  </si>
  <si>
    <t>CÁLCULOS FINANCEIROS</t>
  </si>
  <si>
    <t>MENU</t>
  </si>
  <si>
    <t>VALUATION DE PROJETOS</t>
  </si>
  <si>
    <t>Análise de sensibilidade</t>
  </si>
  <si>
    <t>FCL</t>
  </si>
  <si>
    <t>VPL</t>
  </si>
  <si>
    <t>Preço de venda</t>
  </si>
  <si>
    <t>Preço de compra</t>
  </si>
  <si>
    <t>Frete por tonelada (ida)</t>
  </si>
  <si>
    <t>Custo de capital</t>
  </si>
  <si>
    <t>Frete de volta (por tanque)</t>
  </si>
  <si>
    <t>Investimento inicial</t>
  </si>
  <si>
    <t>Fluxo anual</t>
  </si>
  <si>
    <t>Total</t>
  </si>
  <si>
    <t>Unitário</t>
  </si>
  <si>
    <t>(-) CV Aq</t>
  </si>
  <si>
    <t>(-) CV Frete ida</t>
  </si>
  <si>
    <t>(-) CV Frete volta</t>
  </si>
  <si>
    <t>(-) Deprec</t>
  </si>
  <si>
    <t>Resultado operac</t>
  </si>
  <si>
    <t>TIR</t>
  </si>
  <si>
    <t>Resultado líquido</t>
  </si>
  <si>
    <t>(+) Deprec</t>
  </si>
  <si>
    <t>FCO</t>
  </si>
  <si>
    <t>Preencha apenas as células em azul</t>
  </si>
  <si>
    <t>Quantidade Comprada</t>
  </si>
  <si>
    <t>Quantidade Vendida</t>
  </si>
  <si>
    <t>QTD</t>
  </si>
  <si>
    <t>ANÁLISE  VALOR PRESENTE LIQUIDO E TIR</t>
  </si>
  <si>
    <t xml:space="preserve">CÁLCULO DE VALOR PRESENTE LIQUIDO E TIR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</si>
</sst>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#,##0_ ;[Red]\-#,##0\ "/>
    <numFmt numFmtId="168" formatCode="#,##0.00_ ;[Red]\-#,##0.00\ "/>
    <numFmt numFmtId="169" formatCode="_-* #,##0.0000_-;\-* #,##0.0000_-;_-* &quot;-&quot;??_-;_-@_-"/>
    <numFmt numFmtId="170" formatCode="#,##0.000000_ ;[Red]\-#,##0.000000\ "/>
    <numFmt numFmtId="171" formatCode="#,##0.0000_ ;[Red]\-#,##0.0000\ "/>
    <numFmt numFmtId="172" formatCode="0.0000%"/>
    <numFmt numFmtId="173" formatCode="_(* #,##0.0000_);_(* \(#,##0.0000\);_(* &quot;-&quot;??_);_(@_)"/>
    <numFmt numFmtId="174" formatCode="_-* #,##0.0_-;\-* #,##0.0_-;_-* &quot;-&quot;??_-;_-@_-"/>
    <numFmt numFmtId="175" formatCode="_(* #,##0.0_);_(* \(#,##0.0\);_(* &quot;-&quot;??_);_(@_)"/>
    <numFmt numFmtId="176" formatCode="#,##0;\(#,##0\)"/>
    <numFmt numFmtId="177" formatCode="#,##0\ ;&quot; (&quot;#,##0\);&quot; -&quot;#\ ;@\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8"/>
      <name val="Tahoma"/>
      <family val="2"/>
    </font>
    <font>
      <sz val="11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12"/>
      <color indexed="18"/>
      <name val="Tahoma"/>
      <family val="2"/>
    </font>
    <font>
      <sz val="10"/>
      <name val="Arial"/>
      <family val="2"/>
    </font>
    <font>
      <b/>
      <sz val="14"/>
      <color indexed="18"/>
      <name val="Tahoma"/>
      <family val="2"/>
    </font>
    <font>
      <sz val="10"/>
      <color theme="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2"/>
      <color rgb="FF002060"/>
      <name val="Tahoma"/>
      <family val="2"/>
    </font>
    <font>
      <b/>
      <u/>
      <sz val="10"/>
      <name val="Tahoma"/>
      <family val="2"/>
    </font>
    <font>
      <sz val="10"/>
      <color theme="0"/>
      <name val="Tahoma"/>
      <family val="2"/>
    </font>
    <font>
      <b/>
      <sz val="10"/>
      <color theme="0"/>
      <name val="Tahoma"/>
      <family val="2"/>
    </font>
    <font>
      <b/>
      <sz val="12"/>
      <name val="Tahoma"/>
      <family val="2"/>
    </font>
    <font>
      <b/>
      <sz val="12"/>
      <color theme="0"/>
      <name val="Tahoma"/>
      <family val="2"/>
    </font>
    <font>
      <b/>
      <sz val="12"/>
      <color indexed="9"/>
      <name val="Tahoma"/>
      <family val="2"/>
    </font>
    <font>
      <sz val="12"/>
      <color indexed="9"/>
      <name val="Tahoma"/>
      <family val="2"/>
    </font>
    <font>
      <b/>
      <i/>
      <sz val="12"/>
      <name val="Tahoma"/>
      <family val="2"/>
    </font>
    <font>
      <sz val="12"/>
      <color indexed="8"/>
      <name val="Tahoma"/>
      <family val="2"/>
    </font>
    <font>
      <i/>
      <sz val="12"/>
      <color indexed="8"/>
      <name val="Tahoma"/>
      <family val="2"/>
    </font>
    <font>
      <b/>
      <sz val="12"/>
      <color indexed="8"/>
      <name val="Tahoma"/>
      <family val="2"/>
    </font>
    <font>
      <sz val="12"/>
      <color indexed="55"/>
      <name val="Tahoma"/>
      <family val="2"/>
    </font>
    <font>
      <sz val="12"/>
      <color theme="0"/>
      <name val="Tahoma"/>
      <family val="2"/>
    </font>
    <font>
      <b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color theme="2" tint="-0.749992370372631"/>
      <name val="Tahoma"/>
      <family val="2"/>
    </font>
    <font>
      <b/>
      <sz val="18"/>
      <color rgb="FFFF0000"/>
      <name val="Tahoma"/>
      <family val="2"/>
    </font>
    <font>
      <b/>
      <sz val="10"/>
      <color rgb="FFFF0000"/>
      <name val="Tahoma"/>
      <family val="2"/>
    </font>
    <font>
      <b/>
      <sz val="10"/>
      <color rgb="FF0000FF"/>
      <name val="Tahoma"/>
      <family val="2"/>
    </font>
    <font>
      <sz val="10"/>
      <color rgb="FF0000FF"/>
      <name val="Tahoma"/>
      <family val="2"/>
    </font>
    <font>
      <b/>
      <u/>
      <sz val="11"/>
      <color rgb="FF002060"/>
      <name val="Calibri"/>
      <family val="2"/>
      <scheme val="minor"/>
    </font>
    <font>
      <b/>
      <sz val="10"/>
      <color indexed="10"/>
      <name val="Tahoma"/>
      <family val="2"/>
    </font>
    <font>
      <b/>
      <sz val="8"/>
      <color theme="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2"/>
        <bgColor indexed="39"/>
      </patternFill>
    </fill>
    <fill>
      <patternFill patternType="solid">
        <fgColor indexed="17"/>
        <bgColor indexed="21"/>
      </patternFill>
    </fill>
    <fill>
      <patternFill patternType="solid">
        <fgColor indexed="13"/>
        <bgColor indexed="34"/>
      </patternFill>
    </fill>
    <fill>
      <patternFill patternType="solid">
        <fgColor indexed="52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10"/>
        <bgColor indexed="60"/>
      </patternFill>
    </fill>
    <fill>
      <patternFill patternType="solid">
        <fgColor rgb="FF0070C0"/>
        <bgColor indexed="23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ill="0" applyBorder="0" applyAlignment="0" applyProtection="0"/>
    <xf numFmtId="0" fontId="31" fillId="0" borderId="0" applyNumberFormat="0" applyFill="0" applyBorder="0" applyAlignment="0" applyProtection="0"/>
  </cellStyleXfs>
  <cellXfs count="235">
    <xf numFmtId="0" fontId="0" fillId="0" borderId="0" xfId="0"/>
    <xf numFmtId="0" fontId="3" fillId="0" borderId="0" xfId="0" applyFont="1" applyFill="1"/>
    <xf numFmtId="0" fontId="2" fillId="0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justify" vertical="top" wrapText="1"/>
    </xf>
    <xf numFmtId="43" fontId="5" fillId="0" borderId="1" xfId="1" applyFont="1" applyFill="1" applyBorder="1"/>
    <xf numFmtId="0" fontId="4" fillId="0" borderId="1" xfId="0" applyFont="1" applyFill="1" applyBorder="1" applyAlignment="1">
      <alignment horizontal="justify" vertical="top" wrapText="1"/>
    </xf>
    <xf numFmtId="9" fontId="3" fillId="0" borderId="0" xfId="0" applyNumberFormat="1" applyFont="1" applyFill="1"/>
    <xf numFmtId="43" fontId="5" fillId="2" borderId="1" xfId="1" applyFont="1" applyFill="1" applyBorder="1"/>
    <xf numFmtId="0" fontId="7" fillId="0" borderId="0" xfId="0" applyFont="1" applyFill="1"/>
    <xf numFmtId="0" fontId="9" fillId="0" borderId="0" xfId="0" applyFont="1" applyFill="1"/>
    <xf numFmtId="0" fontId="10" fillId="0" borderId="0" xfId="0" applyFont="1"/>
    <xf numFmtId="0" fontId="10" fillId="0" borderId="0" xfId="0" applyFont="1" applyFill="1" applyBorder="1"/>
    <xf numFmtId="166" fontId="10" fillId="0" borderId="0" xfId="1" applyNumberFormat="1" applyFont="1" applyFill="1" applyBorder="1"/>
    <xf numFmtId="166" fontId="10" fillId="0" borderId="0" xfId="1" applyNumberFormat="1" applyFont="1"/>
    <xf numFmtId="0" fontId="5" fillId="0" borderId="1" xfId="3" applyFont="1" applyFill="1" applyBorder="1" applyAlignment="1">
      <alignment horizontal="left"/>
    </xf>
    <xf numFmtId="164" fontId="5" fillId="3" borderId="1" xfId="2" applyFont="1" applyFill="1" applyBorder="1" applyProtection="1">
      <protection locked="0"/>
    </xf>
    <xf numFmtId="165" fontId="5" fillId="3" borderId="1" xfId="2" applyNumberFormat="1" applyFont="1" applyFill="1" applyBorder="1" applyProtection="1">
      <protection locked="0"/>
    </xf>
    <xf numFmtId="0" fontId="5" fillId="3" borderId="1" xfId="3" applyFont="1" applyFill="1" applyBorder="1" applyAlignment="1" applyProtection="1">
      <alignment horizontal="center"/>
      <protection locked="0"/>
    </xf>
    <xf numFmtId="165" fontId="4" fillId="0" borderId="1" xfId="2" applyNumberFormat="1" applyFont="1" applyFill="1" applyBorder="1" applyAlignment="1">
      <alignment horizontal="center"/>
    </xf>
    <xf numFmtId="164" fontId="4" fillId="0" borderId="1" xfId="2" applyFont="1" applyFill="1" applyBorder="1" applyAlignment="1">
      <alignment horizontal="center"/>
    </xf>
    <xf numFmtId="9" fontId="4" fillId="0" borderId="1" xfId="4" applyFont="1" applyFill="1" applyBorder="1" applyAlignment="1">
      <alignment horizontal="right"/>
    </xf>
    <xf numFmtId="164" fontId="10" fillId="0" borderId="0" xfId="0" applyNumberFormat="1" applyFont="1" applyFill="1" applyBorder="1"/>
    <xf numFmtId="43" fontId="14" fillId="0" borderId="0" xfId="1" applyFont="1" applyAlignment="1">
      <alignment horizontal="left"/>
    </xf>
    <xf numFmtId="43" fontId="10" fillId="0" borderId="0" xfId="1" applyFont="1"/>
    <xf numFmtId="43" fontId="10" fillId="0" borderId="0" xfId="1" applyFont="1" applyAlignment="1">
      <alignment horizontal="left"/>
    </xf>
    <xf numFmtId="9" fontId="10" fillId="0" borderId="0" xfId="1" applyNumberFormat="1" applyFont="1"/>
    <xf numFmtId="167" fontId="10" fillId="0" borderId="0" xfId="1" applyNumberFormat="1" applyFont="1" applyAlignment="1">
      <alignment horizontal="center"/>
    </xf>
    <xf numFmtId="168" fontId="10" fillId="0" borderId="0" xfId="1" applyNumberFormat="1" applyFont="1"/>
    <xf numFmtId="43" fontId="10" fillId="0" borderId="2" xfId="1" applyFont="1" applyBorder="1"/>
    <xf numFmtId="168" fontId="10" fillId="0" borderId="2" xfId="1" applyNumberFormat="1" applyFont="1" applyBorder="1"/>
    <xf numFmtId="168" fontId="14" fillId="0" borderId="0" xfId="1" applyNumberFormat="1" applyFont="1"/>
    <xf numFmtId="9" fontId="10" fillId="0" borderId="0" xfId="1" applyNumberFormat="1" applyFont="1" applyAlignment="1">
      <alignment horizontal="left"/>
    </xf>
    <xf numFmtId="169" fontId="10" fillId="0" borderId="0" xfId="1" applyNumberFormat="1" applyFont="1"/>
    <xf numFmtId="43" fontId="10" fillId="0" borderId="0" xfId="1" quotePrefix="1" applyFont="1" applyAlignment="1">
      <alignment horizontal="left"/>
    </xf>
    <xf numFmtId="168" fontId="10" fillId="4" borderId="1" xfId="1" applyNumberFormat="1" applyFont="1" applyFill="1" applyBorder="1"/>
    <xf numFmtId="170" fontId="10" fillId="0" borderId="0" xfId="1" applyNumberFormat="1" applyFont="1"/>
    <xf numFmtId="43" fontId="10" fillId="0" borderId="1" xfId="1" applyFont="1" applyBorder="1" applyAlignment="1">
      <alignment horizontal="center"/>
    </xf>
    <xf numFmtId="10" fontId="10" fillId="0" borderId="1" xfId="1" applyNumberFormat="1" applyFont="1" applyBorder="1" applyAlignment="1">
      <alignment horizontal="center"/>
    </xf>
    <xf numFmtId="167" fontId="10" fillId="0" borderId="1" xfId="1" applyNumberFormat="1" applyFont="1" applyBorder="1" applyAlignment="1">
      <alignment horizontal="center"/>
    </xf>
    <xf numFmtId="168" fontId="10" fillId="0" borderId="1" xfId="1" applyNumberFormat="1" applyFont="1" applyBorder="1"/>
    <xf numFmtId="171" fontId="10" fillId="0" borderId="1" xfId="1" applyNumberFormat="1" applyFont="1" applyBorder="1"/>
    <xf numFmtId="167" fontId="10" fillId="5" borderId="1" xfId="1" applyNumberFormat="1" applyFont="1" applyFill="1" applyBorder="1" applyAlignment="1">
      <alignment horizontal="center"/>
    </xf>
    <xf numFmtId="171" fontId="10" fillId="5" borderId="1" xfId="1" applyNumberFormat="1" applyFont="1" applyFill="1" applyBorder="1"/>
    <xf numFmtId="168" fontId="10" fillId="5" borderId="1" xfId="1" applyNumberFormat="1" applyFont="1" applyFill="1" applyBorder="1"/>
    <xf numFmtId="167" fontId="10" fillId="0" borderId="0" xfId="1" applyNumberFormat="1" applyFont="1" applyBorder="1" applyAlignment="1">
      <alignment horizontal="center"/>
    </xf>
    <xf numFmtId="171" fontId="10" fillId="0" borderId="0" xfId="1" applyNumberFormat="1" applyFont="1" applyBorder="1"/>
    <xf numFmtId="168" fontId="10" fillId="0" borderId="0" xfId="1" applyNumberFormat="1" applyFont="1" applyBorder="1"/>
    <xf numFmtId="172" fontId="10" fillId="0" borderId="1" xfId="1" applyNumberFormat="1" applyFont="1" applyBorder="1" applyAlignment="1">
      <alignment horizontal="center"/>
    </xf>
    <xf numFmtId="167" fontId="10" fillId="0" borderId="1" xfId="1" applyNumberFormat="1" applyFont="1" applyFill="1" applyBorder="1" applyAlignment="1">
      <alignment horizontal="center"/>
    </xf>
    <xf numFmtId="168" fontId="10" fillId="0" borderId="1" xfId="1" applyNumberFormat="1" applyFont="1" applyFill="1" applyBorder="1"/>
    <xf numFmtId="43" fontId="14" fillId="0" borderId="0" xfId="1" quotePrefix="1" applyFont="1" applyAlignment="1">
      <alignment horizontal="left"/>
    </xf>
    <xf numFmtId="43" fontId="14" fillId="0" borderId="0" xfId="1" applyFont="1"/>
    <xf numFmtId="43" fontId="10" fillId="0" borderId="1" xfId="1" applyFont="1" applyBorder="1"/>
    <xf numFmtId="43" fontId="10" fillId="0" borderId="1" xfId="1" quotePrefix="1" applyFont="1" applyBorder="1" applyAlignment="1">
      <alignment horizontal="left"/>
    </xf>
    <xf numFmtId="10" fontId="10" fillId="0" borderId="1" xfId="5" applyNumberFormat="1" applyFont="1" applyBorder="1"/>
    <xf numFmtId="166" fontId="10" fillId="0" borderId="1" xfId="1" applyNumberFormat="1" applyFont="1" applyBorder="1"/>
    <xf numFmtId="43" fontId="10" fillId="6" borderId="1" xfId="1" applyFont="1" applyFill="1" applyBorder="1"/>
    <xf numFmtId="43" fontId="10" fillId="0" borderId="1" xfId="1" applyFont="1" applyBorder="1" applyAlignment="1">
      <alignment horizontal="left"/>
    </xf>
    <xf numFmtId="43" fontId="10" fillId="3" borderId="1" xfId="1" applyFont="1" applyFill="1" applyBorder="1"/>
    <xf numFmtId="166" fontId="10" fillId="3" borderId="1" xfId="1" applyNumberFormat="1" applyFont="1" applyFill="1" applyBorder="1"/>
    <xf numFmtId="9" fontId="10" fillId="3" borderId="1" xfId="1" applyNumberFormat="1" applyFont="1" applyFill="1" applyBorder="1"/>
    <xf numFmtId="168" fontId="10" fillId="3" borderId="1" xfId="1" applyNumberFormat="1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43" fontId="10" fillId="7" borderId="0" xfId="1" applyFont="1" applyFill="1"/>
    <xf numFmtId="168" fontId="10" fillId="7" borderId="1" xfId="1" applyNumberFormat="1" applyFont="1" applyFill="1" applyBorder="1"/>
    <xf numFmtId="0" fontId="17" fillId="0" borderId="0" xfId="0" applyFont="1" applyAlignment="1">
      <alignment horizontal="center"/>
    </xf>
    <xf numFmtId="0" fontId="5" fillId="0" borderId="0" xfId="0" applyFont="1"/>
    <xf numFmtId="0" fontId="5" fillId="0" borderId="0" xfId="0" quotePrefix="1" applyFont="1" applyAlignment="1">
      <alignment horizontal="left"/>
    </xf>
    <xf numFmtId="0" fontId="4" fillId="0" borderId="0" xfId="0" applyFont="1"/>
    <xf numFmtId="164" fontId="5" fillId="0" borderId="0" xfId="6" applyFont="1"/>
    <xf numFmtId="165" fontId="5" fillId="0" borderId="0" xfId="6" applyNumberFormat="1" applyFont="1"/>
    <xf numFmtId="10" fontId="5" fillId="0" borderId="0" xfId="0" applyNumberFormat="1" applyFont="1"/>
    <xf numFmtId="173" fontId="5" fillId="8" borderId="1" xfId="6" applyNumberFormat="1" applyFont="1" applyFill="1" applyBorder="1"/>
    <xf numFmtId="0" fontId="18" fillId="0" borderId="0" xfId="0" applyFont="1"/>
    <xf numFmtId="0" fontId="17" fillId="0" borderId="0" xfId="0" quotePrefix="1" applyFont="1" applyAlignment="1">
      <alignment horizontal="center"/>
    </xf>
    <xf numFmtId="164" fontId="5" fillId="0" borderId="2" xfId="6" applyFont="1" applyBorder="1"/>
    <xf numFmtId="0" fontId="4" fillId="0" borderId="0" xfId="0" quotePrefix="1" applyFont="1" applyAlignment="1">
      <alignment horizontal="left"/>
    </xf>
    <xf numFmtId="174" fontId="5" fillId="0" borderId="0" xfId="1" applyNumberFormat="1" applyFont="1"/>
    <xf numFmtId="164" fontId="5" fillId="0" borderId="3" xfId="6" applyFont="1" applyBorder="1"/>
    <xf numFmtId="0" fontId="4" fillId="0" borderId="0" xfId="0" applyFont="1" applyAlignment="1">
      <alignment horizontal="left"/>
    </xf>
    <xf numFmtId="175" fontId="5" fillId="0" borderId="0" xfId="6" applyNumberFormat="1" applyFont="1"/>
    <xf numFmtId="164" fontId="5" fillId="0" borderId="2" xfId="6" applyFont="1" applyFill="1" applyBorder="1"/>
    <xf numFmtId="164" fontId="4" fillId="0" borderId="0" xfId="6" applyFont="1" applyFill="1"/>
    <xf numFmtId="164" fontId="4" fillId="0" borderId="0" xfId="6" applyFont="1"/>
    <xf numFmtId="164" fontId="18" fillId="0" borderId="0" xfId="6" applyFont="1"/>
    <xf numFmtId="0" fontId="10" fillId="0" borderId="0" xfId="0" applyFont="1" applyAlignment="1">
      <alignment horizontal="center"/>
    </xf>
    <xf numFmtId="164" fontId="4" fillId="7" borderId="0" xfId="6" applyFont="1" applyFill="1"/>
    <xf numFmtId="0" fontId="19" fillId="0" borderId="0" xfId="0" applyFont="1"/>
    <xf numFmtId="164" fontId="5" fillId="3" borderId="1" xfId="6" applyFont="1" applyFill="1" applyBorder="1"/>
    <xf numFmtId="165" fontId="5" fillId="3" borderId="1" xfId="6" applyNumberFormat="1" applyFont="1" applyFill="1" applyBorder="1"/>
    <xf numFmtId="10" fontId="5" fillId="3" borderId="1" xfId="0" applyNumberFormat="1" applyFont="1" applyFill="1" applyBorder="1"/>
    <xf numFmtId="164" fontId="5" fillId="3" borderId="0" xfId="6" applyFont="1" applyFill="1"/>
    <xf numFmtId="43" fontId="5" fillId="3" borderId="0" xfId="1" applyFont="1" applyFill="1"/>
    <xf numFmtId="173" fontId="5" fillId="3" borderId="0" xfId="6" applyNumberFormat="1" applyFont="1" applyFill="1"/>
    <xf numFmtId="164" fontId="5" fillId="3" borderId="2" xfId="6" applyFont="1" applyFill="1" applyBorder="1"/>
    <xf numFmtId="174" fontId="5" fillId="3" borderId="0" xfId="1" applyNumberFormat="1" applyFont="1" applyFill="1"/>
    <xf numFmtId="0" fontId="4" fillId="0" borderId="0" xfId="0" applyFont="1" applyFill="1"/>
    <xf numFmtId="0" fontId="5" fillId="0" borderId="0" xfId="0" applyFont="1" applyFill="1"/>
    <xf numFmtId="0" fontId="18" fillId="0" borderId="0" xfId="0" applyFont="1" applyFill="1"/>
    <xf numFmtId="0" fontId="4" fillId="0" borderId="0" xfId="0" quotePrefix="1" applyFont="1" applyFill="1" applyAlignment="1">
      <alignment horizontal="left"/>
    </xf>
    <xf numFmtId="0" fontId="19" fillId="0" borderId="0" xfId="0" applyFont="1" applyFill="1"/>
    <xf numFmtId="0" fontId="10" fillId="0" borderId="0" xfId="0" applyFont="1" applyFill="1"/>
    <xf numFmtId="164" fontId="4" fillId="10" borderId="0" xfId="6" applyFont="1" applyFill="1"/>
    <xf numFmtId="173" fontId="4" fillId="10" borderId="0" xfId="6" applyNumberFormat="1" applyFont="1" applyFill="1"/>
    <xf numFmtId="164" fontId="5" fillId="0" borderId="0" xfId="6" applyFont="1" applyFill="1"/>
    <xf numFmtId="164" fontId="18" fillId="0" borderId="0" xfId="6" applyFont="1" applyFill="1"/>
    <xf numFmtId="43" fontId="5" fillId="7" borderId="1" xfId="1" applyFont="1" applyFill="1" applyBorder="1"/>
    <xf numFmtId="171" fontId="5" fillId="7" borderId="1" xfId="1" applyNumberFormat="1" applyFont="1" applyFill="1" applyBorder="1"/>
    <xf numFmtId="0" fontId="13" fillId="0" borderId="0" xfId="0" applyFont="1"/>
    <xf numFmtId="176" fontId="20" fillId="0" borderId="0" xfId="3" applyNumberFormat="1" applyFont="1" applyAlignment="1">
      <alignment horizontal="left"/>
    </xf>
    <xf numFmtId="176" fontId="20" fillId="0" borderId="0" xfId="3" applyNumberFormat="1" applyFont="1" applyAlignment="1">
      <alignment horizontal="center" wrapText="1"/>
    </xf>
    <xf numFmtId="0" fontId="6" fillId="0" borderId="0" xfId="3" applyFont="1"/>
    <xf numFmtId="0" fontId="6" fillId="0" borderId="0" xfId="3" applyFont="1" applyAlignment="1">
      <alignment horizontal="center"/>
    </xf>
    <xf numFmtId="0" fontId="6" fillId="0" borderId="0" xfId="3" applyFont="1" applyAlignment="1">
      <alignment horizontal="center" wrapText="1"/>
    </xf>
    <xf numFmtId="176" fontId="21" fillId="17" borderId="6" xfId="3" applyNumberFormat="1" applyFont="1" applyFill="1" applyBorder="1" applyAlignment="1">
      <alignment horizontal="center"/>
    </xf>
    <xf numFmtId="176" fontId="21" fillId="17" borderId="6" xfId="3" applyNumberFormat="1" applyFont="1" applyFill="1" applyBorder="1" applyAlignment="1">
      <alignment horizontal="center" wrapText="1"/>
    </xf>
    <xf numFmtId="1" fontId="21" fillId="17" borderId="6" xfId="3" applyNumberFormat="1" applyFont="1" applyFill="1" applyBorder="1" applyAlignment="1">
      <alignment horizontal="center"/>
    </xf>
    <xf numFmtId="176" fontId="20" fillId="0" borderId="0" xfId="3" applyNumberFormat="1" applyFont="1" applyAlignment="1">
      <alignment horizontal="center"/>
    </xf>
    <xf numFmtId="1" fontId="22" fillId="0" borderId="0" xfId="3" applyNumberFormat="1" applyFont="1" applyAlignment="1">
      <alignment horizontal="center"/>
    </xf>
    <xf numFmtId="1" fontId="23" fillId="0" borderId="0" xfId="3" applyNumberFormat="1" applyFont="1" applyAlignment="1">
      <alignment horizontal="center"/>
    </xf>
    <xf numFmtId="0" fontId="20" fillId="0" borderId="0" xfId="3" applyFont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177" fontId="6" fillId="0" borderId="0" xfId="3" applyNumberFormat="1" applyFont="1" applyAlignment="1">
      <alignment horizontal="center" vertical="center"/>
    </xf>
    <xf numFmtId="177" fontId="23" fillId="0" borderId="0" xfId="3" applyNumberFormat="1" applyFont="1" applyAlignment="1">
      <alignment horizontal="center" vertical="center"/>
    </xf>
    <xf numFmtId="0" fontId="20" fillId="0" borderId="7" xfId="3" applyFont="1" applyBorder="1" applyAlignment="1">
      <alignment horizontal="center" vertical="center" wrapText="1"/>
    </xf>
    <xf numFmtId="0" fontId="6" fillId="0" borderId="7" xfId="3" applyFont="1" applyBorder="1"/>
    <xf numFmtId="177" fontId="25" fillId="0" borderId="7" xfId="3" applyNumberFormat="1" applyFont="1" applyBorder="1" applyAlignment="1">
      <alignment horizontal="center"/>
    </xf>
    <xf numFmtId="0" fontId="27" fillId="0" borderId="0" xfId="3" applyFont="1" applyAlignment="1">
      <alignment horizontal="center"/>
    </xf>
    <xf numFmtId="0" fontId="22" fillId="11" borderId="0" xfId="3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0" fontId="22" fillId="12" borderId="0" xfId="3" applyFont="1" applyFill="1" applyAlignment="1">
      <alignment horizontal="center"/>
    </xf>
    <xf numFmtId="0" fontId="23" fillId="12" borderId="0" xfId="3" applyFont="1" applyFill="1" applyAlignment="1">
      <alignment horizontal="center"/>
    </xf>
    <xf numFmtId="0" fontId="27" fillId="13" borderId="0" xfId="3" applyFont="1" applyFill="1" applyAlignment="1">
      <alignment horizontal="center"/>
    </xf>
    <xf numFmtId="0" fontId="25" fillId="13" borderId="0" xfId="3" applyFont="1" applyFill="1" applyAlignment="1">
      <alignment horizontal="center"/>
    </xf>
    <xf numFmtId="0" fontId="27" fillId="14" borderId="0" xfId="3" applyFont="1" applyFill="1" applyAlignment="1">
      <alignment horizontal="center"/>
    </xf>
    <xf numFmtId="0" fontId="25" fillId="14" borderId="0" xfId="3" applyFont="1" applyFill="1" applyAlignment="1">
      <alignment horizontal="center"/>
    </xf>
    <xf numFmtId="0" fontId="27" fillId="15" borderId="0" xfId="3" applyFont="1" applyFill="1" applyAlignment="1">
      <alignment horizontal="center"/>
    </xf>
    <xf numFmtId="0" fontId="25" fillId="15" borderId="0" xfId="3" applyFont="1" applyFill="1" applyAlignment="1">
      <alignment horizontal="center"/>
    </xf>
    <xf numFmtId="0" fontId="22" fillId="16" borderId="7" xfId="3" applyFont="1" applyFill="1" applyBorder="1" applyAlignment="1">
      <alignment horizontal="center"/>
    </xf>
    <xf numFmtId="0" fontId="23" fillId="16" borderId="7" xfId="3" applyFont="1" applyFill="1" applyBorder="1" applyAlignment="1">
      <alignment horizontal="center"/>
    </xf>
    <xf numFmtId="0" fontId="28" fillId="0" borderId="0" xfId="3" applyFont="1"/>
    <xf numFmtId="0" fontId="21" fillId="18" borderId="0" xfId="3" applyFont="1" applyFill="1"/>
    <xf numFmtId="0" fontId="29" fillId="18" borderId="0" xfId="3" applyFont="1" applyFill="1"/>
    <xf numFmtId="0" fontId="30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10" fontId="0" fillId="0" borderId="1" xfId="5" applyNumberFormat="1" applyFont="1" applyBorder="1" applyAlignment="1" applyProtection="1">
      <alignment horizontal="center"/>
      <protection locked="0"/>
    </xf>
    <xf numFmtId="0" fontId="13" fillId="19" borderId="1" xfId="0" applyFont="1" applyFill="1" applyBorder="1" applyAlignment="1" applyProtection="1">
      <alignment horizontal="center"/>
      <protection locked="0"/>
    </xf>
    <xf numFmtId="0" fontId="0" fillId="19" borderId="1" xfId="0" applyFill="1" applyBorder="1" applyAlignment="1" applyProtection="1">
      <alignment horizontal="center"/>
      <protection locked="0"/>
    </xf>
    <xf numFmtId="0" fontId="0" fillId="0" borderId="1" xfId="5" applyNumberFormat="1" applyFont="1" applyBorder="1" applyAlignment="1" applyProtection="1">
      <alignment horizontal="center"/>
      <protection locked="0"/>
    </xf>
    <xf numFmtId="10" fontId="0" fillId="19" borderId="1" xfId="5" applyNumberFormat="1" applyFont="1" applyFill="1" applyBorder="1" applyAlignment="1" applyProtection="1">
      <alignment horizontal="center"/>
      <protection locked="0"/>
    </xf>
    <xf numFmtId="16" fontId="0" fillId="0" borderId="0" xfId="0" quotePrefix="1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3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1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5" applyNumberFormat="1" applyFont="1" applyBorder="1" applyAlignment="1">
      <alignment horizontal="center"/>
    </xf>
    <xf numFmtId="0" fontId="0" fillId="0" borderId="1" xfId="5" applyNumberFormat="1" applyFont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2" fontId="13" fillId="19" borderId="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13" fillId="19" borderId="1" xfId="0" applyNumberFormat="1" applyFont="1" applyFill="1" applyBorder="1" applyAlignment="1">
      <alignment horizontal="center"/>
    </xf>
    <xf numFmtId="0" fontId="13" fillId="9" borderId="1" xfId="0" applyFont="1" applyFill="1" applyBorder="1"/>
    <xf numFmtId="0" fontId="13" fillId="9" borderId="9" xfId="0" applyFont="1" applyFill="1" applyBorder="1"/>
    <xf numFmtId="10" fontId="13" fillId="9" borderId="1" xfId="5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0" borderId="11" xfId="0" applyFont="1" applyBorder="1"/>
    <xf numFmtId="0" fontId="13" fillId="7" borderId="0" xfId="0" applyFont="1" applyFill="1"/>
    <xf numFmtId="0" fontId="12" fillId="7" borderId="0" xfId="0" applyFont="1" applyFill="1"/>
    <xf numFmtId="0" fontId="12" fillId="7" borderId="0" xfId="0" quotePrefix="1" applyFont="1" applyFill="1"/>
    <xf numFmtId="0" fontId="3" fillId="23" borderId="0" xfId="0" applyFont="1" applyFill="1"/>
    <xf numFmtId="0" fontId="5" fillId="23" borderId="0" xfId="0" applyFont="1" applyFill="1"/>
    <xf numFmtId="0" fontId="3" fillId="24" borderId="12" xfId="0" applyFont="1" applyFill="1" applyBorder="1"/>
    <xf numFmtId="0" fontId="3" fillId="24" borderId="13" xfId="0" applyFont="1" applyFill="1" applyBorder="1"/>
    <xf numFmtId="0" fontId="3" fillId="24" borderId="14" xfId="0" applyFont="1" applyFill="1" applyBorder="1"/>
    <xf numFmtId="0" fontId="3" fillId="24" borderId="15" xfId="0" applyFont="1" applyFill="1" applyBorder="1"/>
    <xf numFmtId="0" fontId="3" fillId="24" borderId="16" xfId="0" applyFont="1" applyFill="1" applyBorder="1"/>
    <xf numFmtId="0" fontId="3" fillId="24" borderId="17" xfId="0" applyFont="1" applyFill="1" applyBorder="1"/>
    <xf numFmtId="0" fontId="3" fillId="23" borderId="0" xfId="0" applyFont="1" applyFill="1" applyBorder="1"/>
    <xf numFmtId="0" fontId="32" fillId="24" borderId="0" xfId="8" applyFont="1" applyFill="1"/>
    <xf numFmtId="0" fontId="33" fillId="24" borderId="0" xfId="0" applyFont="1" applyFill="1"/>
    <xf numFmtId="0" fontId="33" fillId="24" borderId="16" xfId="0" applyFont="1" applyFill="1" applyBorder="1"/>
    <xf numFmtId="0" fontId="33" fillId="24" borderId="18" xfId="0" applyFont="1" applyFill="1" applyBorder="1"/>
    <xf numFmtId="0" fontId="33" fillId="24" borderId="19" xfId="0" applyFont="1" applyFill="1" applyBorder="1"/>
    <xf numFmtId="9" fontId="10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0" fillId="7" borderId="0" xfId="0" applyFont="1" applyFill="1"/>
    <xf numFmtId="43" fontId="10" fillId="7" borderId="0" xfId="0" applyNumberFormat="1" applyFont="1" applyFill="1"/>
    <xf numFmtId="43" fontId="10" fillId="0" borderId="0" xfId="0" applyNumberFormat="1" applyFont="1"/>
    <xf numFmtId="0" fontId="14" fillId="0" borderId="4" xfId="0" applyFont="1" applyBorder="1"/>
    <xf numFmtId="43" fontId="14" fillId="0" borderId="4" xfId="0" applyNumberFormat="1" applyFont="1" applyBorder="1"/>
    <xf numFmtId="43" fontId="14" fillId="0" borderId="0" xfId="1" applyFont="1" applyBorder="1"/>
    <xf numFmtId="0" fontId="14" fillId="0" borderId="5" xfId="0" applyFont="1" applyBorder="1"/>
    <xf numFmtId="43" fontId="14" fillId="0" borderId="5" xfId="0" applyNumberFormat="1" applyFont="1" applyBorder="1"/>
    <xf numFmtId="0" fontId="38" fillId="0" borderId="0" xfId="8" applyFont="1"/>
    <xf numFmtId="0" fontId="34" fillId="2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3" fillId="21" borderId="8" xfId="0" applyFont="1" applyFill="1" applyBorder="1" applyAlignment="1">
      <alignment horizontal="center"/>
    </xf>
    <xf numFmtId="0" fontId="13" fillId="21" borderId="9" xfId="0" applyFont="1" applyFill="1" applyBorder="1" applyAlignment="1">
      <alignment horizontal="center"/>
    </xf>
    <xf numFmtId="0" fontId="13" fillId="21" borderId="10" xfId="0" applyFont="1" applyFill="1" applyBorder="1" applyAlignment="1">
      <alignment horizontal="center"/>
    </xf>
    <xf numFmtId="0" fontId="11" fillId="6" borderId="1" xfId="0" applyFont="1" applyFill="1" applyBorder="1" applyAlignment="1" applyProtection="1">
      <alignment horizontal="center"/>
      <protection locked="0"/>
    </xf>
    <xf numFmtId="0" fontId="11" fillId="20" borderId="1" xfId="0" applyFont="1" applyFill="1" applyBorder="1" applyAlignment="1">
      <alignment horizontal="center"/>
    </xf>
    <xf numFmtId="0" fontId="3" fillId="0" borderId="0" xfId="0" applyFont="1"/>
    <xf numFmtId="0" fontId="39" fillId="0" borderId="0" xfId="0" applyFont="1"/>
    <xf numFmtId="0" fontId="4" fillId="0" borderId="8" xfId="0" applyFont="1" applyBorder="1"/>
    <xf numFmtId="0" fontId="3" fillId="0" borderId="9" xfId="0" applyFont="1" applyBorder="1"/>
    <xf numFmtId="0" fontId="4" fillId="0" borderId="2" xfId="0" applyFont="1" applyBorder="1"/>
    <xf numFmtId="0" fontId="3" fillId="0" borderId="2" xfId="0" applyFont="1" applyBorder="1"/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3" fillId="0" borderId="1" xfId="0" applyFont="1" applyBorder="1"/>
    <xf numFmtId="43" fontId="3" fillId="0" borderId="1" xfId="1" applyFont="1" applyBorder="1"/>
    <xf numFmtId="10" fontId="3" fillId="0" borderId="1" xfId="1" applyNumberFormat="1" applyFont="1" applyBorder="1"/>
    <xf numFmtId="164" fontId="3" fillId="0" borderId="1" xfId="0" applyNumberFormat="1" applyFont="1" applyBorder="1"/>
    <xf numFmtId="43" fontId="3" fillId="0" borderId="0" xfId="1" applyFont="1"/>
    <xf numFmtId="0" fontId="3" fillId="3" borderId="1" xfId="0" applyFont="1" applyFill="1" applyBorder="1"/>
    <xf numFmtId="43" fontId="3" fillId="3" borderId="1" xfId="1" applyFont="1" applyFill="1" applyBorder="1"/>
    <xf numFmtId="9" fontId="3" fillId="3" borderId="1" xfId="1" applyNumberFormat="1" applyFont="1" applyFill="1" applyBorder="1"/>
    <xf numFmtId="176" fontId="16" fillId="0" borderId="0" xfId="3" applyNumberFormat="1" applyFont="1" applyAlignment="1">
      <alignment horizontal="left"/>
    </xf>
    <xf numFmtId="0" fontId="40" fillId="23" borderId="0" xfId="0" applyFont="1" applyFill="1"/>
  </cellXfs>
  <cellStyles count="9">
    <cellStyle name="Comma 2" xfId="6" xr:uid="{B5F2A534-E7A5-456E-88C1-09B84392A2DF}"/>
    <cellStyle name="Hiperlink" xfId="8" builtinId="8"/>
    <cellStyle name="Normal" xfId="0" builtinId="0"/>
    <cellStyle name="Normal 3" xfId="3" xr:uid="{86271AAC-884B-4186-96D4-9B7FCDAF3C57}"/>
    <cellStyle name="Porcentagem" xfId="5" builtinId="5"/>
    <cellStyle name="Porcentagem 2" xfId="7" xr:uid="{2DCCA5E1-4777-47EC-BE48-E116C7282D7E}"/>
    <cellStyle name="Porcentagem 3" xfId="4" xr:uid="{D9B4A9B6-819C-4670-94A7-B35F1751361C}"/>
    <cellStyle name="Separador de milhares 3" xfId="2" xr:uid="{DB308548-0CEB-4FE3-B1FE-6D281D386790}"/>
    <cellStyle name="Vírgula" xfId="1" builtinId="3"/>
  </cellStyles>
  <dxfs count="12">
    <dxf>
      <font>
        <b/>
        <i val="0"/>
        <condense val="0"/>
        <extend val="0"/>
      </font>
      <fill>
        <patternFill patternType="solid">
          <fgColor indexed="51"/>
          <bgColor indexed="52"/>
        </patternFill>
      </fill>
    </dxf>
    <dxf>
      <font>
        <b/>
        <i val="0"/>
        <condense val="0"/>
        <extend val="0"/>
      </font>
      <fill>
        <patternFill patternType="solid">
          <fgColor indexed="52"/>
          <bgColor indexed="53"/>
        </patternFill>
      </fill>
    </dxf>
    <dxf>
      <font>
        <b/>
        <i val="0"/>
        <condense val="0"/>
        <extend val="0"/>
        <color indexed="9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 patternType="solid">
          <fgColor indexed="21"/>
          <bgColor indexed="17"/>
        </patternFill>
      </fill>
    </dxf>
    <dxf>
      <font>
        <b/>
        <i val="0"/>
        <condense val="0"/>
        <extend val="0"/>
        <color indexed="9"/>
      </font>
      <fill>
        <patternFill patternType="solid">
          <fgColor indexed="60"/>
          <bgColor indexed="1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800" b="1">
                <a:solidFill>
                  <a:srgbClr val="002060"/>
                </a:solidFill>
              </a:rPr>
              <a:t>Break Even Analysis </a:t>
            </a:r>
          </a:p>
        </c:rich>
      </c:tx>
      <c:layout>
        <c:manualLayout>
          <c:xMode val="edge"/>
          <c:yMode val="edge"/>
          <c:x val="0.11016003970412017"/>
          <c:y val="3.9931445136522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PE!$C$24</c:f>
              <c:strCache>
                <c:ptCount val="1"/>
                <c:pt idx="0">
                  <c:v>GF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PE!$B$25:$B$45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PE!$C$25:$C$45</c:f>
              <c:numCache>
                <c:formatCode>_(* #,##0.00_);_(* \(#,##0.00\);_(* "-"??_);_(@_)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0-4CDC-8CC7-7E5457D42DBD}"/>
            </c:ext>
          </c:extLst>
        </c:ser>
        <c:ser>
          <c:idx val="2"/>
          <c:order val="1"/>
          <c:tx>
            <c:strRef>
              <c:f>PE!$E$24</c:f>
              <c:strCache>
                <c:ptCount val="1"/>
                <c:pt idx="0">
                  <c:v> GT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PE!$B$25:$B$45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PE!$E$25:$E$45</c:f>
              <c:numCache>
                <c:formatCode>_-* #,##0_-;\-* #,##0_-;_-* "-"??_-;_-@_-</c:formatCode>
                <c:ptCount val="21"/>
                <c:pt idx="0">
                  <c:v>6000</c:v>
                </c:pt>
                <c:pt idx="1">
                  <c:v>6900</c:v>
                </c:pt>
                <c:pt idx="2">
                  <c:v>7800</c:v>
                </c:pt>
                <c:pt idx="3">
                  <c:v>8700</c:v>
                </c:pt>
                <c:pt idx="4">
                  <c:v>9600</c:v>
                </c:pt>
                <c:pt idx="5">
                  <c:v>10500</c:v>
                </c:pt>
                <c:pt idx="6">
                  <c:v>11400</c:v>
                </c:pt>
                <c:pt idx="7">
                  <c:v>12300</c:v>
                </c:pt>
                <c:pt idx="8">
                  <c:v>13200</c:v>
                </c:pt>
                <c:pt idx="9">
                  <c:v>14100</c:v>
                </c:pt>
                <c:pt idx="10">
                  <c:v>15000</c:v>
                </c:pt>
                <c:pt idx="11">
                  <c:v>15900</c:v>
                </c:pt>
                <c:pt idx="12">
                  <c:v>16800</c:v>
                </c:pt>
                <c:pt idx="13">
                  <c:v>17700</c:v>
                </c:pt>
                <c:pt idx="14">
                  <c:v>18600</c:v>
                </c:pt>
                <c:pt idx="15">
                  <c:v>19500</c:v>
                </c:pt>
                <c:pt idx="16">
                  <c:v>20400</c:v>
                </c:pt>
                <c:pt idx="17">
                  <c:v>21300</c:v>
                </c:pt>
                <c:pt idx="18">
                  <c:v>22200</c:v>
                </c:pt>
                <c:pt idx="19">
                  <c:v>23100</c:v>
                </c:pt>
                <c:pt idx="20">
                  <c:v>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0-4CDC-8CC7-7E5457D42DBD}"/>
            </c:ext>
          </c:extLst>
        </c:ser>
        <c:ser>
          <c:idx val="3"/>
          <c:order val="2"/>
          <c:tx>
            <c:strRef>
              <c:f>PE!$F$24</c:f>
              <c:strCache>
                <c:ptCount val="1"/>
                <c:pt idx="0">
                  <c:v> Receita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PE!$B$25:$B$45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cat>
          <c:val>
            <c:numRef>
              <c:f>PE!$F$25:$F$45</c:f>
              <c:numCache>
                <c:formatCode>_-* #,##0_-;\-* #,##0_-;_-* "-"??_-;_-@_-</c:formatCode>
                <c:ptCount val="21"/>
                <c:pt idx="0">
                  <c:v>0</c:v>
                </c:pt>
                <c:pt idx="1">
                  <c:v>1750</c:v>
                </c:pt>
                <c:pt idx="2">
                  <c:v>3500</c:v>
                </c:pt>
                <c:pt idx="3">
                  <c:v>5250</c:v>
                </c:pt>
                <c:pt idx="4">
                  <c:v>7000</c:v>
                </c:pt>
                <c:pt idx="5">
                  <c:v>8750</c:v>
                </c:pt>
                <c:pt idx="6">
                  <c:v>10500</c:v>
                </c:pt>
                <c:pt idx="7">
                  <c:v>12250</c:v>
                </c:pt>
                <c:pt idx="8">
                  <c:v>14000</c:v>
                </c:pt>
                <c:pt idx="9">
                  <c:v>15750</c:v>
                </c:pt>
                <c:pt idx="10">
                  <c:v>17500</c:v>
                </c:pt>
                <c:pt idx="11">
                  <c:v>19250</c:v>
                </c:pt>
                <c:pt idx="12">
                  <c:v>21000</c:v>
                </c:pt>
                <c:pt idx="13">
                  <c:v>22750</c:v>
                </c:pt>
                <c:pt idx="14">
                  <c:v>24500</c:v>
                </c:pt>
                <c:pt idx="15">
                  <c:v>26250</c:v>
                </c:pt>
                <c:pt idx="16">
                  <c:v>28000</c:v>
                </c:pt>
                <c:pt idx="17">
                  <c:v>29750</c:v>
                </c:pt>
                <c:pt idx="18">
                  <c:v>31500</c:v>
                </c:pt>
                <c:pt idx="19">
                  <c:v>33250</c:v>
                </c:pt>
                <c:pt idx="20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80-4CDC-8CC7-7E5457D42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416480"/>
        <c:axId val="519415168"/>
      </c:lineChart>
      <c:catAx>
        <c:axId val="5194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415168"/>
        <c:crosses val="autoZero"/>
        <c:auto val="1"/>
        <c:lblAlgn val="ctr"/>
        <c:lblOffset val="100"/>
        <c:noMultiLvlLbl val="0"/>
      </c:catAx>
      <c:valAx>
        <c:axId val="51941516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4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'VPL TIR'!$I$11:$I$30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  <c:pt idx="13">
                  <c:v>280</c:v>
                </c:pt>
                <c:pt idx="14">
                  <c:v>300</c:v>
                </c:pt>
                <c:pt idx="15">
                  <c:v>320</c:v>
                </c:pt>
                <c:pt idx="16">
                  <c:v>340</c:v>
                </c:pt>
                <c:pt idx="17">
                  <c:v>360</c:v>
                </c:pt>
                <c:pt idx="18">
                  <c:v>380</c:v>
                </c:pt>
                <c:pt idx="19">
                  <c:v>400</c:v>
                </c:pt>
              </c:numCache>
            </c:numRef>
          </c:xVal>
          <c:yVal>
            <c:numRef>
              <c:f>'VPL TIR'!$J$11:$J$30</c:f>
              <c:numCache>
                <c:formatCode>_(* #,##0.00_);_(* \(#,##0.00\);_(* "-"??_);_(@_)</c:formatCode>
                <c:ptCount val="20"/>
                <c:pt idx="0">
                  <c:v>-159429.6852938231</c:v>
                </c:pt>
                <c:pt idx="1">
                  <c:v>349860.67009710649</c:v>
                </c:pt>
                <c:pt idx="2">
                  <c:v>499624.12189408299</c:v>
                </c:pt>
                <c:pt idx="3">
                  <c:v>559505.84779257118</c:v>
                </c:pt>
                <c:pt idx="4">
                  <c:v>583434.88333166426</c:v>
                </c:pt>
                <c:pt idx="5">
                  <c:v>589387.5736910596</c:v>
                </c:pt>
                <c:pt idx="6">
                  <c:v>585068.06680491334</c:v>
                </c:pt>
                <c:pt idx="7">
                  <c:v>574328.4366403037</c:v>
                </c:pt>
                <c:pt idx="8">
                  <c:v>559308.72429005173</c:v>
                </c:pt>
                <c:pt idx="9">
                  <c:v>541292.95440985006</c:v>
                </c:pt>
                <c:pt idx="10">
                  <c:v>521098.23359877593</c:v>
                </c:pt>
                <c:pt idx="11">
                  <c:v>499269.29958954779</c:v>
                </c:pt>
                <c:pt idx="12">
                  <c:v>476183.278504816</c:v>
                </c:pt>
                <c:pt idx="13">
                  <c:v>452109.54614647455</c:v>
                </c:pt>
                <c:pt idx="14">
                  <c:v>427245.64476924564</c:v>
                </c:pt>
                <c:pt idx="15">
                  <c:v>401739.73106416978</c:v>
                </c:pt>
                <c:pt idx="16">
                  <c:v>375705.10132439726</c:v>
                </c:pt>
                <c:pt idx="17">
                  <c:v>349229.87488904397</c:v>
                </c:pt>
                <c:pt idx="18">
                  <c:v>322383.61965741182</c:v>
                </c:pt>
                <c:pt idx="19">
                  <c:v>295221.98994894326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A-4F00-9E1F-9A815F28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642320"/>
        <c:axId val="448641336"/>
      </c:scatterChart>
      <c:valAx>
        <c:axId val="4486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641336"/>
        <c:crosses val="autoZero"/>
        <c:crossBetween val="midCat"/>
      </c:valAx>
      <c:valAx>
        <c:axId val="44864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64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2207175</xdr:colOff>
      <xdr:row>9</xdr:row>
      <xdr:rowOff>275897</xdr:rowOff>
    </xdr:from>
    <xdr:to>
      <xdr:col>10</xdr:col>
      <xdr:colOff>373481</xdr:colOff>
      <xdr:row>12</xdr:row>
      <xdr:rowOff>220061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23A742-A0B4-45E0-8AF4-9FF90A2B6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9382" y="2555328"/>
          <a:ext cx="452306" cy="601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4</xdr:row>
      <xdr:rowOff>28575</xdr:rowOff>
    </xdr:from>
    <xdr:to>
      <xdr:col>8</xdr:col>
      <xdr:colOff>133350</xdr:colOff>
      <xdr:row>19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4DDDDF-C102-4A11-8454-33C341142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8</xdr:row>
      <xdr:rowOff>95250</xdr:rowOff>
    </xdr:from>
    <xdr:to>
      <xdr:col>17</xdr:col>
      <xdr:colOff>447675</xdr:colOff>
      <xdr:row>23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CB5DF4-E7C2-491A-9EDD-2D51A4636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&#225;lise_Econ&#244;mica_Financei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CVM"/>
      <sheetName val="DRE CVM"/>
      <sheetName val="DFC"/>
      <sheetName val="KANITZ"/>
      <sheetName val="ALTMAN"/>
      <sheetName val="FLEURIET"/>
      <sheetName val="ÍNDICES TRADICIONAIS"/>
      <sheetName val="COI"/>
      <sheetName val="ROIC"/>
      <sheetName val="WACC"/>
      <sheetName val="EVA"/>
      <sheetName val="BAL FLEURIET"/>
      <sheetName val="CDI E SELIC"/>
      <sheetName val="ÍNDICES DE PREÇO"/>
    </sheetNames>
    <sheetDataSet>
      <sheetData sheetId="0">
        <row r="3">
          <cell r="A3" t="str">
            <v>Em R$000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B597F-E5D6-4957-9805-473D533CDF09}" name="Tabela1" displayName="Tabela1" ref="B24:F45" totalsRowShown="0" headerRowDxfId="11" dataDxfId="10">
  <autoFilter ref="B24:F45" xr:uid="{574522A7-3789-4A05-BC4F-05249644424C}"/>
  <tableColumns count="5">
    <tableColumn id="1" xr3:uid="{B55E1534-1881-4885-8122-5F9D287F60E3}" name="Qtde." dataDxfId="9">
      <calculatedColumnFormula>+B24+50</calculatedColumnFormula>
    </tableColumn>
    <tableColumn id="2" xr3:uid="{C6795B78-C353-46C0-B512-7D19484DC630}" name="GF" dataDxfId="8">
      <calculatedColumnFormula>$C$6</calculatedColumnFormula>
    </tableColumn>
    <tableColumn id="3" xr3:uid="{8011A31E-531E-4F47-A0C1-FA77086F37ED}" name="GV" dataDxfId="7" dataCellStyle="Vírgula">
      <calculatedColumnFormula>B25*$C$7</calculatedColumnFormula>
    </tableColumn>
    <tableColumn id="4" xr3:uid="{03E245E5-9F06-48EF-979B-7BFB091ED4DD}" name="GT" dataDxfId="6" dataCellStyle="Vírgula">
      <calculatedColumnFormula>C25+D25</calculatedColumnFormula>
    </tableColumn>
    <tableColumn id="5" xr3:uid="{F36FDE68-D21C-4AFC-B807-6DD1AE3D64D9}" name="Receita" dataDxfId="5" dataCellStyle="Vírgula">
      <calculatedColumnFormula>B25*$C$8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A28E-8947-484E-9A26-A870C60EA1A0}">
  <dimension ref="A1:O63"/>
  <sheetViews>
    <sheetView showRowColHeaders="0" zoomScale="145" zoomScaleNormal="145" workbookViewId="0">
      <selection activeCell="J16" sqref="J16"/>
    </sheetView>
  </sheetViews>
  <sheetFormatPr defaultColWidth="0" defaultRowHeight="14.25" zeroHeight="1" x14ac:dyDescent="0.2"/>
  <cols>
    <col min="1" max="1" width="3.140625" style="179" customWidth="1"/>
    <col min="2" max="2" width="4.42578125" style="179" customWidth="1"/>
    <col min="3" max="9" width="9.140625" style="179" customWidth="1"/>
    <col min="10" max="10" width="34.28515625" style="179" customWidth="1"/>
    <col min="11" max="11" width="7" style="179" customWidth="1"/>
    <col min="12" max="12" width="6.5703125" style="179" customWidth="1"/>
    <col min="13" max="15" width="0" style="179" hidden="1" customWidth="1"/>
    <col min="16" max="16384" width="9.140625" style="179" hidden="1"/>
  </cols>
  <sheetData>
    <row r="1" spans="2:11" ht="6" customHeight="1" x14ac:dyDescent="0.2">
      <c r="B1" s="180"/>
    </row>
    <row r="2" spans="2:11" ht="19.5" customHeight="1" x14ac:dyDescent="0.2">
      <c r="B2" s="181"/>
      <c r="C2" s="182"/>
      <c r="D2" s="182"/>
      <c r="E2" s="182"/>
      <c r="F2" s="182"/>
      <c r="G2" s="182"/>
      <c r="H2" s="182"/>
      <c r="I2" s="182"/>
      <c r="J2" s="182"/>
      <c r="K2" s="183"/>
    </row>
    <row r="3" spans="2:11" x14ac:dyDescent="0.2">
      <c r="B3" s="184"/>
      <c r="C3" s="206" t="s">
        <v>194</v>
      </c>
      <c r="D3" s="206"/>
      <c r="E3" s="206"/>
      <c r="F3" s="206"/>
      <c r="G3" s="206"/>
      <c r="H3" s="206"/>
      <c r="I3" s="206"/>
      <c r="J3" s="206"/>
      <c r="K3" s="185"/>
    </row>
    <row r="4" spans="2:11" x14ac:dyDescent="0.2">
      <c r="B4" s="184"/>
      <c r="C4" s="206"/>
      <c r="D4" s="206"/>
      <c r="E4" s="206"/>
      <c r="F4" s="206"/>
      <c r="G4" s="206"/>
      <c r="H4" s="206"/>
      <c r="I4" s="206"/>
      <c r="J4" s="206"/>
      <c r="K4" s="185"/>
    </row>
    <row r="5" spans="2:11" ht="23.25" customHeight="1" x14ac:dyDescent="0.25">
      <c r="B5" s="184"/>
      <c r="C5" s="188" t="s">
        <v>24</v>
      </c>
      <c r="D5" s="189"/>
      <c r="E5" s="189"/>
      <c r="F5" s="189"/>
      <c r="G5" s="189"/>
      <c r="H5" s="189"/>
      <c r="I5" s="189"/>
      <c r="J5" s="189"/>
      <c r="K5" s="190"/>
    </row>
    <row r="6" spans="2:11" ht="23.25" customHeight="1" x14ac:dyDescent="0.25">
      <c r="B6" s="184"/>
      <c r="C6" s="188" t="s">
        <v>188</v>
      </c>
      <c r="D6" s="189"/>
      <c r="E6" s="189"/>
      <c r="F6" s="189"/>
      <c r="G6" s="189"/>
      <c r="H6" s="189"/>
      <c r="I6" s="189"/>
      <c r="J6" s="189"/>
      <c r="K6" s="190"/>
    </row>
    <row r="7" spans="2:11" ht="23.25" customHeight="1" x14ac:dyDescent="0.25">
      <c r="B7" s="184"/>
      <c r="C7" s="188" t="s">
        <v>189</v>
      </c>
      <c r="D7" s="189"/>
      <c r="E7" s="189"/>
      <c r="F7" s="189"/>
      <c r="G7" s="189"/>
      <c r="H7" s="189"/>
      <c r="I7" s="189"/>
      <c r="J7" s="189"/>
      <c r="K7" s="190"/>
    </row>
    <row r="8" spans="2:11" ht="23.25" customHeight="1" x14ac:dyDescent="0.25">
      <c r="B8" s="184"/>
      <c r="C8" s="188" t="s">
        <v>190</v>
      </c>
      <c r="D8" s="189"/>
      <c r="E8" s="189"/>
      <c r="F8" s="189"/>
      <c r="G8" s="189"/>
      <c r="H8" s="189"/>
      <c r="I8" s="189"/>
      <c r="J8" s="189"/>
      <c r="K8" s="190"/>
    </row>
    <row r="9" spans="2:11" ht="23.25" customHeight="1" x14ac:dyDescent="0.25">
      <c r="B9" s="184"/>
      <c r="C9" s="188" t="s">
        <v>123</v>
      </c>
      <c r="D9" s="189"/>
      <c r="E9" s="189"/>
      <c r="F9" s="189"/>
      <c r="G9" s="189"/>
      <c r="H9" s="189"/>
      <c r="I9" s="189"/>
      <c r="J9" s="189"/>
      <c r="K9" s="190"/>
    </row>
    <row r="10" spans="2:11" ht="23.25" customHeight="1" x14ac:dyDescent="0.25">
      <c r="B10" s="184"/>
      <c r="C10" s="188" t="s">
        <v>191</v>
      </c>
      <c r="D10" s="189"/>
      <c r="E10" s="189"/>
      <c r="F10" s="189"/>
      <c r="G10" s="189"/>
      <c r="H10" s="189"/>
      <c r="I10" s="189"/>
      <c r="J10" s="189"/>
      <c r="K10" s="190"/>
    </row>
    <row r="11" spans="2:11" ht="9" customHeight="1" x14ac:dyDescent="0.25">
      <c r="B11" s="184"/>
      <c r="C11" s="188"/>
      <c r="D11" s="189"/>
      <c r="E11" s="189"/>
      <c r="F11" s="189"/>
      <c r="G11" s="189"/>
      <c r="H11" s="189"/>
      <c r="I11" s="189"/>
      <c r="J11" s="189"/>
      <c r="K11" s="190"/>
    </row>
    <row r="12" spans="2:11" ht="19.5" customHeight="1" x14ac:dyDescent="0.25">
      <c r="B12" s="184"/>
      <c r="C12" s="188" t="s">
        <v>223</v>
      </c>
      <c r="D12" s="189"/>
      <c r="E12" s="189"/>
      <c r="F12" s="189"/>
      <c r="G12" s="189"/>
      <c r="H12" s="189"/>
      <c r="I12" s="189"/>
      <c r="J12" s="189"/>
      <c r="K12" s="190"/>
    </row>
    <row r="13" spans="2:11" ht="23.25" customHeight="1" x14ac:dyDescent="0.25">
      <c r="B13" s="184"/>
      <c r="C13" s="188" t="s">
        <v>192</v>
      </c>
      <c r="D13" s="189"/>
      <c r="E13" s="189"/>
      <c r="F13" s="189"/>
      <c r="G13" s="189"/>
      <c r="H13" s="189"/>
      <c r="I13" s="189"/>
      <c r="J13" s="189"/>
      <c r="K13" s="190"/>
    </row>
    <row r="14" spans="2:11" ht="17.25" customHeight="1" x14ac:dyDescent="0.2">
      <c r="B14" s="186"/>
      <c r="C14" s="191"/>
      <c r="D14" s="191"/>
      <c r="E14" s="191"/>
      <c r="F14" s="191"/>
      <c r="G14" s="191"/>
      <c r="H14" s="191"/>
      <c r="I14" s="191"/>
      <c r="J14" s="191"/>
      <c r="K14" s="192"/>
    </row>
    <row r="15" spans="2:11" ht="7.5" customHeight="1" x14ac:dyDescent="0.2">
      <c r="B15" s="187"/>
      <c r="C15" s="187"/>
      <c r="D15" s="187"/>
      <c r="E15" s="187"/>
      <c r="F15" s="187"/>
      <c r="G15" s="187"/>
      <c r="H15" s="187"/>
      <c r="I15" s="187"/>
      <c r="J15" s="187"/>
      <c r="K15" s="187"/>
    </row>
    <row r="16" spans="2:11" x14ac:dyDescent="0.2">
      <c r="C16" s="234" t="s">
        <v>193</v>
      </c>
    </row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</sheetData>
  <mergeCells count="1">
    <mergeCell ref="C3:J4"/>
  </mergeCells>
  <hyperlinks>
    <hyperlink ref="C5" location="FCL!A1" display="FCL - FLUXO DE CAIXA LIVRE" xr:uid="{8BF58B34-2C8B-4DCE-BA71-055D31DDCF57}"/>
    <hyperlink ref="C6" location="PE!A1" display="CALCULO PONTO DE EQUILÍBRIO" xr:uid="{88B47DF5-34F0-4646-B2F4-C71DD2579997}"/>
    <hyperlink ref="C7" location="VALUATION!A1" display="VALUATION" xr:uid="{EFC0A8E6-63FB-4F61-840A-AFBA62C49C9C}"/>
    <hyperlink ref="C8" location="GIN!A1" display="CALCULO DE PONTO DE EQUILIBRIO (COMPARATIVOS)" xr:uid="{5CF9E866-E961-4FC6-BA0D-D3D3CF55BD9C}"/>
    <hyperlink ref="C9" location="'WORKING CAPITAL'!A1" display="WORKING CAPITAL - CALCULO DE NECESSIDADES" xr:uid="{197371B5-7189-449B-9B8B-793530DE78C5}"/>
    <hyperlink ref="C10" location="FLEURIET!A1" display="ANALISE FLEURIET" xr:uid="{4A7D030E-B9BF-4E05-81B0-84AC8349E9D1}"/>
    <hyperlink ref="C13" location="MFIN!A1" display="MATEMATICA FINANCEIRA - CACULOS DIVERSOS" xr:uid="{85D65B5C-8F7A-498B-A80F-DDD859CAE0F3}"/>
    <hyperlink ref="C12" location="FLEURIET!A1" display="ANALISE FLEURIET" xr:uid="{554DD448-6CDA-4C65-9523-26018C5EC0BD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2F86-EE85-4FB3-92BF-94D18B87A688}">
  <dimension ref="A1:WVV19"/>
  <sheetViews>
    <sheetView showGridLines="0" workbookViewId="0">
      <selection activeCell="M2" sqref="M2"/>
    </sheetView>
  </sheetViews>
  <sheetFormatPr defaultColWidth="0" defaultRowHeight="14.25" zeroHeight="1" x14ac:dyDescent="0.2"/>
  <cols>
    <col min="1" max="1" width="2.5703125" style="1" customWidth="1"/>
    <col min="2" max="2" width="57.7109375" style="1" customWidth="1"/>
    <col min="3" max="13" width="9.85546875" style="1" customWidth="1"/>
    <col min="14" max="14" width="11.5703125" style="1" customWidth="1"/>
    <col min="15" max="246" width="9.140625" style="1" hidden="1"/>
    <col min="247" max="247" width="4.7109375" style="1" hidden="1"/>
    <col min="248" max="248" width="63.5703125" style="1" hidden="1"/>
    <col min="249" max="249" width="13.5703125" style="1" hidden="1"/>
    <col min="250" max="270" width="11.5703125" style="1" hidden="1"/>
    <col min="271" max="502" width="9.140625" style="1" hidden="1"/>
    <col min="503" max="503" width="4.7109375" style="1" hidden="1"/>
    <col min="504" max="504" width="63.5703125" style="1" hidden="1"/>
    <col min="505" max="505" width="13.5703125" style="1" hidden="1"/>
    <col min="506" max="526" width="11.5703125" style="1" hidden="1"/>
    <col min="527" max="758" width="9.140625" style="1" hidden="1"/>
    <col min="759" max="759" width="4.7109375" style="1" hidden="1"/>
    <col min="760" max="760" width="63.5703125" style="1" hidden="1"/>
    <col min="761" max="761" width="13.5703125" style="1" hidden="1"/>
    <col min="762" max="782" width="11.5703125" style="1" hidden="1"/>
    <col min="783" max="1014" width="9.140625" style="1" hidden="1"/>
    <col min="1015" max="1015" width="4.7109375" style="1" hidden="1"/>
    <col min="1016" max="1016" width="63.5703125" style="1" hidden="1"/>
    <col min="1017" max="1017" width="13.5703125" style="1" hidden="1"/>
    <col min="1018" max="1038" width="11.5703125" style="1" hidden="1"/>
    <col min="1039" max="1270" width="9.140625" style="1" hidden="1"/>
    <col min="1271" max="1271" width="4.7109375" style="1" hidden="1"/>
    <col min="1272" max="1272" width="63.5703125" style="1" hidden="1"/>
    <col min="1273" max="1273" width="13.5703125" style="1" hidden="1"/>
    <col min="1274" max="1294" width="11.5703125" style="1" hidden="1"/>
    <col min="1295" max="1526" width="9.140625" style="1" hidden="1"/>
    <col min="1527" max="1527" width="4.7109375" style="1" hidden="1"/>
    <col min="1528" max="1528" width="63.5703125" style="1" hidden="1"/>
    <col min="1529" max="1529" width="13.5703125" style="1" hidden="1"/>
    <col min="1530" max="1550" width="11.5703125" style="1" hidden="1"/>
    <col min="1551" max="1782" width="9.140625" style="1" hidden="1"/>
    <col min="1783" max="1783" width="4.7109375" style="1" hidden="1"/>
    <col min="1784" max="1784" width="63.5703125" style="1" hidden="1"/>
    <col min="1785" max="1785" width="13.5703125" style="1" hidden="1"/>
    <col min="1786" max="1806" width="11.5703125" style="1" hidden="1"/>
    <col min="1807" max="2038" width="9.140625" style="1" hidden="1"/>
    <col min="2039" max="2039" width="4.7109375" style="1" hidden="1"/>
    <col min="2040" max="2040" width="63.5703125" style="1" hidden="1"/>
    <col min="2041" max="2041" width="13.5703125" style="1" hidden="1"/>
    <col min="2042" max="2062" width="11.5703125" style="1" hidden="1"/>
    <col min="2063" max="2294" width="9.140625" style="1" hidden="1"/>
    <col min="2295" max="2295" width="4.7109375" style="1" hidden="1"/>
    <col min="2296" max="2296" width="63.5703125" style="1" hidden="1"/>
    <col min="2297" max="2297" width="13.5703125" style="1" hidden="1"/>
    <col min="2298" max="2318" width="11.5703125" style="1" hidden="1"/>
    <col min="2319" max="2550" width="9.140625" style="1" hidden="1"/>
    <col min="2551" max="2551" width="4.7109375" style="1" hidden="1"/>
    <col min="2552" max="2552" width="63.5703125" style="1" hidden="1"/>
    <col min="2553" max="2553" width="13.5703125" style="1" hidden="1"/>
    <col min="2554" max="2574" width="11.5703125" style="1" hidden="1"/>
    <col min="2575" max="2806" width="9.140625" style="1" hidden="1"/>
    <col min="2807" max="2807" width="4.7109375" style="1" hidden="1"/>
    <col min="2808" max="2808" width="63.5703125" style="1" hidden="1"/>
    <col min="2809" max="2809" width="13.5703125" style="1" hidden="1"/>
    <col min="2810" max="2830" width="11.5703125" style="1" hidden="1"/>
    <col min="2831" max="3062" width="9.140625" style="1" hidden="1"/>
    <col min="3063" max="3063" width="4.7109375" style="1" hidden="1"/>
    <col min="3064" max="3064" width="63.5703125" style="1" hidden="1"/>
    <col min="3065" max="3065" width="13.5703125" style="1" hidden="1"/>
    <col min="3066" max="3086" width="11.5703125" style="1" hidden="1"/>
    <col min="3087" max="3318" width="9.140625" style="1" hidden="1"/>
    <col min="3319" max="3319" width="4.7109375" style="1" hidden="1"/>
    <col min="3320" max="3320" width="63.5703125" style="1" hidden="1"/>
    <col min="3321" max="3321" width="13.5703125" style="1" hidden="1"/>
    <col min="3322" max="3342" width="11.5703125" style="1" hidden="1"/>
    <col min="3343" max="3574" width="9.140625" style="1" hidden="1"/>
    <col min="3575" max="3575" width="4.7109375" style="1" hidden="1"/>
    <col min="3576" max="3576" width="63.5703125" style="1" hidden="1"/>
    <col min="3577" max="3577" width="13.5703125" style="1" hidden="1"/>
    <col min="3578" max="3598" width="11.5703125" style="1" hidden="1"/>
    <col min="3599" max="3830" width="9.140625" style="1" hidden="1"/>
    <col min="3831" max="3831" width="4.7109375" style="1" hidden="1"/>
    <col min="3832" max="3832" width="63.5703125" style="1" hidden="1"/>
    <col min="3833" max="3833" width="13.5703125" style="1" hidden="1"/>
    <col min="3834" max="3854" width="11.5703125" style="1" hidden="1"/>
    <col min="3855" max="4086" width="9.140625" style="1" hidden="1"/>
    <col min="4087" max="4087" width="4.7109375" style="1" hidden="1"/>
    <col min="4088" max="4088" width="63.5703125" style="1" hidden="1"/>
    <col min="4089" max="4089" width="13.5703125" style="1" hidden="1"/>
    <col min="4090" max="4110" width="11.5703125" style="1" hidden="1"/>
    <col min="4111" max="4342" width="9.140625" style="1" hidden="1"/>
    <col min="4343" max="4343" width="4.7109375" style="1" hidden="1"/>
    <col min="4344" max="4344" width="63.5703125" style="1" hidden="1"/>
    <col min="4345" max="4345" width="13.5703125" style="1" hidden="1"/>
    <col min="4346" max="4366" width="11.5703125" style="1" hidden="1"/>
    <col min="4367" max="4598" width="9.140625" style="1" hidden="1"/>
    <col min="4599" max="4599" width="4.7109375" style="1" hidden="1"/>
    <col min="4600" max="4600" width="63.5703125" style="1" hidden="1"/>
    <col min="4601" max="4601" width="13.5703125" style="1" hidden="1"/>
    <col min="4602" max="4622" width="11.5703125" style="1" hidden="1"/>
    <col min="4623" max="4854" width="9.140625" style="1" hidden="1"/>
    <col min="4855" max="4855" width="4.7109375" style="1" hidden="1"/>
    <col min="4856" max="4856" width="63.5703125" style="1" hidden="1"/>
    <col min="4857" max="4857" width="13.5703125" style="1" hidden="1"/>
    <col min="4858" max="4878" width="11.5703125" style="1" hidden="1"/>
    <col min="4879" max="5110" width="9.140625" style="1" hidden="1"/>
    <col min="5111" max="5111" width="4.7109375" style="1" hidden="1"/>
    <col min="5112" max="5112" width="63.5703125" style="1" hidden="1"/>
    <col min="5113" max="5113" width="13.5703125" style="1" hidden="1"/>
    <col min="5114" max="5134" width="11.5703125" style="1" hidden="1"/>
    <col min="5135" max="5366" width="9.140625" style="1" hidden="1"/>
    <col min="5367" max="5367" width="4.7109375" style="1" hidden="1"/>
    <col min="5368" max="5368" width="63.5703125" style="1" hidden="1"/>
    <col min="5369" max="5369" width="13.5703125" style="1" hidden="1"/>
    <col min="5370" max="5390" width="11.5703125" style="1" hidden="1"/>
    <col min="5391" max="5622" width="9.140625" style="1" hidden="1"/>
    <col min="5623" max="5623" width="4.7109375" style="1" hidden="1"/>
    <col min="5624" max="5624" width="63.5703125" style="1" hidden="1"/>
    <col min="5625" max="5625" width="13.5703125" style="1" hidden="1"/>
    <col min="5626" max="5646" width="11.5703125" style="1" hidden="1"/>
    <col min="5647" max="5878" width="9.140625" style="1" hidden="1"/>
    <col min="5879" max="5879" width="4.7109375" style="1" hidden="1"/>
    <col min="5880" max="5880" width="63.5703125" style="1" hidden="1"/>
    <col min="5881" max="5881" width="13.5703125" style="1" hidden="1"/>
    <col min="5882" max="5902" width="11.5703125" style="1" hidden="1"/>
    <col min="5903" max="6134" width="9.140625" style="1" hidden="1"/>
    <col min="6135" max="6135" width="4.7109375" style="1" hidden="1"/>
    <col min="6136" max="6136" width="63.5703125" style="1" hidden="1"/>
    <col min="6137" max="6137" width="13.5703125" style="1" hidden="1"/>
    <col min="6138" max="6158" width="11.5703125" style="1" hidden="1"/>
    <col min="6159" max="6390" width="9.140625" style="1" hidden="1"/>
    <col min="6391" max="6391" width="4.7109375" style="1" hidden="1"/>
    <col min="6392" max="6392" width="63.5703125" style="1" hidden="1"/>
    <col min="6393" max="6393" width="13.5703125" style="1" hidden="1"/>
    <col min="6394" max="6414" width="11.5703125" style="1" hidden="1"/>
    <col min="6415" max="6646" width="9.140625" style="1" hidden="1"/>
    <col min="6647" max="6647" width="4.7109375" style="1" hidden="1"/>
    <col min="6648" max="6648" width="63.5703125" style="1" hidden="1"/>
    <col min="6649" max="6649" width="13.5703125" style="1" hidden="1"/>
    <col min="6650" max="6670" width="11.5703125" style="1" hidden="1"/>
    <col min="6671" max="6902" width="9.140625" style="1" hidden="1"/>
    <col min="6903" max="6903" width="4.7109375" style="1" hidden="1"/>
    <col min="6904" max="6904" width="63.5703125" style="1" hidden="1"/>
    <col min="6905" max="6905" width="13.5703125" style="1" hidden="1"/>
    <col min="6906" max="6926" width="11.5703125" style="1" hidden="1"/>
    <col min="6927" max="7158" width="9.140625" style="1" hidden="1"/>
    <col min="7159" max="7159" width="4.7109375" style="1" hidden="1"/>
    <col min="7160" max="7160" width="63.5703125" style="1" hidden="1"/>
    <col min="7161" max="7161" width="13.5703125" style="1" hidden="1"/>
    <col min="7162" max="7182" width="11.5703125" style="1" hidden="1"/>
    <col min="7183" max="7414" width="9.140625" style="1" hidden="1"/>
    <col min="7415" max="7415" width="4.7109375" style="1" hidden="1"/>
    <col min="7416" max="7416" width="63.5703125" style="1" hidden="1"/>
    <col min="7417" max="7417" width="13.5703125" style="1" hidden="1"/>
    <col min="7418" max="7438" width="11.5703125" style="1" hidden="1"/>
    <col min="7439" max="7670" width="9.140625" style="1" hidden="1"/>
    <col min="7671" max="7671" width="4.7109375" style="1" hidden="1"/>
    <col min="7672" max="7672" width="63.5703125" style="1" hidden="1"/>
    <col min="7673" max="7673" width="13.5703125" style="1" hidden="1"/>
    <col min="7674" max="7694" width="11.5703125" style="1" hidden="1"/>
    <col min="7695" max="7926" width="9.140625" style="1" hidden="1"/>
    <col min="7927" max="7927" width="4.7109375" style="1" hidden="1"/>
    <col min="7928" max="7928" width="63.5703125" style="1" hidden="1"/>
    <col min="7929" max="7929" width="13.5703125" style="1" hidden="1"/>
    <col min="7930" max="7950" width="11.5703125" style="1" hidden="1"/>
    <col min="7951" max="8182" width="9.140625" style="1" hidden="1"/>
    <col min="8183" max="8183" width="4.7109375" style="1" hidden="1"/>
    <col min="8184" max="8184" width="63.5703125" style="1" hidden="1"/>
    <col min="8185" max="8185" width="13.5703125" style="1" hidden="1"/>
    <col min="8186" max="8206" width="11.5703125" style="1" hidden="1"/>
    <col min="8207" max="8438" width="9.140625" style="1" hidden="1"/>
    <col min="8439" max="8439" width="4.7109375" style="1" hidden="1"/>
    <col min="8440" max="8440" width="63.5703125" style="1" hidden="1"/>
    <col min="8441" max="8441" width="13.5703125" style="1" hidden="1"/>
    <col min="8442" max="8462" width="11.5703125" style="1" hidden="1"/>
    <col min="8463" max="8694" width="9.140625" style="1" hidden="1"/>
    <col min="8695" max="8695" width="4.7109375" style="1" hidden="1"/>
    <col min="8696" max="8696" width="63.5703125" style="1" hidden="1"/>
    <col min="8697" max="8697" width="13.5703125" style="1" hidden="1"/>
    <col min="8698" max="8718" width="11.5703125" style="1" hidden="1"/>
    <col min="8719" max="8950" width="9.140625" style="1" hidden="1"/>
    <col min="8951" max="8951" width="4.7109375" style="1" hidden="1"/>
    <col min="8952" max="8952" width="63.5703125" style="1" hidden="1"/>
    <col min="8953" max="8953" width="13.5703125" style="1" hidden="1"/>
    <col min="8954" max="8974" width="11.5703125" style="1" hidden="1"/>
    <col min="8975" max="9206" width="9.140625" style="1" hidden="1"/>
    <col min="9207" max="9207" width="4.7109375" style="1" hidden="1"/>
    <col min="9208" max="9208" width="63.5703125" style="1" hidden="1"/>
    <col min="9209" max="9209" width="13.5703125" style="1" hidden="1"/>
    <col min="9210" max="9230" width="11.5703125" style="1" hidden="1"/>
    <col min="9231" max="9462" width="9.140625" style="1" hidden="1"/>
    <col min="9463" max="9463" width="4.7109375" style="1" hidden="1"/>
    <col min="9464" max="9464" width="63.5703125" style="1" hidden="1"/>
    <col min="9465" max="9465" width="13.5703125" style="1" hidden="1"/>
    <col min="9466" max="9486" width="11.5703125" style="1" hidden="1"/>
    <col min="9487" max="9718" width="9.140625" style="1" hidden="1"/>
    <col min="9719" max="9719" width="4.7109375" style="1" hidden="1"/>
    <col min="9720" max="9720" width="63.5703125" style="1" hidden="1"/>
    <col min="9721" max="9721" width="13.5703125" style="1" hidden="1"/>
    <col min="9722" max="9742" width="11.5703125" style="1" hidden="1"/>
    <col min="9743" max="9974" width="9.140625" style="1" hidden="1"/>
    <col min="9975" max="9975" width="4.7109375" style="1" hidden="1"/>
    <col min="9976" max="9976" width="63.5703125" style="1" hidden="1"/>
    <col min="9977" max="9977" width="13.5703125" style="1" hidden="1"/>
    <col min="9978" max="9998" width="11.5703125" style="1" hidden="1"/>
    <col min="9999" max="10230" width="9.140625" style="1" hidden="1"/>
    <col min="10231" max="10231" width="4.7109375" style="1" hidden="1"/>
    <col min="10232" max="10232" width="63.5703125" style="1" hidden="1"/>
    <col min="10233" max="10233" width="13.5703125" style="1" hidden="1"/>
    <col min="10234" max="10254" width="11.5703125" style="1" hidden="1"/>
    <col min="10255" max="10486" width="9.140625" style="1" hidden="1"/>
    <col min="10487" max="10487" width="4.7109375" style="1" hidden="1"/>
    <col min="10488" max="10488" width="63.5703125" style="1" hidden="1"/>
    <col min="10489" max="10489" width="13.5703125" style="1" hidden="1"/>
    <col min="10490" max="10510" width="11.5703125" style="1" hidden="1"/>
    <col min="10511" max="10742" width="9.140625" style="1" hidden="1"/>
    <col min="10743" max="10743" width="4.7109375" style="1" hidden="1"/>
    <col min="10744" max="10744" width="63.5703125" style="1" hidden="1"/>
    <col min="10745" max="10745" width="13.5703125" style="1" hidden="1"/>
    <col min="10746" max="10766" width="11.5703125" style="1" hidden="1"/>
    <col min="10767" max="10998" width="9.140625" style="1" hidden="1"/>
    <col min="10999" max="10999" width="4.7109375" style="1" hidden="1"/>
    <col min="11000" max="11000" width="63.5703125" style="1" hidden="1"/>
    <col min="11001" max="11001" width="13.5703125" style="1" hidden="1"/>
    <col min="11002" max="11022" width="11.5703125" style="1" hidden="1"/>
    <col min="11023" max="11254" width="9.140625" style="1" hidden="1"/>
    <col min="11255" max="11255" width="4.7109375" style="1" hidden="1"/>
    <col min="11256" max="11256" width="63.5703125" style="1" hidden="1"/>
    <col min="11257" max="11257" width="13.5703125" style="1" hidden="1"/>
    <col min="11258" max="11278" width="11.5703125" style="1" hidden="1"/>
    <col min="11279" max="11510" width="9.140625" style="1" hidden="1"/>
    <col min="11511" max="11511" width="4.7109375" style="1" hidden="1"/>
    <col min="11512" max="11512" width="63.5703125" style="1" hidden="1"/>
    <col min="11513" max="11513" width="13.5703125" style="1" hidden="1"/>
    <col min="11514" max="11534" width="11.5703125" style="1" hidden="1"/>
    <col min="11535" max="11766" width="9.140625" style="1" hidden="1"/>
    <col min="11767" max="11767" width="4.7109375" style="1" hidden="1"/>
    <col min="11768" max="11768" width="63.5703125" style="1" hidden="1"/>
    <col min="11769" max="11769" width="13.5703125" style="1" hidden="1"/>
    <col min="11770" max="11790" width="11.5703125" style="1" hidden="1"/>
    <col min="11791" max="12022" width="9.140625" style="1" hidden="1"/>
    <col min="12023" max="12023" width="4.7109375" style="1" hidden="1"/>
    <col min="12024" max="12024" width="63.5703125" style="1" hidden="1"/>
    <col min="12025" max="12025" width="13.5703125" style="1" hidden="1"/>
    <col min="12026" max="12046" width="11.5703125" style="1" hidden="1"/>
    <col min="12047" max="12278" width="9.140625" style="1" hidden="1"/>
    <col min="12279" max="12279" width="4.7109375" style="1" hidden="1"/>
    <col min="12280" max="12280" width="63.5703125" style="1" hidden="1"/>
    <col min="12281" max="12281" width="13.5703125" style="1" hidden="1"/>
    <col min="12282" max="12302" width="11.5703125" style="1" hidden="1"/>
    <col min="12303" max="12534" width="9.140625" style="1" hidden="1"/>
    <col min="12535" max="12535" width="4.7109375" style="1" hidden="1"/>
    <col min="12536" max="12536" width="63.5703125" style="1" hidden="1"/>
    <col min="12537" max="12537" width="13.5703125" style="1" hidden="1"/>
    <col min="12538" max="12558" width="11.5703125" style="1" hidden="1"/>
    <col min="12559" max="12790" width="9.140625" style="1" hidden="1"/>
    <col min="12791" max="12791" width="4.7109375" style="1" hidden="1"/>
    <col min="12792" max="12792" width="63.5703125" style="1" hidden="1"/>
    <col min="12793" max="12793" width="13.5703125" style="1" hidden="1"/>
    <col min="12794" max="12814" width="11.5703125" style="1" hidden="1"/>
    <col min="12815" max="13046" width="9.140625" style="1" hidden="1"/>
    <col min="13047" max="13047" width="4.7109375" style="1" hidden="1"/>
    <col min="13048" max="13048" width="63.5703125" style="1" hidden="1"/>
    <col min="13049" max="13049" width="13.5703125" style="1" hidden="1"/>
    <col min="13050" max="13070" width="11.5703125" style="1" hidden="1"/>
    <col min="13071" max="13302" width="9.140625" style="1" hidden="1"/>
    <col min="13303" max="13303" width="4.7109375" style="1" hidden="1"/>
    <col min="13304" max="13304" width="63.5703125" style="1" hidden="1"/>
    <col min="13305" max="13305" width="13.5703125" style="1" hidden="1"/>
    <col min="13306" max="13326" width="11.5703125" style="1" hidden="1"/>
    <col min="13327" max="13558" width="9.140625" style="1" hidden="1"/>
    <col min="13559" max="13559" width="4.7109375" style="1" hidden="1"/>
    <col min="13560" max="13560" width="63.5703125" style="1" hidden="1"/>
    <col min="13561" max="13561" width="13.5703125" style="1" hidden="1"/>
    <col min="13562" max="13582" width="11.5703125" style="1" hidden="1"/>
    <col min="13583" max="13814" width="9.140625" style="1" hidden="1"/>
    <col min="13815" max="13815" width="4.7109375" style="1" hidden="1"/>
    <col min="13816" max="13816" width="63.5703125" style="1" hidden="1"/>
    <col min="13817" max="13817" width="13.5703125" style="1" hidden="1"/>
    <col min="13818" max="13838" width="11.5703125" style="1" hidden="1"/>
    <col min="13839" max="14070" width="9.140625" style="1" hidden="1"/>
    <col min="14071" max="14071" width="4.7109375" style="1" hidden="1"/>
    <col min="14072" max="14072" width="63.5703125" style="1" hidden="1"/>
    <col min="14073" max="14073" width="13.5703125" style="1" hidden="1"/>
    <col min="14074" max="14094" width="11.5703125" style="1" hidden="1"/>
    <col min="14095" max="14326" width="9.140625" style="1" hidden="1"/>
    <col min="14327" max="14327" width="4.7109375" style="1" hidden="1"/>
    <col min="14328" max="14328" width="63.5703125" style="1" hidden="1"/>
    <col min="14329" max="14329" width="13.5703125" style="1" hidden="1"/>
    <col min="14330" max="14350" width="11.5703125" style="1" hidden="1"/>
    <col min="14351" max="14582" width="9.140625" style="1" hidden="1"/>
    <col min="14583" max="14583" width="4.7109375" style="1" hidden="1"/>
    <col min="14584" max="14584" width="63.5703125" style="1" hidden="1"/>
    <col min="14585" max="14585" width="13.5703125" style="1" hidden="1"/>
    <col min="14586" max="14606" width="11.5703125" style="1" hidden="1"/>
    <col min="14607" max="14838" width="9.140625" style="1" hidden="1"/>
    <col min="14839" max="14839" width="4.7109375" style="1" hidden="1"/>
    <col min="14840" max="14840" width="63.5703125" style="1" hidden="1"/>
    <col min="14841" max="14841" width="13.5703125" style="1" hidden="1"/>
    <col min="14842" max="14862" width="11.5703125" style="1" hidden="1"/>
    <col min="14863" max="15094" width="9.140625" style="1" hidden="1"/>
    <col min="15095" max="15095" width="4.7109375" style="1" hidden="1"/>
    <col min="15096" max="15096" width="63.5703125" style="1" hidden="1"/>
    <col min="15097" max="15097" width="13.5703125" style="1" hidden="1"/>
    <col min="15098" max="15118" width="11.5703125" style="1" hidden="1"/>
    <col min="15119" max="15350" width="9.140625" style="1" hidden="1"/>
    <col min="15351" max="15351" width="4.7109375" style="1" hidden="1"/>
    <col min="15352" max="15352" width="63.5703125" style="1" hidden="1"/>
    <col min="15353" max="15353" width="13.5703125" style="1" hidden="1"/>
    <col min="15354" max="15374" width="11.5703125" style="1" hidden="1"/>
    <col min="15375" max="15606" width="9.140625" style="1" hidden="1"/>
    <col min="15607" max="15607" width="4.7109375" style="1" hidden="1"/>
    <col min="15608" max="15608" width="63.5703125" style="1" hidden="1"/>
    <col min="15609" max="15609" width="13.5703125" style="1" hidden="1"/>
    <col min="15610" max="15630" width="11.5703125" style="1" hidden="1"/>
    <col min="15631" max="15862" width="9.140625" style="1" hidden="1"/>
    <col min="15863" max="15863" width="4.7109375" style="1" hidden="1"/>
    <col min="15864" max="15864" width="63.5703125" style="1" hidden="1"/>
    <col min="15865" max="15865" width="13.5703125" style="1" hidden="1"/>
    <col min="15866" max="15886" width="11.5703125" style="1" hidden="1"/>
    <col min="15887" max="16118" width="9.140625" style="1" hidden="1"/>
    <col min="16119" max="16119" width="4.7109375" style="1" hidden="1"/>
    <col min="16120" max="16120" width="63.5703125" style="1" hidden="1"/>
    <col min="16121" max="16121" width="13.5703125" style="1" hidden="1"/>
    <col min="16122" max="16142" width="11.5703125" style="1" hidden="1"/>
    <col min="16143" max="16384" width="9.140625" style="1" hidden="1"/>
  </cols>
  <sheetData>
    <row r="1" spans="1:13" x14ac:dyDescent="0.2"/>
    <row r="2" spans="1:13" ht="18" x14ac:dyDescent="0.25">
      <c r="A2" s="2"/>
      <c r="B2" s="10" t="s">
        <v>24</v>
      </c>
      <c r="M2" s="205" t="s">
        <v>195</v>
      </c>
    </row>
    <row r="3" spans="1:13" x14ac:dyDescent="0.2"/>
    <row r="4" spans="1:13" x14ac:dyDescent="0.2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x14ac:dyDescent="0.2">
      <c r="B5" s="4" t="s">
        <v>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">
      <c r="B6" s="4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2">
      <c r="B7" s="4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">
      <c r="B8" s="4" t="s">
        <v>15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2">
      <c r="B9" s="4" t="s">
        <v>16</v>
      </c>
      <c r="C9" s="5">
        <f>+C5+C6+C7+C8</f>
        <v>0</v>
      </c>
      <c r="D9" s="5">
        <f t="shared" ref="D9:M9" si="0">+D5+D6+D7+D8</f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</row>
    <row r="10" spans="1:13" x14ac:dyDescent="0.2">
      <c r="B10" s="4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2">
      <c r="B11" s="4" t="s">
        <v>18</v>
      </c>
      <c r="C11" s="5">
        <f>+C9+C10</f>
        <v>0</v>
      </c>
      <c r="D11" s="5">
        <f t="shared" ref="D11:M11" si="1">+D9+D10</f>
        <v>0</v>
      </c>
      <c r="E11" s="5">
        <f t="shared" si="1"/>
        <v>0</v>
      </c>
      <c r="F11" s="5">
        <f t="shared" si="1"/>
        <v>0</v>
      </c>
      <c r="G11" s="5">
        <f t="shared" si="1"/>
        <v>0</v>
      </c>
      <c r="H11" s="5">
        <f t="shared" si="1"/>
        <v>0</v>
      </c>
      <c r="I11" s="5">
        <f t="shared" si="1"/>
        <v>0</v>
      </c>
      <c r="J11" s="5">
        <f t="shared" si="1"/>
        <v>0</v>
      </c>
      <c r="K11" s="5">
        <f t="shared" si="1"/>
        <v>0</v>
      </c>
      <c r="L11" s="5">
        <f t="shared" si="1"/>
        <v>0</v>
      </c>
      <c r="M11" s="5">
        <f t="shared" si="1"/>
        <v>0</v>
      </c>
    </row>
    <row r="12" spans="1:13" x14ac:dyDescent="0.2">
      <c r="B12" s="4" t="s">
        <v>19</v>
      </c>
      <c r="C12" s="5">
        <f>-C8</f>
        <v>0</v>
      </c>
      <c r="D12" s="5">
        <f t="shared" ref="D12:M12" si="2">-D8</f>
        <v>0</v>
      </c>
      <c r="E12" s="5">
        <f t="shared" si="2"/>
        <v>0</v>
      </c>
      <c r="F12" s="5">
        <f t="shared" si="2"/>
        <v>0</v>
      </c>
      <c r="G12" s="5">
        <f t="shared" si="2"/>
        <v>0</v>
      </c>
      <c r="H12" s="5">
        <f t="shared" si="2"/>
        <v>0</v>
      </c>
      <c r="I12" s="5">
        <f t="shared" si="2"/>
        <v>0</v>
      </c>
      <c r="J12" s="5">
        <f t="shared" si="2"/>
        <v>0</v>
      </c>
      <c r="K12" s="5">
        <f t="shared" si="2"/>
        <v>0</v>
      </c>
      <c r="L12" s="5">
        <f t="shared" si="2"/>
        <v>0</v>
      </c>
      <c r="M12" s="5">
        <f t="shared" si="2"/>
        <v>0</v>
      </c>
    </row>
    <row r="13" spans="1:13" x14ac:dyDescent="0.2">
      <c r="B13" s="6" t="s">
        <v>20</v>
      </c>
      <c r="C13" s="5">
        <f>+C11+C12</f>
        <v>0</v>
      </c>
      <c r="D13" s="5">
        <f t="shared" ref="D13:M13" si="3">+D11+D12</f>
        <v>0</v>
      </c>
      <c r="E13" s="5">
        <f t="shared" si="3"/>
        <v>0</v>
      </c>
      <c r="F13" s="5">
        <f t="shared" si="3"/>
        <v>0</v>
      </c>
      <c r="G13" s="5">
        <f t="shared" si="3"/>
        <v>0</v>
      </c>
      <c r="H13" s="5">
        <f t="shared" si="3"/>
        <v>0</v>
      </c>
      <c r="I13" s="5">
        <f t="shared" si="3"/>
        <v>0</v>
      </c>
      <c r="J13" s="5">
        <f t="shared" si="3"/>
        <v>0</v>
      </c>
      <c r="K13" s="5">
        <f t="shared" si="3"/>
        <v>0</v>
      </c>
      <c r="L13" s="5">
        <f t="shared" si="3"/>
        <v>0</v>
      </c>
      <c r="M13" s="5">
        <f t="shared" si="3"/>
        <v>0</v>
      </c>
    </row>
    <row r="14" spans="1:13" ht="14.25" customHeight="1" x14ac:dyDescent="0.2">
      <c r="B14" s="4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">
      <c r="B15" s="4" t="s">
        <v>22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6.5" customHeight="1" x14ac:dyDescent="0.2">
      <c r="B16" s="6" t="s">
        <v>23</v>
      </c>
      <c r="C16" s="5">
        <f>+C13+C14+C15</f>
        <v>0</v>
      </c>
      <c r="D16" s="5">
        <f t="shared" ref="D16:M16" si="4">+D13+D14+D15</f>
        <v>0</v>
      </c>
      <c r="E16" s="5">
        <f t="shared" si="4"/>
        <v>0</v>
      </c>
      <c r="F16" s="5">
        <f t="shared" si="4"/>
        <v>0</v>
      </c>
      <c r="G16" s="5">
        <f t="shared" si="4"/>
        <v>0</v>
      </c>
      <c r="H16" s="5">
        <f t="shared" si="4"/>
        <v>0</v>
      </c>
      <c r="I16" s="5">
        <f t="shared" si="4"/>
        <v>0</v>
      </c>
      <c r="J16" s="5">
        <f t="shared" si="4"/>
        <v>0</v>
      </c>
      <c r="K16" s="5">
        <f t="shared" si="4"/>
        <v>0</v>
      </c>
      <c r="L16" s="5">
        <f t="shared" si="4"/>
        <v>0</v>
      </c>
      <c r="M16" s="5">
        <f t="shared" si="4"/>
        <v>0</v>
      </c>
    </row>
    <row r="17" spans="2:3" x14ac:dyDescent="0.2">
      <c r="C17" s="7"/>
    </row>
    <row r="18" spans="2:3" ht="15" x14ac:dyDescent="0.2">
      <c r="B18" s="207"/>
      <c r="C18" s="207"/>
    </row>
    <row r="19" spans="2:3" x14ac:dyDescent="0.2"/>
  </sheetData>
  <mergeCells count="1">
    <mergeCell ref="B18:C18"/>
  </mergeCells>
  <hyperlinks>
    <hyperlink ref="M2" location="GIN!A1" display="MENU" xr:uid="{4FDAFCB5-68D3-46A3-A2B2-A5A3B6A1EC17}"/>
  </hyperlink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2:M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9CD4-8F17-4FFB-9458-EBD572360093}">
  <dimension ref="A2:J45"/>
  <sheetViews>
    <sheetView showGridLines="0" workbookViewId="0">
      <selection activeCell="I3" sqref="I3"/>
    </sheetView>
  </sheetViews>
  <sheetFormatPr defaultColWidth="0" defaultRowHeight="12.75" x14ac:dyDescent="0.2"/>
  <cols>
    <col min="1" max="1" width="4" style="11" customWidth="1"/>
    <col min="2" max="2" width="28.140625" style="12" customWidth="1"/>
    <col min="3" max="3" width="11.5703125" style="12" customWidth="1"/>
    <col min="4" max="4" width="15.7109375" style="13" customWidth="1"/>
    <col min="5" max="6" width="15.7109375" style="14" customWidth="1"/>
    <col min="7" max="8" width="15.7109375" style="11" customWidth="1"/>
    <col min="9" max="9" width="2.28515625" style="11" customWidth="1"/>
    <col min="10" max="10" width="6.28515625" style="11" customWidth="1"/>
    <col min="11" max="16384" width="15.7109375" style="11" hidden="1"/>
  </cols>
  <sheetData>
    <row r="2" spans="2:8" ht="15.75" x14ac:dyDescent="0.25">
      <c r="B2" s="9" t="s">
        <v>40</v>
      </c>
      <c r="H2" s="205" t="s">
        <v>195</v>
      </c>
    </row>
    <row r="6" spans="2:8" x14ac:dyDescent="0.2">
      <c r="B6" s="15" t="s">
        <v>25</v>
      </c>
      <c r="C6" s="16">
        <v>6000</v>
      </c>
    </row>
    <row r="7" spans="2:8" x14ac:dyDescent="0.2">
      <c r="B7" s="15" t="s">
        <v>26</v>
      </c>
      <c r="C7" s="16">
        <v>18</v>
      </c>
    </row>
    <row r="8" spans="2:8" x14ac:dyDescent="0.2">
      <c r="B8" s="15" t="s">
        <v>27</v>
      </c>
      <c r="C8" s="16">
        <v>35</v>
      </c>
    </row>
    <row r="9" spans="2:8" x14ac:dyDescent="0.2">
      <c r="B9" s="15" t="s">
        <v>28</v>
      </c>
      <c r="C9" s="17">
        <v>470</v>
      </c>
    </row>
    <row r="10" spans="2:8" x14ac:dyDescent="0.2">
      <c r="B10" s="15" t="s">
        <v>29</v>
      </c>
      <c r="C10" s="18">
        <v>50</v>
      </c>
    </row>
    <row r="11" spans="2:8" x14ac:dyDescent="0.2">
      <c r="B11" s="15" t="s">
        <v>30</v>
      </c>
      <c r="C11" s="19">
        <f>C6/(C8-C7)</f>
        <v>352.94117647058823</v>
      </c>
    </row>
    <row r="12" spans="2:8" x14ac:dyDescent="0.2">
      <c r="B12" s="15" t="s">
        <v>31</v>
      </c>
      <c r="C12" s="20">
        <f>+C11*C8</f>
        <v>12352.941176470587</v>
      </c>
    </row>
    <row r="13" spans="2:8" x14ac:dyDescent="0.2">
      <c r="B13" s="15" t="s">
        <v>32</v>
      </c>
      <c r="C13" s="20">
        <f>+C9-C11</f>
        <v>117.05882352941177</v>
      </c>
    </row>
    <row r="14" spans="2:8" x14ac:dyDescent="0.2">
      <c r="B14" s="15" t="s">
        <v>33</v>
      </c>
      <c r="C14" s="20">
        <f>+C13*C8</f>
        <v>4097.0588235294117</v>
      </c>
    </row>
    <row r="15" spans="2:8" x14ac:dyDescent="0.2">
      <c r="B15" s="15" t="s">
        <v>34</v>
      </c>
      <c r="C15" s="21">
        <f>+C13/C9</f>
        <v>0.24906132665832292</v>
      </c>
    </row>
    <row r="21" spans="2:6" ht="16.5" customHeight="1" x14ac:dyDescent="0.2"/>
    <row r="24" spans="2:6" x14ac:dyDescent="0.2">
      <c r="B24" s="12" t="s">
        <v>35</v>
      </c>
      <c r="C24" s="12" t="s">
        <v>36</v>
      </c>
      <c r="D24" s="13" t="s">
        <v>37</v>
      </c>
      <c r="E24" s="14" t="s">
        <v>38</v>
      </c>
      <c r="F24" s="14" t="s">
        <v>39</v>
      </c>
    </row>
    <row r="25" spans="2:6" x14ac:dyDescent="0.2">
      <c r="B25" s="12">
        <v>0</v>
      </c>
      <c r="C25" s="22">
        <f>$C$6</f>
        <v>6000</v>
      </c>
      <c r="D25" s="13">
        <v>0</v>
      </c>
      <c r="E25" s="14">
        <f>C25+D25</f>
        <v>6000</v>
      </c>
      <c r="F25" s="14">
        <f>B25*$C$8</f>
        <v>0</v>
      </c>
    </row>
    <row r="26" spans="2:6" x14ac:dyDescent="0.2">
      <c r="B26" s="12">
        <f>+B25+C10</f>
        <v>50</v>
      </c>
      <c r="C26" s="22">
        <f t="shared" ref="C26:C45" si="0">$C$6</f>
        <v>6000</v>
      </c>
      <c r="D26" s="13">
        <f>B26*$C$7</f>
        <v>900</v>
      </c>
      <c r="E26" s="14">
        <f t="shared" ref="E26:E43" si="1">C26+D26</f>
        <v>6900</v>
      </c>
      <c r="F26" s="14">
        <f t="shared" ref="F26:F43" si="2">B26*$C$8</f>
        <v>1750</v>
      </c>
    </row>
    <row r="27" spans="2:6" x14ac:dyDescent="0.2">
      <c r="B27" s="12">
        <f t="shared" ref="B27:B45" si="3">+B26+50</f>
        <v>100</v>
      </c>
      <c r="C27" s="22">
        <f t="shared" si="0"/>
        <v>6000</v>
      </c>
      <c r="D27" s="13">
        <f t="shared" ref="D27:D45" si="4">B27*$C$7</f>
        <v>1800</v>
      </c>
      <c r="E27" s="14">
        <f t="shared" si="1"/>
        <v>7800</v>
      </c>
      <c r="F27" s="14">
        <f t="shared" si="2"/>
        <v>3500</v>
      </c>
    </row>
    <row r="28" spans="2:6" x14ac:dyDescent="0.2">
      <c r="B28" s="12">
        <f t="shared" si="3"/>
        <v>150</v>
      </c>
      <c r="C28" s="22">
        <f t="shared" si="0"/>
        <v>6000</v>
      </c>
      <c r="D28" s="13">
        <f t="shared" si="4"/>
        <v>2700</v>
      </c>
      <c r="E28" s="14">
        <f t="shared" si="1"/>
        <v>8700</v>
      </c>
      <c r="F28" s="14">
        <f t="shared" si="2"/>
        <v>5250</v>
      </c>
    </row>
    <row r="29" spans="2:6" x14ac:dyDescent="0.2">
      <c r="B29" s="12">
        <f t="shared" si="3"/>
        <v>200</v>
      </c>
      <c r="C29" s="22">
        <f t="shared" si="0"/>
        <v>6000</v>
      </c>
      <c r="D29" s="13">
        <f t="shared" si="4"/>
        <v>3600</v>
      </c>
      <c r="E29" s="14">
        <f t="shared" si="1"/>
        <v>9600</v>
      </c>
      <c r="F29" s="14">
        <f t="shared" si="2"/>
        <v>7000</v>
      </c>
    </row>
    <row r="30" spans="2:6" x14ac:dyDescent="0.2">
      <c r="B30" s="12">
        <f t="shared" si="3"/>
        <v>250</v>
      </c>
      <c r="C30" s="22">
        <f t="shared" si="0"/>
        <v>6000</v>
      </c>
      <c r="D30" s="13">
        <f t="shared" si="4"/>
        <v>4500</v>
      </c>
      <c r="E30" s="14">
        <f t="shared" si="1"/>
        <v>10500</v>
      </c>
      <c r="F30" s="14">
        <f t="shared" si="2"/>
        <v>8750</v>
      </c>
    </row>
    <row r="31" spans="2:6" x14ac:dyDescent="0.2">
      <c r="B31" s="12">
        <f t="shared" si="3"/>
        <v>300</v>
      </c>
      <c r="C31" s="22">
        <f t="shared" si="0"/>
        <v>6000</v>
      </c>
      <c r="D31" s="13">
        <f t="shared" si="4"/>
        <v>5400</v>
      </c>
      <c r="E31" s="14">
        <f t="shared" si="1"/>
        <v>11400</v>
      </c>
      <c r="F31" s="14">
        <f t="shared" si="2"/>
        <v>10500</v>
      </c>
    </row>
    <row r="32" spans="2:6" x14ac:dyDescent="0.2">
      <c r="B32" s="12">
        <f t="shared" si="3"/>
        <v>350</v>
      </c>
      <c r="C32" s="22">
        <f t="shared" si="0"/>
        <v>6000</v>
      </c>
      <c r="D32" s="13">
        <f t="shared" si="4"/>
        <v>6300</v>
      </c>
      <c r="E32" s="14">
        <f t="shared" si="1"/>
        <v>12300</v>
      </c>
      <c r="F32" s="14">
        <f t="shared" si="2"/>
        <v>12250</v>
      </c>
    </row>
    <row r="33" spans="2:6" x14ac:dyDescent="0.2">
      <c r="B33" s="12">
        <f t="shared" si="3"/>
        <v>400</v>
      </c>
      <c r="C33" s="22">
        <f t="shared" si="0"/>
        <v>6000</v>
      </c>
      <c r="D33" s="13">
        <f t="shared" si="4"/>
        <v>7200</v>
      </c>
      <c r="E33" s="14">
        <f t="shared" si="1"/>
        <v>13200</v>
      </c>
      <c r="F33" s="14">
        <f t="shared" si="2"/>
        <v>14000</v>
      </c>
    </row>
    <row r="34" spans="2:6" x14ac:dyDescent="0.2">
      <c r="B34" s="12">
        <f t="shared" si="3"/>
        <v>450</v>
      </c>
      <c r="C34" s="22">
        <f t="shared" si="0"/>
        <v>6000</v>
      </c>
      <c r="D34" s="13">
        <f t="shared" si="4"/>
        <v>8100</v>
      </c>
      <c r="E34" s="14">
        <f t="shared" si="1"/>
        <v>14100</v>
      </c>
      <c r="F34" s="14">
        <f t="shared" si="2"/>
        <v>15750</v>
      </c>
    </row>
    <row r="35" spans="2:6" x14ac:dyDescent="0.2">
      <c r="B35" s="12">
        <f t="shared" si="3"/>
        <v>500</v>
      </c>
      <c r="C35" s="22">
        <f t="shared" si="0"/>
        <v>6000</v>
      </c>
      <c r="D35" s="13">
        <f t="shared" si="4"/>
        <v>9000</v>
      </c>
      <c r="E35" s="14">
        <f t="shared" si="1"/>
        <v>15000</v>
      </c>
      <c r="F35" s="14">
        <f t="shared" si="2"/>
        <v>17500</v>
      </c>
    </row>
    <row r="36" spans="2:6" x14ac:dyDescent="0.2">
      <c r="B36" s="12">
        <f t="shared" si="3"/>
        <v>550</v>
      </c>
      <c r="C36" s="22">
        <f t="shared" si="0"/>
        <v>6000</v>
      </c>
      <c r="D36" s="13">
        <f t="shared" si="4"/>
        <v>9900</v>
      </c>
      <c r="E36" s="14">
        <f t="shared" si="1"/>
        <v>15900</v>
      </c>
      <c r="F36" s="14">
        <f t="shared" si="2"/>
        <v>19250</v>
      </c>
    </row>
    <row r="37" spans="2:6" x14ac:dyDescent="0.2">
      <c r="B37" s="12">
        <f t="shared" si="3"/>
        <v>600</v>
      </c>
      <c r="C37" s="22">
        <f t="shared" si="0"/>
        <v>6000</v>
      </c>
      <c r="D37" s="13">
        <f t="shared" si="4"/>
        <v>10800</v>
      </c>
      <c r="E37" s="14">
        <f t="shared" si="1"/>
        <v>16800</v>
      </c>
      <c r="F37" s="14">
        <f t="shared" si="2"/>
        <v>21000</v>
      </c>
    </row>
    <row r="38" spans="2:6" x14ac:dyDescent="0.2">
      <c r="B38" s="12">
        <f t="shared" si="3"/>
        <v>650</v>
      </c>
      <c r="C38" s="22">
        <f t="shared" si="0"/>
        <v>6000</v>
      </c>
      <c r="D38" s="13">
        <f t="shared" si="4"/>
        <v>11700</v>
      </c>
      <c r="E38" s="14">
        <f t="shared" si="1"/>
        <v>17700</v>
      </c>
      <c r="F38" s="14">
        <f t="shared" si="2"/>
        <v>22750</v>
      </c>
    </row>
    <row r="39" spans="2:6" x14ac:dyDescent="0.2">
      <c r="B39" s="12">
        <f t="shared" si="3"/>
        <v>700</v>
      </c>
      <c r="C39" s="22">
        <f t="shared" si="0"/>
        <v>6000</v>
      </c>
      <c r="D39" s="13">
        <f t="shared" si="4"/>
        <v>12600</v>
      </c>
      <c r="E39" s="14">
        <f t="shared" si="1"/>
        <v>18600</v>
      </c>
      <c r="F39" s="14">
        <f t="shared" si="2"/>
        <v>24500</v>
      </c>
    </row>
    <row r="40" spans="2:6" x14ac:dyDescent="0.2">
      <c r="B40" s="12">
        <f t="shared" si="3"/>
        <v>750</v>
      </c>
      <c r="C40" s="22">
        <f t="shared" si="0"/>
        <v>6000</v>
      </c>
      <c r="D40" s="13">
        <f t="shared" si="4"/>
        <v>13500</v>
      </c>
      <c r="E40" s="14">
        <f t="shared" si="1"/>
        <v>19500</v>
      </c>
      <c r="F40" s="14">
        <f t="shared" si="2"/>
        <v>26250</v>
      </c>
    </row>
    <row r="41" spans="2:6" x14ac:dyDescent="0.2">
      <c r="B41" s="12">
        <f t="shared" si="3"/>
        <v>800</v>
      </c>
      <c r="C41" s="22">
        <f t="shared" si="0"/>
        <v>6000</v>
      </c>
      <c r="D41" s="13">
        <f t="shared" si="4"/>
        <v>14400</v>
      </c>
      <c r="E41" s="14">
        <f t="shared" si="1"/>
        <v>20400</v>
      </c>
      <c r="F41" s="14">
        <f t="shared" si="2"/>
        <v>28000</v>
      </c>
    </row>
    <row r="42" spans="2:6" x14ac:dyDescent="0.2">
      <c r="B42" s="12">
        <f t="shared" si="3"/>
        <v>850</v>
      </c>
      <c r="C42" s="22">
        <f t="shared" si="0"/>
        <v>6000</v>
      </c>
      <c r="D42" s="13">
        <f t="shared" si="4"/>
        <v>15300</v>
      </c>
      <c r="E42" s="14">
        <f t="shared" si="1"/>
        <v>21300</v>
      </c>
      <c r="F42" s="14">
        <f t="shared" si="2"/>
        <v>29750</v>
      </c>
    </row>
    <row r="43" spans="2:6" x14ac:dyDescent="0.2">
      <c r="B43" s="12">
        <f t="shared" si="3"/>
        <v>900</v>
      </c>
      <c r="C43" s="22">
        <f t="shared" si="0"/>
        <v>6000</v>
      </c>
      <c r="D43" s="13">
        <f t="shared" si="4"/>
        <v>16200</v>
      </c>
      <c r="E43" s="14">
        <f t="shared" si="1"/>
        <v>22200</v>
      </c>
      <c r="F43" s="14">
        <f t="shared" si="2"/>
        <v>31500</v>
      </c>
    </row>
    <row r="44" spans="2:6" x14ac:dyDescent="0.2">
      <c r="B44" s="12">
        <f t="shared" si="3"/>
        <v>950</v>
      </c>
      <c r="C44" s="22">
        <f>$C$6</f>
        <v>6000</v>
      </c>
      <c r="D44" s="13">
        <f t="shared" si="4"/>
        <v>17100</v>
      </c>
      <c r="E44" s="14">
        <f>C44+D44</f>
        <v>23100</v>
      </c>
      <c r="F44" s="14">
        <f>B44*$C$8</f>
        <v>33250</v>
      </c>
    </row>
    <row r="45" spans="2:6" x14ac:dyDescent="0.2">
      <c r="B45" s="12">
        <f t="shared" si="3"/>
        <v>1000</v>
      </c>
      <c r="C45" s="22">
        <f t="shared" si="0"/>
        <v>6000</v>
      </c>
      <c r="D45" s="13">
        <f t="shared" si="4"/>
        <v>18000</v>
      </c>
      <c r="E45" s="14">
        <f t="shared" ref="E45" si="5">C45+D45</f>
        <v>24000</v>
      </c>
      <c r="F45" s="14">
        <f t="shared" ref="F45" si="6">B45*$C$8</f>
        <v>35000</v>
      </c>
    </row>
  </sheetData>
  <hyperlinks>
    <hyperlink ref="H2" location="GIN!A1" display="MENU" xr:uid="{AFEB4B16-849C-4AA2-9A7A-94DDDB3FDA68}"/>
  </hyperlinks>
  <pageMargins left="0.511811024" right="0.511811024" top="0.78740157499999996" bottom="0.78740157499999996" header="0.31496062000000002" footer="0.31496062000000002"/>
  <ignoredErrors>
    <ignoredError sqref="B25:F26" calculatedColum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721-886E-477C-AF7D-C4152F12D8F8}">
  <dimension ref="B2:G81"/>
  <sheetViews>
    <sheetView showGridLines="0" zoomScaleNormal="100" workbookViewId="0">
      <selection activeCell="D43" sqref="D43"/>
    </sheetView>
  </sheetViews>
  <sheetFormatPr defaultRowHeight="12.75" x14ac:dyDescent="0.2"/>
  <cols>
    <col min="1" max="1" width="6.42578125" style="11" customWidth="1"/>
    <col min="2" max="2" width="46.140625" style="11" customWidth="1"/>
    <col min="3" max="3" width="11.5703125" style="11" customWidth="1"/>
    <col min="4" max="4" width="13.7109375" style="11" customWidth="1"/>
    <col min="5" max="5" width="15.140625" style="11" customWidth="1"/>
    <col min="6" max="6" width="12.5703125" style="11" customWidth="1"/>
    <col min="7" max="7" width="15.5703125" style="11" customWidth="1"/>
    <col min="8" max="16384" width="9.140625" style="11"/>
  </cols>
  <sheetData>
    <row r="2" spans="2:7" ht="15.75" x14ac:dyDescent="0.25">
      <c r="B2" s="65" t="s">
        <v>196</v>
      </c>
      <c r="G2" s="205" t="s">
        <v>195</v>
      </c>
    </row>
    <row r="4" spans="2:7" x14ac:dyDescent="0.2">
      <c r="B4" s="23" t="s">
        <v>41</v>
      </c>
      <c r="C4" s="24"/>
      <c r="D4" s="24"/>
      <c r="E4" s="24"/>
      <c r="F4" s="24"/>
      <c r="G4" s="24"/>
    </row>
    <row r="5" spans="2:7" x14ac:dyDescent="0.2">
      <c r="B5" s="58" t="s">
        <v>42</v>
      </c>
      <c r="C5" s="59">
        <v>95000</v>
      </c>
      <c r="D5" s="24"/>
      <c r="E5" s="24"/>
      <c r="F5" s="24"/>
      <c r="G5" s="24"/>
    </row>
    <row r="6" spans="2:7" x14ac:dyDescent="0.2">
      <c r="B6" s="58" t="s">
        <v>43</v>
      </c>
      <c r="C6" s="60">
        <v>3</v>
      </c>
      <c r="D6" s="24"/>
      <c r="E6" s="24"/>
      <c r="F6" s="24"/>
      <c r="G6" s="24"/>
    </row>
    <row r="7" spans="2:7" x14ac:dyDescent="0.2">
      <c r="B7" s="58" t="s">
        <v>44</v>
      </c>
      <c r="C7" s="61">
        <v>0.12</v>
      </c>
      <c r="D7" s="24"/>
      <c r="E7" s="24"/>
      <c r="F7" s="24"/>
      <c r="G7" s="24"/>
    </row>
    <row r="8" spans="2:7" x14ac:dyDescent="0.2">
      <c r="B8" s="58" t="s">
        <v>45</v>
      </c>
      <c r="C8" s="61">
        <v>0.4</v>
      </c>
      <c r="D8" s="24"/>
      <c r="E8" s="24"/>
      <c r="F8" s="24"/>
      <c r="G8" s="24"/>
    </row>
    <row r="9" spans="2:7" x14ac:dyDescent="0.2">
      <c r="B9" s="25"/>
      <c r="C9" s="26"/>
      <c r="D9" s="24"/>
      <c r="E9" s="24"/>
      <c r="F9" s="24"/>
      <c r="G9" s="24"/>
    </row>
    <row r="10" spans="2:7" hidden="1" x14ac:dyDescent="0.2">
      <c r="B10" s="24" t="s">
        <v>46</v>
      </c>
      <c r="C10" s="27">
        <v>0</v>
      </c>
      <c r="D10" s="27">
        <v>1</v>
      </c>
      <c r="E10" s="27">
        <v>2</v>
      </c>
      <c r="F10" s="27">
        <v>3</v>
      </c>
      <c r="G10" s="24"/>
    </row>
    <row r="11" spans="2:7" hidden="1" x14ac:dyDescent="0.2">
      <c r="B11" s="24" t="s">
        <v>47</v>
      </c>
      <c r="C11" s="24"/>
      <c r="D11" s="59">
        <v>50000</v>
      </c>
      <c r="E11" s="59">
        <v>30000</v>
      </c>
      <c r="F11" s="59">
        <v>30000</v>
      </c>
      <c r="G11" s="24"/>
    </row>
    <row r="12" spans="2:7" hidden="1" x14ac:dyDescent="0.2">
      <c r="B12" s="24" t="s">
        <v>48</v>
      </c>
      <c r="C12" s="24"/>
      <c r="D12" s="59">
        <v>3</v>
      </c>
      <c r="E12" s="59">
        <v>3.5</v>
      </c>
      <c r="F12" s="59">
        <v>4</v>
      </c>
      <c r="G12" s="24"/>
    </row>
    <row r="13" spans="2:7" hidden="1" x14ac:dyDescent="0.2">
      <c r="B13" s="24" t="s">
        <v>49</v>
      </c>
      <c r="C13" s="24"/>
      <c r="D13" s="62">
        <v>-1</v>
      </c>
      <c r="E13" s="62">
        <v>-1.2</v>
      </c>
      <c r="F13" s="62">
        <v>-1.4</v>
      </c>
      <c r="G13" s="24"/>
    </row>
    <row r="14" spans="2:7" hidden="1" x14ac:dyDescent="0.2">
      <c r="B14" s="24" t="s">
        <v>50</v>
      </c>
      <c r="C14" s="24"/>
      <c r="D14" s="62">
        <v>-10000</v>
      </c>
      <c r="E14" s="62">
        <v>-10000</v>
      </c>
      <c r="F14" s="62">
        <v>-20000</v>
      </c>
      <c r="G14" s="24"/>
    </row>
    <row r="15" spans="2:7" hidden="1" x14ac:dyDescent="0.2">
      <c r="B15" s="24"/>
      <c r="C15" s="24"/>
      <c r="D15" s="28"/>
      <c r="E15" s="28"/>
      <c r="F15" s="28"/>
      <c r="G15" s="24"/>
    </row>
    <row r="16" spans="2:7" hidden="1" x14ac:dyDescent="0.2">
      <c r="B16" s="23" t="s">
        <v>51</v>
      </c>
      <c r="C16" s="23"/>
      <c r="D16" s="23"/>
      <c r="E16" s="23"/>
      <c r="F16" s="23"/>
      <c r="G16" s="24"/>
    </row>
    <row r="17" spans="2:7" hidden="1" x14ac:dyDescent="0.2">
      <c r="B17" s="24" t="s">
        <v>52</v>
      </c>
      <c r="C17" s="24"/>
      <c r="D17" s="28">
        <f>D11*D12</f>
        <v>150000</v>
      </c>
      <c r="E17" s="28">
        <f>E11*E12</f>
        <v>105000</v>
      </c>
      <c r="F17" s="28">
        <f>F11*F12</f>
        <v>120000</v>
      </c>
      <c r="G17" s="24"/>
    </row>
    <row r="18" spans="2:7" ht="13.5" hidden="1" thickBot="1" x14ac:dyDescent="0.25">
      <c r="B18" s="29" t="s">
        <v>53</v>
      </c>
      <c r="C18" s="29"/>
      <c r="D18" s="30">
        <f>D11*D13</f>
        <v>-50000</v>
      </c>
      <c r="E18" s="30">
        <f>E11*E13</f>
        <v>-36000</v>
      </c>
      <c r="F18" s="30">
        <f>F11*F13</f>
        <v>-42000</v>
      </c>
      <c r="G18" s="24"/>
    </row>
    <row r="19" spans="2:7" hidden="1" x14ac:dyDescent="0.2">
      <c r="B19" s="24" t="s">
        <v>54</v>
      </c>
      <c r="C19" s="24"/>
      <c r="D19" s="28">
        <f>SUM(D17:D18)</f>
        <v>100000</v>
      </c>
      <c r="E19" s="28">
        <f>SUM(E17:E18)</f>
        <v>69000</v>
      </c>
      <c r="F19" s="28">
        <f>SUM(F17:F18)</f>
        <v>78000</v>
      </c>
      <c r="G19" s="24"/>
    </row>
    <row r="20" spans="2:7" ht="13.5" hidden="1" thickBot="1" x14ac:dyDescent="0.25">
      <c r="B20" s="29" t="s">
        <v>55</v>
      </c>
      <c r="C20" s="29"/>
      <c r="D20" s="30">
        <f>D14</f>
        <v>-10000</v>
      </c>
      <c r="E20" s="30">
        <f>E14</f>
        <v>-10000</v>
      </c>
      <c r="F20" s="30">
        <f>F14</f>
        <v>-20000</v>
      </c>
      <c r="G20" s="24"/>
    </row>
    <row r="21" spans="2:7" hidden="1" x14ac:dyDescent="0.2">
      <c r="B21" s="24" t="s">
        <v>56</v>
      </c>
      <c r="C21" s="24"/>
      <c r="D21" s="28">
        <f>SUM(D19:D20)</f>
        <v>90000</v>
      </c>
      <c r="E21" s="28">
        <f>SUM(E19:E20)</f>
        <v>59000</v>
      </c>
      <c r="F21" s="28">
        <f>SUM(F19:F20)</f>
        <v>58000</v>
      </c>
      <c r="G21" s="24"/>
    </row>
    <row r="22" spans="2:7" ht="13.5" hidden="1" thickBot="1" x14ac:dyDescent="0.25">
      <c r="B22" s="29" t="s">
        <v>57</v>
      </c>
      <c r="C22" s="29"/>
      <c r="D22" s="30">
        <f>-$C$5/$C$6</f>
        <v>-31666.666666666668</v>
      </c>
      <c r="E22" s="30">
        <f>-$C$5/$C$6</f>
        <v>-31666.666666666668</v>
      </c>
      <c r="F22" s="30">
        <f>-$C$5/$C$6</f>
        <v>-31666.666666666668</v>
      </c>
      <c r="G22" s="24"/>
    </row>
    <row r="23" spans="2:7" hidden="1" x14ac:dyDescent="0.2">
      <c r="B23" s="24" t="s">
        <v>58</v>
      </c>
      <c r="C23" s="24"/>
      <c r="D23" s="28">
        <f>SUM(D21:D22)</f>
        <v>58333.333333333328</v>
      </c>
      <c r="E23" s="28">
        <f>SUM(E21:E22)</f>
        <v>27333.333333333332</v>
      </c>
      <c r="F23" s="28">
        <f>SUM(F21:F22)</f>
        <v>26333.333333333332</v>
      </c>
      <c r="G23" s="24"/>
    </row>
    <row r="24" spans="2:7" ht="13.5" hidden="1" thickBot="1" x14ac:dyDescent="0.25">
      <c r="B24" s="29" t="s">
        <v>59</v>
      </c>
      <c r="C24" s="29"/>
      <c r="D24" s="30">
        <f>IF(D23&gt;0,-D23*$C$8,0)</f>
        <v>-23333.333333333332</v>
      </c>
      <c r="E24" s="30">
        <f>IF(E23&gt;0,-E23*$C$8,0)</f>
        <v>-10933.333333333334</v>
      </c>
      <c r="F24" s="30">
        <f>IF(F23&gt;0,-F23*$C$8,0)</f>
        <v>-10533.333333333334</v>
      </c>
      <c r="G24" s="24"/>
    </row>
    <row r="25" spans="2:7" hidden="1" x14ac:dyDescent="0.2">
      <c r="B25" s="24" t="s">
        <v>60</v>
      </c>
      <c r="C25" s="24"/>
      <c r="D25" s="28">
        <f>SUM(D23:D24)</f>
        <v>35000</v>
      </c>
      <c r="E25" s="28">
        <f>SUM(E23:E24)</f>
        <v>16400</v>
      </c>
      <c r="F25" s="28">
        <f>SUM(F23:F24)</f>
        <v>15799.999999999998</v>
      </c>
      <c r="G25" s="24"/>
    </row>
    <row r="26" spans="2:7" hidden="1" x14ac:dyDescent="0.2">
      <c r="B26" s="24"/>
      <c r="C26" s="24"/>
      <c r="D26" s="24"/>
      <c r="E26" s="24"/>
      <c r="F26" s="24"/>
      <c r="G26" s="24"/>
    </row>
    <row r="27" spans="2:7" ht="13.5" hidden="1" thickBot="1" x14ac:dyDescent="0.25">
      <c r="B27" s="29" t="s">
        <v>61</v>
      </c>
      <c r="C27" s="29"/>
      <c r="D27" s="29">
        <f>-D22</f>
        <v>31666.666666666668</v>
      </c>
      <c r="E27" s="29">
        <f>-E22</f>
        <v>31666.666666666668</v>
      </c>
      <c r="F27" s="29">
        <f>-F22</f>
        <v>31666.666666666668</v>
      </c>
      <c r="G27" s="24"/>
    </row>
    <row r="28" spans="2:7" hidden="1" x14ac:dyDescent="0.2">
      <c r="B28" s="66" t="s">
        <v>62</v>
      </c>
      <c r="C28" s="66"/>
      <c r="D28" s="66">
        <f>SUM(D25,D27)</f>
        <v>66666.666666666672</v>
      </c>
      <c r="E28" s="66">
        <f>SUM(E25,E27)</f>
        <v>48066.666666666672</v>
      </c>
      <c r="F28" s="66">
        <f>SUM(F25,F27)</f>
        <v>47466.666666666664</v>
      </c>
      <c r="G28" s="24"/>
    </row>
    <row r="29" spans="2:7" hidden="1" x14ac:dyDescent="0.2">
      <c r="B29" s="24"/>
      <c r="C29" s="24"/>
      <c r="D29" s="24"/>
      <c r="E29" s="24"/>
      <c r="F29" s="24"/>
      <c r="G29" s="24"/>
    </row>
    <row r="30" spans="2:7" x14ac:dyDescent="0.2">
      <c r="B30" s="24"/>
      <c r="C30" s="24"/>
      <c r="D30" s="24"/>
      <c r="E30" s="24"/>
      <c r="F30" s="24"/>
      <c r="G30" s="24"/>
    </row>
    <row r="31" spans="2:7" x14ac:dyDescent="0.2">
      <c r="B31" s="23" t="s">
        <v>63</v>
      </c>
      <c r="C31" s="24"/>
      <c r="D31" s="24"/>
      <c r="E31" s="24"/>
      <c r="F31" s="24"/>
      <c r="G31" s="24"/>
    </row>
    <row r="32" spans="2:7" x14ac:dyDescent="0.2">
      <c r="B32" s="24" t="s">
        <v>46</v>
      </c>
      <c r="C32" s="24"/>
      <c r="D32" s="27">
        <v>0</v>
      </c>
      <c r="E32" s="27">
        <v>1</v>
      </c>
      <c r="F32" s="27">
        <v>2</v>
      </c>
      <c r="G32" s="27">
        <v>3</v>
      </c>
    </row>
    <row r="33" spans="2:7" x14ac:dyDescent="0.2">
      <c r="B33" s="24" t="s">
        <v>62</v>
      </c>
      <c r="C33" s="24"/>
      <c r="D33" s="31">
        <f>-C5</f>
        <v>-95000</v>
      </c>
      <c r="E33" s="31">
        <f>D28</f>
        <v>66666.666666666672</v>
      </c>
      <c r="F33" s="31">
        <f>E28</f>
        <v>48066.666666666672</v>
      </c>
      <c r="G33" s="31">
        <f>F28</f>
        <v>47466.666666666664</v>
      </c>
    </row>
    <row r="34" spans="2:7" x14ac:dyDescent="0.2">
      <c r="B34" s="25" t="s">
        <v>44</v>
      </c>
      <c r="C34" s="32">
        <v>0.1</v>
      </c>
      <c r="D34" s="33">
        <f>$C$34+1</f>
        <v>1.1000000000000001</v>
      </c>
      <c r="E34" s="33">
        <f>$C$34+1</f>
        <v>1.1000000000000001</v>
      </c>
      <c r="F34" s="33">
        <f>$C$34+1</f>
        <v>1.1000000000000001</v>
      </c>
      <c r="G34" s="33">
        <f>$C$34+1</f>
        <v>1.1000000000000001</v>
      </c>
    </row>
    <row r="35" spans="2:7" x14ac:dyDescent="0.2">
      <c r="B35" s="34" t="s">
        <v>64</v>
      </c>
      <c r="C35" s="28"/>
      <c r="D35" s="33">
        <f>D34^D32</f>
        <v>1</v>
      </c>
      <c r="E35" s="33">
        <f>E34^E32</f>
        <v>1.1000000000000001</v>
      </c>
      <c r="F35" s="33">
        <f>F34^F32</f>
        <v>1.2100000000000002</v>
      </c>
      <c r="G35" s="33">
        <f>G34^G32</f>
        <v>1.3310000000000004</v>
      </c>
    </row>
    <row r="36" spans="2:7" x14ac:dyDescent="0.2">
      <c r="B36" s="24" t="s">
        <v>65</v>
      </c>
      <c r="C36" s="28"/>
      <c r="D36" s="31">
        <f>D33/D35</f>
        <v>-95000</v>
      </c>
      <c r="E36" s="31">
        <f>E33/E35</f>
        <v>60606.060606060608</v>
      </c>
      <c r="F36" s="31">
        <f>F33/F35</f>
        <v>39724.517906336085</v>
      </c>
      <c r="G36" s="31">
        <f>G33/G35</f>
        <v>35662.40921612821</v>
      </c>
    </row>
    <row r="37" spans="2:7" x14ac:dyDescent="0.2">
      <c r="B37" s="24" t="s">
        <v>66</v>
      </c>
      <c r="C37" s="28"/>
      <c r="D37" s="67">
        <f>SUM(D36:G36)</f>
        <v>40992.987728524902</v>
      </c>
      <c r="E37" s="28"/>
      <c r="F37" s="28"/>
      <c r="G37" s="28"/>
    </row>
    <row r="38" spans="2:7" x14ac:dyDescent="0.2">
      <c r="B38" s="24"/>
      <c r="C38" s="28"/>
      <c r="D38" s="28"/>
      <c r="E38" s="28"/>
      <c r="F38" s="28"/>
      <c r="G38" s="28"/>
    </row>
    <row r="39" spans="2:7" x14ac:dyDescent="0.2">
      <c r="B39" s="24" t="s">
        <v>67</v>
      </c>
      <c r="C39" s="28"/>
      <c r="D39" s="28">
        <f>C5+D37</f>
        <v>135992.98772852489</v>
      </c>
      <c r="E39" s="28"/>
      <c r="F39" s="28"/>
      <c r="G39" s="28"/>
    </row>
    <row r="40" spans="2:7" x14ac:dyDescent="0.2">
      <c r="B40" s="34" t="s">
        <v>68</v>
      </c>
      <c r="C40" s="28"/>
      <c r="D40" s="36">
        <f>D39/C5</f>
        <v>1.4315051339844727</v>
      </c>
      <c r="E40" s="28"/>
      <c r="F40" s="28"/>
      <c r="G40" s="28"/>
    </row>
    <row r="41" spans="2:7" x14ac:dyDescent="0.2">
      <c r="B41" s="24"/>
      <c r="C41" s="24"/>
      <c r="D41" s="24"/>
      <c r="E41" s="24"/>
      <c r="F41" s="24"/>
      <c r="G41" s="24"/>
    </row>
    <row r="42" spans="2:7" x14ac:dyDescent="0.2">
      <c r="B42" s="24"/>
      <c r="C42" s="37" t="s">
        <v>69</v>
      </c>
      <c r="D42" s="38">
        <f>C7</f>
        <v>0.12</v>
      </c>
      <c r="E42" s="37" t="s">
        <v>70</v>
      </c>
      <c r="F42" s="37" t="s">
        <v>71</v>
      </c>
      <c r="G42" s="37" t="s">
        <v>72</v>
      </c>
    </row>
    <row r="43" spans="2:7" x14ac:dyDescent="0.2">
      <c r="B43" s="24"/>
      <c r="C43" s="39">
        <v>0</v>
      </c>
      <c r="D43" s="40"/>
      <c r="E43" s="40"/>
      <c r="F43" s="40"/>
      <c r="G43" s="40">
        <f>D33</f>
        <v>-95000</v>
      </c>
    </row>
    <row r="44" spans="2:7" x14ac:dyDescent="0.2">
      <c r="B44" s="24"/>
      <c r="C44" s="39">
        <v>1</v>
      </c>
      <c r="D44" s="41">
        <f>$D$42+1</f>
        <v>1.1200000000000001</v>
      </c>
      <c r="E44" s="40">
        <f>G43*D44</f>
        <v>-106400.00000000001</v>
      </c>
      <c r="F44" s="40">
        <f>E33</f>
        <v>66666.666666666672</v>
      </c>
      <c r="G44" s="40">
        <f>SUM(E44:F44)</f>
        <v>-39733.333333333343</v>
      </c>
    </row>
    <row r="45" spans="2:7" x14ac:dyDescent="0.2">
      <c r="B45" s="24"/>
      <c r="C45" s="39">
        <v>2</v>
      </c>
      <c r="D45" s="41">
        <f>$D$42+1</f>
        <v>1.1200000000000001</v>
      </c>
      <c r="E45" s="40">
        <f>G44*D45</f>
        <v>-44501.33333333335</v>
      </c>
      <c r="F45" s="40">
        <f>F33</f>
        <v>48066.666666666672</v>
      </c>
      <c r="G45" s="40">
        <f>SUM(E45:F45)</f>
        <v>3565.3333333333212</v>
      </c>
    </row>
    <row r="46" spans="2:7" x14ac:dyDescent="0.2">
      <c r="B46" s="34"/>
      <c r="C46" s="39">
        <v>3</v>
      </c>
      <c r="D46" s="41">
        <f>$D$42+1</f>
        <v>1.1200000000000001</v>
      </c>
      <c r="E46" s="40">
        <f>G45*D46</f>
        <v>3993.17333333332</v>
      </c>
      <c r="F46" s="40">
        <f>G33</f>
        <v>47466.666666666664</v>
      </c>
      <c r="G46" s="35">
        <f>SUM(E46:F46)</f>
        <v>51459.839999999982</v>
      </c>
    </row>
    <row r="47" spans="2:7" x14ac:dyDescent="0.2">
      <c r="B47" s="24"/>
      <c r="C47" s="24"/>
      <c r="D47" s="24"/>
      <c r="E47" s="24"/>
      <c r="F47" s="24"/>
      <c r="G47" s="24"/>
    </row>
    <row r="48" spans="2:7" x14ac:dyDescent="0.2">
      <c r="B48" s="24"/>
      <c r="C48" s="37" t="s">
        <v>69</v>
      </c>
      <c r="D48" s="38">
        <v>0</v>
      </c>
      <c r="E48" s="37" t="s">
        <v>70</v>
      </c>
      <c r="F48" s="37" t="s">
        <v>71</v>
      </c>
      <c r="G48" s="37" t="s">
        <v>72</v>
      </c>
    </row>
    <row r="49" spans="2:7" x14ac:dyDescent="0.2">
      <c r="B49" s="24"/>
      <c r="C49" s="39">
        <v>0</v>
      </c>
      <c r="D49" s="40"/>
      <c r="E49" s="40"/>
      <c r="F49" s="40"/>
      <c r="G49" s="40">
        <f>D33</f>
        <v>-95000</v>
      </c>
    </row>
    <row r="50" spans="2:7" x14ac:dyDescent="0.2">
      <c r="B50" s="24"/>
      <c r="C50" s="39">
        <v>1</v>
      </c>
      <c r="D50" s="41">
        <f>$D$48+1</f>
        <v>1</v>
      </c>
      <c r="E50" s="40">
        <f>G49*D50</f>
        <v>-95000</v>
      </c>
      <c r="F50" s="40">
        <f>E33</f>
        <v>66666.666666666672</v>
      </c>
      <c r="G50" s="40">
        <f>SUM(E50:F50)</f>
        <v>-28333.333333333328</v>
      </c>
    </row>
    <row r="51" spans="2:7" x14ac:dyDescent="0.2">
      <c r="B51" s="52" t="s">
        <v>73</v>
      </c>
      <c r="C51" s="42">
        <v>2</v>
      </c>
      <c r="D51" s="43">
        <f>$D$48+1</f>
        <v>1</v>
      </c>
      <c r="E51" s="44">
        <f>G50*D51</f>
        <v>-28333.333333333328</v>
      </c>
      <c r="F51" s="44">
        <f>F33</f>
        <v>48066.666666666672</v>
      </c>
      <c r="G51" s="44">
        <f>SUM(E51:F51)</f>
        <v>19733.333333333343</v>
      </c>
    </row>
    <row r="52" spans="2:7" x14ac:dyDescent="0.2">
      <c r="B52" s="24"/>
      <c r="C52" s="39">
        <v>3</v>
      </c>
      <c r="D52" s="41">
        <f>$D$48+1</f>
        <v>1</v>
      </c>
      <c r="E52" s="40">
        <f>G51*D52</f>
        <v>19733.333333333343</v>
      </c>
      <c r="F52" s="40">
        <f>G33</f>
        <v>47466.666666666664</v>
      </c>
      <c r="G52" s="40">
        <f>SUM(E52:F52)</f>
        <v>67200</v>
      </c>
    </row>
    <row r="53" spans="2:7" x14ac:dyDescent="0.2">
      <c r="B53" s="24"/>
      <c r="C53" s="45"/>
      <c r="D53" s="46"/>
      <c r="E53" s="47"/>
      <c r="F53" s="47"/>
      <c r="G53" s="47"/>
    </row>
    <row r="54" spans="2:7" x14ac:dyDescent="0.2">
      <c r="B54" s="24"/>
      <c r="C54" s="37" t="s">
        <v>69</v>
      </c>
      <c r="D54" s="38">
        <f>C19</f>
        <v>0</v>
      </c>
      <c r="E54" s="37" t="s">
        <v>70</v>
      </c>
      <c r="F54" s="37" t="s">
        <v>71</v>
      </c>
      <c r="G54" s="37" t="s">
        <v>72</v>
      </c>
    </row>
    <row r="55" spans="2:7" x14ac:dyDescent="0.2">
      <c r="B55" s="24"/>
      <c r="C55" s="39">
        <v>0</v>
      </c>
      <c r="D55" s="40"/>
      <c r="E55" s="40"/>
      <c r="F55" s="40"/>
      <c r="G55" s="40">
        <f>D33</f>
        <v>-95000</v>
      </c>
    </row>
    <row r="56" spans="2:7" x14ac:dyDescent="0.2">
      <c r="B56" s="24"/>
      <c r="C56" s="39">
        <v>1</v>
      </c>
      <c r="D56" s="41">
        <f>$D$42+1</f>
        <v>1.1200000000000001</v>
      </c>
      <c r="E56" s="40">
        <f>G55*D56</f>
        <v>-106400.00000000001</v>
      </c>
      <c r="F56" s="40">
        <f>E33</f>
        <v>66666.666666666672</v>
      </c>
      <c r="G56" s="40">
        <f>SUM(E56:F56)</f>
        <v>-39733.333333333343</v>
      </c>
    </row>
    <row r="57" spans="2:7" x14ac:dyDescent="0.2">
      <c r="B57" s="24"/>
      <c r="C57" s="39">
        <v>2</v>
      </c>
      <c r="D57" s="41">
        <f>$D$42+1</f>
        <v>1.1200000000000001</v>
      </c>
      <c r="E57" s="40">
        <f>G56*D57</f>
        <v>-44501.33333333335</v>
      </c>
      <c r="F57" s="40">
        <f>F33</f>
        <v>48066.666666666672</v>
      </c>
      <c r="G57" s="40">
        <f>SUM(E57:F57)</f>
        <v>3565.3333333333212</v>
      </c>
    </row>
    <row r="58" spans="2:7" x14ac:dyDescent="0.2">
      <c r="B58" s="51" t="s">
        <v>74</v>
      </c>
      <c r="C58" s="42">
        <v>3</v>
      </c>
      <c r="D58" s="43">
        <f>$D$42+1</f>
        <v>1.1200000000000001</v>
      </c>
      <c r="E58" s="44">
        <f>G57*D58</f>
        <v>3993.17333333332</v>
      </c>
      <c r="F58" s="44">
        <f>G33</f>
        <v>47466.666666666664</v>
      </c>
      <c r="G58" s="44">
        <f>SUM(E58:F58)</f>
        <v>51459.839999999982</v>
      </c>
    </row>
    <row r="59" spans="2:7" x14ac:dyDescent="0.2">
      <c r="B59" s="24"/>
      <c r="C59" s="24"/>
      <c r="D59" s="24"/>
      <c r="E59" s="24"/>
      <c r="F59" s="24"/>
      <c r="G59" s="24"/>
    </row>
    <row r="60" spans="2:7" x14ac:dyDescent="0.2">
      <c r="B60" s="24"/>
      <c r="C60" s="37" t="s">
        <v>69</v>
      </c>
      <c r="D60" s="48">
        <v>0.21934342005521373</v>
      </c>
      <c r="E60" s="37" t="s">
        <v>70</v>
      </c>
      <c r="F60" s="37" t="s">
        <v>71</v>
      </c>
      <c r="G60" s="37" t="s">
        <v>72</v>
      </c>
    </row>
    <row r="61" spans="2:7" x14ac:dyDescent="0.2">
      <c r="B61" s="24"/>
      <c r="C61" s="39">
        <v>0</v>
      </c>
      <c r="D61" s="40"/>
      <c r="E61" s="40"/>
      <c r="F61" s="40"/>
      <c r="G61" s="40">
        <f>D33</f>
        <v>-95000</v>
      </c>
    </row>
    <row r="62" spans="2:7" x14ac:dyDescent="0.2">
      <c r="B62" s="24"/>
      <c r="C62" s="39">
        <v>1</v>
      </c>
      <c r="D62" s="41">
        <f>$D$60+1</f>
        <v>1.2193434200552138</v>
      </c>
      <c r="E62" s="40">
        <f>G61*D62</f>
        <v>-115837.62490524531</v>
      </c>
      <c r="F62" s="40">
        <f>E33</f>
        <v>66666.666666666672</v>
      </c>
      <c r="G62" s="40">
        <f>SUM(E62:F62)</f>
        <v>-49170.958238578634</v>
      </c>
    </row>
    <row r="63" spans="2:7" x14ac:dyDescent="0.2">
      <c r="B63" s="24"/>
      <c r="C63" s="49">
        <v>2</v>
      </c>
      <c r="D63" s="41">
        <f>$D$60+1</f>
        <v>1.2193434200552138</v>
      </c>
      <c r="E63" s="50">
        <f>G62*D63</f>
        <v>-59956.284386020561</v>
      </c>
      <c r="F63" s="50">
        <f>F33</f>
        <v>48066.666666666672</v>
      </c>
      <c r="G63" s="50">
        <f>SUM(E63:F63)</f>
        <v>-11889.61771935389</v>
      </c>
    </row>
    <row r="64" spans="2:7" x14ac:dyDescent="0.2">
      <c r="B64" s="24"/>
      <c r="C64" s="39">
        <v>3</v>
      </c>
      <c r="D64" s="41">
        <f>$D$60+1</f>
        <v>1.2193434200552138</v>
      </c>
      <c r="E64" s="40">
        <f>G63*D64</f>
        <v>-14497.527133066043</v>
      </c>
      <c r="F64" s="40">
        <f>G33</f>
        <v>47466.666666666664</v>
      </c>
      <c r="G64" s="40">
        <f>SUM(E64:F64)</f>
        <v>32969.139533600624</v>
      </c>
    </row>
    <row r="65" spans="2:7" x14ac:dyDescent="0.2">
      <c r="B65" s="24"/>
      <c r="C65" s="24"/>
      <c r="D65" s="24"/>
      <c r="E65" s="24"/>
      <c r="F65" s="24"/>
      <c r="G65" s="24"/>
    </row>
    <row r="66" spans="2:7" x14ac:dyDescent="0.2">
      <c r="B66" s="51" t="s">
        <v>74</v>
      </c>
      <c r="C66" s="24"/>
      <c r="D66" s="24"/>
      <c r="E66" s="24"/>
      <c r="F66" s="24"/>
      <c r="G66" s="24"/>
    </row>
    <row r="67" spans="2:7" x14ac:dyDescent="0.2">
      <c r="B67" s="24" t="s">
        <v>46</v>
      </c>
      <c r="C67" s="24"/>
      <c r="D67" s="27">
        <v>0</v>
      </c>
      <c r="E67" s="27">
        <v>1</v>
      </c>
      <c r="F67" s="27">
        <v>2</v>
      </c>
      <c r="G67" s="27">
        <v>3</v>
      </c>
    </row>
    <row r="68" spans="2:7" x14ac:dyDescent="0.2">
      <c r="B68" s="24" t="s">
        <v>62</v>
      </c>
      <c r="C68" s="24"/>
      <c r="D68" s="31">
        <f>-C5</f>
        <v>-95000</v>
      </c>
      <c r="E68" s="31">
        <f>D28</f>
        <v>66666.666666666672</v>
      </c>
      <c r="F68" s="31">
        <f>E28</f>
        <v>48066.666666666672</v>
      </c>
      <c r="G68" s="31">
        <f>F28</f>
        <v>47466.666666666664</v>
      </c>
    </row>
    <row r="69" spans="2:7" x14ac:dyDescent="0.2">
      <c r="B69" s="25" t="s">
        <v>44</v>
      </c>
      <c r="C69" s="32">
        <v>0.1</v>
      </c>
      <c r="D69" s="33">
        <f>$C$69+1</f>
        <v>1.1000000000000001</v>
      </c>
      <c r="E69" s="33">
        <f>$C$69+1</f>
        <v>1.1000000000000001</v>
      </c>
      <c r="F69" s="33">
        <f>$C$69+1</f>
        <v>1.1000000000000001</v>
      </c>
      <c r="G69" s="33">
        <f>$C$69+1</f>
        <v>1.1000000000000001</v>
      </c>
    </row>
    <row r="70" spans="2:7" x14ac:dyDescent="0.2">
      <c r="B70" s="34" t="s">
        <v>64</v>
      </c>
      <c r="C70" s="28"/>
      <c r="D70" s="33">
        <f>D69^D67</f>
        <v>1</v>
      </c>
      <c r="E70" s="33">
        <f>E69^E67</f>
        <v>1.1000000000000001</v>
      </c>
      <c r="F70" s="33">
        <f>F69^F67</f>
        <v>1.2100000000000002</v>
      </c>
      <c r="G70" s="33">
        <f>G69^G67</f>
        <v>1.3310000000000004</v>
      </c>
    </row>
    <row r="71" spans="2:7" x14ac:dyDescent="0.2">
      <c r="B71" s="24" t="s">
        <v>65</v>
      </c>
      <c r="C71" s="28"/>
      <c r="D71" s="31">
        <f>D68/D70</f>
        <v>-95000</v>
      </c>
      <c r="E71" s="31">
        <f>E68/E70</f>
        <v>60606.060606060608</v>
      </c>
      <c r="F71" s="31">
        <f>F68/F70</f>
        <v>39724.517906336085</v>
      </c>
      <c r="G71" s="31">
        <f>G68/G70</f>
        <v>35662.40921612821</v>
      </c>
    </row>
    <row r="72" spans="2:7" x14ac:dyDescent="0.2">
      <c r="B72" s="34" t="s">
        <v>75</v>
      </c>
      <c r="C72" s="28"/>
      <c r="D72" s="28">
        <f>D71</f>
        <v>-95000</v>
      </c>
      <c r="E72" s="28">
        <f>D72+E71</f>
        <v>-34393.939393939392</v>
      </c>
      <c r="F72" s="28">
        <f>E72+F71</f>
        <v>5330.5785123966925</v>
      </c>
      <c r="G72" s="28">
        <f>F72+G71</f>
        <v>40992.987728524902</v>
      </c>
    </row>
    <row r="73" spans="2:7" x14ac:dyDescent="0.2">
      <c r="B73" s="24"/>
      <c r="C73" s="24"/>
      <c r="D73" s="24"/>
      <c r="E73" s="24"/>
      <c r="F73" s="24"/>
      <c r="G73" s="24"/>
    </row>
    <row r="74" spans="2:7" x14ac:dyDescent="0.2">
      <c r="B74" s="24"/>
      <c r="C74" s="24"/>
      <c r="D74" s="67">
        <f>SUM(D71:G71)</f>
        <v>40992.987728524902</v>
      </c>
      <c r="E74" s="24"/>
      <c r="F74" s="24"/>
      <c r="G74" s="24"/>
    </row>
    <row r="75" spans="2:7" x14ac:dyDescent="0.2">
      <c r="B75" s="24"/>
      <c r="C75" s="24"/>
      <c r="D75" s="24"/>
      <c r="E75" s="24"/>
      <c r="F75" s="24"/>
      <c r="G75" s="24"/>
    </row>
    <row r="76" spans="2:7" x14ac:dyDescent="0.2">
      <c r="B76" s="57" t="s">
        <v>81</v>
      </c>
      <c r="C76" s="57"/>
      <c r="D76" s="24"/>
      <c r="E76" s="24"/>
      <c r="F76" s="24"/>
      <c r="G76" s="24"/>
    </row>
    <row r="77" spans="2:7" x14ac:dyDescent="0.2">
      <c r="B77" s="54" t="s">
        <v>77</v>
      </c>
      <c r="C77" s="40">
        <f>F72</f>
        <v>5330.5785123966925</v>
      </c>
      <c r="D77" s="24"/>
      <c r="E77" s="24"/>
      <c r="F77" s="24"/>
      <c r="G77" s="24"/>
    </row>
    <row r="78" spans="2:7" x14ac:dyDescent="0.2">
      <c r="B78" s="54" t="s">
        <v>76</v>
      </c>
      <c r="C78" s="53">
        <f>G71</f>
        <v>35662.40921612821</v>
      </c>
      <c r="D78" s="24"/>
      <c r="E78" s="24"/>
      <c r="F78" s="24"/>
      <c r="G78" s="24"/>
    </row>
    <row r="79" spans="2:7" x14ac:dyDescent="0.2">
      <c r="B79" s="53" t="s">
        <v>78</v>
      </c>
      <c r="C79" s="55">
        <f>-C77/C78</f>
        <v>-0.1494733146067416</v>
      </c>
      <c r="D79" s="24"/>
      <c r="E79" s="24"/>
      <c r="F79" s="24"/>
      <c r="G79" s="24"/>
    </row>
    <row r="80" spans="2:7" x14ac:dyDescent="0.2">
      <c r="B80" s="53" t="s">
        <v>80</v>
      </c>
      <c r="C80" s="56">
        <v>12</v>
      </c>
      <c r="D80" s="24"/>
      <c r="E80" s="24"/>
      <c r="F80" s="24"/>
      <c r="G80" s="24"/>
    </row>
    <row r="81" spans="2:7" x14ac:dyDescent="0.2">
      <c r="B81" s="53" t="s">
        <v>79</v>
      </c>
      <c r="C81" s="53">
        <f>C79*C80</f>
        <v>-1.7936797752808991</v>
      </c>
      <c r="D81" s="24"/>
      <c r="E81" s="24"/>
      <c r="F81" s="24"/>
      <c r="G81" s="24"/>
    </row>
  </sheetData>
  <hyperlinks>
    <hyperlink ref="G2" location="GIN!A1" display="MENU" xr:uid="{DBB53679-A553-47A7-B975-C9C50BF121D5}"/>
  </hyperlink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0:F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3681-30B7-4287-9AD8-7F66F0D14AA9}">
  <dimension ref="A2:WVW44"/>
  <sheetViews>
    <sheetView showGridLines="0" workbookViewId="0">
      <selection activeCell="O2" sqref="O2"/>
    </sheetView>
  </sheetViews>
  <sheetFormatPr defaultColWidth="0" defaultRowHeight="12.75" x14ac:dyDescent="0.2"/>
  <cols>
    <col min="1" max="1" width="2.7109375" style="11" customWidth="1"/>
    <col min="2" max="2" width="16.42578125" style="11" customWidth="1"/>
    <col min="3" max="3" width="1" style="11" customWidth="1"/>
    <col min="4" max="4" width="8.28515625" style="11" customWidth="1"/>
    <col min="5" max="5" width="15.42578125" style="11" customWidth="1"/>
    <col min="6" max="6" width="0.42578125" style="11" customWidth="1"/>
    <col min="7" max="8" width="0.28515625" style="11" customWidth="1"/>
    <col min="9" max="10" width="0.5703125" style="11" customWidth="1"/>
    <col min="11" max="11" width="15.7109375" style="11" bestFit="1" customWidth="1"/>
    <col min="12" max="12" width="0.7109375" style="11" customWidth="1"/>
    <col min="13" max="13" width="14.85546875" style="11" bestFit="1" customWidth="1"/>
    <col min="14" max="14" width="0.5703125" style="11" customWidth="1"/>
    <col min="15" max="15" width="17.28515625" style="11" bestFit="1" customWidth="1"/>
    <col min="16" max="17" width="3.42578125" style="11" customWidth="1"/>
    <col min="18" max="257" width="25.85546875" style="11" hidden="1"/>
    <col min="258" max="258" width="16.42578125" style="11" hidden="1"/>
    <col min="259" max="259" width="1" style="11" hidden="1"/>
    <col min="260" max="260" width="8.28515625" style="11" hidden="1"/>
    <col min="261" max="261" width="13.140625" style="11" hidden="1"/>
    <col min="262" max="262" width="0.42578125" style="11" hidden="1"/>
    <col min="263" max="264" width="0.28515625" style="11" hidden="1"/>
    <col min="265" max="266" width="0.5703125" style="11" hidden="1"/>
    <col min="267" max="267" width="13.28515625" style="11" hidden="1"/>
    <col min="268" max="268" width="0.7109375" style="11" hidden="1"/>
    <col min="269" max="269" width="13.140625" style="11" hidden="1"/>
    <col min="270" max="270" width="0.5703125" style="11" hidden="1"/>
    <col min="271" max="271" width="14.7109375" style="11" hidden="1"/>
    <col min="272" max="513" width="25.85546875" style="11" hidden="1"/>
    <col min="514" max="514" width="16.42578125" style="11" hidden="1"/>
    <col min="515" max="515" width="1" style="11" hidden="1"/>
    <col min="516" max="516" width="8.28515625" style="11" hidden="1"/>
    <col min="517" max="517" width="13.140625" style="11" hidden="1"/>
    <col min="518" max="518" width="0.42578125" style="11" hidden="1"/>
    <col min="519" max="520" width="0.28515625" style="11" hidden="1"/>
    <col min="521" max="522" width="0.5703125" style="11" hidden="1"/>
    <col min="523" max="523" width="13.28515625" style="11" hidden="1"/>
    <col min="524" max="524" width="0.7109375" style="11" hidden="1"/>
    <col min="525" max="525" width="13.140625" style="11" hidden="1"/>
    <col min="526" max="526" width="0.5703125" style="11" hidden="1"/>
    <col min="527" max="527" width="14.7109375" style="11" hidden="1"/>
    <col min="528" max="769" width="25.85546875" style="11" hidden="1"/>
    <col min="770" max="770" width="16.42578125" style="11" hidden="1"/>
    <col min="771" max="771" width="1" style="11" hidden="1"/>
    <col min="772" max="772" width="8.28515625" style="11" hidden="1"/>
    <col min="773" max="773" width="13.140625" style="11" hidden="1"/>
    <col min="774" max="774" width="0.42578125" style="11" hidden="1"/>
    <col min="775" max="776" width="0.28515625" style="11" hidden="1"/>
    <col min="777" max="778" width="0.5703125" style="11" hidden="1"/>
    <col min="779" max="779" width="13.28515625" style="11" hidden="1"/>
    <col min="780" max="780" width="0.7109375" style="11" hidden="1"/>
    <col min="781" max="781" width="13.140625" style="11" hidden="1"/>
    <col min="782" max="782" width="0.5703125" style="11" hidden="1"/>
    <col min="783" max="783" width="14.7109375" style="11" hidden="1"/>
    <col min="784" max="1025" width="25.85546875" style="11" hidden="1"/>
    <col min="1026" max="1026" width="16.42578125" style="11" hidden="1"/>
    <col min="1027" max="1027" width="1" style="11" hidden="1"/>
    <col min="1028" max="1028" width="8.28515625" style="11" hidden="1"/>
    <col min="1029" max="1029" width="13.140625" style="11" hidden="1"/>
    <col min="1030" max="1030" width="0.42578125" style="11" hidden="1"/>
    <col min="1031" max="1032" width="0.28515625" style="11" hidden="1"/>
    <col min="1033" max="1034" width="0.5703125" style="11" hidden="1"/>
    <col min="1035" max="1035" width="13.28515625" style="11" hidden="1"/>
    <col min="1036" max="1036" width="0.7109375" style="11" hidden="1"/>
    <col min="1037" max="1037" width="13.140625" style="11" hidden="1"/>
    <col min="1038" max="1038" width="0.5703125" style="11" hidden="1"/>
    <col min="1039" max="1039" width="14.7109375" style="11" hidden="1"/>
    <col min="1040" max="1281" width="25.85546875" style="11" hidden="1"/>
    <col min="1282" max="1282" width="16.42578125" style="11" hidden="1"/>
    <col min="1283" max="1283" width="1" style="11" hidden="1"/>
    <col min="1284" max="1284" width="8.28515625" style="11" hidden="1"/>
    <col min="1285" max="1285" width="13.140625" style="11" hidden="1"/>
    <col min="1286" max="1286" width="0.42578125" style="11" hidden="1"/>
    <col min="1287" max="1288" width="0.28515625" style="11" hidden="1"/>
    <col min="1289" max="1290" width="0.5703125" style="11" hidden="1"/>
    <col min="1291" max="1291" width="13.28515625" style="11" hidden="1"/>
    <col min="1292" max="1292" width="0.7109375" style="11" hidden="1"/>
    <col min="1293" max="1293" width="13.140625" style="11" hidden="1"/>
    <col min="1294" max="1294" width="0.5703125" style="11" hidden="1"/>
    <col min="1295" max="1295" width="14.7109375" style="11" hidden="1"/>
    <col min="1296" max="1537" width="25.85546875" style="11" hidden="1"/>
    <col min="1538" max="1538" width="16.42578125" style="11" hidden="1"/>
    <col min="1539" max="1539" width="1" style="11" hidden="1"/>
    <col min="1540" max="1540" width="8.28515625" style="11" hidden="1"/>
    <col min="1541" max="1541" width="13.140625" style="11" hidden="1"/>
    <col min="1542" max="1542" width="0.42578125" style="11" hidden="1"/>
    <col min="1543" max="1544" width="0.28515625" style="11" hidden="1"/>
    <col min="1545" max="1546" width="0.5703125" style="11" hidden="1"/>
    <col min="1547" max="1547" width="13.28515625" style="11" hidden="1"/>
    <col min="1548" max="1548" width="0.7109375" style="11" hidden="1"/>
    <col min="1549" max="1549" width="13.140625" style="11" hidden="1"/>
    <col min="1550" max="1550" width="0.5703125" style="11" hidden="1"/>
    <col min="1551" max="1551" width="14.7109375" style="11" hidden="1"/>
    <col min="1552" max="1793" width="25.85546875" style="11" hidden="1"/>
    <col min="1794" max="1794" width="16.42578125" style="11" hidden="1"/>
    <col min="1795" max="1795" width="1" style="11" hidden="1"/>
    <col min="1796" max="1796" width="8.28515625" style="11" hidden="1"/>
    <col min="1797" max="1797" width="13.140625" style="11" hidden="1"/>
    <col min="1798" max="1798" width="0.42578125" style="11" hidden="1"/>
    <col min="1799" max="1800" width="0.28515625" style="11" hidden="1"/>
    <col min="1801" max="1802" width="0.5703125" style="11" hidden="1"/>
    <col min="1803" max="1803" width="13.28515625" style="11" hidden="1"/>
    <col min="1804" max="1804" width="0.7109375" style="11" hidden="1"/>
    <col min="1805" max="1805" width="13.140625" style="11" hidden="1"/>
    <col min="1806" max="1806" width="0.5703125" style="11" hidden="1"/>
    <col min="1807" max="1807" width="14.7109375" style="11" hidden="1"/>
    <col min="1808" max="2049" width="25.85546875" style="11" hidden="1"/>
    <col min="2050" max="2050" width="16.42578125" style="11" hidden="1"/>
    <col min="2051" max="2051" width="1" style="11" hidden="1"/>
    <col min="2052" max="2052" width="8.28515625" style="11" hidden="1"/>
    <col min="2053" max="2053" width="13.140625" style="11" hidden="1"/>
    <col min="2054" max="2054" width="0.42578125" style="11" hidden="1"/>
    <col min="2055" max="2056" width="0.28515625" style="11" hidden="1"/>
    <col min="2057" max="2058" width="0.5703125" style="11" hidden="1"/>
    <col min="2059" max="2059" width="13.28515625" style="11" hidden="1"/>
    <col min="2060" max="2060" width="0.7109375" style="11" hidden="1"/>
    <col min="2061" max="2061" width="13.140625" style="11" hidden="1"/>
    <col min="2062" max="2062" width="0.5703125" style="11" hidden="1"/>
    <col min="2063" max="2063" width="14.7109375" style="11" hidden="1"/>
    <col min="2064" max="2305" width="25.85546875" style="11" hidden="1"/>
    <col min="2306" max="2306" width="16.42578125" style="11" hidden="1"/>
    <col min="2307" max="2307" width="1" style="11" hidden="1"/>
    <col min="2308" max="2308" width="8.28515625" style="11" hidden="1"/>
    <col min="2309" max="2309" width="13.140625" style="11" hidden="1"/>
    <col min="2310" max="2310" width="0.42578125" style="11" hidden="1"/>
    <col min="2311" max="2312" width="0.28515625" style="11" hidden="1"/>
    <col min="2313" max="2314" width="0.5703125" style="11" hidden="1"/>
    <col min="2315" max="2315" width="13.28515625" style="11" hidden="1"/>
    <col min="2316" max="2316" width="0.7109375" style="11" hidden="1"/>
    <col min="2317" max="2317" width="13.140625" style="11" hidden="1"/>
    <col min="2318" max="2318" width="0.5703125" style="11" hidden="1"/>
    <col min="2319" max="2319" width="14.7109375" style="11" hidden="1"/>
    <col min="2320" max="2561" width="25.85546875" style="11" hidden="1"/>
    <col min="2562" max="2562" width="16.42578125" style="11" hidden="1"/>
    <col min="2563" max="2563" width="1" style="11" hidden="1"/>
    <col min="2564" max="2564" width="8.28515625" style="11" hidden="1"/>
    <col min="2565" max="2565" width="13.140625" style="11" hidden="1"/>
    <col min="2566" max="2566" width="0.42578125" style="11" hidden="1"/>
    <col min="2567" max="2568" width="0.28515625" style="11" hidden="1"/>
    <col min="2569" max="2570" width="0.5703125" style="11" hidden="1"/>
    <col min="2571" max="2571" width="13.28515625" style="11" hidden="1"/>
    <col min="2572" max="2572" width="0.7109375" style="11" hidden="1"/>
    <col min="2573" max="2573" width="13.140625" style="11" hidden="1"/>
    <col min="2574" max="2574" width="0.5703125" style="11" hidden="1"/>
    <col min="2575" max="2575" width="14.7109375" style="11" hidden="1"/>
    <col min="2576" max="2817" width="25.85546875" style="11" hidden="1"/>
    <col min="2818" max="2818" width="16.42578125" style="11" hidden="1"/>
    <col min="2819" max="2819" width="1" style="11" hidden="1"/>
    <col min="2820" max="2820" width="8.28515625" style="11" hidden="1"/>
    <col min="2821" max="2821" width="13.140625" style="11" hidden="1"/>
    <col min="2822" max="2822" width="0.42578125" style="11" hidden="1"/>
    <col min="2823" max="2824" width="0.28515625" style="11" hidden="1"/>
    <col min="2825" max="2826" width="0.5703125" style="11" hidden="1"/>
    <col min="2827" max="2827" width="13.28515625" style="11" hidden="1"/>
    <col min="2828" max="2828" width="0.7109375" style="11" hidden="1"/>
    <col min="2829" max="2829" width="13.140625" style="11" hidden="1"/>
    <col min="2830" max="2830" width="0.5703125" style="11" hidden="1"/>
    <col min="2831" max="2831" width="14.7109375" style="11" hidden="1"/>
    <col min="2832" max="3073" width="25.85546875" style="11" hidden="1"/>
    <col min="3074" max="3074" width="16.42578125" style="11" hidden="1"/>
    <col min="3075" max="3075" width="1" style="11" hidden="1"/>
    <col min="3076" max="3076" width="8.28515625" style="11" hidden="1"/>
    <col min="3077" max="3077" width="13.140625" style="11" hidden="1"/>
    <col min="3078" max="3078" width="0.42578125" style="11" hidden="1"/>
    <col min="3079" max="3080" width="0.28515625" style="11" hidden="1"/>
    <col min="3081" max="3082" width="0.5703125" style="11" hidden="1"/>
    <col min="3083" max="3083" width="13.28515625" style="11" hidden="1"/>
    <col min="3084" max="3084" width="0.7109375" style="11" hidden="1"/>
    <col min="3085" max="3085" width="13.140625" style="11" hidden="1"/>
    <col min="3086" max="3086" width="0.5703125" style="11" hidden="1"/>
    <col min="3087" max="3087" width="14.7109375" style="11" hidden="1"/>
    <col min="3088" max="3329" width="25.85546875" style="11" hidden="1"/>
    <col min="3330" max="3330" width="16.42578125" style="11" hidden="1"/>
    <col min="3331" max="3331" width="1" style="11" hidden="1"/>
    <col min="3332" max="3332" width="8.28515625" style="11" hidden="1"/>
    <col min="3333" max="3333" width="13.140625" style="11" hidden="1"/>
    <col min="3334" max="3334" width="0.42578125" style="11" hidden="1"/>
    <col min="3335" max="3336" width="0.28515625" style="11" hidden="1"/>
    <col min="3337" max="3338" width="0.5703125" style="11" hidden="1"/>
    <col min="3339" max="3339" width="13.28515625" style="11" hidden="1"/>
    <col min="3340" max="3340" width="0.7109375" style="11" hidden="1"/>
    <col min="3341" max="3341" width="13.140625" style="11" hidden="1"/>
    <col min="3342" max="3342" width="0.5703125" style="11" hidden="1"/>
    <col min="3343" max="3343" width="14.7109375" style="11" hidden="1"/>
    <col min="3344" max="3585" width="25.85546875" style="11" hidden="1"/>
    <col min="3586" max="3586" width="16.42578125" style="11" hidden="1"/>
    <col min="3587" max="3587" width="1" style="11" hidden="1"/>
    <col min="3588" max="3588" width="8.28515625" style="11" hidden="1"/>
    <col min="3589" max="3589" width="13.140625" style="11" hidden="1"/>
    <col min="3590" max="3590" width="0.42578125" style="11" hidden="1"/>
    <col min="3591" max="3592" width="0.28515625" style="11" hidden="1"/>
    <col min="3593" max="3594" width="0.5703125" style="11" hidden="1"/>
    <col min="3595" max="3595" width="13.28515625" style="11" hidden="1"/>
    <col min="3596" max="3596" width="0.7109375" style="11" hidden="1"/>
    <col min="3597" max="3597" width="13.140625" style="11" hidden="1"/>
    <col min="3598" max="3598" width="0.5703125" style="11" hidden="1"/>
    <col min="3599" max="3599" width="14.7109375" style="11" hidden="1"/>
    <col min="3600" max="3841" width="25.85546875" style="11" hidden="1"/>
    <col min="3842" max="3842" width="16.42578125" style="11" hidden="1"/>
    <col min="3843" max="3843" width="1" style="11" hidden="1"/>
    <col min="3844" max="3844" width="8.28515625" style="11" hidden="1"/>
    <col min="3845" max="3845" width="13.140625" style="11" hidden="1"/>
    <col min="3846" max="3846" width="0.42578125" style="11" hidden="1"/>
    <col min="3847" max="3848" width="0.28515625" style="11" hidden="1"/>
    <col min="3849" max="3850" width="0.5703125" style="11" hidden="1"/>
    <col min="3851" max="3851" width="13.28515625" style="11" hidden="1"/>
    <col min="3852" max="3852" width="0.7109375" style="11" hidden="1"/>
    <col min="3853" max="3853" width="13.140625" style="11" hidden="1"/>
    <col min="3854" max="3854" width="0.5703125" style="11" hidden="1"/>
    <col min="3855" max="3855" width="14.7109375" style="11" hidden="1"/>
    <col min="3856" max="4097" width="25.85546875" style="11" hidden="1"/>
    <col min="4098" max="4098" width="16.42578125" style="11" hidden="1"/>
    <col min="4099" max="4099" width="1" style="11" hidden="1"/>
    <col min="4100" max="4100" width="8.28515625" style="11" hidden="1"/>
    <col min="4101" max="4101" width="13.140625" style="11" hidden="1"/>
    <col min="4102" max="4102" width="0.42578125" style="11" hidden="1"/>
    <col min="4103" max="4104" width="0.28515625" style="11" hidden="1"/>
    <col min="4105" max="4106" width="0.5703125" style="11" hidden="1"/>
    <col min="4107" max="4107" width="13.28515625" style="11" hidden="1"/>
    <col min="4108" max="4108" width="0.7109375" style="11" hidden="1"/>
    <col min="4109" max="4109" width="13.140625" style="11" hidden="1"/>
    <col min="4110" max="4110" width="0.5703125" style="11" hidden="1"/>
    <col min="4111" max="4111" width="14.7109375" style="11" hidden="1"/>
    <col min="4112" max="4353" width="25.85546875" style="11" hidden="1"/>
    <col min="4354" max="4354" width="16.42578125" style="11" hidden="1"/>
    <col min="4355" max="4355" width="1" style="11" hidden="1"/>
    <col min="4356" max="4356" width="8.28515625" style="11" hidden="1"/>
    <col min="4357" max="4357" width="13.140625" style="11" hidden="1"/>
    <col min="4358" max="4358" width="0.42578125" style="11" hidden="1"/>
    <col min="4359" max="4360" width="0.28515625" style="11" hidden="1"/>
    <col min="4361" max="4362" width="0.5703125" style="11" hidden="1"/>
    <col min="4363" max="4363" width="13.28515625" style="11" hidden="1"/>
    <col min="4364" max="4364" width="0.7109375" style="11" hidden="1"/>
    <col min="4365" max="4365" width="13.140625" style="11" hidden="1"/>
    <col min="4366" max="4366" width="0.5703125" style="11" hidden="1"/>
    <col min="4367" max="4367" width="14.7109375" style="11" hidden="1"/>
    <col min="4368" max="4609" width="25.85546875" style="11" hidden="1"/>
    <col min="4610" max="4610" width="16.42578125" style="11" hidden="1"/>
    <col min="4611" max="4611" width="1" style="11" hidden="1"/>
    <col min="4612" max="4612" width="8.28515625" style="11" hidden="1"/>
    <col min="4613" max="4613" width="13.140625" style="11" hidden="1"/>
    <col min="4614" max="4614" width="0.42578125" style="11" hidden="1"/>
    <col min="4615" max="4616" width="0.28515625" style="11" hidden="1"/>
    <col min="4617" max="4618" width="0.5703125" style="11" hidden="1"/>
    <col min="4619" max="4619" width="13.28515625" style="11" hidden="1"/>
    <col min="4620" max="4620" width="0.7109375" style="11" hidden="1"/>
    <col min="4621" max="4621" width="13.140625" style="11" hidden="1"/>
    <col min="4622" max="4622" width="0.5703125" style="11" hidden="1"/>
    <col min="4623" max="4623" width="14.7109375" style="11" hidden="1"/>
    <col min="4624" max="4865" width="25.85546875" style="11" hidden="1"/>
    <col min="4866" max="4866" width="16.42578125" style="11" hidden="1"/>
    <col min="4867" max="4867" width="1" style="11" hidden="1"/>
    <col min="4868" max="4868" width="8.28515625" style="11" hidden="1"/>
    <col min="4869" max="4869" width="13.140625" style="11" hidden="1"/>
    <col min="4870" max="4870" width="0.42578125" style="11" hidden="1"/>
    <col min="4871" max="4872" width="0.28515625" style="11" hidden="1"/>
    <col min="4873" max="4874" width="0.5703125" style="11" hidden="1"/>
    <col min="4875" max="4875" width="13.28515625" style="11" hidden="1"/>
    <col min="4876" max="4876" width="0.7109375" style="11" hidden="1"/>
    <col min="4877" max="4877" width="13.140625" style="11" hidden="1"/>
    <col min="4878" max="4878" width="0.5703125" style="11" hidden="1"/>
    <col min="4879" max="4879" width="14.7109375" style="11" hidden="1"/>
    <col min="4880" max="5121" width="25.85546875" style="11" hidden="1"/>
    <col min="5122" max="5122" width="16.42578125" style="11" hidden="1"/>
    <col min="5123" max="5123" width="1" style="11" hidden="1"/>
    <col min="5124" max="5124" width="8.28515625" style="11" hidden="1"/>
    <col min="5125" max="5125" width="13.140625" style="11" hidden="1"/>
    <col min="5126" max="5126" width="0.42578125" style="11" hidden="1"/>
    <col min="5127" max="5128" width="0.28515625" style="11" hidden="1"/>
    <col min="5129" max="5130" width="0.5703125" style="11" hidden="1"/>
    <col min="5131" max="5131" width="13.28515625" style="11" hidden="1"/>
    <col min="5132" max="5132" width="0.7109375" style="11" hidden="1"/>
    <col min="5133" max="5133" width="13.140625" style="11" hidden="1"/>
    <col min="5134" max="5134" width="0.5703125" style="11" hidden="1"/>
    <col min="5135" max="5135" width="14.7109375" style="11" hidden="1"/>
    <col min="5136" max="5377" width="25.85546875" style="11" hidden="1"/>
    <col min="5378" max="5378" width="16.42578125" style="11" hidden="1"/>
    <col min="5379" max="5379" width="1" style="11" hidden="1"/>
    <col min="5380" max="5380" width="8.28515625" style="11" hidden="1"/>
    <col min="5381" max="5381" width="13.140625" style="11" hidden="1"/>
    <col min="5382" max="5382" width="0.42578125" style="11" hidden="1"/>
    <col min="5383" max="5384" width="0.28515625" style="11" hidden="1"/>
    <col min="5385" max="5386" width="0.5703125" style="11" hidden="1"/>
    <col min="5387" max="5387" width="13.28515625" style="11" hidden="1"/>
    <col min="5388" max="5388" width="0.7109375" style="11" hidden="1"/>
    <col min="5389" max="5389" width="13.140625" style="11" hidden="1"/>
    <col min="5390" max="5390" width="0.5703125" style="11" hidden="1"/>
    <col min="5391" max="5391" width="14.7109375" style="11" hidden="1"/>
    <col min="5392" max="5633" width="25.85546875" style="11" hidden="1"/>
    <col min="5634" max="5634" width="16.42578125" style="11" hidden="1"/>
    <col min="5635" max="5635" width="1" style="11" hidden="1"/>
    <col min="5636" max="5636" width="8.28515625" style="11" hidden="1"/>
    <col min="5637" max="5637" width="13.140625" style="11" hidden="1"/>
    <col min="5638" max="5638" width="0.42578125" style="11" hidden="1"/>
    <col min="5639" max="5640" width="0.28515625" style="11" hidden="1"/>
    <col min="5641" max="5642" width="0.5703125" style="11" hidden="1"/>
    <col min="5643" max="5643" width="13.28515625" style="11" hidden="1"/>
    <col min="5644" max="5644" width="0.7109375" style="11" hidden="1"/>
    <col min="5645" max="5645" width="13.140625" style="11" hidden="1"/>
    <col min="5646" max="5646" width="0.5703125" style="11" hidden="1"/>
    <col min="5647" max="5647" width="14.7109375" style="11" hidden="1"/>
    <col min="5648" max="5889" width="25.85546875" style="11" hidden="1"/>
    <col min="5890" max="5890" width="16.42578125" style="11" hidden="1"/>
    <col min="5891" max="5891" width="1" style="11" hidden="1"/>
    <col min="5892" max="5892" width="8.28515625" style="11" hidden="1"/>
    <col min="5893" max="5893" width="13.140625" style="11" hidden="1"/>
    <col min="5894" max="5894" width="0.42578125" style="11" hidden="1"/>
    <col min="5895" max="5896" width="0.28515625" style="11" hidden="1"/>
    <col min="5897" max="5898" width="0.5703125" style="11" hidden="1"/>
    <col min="5899" max="5899" width="13.28515625" style="11" hidden="1"/>
    <col min="5900" max="5900" width="0.7109375" style="11" hidden="1"/>
    <col min="5901" max="5901" width="13.140625" style="11" hidden="1"/>
    <col min="5902" max="5902" width="0.5703125" style="11" hidden="1"/>
    <col min="5903" max="5903" width="14.7109375" style="11" hidden="1"/>
    <col min="5904" max="6145" width="25.85546875" style="11" hidden="1"/>
    <col min="6146" max="6146" width="16.42578125" style="11" hidden="1"/>
    <col min="6147" max="6147" width="1" style="11" hidden="1"/>
    <col min="6148" max="6148" width="8.28515625" style="11" hidden="1"/>
    <col min="6149" max="6149" width="13.140625" style="11" hidden="1"/>
    <col min="6150" max="6150" width="0.42578125" style="11" hidden="1"/>
    <col min="6151" max="6152" width="0.28515625" style="11" hidden="1"/>
    <col min="6153" max="6154" width="0.5703125" style="11" hidden="1"/>
    <col min="6155" max="6155" width="13.28515625" style="11" hidden="1"/>
    <col min="6156" max="6156" width="0.7109375" style="11" hidden="1"/>
    <col min="6157" max="6157" width="13.140625" style="11" hidden="1"/>
    <col min="6158" max="6158" width="0.5703125" style="11" hidden="1"/>
    <col min="6159" max="6159" width="14.7109375" style="11" hidden="1"/>
    <col min="6160" max="6401" width="25.85546875" style="11" hidden="1"/>
    <col min="6402" max="6402" width="16.42578125" style="11" hidden="1"/>
    <col min="6403" max="6403" width="1" style="11" hidden="1"/>
    <col min="6404" max="6404" width="8.28515625" style="11" hidden="1"/>
    <col min="6405" max="6405" width="13.140625" style="11" hidden="1"/>
    <col min="6406" max="6406" width="0.42578125" style="11" hidden="1"/>
    <col min="6407" max="6408" width="0.28515625" style="11" hidden="1"/>
    <col min="6409" max="6410" width="0.5703125" style="11" hidden="1"/>
    <col min="6411" max="6411" width="13.28515625" style="11" hidden="1"/>
    <col min="6412" max="6412" width="0.7109375" style="11" hidden="1"/>
    <col min="6413" max="6413" width="13.140625" style="11" hidden="1"/>
    <col min="6414" max="6414" width="0.5703125" style="11" hidden="1"/>
    <col min="6415" max="6415" width="14.7109375" style="11" hidden="1"/>
    <col min="6416" max="6657" width="25.85546875" style="11" hidden="1"/>
    <col min="6658" max="6658" width="16.42578125" style="11" hidden="1"/>
    <col min="6659" max="6659" width="1" style="11" hidden="1"/>
    <col min="6660" max="6660" width="8.28515625" style="11" hidden="1"/>
    <col min="6661" max="6661" width="13.140625" style="11" hidden="1"/>
    <col min="6662" max="6662" width="0.42578125" style="11" hidden="1"/>
    <col min="6663" max="6664" width="0.28515625" style="11" hidden="1"/>
    <col min="6665" max="6666" width="0.5703125" style="11" hidden="1"/>
    <col min="6667" max="6667" width="13.28515625" style="11" hidden="1"/>
    <col min="6668" max="6668" width="0.7109375" style="11" hidden="1"/>
    <col min="6669" max="6669" width="13.140625" style="11" hidden="1"/>
    <col min="6670" max="6670" width="0.5703125" style="11" hidden="1"/>
    <col min="6671" max="6671" width="14.7109375" style="11" hidden="1"/>
    <col min="6672" max="6913" width="25.85546875" style="11" hidden="1"/>
    <col min="6914" max="6914" width="16.42578125" style="11" hidden="1"/>
    <col min="6915" max="6915" width="1" style="11" hidden="1"/>
    <col min="6916" max="6916" width="8.28515625" style="11" hidden="1"/>
    <col min="6917" max="6917" width="13.140625" style="11" hidden="1"/>
    <col min="6918" max="6918" width="0.42578125" style="11" hidden="1"/>
    <col min="6919" max="6920" width="0.28515625" style="11" hidden="1"/>
    <col min="6921" max="6922" width="0.5703125" style="11" hidden="1"/>
    <col min="6923" max="6923" width="13.28515625" style="11" hidden="1"/>
    <col min="6924" max="6924" width="0.7109375" style="11" hidden="1"/>
    <col min="6925" max="6925" width="13.140625" style="11" hidden="1"/>
    <col min="6926" max="6926" width="0.5703125" style="11" hidden="1"/>
    <col min="6927" max="6927" width="14.7109375" style="11" hidden="1"/>
    <col min="6928" max="7169" width="25.85546875" style="11" hidden="1"/>
    <col min="7170" max="7170" width="16.42578125" style="11" hidden="1"/>
    <col min="7171" max="7171" width="1" style="11" hidden="1"/>
    <col min="7172" max="7172" width="8.28515625" style="11" hidden="1"/>
    <col min="7173" max="7173" width="13.140625" style="11" hidden="1"/>
    <col min="7174" max="7174" width="0.42578125" style="11" hidden="1"/>
    <col min="7175" max="7176" width="0.28515625" style="11" hidden="1"/>
    <col min="7177" max="7178" width="0.5703125" style="11" hidden="1"/>
    <col min="7179" max="7179" width="13.28515625" style="11" hidden="1"/>
    <col min="7180" max="7180" width="0.7109375" style="11" hidden="1"/>
    <col min="7181" max="7181" width="13.140625" style="11" hidden="1"/>
    <col min="7182" max="7182" width="0.5703125" style="11" hidden="1"/>
    <col min="7183" max="7183" width="14.7109375" style="11" hidden="1"/>
    <col min="7184" max="7425" width="25.85546875" style="11" hidden="1"/>
    <col min="7426" max="7426" width="16.42578125" style="11" hidden="1"/>
    <col min="7427" max="7427" width="1" style="11" hidden="1"/>
    <col min="7428" max="7428" width="8.28515625" style="11" hidden="1"/>
    <col min="7429" max="7429" width="13.140625" style="11" hidden="1"/>
    <col min="7430" max="7430" width="0.42578125" style="11" hidden="1"/>
    <col min="7431" max="7432" width="0.28515625" style="11" hidden="1"/>
    <col min="7433" max="7434" width="0.5703125" style="11" hidden="1"/>
    <col min="7435" max="7435" width="13.28515625" style="11" hidden="1"/>
    <col min="7436" max="7436" width="0.7109375" style="11" hidden="1"/>
    <col min="7437" max="7437" width="13.140625" style="11" hidden="1"/>
    <col min="7438" max="7438" width="0.5703125" style="11" hidden="1"/>
    <col min="7439" max="7439" width="14.7109375" style="11" hidden="1"/>
    <col min="7440" max="7681" width="25.85546875" style="11" hidden="1"/>
    <col min="7682" max="7682" width="16.42578125" style="11" hidden="1"/>
    <col min="7683" max="7683" width="1" style="11" hidden="1"/>
    <col min="7684" max="7684" width="8.28515625" style="11" hidden="1"/>
    <col min="7685" max="7685" width="13.140625" style="11" hidden="1"/>
    <col min="7686" max="7686" width="0.42578125" style="11" hidden="1"/>
    <col min="7687" max="7688" width="0.28515625" style="11" hidden="1"/>
    <col min="7689" max="7690" width="0.5703125" style="11" hidden="1"/>
    <col min="7691" max="7691" width="13.28515625" style="11" hidden="1"/>
    <col min="7692" max="7692" width="0.7109375" style="11" hidden="1"/>
    <col min="7693" max="7693" width="13.140625" style="11" hidden="1"/>
    <col min="7694" max="7694" width="0.5703125" style="11" hidden="1"/>
    <col min="7695" max="7695" width="14.7109375" style="11" hidden="1"/>
    <col min="7696" max="7937" width="25.85546875" style="11" hidden="1"/>
    <col min="7938" max="7938" width="16.42578125" style="11" hidden="1"/>
    <col min="7939" max="7939" width="1" style="11" hidden="1"/>
    <col min="7940" max="7940" width="8.28515625" style="11" hidden="1"/>
    <col min="7941" max="7941" width="13.140625" style="11" hidden="1"/>
    <col min="7942" max="7942" width="0.42578125" style="11" hidden="1"/>
    <col min="7943" max="7944" width="0.28515625" style="11" hidden="1"/>
    <col min="7945" max="7946" width="0.5703125" style="11" hidden="1"/>
    <col min="7947" max="7947" width="13.28515625" style="11" hidden="1"/>
    <col min="7948" max="7948" width="0.7109375" style="11" hidden="1"/>
    <col min="7949" max="7949" width="13.140625" style="11" hidden="1"/>
    <col min="7950" max="7950" width="0.5703125" style="11" hidden="1"/>
    <col min="7951" max="7951" width="14.7109375" style="11" hidden="1"/>
    <col min="7952" max="8193" width="25.85546875" style="11" hidden="1"/>
    <col min="8194" max="8194" width="16.42578125" style="11" hidden="1"/>
    <col min="8195" max="8195" width="1" style="11" hidden="1"/>
    <col min="8196" max="8196" width="8.28515625" style="11" hidden="1"/>
    <col min="8197" max="8197" width="13.140625" style="11" hidden="1"/>
    <col min="8198" max="8198" width="0.42578125" style="11" hidden="1"/>
    <col min="8199" max="8200" width="0.28515625" style="11" hidden="1"/>
    <col min="8201" max="8202" width="0.5703125" style="11" hidden="1"/>
    <col min="8203" max="8203" width="13.28515625" style="11" hidden="1"/>
    <col min="8204" max="8204" width="0.7109375" style="11" hidden="1"/>
    <col min="8205" max="8205" width="13.140625" style="11" hidden="1"/>
    <col min="8206" max="8206" width="0.5703125" style="11" hidden="1"/>
    <col min="8207" max="8207" width="14.7109375" style="11" hidden="1"/>
    <col min="8208" max="8449" width="25.85546875" style="11" hidden="1"/>
    <col min="8450" max="8450" width="16.42578125" style="11" hidden="1"/>
    <col min="8451" max="8451" width="1" style="11" hidden="1"/>
    <col min="8452" max="8452" width="8.28515625" style="11" hidden="1"/>
    <col min="8453" max="8453" width="13.140625" style="11" hidden="1"/>
    <col min="8454" max="8454" width="0.42578125" style="11" hidden="1"/>
    <col min="8455" max="8456" width="0.28515625" style="11" hidden="1"/>
    <col min="8457" max="8458" width="0.5703125" style="11" hidden="1"/>
    <col min="8459" max="8459" width="13.28515625" style="11" hidden="1"/>
    <col min="8460" max="8460" width="0.7109375" style="11" hidden="1"/>
    <col min="8461" max="8461" width="13.140625" style="11" hidden="1"/>
    <col min="8462" max="8462" width="0.5703125" style="11" hidden="1"/>
    <col min="8463" max="8463" width="14.7109375" style="11" hidden="1"/>
    <col min="8464" max="8705" width="25.85546875" style="11" hidden="1"/>
    <col min="8706" max="8706" width="16.42578125" style="11" hidden="1"/>
    <col min="8707" max="8707" width="1" style="11" hidden="1"/>
    <col min="8708" max="8708" width="8.28515625" style="11" hidden="1"/>
    <col min="8709" max="8709" width="13.140625" style="11" hidden="1"/>
    <col min="8710" max="8710" width="0.42578125" style="11" hidden="1"/>
    <col min="8711" max="8712" width="0.28515625" style="11" hidden="1"/>
    <col min="8713" max="8714" width="0.5703125" style="11" hidden="1"/>
    <col min="8715" max="8715" width="13.28515625" style="11" hidden="1"/>
    <col min="8716" max="8716" width="0.7109375" style="11" hidden="1"/>
    <col min="8717" max="8717" width="13.140625" style="11" hidden="1"/>
    <col min="8718" max="8718" width="0.5703125" style="11" hidden="1"/>
    <col min="8719" max="8719" width="14.7109375" style="11" hidden="1"/>
    <col min="8720" max="8961" width="25.85546875" style="11" hidden="1"/>
    <col min="8962" max="8962" width="16.42578125" style="11" hidden="1"/>
    <col min="8963" max="8963" width="1" style="11" hidden="1"/>
    <col min="8964" max="8964" width="8.28515625" style="11" hidden="1"/>
    <col min="8965" max="8965" width="13.140625" style="11" hidden="1"/>
    <col min="8966" max="8966" width="0.42578125" style="11" hidden="1"/>
    <col min="8967" max="8968" width="0.28515625" style="11" hidden="1"/>
    <col min="8969" max="8970" width="0.5703125" style="11" hidden="1"/>
    <col min="8971" max="8971" width="13.28515625" style="11" hidden="1"/>
    <col min="8972" max="8972" width="0.7109375" style="11" hidden="1"/>
    <col min="8973" max="8973" width="13.140625" style="11" hidden="1"/>
    <col min="8974" max="8974" width="0.5703125" style="11" hidden="1"/>
    <col min="8975" max="8975" width="14.7109375" style="11" hidden="1"/>
    <col min="8976" max="9217" width="25.85546875" style="11" hidden="1"/>
    <col min="9218" max="9218" width="16.42578125" style="11" hidden="1"/>
    <col min="9219" max="9219" width="1" style="11" hidden="1"/>
    <col min="9220" max="9220" width="8.28515625" style="11" hidden="1"/>
    <col min="9221" max="9221" width="13.140625" style="11" hidden="1"/>
    <col min="9222" max="9222" width="0.42578125" style="11" hidden="1"/>
    <col min="9223" max="9224" width="0.28515625" style="11" hidden="1"/>
    <col min="9225" max="9226" width="0.5703125" style="11" hidden="1"/>
    <col min="9227" max="9227" width="13.28515625" style="11" hidden="1"/>
    <col min="9228" max="9228" width="0.7109375" style="11" hidden="1"/>
    <col min="9229" max="9229" width="13.140625" style="11" hidden="1"/>
    <col min="9230" max="9230" width="0.5703125" style="11" hidden="1"/>
    <col min="9231" max="9231" width="14.7109375" style="11" hidden="1"/>
    <col min="9232" max="9473" width="25.85546875" style="11" hidden="1"/>
    <col min="9474" max="9474" width="16.42578125" style="11" hidden="1"/>
    <col min="9475" max="9475" width="1" style="11" hidden="1"/>
    <col min="9476" max="9476" width="8.28515625" style="11" hidden="1"/>
    <col min="9477" max="9477" width="13.140625" style="11" hidden="1"/>
    <col min="9478" max="9478" width="0.42578125" style="11" hidden="1"/>
    <col min="9479" max="9480" width="0.28515625" style="11" hidden="1"/>
    <col min="9481" max="9482" width="0.5703125" style="11" hidden="1"/>
    <col min="9483" max="9483" width="13.28515625" style="11" hidden="1"/>
    <col min="9484" max="9484" width="0.7109375" style="11" hidden="1"/>
    <col min="9485" max="9485" width="13.140625" style="11" hidden="1"/>
    <col min="9486" max="9486" width="0.5703125" style="11" hidden="1"/>
    <col min="9487" max="9487" width="14.7109375" style="11" hidden="1"/>
    <col min="9488" max="9729" width="25.85546875" style="11" hidden="1"/>
    <col min="9730" max="9730" width="16.42578125" style="11" hidden="1"/>
    <col min="9731" max="9731" width="1" style="11" hidden="1"/>
    <col min="9732" max="9732" width="8.28515625" style="11" hidden="1"/>
    <col min="9733" max="9733" width="13.140625" style="11" hidden="1"/>
    <col min="9734" max="9734" width="0.42578125" style="11" hidden="1"/>
    <col min="9735" max="9736" width="0.28515625" style="11" hidden="1"/>
    <col min="9737" max="9738" width="0.5703125" style="11" hidden="1"/>
    <col min="9739" max="9739" width="13.28515625" style="11" hidden="1"/>
    <col min="9740" max="9740" width="0.7109375" style="11" hidden="1"/>
    <col min="9741" max="9741" width="13.140625" style="11" hidden="1"/>
    <col min="9742" max="9742" width="0.5703125" style="11" hidden="1"/>
    <col min="9743" max="9743" width="14.7109375" style="11" hidden="1"/>
    <col min="9744" max="9985" width="25.85546875" style="11" hidden="1"/>
    <col min="9986" max="9986" width="16.42578125" style="11" hidden="1"/>
    <col min="9987" max="9987" width="1" style="11" hidden="1"/>
    <col min="9988" max="9988" width="8.28515625" style="11" hidden="1"/>
    <col min="9989" max="9989" width="13.140625" style="11" hidden="1"/>
    <col min="9990" max="9990" width="0.42578125" style="11" hidden="1"/>
    <col min="9991" max="9992" width="0.28515625" style="11" hidden="1"/>
    <col min="9993" max="9994" width="0.5703125" style="11" hidden="1"/>
    <col min="9995" max="9995" width="13.28515625" style="11" hidden="1"/>
    <col min="9996" max="9996" width="0.7109375" style="11" hidden="1"/>
    <col min="9997" max="9997" width="13.140625" style="11" hidden="1"/>
    <col min="9998" max="9998" width="0.5703125" style="11" hidden="1"/>
    <col min="9999" max="9999" width="14.7109375" style="11" hidden="1"/>
    <col min="10000" max="10241" width="25.85546875" style="11" hidden="1"/>
    <col min="10242" max="10242" width="16.42578125" style="11" hidden="1"/>
    <col min="10243" max="10243" width="1" style="11" hidden="1"/>
    <col min="10244" max="10244" width="8.28515625" style="11" hidden="1"/>
    <col min="10245" max="10245" width="13.140625" style="11" hidden="1"/>
    <col min="10246" max="10246" width="0.42578125" style="11" hidden="1"/>
    <col min="10247" max="10248" width="0.28515625" style="11" hidden="1"/>
    <col min="10249" max="10250" width="0.5703125" style="11" hidden="1"/>
    <col min="10251" max="10251" width="13.28515625" style="11" hidden="1"/>
    <col min="10252" max="10252" width="0.7109375" style="11" hidden="1"/>
    <col min="10253" max="10253" width="13.140625" style="11" hidden="1"/>
    <col min="10254" max="10254" width="0.5703125" style="11" hidden="1"/>
    <col min="10255" max="10255" width="14.7109375" style="11" hidden="1"/>
    <col min="10256" max="10497" width="25.85546875" style="11" hidden="1"/>
    <col min="10498" max="10498" width="16.42578125" style="11" hidden="1"/>
    <col min="10499" max="10499" width="1" style="11" hidden="1"/>
    <col min="10500" max="10500" width="8.28515625" style="11" hidden="1"/>
    <col min="10501" max="10501" width="13.140625" style="11" hidden="1"/>
    <col min="10502" max="10502" width="0.42578125" style="11" hidden="1"/>
    <col min="10503" max="10504" width="0.28515625" style="11" hidden="1"/>
    <col min="10505" max="10506" width="0.5703125" style="11" hidden="1"/>
    <col min="10507" max="10507" width="13.28515625" style="11" hidden="1"/>
    <col min="10508" max="10508" width="0.7109375" style="11" hidden="1"/>
    <col min="10509" max="10509" width="13.140625" style="11" hidden="1"/>
    <col min="10510" max="10510" width="0.5703125" style="11" hidden="1"/>
    <col min="10511" max="10511" width="14.7109375" style="11" hidden="1"/>
    <col min="10512" max="10753" width="25.85546875" style="11" hidden="1"/>
    <col min="10754" max="10754" width="16.42578125" style="11" hidden="1"/>
    <col min="10755" max="10755" width="1" style="11" hidden="1"/>
    <col min="10756" max="10756" width="8.28515625" style="11" hidden="1"/>
    <col min="10757" max="10757" width="13.140625" style="11" hidden="1"/>
    <col min="10758" max="10758" width="0.42578125" style="11" hidden="1"/>
    <col min="10759" max="10760" width="0.28515625" style="11" hidden="1"/>
    <col min="10761" max="10762" width="0.5703125" style="11" hidden="1"/>
    <col min="10763" max="10763" width="13.28515625" style="11" hidden="1"/>
    <col min="10764" max="10764" width="0.7109375" style="11" hidden="1"/>
    <col min="10765" max="10765" width="13.140625" style="11" hidden="1"/>
    <col min="10766" max="10766" width="0.5703125" style="11" hidden="1"/>
    <col min="10767" max="10767" width="14.7109375" style="11" hidden="1"/>
    <col min="10768" max="11009" width="25.85546875" style="11" hidden="1"/>
    <col min="11010" max="11010" width="16.42578125" style="11" hidden="1"/>
    <col min="11011" max="11011" width="1" style="11" hidden="1"/>
    <col min="11012" max="11012" width="8.28515625" style="11" hidden="1"/>
    <col min="11013" max="11013" width="13.140625" style="11" hidden="1"/>
    <col min="11014" max="11014" width="0.42578125" style="11" hidden="1"/>
    <col min="11015" max="11016" width="0.28515625" style="11" hidden="1"/>
    <col min="11017" max="11018" width="0.5703125" style="11" hidden="1"/>
    <col min="11019" max="11019" width="13.28515625" style="11" hidden="1"/>
    <col min="11020" max="11020" width="0.7109375" style="11" hidden="1"/>
    <col min="11021" max="11021" width="13.140625" style="11" hidden="1"/>
    <col min="11022" max="11022" width="0.5703125" style="11" hidden="1"/>
    <col min="11023" max="11023" width="14.7109375" style="11" hidden="1"/>
    <col min="11024" max="11265" width="25.85546875" style="11" hidden="1"/>
    <col min="11266" max="11266" width="16.42578125" style="11" hidden="1"/>
    <col min="11267" max="11267" width="1" style="11" hidden="1"/>
    <col min="11268" max="11268" width="8.28515625" style="11" hidden="1"/>
    <col min="11269" max="11269" width="13.140625" style="11" hidden="1"/>
    <col min="11270" max="11270" width="0.42578125" style="11" hidden="1"/>
    <col min="11271" max="11272" width="0.28515625" style="11" hidden="1"/>
    <col min="11273" max="11274" width="0.5703125" style="11" hidden="1"/>
    <col min="11275" max="11275" width="13.28515625" style="11" hidden="1"/>
    <col min="11276" max="11276" width="0.7109375" style="11" hidden="1"/>
    <col min="11277" max="11277" width="13.140625" style="11" hidden="1"/>
    <col min="11278" max="11278" width="0.5703125" style="11" hidden="1"/>
    <col min="11279" max="11279" width="14.7109375" style="11" hidden="1"/>
    <col min="11280" max="11521" width="25.85546875" style="11" hidden="1"/>
    <col min="11522" max="11522" width="16.42578125" style="11" hidden="1"/>
    <col min="11523" max="11523" width="1" style="11" hidden="1"/>
    <col min="11524" max="11524" width="8.28515625" style="11" hidden="1"/>
    <col min="11525" max="11525" width="13.140625" style="11" hidden="1"/>
    <col min="11526" max="11526" width="0.42578125" style="11" hidden="1"/>
    <col min="11527" max="11528" width="0.28515625" style="11" hidden="1"/>
    <col min="11529" max="11530" width="0.5703125" style="11" hidden="1"/>
    <col min="11531" max="11531" width="13.28515625" style="11" hidden="1"/>
    <col min="11532" max="11532" width="0.7109375" style="11" hidden="1"/>
    <col min="11533" max="11533" width="13.140625" style="11" hidden="1"/>
    <col min="11534" max="11534" width="0.5703125" style="11" hidden="1"/>
    <col min="11535" max="11535" width="14.7109375" style="11" hidden="1"/>
    <col min="11536" max="11777" width="25.85546875" style="11" hidden="1"/>
    <col min="11778" max="11778" width="16.42578125" style="11" hidden="1"/>
    <col min="11779" max="11779" width="1" style="11" hidden="1"/>
    <col min="11780" max="11780" width="8.28515625" style="11" hidden="1"/>
    <col min="11781" max="11781" width="13.140625" style="11" hidden="1"/>
    <col min="11782" max="11782" width="0.42578125" style="11" hidden="1"/>
    <col min="11783" max="11784" width="0.28515625" style="11" hidden="1"/>
    <col min="11785" max="11786" width="0.5703125" style="11" hidden="1"/>
    <col min="11787" max="11787" width="13.28515625" style="11" hidden="1"/>
    <col min="11788" max="11788" width="0.7109375" style="11" hidden="1"/>
    <col min="11789" max="11789" width="13.140625" style="11" hidden="1"/>
    <col min="11790" max="11790" width="0.5703125" style="11" hidden="1"/>
    <col min="11791" max="11791" width="14.7109375" style="11" hidden="1"/>
    <col min="11792" max="12033" width="25.85546875" style="11" hidden="1"/>
    <col min="12034" max="12034" width="16.42578125" style="11" hidden="1"/>
    <col min="12035" max="12035" width="1" style="11" hidden="1"/>
    <col min="12036" max="12036" width="8.28515625" style="11" hidden="1"/>
    <col min="12037" max="12037" width="13.140625" style="11" hidden="1"/>
    <col min="12038" max="12038" width="0.42578125" style="11" hidden="1"/>
    <col min="12039" max="12040" width="0.28515625" style="11" hidden="1"/>
    <col min="12041" max="12042" width="0.5703125" style="11" hidden="1"/>
    <col min="12043" max="12043" width="13.28515625" style="11" hidden="1"/>
    <col min="12044" max="12044" width="0.7109375" style="11" hidden="1"/>
    <col min="12045" max="12045" width="13.140625" style="11" hidden="1"/>
    <col min="12046" max="12046" width="0.5703125" style="11" hidden="1"/>
    <col min="12047" max="12047" width="14.7109375" style="11" hidden="1"/>
    <col min="12048" max="12289" width="25.85546875" style="11" hidden="1"/>
    <col min="12290" max="12290" width="16.42578125" style="11" hidden="1"/>
    <col min="12291" max="12291" width="1" style="11" hidden="1"/>
    <col min="12292" max="12292" width="8.28515625" style="11" hidden="1"/>
    <col min="12293" max="12293" width="13.140625" style="11" hidden="1"/>
    <col min="12294" max="12294" width="0.42578125" style="11" hidden="1"/>
    <col min="12295" max="12296" width="0.28515625" style="11" hidden="1"/>
    <col min="12297" max="12298" width="0.5703125" style="11" hidden="1"/>
    <col min="12299" max="12299" width="13.28515625" style="11" hidden="1"/>
    <col min="12300" max="12300" width="0.7109375" style="11" hidden="1"/>
    <col min="12301" max="12301" width="13.140625" style="11" hidden="1"/>
    <col min="12302" max="12302" width="0.5703125" style="11" hidden="1"/>
    <col min="12303" max="12303" width="14.7109375" style="11" hidden="1"/>
    <col min="12304" max="12545" width="25.85546875" style="11" hidden="1"/>
    <col min="12546" max="12546" width="16.42578125" style="11" hidden="1"/>
    <col min="12547" max="12547" width="1" style="11" hidden="1"/>
    <col min="12548" max="12548" width="8.28515625" style="11" hidden="1"/>
    <col min="12549" max="12549" width="13.140625" style="11" hidden="1"/>
    <col min="12550" max="12550" width="0.42578125" style="11" hidden="1"/>
    <col min="12551" max="12552" width="0.28515625" style="11" hidden="1"/>
    <col min="12553" max="12554" width="0.5703125" style="11" hidden="1"/>
    <col min="12555" max="12555" width="13.28515625" style="11" hidden="1"/>
    <col min="12556" max="12556" width="0.7109375" style="11" hidden="1"/>
    <col min="12557" max="12557" width="13.140625" style="11" hidden="1"/>
    <col min="12558" max="12558" width="0.5703125" style="11" hidden="1"/>
    <col min="12559" max="12559" width="14.7109375" style="11" hidden="1"/>
    <col min="12560" max="12801" width="25.85546875" style="11" hidden="1"/>
    <col min="12802" max="12802" width="16.42578125" style="11" hidden="1"/>
    <col min="12803" max="12803" width="1" style="11" hidden="1"/>
    <col min="12804" max="12804" width="8.28515625" style="11" hidden="1"/>
    <col min="12805" max="12805" width="13.140625" style="11" hidden="1"/>
    <col min="12806" max="12806" width="0.42578125" style="11" hidden="1"/>
    <col min="12807" max="12808" width="0.28515625" style="11" hidden="1"/>
    <col min="12809" max="12810" width="0.5703125" style="11" hidden="1"/>
    <col min="12811" max="12811" width="13.28515625" style="11" hidden="1"/>
    <col min="12812" max="12812" width="0.7109375" style="11" hidden="1"/>
    <col min="12813" max="12813" width="13.140625" style="11" hidden="1"/>
    <col min="12814" max="12814" width="0.5703125" style="11" hidden="1"/>
    <col min="12815" max="12815" width="14.7109375" style="11" hidden="1"/>
    <col min="12816" max="13057" width="25.85546875" style="11" hidden="1"/>
    <col min="13058" max="13058" width="16.42578125" style="11" hidden="1"/>
    <col min="13059" max="13059" width="1" style="11" hidden="1"/>
    <col min="13060" max="13060" width="8.28515625" style="11" hidden="1"/>
    <col min="13061" max="13061" width="13.140625" style="11" hidden="1"/>
    <col min="13062" max="13062" width="0.42578125" style="11" hidden="1"/>
    <col min="13063" max="13064" width="0.28515625" style="11" hidden="1"/>
    <col min="13065" max="13066" width="0.5703125" style="11" hidden="1"/>
    <col min="13067" max="13067" width="13.28515625" style="11" hidden="1"/>
    <col min="13068" max="13068" width="0.7109375" style="11" hidden="1"/>
    <col min="13069" max="13069" width="13.140625" style="11" hidden="1"/>
    <col min="13070" max="13070" width="0.5703125" style="11" hidden="1"/>
    <col min="13071" max="13071" width="14.7109375" style="11" hidden="1"/>
    <col min="13072" max="13313" width="25.85546875" style="11" hidden="1"/>
    <col min="13314" max="13314" width="16.42578125" style="11" hidden="1"/>
    <col min="13315" max="13315" width="1" style="11" hidden="1"/>
    <col min="13316" max="13316" width="8.28515625" style="11" hidden="1"/>
    <col min="13317" max="13317" width="13.140625" style="11" hidden="1"/>
    <col min="13318" max="13318" width="0.42578125" style="11" hidden="1"/>
    <col min="13319" max="13320" width="0.28515625" style="11" hidden="1"/>
    <col min="13321" max="13322" width="0.5703125" style="11" hidden="1"/>
    <col min="13323" max="13323" width="13.28515625" style="11" hidden="1"/>
    <col min="13324" max="13324" width="0.7109375" style="11" hidden="1"/>
    <col min="13325" max="13325" width="13.140625" style="11" hidden="1"/>
    <col min="13326" max="13326" width="0.5703125" style="11" hidden="1"/>
    <col min="13327" max="13327" width="14.7109375" style="11" hidden="1"/>
    <col min="13328" max="13569" width="25.85546875" style="11" hidden="1"/>
    <col min="13570" max="13570" width="16.42578125" style="11" hidden="1"/>
    <col min="13571" max="13571" width="1" style="11" hidden="1"/>
    <col min="13572" max="13572" width="8.28515625" style="11" hidden="1"/>
    <col min="13573" max="13573" width="13.140625" style="11" hidden="1"/>
    <col min="13574" max="13574" width="0.42578125" style="11" hidden="1"/>
    <col min="13575" max="13576" width="0.28515625" style="11" hidden="1"/>
    <col min="13577" max="13578" width="0.5703125" style="11" hidden="1"/>
    <col min="13579" max="13579" width="13.28515625" style="11" hidden="1"/>
    <col min="13580" max="13580" width="0.7109375" style="11" hidden="1"/>
    <col min="13581" max="13581" width="13.140625" style="11" hidden="1"/>
    <col min="13582" max="13582" width="0.5703125" style="11" hidden="1"/>
    <col min="13583" max="13583" width="14.7109375" style="11" hidden="1"/>
    <col min="13584" max="13825" width="25.85546875" style="11" hidden="1"/>
    <col min="13826" max="13826" width="16.42578125" style="11" hidden="1"/>
    <col min="13827" max="13827" width="1" style="11" hidden="1"/>
    <col min="13828" max="13828" width="8.28515625" style="11" hidden="1"/>
    <col min="13829" max="13829" width="13.140625" style="11" hidden="1"/>
    <col min="13830" max="13830" width="0.42578125" style="11" hidden="1"/>
    <col min="13831" max="13832" width="0.28515625" style="11" hidden="1"/>
    <col min="13833" max="13834" width="0.5703125" style="11" hidden="1"/>
    <col min="13835" max="13835" width="13.28515625" style="11" hidden="1"/>
    <col min="13836" max="13836" width="0.7109375" style="11" hidden="1"/>
    <col min="13837" max="13837" width="13.140625" style="11" hidden="1"/>
    <col min="13838" max="13838" width="0.5703125" style="11" hidden="1"/>
    <col min="13839" max="13839" width="14.7109375" style="11" hidden="1"/>
    <col min="13840" max="14081" width="25.85546875" style="11" hidden="1"/>
    <col min="14082" max="14082" width="16.42578125" style="11" hidden="1"/>
    <col min="14083" max="14083" width="1" style="11" hidden="1"/>
    <col min="14084" max="14084" width="8.28515625" style="11" hidden="1"/>
    <col min="14085" max="14085" width="13.140625" style="11" hidden="1"/>
    <col min="14086" max="14086" width="0.42578125" style="11" hidden="1"/>
    <col min="14087" max="14088" width="0.28515625" style="11" hidden="1"/>
    <col min="14089" max="14090" width="0.5703125" style="11" hidden="1"/>
    <col min="14091" max="14091" width="13.28515625" style="11" hidden="1"/>
    <col min="14092" max="14092" width="0.7109375" style="11" hidden="1"/>
    <col min="14093" max="14093" width="13.140625" style="11" hidden="1"/>
    <col min="14094" max="14094" width="0.5703125" style="11" hidden="1"/>
    <col min="14095" max="14095" width="14.7109375" style="11" hidden="1"/>
    <col min="14096" max="14337" width="25.85546875" style="11" hidden="1"/>
    <col min="14338" max="14338" width="16.42578125" style="11" hidden="1"/>
    <col min="14339" max="14339" width="1" style="11" hidden="1"/>
    <col min="14340" max="14340" width="8.28515625" style="11" hidden="1"/>
    <col min="14341" max="14341" width="13.140625" style="11" hidden="1"/>
    <col min="14342" max="14342" width="0.42578125" style="11" hidden="1"/>
    <col min="14343" max="14344" width="0.28515625" style="11" hidden="1"/>
    <col min="14345" max="14346" width="0.5703125" style="11" hidden="1"/>
    <col min="14347" max="14347" width="13.28515625" style="11" hidden="1"/>
    <col min="14348" max="14348" width="0.7109375" style="11" hidden="1"/>
    <col min="14349" max="14349" width="13.140625" style="11" hidden="1"/>
    <col min="14350" max="14350" width="0.5703125" style="11" hidden="1"/>
    <col min="14351" max="14351" width="14.7109375" style="11" hidden="1"/>
    <col min="14352" max="14593" width="25.85546875" style="11" hidden="1"/>
    <col min="14594" max="14594" width="16.42578125" style="11" hidden="1"/>
    <col min="14595" max="14595" width="1" style="11" hidden="1"/>
    <col min="14596" max="14596" width="8.28515625" style="11" hidden="1"/>
    <col min="14597" max="14597" width="13.140625" style="11" hidden="1"/>
    <col min="14598" max="14598" width="0.42578125" style="11" hidden="1"/>
    <col min="14599" max="14600" width="0.28515625" style="11" hidden="1"/>
    <col min="14601" max="14602" width="0.5703125" style="11" hidden="1"/>
    <col min="14603" max="14603" width="13.28515625" style="11" hidden="1"/>
    <col min="14604" max="14604" width="0.7109375" style="11" hidden="1"/>
    <col min="14605" max="14605" width="13.140625" style="11" hidden="1"/>
    <col min="14606" max="14606" width="0.5703125" style="11" hidden="1"/>
    <col min="14607" max="14607" width="14.7109375" style="11" hidden="1"/>
    <col min="14608" max="14849" width="25.85546875" style="11" hidden="1"/>
    <col min="14850" max="14850" width="16.42578125" style="11" hidden="1"/>
    <col min="14851" max="14851" width="1" style="11" hidden="1"/>
    <col min="14852" max="14852" width="8.28515625" style="11" hidden="1"/>
    <col min="14853" max="14853" width="13.140625" style="11" hidden="1"/>
    <col min="14854" max="14854" width="0.42578125" style="11" hidden="1"/>
    <col min="14855" max="14856" width="0.28515625" style="11" hidden="1"/>
    <col min="14857" max="14858" width="0.5703125" style="11" hidden="1"/>
    <col min="14859" max="14859" width="13.28515625" style="11" hidden="1"/>
    <col min="14860" max="14860" width="0.7109375" style="11" hidden="1"/>
    <col min="14861" max="14861" width="13.140625" style="11" hidden="1"/>
    <col min="14862" max="14862" width="0.5703125" style="11" hidden="1"/>
    <col min="14863" max="14863" width="14.7109375" style="11" hidden="1"/>
    <col min="14864" max="15105" width="25.85546875" style="11" hidden="1"/>
    <col min="15106" max="15106" width="16.42578125" style="11" hidden="1"/>
    <col min="15107" max="15107" width="1" style="11" hidden="1"/>
    <col min="15108" max="15108" width="8.28515625" style="11" hidden="1"/>
    <col min="15109" max="15109" width="13.140625" style="11" hidden="1"/>
    <col min="15110" max="15110" width="0.42578125" style="11" hidden="1"/>
    <col min="15111" max="15112" width="0.28515625" style="11" hidden="1"/>
    <col min="15113" max="15114" width="0.5703125" style="11" hidden="1"/>
    <col min="15115" max="15115" width="13.28515625" style="11" hidden="1"/>
    <col min="15116" max="15116" width="0.7109375" style="11" hidden="1"/>
    <col min="15117" max="15117" width="13.140625" style="11" hidden="1"/>
    <col min="15118" max="15118" width="0.5703125" style="11" hidden="1"/>
    <col min="15119" max="15119" width="14.7109375" style="11" hidden="1"/>
    <col min="15120" max="15361" width="25.85546875" style="11" hidden="1"/>
    <col min="15362" max="15362" width="16.42578125" style="11" hidden="1"/>
    <col min="15363" max="15363" width="1" style="11" hidden="1"/>
    <col min="15364" max="15364" width="8.28515625" style="11" hidden="1"/>
    <col min="15365" max="15365" width="13.140625" style="11" hidden="1"/>
    <col min="15366" max="15366" width="0.42578125" style="11" hidden="1"/>
    <col min="15367" max="15368" width="0.28515625" style="11" hidden="1"/>
    <col min="15369" max="15370" width="0.5703125" style="11" hidden="1"/>
    <col min="15371" max="15371" width="13.28515625" style="11" hidden="1"/>
    <col min="15372" max="15372" width="0.7109375" style="11" hidden="1"/>
    <col min="15373" max="15373" width="13.140625" style="11" hidden="1"/>
    <col min="15374" max="15374" width="0.5703125" style="11" hidden="1"/>
    <col min="15375" max="15375" width="14.7109375" style="11" hidden="1"/>
    <col min="15376" max="15617" width="25.85546875" style="11" hidden="1"/>
    <col min="15618" max="15618" width="16.42578125" style="11" hidden="1"/>
    <col min="15619" max="15619" width="1" style="11" hidden="1"/>
    <col min="15620" max="15620" width="8.28515625" style="11" hidden="1"/>
    <col min="15621" max="15621" width="13.140625" style="11" hidden="1"/>
    <col min="15622" max="15622" width="0.42578125" style="11" hidden="1"/>
    <col min="15623" max="15624" width="0.28515625" style="11" hidden="1"/>
    <col min="15625" max="15626" width="0.5703125" style="11" hidden="1"/>
    <col min="15627" max="15627" width="13.28515625" style="11" hidden="1"/>
    <col min="15628" max="15628" width="0.7109375" style="11" hidden="1"/>
    <col min="15629" max="15629" width="13.140625" style="11" hidden="1"/>
    <col min="15630" max="15630" width="0.5703125" style="11" hidden="1"/>
    <col min="15631" max="15631" width="14.7109375" style="11" hidden="1"/>
    <col min="15632" max="15873" width="25.85546875" style="11" hidden="1"/>
    <col min="15874" max="15874" width="16.42578125" style="11" hidden="1"/>
    <col min="15875" max="15875" width="1" style="11" hidden="1"/>
    <col min="15876" max="15876" width="8.28515625" style="11" hidden="1"/>
    <col min="15877" max="15877" width="13.140625" style="11" hidden="1"/>
    <col min="15878" max="15878" width="0.42578125" style="11" hidden="1"/>
    <col min="15879" max="15880" width="0.28515625" style="11" hidden="1"/>
    <col min="15881" max="15882" width="0.5703125" style="11" hidden="1"/>
    <col min="15883" max="15883" width="13.28515625" style="11" hidden="1"/>
    <col min="15884" max="15884" width="0.7109375" style="11" hidden="1"/>
    <col min="15885" max="15885" width="13.140625" style="11" hidden="1"/>
    <col min="15886" max="15886" width="0.5703125" style="11" hidden="1"/>
    <col min="15887" max="15887" width="14.7109375" style="11" hidden="1"/>
    <col min="15888" max="16129" width="25.85546875" style="11" hidden="1"/>
    <col min="16130" max="16130" width="16.42578125" style="11" hidden="1"/>
    <col min="16131" max="16131" width="1" style="11" hidden="1"/>
    <col min="16132" max="16132" width="8.28515625" style="11" hidden="1"/>
    <col min="16133" max="16133" width="13.140625" style="11" hidden="1"/>
    <col min="16134" max="16134" width="0.42578125" style="11" hidden="1"/>
    <col min="16135" max="16136" width="0.28515625" style="11" hidden="1"/>
    <col min="16137" max="16138" width="0.5703125" style="11" hidden="1"/>
    <col min="16139" max="16139" width="13.28515625" style="11" hidden="1"/>
    <col min="16140" max="16140" width="0.7109375" style="11" hidden="1"/>
    <col min="16141" max="16141" width="13.140625" style="11" hidden="1"/>
    <col min="16142" max="16142" width="0.5703125" style="11" hidden="1"/>
    <col min="16143" max="16143" width="14.7109375" style="11" hidden="1"/>
    <col min="16144" max="16384" width="25.85546875" style="11" hidden="1"/>
  </cols>
  <sheetData>
    <row r="2" spans="2:15" ht="15.75" x14ac:dyDescent="0.25">
      <c r="B2" s="65" t="s">
        <v>100</v>
      </c>
      <c r="O2" s="205" t="s">
        <v>195</v>
      </c>
    </row>
    <row r="4" spans="2:15" x14ac:dyDescent="0.2">
      <c r="B4" s="208" t="s">
        <v>82</v>
      </c>
      <c r="C4" s="208"/>
      <c r="D4" s="208"/>
      <c r="E4" s="208"/>
      <c r="F4" s="68"/>
      <c r="G4" s="68"/>
      <c r="H4" s="68"/>
      <c r="I4" s="68"/>
      <c r="J4" s="68"/>
      <c r="K4" s="208" t="s">
        <v>83</v>
      </c>
      <c r="L4" s="208"/>
      <c r="M4" s="208"/>
      <c r="N4" s="68"/>
    </row>
    <row r="5" spans="2:15" x14ac:dyDescent="0.2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2:15" x14ac:dyDescent="0.2">
      <c r="B6" s="70" t="s">
        <v>84</v>
      </c>
      <c r="C6" s="69"/>
      <c r="D6" s="69"/>
      <c r="E6" s="69"/>
      <c r="F6" s="69"/>
      <c r="G6" s="69"/>
      <c r="H6" s="69"/>
      <c r="I6" s="69"/>
      <c r="J6" s="69"/>
      <c r="K6" s="71" t="s">
        <v>85</v>
      </c>
      <c r="L6" s="71"/>
      <c r="M6" s="91">
        <v>5000000</v>
      </c>
      <c r="N6" s="72"/>
    </row>
    <row r="7" spans="2:15" x14ac:dyDescent="0.2">
      <c r="B7" s="70" t="s">
        <v>86</v>
      </c>
      <c r="C7" s="69"/>
      <c r="D7" s="69"/>
      <c r="E7" s="69"/>
      <c r="F7" s="69"/>
      <c r="G7" s="69"/>
      <c r="H7" s="69"/>
      <c r="I7" s="69"/>
      <c r="J7" s="69"/>
      <c r="K7" s="71" t="s">
        <v>87</v>
      </c>
      <c r="L7" s="71"/>
      <c r="M7" s="92">
        <v>6</v>
      </c>
      <c r="N7" s="73"/>
    </row>
    <row r="8" spans="2:15" x14ac:dyDescent="0.2">
      <c r="B8" s="70" t="s">
        <v>88</v>
      </c>
      <c r="C8" s="69"/>
      <c r="D8" s="69"/>
      <c r="E8" s="69"/>
      <c r="F8" s="69"/>
      <c r="G8" s="69"/>
      <c r="H8" s="69"/>
      <c r="I8" s="69"/>
      <c r="J8" s="69"/>
      <c r="K8" s="71" t="s">
        <v>89</v>
      </c>
      <c r="L8" s="71"/>
      <c r="M8" s="93">
        <v>0.22</v>
      </c>
      <c r="N8" s="74"/>
    </row>
    <row r="9" spans="2:15" x14ac:dyDescent="0.2">
      <c r="B9" s="70" t="s">
        <v>90</v>
      </c>
      <c r="C9" s="69"/>
      <c r="D9" s="69"/>
      <c r="E9" s="69"/>
      <c r="F9" s="69"/>
      <c r="G9" s="69"/>
      <c r="H9" s="69"/>
      <c r="I9" s="69"/>
      <c r="J9" s="69"/>
      <c r="K9" s="71" t="s">
        <v>91</v>
      </c>
      <c r="L9" s="71"/>
      <c r="M9" s="109">
        <f>PMT(M8,M7,M6)</f>
        <v>-1578822.1409016442</v>
      </c>
      <c r="N9" s="75"/>
      <c r="O9" s="110">
        <f>O27+M9</f>
        <v>-93822.140901644249</v>
      </c>
    </row>
    <row r="10" spans="2:15" x14ac:dyDescent="0.2"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</row>
    <row r="11" spans="2:15" x14ac:dyDescent="0.2">
      <c r="B11" s="208" t="s">
        <v>92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</row>
    <row r="12" spans="2:15" x14ac:dyDescent="0.2"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</row>
    <row r="13" spans="2:15" x14ac:dyDescent="0.2">
      <c r="B13" s="69"/>
      <c r="C13" s="69"/>
      <c r="D13" s="76"/>
      <c r="E13" s="77" t="s">
        <v>93</v>
      </c>
      <c r="F13" s="77"/>
      <c r="G13" s="77"/>
      <c r="H13" s="77"/>
      <c r="I13" s="77"/>
      <c r="J13" s="77"/>
      <c r="K13" s="68" t="s">
        <v>101</v>
      </c>
      <c r="L13" s="68"/>
      <c r="M13" s="68" t="s">
        <v>102</v>
      </c>
      <c r="N13" s="68"/>
      <c r="O13" s="68" t="s">
        <v>103</v>
      </c>
    </row>
    <row r="14" spans="2:15" x14ac:dyDescent="0.2">
      <c r="B14" s="71" t="s">
        <v>47</v>
      </c>
      <c r="C14" s="69"/>
      <c r="D14" s="69"/>
      <c r="E14" s="94">
        <v>10000</v>
      </c>
      <c r="F14" s="94"/>
      <c r="G14" s="94"/>
      <c r="H14" s="94"/>
      <c r="I14" s="94"/>
      <c r="J14" s="94"/>
      <c r="K14" s="94">
        <v>7500</v>
      </c>
      <c r="L14" s="94"/>
      <c r="M14" s="95">
        <v>20000</v>
      </c>
      <c r="N14" s="94"/>
      <c r="O14" s="96">
        <v>30000</v>
      </c>
    </row>
    <row r="15" spans="2:15" ht="13.5" thickBot="1" x14ac:dyDescent="0.25">
      <c r="B15" s="71" t="s">
        <v>48</v>
      </c>
      <c r="C15" s="69"/>
      <c r="D15" s="69"/>
      <c r="E15" s="97">
        <v>175</v>
      </c>
      <c r="F15" s="94"/>
      <c r="G15" s="94"/>
      <c r="H15" s="94"/>
      <c r="I15" s="94"/>
      <c r="J15" s="94"/>
      <c r="K15" s="97">
        <v>175</v>
      </c>
      <c r="L15" s="97"/>
      <c r="M15" s="97">
        <v>250</v>
      </c>
      <c r="N15" s="97"/>
      <c r="O15" s="97">
        <v>202</v>
      </c>
    </row>
    <row r="16" spans="2:15" x14ac:dyDescent="0.2">
      <c r="B16" s="79" t="s">
        <v>96</v>
      </c>
      <c r="C16" s="69"/>
      <c r="D16" s="69"/>
      <c r="E16" s="72">
        <f>E14*E15</f>
        <v>1750000</v>
      </c>
      <c r="F16" s="72"/>
      <c r="G16" s="72"/>
      <c r="H16" s="72"/>
      <c r="I16" s="72"/>
      <c r="J16" s="72"/>
      <c r="K16" s="72">
        <f>K14*K15</f>
        <v>1312500</v>
      </c>
      <c r="L16" s="72"/>
      <c r="M16" s="72">
        <f>M14*M15</f>
        <v>5000000</v>
      </c>
      <c r="N16" s="72"/>
      <c r="O16" s="72">
        <f>O14*O15</f>
        <v>6060000</v>
      </c>
    </row>
    <row r="17" spans="2:15" x14ac:dyDescent="0.2">
      <c r="B17" s="79" t="s">
        <v>53</v>
      </c>
      <c r="C17" s="69"/>
      <c r="D17" s="98">
        <v>-118</v>
      </c>
      <c r="E17" s="81">
        <f>E14*$D$17</f>
        <v>-1180000</v>
      </c>
      <c r="F17" s="72"/>
      <c r="G17" s="72"/>
      <c r="H17" s="72"/>
      <c r="I17" s="72"/>
      <c r="J17" s="72"/>
      <c r="K17" s="81">
        <f>K14*$D$17</f>
        <v>-885000</v>
      </c>
      <c r="L17" s="81"/>
      <c r="M17" s="81">
        <f>M14*$D$17</f>
        <v>-2360000</v>
      </c>
      <c r="N17" s="81"/>
      <c r="O17" s="81">
        <f>O14*$D$17</f>
        <v>-3540000</v>
      </c>
    </row>
    <row r="18" spans="2:15" x14ac:dyDescent="0.2">
      <c r="B18" s="82" t="s">
        <v>54</v>
      </c>
      <c r="C18" s="69"/>
      <c r="D18" s="83"/>
      <c r="E18" s="72">
        <f>SUM(E16:E17)</f>
        <v>570000</v>
      </c>
      <c r="F18" s="72"/>
      <c r="G18" s="72"/>
      <c r="H18" s="72"/>
      <c r="I18" s="72"/>
      <c r="J18" s="72"/>
      <c r="K18" s="72">
        <f>SUM(K16:K17)</f>
        <v>427500</v>
      </c>
      <c r="L18" s="72"/>
      <c r="M18" s="72">
        <f>SUM(M16:M17)</f>
        <v>2640000</v>
      </c>
      <c r="N18" s="72"/>
      <c r="O18" s="72">
        <f>SUM(O16:O17)</f>
        <v>2520000</v>
      </c>
    </row>
    <row r="19" spans="2:15" ht="13.5" thickBot="1" x14ac:dyDescent="0.25">
      <c r="B19" s="79" t="s">
        <v>55</v>
      </c>
      <c r="C19" s="69"/>
      <c r="D19" s="69"/>
      <c r="E19" s="97">
        <v>-600000</v>
      </c>
      <c r="F19" s="94"/>
      <c r="G19" s="94"/>
      <c r="H19" s="94"/>
      <c r="I19" s="94"/>
      <c r="J19" s="94"/>
      <c r="K19" s="97">
        <v>-600000</v>
      </c>
      <c r="L19" s="97"/>
      <c r="M19" s="97">
        <v>-600000</v>
      </c>
      <c r="N19" s="97"/>
      <c r="O19" s="97">
        <v>-540000</v>
      </c>
    </row>
    <row r="20" spans="2:15" x14ac:dyDescent="0.2">
      <c r="B20" s="79" t="s">
        <v>97</v>
      </c>
      <c r="C20" s="71"/>
      <c r="D20" s="71"/>
      <c r="E20" s="85">
        <f>SUM(E18:E19)</f>
        <v>-30000</v>
      </c>
      <c r="F20" s="107"/>
      <c r="G20" s="107"/>
      <c r="H20" s="107"/>
      <c r="I20" s="107"/>
      <c r="J20" s="107"/>
      <c r="K20" s="85">
        <f>SUM(K18:K19)</f>
        <v>-172500</v>
      </c>
      <c r="L20" s="85"/>
      <c r="M20" s="85">
        <f>SUM(M18:M19)</f>
        <v>2040000</v>
      </c>
      <c r="N20" s="85"/>
      <c r="O20" s="85">
        <f>SUM(O18:O19)</f>
        <v>1980000</v>
      </c>
    </row>
    <row r="21" spans="2:15" ht="13.5" thickBot="1" x14ac:dyDescent="0.25">
      <c r="B21" s="71" t="s">
        <v>57</v>
      </c>
      <c r="C21" s="69"/>
      <c r="D21" s="69"/>
      <c r="E21" s="84">
        <v>-1000000</v>
      </c>
      <c r="F21" s="107"/>
      <c r="G21" s="107"/>
      <c r="H21" s="107"/>
      <c r="I21" s="107"/>
      <c r="J21" s="107"/>
      <c r="K21" s="84">
        <v>-1000000</v>
      </c>
      <c r="L21" s="84"/>
      <c r="M21" s="84">
        <v>-1000000</v>
      </c>
      <c r="N21" s="84"/>
      <c r="O21" s="84"/>
    </row>
    <row r="22" spans="2:15" x14ac:dyDescent="0.2">
      <c r="B22" s="82" t="s">
        <v>58</v>
      </c>
      <c r="C22" s="71"/>
      <c r="D22" s="71"/>
      <c r="E22" s="85">
        <f>SUM(E20:E21)</f>
        <v>-1030000</v>
      </c>
      <c r="F22" s="107"/>
      <c r="G22" s="107"/>
      <c r="H22" s="107"/>
      <c r="I22" s="107"/>
      <c r="J22" s="107"/>
      <c r="K22" s="85">
        <f>SUM(K20:K21)</f>
        <v>-1172500</v>
      </c>
      <c r="L22" s="85"/>
      <c r="M22" s="85">
        <f>SUM(M20:M21)</f>
        <v>1040000</v>
      </c>
      <c r="N22" s="85"/>
      <c r="O22" s="85">
        <f>SUM(O20:O21)</f>
        <v>1980000</v>
      </c>
    </row>
    <row r="23" spans="2:15" ht="13.5" thickBot="1" x14ac:dyDescent="0.25">
      <c r="B23" s="82" t="s">
        <v>59</v>
      </c>
      <c r="C23" s="69"/>
      <c r="D23" s="74">
        <v>0.25</v>
      </c>
      <c r="E23" s="84">
        <f>IF(E22&gt;0,-E22*$D$23,0)</f>
        <v>0</v>
      </c>
      <c r="F23" s="107"/>
      <c r="G23" s="107"/>
      <c r="H23" s="107"/>
      <c r="I23" s="107"/>
      <c r="J23" s="107"/>
      <c r="K23" s="84">
        <f>IF(K22&gt;0,-K22*$D$23,0)</f>
        <v>0</v>
      </c>
      <c r="L23" s="84"/>
      <c r="M23" s="84">
        <f>IF(M22&gt;0,-M22*$D$23,0)</f>
        <v>-260000</v>
      </c>
      <c r="N23" s="84"/>
      <c r="O23" s="84">
        <f>IF(O22&gt;0,-O22*$D$23,0)</f>
        <v>-495000</v>
      </c>
    </row>
    <row r="24" spans="2:15" x14ac:dyDescent="0.2">
      <c r="B24" s="71" t="s">
        <v>98</v>
      </c>
      <c r="C24" s="71"/>
      <c r="D24" s="71"/>
      <c r="E24" s="85">
        <f>SUM(E22:E23)</f>
        <v>-1030000</v>
      </c>
      <c r="F24" s="107"/>
      <c r="G24" s="107"/>
      <c r="H24" s="107"/>
      <c r="I24" s="107"/>
      <c r="J24" s="107"/>
      <c r="K24" s="85">
        <f>SUM(K22:K23)</f>
        <v>-1172500</v>
      </c>
      <c r="L24" s="85"/>
      <c r="M24" s="85">
        <f>SUM(M22:M23)</f>
        <v>780000</v>
      </c>
      <c r="N24" s="85"/>
      <c r="O24" s="85">
        <f>SUM(O22:O23)</f>
        <v>1485000</v>
      </c>
    </row>
    <row r="25" spans="2:15" x14ac:dyDescent="0.2">
      <c r="B25" s="71"/>
      <c r="C25" s="69"/>
      <c r="D25" s="69"/>
      <c r="E25" s="108"/>
      <c r="F25" s="107"/>
      <c r="G25" s="107"/>
      <c r="H25" s="107"/>
      <c r="I25" s="107"/>
      <c r="J25" s="107"/>
      <c r="K25" s="107"/>
      <c r="L25" s="107"/>
      <c r="M25" s="107"/>
      <c r="N25" s="107"/>
      <c r="O25" s="107"/>
    </row>
    <row r="26" spans="2:15" ht="13.5" thickBot="1" x14ac:dyDescent="0.25">
      <c r="B26" s="99" t="s">
        <v>61</v>
      </c>
      <c r="C26" s="100"/>
      <c r="D26" s="101"/>
      <c r="E26" s="84">
        <f>-E21</f>
        <v>1000000</v>
      </c>
      <c r="F26" s="107"/>
      <c r="G26" s="107"/>
      <c r="H26" s="107"/>
      <c r="I26" s="107"/>
      <c r="J26" s="107"/>
      <c r="K26" s="84">
        <f>-K21</f>
        <v>1000000</v>
      </c>
      <c r="L26" s="84"/>
      <c r="M26" s="84">
        <f>-M21</f>
        <v>1000000</v>
      </c>
      <c r="N26" s="84"/>
      <c r="O26" s="84">
        <f>-O21</f>
        <v>0</v>
      </c>
    </row>
    <row r="27" spans="2:15" x14ac:dyDescent="0.2">
      <c r="B27" s="102" t="s">
        <v>99</v>
      </c>
      <c r="C27" s="99"/>
      <c r="D27" s="103"/>
      <c r="E27" s="105">
        <f>E24+E26</f>
        <v>-30000</v>
      </c>
      <c r="F27" s="72"/>
      <c r="G27" s="72"/>
      <c r="H27" s="72"/>
      <c r="I27" s="72"/>
      <c r="J27" s="72"/>
      <c r="K27" s="105">
        <f>K24+K26</f>
        <v>-172500</v>
      </c>
      <c r="L27" s="86"/>
      <c r="M27" s="105">
        <f>M24+M26</f>
        <v>1780000</v>
      </c>
      <c r="N27" s="86"/>
      <c r="O27" s="106">
        <f>O24+O26</f>
        <v>1485000</v>
      </c>
    </row>
    <row r="28" spans="2:15" x14ac:dyDescent="0.2">
      <c r="B28" s="104"/>
      <c r="C28" s="104"/>
      <c r="D28" s="101"/>
      <c r="E28" s="76"/>
      <c r="F28" s="72"/>
      <c r="G28" s="72"/>
      <c r="H28" s="72"/>
      <c r="I28" s="72"/>
      <c r="J28" s="72"/>
      <c r="K28" s="69"/>
      <c r="L28" s="69"/>
    </row>
    <row r="29" spans="2:15" x14ac:dyDescent="0.2">
      <c r="F29" s="72"/>
      <c r="G29" s="72"/>
      <c r="H29" s="72"/>
      <c r="I29" s="72"/>
      <c r="J29" s="72"/>
    </row>
    <row r="30" spans="2:15" x14ac:dyDescent="0.2">
      <c r="B30" s="69"/>
      <c r="C30" s="69"/>
      <c r="D30" s="76"/>
      <c r="E30" s="77" t="str">
        <f>E13</f>
        <v>EMPRESA TESTE</v>
      </c>
      <c r="F30" s="72"/>
      <c r="G30" s="72"/>
      <c r="H30" s="72"/>
      <c r="I30" s="72"/>
      <c r="J30" s="72"/>
      <c r="K30" s="88" t="s">
        <v>94</v>
      </c>
      <c r="M30" s="88" t="s">
        <v>95</v>
      </c>
    </row>
    <row r="31" spans="2:15" x14ac:dyDescent="0.2">
      <c r="B31" s="71" t="s">
        <v>47</v>
      </c>
      <c r="C31" s="69"/>
      <c r="D31" s="69"/>
      <c r="E31" s="72">
        <v>10000</v>
      </c>
      <c r="F31" s="72"/>
      <c r="G31" s="72"/>
      <c r="H31" s="72"/>
      <c r="I31" s="72"/>
      <c r="J31" s="72"/>
      <c r="K31" s="24">
        <v>7500</v>
      </c>
      <c r="M31" s="24">
        <v>20001</v>
      </c>
    </row>
    <row r="32" spans="2:15" ht="13.5" thickBot="1" x14ac:dyDescent="0.25">
      <c r="B32" s="71" t="s">
        <v>48</v>
      </c>
      <c r="C32" s="69"/>
      <c r="D32" s="69"/>
      <c r="E32" s="78">
        <v>200</v>
      </c>
      <c r="F32" s="72"/>
      <c r="G32" s="72"/>
      <c r="H32" s="72"/>
      <c r="I32" s="72"/>
      <c r="J32" s="72"/>
      <c r="K32" s="78">
        <v>200</v>
      </c>
      <c r="M32" s="78">
        <v>200</v>
      </c>
    </row>
    <row r="33" spans="2:13" x14ac:dyDescent="0.2">
      <c r="B33" s="79" t="s">
        <v>96</v>
      </c>
      <c r="C33" s="69"/>
      <c r="D33" s="69"/>
      <c r="E33" s="72">
        <f>+E31*E32</f>
        <v>2000000</v>
      </c>
      <c r="F33" s="72"/>
      <c r="G33" s="72"/>
      <c r="H33" s="72"/>
      <c r="I33" s="72"/>
      <c r="J33" s="72"/>
      <c r="K33" s="72">
        <f>+K31*K32</f>
        <v>1500000</v>
      </c>
      <c r="M33" s="72">
        <f>+M31*M32</f>
        <v>4000200</v>
      </c>
    </row>
    <row r="34" spans="2:13" x14ac:dyDescent="0.2">
      <c r="B34" s="79" t="s">
        <v>53</v>
      </c>
      <c r="C34" s="69"/>
      <c r="D34" s="80">
        <v>-120</v>
      </c>
      <c r="E34" s="81">
        <f>+E31*D34</f>
        <v>-1200000</v>
      </c>
      <c r="F34" s="72"/>
      <c r="G34" s="72"/>
      <c r="H34" s="72"/>
      <c r="I34" s="72"/>
      <c r="J34" s="72"/>
      <c r="K34" s="81">
        <f>+K31*D34</f>
        <v>-900000</v>
      </c>
      <c r="M34" s="81">
        <f>+M31*D34</f>
        <v>-2400120</v>
      </c>
    </row>
    <row r="35" spans="2:13" x14ac:dyDescent="0.2">
      <c r="B35" s="82" t="s">
        <v>54</v>
      </c>
      <c r="C35" s="69"/>
      <c r="D35" s="83"/>
      <c r="E35" s="72">
        <f>SUM(E33:E34)</f>
        <v>800000</v>
      </c>
      <c r="F35" s="72"/>
      <c r="G35" s="72"/>
      <c r="H35" s="72"/>
      <c r="I35" s="72"/>
      <c r="J35" s="72"/>
      <c r="K35" s="72">
        <f>SUM(K33:K34)</f>
        <v>600000</v>
      </c>
      <c r="M35" s="72">
        <f>SUM(M33:M34)</f>
        <v>1600080</v>
      </c>
    </row>
    <row r="36" spans="2:13" ht="13.5" thickBot="1" x14ac:dyDescent="0.25">
      <c r="B36" s="79" t="s">
        <v>55</v>
      </c>
      <c r="C36" s="69"/>
      <c r="D36" s="69"/>
      <c r="E36" s="84">
        <v>-600000</v>
      </c>
      <c r="F36" s="72"/>
      <c r="G36" s="72"/>
      <c r="H36" s="72"/>
      <c r="I36" s="72"/>
      <c r="J36" s="72"/>
      <c r="K36" s="84">
        <v>-600000</v>
      </c>
      <c r="M36" s="84">
        <v>-600000</v>
      </c>
    </row>
    <row r="37" spans="2:13" x14ac:dyDescent="0.2">
      <c r="B37" s="79" t="s">
        <v>97</v>
      </c>
      <c r="C37" s="71"/>
      <c r="D37" s="71"/>
      <c r="E37" s="89">
        <f>SUM(E35:E36)</f>
        <v>200000</v>
      </c>
      <c r="F37" s="72"/>
      <c r="G37" s="72"/>
      <c r="H37" s="72"/>
      <c r="I37" s="72"/>
      <c r="J37" s="72"/>
      <c r="K37" s="89">
        <f>SUM(K35:K36)</f>
        <v>0</v>
      </c>
      <c r="M37" s="89">
        <f>SUM(M35:M36)</f>
        <v>1000080</v>
      </c>
    </row>
    <row r="38" spans="2:13" ht="13.5" thickBot="1" x14ac:dyDescent="0.25">
      <c r="B38" s="71" t="s">
        <v>57</v>
      </c>
      <c r="C38" s="69"/>
      <c r="D38" s="69"/>
      <c r="E38" s="78">
        <v>-1000000</v>
      </c>
      <c r="F38" s="72"/>
      <c r="G38" s="72"/>
      <c r="H38" s="72"/>
      <c r="I38" s="72"/>
      <c r="J38" s="72"/>
      <c r="K38" s="78">
        <v>-1000000</v>
      </c>
      <c r="M38" s="78">
        <v>-1000000</v>
      </c>
    </row>
    <row r="39" spans="2:13" x14ac:dyDescent="0.2">
      <c r="B39" s="82" t="s">
        <v>58</v>
      </c>
      <c r="C39" s="71"/>
      <c r="D39" s="71"/>
      <c r="E39" s="86">
        <f>SUM(E37:E38)</f>
        <v>-800000</v>
      </c>
      <c r="F39" s="72"/>
      <c r="G39" s="72"/>
      <c r="H39" s="72"/>
      <c r="I39" s="72"/>
      <c r="J39" s="72"/>
      <c r="K39" s="86">
        <f>SUM(K37:K38)</f>
        <v>-1000000</v>
      </c>
      <c r="M39" s="86">
        <f>SUM(M37:M38)</f>
        <v>80</v>
      </c>
    </row>
    <row r="40" spans="2:13" ht="13.5" thickBot="1" x14ac:dyDescent="0.25">
      <c r="B40" s="82" t="s">
        <v>59</v>
      </c>
      <c r="C40" s="69"/>
      <c r="D40" s="74">
        <v>0.25</v>
      </c>
      <c r="E40" s="78"/>
      <c r="F40" s="72"/>
      <c r="G40" s="72"/>
      <c r="H40" s="72"/>
      <c r="I40" s="72"/>
      <c r="J40" s="72"/>
      <c r="K40" s="78"/>
      <c r="M40" s="78"/>
    </row>
    <row r="41" spans="2:13" x14ac:dyDescent="0.2">
      <c r="B41" s="71" t="s">
        <v>98</v>
      </c>
      <c r="C41" s="71"/>
      <c r="D41" s="71"/>
      <c r="E41" s="86">
        <f>SUM(E39:E40)</f>
        <v>-800000</v>
      </c>
      <c r="F41" s="72"/>
      <c r="G41" s="72"/>
      <c r="H41" s="72"/>
      <c r="I41" s="72"/>
      <c r="J41" s="72"/>
      <c r="K41" s="86">
        <f>SUM(K39:K40)</f>
        <v>-1000000</v>
      </c>
      <c r="M41" s="86">
        <f>SUM(M39:M40)</f>
        <v>80</v>
      </c>
    </row>
    <row r="42" spans="2:13" x14ac:dyDescent="0.2">
      <c r="B42" s="71"/>
      <c r="C42" s="69"/>
      <c r="D42" s="69"/>
      <c r="E42" s="87"/>
      <c r="K42" s="87"/>
      <c r="M42" s="87"/>
    </row>
    <row r="43" spans="2:13" ht="13.5" thickBot="1" x14ac:dyDescent="0.25">
      <c r="B43" s="71" t="s">
        <v>61</v>
      </c>
      <c r="C43" s="69"/>
      <c r="D43" s="76"/>
      <c r="E43" s="78">
        <v>1000000</v>
      </c>
      <c r="K43" s="78">
        <v>1000000</v>
      </c>
      <c r="M43" s="78">
        <v>1000000</v>
      </c>
    </row>
    <row r="44" spans="2:13" x14ac:dyDescent="0.2">
      <c r="B44" s="79" t="s">
        <v>99</v>
      </c>
      <c r="C44" s="71"/>
      <c r="D44" s="90"/>
      <c r="E44" s="86">
        <f>SUM(E41:E43)</f>
        <v>200000</v>
      </c>
      <c r="K44" s="86">
        <f>SUM(K41:K43)</f>
        <v>0</v>
      </c>
      <c r="M44" s="86">
        <f>SUM(M41:M43)</f>
        <v>1000080</v>
      </c>
    </row>
  </sheetData>
  <mergeCells count="3">
    <mergeCell ref="B4:E4"/>
    <mergeCell ref="K4:M4"/>
    <mergeCell ref="B11:O11"/>
  </mergeCells>
  <hyperlinks>
    <hyperlink ref="O2" location="GIN!A1" display="MENU" xr:uid="{3296E934-FCAC-4B5D-B105-74FE309238FE}"/>
  </hyperlinks>
  <pageMargins left="0.511811024" right="0.511811024" top="0.78740157499999996" bottom="0.78740157499999996" header="0.31496062000000002" footer="0.31496062000000002"/>
  <ignoredErrors>
    <ignoredError sqref="E2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575F-EE5F-4611-B2EE-A73F64DCAC31}">
  <dimension ref="A1:L39"/>
  <sheetViews>
    <sheetView workbookViewId="0">
      <selection activeCell="J1" sqref="J1"/>
    </sheetView>
  </sheetViews>
  <sheetFormatPr defaultColWidth="0" defaultRowHeight="12.75" x14ac:dyDescent="0.2"/>
  <cols>
    <col min="1" max="1" width="4.28515625" style="11" customWidth="1"/>
    <col min="2" max="4" width="9.140625" style="11" customWidth="1"/>
    <col min="5" max="5" width="16" style="11" bestFit="1" customWidth="1"/>
    <col min="6" max="6" width="9.140625" style="11" customWidth="1"/>
    <col min="7" max="7" width="34.42578125" style="11" customWidth="1"/>
    <col min="8" max="8" width="11.5703125" style="11" bestFit="1" customWidth="1"/>
    <col min="9" max="10" width="9.140625" style="11" customWidth="1"/>
    <col min="11" max="11" width="9.28515625" style="11" customWidth="1"/>
    <col min="12" max="12" width="9" style="11" hidden="1" customWidth="1"/>
    <col min="13" max="16384" width="9.140625" style="11" hidden="1"/>
  </cols>
  <sheetData>
    <row r="1" spans="2:10" ht="15.75" x14ac:dyDescent="0.25">
      <c r="B1" s="65" t="s">
        <v>123</v>
      </c>
      <c r="J1" s="205" t="s">
        <v>195</v>
      </c>
    </row>
    <row r="2" spans="2:10" x14ac:dyDescent="0.2">
      <c r="B2" s="64"/>
    </row>
    <row r="3" spans="2:10" x14ac:dyDescent="0.2">
      <c r="B3" s="63" t="s">
        <v>124</v>
      </c>
    </row>
    <row r="4" spans="2:10" x14ac:dyDescent="0.2">
      <c r="B4" s="63" t="s">
        <v>125</v>
      </c>
    </row>
    <row r="5" spans="2:10" x14ac:dyDescent="0.2">
      <c r="B5" s="63" t="s">
        <v>126</v>
      </c>
    </row>
    <row r="7" spans="2:10" x14ac:dyDescent="0.2">
      <c r="B7" s="63" t="s">
        <v>104</v>
      </c>
      <c r="E7" s="24">
        <v>300000</v>
      </c>
    </row>
    <row r="8" spans="2:10" x14ac:dyDescent="0.2">
      <c r="B8" s="63" t="s">
        <v>105</v>
      </c>
      <c r="E8" s="193">
        <v>0.5</v>
      </c>
      <c r="F8" s="11" t="s">
        <v>106</v>
      </c>
    </row>
    <row r="9" spans="2:10" x14ac:dyDescent="0.2">
      <c r="B9" s="63" t="s">
        <v>107</v>
      </c>
      <c r="E9" s="24">
        <v>1200000</v>
      </c>
    </row>
    <row r="11" spans="2:10" x14ac:dyDescent="0.2">
      <c r="B11" s="63" t="s">
        <v>127</v>
      </c>
    </row>
    <row r="13" spans="2:10" x14ac:dyDescent="0.2">
      <c r="B13" s="194" t="s">
        <v>128</v>
      </c>
    </row>
    <row r="15" spans="2:10" x14ac:dyDescent="0.2">
      <c r="B15" s="11" t="s">
        <v>108</v>
      </c>
    </row>
    <row r="16" spans="2:10" x14ac:dyDescent="0.2">
      <c r="B16" s="11" t="s">
        <v>109</v>
      </c>
      <c r="D16" s="11">
        <v>360</v>
      </c>
      <c r="E16" s="11">
        <f>+D16/30</f>
        <v>12</v>
      </c>
      <c r="F16" s="195" t="s">
        <v>110</v>
      </c>
      <c r="G16" s="196"/>
      <c r="H16" s="196"/>
    </row>
    <row r="17" spans="2:8" x14ac:dyDescent="0.2">
      <c r="B17" s="197" t="s">
        <v>111</v>
      </c>
      <c r="C17" s="197"/>
      <c r="D17" s="197"/>
      <c r="E17" s="66">
        <f>1/12*E9</f>
        <v>100000</v>
      </c>
      <c r="F17" s="195" t="s">
        <v>112</v>
      </c>
      <c r="G17" s="196"/>
      <c r="H17" s="196"/>
    </row>
    <row r="18" spans="2:8" x14ac:dyDescent="0.2">
      <c r="F18" s="195"/>
      <c r="G18" s="196"/>
      <c r="H18" s="196"/>
    </row>
    <row r="19" spans="2:8" x14ac:dyDescent="0.2">
      <c r="B19" s="11" t="s">
        <v>113</v>
      </c>
      <c r="F19" s="195"/>
      <c r="G19" s="196"/>
      <c r="H19" s="196"/>
    </row>
    <row r="20" spans="2:8" x14ac:dyDescent="0.2">
      <c r="B20" s="11" t="s">
        <v>114</v>
      </c>
      <c r="D20" s="11">
        <v>360</v>
      </c>
      <c r="E20" s="11">
        <v>45</v>
      </c>
      <c r="F20" s="195">
        <f>+D20/E20</f>
        <v>8</v>
      </c>
      <c r="G20" s="196"/>
      <c r="H20" s="196"/>
    </row>
    <row r="21" spans="2:8" x14ac:dyDescent="0.2">
      <c r="B21" s="197" t="s">
        <v>111</v>
      </c>
      <c r="C21" s="197"/>
      <c r="D21" s="197"/>
      <c r="E21" s="198">
        <f>1/F20*E9</f>
        <v>150000</v>
      </c>
      <c r="F21" s="195" t="s">
        <v>115</v>
      </c>
      <c r="G21" s="196"/>
      <c r="H21" s="196"/>
    </row>
    <row r="22" spans="2:8" x14ac:dyDescent="0.2">
      <c r="F22" s="195"/>
      <c r="G22" s="196"/>
      <c r="H22" s="196"/>
    </row>
    <row r="23" spans="2:8" x14ac:dyDescent="0.2">
      <c r="B23" s="11" t="s">
        <v>116</v>
      </c>
      <c r="F23" s="195"/>
      <c r="G23" s="196"/>
      <c r="H23" s="196"/>
    </row>
    <row r="24" spans="2:8" x14ac:dyDescent="0.2">
      <c r="B24" s="11" t="s">
        <v>117</v>
      </c>
      <c r="D24" s="11">
        <v>360</v>
      </c>
      <c r="E24" s="11">
        <v>30</v>
      </c>
      <c r="F24" s="195">
        <f>+D24/E24</f>
        <v>12</v>
      </c>
      <c r="G24" s="196"/>
      <c r="H24" s="196"/>
    </row>
    <row r="25" spans="2:8" x14ac:dyDescent="0.2">
      <c r="B25" s="197" t="s">
        <v>111</v>
      </c>
      <c r="C25" s="197"/>
      <c r="D25" s="197"/>
      <c r="E25" s="198">
        <f>(1/F24)*E9*0.5</f>
        <v>50000</v>
      </c>
      <c r="F25" s="195" t="s">
        <v>118</v>
      </c>
      <c r="G25" s="196"/>
      <c r="H25" s="196"/>
    </row>
    <row r="26" spans="2:8" x14ac:dyDescent="0.2">
      <c r="F26" s="63"/>
      <c r="G26" s="11" t="s">
        <v>119</v>
      </c>
    </row>
    <row r="27" spans="2:8" x14ac:dyDescent="0.2">
      <c r="B27" s="11" t="s">
        <v>108</v>
      </c>
      <c r="E27" s="199">
        <f>E17</f>
        <v>100000</v>
      </c>
      <c r="F27" s="63"/>
    </row>
    <row r="28" spans="2:8" x14ac:dyDescent="0.2">
      <c r="B28" s="11" t="s">
        <v>113</v>
      </c>
      <c r="E28" s="199">
        <f>E21</f>
        <v>150000</v>
      </c>
      <c r="F28" s="63"/>
    </row>
    <row r="29" spans="2:8" x14ac:dyDescent="0.2">
      <c r="B29" s="11" t="s">
        <v>116</v>
      </c>
      <c r="E29" s="199">
        <f>E25</f>
        <v>50000</v>
      </c>
      <c r="F29" s="63"/>
    </row>
    <row r="30" spans="2:8" x14ac:dyDescent="0.2">
      <c r="B30" s="200" t="s">
        <v>120</v>
      </c>
      <c r="C30" s="200"/>
      <c r="D30" s="200"/>
      <c r="E30" s="201">
        <f>+E29+E28+E27</f>
        <v>300000</v>
      </c>
      <c r="F30" s="63"/>
    </row>
    <row r="31" spans="2:8" x14ac:dyDescent="0.2">
      <c r="B31" s="63" t="s">
        <v>121</v>
      </c>
      <c r="C31" s="63"/>
      <c r="D31" s="63"/>
      <c r="E31" s="202">
        <v>300000</v>
      </c>
      <c r="F31" s="63"/>
    </row>
    <row r="32" spans="2:8" ht="13.5" thickBot="1" x14ac:dyDescent="0.25">
      <c r="B32" s="203" t="s">
        <v>122</v>
      </c>
      <c r="C32" s="203"/>
      <c r="D32" s="203"/>
      <c r="E32" s="204">
        <f>+E31+E30</f>
        <v>600000</v>
      </c>
      <c r="F32" s="63"/>
      <c r="H32" s="14"/>
    </row>
    <row r="33" spans="2:8" ht="13.5" thickTop="1" x14ac:dyDescent="0.2">
      <c r="H33" s="14"/>
    </row>
    <row r="34" spans="2:8" x14ac:dyDescent="0.2">
      <c r="B34" s="63"/>
    </row>
    <row r="35" spans="2:8" x14ac:dyDescent="0.2">
      <c r="B35" s="63"/>
    </row>
    <row r="36" spans="2:8" x14ac:dyDescent="0.2">
      <c r="B36" s="63"/>
    </row>
    <row r="37" spans="2:8" x14ac:dyDescent="0.2">
      <c r="B37" s="63"/>
    </row>
    <row r="38" spans="2:8" x14ac:dyDescent="0.2">
      <c r="B38" s="63"/>
    </row>
    <row r="39" spans="2:8" x14ac:dyDescent="0.2">
      <c r="B39" s="63"/>
    </row>
  </sheetData>
  <hyperlinks>
    <hyperlink ref="J1" location="GIN!A1" display="MENU" xr:uid="{5555C1E3-FEAD-410F-B387-05B1C212A51A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C30-0420-499E-8206-9D23EF8AC0EF}">
  <sheetPr>
    <pageSetUpPr fitToPage="1"/>
  </sheetPr>
  <dimension ref="B1:H32"/>
  <sheetViews>
    <sheetView showGridLines="0" zoomScale="85" zoomScaleNormal="85" zoomScaleSheetLayoutView="100" workbookViewId="0">
      <selection activeCell="H5" sqref="H5"/>
    </sheetView>
  </sheetViews>
  <sheetFormatPr defaultRowHeight="15" x14ac:dyDescent="0.2"/>
  <cols>
    <col min="1" max="1" width="3" style="114" customWidth="1"/>
    <col min="2" max="2" width="43.5703125" style="114" customWidth="1"/>
    <col min="3" max="3" width="40.7109375" style="114" customWidth="1"/>
    <col min="4" max="6" width="15.7109375" style="114" customWidth="1"/>
    <col min="7" max="251" width="9.140625" style="114"/>
    <col min="252" max="253" width="40.7109375" style="114" customWidth="1"/>
    <col min="254" max="256" width="15.7109375" style="114" customWidth="1"/>
    <col min="257" max="507" width="9.140625" style="114"/>
    <col min="508" max="509" width="40.7109375" style="114" customWidth="1"/>
    <col min="510" max="512" width="15.7109375" style="114" customWidth="1"/>
    <col min="513" max="763" width="9.140625" style="114"/>
    <col min="764" max="765" width="40.7109375" style="114" customWidth="1"/>
    <col min="766" max="768" width="15.7109375" style="114" customWidth="1"/>
    <col min="769" max="1019" width="9.140625" style="114"/>
    <col min="1020" max="1021" width="40.7109375" style="114" customWidth="1"/>
    <col min="1022" max="1024" width="15.7109375" style="114" customWidth="1"/>
    <col min="1025" max="1275" width="9.140625" style="114"/>
    <col min="1276" max="1277" width="40.7109375" style="114" customWidth="1"/>
    <col min="1278" max="1280" width="15.7109375" style="114" customWidth="1"/>
    <col min="1281" max="1531" width="9.140625" style="114"/>
    <col min="1532" max="1533" width="40.7109375" style="114" customWidth="1"/>
    <col min="1534" max="1536" width="15.7109375" style="114" customWidth="1"/>
    <col min="1537" max="1787" width="9.140625" style="114"/>
    <col min="1788" max="1789" width="40.7109375" style="114" customWidth="1"/>
    <col min="1790" max="1792" width="15.7109375" style="114" customWidth="1"/>
    <col min="1793" max="2043" width="9.140625" style="114"/>
    <col min="2044" max="2045" width="40.7109375" style="114" customWidth="1"/>
    <col min="2046" max="2048" width="15.7109375" style="114" customWidth="1"/>
    <col min="2049" max="2299" width="9.140625" style="114"/>
    <col min="2300" max="2301" width="40.7109375" style="114" customWidth="1"/>
    <col min="2302" max="2304" width="15.7109375" style="114" customWidth="1"/>
    <col min="2305" max="2555" width="9.140625" style="114"/>
    <col min="2556" max="2557" width="40.7109375" style="114" customWidth="1"/>
    <col min="2558" max="2560" width="15.7109375" style="114" customWidth="1"/>
    <col min="2561" max="2811" width="9.140625" style="114"/>
    <col min="2812" max="2813" width="40.7109375" style="114" customWidth="1"/>
    <col min="2814" max="2816" width="15.7109375" style="114" customWidth="1"/>
    <col min="2817" max="3067" width="9.140625" style="114"/>
    <col min="3068" max="3069" width="40.7109375" style="114" customWidth="1"/>
    <col min="3070" max="3072" width="15.7109375" style="114" customWidth="1"/>
    <col min="3073" max="3323" width="9.140625" style="114"/>
    <col min="3324" max="3325" width="40.7109375" style="114" customWidth="1"/>
    <col min="3326" max="3328" width="15.7109375" style="114" customWidth="1"/>
    <col min="3329" max="3579" width="9.140625" style="114"/>
    <col min="3580" max="3581" width="40.7109375" style="114" customWidth="1"/>
    <col min="3582" max="3584" width="15.7109375" style="114" customWidth="1"/>
    <col min="3585" max="3835" width="9.140625" style="114"/>
    <col min="3836" max="3837" width="40.7109375" style="114" customWidth="1"/>
    <col min="3838" max="3840" width="15.7109375" style="114" customWidth="1"/>
    <col min="3841" max="4091" width="9.140625" style="114"/>
    <col min="4092" max="4093" width="40.7109375" style="114" customWidth="1"/>
    <col min="4094" max="4096" width="15.7109375" style="114" customWidth="1"/>
    <col min="4097" max="4347" width="9.140625" style="114"/>
    <col min="4348" max="4349" width="40.7109375" style="114" customWidth="1"/>
    <col min="4350" max="4352" width="15.7109375" style="114" customWidth="1"/>
    <col min="4353" max="4603" width="9.140625" style="114"/>
    <col min="4604" max="4605" width="40.7109375" style="114" customWidth="1"/>
    <col min="4606" max="4608" width="15.7109375" style="114" customWidth="1"/>
    <col min="4609" max="4859" width="9.140625" style="114"/>
    <col min="4860" max="4861" width="40.7109375" style="114" customWidth="1"/>
    <col min="4862" max="4864" width="15.7109375" style="114" customWidth="1"/>
    <col min="4865" max="5115" width="9.140625" style="114"/>
    <col min="5116" max="5117" width="40.7109375" style="114" customWidth="1"/>
    <col min="5118" max="5120" width="15.7109375" style="114" customWidth="1"/>
    <col min="5121" max="5371" width="9.140625" style="114"/>
    <col min="5372" max="5373" width="40.7109375" style="114" customWidth="1"/>
    <col min="5374" max="5376" width="15.7109375" style="114" customWidth="1"/>
    <col min="5377" max="5627" width="9.140625" style="114"/>
    <col min="5628" max="5629" width="40.7109375" style="114" customWidth="1"/>
    <col min="5630" max="5632" width="15.7109375" style="114" customWidth="1"/>
    <col min="5633" max="5883" width="9.140625" style="114"/>
    <col min="5884" max="5885" width="40.7109375" style="114" customWidth="1"/>
    <col min="5886" max="5888" width="15.7109375" style="114" customWidth="1"/>
    <col min="5889" max="6139" width="9.140625" style="114"/>
    <col min="6140" max="6141" width="40.7109375" style="114" customWidth="1"/>
    <col min="6142" max="6144" width="15.7109375" style="114" customWidth="1"/>
    <col min="6145" max="6395" width="9.140625" style="114"/>
    <col min="6396" max="6397" width="40.7109375" style="114" customWidth="1"/>
    <col min="6398" max="6400" width="15.7109375" style="114" customWidth="1"/>
    <col min="6401" max="6651" width="9.140625" style="114"/>
    <col min="6652" max="6653" width="40.7109375" style="114" customWidth="1"/>
    <col min="6654" max="6656" width="15.7109375" style="114" customWidth="1"/>
    <col min="6657" max="6907" width="9.140625" style="114"/>
    <col min="6908" max="6909" width="40.7109375" style="114" customWidth="1"/>
    <col min="6910" max="6912" width="15.7109375" style="114" customWidth="1"/>
    <col min="6913" max="7163" width="9.140625" style="114"/>
    <col min="7164" max="7165" width="40.7109375" style="114" customWidth="1"/>
    <col min="7166" max="7168" width="15.7109375" style="114" customWidth="1"/>
    <col min="7169" max="7419" width="9.140625" style="114"/>
    <col min="7420" max="7421" width="40.7109375" style="114" customWidth="1"/>
    <col min="7422" max="7424" width="15.7109375" style="114" customWidth="1"/>
    <col min="7425" max="7675" width="9.140625" style="114"/>
    <col min="7676" max="7677" width="40.7109375" style="114" customWidth="1"/>
    <col min="7678" max="7680" width="15.7109375" style="114" customWidth="1"/>
    <col min="7681" max="7931" width="9.140625" style="114"/>
    <col min="7932" max="7933" width="40.7109375" style="114" customWidth="1"/>
    <col min="7934" max="7936" width="15.7109375" style="114" customWidth="1"/>
    <col min="7937" max="8187" width="9.140625" style="114"/>
    <col min="8188" max="8189" width="40.7109375" style="114" customWidth="1"/>
    <col min="8190" max="8192" width="15.7109375" style="114" customWidth="1"/>
    <col min="8193" max="8443" width="9.140625" style="114"/>
    <col min="8444" max="8445" width="40.7109375" style="114" customWidth="1"/>
    <col min="8446" max="8448" width="15.7109375" style="114" customWidth="1"/>
    <col min="8449" max="8699" width="9.140625" style="114"/>
    <col min="8700" max="8701" width="40.7109375" style="114" customWidth="1"/>
    <col min="8702" max="8704" width="15.7109375" style="114" customWidth="1"/>
    <col min="8705" max="8955" width="9.140625" style="114"/>
    <col min="8956" max="8957" width="40.7109375" style="114" customWidth="1"/>
    <col min="8958" max="8960" width="15.7109375" style="114" customWidth="1"/>
    <col min="8961" max="9211" width="9.140625" style="114"/>
    <col min="9212" max="9213" width="40.7109375" style="114" customWidth="1"/>
    <col min="9214" max="9216" width="15.7109375" style="114" customWidth="1"/>
    <col min="9217" max="9467" width="9.140625" style="114"/>
    <col min="9468" max="9469" width="40.7109375" style="114" customWidth="1"/>
    <col min="9470" max="9472" width="15.7109375" style="114" customWidth="1"/>
    <col min="9473" max="9723" width="9.140625" style="114"/>
    <col min="9724" max="9725" width="40.7109375" style="114" customWidth="1"/>
    <col min="9726" max="9728" width="15.7109375" style="114" customWidth="1"/>
    <col min="9729" max="9979" width="9.140625" style="114"/>
    <col min="9980" max="9981" width="40.7109375" style="114" customWidth="1"/>
    <col min="9982" max="9984" width="15.7109375" style="114" customWidth="1"/>
    <col min="9985" max="10235" width="9.140625" style="114"/>
    <col min="10236" max="10237" width="40.7109375" style="114" customWidth="1"/>
    <col min="10238" max="10240" width="15.7109375" style="114" customWidth="1"/>
    <col min="10241" max="10491" width="9.140625" style="114"/>
    <col min="10492" max="10493" width="40.7109375" style="114" customWidth="1"/>
    <col min="10494" max="10496" width="15.7109375" style="114" customWidth="1"/>
    <col min="10497" max="10747" width="9.140625" style="114"/>
    <col min="10748" max="10749" width="40.7109375" style="114" customWidth="1"/>
    <col min="10750" max="10752" width="15.7109375" style="114" customWidth="1"/>
    <col min="10753" max="11003" width="9.140625" style="114"/>
    <col min="11004" max="11005" width="40.7109375" style="114" customWidth="1"/>
    <col min="11006" max="11008" width="15.7109375" style="114" customWidth="1"/>
    <col min="11009" max="11259" width="9.140625" style="114"/>
    <col min="11260" max="11261" width="40.7109375" style="114" customWidth="1"/>
    <col min="11262" max="11264" width="15.7109375" style="114" customWidth="1"/>
    <col min="11265" max="11515" width="9.140625" style="114"/>
    <col min="11516" max="11517" width="40.7109375" style="114" customWidth="1"/>
    <col min="11518" max="11520" width="15.7109375" style="114" customWidth="1"/>
    <col min="11521" max="11771" width="9.140625" style="114"/>
    <col min="11772" max="11773" width="40.7109375" style="114" customWidth="1"/>
    <col min="11774" max="11776" width="15.7109375" style="114" customWidth="1"/>
    <col min="11777" max="12027" width="9.140625" style="114"/>
    <col min="12028" max="12029" width="40.7109375" style="114" customWidth="1"/>
    <col min="12030" max="12032" width="15.7109375" style="114" customWidth="1"/>
    <col min="12033" max="12283" width="9.140625" style="114"/>
    <col min="12284" max="12285" width="40.7109375" style="114" customWidth="1"/>
    <col min="12286" max="12288" width="15.7109375" style="114" customWidth="1"/>
    <col min="12289" max="12539" width="9.140625" style="114"/>
    <col min="12540" max="12541" width="40.7109375" style="114" customWidth="1"/>
    <col min="12542" max="12544" width="15.7109375" style="114" customWidth="1"/>
    <col min="12545" max="12795" width="9.140625" style="114"/>
    <col min="12796" max="12797" width="40.7109375" style="114" customWidth="1"/>
    <col min="12798" max="12800" width="15.7109375" style="114" customWidth="1"/>
    <col min="12801" max="13051" width="9.140625" style="114"/>
    <col min="13052" max="13053" width="40.7109375" style="114" customWidth="1"/>
    <col min="13054" max="13056" width="15.7109375" style="114" customWidth="1"/>
    <col min="13057" max="13307" width="9.140625" style="114"/>
    <col min="13308" max="13309" width="40.7109375" style="114" customWidth="1"/>
    <col min="13310" max="13312" width="15.7109375" style="114" customWidth="1"/>
    <col min="13313" max="13563" width="9.140625" style="114"/>
    <col min="13564" max="13565" width="40.7109375" style="114" customWidth="1"/>
    <col min="13566" max="13568" width="15.7109375" style="114" customWidth="1"/>
    <col min="13569" max="13819" width="9.140625" style="114"/>
    <col min="13820" max="13821" width="40.7109375" style="114" customWidth="1"/>
    <col min="13822" max="13824" width="15.7109375" style="114" customWidth="1"/>
    <col min="13825" max="14075" width="9.140625" style="114"/>
    <col min="14076" max="14077" width="40.7109375" style="114" customWidth="1"/>
    <col min="14078" max="14080" width="15.7109375" style="114" customWidth="1"/>
    <col min="14081" max="14331" width="9.140625" style="114"/>
    <col min="14332" max="14333" width="40.7109375" style="114" customWidth="1"/>
    <col min="14334" max="14336" width="15.7109375" style="114" customWidth="1"/>
    <col min="14337" max="14587" width="9.140625" style="114"/>
    <col min="14588" max="14589" width="40.7109375" style="114" customWidth="1"/>
    <col min="14590" max="14592" width="15.7109375" style="114" customWidth="1"/>
    <col min="14593" max="14843" width="9.140625" style="114"/>
    <col min="14844" max="14845" width="40.7109375" style="114" customWidth="1"/>
    <col min="14846" max="14848" width="15.7109375" style="114" customWidth="1"/>
    <col min="14849" max="15099" width="9.140625" style="114"/>
    <col min="15100" max="15101" width="40.7109375" style="114" customWidth="1"/>
    <col min="15102" max="15104" width="15.7109375" style="114" customWidth="1"/>
    <col min="15105" max="15355" width="9.140625" style="114"/>
    <col min="15356" max="15357" width="40.7109375" style="114" customWidth="1"/>
    <col min="15358" max="15360" width="15.7109375" style="114" customWidth="1"/>
    <col min="15361" max="15611" width="9.140625" style="114"/>
    <col min="15612" max="15613" width="40.7109375" style="114" customWidth="1"/>
    <col min="15614" max="15616" width="15.7109375" style="114" customWidth="1"/>
    <col min="15617" max="15867" width="9.140625" style="114"/>
    <col min="15868" max="15869" width="40.7109375" style="114" customWidth="1"/>
    <col min="15870" max="15872" width="15.7109375" style="114" customWidth="1"/>
    <col min="15873" max="16123" width="9.140625" style="114"/>
    <col min="16124" max="16125" width="40.7109375" style="114" customWidth="1"/>
    <col min="16126" max="16128" width="15.7109375" style="114" customWidth="1"/>
    <col min="16129" max="16384" width="9.140625" style="114"/>
  </cols>
  <sheetData>
    <row r="1" spans="2:8" x14ac:dyDescent="0.2">
      <c r="B1" s="112"/>
      <c r="C1" s="113"/>
      <c r="D1" s="112"/>
      <c r="E1" s="112"/>
      <c r="F1" s="112"/>
    </row>
    <row r="2" spans="2:8" x14ac:dyDescent="0.2">
      <c r="B2" s="233" t="s">
        <v>154</v>
      </c>
      <c r="C2" s="113"/>
      <c r="D2" s="112"/>
      <c r="E2" s="112"/>
      <c r="F2" s="112"/>
    </row>
    <row r="3" spans="2:8" x14ac:dyDescent="0.2">
      <c r="B3" s="112" t="str">
        <f>'[1]BAL CVM'!A3</f>
        <v>Em R$000</v>
      </c>
      <c r="C3" s="113"/>
      <c r="D3" s="112"/>
      <c r="E3" s="112"/>
      <c r="F3" s="112"/>
    </row>
    <row r="4" spans="2:8" x14ac:dyDescent="0.2">
      <c r="B4" s="115"/>
      <c r="C4" s="116"/>
      <c r="D4" s="115"/>
      <c r="E4" s="115"/>
      <c r="F4" s="115"/>
    </row>
    <row r="5" spans="2:8" ht="15.75" x14ac:dyDescent="0.25">
      <c r="B5" s="117" t="s">
        <v>129</v>
      </c>
      <c r="C5" s="118" t="s">
        <v>130</v>
      </c>
      <c r="D5" s="119" t="s">
        <v>157</v>
      </c>
      <c r="E5" s="119" t="s">
        <v>158</v>
      </c>
      <c r="F5" s="119" t="s">
        <v>159</v>
      </c>
      <c r="H5" s="205" t="s">
        <v>195</v>
      </c>
    </row>
    <row r="6" spans="2:8" x14ac:dyDescent="0.2">
      <c r="B6" s="120"/>
      <c r="C6" s="113"/>
      <c r="D6" s="121" t="s">
        <v>131</v>
      </c>
      <c r="E6" s="121" t="s">
        <v>132</v>
      </c>
      <c r="F6" s="122" t="s">
        <v>133</v>
      </c>
    </row>
    <row r="7" spans="2:8" ht="30" x14ac:dyDescent="0.2">
      <c r="B7" s="123" t="s">
        <v>156</v>
      </c>
      <c r="C7" s="124" t="s">
        <v>155</v>
      </c>
      <c r="D7" s="125"/>
      <c r="E7" s="125"/>
      <c r="F7" s="125"/>
    </row>
    <row r="8" spans="2:8" x14ac:dyDescent="0.2">
      <c r="B8" s="123"/>
      <c r="C8" s="124"/>
      <c r="D8" s="126"/>
      <c r="E8" s="126"/>
      <c r="F8" s="126"/>
    </row>
    <row r="9" spans="2:8" ht="18" customHeight="1" x14ac:dyDescent="0.2">
      <c r="B9" s="123" t="s">
        <v>134</v>
      </c>
      <c r="C9" s="124" t="s">
        <v>135</v>
      </c>
      <c r="D9" s="125"/>
      <c r="E9" s="125"/>
      <c r="F9" s="125"/>
    </row>
    <row r="10" spans="2:8" ht="18" customHeight="1" x14ac:dyDescent="0.2">
      <c r="B10" s="123"/>
      <c r="C10" s="124"/>
      <c r="D10" s="126"/>
      <c r="E10" s="126"/>
      <c r="F10" s="126"/>
    </row>
    <row r="11" spans="2:8" ht="18" customHeight="1" x14ac:dyDescent="0.2">
      <c r="B11" s="123" t="s">
        <v>136</v>
      </c>
      <c r="C11" s="124" t="s">
        <v>137</v>
      </c>
      <c r="D11" s="125"/>
      <c r="E11" s="125"/>
      <c r="F11" s="125"/>
    </row>
    <row r="12" spans="2:8" ht="18" customHeight="1" x14ac:dyDescent="0.2">
      <c r="D12" s="126" t="str">
        <f>IF(D11&lt;0,"Negativo","Positivo")</f>
        <v>Positivo</v>
      </c>
      <c r="E12" s="126" t="str">
        <f>IF(E11&lt;0,"Negativo","Positivo")</f>
        <v>Positivo</v>
      </c>
      <c r="F12" s="126" t="str">
        <f>IF(F11&lt;0,"Negativo","Positivo")</f>
        <v>Positivo</v>
      </c>
    </row>
    <row r="13" spans="2:8" ht="18" customHeight="1" x14ac:dyDescent="0.2">
      <c r="B13" s="123" t="s">
        <v>138</v>
      </c>
      <c r="D13" s="115" t="str">
        <f>IF(D7=0,$F$6,IF(D11&lt;0,$D$6,$E$6))</f>
        <v>N/A</v>
      </c>
      <c r="E13" s="115" t="str">
        <f>IF(E7=0,$F$6,IF(E11&lt;0,$D$6,$E$6))</f>
        <v>N/A</v>
      </c>
      <c r="F13" s="115" t="str">
        <f>IF(F7=0,$F$6,IF(F11&lt;0,$D$6,$E$6))</f>
        <v>N/A</v>
      </c>
    </row>
    <row r="14" spans="2:8" ht="18" customHeight="1" x14ac:dyDescent="0.2">
      <c r="B14" s="123"/>
      <c r="D14" s="115"/>
      <c r="E14" s="115"/>
      <c r="F14" s="115"/>
    </row>
    <row r="15" spans="2:8" ht="18" customHeight="1" x14ac:dyDescent="0.2">
      <c r="B15" s="127" t="s">
        <v>139</v>
      </c>
      <c r="C15" s="128"/>
      <c r="D15" s="129" t="str">
        <f>IF(D7=0,$F$6,IF(ISERROR(VLOOKUP(D8&amp;D10&amp;D12,$C$27:$D$32,2,0)),0,VLOOKUP(D8&amp;D10&amp;D12,$C$27:$D$32,2,0)))</f>
        <v>N/A</v>
      </c>
      <c r="E15" s="129" t="str">
        <f>IF(E7=0,$F$6,IF(ISERROR(VLOOKUP(E8&amp;E10&amp;E12,$C$27:$D$32,2,0)),0,VLOOKUP(E8&amp;E10&amp;E12,$C$27:$D$32,2,0)))</f>
        <v>N/A</v>
      </c>
      <c r="F15" s="129" t="str">
        <f>IF(F7=0,$F$6,IF(ISERROR(VLOOKUP(F8&amp;F10&amp;F12,$C$27:$D$32,2,0)),0,VLOOKUP(F8&amp;F10&amp;F12,$C$27:$D$32,2,0)))</f>
        <v>N/A</v>
      </c>
    </row>
    <row r="17" spans="2:6" x14ac:dyDescent="0.2">
      <c r="B17" s="144" t="s">
        <v>140</v>
      </c>
      <c r="C17" s="145"/>
      <c r="D17" s="145"/>
      <c r="E17" s="145"/>
      <c r="F17" s="145"/>
    </row>
    <row r="18" spans="2:6" x14ac:dyDescent="0.2">
      <c r="B18" s="130" t="s">
        <v>141</v>
      </c>
      <c r="C18" s="130" t="s">
        <v>142</v>
      </c>
      <c r="D18" s="130" t="s">
        <v>143</v>
      </c>
      <c r="E18" s="130" t="s">
        <v>144</v>
      </c>
      <c r="F18" s="130" t="s">
        <v>145</v>
      </c>
    </row>
    <row r="19" spans="2:6" x14ac:dyDescent="0.2">
      <c r="B19" s="131">
        <v>5</v>
      </c>
      <c r="C19" s="132" t="s">
        <v>146</v>
      </c>
      <c r="D19" s="132" t="s">
        <v>147</v>
      </c>
      <c r="E19" s="132" t="s">
        <v>147</v>
      </c>
      <c r="F19" s="131" t="s">
        <v>148</v>
      </c>
    </row>
    <row r="20" spans="2:6" x14ac:dyDescent="0.2">
      <c r="B20" s="133">
        <v>4</v>
      </c>
      <c r="C20" s="134" t="s">
        <v>147</v>
      </c>
      <c r="D20" s="134" t="s">
        <v>147</v>
      </c>
      <c r="E20" s="134" t="s">
        <v>147</v>
      </c>
      <c r="F20" s="133" t="s">
        <v>149</v>
      </c>
    </row>
    <row r="21" spans="2:6" x14ac:dyDescent="0.2">
      <c r="B21" s="135">
        <v>3</v>
      </c>
      <c r="C21" s="136" t="s">
        <v>146</v>
      </c>
      <c r="D21" s="136" t="s">
        <v>146</v>
      </c>
      <c r="E21" s="136" t="s">
        <v>147</v>
      </c>
      <c r="F21" s="135" t="s">
        <v>150</v>
      </c>
    </row>
    <row r="22" spans="2:6" x14ac:dyDescent="0.2">
      <c r="B22" s="137">
        <v>2</v>
      </c>
      <c r="C22" s="138" t="s">
        <v>147</v>
      </c>
      <c r="D22" s="138" t="s">
        <v>147</v>
      </c>
      <c r="E22" s="138" t="s">
        <v>146</v>
      </c>
      <c r="F22" s="137" t="s">
        <v>151</v>
      </c>
    </row>
    <row r="23" spans="2:6" x14ac:dyDescent="0.2">
      <c r="B23" s="139">
        <v>1</v>
      </c>
      <c r="C23" s="140" t="s">
        <v>146</v>
      </c>
      <c r="D23" s="140" t="s">
        <v>146</v>
      </c>
      <c r="E23" s="140" t="s">
        <v>146</v>
      </c>
      <c r="F23" s="139" t="s">
        <v>152</v>
      </c>
    </row>
    <row r="24" spans="2:6" x14ac:dyDescent="0.2">
      <c r="B24" s="141">
        <v>0</v>
      </c>
      <c r="C24" s="142" t="s">
        <v>147</v>
      </c>
      <c r="D24" s="142" t="s">
        <v>146</v>
      </c>
      <c r="E24" s="142" t="s">
        <v>146</v>
      </c>
      <c r="F24" s="141" t="s">
        <v>153</v>
      </c>
    </row>
    <row r="27" spans="2:6" x14ac:dyDescent="0.2">
      <c r="B27" s="143">
        <f t="shared" ref="B27:B32" si="0">B19</f>
        <v>5</v>
      </c>
      <c r="C27" s="143" t="str">
        <f t="shared" ref="C27:C32" si="1">C19&amp;D19&amp;E19</f>
        <v>NegativoPositivoPositivo</v>
      </c>
      <c r="D27" s="143" t="str">
        <f t="shared" ref="D27:D32" si="2">F19</f>
        <v>Excelente</v>
      </c>
    </row>
    <row r="28" spans="2:6" x14ac:dyDescent="0.2">
      <c r="B28" s="143">
        <f t="shared" si="0"/>
        <v>4</v>
      </c>
      <c r="C28" s="143" t="str">
        <f t="shared" si="1"/>
        <v>PositivoPositivoPositivo</v>
      </c>
      <c r="D28" s="143" t="str">
        <f t="shared" si="2"/>
        <v>Muito boa</v>
      </c>
    </row>
    <row r="29" spans="2:6" x14ac:dyDescent="0.2">
      <c r="B29" s="143">
        <f t="shared" si="0"/>
        <v>3</v>
      </c>
      <c r="C29" s="143" t="str">
        <f t="shared" si="1"/>
        <v>NegativoNegativoPositivo</v>
      </c>
      <c r="D29" s="143" t="str">
        <f t="shared" si="2"/>
        <v>Boa</v>
      </c>
    </row>
    <row r="30" spans="2:6" x14ac:dyDescent="0.2">
      <c r="B30" s="143">
        <f t="shared" si="0"/>
        <v>2</v>
      </c>
      <c r="C30" s="143" t="str">
        <f t="shared" si="1"/>
        <v>PositivoPositivoNegativo</v>
      </c>
      <c r="D30" s="143" t="str">
        <f t="shared" si="2"/>
        <v>Ruim</v>
      </c>
    </row>
    <row r="31" spans="2:6" x14ac:dyDescent="0.2">
      <c r="B31" s="143">
        <f t="shared" si="0"/>
        <v>1</v>
      </c>
      <c r="C31" s="143" t="str">
        <f t="shared" si="1"/>
        <v>NegativoNegativoNegativo</v>
      </c>
      <c r="D31" s="143" t="str">
        <f t="shared" si="2"/>
        <v>Muito ruim</v>
      </c>
    </row>
    <row r="32" spans="2:6" x14ac:dyDescent="0.2">
      <c r="B32" s="143">
        <f t="shared" si="0"/>
        <v>0</v>
      </c>
      <c r="C32" s="143" t="str">
        <f t="shared" si="1"/>
        <v>PositivoNegativoNegativo</v>
      </c>
      <c r="D32" s="143" t="str">
        <f t="shared" si="2"/>
        <v>Péssima</v>
      </c>
    </row>
  </sheetData>
  <sheetProtection selectLockedCells="1" selectUnlockedCells="1"/>
  <conditionalFormatting sqref="D13:F14">
    <cfRule type="cellIs" dxfId="4" priority="6" stopIfTrue="1" operator="equal">
      <formula>"SIM"</formula>
    </cfRule>
    <cfRule type="cellIs" dxfId="3" priority="7" stopIfTrue="1" operator="equal">
      <formula>"NÃO"</formula>
    </cfRule>
  </conditionalFormatting>
  <conditionalFormatting sqref="D15:F15">
    <cfRule type="cellIs" dxfId="2" priority="8" stopIfTrue="1" operator="equal">
      <formula>$F$24</formula>
    </cfRule>
    <cfRule type="cellIs" dxfId="1" priority="9" stopIfTrue="1" operator="equal">
      <formula>$F$23</formula>
    </cfRule>
    <cfRule type="cellIs" dxfId="0" priority="10" stopIfTrue="1" operator="equal">
      <formula>$F$22</formula>
    </cfRule>
  </conditionalFormatting>
  <hyperlinks>
    <hyperlink ref="H5" location="GIN!A1" display="MENU" xr:uid="{4EC9CDB6-FFE6-48EF-AC3A-0E7C2F039CFF}"/>
  </hyperlinks>
  <printOptions horizontalCentered="1" verticalCentered="1"/>
  <pageMargins left="0.78749999999999998" right="0.78749999999999998" top="0.98402777777777772" bottom="0.98402777777777772" header="0.51180555555555551" footer="0.51180555555555551"/>
  <pageSetup paperSize="9" scale="9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44E7-145D-43B5-A3C0-E9830B400EDF}">
  <dimension ref="B2:U39"/>
  <sheetViews>
    <sheetView showGridLines="0" zoomScale="77" zoomScaleNormal="77" workbookViewId="0">
      <selection activeCell="R2" sqref="R2"/>
    </sheetView>
  </sheetViews>
  <sheetFormatPr defaultRowHeight="15" x14ac:dyDescent="0.25"/>
  <cols>
    <col min="1" max="1" width="2.42578125" customWidth="1"/>
    <col min="2" max="2" width="13.42578125" customWidth="1"/>
    <col min="4" max="4" width="2.85546875" customWidth="1"/>
    <col min="5" max="5" width="10.85546875" customWidth="1"/>
    <col min="7" max="7" width="1.7109375" customWidth="1"/>
    <col min="8" max="8" width="12.28515625" customWidth="1"/>
    <col min="10" max="10" width="2" customWidth="1"/>
    <col min="11" max="11" width="11.5703125" customWidth="1"/>
    <col min="13" max="13" width="3.5703125" customWidth="1"/>
    <col min="14" max="14" width="13.85546875" customWidth="1"/>
    <col min="15" max="15" width="6.5703125" customWidth="1"/>
    <col min="16" max="16" width="3" customWidth="1"/>
    <col min="17" max="17" width="14.28515625" customWidth="1"/>
  </cols>
  <sheetData>
    <row r="2" spans="2:20" ht="18.75" x14ac:dyDescent="0.3">
      <c r="B2" s="146" t="s">
        <v>160</v>
      </c>
      <c r="R2" s="205" t="s">
        <v>195</v>
      </c>
    </row>
    <row r="3" spans="2:20" x14ac:dyDescent="0.25">
      <c r="B3" s="111" t="s">
        <v>161</v>
      </c>
    </row>
    <row r="4" spans="2:20" ht="9.75" customHeight="1" x14ac:dyDescent="0.25"/>
    <row r="5" spans="2:20" s="148" customFormat="1" x14ac:dyDescent="0.25">
      <c r="B5" s="212" t="s">
        <v>85</v>
      </c>
      <c r="C5" s="212"/>
      <c r="D5" s="147"/>
      <c r="E5" s="212" t="s">
        <v>85</v>
      </c>
      <c r="F5" s="212"/>
      <c r="G5" s="147"/>
      <c r="H5" s="212" t="s">
        <v>162</v>
      </c>
      <c r="I5" s="212"/>
      <c r="J5" s="147"/>
      <c r="K5" s="212" t="s">
        <v>162</v>
      </c>
      <c r="L5" s="212"/>
      <c r="M5" s="147"/>
      <c r="N5" s="212" t="s">
        <v>163</v>
      </c>
      <c r="O5" s="212"/>
      <c r="P5" s="147"/>
      <c r="Q5" s="212" t="s">
        <v>163</v>
      </c>
      <c r="R5" s="212"/>
    </row>
    <row r="6" spans="2:20" s="148" customFormat="1" x14ac:dyDescent="0.25">
      <c r="B6" s="149"/>
      <c r="C6" s="149"/>
      <c r="D6" s="147"/>
      <c r="E6" s="149"/>
      <c r="F6" s="149"/>
      <c r="G6" s="147"/>
      <c r="H6" s="149"/>
      <c r="I6" s="149"/>
      <c r="J6" s="147"/>
      <c r="K6" s="149"/>
      <c r="L6" s="149"/>
      <c r="M6" s="147"/>
      <c r="N6" s="149"/>
      <c r="O6" s="149"/>
      <c r="P6" s="147"/>
      <c r="Q6" s="149"/>
      <c r="R6" s="149"/>
    </row>
    <row r="7" spans="2:20" s="148" customFormat="1" x14ac:dyDescent="0.25">
      <c r="B7" s="150" t="s">
        <v>163</v>
      </c>
      <c r="C7" s="149">
        <v>5</v>
      </c>
      <c r="D7" s="147"/>
      <c r="E7" s="150" t="s">
        <v>162</v>
      </c>
      <c r="F7" s="149">
        <v>105</v>
      </c>
      <c r="G7" s="147"/>
      <c r="H7" s="150" t="s">
        <v>85</v>
      </c>
      <c r="I7" s="149">
        <v>100</v>
      </c>
      <c r="J7" s="147"/>
      <c r="K7" s="150" t="s">
        <v>163</v>
      </c>
      <c r="L7" s="149">
        <v>5</v>
      </c>
      <c r="M7" s="147"/>
      <c r="N7" s="150" t="s">
        <v>85</v>
      </c>
      <c r="O7" s="149">
        <v>100</v>
      </c>
      <c r="P7" s="147"/>
      <c r="Q7" s="150" t="s">
        <v>162</v>
      </c>
      <c r="R7" s="149">
        <v>105</v>
      </c>
    </row>
    <row r="8" spans="2:20" s="148" customFormat="1" x14ac:dyDescent="0.25">
      <c r="B8" s="150" t="s">
        <v>89</v>
      </c>
      <c r="C8" s="151">
        <v>0.01</v>
      </c>
      <c r="D8" s="147"/>
      <c r="E8" s="150" t="s">
        <v>89</v>
      </c>
      <c r="F8" s="151">
        <v>0.01</v>
      </c>
      <c r="G8" s="147"/>
      <c r="H8" s="150" t="s">
        <v>89</v>
      </c>
      <c r="I8" s="151">
        <v>0.01</v>
      </c>
      <c r="J8" s="147"/>
      <c r="K8" s="150" t="s">
        <v>89</v>
      </c>
      <c r="L8" s="151">
        <v>0.01</v>
      </c>
      <c r="M8" s="147"/>
      <c r="N8" s="150" t="s">
        <v>89</v>
      </c>
      <c r="O8" s="151">
        <v>0.01</v>
      </c>
      <c r="P8" s="147"/>
      <c r="Q8" s="150" t="s">
        <v>89</v>
      </c>
      <c r="R8" s="151">
        <v>0.01</v>
      </c>
    </row>
    <row r="9" spans="2:20" s="148" customFormat="1" x14ac:dyDescent="0.25">
      <c r="B9" s="150" t="s">
        <v>87</v>
      </c>
      <c r="C9" s="149">
        <v>5</v>
      </c>
      <c r="D9" s="147"/>
      <c r="E9" s="150" t="s">
        <v>87</v>
      </c>
      <c r="F9" s="149">
        <v>5</v>
      </c>
      <c r="G9" s="147"/>
      <c r="H9" s="150" t="s">
        <v>87</v>
      </c>
      <c r="I9" s="149">
        <v>5</v>
      </c>
      <c r="J9" s="147"/>
      <c r="K9" s="150" t="s">
        <v>87</v>
      </c>
      <c r="L9" s="149">
        <v>5</v>
      </c>
      <c r="M9" s="147"/>
      <c r="N9" s="150" t="s">
        <v>87</v>
      </c>
      <c r="O9" s="149">
        <v>5</v>
      </c>
      <c r="P9" s="147"/>
      <c r="Q9" s="150" t="s">
        <v>87</v>
      </c>
      <c r="R9" s="149">
        <v>5</v>
      </c>
    </row>
    <row r="10" spans="2:20" s="148" customFormat="1" x14ac:dyDescent="0.25">
      <c r="B10" s="149"/>
      <c r="C10" s="149"/>
      <c r="D10" s="147"/>
      <c r="E10" s="149"/>
      <c r="F10" s="149"/>
      <c r="G10" s="147"/>
      <c r="H10" s="149"/>
      <c r="I10" s="149"/>
      <c r="J10" s="147"/>
      <c r="K10" s="149"/>
      <c r="L10" s="149"/>
      <c r="M10" s="147"/>
      <c r="N10" s="149"/>
      <c r="O10" s="149"/>
      <c r="P10" s="147"/>
      <c r="Q10" s="149"/>
      <c r="R10" s="149"/>
    </row>
    <row r="11" spans="2:20" s="148" customFormat="1" x14ac:dyDescent="0.25">
      <c r="B11" s="152" t="s">
        <v>164</v>
      </c>
      <c r="C11" s="153">
        <f>C7/(C8*C9)</f>
        <v>100</v>
      </c>
      <c r="D11" s="147"/>
      <c r="E11" s="152" t="s">
        <v>164</v>
      </c>
      <c r="F11" s="153">
        <f>F7/(1+F8*F9)</f>
        <v>100</v>
      </c>
      <c r="G11" s="147"/>
      <c r="H11" s="152" t="s">
        <v>164</v>
      </c>
      <c r="I11" s="153">
        <f>I7*(1+I8*I9)</f>
        <v>105</v>
      </c>
      <c r="J11" s="147"/>
      <c r="K11" s="152" t="s">
        <v>164</v>
      </c>
      <c r="L11" s="153">
        <f>L7*((1/(L8*L9))+1)</f>
        <v>105</v>
      </c>
      <c r="M11" s="147"/>
      <c r="N11" s="152" t="s">
        <v>164</v>
      </c>
      <c r="O11" s="153">
        <f>O9*O8*O7</f>
        <v>5</v>
      </c>
      <c r="P11" s="147"/>
      <c r="Q11" s="152" t="s">
        <v>164</v>
      </c>
      <c r="R11" s="153">
        <f>(R7/(1+R8*R9))*R9*R8</f>
        <v>5</v>
      </c>
    </row>
    <row r="12" spans="2:20" s="148" customFormat="1" x14ac:dyDescent="0.25"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</row>
    <row r="13" spans="2:20" s="148" customFormat="1" x14ac:dyDescent="0.25">
      <c r="B13" s="212" t="s">
        <v>87</v>
      </c>
      <c r="C13" s="212"/>
      <c r="D13" s="147"/>
      <c r="E13" s="212" t="s">
        <v>87</v>
      </c>
      <c r="F13" s="212"/>
      <c r="G13" s="147"/>
      <c r="H13" s="212" t="s">
        <v>89</v>
      </c>
      <c r="I13" s="212"/>
      <c r="J13" s="147"/>
      <c r="K13" s="212" t="s">
        <v>89</v>
      </c>
      <c r="L13" s="212"/>
      <c r="M13" s="147"/>
      <c r="N13" s="147"/>
      <c r="O13" s="147"/>
      <c r="P13" s="147"/>
      <c r="Q13" s="147"/>
      <c r="R13" s="147"/>
    </row>
    <row r="14" spans="2:20" s="148" customFormat="1" x14ac:dyDescent="0.25">
      <c r="B14" s="149"/>
      <c r="C14" s="149"/>
      <c r="D14" s="147"/>
      <c r="E14" s="149"/>
      <c r="F14" s="149"/>
      <c r="G14" s="147"/>
      <c r="H14" s="149"/>
      <c r="I14" s="149"/>
      <c r="J14" s="147"/>
      <c r="K14" s="149"/>
      <c r="L14" s="149"/>
      <c r="M14" s="147"/>
      <c r="N14" s="147"/>
      <c r="O14" s="147"/>
      <c r="P14" s="147"/>
      <c r="Q14" s="147"/>
      <c r="R14" s="147"/>
    </row>
    <row r="15" spans="2:20" s="148" customFormat="1" x14ac:dyDescent="0.25">
      <c r="B15" s="150" t="s">
        <v>163</v>
      </c>
      <c r="C15" s="149">
        <v>5</v>
      </c>
      <c r="D15" s="147"/>
      <c r="E15" s="150" t="s">
        <v>162</v>
      </c>
      <c r="F15" s="149">
        <v>105</v>
      </c>
      <c r="G15" s="147"/>
      <c r="H15" s="150" t="s">
        <v>85</v>
      </c>
      <c r="I15" s="149">
        <v>100</v>
      </c>
      <c r="J15" s="147"/>
      <c r="K15" s="150" t="s">
        <v>85</v>
      </c>
      <c r="L15" s="149">
        <v>100</v>
      </c>
      <c r="M15" s="147"/>
      <c r="N15" s="147"/>
      <c r="O15" s="147"/>
      <c r="P15" s="147"/>
      <c r="Q15" s="147"/>
      <c r="R15" s="147"/>
    </row>
    <row r="16" spans="2:20" s="148" customFormat="1" x14ac:dyDescent="0.25">
      <c r="B16" s="150" t="s">
        <v>89</v>
      </c>
      <c r="C16" s="151">
        <v>0.01</v>
      </c>
      <c r="D16" s="147"/>
      <c r="E16" s="150" t="s">
        <v>89</v>
      </c>
      <c r="F16" s="151">
        <v>0.01</v>
      </c>
      <c r="G16" s="147"/>
      <c r="H16" s="150" t="s">
        <v>163</v>
      </c>
      <c r="I16" s="154">
        <v>5</v>
      </c>
      <c r="J16" s="147"/>
      <c r="K16" s="150" t="s">
        <v>162</v>
      </c>
      <c r="L16" s="154">
        <v>105</v>
      </c>
      <c r="M16" s="147"/>
      <c r="N16" s="147"/>
      <c r="O16" s="147"/>
      <c r="P16" s="147"/>
      <c r="Q16" s="147"/>
      <c r="R16" s="147"/>
    </row>
    <row r="17" spans="2:18" s="148" customFormat="1" x14ac:dyDescent="0.25">
      <c r="B17" s="150" t="s">
        <v>85</v>
      </c>
      <c r="C17" s="149">
        <v>100</v>
      </c>
      <c r="D17" s="147"/>
      <c r="E17" s="150" t="s">
        <v>85</v>
      </c>
      <c r="F17" s="149">
        <v>100</v>
      </c>
      <c r="G17" s="147"/>
      <c r="H17" s="150" t="s">
        <v>87</v>
      </c>
      <c r="I17" s="149">
        <v>5</v>
      </c>
      <c r="J17" s="147"/>
      <c r="K17" s="150" t="s">
        <v>87</v>
      </c>
      <c r="L17" s="149">
        <v>5</v>
      </c>
      <c r="M17" s="147"/>
      <c r="N17" s="147"/>
      <c r="O17" s="147"/>
      <c r="P17" s="147"/>
      <c r="Q17" s="147"/>
      <c r="R17" s="147"/>
    </row>
    <row r="18" spans="2:18" s="148" customFormat="1" x14ac:dyDescent="0.25">
      <c r="B18" s="149"/>
      <c r="C18" s="149"/>
      <c r="D18" s="147"/>
      <c r="E18" s="149"/>
      <c r="F18" s="149"/>
      <c r="G18" s="147"/>
      <c r="H18" s="149"/>
      <c r="I18" s="149"/>
      <c r="J18" s="147"/>
      <c r="K18" s="149"/>
      <c r="L18" s="149"/>
      <c r="M18" s="147"/>
      <c r="N18" s="147"/>
      <c r="O18" s="147"/>
      <c r="P18" s="147"/>
      <c r="Q18" s="147"/>
      <c r="R18" s="147"/>
    </row>
    <row r="19" spans="2:18" s="148" customFormat="1" x14ac:dyDescent="0.25">
      <c r="B19" s="152" t="s">
        <v>164</v>
      </c>
      <c r="C19" s="153">
        <f>C15/(C17*C16)</f>
        <v>5</v>
      </c>
      <c r="D19" s="147"/>
      <c r="E19" s="152" t="s">
        <v>164</v>
      </c>
      <c r="F19" s="153">
        <f>((F15/F17)-1)/F16</f>
        <v>5.0000000000000044</v>
      </c>
      <c r="G19" s="147"/>
      <c r="H19" s="152" t="s">
        <v>164</v>
      </c>
      <c r="I19" s="155">
        <f>I16/(I15*I17)</f>
        <v>0.01</v>
      </c>
      <c r="J19" s="147"/>
      <c r="K19" s="152" t="s">
        <v>164</v>
      </c>
      <c r="L19" s="155">
        <f>((L16/L15)-1)/L17</f>
        <v>1.0000000000000009E-2</v>
      </c>
    </row>
    <row r="21" spans="2:18" x14ac:dyDescent="0.25">
      <c r="B21" s="111" t="s">
        <v>165</v>
      </c>
    </row>
    <row r="22" spans="2:18" x14ac:dyDescent="0.25">
      <c r="Q22" t="s">
        <v>166</v>
      </c>
    </row>
    <row r="23" spans="2:18" x14ac:dyDescent="0.25">
      <c r="Q23" s="156" t="s">
        <v>167</v>
      </c>
    </row>
    <row r="24" spans="2:18" s="111" customFormat="1" x14ac:dyDescent="0.25">
      <c r="B24" s="111" t="s">
        <v>168</v>
      </c>
      <c r="E24" s="111" t="s">
        <v>169</v>
      </c>
      <c r="H24" s="111" t="s">
        <v>170</v>
      </c>
      <c r="K24" s="111" t="s">
        <v>171</v>
      </c>
      <c r="Q24" s="111" t="s">
        <v>172</v>
      </c>
    </row>
    <row r="26" spans="2:18" x14ac:dyDescent="0.25">
      <c r="B26" s="213" t="s">
        <v>162</v>
      </c>
      <c r="C26" s="213"/>
      <c r="D26" s="157"/>
      <c r="E26" s="213" t="s">
        <v>85</v>
      </c>
      <c r="F26" s="213"/>
      <c r="G26" s="157"/>
      <c r="H26" s="213" t="s">
        <v>89</v>
      </c>
      <c r="I26" s="213"/>
      <c r="J26" s="157"/>
      <c r="K26" s="213" t="s">
        <v>87</v>
      </c>
      <c r="L26" s="213"/>
      <c r="M26" s="157"/>
      <c r="N26" s="209" t="s">
        <v>173</v>
      </c>
      <c r="O26" s="210"/>
      <c r="P26" s="210"/>
      <c r="Q26" s="210"/>
      <c r="R26" s="211"/>
    </row>
    <row r="27" spans="2:18" x14ac:dyDescent="0.25">
      <c r="B27" s="158"/>
      <c r="C27" s="158"/>
      <c r="D27" s="157"/>
      <c r="E27" s="158"/>
      <c r="F27" s="158"/>
      <c r="G27" s="157"/>
      <c r="H27" s="158"/>
      <c r="I27" s="158"/>
      <c r="J27" s="157"/>
      <c r="K27" s="158"/>
      <c r="L27" s="158"/>
      <c r="M27" s="157"/>
      <c r="N27" s="159"/>
      <c r="O27" s="160"/>
      <c r="P27" s="161"/>
      <c r="Q27" s="162"/>
      <c r="R27" s="162"/>
    </row>
    <row r="28" spans="2:18" x14ac:dyDescent="0.25">
      <c r="B28" s="163" t="s">
        <v>85</v>
      </c>
      <c r="C28" s="158">
        <v>100</v>
      </c>
      <c r="D28" s="157"/>
      <c r="E28" s="163" t="s">
        <v>162</v>
      </c>
      <c r="F28" s="164">
        <v>105.1</v>
      </c>
      <c r="G28" s="157"/>
      <c r="H28" s="163" t="s">
        <v>85</v>
      </c>
      <c r="I28" s="158">
        <v>100</v>
      </c>
      <c r="J28" s="157"/>
      <c r="K28" s="163" t="s">
        <v>85</v>
      </c>
      <c r="L28" s="158">
        <v>100</v>
      </c>
      <c r="M28" s="157"/>
      <c r="N28" s="159" t="s">
        <v>174</v>
      </c>
      <c r="O28" s="160"/>
      <c r="P28" s="161"/>
      <c r="Q28" s="165">
        <v>0.12</v>
      </c>
      <c r="R28" s="158"/>
    </row>
    <row r="29" spans="2:18" x14ac:dyDescent="0.25">
      <c r="B29" s="163" t="s">
        <v>89</v>
      </c>
      <c r="C29" s="165">
        <v>0.01</v>
      </c>
      <c r="D29" s="157"/>
      <c r="E29" s="163" t="s">
        <v>89</v>
      </c>
      <c r="F29" s="165">
        <v>0.01</v>
      </c>
      <c r="G29" s="157"/>
      <c r="H29" s="163" t="s">
        <v>162</v>
      </c>
      <c r="I29" s="166">
        <v>110</v>
      </c>
      <c r="J29" s="157"/>
      <c r="K29" s="163" t="s">
        <v>89</v>
      </c>
      <c r="L29" s="165">
        <v>1.9244899999999999E-2</v>
      </c>
      <c r="M29" s="157"/>
      <c r="N29" s="159" t="s">
        <v>175</v>
      </c>
      <c r="O29" s="160"/>
      <c r="P29" s="161"/>
      <c r="Q29" s="158">
        <v>90</v>
      </c>
      <c r="R29" s="158" t="s">
        <v>176</v>
      </c>
    </row>
    <row r="30" spans="2:18" x14ac:dyDescent="0.25">
      <c r="B30" s="163" t="s">
        <v>87</v>
      </c>
      <c r="C30" s="158">
        <v>5</v>
      </c>
      <c r="D30" s="157"/>
      <c r="E30" s="163" t="s">
        <v>87</v>
      </c>
      <c r="F30" s="158">
        <v>5</v>
      </c>
      <c r="G30" s="157"/>
      <c r="H30" s="163" t="s">
        <v>87</v>
      </c>
      <c r="I30" s="158">
        <v>5</v>
      </c>
      <c r="J30" s="157"/>
      <c r="K30" s="163" t="s">
        <v>162</v>
      </c>
      <c r="L30" s="158">
        <v>110</v>
      </c>
      <c r="M30" s="157"/>
      <c r="N30" s="159" t="s">
        <v>177</v>
      </c>
      <c r="O30" s="160"/>
      <c r="P30" s="161"/>
      <c r="Q30" s="158">
        <v>30</v>
      </c>
      <c r="R30" s="158" t="s">
        <v>176</v>
      </c>
    </row>
    <row r="31" spans="2:18" x14ac:dyDescent="0.25">
      <c r="B31" s="158"/>
      <c r="C31" s="158"/>
      <c r="D31" s="157"/>
      <c r="E31" s="158"/>
      <c r="F31" s="158"/>
      <c r="G31" s="157"/>
      <c r="H31" s="158"/>
      <c r="I31" s="158"/>
      <c r="J31" s="157"/>
      <c r="K31" s="158"/>
      <c r="L31" s="158"/>
      <c r="M31" s="157"/>
      <c r="N31" s="159"/>
      <c r="O31" s="160"/>
      <c r="P31" s="161"/>
      <c r="Q31" s="158"/>
      <c r="R31" s="158"/>
    </row>
    <row r="32" spans="2:18" s="111" customFormat="1" x14ac:dyDescent="0.25">
      <c r="B32" s="167" t="s">
        <v>164</v>
      </c>
      <c r="C32" s="168">
        <f>FV(C29,C30,,-C28)</f>
        <v>105.10100500999999</v>
      </c>
      <c r="D32" s="169"/>
      <c r="E32" s="167" t="s">
        <v>164</v>
      </c>
      <c r="F32" s="168">
        <f>PV(F29,F30,,-F28)</f>
        <v>99.999043767469303</v>
      </c>
      <c r="G32" s="169"/>
      <c r="H32" s="167" t="s">
        <v>164</v>
      </c>
      <c r="I32" s="170">
        <f>RATE(I30,,-I28,I29)</f>
        <v>1.9244876491456554E-2</v>
      </c>
      <c r="J32" s="169"/>
      <c r="K32" s="167" t="s">
        <v>164</v>
      </c>
      <c r="L32" s="168">
        <f>NPER(L29,,-L28,L30)</f>
        <v>4.9999939501115005</v>
      </c>
      <c r="M32" s="169"/>
      <c r="N32" s="171" t="s">
        <v>178</v>
      </c>
      <c r="O32" s="172"/>
      <c r="P32" s="172"/>
      <c r="Q32" s="173">
        <f>((1+Q28)^(Q30/Q29)-1)</f>
        <v>3.8498820370220788E-2</v>
      </c>
      <c r="R32" s="174"/>
    </row>
    <row r="33" spans="2:21" x14ac:dyDescent="0.25">
      <c r="N33" s="175" t="s">
        <v>179</v>
      </c>
    </row>
    <row r="34" spans="2:21" x14ac:dyDescent="0.25">
      <c r="N34" s="111" t="s">
        <v>165</v>
      </c>
    </row>
    <row r="35" spans="2:21" x14ac:dyDescent="0.25">
      <c r="B35" t="s">
        <v>180</v>
      </c>
      <c r="E35" t="s">
        <v>181</v>
      </c>
      <c r="H35" t="s">
        <v>182</v>
      </c>
      <c r="K35" t="s">
        <v>183</v>
      </c>
      <c r="Q35" s="176" t="s">
        <v>184</v>
      </c>
      <c r="R35" s="176"/>
    </row>
    <row r="37" spans="2:21" x14ac:dyDescent="0.25">
      <c r="N37" s="177" t="s">
        <v>185</v>
      </c>
      <c r="O37" s="177"/>
      <c r="P37" s="177"/>
      <c r="Q37" s="177"/>
      <c r="R37" s="177"/>
      <c r="S37" s="177"/>
      <c r="T37" s="177"/>
      <c r="U37" s="177"/>
    </row>
    <row r="38" spans="2:21" x14ac:dyDescent="0.25">
      <c r="N38" s="177" t="s">
        <v>186</v>
      </c>
      <c r="O38" s="177"/>
      <c r="P38" s="177"/>
      <c r="Q38" s="178" t="s">
        <v>187</v>
      </c>
      <c r="R38" s="177"/>
      <c r="S38" s="177"/>
      <c r="T38" s="177"/>
      <c r="U38" s="177"/>
    </row>
    <row r="39" spans="2:21" x14ac:dyDescent="0.25">
      <c r="N39" s="177"/>
      <c r="O39" s="177"/>
      <c r="P39" s="177"/>
      <c r="Q39" s="177"/>
      <c r="R39" s="177"/>
      <c r="S39" s="177"/>
      <c r="T39" s="177"/>
      <c r="U39" s="177"/>
    </row>
  </sheetData>
  <mergeCells count="15">
    <mergeCell ref="Q5:R5"/>
    <mergeCell ref="B5:C5"/>
    <mergeCell ref="E5:F5"/>
    <mergeCell ref="H5:I5"/>
    <mergeCell ref="K5:L5"/>
    <mergeCell ref="N5:O5"/>
    <mergeCell ref="N26:R26"/>
    <mergeCell ref="B13:C13"/>
    <mergeCell ref="E13:F13"/>
    <mergeCell ref="H13:I13"/>
    <mergeCell ref="K13:L13"/>
    <mergeCell ref="B26:C26"/>
    <mergeCell ref="E26:F26"/>
    <mergeCell ref="H26:I26"/>
    <mergeCell ref="K26:L26"/>
  </mergeCells>
  <hyperlinks>
    <hyperlink ref="R2" location="GIN!A1" display="MENU" xr:uid="{122DE0D1-3E8B-4389-92CF-9129349E1AC6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1F99-1B7D-4BD6-A135-D78492B30F04}">
  <dimension ref="B2:J31"/>
  <sheetViews>
    <sheetView showGridLines="0" tabSelected="1" workbookViewId="0">
      <selection activeCell="G8" sqref="G8"/>
    </sheetView>
  </sheetViews>
  <sheetFormatPr defaultRowHeight="14.25" x14ac:dyDescent="0.2"/>
  <cols>
    <col min="1" max="1" width="9.140625" style="214"/>
    <col min="2" max="2" width="31.5703125" style="214" customWidth="1"/>
    <col min="3" max="3" width="15.5703125" style="214" customWidth="1"/>
    <col min="4" max="4" width="13.5703125" style="214" customWidth="1"/>
    <col min="5" max="5" width="2.85546875" style="214" customWidth="1"/>
    <col min="6" max="7" width="13.5703125" style="214" customWidth="1"/>
    <col min="8" max="8" width="5.28515625" style="214" customWidth="1"/>
    <col min="9" max="10" width="13.5703125" style="214" customWidth="1"/>
    <col min="11" max="16384" width="9.140625" style="214"/>
  </cols>
  <sheetData>
    <row r="2" spans="2:10" ht="15" x14ac:dyDescent="0.25">
      <c r="J2" s="205" t="s">
        <v>195</v>
      </c>
    </row>
    <row r="4" spans="2:10" ht="15" x14ac:dyDescent="0.2">
      <c r="B4" s="233" t="s">
        <v>222</v>
      </c>
    </row>
    <row r="6" spans="2:10" x14ac:dyDescent="0.2">
      <c r="D6" s="215" t="s">
        <v>218</v>
      </c>
    </row>
    <row r="7" spans="2:10" ht="15" thickBot="1" x14ac:dyDescent="0.25">
      <c r="B7" s="216" t="s">
        <v>219</v>
      </c>
      <c r="C7" s="217"/>
      <c r="D7" s="230">
        <v>400</v>
      </c>
      <c r="I7" s="218" t="s">
        <v>197</v>
      </c>
      <c r="J7" s="219"/>
    </row>
    <row r="8" spans="2:10" x14ac:dyDescent="0.2">
      <c r="B8" s="216" t="s">
        <v>48</v>
      </c>
      <c r="C8" s="217"/>
      <c r="D8" s="231">
        <v>-1500</v>
      </c>
    </row>
    <row r="9" spans="2:10" x14ac:dyDescent="0.2">
      <c r="B9" s="216" t="s">
        <v>220</v>
      </c>
      <c r="C9" s="217"/>
      <c r="D9" s="230">
        <v>4000</v>
      </c>
      <c r="F9" s="220" t="s">
        <v>69</v>
      </c>
      <c r="G9" s="220" t="s">
        <v>198</v>
      </c>
      <c r="I9" s="220" t="s">
        <v>221</v>
      </c>
      <c r="J9" s="221" t="s">
        <v>199</v>
      </c>
    </row>
    <row r="10" spans="2:10" x14ac:dyDescent="0.2">
      <c r="B10" s="216" t="s">
        <v>200</v>
      </c>
      <c r="C10" s="217"/>
      <c r="D10" s="231">
        <v>150</v>
      </c>
      <c r="F10" s="222">
        <v>0</v>
      </c>
      <c r="G10" s="223">
        <f>+D15</f>
        <v>-600000</v>
      </c>
      <c r="I10" s="222"/>
      <c r="J10" s="223">
        <f>+G22</f>
        <v>-330354.82230453519</v>
      </c>
    </row>
    <row r="11" spans="2:10" x14ac:dyDescent="0.2">
      <c r="B11" s="216" t="s">
        <v>201</v>
      </c>
      <c r="C11" s="217"/>
      <c r="D11" s="231">
        <v>-5</v>
      </c>
      <c r="F11" s="222">
        <f t="shared" ref="F11:F20" si="0">+F10+1</f>
        <v>1</v>
      </c>
      <c r="G11" s="223">
        <f>+$C$26</f>
        <v>60000</v>
      </c>
      <c r="I11" s="222">
        <v>20</v>
      </c>
      <c r="J11" s="223">
        <v>-159429.6852938231</v>
      </c>
    </row>
    <row r="12" spans="2:10" x14ac:dyDescent="0.2">
      <c r="B12" s="216" t="s">
        <v>202</v>
      </c>
      <c r="C12" s="217"/>
      <c r="D12" s="231">
        <v>-50</v>
      </c>
      <c r="F12" s="222">
        <f t="shared" si="0"/>
        <v>2</v>
      </c>
      <c r="G12" s="223">
        <f>+$C$26</f>
        <v>60000</v>
      </c>
      <c r="I12" s="222">
        <f t="shared" ref="I12:I30" si="1">+I11+20</f>
        <v>40</v>
      </c>
      <c r="J12" s="223">
        <v>349860.67009710649</v>
      </c>
    </row>
    <row r="13" spans="2:10" x14ac:dyDescent="0.2">
      <c r="B13" s="216" t="s">
        <v>203</v>
      </c>
      <c r="C13" s="217"/>
      <c r="D13" s="232">
        <v>0.18</v>
      </c>
      <c r="F13" s="222">
        <f t="shared" si="0"/>
        <v>3</v>
      </c>
      <c r="G13" s="223">
        <f>+$C$26</f>
        <v>60000</v>
      </c>
      <c r="I13" s="222">
        <f t="shared" si="1"/>
        <v>60</v>
      </c>
      <c r="J13" s="223">
        <v>499624.12189408299</v>
      </c>
    </row>
    <row r="14" spans="2:10" x14ac:dyDescent="0.2">
      <c r="B14" s="71" t="s">
        <v>204</v>
      </c>
      <c r="D14" s="224">
        <f>+D12*20/D7</f>
        <v>-2.5</v>
      </c>
      <c r="F14" s="222">
        <f t="shared" si="0"/>
        <v>4</v>
      </c>
      <c r="G14" s="223">
        <f>+$C$26</f>
        <v>60000</v>
      </c>
      <c r="I14" s="222">
        <f t="shared" si="1"/>
        <v>80</v>
      </c>
      <c r="J14" s="223">
        <v>559505.84779257118</v>
      </c>
    </row>
    <row r="15" spans="2:10" x14ac:dyDescent="0.2">
      <c r="B15" s="71" t="s">
        <v>205</v>
      </c>
      <c r="D15" s="224">
        <f>D7*D8</f>
        <v>-600000</v>
      </c>
      <c r="F15" s="222">
        <f t="shared" si="0"/>
        <v>5</v>
      </c>
      <c r="G15" s="223">
        <f>+$C$26</f>
        <v>60000</v>
      </c>
      <c r="I15" s="222">
        <f t="shared" si="1"/>
        <v>100</v>
      </c>
      <c r="J15" s="223">
        <v>583434.88333166426</v>
      </c>
    </row>
    <row r="16" spans="2:10" x14ac:dyDescent="0.2">
      <c r="F16" s="222">
        <f t="shared" si="0"/>
        <v>6</v>
      </c>
      <c r="G16" s="223">
        <f>+$C$26</f>
        <v>60000</v>
      </c>
      <c r="I16" s="222">
        <f t="shared" si="1"/>
        <v>120</v>
      </c>
      <c r="J16" s="223">
        <v>589387.5736910596</v>
      </c>
    </row>
    <row r="17" spans="2:10" x14ac:dyDescent="0.2">
      <c r="B17" s="220" t="s">
        <v>206</v>
      </c>
      <c r="C17" s="220" t="s">
        <v>207</v>
      </c>
      <c r="D17" s="220" t="s">
        <v>208</v>
      </c>
      <c r="F17" s="222">
        <f t="shared" si="0"/>
        <v>7</v>
      </c>
      <c r="G17" s="223">
        <f>+$C$26</f>
        <v>60000</v>
      </c>
      <c r="I17" s="222">
        <f t="shared" si="1"/>
        <v>140</v>
      </c>
      <c r="J17" s="223">
        <v>585068.06680491334</v>
      </c>
    </row>
    <row r="18" spans="2:10" x14ac:dyDescent="0.2">
      <c r="B18" s="225" t="s">
        <v>39</v>
      </c>
      <c r="C18" s="226">
        <f>+D10*D9</f>
        <v>600000</v>
      </c>
      <c r="D18" s="226">
        <f>+C18/$D$8</f>
        <v>-400</v>
      </c>
      <c r="F18" s="222">
        <f t="shared" si="0"/>
        <v>8</v>
      </c>
      <c r="G18" s="223">
        <f>+$C$26</f>
        <v>60000</v>
      </c>
      <c r="I18" s="222">
        <f t="shared" si="1"/>
        <v>160</v>
      </c>
      <c r="J18" s="223">
        <v>574328.4366403037</v>
      </c>
    </row>
    <row r="19" spans="2:10" x14ac:dyDescent="0.2">
      <c r="B19" s="225" t="s">
        <v>209</v>
      </c>
      <c r="C19" s="226">
        <f>+D11*D9</f>
        <v>-20000</v>
      </c>
      <c r="D19" s="226">
        <f>+C19/$D$8</f>
        <v>13.333333333333334</v>
      </c>
      <c r="F19" s="222">
        <f t="shared" si="0"/>
        <v>9</v>
      </c>
      <c r="G19" s="223">
        <f>+$C$26</f>
        <v>60000</v>
      </c>
      <c r="I19" s="222">
        <f t="shared" si="1"/>
        <v>180</v>
      </c>
      <c r="J19" s="223">
        <v>559308.72429005173</v>
      </c>
    </row>
    <row r="20" spans="2:10" x14ac:dyDescent="0.2">
      <c r="B20" s="225" t="s">
        <v>210</v>
      </c>
      <c r="C20" s="226">
        <f>+D12*D9</f>
        <v>-200000</v>
      </c>
      <c r="D20" s="226">
        <f>+C20/$D$8</f>
        <v>133.33333333333334</v>
      </c>
      <c r="F20" s="222">
        <f t="shared" si="0"/>
        <v>10</v>
      </c>
      <c r="G20" s="223">
        <f>+$C$26</f>
        <v>60000</v>
      </c>
      <c r="I20" s="222">
        <f t="shared" si="1"/>
        <v>200</v>
      </c>
      <c r="J20" s="223">
        <v>541292.95440985006</v>
      </c>
    </row>
    <row r="21" spans="2:10" x14ac:dyDescent="0.2">
      <c r="B21" s="225" t="s">
        <v>211</v>
      </c>
      <c r="C21" s="226">
        <f>+D14*D9</f>
        <v>-10000</v>
      </c>
      <c r="D21" s="226">
        <f>+C21/$D$8</f>
        <v>6.666666666666667</v>
      </c>
      <c r="I21" s="222">
        <f t="shared" si="1"/>
        <v>220</v>
      </c>
      <c r="J21" s="223">
        <v>521098.23359877593</v>
      </c>
    </row>
    <row r="22" spans="2:10" x14ac:dyDescent="0.2">
      <c r="B22" s="225" t="s">
        <v>212</v>
      </c>
      <c r="C22" s="226">
        <f>+D15/10</f>
        <v>-60000</v>
      </c>
      <c r="D22" s="226">
        <f>+C22/$D$8</f>
        <v>40</v>
      </c>
      <c r="F22" s="225" t="s">
        <v>199</v>
      </c>
      <c r="G22" s="226">
        <f>NPV(D13,G11:G20)+G10</f>
        <v>-330354.82230453519</v>
      </c>
      <c r="I22" s="222">
        <f t="shared" si="1"/>
        <v>240</v>
      </c>
      <c r="J22" s="223">
        <v>499269.29958954779</v>
      </c>
    </row>
    <row r="23" spans="2:10" x14ac:dyDescent="0.2">
      <c r="B23" s="225" t="s">
        <v>213</v>
      </c>
      <c r="C23" s="226">
        <f>SUM(C18:C22)</f>
        <v>310000</v>
      </c>
      <c r="D23" s="226">
        <f>+C23/$D$8</f>
        <v>-206.66666666666666</v>
      </c>
      <c r="F23" s="225" t="s">
        <v>214</v>
      </c>
      <c r="G23" s="227">
        <f>IRR(G10:G20)</f>
        <v>0</v>
      </c>
      <c r="I23" s="222">
        <f t="shared" si="1"/>
        <v>260</v>
      </c>
      <c r="J23" s="223">
        <v>476183.278504816</v>
      </c>
    </row>
    <row r="24" spans="2:10" x14ac:dyDescent="0.2">
      <c r="B24" s="225" t="s">
        <v>59</v>
      </c>
      <c r="C24" s="228">
        <v>0</v>
      </c>
      <c r="D24" s="226">
        <f>+C24/$D$8</f>
        <v>0</v>
      </c>
      <c r="I24" s="222">
        <f t="shared" si="1"/>
        <v>280</v>
      </c>
      <c r="J24" s="223">
        <v>452109.54614647455</v>
      </c>
    </row>
    <row r="25" spans="2:10" x14ac:dyDescent="0.2">
      <c r="B25" s="225" t="s">
        <v>215</v>
      </c>
      <c r="C25" s="228">
        <f>+C23+C24</f>
        <v>310000</v>
      </c>
      <c r="D25" s="226">
        <f>+C25/$D$8</f>
        <v>-206.66666666666666</v>
      </c>
      <c r="I25" s="222">
        <f t="shared" si="1"/>
        <v>300</v>
      </c>
      <c r="J25" s="223">
        <v>427245.64476924564</v>
      </c>
    </row>
    <row r="26" spans="2:10" x14ac:dyDescent="0.2">
      <c r="B26" s="225" t="s">
        <v>216</v>
      </c>
      <c r="C26" s="228">
        <f>-C22</f>
        <v>60000</v>
      </c>
      <c r="D26" s="226">
        <f>+C26/$D$8</f>
        <v>-40</v>
      </c>
      <c r="I26" s="222">
        <f t="shared" si="1"/>
        <v>320</v>
      </c>
      <c r="J26" s="223">
        <v>401739.73106416978</v>
      </c>
    </row>
    <row r="27" spans="2:10" x14ac:dyDescent="0.2">
      <c r="B27" s="225" t="s">
        <v>217</v>
      </c>
      <c r="C27" s="228">
        <f>+C25+C26</f>
        <v>370000</v>
      </c>
      <c r="D27" s="226">
        <f>+C27/$D$8</f>
        <v>-246.66666666666666</v>
      </c>
      <c r="I27" s="222">
        <f t="shared" si="1"/>
        <v>340</v>
      </c>
      <c r="J27" s="223">
        <v>375705.10132439726</v>
      </c>
    </row>
    <row r="28" spans="2:10" x14ac:dyDescent="0.2">
      <c r="I28" s="222">
        <f t="shared" si="1"/>
        <v>360</v>
      </c>
      <c r="J28" s="223">
        <v>349229.87488904397</v>
      </c>
    </row>
    <row r="29" spans="2:10" x14ac:dyDescent="0.2">
      <c r="I29" s="222">
        <f t="shared" si="1"/>
        <v>380</v>
      </c>
      <c r="J29" s="223">
        <v>322383.61965741182</v>
      </c>
    </row>
    <row r="30" spans="2:10" x14ac:dyDescent="0.2">
      <c r="I30" s="222">
        <f t="shared" si="1"/>
        <v>400</v>
      </c>
      <c r="J30" s="223">
        <v>295221.98994894326</v>
      </c>
    </row>
    <row r="31" spans="2:10" x14ac:dyDescent="0.2">
      <c r="J31" s="229"/>
    </row>
  </sheetData>
  <hyperlinks>
    <hyperlink ref="J2" location="GIN!A1" display="MENU" xr:uid="{1F2D42ED-C7A4-4C54-800A-3466CABADB74}"/>
  </hyperlink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GIN</vt:lpstr>
      <vt:lpstr>FCL</vt:lpstr>
      <vt:lpstr>PE</vt:lpstr>
      <vt:lpstr>VALUATION</vt:lpstr>
      <vt:lpstr>PE'S</vt:lpstr>
      <vt:lpstr>WORKING CAPITAL</vt:lpstr>
      <vt:lpstr>FLEURIET</vt:lpstr>
      <vt:lpstr>MFIN</vt:lpstr>
      <vt:lpstr>VPL TIR</vt:lpstr>
      <vt:lpstr>FLEURIET!Area_de_impressao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Adriano</cp:lastModifiedBy>
  <dcterms:created xsi:type="dcterms:W3CDTF">2019-12-29T02:08:08Z</dcterms:created>
  <dcterms:modified xsi:type="dcterms:W3CDTF">2019-12-29T14:48:07Z</dcterms:modified>
</cp:coreProperties>
</file>