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embeddings/oleObject4.bin" ContentType="application/vnd.openxmlformats-officedocument.oleObject"/>
  <Override PartName="/xl/embeddings/oleObject3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ate1904="1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2e2\AC\Temp\"/>
    </mc:Choice>
  </mc:AlternateContent>
  <xr:revisionPtr revIDLastSave="0" documentId="8_{C4BEC12D-0AFE-174E-9502-C3F94F577759}" xr6:coauthVersionLast="28" xr6:coauthVersionMax="28" xr10:uidLastSave="{00000000-0000-0000-0000-000000000000}"/>
  <bookViews>
    <workbookView xWindow="360" yWindow="15" windowWidth="11445" windowHeight="6540" tabRatio="720" firstSheet="1" activeTab="2" xr2:uid="{00000000-000D-0000-FFFF-FFFF00000000}"/>
  </bookViews>
  <sheets>
    <sheet name="Calculadora do PIS-Anterior" sheetId="5" state="hidden" r:id="rId1"/>
    <sheet name="Abertura" sheetId="9" r:id="rId2"/>
    <sheet name="Calculadora da COFINS" sheetId="1" r:id="rId3"/>
    <sheet name="Calculadora do PIS" sheetId="6" r:id="rId4"/>
    <sheet name="DARF - COFINS" sheetId="8" r:id="rId5"/>
    <sheet name="DARF - PIS" sheetId="7" r:id="rId6"/>
  </sheets>
  <definedNames>
    <definedName name="_xlnm.Print_Area" localSheetId="2">'Calculadora da COFINS'!$A$1:$H$84</definedName>
    <definedName name="_xlnm.Print_Area" localSheetId="3">'Calculadora do PIS'!$A$1:$H$83</definedName>
    <definedName name="_xlnm.Print_Area" localSheetId="0">'Calculadora do PIS-Anterior'!$A$1:$H$83</definedName>
    <definedName name="_xlnm.Print_Area" localSheetId="4">'DARF - COFINS'!$A$1:$G$78</definedName>
    <definedName name="_xlnm.Print_Area" localSheetId="5">'DARF - PIS'!$A$1:$G$78</definedName>
  </definedNames>
  <calcPr calcId="171026"/>
</workbook>
</file>

<file path=xl/calcChain.xml><?xml version="1.0" encoding="utf-8"?>
<calcChain xmlns="http://schemas.openxmlformats.org/spreadsheetml/2006/main">
  <c r="H65" i="1" l="1"/>
  <c r="H56" i="1"/>
  <c r="H57" i="1"/>
  <c r="H58" i="1"/>
  <c r="H59" i="1"/>
  <c r="H60" i="1"/>
  <c r="H61" i="1"/>
  <c r="H62" i="1"/>
  <c r="H63" i="1"/>
  <c r="H64" i="1"/>
  <c r="H55" i="1"/>
  <c r="H69" i="1"/>
  <c r="H24" i="1"/>
  <c r="H39" i="1"/>
  <c r="H47" i="1"/>
  <c r="H49" i="1"/>
  <c r="H51" i="1"/>
  <c r="H71" i="1"/>
  <c r="H77" i="1"/>
  <c r="H78" i="1"/>
  <c r="H79" i="1"/>
  <c r="H80" i="1"/>
  <c r="H75" i="1"/>
  <c r="H76" i="1"/>
  <c r="H24" i="6"/>
  <c r="H39" i="6"/>
  <c r="H47" i="6"/>
  <c r="H49" i="6"/>
  <c r="H51" i="6"/>
  <c r="H77" i="6"/>
  <c r="H55" i="6"/>
  <c r="H56" i="6"/>
  <c r="H57" i="6"/>
  <c r="H58" i="6"/>
  <c r="H59" i="6"/>
  <c r="H60" i="6"/>
  <c r="H61" i="6"/>
  <c r="H62" i="6"/>
  <c r="H63" i="6"/>
  <c r="H64" i="6"/>
  <c r="H68" i="6"/>
  <c r="H76" i="6"/>
  <c r="H78" i="6"/>
  <c r="H79" i="6"/>
  <c r="H74" i="6"/>
  <c r="H75" i="6"/>
  <c r="H70" i="6"/>
  <c r="H23" i="5"/>
  <c r="H37" i="5"/>
  <c r="H45" i="5"/>
  <c r="H47" i="5"/>
  <c r="H49" i="5"/>
  <c r="H53" i="5"/>
  <c r="H54" i="5"/>
  <c r="H55" i="5"/>
  <c r="H56" i="5"/>
  <c r="H57" i="5"/>
  <c r="H58" i="5"/>
  <c r="H59" i="5"/>
  <c r="H60" i="5"/>
  <c r="H64" i="5"/>
  <c r="H66" i="5"/>
  <c r="G21" i="8"/>
  <c r="G30" i="8"/>
  <c r="G9" i="8"/>
  <c r="G46" i="8"/>
  <c r="C19" i="8"/>
  <c r="G6" i="8"/>
  <c r="B17" i="8"/>
  <c r="G67" i="8"/>
  <c r="G64" i="8"/>
  <c r="G61" i="8"/>
  <c r="G58" i="8"/>
  <c r="C56" i="8"/>
  <c r="G55" i="8"/>
  <c r="B54" i="8"/>
  <c r="G52" i="8"/>
  <c r="G49" i="8"/>
  <c r="G43" i="8"/>
  <c r="G21" i="7"/>
  <c r="G30" i="7"/>
  <c r="G9" i="7"/>
  <c r="C19" i="7"/>
  <c r="G43" i="7"/>
  <c r="G6" i="7"/>
  <c r="B17" i="7"/>
  <c r="G67" i="7"/>
  <c r="G64" i="7"/>
  <c r="G61" i="7"/>
  <c r="G58" i="7"/>
  <c r="C56" i="7"/>
  <c r="G55" i="7"/>
  <c r="B54" i="7"/>
  <c r="G52" i="7"/>
  <c r="G49" i="7"/>
  <c r="G4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ME</author>
  </authors>
  <commentList>
    <comment ref="F55" authorId="0" shapeId="0" xr:uid="{00000000-0006-0000-0200-000001000000}">
      <text>
        <r>
          <rPr>
            <b/>
            <sz val="8"/>
            <color indexed="81"/>
            <rFont val="Tahoma"/>
          </rPr>
          <t>LEI Nº 10.833 - Art. 3º
Inciso I -</t>
        </r>
        <r>
          <rPr>
            <sz val="8"/>
            <color indexed="81"/>
            <rFont val="Tahoma"/>
            <family val="2"/>
          </rPr>
          <t xml:space="preserve"> bens adquiridos para revenda, exceto em relação às mercadorias e aos produtos referidos nos incisos III e IV do § 3o do art. 1o</t>
        </r>
        <r>
          <rPr>
            <sz val="8"/>
            <color indexed="81"/>
            <rFont val="Tahoma"/>
          </rPr>
          <t xml:space="preserve">
</t>
        </r>
      </text>
    </comment>
    <comment ref="F56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LEI Nº 10.833 - Art. 3º
Inciso II</t>
        </r>
        <r>
          <rPr>
            <sz val="8"/>
            <color indexed="81"/>
            <rFont val="Tahoma"/>
          </rPr>
          <t xml:space="preserve"> - bens e serviços, utilizados como insumo na prestação de serviços e na produção ou fabricação de bens ou produtos destinados à venda, inclusive combustíveis e lubrificantes;</t>
        </r>
      </text>
    </comment>
    <comment ref="F57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LEI Nº 10.833 - Art. 3º
Inciso II</t>
        </r>
        <r>
          <rPr>
            <sz val="8"/>
            <color indexed="81"/>
            <rFont val="Tahoma"/>
          </rPr>
          <t xml:space="preserve"> - bens e serviços, utilizados como insumo na prestação de serviços e na produção ou fabricação de bens ou produtos destinados à venda, inclusive combustíveis e lubrificantes;
</t>
        </r>
      </text>
    </comment>
    <comment ref="F58" authorId="0" shapeId="0" xr:uid="{00000000-0006-0000-0200-000004000000}">
      <text>
        <r>
          <rPr>
            <b/>
            <sz val="8"/>
            <color indexed="81"/>
            <rFont val="Tahoma"/>
          </rPr>
          <t xml:space="preserve">LEI Nº 10.833 - Art. 3º
Inciso III </t>
        </r>
        <r>
          <rPr>
            <sz val="8"/>
            <color indexed="81"/>
            <rFont val="Tahoma"/>
            <family val="2"/>
          </rPr>
          <t>- energia elétrica consumida nos estabelecimentos da pessoa jurídica;</t>
        </r>
      </text>
    </comment>
    <comment ref="F59" authorId="0" shapeId="0" xr:uid="{00000000-0006-0000-0200-000005000000}">
      <text>
        <r>
          <rPr>
            <b/>
            <sz val="8"/>
            <color indexed="81"/>
            <rFont val="Tahoma"/>
          </rPr>
          <t>LEI Nº 18.833 - Art. 3º</t>
        </r>
        <r>
          <rPr>
            <sz val="8"/>
            <color indexed="81"/>
            <rFont val="Tahoma"/>
          </rPr>
          <t xml:space="preserve">
</t>
        </r>
        <r>
          <rPr>
            <b/>
            <sz val="8"/>
            <color indexed="81"/>
            <rFont val="Tahoma"/>
            <family val="2"/>
          </rPr>
          <t>Inciso IV</t>
        </r>
        <r>
          <rPr>
            <sz val="8"/>
            <color indexed="81"/>
            <rFont val="Tahoma"/>
          </rPr>
          <t xml:space="preserve"> - aluguéis de prédios, máquinas e equipamentos, pagos a pessoa jurídica, utilizados nas atividades da empresa;
</t>
        </r>
      </text>
    </comment>
    <comment ref="F60" authorId="0" shapeId="0" xr:uid="{00000000-0006-0000-0200-000006000000}">
      <text>
        <r>
          <rPr>
            <b/>
            <sz val="8"/>
            <color indexed="81"/>
            <rFont val="Tahoma"/>
          </rPr>
          <t>LEI Nº 10.833 - Art. 3º
Inciso V</t>
        </r>
        <r>
          <rPr>
            <sz val="8"/>
            <color indexed="81"/>
            <rFont val="Tahoma"/>
            <family val="2"/>
          </rPr>
          <t xml:space="preserve"> - despesas financeiras decorrentes de empréstimos, financiamentos e o valor das contraprestações de operações de arrendamento mercantil de pessoa jurídica, exceto de optante pelo SIMPLES;</t>
        </r>
        <r>
          <rPr>
            <sz val="8"/>
            <color indexed="81"/>
            <rFont val="Tahoma"/>
          </rPr>
          <t xml:space="preserve">
</t>
        </r>
      </text>
    </comment>
    <comment ref="F61" authorId="0" shapeId="0" xr:uid="{00000000-0006-0000-0200-000007000000}">
      <text>
        <r>
          <rPr>
            <b/>
            <sz val="8"/>
            <color indexed="81"/>
            <rFont val="Tahoma"/>
          </rPr>
          <t>LEI Nº 10.833 - Art. 3º
Inciso VI</t>
        </r>
        <r>
          <rPr>
            <sz val="8"/>
            <color indexed="81"/>
            <rFont val="Tahoma"/>
            <family val="2"/>
          </rPr>
          <t xml:space="preserve"> - máquinas, equipamentos e outros bens incorporados ao ativo imobilizado adquiridos para utilização na produção de bens destinados à venda, ou na prestação de serviços;</t>
        </r>
        <r>
          <rPr>
            <sz val="8"/>
            <color indexed="81"/>
            <rFont val="Tahoma"/>
          </rPr>
          <t xml:space="preserve">
</t>
        </r>
      </text>
    </comment>
    <comment ref="F62" authorId="0" shapeId="0" xr:uid="{00000000-0006-0000-0200-000008000000}">
      <text>
        <r>
          <rPr>
            <b/>
            <sz val="8"/>
            <color indexed="81"/>
            <rFont val="Tahoma"/>
          </rPr>
          <t xml:space="preserve">LEI Nº 18.833 - Art. 3º
Inciso VII - </t>
        </r>
        <r>
          <rPr>
            <sz val="8"/>
            <color indexed="81"/>
            <rFont val="Tahoma"/>
            <family val="2"/>
          </rPr>
          <t xml:space="preserve"> edificações e benfeitorias em imóveis próprios ou de terceiros, utilizados nas atividades da empresa;</t>
        </r>
        <r>
          <rPr>
            <sz val="8"/>
            <color indexed="81"/>
            <rFont val="Tahoma"/>
          </rPr>
          <t xml:space="preserve">
</t>
        </r>
      </text>
    </comment>
    <comment ref="F63" authorId="0" shapeId="0" xr:uid="{00000000-0006-0000-0200-000009000000}">
      <text>
        <r>
          <rPr>
            <b/>
            <sz val="8"/>
            <color indexed="81"/>
            <rFont val="Tahoma"/>
          </rPr>
          <t>LEI Nº 10.833 - Art. 3º
Inciso VIII</t>
        </r>
        <r>
          <rPr>
            <sz val="8"/>
            <color indexed="81"/>
            <rFont val="Tahoma"/>
            <family val="2"/>
          </rPr>
          <t xml:space="preserve"> - bens recebidos em devolução cuja receita de venda tenha integrado faturamento do mês ou de mês anterior, e tributada conforme o disposto nesta Lei;</t>
        </r>
        <r>
          <rPr>
            <sz val="8"/>
            <color indexed="81"/>
            <rFont val="Tahoma"/>
          </rPr>
          <t xml:space="preserve">
</t>
        </r>
      </text>
    </comment>
    <comment ref="F64" authorId="0" shapeId="0" xr:uid="{00000000-0006-0000-0200-00000A000000}">
      <text>
        <r>
          <rPr>
            <b/>
            <sz val="8"/>
            <color indexed="81"/>
            <rFont val="Tahoma"/>
          </rPr>
          <t xml:space="preserve">LEI Nº 10.833 - Art. 3º
Inciso IX </t>
        </r>
        <r>
          <rPr>
            <sz val="8"/>
            <color indexed="81"/>
            <rFont val="Tahoma"/>
            <family val="2"/>
          </rPr>
          <t>- armazenagem de mercadoria e frete na operação de venda, nos casos dos incisos I e II, quando o ônus for suportado pelo vendedor.</t>
        </r>
        <r>
          <rPr>
            <sz val="8"/>
            <color indexed="81"/>
            <rFont val="Tahoma"/>
          </rPr>
          <t xml:space="preserve">
</t>
        </r>
      </text>
    </comment>
    <comment ref="F65" authorId="0" shapeId="0" xr:uid="{00000000-0006-0000-0200-00000B000000}">
      <text>
        <r>
          <rPr>
            <b/>
            <sz val="8"/>
            <color indexed="81"/>
            <rFont val="Tahoma"/>
          </rPr>
          <t>Informar valor total do estoque existente em 31/01/2004 - A planilha irá calcular 1/12 avos do crédito presumido de 3,0% do valor estoque.</t>
        </r>
        <r>
          <rPr>
            <sz val="8"/>
            <color indexed="81"/>
            <rFont val="Tahoma"/>
          </rPr>
          <t xml:space="preserve">
</t>
        </r>
      </text>
    </comment>
    <comment ref="G66" authorId="0" shapeId="0" xr:uid="{00000000-0006-0000-0200-00000C000000}">
      <text>
        <r>
          <rPr>
            <b/>
            <sz val="8"/>
            <color indexed="81"/>
            <rFont val="Tahoma"/>
          </rPr>
          <t>COMPENSAÇÕES de PIS, COFINS e IRF retidos conf. Art. 34 da Lei Nº 10.833/2003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<sst xmlns="http://schemas.openxmlformats.org/spreadsheetml/2006/main" count="526" uniqueCount="152">
  <si>
    <t>EXCLUSÕES DA BASE DE CÁLCULO - ART. 1º DA LEI Nº 10.833/2003</t>
  </si>
  <si>
    <t>FATURAMENTO / RECEITA BRUTA - ART. 1º DA LEI Nº 10.833/2003</t>
  </si>
  <si>
    <t>Demais Créditos Presumidos Permitidos pela Legislação</t>
  </si>
  <si>
    <t>PLANILHA DE CÁLCULO DO PIS NÃO CUMULATIVO</t>
  </si>
  <si>
    <t>ALÍQUOTA DE 1,65% - PESSOAS JURÍDICAS TRIBUTADAS COM BASE NO LUCRO REAL</t>
  </si>
  <si>
    <t>Contabes</t>
  </si>
  <si>
    <t>Empresa:</t>
  </si>
  <si>
    <t>Mês / Ano:</t>
  </si>
  <si>
    <t>DISCRIMINAÇÕES</t>
  </si>
  <si>
    <t>FATURAMENTO / RECEITA BRUTA - ART. 1º DA LEI Nº 10.537/2002</t>
  </si>
  <si>
    <t>(+)</t>
  </si>
  <si>
    <t>(=)</t>
  </si>
  <si>
    <t>RECEITAS</t>
  </si>
  <si>
    <t>EXCLUSÕES DA BASE DE CÁLCULO - ART. 1º DA LEI Nº 10.637/2002</t>
  </si>
  <si>
    <t>EXCLUSÕES</t>
  </si>
  <si>
    <t>ISENÇÕES</t>
  </si>
  <si>
    <t>CRÉDITOS DO PIS - ART. 3º DA LEI Nº 10.637/2002</t>
  </si>
  <si>
    <t>(-)</t>
  </si>
  <si>
    <t>CRÉDITOS</t>
  </si>
  <si>
    <t>CONTABES Assessoria Empresarial Ltda-ME</t>
  </si>
  <si>
    <t>Rua João Francisco Calmon, 1499 - Loja A - Centro - Linhares - ES</t>
  </si>
  <si>
    <t>Tel.: (27)3371-1622 - E-mail: joaobatista@joaobatista.com.br</t>
  </si>
  <si>
    <t>Faturamento Mensal (Receita Bruta Total do Mês)</t>
  </si>
  <si>
    <t>Rendimentos de Aplicações Financeiras e de Renda Fixa</t>
  </si>
  <si>
    <t>Ganhos de Aplicações de Rend Variável</t>
  </si>
  <si>
    <t>Juros Ativos</t>
  </si>
  <si>
    <t>Receita de Aluguéis</t>
  </si>
  <si>
    <t>Outras Receitas Financeira</t>
  </si>
  <si>
    <t>Outras Receitas Operacionais</t>
  </si>
  <si>
    <t>Total da Receita Bruta</t>
  </si>
  <si>
    <t>Mercadorias Adquiridas para Revenda</t>
  </si>
  <si>
    <t>Bens e Serviços Utilizados com Insumos na Fabricação</t>
  </si>
  <si>
    <t>Alugéis Pagos a PJ (prédios, máquinas e equipamentos)</t>
  </si>
  <si>
    <t>VALORES EM R$</t>
  </si>
  <si>
    <t>Despesas Financeiras de Empréstimos e Financiamentos de PJ</t>
  </si>
  <si>
    <t>Encargos de Depreciações do Ativo Imobilizado</t>
  </si>
  <si>
    <t>Depreciação ou Amortização de Edificações e Benfeitorias em Imóveis</t>
  </si>
  <si>
    <t>Devoluções de Vendas Tributadas a Alíquota de 1,65%</t>
  </si>
  <si>
    <t>Estoque de Abertura em 01/12/2002 x 0,65% : 12 parcelas</t>
  </si>
  <si>
    <t>Saldo Positivo de Créditos do Mês Anterior ou Meses Anteriores</t>
  </si>
  <si>
    <t>Total dos Créditos</t>
  </si>
  <si>
    <t>PIS/PASEP NÃO CUMULATIVO A PAGAR</t>
  </si>
  <si>
    <t>Receitas de Exportação para o Exterior</t>
  </si>
  <si>
    <t>Receitas de Vendas para Empresa Comercial Exportadora</t>
  </si>
  <si>
    <t>Total das Isenções</t>
  </si>
  <si>
    <t>BASE DE CÁLCULO DO PIS/PASEP NÃO CUMULATIVO</t>
  </si>
  <si>
    <t>PIS/PASEP DEVIDO = BASE DE CÁLCULO X 1,65%</t>
  </si>
  <si>
    <t>Receitas Sujeitas a Alíquota Zero</t>
  </si>
  <si>
    <t>Receitas Sujeitas a Substituição Tributária</t>
  </si>
  <si>
    <t>Receitas Sujeitas ao Regime Monofásico</t>
  </si>
  <si>
    <t>Vendas Canceladas</t>
  </si>
  <si>
    <t>Descontos Incondicionais Concedidos</t>
  </si>
  <si>
    <t>Reversão de Provisões</t>
  </si>
  <si>
    <t>Recuperação de Créditos Baixados Como Perdas</t>
  </si>
  <si>
    <t>Resultado Positivo de Equivalência Patrimonial</t>
  </si>
  <si>
    <t>Total das Exclusões</t>
  </si>
  <si>
    <t>ALÍQUOTA DE 7,6% - PESSOAS JURÍDICAS TRIBUTADAS COM BASE NO LUCRO REAL</t>
  </si>
  <si>
    <t>BASE DE CÁLCULO DA COFINS NÃO CUMULATIVA</t>
  </si>
  <si>
    <t>COFINS DEVIDA = BASE DE CÁLCULO X 7,6%</t>
  </si>
  <si>
    <t>PLANILHA DE CÁLCULO DA COFINS NÃO CUMULATIVA</t>
  </si>
  <si>
    <t>Devoluções de Vendas Tributadas a Alíquota de 7,6%</t>
  </si>
  <si>
    <t>CRÉDITOS DA COFINS - ART. 3º DA LEI Nº 10.833/2003</t>
  </si>
  <si>
    <t>Energia Elétrica Consumida nos Estabelecimentos da Pessoa Jurídica</t>
  </si>
  <si>
    <t>Bens e Encargos de Depreciações do Ativo Imobilizado</t>
  </si>
  <si>
    <t>Despesas de Armazenagem e Frete na Operação de Venda</t>
  </si>
  <si>
    <t>Ganhos de Aplicações de Renda Variável</t>
  </si>
  <si>
    <t>DEMONSTRATIVO DOS SALDOS</t>
  </si>
  <si>
    <t>Saldo Credor do Período Anterior</t>
  </si>
  <si>
    <t>Créditos do Período de Apuração</t>
  </si>
  <si>
    <t>Total do Créditos Apurados</t>
  </si>
  <si>
    <t>Débitos do Período de Apuração</t>
  </si>
  <si>
    <t>Saldo Devedor do Período de Apuração</t>
  </si>
  <si>
    <t>Saldo Credor do Período de Apuração</t>
  </si>
  <si>
    <t>Receitas Prest. Serviços PF/PJ domiciliadas Exterior c/recebimento em Moeda Estrangeira</t>
  </si>
  <si>
    <t>Dividendos Receb. de Investimentos Avaliados pelo Custo de Aquisição do Ativo Imobilizado</t>
  </si>
  <si>
    <t>Receitas Não Operacionais (Vendas de Bens do Ativo Permanente / Ganhos de Capitais)</t>
  </si>
  <si>
    <t>SALDOS</t>
  </si>
  <si>
    <t>BASE DE CÁLCULO DO PIS NÃO CUMULATIVO</t>
  </si>
  <si>
    <t>PIS DEVIDO = BASE DE CÁLCULO X 1,65%</t>
  </si>
  <si>
    <t>FATURAMENTO / RECEITA BRUTA - ART. 1º DA LEI Nº 10.637/2002</t>
  </si>
  <si>
    <t>COFINS NÃO CUMULATIVA A PAGAR - Código no DARF 5856</t>
  </si>
  <si>
    <t>Saldo Devedor do Período de Apuração - Código no DARF 5856</t>
  </si>
  <si>
    <t>PIS NÃO CUMULATIVO A PAGAR - Código no DARF 6912</t>
  </si>
  <si>
    <t>Saldo Devedor do Período de Apuração - Códdigo no DARF 6912</t>
  </si>
  <si>
    <t>Bens e Serviços Utilizados como Insumos na Produção / Fabricação</t>
  </si>
  <si>
    <t>Bens e Serviços Utilizados como Insumos na Prestação de Serviços</t>
  </si>
  <si>
    <t>Outras Receitas Financeiras</t>
  </si>
  <si>
    <t>Lucros e Dividendos Recebidos</t>
  </si>
  <si>
    <t>Receitas de Vendas do Ativo Permanente Avaliados pelo Custo de Aquisição</t>
  </si>
  <si>
    <t>Aluguéis Pagos a PJ (prédios, máquinas e equipamentos)</t>
  </si>
  <si>
    <t>02</t>
  </si>
  <si>
    <t>PERÍODO DE APURAÇÃO</t>
  </si>
  <si>
    <t>MINISTÉRIO DA FAZENDA</t>
  </si>
  <si>
    <t></t>
  </si>
  <si>
    <t>SECRETARIA DA RECEITA FEDERAL</t>
  </si>
  <si>
    <t>Documento de Arrecadação de Receitas Federais</t>
  </si>
  <si>
    <t>03</t>
  </si>
  <si>
    <t>NÚMERO DO CPF OU CNPJ</t>
  </si>
  <si>
    <t>DARF</t>
  </si>
  <si>
    <t>04</t>
  </si>
  <si>
    <t>CÓDIGO DA RECEITA</t>
  </si>
  <si>
    <t>05</t>
  </si>
  <si>
    <t>NÚMERO DE REFERÊNCIA</t>
  </si>
  <si>
    <r>
      <t>01</t>
    </r>
    <r>
      <rPr>
        <sz val="6"/>
        <rFont val="Arial"/>
        <family val="2"/>
      </rPr>
      <t xml:space="preserve"> - NOME / TELEFONE</t>
    </r>
  </si>
  <si>
    <t>06</t>
  </si>
  <si>
    <t>DATA DE VENCIMENTO</t>
  </si>
  <si>
    <t>Telefone:</t>
  </si>
  <si>
    <t>Veja no verso</t>
  </si>
  <si>
    <t>07</t>
  </si>
  <si>
    <t>VALOR PRINCIPAL</t>
  </si>
  <si>
    <t>Instruções para preenchimento</t>
  </si>
  <si>
    <t>08</t>
  </si>
  <si>
    <t>VALOR DA MULTA</t>
  </si>
  <si>
    <t>ATENÇÃO</t>
  </si>
  <si>
    <t>09</t>
  </si>
  <si>
    <t>VALOR DOS JUROS E/OU</t>
  </si>
  <si>
    <t>ENCARGOS DL - 1025/69</t>
  </si>
  <si>
    <t xml:space="preserve">É vedado o recolhimento de tributos e contribuições administradas pela Secretaria da Receita Federal, cujo valor seja inferior a R$ 10,00. Ocorrendo tal situação, adicione esse valor ao tributo ou contribuição de mesmo código de períodos subsequentes, até que o total seja igual ou superior a R$ 10,00. </t>
  </si>
  <si>
    <t>10</t>
  </si>
  <si>
    <t>VALOR TOTAL</t>
  </si>
  <si>
    <t>11</t>
  </si>
  <si>
    <t>AUTENTICAÇÃO BANCÁRIA (Somente nas 1ª e 2ª vias)</t>
  </si>
  <si>
    <t>Aprovado pela IN?SRF Nº 81/96.</t>
  </si>
  <si>
    <t>Impresso no site: www.joaobatista.com.br</t>
  </si>
  <si>
    <t>DARF - PIS Não Cumulativo - Código: 6912</t>
  </si>
  <si>
    <t>DARF - COFINS Não Cumulativa - Código: 5856</t>
  </si>
  <si>
    <t>Ref. Empresa:</t>
  </si>
  <si>
    <t>Dia/Mês/Ano:</t>
  </si>
  <si>
    <t>Este trabalho foi executado com a finalidade de colaborar</t>
  </si>
  <si>
    <t>com a classe contabil, em uma parceria entre</t>
  </si>
  <si>
    <t>ASCOL - Associação dos Contabilistas de Linhares</t>
  </si>
  <si>
    <t>e CONTABES (João Batista - Contabilidade)</t>
  </si>
  <si>
    <t>Mensagem:</t>
  </si>
  <si>
    <t>Qualquer comentário, dúvidas ou sugestões</t>
  </si>
  <si>
    <t>poderão ser encaminhados para:</t>
  </si>
  <si>
    <t>joaobatista@joaobatista.com.br</t>
  </si>
  <si>
    <t>Prezado Colega Contabilista:</t>
  </si>
  <si>
    <t>ou acessar</t>
  </si>
  <si>
    <t>www.joaobatista.com.br</t>
  </si>
  <si>
    <t>Navegue nas abas abaixo, para cálculos do PIS e COFINS e emissão dos DARFs correspondentes</t>
  </si>
  <si>
    <t>Bem vindo à Planilha de Cálculos do PIS e COFINS Não Cumulativos</t>
  </si>
  <si>
    <t>Use papel A4 para impressão das planilhas e DARFs</t>
  </si>
  <si>
    <t>Patrocínio: MICRO SUPRIMENTOS - Linhares - ES</t>
  </si>
  <si>
    <t>Disk Suprimentos - Tel.: 3200-6668</t>
  </si>
  <si>
    <t>CNPJ   Nº :</t>
  </si>
  <si>
    <t>Telefone Nº:</t>
  </si>
  <si>
    <t>Saldo de Créditos do Mês Anterior ou Meses Anteriores (1/12 avos estoque em 01/12/2002)</t>
  </si>
  <si>
    <t>Insira os dados nos campos sombreados das tabelas</t>
  </si>
  <si>
    <t>Saldo de Créditos do Mês Anterior ou Meses Anteriores</t>
  </si>
  <si>
    <t>1/12 avos do estoque existente em 31/01/2004 (informar total do estoque)</t>
  </si>
  <si>
    <t>Outros créditos presumidos permitidos pela legislação (compensações)</t>
  </si>
  <si>
    <t>Lei Nº 10.833/2003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</si>
</sst>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 &quot;* #,##0.00_);_(&quot;R$ &quot;* \(#,##0.00\);_(&quot;R$ &quot;* &quot;-&quot;??_);_(@_)"/>
    <numFmt numFmtId="165" formatCode="00&quot;.&quot;000&quot;.&quot;000&quot;/&quot;0000&quot;-&quot;00"/>
    <numFmt numFmtId="166" formatCode="0000&quot;-&quot;0000"/>
  </numFmts>
  <fonts count="2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7"/>
      <name val="Arial"/>
      <family val="2"/>
    </font>
    <font>
      <b/>
      <i/>
      <sz val="13.5"/>
      <color indexed="9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0"/>
      <color indexed="12"/>
      <name val="Arial"/>
    </font>
    <font>
      <sz val="8"/>
      <name val="Arial"/>
    </font>
    <font>
      <sz val="6"/>
      <name val="Arial"/>
      <family val="2"/>
    </font>
    <font>
      <sz val="8"/>
      <name val="Wingdings 3"/>
      <family val="1"/>
      <charset val="2"/>
    </font>
    <font>
      <b/>
      <sz val="18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2"/>
      <name val="Arial"/>
      <family val="2"/>
    </font>
    <font>
      <u/>
      <sz val="9"/>
      <color indexed="12"/>
      <name val="Arial"/>
      <family val="2"/>
    </font>
    <font>
      <sz val="11"/>
      <name val="Arial"/>
      <family val="2"/>
    </font>
    <font>
      <b/>
      <sz val="10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6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215">
    <xf numFmtId="0" fontId="0" fillId="0" borderId="0" xfId="0"/>
    <xf numFmtId="0" fontId="2" fillId="0" borderId="0" xfId="0" applyFont="1" applyFill="1" applyProtection="1"/>
    <xf numFmtId="0" fontId="2" fillId="2" borderId="0" xfId="0" applyFont="1" applyFill="1" applyProtection="1"/>
    <xf numFmtId="0" fontId="2" fillId="3" borderId="0" xfId="0" applyFont="1" applyFill="1" applyProtection="1"/>
    <xf numFmtId="0" fontId="2" fillId="0" borderId="0" xfId="0" applyFont="1" applyProtection="1"/>
    <xf numFmtId="0" fontId="2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left"/>
    </xf>
    <xf numFmtId="0" fontId="6" fillId="0" borderId="0" xfId="0" applyFont="1" applyProtection="1"/>
    <xf numFmtId="0" fontId="5" fillId="0" borderId="0" xfId="0" applyFont="1" applyFill="1" applyProtection="1"/>
    <xf numFmtId="0" fontId="5" fillId="2" borderId="0" xfId="0" applyFont="1" applyFill="1" applyProtection="1"/>
    <xf numFmtId="0" fontId="5" fillId="3" borderId="0" xfId="0" applyFont="1" applyFill="1" applyProtection="1"/>
    <xf numFmtId="0" fontId="5" fillId="0" borderId="0" xfId="0" applyFont="1" applyProtection="1"/>
    <xf numFmtId="0" fontId="3" fillId="0" borderId="0" xfId="0" applyFont="1" applyAlignment="1" applyProtection="1">
      <alignment horizontal="left"/>
    </xf>
    <xf numFmtId="0" fontId="5" fillId="4" borderId="0" xfId="0" applyFont="1" applyFill="1" applyAlignment="1" applyProtection="1">
      <alignment horizontal="center"/>
    </xf>
    <xf numFmtId="0" fontId="0" fillId="0" borderId="0" xfId="0" applyAlignment="1">
      <alignment horizontal="left"/>
    </xf>
    <xf numFmtId="0" fontId="2" fillId="0" borderId="0" xfId="0" applyFont="1" applyBorder="1" applyProtection="1"/>
    <xf numFmtId="0" fontId="3" fillId="0" borderId="0" xfId="0" applyFont="1" applyFill="1" applyBorder="1" applyAlignment="1" applyProtection="1">
      <alignment horizontal="center"/>
    </xf>
    <xf numFmtId="0" fontId="2" fillId="3" borderId="0" xfId="0" applyFont="1" applyFill="1" applyAlignment="1" applyProtection="1">
      <alignment horizontal="center"/>
    </xf>
    <xf numFmtId="0" fontId="3" fillId="3" borderId="0" xfId="0" applyFont="1" applyFill="1" applyAlignment="1" applyProtection="1">
      <alignment horizontal="center"/>
    </xf>
    <xf numFmtId="0" fontId="5" fillId="4" borderId="1" xfId="0" applyFont="1" applyFill="1" applyBorder="1" applyAlignment="1" applyProtection="1">
      <alignment horizontal="center"/>
    </xf>
    <xf numFmtId="0" fontId="2" fillId="4" borderId="0" xfId="0" applyFont="1" applyFill="1" applyProtection="1"/>
    <xf numFmtId="0" fontId="5" fillId="4" borderId="0" xfId="0" applyFont="1" applyFill="1" applyProtection="1"/>
    <xf numFmtId="0" fontId="3" fillId="4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left"/>
    </xf>
    <xf numFmtId="0" fontId="7" fillId="0" borderId="0" xfId="0" applyFont="1" applyFill="1" applyBorder="1" applyProtection="1">
      <protection locked="0"/>
    </xf>
    <xf numFmtId="0" fontId="3" fillId="4" borderId="2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2" fillId="0" borderId="2" xfId="0" applyFont="1" applyBorder="1" applyProtection="1"/>
    <xf numFmtId="4" fontId="2" fillId="5" borderId="2" xfId="0" applyNumberFormat="1" applyFont="1" applyFill="1" applyBorder="1" applyProtection="1">
      <protection locked="0"/>
    </xf>
    <xf numFmtId="0" fontId="3" fillId="0" borderId="2" xfId="0" applyFont="1" applyBorder="1" applyAlignment="1" applyProtection="1">
      <alignment horizontal="center"/>
    </xf>
    <xf numFmtId="4" fontId="3" fillId="0" borderId="2" xfId="0" applyNumberFormat="1" applyFont="1" applyBorder="1" applyProtection="1"/>
    <xf numFmtId="4" fontId="2" fillId="0" borderId="2" xfId="0" applyNumberFormat="1" applyFont="1" applyBorder="1" applyProtection="1"/>
    <xf numFmtId="0" fontId="2" fillId="4" borderId="2" xfId="0" applyFont="1" applyFill="1" applyBorder="1" applyAlignment="1" applyProtection="1">
      <alignment horizontal="center"/>
    </xf>
    <xf numFmtId="0" fontId="7" fillId="5" borderId="3" xfId="0" applyFont="1" applyFill="1" applyBorder="1" applyProtection="1">
      <protection locked="0"/>
    </xf>
    <xf numFmtId="0" fontId="2" fillId="0" borderId="4" xfId="0" applyFont="1" applyBorder="1" applyProtection="1"/>
    <xf numFmtId="0" fontId="2" fillId="0" borderId="5" xfId="0" applyFont="1" applyBorder="1" applyProtection="1"/>
    <xf numFmtId="0" fontId="3" fillId="0" borderId="4" xfId="0" applyFont="1" applyBorder="1" applyProtection="1"/>
    <xf numFmtId="0" fontId="3" fillId="0" borderId="5" xfId="0" applyFont="1" applyBorder="1" applyProtection="1"/>
    <xf numFmtId="0" fontId="2" fillId="4" borderId="6" xfId="0" applyFont="1" applyFill="1" applyBorder="1" applyAlignment="1" applyProtection="1">
      <alignment horizontal="center"/>
    </xf>
    <xf numFmtId="0" fontId="2" fillId="4" borderId="7" xfId="0" applyFont="1" applyFill="1" applyBorder="1" applyAlignment="1" applyProtection="1">
      <alignment horizontal="center"/>
    </xf>
    <xf numFmtId="0" fontId="2" fillId="4" borderId="8" xfId="0" applyFont="1" applyFill="1" applyBorder="1" applyAlignment="1" applyProtection="1">
      <alignment horizontal="center"/>
    </xf>
    <xf numFmtId="4" fontId="3" fillId="0" borderId="2" xfId="0" applyNumberFormat="1" applyFont="1" applyBorder="1" applyAlignment="1" applyProtection="1">
      <alignment horizontal="right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Border="1" applyProtection="1"/>
    <xf numFmtId="4" fontId="3" fillId="0" borderId="0" xfId="0" applyNumberFormat="1" applyFont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 vertical="center" textRotation="255"/>
    </xf>
    <xf numFmtId="0" fontId="5" fillId="0" borderId="0" xfId="0" applyFont="1" applyFill="1" applyBorder="1" applyAlignment="1" applyProtection="1">
      <alignment horizontal="left"/>
    </xf>
    <xf numFmtId="14" fontId="5" fillId="5" borderId="3" xfId="0" applyNumberFormat="1" applyFont="1" applyFill="1" applyBorder="1" applyAlignment="1" applyProtection="1">
      <alignment horizontal="center"/>
      <protection locked="0"/>
    </xf>
    <xf numFmtId="0" fontId="5" fillId="5" borderId="3" xfId="0" applyFont="1" applyFill="1" applyBorder="1" applyAlignment="1" applyProtection="1">
      <alignment horizontal="left"/>
      <protection locked="0"/>
    </xf>
    <xf numFmtId="0" fontId="5" fillId="5" borderId="3" xfId="0" applyNumberFormat="1" applyFont="1" applyFill="1" applyBorder="1" applyAlignment="1" applyProtection="1">
      <alignment horizontal="left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Border="1" applyProtection="1">
      <protection locked="0"/>
    </xf>
    <xf numFmtId="49" fontId="3" fillId="4" borderId="0" xfId="0" applyNumberFormat="1" applyFont="1" applyFill="1" applyBorder="1" applyAlignment="1" applyProtection="1">
      <alignment horizontal="center" vertical="center"/>
      <protection locked="0"/>
    </xf>
    <xf numFmtId="0" fontId="15" fillId="4" borderId="0" xfId="0" applyFont="1" applyFill="1" applyBorder="1" applyAlignment="1" applyProtection="1">
      <alignment horizontal="center" vertical="center"/>
      <protection locked="0"/>
    </xf>
    <xf numFmtId="0" fontId="0" fillId="2" borderId="0" xfId="0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0" fillId="3" borderId="0" xfId="0" applyFill="1" applyProtection="1">
      <protection locked="0"/>
    </xf>
    <xf numFmtId="0" fontId="0" fillId="2" borderId="0" xfId="0" applyFill="1" applyProtection="1">
      <protection locked="0"/>
    </xf>
    <xf numFmtId="0" fontId="4" fillId="4" borderId="0" xfId="0" applyFont="1" applyFill="1" applyBorder="1" applyProtection="1">
      <protection locked="0"/>
    </xf>
    <xf numFmtId="0" fontId="0" fillId="0" borderId="9" xfId="0" applyFill="1" applyBorder="1" applyProtection="1">
      <protection locked="0"/>
    </xf>
    <xf numFmtId="0" fontId="0" fillId="4" borderId="9" xfId="0" applyFill="1" applyBorder="1" applyProtection="1">
      <protection locked="0"/>
    </xf>
    <xf numFmtId="49" fontId="3" fillId="4" borderId="9" xfId="0" applyNumberFormat="1" applyFont="1" applyFill="1" applyBorder="1" applyAlignment="1" applyProtection="1">
      <alignment horizontal="center" vertical="center"/>
      <protection locked="0"/>
    </xf>
    <xf numFmtId="0" fontId="15" fillId="4" borderId="9" xfId="0" applyFont="1" applyFill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49" fontId="3" fillId="2" borderId="10" xfId="0" applyNumberFormat="1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vertical="center"/>
      <protection locked="0"/>
    </xf>
    <xf numFmtId="0" fontId="15" fillId="2" borderId="12" xfId="0" applyFont="1" applyFill="1" applyBorder="1" applyAlignment="1" applyProtection="1">
      <alignment horizontal="center" vertical="center"/>
      <protection locked="0"/>
    </xf>
    <xf numFmtId="0" fontId="0" fillId="2" borderId="13" xfId="0" applyFill="1" applyBorder="1" applyProtection="1">
      <protection locked="0"/>
    </xf>
    <xf numFmtId="0" fontId="5" fillId="2" borderId="0" xfId="0" applyFont="1" applyFill="1" applyBorder="1" applyAlignment="1" applyProtection="1">
      <alignment vertical="center"/>
      <protection locked="0"/>
    </xf>
    <xf numFmtId="49" fontId="3" fillId="2" borderId="13" xfId="0" applyNumberFormat="1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49" fontId="3" fillId="2" borderId="14" xfId="0" applyNumberFormat="1" applyFont="1" applyFill="1" applyBorder="1" applyAlignment="1" applyProtection="1">
      <alignment horizontal="center" vertical="center"/>
      <protection locked="0"/>
    </xf>
    <xf numFmtId="0" fontId="0" fillId="2" borderId="15" xfId="0" applyFill="1" applyBorder="1" applyProtection="1">
      <protection locked="0"/>
    </xf>
    <xf numFmtId="0" fontId="15" fillId="2" borderId="16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Border="1" applyAlignment="1" applyProtection="1">
      <alignment vertical="center"/>
      <protection locked="0"/>
    </xf>
    <xf numFmtId="0" fontId="0" fillId="2" borderId="14" xfId="0" applyFill="1" applyBorder="1" applyProtection="1">
      <protection locked="0"/>
    </xf>
    <xf numFmtId="0" fontId="0" fillId="2" borderId="16" xfId="0" applyFill="1" applyBorder="1" applyProtection="1">
      <protection locked="0"/>
    </xf>
    <xf numFmtId="0" fontId="3" fillId="2" borderId="13" xfId="0" applyFont="1" applyFill="1" applyBorder="1" applyAlignment="1" applyProtection="1">
      <alignment vertical="center"/>
      <protection locked="0"/>
    </xf>
    <xf numFmtId="0" fontId="16" fillId="2" borderId="0" xfId="0" applyFont="1" applyFill="1" applyBorder="1" applyAlignment="1" applyProtection="1">
      <alignment vertical="center"/>
      <protection locked="0"/>
    </xf>
    <xf numFmtId="0" fontId="19" fillId="2" borderId="0" xfId="0" applyFont="1" applyFill="1" applyBorder="1" applyProtection="1">
      <protection locked="0"/>
    </xf>
    <xf numFmtId="0" fontId="15" fillId="2" borderId="17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Border="1" applyProtection="1">
      <protection locked="0"/>
    </xf>
    <xf numFmtId="49" fontId="3" fillId="2" borderId="15" xfId="0" applyNumberFormat="1" applyFont="1" applyFill="1" applyBorder="1" applyAlignment="1" applyProtection="1">
      <alignment horizontal="center" vertical="center"/>
      <protection locked="0"/>
    </xf>
    <xf numFmtId="0" fontId="16" fillId="2" borderId="13" xfId="0" applyFont="1" applyFill="1" applyBorder="1" applyAlignment="1" applyProtection="1">
      <alignment vertical="center"/>
      <protection locked="0"/>
    </xf>
    <xf numFmtId="0" fontId="0" fillId="2" borderId="17" xfId="0" applyFill="1" applyBorder="1" applyProtection="1">
      <protection locked="0"/>
    </xf>
    <xf numFmtId="0" fontId="2" fillId="2" borderId="9" xfId="0" applyFont="1" applyFill="1" applyBorder="1" applyProtection="1">
      <protection locked="0"/>
    </xf>
    <xf numFmtId="0" fontId="0" fillId="2" borderId="9" xfId="0" applyFill="1" applyBorder="1" applyProtection="1">
      <protection locked="0"/>
    </xf>
    <xf numFmtId="49" fontId="3" fillId="2" borderId="9" xfId="0" applyNumberFormat="1" applyFont="1" applyFill="1" applyBorder="1" applyAlignment="1" applyProtection="1">
      <alignment horizontal="center" vertical="center"/>
      <protection locked="0"/>
    </xf>
    <xf numFmtId="0" fontId="15" fillId="2" borderId="9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vertical="center"/>
      <protection locked="0"/>
    </xf>
    <xf numFmtId="0" fontId="5" fillId="2" borderId="13" xfId="0" applyFont="1" applyFill="1" applyBorder="1" applyAlignment="1" applyProtection="1">
      <alignment vertical="center"/>
      <protection locked="0"/>
    </xf>
    <xf numFmtId="0" fontId="15" fillId="2" borderId="15" xfId="0" applyFont="1" applyFill="1" applyBorder="1" applyAlignment="1" applyProtection="1">
      <alignment horizontal="center" vertical="center"/>
      <protection locked="0"/>
    </xf>
    <xf numFmtId="0" fontId="0" fillId="3" borderId="15" xfId="0" applyFill="1" applyBorder="1" applyProtection="1">
      <protection locked="0"/>
    </xf>
    <xf numFmtId="49" fontId="3" fillId="2" borderId="0" xfId="0" applyNumberFormat="1" applyFont="1" applyFill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0" fillId="6" borderId="0" xfId="0" applyFill="1" applyAlignment="1">
      <alignment horizontal="center"/>
    </xf>
    <xf numFmtId="0" fontId="0" fillId="6" borderId="0" xfId="0" applyFill="1"/>
    <xf numFmtId="0" fontId="4" fillId="6" borderId="0" xfId="0" applyFont="1" applyFill="1" applyAlignment="1">
      <alignment horizontal="center"/>
    </xf>
    <xf numFmtId="0" fontId="21" fillId="6" borderId="0" xfId="0" applyFont="1" applyFill="1" applyAlignment="1">
      <alignment horizontal="center"/>
    </xf>
    <xf numFmtId="0" fontId="14" fillId="6" borderId="0" xfId="1" applyFill="1" applyAlignment="1" applyProtection="1">
      <alignment horizontal="center"/>
    </xf>
    <xf numFmtId="0" fontId="19" fillId="6" borderId="0" xfId="0" applyFont="1" applyFill="1"/>
    <xf numFmtId="0" fontId="19" fillId="6" borderId="0" xfId="0" applyFont="1" applyFill="1" applyAlignment="1">
      <alignment horizontal="center"/>
    </xf>
    <xf numFmtId="0" fontId="22" fillId="6" borderId="0" xfId="1" applyFont="1" applyFill="1" applyAlignment="1" applyProtection="1">
      <alignment horizontal="center"/>
    </xf>
    <xf numFmtId="0" fontId="23" fillId="6" borderId="0" xfId="0" applyFont="1" applyFill="1"/>
    <xf numFmtId="0" fontId="23" fillId="6" borderId="0" xfId="0" applyFont="1" applyFill="1" applyAlignment="1">
      <alignment horizontal="center"/>
    </xf>
    <xf numFmtId="0" fontId="0" fillId="6" borderId="0" xfId="0" applyFill="1" applyBorder="1"/>
    <xf numFmtId="0" fontId="0" fillId="6" borderId="0" xfId="0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24" fillId="6" borderId="0" xfId="0" applyFont="1" applyFill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/>
      <protection locked="0"/>
    </xf>
    <xf numFmtId="0" fontId="5" fillId="0" borderId="0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165" fontId="5" fillId="5" borderId="18" xfId="0" applyNumberFormat="1" applyFont="1" applyFill="1" applyBorder="1" applyAlignment="1" applyProtection="1">
      <alignment horizontal="left"/>
      <protection locked="0"/>
    </xf>
    <xf numFmtId="0" fontId="19" fillId="4" borderId="0" xfId="0" applyFont="1" applyFill="1" applyBorder="1" applyAlignment="1" applyProtection="1">
      <alignment horizontal="center"/>
      <protection locked="0"/>
    </xf>
    <xf numFmtId="0" fontId="19" fillId="4" borderId="9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19" fillId="2" borderId="17" xfId="0" applyFont="1" applyFill="1" applyBorder="1" applyAlignment="1" applyProtection="1">
      <alignment horizontal="center"/>
      <protection locked="0"/>
    </xf>
    <xf numFmtId="0" fontId="19" fillId="2" borderId="9" xfId="0" applyFont="1" applyFill="1" applyBorder="1" applyAlignment="1" applyProtection="1">
      <alignment horizontal="center"/>
      <protection locked="0"/>
    </xf>
    <xf numFmtId="0" fontId="19" fillId="2" borderId="15" xfId="0" applyFont="1" applyFill="1" applyBorder="1" applyAlignment="1" applyProtection="1">
      <alignment horizontal="center"/>
      <protection locked="0"/>
    </xf>
    <xf numFmtId="0" fontId="19" fillId="2" borderId="0" xfId="0" applyFont="1" applyFill="1" applyAlignment="1" applyProtection="1">
      <alignment horizontal="center"/>
      <protection locked="0"/>
    </xf>
    <xf numFmtId="166" fontId="5" fillId="5" borderId="18" xfId="0" applyNumberFormat="1" applyFont="1" applyFill="1" applyBorder="1" applyAlignment="1" applyProtection="1">
      <alignment horizontal="center"/>
      <protection locked="0"/>
    </xf>
    <xf numFmtId="165" fontId="5" fillId="0" borderId="0" xfId="0" applyNumberFormat="1" applyFont="1" applyFill="1" applyBorder="1" applyAlignment="1" applyProtection="1">
      <alignment horizontal="left"/>
      <protection locked="0"/>
    </xf>
    <xf numFmtId="166" fontId="5" fillId="0" borderId="0" xfId="0" applyNumberFormat="1" applyFont="1" applyFill="1" applyBorder="1" applyAlignment="1" applyProtection="1">
      <alignment horizontal="center"/>
      <protection locked="0"/>
    </xf>
    <xf numFmtId="4" fontId="2" fillId="0" borderId="5" xfId="0" applyNumberFormat="1" applyFont="1" applyFill="1" applyBorder="1" applyProtection="1">
      <protection locked="0"/>
    </xf>
    <xf numFmtId="0" fontId="6" fillId="6" borderId="0" xfId="0" applyFont="1" applyFill="1"/>
    <xf numFmtId="0" fontId="3" fillId="0" borderId="0" xfId="0" applyFont="1" applyAlignment="1" applyProtection="1">
      <alignment horizontal="center"/>
    </xf>
    <xf numFmtId="0" fontId="5" fillId="4" borderId="2" xfId="0" applyFont="1" applyFill="1" applyBorder="1" applyAlignment="1" applyProtection="1">
      <alignment horizontal="center" vertical="center" textRotation="255"/>
    </xf>
    <xf numFmtId="0" fontId="3" fillId="0" borderId="0" xfId="0" applyFont="1" applyAlignment="1" applyProtection="1">
      <alignment horizontal="left"/>
    </xf>
    <xf numFmtId="0" fontId="3" fillId="4" borderId="1" xfId="0" applyFont="1" applyFill="1" applyBorder="1" applyAlignment="1" applyProtection="1">
      <alignment horizontal="center"/>
    </xf>
    <xf numFmtId="0" fontId="8" fillId="4" borderId="0" xfId="0" applyFont="1" applyFill="1" applyAlignment="1" applyProtection="1">
      <alignment horizontal="center"/>
    </xf>
    <xf numFmtId="0" fontId="3" fillId="0" borderId="0" xfId="0" applyFont="1" applyAlignment="1">
      <alignment horizontal="left"/>
    </xf>
    <xf numFmtId="0" fontId="3" fillId="4" borderId="2" xfId="0" applyFont="1" applyFill="1" applyBorder="1" applyAlignment="1" applyProtection="1">
      <alignment horizontal="center" vertical="center" textRotation="70"/>
    </xf>
    <xf numFmtId="0" fontId="3" fillId="4" borderId="2" xfId="0" applyFont="1" applyFill="1" applyBorder="1" applyAlignment="1" applyProtection="1">
      <alignment horizontal="center" vertical="center" textRotation="255"/>
    </xf>
    <xf numFmtId="0" fontId="5" fillId="4" borderId="0" xfId="0" applyFont="1" applyFill="1" applyAlignment="1" applyProtection="1">
      <alignment horizontal="left"/>
    </xf>
    <xf numFmtId="0" fontId="9" fillId="7" borderId="0" xfId="0" applyFont="1" applyFill="1" applyAlignment="1" applyProtection="1">
      <alignment vertical="center"/>
    </xf>
    <xf numFmtId="0" fontId="4" fillId="4" borderId="0" xfId="0" applyFont="1" applyFill="1" applyAlignment="1" applyProtection="1">
      <alignment horizontal="center"/>
    </xf>
    <xf numFmtId="0" fontId="5" fillId="4" borderId="0" xfId="0" applyFont="1" applyFill="1" applyAlignment="1" applyProtection="1">
      <alignment horizontal="center"/>
    </xf>
    <xf numFmtId="0" fontId="2" fillId="5" borderId="3" xfId="0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3" fillId="4" borderId="6" xfId="0" applyFont="1" applyFill="1" applyBorder="1" applyAlignment="1" applyProtection="1">
      <alignment horizontal="center" vertical="center" textRotation="255"/>
    </xf>
    <xf numFmtId="0" fontId="3" fillId="4" borderId="7" xfId="0" applyFont="1" applyFill="1" applyBorder="1" applyAlignment="1" applyProtection="1">
      <alignment horizontal="center" vertical="center" textRotation="255"/>
    </xf>
    <xf numFmtId="0" fontId="3" fillId="4" borderId="8" xfId="0" applyFont="1" applyFill="1" applyBorder="1" applyAlignment="1" applyProtection="1">
      <alignment horizontal="center" vertical="center" textRotation="255"/>
    </xf>
    <xf numFmtId="0" fontId="20" fillId="2" borderId="13" xfId="0" applyFont="1" applyFill="1" applyBorder="1" applyAlignment="1" applyProtection="1">
      <alignment horizontal="center" vertical="top"/>
      <protection locked="0"/>
    </xf>
    <xf numFmtId="0" fontId="6" fillId="2" borderId="17" xfId="0" applyFont="1" applyFill="1" applyBorder="1" applyAlignment="1" applyProtection="1">
      <alignment horizontal="center" vertical="top"/>
      <protection locked="0"/>
    </xf>
    <xf numFmtId="0" fontId="6" fillId="2" borderId="13" xfId="0" applyFont="1" applyFill="1" applyBorder="1" applyAlignment="1" applyProtection="1">
      <alignment horizontal="center" vertical="top"/>
      <protection locked="0"/>
    </xf>
    <xf numFmtId="0" fontId="6" fillId="2" borderId="14" xfId="0" applyFont="1" applyFill="1" applyBorder="1" applyAlignment="1" applyProtection="1">
      <alignment horizontal="center" vertical="top"/>
      <protection locked="0"/>
    </xf>
    <xf numFmtId="0" fontId="6" fillId="2" borderId="16" xfId="0" applyFont="1" applyFill="1" applyBorder="1" applyAlignment="1" applyProtection="1">
      <alignment horizontal="center" vertical="top"/>
      <protection locked="0"/>
    </xf>
    <xf numFmtId="39" fontId="19" fillId="2" borderId="19" xfId="0" applyNumberFormat="1" applyFont="1" applyFill="1" applyBorder="1" applyAlignment="1" applyProtection="1">
      <alignment horizontal="right" vertical="center"/>
      <protection locked="0"/>
    </xf>
    <xf numFmtId="0" fontId="19" fillId="2" borderId="20" xfId="0" applyNumberFormat="1" applyFont="1" applyFill="1" applyBorder="1" applyAlignment="1" applyProtection="1">
      <alignment horizontal="right" vertical="center"/>
      <protection locked="0"/>
    </xf>
    <xf numFmtId="0" fontId="19" fillId="2" borderId="21" xfId="0" applyNumberFormat="1" applyFont="1" applyFill="1" applyBorder="1" applyAlignment="1" applyProtection="1">
      <alignment horizontal="right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justify" vertical="center"/>
      <protection locked="0"/>
    </xf>
    <xf numFmtId="0" fontId="8" fillId="2" borderId="12" xfId="0" applyFont="1" applyFill="1" applyBorder="1" applyAlignment="1" applyProtection="1">
      <alignment horizontal="justify" vertical="center"/>
      <protection locked="0"/>
    </xf>
    <xf numFmtId="0" fontId="8" fillId="2" borderId="13" xfId="0" applyFont="1" applyFill="1" applyBorder="1" applyAlignment="1" applyProtection="1">
      <alignment horizontal="justify" vertical="center"/>
      <protection locked="0"/>
    </xf>
    <xf numFmtId="0" fontId="8" fillId="2" borderId="17" xfId="0" applyFont="1" applyFill="1" applyBorder="1" applyAlignment="1" applyProtection="1">
      <alignment horizontal="justify" vertical="center"/>
      <protection locked="0"/>
    </xf>
    <xf numFmtId="0" fontId="8" fillId="2" borderId="14" xfId="0" applyFont="1" applyFill="1" applyBorder="1" applyAlignment="1" applyProtection="1">
      <alignment horizontal="justify" vertical="center"/>
      <protection locked="0"/>
    </xf>
    <xf numFmtId="0" fontId="8" fillId="2" borderId="16" xfId="0" applyFont="1" applyFill="1" applyBorder="1" applyAlignment="1" applyProtection="1">
      <alignment horizontal="justify" vertical="center"/>
      <protection locked="0"/>
    </xf>
    <xf numFmtId="0" fontId="19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1" xfId="0" applyNumberFormat="1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left" shrinkToFit="1"/>
    </xf>
    <xf numFmtId="0" fontId="5" fillId="2" borderId="17" xfId="0" applyFont="1" applyFill="1" applyBorder="1" applyAlignment="1" applyProtection="1">
      <alignment horizontal="left" shrinkToFit="1"/>
    </xf>
    <xf numFmtId="49" fontId="19" fillId="2" borderId="19" xfId="0" applyNumberFormat="1" applyFont="1" applyFill="1" applyBorder="1" applyAlignment="1" applyProtection="1">
      <alignment horizontal="center" vertical="center"/>
      <protection locked="0"/>
    </xf>
    <xf numFmtId="49" fontId="19" fillId="2" borderId="20" xfId="0" applyNumberFormat="1" applyFont="1" applyFill="1" applyBorder="1" applyAlignment="1" applyProtection="1">
      <alignment horizontal="center" vertical="center"/>
      <protection locked="0"/>
    </xf>
    <xf numFmtId="49" fontId="19" fillId="2" borderId="21" xfId="0" applyNumberFormat="1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vertical="center"/>
      <protection locked="0"/>
    </xf>
    <xf numFmtId="0" fontId="3" fillId="2" borderId="14" xfId="0" applyFont="1" applyFill="1" applyBorder="1" applyAlignment="1" applyProtection="1">
      <alignment vertical="center"/>
      <protection locked="0"/>
    </xf>
    <xf numFmtId="0" fontId="5" fillId="2" borderId="17" xfId="0" applyNumberFormat="1" applyFont="1" applyFill="1" applyBorder="1" applyAlignment="1" applyProtection="1">
      <alignment horizontal="left" vertical="center"/>
      <protection locked="0"/>
    </xf>
    <xf numFmtId="0" fontId="5" fillId="2" borderId="16" xfId="0" applyNumberFormat="1" applyFont="1" applyFill="1" applyBorder="1" applyAlignment="1" applyProtection="1">
      <alignment horizontal="left" vertical="center"/>
      <protection locked="0"/>
    </xf>
    <xf numFmtId="0" fontId="20" fillId="2" borderId="10" xfId="0" applyFont="1" applyFill="1" applyBorder="1" applyAlignment="1" applyProtection="1">
      <alignment horizontal="center"/>
      <protection locked="0"/>
    </xf>
    <xf numFmtId="0" fontId="20" fillId="2" borderId="12" xfId="0" applyFont="1" applyFill="1" applyBorder="1" applyAlignment="1" applyProtection="1">
      <alignment horizontal="center"/>
      <protection locked="0"/>
    </xf>
    <xf numFmtId="0" fontId="20" fillId="2" borderId="13" xfId="0" applyFont="1" applyFill="1" applyBorder="1" applyAlignment="1" applyProtection="1">
      <alignment horizontal="center"/>
      <protection locked="0"/>
    </xf>
    <xf numFmtId="0" fontId="20" fillId="2" borderId="17" xfId="0" applyFont="1" applyFill="1" applyBorder="1" applyAlignment="1" applyProtection="1">
      <alignment horizontal="center"/>
      <protection locked="0"/>
    </xf>
    <xf numFmtId="39" fontId="19" fillId="2" borderId="19" xfId="0" applyNumberFormat="1" applyFont="1" applyFill="1" applyBorder="1" applyAlignment="1" applyProtection="1">
      <alignment horizontal="right" vertical="center"/>
    </xf>
    <xf numFmtId="0" fontId="19" fillId="2" borderId="20" xfId="0" applyNumberFormat="1" applyFont="1" applyFill="1" applyBorder="1" applyAlignment="1" applyProtection="1">
      <alignment horizontal="right" vertical="center"/>
    </xf>
    <xf numFmtId="0" fontId="19" fillId="2" borderId="21" xfId="0" applyNumberFormat="1" applyFont="1" applyFill="1" applyBorder="1" applyAlignment="1" applyProtection="1">
      <alignment horizontal="right" vertical="center"/>
    </xf>
    <xf numFmtId="39" fontId="19" fillId="2" borderId="19" xfId="2" applyNumberFormat="1" applyFont="1" applyFill="1" applyBorder="1" applyAlignment="1" applyProtection="1">
      <alignment horizontal="right" vertical="center"/>
      <protection locked="0"/>
    </xf>
    <xf numFmtId="39" fontId="19" fillId="2" borderId="20" xfId="2" applyNumberFormat="1" applyFont="1" applyFill="1" applyBorder="1" applyAlignment="1" applyProtection="1">
      <alignment horizontal="right" vertical="center"/>
      <protection locked="0"/>
    </xf>
    <xf numFmtId="39" fontId="19" fillId="2" borderId="21" xfId="2" applyNumberFormat="1" applyFont="1" applyFill="1" applyBorder="1" applyAlignment="1" applyProtection="1">
      <alignment horizontal="right" vertical="center"/>
      <protection locked="0"/>
    </xf>
    <xf numFmtId="14" fontId="19" fillId="2" borderId="19" xfId="0" applyNumberFormat="1" applyFont="1" applyFill="1" applyBorder="1" applyAlignment="1" applyProtection="1">
      <alignment horizontal="center" vertical="center"/>
    </xf>
    <xf numFmtId="14" fontId="19" fillId="2" borderId="20" xfId="0" applyNumberFormat="1" applyFont="1" applyFill="1" applyBorder="1" applyProtection="1"/>
    <xf numFmtId="14" fontId="19" fillId="2" borderId="21" xfId="0" applyNumberFormat="1" applyFont="1" applyFill="1" applyBorder="1" applyProtection="1"/>
    <xf numFmtId="165" fontId="19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 applyProtection="1">
      <alignment horizontal="left" vertical="center"/>
      <protection locked="0"/>
    </xf>
    <xf numFmtId="0" fontId="5" fillId="2" borderId="19" xfId="0" applyNumberFormat="1" applyFont="1" applyFill="1" applyBorder="1" applyAlignment="1" applyProtection="1">
      <alignment horizontal="center" vertical="center"/>
    </xf>
    <xf numFmtId="0" fontId="5" fillId="2" borderId="20" xfId="0" applyNumberFormat="1" applyFont="1" applyFill="1" applyBorder="1" applyAlignment="1" applyProtection="1">
      <alignment horizontal="center" vertical="center"/>
    </xf>
    <xf numFmtId="0" fontId="5" fillId="2" borderId="21" xfId="0" applyNumberFormat="1" applyFont="1" applyFill="1" applyBorder="1" applyAlignment="1" applyProtection="1">
      <alignment horizontal="center" vertical="center"/>
    </xf>
    <xf numFmtId="39" fontId="19" fillId="2" borderId="19" xfId="2" applyNumberFormat="1" applyFont="1" applyFill="1" applyBorder="1" applyAlignment="1" applyProtection="1">
      <alignment horizontal="right" vertical="center"/>
    </xf>
    <xf numFmtId="39" fontId="19" fillId="2" borderId="20" xfId="2" applyNumberFormat="1" applyFont="1" applyFill="1" applyBorder="1" applyAlignment="1" applyProtection="1">
      <alignment horizontal="right" vertical="center"/>
    </xf>
    <xf numFmtId="39" fontId="19" fillId="2" borderId="21" xfId="2" applyNumberFormat="1" applyFont="1" applyFill="1" applyBorder="1" applyAlignment="1" applyProtection="1">
      <alignment horizontal="right" vertical="center"/>
    </xf>
    <xf numFmtId="0" fontId="19" fillId="2" borderId="20" xfId="0" applyNumberFormat="1" applyFont="1" applyFill="1" applyBorder="1" applyAlignment="1" applyProtection="1">
      <alignment horizontal="center" vertical="center"/>
    </xf>
    <xf numFmtId="0" fontId="19" fillId="2" borderId="21" xfId="0" applyNumberFormat="1" applyFont="1" applyFill="1" applyBorder="1" applyAlignment="1" applyProtection="1">
      <alignment horizontal="center" vertical="center"/>
    </xf>
    <xf numFmtId="165" fontId="19" fillId="2" borderId="19" xfId="0" applyNumberFormat="1" applyFont="1" applyFill="1" applyBorder="1" applyAlignment="1" applyProtection="1">
      <alignment horizontal="center" vertical="center"/>
    </xf>
    <xf numFmtId="165" fontId="19" fillId="2" borderId="20" xfId="0" applyNumberFormat="1" applyFont="1" applyFill="1" applyBorder="1" applyAlignment="1" applyProtection="1">
      <alignment horizontal="center" vertical="center"/>
    </xf>
    <xf numFmtId="165" fontId="19" fillId="2" borderId="21" xfId="0" applyNumberFormat="1" applyFont="1" applyFill="1" applyBorder="1" applyAlignment="1" applyProtection="1">
      <alignment horizontal="center" vertical="center"/>
    </xf>
    <xf numFmtId="0" fontId="18" fillId="2" borderId="17" xfId="0" applyFont="1" applyFill="1" applyBorder="1" applyAlignment="1" applyProtection="1">
      <alignment horizontal="left"/>
      <protection locked="0"/>
    </xf>
    <xf numFmtId="0" fontId="5" fillId="2" borderId="13" xfId="0" applyNumberFormat="1" applyFont="1" applyFill="1" applyBorder="1" applyAlignment="1" applyProtection="1">
      <alignment horizontal="left" shrinkToFit="1"/>
    </xf>
    <xf numFmtId="0" fontId="5" fillId="2" borderId="17" xfId="0" applyNumberFormat="1" applyFont="1" applyFill="1" applyBorder="1" applyAlignment="1" applyProtection="1">
      <alignment horizontal="left" shrinkToFit="1"/>
    </xf>
    <xf numFmtId="166" fontId="5" fillId="2" borderId="17" xfId="0" applyNumberFormat="1" applyFont="1" applyFill="1" applyBorder="1" applyAlignment="1" applyProtection="1">
      <alignment horizontal="left" vertical="center"/>
    </xf>
    <xf numFmtId="166" fontId="5" fillId="2" borderId="16" xfId="0" applyNumberFormat="1" applyFont="1" applyFill="1" applyBorder="1" applyAlignment="1" applyProtection="1">
      <alignment horizontal="left" vertical="center"/>
    </xf>
    <xf numFmtId="14" fontId="19" fillId="2" borderId="20" xfId="0" applyNumberFormat="1" applyFont="1" applyFill="1" applyBorder="1" applyAlignment="1" applyProtection="1">
      <alignment horizontal="center" vertical="center"/>
    </xf>
    <xf numFmtId="14" fontId="19" fillId="2" borderId="21" xfId="0" applyNumberFormat="1" applyFont="1" applyFill="1" applyBorder="1" applyAlignment="1" applyProtection="1">
      <alignment horizontal="center" vertical="center"/>
    </xf>
    <xf numFmtId="165" fontId="19" fillId="2" borderId="20" xfId="0" applyNumberFormat="1" applyFont="1" applyFill="1" applyBorder="1" applyAlignment="1" applyProtection="1">
      <alignment horizontal="center" vertical="center"/>
      <protection locked="0"/>
    </xf>
    <xf numFmtId="165" fontId="19" fillId="2" borderId="21" xfId="0" applyNumberFormat="1" applyFont="1" applyFill="1" applyBorder="1" applyAlignment="1" applyProtection="1">
      <alignment horizontal="center" vertical="center"/>
      <protection locked="0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 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5</xdr:row>
          <xdr:rowOff>9525</xdr:rowOff>
        </xdr:from>
        <xdr:to>
          <xdr:col>1</xdr:col>
          <xdr:colOff>628650</xdr:colOff>
          <xdr:row>11</xdr:row>
          <xdr:rowOff>9525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1FFF3185-8C74-4B1E-96CB-0486E9C00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42</xdr:row>
          <xdr:rowOff>9525</xdr:rowOff>
        </xdr:from>
        <xdr:to>
          <xdr:col>1</xdr:col>
          <xdr:colOff>628650</xdr:colOff>
          <xdr:row>48</xdr:row>
          <xdr:rowOff>9525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B4E2DAC7-A821-4B3D-B2AC-D01580CBE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5</xdr:row>
          <xdr:rowOff>9525</xdr:rowOff>
        </xdr:from>
        <xdr:to>
          <xdr:col>1</xdr:col>
          <xdr:colOff>628650</xdr:colOff>
          <xdr:row>11</xdr:row>
          <xdr:rowOff>9525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85909F44-C9D8-46CB-863F-438A15B4B5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42</xdr:row>
          <xdr:rowOff>9525</xdr:rowOff>
        </xdr:from>
        <xdr:to>
          <xdr:col>1</xdr:col>
          <xdr:colOff>628650</xdr:colOff>
          <xdr:row>48</xdr:row>
          <xdr:rowOff>9525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943D09BD-CC1B-48DC-A4FF-F359D428F5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eceita.fazenda.gov.br/Legislacao/Leis/2003/lei10833.htm" TargetMode="External" /><Relationship Id="rId2" Type="http://schemas.openxmlformats.org/officeDocument/2006/relationships/hyperlink" Target="http://www.joaobatista.com.br/" TargetMode="External" /><Relationship Id="rId1" Type="http://schemas.openxmlformats.org/officeDocument/2006/relationships/hyperlink" Target="mailto:joaobatista@joaobatista.com.br" TargetMode="External" /><Relationship Id="rId4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5.bin" /><Relationship Id="rId6" Type="http://schemas.openxmlformats.org/officeDocument/2006/relationships/oleObject" Target="../embeddings/oleObject2.bin" /><Relationship Id="rId5" Type="http://schemas.openxmlformats.org/officeDocument/2006/relationships/image" Target="../media/image1.wmf" /><Relationship Id="rId4" Type="http://schemas.openxmlformats.org/officeDocument/2006/relationships/oleObject" Target="../embeddings/oleObject1.bin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6.bin" /><Relationship Id="rId6" Type="http://schemas.openxmlformats.org/officeDocument/2006/relationships/oleObject" Target="../embeddings/oleObject4.bin" /><Relationship Id="rId5" Type="http://schemas.openxmlformats.org/officeDocument/2006/relationships/image" Target="../media/image1.wmf" /><Relationship Id="rId4" Type="http://schemas.openxmlformats.org/officeDocument/2006/relationships/oleObject" Target="../embeddings/oleObject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14"/>
  <sheetViews>
    <sheetView showGridLines="0" workbookViewId="0" xr3:uid="{AEA406A1-0E4B-5B11-9CD5-51D6E497D94C}">
      <pane ySplit="8" topLeftCell="A33" activePane="bottomLeft" state="frozen"/>
      <selection pane="bottomLeft" activeCell="F53" sqref="F53"/>
    </sheetView>
  </sheetViews>
  <sheetFormatPr defaultColWidth="9.16796875" defaultRowHeight="10.5" x14ac:dyDescent="0.1"/>
  <cols>
    <col min="1" max="1" width="1.75" style="1" customWidth="1"/>
    <col min="2" max="2" width="5.52734375" style="5" customWidth="1"/>
    <col min="3" max="3" width="0.94140625" style="4" customWidth="1"/>
    <col min="4" max="4" width="2.96484375" style="6" customWidth="1"/>
    <col min="5" max="5" width="3.91015625" style="5" customWidth="1"/>
    <col min="6" max="6" width="51.6484375" style="4" customWidth="1"/>
    <col min="7" max="7" width="13.078125" style="4" customWidth="1"/>
    <col min="8" max="8" width="13.484375" style="4" customWidth="1"/>
    <col min="9" max="9" width="9.16796875" style="2"/>
    <col min="10" max="69" width="9.16796875" style="3"/>
    <col min="70" max="79" width="9.16796875" style="2"/>
    <col min="80" max="16384" width="9.16796875" style="4"/>
  </cols>
  <sheetData>
    <row r="1" spans="1:79" ht="5.0999999999999996" customHeight="1" x14ac:dyDescent="0.1"/>
    <row r="2" spans="1:79" x14ac:dyDescent="0.1">
      <c r="B2" s="140" t="s">
        <v>5</v>
      </c>
      <c r="C2" s="140"/>
      <c r="D2" s="140"/>
      <c r="E2" s="140"/>
      <c r="F2" s="21"/>
      <c r="G2" s="21"/>
      <c r="H2" s="21"/>
    </row>
    <row r="3" spans="1:79" ht="15" customHeight="1" x14ac:dyDescent="0.2">
      <c r="B3" s="140"/>
      <c r="C3" s="140"/>
      <c r="D3" s="140"/>
      <c r="E3" s="140"/>
      <c r="F3" s="141" t="s">
        <v>3</v>
      </c>
      <c r="G3" s="141"/>
      <c r="H3" s="141"/>
    </row>
    <row r="4" spans="1:79" ht="12.75" x14ac:dyDescent="0.15">
      <c r="B4" s="140"/>
      <c r="C4" s="140"/>
      <c r="D4" s="140"/>
      <c r="E4" s="140"/>
      <c r="F4" s="142" t="s">
        <v>4</v>
      </c>
      <c r="G4" s="142"/>
      <c r="H4" s="142"/>
    </row>
    <row r="5" spans="1:79" x14ac:dyDescent="0.1">
      <c r="B5" s="140"/>
      <c r="C5" s="140"/>
      <c r="D5" s="140"/>
      <c r="E5" s="140"/>
      <c r="F5" s="21"/>
      <c r="G5" s="21"/>
      <c r="H5" s="21"/>
    </row>
    <row r="6" spans="1:79" ht="8.1" customHeight="1" x14ac:dyDescent="0.1"/>
    <row r="7" spans="1:79" ht="12.75" x14ac:dyDescent="0.15">
      <c r="B7" s="7" t="s">
        <v>6</v>
      </c>
      <c r="E7" s="143"/>
      <c r="F7" s="143"/>
      <c r="G7" s="8" t="s">
        <v>7</v>
      </c>
      <c r="H7" s="34"/>
    </row>
    <row r="8" spans="1:79" ht="3" customHeight="1" x14ac:dyDescent="0.15">
      <c r="B8" s="7"/>
      <c r="E8" s="24"/>
      <c r="F8" s="24"/>
      <c r="G8" s="8"/>
      <c r="H8" s="25"/>
    </row>
    <row r="9" spans="1:79" ht="3" customHeight="1" x14ac:dyDescent="0.1"/>
    <row r="10" spans="1:79" s="12" customFormat="1" ht="12.75" customHeight="1" x14ac:dyDescent="0.15">
      <c r="A10" s="9"/>
      <c r="B10" s="14"/>
      <c r="C10" s="22"/>
      <c r="D10" s="14"/>
      <c r="E10" s="139" t="s">
        <v>8</v>
      </c>
      <c r="F10" s="139"/>
      <c r="G10" s="20"/>
      <c r="H10" s="23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0"/>
      <c r="BS10" s="10"/>
      <c r="BT10" s="10"/>
      <c r="BU10" s="10"/>
      <c r="BV10" s="10"/>
      <c r="BW10" s="10"/>
      <c r="BX10" s="10"/>
      <c r="BY10" s="10"/>
      <c r="BZ10" s="10"/>
      <c r="CA10" s="10"/>
    </row>
    <row r="11" spans="1:79" ht="5.0999999999999996" customHeight="1" x14ac:dyDescent="0.1">
      <c r="G11" s="16"/>
      <c r="H11" s="16"/>
    </row>
    <row r="12" spans="1:79" ht="12.75" x14ac:dyDescent="0.15">
      <c r="E12" s="133" t="s">
        <v>9</v>
      </c>
      <c r="F12" s="144"/>
      <c r="G12" s="16"/>
      <c r="H12" s="17" t="s">
        <v>33</v>
      </c>
    </row>
    <row r="13" spans="1:79" ht="5.0999999999999996" customHeight="1" x14ac:dyDescent="0.1">
      <c r="G13" s="16"/>
      <c r="H13" s="16"/>
    </row>
    <row r="14" spans="1:79" x14ac:dyDescent="0.1">
      <c r="B14" s="132" t="s">
        <v>12</v>
      </c>
      <c r="D14" s="26">
        <v>1</v>
      </c>
      <c r="E14" s="27" t="s">
        <v>10</v>
      </c>
      <c r="F14" s="35" t="s">
        <v>22</v>
      </c>
      <c r="G14" s="36"/>
      <c r="H14" s="29"/>
    </row>
    <row r="15" spans="1:79" x14ac:dyDescent="0.1">
      <c r="B15" s="132"/>
      <c r="D15" s="26">
        <v>2</v>
      </c>
      <c r="E15" s="27" t="s">
        <v>10</v>
      </c>
      <c r="F15" s="35" t="s">
        <v>23</v>
      </c>
      <c r="G15" s="36"/>
      <c r="H15" s="29"/>
    </row>
    <row r="16" spans="1:79" x14ac:dyDescent="0.1">
      <c r="B16" s="132"/>
      <c r="D16" s="26">
        <v>3</v>
      </c>
      <c r="E16" s="27" t="s">
        <v>10</v>
      </c>
      <c r="F16" s="35" t="s">
        <v>24</v>
      </c>
      <c r="G16" s="36"/>
      <c r="H16" s="29"/>
    </row>
    <row r="17" spans="2:8" x14ac:dyDescent="0.1">
      <c r="B17" s="132"/>
      <c r="D17" s="26">
        <v>4</v>
      </c>
      <c r="E17" s="27" t="s">
        <v>10</v>
      </c>
      <c r="F17" s="35" t="s">
        <v>25</v>
      </c>
      <c r="G17" s="36"/>
      <c r="H17" s="29"/>
    </row>
    <row r="18" spans="2:8" x14ac:dyDescent="0.1">
      <c r="B18" s="132"/>
      <c r="D18" s="26">
        <v>5</v>
      </c>
      <c r="E18" s="27" t="s">
        <v>10</v>
      </c>
      <c r="F18" s="35" t="s">
        <v>26</v>
      </c>
      <c r="G18" s="36"/>
      <c r="H18" s="29"/>
    </row>
    <row r="19" spans="2:8" x14ac:dyDescent="0.1">
      <c r="B19" s="132"/>
      <c r="D19" s="26">
        <v>6</v>
      </c>
      <c r="E19" s="27" t="s">
        <v>10</v>
      </c>
      <c r="F19" s="35" t="s">
        <v>27</v>
      </c>
      <c r="G19" s="36"/>
      <c r="H19" s="29"/>
    </row>
    <row r="20" spans="2:8" x14ac:dyDescent="0.1">
      <c r="B20" s="132"/>
      <c r="D20" s="26">
        <v>7</v>
      </c>
      <c r="E20" s="27" t="s">
        <v>10</v>
      </c>
      <c r="F20" s="35" t="s">
        <v>28</v>
      </c>
      <c r="G20" s="36"/>
      <c r="H20" s="29"/>
    </row>
    <row r="21" spans="2:8" x14ac:dyDescent="0.1">
      <c r="B21" s="132"/>
      <c r="D21" s="26">
        <v>8</v>
      </c>
      <c r="E21" s="27" t="s">
        <v>10</v>
      </c>
      <c r="F21" s="35" t="s">
        <v>75</v>
      </c>
      <c r="G21" s="36"/>
      <c r="H21" s="29"/>
    </row>
    <row r="22" spans="2:8" ht="5.0999999999999996" customHeight="1" x14ac:dyDescent="0.1">
      <c r="B22" s="132"/>
    </row>
    <row r="23" spans="2:8" x14ac:dyDescent="0.1">
      <c r="B23" s="132"/>
      <c r="D23" s="26">
        <v>9</v>
      </c>
      <c r="E23" s="30" t="s">
        <v>11</v>
      </c>
      <c r="F23" s="37" t="s">
        <v>29</v>
      </c>
      <c r="G23" s="38"/>
      <c r="H23" s="31">
        <f>SUM(H14:H21)</f>
        <v>0</v>
      </c>
    </row>
    <row r="24" spans="2:8" ht="5.0999999999999996" customHeight="1" x14ac:dyDescent="0.1"/>
    <row r="25" spans="2:8" ht="12.75" customHeight="1" x14ac:dyDescent="0.1">
      <c r="E25" s="133" t="s">
        <v>13</v>
      </c>
      <c r="F25" s="133"/>
      <c r="H25" s="17" t="s">
        <v>33</v>
      </c>
    </row>
    <row r="26" spans="2:8" ht="5.0999999999999996" customHeight="1" x14ac:dyDescent="0.1"/>
    <row r="27" spans="2:8" x14ac:dyDescent="0.1">
      <c r="B27" s="132" t="s">
        <v>14</v>
      </c>
      <c r="D27" s="26">
        <v>10</v>
      </c>
      <c r="E27" s="27" t="s">
        <v>17</v>
      </c>
      <c r="F27" s="35" t="s">
        <v>47</v>
      </c>
      <c r="G27" s="36"/>
      <c r="H27" s="29"/>
    </row>
    <row r="28" spans="2:8" x14ac:dyDescent="0.1">
      <c r="B28" s="132"/>
      <c r="D28" s="26">
        <v>11</v>
      </c>
      <c r="E28" s="27" t="s">
        <v>17</v>
      </c>
      <c r="F28" s="35" t="s">
        <v>48</v>
      </c>
      <c r="G28" s="36"/>
      <c r="H28" s="29"/>
    </row>
    <row r="29" spans="2:8" x14ac:dyDescent="0.1">
      <c r="B29" s="132"/>
      <c r="D29" s="26">
        <v>12</v>
      </c>
      <c r="E29" s="27" t="s">
        <v>17</v>
      </c>
      <c r="F29" s="35" t="s">
        <v>49</v>
      </c>
      <c r="G29" s="36"/>
      <c r="H29" s="29"/>
    </row>
    <row r="30" spans="2:8" x14ac:dyDescent="0.1">
      <c r="B30" s="132"/>
      <c r="D30" s="26">
        <v>13</v>
      </c>
      <c r="E30" s="27" t="s">
        <v>17</v>
      </c>
      <c r="F30" s="35" t="s">
        <v>50</v>
      </c>
      <c r="G30" s="36"/>
      <c r="H30" s="29"/>
    </row>
    <row r="31" spans="2:8" x14ac:dyDescent="0.1">
      <c r="B31" s="132"/>
      <c r="D31" s="26">
        <v>14</v>
      </c>
      <c r="E31" s="27" t="s">
        <v>17</v>
      </c>
      <c r="F31" s="35" t="s">
        <v>51</v>
      </c>
      <c r="G31" s="36"/>
      <c r="H31" s="29"/>
    </row>
    <row r="32" spans="2:8" x14ac:dyDescent="0.1">
      <c r="B32" s="132"/>
      <c r="D32" s="26">
        <v>15</v>
      </c>
      <c r="E32" s="27" t="s">
        <v>17</v>
      </c>
      <c r="F32" s="35" t="s">
        <v>52</v>
      </c>
      <c r="G32" s="36"/>
      <c r="H32" s="29"/>
    </row>
    <row r="33" spans="2:8" x14ac:dyDescent="0.1">
      <c r="B33" s="132"/>
      <c r="D33" s="26">
        <v>16</v>
      </c>
      <c r="E33" s="27" t="s">
        <v>17</v>
      </c>
      <c r="F33" s="35" t="s">
        <v>53</v>
      </c>
      <c r="G33" s="36"/>
      <c r="H33" s="29"/>
    </row>
    <row r="34" spans="2:8" x14ac:dyDescent="0.1">
      <c r="B34" s="132"/>
      <c r="D34" s="26">
        <v>17</v>
      </c>
      <c r="E34" s="27" t="s">
        <v>17</v>
      </c>
      <c r="F34" s="35" t="s">
        <v>54</v>
      </c>
      <c r="G34" s="36"/>
      <c r="H34" s="29"/>
    </row>
    <row r="35" spans="2:8" x14ac:dyDescent="0.1">
      <c r="B35" s="132"/>
      <c r="D35" s="26">
        <v>18</v>
      </c>
      <c r="E35" s="27" t="s">
        <v>17</v>
      </c>
      <c r="F35" s="35" t="s">
        <v>74</v>
      </c>
      <c r="G35" s="36"/>
      <c r="H35" s="29"/>
    </row>
    <row r="36" spans="2:8" ht="5.0999999999999996" customHeight="1" x14ac:dyDescent="0.1">
      <c r="B36" s="132"/>
    </row>
    <row r="37" spans="2:8" x14ac:dyDescent="0.1">
      <c r="B37" s="132"/>
      <c r="D37" s="26">
        <v>19</v>
      </c>
      <c r="E37" s="30" t="s">
        <v>11</v>
      </c>
      <c r="F37" s="37" t="s">
        <v>55</v>
      </c>
      <c r="G37" s="38"/>
      <c r="H37" s="31">
        <f>SUM(H27:H35)</f>
        <v>0</v>
      </c>
    </row>
    <row r="38" spans="2:8" ht="5.0999999999999996" customHeight="1" x14ac:dyDescent="0.1"/>
    <row r="39" spans="2:8" x14ac:dyDescent="0.1">
      <c r="D39" s="13"/>
      <c r="E39" s="136" t="s">
        <v>15</v>
      </c>
      <c r="F39" s="136"/>
      <c r="H39" s="17" t="s">
        <v>33</v>
      </c>
    </row>
    <row r="40" spans="2:8" ht="5.0999999999999996" customHeight="1" x14ac:dyDescent="0.15">
      <c r="D40" s="13"/>
      <c r="E40" s="15"/>
      <c r="F40" s="15"/>
    </row>
    <row r="41" spans="2:8" x14ac:dyDescent="0.1">
      <c r="B41" s="137" t="s">
        <v>15</v>
      </c>
      <c r="D41" s="26">
        <v>20</v>
      </c>
      <c r="E41" s="27" t="s">
        <v>17</v>
      </c>
      <c r="F41" s="35" t="s">
        <v>42</v>
      </c>
      <c r="G41" s="36"/>
      <c r="H41" s="29"/>
    </row>
    <row r="42" spans="2:8" x14ac:dyDescent="0.1">
      <c r="B42" s="137"/>
      <c r="D42" s="26">
        <v>21</v>
      </c>
      <c r="E42" s="27" t="s">
        <v>17</v>
      </c>
      <c r="F42" s="35" t="s">
        <v>73</v>
      </c>
      <c r="G42" s="36"/>
      <c r="H42" s="29"/>
    </row>
    <row r="43" spans="2:8" x14ac:dyDescent="0.1">
      <c r="B43" s="137"/>
      <c r="D43" s="26">
        <v>22</v>
      </c>
      <c r="E43" s="27" t="s">
        <v>17</v>
      </c>
      <c r="F43" s="35" t="s">
        <v>43</v>
      </c>
      <c r="G43" s="36"/>
      <c r="H43" s="29"/>
    </row>
    <row r="44" spans="2:8" ht="5.0999999999999996" customHeight="1" x14ac:dyDescent="0.1">
      <c r="B44" s="137"/>
    </row>
    <row r="45" spans="2:8" x14ac:dyDescent="0.1">
      <c r="B45" s="137"/>
      <c r="D45" s="26">
        <v>23</v>
      </c>
      <c r="E45" s="30" t="s">
        <v>11</v>
      </c>
      <c r="F45" s="37" t="s">
        <v>44</v>
      </c>
      <c r="G45" s="38"/>
      <c r="H45" s="31">
        <f>SUM(H41:H43)</f>
        <v>0</v>
      </c>
    </row>
    <row r="46" spans="2:8" ht="5.0999999999999996" customHeight="1" x14ac:dyDescent="0.1"/>
    <row r="47" spans="2:8" x14ac:dyDescent="0.1">
      <c r="B47" s="33"/>
      <c r="D47" s="26">
        <v>24</v>
      </c>
      <c r="E47" s="30" t="s">
        <v>11</v>
      </c>
      <c r="F47" s="37" t="s">
        <v>45</v>
      </c>
      <c r="G47" s="38"/>
      <c r="H47" s="31">
        <f>H23-H37-H45</f>
        <v>0</v>
      </c>
    </row>
    <row r="48" spans="2:8" ht="5.0999999999999996" customHeight="1" x14ac:dyDescent="0.1"/>
    <row r="49" spans="2:8" x14ac:dyDescent="0.1">
      <c r="B49" s="33"/>
      <c r="D49" s="26">
        <v>25</v>
      </c>
      <c r="E49" s="30" t="s">
        <v>11</v>
      </c>
      <c r="F49" s="37" t="s">
        <v>46</v>
      </c>
      <c r="G49" s="38"/>
      <c r="H49" s="31">
        <f>H47*1.65%</f>
        <v>0</v>
      </c>
    </row>
    <row r="50" spans="2:8" ht="5.0999999999999996" customHeight="1" x14ac:dyDescent="0.1"/>
    <row r="51" spans="2:8" x14ac:dyDescent="0.1">
      <c r="E51" s="133" t="s">
        <v>16</v>
      </c>
      <c r="F51" s="133"/>
      <c r="G51" s="17" t="s">
        <v>33</v>
      </c>
      <c r="H51" s="17" t="s">
        <v>33</v>
      </c>
    </row>
    <row r="52" spans="2:8" ht="5.0999999999999996" customHeight="1" x14ac:dyDescent="0.1"/>
    <row r="53" spans="2:8" x14ac:dyDescent="0.1">
      <c r="B53" s="138" t="s">
        <v>18</v>
      </c>
      <c r="D53" s="26">
        <v>26</v>
      </c>
      <c r="E53" s="27" t="s">
        <v>17</v>
      </c>
      <c r="F53" s="28" t="s">
        <v>30</v>
      </c>
      <c r="G53" s="29"/>
      <c r="H53" s="32">
        <f>G53*1.65%</f>
        <v>0</v>
      </c>
    </row>
    <row r="54" spans="2:8" x14ac:dyDescent="0.1">
      <c r="B54" s="138"/>
      <c r="D54" s="26">
        <v>27</v>
      </c>
      <c r="E54" s="27" t="s">
        <v>17</v>
      </c>
      <c r="F54" s="28" t="s">
        <v>31</v>
      </c>
      <c r="G54" s="29"/>
      <c r="H54" s="32">
        <f t="shared" ref="H54:H60" si="0">G54*1.65%</f>
        <v>0</v>
      </c>
    </row>
    <row r="55" spans="2:8" x14ac:dyDescent="0.1">
      <c r="B55" s="138"/>
      <c r="D55" s="26">
        <v>28</v>
      </c>
      <c r="E55" s="27" t="s">
        <v>17</v>
      </c>
      <c r="F55" s="28" t="s">
        <v>31</v>
      </c>
      <c r="G55" s="29"/>
      <c r="H55" s="32">
        <f t="shared" si="0"/>
        <v>0</v>
      </c>
    </row>
    <row r="56" spans="2:8" x14ac:dyDescent="0.1">
      <c r="B56" s="138"/>
      <c r="D56" s="26">
        <v>29</v>
      </c>
      <c r="E56" s="27" t="s">
        <v>17</v>
      </c>
      <c r="F56" s="28" t="s">
        <v>32</v>
      </c>
      <c r="G56" s="29"/>
      <c r="H56" s="32">
        <f t="shared" si="0"/>
        <v>0</v>
      </c>
    </row>
    <row r="57" spans="2:8" x14ac:dyDescent="0.1">
      <c r="B57" s="138"/>
      <c r="D57" s="26">
        <v>30</v>
      </c>
      <c r="E57" s="27" t="s">
        <v>17</v>
      </c>
      <c r="F57" s="28" t="s">
        <v>34</v>
      </c>
      <c r="G57" s="29"/>
      <c r="H57" s="32">
        <f t="shared" si="0"/>
        <v>0</v>
      </c>
    </row>
    <row r="58" spans="2:8" x14ac:dyDescent="0.1">
      <c r="B58" s="138"/>
      <c r="D58" s="26">
        <v>31</v>
      </c>
      <c r="E58" s="27" t="s">
        <v>17</v>
      </c>
      <c r="F58" s="28" t="s">
        <v>35</v>
      </c>
      <c r="G58" s="29"/>
      <c r="H58" s="32">
        <f t="shared" si="0"/>
        <v>0</v>
      </c>
    </row>
    <row r="59" spans="2:8" x14ac:dyDescent="0.1">
      <c r="B59" s="138"/>
      <c r="D59" s="26">
        <v>32</v>
      </c>
      <c r="E59" s="27" t="s">
        <v>17</v>
      </c>
      <c r="F59" s="28" t="s">
        <v>36</v>
      </c>
      <c r="G59" s="29"/>
      <c r="H59" s="32">
        <f t="shared" si="0"/>
        <v>0</v>
      </c>
    </row>
    <row r="60" spans="2:8" x14ac:dyDescent="0.1">
      <c r="B60" s="138"/>
      <c r="D60" s="26">
        <v>33</v>
      </c>
      <c r="E60" s="27" t="s">
        <v>17</v>
      </c>
      <c r="F60" s="28" t="s">
        <v>37</v>
      </c>
      <c r="G60" s="29"/>
      <c r="H60" s="32">
        <f t="shared" si="0"/>
        <v>0</v>
      </c>
    </row>
    <row r="61" spans="2:8" x14ac:dyDescent="0.1">
      <c r="B61" s="138"/>
      <c r="D61" s="26">
        <v>34</v>
      </c>
      <c r="E61" s="27" t="s">
        <v>17</v>
      </c>
      <c r="F61" s="35" t="s">
        <v>38</v>
      </c>
      <c r="G61" s="36"/>
      <c r="H61" s="29"/>
    </row>
    <row r="62" spans="2:8" x14ac:dyDescent="0.1">
      <c r="B62" s="138"/>
      <c r="D62" s="26">
        <v>35</v>
      </c>
      <c r="E62" s="27" t="s">
        <v>17</v>
      </c>
      <c r="F62" s="35" t="s">
        <v>39</v>
      </c>
      <c r="G62" s="36"/>
      <c r="H62" s="29"/>
    </row>
    <row r="63" spans="2:8" ht="5.0999999999999996" customHeight="1" x14ac:dyDescent="0.1">
      <c r="B63" s="138"/>
    </row>
    <row r="64" spans="2:8" x14ac:dyDescent="0.1">
      <c r="B64" s="138"/>
      <c r="D64" s="26">
        <v>36</v>
      </c>
      <c r="E64" s="30" t="s">
        <v>11</v>
      </c>
      <c r="F64" s="37" t="s">
        <v>40</v>
      </c>
      <c r="G64" s="38"/>
      <c r="H64" s="31">
        <f>SUM(H53:H62)</f>
        <v>0</v>
      </c>
    </row>
    <row r="65" spans="2:8" ht="5.0999999999999996" customHeight="1" x14ac:dyDescent="0.1"/>
    <row r="66" spans="2:8" x14ac:dyDescent="0.1">
      <c r="B66" s="33"/>
      <c r="D66" s="26">
        <v>37</v>
      </c>
      <c r="E66" s="30" t="s">
        <v>11</v>
      </c>
      <c r="F66" s="37" t="s">
        <v>41</v>
      </c>
      <c r="G66" s="38"/>
      <c r="H66" s="31">
        <f>H49-H64</f>
        <v>0</v>
      </c>
    </row>
    <row r="67" spans="2:8" ht="6" customHeight="1" x14ac:dyDescent="0.1"/>
    <row r="68" spans="2:8" x14ac:dyDescent="0.1">
      <c r="E68" s="131" t="s">
        <v>66</v>
      </c>
      <c r="F68" s="131"/>
      <c r="G68" s="131"/>
    </row>
    <row r="69" spans="2:8" ht="6" customHeight="1" x14ac:dyDescent="0.1"/>
    <row r="70" spans="2:8" x14ac:dyDescent="0.1">
      <c r="B70" s="39"/>
      <c r="D70" s="26">
        <v>38</v>
      </c>
      <c r="E70" s="27"/>
      <c r="F70" s="35" t="s">
        <v>67</v>
      </c>
      <c r="G70" s="36"/>
      <c r="H70" s="28"/>
    </row>
    <row r="71" spans="2:8" x14ac:dyDescent="0.1">
      <c r="B71" s="40"/>
      <c r="D71" s="26">
        <v>39</v>
      </c>
      <c r="E71" s="27"/>
      <c r="F71" s="35" t="s">
        <v>68</v>
      </c>
      <c r="G71" s="36"/>
      <c r="H71" s="28"/>
    </row>
    <row r="72" spans="2:8" x14ac:dyDescent="0.1">
      <c r="B72" s="40"/>
      <c r="D72" s="26">
        <v>40</v>
      </c>
      <c r="E72" s="30"/>
      <c r="F72" s="35" t="s">
        <v>69</v>
      </c>
      <c r="G72" s="36"/>
      <c r="H72" s="28"/>
    </row>
    <row r="73" spans="2:8" x14ac:dyDescent="0.1">
      <c r="B73" s="40"/>
      <c r="D73" s="26">
        <v>41</v>
      </c>
      <c r="E73" s="27"/>
      <c r="F73" s="35" t="s">
        <v>70</v>
      </c>
      <c r="G73" s="36"/>
      <c r="H73" s="28"/>
    </row>
    <row r="74" spans="2:8" x14ac:dyDescent="0.1">
      <c r="B74" s="40"/>
      <c r="D74" s="26">
        <v>42</v>
      </c>
      <c r="E74" s="27"/>
      <c r="F74" s="35" t="s">
        <v>71</v>
      </c>
      <c r="G74" s="36"/>
      <c r="H74" s="28"/>
    </row>
    <row r="75" spans="2:8" x14ac:dyDescent="0.1">
      <c r="B75" s="41"/>
      <c r="D75" s="26">
        <v>43</v>
      </c>
      <c r="E75" s="27"/>
      <c r="F75" s="35" t="s">
        <v>72</v>
      </c>
      <c r="G75" s="36"/>
      <c r="H75" s="28"/>
    </row>
    <row r="78" spans="2:8" ht="9.9499999999999993" customHeight="1" x14ac:dyDescent="0.1"/>
    <row r="81" spans="2:8" ht="9.9499999999999993" customHeight="1" x14ac:dyDescent="0.1">
      <c r="B81" s="134" t="s">
        <v>19</v>
      </c>
      <c r="C81" s="134"/>
      <c r="D81" s="134"/>
      <c r="E81" s="134"/>
      <c r="F81" s="134"/>
      <c r="G81" s="134"/>
      <c r="H81" s="134"/>
    </row>
    <row r="82" spans="2:8" ht="9" customHeight="1" x14ac:dyDescent="0.1">
      <c r="B82" s="135" t="s">
        <v>20</v>
      </c>
      <c r="C82" s="135"/>
      <c r="D82" s="135"/>
      <c r="E82" s="135"/>
      <c r="F82" s="135"/>
      <c r="G82" s="135"/>
      <c r="H82" s="135"/>
    </row>
    <row r="83" spans="2:8" ht="9" customHeight="1" x14ac:dyDescent="0.1">
      <c r="B83" s="135" t="s">
        <v>21</v>
      </c>
      <c r="C83" s="135"/>
      <c r="D83" s="135"/>
      <c r="E83" s="135"/>
      <c r="F83" s="135"/>
      <c r="G83" s="135"/>
      <c r="H83" s="135"/>
    </row>
    <row r="84" spans="2:8" s="3" customFormat="1" x14ac:dyDescent="0.1">
      <c r="B84" s="18"/>
      <c r="D84" s="19"/>
      <c r="E84" s="18"/>
    </row>
    <row r="85" spans="2:8" s="3" customFormat="1" x14ac:dyDescent="0.1">
      <c r="B85" s="18"/>
      <c r="D85" s="19"/>
      <c r="E85" s="18"/>
    </row>
    <row r="86" spans="2:8" s="3" customFormat="1" x14ac:dyDescent="0.1">
      <c r="B86" s="18"/>
      <c r="D86" s="19"/>
      <c r="E86" s="18"/>
    </row>
    <row r="87" spans="2:8" s="3" customFormat="1" x14ac:dyDescent="0.1">
      <c r="B87" s="18"/>
      <c r="D87" s="19"/>
      <c r="E87" s="18"/>
    </row>
    <row r="88" spans="2:8" s="3" customFormat="1" x14ac:dyDescent="0.1">
      <c r="B88" s="18"/>
      <c r="D88" s="19"/>
      <c r="E88" s="18"/>
    </row>
    <row r="89" spans="2:8" s="3" customFormat="1" x14ac:dyDescent="0.1">
      <c r="B89" s="18"/>
      <c r="D89" s="19"/>
      <c r="E89" s="18"/>
    </row>
    <row r="90" spans="2:8" s="3" customFormat="1" x14ac:dyDescent="0.1">
      <c r="B90" s="18"/>
      <c r="D90" s="19"/>
      <c r="E90" s="18"/>
    </row>
    <row r="91" spans="2:8" s="3" customFormat="1" x14ac:dyDescent="0.1">
      <c r="B91" s="18"/>
      <c r="D91" s="19"/>
      <c r="E91" s="18"/>
    </row>
    <row r="92" spans="2:8" s="3" customFormat="1" x14ac:dyDescent="0.1">
      <c r="B92" s="18"/>
      <c r="D92" s="19"/>
      <c r="E92" s="18"/>
    </row>
    <row r="93" spans="2:8" s="3" customFormat="1" x14ac:dyDescent="0.1">
      <c r="B93" s="18"/>
      <c r="D93" s="19"/>
      <c r="E93" s="18"/>
    </row>
    <row r="94" spans="2:8" s="3" customFormat="1" x14ac:dyDescent="0.1">
      <c r="B94" s="18"/>
      <c r="D94" s="19"/>
      <c r="E94" s="18"/>
    </row>
    <row r="95" spans="2:8" s="3" customFormat="1" x14ac:dyDescent="0.1">
      <c r="B95" s="18"/>
      <c r="D95" s="19"/>
      <c r="E95" s="18"/>
    </row>
    <row r="96" spans="2:8" s="3" customFormat="1" x14ac:dyDescent="0.1">
      <c r="B96" s="18"/>
      <c r="D96" s="19"/>
      <c r="E96" s="18"/>
    </row>
    <row r="97" spans="2:5" s="3" customFormat="1" x14ac:dyDescent="0.1">
      <c r="B97" s="18"/>
      <c r="D97" s="19"/>
      <c r="E97" s="18"/>
    </row>
    <row r="98" spans="2:5" s="3" customFormat="1" x14ac:dyDescent="0.1">
      <c r="B98" s="18"/>
      <c r="D98" s="19"/>
      <c r="E98" s="18"/>
    </row>
    <row r="99" spans="2:5" s="3" customFormat="1" x14ac:dyDescent="0.1">
      <c r="B99" s="18"/>
      <c r="D99" s="19"/>
      <c r="E99" s="18"/>
    </row>
    <row r="100" spans="2:5" s="3" customFormat="1" x14ac:dyDescent="0.1">
      <c r="B100" s="18"/>
      <c r="D100" s="19"/>
      <c r="E100" s="18"/>
    </row>
    <row r="101" spans="2:5" s="3" customFormat="1" x14ac:dyDescent="0.1">
      <c r="B101" s="18"/>
      <c r="D101" s="19"/>
      <c r="E101" s="18"/>
    </row>
    <row r="102" spans="2:5" s="3" customFormat="1" x14ac:dyDescent="0.1">
      <c r="B102" s="18"/>
      <c r="D102" s="19"/>
      <c r="E102" s="18"/>
    </row>
    <row r="103" spans="2:5" s="3" customFormat="1" x14ac:dyDescent="0.1">
      <c r="B103" s="18"/>
      <c r="D103" s="19"/>
      <c r="E103" s="18"/>
    </row>
    <row r="104" spans="2:5" s="3" customFormat="1" x14ac:dyDescent="0.1">
      <c r="B104" s="18"/>
      <c r="D104" s="19"/>
      <c r="E104" s="18"/>
    </row>
    <row r="105" spans="2:5" s="3" customFormat="1" x14ac:dyDescent="0.1">
      <c r="B105" s="18"/>
      <c r="D105" s="19"/>
      <c r="E105" s="18"/>
    </row>
    <row r="106" spans="2:5" s="3" customFormat="1" x14ac:dyDescent="0.1">
      <c r="B106" s="18"/>
      <c r="D106" s="19"/>
      <c r="E106" s="18"/>
    </row>
    <row r="107" spans="2:5" s="3" customFormat="1" x14ac:dyDescent="0.1">
      <c r="B107" s="18"/>
      <c r="D107" s="19"/>
      <c r="E107" s="18"/>
    </row>
    <row r="108" spans="2:5" s="3" customFormat="1" x14ac:dyDescent="0.1">
      <c r="B108" s="18"/>
      <c r="D108" s="19"/>
      <c r="E108" s="18"/>
    </row>
    <row r="109" spans="2:5" s="3" customFormat="1" x14ac:dyDescent="0.1">
      <c r="B109" s="18"/>
      <c r="D109" s="19"/>
      <c r="E109" s="18"/>
    </row>
    <row r="110" spans="2:5" s="3" customFormat="1" x14ac:dyDescent="0.1">
      <c r="B110" s="18"/>
      <c r="D110" s="19"/>
      <c r="E110" s="18"/>
    </row>
    <row r="111" spans="2:5" s="3" customFormat="1" x14ac:dyDescent="0.1">
      <c r="B111" s="18"/>
      <c r="D111" s="19"/>
      <c r="E111" s="18"/>
    </row>
    <row r="112" spans="2:5" s="3" customFormat="1" x14ac:dyDescent="0.1">
      <c r="B112" s="18"/>
      <c r="D112" s="19"/>
      <c r="E112" s="18"/>
    </row>
    <row r="113" spans="2:5" s="3" customFormat="1" x14ac:dyDescent="0.1">
      <c r="B113" s="18"/>
      <c r="D113" s="19"/>
      <c r="E113" s="18"/>
    </row>
    <row r="114" spans="2:5" s="3" customFormat="1" x14ac:dyDescent="0.1">
      <c r="B114" s="18"/>
      <c r="D114" s="19"/>
      <c r="E114" s="18"/>
    </row>
    <row r="115" spans="2:5" s="3" customFormat="1" x14ac:dyDescent="0.1">
      <c r="B115" s="18"/>
      <c r="D115" s="19"/>
      <c r="E115" s="18"/>
    </row>
    <row r="116" spans="2:5" s="3" customFormat="1" x14ac:dyDescent="0.1">
      <c r="B116" s="18"/>
      <c r="D116" s="19"/>
      <c r="E116" s="18"/>
    </row>
    <row r="117" spans="2:5" s="3" customFormat="1" x14ac:dyDescent="0.1">
      <c r="B117" s="18"/>
      <c r="D117" s="19"/>
      <c r="E117" s="18"/>
    </row>
    <row r="118" spans="2:5" s="3" customFormat="1" x14ac:dyDescent="0.1">
      <c r="B118" s="18"/>
      <c r="D118" s="19"/>
      <c r="E118" s="18"/>
    </row>
    <row r="119" spans="2:5" s="3" customFormat="1" x14ac:dyDescent="0.1">
      <c r="B119" s="18"/>
      <c r="D119" s="19"/>
      <c r="E119" s="18"/>
    </row>
    <row r="120" spans="2:5" s="3" customFormat="1" x14ac:dyDescent="0.1">
      <c r="B120" s="18"/>
      <c r="D120" s="19"/>
      <c r="E120" s="18"/>
    </row>
    <row r="121" spans="2:5" s="3" customFormat="1" x14ac:dyDescent="0.1">
      <c r="B121" s="18"/>
      <c r="D121" s="19"/>
      <c r="E121" s="18"/>
    </row>
    <row r="122" spans="2:5" s="3" customFormat="1" x14ac:dyDescent="0.1">
      <c r="B122" s="18"/>
      <c r="D122" s="19"/>
      <c r="E122" s="18"/>
    </row>
    <row r="123" spans="2:5" s="3" customFormat="1" x14ac:dyDescent="0.1">
      <c r="B123" s="18"/>
      <c r="D123" s="19"/>
      <c r="E123" s="18"/>
    </row>
    <row r="124" spans="2:5" s="3" customFormat="1" x14ac:dyDescent="0.1">
      <c r="B124" s="18"/>
      <c r="D124" s="19"/>
      <c r="E124" s="18"/>
    </row>
    <row r="125" spans="2:5" s="3" customFormat="1" x14ac:dyDescent="0.1">
      <c r="B125" s="18"/>
      <c r="D125" s="19"/>
      <c r="E125" s="18"/>
    </row>
    <row r="126" spans="2:5" s="3" customFormat="1" x14ac:dyDescent="0.1">
      <c r="B126" s="18"/>
      <c r="D126" s="19"/>
      <c r="E126" s="18"/>
    </row>
    <row r="127" spans="2:5" s="3" customFormat="1" x14ac:dyDescent="0.1">
      <c r="B127" s="18"/>
      <c r="D127" s="19"/>
      <c r="E127" s="18"/>
    </row>
    <row r="128" spans="2:5" s="3" customFormat="1" x14ac:dyDescent="0.1">
      <c r="B128" s="18"/>
      <c r="D128" s="19"/>
      <c r="E128" s="18"/>
    </row>
    <row r="129" spans="2:5" s="3" customFormat="1" x14ac:dyDescent="0.1">
      <c r="B129" s="18"/>
      <c r="D129" s="19"/>
      <c r="E129" s="18"/>
    </row>
    <row r="130" spans="2:5" s="3" customFormat="1" x14ac:dyDescent="0.1">
      <c r="B130" s="18"/>
      <c r="D130" s="19"/>
      <c r="E130" s="18"/>
    </row>
    <row r="131" spans="2:5" s="3" customFormat="1" x14ac:dyDescent="0.1">
      <c r="B131" s="18"/>
      <c r="D131" s="19"/>
      <c r="E131" s="18"/>
    </row>
    <row r="132" spans="2:5" s="3" customFormat="1" x14ac:dyDescent="0.1">
      <c r="B132" s="18"/>
      <c r="D132" s="19"/>
      <c r="E132" s="18"/>
    </row>
    <row r="133" spans="2:5" s="3" customFormat="1" x14ac:dyDescent="0.1">
      <c r="B133" s="18"/>
      <c r="D133" s="19"/>
      <c r="E133" s="18"/>
    </row>
    <row r="134" spans="2:5" s="3" customFormat="1" x14ac:dyDescent="0.1">
      <c r="B134" s="18"/>
      <c r="D134" s="19"/>
      <c r="E134" s="18"/>
    </row>
    <row r="135" spans="2:5" s="3" customFormat="1" x14ac:dyDescent="0.1">
      <c r="B135" s="18"/>
      <c r="D135" s="19"/>
      <c r="E135" s="18"/>
    </row>
    <row r="136" spans="2:5" s="3" customFormat="1" x14ac:dyDescent="0.1">
      <c r="B136" s="18"/>
      <c r="D136" s="19"/>
      <c r="E136" s="18"/>
    </row>
    <row r="137" spans="2:5" s="3" customFormat="1" x14ac:dyDescent="0.1">
      <c r="B137" s="18"/>
      <c r="D137" s="19"/>
      <c r="E137" s="18"/>
    </row>
    <row r="138" spans="2:5" s="3" customFormat="1" x14ac:dyDescent="0.1">
      <c r="B138" s="18"/>
      <c r="D138" s="19"/>
      <c r="E138" s="18"/>
    </row>
    <row r="139" spans="2:5" s="3" customFormat="1" x14ac:dyDescent="0.1">
      <c r="B139" s="18"/>
      <c r="D139" s="19"/>
      <c r="E139" s="18"/>
    </row>
    <row r="140" spans="2:5" s="3" customFormat="1" x14ac:dyDescent="0.1">
      <c r="B140" s="18"/>
      <c r="D140" s="19"/>
      <c r="E140" s="18"/>
    </row>
    <row r="141" spans="2:5" s="3" customFormat="1" x14ac:dyDescent="0.1">
      <c r="B141" s="18"/>
      <c r="D141" s="19"/>
      <c r="E141" s="18"/>
    </row>
    <row r="142" spans="2:5" s="3" customFormat="1" x14ac:dyDescent="0.1">
      <c r="B142" s="18"/>
      <c r="D142" s="19"/>
      <c r="E142" s="18"/>
    </row>
    <row r="143" spans="2:5" s="3" customFormat="1" x14ac:dyDescent="0.1">
      <c r="B143" s="18"/>
      <c r="D143" s="19"/>
      <c r="E143" s="18"/>
    </row>
    <row r="144" spans="2:5" s="3" customFormat="1" x14ac:dyDescent="0.1">
      <c r="B144" s="18"/>
      <c r="D144" s="19"/>
      <c r="E144" s="18"/>
    </row>
    <row r="145" spans="2:5" s="3" customFormat="1" x14ac:dyDescent="0.1">
      <c r="B145" s="18"/>
      <c r="D145" s="19"/>
      <c r="E145" s="18"/>
    </row>
    <row r="146" spans="2:5" s="3" customFormat="1" x14ac:dyDescent="0.1">
      <c r="B146" s="18"/>
      <c r="D146" s="19"/>
      <c r="E146" s="18"/>
    </row>
    <row r="147" spans="2:5" s="3" customFormat="1" x14ac:dyDescent="0.1">
      <c r="B147" s="18"/>
      <c r="D147" s="19"/>
      <c r="E147" s="18"/>
    </row>
    <row r="148" spans="2:5" s="3" customFormat="1" x14ac:dyDescent="0.1">
      <c r="B148" s="18"/>
      <c r="D148" s="19"/>
      <c r="E148" s="18"/>
    </row>
    <row r="149" spans="2:5" s="3" customFormat="1" x14ac:dyDescent="0.1">
      <c r="B149" s="18"/>
      <c r="D149" s="19"/>
      <c r="E149" s="18"/>
    </row>
    <row r="150" spans="2:5" s="3" customFormat="1" x14ac:dyDescent="0.1">
      <c r="B150" s="18"/>
      <c r="D150" s="19"/>
      <c r="E150" s="18"/>
    </row>
    <row r="151" spans="2:5" s="3" customFormat="1" x14ac:dyDescent="0.1">
      <c r="B151" s="18"/>
      <c r="D151" s="19"/>
      <c r="E151" s="18"/>
    </row>
    <row r="152" spans="2:5" s="3" customFormat="1" x14ac:dyDescent="0.1">
      <c r="B152" s="18"/>
      <c r="D152" s="19"/>
      <c r="E152" s="18"/>
    </row>
    <row r="153" spans="2:5" s="3" customFormat="1" x14ac:dyDescent="0.1">
      <c r="B153" s="18"/>
      <c r="D153" s="19"/>
      <c r="E153" s="18"/>
    </row>
    <row r="154" spans="2:5" s="3" customFormat="1" x14ac:dyDescent="0.1">
      <c r="B154" s="18"/>
      <c r="D154" s="19"/>
      <c r="E154" s="18"/>
    </row>
    <row r="155" spans="2:5" s="3" customFormat="1" x14ac:dyDescent="0.1">
      <c r="B155" s="18"/>
      <c r="D155" s="19"/>
      <c r="E155" s="18"/>
    </row>
    <row r="156" spans="2:5" s="3" customFormat="1" x14ac:dyDescent="0.1">
      <c r="B156" s="18"/>
      <c r="D156" s="19"/>
      <c r="E156" s="18"/>
    </row>
    <row r="157" spans="2:5" s="3" customFormat="1" x14ac:dyDescent="0.1">
      <c r="B157" s="18"/>
      <c r="D157" s="19"/>
      <c r="E157" s="18"/>
    </row>
    <row r="158" spans="2:5" s="3" customFormat="1" x14ac:dyDescent="0.1">
      <c r="B158" s="18"/>
      <c r="D158" s="19"/>
      <c r="E158" s="18"/>
    </row>
    <row r="159" spans="2:5" s="3" customFormat="1" x14ac:dyDescent="0.1">
      <c r="B159" s="18"/>
      <c r="D159" s="19"/>
      <c r="E159" s="18"/>
    </row>
    <row r="160" spans="2:5" s="3" customFormat="1" x14ac:dyDescent="0.1">
      <c r="B160" s="18"/>
      <c r="D160" s="19"/>
      <c r="E160" s="18"/>
    </row>
    <row r="161" spans="2:5" s="3" customFormat="1" x14ac:dyDescent="0.1">
      <c r="B161" s="18"/>
      <c r="D161" s="19"/>
      <c r="E161" s="18"/>
    </row>
    <row r="162" spans="2:5" s="3" customFormat="1" x14ac:dyDescent="0.1">
      <c r="B162" s="18"/>
      <c r="D162" s="19"/>
      <c r="E162" s="18"/>
    </row>
    <row r="163" spans="2:5" s="3" customFormat="1" x14ac:dyDescent="0.1">
      <c r="B163" s="18"/>
      <c r="D163" s="19"/>
      <c r="E163" s="18"/>
    </row>
    <row r="164" spans="2:5" s="3" customFormat="1" x14ac:dyDescent="0.1">
      <c r="B164" s="18"/>
      <c r="D164" s="19"/>
      <c r="E164" s="18"/>
    </row>
    <row r="165" spans="2:5" s="3" customFormat="1" x14ac:dyDescent="0.1">
      <c r="B165" s="18"/>
      <c r="D165" s="19"/>
      <c r="E165" s="18"/>
    </row>
    <row r="166" spans="2:5" s="3" customFormat="1" x14ac:dyDescent="0.1">
      <c r="B166" s="18"/>
      <c r="D166" s="19"/>
      <c r="E166" s="18"/>
    </row>
    <row r="167" spans="2:5" s="3" customFormat="1" x14ac:dyDescent="0.1">
      <c r="B167" s="18"/>
      <c r="D167" s="19"/>
      <c r="E167" s="18"/>
    </row>
    <row r="168" spans="2:5" s="3" customFormat="1" x14ac:dyDescent="0.1">
      <c r="B168" s="18"/>
      <c r="D168" s="19"/>
      <c r="E168" s="18"/>
    </row>
    <row r="169" spans="2:5" s="3" customFormat="1" x14ac:dyDescent="0.1">
      <c r="B169" s="18"/>
      <c r="D169" s="19"/>
      <c r="E169" s="18"/>
    </row>
    <row r="170" spans="2:5" s="3" customFormat="1" x14ac:dyDescent="0.1">
      <c r="B170" s="18"/>
      <c r="D170" s="19"/>
      <c r="E170" s="18"/>
    </row>
    <row r="171" spans="2:5" s="3" customFormat="1" x14ac:dyDescent="0.1">
      <c r="B171" s="18"/>
      <c r="D171" s="19"/>
      <c r="E171" s="18"/>
    </row>
    <row r="172" spans="2:5" s="3" customFormat="1" x14ac:dyDescent="0.1">
      <c r="B172" s="18"/>
      <c r="D172" s="19"/>
      <c r="E172" s="18"/>
    </row>
    <row r="173" spans="2:5" s="3" customFormat="1" x14ac:dyDescent="0.1">
      <c r="B173" s="18"/>
      <c r="D173" s="19"/>
      <c r="E173" s="18"/>
    </row>
    <row r="174" spans="2:5" s="3" customFormat="1" x14ac:dyDescent="0.1">
      <c r="B174" s="18"/>
      <c r="D174" s="19"/>
      <c r="E174" s="18"/>
    </row>
    <row r="175" spans="2:5" s="3" customFormat="1" x14ac:dyDescent="0.1">
      <c r="B175" s="18"/>
      <c r="D175" s="19"/>
      <c r="E175" s="18"/>
    </row>
    <row r="176" spans="2:5" s="3" customFormat="1" x14ac:dyDescent="0.1">
      <c r="B176" s="18"/>
      <c r="D176" s="19"/>
      <c r="E176" s="18"/>
    </row>
    <row r="177" spans="2:5" s="3" customFormat="1" x14ac:dyDescent="0.1">
      <c r="B177" s="18"/>
      <c r="D177" s="19"/>
      <c r="E177" s="18"/>
    </row>
    <row r="178" spans="2:5" s="3" customFormat="1" x14ac:dyDescent="0.1">
      <c r="B178" s="18"/>
      <c r="D178" s="19"/>
      <c r="E178" s="18"/>
    </row>
    <row r="179" spans="2:5" s="3" customFormat="1" x14ac:dyDescent="0.1">
      <c r="B179" s="18"/>
      <c r="D179" s="19"/>
      <c r="E179" s="18"/>
    </row>
    <row r="180" spans="2:5" s="3" customFormat="1" x14ac:dyDescent="0.1">
      <c r="B180" s="18"/>
      <c r="D180" s="19"/>
      <c r="E180" s="18"/>
    </row>
    <row r="181" spans="2:5" s="3" customFormat="1" x14ac:dyDescent="0.1">
      <c r="B181" s="18"/>
      <c r="D181" s="19"/>
      <c r="E181" s="18"/>
    </row>
    <row r="182" spans="2:5" s="3" customFormat="1" x14ac:dyDescent="0.1">
      <c r="B182" s="18"/>
      <c r="D182" s="19"/>
      <c r="E182" s="18"/>
    </row>
    <row r="183" spans="2:5" s="3" customFormat="1" x14ac:dyDescent="0.1">
      <c r="B183" s="18"/>
      <c r="D183" s="19"/>
      <c r="E183" s="18"/>
    </row>
    <row r="184" spans="2:5" s="3" customFormat="1" x14ac:dyDescent="0.1">
      <c r="B184" s="18"/>
      <c r="D184" s="19"/>
      <c r="E184" s="18"/>
    </row>
    <row r="185" spans="2:5" s="3" customFormat="1" x14ac:dyDescent="0.1">
      <c r="B185" s="18"/>
      <c r="D185" s="19"/>
      <c r="E185" s="18"/>
    </row>
    <row r="186" spans="2:5" s="3" customFormat="1" x14ac:dyDescent="0.1">
      <c r="B186" s="18"/>
      <c r="D186" s="19"/>
      <c r="E186" s="18"/>
    </row>
    <row r="187" spans="2:5" s="3" customFormat="1" x14ac:dyDescent="0.1">
      <c r="B187" s="18"/>
      <c r="D187" s="19"/>
      <c r="E187" s="18"/>
    </row>
    <row r="188" spans="2:5" s="3" customFormat="1" x14ac:dyDescent="0.1">
      <c r="B188" s="18"/>
      <c r="D188" s="19"/>
      <c r="E188" s="18"/>
    </row>
    <row r="189" spans="2:5" s="3" customFormat="1" x14ac:dyDescent="0.1">
      <c r="B189" s="18"/>
      <c r="D189" s="19"/>
      <c r="E189" s="18"/>
    </row>
    <row r="190" spans="2:5" s="3" customFormat="1" x14ac:dyDescent="0.1">
      <c r="B190" s="18"/>
      <c r="D190" s="19"/>
      <c r="E190" s="18"/>
    </row>
    <row r="191" spans="2:5" s="3" customFormat="1" x14ac:dyDescent="0.1">
      <c r="B191" s="18"/>
      <c r="D191" s="19"/>
      <c r="E191" s="18"/>
    </row>
    <row r="192" spans="2:5" s="3" customFormat="1" x14ac:dyDescent="0.1">
      <c r="B192" s="18"/>
      <c r="D192" s="19"/>
      <c r="E192" s="18"/>
    </row>
    <row r="193" spans="2:5" s="3" customFormat="1" x14ac:dyDescent="0.1">
      <c r="B193" s="18"/>
      <c r="D193" s="19"/>
      <c r="E193" s="18"/>
    </row>
    <row r="194" spans="2:5" s="3" customFormat="1" x14ac:dyDescent="0.1">
      <c r="B194" s="18"/>
      <c r="D194" s="19"/>
      <c r="E194" s="18"/>
    </row>
    <row r="195" spans="2:5" s="3" customFormat="1" x14ac:dyDescent="0.1">
      <c r="B195" s="18"/>
      <c r="D195" s="19"/>
      <c r="E195" s="18"/>
    </row>
    <row r="196" spans="2:5" s="3" customFormat="1" x14ac:dyDescent="0.1">
      <c r="B196" s="18"/>
      <c r="D196" s="19"/>
      <c r="E196" s="18"/>
    </row>
    <row r="197" spans="2:5" s="3" customFormat="1" x14ac:dyDescent="0.1">
      <c r="B197" s="18"/>
      <c r="D197" s="19"/>
      <c r="E197" s="18"/>
    </row>
    <row r="198" spans="2:5" s="3" customFormat="1" x14ac:dyDescent="0.1">
      <c r="B198" s="18"/>
      <c r="D198" s="19"/>
      <c r="E198" s="18"/>
    </row>
    <row r="199" spans="2:5" s="3" customFormat="1" x14ac:dyDescent="0.1">
      <c r="B199" s="18"/>
      <c r="D199" s="19"/>
      <c r="E199" s="18"/>
    </row>
    <row r="200" spans="2:5" s="3" customFormat="1" x14ac:dyDescent="0.1">
      <c r="B200" s="18"/>
      <c r="D200" s="19"/>
      <c r="E200" s="18"/>
    </row>
    <row r="201" spans="2:5" s="3" customFormat="1" x14ac:dyDescent="0.1">
      <c r="B201" s="18"/>
      <c r="D201" s="19"/>
      <c r="E201" s="18"/>
    </row>
    <row r="202" spans="2:5" s="3" customFormat="1" x14ac:dyDescent="0.1">
      <c r="B202" s="18"/>
      <c r="D202" s="19"/>
      <c r="E202" s="18"/>
    </row>
    <row r="203" spans="2:5" s="3" customFormat="1" x14ac:dyDescent="0.1">
      <c r="B203" s="18"/>
      <c r="D203" s="19"/>
      <c r="E203" s="18"/>
    </row>
    <row r="204" spans="2:5" s="3" customFormat="1" x14ac:dyDescent="0.1">
      <c r="B204" s="18"/>
      <c r="D204" s="19"/>
      <c r="E204" s="18"/>
    </row>
    <row r="205" spans="2:5" s="3" customFormat="1" x14ac:dyDescent="0.1">
      <c r="B205" s="18"/>
      <c r="D205" s="19"/>
      <c r="E205" s="18"/>
    </row>
    <row r="206" spans="2:5" s="3" customFormat="1" x14ac:dyDescent="0.1">
      <c r="B206" s="18"/>
      <c r="D206" s="19"/>
      <c r="E206" s="18"/>
    </row>
    <row r="207" spans="2:5" s="3" customFormat="1" x14ac:dyDescent="0.1">
      <c r="B207" s="18"/>
      <c r="D207" s="19"/>
      <c r="E207" s="18"/>
    </row>
    <row r="208" spans="2:5" s="3" customFormat="1" x14ac:dyDescent="0.1">
      <c r="B208" s="18"/>
      <c r="D208" s="19"/>
      <c r="E208" s="18"/>
    </row>
    <row r="209" spans="2:5" s="3" customFormat="1" x14ac:dyDescent="0.1">
      <c r="B209" s="18"/>
      <c r="D209" s="19"/>
      <c r="E209" s="18"/>
    </row>
    <row r="210" spans="2:5" s="3" customFormat="1" x14ac:dyDescent="0.1">
      <c r="B210" s="18"/>
      <c r="D210" s="19"/>
      <c r="E210" s="18"/>
    </row>
    <row r="211" spans="2:5" s="3" customFormat="1" x14ac:dyDescent="0.1">
      <c r="B211" s="18"/>
      <c r="D211" s="19"/>
      <c r="E211" s="18"/>
    </row>
    <row r="212" spans="2:5" s="3" customFormat="1" x14ac:dyDescent="0.1">
      <c r="B212" s="18"/>
      <c r="D212" s="19"/>
      <c r="E212" s="18"/>
    </row>
    <row r="213" spans="2:5" s="3" customFormat="1" x14ac:dyDescent="0.1">
      <c r="B213" s="18"/>
      <c r="D213" s="19"/>
      <c r="E213" s="18"/>
    </row>
    <row r="214" spans="2:5" s="3" customFormat="1" x14ac:dyDescent="0.1">
      <c r="B214" s="18"/>
      <c r="D214" s="19"/>
      <c r="E214" s="18"/>
    </row>
    <row r="215" spans="2:5" s="3" customFormat="1" x14ac:dyDescent="0.1">
      <c r="B215" s="18"/>
      <c r="D215" s="19"/>
      <c r="E215" s="18"/>
    </row>
    <row r="216" spans="2:5" s="3" customFormat="1" x14ac:dyDescent="0.1">
      <c r="B216" s="18"/>
      <c r="D216" s="19"/>
      <c r="E216" s="18"/>
    </row>
    <row r="217" spans="2:5" s="3" customFormat="1" x14ac:dyDescent="0.1">
      <c r="B217" s="18"/>
      <c r="D217" s="19"/>
      <c r="E217" s="18"/>
    </row>
    <row r="218" spans="2:5" s="3" customFormat="1" x14ac:dyDescent="0.1">
      <c r="B218" s="18"/>
      <c r="D218" s="19"/>
      <c r="E218" s="18"/>
    </row>
    <row r="219" spans="2:5" s="3" customFormat="1" x14ac:dyDescent="0.1">
      <c r="B219" s="18"/>
      <c r="D219" s="19"/>
      <c r="E219" s="18"/>
    </row>
    <row r="220" spans="2:5" s="3" customFormat="1" x14ac:dyDescent="0.1">
      <c r="B220" s="18"/>
      <c r="D220" s="19"/>
      <c r="E220" s="18"/>
    </row>
    <row r="221" spans="2:5" s="3" customFormat="1" x14ac:dyDescent="0.1">
      <c r="B221" s="18"/>
      <c r="D221" s="19"/>
      <c r="E221" s="18"/>
    </row>
    <row r="222" spans="2:5" s="3" customFormat="1" x14ac:dyDescent="0.1">
      <c r="B222" s="18"/>
      <c r="D222" s="19"/>
      <c r="E222" s="18"/>
    </row>
    <row r="223" spans="2:5" s="3" customFormat="1" x14ac:dyDescent="0.1">
      <c r="B223" s="18"/>
      <c r="D223" s="19"/>
      <c r="E223" s="18"/>
    </row>
    <row r="224" spans="2:5" s="3" customFormat="1" x14ac:dyDescent="0.1">
      <c r="B224" s="18"/>
      <c r="D224" s="19"/>
      <c r="E224" s="18"/>
    </row>
    <row r="225" spans="2:5" s="3" customFormat="1" x14ac:dyDescent="0.1">
      <c r="B225" s="18"/>
      <c r="D225" s="19"/>
      <c r="E225" s="18"/>
    </row>
    <row r="226" spans="2:5" s="3" customFormat="1" x14ac:dyDescent="0.1">
      <c r="B226" s="18"/>
      <c r="D226" s="19"/>
      <c r="E226" s="18"/>
    </row>
    <row r="227" spans="2:5" s="3" customFormat="1" x14ac:dyDescent="0.1">
      <c r="B227" s="18"/>
      <c r="D227" s="19"/>
      <c r="E227" s="18"/>
    </row>
    <row r="228" spans="2:5" s="3" customFormat="1" x14ac:dyDescent="0.1">
      <c r="B228" s="18"/>
      <c r="D228" s="19"/>
      <c r="E228" s="18"/>
    </row>
    <row r="229" spans="2:5" s="3" customFormat="1" x14ac:dyDescent="0.1">
      <c r="B229" s="18"/>
      <c r="D229" s="19"/>
      <c r="E229" s="18"/>
    </row>
    <row r="230" spans="2:5" s="3" customFormat="1" x14ac:dyDescent="0.1">
      <c r="B230" s="18"/>
      <c r="D230" s="19"/>
      <c r="E230" s="18"/>
    </row>
    <row r="231" spans="2:5" s="3" customFormat="1" x14ac:dyDescent="0.1">
      <c r="B231" s="18"/>
      <c r="D231" s="19"/>
      <c r="E231" s="18"/>
    </row>
    <row r="232" spans="2:5" s="3" customFormat="1" x14ac:dyDescent="0.1">
      <c r="B232" s="18"/>
      <c r="D232" s="19"/>
      <c r="E232" s="18"/>
    </row>
    <row r="233" spans="2:5" s="3" customFormat="1" x14ac:dyDescent="0.1">
      <c r="B233" s="18"/>
      <c r="D233" s="19"/>
      <c r="E233" s="18"/>
    </row>
    <row r="234" spans="2:5" s="3" customFormat="1" x14ac:dyDescent="0.1">
      <c r="B234" s="18"/>
      <c r="D234" s="19"/>
      <c r="E234" s="18"/>
    </row>
    <row r="235" spans="2:5" s="3" customFormat="1" x14ac:dyDescent="0.1">
      <c r="B235" s="18"/>
      <c r="D235" s="19"/>
      <c r="E235" s="18"/>
    </row>
    <row r="236" spans="2:5" s="3" customFormat="1" x14ac:dyDescent="0.1">
      <c r="B236" s="18"/>
      <c r="D236" s="19"/>
      <c r="E236" s="18"/>
    </row>
    <row r="237" spans="2:5" s="3" customFormat="1" x14ac:dyDescent="0.1">
      <c r="B237" s="18"/>
      <c r="D237" s="19"/>
      <c r="E237" s="18"/>
    </row>
    <row r="238" spans="2:5" s="3" customFormat="1" x14ac:dyDescent="0.1">
      <c r="B238" s="18"/>
      <c r="D238" s="19"/>
      <c r="E238" s="18"/>
    </row>
    <row r="239" spans="2:5" s="3" customFormat="1" x14ac:dyDescent="0.1">
      <c r="B239" s="18"/>
      <c r="D239" s="19"/>
      <c r="E239" s="18"/>
    </row>
    <row r="240" spans="2:5" s="3" customFormat="1" x14ac:dyDescent="0.1">
      <c r="B240" s="18"/>
      <c r="D240" s="19"/>
      <c r="E240" s="18"/>
    </row>
    <row r="241" spans="2:5" s="3" customFormat="1" x14ac:dyDescent="0.1">
      <c r="B241" s="18"/>
      <c r="D241" s="19"/>
      <c r="E241" s="18"/>
    </row>
    <row r="242" spans="2:5" s="3" customFormat="1" x14ac:dyDescent="0.1">
      <c r="B242" s="18"/>
      <c r="D242" s="19"/>
      <c r="E242" s="18"/>
    </row>
    <row r="243" spans="2:5" s="3" customFormat="1" x14ac:dyDescent="0.1">
      <c r="B243" s="18"/>
      <c r="D243" s="19"/>
      <c r="E243" s="18"/>
    </row>
    <row r="244" spans="2:5" s="3" customFormat="1" x14ac:dyDescent="0.1">
      <c r="B244" s="18"/>
      <c r="D244" s="19"/>
      <c r="E244" s="18"/>
    </row>
    <row r="245" spans="2:5" s="3" customFormat="1" x14ac:dyDescent="0.1">
      <c r="B245" s="18"/>
      <c r="D245" s="19"/>
      <c r="E245" s="18"/>
    </row>
    <row r="246" spans="2:5" s="3" customFormat="1" x14ac:dyDescent="0.1">
      <c r="B246" s="18"/>
      <c r="D246" s="19"/>
      <c r="E246" s="18"/>
    </row>
    <row r="247" spans="2:5" s="3" customFormat="1" x14ac:dyDescent="0.1">
      <c r="B247" s="18"/>
      <c r="D247" s="19"/>
      <c r="E247" s="18"/>
    </row>
    <row r="248" spans="2:5" s="3" customFormat="1" x14ac:dyDescent="0.1">
      <c r="B248" s="18"/>
      <c r="D248" s="19"/>
      <c r="E248" s="18"/>
    </row>
    <row r="249" spans="2:5" s="3" customFormat="1" x14ac:dyDescent="0.1">
      <c r="B249" s="18"/>
      <c r="D249" s="19"/>
      <c r="E249" s="18"/>
    </row>
    <row r="250" spans="2:5" s="3" customFormat="1" x14ac:dyDescent="0.1">
      <c r="B250" s="18"/>
      <c r="D250" s="19"/>
      <c r="E250" s="18"/>
    </row>
    <row r="251" spans="2:5" s="3" customFormat="1" x14ac:dyDescent="0.1">
      <c r="B251" s="18"/>
      <c r="D251" s="19"/>
      <c r="E251" s="18"/>
    </row>
    <row r="252" spans="2:5" s="3" customFormat="1" x14ac:dyDescent="0.1">
      <c r="B252" s="18"/>
      <c r="D252" s="19"/>
      <c r="E252" s="18"/>
    </row>
    <row r="253" spans="2:5" s="3" customFormat="1" x14ac:dyDescent="0.1">
      <c r="B253" s="18"/>
      <c r="D253" s="19"/>
      <c r="E253" s="18"/>
    </row>
    <row r="254" spans="2:5" s="3" customFormat="1" x14ac:dyDescent="0.1">
      <c r="B254" s="18"/>
      <c r="D254" s="19"/>
      <c r="E254" s="18"/>
    </row>
    <row r="255" spans="2:5" s="3" customFormat="1" x14ac:dyDescent="0.1">
      <c r="B255" s="18"/>
      <c r="D255" s="19"/>
      <c r="E255" s="18"/>
    </row>
    <row r="256" spans="2:5" s="3" customFormat="1" x14ac:dyDescent="0.1">
      <c r="B256" s="18"/>
      <c r="D256" s="19"/>
      <c r="E256" s="18"/>
    </row>
    <row r="257" spans="2:5" s="3" customFormat="1" x14ac:dyDescent="0.1">
      <c r="B257" s="18"/>
      <c r="D257" s="19"/>
      <c r="E257" s="18"/>
    </row>
    <row r="258" spans="2:5" s="3" customFormat="1" x14ac:dyDescent="0.1">
      <c r="B258" s="18"/>
      <c r="D258" s="19"/>
      <c r="E258" s="18"/>
    </row>
    <row r="259" spans="2:5" s="3" customFormat="1" x14ac:dyDescent="0.1">
      <c r="B259" s="18"/>
      <c r="D259" s="19"/>
      <c r="E259" s="18"/>
    </row>
    <row r="260" spans="2:5" s="3" customFormat="1" x14ac:dyDescent="0.1">
      <c r="B260" s="18"/>
      <c r="D260" s="19"/>
      <c r="E260" s="18"/>
    </row>
    <row r="261" spans="2:5" s="3" customFormat="1" x14ac:dyDescent="0.1">
      <c r="B261" s="18"/>
      <c r="D261" s="19"/>
      <c r="E261" s="18"/>
    </row>
    <row r="262" spans="2:5" s="3" customFormat="1" x14ac:dyDescent="0.1">
      <c r="B262" s="18"/>
      <c r="D262" s="19"/>
      <c r="E262" s="18"/>
    </row>
    <row r="263" spans="2:5" s="3" customFormat="1" x14ac:dyDescent="0.1">
      <c r="B263" s="18"/>
      <c r="D263" s="19"/>
      <c r="E263" s="18"/>
    </row>
    <row r="264" spans="2:5" s="3" customFormat="1" x14ac:dyDescent="0.1">
      <c r="B264" s="18"/>
      <c r="D264" s="19"/>
      <c r="E264" s="18"/>
    </row>
    <row r="265" spans="2:5" s="3" customFormat="1" x14ac:dyDescent="0.1">
      <c r="B265" s="18"/>
      <c r="D265" s="19"/>
      <c r="E265" s="18"/>
    </row>
    <row r="266" spans="2:5" s="3" customFormat="1" x14ac:dyDescent="0.1">
      <c r="B266" s="18"/>
      <c r="D266" s="19"/>
      <c r="E266" s="18"/>
    </row>
    <row r="267" spans="2:5" s="3" customFormat="1" x14ac:dyDescent="0.1">
      <c r="B267" s="18"/>
      <c r="D267" s="19"/>
      <c r="E267" s="18"/>
    </row>
    <row r="268" spans="2:5" s="3" customFormat="1" x14ac:dyDescent="0.1">
      <c r="B268" s="18"/>
      <c r="D268" s="19"/>
      <c r="E268" s="18"/>
    </row>
    <row r="269" spans="2:5" s="3" customFormat="1" x14ac:dyDescent="0.1">
      <c r="B269" s="18"/>
      <c r="D269" s="19"/>
      <c r="E269" s="18"/>
    </row>
    <row r="270" spans="2:5" s="3" customFormat="1" x14ac:dyDescent="0.1">
      <c r="B270" s="18"/>
      <c r="D270" s="19"/>
      <c r="E270" s="18"/>
    </row>
    <row r="271" spans="2:5" s="3" customFormat="1" x14ac:dyDescent="0.1">
      <c r="B271" s="18"/>
      <c r="D271" s="19"/>
      <c r="E271" s="18"/>
    </row>
    <row r="272" spans="2:5" s="3" customFormat="1" x14ac:dyDescent="0.1">
      <c r="B272" s="18"/>
      <c r="D272" s="19"/>
      <c r="E272" s="18"/>
    </row>
    <row r="273" spans="2:5" s="3" customFormat="1" x14ac:dyDescent="0.1">
      <c r="B273" s="18"/>
      <c r="D273" s="19"/>
      <c r="E273" s="18"/>
    </row>
    <row r="274" spans="2:5" s="3" customFormat="1" x14ac:dyDescent="0.1">
      <c r="B274" s="18"/>
      <c r="D274" s="19"/>
      <c r="E274" s="18"/>
    </row>
    <row r="275" spans="2:5" s="3" customFormat="1" x14ac:dyDescent="0.1">
      <c r="B275" s="18"/>
      <c r="D275" s="19"/>
      <c r="E275" s="18"/>
    </row>
    <row r="276" spans="2:5" s="3" customFormat="1" x14ac:dyDescent="0.1">
      <c r="B276" s="18"/>
      <c r="D276" s="19"/>
      <c r="E276" s="18"/>
    </row>
    <row r="277" spans="2:5" s="3" customFormat="1" x14ac:dyDescent="0.1">
      <c r="B277" s="18"/>
      <c r="D277" s="19"/>
      <c r="E277" s="18"/>
    </row>
    <row r="278" spans="2:5" s="3" customFormat="1" x14ac:dyDescent="0.1">
      <c r="B278" s="18"/>
      <c r="D278" s="19"/>
      <c r="E278" s="18"/>
    </row>
    <row r="279" spans="2:5" s="3" customFormat="1" x14ac:dyDescent="0.1">
      <c r="B279" s="18"/>
      <c r="D279" s="19"/>
      <c r="E279" s="18"/>
    </row>
    <row r="280" spans="2:5" s="3" customFormat="1" x14ac:dyDescent="0.1">
      <c r="B280" s="18"/>
      <c r="D280" s="19"/>
      <c r="E280" s="18"/>
    </row>
    <row r="281" spans="2:5" s="3" customFormat="1" x14ac:dyDescent="0.1">
      <c r="B281" s="18"/>
      <c r="D281" s="19"/>
      <c r="E281" s="18"/>
    </row>
    <row r="282" spans="2:5" s="3" customFormat="1" x14ac:dyDescent="0.1">
      <c r="B282" s="18"/>
      <c r="D282" s="19"/>
      <c r="E282" s="18"/>
    </row>
    <row r="283" spans="2:5" s="3" customFormat="1" x14ac:dyDescent="0.1">
      <c r="B283" s="18"/>
      <c r="D283" s="19"/>
      <c r="E283" s="18"/>
    </row>
    <row r="284" spans="2:5" s="3" customFormat="1" x14ac:dyDescent="0.1">
      <c r="B284" s="18"/>
      <c r="D284" s="19"/>
      <c r="E284" s="18"/>
    </row>
    <row r="285" spans="2:5" s="3" customFormat="1" x14ac:dyDescent="0.1">
      <c r="B285" s="18"/>
      <c r="D285" s="19"/>
      <c r="E285" s="18"/>
    </row>
    <row r="286" spans="2:5" s="3" customFormat="1" x14ac:dyDescent="0.1">
      <c r="B286" s="18"/>
      <c r="D286" s="19"/>
      <c r="E286" s="18"/>
    </row>
    <row r="287" spans="2:5" s="3" customFormat="1" x14ac:dyDescent="0.1">
      <c r="B287" s="18"/>
      <c r="D287" s="19"/>
      <c r="E287" s="18"/>
    </row>
    <row r="288" spans="2:5" s="3" customFormat="1" x14ac:dyDescent="0.1">
      <c r="B288" s="18"/>
      <c r="D288" s="19"/>
      <c r="E288" s="18"/>
    </row>
    <row r="289" spans="2:5" s="3" customFormat="1" x14ac:dyDescent="0.1">
      <c r="B289" s="18"/>
      <c r="D289" s="19"/>
      <c r="E289" s="18"/>
    </row>
    <row r="290" spans="2:5" s="3" customFormat="1" x14ac:dyDescent="0.1">
      <c r="B290" s="18"/>
      <c r="D290" s="19"/>
      <c r="E290" s="18"/>
    </row>
    <row r="291" spans="2:5" s="3" customFormat="1" x14ac:dyDescent="0.1">
      <c r="B291" s="18"/>
      <c r="D291" s="19"/>
      <c r="E291" s="18"/>
    </row>
    <row r="292" spans="2:5" s="3" customFormat="1" x14ac:dyDescent="0.1">
      <c r="B292" s="18"/>
      <c r="D292" s="19"/>
      <c r="E292" s="18"/>
    </row>
    <row r="293" spans="2:5" s="3" customFormat="1" x14ac:dyDescent="0.1">
      <c r="B293" s="18"/>
      <c r="D293" s="19"/>
      <c r="E293" s="18"/>
    </row>
    <row r="294" spans="2:5" s="3" customFormat="1" x14ac:dyDescent="0.1">
      <c r="B294" s="18"/>
      <c r="D294" s="19"/>
      <c r="E294" s="18"/>
    </row>
    <row r="295" spans="2:5" s="3" customFormat="1" x14ac:dyDescent="0.1">
      <c r="B295" s="18"/>
      <c r="D295" s="19"/>
      <c r="E295" s="18"/>
    </row>
    <row r="296" spans="2:5" s="3" customFormat="1" x14ac:dyDescent="0.1">
      <c r="B296" s="18"/>
      <c r="D296" s="19"/>
      <c r="E296" s="18"/>
    </row>
    <row r="297" spans="2:5" s="3" customFormat="1" x14ac:dyDescent="0.1">
      <c r="B297" s="18"/>
      <c r="D297" s="19"/>
      <c r="E297" s="18"/>
    </row>
    <row r="298" spans="2:5" s="3" customFormat="1" x14ac:dyDescent="0.1">
      <c r="B298" s="18"/>
      <c r="D298" s="19"/>
      <c r="E298" s="18"/>
    </row>
    <row r="299" spans="2:5" s="3" customFormat="1" x14ac:dyDescent="0.1">
      <c r="B299" s="18"/>
      <c r="D299" s="19"/>
      <c r="E299" s="18"/>
    </row>
    <row r="300" spans="2:5" s="3" customFormat="1" x14ac:dyDescent="0.1">
      <c r="B300" s="18"/>
      <c r="D300" s="19"/>
      <c r="E300" s="18"/>
    </row>
    <row r="301" spans="2:5" s="3" customFormat="1" x14ac:dyDescent="0.1">
      <c r="B301" s="18"/>
      <c r="D301" s="19"/>
      <c r="E301" s="18"/>
    </row>
    <row r="302" spans="2:5" s="3" customFormat="1" x14ac:dyDescent="0.1">
      <c r="B302" s="18"/>
      <c r="D302" s="19"/>
      <c r="E302" s="18"/>
    </row>
    <row r="303" spans="2:5" s="3" customFormat="1" x14ac:dyDescent="0.1">
      <c r="B303" s="18"/>
      <c r="D303" s="19"/>
      <c r="E303" s="18"/>
    </row>
    <row r="304" spans="2:5" s="3" customFormat="1" x14ac:dyDescent="0.1">
      <c r="B304" s="18"/>
      <c r="D304" s="19"/>
      <c r="E304" s="18"/>
    </row>
    <row r="305" spans="2:5" s="3" customFormat="1" x14ac:dyDescent="0.1">
      <c r="B305" s="18"/>
      <c r="D305" s="19"/>
      <c r="E305" s="18"/>
    </row>
    <row r="306" spans="2:5" s="3" customFormat="1" x14ac:dyDescent="0.1">
      <c r="B306" s="18"/>
      <c r="D306" s="19"/>
      <c r="E306" s="18"/>
    </row>
    <row r="307" spans="2:5" s="3" customFormat="1" x14ac:dyDescent="0.1">
      <c r="B307" s="18"/>
      <c r="D307" s="19"/>
      <c r="E307" s="18"/>
    </row>
    <row r="308" spans="2:5" s="3" customFormat="1" x14ac:dyDescent="0.1">
      <c r="B308" s="18"/>
      <c r="D308" s="19"/>
      <c r="E308" s="18"/>
    </row>
    <row r="309" spans="2:5" s="3" customFormat="1" x14ac:dyDescent="0.1">
      <c r="B309" s="18"/>
      <c r="D309" s="19"/>
      <c r="E309" s="18"/>
    </row>
    <row r="310" spans="2:5" s="3" customFormat="1" x14ac:dyDescent="0.1">
      <c r="B310" s="18"/>
      <c r="D310" s="19"/>
      <c r="E310" s="18"/>
    </row>
    <row r="311" spans="2:5" s="3" customFormat="1" x14ac:dyDescent="0.1">
      <c r="B311" s="18"/>
      <c r="D311" s="19"/>
      <c r="E311" s="18"/>
    </row>
    <row r="312" spans="2:5" s="3" customFormat="1" x14ac:dyDescent="0.1">
      <c r="B312" s="18"/>
      <c r="D312" s="19"/>
      <c r="E312" s="18"/>
    </row>
    <row r="313" spans="2:5" s="3" customFormat="1" x14ac:dyDescent="0.1">
      <c r="B313" s="18"/>
      <c r="D313" s="19"/>
      <c r="E313" s="18"/>
    </row>
    <row r="314" spans="2:5" s="3" customFormat="1" x14ac:dyDescent="0.1">
      <c r="B314" s="18"/>
      <c r="D314" s="19"/>
      <c r="E314" s="18"/>
    </row>
    <row r="315" spans="2:5" s="3" customFormat="1" x14ac:dyDescent="0.1">
      <c r="B315" s="18"/>
      <c r="D315" s="19"/>
      <c r="E315" s="18"/>
    </row>
    <row r="316" spans="2:5" s="3" customFormat="1" x14ac:dyDescent="0.1">
      <c r="B316" s="18"/>
      <c r="D316" s="19"/>
      <c r="E316" s="18"/>
    </row>
    <row r="317" spans="2:5" s="3" customFormat="1" x14ac:dyDescent="0.1">
      <c r="B317" s="18"/>
      <c r="D317" s="19"/>
      <c r="E317" s="18"/>
    </row>
    <row r="318" spans="2:5" s="3" customFormat="1" x14ac:dyDescent="0.1">
      <c r="B318" s="18"/>
      <c r="D318" s="19"/>
      <c r="E318" s="18"/>
    </row>
    <row r="319" spans="2:5" s="3" customFormat="1" x14ac:dyDescent="0.1">
      <c r="B319" s="18"/>
      <c r="D319" s="19"/>
      <c r="E319" s="18"/>
    </row>
    <row r="320" spans="2:5" s="3" customFormat="1" x14ac:dyDescent="0.1">
      <c r="B320" s="18"/>
      <c r="D320" s="19"/>
      <c r="E320" s="18"/>
    </row>
    <row r="321" spans="2:5" s="3" customFormat="1" x14ac:dyDescent="0.1">
      <c r="B321" s="18"/>
      <c r="D321" s="19"/>
      <c r="E321" s="18"/>
    </row>
    <row r="322" spans="2:5" s="3" customFormat="1" x14ac:dyDescent="0.1">
      <c r="B322" s="18"/>
      <c r="D322" s="19"/>
      <c r="E322" s="18"/>
    </row>
    <row r="323" spans="2:5" s="3" customFormat="1" x14ac:dyDescent="0.1">
      <c r="B323" s="18"/>
      <c r="D323" s="19"/>
      <c r="E323" s="18"/>
    </row>
    <row r="324" spans="2:5" s="3" customFormat="1" x14ac:dyDescent="0.1">
      <c r="B324" s="18"/>
      <c r="D324" s="19"/>
      <c r="E324" s="18"/>
    </row>
    <row r="325" spans="2:5" s="3" customFormat="1" x14ac:dyDescent="0.1">
      <c r="B325" s="18"/>
      <c r="D325" s="19"/>
      <c r="E325" s="18"/>
    </row>
    <row r="326" spans="2:5" s="3" customFormat="1" x14ac:dyDescent="0.1">
      <c r="B326" s="18"/>
      <c r="D326" s="19"/>
      <c r="E326" s="18"/>
    </row>
    <row r="327" spans="2:5" s="3" customFormat="1" x14ac:dyDescent="0.1">
      <c r="B327" s="18"/>
      <c r="D327" s="19"/>
      <c r="E327" s="18"/>
    </row>
    <row r="328" spans="2:5" s="3" customFormat="1" x14ac:dyDescent="0.1">
      <c r="B328" s="18"/>
      <c r="D328" s="19"/>
      <c r="E328" s="18"/>
    </row>
    <row r="329" spans="2:5" s="3" customFormat="1" x14ac:dyDescent="0.1">
      <c r="B329" s="18"/>
      <c r="D329" s="19"/>
      <c r="E329" s="18"/>
    </row>
    <row r="330" spans="2:5" s="3" customFormat="1" x14ac:dyDescent="0.1">
      <c r="B330" s="18"/>
      <c r="D330" s="19"/>
      <c r="E330" s="18"/>
    </row>
    <row r="331" spans="2:5" s="3" customFormat="1" x14ac:dyDescent="0.1">
      <c r="B331" s="18"/>
      <c r="D331" s="19"/>
      <c r="E331" s="18"/>
    </row>
    <row r="332" spans="2:5" s="3" customFormat="1" x14ac:dyDescent="0.1">
      <c r="B332" s="18"/>
      <c r="D332" s="19"/>
      <c r="E332" s="18"/>
    </row>
    <row r="333" spans="2:5" s="3" customFormat="1" x14ac:dyDescent="0.1">
      <c r="B333" s="18"/>
      <c r="D333" s="19"/>
      <c r="E333" s="18"/>
    </row>
    <row r="334" spans="2:5" s="3" customFormat="1" x14ac:dyDescent="0.1">
      <c r="B334" s="18"/>
      <c r="D334" s="19"/>
      <c r="E334" s="18"/>
    </row>
    <row r="335" spans="2:5" s="3" customFormat="1" x14ac:dyDescent="0.1">
      <c r="B335" s="18"/>
      <c r="D335" s="19"/>
      <c r="E335" s="18"/>
    </row>
    <row r="336" spans="2:5" s="3" customFormat="1" x14ac:dyDescent="0.1">
      <c r="B336" s="18"/>
      <c r="D336" s="19"/>
      <c r="E336" s="18"/>
    </row>
    <row r="337" spans="2:5" s="3" customFormat="1" x14ac:dyDescent="0.1">
      <c r="B337" s="18"/>
      <c r="D337" s="19"/>
      <c r="E337" s="18"/>
    </row>
    <row r="338" spans="2:5" s="3" customFormat="1" x14ac:dyDescent="0.1">
      <c r="B338" s="18"/>
      <c r="D338" s="19"/>
      <c r="E338" s="18"/>
    </row>
    <row r="339" spans="2:5" s="3" customFormat="1" x14ac:dyDescent="0.1">
      <c r="B339" s="18"/>
      <c r="D339" s="19"/>
      <c r="E339" s="18"/>
    </row>
    <row r="340" spans="2:5" s="3" customFormat="1" x14ac:dyDescent="0.1">
      <c r="B340" s="18"/>
      <c r="D340" s="19"/>
      <c r="E340" s="18"/>
    </row>
    <row r="341" spans="2:5" s="3" customFormat="1" x14ac:dyDescent="0.1">
      <c r="B341" s="18"/>
      <c r="D341" s="19"/>
      <c r="E341" s="18"/>
    </row>
    <row r="342" spans="2:5" s="3" customFormat="1" x14ac:dyDescent="0.1">
      <c r="B342" s="18"/>
      <c r="D342" s="19"/>
      <c r="E342" s="18"/>
    </row>
    <row r="343" spans="2:5" s="3" customFormat="1" x14ac:dyDescent="0.1">
      <c r="B343" s="18"/>
      <c r="D343" s="19"/>
      <c r="E343" s="18"/>
    </row>
    <row r="344" spans="2:5" s="3" customFormat="1" x14ac:dyDescent="0.1">
      <c r="B344" s="18"/>
      <c r="D344" s="19"/>
      <c r="E344" s="18"/>
    </row>
    <row r="345" spans="2:5" s="3" customFormat="1" x14ac:dyDescent="0.1">
      <c r="B345" s="18"/>
      <c r="D345" s="19"/>
      <c r="E345" s="18"/>
    </row>
    <row r="346" spans="2:5" s="3" customFormat="1" x14ac:dyDescent="0.1">
      <c r="B346" s="18"/>
      <c r="D346" s="19"/>
      <c r="E346" s="18"/>
    </row>
    <row r="347" spans="2:5" s="3" customFormat="1" x14ac:dyDescent="0.1">
      <c r="B347" s="18"/>
      <c r="D347" s="19"/>
      <c r="E347" s="18"/>
    </row>
    <row r="348" spans="2:5" s="3" customFormat="1" x14ac:dyDescent="0.1">
      <c r="B348" s="18"/>
      <c r="D348" s="19"/>
      <c r="E348" s="18"/>
    </row>
    <row r="349" spans="2:5" s="3" customFormat="1" x14ac:dyDescent="0.1">
      <c r="B349" s="18"/>
      <c r="D349" s="19"/>
      <c r="E349" s="18"/>
    </row>
    <row r="350" spans="2:5" s="3" customFormat="1" x14ac:dyDescent="0.1">
      <c r="B350" s="18"/>
      <c r="D350" s="19"/>
      <c r="E350" s="18"/>
    </row>
    <row r="351" spans="2:5" s="3" customFormat="1" x14ac:dyDescent="0.1">
      <c r="B351" s="18"/>
      <c r="D351" s="19"/>
      <c r="E351" s="18"/>
    </row>
    <row r="352" spans="2:5" s="3" customFormat="1" x14ac:dyDescent="0.1">
      <c r="B352" s="18"/>
      <c r="D352" s="19"/>
      <c r="E352" s="18"/>
    </row>
    <row r="353" spans="2:5" s="3" customFormat="1" x14ac:dyDescent="0.1">
      <c r="B353" s="18"/>
      <c r="D353" s="19"/>
      <c r="E353" s="18"/>
    </row>
    <row r="354" spans="2:5" s="3" customFormat="1" x14ac:dyDescent="0.1">
      <c r="B354" s="18"/>
      <c r="D354" s="19"/>
      <c r="E354" s="18"/>
    </row>
    <row r="355" spans="2:5" s="3" customFormat="1" x14ac:dyDescent="0.1">
      <c r="B355" s="18"/>
      <c r="D355" s="19"/>
      <c r="E355" s="18"/>
    </row>
    <row r="356" spans="2:5" s="3" customFormat="1" x14ac:dyDescent="0.1">
      <c r="B356" s="18"/>
      <c r="D356" s="19"/>
      <c r="E356" s="18"/>
    </row>
    <row r="357" spans="2:5" s="3" customFormat="1" x14ac:dyDescent="0.1">
      <c r="B357" s="18"/>
      <c r="D357" s="19"/>
      <c r="E357" s="18"/>
    </row>
    <row r="358" spans="2:5" s="3" customFormat="1" x14ac:dyDescent="0.1">
      <c r="B358" s="18"/>
      <c r="D358" s="19"/>
      <c r="E358" s="18"/>
    </row>
    <row r="359" spans="2:5" s="3" customFormat="1" x14ac:dyDescent="0.1">
      <c r="B359" s="18"/>
      <c r="D359" s="19"/>
      <c r="E359" s="18"/>
    </row>
    <row r="360" spans="2:5" s="3" customFormat="1" x14ac:dyDescent="0.1">
      <c r="B360" s="18"/>
      <c r="D360" s="19"/>
      <c r="E360" s="18"/>
    </row>
    <row r="361" spans="2:5" s="3" customFormat="1" x14ac:dyDescent="0.1">
      <c r="B361" s="18"/>
      <c r="D361" s="19"/>
      <c r="E361" s="18"/>
    </row>
    <row r="362" spans="2:5" s="3" customFormat="1" x14ac:dyDescent="0.1">
      <c r="B362" s="18"/>
      <c r="D362" s="19"/>
      <c r="E362" s="18"/>
    </row>
    <row r="363" spans="2:5" s="3" customFormat="1" x14ac:dyDescent="0.1">
      <c r="B363" s="18"/>
      <c r="D363" s="19"/>
      <c r="E363" s="18"/>
    </row>
    <row r="364" spans="2:5" s="3" customFormat="1" x14ac:dyDescent="0.1">
      <c r="B364" s="18"/>
      <c r="D364" s="19"/>
      <c r="E364" s="18"/>
    </row>
    <row r="365" spans="2:5" s="3" customFormat="1" x14ac:dyDescent="0.1">
      <c r="B365" s="18"/>
      <c r="D365" s="19"/>
      <c r="E365" s="18"/>
    </row>
    <row r="366" spans="2:5" s="3" customFormat="1" x14ac:dyDescent="0.1">
      <c r="B366" s="18"/>
      <c r="D366" s="19"/>
      <c r="E366" s="18"/>
    </row>
    <row r="367" spans="2:5" s="3" customFormat="1" x14ac:dyDescent="0.1">
      <c r="B367" s="18"/>
      <c r="D367" s="19"/>
      <c r="E367" s="18"/>
    </row>
    <row r="368" spans="2:5" s="3" customFormat="1" x14ac:dyDescent="0.1">
      <c r="B368" s="18"/>
      <c r="D368" s="19"/>
      <c r="E368" s="18"/>
    </row>
    <row r="369" spans="2:5" s="3" customFormat="1" x14ac:dyDescent="0.1">
      <c r="B369" s="18"/>
      <c r="D369" s="19"/>
      <c r="E369" s="18"/>
    </row>
    <row r="370" spans="2:5" s="3" customFormat="1" x14ac:dyDescent="0.1">
      <c r="B370" s="18"/>
      <c r="D370" s="19"/>
      <c r="E370" s="18"/>
    </row>
    <row r="371" spans="2:5" s="3" customFormat="1" x14ac:dyDescent="0.1">
      <c r="B371" s="18"/>
      <c r="D371" s="19"/>
      <c r="E371" s="18"/>
    </row>
    <row r="372" spans="2:5" s="3" customFormat="1" x14ac:dyDescent="0.1">
      <c r="B372" s="18"/>
      <c r="D372" s="19"/>
      <c r="E372" s="18"/>
    </row>
    <row r="373" spans="2:5" s="3" customFormat="1" x14ac:dyDescent="0.1">
      <c r="B373" s="18"/>
      <c r="D373" s="19"/>
      <c r="E373" s="18"/>
    </row>
    <row r="374" spans="2:5" s="3" customFormat="1" x14ac:dyDescent="0.1">
      <c r="B374" s="18"/>
      <c r="D374" s="19"/>
      <c r="E374" s="18"/>
    </row>
    <row r="375" spans="2:5" s="3" customFormat="1" x14ac:dyDescent="0.1">
      <c r="B375" s="18"/>
      <c r="D375" s="19"/>
      <c r="E375" s="18"/>
    </row>
    <row r="376" spans="2:5" s="3" customFormat="1" x14ac:dyDescent="0.1">
      <c r="B376" s="18"/>
      <c r="D376" s="19"/>
      <c r="E376" s="18"/>
    </row>
    <row r="377" spans="2:5" s="3" customFormat="1" x14ac:dyDescent="0.1">
      <c r="B377" s="18"/>
      <c r="D377" s="19"/>
      <c r="E377" s="18"/>
    </row>
    <row r="378" spans="2:5" s="3" customFormat="1" x14ac:dyDescent="0.1">
      <c r="B378" s="18"/>
      <c r="D378" s="19"/>
      <c r="E378" s="18"/>
    </row>
    <row r="379" spans="2:5" s="3" customFormat="1" x14ac:dyDescent="0.1">
      <c r="B379" s="18"/>
      <c r="D379" s="19"/>
      <c r="E379" s="18"/>
    </row>
    <row r="380" spans="2:5" s="3" customFormat="1" x14ac:dyDescent="0.1">
      <c r="B380" s="18"/>
      <c r="D380" s="19"/>
      <c r="E380" s="18"/>
    </row>
    <row r="381" spans="2:5" s="3" customFormat="1" x14ac:dyDescent="0.1">
      <c r="B381" s="18"/>
      <c r="D381" s="19"/>
      <c r="E381" s="18"/>
    </row>
    <row r="382" spans="2:5" s="3" customFormat="1" x14ac:dyDescent="0.1">
      <c r="B382" s="18"/>
      <c r="D382" s="19"/>
      <c r="E382" s="18"/>
    </row>
    <row r="383" spans="2:5" s="3" customFormat="1" x14ac:dyDescent="0.1">
      <c r="B383" s="18"/>
      <c r="D383" s="19"/>
      <c r="E383" s="18"/>
    </row>
    <row r="384" spans="2:5" s="3" customFormat="1" x14ac:dyDescent="0.1">
      <c r="B384" s="18"/>
      <c r="D384" s="19"/>
      <c r="E384" s="18"/>
    </row>
    <row r="385" spans="2:5" s="3" customFormat="1" x14ac:dyDescent="0.1">
      <c r="B385" s="18"/>
      <c r="D385" s="19"/>
      <c r="E385" s="18"/>
    </row>
    <row r="386" spans="2:5" s="3" customFormat="1" x14ac:dyDescent="0.1">
      <c r="B386" s="18"/>
      <c r="D386" s="19"/>
      <c r="E386" s="18"/>
    </row>
    <row r="387" spans="2:5" s="3" customFormat="1" x14ac:dyDescent="0.1">
      <c r="B387" s="18"/>
      <c r="D387" s="19"/>
      <c r="E387" s="18"/>
    </row>
    <row r="388" spans="2:5" s="3" customFormat="1" x14ac:dyDescent="0.1">
      <c r="B388" s="18"/>
      <c r="D388" s="19"/>
      <c r="E388" s="18"/>
    </row>
    <row r="389" spans="2:5" s="3" customFormat="1" x14ac:dyDescent="0.1">
      <c r="B389" s="18"/>
      <c r="D389" s="19"/>
      <c r="E389" s="18"/>
    </row>
    <row r="390" spans="2:5" s="3" customFormat="1" x14ac:dyDescent="0.1">
      <c r="B390" s="18"/>
      <c r="D390" s="19"/>
      <c r="E390" s="18"/>
    </row>
    <row r="391" spans="2:5" s="3" customFormat="1" x14ac:dyDescent="0.1">
      <c r="B391" s="18"/>
      <c r="D391" s="19"/>
      <c r="E391" s="18"/>
    </row>
    <row r="392" spans="2:5" s="3" customFormat="1" x14ac:dyDescent="0.1">
      <c r="B392" s="18"/>
      <c r="D392" s="19"/>
      <c r="E392" s="18"/>
    </row>
    <row r="393" spans="2:5" s="3" customFormat="1" x14ac:dyDescent="0.1">
      <c r="B393" s="18"/>
      <c r="D393" s="19"/>
      <c r="E393" s="18"/>
    </row>
    <row r="394" spans="2:5" s="3" customFormat="1" x14ac:dyDescent="0.1">
      <c r="B394" s="18"/>
      <c r="D394" s="19"/>
      <c r="E394" s="18"/>
    </row>
    <row r="395" spans="2:5" s="3" customFormat="1" x14ac:dyDescent="0.1">
      <c r="B395" s="18"/>
      <c r="D395" s="19"/>
      <c r="E395" s="18"/>
    </row>
    <row r="396" spans="2:5" s="3" customFormat="1" x14ac:dyDescent="0.1">
      <c r="B396" s="18"/>
      <c r="D396" s="19"/>
      <c r="E396" s="18"/>
    </row>
    <row r="397" spans="2:5" s="3" customFormat="1" x14ac:dyDescent="0.1">
      <c r="B397" s="18"/>
      <c r="D397" s="19"/>
      <c r="E397" s="18"/>
    </row>
    <row r="398" spans="2:5" s="3" customFormat="1" x14ac:dyDescent="0.1">
      <c r="B398" s="18"/>
      <c r="D398" s="19"/>
      <c r="E398" s="18"/>
    </row>
    <row r="399" spans="2:5" s="3" customFormat="1" x14ac:dyDescent="0.1">
      <c r="B399" s="18"/>
      <c r="D399" s="19"/>
      <c r="E399" s="18"/>
    </row>
    <row r="400" spans="2:5" s="3" customFormat="1" x14ac:dyDescent="0.1">
      <c r="B400" s="18"/>
      <c r="D400" s="19"/>
      <c r="E400" s="18"/>
    </row>
    <row r="401" spans="2:5" s="3" customFormat="1" x14ac:dyDescent="0.1">
      <c r="B401" s="18"/>
      <c r="D401" s="19"/>
      <c r="E401" s="18"/>
    </row>
    <row r="402" spans="2:5" s="3" customFormat="1" x14ac:dyDescent="0.1">
      <c r="B402" s="18"/>
      <c r="D402" s="19"/>
      <c r="E402" s="18"/>
    </row>
    <row r="403" spans="2:5" s="3" customFormat="1" x14ac:dyDescent="0.1">
      <c r="B403" s="18"/>
      <c r="D403" s="19"/>
      <c r="E403" s="18"/>
    </row>
    <row r="404" spans="2:5" s="3" customFormat="1" x14ac:dyDescent="0.1">
      <c r="B404" s="18"/>
      <c r="D404" s="19"/>
      <c r="E404" s="18"/>
    </row>
    <row r="405" spans="2:5" s="3" customFormat="1" x14ac:dyDescent="0.1">
      <c r="B405" s="18"/>
      <c r="D405" s="19"/>
      <c r="E405" s="18"/>
    </row>
    <row r="406" spans="2:5" s="3" customFormat="1" x14ac:dyDescent="0.1">
      <c r="B406" s="18"/>
      <c r="D406" s="19"/>
      <c r="E406" s="18"/>
    </row>
    <row r="407" spans="2:5" s="3" customFormat="1" x14ac:dyDescent="0.1">
      <c r="B407" s="18"/>
      <c r="D407" s="19"/>
      <c r="E407" s="18"/>
    </row>
    <row r="408" spans="2:5" s="3" customFormat="1" x14ac:dyDescent="0.1">
      <c r="B408" s="18"/>
      <c r="D408" s="19"/>
      <c r="E408" s="18"/>
    </row>
    <row r="409" spans="2:5" s="3" customFormat="1" x14ac:dyDescent="0.1">
      <c r="B409" s="18"/>
      <c r="D409" s="19"/>
      <c r="E409" s="18"/>
    </row>
    <row r="410" spans="2:5" s="3" customFormat="1" x14ac:dyDescent="0.1">
      <c r="B410" s="18"/>
      <c r="D410" s="19"/>
      <c r="E410" s="18"/>
    </row>
    <row r="411" spans="2:5" s="3" customFormat="1" x14ac:dyDescent="0.1">
      <c r="B411" s="18"/>
      <c r="D411" s="19"/>
      <c r="E411" s="18"/>
    </row>
    <row r="412" spans="2:5" s="3" customFormat="1" x14ac:dyDescent="0.1">
      <c r="B412" s="18"/>
      <c r="D412" s="19"/>
      <c r="E412" s="18"/>
    </row>
    <row r="413" spans="2:5" s="3" customFormat="1" x14ac:dyDescent="0.1">
      <c r="B413" s="18"/>
      <c r="D413" s="19"/>
      <c r="E413" s="18"/>
    </row>
    <row r="414" spans="2:5" s="3" customFormat="1" x14ac:dyDescent="0.1">
      <c r="B414" s="18"/>
      <c r="D414" s="19"/>
      <c r="E414" s="18"/>
    </row>
    <row r="415" spans="2:5" s="3" customFormat="1" x14ac:dyDescent="0.1">
      <c r="B415" s="18"/>
      <c r="D415" s="19"/>
      <c r="E415" s="18"/>
    </row>
    <row r="416" spans="2:5" s="3" customFormat="1" x14ac:dyDescent="0.1">
      <c r="B416" s="18"/>
      <c r="D416" s="19"/>
      <c r="E416" s="18"/>
    </row>
    <row r="417" spans="2:5" s="3" customFormat="1" x14ac:dyDescent="0.1">
      <c r="B417" s="18"/>
      <c r="D417" s="19"/>
      <c r="E417" s="18"/>
    </row>
    <row r="418" spans="2:5" s="3" customFormat="1" x14ac:dyDescent="0.1">
      <c r="B418" s="18"/>
      <c r="D418" s="19"/>
      <c r="E418" s="18"/>
    </row>
    <row r="419" spans="2:5" s="3" customFormat="1" x14ac:dyDescent="0.1">
      <c r="B419" s="18"/>
      <c r="D419" s="19"/>
      <c r="E419" s="18"/>
    </row>
    <row r="420" spans="2:5" s="3" customFormat="1" x14ac:dyDescent="0.1">
      <c r="B420" s="18"/>
      <c r="D420" s="19"/>
      <c r="E420" s="18"/>
    </row>
    <row r="421" spans="2:5" s="3" customFormat="1" x14ac:dyDescent="0.1">
      <c r="B421" s="18"/>
      <c r="D421" s="19"/>
      <c r="E421" s="18"/>
    </row>
    <row r="422" spans="2:5" s="3" customFormat="1" x14ac:dyDescent="0.1">
      <c r="B422" s="18"/>
      <c r="D422" s="19"/>
      <c r="E422" s="18"/>
    </row>
    <row r="423" spans="2:5" s="3" customFormat="1" x14ac:dyDescent="0.1">
      <c r="B423" s="18"/>
      <c r="D423" s="19"/>
      <c r="E423" s="18"/>
    </row>
    <row r="424" spans="2:5" s="3" customFormat="1" x14ac:dyDescent="0.1">
      <c r="B424" s="18"/>
      <c r="D424" s="19"/>
      <c r="E424" s="18"/>
    </row>
    <row r="425" spans="2:5" s="3" customFormat="1" x14ac:dyDescent="0.1">
      <c r="B425" s="18"/>
      <c r="D425" s="19"/>
      <c r="E425" s="18"/>
    </row>
    <row r="426" spans="2:5" s="3" customFormat="1" x14ac:dyDescent="0.1">
      <c r="B426" s="18"/>
      <c r="D426" s="19"/>
      <c r="E426" s="18"/>
    </row>
    <row r="427" spans="2:5" s="3" customFormat="1" x14ac:dyDescent="0.1">
      <c r="B427" s="18"/>
      <c r="D427" s="19"/>
      <c r="E427" s="18"/>
    </row>
    <row r="428" spans="2:5" s="3" customFormat="1" x14ac:dyDescent="0.1">
      <c r="B428" s="18"/>
      <c r="D428" s="19"/>
      <c r="E428" s="18"/>
    </row>
    <row r="429" spans="2:5" s="3" customFormat="1" x14ac:dyDescent="0.1">
      <c r="B429" s="18"/>
      <c r="D429" s="19"/>
      <c r="E429" s="18"/>
    </row>
    <row r="430" spans="2:5" s="3" customFormat="1" x14ac:dyDescent="0.1">
      <c r="B430" s="18"/>
      <c r="D430" s="19"/>
      <c r="E430" s="18"/>
    </row>
    <row r="431" spans="2:5" s="3" customFormat="1" x14ac:dyDescent="0.1">
      <c r="B431" s="18"/>
      <c r="D431" s="19"/>
      <c r="E431" s="18"/>
    </row>
    <row r="432" spans="2:5" s="3" customFormat="1" x14ac:dyDescent="0.1">
      <c r="B432" s="18"/>
      <c r="D432" s="19"/>
      <c r="E432" s="18"/>
    </row>
    <row r="433" spans="2:5" s="3" customFormat="1" x14ac:dyDescent="0.1">
      <c r="B433" s="18"/>
      <c r="D433" s="19"/>
      <c r="E433" s="18"/>
    </row>
    <row r="434" spans="2:5" s="3" customFormat="1" x14ac:dyDescent="0.1">
      <c r="B434" s="18"/>
      <c r="D434" s="19"/>
      <c r="E434" s="18"/>
    </row>
    <row r="435" spans="2:5" s="3" customFormat="1" x14ac:dyDescent="0.1">
      <c r="B435" s="18"/>
      <c r="D435" s="19"/>
      <c r="E435" s="18"/>
    </row>
    <row r="436" spans="2:5" s="3" customFormat="1" x14ac:dyDescent="0.1">
      <c r="B436" s="18"/>
      <c r="D436" s="19"/>
      <c r="E436" s="18"/>
    </row>
    <row r="437" spans="2:5" s="3" customFormat="1" x14ac:dyDescent="0.1">
      <c r="B437" s="18"/>
      <c r="D437" s="19"/>
      <c r="E437" s="18"/>
    </row>
    <row r="438" spans="2:5" s="3" customFormat="1" x14ac:dyDescent="0.1">
      <c r="B438" s="18"/>
      <c r="D438" s="19"/>
      <c r="E438" s="18"/>
    </row>
    <row r="439" spans="2:5" s="3" customFormat="1" x14ac:dyDescent="0.1">
      <c r="B439" s="18"/>
      <c r="D439" s="19"/>
      <c r="E439" s="18"/>
    </row>
    <row r="440" spans="2:5" s="3" customFormat="1" x14ac:dyDescent="0.1">
      <c r="B440" s="18"/>
      <c r="D440" s="19"/>
      <c r="E440" s="18"/>
    </row>
    <row r="441" spans="2:5" s="3" customFormat="1" x14ac:dyDescent="0.1">
      <c r="B441" s="18"/>
      <c r="D441" s="19"/>
      <c r="E441" s="18"/>
    </row>
    <row r="442" spans="2:5" s="3" customFormat="1" x14ac:dyDescent="0.1">
      <c r="B442" s="18"/>
      <c r="D442" s="19"/>
      <c r="E442" s="18"/>
    </row>
    <row r="443" spans="2:5" s="3" customFormat="1" x14ac:dyDescent="0.1">
      <c r="B443" s="18"/>
      <c r="D443" s="19"/>
      <c r="E443" s="18"/>
    </row>
    <row r="444" spans="2:5" s="3" customFormat="1" x14ac:dyDescent="0.1">
      <c r="B444" s="18"/>
      <c r="D444" s="19"/>
      <c r="E444" s="18"/>
    </row>
    <row r="445" spans="2:5" s="3" customFormat="1" x14ac:dyDescent="0.1">
      <c r="B445" s="18"/>
      <c r="D445" s="19"/>
      <c r="E445" s="18"/>
    </row>
    <row r="446" spans="2:5" s="3" customFormat="1" x14ac:dyDescent="0.1">
      <c r="B446" s="18"/>
      <c r="D446" s="19"/>
      <c r="E446" s="18"/>
    </row>
    <row r="447" spans="2:5" s="3" customFormat="1" x14ac:dyDescent="0.1">
      <c r="B447" s="18"/>
      <c r="D447" s="19"/>
      <c r="E447" s="18"/>
    </row>
    <row r="448" spans="2:5" s="3" customFormat="1" x14ac:dyDescent="0.1">
      <c r="B448" s="18"/>
      <c r="D448" s="19"/>
      <c r="E448" s="18"/>
    </row>
    <row r="449" spans="2:5" s="3" customFormat="1" x14ac:dyDescent="0.1">
      <c r="B449" s="18"/>
      <c r="D449" s="19"/>
      <c r="E449" s="18"/>
    </row>
    <row r="450" spans="2:5" s="3" customFormat="1" x14ac:dyDescent="0.1">
      <c r="B450" s="18"/>
      <c r="D450" s="19"/>
      <c r="E450" s="18"/>
    </row>
    <row r="451" spans="2:5" s="3" customFormat="1" x14ac:dyDescent="0.1">
      <c r="B451" s="18"/>
      <c r="D451" s="19"/>
      <c r="E451" s="18"/>
    </row>
    <row r="452" spans="2:5" s="3" customFormat="1" x14ac:dyDescent="0.1">
      <c r="B452" s="18"/>
      <c r="D452" s="19"/>
      <c r="E452" s="18"/>
    </row>
    <row r="453" spans="2:5" s="3" customFormat="1" x14ac:dyDescent="0.1">
      <c r="B453" s="18"/>
      <c r="D453" s="19"/>
      <c r="E453" s="18"/>
    </row>
    <row r="454" spans="2:5" s="3" customFormat="1" x14ac:dyDescent="0.1">
      <c r="B454" s="18"/>
      <c r="D454" s="19"/>
      <c r="E454" s="18"/>
    </row>
    <row r="455" spans="2:5" s="3" customFormat="1" x14ac:dyDescent="0.1">
      <c r="B455" s="18"/>
      <c r="D455" s="19"/>
      <c r="E455" s="18"/>
    </row>
    <row r="456" spans="2:5" s="3" customFormat="1" x14ac:dyDescent="0.1">
      <c r="B456" s="18"/>
      <c r="D456" s="19"/>
      <c r="E456" s="18"/>
    </row>
    <row r="457" spans="2:5" s="3" customFormat="1" x14ac:dyDescent="0.1">
      <c r="B457" s="18"/>
      <c r="D457" s="19"/>
      <c r="E457" s="18"/>
    </row>
    <row r="458" spans="2:5" s="3" customFormat="1" x14ac:dyDescent="0.1">
      <c r="B458" s="18"/>
      <c r="D458" s="19"/>
      <c r="E458" s="18"/>
    </row>
    <row r="459" spans="2:5" s="3" customFormat="1" x14ac:dyDescent="0.1">
      <c r="B459" s="18"/>
      <c r="D459" s="19"/>
      <c r="E459" s="18"/>
    </row>
    <row r="460" spans="2:5" s="3" customFormat="1" x14ac:dyDescent="0.1">
      <c r="B460" s="18"/>
      <c r="D460" s="19"/>
      <c r="E460" s="18"/>
    </row>
    <row r="461" spans="2:5" s="3" customFormat="1" x14ac:dyDescent="0.1">
      <c r="B461" s="18"/>
      <c r="D461" s="19"/>
      <c r="E461" s="18"/>
    </row>
    <row r="462" spans="2:5" s="3" customFormat="1" x14ac:dyDescent="0.1">
      <c r="B462" s="18"/>
      <c r="D462" s="19"/>
      <c r="E462" s="18"/>
    </row>
    <row r="463" spans="2:5" s="3" customFormat="1" x14ac:dyDescent="0.1">
      <c r="B463" s="18"/>
      <c r="D463" s="19"/>
      <c r="E463" s="18"/>
    </row>
    <row r="464" spans="2:5" s="3" customFormat="1" x14ac:dyDescent="0.1">
      <c r="B464" s="18"/>
      <c r="D464" s="19"/>
      <c r="E464" s="18"/>
    </row>
    <row r="465" spans="2:5" s="3" customFormat="1" x14ac:dyDescent="0.1">
      <c r="B465" s="18"/>
      <c r="D465" s="19"/>
      <c r="E465" s="18"/>
    </row>
    <row r="466" spans="2:5" s="3" customFormat="1" x14ac:dyDescent="0.1">
      <c r="B466" s="18"/>
      <c r="D466" s="19"/>
      <c r="E466" s="18"/>
    </row>
    <row r="467" spans="2:5" s="3" customFormat="1" x14ac:dyDescent="0.1">
      <c r="B467" s="18"/>
      <c r="D467" s="19"/>
      <c r="E467" s="18"/>
    </row>
    <row r="468" spans="2:5" s="3" customFormat="1" x14ac:dyDescent="0.1">
      <c r="B468" s="18"/>
      <c r="D468" s="19"/>
      <c r="E468" s="18"/>
    </row>
    <row r="469" spans="2:5" s="3" customFormat="1" x14ac:dyDescent="0.1">
      <c r="B469" s="18"/>
      <c r="D469" s="19"/>
      <c r="E469" s="18"/>
    </row>
    <row r="470" spans="2:5" s="3" customFormat="1" x14ac:dyDescent="0.1">
      <c r="B470" s="18"/>
      <c r="D470" s="19"/>
      <c r="E470" s="18"/>
    </row>
    <row r="471" spans="2:5" s="3" customFormat="1" x14ac:dyDescent="0.1">
      <c r="B471" s="18"/>
      <c r="D471" s="19"/>
      <c r="E471" s="18"/>
    </row>
    <row r="472" spans="2:5" s="3" customFormat="1" x14ac:dyDescent="0.1">
      <c r="B472" s="18"/>
      <c r="D472" s="19"/>
      <c r="E472" s="18"/>
    </row>
    <row r="473" spans="2:5" s="3" customFormat="1" x14ac:dyDescent="0.1">
      <c r="B473" s="18"/>
      <c r="D473" s="19"/>
      <c r="E473" s="18"/>
    </row>
    <row r="474" spans="2:5" s="3" customFormat="1" x14ac:dyDescent="0.1">
      <c r="B474" s="18"/>
      <c r="D474" s="19"/>
      <c r="E474" s="18"/>
    </row>
    <row r="475" spans="2:5" s="3" customFormat="1" x14ac:dyDescent="0.1">
      <c r="B475" s="18"/>
      <c r="D475" s="19"/>
      <c r="E475" s="18"/>
    </row>
    <row r="476" spans="2:5" s="3" customFormat="1" x14ac:dyDescent="0.1">
      <c r="B476" s="18"/>
      <c r="D476" s="19"/>
      <c r="E476" s="18"/>
    </row>
    <row r="477" spans="2:5" s="3" customFormat="1" x14ac:dyDescent="0.1">
      <c r="B477" s="18"/>
      <c r="D477" s="19"/>
      <c r="E477" s="18"/>
    </row>
    <row r="478" spans="2:5" s="3" customFormat="1" x14ac:dyDescent="0.1">
      <c r="B478" s="18"/>
      <c r="D478" s="19"/>
      <c r="E478" s="18"/>
    </row>
    <row r="479" spans="2:5" s="3" customFormat="1" x14ac:dyDescent="0.1">
      <c r="B479" s="18"/>
      <c r="D479" s="19"/>
      <c r="E479" s="18"/>
    </row>
    <row r="480" spans="2:5" s="3" customFormat="1" x14ac:dyDescent="0.1">
      <c r="B480" s="18"/>
      <c r="D480" s="19"/>
      <c r="E480" s="18"/>
    </row>
    <row r="481" spans="2:5" s="3" customFormat="1" x14ac:dyDescent="0.1">
      <c r="B481" s="18"/>
      <c r="D481" s="19"/>
      <c r="E481" s="18"/>
    </row>
    <row r="482" spans="2:5" s="3" customFormat="1" x14ac:dyDescent="0.1">
      <c r="B482" s="18"/>
      <c r="D482" s="19"/>
      <c r="E482" s="18"/>
    </row>
    <row r="483" spans="2:5" s="3" customFormat="1" x14ac:dyDescent="0.1">
      <c r="B483" s="18"/>
      <c r="D483" s="19"/>
      <c r="E483" s="18"/>
    </row>
    <row r="484" spans="2:5" s="3" customFormat="1" x14ac:dyDescent="0.1">
      <c r="B484" s="18"/>
      <c r="D484" s="19"/>
      <c r="E484" s="18"/>
    </row>
    <row r="485" spans="2:5" s="3" customFormat="1" x14ac:dyDescent="0.1">
      <c r="B485" s="18"/>
      <c r="D485" s="19"/>
      <c r="E485" s="18"/>
    </row>
    <row r="486" spans="2:5" s="3" customFormat="1" x14ac:dyDescent="0.1">
      <c r="B486" s="18"/>
      <c r="D486" s="19"/>
      <c r="E486" s="18"/>
    </row>
    <row r="487" spans="2:5" s="3" customFormat="1" x14ac:dyDescent="0.1">
      <c r="B487" s="18"/>
      <c r="D487" s="19"/>
      <c r="E487" s="18"/>
    </row>
    <row r="488" spans="2:5" s="3" customFormat="1" x14ac:dyDescent="0.1">
      <c r="B488" s="18"/>
      <c r="D488" s="19"/>
      <c r="E488" s="18"/>
    </row>
    <row r="489" spans="2:5" s="3" customFormat="1" x14ac:dyDescent="0.1">
      <c r="B489" s="18"/>
      <c r="D489" s="19"/>
      <c r="E489" s="18"/>
    </row>
    <row r="490" spans="2:5" s="3" customFormat="1" x14ac:dyDescent="0.1">
      <c r="B490" s="18"/>
      <c r="D490" s="19"/>
      <c r="E490" s="18"/>
    </row>
    <row r="491" spans="2:5" s="3" customFormat="1" x14ac:dyDescent="0.1">
      <c r="B491" s="18"/>
      <c r="D491" s="19"/>
      <c r="E491" s="18"/>
    </row>
    <row r="492" spans="2:5" s="3" customFormat="1" x14ac:dyDescent="0.1">
      <c r="B492" s="18"/>
      <c r="D492" s="19"/>
      <c r="E492" s="18"/>
    </row>
    <row r="493" spans="2:5" s="3" customFormat="1" x14ac:dyDescent="0.1">
      <c r="B493" s="18"/>
      <c r="D493" s="19"/>
      <c r="E493" s="18"/>
    </row>
    <row r="494" spans="2:5" s="3" customFormat="1" x14ac:dyDescent="0.1">
      <c r="B494" s="18"/>
      <c r="D494" s="19"/>
      <c r="E494" s="18"/>
    </row>
    <row r="495" spans="2:5" s="3" customFormat="1" x14ac:dyDescent="0.1">
      <c r="B495" s="18"/>
      <c r="D495" s="19"/>
      <c r="E495" s="18"/>
    </row>
    <row r="496" spans="2:5" s="3" customFormat="1" x14ac:dyDescent="0.1">
      <c r="B496" s="18"/>
      <c r="D496" s="19"/>
      <c r="E496" s="18"/>
    </row>
    <row r="497" spans="2:5" s="3" customFormat="1" x14ac:dyDescent="0.1">
      <c r="B497" s="18"/>
      <c r="D497" s="19"/>
      <c r="E497" s="18"/>
    </row>
    <row r="498" spans="2:5" s="3" customFormat="1" x14ac:dyDescent="0.1">
      <c r="B498" s="18"/>
      <c r="D498" s="19"/>
      <c r="E498" s="18"/>
    </row>
    <row r="499" spans="2:5" s="3" customFormat="1" x14ac:dyDescent="0.1">
      <c r="B499" s="18"/>
      <c r="D499" s="19"/>
      <c r="E499" s="18"/>
    </row>
    <row r="500" spans="2:5" s="3" customFormat="1" x14ac:dyDescent="0.1">
      <c r="B500" s="18"/>
      <c r="D500" s="19"/>
      <c r="E500" s="18"/>
    </row>
    <row r="501" spans="2:5" s="3" customFormat="1" x14ac:dyDescent="0.1">
      <c r="B501" s="18"/>
      <c r="D501" s="19"/>
      <c r="E501" s="18"/>
    </row>
    <row r="502" spans="2:5" s="3" customFormat="1" x14ac:dyDescent="0.1">
      <c r="B502" s="18"/>
      <c r="D502" s="19"/>
      <c r="E502" s="18"/>
    </row>
    <row r="503" spans="2:5" s="3" customFormat="1" x14ac:dyDescent="0.1">
      <c r="B503" s="18"/>
      <c r="D503" s="19"/>
      <c r="E503" s="18"/>
    </row>
    <row r="504" spans="2:5" s="3" customFormat="1" x14ac:dyDescent="0.1">
      <c r="B504" s="18"/>
      <c r="D504" s="19"/>
      <c r="E504" s="18"/>
    </row>
    <row r="505" spans="2:5" s="3" customFormat="1" x14ac:dyDescent="0.1">
      <c r="B505" s="18"/>
      <c r="D505" s="19"/>
      <c r="E505" s="18"/>
    </row>
    <row r="506" spans="2:5" s="3" customFormat="1" x14ac:dyDescent="0.1">
      <c r="B506" s="18"/>
      <c r="D506" s="19"/>
      <c r="E506" s="18"/>
    </row>
    <row r="507" spans="2:5" s="3" customFormat="1" x14ac:dyDescent="0.1">
      <c r="B507" s="18"/>
      <c r="D507" s="19"/>
      <c r="E507" s="18"/>
    </row>
    <row r="508" spans="2:5" s="3" customFormat="1" x14ac:dyDescent="0.1">
      <c r="B508" s="18"/>
      <c r="D508" s="19"/>
      <c r="E508" s="18"/>
    </row>
    <row r="509" spans="2:5" s="3" customFormat="1" x14ac:dyDescent="0.1">
      <c r="B509" s="18"/>
      <c r="D509" s="19"/>
      <c r="E509" s="18"/>
    </row>
    <row r="510" spans="2:5" s="3" customFormat="1" x14ac:dyDescent="0.1">
      <c r="B510" s="18"/>
      <c r="D510" s="19"/>
      <c r="E510" s="18"/>
    </row>
    <row r="511" spans="2:5" s="3" customFormat="1" x14ac:dyDescent="0.1">
      <c r="B511" s="18"/>
      <c r="D511" s="19"/>
      <c r="E511" s="18"/>
    </row>
    <row r="512" spans="2:5" s="3" customFormat="1" x14ac:dyDescent="0.1">
      <c r="B512" s="18"/>
      <c r="D512" s="19"/>
      <c r="E512" s="18"/>
    </row>
    <row r="513" spans="2:5" s="3" customFormat="1" x14ac:dyDescent="0.1">
      <c r="B513" s="18"/>
      <c r="D513" s="19"/>
      <c r="E513" s="18"/>
    </row>
    <row r="514" spans="2:5" s="3" customFormat="1" x14ac:dyDescent="0.1">
      <c r="B514" s="18"/>
      <c r="D514" s="19"/>
      <c r="E514" s="18"/>
    </row>
    <row r="515" spans="2:5" s="3" customFormat="1" x14ac:dyDescent="0.1">
      <c r="B515" s="18"/>
      <c r="D515" s="19"/>
      <c r="E515" s="18"/>
    </row>
    <row r="516" spans="2:5" s="3" customFormat="1" x14ac:dyDescent="0.1">
      <c r="B516" s="18"/>
      <c r="D516" s="19"/>
      <c r="E516" s="18"/>
    </row>
    <row r="517" spans="2:5" s="3" customFormat="1" x14ac:dyDescent="0.1">
      <c r="B517" s="18"/>
      <c r="D517" s="19"/>
      <c r="E517" s="18"/>
    </row>
    <row r="518" spans="2:5" s="3" customFormat="1" x14ac:dyDescent="0.1">
      <c r="B518" s="18"/>
      <c r="D518" s="19"/>
      <c r="E518" s="18"/>
    </row>
    <row r="519" spans="2:5" s="3" customFormat="1" x14ac:dyDescent="0.1">
      <c r="B519" s="18"/>
      <c r="D519" s="19"/>
      <c r="E519" s="18"/>
    </row>
    <row r="520" spans="2:5" s="3" customFormat="1" x14ac:dyDescent="0.1">
      <c r="B520" s="18"/>
      <c r="D520" s="19"/>
      <c r="E520" s="18"/>
    </row>
    <row r="521" spans="2:5" s="3" customFormat="1" x14ac:dyDescent="0.1">
      <c r="B521" s="18"/>
      <c r="D521" s="19"/>
      <c r="E521" s="18"/>
    </row>
    <row r="522" spans="2:5" s="3" customFormat="1" x14ac:dyDescent="0.1">
      <c r="B522" s="18"/>
      <c r="D522" s="19"/>
      <c r="E522" s="18"/>
    </row>
    <row r="523" spans="2:5" s="3" customFormat="1" x14ac:dyDescent="0.1">
      <c r="B523" s="18"/>
      <c r="D523" s="19"/>
      <c r="E523" s="18"/>
    </row>
    <row r="524" spans="2:5" s="3" customFormat="1" x14ac:dyDescent="0.1">
      <c r="B524" s="18"/>
      <c r="D524" s="19"/>
      <c r="E524" s="18"/>
    </row>
    <row r="525" spans="2:5" s="3" customFormat="1" x14ac:dyDescent="0.1">
      <c r="B525" s="18"/>
      <c r="D525" s="19"/>
      <c r="E525" s="18"/>
    </row>
    <row r="526" spans="2:5" s="3" customFormat="1" x14ac:dyDescent="0.1">
      <c r="B526" s="18"/>
      <c r="D526" s="19"/>
      <c r="E526" s="18"/>
    </row>
    <row r="527" spans="2:5" s="3" customFormat="1" x14ac:dyDescent="0.1">
      <c r="B527" s="18"/>
      <c r="D527" s="19"/>
      <c r="E527" s="18"/>
    </row>
    <row r="528" spans="2:5" s="3" customFormat="1" x14ac:dyDescent="0.1">
      <c r="B528" s="18"/>
      <c r="D528" s="19"/>
      <c r="E528" s="18"/>
    </row>
    <row r="529" spans="2:5" s="3" customFormat="1" x14ac:dyDescent="0.1">
      <c r="B529" s="18"/>
      <c r="D529" s="19"/>
      <c r="E529" s="18"/>
    </row>
    <row r="530" spans="2:5" s="3" customFormat="1" x14ac:dyDescent="0.1">
      <c r="B530" s="18"/>
      <c r="D530" s="19"/>
      <c r="E530" s="18"/>
    </row>
    <row r="531" spans="2:5" s="3" customFormat="1" x14ac:dyDescent="0.1">
      <c r="B531" s="18"/>
      <c r="D531" s="19"/>
      <c r="E531" s="18"/>
    </row>
    <row r="532" spans="2:5" s="3" customFormat="1" x14ac:dyDescent="0.1">
      <c r="B532" s="18"/>
      <c r="D532" s="19"/>
      <c r="E532" s="18"/>
    </row>
    <row r="533" spans="2:5" s="3" customFormat="1" x14ac:dyDescent="0.1">
      <c r="B533" s="18"/>
      <c r="D533" s="19"/>
      <c r="E533" s="18"/>
    </row>
    <row r="534" spans="2:5" s="3" customFormat="1" x14ac:dyDescent="0.1">
      <c r="B534" s="18"/>
      <c r="D534" s="19"/>
      <c r="E534" s="18"/>
    </row>
    <row r="535" spans="2:5" s="3" customFormat="1" x14ac:dyDescent="0.1">
      <c r="B535" s="18"/>
      <c r="D535" s="19"/>
      <c r="E535" s="18"/>
    </row>
    <row r="536" spans="2:5" s="3" customFormat="1" x14ac:dyDescent="0.1">
      <c r="B536" s="18"/>
      <c r="D536" s="19"/>
      <c r="E536" s="18"/>
    </row>
    <row r="537" spans="2:5" s="3" customFormat="1" x14ac:dyDescent="0.1">
      <c r="B537" s="18"/>
      <c r="D537" s="19"/>
      <c r="E537" s="18"/>
    </row>
    <row r="538" spans="2:5" s="3" customFormat="1" x14ac:dyDescent="0.1">
      <c r="B538" s="18"/>
      <c r="D538" s="19"/>
      <c r="E538" s="18"/>
    </row>
    <row r="539" spans="2:5" s="3" customFormat="1" x14ac:dyDescent="0.1">
      <c r="B539" s="18"/>
      <c r="D539" s="19"/>
      <c r="E539" s="18"/>
    </row>
    <row r="540" spans="2:5" s="3" customFormat="1" x14ac:dyDescent="0.1">
      <c r="B540" s="18"/>
      <c r="D540" s="19"/>
      <c r="E540" s="18"/>
    </row>
    <row r="541" spans="2:5" s="3" customFormat="1" x14ac:dyDescent="0.1">
      <c r="B541" s="18"/>
      <c r="D541" s="19"/>
      <c r="E541" s="18"/>
    </row>
    <row r="542" spans="2:5" s="3" customFormat="1" x14ac:dyDescent="0.1">
      <c r="B542" s="18"/>
      <c r="D542" s="19"/>
      <c r="E542" s="18"/>
    </row>
    <row r="543" spans="2:5" s="3" customFormat="1" x14ac:dyDescent="0.1">
      <c r="B543" s="18"/>
      <c r="D543" s="19"/>
      <c r="E543" s="18"/>
    </row>
    <row r="544" spans="2:5" s="3" customFormat="1" x14ac:dyDescent="0.1">
      <c r="B544" s="18"/>
      <c r="D544" s="19"/>
      <c r="E544" s="18"/>
    </row>
    <row r="545" spans="2:5" s="3" customFormat="1" x14ac:dyDescent="0.1">
      <c r="B545" s="18"/>
      <c r="D545" s="19"/>
      <c r="E545" s="18"/>
    </row>
    <row r="546" spans="2:5" s="3" customFormat="1" x14ac:dyDescent="0.1">
      <c r="B546" s="18"/>
      <c r="D546" s="19"/>
      <c r="E546" s="18"/>
    </row>
    <row r="547" spans="2:5" s="3" customFormat="1" x14ac:dyDescent="0.1">
      <c r="B547" s="18"/>
      <c r="D547" s="19"/>
      <c r="E547" s="18"/>
    </row>
    <row r="548" spans="2:5" s="3" customFormat="1" x14ac:dyDescent="0.1">
      <c r="B548" s="18"/>
      <c r="D548" s="19"/>
      <c r="E548" s="18"/>
    </row>
    <row r="549" spans="2:5" s="3" customFormat="1" x14ac:dyDescent="0.1">
      <c r="B549" s="18"/>
      <c r="D549" s="19"/>
      <c r="E549" s="18"/>
    </row>
    <row r="550" spans="2:5" s="3" customFormat="1" x14ac:dyDescent="0.1">
      <c r="B550" s="18"/>
      <c r="D550" s="19"/>
      <c r="E550" s="18"/>
    </row>
    <row r="551" spans="2:5" s="3" customFormat="1" x14ac:dyDescent="0.1">
      <c r="B551" s="18"/>
      <c r="D551" s="19"/>
      <c r="E551" s="18"/>
    </row>
    <row r="552" spans="2:5" s="3" customFormat="1" x14ac:dyDescent="0.1">
      <c r="B552" s="18"/>
      <c r="D552" s="19"/>
      <c r="E552" s="18"/>
    </row>
    <row r="553" spans="2:5" s="3" customFormat="1" x14ac:dyDescent="0.1">
      <c r="B553" s="18"/>
      <c r="D553" s="19"/>
      <c r="E553" s="18"/>
    </row>
    <row r="554" spans="2:5" s="3" customFormat="1" x14ac:dyDescent="0.1">
      <c r="B554" s="18"/>
      <c r="D554" s="19"/>
      <c r="E554" s="18"/>
    </row>
    <row r="555" spans="2:5" s="3" customFormat="1" x14ac:dyDescent="0.1">
      <c r="B555" s="18"/>
      <c r="D555" s="19"/>
      <c r="E555" s="18"/>
    </row>
    <row r="556" spans="2:5" s="3" customFormat="1" x14ac:dyDescent="0.1">
      <c r="B556" s="18"/>
      <c r="D556" s="19"/>
      <c r="E556" s="18"/>
    </row>
    <row r="557" spans="2:5" s="3" customFormat="1" x14ac:dyDescent="0.1">
      <c r="B557" s="18"/>
      <c r="D557" s="19"/>
      <c r="E557" s="18"/>
    </row>
    <row r="558" spans="2:5" s="3" customFormat="1" x14ac:dyDescent="0.1">
      <c r="B558" s="18"/>
      <c r="D558" s="19"/>
      <c r="E558" s="18"/>
    </row>
    <row r="559" spans="2:5" s="3" customFormat="1" x14ac:dyDescent="0.1">
      <c r="B559" s="18"/>
      <c r="D559" s="19"/>
      <c r="E559" s="18"/>
    </row>
    <row r="560" spans="2:5" s="3" customFormat="1" x14ac:dyDescent="0.1">
      <c r="B560" s="18"/>
      <c r="D560" s="19"/>
      <c r="E560" s="18"/>
    </row>
    <row r="561" spans="2:5" s="3" customFormat="1" x14ac:dyDescent="0.1">
      <c r="B561" s="18"/>
      <c r="D561" s="19"/>
      <c r="E561" s="18"/>
    </row>
    <row r="562" spans="2:5" s="3" customFormat="1" x14ac:dyDescent="0.1">
      <c r="B562" s="18"/>
      <c r="D562" s="19"/>
      <c r="E562" s="18"/>
    </row>
    <row r="563" spans="2:5" s="3" customFormat="1" x14ac:dyDescent="0.1">
      <c r="B563" s="18"/>
      <c r="D563" s="19"/>
      <c r="E563" s="18"/>
    </row>
    <row r="564" spans="2:5" s="3" customFormat="1" x14ac:dyDescent="0.1">
      <c r="B564" s="18"/>
      <c r="D564" s="19"/>
      <c r="E564" s="18"/>
    </row>
    <row r="565" spans="2:5" s="3" customFormat="1" x14ac:dyDescent="0.1">
      <c r="B565" s="18"/>
      <c r="D565" s="19"/>
      <c r="E565" s="18"/>
    </row>
    <row r="566" spans="2:5" s="3" customFormat="1" x14ac:dyDescent="0.1">
      <c r="B566" s="18"/>
      <c r="D566" s="19"/>
      <c r="E566" s="18"/>
    </row>
    <row r="567" spans="2:5" s="3" customFormat="1" x14ac:dyDescent="0.1">
      <c r="B567" s="18"/>
      <c r="D567" s="19"/>
      <c r="E567" s="18"/>
    </row>
    <row r="568" spans="2:5" s="3" customFormat="1" x14ac:dyDescent="0.1">
      <c r="B568" s="18"/>
      <c r="D568" s="19"/>
      <c r="E568" s="18"/>
    </row>
    <row r="569" spans="2:5" s="3" customFormat="1" x14ac:dyDescent="0.1">
      <c r="B569" s="18"/>
      <c r="D569" s="19"/>
      <c r="E569" s="18"/>
    </row>
    <row r="570" spans="2:5" s="3" customFormat="1" x14ac:dyDescent="0.1">
      <c r="B570" s="18"/>
      <c r="D570" s="19"/>
      <c r="E570" s="18"/>
    </row>
    <row r="571" spans="2:5" s="3" customFormat="1" x14ac:dyDescent="0.1">
      <c r="B571" s="18"/>
      <c r="D571" s="19"/>
      <c r="E571" s="18"/>
    </row>
    <row r="572" spans="2:5" s="3" customFormat="1" x14ac:dyDescent="0.1">
      <c r="B572" s="18"/>
      <c r="D572" s="19"/>
      <c r="E572" s="18"/>
    </row>
    <row r="573" spans="2:5" s="3" customFormat="1" x14ac:dyDescent="0.1">
      <c r="B573" s="18"/>
      <c r="D573" s="19"/>
      <c r="E573" s="18"/>
    </row>
    <row r="574" spans="2:5" s="3" customFormat="1" x14ac:dyDescent="0.1">
      <c r="B574" s="18"/>
      <c r="D574" s="19"/>
      <c r="E574" s="18"/>
    </row>
    <row r="575" spans="2:5" s="3" customFormat="1" x14ac:dyDescent="0.1">
      <c r="B575" s="18"/>
      <c r="D575" s="19"/>
      <c r="E575" s="18"/>
    </row>
    <row r="576" spans="2:5" s="3" customFormat="1" x14ac:dyDescent="0.1">
      <c r="B576" s="18"/>
      <c r="D576" s="19"/>
      <c r="E576" s="18"/>
    </row>
    <row r="577" spans="2:5" s="3" customFormat="1" x14ac:dyDescent="0.1">
      <c r="B577" s="18"/>
      <c r="D577" s="19"/>
      <c r="E577" s="18"/>
    </row>
    <row r="578" spans="2:5" s="3" customFormat="1" x14ac:dyDescent="0.1">
      <c r="B578" s="18"/>
      <c r="D578" s="19"/>
      <c r="E578" s="18"/>
    </row>
    <row r="579" spans="2:5" s="3" customFormat="1" x14ac:dyDescent="0.1">
      <c r="B579" s="18"/>
      <c r="D579" s="19"/>
      <c r="E579" s="18"/>
    </row>
    <row r="580" spans="2:5" s="3" customFormat="1" x14ac:dyDescent="0.1">
      <c r="B580" s="18"/>
      <c r="D580" s="19"/>
      <c r="E580" s="18"/>
    </row>
    <row r="581" spans="2:5" s="3" customFormat="1" x14ac:dyDescent="0.1">
      <c r="B581" s="18"/>
      <c r="D581" s="19"/>
      <c r="E581" s="18"/>
    </row>
    <row r="582" spans="2:5" s="3" customFormat="1" x14ac:dyDescent="0.1">
      <c r="B582" s="18"/>
      <c r="D582" s="19"/>
      <c r="E582" s="18"/>
    </row>
    <row r="583" spans="2:5" s="3" customFormat="1" x14ac:dyDescent="0.1">
      <c r="B583" s="18"/>
      <c r="D583" s="19"/>
      <c r="E583" s="18"/>
    </row>
    <row r="584" spans="2:5" s="3" customFormat="1" x14ac:dyDescent="0.1">
      <c r="B584" s="18"/>
      <c r="D584" s="19"/>
      <c r="E584" s="18"/>
    </row>
    <row r="585" spans="2:5" s="3" customFormat="1" x14ac:dyDescent="0.1">
      <c r="B585" s="18"/>
      <c r="D585" s="19"/>
      <c r="E585" s="18"/>
    </row>
    <row r="586" spans="2:5" s="3" customFormat="1" x14ac:dyDescent="0.1">
      <c r="B586" s="18"/>
      <c r="D586" s="19"/>
      <c r="E586" s="18"/>
    </row>
    <row r="587" spans="2:5" s="3" customFormat="1" x14ac:dyDescent="0.1">
      <c r="B587" s="18"/>
      <c r="D587" s="19"/>
      <c r="E587" s="18"/>
    </row>
    <row r="588" spans="2:5" s="3" customFormat="1" x14ac:dyDescent="0.1">
      <c r="B588" s="18"/>
      <c r="D588" s="19"/>
      <c r="E588" s="18"/>
    </row>
    <row r="589" spans="2:5" s="3" customFormat="1" x14ac:dyDescent="0.1">
      <c r="B589" s="18"/>
      <c r="D589" s="19"/>
      <c r="E589" s="18"/>
    </row>
    <row r="590" spans="2:5" s="3" customFormat="1" x14ac:dyDescent="0.1">
      <c r="B590" s="18"/>
      <c r="D590" s="19"/>
      <c r="E590" s="18"/>
    </row>
    <row r="591" spans="2:5" s="3" customFormat="1" x14ac:dyDescent="0.1">
      <c r="B591" s="18"/>
      <c r="D591" s="19"/>
      <c r="E591" s="18"/>
    </row>
    <row r="592" spans="2:5" s="3" customFormat="1" x14ac:dyDescent="0.1">
      <c r="B592" s="18"/>
      <c r="D592" s="19"/>
      <c r="E592" s="18"/>
    </row>
    <row r="593" spans="2:5" s="3" customFormat="1" x14ac:dyDescent="0.1">
      <c r="B593" s="18"/>
      <c r="D593" s="19"/>
      <c r="E593" s="18"/>
    </row>
    <row r="594" spans="2:5" s="3" customFormat="1" x14ac:dyDescent="0.1">
      <c r="B594" s="18"/>
      <c r="D594" s="19"/>
      <c r="E594" s="18"/>
    </row>
    <row r="595" spans="2:5" s="3" customFormat="1" x14ac:dyDescent="0.1">
      <c r="B595" s="18"/>
      <c r="D595" s="19"/>
      <c r="E595" s="18"/>
    </row>
    <row r="596" spans="2:5" s="3" customFormat="1" x14ac:dyDescent="0.1">
      <c r="B596" s="18"/>
      <c r="D596" s="19"/>
      <c r="E596" s="18"/>
    </row>
    <row r="597" spans="2:5" s="3" customFormat="1" x14ac:dyDescent="0.1">
      <c r="B597" s="18"/>
      <c r="D597" s="19"/>
      <c r="E597" s="18"/>
    </row>
    <row r="598" spans="2:5" s="3" customFormat="1" x14ac:dyDescent="0.1">
      <c r="B598" s="18"/>
      <c r="D598" s="19"/>
      <c r="E598" s="18"/>
    </row>
    <row r="599" spans="2:5" s="3" customFormat="1" x14ac:dyDescent="0.1">
      <c r="B599" s="18"/>
      <c r="D599" s="19"/>
      <c r="E599" s="18"/>
    </row>
    <row r="600" spans="2:5" s="3" customFormat="1" x14ac:dyDescent="0.1">
      <c r="B600" s="18"/>
      <c r="D600" s="19"/>
      <c r="E600" s="18"/>
    </row>
    <row r="601" spans="2:5" s="3" customFormat="1" x14ac:dyDescent="0.1">
      <c r="B601" s="18"/>
      <c r="D601" s="19"/>
      <c r="E601" s="18"/>
    </row>
    <row r="602" spans="2:5" s="3" customFormat="1" x14ac:dyDescent="0.1">
      <c r="B602" s="18"/>
      <c r="D602" s="19"/>
      <c r="E602" s="18"/>
    </row>
    <row r="603" spans="2:5" s="3" customFormat="1" x14ac:dyDescent="0.1">
      <c r="B603" s="18"/>
      <c r="D603" s="19"/>
      <c r="E603" s="18"/>
    </row>
    <row r="604" spans="2:5" s="3" customFormat="1" x14ac:dyDescent="0.1">
      <c r="B604" s="18"/>
      <c r="D604" s="19"/>
      <c r="E604" s="18"/>
    </row>
    <row r="605" spans="2:5" s="3" customFormat="1" x14ac:dyDescent="0.1">
      <c r="B605" s="18"/>
      <c r="D605" s="19"/>
      <c r="E605" s="18"/>
    </row>
    <row r="606" spans="2:5" s="3" customFormat="1" x14ac:dyDescent="0.1">
      <c r="B606" s="18"/>
      <c r="D606" s="19"/>
      <c r="E606" s="18"/>
    </row>
    <row r="607" spans="2:5" s="3" customFormat="1" x14ac:dyDescent="0.1">
      <c r="B607" s="18"/>
      <c r="D607" s="19"/>
      <c r="E607" s="18"/>
    </row>
    <row r="608" spans="2:5" s="3" customFormat="1" x14ac:dyDescent="0.1">
      <c r="B608" s="18"/>
      <c r="D608" s="19"/>
      <c r="E608" s="18"/>
    </row>
    <row r="609" spans="2:5" s="3" customFormat="1" x14ac:dyDescent="0.1">
      <c r="B609" s="18"/>
      <c r="D609" s="19"/>
      <c r="E609" s="18"/>
    </row>
    <row r="610" spans="2:5" s="3" customFormat="1" x14ac:dyDescent="0.1">
      <c r="B610" s="18"/>
      <c r="D610" s="19"/>
      <c r="E610" s="18"/>
    </row>
    <row r="611" spans="2:5" s="3" customFormat="1" x14ac:dyDescent="0.1">
      <c r="B611" s="18"/>
      <c r="D611" s="19"/>
      <c r="E611" s="18"/>
    </row>
    <row r="612" spans="2:5" s="3" customFormat="1" x14ac:dyDescent="0.1">
      <c r="B612" s="18"/>
      <c r="D612" s="19"/>
      <c r="E612" s="18"/>
    </row>
    <row r="613" spans="2:5" s="3" customFormat="1" x14ac:dyDescent="0.1">
      <c r="B613" s="18"/>
      <c r="D613" s="19"/>
      <c r="E613" s="18"/>
    </row>
    <row r="614" spans="2:5" s="3" customFormat="1" x14ac:dyDescent="0.1">
      <c r="B614" s="18"/>
      <c r="D614" s="19"/>
      <c r="E614" s="18"/>
    </row>
  </sheetData>
  <mergeCells count="17">
    <mergeCell ref="E12:F12"/>
    <mergeCell ref="E10:F10"/>
    <mergeCell ref="B2:E5"/>
    <mergeCell ref="F3:H3"/>
    <mergeCell ref="F4:H4"/>
    <mergeCell ref="E7:F7"/>
    <mergeCell ref="B82:H82"/>
    <mergeCell ref="B83:H83"/>
    <mergeCell ref="E39:F39"/>
    <mergeCell ref="B41:B45"/>
    <mergeCell ref="E51:F51"/>
    <mergeCell ref="B53:B64"/>
    <mergeCell ref="E68:G68"/>
    <mergeCell ref="B14:B23"/>
    <mergeCell ref="E25:F25"/>
    <mergeCell ref="B27:B37"/>
    <mergeCell ref="B81:H81"/>
  </mergeCells>
  <phoneticPr fontId="0" type="noConversion"/>
  <pageMargins left="0.59055118110236227" right="0.39370078740157483" top="0.39370078740157483" bottom="0.39370078740157483" header="0.51181102362204722" footer="0.51181102362204722"/>
  <pageSetup paperSize="9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H27"/>
  <sheetViews>
    <sheetView showGridLines="0" workbookViewId="0" xr3:uid="{958C4451-9541-5A59-BF78-D2F731DF1C81}">
      <selection activeCell="H16" sqref="H16"/>
    </sheetView>
  </sheetViews>
  <sheetFormatPr defaultColWidth="9.16796875" defaultRowHeight="12.75" x14ac:dyDescent="0.15"/>
  <cols>
    <col min="1" max="5" width="9.16796875" style="101"/>
    <col min="6" max="6" width="16.046875" style="100" customWidth="1"/>
    <col min="7" max="16384" width="9.16796875" style="101"/>
  </cols>
  <sheetData>
    <row r="1" spans="4:8" s="110" customFormat="1" ht="9.9499999999999993" customHeight="1" x14ac:dyDescent="0.15">
      <c r="F1" s="111"/>
    </row>
    <row r="3" spans="4:8" ht="14.25" x14ac:dyDescent="0.15">
      <c r="F3" s="103" t="s">
        <v>136</v>
      </c>
    </row>
    <row r="4" spans="4:8" ht="9.9499999999999993" customHeight="1" x14ac:dyDescent="0.15"/>
    <row r="5" spans="4:8" ht="18" x14ac:dyDescent="0.2">
      <c r="F5" s="102" t="s">
        <v>140</v>
      </c>
    </row>
    <row r="6" spans="4:8" s="130" customFormat="1" ht="12" customHeight="1" x14ac:dyDescent="0.15">
      <c r="F6" s="104" t="s">
        <v>151</v>
      </c>
    </row>
    <row r="7" spans="4:8" ht="13.5" x14ac:dyDescent="0.15">
      <c r="D7" s="108"/>
      <c r="E7" s="108"/>
      <c r="F7" s="109" t="s">
        <v>132</v>
      </c>
      <c r="G7" s="108"/>
      <c r="H7" s="108"/>
    </row>
    <row r="8" spans="4:8" ht="13.5" x14ac:dyDescent="0.15">
      <c r="D8" s="108"/>
      <c r="E8" s="108"/>
      <c r="F8" s="109" t="s">
        <v>128</v>
      </c>
      <c r="G8" s="108"/>
      <c r="H8" s="108"/>
    </row>
    <row r="9" spans="4:8" ht="13.5" x14ac:dyDescent="0.15">
      <c r="D9" s="108"/>
      <c r="E9" s="108"/>
      <c r="F9" s="109" t="s">
        <v>129</v>
      </c>
      <c r="G9" s="108"/>
      <c r="H9" s="108"/>
    </row>
    <row r="10" spans="4:8" ht="13.5" x14ac:dyDescent="0.15">
      <c r="D10" s="108"/>
      <c r="E10" s="108"/>
      <c r="F10" s="109" t="s">
        <v>130</v>
      </c>
      <c r="G10" s="108"/>
      <c r="H10" s="108"/>
    </row>
    <row r="11" spans="4:8" ht="13.5" x14ac:dyDescent="0.15">
      <c r="D11" s="108"/>
      <c r="E11" s="108"/>
      <c r="F11" s="109" t="s">
        <v>131</v>
      </c>
      <c r="G11" s="108"/>
      <c r="H11" s="108"/>
    </row>
    <row r="13" spans="4:8" x14ac:dyDescent="0.15">
      <c r="D13" s="105"/>
      <c r="E13" s="105"/>
      <c r="F13" s="106" t="s">
        <v>133</v>
      </c>
      <c r="G13" s="105"/>
      <c r="H13" s="105"/>
    </row>
    <row r="14" spans="4:8" x14ac:dyDescent="0.15">
      <c r="D14" s="105"/>
      <c r="E14" s="105"/>
      <c r="F14" s="106" t="s">
        <v>134</v>
      </c>
      <c r="G14" s="105"/>
      <c r="H14" s="105"/>
    </row>
    <row r="15" spans="4:8" x14ac:dyDescent="0.15">
      <c r="D15" s="105"/>
      <c r="E15" s="105"/>
      <c r="F15" s="107" t="s">
        <v>135</v>
      </c>
      <c r="G15" s="105"/>
      <c r="H15" s="105"/>
    </row>
    <row r="16" spans="4:8" x14ac:dyDescent="0.15">
      <c r="D16" s="105"/>
      <c r="E16" s="105"/>
      <c r="F16" s="106" t="s">
        <v>137</v>
      </c>
      <c r="G16" s="105"/>
      <c r="H16" s="105"/>
    </row>
    <row r="17" spans="4:8" x14ac:dyDescent="0.15">
      <c r="D17" s="105"/>
      <c r="E17" s="105"/>
      <c r="F17" s="104" t="s">
        <v>138</v>
      </c>
      <c r="G17" s="105"/>
      <c r="H17" s="105"/>
    </row>
    <row r="18" spans="4:8" x14ac:dyDescent="0.15">
      <c r="D18" s="105"/>
      <c r="E18" s="105"/>
      <c r="F18" s="104"/>
      <c r="G18" s="105"/>
      <c r="H18" s="105"/>
    </row>
    <row r="19" spans="4:8" x14ac:dyDescent="0.15">
      <c r="F19" s="113" t="s">
        <v>142</v>
      </c>
    </row>
    <row r="20" spans="4:8" x14ac:dyDescent="0.15">
      <c r="F20" s="114" t="s">
        <v>143</v>
      </c>
    </row>
    <row r="21" spans="4:8" x14ac:dyDescent="0.15">
      <c r="F21" s="114"/>
    </row>
    <row r="22" spans="4:8" ht="5.0999999999999996" customHeight="1" x14ac:dyDescent="0.15"/>
    <row r="23" spans="4:8" x14ac:dyDescent="0.15">
      <c r="F23" s="112" t="s">
        <v>141</v>
      </c>
    </row>
    <row r="24" spans="4:8" ht="5.0999999999999996" customHeight="1" x14ac:dyDescent="0.15"/>
    <row r="25" spans="4:8" x14ac:dyDescent="0.15">
      <c r="F25" s="100" t="s">
        <v>139</v>
      </c>
    </row>
    <row r="27" spans="4:8" x14ac:dyDescent="0.15">
      <c r="F27" s="100" t="s">
        <v>147</v>
      </c>
    </row>
  </sheetData>
  <sheetProtection password="C5A6" sheet="1" objects="1" scenarios="1"/>
  <phoneticPr fontId="15" type="noConversion"/>
  <hyperlinks>
    <hyperlink ref="F15" r:id="rId1" xr:uid="{00000000-0004-0000-0100-000000000000}"/>
    <hyperlink ref="F17" r:id="rId2" xr:uid="{00000000-0004-0000-0100-000001000000}"/>
    <hyperlink ref="F6" r:id="rId3" xr:uid="{00000000-0004-0000-0100-000002000000}"/>
  </hyperlinks>
  <pageMargins left="0.75" right="0.75" top="1" bottom="1" header="0.49212598499999999" footer="0.49212598499999999"/>
  <pageSetup orientation="landscape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615"/>
  <sheetViews>
    <sheetView showGridLines="0" tabSelected="1" workbookViewId="0" xr3:uid="{842E5F09-E766-5B8D-85AF-A39847EA96FD}">
      <pane ySplit="9" topLeftCell="A50" activePane="bottomLeft" state="frozen"/>
      <selection pane="bottomLeft" activeCell="H75" sqref="H75"/>
    </sheetView>
  </sheetViews>
  <sheetFormatPr defaultColWidth="9.16796875" defaultRowHeight="10.5" x14ac:dyDescent="0.1"/>
  <cols>
    <col min="1" max="1" width="1.75" style="1" customWidth="1"/>
    <col min="2" max="2" width="5.52734375" style="5" customWidth="1"/>
    <col min="3" max="3" width="0.94140625" style="4" customWidth="1"/>
    <col min="4" max="4" width="2.96484375" style="6" customWidth="1"/>
    <col min="5" max="5" width="3.91015625" style="5" customWidth="1"/>
    <col min="6" max="6" width="51.6484375" style="4" customWidth="1"/>
    <col min="7" max="7" width="13.078125" style="4" customWidth="1"/>
    <col min="8" max="8" width="13.484375" style="4" customWidth="1"/>
    <col min="9" max="9" width="9.16796875" style="2"/>
    <col min="10" max="69" width="9.16796875" style="3"/>
    <col min="70" max="79" width="9.16796875" style="2"/>
    <col min="80" max="16384" width="9.16796875" style="4"/>
  </cols>
  <sheetData>
    <row r="1" spans="1:79" ht="5.0999999999999996" customHeight="1" x14ac:dyDescent="0.1"/>
    <row r="2" spans="1:79" ht="9" customHeight="1" x14ac:dyDescent="0.1">
      <c r="B2" s="140" t="s">
        <v>5</v>
      </c>
      <c r="C2" s="140"/>
      <c r="D2" s="140"/>
      <c r="E2" s="140"/>
      <c r="F2" s="21"/>
      <c r="G2" s="21"/>
      <c r="H2" s="21"/>
    </row>
    <row r="3" spans="1:79" ht="15" customHeight="1" x14ac:dyDescent="0.2">
      <c r="B3" s="140"/>
      <c r="C3" s="140"/>
      <c r="D3" s="140"/>
      <c r="E3" s="140"/>
      <c r="F3" s="141" t="s">
        <v>59</v>
      </c>
      <c r="G3" s="141"/>
      <c r="H3" s="141"/>
    </row>
    <row r="4" spans="1:79" ht="9.9499999999999993" customHeight="1" x14ac:dyDescent="0.15">
      <c r="B4" s="140"/>
      <c r="C4" s="140"/>
      <c r="D4" s="140"/>
      <c r="E4" s="140"/>
      <c r="F4" s="142" t="s">
        <v>56</v>
      </c>
      <c r="G4" s="142"/>
      <c r="H4" s="142"/>
    </row>
    <row r="5" spans="1:79" ht="9" customHeight="1" x14ac:dyDescent="0.1">
      <c r="B5" s="140"/>
      <c r="C5" s="140"/>
      <c r="D5" s="140"/>
      <c r="E5" s="140"/>
      <c r="F5" s="21"/>
      <c r="G5" s="21"/>
      <c r="H5" s="21"/>
    </row>
    <row r="6" spans="1:79" ht="5.0999999999999996" customHeight="1" x14ac:dyDescent="0.1"/>
    <row r="7" spans="1:79" ht="12" customHeight="1" x14ac:dyDescent="0.15">
      <c r="B7" s="7" t="s">
        <v>126</v>
      </c>
      <c r="E7" s="47"/>
      <c r="F7" s="49"/>
      <c r="G7" s="8" t="s">
        <v>127</v>
      </c>
      <c r="H7" s="48"/>
    </row>
    <row r="8" spans="1:79" ht="12" customHeight="1" x14ac:dyDescent="0.15">
      <c r="B8" s="7"/>
      <c r="D8" s="116" t="s">
        <v>144</v>
      </c>
      <c r="E8" s="47"/>
      <c r="F8" s="118"/>
      <c r="G8" s="117"/>
      <c r="H8" s="126"/>
    </row>
    <row r="9" spans="1:79" ht="3" customHeight="1" x14ac:dyDescent="0.1"/>
    <row r="10" spans="1:79" ht="3" customHeight="1" x14ac:dyDescent="0.1"/>
    <row r="11" spans="1:79" s="12" customFormat="1" ht="12.75" customHeight="1" x14ac:dyDescent="0.15">
      <c r="A11" s="9"/>
      <c r="B11" s="14"/>
      <c r="C11" s="22"/>
      <c r="D11" s="14"/>
      <c r="E11" s="139" t="s">
        <v>8</v>
      </c>
      <c r="F11" s="139"/>
      <c r="G11" s="20"/>
      <c r="H11" s="23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0"/>
      <c r="BS11" s="10"/>
      <c r="BT11" s="10"/>
      <c r="BU11" s="10"/>
      <c r="BV11" s="10"/>
      <c r="BW11" s="10"/>
      <c r="BX11" s="10"/>
      <c r="BY11" s="10"/>
      <c r="BZ11" s="10"/>
      <c r="CA11" s="10"/>
    </row>
    <row r="12" spans="1:79" ht="2.1" customHeight="1" x14ac:dyDescent="0.1">
      <c r="G12" s="16"/>
      <c r="H12" s="16"/>
    </row>
    <row r="13" spans="1:79" ht="12.75" x14ac:dyDescent="0.15">
      <c r="E13" s="133" t="s">
        <v>1</v>
      </c>
      <c r="F13" s="144"/>
      <c r="G13" s="16"/>
      <c r="H13" s="17" t="s">
        <v>33</v>
      </c>
    </row>
    <row r="14" spans="1:79" ht="2.1" customHeight="1" x14ac:dyDescent="0.1">
      <c r="G14" s="16"/>
      <c r="H14" s="16"/>
    </row>
    <row r="15" spans="1:79" x14ac:dyDescent="0.1">
      <c r="B15" s="132" t="s">
        <v>12</v>
      </c>
      <c r="D15" s="26">
        <v>1</v>
      </c>
      <c r="E15" s="27" t="s">
        <v>10</v>
      </c>
      <c r="F15" s="35" t="s">
        <v>22</v>
      </c>
      <c r="G15" s="36"/>
      <c r="H15" s="29">
        <v>1305000</v>
      </c>
    </row>
    <row r="16" spans="1:79" x14ac:dyDescent="0.1">
      <c r="B16" s="132"/>
      <c r="D16" s="26">
        <v>2</v>
      </c>
      <c r="E16" s="27" t="s">
        <v>10</v>
      </c>
      <c r="F16" s="35" t="s">
        <v>23</v>
      </c>
      <c r="G16" s="36"/>
      <c r="H16" s="29"/>
    </row>
    <row r="17" spans="2:8" x14ac:dyDescent="0.1">
      <c r="B17" s="132"/>
      <c r="D17" s="26">
        <v>3</v>
      </c>
      <c r="E17" s="27" t="s">
        <v>10</v>
      </c>
      <c r="F17" s="35" t="s">
        <v>65</v>
      </c>
      <c r="G17" s="36"/>
      <c r="H17" s="29"/>
    </row>
    <row r="18" spans="2:8" x14ac:dyDescent="0.1">
      <c r="B18" s="132"/>
      <c r="D18" s="26">
        <v>4</v>
      </c>
      <c r="E18" s="27" t="s">
        <v>10</v>
      </c>
      <c r="F18" s="35" t="s">
        <v>25</v>
      </c>
      <c r="G18" s="36"/>
      <c r="H18" s="29">
        <v>5000</v>
      </c>
    </row>
    <row r="19" spans="2:8" x14ac:dyDescent="0.1">
      <c r="B19" s="132"/>
      <c r="D19" s="26">
        <v>5</v>
      </c>
      <c r="E19" s="27" t="s">
        <v>10</v>
      </c>
      <c r="F19" s="35" t="s">
        <v>26</v>
      </c>
      <c r="G19" s="36"/>
      <c r="H19" s="29"/>
    </row>
    <row r="20" spans="2:8" x14ac:dyDescent="0.1">
      <c r="B20" s="132"/>
      <c r="D20" s="26">
        <v>6</v>
      </c>
      <c r="E20" s="27" t="s">
        <v>10</v>
      </c>
      <c r="F20" s="35" t="s">
        <v>86</v>
      </c>
      <c r="G20" s="36"/>
      <c r="H20" s="29">
        <v>2300</v>
      </c>
    </row>
    <row r="21" spans="2:8" x14ac:dyDescent="0.1">
      <c r="B21" s="132"/>
      <c r="D21" s="26">
        <v>7</v>
      </c>
      <c r="E21" s="27" t="s">
        <v>10</v>
      </c>
      <c r="F21" s="35" t="s">
        <v>28</v>
      </c>
      <c r="G21" s="36"/>
      <c r="H21" s="29"/>
    </row>
    <row r="22" spans="2:8" x14ac:dyDescent="0.1">
      <c r="B22" s="132"/>
      <c r="D22" s="26">
        <v>8</v>
      </c>
      <c r="E22" s="27" t="s">
        <v>10</v>
      </c>
      <c r="F22" s="35" t="s">
        <v>75</v>
      </c>
      <c r="G22" s="36"/>
      <c r="H22" s="29"/>
    </row>
    <row r="23" spans="2:8" ht="3.95" customHeight="1" x14ac:dyDescent="0.1">
      <c r="B23" s="132"/>
    </row>
    <row r="24" spans="2:8" x14ac:dyDescent="0.1">
      <c r="B24" s="132"/>
      <c r="D24" s="26">
        <v>9</v>
      </c>
      <c r="E24" s="30" t="s">
        <v>11</v>
      </c>
      <c r="F24" s="37" t="s">
        <v>29</v>
      </c>
      <c r="G24" s="38"/>
      <c r="H24" s="31">
        <f>SUM(H15:H22)</f>
        <v>1312300</v>
      </c>
    </row>
    <row r="25" spans="2:8" ht="2.1" customHeight="1" x14ac:dyDescent="0.1"/>
    <row r="26" spans="2:8" ht="12.75" customHeight="1" x14ac:dyDescent="0.1">
      <c r="E26" s="133" t="s">
        <v>0</v>
      </c>
      <c r="F26" s="133"/>
      <c r="H26" s="17" t="s">
        <v>33</v>
      </c>
    </row>
    <row r="27" spans="2:8" ht="2.1" customHeight="1" x14ac:dyDescent="0.1"/>
    <row r="28" spans="2:8" x14ac:dyDescent="0.1">
      <c r="B28" s="132" t="s">
        <v>14</v>
      </c>
      <c r="D28" s="26">
        <v>10</v>
      </c>
      <c r="E28" s="27" t="s">
        <v>17</v>
      </c>
      <c r="F28" s="35" t="s">
        <v>47</v>
      </c>
      <c r="G28" s="36"/>
      <c r="H28" s="29"/>
    </row>
    <row r="29" spans="2:8" x14ac:dyDescent="0.1">
      <c r="B29" s="132"/>
      <c r="D29" s="26">
        <v>11</v>
      </c>
      <c r="E29" s="27" t="s">
        <v>17</v>
      </c>
      <c r="F29" s="35" t="s">
        <v>48</v>
      </c>
      <c r="G29" s="36"/>
      <c r="H29" s="29"/>
    </row>
    <row r="30" spans="2:8" x14ac:dyDescent="0.1">
      <c r="B30" s="132"/>
      <c r="D30" s="26">
        <v>12</v>
      </c>
      <c r="E30" s="27" t="s">
        <v>17</v>
      </c>
      <c r="F30" s="35" t="s">
        <v>49</v>
      </c>
      <c r="G30" s="36"/>
      <c r="H30" s="29"/>
    </row>
    <row r="31" spans="2:8" x14ac:dyDescent="0.1">
      <c r="B31" s="132"/>
      <c r="D31" s="26">
        <v>13</v>
      </c>
      <c r="E31" s="27" t="s">
        <v>17</v>
      </c>
      <c r="F31" s="35" t="s">
        <v>50</v>
      </c>
      <c r="G31" s="36"/>
      <c r="H31" s="29">
        <v>1400</v>
      </c>
    </row>
    <row r="32" spans="2:8" x14ac:dyDescent="0.1">
      <c r="B32" s="132"/>
      <c r="D32" s="26">
        <v>14</v>
      </c>
      <c r="E32" s="27" t="s">
        <v>17</v>
      </c>
      <c r="F32" s="35" t="s">
        <v>51</v>
      </c>
      <c r="G32" s="36"/>
      <c r="H32" s="29"/>
    </row>
    <row r="33" spans="2:8" x14ac:dyDescent="0.1">
      <c r="B33" s="132"/>
      <c r="D33" s="26">
        <v>15</v>
      </c>
      <c r="E33" s="27" t="s">
        <v>17</v>
      </c>
      <c r="F33" s="35" t="s">
        <v>52</v>
      </c>
      <c r="G33" s="36"/>
      <c r="H33" s="29"/>
    </row>
    <row r="34" spans="2:8" x14ac:dyDescent="0.1">
      <c r="B34" s="132"/>
      <c r="D34" s="26">
        <v>16</v>
      </c>
      <c r="E34" s="27" t="s">
        <v>17</v>
      </c>
      <c r="F34" s="35" t="s">
        <v>53</v>
      </c>
      <c r="G34" s="36"/>
      <c r="H34" s="29"/>
    </row>
    <row r="35" spans="2:8" x14ac:dyDescent="0.1">
      <c r="B35" s="132"/>
      <c r="D35" s="26">
        <v>17</v>
      </c>
      <c r="E35" s="27" t="s">
        <v>17</v>
      </c>
      <c r="F35" s="35" t="s">
        <v>54</v>
      </c>
      <c r="G35" s="36"/>
      <c r="H35" s="29"/>
    </row>
    <row r="36" spans="2:8" x14ac:dyDescent="0.1">
      <c r="B36" s="132"/>
      <c r="D36" s="26">
        <v>18</v>
      </c>
      <c r="E36" s="27" t="s">
        <v>17</v>
      </c>
      <c r="F36" s="35" t="s">
        <v>87</v>
      </c>
      <c r="G36" s="36"/>
      <c r="H36" s="29"/>
    </row>
    <row r="37" spans="2:8" x14ac:dyDescent="0.1">
      <c r="B37" s="132"/>
      <c r="D37" s="26">
        <v>19</v>
      </c>
      <c r="E37" s="27" t="s">
        <v>17</v>
      </c>
      <c r="F37" s="35" t="s">
        <v>88</v>
      </c>
      <c r="G37" s="36"/>
      <c r="H37" s="29">
        <v>18500</v>
      </c>
    </row>
    <row r="38" spans="2:8" ht="3.95" customHeight="1" x14ac:dyDescent="0.1">
      <c r="B38" s="132"/>
    </row>
    <row r="39" spans="2:8" x14ac:dyDescent="0.1">
      <c r="B39" s="132"/>
      <c r="D39" s="26">
        <v>20</v>
      </c>
      <c r="E39" s="30" t="s">
        <v>11</v>
      </c>
      <c r="F39" s="37" t="s">
        <v>55</v>
      </c>
      <c r="G39" s="38"/>
      <c r="H39" s="31">
        <f>SUM(H28:H37)</f>
        <v>19900</v>
      </c>
    </row>
    <row r="40" spans="2:8" ht="2.1" customHeight="1" x14ac:dyDescent="0.1"/>
    <row r="41" spans="2:8" x14ac:dyDescent="0.1">
      <c r="D41" s="13"/>
      <c r="E41" s="136" t="s">
        <v>15</v>
      </c>
      <c r="F41" s="136"/>
      <c r="H41" s="17" t="s">
        <v>33</v>
      </c>
    </row>
    <row r="42" spans="2:8" ht="2.1" customHeight="1" x14ac:dyDescent="0.15">
      <c r="D42" s="13"/>
      <c r="E42" s="15"/>
      <c r="F42" s="15"/>
    </row>
    <row r="43" spans="2:8" x14ac:dyDescent="0.1">
      <c r="B43" s="137" t="s">
        <v>15</v>
      </c>
      <c r="D43" s="26">
        <v>21</v>
      </c>
      <c r="E43" s="27" t="s">
        <v>17</v>
      </c>
      <c r="F43" s="35" t="s">
        <v>42</v>
      </c>
      <c r="G43" s="36"/>
      <c r="H43" s="29"/>
    </row>
    <row r="44" spans="2:8" x14ac:dyDescent="0.1">
      <c r="B44" s="137"/>
      <c r="D44" s="26">
        <v>22</v>
      </c>
      <c r="E44" s="27" t="s">
        <v>17</v>
      </c>
      <c r="F44" s="35" t="s">
        <v>73</v>
      </c>
      <c r="G44" s="36"/>
      <c r="H44" s="29"/>
    </row>
    <row r="45" spans="2:8" x14ac:dyDescent="0.1">
      <c r="B45" s="137"/>
      <c r="D45" s="26">
        <v>23</v>
      </c>
      <c r="E45" s="27" t="s">
        <v>17</v>
      </c>
      <c r="F45" s="35" t="s">
        <v>43</v>
      </c>
      <c r="G45" s="36"/>
      <c r="H45" s="29">
        <v>15000</v>
      </c>
    </row>
    <row r="46" spans="2:8" ht="3.95" customHeight="1" x14ac:dyDescent="0.1">
      <c r="B46" s="137"/>
    </row>
    <row r="47" spans="2:8" x14ac:dyDescent="0.1">
      <c r="B47" s="137"/>
      <c r="D47" s="26">
        <v>24</v>
      </c>
      <c r="E47" s="30" t="s">
        <v>11</v>
      </c>
      <c r="F47" s="37" t="s">
        <v>44</v>
      </c>
      <c r="G47" s="38"/>
      <c r="H47" s="31">
        <f>SUM(H43:H45)</f>
        <v>15000</v>
      </c>
    </row>
    <row r="48" spans="2:8" ht="3.95" customHeight="1" x14ac:dyDescent="0.1"/>
    <row r="49" spans="2:8" x14ac:dyDescent="0.1">
      <c r="B49" s="33"/>
      <c r="D49" s="26">
        <v>25</v>
      </c>
      <c r="E49" s="30" t="s">
        <v>11</v>
      </c>
      <c r="F49" s="37" t="s">
        <v>57</v>
      </c>
      <c r="G49" s="38"/>
      <c r="H49" s="31">
        <f>H24-H39-H47</f>
        <v>1277400</v>
      </c>
    </row>
    <row r="50" spans="2:8" ht="3.95" customHeight="1" x14ac:dyDescent="0.1"/>
    <row r="51" spans="2:8" x14ac:dyDescent="0.1">
      <c r="B51" s="33"/>
      <c r="D51" s="26">
        <v>26</v>
      </c>
      <c r="E51" s="30" t="s">
        <v>11</v>
      </c>
      <c r="F51" s="37" t="s">
        <v>58</v>
      </c>
      <c r="G51" s="38"/>
      <c r="H51" s="31">
        <f>H49*7.6%</f>
        <v>97082.4</v>
      </c>
    </row>
    <row r="52" spans="2:8" ht="2.1" customHeight="1" x14ac:dyDescent="0.1"/>
    <row r="53" spans="2:8" x14ac:dyDescent="0.1">
      <c r="E53" s="133" t="s">
        <v>61</v>
      </c>
      <c r="F53" s="133"/>
      <c r="G53" s="17" t="s">
        <v>33</v>
      </c>
      <c r="H53" s="17" t="s">
        <v>33</v>
      </c>
    </row>
    <row r="54" spans="2:8" ht="2.1" customHeight="1" x14ac:dyDescent="0.1"/>
    <row r="55" spans="2:8" x14ac:dyDescent="0.1">
      <c r="B55" s="138" t="s">
        <v>18</v>
      </c>
      <c r="D55" s="26">
        <v>27</v>
      </c>
      <c r="E55" s="27" t="s">
        <v>17</v>
      </c>
      <c r="F55" s="28" t="s">
        <v>30</v>
      </c>
      <c r="G55" s="29">
        <v>100000</v>
      </c>
      <c r="H55" s="32">
        <f>G55*7.6%</f>
        <v>7600</v>
      </c>
    </row>
    <row r="56" spans="2:8" x14ac:dyDescent="0.1">
      <c r="B56" s="138"/>
      <c r="D56" s="26">
        <v>28</v>
      </c>
      <c r="E56" s="27" t="s">
        <v>17</v>
      </c>
      <c r="F56" s="28" t="s">
        <v>84</v>
      </c>
      <c r="G56" s="29">
        <v>930000</v>
      </c>
      <c r="H56" s="32">
        <f t="shared" ref="H56:H64" si="0">G56*7.6%</f>
        <v>70680</v>
      </c>
    </row>
    <row r="57" spans="2:8" x14ac:dyDescent="0.1">
      <c r="B57" s="138"/>
      <c r="D57" s="26">
        <v>29</v>
      </c>
      <c r="E57" s="27" t="s">
        <v>17</v>
      </c>
      <c r="F57" s="28" t="s">
        <v>85</v>
      </c>
      <c r="G57" s="29">
        <v>10000</v>
      </c>
      <c r="H57" s="32">
        <f t="shared" si="0"/>
        <v>760</v>
      </c>
    </row>
    <row r="58" spans="2:8" x14ac:dyDescent="0.1">
      <c r="B58" s="138"/>
      <c r="D58" s="26">
        <v>30</v>
      </c>
      <c r="E58" s="27" t="s">
        <v>17</v>
      </c>
      <c r="F58" s="28" t="s">
        <v>62</v>
      </c>
      <c r="G58" s="29">
        <v>10000</v>
      </c>
      <c r="H58" s="32">
        <f t="shared" si="0"/>
        <v>760</v>
      </c>
    </row>
    <row r="59" spans="2:8" x14ac:dyDescent="0.1">
      <c r="B59" s="138"/>
      <c r="D59" s="26">
        <v>31</v>
      </c>
      <c r="E59" s="27" t="s">
        <v>17</v>
      </c>
      <c r="F59" s="28" t="s">
        <v>89</v>
      </c>
      <c r="G59" s="29">
        <v>10000</v>
      </c>
      <c r="H59" s="32">
        <f t="shared" si="0"/>
        <v>760</v>
      </c>
    </row>
    <row r="60" spans="2:8" x14ac:dyDescent="0.1">
      <c r="B60" s="138"/>
      <c r="D60" s="26">
        <v>32</v>
      </c>
      <c r="E60" s="27" t="s">
        <v>17</v>
      </c>
      <c r="F60" s="28" t="s">
        <v>34</v>
      </c>
      <c r="G60" s="29">
        <v>10000</v>
      </c>
      <c r="H60" s="32">
        <f t="shared" si="0"/>
        <v>760</v>
      </c>
    </row>
    <row r="61" spans="2:8" x14ac:dyDescent="0.1">
      <c r="B61" s="138"/>
      <c r="D61" s="26">
        <v>33</v>
      </c>
      <c r="E61" s="27" t="s">
        <v>17</v>
      </c>
      <c r="F61" s="28" t="s">
        <v>63</v>
      </c>
      <c r="G61" s="29">
        <v>10000</v>
      </c>
      <c r="H61" s="32">
        <f t="shared" si="0"/>
        <v>760</v>
      </c>
    </row>
    <row r="62" spans="2:8" x14ac:dyDescent="0.1">
      <c r="B62" s="138"/>
      <c r="D62" s="26">
        <v>34</v>
      </c>
      <c r="E62" s="27" t="s">
        <v>17</v>
      </c>
      <c r="F62" s="28" t="s">
        <v>36</v>
      </c>
      <c r="G62" s="29">
        <v>10000</v>
      </c>
      <c r="H62" s="32">
        <f t="shared" si="0"/>
        <v>760</v>
      </c>
    </row>
    <row r="63" spans="2:8" x14ac:dyDescent="0.1">
      <c r="B63" s="138"/>
      <c r="D63" s="26">
        <v>35</v>
      </c>
      <c r="E63" s="27" t="s">
        <v>17</v>
      </c>
      <c r="F63" s="28" t="s">
        <v>60</v>
      </c>
      <c r="G63" s="29">
        <v>10000</v>
      </c>
      <c r="H63" s="32">
        <f t="shared" si="0"/>
        <v>760</v>
      </c>
    </row>
    <row r="64" spans="2:8" x14ac:dyDescent="0.1">
      <c r="B64" s="138"/>
      <c r="D64" s="26">
        <v>36</v>
      </c>
      <c r="E64" s="27" t="s">
        <v>17</v>
      </c>
      <c r="F64" s="28" t="s">
        <v>64</v>
      </c>
      <c r="G64" s="29">
        <v>10000</v>
      </c>
      <c r="H64" s="32">
        <f t="shared" si="0"/>
        <v>760</v>
      </c>
    </row>
    <row r="65" spans="2:8" x14ac:dyDescent="0.1">
      <c r="B65" s="138"/>
      <c r="D65" s="26">
        <v>39</v>
      </c>
      <c r="E65" s="27" t="s">
        <v>17</v>
      </c>
      <c r="F65" s="35" t="s">
        <v>149</v>
      </c>
      <c r="G65" s="29">
        <v>10000</v>
      </c>
      <c r="H65" s="32">
        <f>G65*3%/12</f>
        <v>25</v>
      </c>
    </row>
    <row r="66" spans="2:8" x14ac:dyDescent="0.1">
      <c r="B66" s="138"/>
      <c r="D66" s="26">
        <v>38</v>
      </c>
      <c r="E66" s="27" t="s">
        <v>17</v>
      </c>
      <c r="F66" s="35" t="s">
        <v>150</v>
      </c>
      <c r="G66" s="36"/>
      <c r="H66" s="29">
        <v>0</v>
      </c>
    </row>
    <row r="67" spans="2:8" x14ac:dyDescent="0.1">
      <c r="B67" s="138"/>
      <c r="D67" s="26">
        <v>39</v>
      </c>
      <c r="E67" s="27" t="s">
        <v>17</v>
      </c>
      <c r="F67" s="35" t="s">
        <v>148</v>
      </c>
      <c r="G67" s="129"/>
      <c r="H67" s="29">
        <v>0</v>
      </c>
    </row>
    <row r="68" spans="2:8" ht="3.95" customHeight="1" x14ac:dyDescent="0.1">
      <c r="B68" s="138"/>
    </row>
    <row r="69" spans="2:8" x14ac:dyDescent="0.1">
      <c r="B69" s="138"/>
      <c r="D69" s="26">
        <v>40</v>
      </c>
      <c r="E69" s="30" t="s">
        <v>11</v>
      </c>
      <c r="F69" s="37" t="s">
        <v>40</v>
      </c>
      <c r="G69" s="38"/>
      <c r="H69" s="31">
        <f>SUM(H55:H67)</f>
        <v>84385</v>
      </c>
    </row>
    <row r="70" spans="2:8" ht="3.95" customHeight="1" x14ac:dyDescent="0.1"/>
    <row r="71" spans="2:8" x14ac:dyDescent="0.1">
      <c r="B71" s="33"/>
      <c r="D71" s="26">
        <v>41</v>
      </c>
      <c r="E71" s="30" t="s">
        <v>11</v>
      </c>
      <c r="F71" s="37" t="s">
        <v>80</v>
      </c>
      <c r="G71" s="38"/>
      <c r="H71" s="31">
        <f>H51-H69</f>
        <v>12697.399999999994</v>
      </c>
    </row>
    <row r="72" spans="2:8" ht="2.1" customHeight="1" x14ac:dyDescent="0.1"/>
    <row r="73" spans="2:8" x14ac:dyDescent="0.1">
      <c r="E73" s="131" t="s">
        <v>66</v>
      </c>
      <c r="F73" s="131"/>
      <c r="G73" s="131"/>
    </row>
    <row r="74" spans="2:8" ht="2.1" customHeight="1" x14ac:dyDescent="0.1"/>
    <row r="75" spans="2:8" ht="12.75" customHeight="1" x14ac:dyDescent="0.1">
      <c r="B75" s="145" t="s">
        <v>76</v>
      </c>
      <c r="D75" s="26">
        <v>42</v>
      </c>
      <c r="E75" s="27" t="s">
        <v>10</v>
      </c>
      <c r="F75" s="37" t="s">
        <v>67</v>
      </c>
      <c r="G75" s="36"/>
      <c r="H75" s="31">
        <f>H67</f>
        <v>0</v>
      </c>
    </row>
    <row r="76" spans="2:8" x14ac:dyDescent="0.1">
      <c r="B76" s="146"/>
      <c r="D76" s="26">
        <v>43</v>
      </c>
      <c r="E76" s="27" t="s">
        <v>10</v>
      </c>
      <c r="F76" s="35" t="s">
        <v>68</v>
      </c>
      <c r="G76" s="36"/>
      <c r="H76" s="32">
        <f>H69</f>
        <v>84385</v>
      </c>
    </row>
    <row r="77" spans="2:8" x14ac:dyDescent="0.1">
      <c r="B77" s="146"/>
      <c r="D77" s="26">
        <v>44</v>
      </c>
      <c r="E77" s="30" t="s">
        <v>11</v>
      </c>
      <c r="F77" s="37" t="s">
        <v>69</v>
      </c>
      <c r="G77" s="36"/>
      <c r="H77" s="31">
        <f>H69</f>
        <v>84385</v>
      </c>
    </row>
    <row r="78" spans="2:8" x14ac:dyDescent="0.1">
      <c r="B78" s="146"/>
      <c r="D78" s="26">
        <v>45</v>
      </c>
      <c r="E78" s="27" t="s">
        <v>17</v>
      </c>
      <c r="F78" s="35" t="s">
        <v>70</v>
      </c>
      <c r="G78" s="36"/>
      <c r="H78" s="32">
        <f>H51</f>
        <v>97082.4</v>
      </c>
    </row>
    <row r="79" spans="2:8" x14ac:dyDescent="0.1">
      <c r="B79" s="146"/>
      <c r="D79" s="26">
        <v>46</v>
      </c>
      <c r="E79" s="30" t="s">
        <v>11</v>
      </c>
      <c r="F79" s="37" t="s">
        <v>81</v>
      </c>
      <c r="G79" s="36"/>
      <c r="H79" s="42">
        <f>IF((H78-H77)&lt;0,0,(H78-H77))</f>
        <v>12697.399999999994</v>
      </c>
    </row>
    <row r="80" spans="2:8" x14ac:dyDescent="0.1">
      <c r="B80" s="147"/>
      <c r="D80" s="26">
        <v>47</v>
      </c>
      <c r="E80" s="30" t="s">
        <v>11</v>
      </c>
      <c r="F80" s="37" t="s">
        <v>72</v>
      </c>
      <c r="G80" s="36"/>
      <c r="H80" s="42">
        <f>IF((H78-H77)&lt;0,((H78-H77)*(-1)),0)</f>
        <v>0</v>
      </c>
    </row>
    <row r="81" spans="2:8" x14ac:dyDescent="0.1">
      <c r="B81" s="46"/>
      <c r="C81" s="1"/>
      <c r="D81" s="17"/>
      <c r="E81" s="43"/>
      <c r="F81" s="44"/>
      <c r="G81" s="16"/>
      <c r="H81" s="45"/>
    </row>
    <row r="82" spans="2:8" ht="9.9499999999999993" customHeight="1" x14ac:dyDescent="0.1">
      <c r="B82" s="134" t="s">
        <v>19</v>
      </c>
      <c r="C82" s="134"/>
      <c r="D82" s="134"/>
      <c r="E82" s="134"/>
      <c r="F82" s="134"/>
      <c r="G82" s="134"/>
      <c r="H82" s="134"/>
    </row>
    <row r="83" spans="2:8" ht="9" customHeight="1" x14ac:dyDescent="0.1">
      <c r="B83" s="135" t="s">
        <v>20</v>
      </c>
      <c r="C83" s="135"/>
      <c r="D83" s="135"/>
      <c r="E83" s="135"/>
      <c r="F83" s="135"/>
      <c r="G83" s="135"/>
      <c r="H83" s="135"/>
    </row>
    <row r="84" spans="2:8" ht="9" customHeight="1" x14ac:dyDescent="0.1">
      <c r="B84" s="135" t="s">
        <v>21</v>
      </c>
      <c r="C84" s="135"/>
      <c r="D84" s="135"/>
      <c r="E84" s="135"/>
      <c r="F84" s="135"/>
      <c r="G84" s="135"/>
      <c r="H84" s="135"/>
    </row>
    <row r="85" spans="2:8" s="3" customFormat="1" x14ac:dyDescent="0.1">
      <c r="B85" s="18"/>
      <c r="D85" s="19"/>
      <c r="E85" s="18"/>
    </row>
    <row r="86" spans="2:8" s="3" customFormat="1" x14ac:dyDescent="0.1">
      <c r="B86" s="18"/>
      <c r="D86" s="19"/>
      <c r="E86" s="18"/>
    </row>
    <row r="87" spans="2:8" s="3" customFormat="1" x14ac:dyDescent="0.1">
      <c r="B87" s="18"/>
      <c r="D87" s="19"/>
      <c r="E87" s="18"/>
    </row>
    <row r="88" spans="2:8" s="3" customFormat="1" x14ac:dyDescent="0.1">
      <c r="B88" s="18"/>
      <c r="D88" s="19"/>
      <c r="E88" s="18"/>
    </row>
    <row r="89" spans="2:8" s="3" customFormat="1" x14ac:dyDescent="0.1">
      <c r="B89" s="18"/>
      <c r="D89" s="19"/>
      <c r="E89" s="18"/>
    </row>
    <row r="90" spans="2:8" s="3" customFormat="1" x14ac:dyDescent="0.1">
      <c r="B90" s="18"/>
      <c r="D90" s="19"/>
      <c r="E90" s="18"/>
    </row>
    <row r="91" spans="2:8" s="3" customFormat="1" x14ac:dyDescent="0.1">
      <c r="B91" s="18"/>
      <c r="D91" s="19"/>
      <c r="E91" s="18"/>
    </row>
    <row r="92" spans="2:8" s="3" customFormat="1" x14ac:dyDescent="0.1">
      <c r="B92" s="18"/>
      <c r="D92" s="19"/>
      <c r="E92" s="18"/>
    </row>
    <row r="93" spans="2:8" s="3" customFormat="1" x14ac:dyDescent="0.1">
      <c r="B93" s="18"/>
      <c r="D93" s="19"/>
      <c r="E93" s="18"/>
    </row>
    <row r="94" spans="2:8" s="3" customFormat="1" x14ac:dyDescent="0.1">
      <c r="B94" s="18"/>
      <c r="D94" s="19"/>
      <c r="E94" s="18"/>
    </row>
    <row r="95" spans="2:8" s="3" customFormat="1" x14ac:dyDescent="0.1">
      <c r="B95" s="18"/>
      <c r="D95" s="19"/>
      <c r="E95" s="18"/>
    </row>
    <row r="96" spans="2:8" s="3" customFormat="1" x14ac:dyDescent="0.1">
      <c r="B96" s="18"/>
      <c r="D96" s="19"/>
      <c r="E96" s="18"/>
    </row>
    <row r="97" spans="2:5" s="3" customFormat="1" x14ac:dyDescent="0.1">
      <c r="B97" s="18"/>
      <c r="D97" s="19"/>
      <c r="E97" s="18"/>
    </row>
    <row r="98" spans="2:5" s="3" customFormat="1" x14ac:dyDescent="0.1">
      <c r="B98" s="18"/>
      <c r="D98" s="19"/>
      <c r="E98" s="18"/>
    </row>
    <row r="99" spans="2:5" s="3" customFormat="1" x14ac:dyDescent="0.1">
      <c r="B99" s="18"/>
      <c r="D99" s="19"/>
      <c r="E99" s="18"/>
    </row>
    <row r="100" spans="2:5" s="3" customFormat="1" x14ac:dyDescent="0.1">
      <c r="B100" s="18"/>
      <c r="D100" s="19"/>
      <c r="E100" s="18"/>
    </row>
    <row r="101" spans="2:5" s="3" customFormat="1" x14ac:dyDescent="0.1">
      <c r="B101" s="18"/>
      <c r="D101" s="19"/>
      <c r="E101" s="18"/>
    </row>
    <row r="102" spans="2:5" s="3" customFormat="1" x14ac:dyDescent="0.1">
      <c r="B102" s="18"/>
      <c r="D102" s="19"/>
      <c r="E102" s="18"/>
    </row>
    <row r="103" spans="2:5" s="3" customFormat="1" x14ac:dyDescent="0.1">
      <c r="B103" s="18"/>
      <c r="D103" s="19"/>
      <c r="E103" s="18"/>
    </row>
    <row r="104" spans="2:5" s="3" customFormat="1" x14ac:dyDescent="0.1">
      <c r="B104" s="18"/>
      <c r="D104" s="19"/>
      <c r="E104" s="18"/>
    </row>
    <row r="105" spans="2:5" s="3" customFormat="1" x14ac:dyDescent="0.1">
      <c r="B105" s="18"/>
      <c r="D105" s="19"/>
      <c r="E105" s="18"/>
    </row>
    <row r="106" spans="2:5" s="3" customFormat="1" x14ac:dyDescent="0.1">
      <c r="B106" s="18"/>
      <c r="D106" s="19"/>
      <c r="E106" s="18"/>
    </row>
    <row r="107" spans="2:5" s="3" customFormat="1" x14ac:dyDescent="0.1">
      <c r="B107" s="18"/>
      <c r="D107" s="19"/>
      <c r="E107" s="18"/>
    </row>
    <row r="108" spans="2:5" s="3" customFormat="1" x14ac:dyDescent="0.1">
      <c r="B108" s="18"/>
      <c r="D108" s="19"/>
      <c r="E108" s="18"/>
    </row>
    <row r="109" spans="2:5" s="3" customFormat="1" x14ac:dyDescent="0.1">
      <c r="B109" s="18"/>
      <c r="D109" s="19"/>
      <c r="E109" s="18"/>
    </row>
    <row r="110" spans="2:5" s="3" customFormat="1" x14ac:dyDescent="0.1">
      <c r="B110" s="18"/>
      <c r="D110" s="19"/>
      <c r="E110" s="18"/>
    </row>
    <row r="111" spans="2:5" s="3" customFormat="1" x14ac:dyDescent="0.1">
      <c r="B111" s="18"/>
      <c r="D111" s="19"/>
      <c r="E111" s="18"/>
    </row>
    <row r="112" spans="2:5" s="3" customFormat="1" x14ac:dyDescent="0.1">
      <c r="B112" s="18"/>
      <c r="D112" s="19"/>
      <c r="E112" s="18"/>
    </row>
    <row r="113" spans="2:5" s="3" customFormat="1" x14ac:dyDescent="0.1">
      <c r="B113" s="18"/>
      <c r="D113" s="19"/>
      <c r="E113" s="18"/>
    </row>
    <row r="114" spans="2:5" s="3" customFormat="1" x14ac:dyDescent="0.1">
      <c r="B114" s="18"/>
      <c r="D114" s="19"/>
      <c r="E114" s="18"/>
    </row>
    <row r="115" spans="2:5" s="3" customFormat="1" x14ac:dyDescent="0.1">
      <c r="B115" s="18"/>
      <c r="D115" s="19"/>
      <c r="E115" s="18"/>
    </row>
    <row r="116" spans="2:5" s="3" customFormat="1" x14ac:dyDescent="0.1">
      <c r="B116" s="18"/>
      <c r="D116" s="19"/>
      <c r="E116" s="18"/>
    </row>
    <row r="117" spans="2:5" s="3" customFormat="1" x14ac:dyDescent="0.1">
      <c r="B117" s="18"/>
      <c r="D117" s="19"/>
      <c r="E117" s="18"/>
    </row>
    <row r="118" spans="2:5" s="3" customFormat="1" x14ac:dyDescent="0.1">
      <c r="B118" s="18"/>
      <c r="D118" s="19"/>
      <c r="E118" s="18"/>
    </row>
    <row r="119" spans="2:5" s="3" customFormat="1" x14ac:dyDescent="0.1">
      <c r="B119" s="18"/>
      <c r="D119" s="19"/>
      <c r="E119" s="18"/>
    </row>
    <row r="120" spans="2:5" s="3" customFormat="1" x14ac:dyDescent="0.1">
      <c r="B120" s="18"/>
      <c r="D120" s="19"/>
      <c r="E120" s="18"/>
    </row>
    <row r="121" spans="2:5" s="3" customFormat="1" x14ac:dyDescent="0.1">
      <c r="B121" s="18"/>
      <c r="D121" s="19"/>
      <c r="E121" s="18"/>
    </row>
    <row r="122" spans="2:5" s="3" customFormat="1" x14ac:dyDescent="0.1">
      <c r="B122" s="18"/>
      <c r="D122" s="19"/>
      <c r="E122" s="18"/>
    </row>
    <row r="123" spans="2:5" s="3" customFormat="1" x14ac:dyDescent="0.1">
      <c r="B123" s="18"/>
      <c r="D123" s="19"/>
      <c r="E123" s="18"/>
    </row>
    <row r="124" spans="2:5" s="3" customFormat="1" x14ac:dyDescent="0.1">
      <c r="B124" s="18"/>
      <c r="D124" s="19"/>
      <c r="E124" s="18"/>
    </row>
    <row r="125" spans="2:5" s="3" customFormat="1" x14ac:dyDescent="0.1">
      <c r="B125" s="18"/>
      <c r="D125" s="19"/>
      <c r="E125" s="18"/>
    </row>
    <row r="126" spans="2:5" s="3" customFormat="1" x14ac:dyDescent="0.1">
      <c r="B126" s="18"/>
      <c r="D126" s="19"/>
      <c r="E126" s="18"/>
    </row>
    <row r="127" spans="2:5" s="3" customFormat="1" x14ac:dyDescent="0.1">
      <c r="B127" s="18"/>
      <c r="D127" s="19"/>
      <c r="E127" s="18"/>
    </row>
    <row r="128" spans="2:5" s="3" customFormat="1" x14ac:dyDescent="0.1">
      <c r="B128" s="18"/>
      <c r="D128" s="19"/>
      <c r="E128" s="18"/>
    </row>
    <row r="129" spans="2:5" s="3" customFormat="1" x14ac:dyDescent="0.1">
      <c r="B129" s="18"/>
      <c r="D129" s="19"/>
      <c r="E129" s="18"/>
    </row>
    <row r="130" spans="2:5" s="3" customFormat="1" x14ac:dyDescent="0.1">
      <c r="B130" s="18"/>
      <c r="D130" s="19"/>
      <c r="E130" s="18"/>
    </row>
    <row r="131" spans="2:5" s="3" customFormat="1" x14ac:dyDescent="0.1">
      <c r="B131" s="18"/>
      <c r="D131" s="19"/>
      <c r="E131" s="18"/>
    </row>
    <row r="132" spans="2:5" s="3" customFormat="1" x14ac:dyDescent="0.1">
      <c r="B132" s="18"/>
      <c r="D132" s="19"/>
      <c r="E132" s="18"/>
    </row>
    <row r="133" spans="2:5" s="3" customFormat="1" x14ac:dyDescent="0.1">
      <c r="B133" s="18"/>
      <c r="D133" s="19"/>
      <c r="E133" s="18"/>
    </row>
    <row r="134" spans="2:5" s="3" customFormat="1" x14ac:dyDescent="0.1">
      <c r="B134" s="18"/>
      <c r="D134" s="19"/>
      <c r="E134" s="18"/>
    </row>
    <row r="135" spans="2:5" s="3" customFormat="1" x14ac:dyDescent="0.1">
      <c r="B135" s="18"/>
      <c r="D135" s="19"/>
      <c r="E135" s="18"/>
    </row>
    <row r="136" spans="2:5" s="3" customFormat="1" x14ac:dyDescent="0.1">
      <c r="B136" s="18"/>
      <c r="D136" s="19"/>
      <c r="E136" s="18"/>
    </row>
    <row r="137" spans="2:5" s="3" customFormat="1" x14ac:dyDescent="0.1">
      <c r="B137" s="18"/>
      <c r="D137" s="19"/>
      <c r="E137" s="18"/>
    </row>
    <row r="138" spans="2:5" s="3" customFormat="1" x14ac:dyDescent="0.1">
      <c r="B138" s="18"/>
      <c r="D138" s="19"/>
      <c r="E138" s="18"/>
    </row>
    <row r="139" spans="2:5" s="3" customFormat="1" x14ac:dyDescent="0.1">
      <c r="B139" s="18"/>
      <c r="D139" s="19"/>
      <c r="E139" s="18"/>
    </row>
    <row r="140" spans="2:5" s="3" customFormat="1" x14ac:dyDescent="0.1">
      <c r="B140" s="18"/>
      <c r="D140" s="19"/>
      <c r="E140" s="18"/>
    </row>
    <row r="141" spans="2:5" s="3" customFormat="1" x14ac:dyDescent="0.1">
      <c r="B141" s="18"/>
      <c r="D141" s="19"/>
      <c r="E141" s="18"/>
    </row>
    <row r="142" spans="2:5" s="3" customFormat="1" x14ac:dyDescent="0.1">
      <c r="B142" s="18"/>
      <c r="D142" s="19"/>
      <c r="E142" s="18"/>
    </row>
    <row r="143" spans="2:5" s="3" customFormat="1" x14ac:dyDescent="0.1">
      <c r="B143" s="18"/>
      <c r="D143" s="19"/>
      <c r="E143" s="18"/>
    </row>
    <row r="144" spans="2:5" s="3" customFormat="1" x14ac:dyDescent="0.1">
      <c r="B144" s="18"/>
      <c r="D144" s="19"/>
      <c r="E144" s="18"/>
    </row>
    <row r="145" spans="2:5" s="3" customFormat="1" x14ac:dyDescent="0.1">
      <c r="B145" s="18"/>
      <c r="D145" s="19"/>
      <c r="E145" s="18"/>
    </row>
    <row r="146" spans="2:5" s="3" customFormat="1" x14ac:dyDescent="0.1">
      <c r="B146" s="18"/>
      <c r="D146" s="19"/>
      <c r="E146" s="18"/>
    </row>
    <row r="147" spans="2:5" s="3" customFormat="1" x14ac:dyDescent="0.1">
      <c r="B147" s="18"/>
      <c r="D147" s="19"/>
      <c r="E147" s="18"/>
    </row>
    <row r="148" spans="2:5" s="3" customFormat="1" x14ac:dyDescent="0.1">
      <c r="B148" s="18"/>
      <c r="D148" s="19"/>
      <c r="E148" s="18"/>
    </row>
    <row r="149" spans="2:5" s="3" customFormat="1" x14ac:dyDescent="0.1">
      <c r="B149" s="18"/>
      <c r="D149" s="19"/>
      <c r="E149" s="18"/>
    </row>
    <row r="150" spans="2:5" s="3" customFormat="1" x14ac:dyDescent="0.1">
      <c r="B150" s="18"/>
      <c r="D150" s="19"/>
      <c r="E150" s="18"/>
    </row>
    <row r="151" spans="2:5" s="3" customFormat="1" x14ac:dyDescent="0.1">
      <c r="B151" s="18"/>
      <c r="D151" s="19"/>
      <c r="E151" s="18"/>
    </row>
    <row r="152" spans="2:5" s="3" customFormat="1" x14ac:dyDescent="0.1">
      <c r="B152" s="18"/>
      <c r="D152" s="19"/>
      <c r="E152" s="18"/>
    </row>
    <row r="153" spans="2:5" s="3" customFormat="1" x14ac:dyDescent="0.1">
      <c r="B153" s="18"/>
      <c r="D153" s="19"/>
      <c r="E153" s="18"/>
    </row>
    <row r="154" spans="2:5" s="3" customFormat="1" x14ac:dyDescent="0.1">
      <c r="B154" s="18"/>
      <c r="D154" s="19"/>
      <c r="E154" s="18"/>
    </row>
    <row r="155" spans="2:5" s="3" customFormat="1" x14ac:dyDescent="0.1">
      <c r="B155" s="18"/>
      <c r="D155" s="19"/>
      <c r="E155" s="18"/>
    </row>
    <row r="156" spans="2:5" s="3" customFormat="1" x14ac:dyDescent="0.1">
      <c r="B156" s="18"/>
      <c r="D156" s="19"/>
      <c r="E156" s="18"/>
    </row>
    <row r="157" spans="2:5" s="3" customFormat="1" x14ac:dyDescent="0.1">
      <c r="B157" s="18"/>
      <c r="D157" s="19"/>
      <c r="E157" s="18"/>
    </row>
    <row r="158" spans="2:5" s="3" customFormat="1" x14ac:dyDescent="0.1">
      <c r="B158" s="18"/>
      <c r="D158" s="19"/>
      <c r="E158" s="18"/>
    </row>
    <row r="159" spans="2:5" s="3" customFormat="1" x14ac:dyDescent="0.1">
      <c r="B159" s="18"/>
      <c r="D159" s="19"/>
      <c r="E159" s="18"/>
    </row>
    <row r="160" spans="2:5" s="3" customFormat="1" x14ac:dyDescent="0.1">
      <c r="B160" s="18"/>
      <c r="D160" s="19"/>
      <c r="E160" s="18"/>
    </row>
    <row r="161" spans="2:5" s="3" customFormat="1" x14ac:dyDescent="0.1">
      <c r="B161" s="18"/>
      <c r="D161" s="19"/>
      <c r="E161" s="18"/>
    </row>
    <row r="162" spans="2:5" s="3" customFormat="1" x14ac:dyDescent="0.1">
      <c r="B162" s="18"/>
      <c r="D162" s="19"/>
      <c r="E162" s="18"/>
    </row>
    <row r="163" spans="2:5" s="3" customFormat="1" x14ac:dyDescent="0.1">
      <c r="B163" s="18"/>
      <c r="D163" s="19"/>
      <c r="E163" s="18"/>
    </row>
    <row r="164" spans="2:5" s="3" customFormat="1" x14ac:dyDescent="0.1">
      <c r="B164" s="18"/>
      <c r="D164" s="19"/>
      <c r="E164" s="18"/>
    </row>
    <row r="165" spans="2:5" s="3" customFormat="1" x14ac:dyDescent="0.1">
      <c r="B165" s="18"/>
      <c r="D165" s="19"/>
      <c r="E165" s="18"/>
    </row>
    <row r="166" spans="2:5" s="3" customFormat="1" x14ac:dyDescent="0.1">
      <c r="B166" s="18"/>
      <c r="D166" s="19"/>
      <c r="E166" s="18"/>
    </row>
    <row r="167" spans="2:5" s="3" customFormat="1" x14ac:dyDescent="0.1">
      <c r="B167" s="18"/>
      <c r="D167" s="19"/>
      <c r="E167" s="18"/>
    </row>
    <row r="168" spans="2:5" s="3" customFormat="1" x14ac:dyDescent="0.1">
      <c r="B168" s="18"/>
      <c r="D168" s="19"/>
      <c r="E168" s="18"/>
    </row>
    <row r="169" spans="2:5" s="3" customFormat="1" x14ac:dyDescent="0.1">
      <c r="B169" s="18"/>
      <c r="D169" s="19"/>
      <c r="E169" s="18"/>
    </row>
    <row r="170" spans="2:5" s="3" customFormat="1" x14ac:dyDescent="0.1">
      <c r="B170" s="18"/>
      <c r="D170" s="19"/>
      <c r="E170" s="18"/>
    </row>
    <row r="171" spans="2:5" s="3" customFormat="1" x14ac:dyDescent="0.1">
      <c r="B171" s="18"/>
      <c r="D171" s="19"/>
      <c r="E171" s="18"/>
    </row>
    <row r="172" spans="2:5" s="3" customFormat="1" x14ac:dyDescent="0.1">
      <c r="B172" s="18"/>
      <c r="D172" s="19"/>
      <c r="E172" s="18"/>
    </row>
    <row r="173" spans="2:5" s="3" customFormat="1" x14ac:dyDescent="0.1">
      <c r="B173" s="18"/>
      <c r="D173" s="19"/>
      <c r="E173" s="18"/>
    </row>
    <row r="174" spans="2:5" s="3" customFormat="1" x14ac:dyDescent="0.1">
      <c r="B174" s="18"/>
      <c r="D174" s="19"/>
      <c r="E174" s="18"/>
    </row>
    <row r="175" spans="2:5" s="3" customFormat="1" x14ac:dyDescent="0.1">
      <c r="B175" s="18"/>
      <c r="D175" s="19"/>
      <c r="E175" s="18"/>
    </row>
    <row r="176" spans="2:5" s="3" customFormat="1" x14ac:dyDescent="0.1">
      <c r="B176" s="18"/>
      <c r="D176" s="19"/>
      <c r="E176" s="18"/>
    </row>
    <row r="177" spans="2:5" s="3" customFormat="1" x14ac:dyDescent="0.1">
      <c r="B177" s="18"/>
      <c r="D177" s="19"/>
      <c r="E177" s="18"/>
    </row>
    <row r="178" spans="2:5" s="3" customFormat="1" x14ac:dyDescent="0.1">
      <c r="B178" s="18"/>
      <c r="D178" s="19"/>
      <c r="E178" s="18"/>
    </row>
    <row r="179" spans="2:5" s="3" customFormat="1" x14ac:dyDescent="0.1">
      <c r="B179" s="18"/>
      <c r="D179" s="19"/>
      <c r="E179" s="18"/>
    </row>
    <row r="180" spans="2:5" s="3" customFormat="1" x14ac:dyDescent="0.1">
      <c r="B180" s="18"/>
      <c r="D180" s="19"/>
      <c r="E180" s="18"/>
    </row>
    <row r="181" spans="2:5" s="3" customFormat="1" x14ac:dyDescent="0.1">
      <c r="B181" s="18"/>
      <c r="D181" s="19"/>
      <c r="E181" s="18"/>
    </row>
    <row r="182" spans="2:5" s="3" customFormat="1" x14ac:dyDescent="0.1">
      <c r="B182" s="18"/>
      <c r="D182" s="19"/>
      <c r="E182" s="18"/>
    </row>
    <row r="183" spans="2:5" s="3" customFormat="1" x14ac:dyDescent="0.1">
      <c r="B183" s="18"/>
      <c r="D183" s="19"/>
      <c r="E183" s="18"/>
    </row>
    <row r="184" spans="2:5" s="3" customFormat="1" x14ac:dyDescent="0.1">
      <c r="B184" s="18"/>
      <c r="D184" s="19"/>
      <c r="E184" s="18"/>
    </row>
    <row r="185" spans="2:5" s="3" customFormat="1" x14ac:dyDescent="0.1">
      <c r="B185" s="18"/>
      <c r="D185" s="19"/>
      <c r="E185" s="18"/>
    </row>
    <row r="186" spans="2:5" s="3" customFormat="1" x14ac:dyDescent="0.1">
      <c r="B186" s="18"/>
      <c r="D186" s="19"/>
      <c r="E186" s="18"/>
    </row>
    <row r="187" spans="2:5" s="3" customFormat="1" x14ac:dyDescent="0.1">
      <c r="B187" s="18"/>
      <c r="D187" s="19"/>
      <c r="E187" s="18"/>
    </row>
    <row r="188" spans="2:5" s="3" customFormat="1" x14ac:dyDescent="0.1">
      <c r="B188" s="18"/>
      <c r="D188" s="19"/>
      <c r="E188" s="18"/>
    </row>
    <row r="189" spans="2:5" s="3" customFormat="1" x14ac:dyDescent="0.1">
      <c r="B189" s="18"/>
      <c r="D189" s="19"/>
      <c r="E189" s="18"/>
    </row>
    <row r="190" spans="2:5" s="3" customFormat="1" x14ac:dyDescent="0.1">
      <c r="B190" s="18"/>
      <c r="D190" s="19"/>
      <c r="E190" s="18"/>
    </row>
    <row r="191" spans="2:5" s="3" customFormat="1" x14ac:dyDescent="0.1">
      <c r="B191" s="18"/>
      <c r="D191" s="19"/>
      <c r="E191" s="18"/>
    </row>
    <row r="192" spans="2:5" s="3" customFormat="1" x14ac:dyDescent="0.1">
      <c r="B192" s="18"/>
      <c r="D192" s="19"/>
      <c r="E192" s="18"/>
    </row>
    <row r="193" spans="2:5" s="3" customFormat="1" x14ac:dyDescent="0.1">
      <c r="B193" s="18"/>
      <c r="D193" s="19"/>
      <c r="E193" s="18"/>
    </row>
    <row r="194" spans="2:5" s="3" customFormat="1" x14ac:dyDescent="0.1">
      <c r="B194" s="18"/>
      <c r="D194" s="19"/>
      <c r="E194" s="18"/>
    </row>
    <row r="195" spans="2:5" s="3" customFormat="1" x14ac:dyDescent="0.1">
      <c r="B195" s="18"/>
      <c r="D195" s="19"/>
      <c r="E195" s="18"/>
    </row>
    <row r="196" spans="2:5" s="3" customFormat="1" x14ac:dyDescent="0.1">
      <c r="B196" s="18"/>
      <c r="D196" s="19"/>
      <c r="E196" s="18"/>
    </row>
    <row r="197" spans="2:5" s="3" customFormat="1" x14ac:dyDescent="0.1">
      <c r="B197" s="18"/>
      <c r="D197" s="19"/>
      <c r="E197" s="18"/>
    </row>
    <row r="198" spans="2:5" s="3" customFormat="1" x14ac:dyDescent="0.1">
      <c r="B198" s="18"/>
      <c r="D198" s="19"/>
      <c r="E198" s="18"/>
    </row>
    <row r="199" spans="2:5" s="3" customFormat="1" x14ac:dyDescent="0.1">
      <c r="B199" s="18"/>
      <c r="D199" s="19"/>
      <c r="E199" s="18"/>
    </row>
    <row r="200" spans="2:5" s="3" customFormat="1" x14ac:dyDescent="0.1">
      <c r="B200" s="18"/>
      <c r="D200" s="19"/>
      <c r="E200" s="18"/>
    </row>
    <row r="201" spans="2:5" s="3" customFormat="1" x14ac:dyDescent="0.1">
      <c r="B201" s="18"/>
      <c r="D201" s="19"/>
      <c r="E201" s="18"/>
    </row>
    <row r="202" spans="2:5" s="3" customFormat="1" x14ac:dyDescent="0.1">
      <c r="B202" s="18"/>
      <c r="D202" s="19"/>
      <c r="E202" s="18"/>
    </row>
    <row r="203" spans="2:5" s="3" customFormat="1" x14ac:dyDescent="0.1">
      <c r="B203" s="18"/>
      <c r="D203" s="19"/>
      <c r="E203" s="18"/>
    </row>
    <row r="204" spans="2:5" s="3" customFormat="1" x14ac:dyDescent="0.1">
      <c r="B204" s="18"/>
      <c r="D204" s="19"/>
      <c r="E204" s="18"/>
    </row>
    <row r="205" spans="2:5" s="3" customFormat="1" x14ac:dyDescent="0.1">
      <c r="B205" s="18"/>
      <c r="D205" s="19"/>
      <c r="E205" s="18"/>
    </row>
    <row r="206" spans="2:5" s="3" customFormat="1" x14ac:dyDescent="0.1">
      <c r="B206" s="18"/>
      <c r="D206" s="19"/>
      <c r="E206" s="18"/>
    </row>
    <row r="207" spans="2:5" s="3" customFormat="1" x14ac:dyDescent="0.1">
      <c r="B207" s="18"/>
      <c r="D207" s="19"/>
      <c r="E207" s="18"/>
    </row>
    <row r="208" spans="2:5" s="3" customFormat="1" x14ac:dyDescent="0.1">
      <c r="B208" s="18"/>
      <c r="D208" s="19"/>
      <c r="E208" s="18"/>
    </row>
    <row r="209" spans="2:5" s="3" customFormat="1" x14ac:dyDescent="0.1">
      <c r="B209" s="18"/>
      <c r="D209" s="19"/>
      <c r="E209" s="18"/>
    </row>
    <row r="210" spans="2:5" s="3" customFormat="1" x14ac:dyDescent="0.1">
      <c r="B210" s="18"/>
      <c r="D210" s="19"/>
      <c r="E210" s="18"/>
    </row>
    <row r="211" spans="2:5" s="3" customFormat="1" x14ac:dyDescent="0.1">
      <c r="B211" s="18"/>
      <c r="D211" s="19"/>
      <c r="E211" s="18"/>
    </row>
    <row r="212" spans="2:5" s="3" customFormat="1" x14ac:dyDescent="0.1">
      <c r="B212" s="18"/>
      <c r="D212" s="19"/>
      <c r="E212" s="18"/>
    </row>
    <row r="213" spans="2:5" s="3" customFormat="1" x14ac:dyDescent="0.1">
      <c r="B213" s="18"/>
      <c r="D213" s="19"/>
      <c r="E213" s="18"/>
    </row>
    <row r="214" spans="2:5" s="3" customFormat="1" x14ac:dyDescent="0.1">
      <c r="B214" s="18"/>
      <c r="D214" s="19"/>
      <c r="E214" s="18"/>
    </row>
    <row r="215" spans="2:5" s="3" customFormat="1" x14ac:dyDescent="0.1">
      <c r="B215" s="18"/>
      <c r="D215" s="19"/>
      <c r="E215" s="18"/>
    </row>
    <row r="216" spans="2:5" s="3" customFormat="1" x14ac:dyDescent="0.1">
      <c r="B216" s="18"/>
      <c r="D216" s="19"/>
      <c r="E216" s="18"/>
    </row>
    <row r="217" spans="2:5" s="3" customFormat="1" x14ac:dyDescent="0.1">
      <c r="B217" s="18"/>
      <c r="D217" s="19"/>
      <c r="E217" s="18"/>
    </row>
    <row r="218" spans="2:5" s="3" customFormat="1" x14ac:dyDescent="0.1">
      <c r="B218" s="18"/>
      <c r="D218" s="19"/>
      <c r="E218" s="18"/>
    </row>
    <row r="219" spans="2:5" s="3" customFormat="1" x14ac:dyDescent="0.1">
      <c r="B219" s="18"/>
      <c r="D219" s="19"/>
      <c r="E219" s="18"/>
    </row>
    <row r="220" spans="2:5" s="3" customFormat="1" x14ac:dyDescent="0.1">
      <c r="B220" s="18"/>
      <c r="D220" s="19"/>
      <c r="E220" s="18"/>
    </row>
    <row r="221" spans="2:5" s="3" customFormat="1" x14ac:dyDescent="0.1">
      <c r="B221" s="18"/>
      <c r="D221" s="19"/>
      <c r="E221" s="18"/>
    </row>
    <row r="222" spans="2:5" s="3" customFormat="1" x14ac:dyDescent="0.1">
      <c r="B222" s="18"/>
      <c r="D222" s="19"/>
      <c r="E222" s="18"/>
    </row>
    <row r="223" spans="2:5" s="3" customFormat="1" x14ac:dyDescent="0.1">
      <c r="B223" s="18"/>
      <c r="D223" s="19"/>
      <c r="E223" s="18"/>
    </row>
    <row r="224" spans="2:5" s="3" customFormat="1" x14ac:dyDescent="0.1">
      <c r="B224" s="18"/>
      <c r="D224" s="19"/>
      <c r="E224" s="18"/>
    </row>
    <row r="225" spans="2:5" s="3" customFormat="1" x14ac:dyDescent="0.1">
      <c r="B225" s="18"/>
      <c r="D225" s="19"/>
      <c r="E225" s="18"/>
    </row>
    <row r="226" spans="2:5" s="3" customFormat="1" x14ac:dyDescent="0.1">
      <c r="B226" s="18"/>
      <c r="D226" s="19"/>
      <c r="E226" s="18"/>
    </row>
    <row r="227" spans="2:5" s="3" customFormat="1" x14ac:dyDescent="0.1">
      <c r="B227" s="18"/>
      <c r="D227" s="19"/>
      <c r="E227" s="18"/>
    </row>
    <row r="228" spans="2:5" s="3" customFormat="1" x14ac:dyDescent="0.1">
      <c r="B228" s="18"/>
      <c r="D228" s="19"/>
      <c r="E228" s="18"/>
    </row>
    <row r="229" spans="2:5" s="3" customFormat="1" x14ac:dyDescent="0.1">
      <c r="B229" s="18"/>
      <c r="D229" s="19"/>
      <c r="E229" s="18"/>
    </row>
    <row r="230" spans="2:5" s="3" customFormat="1" x14ac:dyDescent="0.1">
      <c r="B230" s="18"/>
      <c r="D230" s="19"/>
      <c r="E230" s="18"/>
    </row>
    <row r="231" spans="2:5" s="3" customFormat="1" x14ac:dyDescent="0.1">
      <c r="B231" s="18"/>
      <c r="D231" s="19"/>
      <c r="E231" s="18"/>
    </row>
    <row r="232" spans="2:5" s="3" customFormat="1" x14ac:dyDescent="0.1">
      <c r="B232" s="18"/>
      <c r="D232" s="19"/>
      <c r="E232" s="18"/>
    </row>
    <row r="233" spans="2:5" s="3" customFormat="1" x14ac:dyDescent="0.1">
      <c r="B233" s="18"/>
      <c r="D233" s="19"/>
      <c r="E233" s="18"/>
    </row>
    <row r="234" spans="2:5" s="3" customFormat="1" x14ac:dyDescent="0.1">
      <c r="B234" s="18"/>
      <c r="D234" s="19"/>
      <c r="E234" s="18"/>
    </row>
    <row r="235" spans="2:5" s="3" customFormat="1" x14ac:dyDescent="0.1">
      <c r="B235" s="18"/>
      <c r="D235" s="19"/>
      <c r="E235" s="18"/>
    </row>
    <row r="236" spans="2:5" s="3" customFormat="1" x14ac:dyDescent="0.1">
      <c r="B236" s="18"/>
      <c r="D236" s="19"/>
      <c r="E236" s="18"/>
    </row>
    <row r="237" spans="2:5" s="3" customFormat="1" x14ac:dyDescent="0.1">
      <c r="B237" s="18"/>
      <c r="D237" s="19"/>
      <c r="E237" s="18"/>
    </row>
    <row r="238" spans="2:5" s="3" customFormat="1" x14ac:dyDescent="0.1">
      <c r="B238" s="18"/>
      <c r="D238" s="19"/>
      <c r="E238" s="18"/>
    </row>
    <row r="239" spans="2:5" s="3" customFormat="1" x14ac:dyDescent="0.1">
      <c r="B239" s="18"/>
      <c r="D239" s="19"/>
      <c r="E239" s="18"/>
    </row>
    <row r="240" spans="2:5" s="3" customFormat="1" x14ac:dyDescent="0.1">
      <c r="B240" s="18"/>
      <c r="D240" s="19"/>
      <c r="E240" s="18"/>
    </row>
    <row r="241" spans="2:5" s="3" customFormat="1" x14ac:dyDescent="0.1">
      <c r="B241" s="18"/>
      <c r="D241" s="19"/>
      <c r="E241" s="18"/>
    </row>
    <row r="242" spans="2:5" s="3" customFormat="1" x14ac:dyDescent="0.1">
      <c r="B242" s="18"/>
      <c r="D242" s="19"/>
      <c r="E242" s="18"/>
    </row>
    <row r="243" spans="2:5" s="3" customFormat="1" x14ac:dyDescent="0.1">
      <c r="B243" s="18"/>
      <c r="D243" s="19"/>
      <c r="E243" s="18"/>
    </row>
    <row r="244" spans="2:5" s="3" customFormat="1" x14ac:dyDescent="0.1">
      <c r="B244" s="18"/>
      <c r="D244" s="19"/>
      <c r="E244" s="18"/>
    </row>
    <row r="245" spans="2:5" s="3" customFormat="1" x14ac:dyDescent="0.1">
      <c r="B245" s="18"/>
      <c r="D245" s="19"/>
      <c r="E245" s="18"/>
    </row>
    <row r="246" spans="2:5" s="3" customFormat="1" x14ac:dyDescent="0.1">
      <c r="B246" s="18"/>
      <c r="D246" s="19"/>
      <c r="E246" s="18"/>
    </row>
    <row r="247" spans="2:5" s="3" customFormat="1" x14ac:dyDescent="0.1">
      <c r="B247" s="18"/>
      <c r="D247" s="19"/>
      <c r="E247" s="18"/>
    </row>
    <row r="248" spans="2:5" s="3" customFormat="1" x14ac:dyDescent="0.1">
      <c r="B248" s="18"/>
      <c r="D248" s="19"/>
      <c r="E248" s="18"/>
    </row>
    <row r="249" spans="2:5" s="3" customFormat="1" x14ac:dyDescent="0.1">
      <c r="B249" s="18"/>
      <c r="D249" s="19"/>
      <c r="E249" s="18"/>
    </row>
    <row r="250" spans="2:5" s="3" customFormat="1" x14ac:dyDescent="0.1">
      <c r="B250" s="18"/>
      <c r="D250" s="19"/>
      <c r="E250" s="18"/>
    </row>
    <row r="251" spans="2:5" s="3" customFormat="1" x14ac:dyDescent="0.1">
      <c r="B251" s="18"/>
      <c r="D251" s="19"/>
      <c r="E251" s="18"/>
    </row>
    <row r="252" spans="2:5" s="3" customFormat="1" x14ac:dyDescent="0.1">
      <c r="B252" s="18"/>
      <c r="D252" s="19"/>
      <c r="E252" s="18"/>
    </row>
    <row r="253" spans="2:5" s="3" customFormat="1" x14ac:dyDescent="0.1">
      <c r="B253" s="18"/>
      <c r="D253" s="19"/>
      <c r="E253" s="18"/>
    </row>
    <row r="254" spans="2:5" s="3" customFormat="1" x14ac:dyDescent="0.1">
      <c r="B254" s="18"/>
      <c r="D254" s="19"/>
      <c r="E254" s="18"/>
    </row>
    <row r="255" spans="2:5" s="3" customFormat="1" x14ac:dyDescent="0.1">
      <c r="B255" s="18"/>
      <c r="D255" s="19"/>
      <c r="E255" s="18"/>
    </row>
    <row r="256" spans="2:5" s="3" customFormat="1" x14ac:dyDescent="0.1">
      <c r="B256" s="18"/>
      <c r="D256" s="19"/>
      <c r="E256" s="18"/>
    </row>
    <row r="257" spans="2:5" s="3" customFormat="1" x14ac:dyDescent="0.1">
      <c r="B257" s="18"/>
      <c r="D257" s="19"/>
      <c r="E257" s="18"/>
    </row>
    <row r="258" spans="2:5" s="3" customFormat="1" x14ac:dyDescent="0.1">
      <c r="B258" s="18"/>
      <c r="D258" s="19"/>
      <c r="E258" s="18"/>
    </row>
    <row r="259" spans="2:5" s="3" customFormat="1" x14ac:dyDescent="0.1">
      <c r="B259" s="18"/>
      <c r="D259" s="19"/>
      <c r="E259" s="18"/>
    </row>
    <row r="260" spans="2:5" s="3" customFormat="1" x14ac:dyDescent="0.1">
      <c r="B260" s="18"/>
      <c r="D260" s="19"/>
      <c r="E260" s="18"/>
    </row>
    <row r="261" spans="2:5" s="3" customFormat="1" x14ac:dyDescent="0.1">
      <c r="B261" s="18"/>
      <c r="D261" s="19"/>
      <c r="E261" s="18"/>
    </row>
    <row r="262" spans="2:5" s="3" customFormat="1" x14ac:dyDescent="0.1">
      <c r="B262" s="18"/>
      <c r="D262" s="19"/>
      <c r="E262" s="18"/>
    </row>
    <row r="263" spans="2:5" s="3" customFormat="1" x14ac:dyDescent="0.1">
      <c r="B263" s="18"/>
      <c r="D263" s="19"/>
      <c r="E263" s="18"/>
    </row>
    <row r="264" spans="2:5" s="3" customFormat="1" x14ac:dyDescent="0.1">
      <c r="B264" s="18"/>
      <c r="D264" s="19"/>
      <c r="E264" s="18"/>
    </row>
    <row r="265" spans="2:5" s="3" customFormat="1" x14ac:dyDescent="0.1">
      <c r="B265" s="18"/>
      <c r="D265" s="19"/>
      <c r="E265" s="18"/>
    </row>
    <row r="266" spans="2:5" s="3" customFormat="1" x14ac:dyDescent="0.1">
      <c r="B266" s="18"/>
      <c r="D266" s="19"/>
      <c r="E266" s="18"/>
    </row>
    <row r="267" spans="2:5" s="3" customFormat="1" x14ac:dyDescent="0.1">
      <c r="B267" s="18"/>
      <c r="D267" s="19"/>
      <c r="E267" s="18"/>
    </row>
    <row r="268" spans="2:5" s="3" customFormat="1" x14ac:dyDescent="0.1">
      <c r="B268" s="18"/>
      <c r="D268" s="19"/>
      <c r="E268" s="18"/>
    </row>
    <row r="269" spans="2:5" s="3" customFormat="1" x14ac:dyDescent="0.1">
      <c r="B269" s="18"/>
      <c r="D269" s="19"/>
      <c r="E269" s="18"/>
    </row>
    <row r="270" spans="2:5" s="3" customFormat="1" x14ac:dyDescent="0.1">
      <c r="B270" s="18"/>
      <c r="D270" s="19"/>
      <c r="E270" s="18"/>
    </row>
    <row r="271" spans="2:5" s="3" customFormat="1" x14ac:dyDescent="0.1">
      <c r="B271" s="18"/>
      <c r="D271" s="19"/>
      <c r="E271" s="18"/>
    </row>
    <row r="272" spans="2:5" s="3" customFormat="1" x14ac:dyDescent="0.1">
      <c r="B272" s="18"/>
      <c r="D272" s="19"/>
      <c r="E272" s="18"/>
    </row>
    <row r="273" spans="2:5" s="3" customFormat="1" x14ac:dyDescent="0.1">
      <c r="B273" s="18"/>
      <c r="D273" s="19"/>
      <c r="E273" s="18"/>
    </row>
    <row r="274" spans="2:5" s="3" customFormat="1" x14ac:dyDescent="0.1">
      <c r="B274" s="18"/>
      <c r="D274" s="19"/>
      <c r="E274" s="18"/>
    </row>
    <row r="275" spans="2:5" s="3" customFormat="1" x14ac:dyDescent="0.1">
      <c r="B275" s="18"/>
      <c r="D275" s="19"/>
      <c r="E275" s="18"/>
    </row>
    <row r="276" spans="2:5" s="3" customFormat="1" x14ac:dyDescent="0.1">
      <c r="B276" s="18"/>
      <c r="D276" s="19"/>
      <c r="E276" s="18"/>
    </row>
    <row r="277" spans="2:5" s="3" customFormat="1" x14ac:dyDescent="0.1">
      <c r="B277" s="18"/>
      <c r="D277" s="19"/>
      <c r="E277" s="18"/>
    </row>
    <row r="278" spans="2:5" s="3" customFormat="1" x14ac:dyDescent="0.1">
      <c r="B278" s="18"/>
      <c r="D278" s="19"/>
      <c r="E278" s="18"/>
    </row>
    <row r="279" spans="2:5" s="3" customFormat="1" x14ac:dyDescent="0.1">
      <c r="B279" s="18"/>
      <c r="D279" s="19"/>
      <c r="E279" s="18"/>
    </row>
    <row r="280" spans="2:5" s="3" customFormat="1" x14ac:dyDescent="0.1">
      <c r="B280" s="18"/>
      <c r="D280" s="19"/>
      <c r="E280" s="18"/>
    </row>
    <row r="281" spans="2:5" s="3" customFormat="1" x14ac:dyDescent="0.1">
      <c r="B281" s="18"/>
      <c r="D281" s="19"/>
      <c r="E281" s="18"/>
    </row>
    <row r="282" spans="2:5" s="3" customFormat="1" x14ac:dyDescent="0.1">
      <c r="B282" s="18"/>
      <c r="D282" s="19"/>
      <c r="E282" s="18"/>
    </row>
    <row r="283" spans="2:5" s="3" customFormat="1" x14ac:dyDescent="0.1">
      <c r="B283" s="18"/>
      <c r="D283" s="19"/>
      <c r="E283" s="18"/>
    </row>
    <row r="284" spans="2:5" s="3" customFormat="1" x14ac:dyDescent="0.1">
      <c r="B284" s="18"/>
      <c r="D284" s="19"/>
      <c r="E284" s="18"/>
    </row>
    <row r="285" spans="2:5" s="3" customFormat="1" x14ac:dyDescent="0.1">
      <c r="B285" s="18"/>
      <c r="D285" s="19"/>
      <c r="E285" s="18"/>
    </row>
    <row r="286" spans="2:5" s="3" customFormat="1" x14ac:dyDescent="0.1">
      <c r="B286" s="18"/>
      <c r="D286" s="19"/>
      <c r="E286" s="18"/>
    </row>
    <row r="287" spans="2:5" s="3" customFormat="1" x14ac:dyDescent="0.1">
      <c r="B287" s="18"/>
      <c r="D287" s="19"/>
      <c r="E287" s="18"/>
    </row>
    <row r="288" spans="2:5" s="3" customFormat="1" x14ac:dyDescent="0.1">
      <c r="B288" s="18"/>
      <c r="D288" s="19"/>
      <c r="E288" s="18"/>
    </row>
    <row r="289" spans="2:5" s="3" customFormat="1" x14ac:dyDescent="0.1">
      <c r="B289" s="18"/>
      <c r="D289" s="19"/>
      <c r="E289" s="18"/>
    </row>
    <row r="290" spans="2:5" s="3" customFormat="1" x14ac:dyDescent="0.1">
      <c r="B290" s="18"/>
      <c r="D290" s="19"/>
      <c r="E290" s="18"/>
    </row>
    <row r="291" spans="2:5" s="3" customFormat="1" x14ac:dyDescent="0.1">
      <c r="B291" s="18"/>
      <c r="D291" s="19"/>
      <c r="E291" s="18"/>
    </row>
    <row r="292" spans="2:5" s="3" customFormat="1" x14ac:dyDescent="0.1">
      <c r="B292" s="18"/>
      <c r="D292" s="19"/>
      <c r="E292" s="18"/>
    </row>
    <row r="293" spans="2:5" s="3" customFormat="1" x14ac:dyDescent="0.1">
      <c r="B293" s="18"/>
      <c r="D293" s="19"/>
      <c r="E293" s="18"/>
    </row>
    <row r="294" spans="2:5" s="3" customFormat="1" x14ac:dyDescent="0.1">
      <c r="B294" s="18"/>
      <c r="D294" s="19"/>
      <c r="E294" s="18"/>
    </row>
    <row r="295" spans="2:5" s="3" customFormat="1" x14ac:dyDescent="0.1">
      <c r="B295" s="18"/>
      <c r="D295" s="19"/>
      <c r="E295" s="18"/>
    </row>
    <row r="296" spans="2:5" s="3" customFormat="1" x14ac:dyDescent="0.1">
      <c r="B296" s="18"/>
      <c r="D296" s="19"/>
      <c r="E296" s="18"/>
    </row>
    <row r="297" spans="2:5" s="3" customFormat="1" x14ac:dyDescent="0.1">
      <c r="B297" s="18"/>
      <c r="D297" s="19"/>
      <c r="E297" s="18"/>
    </row>
    <row r="298" spans="2:5" s="3" customFormat="1" x14ac:dyDescent="0.1">
      <c r="B298" s="18"/>
      <c r="D298" s="19"/>
      <c r="E298" s="18"/>
    </row>
    <row r="299" spans="2:5" s="3" customFormat="1" x14ac:dyDescent="0.1">
      <c r="B299" s="18"/>
      <c r="D299" s="19"/>
      <c r="E299" s="18"/>
    </row>
    <row r="300" spans="2:5" s="3" customFormat="1" x14ac:dyDescent="0.1">
      <c r="B300" s="18"/>
      <c r="D300" s="19"/>
      <c r="E300" s="18"/>
    </row>
    <row r="301" spans="2:5" s="3" customFormat="1" x14ac:dyDescent="0.1">
      <c r="B301" s="18"/>
      <c r="D301" s="19"/>
      <c r="E301" s="18"/>
    </row>
    <row r="302" spans="2:5" s="3" customFormat="1" x14ac:dyDescent="0.1">
      <c r="B302" s="18"/>
      <c r="D302" s="19"/>
      <c r="E302" s="18"/>
    </row>
    <row r="303" spans="2:5" s="3" customFormat="1" x14ac:dyDescent="0.1">
      <c r="B303" s="18"/>
      <c r="D303" s="19"/>
      <c r="E303" s="18"/>
    </row>
    <row r="304" spans="2:5" s="3" customFormat="1" x14ac:dyDescent="0.1">
      <c r="B304" s="18"/>
      <c r="D304" s="19"/>
      <c r="E304" s="18"/>
    </row>
    <row r="305" spans="2:5" s="3" customFormat="1" x14ac:dyDescent="0.1">
      <c r="B305" s="18"/>
      <c r="D305" s="19"/>
      <c r="E305" s="18"/>
    </row>
    <row r="306" spans="2:5" s="3" customFormat="1" x14ac:dyDescent="0.1">
      <c r="B306" s="18"/>
      <c r="D306" s="19"/>
      <c r="E306" s="18"/>
    </row>
    <row r="307" spans="2:5" s="3" customFormat="1" x14ac:dyDescent="0.1">
      <c r="B307" s="18"/>
      <c r="D307" s="19"/>
      <c r="E307" s="18"/>
    </row>
    <row r="308" spans="2:5" s="3" customFormat="1" x14ac:dyDescent="0.1">
      <c r="B308" s="18"/>
      <c r="D308" s="19"/>
      <c r="E308" s="18"/>
    </row>
    <row r="309" spans="2:5" s="3" customFormat="1" x14ac:dyDescent="0.1">
      <c r="B309" s="18"/>
      <c r="D309" s="19"/>
      <c r="E309" s="18"/>
    </row>
    <row r="310" spans="2:5" s="3" customFormat="1" x14ac:dyDescent="0.1">
      <c r="B310" s="18"/>
      <c r="D310" s="19"/>
      <c r="E310" s="18"/>
    </row>
    <row r="311" spans="2:5" s="3" customFormat="1" x14ac:dyDescent="0.1">
      <c r="B311" s="18"/>
      <c r="D311" s="19"/>
      <c r="E311" s="18"/>
    </row>
    <row r="312" spans="2:5" s="3" customFormat="1" x14ac:dyDescent="0.1">
      <c r="B312" s="18"/>
      <c r="D312" s="19"/>
      <c r="E312" s="18"/>
    </row>
    <row r="313" spans="2:5" s="3" customFormat="1" x14ac:dyDescent="0.1">
      <c r="B313" s="18"/>
      <c r="D313" s="19"/>
      <c r="E313" s="18"/>
    </row>
    <row r="314" spans="2:5" s="3" customFormat="1" x14ac:dyDescent="0.1">
      <c r="B314" s="18"/>
      <c r="D314" s="19"/>
      <c r="E314" s="18"/>
    </row>
    <row r="315" spans="2:5" s="3" customFormat="1" x14ac:dyDescent="0.1">
      <c r="B315" s="18"/>
      <c r="D315" s="19"/>
      <c r="E315" s="18"/>
    </row>
    <row r="316" spans="2:5" s="3" customFormat="1" x14ac:dyDescent="0.1">
      <c r="B316" s="18"/>
      <c r="D316" s="19"/>
      <c r="E316" s="18"/>
    </row>
    <row r="317" spans="2:5" s="3" customFormat="1" x14ac:dyDescent="0.1">
      <c r="B317" s="18"/>
      <c r="D317" s="19"/>
      <c r="E317" s="18"/>
    </row>
    <row r="318" spans="2:5" s="3" customFormat="1" x14ac:dyDescent="0.1">
      <c r="B318" s="18"/>
      <c r="D318" s="19"/>
      <c r="E318" s="18"/>
    </row>
    <row r="319" spans="2:5" s="3" customFormat="1" x14ac:dyDescent="0.1">
      <c r="B319" s="18"/>
      <c r="D319" s="19"/>
      <c r="E319" s="18"/>
    </row>
    <row r="320" spans="2:5" s="3" customFormat="1" x14ac:dyDescent="0.1">
      <c r="B320" s="18"/>
      <c r="D320" s="19"/>
      <c r="E320" s="18"/>
    </row>
    <row r="321" spans="2:5" s="3" customFormat="1" x14ac:dyDescent="0.1">
      <c r="B321" s="18"/>
      <c r="D321" s="19"/>
      <c r="E321" s="18"/>
    </row>
    <row r="322" spans="2:5" s="3" customFormat="1" x14ac:dyDescent="0.1">
      <c r="B322" s="18"/>
      <c r="D322" s="19"/>
      <c r="E322" s="18"/>
    </row>
    <row r="323" spans="2:5" s="3" customFormat="1" x14ac:dyDescent="0.1">
      <c r="B323" s="18"/>
      <c r="D323" s="19"/>
      <c r="E323" s="18"/>
    </row>
    <row r="324" spans="2:5" s="3" customFormat="1" x14ac:dyDescent="0.1">
      <c r="B324" s="18"/>
      <c r="D324" s="19"/>
      <c r="E324" s="18"/>
    </row>
    <row r="325" spans="2:5" s="3" customFormat="1" x14ac:dyDescent="0.1">
      <c r="B325" s="18"/>
      <c r="D325" s="19"/>
      <c r="E325" s="18"/>
    </row>
    <row r="326" spans="2:5" s="3" customFormat="1" x14ac:dyDescent="0.1">
      <c r="B326" s="18"/>
      <c r="D326" s="19"/>
      <c r="E326" s="18"/>
    </row>
    <row r="327" spans="2:5" s="3" customFormat="1" x14ac:dyDescent="0.1">
      <c r="B327" s="18"/>
      <c r="D327" s="19"/>
      <c r="E327" s="18"/>
    </row>
    <row r="328" spans="2:5" s="3" customFormat="1" x14ac:dyDescent="0.1">
      <c r="B328" s="18"/>
      <c r="D328" s="19"/>
      <c r="E328" s="18"/>
    </row>
    <row r="329" spans="2:5" s="3" customFormat="1" x14ac:dyDescent="0.1">
      <c r="B329" s="18"/>
      <c r="D329" s="19"/>
      <c r="E329" s="18"/>
    </row>
    <row r="330" spans="2:5" s="3" customFormat="1" x14ac:dyDescent="0.1">
      <c r="B330" s="18"/>
      <c r="D330" s="19"/>
      <c r="E330" s="18"/>
    </row>
    <row r="331" spans="2:5" s="3" customFormat="1" x14ac:dyDescent="0.1">
      <c r="B331" s="18"/>
      <c r="D331" s="19"/>
      <c r="E331" s="18"/>
    </row>
    <row r="332" spans="2:5" s="3" customFormat="1" x14ac:dyDescent="0.1">
      <c r="B332" s="18"/>
      <c r="D332" s="19"/>
      <c r="E332" s="18"/>
    </row>
    <row r="333" spans="2:5" s="3" customFormat="1" x14ac:dyDescent="0.1">
      <c r="B333" s="18"/>
      <c r="D333" s="19"/>
      <c r="E333" s="18"/>
    </row>
    <row r="334" spans="2:5" s="3" customFormat="1" x14ac:dyDescent="0.1">
      <c r="B334" s="18"/>
      <c r="D334" s="19"/>
      <c r="E334" s="18"/>
    </row>
    <row r="335" spans="2:5" s="3" customFormat="1" x14ac:dyDescent="0.1">
      <c r="B335" s="18"/>
      <c r="D335" s="19"/>
      <c r="E335" s="18"/>
    </row>
    <row r="336" spans="2:5" s="3" customFormat="1" x14ac:dyDescent="0.1">
      <c r="B336" s="18"/>
      <c r="D336" s="19"/>
      <c r="E336" s="18"/>
    </row>
    <row r="337" spans="2:5" s="3" customFormat="1" x14ac:dyDescent="0.1">
      <c r="B337" s="18"/>
      <c r="D337" s="19"/>
      <c r="E337" s="18"/>
    </row>
    <row r="338" spans="2:5" s="3" customFormat="1" x14ac:dyDescent="0.1">
      <c r="B338" s="18"/>
      <c r="D338" s="19"/>
      <c r="E338" s="18"/>
    </row>
    <row r="339" spans="2:5" s="3" customFormat="1" x14ac:dyDescent="0.1">
      <c r="B339" s="18"/>
      <c r="D339" s="19"/>
      <c r="E339" s="18"/>
    </row>
    <row r="340" spans="2:5" s="3" customFormat="1" x14ac:dyDescent="0.1">
      <c r="B340" s="18"/>
      <c r="D340" s="19"/>
      <c r="E340" s="18"/>
    </row>
    <row r="341" spans="2:5" s="3" customFormat="1" x14ac:dyDescent="0.1">
      <c r="B341" s="18"/>
      <c r="D341" s="19"/>
      <c r="E341" s="18"/>
    </row>
    <row r="342" spans="2:5" s="3" customFormat="1" x14ac:dyDescent="0.1">
      <c r="B342" s="18"/>
      <c r="D342" s="19"/>
      <c r="E342" s="18"/>
    </row>
    <row r="343" spans="2:5" s="3" customFormat="1" x14ac:dyDescent="0.1">
      <c r="B343" s="18"/>
      <c r="D343" s="19"/>
      <c r="E343" s="18"/>
    </row>
    <row r="344" spans="2:5" s="3" customFormat="1" x14ac:dyDescent="0.1">
      <c r="B344" s="18"/>
      <c r="D344" s="19"/>
      <c r="E344" s="18"/>
    </row>
    <row r="345" spans="2:5" s="3" customFormat="1" x14ac:dyDescent="0.1">
      <c r="B345" s="18"/>
      <c r="D345" s="19"/>
      <c r="E345" s="18"/>
    </row>
    <row r="346" spans="2:5" s="3" customFormat="1" x14ac:dyDescent="0.1">
      <c r="B346" s="18"/>
      <c r="D346" s="19"/>
      <c r="E346" s="18"/>
    </row>
    <row r="347" spans="2:5" s="3" customFormat="1" x14ac:dyDescent="0.1">
      <c r="B347" s="18"/>
      <c r="D347" s="19"/>
      <c r="E347" s="18"/>
    </row>
    <row r="348" spans="2:5" s="3" customFormat="1" x14ac:dyDescent="0.1">
      <c r="B348" s="18"/>
      <c r="D348" s="19"/>
      <c r="E348" s="18"/>
    </row>
    <row r="349" spans="2:5" s="3" customFormat="1" x14ac:dyDescent="0.1">
      <c r="B349" s="18"/>
      <c r="D349" s="19"/>
      <c r="E349" s="18"/>
    </row>
    <row r="350" spans="2:5" s="3" customFormat="1" x14ac:dyDescent="0.1">
      <c r="B350" s="18"/>
      <c r="D350" s="19"/>
      <c r="E350" s="18"/>
    </row>
    <row r="351" spans="2:5" s="3" customFormat="1" x14ac:dyDescent="0.1">
      <c r="B351" s="18"/>
      <c r="D351" s="19"/>
      <c r="E351" s="18"/>
    </row>
    <row r="352" spans="2:5" s="3" customFormat="1" x14ac:dyDescent="0.1">
      <c r="B352" s="18"/>
      <c r="D352" s="19"/>
      <c r="E352" s="18"/>
    </row>
    <row r="353" spans="2:5" s="3" customFormat="1" x14ac:dyDescent="0.1">
      <c r="B353" s="18"/>
      <c r="D353" s="19"/>
      <c r="E353" s="18"/>
    </row>
    <row r="354" spans="2:5" s="3" customFormat="1" x14ac:dyDescent="0.1">
      <c r="B354" s="18"/>
      <c r="D354" s="19"/>
      <c r="E354" s="18"/>
    </row>
    <row r="355" spans="2:5" s="3" customFormat="1" x14ac:dyDescent="0.1">
      <c r="B355" s="18"/>
      <c r="D355" s="19"/>
      <c r="E355" s="18"/>
    </row>
    <row r="356" spans="2:5" s="3" customFormat="1" x14ac:dyDescent="0.1">
      <c r="B356" s="18"/>
      <c r="D356" s="19"/>
      <c r="E356" s="18"/>
    </row>
    <row r="357" spans="2:5" s="3" customFormat="1" x14ac:dyDescent="0.1">
      <c r="B357" s="18"/>
      <c r="D357" s="19"/>
      <c r="E357" s="18"/>
    </row>
    <row r="358" spans="2:5" s="3" customFormat="1" x14ac:dyDescent="0.1">
      <c r="B358" s="18"/>
      <c r="D358" s="19"/>
      <c r="E358" s="18"/>
    </row>
    <row r="359" spans="2:5" s="3" customFormat="1" x14ac:dyDescent="0.1">
      <c r="B359" s="18"/>
      <c r="D359" s="19"/>
      <c r="E359" s="18"/>
    </row>
    <row r="360" spans="2:5" s="3" customFormat="1" x14ac:dyDescent="0.1">
      <c r="B360" s="18"/>
      <c r="D360" s="19"/>
      <c r="E360" s="18"/>
    </row>
    <row r="361" spans="2:5" s="3" customFormat="1" x14ac:dyDescent="0.1">
      <c r="B361" s="18"/>
      <c r="D361" s="19"/>
      <c r="E361" s="18"/>
    </row>
    <row r="362" spans="2:5" s="3" customFormat="1" x14ac:dyDescent="0.1">
      <c r="B362" s="18"/>
      <c r="D362" s="19"/>
      <c r="E362" s="18"/>
    </row>
    <row r="363" spans="2:5" s="3" customFormat="1" x14ac:dyDescent="0.1">
      <c r="B363" s="18"/>
      <c r="D363" s="19"/>
      <c r="E363" s="18"/>
    </row>
    <row r="364" spans="2:5" s="3" customFormat="1" x14ac:dyDescent="0.1">
      <c r="B364" s="18"/>
      <c r="D364" s="19"/>
      <c r="E364" s="18"/>
    </row>
    <row r="365" spans="2:5" s="3" customFormat="1" x14ac:dyDescent="0.1">
      <c r="B365" s="18"/>
      <c r="D365" s="19"/>
      <c r="E365" s="18"/>
    </row>
    <row r="366" spans="2:5" s="3" customFormat="1" x14ac:dyDescent="0.1">
      <c r="B366" s="18"/>
      <c r="D366" s="19"/>
      <c r="E366" s="18"/>
    </row>
    <row r="367" spans="2:5" s="3" customFormat="1" x14ac:dyDescent="0.1">
      <c r="B367" s="18"/>
      <c r="D367" s="19"/>
      <c r="E367" s="18"/>
    </row>
    <row r="368" spans="2:5" s="3" customFormat="1" x14ac:dyDescent="0.1">
      <c r="B368" s="18"/>
      <c r="D368" s="19"/>
      <c r="E368" s="18"/>
    </row>
    <row r="369" spans="2:5" s="3" customFormat="1" x14ac:dyDescent="0.1">
      <c r="B369" s="18"/>
      <c r="D369" s="19"/>
      <c r="E369" s="18"/>
    </row>
    <row r="370" spans="2:5" s="3" customFormat="1" x14ac:dyDescent="0.1">
      <c r="B370" s="18"/>
      <c r="D370" s="19"/>
      <c r="E370" s="18"/>
    </row>
    <row r="371" spans="2:5" s="3" customFormat="1" x14ac:dyDescent="0.1">
      <c r="B371" s="18"/>
      <c r="D371" s="19"/>
      <c r="E371" s="18"/>
    </row>
    <row r="372" spans="2:5" s="3" customFormat="1" x14ac:dyDescent="0.1">
      <c r="B372" s="18"/>
      <c r="D372" s="19"/>
      <c r="E372" s="18"/>
    </row>
    <row r="373" spans="2:5" s="3" customFormat="1" x14ac:dyDescent="0.1">
      <c r="B373" s="18"/>
      <c r="D373" s="19"/>
      <c r="E373" s="18"/>
    </row>
    <row r="374" spans="2:5" s="3" customFormat="1" x14ac:dyDescent="0.1">
      <c r="B374" s="18"/>
      <c r="D374" s="19"/>
      <c r="E374" s="18"/>
    </row>
    <row r="375" spans="2:5" s="3" customFormat="1" x14ac:dyDescent="0.1">
      <c r="B375" s="18"/>
      <c r="D375" s="19"/>
      <c r="E375" s="18"/>
    </row>
    <row r="376" spans="2:5" s="3" customFormat="1" x14ac:dyDescent="0.1">
      <c r="B376" s="18"/>
      <c r="D376" s="19"/>
      <c r="E376" s="18"/>
    </row>
    <row r="377" spans="2:5" s="3" customFormat="1" x14ac:dyDescent="0.1">
      <c r="B377" s="18"/>
      <c r="D377" s="19"/>
      <c r="E377" s="18"/>
    </row>
    <row r="378" spans="2:5" s="3" customFormat="1" x14ac:dyDescent="0.1">
      <c r="B378" s="18"/>
      <c r="D378" s="19"/>
      <c r="E378" s="18"/>
    </row>
    <row r="379" spans="2:5" s="3" customFormat="1" x14ac:dyDescent="0.1">
      <c r="B379" s="18"/>
      <c r="D379" s="19"/>
      <c r="E379" s="18"/>
    </row>
    <row r="380" spans="2:5" s="3" customFormat="1" x14ac:dyDescent="0.1">
      <c r="B380" s="18"/>
      <c r="D380" s="19"/>
      <c r="E380" s="18"/>
    </row>
    <row r="381" spans="2:5" s="3" customFormat="1" x14ac:dyDescent="0.1">
      <c r="B381" s="18"/>
      <c r="D381" s="19"/>
      <c r="E381" s="18"/>
    </row>
    <row r="382" spans="2:5" s="3" customFormat="1" x14ac:dyDescent="0.1">
      <c r="B382" s="18"/>
      <c r="D382" s="19"/>
      <c r="E382" s="18"/>
    </row>
    <row r="383" spans="2:5" s="3" customFormat="1" x14ac:dyDescent="0.1">
      <c r="B383" s="18"/>
      <c r="D383" s="19"/>
      <c r="E383" s="18"/>
    </row>
    <row r="384" spans="2:5" s="3" customFormat="1" x14ac:dyDescent="0.1">
      <c r="B384" s="18"/>
      <c r="D384" s="19"/>
      <c r="E384" s="18"/>
    </row>
    <row r="385" spans="2:5" s="3" customFormat="1" x14ac:dyDescent="0.1">
      <c r="B385" s="18"/>
      <c r="D385" s="19"/>
      <c r="E385" s="18"/>
    </row>
    <row r="386" spans="2:5" s="3" customFormat="1" x14ac:dyDescent="0.1">
      <c r="B386" s="18"/>
      <c r="D386" s="19"/>
      <c r="E386" s="18"/>
    </row>
    <row r="387" spans="2:5" s="3" customFormat="1" x14ac:dyDescent="0.1">
      <c r="B387" s="18"/>
      <c r="D387" s="19"/>
      <c r="E387" s="18"/>
    </row>
    <row r="388" spans="2:5" s="3" customFormat="1" x14ac:dyDescent="0.1">
      <c r="B388" s="18"/>
      <c r="D388" s="19"/>
      <c r="E388" s="18"/>
    </row>
    <row r="389" spans="2:5" s="3" customFormat="1" x14ac:dyDescent="0.1">
      <c r="B389" s="18"/>
      <c r="D389" s="19"/>
      <c r="E389" s="18"/>
    </row>
    <row r="390" spans="2:5" s="3" customFormat="1" x14ac:dyDescent="0.1">
      <c r="B390" s="18"/>
      <c r="D390" s="19"/>
      <c r="E390" s="18"/>
    </row>
    <row r="391" spans="2:5" s="3" customFormat="1" x14ac:dyDescent="0.1">
      <c r="B391" s="18"/>
      <c r="D391" s="19"/>
      <c r="E391" s="18"/>
    </row>
    <row r="392" spans="2:5" s="3" customFormat="1" x14ac:dyDescent="0.1">
      <c r="B392" s="18"/>
      <c r="D392" s="19"/>
      <c r="E392" s="18"/>
    </row>
    <row r="393" spans="2:5" s="3" customFormat="1" x14ac:dyDescent="0.1">
      <c r="B393" s="18"/>
      <c r="D393" s="19"/>
      <c r="E393" s="18"/>
    </row>
    <row r="394" spans="2:5" s="3" customFormat="1" x14ac:dyDescent="0.1">
      <c r="B394" s="18"/>
      <c r="D394" s="19"/>
      <c r="E394" s="18"/>
    </row>
    <row r="395" spans="2:5" s="3" customFormat="1" x14ac:dyDescent="0.1">
      <c r="B395" s="18"/>
      <c r="D395" s="19"/>
      <c r="E395" s="18"/>
    </row>
    <row r="396" spans="2:5" s="3" customFormat="1" x14ac:dyDescent="0.1">
      <c r="B396" s="18"/>
      <c r="D396" s="19"/>
      <c r="E396" s="18"/>
    </row>
    <row r="397" spans="2:5" s="3" customFormat="1" x14ac:dyDescent="0.1">
      <c r="B397" s="18"/>
      <c r="D397" s="19"/>
      <c r="E397" s="18"/>
    </row>
    <row r="398" spans="2:5" s="3" customFormat="1" x14ac:dyDescent="0.1">
      <c r="B398" s="18"/>
      <c r="D398" s="19"/>
      <c r="E398" s="18"/>
    </row>
    <row r="399" spans="2:5" s="3" customFormat="1" x14ac:dyDescent="0.1">
      <c r="B399" s="18"/>
      <c r="D399" s="19"/>
      <c r="E399" s="18"/>
    </row>
    <row r="400" spans="2:5" s="3" customFormat="1" x14ac:dyDescent="0.1">
      <c r="B400" s="18"/>
      <c r="D400" s="19"/>
      <c r="E400" s="18"/>
    </row>
    <row r="401" spans="2:5" s="3" customFormat="1" x14ac:dyDescent="0.1">
      <c r="B401" s="18"/>
      <c r="D401" s="19"/>
      <c r="E401" s="18"/>
    </row>
    <row r="402" spans="2:5" s="3" customFormat="1" x14ac:dyDescent="0.1">
      <c r="B402" s="18"/>
      <c r="D402" s="19"/>
      <c r="E402" s="18"/>
    </row>
    <row r="403" spans="2:5" s="3" customFormat="1" x14ac:dyDescent="0.1">
      <c r="B403" s="18"/>
      <c r="D403" s="19"/>
      <c r="E403" s="18"/>
    </row>
    <row r="404" spans="2:5" s="3" customFormat="1" x14ac:dyDescent="0.1">
      <c r="B404" s="18"/>
      <c r="D404" s="19"/>
      <c r="E404" s="18"/>
    </row>
    <row r="405" spans="2:5" s="3" customFormat="1" x14ac:dyDescent="0.1">
      <c r="B405" s="18"/>
      <c r="D405" s="19"/>
      <c r="E405" s="18"/>
    </row>
    <row r="406" spans="2:5" s="3" customFormat="1" x14ac:dyDescent="0.1">
      <c r="B406" s="18"/>
      <c r="D406" s="19"/>
      <c r="E406" s="18"/>
    </row>
    <row r="407" spans="2:5" s="3" customFormat="1" x14ac:dyDescent="0.1">
      <c r="B407" s="18"/>
      <c r="D407" s="19"/>
      <c r="E407" s="18"/>
    </row>
    <row r="408" spans="2:5" s="3" customFormat="1" x14ac:dyDescent="0.1">
      <c r="B408" s="18"/>
      <c r="D408" s="19"/>
      <c r="E408" s="18"/>
    </row>
    <row r="409" spans="2:5" s="3" customFormat="1" x14ac:dyDescent="0.1">
      <c r="B409" s="18"/>
      <c r="D409" s="19"/>
      <c r="E409" s="18"/>
    </row>
    <row r="410" spans="2:5" s="3" customFormat="1" x14ac:dyDescent="0.1">
      <c r="B410" s="18"/>
      <c r="D410" s="19"/>
      <c r="E410" s="18"/>
    </row>
    <row r="411" spans="2:5" s="3" customFormat="1" x14ac:dyDescent="0.1">
      <c r="B411" s="18"/>
      <c r="D411" s="19"/>
      <c r="E411" s="18"/>
    </row>
    <row r="412" spans="2:5" s="3" customFormat="1" x14ac:dyDescent="0.1">
      <c r="B412" s="18"/>
      <c r="D412" s="19"/>
      <c r="E412" s="18"/>
    </row>
    <row r="413" spans="2:5" s="3" customFormat="1" x14ac:dyDescent="0.1">
      <c r="B413" s="18"/>
      <c r="D413" s="19"/>
      <c r="E413" s="18"/>
    </row>
    <row r="414" spans="2:5" s="3" customFormat="1" x14ac:dyDescent="0.1">
      <c r="B414" s="18"/>
      <c r="D414" s="19"/>
      <c r="E414" s="18"/>
    </row>
    <row r="415" spans="2:5" s="3" customFormat="1" x14ac:dyDescent="0.1">
      <c r="B415" s="18"/>
      <c r="D415" s="19"/>
      <c r="E415" s="18"/>
    </row>
    <row r="416" spans="2:5" s="3" customFormat="1" x14ac:dyDescent="0.1">
      <c r="B416" s="18"/>
      <c r="D416" s="19"/>
      <c r="E416" s="18"/>
    </row>
    <row r="417" spans="2:5" s="3" customFormat="1" x14ac:dyDescent="0.1">
      <c r="B417" s="18"/>
      <c r="D417" s="19"/>
      <c r="E417" s="18"/>
    </row>
    <row r="418" spans="2:5" s="3" customFormat="1" x14ac:dyDescent="0.1">
      <c r="B418" s="18"/>
      <c r="D418" s="19"/>
      <c r="E418" s="18"/>
    </row>
    <row r="419" spans="2:5" s="3" customFormat="1" x14ac:dyDescent="0.1">
      <c r="B419" s="18"/>
      <c r="D419" s="19"/>
      <c r="E419" s="18"/>
    </row>
    <row r="420" spans="2:5" s="3" customFormat="1" x14ac:dyDescent="0.1">
      <c r="B420" s="18"/>
      <c r="D420" s="19"/>
      <c r="E420" s="18"/>
    </row>
    <row r="421" spans="2:5" s="3" customFormat="1" x14ac:dyDescent="0.1">
      <c r="B421" s="18"/>
      <c r="D421" s="19"/>
      <c r="E421" s="18"/>
    </row>
    <row r="422" spans="2:5" s="3" customFormat="1" x14ac:dyDescent="0.1">
      <c r="B422" s="18"/>
      <c r="D422" s="19"/>
      <c r="E422" s="18"/>
    </row>
    <row r="423" spans="2:5" s="3" customFormat="1" x14ac:dyDescent="0.1">
      <c r="B423" s="18"/>
      <c r="D423" s="19"/>
      <c r="E423" s="18"/>
    </row>
    <row r="424" spans="2:5" s="3" customFormat="1" x14ac:dyDescent="0.1">
      <c r="B424" s="18"/>
      <c r="D424" s="19"/>
      <c r="E424" s="18"/>
    </row>
    <row r="425" spans="2:5" s="3" customFormat="1" x14ac:dyDescent="0.1">
      <c r="B425" s="18"/>
      <c r="D425" s="19"/>
      <c r="E425" s="18"/>
    </row>
    <row r="426" spans="2:5" s="3" customFormat="1" x14ac:dyDescent="0.1">
      <c r="B426" s="18"/>
      <c r="D426" s="19"/>
      <c r="E426" s="18"/>
    </row>
    <row r="427" spans="2:5" s="3" customFormat="1" x14ac:dyDescent="0.1">
      <c r="B427" s="18"/>
      <c r="D427" s="19"/>
      <c r="E427" s="18"/>
    </row>
    <row r="428" spans="2:5" s="3" customFormat="1" x14ac:dyDescent="0.1">
      <c r="B428" s="18"/>
      <c r="D428" s="19"/>
      <c r="E428" s="18"/>
    </row>
    <row r="429" spans="2:5" s="3" customFormat="1" x14ac:dyDescent="0.1">
      <c r="B429" s="18"/>
      <c r="D429" s="19"/>
      <c r="E429" s="18"/>
    </row>
    <row r="430" spans="2:5" s="3" customFormat="1" x14ac:dyDescent="0.1">
      <c r="B430" s="18"/>
      <c r="D430" s="19"/>
      <c r="E430" s="18"/>
    </row>
    <row r="431" spans="2:5" s="3" customFormat="1" x14ac:dyDescent="0.1">
      <c r="B431" s="18"/>
      <c r="D431" s="19"/>
      <c r="E431" s="18"/>
    </row>
    <row r="432" spans="2:5" s="3" customFormat="1" x14ac:dyDescent="0.1">
      <c r="B432" s="18"/>
      <c r="D432" s="19"/>
      <c r="E432" s="18"/>
    </row>
    <row r="433" spans="2:5" s="3" customFormat="1" x14ac:dyDescent="0.1">
      <c r="B433" s="18"/>
      <c r="D433" s="19"/>
      <c r="E433" s="18"/>
    </row>
    <row r="434" spans="2:5" s="3" customFormat="1" x14ac:dyDescent="0.1">
      <c r="B434" s="18"/>
      <c r="D434" s="19"/>
      <c r="E434" s="18"/>
    </row>
    <row r="435" spans="2:5" s="3" customFormat="1" x14ac:dyDescent="0.1">
      <c r="B435" s="18"/>
      <c r="D435" s="19"/>
      <c r="E435" s="18"/>
    </row>
    <row r="436" spans="2:5" s="3" customFormat="1" x14ac:dyDescent="0.1">
      <c r="B436" s="18"/>
      <c r="D436" s="19"/>
      <c r="E436" s="18"/>
    </row>
    <row r="437" spans="2:5" s="3" customFormat="1" x14ac:dyDescent="0.1">
      <c r="B437" s="18"/>
      <c r="D437" s="19"/>
      <c r="E437" s="18"/>
    </row>
    <row r="438" spans="2:5" s="3" customFormat="1" x14ac:dyDescent="0.1">
      <c r="B438" s="18"/>
      <c r="D438" s="19"/>
      <c r="E438" s="18"/>
    </row>
    <row r="439" spans="2:5" s="3" customFormat="1" x14ac:dyDescent="0.1">
      <c r="B439" s="18"/>
      <c r="D439" s="19"/>
      <c r="E439" s="18"/>
    </row>
    <row r="440" spans="2:5" s="3" customFormat="1" x14ac:dyDescent="0.1">
      <c r="B440" s="18"/>
      <c r="D440" s="19"/>
      <c r="E440" s="18"/>
    </row>
    <row r="441" spans="2:5" s="3" customFormat="1" x14ac:dyDescent="0.1">
      <c r="B441" s="18"/>
      <c r="D441" s="19"/>
      <c r="E441" s="18"/>
    </row>
    <row r="442" spans="2:5" s="3" customFormat="1" x14ac:dyDescent="0.1">
      <c r="B442" s="18"/>
      <c r="D442" s="19"/>
      <c r="E442" s="18"/>
    </row>
    <row r="443" spans="2:5" s="3" customFormat="1" x14ac:dyDescent="0.1">
      <c r="B443" s="18"/>
      <c r="D443" s="19"/>
      <c r="E443" s="18"/>
    </row>
    <row r="444" spans="2:5" s="3" customFormat="1" x14ac:dyDescent="0.1">
      <c r="B444" s="18"/>
      <c r="D444" s="19"/>
      <c r="E444" s="18"/>
    </row>
    <row r="445" spans="2:5" s="3" customFormat="1" x14ac:dyDescent="0.1">
      <c r="B445" s="18"/>
      <c r="D445" s="19"/>
      <c r="E445" s="18"/>
    </row>
    <row r="446" spans="2:5" s="3" customFormat="1" x14ac:dyDescent="0.1">
      <c r="B446" s="18"/>
      <c r="D446" s="19"/>
      <c r="E446" s="18"/>
    </row>
    <row r="447" spans="2:5" s="3" customFormat="1" x14ac:dyDescent="0.1">
      <c r="B447" s="18"/>
      <c r="D447" s="19"/>
      <c r="E447" s="18"/>
    </row>
    <row r="448" spans="2:5" s="3" customFormat="1" x14ac:dyDescent="0.1">
      <c r="B448" s="18"/>
      <c r="D448" s="19"/>
      <c r="E448" s="18"/>
    </row>
    <row r="449" spans="2:5" s="3" customFormat="1" x14ac:dyDescent="0.1">
      <c r="B449" s="18"/>
      <c r="D449" s="19"/>
      <c r="E449" s="18"/>
    </row>
    <row r="450" spans="2:5" s="3" customFormat="1" x14ac:dyDescent="0.1">
      <c r="B450" s="18"/>
      <c r="D450" s="19"/>
      <c r="E450" s="18"/>
    </row>
    <row r="451" spans="2:5" s="3" customFormat="1" x14ac:dyDescent="0.1">
      <c r="B451" s="18"/>
      <c r="D451" s="19"/>
      <c r="E451" s="18"/>
    </row>
    <row r="452" spans="2:5" s="3" customFormat="1" x14ac:dyDescent="0.1">
      <c r="B452" s="18"/>
      <c r="D452" s="19"/>
      <c r="E452" s="18"/>
    </row>
    <row r="453" spans="2:5" s="3" customFormat="1" x14ac:dyDescent="0.1">
      <c r="B453" s="18"/>
      <c r="D453" s="19"/>
      <c r="E453" s="18"/>
    </row>
    <row r="454" spans="2:5" s="3" customFormat="1" x14ac:dyDescent="0.1">
      <c r="B454" s="18"/>
      <c r="D454" s="19"/>
      <c r="E454" s="18"/>
    </row>
    <row r="455" spans="2:5" s="3" customFormat="1" x14ac:dyDescent="0.1">
      <c r="B455" s="18"/>
      <c r="D455" s="19"/>
      <c r="E455" s="18"/>
    </row>
    <row r="456" spans="2:5" s="3" customFormat="1" x14ac:dyDescent="0.1">
      <c r="B456" s="18"/>
      <c r="D456" s="19"/>
      <c r="E456" s="18"/>
    </row>
    <row r="457" spans="2:5" s="3" customFormat="1" x14ac:dyDescent="0.1">
      <c r="B457" s="18"/>
      <c r="D457" s="19"/>
      <c r="E457" s="18"/>
    </row>
    <row r="458" spans="2:5" s="3" customFormat="1" x14ac:dyDescent="0.1">
      <c r="B458" s="18"/>
      <c r="D458" s="19"/>
      <c r="E458" s="18"/>
    </row>
    <row r="459" spans="2:5" s="3" customFormat="1" x14ac:dyDescent="0.1">
      <c r="B459" s="18"/>
      <c r="D459" s="19"/>
      <c r="E459" s="18"/>
    </row>
    <row r="460" spans="2:5" s="3" customFormat="1" x14ac:dyDescent="0.1">
      <c r="B460" s="18"/>
      <c r="D460" s="19"/>
      <c r="E460" s="18"/>
    </row>
    <row r="461" spans="2:5" s="3" customFormat="1" x14ac:dyDescent="0.1">
      <c r="B461" s="18"/>
      <c r="D461" s="19"/>
      <c r="E461" s="18"/>
    </row>
    <row r="462" spans="2:5" s="3" customFormat="1" x14ac:dyDescent="0.1">
      <c r="B462" s="18"/>
      <c r="D462" s="19"/>
      <c r="E462" s="18"/>
    </row>
    <row r="463" spans="2:5" s="3" customFormat="1" x14ac:dyDescent="0.1">
      <c r="B463" s="18"/>
      <c r="D463" s="19"/>
      <c r="E463" s="18"/>
    </row>
    <row r="464" spans="2:5" s="3" customFormat="1" x14ac:dyDescent="0.1">
      <c r="B464" s="18"/>
      <c r="D464" s="19"/>
      <c r="E464" s="18"/>
    </row>
    <row r="465" spans="2:5" s="3" customFormat="1" x14ac:dyDescent="0.1">
      <c r="B465" s="18"/>
      <c r="D465" s="19"/>
      <c r="E465" s="18"/>
    </row>
    <row r="466" spans="2:5" s="3" customFormat="1" x14ac:dyDescent="0.1">
      <c r="B466" s="18"/>
      <c r="D466" s="19"/>
      <c r="E466" s="18"/>
    </row>
    <row r="467" spans="2:5" s="3" customFormat="1" x14ac:dyDescent="0.1">
      <c r="B467" s="18"/>
      <c r="D467" s="19"/>
      <c r="E467" s="18"/>
    </row>
    <row r="468" spans="2:5" s="3" customFormat="1" x14ac:dyDescent="0.1">
      <c r="B468" s="18"/>
      <c r="D468" s="19"/>
      <c r="E468" s="18"/>
    </row>
    <row r="469" spans="2:5" s="3" customFormat="1" x14ac:dyDescent="0.1">
      <c r="B469" s="18"/>
      <c r="D469" s="19"/>
      <c r="E469" s="18"/>
    </row>
    <row r="470" spans="2:5" s="3" customFormat="1" x14ac:dyDescent="0.1">
      <c r="B470" s="18"/>
      <c r="D470" s="19"/>
      <c r="E470" s="18"/>
    </row>
    <row r="471" spans="2:5" s="3" customFormat="1" x14ac:dyDescent="0.1">
      <c r="B471" s="18"/>
      <c r="D471" s="19"/>
      <c r="E471" s="18"/>
    </row>
    <row r="472" spans="2:5" s="3" customFormat="1" x14ac:dyDescent="0.1">
      <c r="B472" s="18"/>
      <c r="D472" s="19"/>
      <c r="E472" s="18"/>
    </row>
    <row r="473" spans="2:5" s="3" customFormat="1" x14ac:dyDescent="0.1">
      <c r="B473" s="18"/>
      <c r="D473" s="19"/>
      <c r="E473" s="18"/>
    </row>
    <row r="474" spans="2:5" s="3" customFormat="1" x14ac:dyDescent="0.1">
      <c r="B474" s="18"/>
      <c r="D474" s="19"/>
      <c r="E474" s="18"/>
    </row>
    <row r="475" spans="2:5" s="3" customFormat="1" x14ac:dyDescent="0.1">
      <c r="B475" s="18"/>
      <c r="D475" s="19"/>
      <c r="E475" s="18"/>
    </row>
    <row r="476" spans="2:5" s="3" customFormat="1" x14ac:dyDescent="0.1">
      <c r="B476" s="18"/>
      <c r="D476" s="19"/>
      <c r="E476" s="18"/>
    </row>
    <row r="477" spans="2:5" s="3" customFormat="1" x14ac:dyDescent="0.1">
      <c r="B477" s="18"/>
      <c r="D477" s="19"/>
      <c r="E477" s="18"/>
    </row>
    <row r="478" spans="2:5" s="3" customFormat="1" x14ac:dyDescent="0.1">
      <c r="B478" s="18"/>
      <c r="D478" s="19"/>
      <c r="E478" s="18"/>
    </row>
    <row r="479" spans="2:5" s="3" customFormat="1" x14ac:dyDescent="0.1">
      <c r="B479" s="18"/>
      <c r="D479" s="19"/>
      <c r="E479" s="18"/>
    </row>
    <row r="480" spans="2:5" s="3" customFormat="1" x14ac:dyDescent="0.1">
      <c r="B480" s="18"/>
      <c r="D480" s="19"/>
      <c r="E480" s="18"/>
    </row>
    <row r="481" spans="2:5" s="3" customFormat="1" x14ac:dyDescent="0.1">
      <c r="B481" s="18"/>
      <c r="D481" s="19"/>
      <c r="E481" s="18"/>
    </row>
    <row r="482" spans="2:5" s="3" customFormat="1" x14ac:dyDescent="0.1">
      <c r="B482" s="18"/>
      <c r="D482" s="19"/>
      <c r="E482" s="18"/>
    </row>
    <row r="483" spans="2:5" s="3" customFormat="1" x14ac:dyDescent="0.1">
      <c r="B483" s="18"/>
      <c r="D483" s="19"/>
      <c r="E483" s="18"/>
    </row>
    <row r="484" spans="2:5" s="3" customFormat="1" x14ac:dyDescent="0.1">
      <c r="B484" s="18"/>
      <c r="D484" s="19"/>
      <c r="E484" s="18"/>
    </row>
    <row r="485" spans="2:5" s="3" customFormat="1" x14ac:dyDescent="0.1">
      <c r="B485" s="18"/>
      <c r="D485" s="19"/>
      <c r="E485" s="18"/>
    </row>
    <row r="486" spans="2:5" s="3" customFormat="1" x14ac:dyDescent="0.1">
      <c r="B486" s="18"/>
      <c r="D486" s="19"/>
      <c r="E486" s="18"/>
    </row>
    <row r="487" spans="2:5" s="3" customFormat="1" x14ac:dyDescent="0.1">
      <c r="B487" s="18"/>
      <c r="D487" s="19"/>
      <c r="E487" s="18"/>
    </row>
    <row r="488" spans="2:5" s="3" customFormat="1" x14ac:dyDescent="0.1">
      <c r="B488" s="18"/>
      <c r="D488" s="19"/>
      <c r="E488" s="18"/>
    </row>
    <row r="489" spans="2:5" s="3" customFormat="1" x14ac:dyDescent="0.1">
      <c r="B489" s="18"/>
      <c r="D489" s="19"/>
      <c r="E489" s="18"/>
    </row>
    <row r="490" spans="2:5" s="3" customFormat="1" x14ac:dyDescent="0.1">
      <c r="B490" s="18"/>
      <c r="D490" s="19"/>
      <c r="E490" s="18"/>
    </row>
    <row r="491" spans="2:5" s="3" customFormat="1" x14ac:dyDescent="0.1">
      <c r="B491" s="18"/>
      <c r="D491" s="19"/>
      <c r="E491" s="18"/>
    </row>
    <row r="492" spans="2:5" s="3" customFormat="1" x14ac:dyDescent="0.1">
      <c r="B492" s="18"/>
      <c r="D492" s="19"/>
      <c r="E492" s="18"/>
    </row>
    <row r="493" spans="2:5" s="3" customFormat="1" x14ac:dyDescent="0.1">
      <c r="B493" s="18"/>
      <c r="D493" s="19"/>
      <c r="E493" s="18"/>
    </row>
    <row r="494" spans="2:5" s="3" customFormat="1" x14ac:dyDescent="0.1">
      <c r="B494" s="18"/>
      <c r="D494" s="19"/>
      <c r="E494" s="18"/>
    </row>
    <row r="495" spans="2:5" s="3" customFormat="1" x14ac:dyDescent="0.1">
      <c r="B495" s="18"/>
      <c r="D495" s="19"/>
      <c r="E495" s="18"/>
    </row>
    <row r="496" spans="2:5" s="3" customFormat="1" x14ac:dyDescent="0.1">
      <c r="B496" s="18"/>
      <c r="D496" s="19"/>
      <c r="E496" s="18"/>
    </row>
    <row r="497" spans="2:5" s="3" customFormat="1" x14ac:dyDescent="0.1">
      <c r="B497" s="18"/>
      <c r="D497" s="19"/>
      <c r="E497" s="18"/>
    </row>
    <row r="498" spans="2:5" s="3" customFormat="1" x14ac:dyDescent="0.1">
      <c r="B498" s="18"/>
      <c r="D498" s="19"/>
      <c r="E498" s="18"/>
    </row>
    <row r="499" spans="2:5" s="3" customFormat="1" x14ac:dyDescent="0.1">
      <c r="B499" s="18"/>
      <c r="D499" s="19"/>
      <c r="E499" s="18"/>
    </row>
    <row r="500" spans="2:5" s="3" customFormat="1" x14ac:dyDescent="0.1">
      <c r="B500" s="18"/>
      <c r="D500" s="19"/>
      <c r="E500" s="18"/>
    </row>
    <row r="501" spans="2:5" s="3" customFormat="1" x14ac:dyDescent="0.1">
      <c r="B501" s="18"/>
      <c r="D501" s="19"/>
      <c r="E501" s="18"/>
    </row>
    <row r="502" spans="2:5" s="3" customFormat="1" x14ac:dyDescent="0.1">
      <c r="B502" s="18"/>
      <c r="D502" s="19"/>
      <c r="E502" s="18"/>
    </row>
    <row r="503" spans="2:5" s="3" customFormat="1" x14ac:dyDescent="0.1">
      <c r="B503" s="18"/>
      <c r="D503" s="19"/>
      <c r="E503" s="18"/>
    </row>
    <row r="504" spans="2:5" s="3" customFormat="1" x14ac:dyDescent="0.1">
      <c r="B504" s="18"/>
      <c r="D504" s="19"/>
      <c r="E504" s="18"/>
    </row>
    <row r="505" spans="2:5" s="3" customFormat="1" x14ac:dyDescent="0.1">
      <c r="B505" s="18"/>
      <c r="D505" s="19"/>
      <c r="E505" s="18"/>
    </row>
    <row r="506" spans="2:5" s="3" customFormat="1" x14ac:dyDescent="0.1">
      <c r="B506" s="18"/>
      <c r="D506" s="19"/>
      <c r="E506" s="18"/>
    </row>
    <row r="507" spans="2:5" s="3" customFormat="1" x14ac:dyDescent="0.1">
      <c r="B507" s="18"/>
      <c r="D507" s="19"/>
      <c r="E507" s="18"/>
    </row>
    <row r="508" spans="2:5" s="3" customFormat="1" x14ac:dyDescent="0.1">
      <c r="B508" s="18"/>
      <c r="D508" s="19"/>
      <c r="E508" s="18"/>
    </row>
    <row r="509" spans="2:5" s="3" customFormat="1" x14ac:dyDescent="0.1">
      <c r="B509" s="18"/>
      <c r="D509" s="19"/>
      <c r="E509" s="18"/>
    </row>
    <row r="510" spans="2:5" s="3" customFormat="1" x14ac:dyDescent="0.1">
      <c r="B510" s="18"/>
      <c r="D510" s="19"/>
      <c r="E510" s="18"/>
    </row>
    <row r="511" spans="2:5" s="3" customFormat="1" x14ac:dyDescent="0.1">
      <c r="B511" s="18"/>
      <c r="D511" s="19"/>
      <c r="E511" s="18"/>
    </row>
    <row r="512" spans="2:5" s="3" customFormat="1" x14ac:dyDescent="0.1">
      <c r="B512" s="18"/>
      <c r="D512" s="19"/>
      <c r="E512" s="18"/>
    </row>
    <row r="513" spans="2:5" s="3" customFormat="1" x14ac:dyDescent="0.1">
      <c r="B513" s="18"/>
      <c r="D513" s="19"/>
      <c r="E513" s="18"/>
    </row>
    <row r="514" spans="2:5" s="3" customFormat="1" x14ac:dyDescent="0.1">
      <c r="B514" s="18"/>
      <c r="D514" s="19"/>
      <c r="E514" s="18"/>
    </row>
    <row r="515" spans="2:5" s="3" customFormat="1" x14ac:dyDescent="0.1">
      <c r="B515" s="18"/>
      <c r="D515" s="19"/>
      <c r="E515" s="18"/>
    </row>
    <row r="516" spans="2:5" s="3" customFormat="1" x14ac:dyDescent="0.1">
      <c r="B516" s="18"/>
      <c r="D516" s="19"/>
      <c r="E516" s="18"/>
    </row>
    <row r="517" spans="2:5" s="3" customFormat="1" x14ac:dyDescent="0.1">
      <c r="B517" s="18"/>
      <c r="D517" s="19"/>
      <c r="E517" s="18"/>
    </row>
    <row r="518" spans="2:5" s="3" customFormat="1" x14ac:dyDescent="0.1">
      <c r="B518" s="18"/>
      <c r="D518" s="19"/>
      <c r="E518" s="18"/>
    </row>
    <row r="519" spans="2:5" s="3" customFormat="1" x14ac:dyDescent="0.1">
      <c r="B519" s="18"/>
      <c r="D519" s="19"/>
      <c r="E519" s="18"/>
    </row>
    <row r="520" spans="2:5" s="3" customFormat="1" x14ac:dyDescent="0.1">
      <c r="B520" s="18"/>
      <c r="D520" s="19"/>
      <c r="E520" s="18"/>
    </row>
    <row r="521" spans="2:5" s="3" customFormat="1" x14ac:dyDescent="0.1">
      <c r="B521" s="18"/>
      <c r="D521" s="19"/>
      <c r="E521" s="18"/>
    </row>
    <row r="522" spans="2:5" s="3" customFormat="1" x14ac:dyDescent="0.1">
      <c r="B522" s="18"/>
      <c r="D522" s="19"/>
      <c r="E522" s="18"/>
    </row>
    <row r="523" spans="2:5" s="3" customFormat="1" x14ac:dyDescent="0.1">
      <c r="B523" s="18"/>
      <c r="D523" s="19"/>
      <c r="E523" s="18"/>
    </row>
    <row r="524" spans="2:5" s="3" customFormat="1" x14ac:dyDescent="0.1">
      <c r="B524" s="18"/>
      <c r="D524" s="19"/>
      <c r="E524" s="18"/>
    </row>
    <row r="525" spans="2:5" s="3" customFormat="1" x14ac:dyDescent="0.1">
      <c r="B525" s="18"/>
      <c r="D525" s="19"/>
      <c r="E525" s="18"/>
    </row>
    <row r="526" spans="2:5" s="3" customFormat="1" x14ac:dyDescent="0.1">
      <c r="B526" s="18"/>
      <c r="D526" s="19"/>
      <c r="E526" s="18"/>
    </row>
    <row r="527" spans="2:5" s="3" customFormat="1" x14ac:dyDescent="0.1">
      <c r="B527" s="18"/>
      <c r="D527" s="19"/>
      <c r="E527" s="18"/>
    </row>
    <row r="528" spans="2:5" s="3" customFormat="1" x14ac:dyDescent="0.1">
      <c r="B528" s="18"/>
      <c r="D528" s="19"/>
      <c r="E528" s="18"/>
    </row>
    <row r="529" spans="2:5" s="3" customFormat="1" x14ac:dyDescent="0.1">
      <c r="B529" s="18"/>
      <c r="D529" s="19"/>
      <c r="E529" s="18"/>
    </row>
    <row r="530" spans="2:5" s="3" customFormat="1" x14ac:dyDescent="0.1">
      <c r="B530" s="18"/>
      <c r="D530" s="19"/>
      <c r="E530" s="18"/>
    </row>
    <row r="531" spans="2:5" s="3" customFormat="1" x14ac:dyDescent="0.1">
      <c r="B531" s="18"/>
      <c r="D531" s="19"/>
      <c r="E531" s="18"/>
    </row>
    <row r="532" spans="2:5" s="3" customFormat="1" x14ac:dyDescent="0.1">
      <c r="B532" s="18"/>
      <c r="D532" s="19"/>
      <c r="E532" s="18"/>
    </row>
    <row r="533" spans="2:5" s="3" customFormat="1" x14ac:dyDescent="0.1">
      <c r="B533" s="18"/>
      <c r="D533" s="19"/>
      <c r="E533" s="18"/>
    </row>
    <row r="534" spans="2:5" s="3" customFormat="1" x14ac:dyDescent="0.1">
      <c r="B534" s="18"/>
      <c r="D534" s="19"/>
      <c r="E534" s="18"/>
    </row>
    <row r="535" spans="2:5" s="3" customFormat="1" x14ac:dyDescent="0.1">
      <c r="B535" s="18"/>
      <c r="D535" s="19"/>
      <c r="E535" s="18"/>
    </row>
    <row r="536" spans="2:5" s="3" customFormat="1" x14ac:dyDescent="0.1">
      <c r="B536" s="18"/>
      <c r="D536" s="19"/>
      <c r="E536" s="18"/>
    </row>
    <row r="537" spans="2:5" s="3" customFormat="1" x14ac:dyDescent="0.1">
      <c r="B537" s="18"/>
      <c r="D537" s="19"/>
      <c r="E537" s="18"/>
    </row>
    <row r="538" spans="2:5" s="3" customFormat="1" x14ac:dyDescent="0.1">
      <c r="B538" s="18"/>
      <c r="D538" s="19"/>
      <c r="E538" s="18"/>
    </row>
    <row r="539" spans="2:5" s="3" customFormat="1" x14ac:dyDescent="0.1">
      <c r="B539" s="18"/>
      <c r="D539" s="19"/>
      <c r="E539" s="18"/>
    </row>
    <row r="540" spans="2:5" s="3" customFormat="1" x14ac:dyDescent="0.1">
      <c r="B540" s="18"/>
      <c r="D540" s="19"/>
      <c r="E540" s="18"/>
    </row>
    <row r="541" spans="2:5" s="3" customFormat="1" x14ac:dyDescent="0.1">
      <c r="B541" s="18"/>
      <c r="D541" s="19"/>
      <c r="E541" s="18"/>
    </row>
    <row r="542" spans="2:5" s="3" customFormat="1" x14ac:dyDescent="0.1">
      <c r="B542" s="18"/>
      <c r="D542" s="19"/>
      <c r="E542" s="18"/>
    </row>
    <row r="543" spans="2:5" s="3" customFormat="1" x14ac:dyDescent="0.1">
      <c r="B543" s="18"/>
      <c r="D543" s="19"/>
      <c r="E543" s="18"/>
    </row>
    <row r="544" spans="2:5" s="3" customFormat="1" x14ac:dyDescent="0.1">
      <c r="B544" s="18"/>
      <c r="D544" s="19"/>
      <c r="E544" s="18"/>
    </row>
    <row r="545" spans="2:5" s="3" customFormat="1" x14ac:dyDescent="0.1">
      <c r="B545" s="18"/>
      <c r="D545" s="19"/>
      <c r="E545" s="18"/>
    </row>
    <row r="546" spans="2:5" s="3" customFormat="1" x14ac:dyDescent="0.1">
      <c r="B546" s="18"/>
      <c r="D546" s="19"/>
      <c r="E546" s="18"/>
    </row>
    <row r="547" spans="2:5" s="3" customFormat="1" x14ac:dyDescent="0.1">
      <c r="B547" s="18"/>
      <c r="D547" s="19"/>
      <c r="E547" s="18"/>
    </row>
    <row r="548" spans="2:5" s="3" customFormat="1" x14ac:dyDescent="0.1">
      <c r="B548" s="18"/>
      <c r="D548" s="19"/>
      <c r="E548" s="18"/>
    </row>
    <row r="549" spans="2:5" s="3" customFormat="1" x14ac:dyDescent="0.1">
      <c r="B549" s="18"/>
      <c r="D549" s="19"/>
      <c r="E549" s="18"/>
    </row>
    <row r="550" spans="2:5" s="3" customFormat="1" x14ac:dyDescent="0.1">
      <c r="B550" s="18"/>
      <c r="D550" s="19"/>
      <c r="E550" s="18"/>
    </row>
    <row r="551" spans="2:5" s="3" customFormat="1" x14ac:dyDescent="0.1">
      <c r="B551" s="18"/>
      <c r="D551" s="19"/>
      <c r="E551" s="18"/>
    </row>
    <row r="552" spans="2:5" s="3" customFormat="1" x14ac:dyDescent="0.1">
      <c r="B552" s="18"/>
      <c r="D552" s="19"/>
      <c r="E552" s="18"/>
    </row>
    <row r="553" spans="2:5" s="3" customFormat="1" x14ac:dyDescent="0.1">
      <c r="B553" s="18"/>
      <c r="D553" s="19"/>
      <c r="E553" s="18"/>
    </row>
    <row r="554" spans="2:5" s="3" customFormat="1" x14ac:dyDescent="0.1">
      <c r="B554" s="18"/>
      <c r="D554" s="19"/>
      <c r="E554" s="18"/>
    </row>
    <row r="555" spans="2:5" s="3" customFormat="1" x14ac:dyDescent="0.1">
      <c r="B555" s="18"/>
      <c r="D555" s="19"/>
      <c r="E555" s="18"/>
    </row>
    <row r="556" spans="2:5" s="3" customFormat="1" x14ac:dyDescent="0.1">
      <c r="B556" s="18"/>
      <c r="D556" s="19"/>
      <c r="E556" s="18"/>
    </row>
    <row r="557" spans="2:5" s="3" customFormat="1" x14ac:dyDescent="0.1">
      <c r="B557" s="18"/>
      <c r="D557" s="19"/>
      <c r="E557" s="18"/>
    </row>
    <row r="558" spans="2:5" s="3" customFormat="1" x14ac:dyDescent="0.1">
      <c r="B558" s="18"/>
      <c r="D558" s="19"/>
      <c r="E558" s="18"/>
    </row>
    <row r="559" spans="2:5" s="3" customFormat="1" x14ac:dyDescent="0.1">
      <c r="B559" s="18"/>
      <c r="D559" s="19"/>
      <c r="E559" s="18"/>
    </row>
    <row r="560" spans="2:5" s="3" customFormat="1" x14ac:dyDescent="0.1">
      <c r="B560" s="18"/>
      <c r="D560" s="19"/>
      <c r="E560" s="18"/>
    </row>
    <row r="561" spans="2:5" s="3" customFormat="1" x14ac:dyDescent="0.1">
      <c r="B561" s="18"/>
      <c r="D561" s="19"/>
      <c r="E561" s="18"/>
    </row>
    <row r="562" spans="2:5" s="3" customFormat="1" x14ac:dyDescent="0.1">
      <c r="B562" s="18"/>
      <c r="D562" s="19"/>
      <c r="E562" s="18"/>
    </row>
    <row r="563" spans="2:5" s="3" customFormat="1" x14ac:dyDescent="0.1">
      <c r="B563" s="18"/>
      <c r="D563" s="19"/>
      <c r="E563" s="18"/>
    </row>
    <row r="564" spans="2:5" s="3" customFormat="1" x14ac:dyDescent="0.1">
      <c r="B564" s="18"/>
      <c r="D564" s="19"/>
      <c r="E564" s="18"/>
    </row>
    <row r="565" spans="2:5" s="3" customFormat="1" x14ac:dyDescent="0.1">
      <c r="B565" s="18"/>
      <c r="D565" s="19"/>
      <c r="E565" s="18"/>
    </row>
    <row r="566" spans="2:5" s="3" customFormat="1" x14ac:dyDescent="0.1">
      <c r="B566" s="18"/>
      <c r="D566" s="19"/>
      <c r="E566" s="18"/>
    </row>
    <row r="567" spans="2:5" s="3" customFormat="1" x14ac:dyDescent="0.1">
      <c r="B567" s="18"/>
      <c r="D567" s="19"/>
      <c r="E567" s="18"/>
    </row>
    <row r="568" spans="2:5" s="3" customFormat="1" x14ac:dyDescent="0.1">
      <c r="B568" s="18"/>
      <c r="D568" s="19"/>
      <c r="E568" s="18"/>
    </row>
    <row r="569" spans="2:5" s="3" customFormat="1" x14ac:dyDescent="0.1">
      <c r="B569" s="18"/>
      <c r="D569" s="19"/>
      <c r="E569" s="18"/>
    </row>
    <row r="570" spans="2:5" s="3" customFormat="1" x14ac:dyDescent="0.1">
      <c r="B570" s="18"/>
      <c r="D570" s="19"/>
      <c r="E570" s="18"/>
    </row>
    <row r="571" spans="2:5" s="3" customFormat="1" x14ac:dyDescent="0.1">
      <c r="B571" s="18"/>
      <c r="D571" s="19"/>
      <c r="E571" s="18"/>
    </row>
    <row r="572" spans="2:5" s="3" customFormat="1" x14ac:dyDescent="0.1">
      <c r="B572" s="18"/>
      <c r="D572" s="19"/>
      <c r="E572" s="18"/>
    </row>
    <row r="573" spans="2:5" s="3" customFormat="1" x14ac:dyDescent="0.1">
      <c r="B573" s="18"/>
      <c r="D573" s="19"/>
      <c r="E573" s="18"/>
    </row>
    <row r="574" spans="2:5" s="3" customFormat="1" x14ac:dyDescent="0.1">
      <c r="B574" s="18"/>
      <c r="D574" s="19"/>
      <c r="E574" s="18"/>
    </row>
    <row r="575" spans="2:5" s="3" customFormat="1" x14ac:dyDescent="0.1">
      <c r="B575" s="18"/>
      <c r="D575" s="19"/>
      <c r="E575" s="18"/>
    </row>
    <row r="576" spans="2:5" s="3" customFormat="1" x14ac:dyDescent="0.1">
      <c r="B576" s="18"/>
      <c r="D576" s="19"/>
      <c r="E576" s="18"/>
    </row>
    <row r="577" spans="2:5" s="3" customFormat="1" x14ac:dyDescent="0.1">
      <c r="B577" s="18"/>
      <c r="D577" s="19"/>
      <c r="E577" s="18"/>
    </row>
    <row r="578" spans="2:5" s="3" customFormat="1" x14ac:dyDescent="0.1">
      <c r="B578" s="18"/>
      <c r="D578" s="19"/>
      <c r="E578" s="18"/>
    </row>
    <row r="579" spans="2:5" s="3" customFormat="1" x14ac:dyDescent="0.1">
      <c r="B579" s="18"/>
      <c r="D579" s="19"/>
      <c r="E579" s="18"/>
    </row>
    <row r="580" spans="2:5" s="3" customFormat="1" x14ac:dyDescent="0.1">
      <c r="B580" s="18"/>
      <c r="D580" s="19"/>
      <c r="E580" s="18"/>
    </row>
    <row r="581" spans="2:5" s="3" customFormat="1" x14ac:dyDescent="0.1">
      <c r="B581" s="18"/>
      <c r="D581" s="19"/>
      <c r="E581" s="18"/>
    </row>
    <row r="582" spans="2:5" s="3" customFormat="1" x14ac:dyDescent="0.1">
      <c r="B582" s="18"/>
      <c r="D582" s="19"/>
      <c r="E582" s="18"/>
    </row>
    <row r="583" spans="2:5" s="3" customFormat="1" x14ac:dyDescent="0.1">
      <c r="B583" s="18"/>
      <c r="D583" s="19"/>
      <c r="E583" s="18"/>
    </row>
    <row r="584" spans="2:5" s="3" customFormat="1" x14ac:dyDescent="0.1">
      <c r="B584" s="18"/>
      <c r="D584" s="19"/>
      <c r="E584" s="18"/>
    </row>
    <row r="585" spans="2:5" s="3" customFormat="1" x14ac:dyDescent="0.1">
      <c r="B585" s="18"/>
      <c r="D585" s="19"/>
      <c r="E585" s="18"/>
    </row>
    <row r="586" spans="2:5" s="3" customFormat="1" x14ac:dyDescent="0.1">
      <c r="B586" s="18"/>
      <c r="D586" s="19"/>
      <c r="E586" s="18"/>
    </row>
    <row r="587" spans="2:5" s="3" customFormat="1" x14ac:dyDescent="0.1">
      <c r="B587" s="18"/>
      <c r="D587" s="19"/>
      <c r="E587" s="18"/>
    </row>
    <row r="588" spans="2:5" s="3" customFormat="1" x14ac:dyDescent="0.1">
      <c r="B588" s="18"/>
      <c r="D588" s="19"/>
      <c r="E588" s="18"/>
    </row>
    <row r="589" spans="2:5" s="3" customFormat="1" x14ac:dyDescent="0.1">
      <c r="B589" s="18"/>
      <c r="D589" s="19"/>
      <c r="E589" s="18"/>
    </row>
    <row r="590" spans="2:5" s="3" customFormat="1" x14ac:dyDescent="0.1">
      <c r="B590" s="18"/>
      <c r="D590" s="19"/>
      <c r="E590" s="18"/>
    </row>
    <row r="591" spans="2:5" s="3" customFormat="1" x14ac:dyDescent="0.1">
      <c r="B591" s="18"/>
      <c r="D591" s="19"/>
      <c r="E591" s="18"/>
    </row>
    <row r="592" spans="2:5" s="3" customFormat="1" x14ac:dyDescent="0.1">
      <c r="B592" s="18"/>
      <c r="D592" s="19"/>
      <c r="E592" s="18"/>
    </row>
    <row r="593" spans="2:5" s="3" customFormat="1" x14ac:dyDescent="0.1">
      <c r="B593" s="18"/>
      <c r="D593" s="19"/>
      <c r="E593" s="18"/>
    </row>
    <row r="594" spans="2:5" s="3" customFormat="1" x14ac:dyDescent="0.1">
      <c r="B594" s="18"/>
      <c r="D594" s="19"/>
      <c r="E594" s="18"/>
    </row>
    <row r="595" spans="2:5" s="3" customFormat="1" x14ac:dyDescent="0.1">
      <c r="B595" s="18"/>
      <c r="D595" s="19"/>
      <c r="E595" s="18"/>
    </row>
    <row r="596" spans="2:5" s="3" customFormat="1" x14ac:dyDescent="0.1">
      <c r="B596" s="18"/>
      <c r="D596" s="19"/>
      <c r="E596" s="18"/>
    </row>
    <row r="597" spans="2:5" s="3" customFormat="1" x14ac:dyDescent="0.1">
      <c r="B597" s="18"/>
      <c r="D597" s="19"/>
      <c r="E597" s="18"/>
    </row>
    <row r="598" spans="2:5" s="3" customFormat="1" x14ac:dyDescent="0.1">
      <c r="B598" s="18"/>
      <c r="D598" s="19"/>
      <c r="E598" s="18"/>
    </row>
    <row r="599" spans="2:5" s="3" customFormat="1" x14ac:dyDescent="0.1">
      <c r="B599" s="18"/>
      <c r="D599" s="19"/>
      <c r="E599" s="18"/>
    </row>
    <row r="600" spans="2:5" s="3" customFormat="1" x14ac:dyDescent="0.1">
      <c r="B600" s="18"/>
      <c r="D600" s="19"/>
      <c r="E600" s="18"/>
    </row>
    <row r="601" spans="2:5" s="3" customFormat="1" x14ac:dyDescent="0.1">
      <c r="B601" s="18"/>
      <c r="D601" s="19"/>
      <c r="E601" s="18"/>
    </row>
    <row r="602" spans="2:5" s="3" customFormat="1" x14ac:dyDescent="0.1">
      <c r="B602" s="18"/>
      <c r="D602" s="19"/>
      <c r="E602" s="18"/>
    </row>
    <row r="603" spans="2:5" s="3" customFormat="1" x14ac:dyDescent="0.1">
      <c r="B603" s="18"/>
      <c r="D603" s="19"/>
      <c r="E603" s="18"/>
    </row>
    <row r="604" spans="2:5" s="3" customFormat="1" x14ac:dyDescent="0.1">
      <c r="B604" s="18"/>
      <c r="D604" s="19"/>
      <c r="E604" s="18"/>
    </row>
    <row r="605" spans="2:5" s="3" customFormat="1" x14ac:dyDescent="0.1">
      <c r="B605" s="18"/>
      <c r="D605" s="19"/>
      <c r="E605" s="18"/>
    </row>
    <row r="606" spans="2:5" s="3" customFormat="1" x14ac:dyDescent="0.1">
      <c r="B606" s="18"/>
      <c r="D606" s="19"/>
      <c r="E606" s="18"/>
    </row>
    <row r="607" spans="2:5" s="3" customFormat="1" x14ac:dyDescent="0.1">
      <c r="B607" s="18"/>
      <c r="D607" s="19"/>
      <c r="E607" s="18"/>
    </row>
    <row r="608" spans="2:5" s="3" customFormat="1" x14ac:dyDescent="0.1">
      <c r="B608" s="18"/>
      <c r="D608" s="19"/>
      <c r="E608" s="18"/>
    </row>
    <row r="609" spans="2:5" s="3" customFormat="1" x14ac:dyDescent="0.1">
      <c r="B609" s="18"/>
      <c r="D609" s="19"/>
      <c r="E609" s="18"/>
    </row>
    <row r="610" spans="2:5" s="3" customFormat="1" x14ac:dyDescent="0.1">
      <c r="B610" s="18"/>
      <c r="D610" s="19"/>
      <c r="E610" s="18"/>
    </row>
    <row r="611" spans="2:5" s="3" customFormat="1" x14ac:dyDescent="0.1">
      <c r="B611" s="18"/>
      <c r="D611" s="19"/>
      <c r="E611" s="18"/>
    </row>
    <row r="612" spans="2:5" s="3" customFormat="1" x14ac:dyDescent="0.1">
      <c r="B612" s="18"/>
      <c r="D612" s="19"/>
      <c r="E612" s="18"/>
    </row>
    <row r="613" spans="2:5" s="3" customFormat="1" x14ac:dyDescent="0.1">
      <c r="B613" s="18"/>
      <c r="D613" s="19"/>
      <c r="E613" s="18"/>
    </row>
    <row r="614" spans="2:5" s="3" customFormat="1" x14ac:dyDescent="0.1">
      <c r="B614" s="18"/>
      <c r="D614" s="19"/>
      <c r="E614" s="18"/>
    </row>
    <row r="615" spans="2:5" s="3" customFormat="1" x14ac:dyDescent="0.1">
      <c r="B615" s="18"/>
      <c r="D615" s="19"/>
      <c r="E615" s="18"/>
    </row>
  </sheetData>
  <sheetProtection password="C5A6" sheet="1" objects="1" scenarios="1"/>
  <mergeCells count="17">
    <mergeCell ref="B28:B39"/>
    <mergeCell ref="E26:F26"/>
    <mergeCell ref="F3:H3"/>
    <mergeCell ref="F4:H4"/>
    <mergeCell ref="B2:E5"/>
    <mergeCell ref="B15:B24"/>
    <mergeCell ref="E11:F11"/>
    <mergeCell ref="E13:F13"/>
    <mergeCell ref="B83:H83"/>
    <mergeCell ref="B84:H84"/>
    <mergeCell ref="B43:B47"/>
    <mergeCell ref="E41:F41"/>
    <mergeCell ref="E53:F53"/>
    <mergeCell ref="B55:B69"/>
    <mergeCell ref="B82:H82"/>
    <mergeCell ref="E73:G73"/>
    <mergeCell ref="B75:B80"/>
  </mergeCells>
  <phoneticPr fontId="0" type="noConversion"/>
  <pageMargins left="0.59055118110236227" right="0.39370078740157483" top="0.39370078740157483" bottom="0" header="0.11811023622047245" footer="0.11811023622047245"/>
  <pageSetup paperSize="9" orientation="portrait" horizontalDpi="360" verticalDpi="36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614"/>
  <sheetViews>
    <sheetView showGridLines="0" workbookViewId="0" xr3:uid="{51F8DEE0-4D01-5F28-A812-FC0BD7CAC4A5}">
      <pane ySplit="9" topLeftCell="A10" activePane="bottomLeft" state="frozen"/>
      <selection pane="bottomLeft" activeCell="B2" sqref="B2:E5"/>
    </sheetView>
  </sheetViews>
  <sheetFormatPr defaultColWidth="9.16796875" defaultRowHeight="10.5" x14ac:dyDescent="0.1"/>
  <cols>
    <col min="1" max="1" width="1.75" style="1" customWidth="1"/>
    <col min="2" max="2" width="5.52734375" style="5" customWidth="1"/>
    <col min="3" max="3" width="0.94140625" style="4" customWidth="1"/>
    <col min="4" max="4" width="2.96484375" style="6" customWidth="1"/>
    <col min="5" max="5" width="3.91015625" style="5" customWidth="1"/>
    <col min="6" max="6" width="51.6484375" style="4" customWidth="1"/>
    <col min="7" max="7" width="13.078125" style="4" customWidth="1"/>
    <col min="8" max="8" width="13.484375" style="4" customWidth="1"/>
    <col min="9" max="9" width="9.16796875" style="2"/>
    <col min="10" max="69" width="9.16796875" style="3"/>
    <col min="70" max="79" width="9.16796875" style="2"/>
    <col min="80" max="16384" width="9.16796875" style="4"/>
  </cols>
  <sheetData>
    <row r="1" spans="1:79" ht="5.0999999999999996" customHeight="1" x14ac:dyDescent="0.1"/>
    <row r="2" spans="1:79" ht="9" customHeight="1" x14ac:dyDescent="0.1">
      <c r="B2" s="140" t="s">
        <v>5</v>
      </c>
      <c r="C2" s="140"/>
      <c r="D2" s="140"/>
      <c r="E2" s="140"/>
      <c r="F2" s="21"/>
      <c r="G2" s="21"/>
      <c r="H2" s="21"/>
    </row>
    <row r="3" spans="1:79" ht="15" customHeight="1" x14ac:dyDescent="0.2">
      <c r="B3" s="140"/>
      <c r="C3" s="140"/>
      <c r="D3" s="140"/>
      <c r="E3" s="140"/>
      <c r="F3" s="141" t="s">
        <v>3</v>
      </c>
      <c r="G3" s="141"/>
      <c r="H3" s="141"/>
    </row>
    <row r="4" spans="1:79" ht="9.9499999999999993" customHeight="1" x14ac:dyDescent="0.15">
      <c r="B4" s="140"/>
      <c r="C4" s="140"/>
      <c r="D4" s="140"/>
      <c r="E4" s="140"/>
      <c r="F4" s="142" t="s">
        <v>4</v>
      </c>
      <c r="G4" s="142"/>
      <c r="H4" s="142"/>
    </row>
    <row r="5" spans="1:79" ht="9" customHeight="1" x14ac:dyDescent="0.1">
      <c r="B5" s="140"/>
      <c r="C5" s="140"/>
      <c r="D5" s="140"/>
      <c r="E5" s="140"/>
      <c r="F5" s="21"/>
      <c r="G5" s="21"/>
      <c r="H5" s="21"/>
    </row>
    <row r="6" spans="1:79" ht="5.0999999999999996" customHeight="1" x14ac:dyDescent="0.1"/>
    <row r="7" spans="1:79" ht="12" customHeight="1" x14ac:dyDescent="0.15">
      <c r="B7" s="7" t="s">
        <v>126</v>
      </c>
      <c r="E7" s="115"/>
      <c r="F7" s="50"/>
      <c r="G7" s="8" t="s">
        <v>127</v>
      </c>
      <c r="H7" s="48"/>
    </row>
    <row r="8" spans="1:79" ht="12" customHeight="1" x14ac:dyDescent="0.15">
      <c r="B8" s="7"/>
      <c r="D8" s="116" t="s">
        <v>144</v>
      </c>
      <c r="E8" s="47"/>
      <c r="F8" s="118"/>
      <c r="G8" s="117" t="s">
        <v>145</v>
      </c>
      <c r="H8" s="126"/>
    </row>
    <row r="9" spans="1:79" ht="3" customHeight="1" x14ac:dyDescent="0.15">
      <c r="B9" s="7"/>
      <c r="D9" s="116"/>
      <c r="E9" s="47"/>
      <c r="F9" s="127"/>
      <c r="G9" s="117"/>
      <c r="H9" s="128"/>
    </row>
    <row r="10" spans="1:79" ht="3" customHeight="1" x14ac:dyDescent="0.1"/>
    <row r="11" spans="1:79" s="12" customFormat="1" ht="12.75" customHeight="1" x14ac:dyDescent="0.15">
      <c r="A11" s="9"/>
      <c r="B11" s="14"/>
      <c r="C11" s="22"/>
      <c r="D11" s="14"/>
      <c r="E11" s="139" t="s">
        <v>8</v>
      </c>
      <c r="F11" s="139"/>
      <c r="G11" s="20"/>
      <c r="H11" s="23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0"/>
      <c r="BS11" s="10"/>
      <c r="BT11" s="10"/>
      <c r="BU11" s="10"/>
      <c r="BV11" s="10"/>
      <c r="BW11" s="10"/>
      <c r="BX11" s="10"/>
      <c r="BY11" s="10"/>
      <c r="BZ11" s="10"/>
      <c r="CA11" s="10"/>
    </row>
    <row r="12" spans="1:79" ht="3" customHeight="1" x14ac:dyDescent="0.1">
      <c r="G12" s="16"/>
      <c r="H12" s="16"/>
    </row>
    <row r="13" spans="1:79" ht="12.75" x14ac:dyDescent="0.15">
      <c r="E13" s="133" t="s">
        <v>79</v>
      </c>
      <c r="F13" s="144"/>
      <c r="G13" s="16"/>
      <c r="H13" s="17" t="s">
        <v>33</v>
      </c>
    </row>
    <row r="14" spans="1:79" ht="3" customHeight="1" x14ac:dyDescent="0.1">
      <c r="G14" s="16"/>
      <c r="H14" s="16"/>
    </row>
    <row r="15" spans="1:79" x14ac:dyDescent="0.1">
      <c r="B15" s="132" t="s">
        <v>12</v>
      </c>
      <c r="D15" s="26">
        <v>1</v>
      </c>
      <c r="E15" s="27" t="s">
        <v>10</v>
      </c>
      <c r="F15" s="35" t="s">
        <v>22</v>
      </c>
      <c r="G15" s="36"/>
      <c r="H15" s="29"/>
    </row>
    <row r="16" spans="1:79" x14ac:dyDescent="0.1">
      <c r="B16" s="132"/>
      <c r="D16" s="26">
        <v>2</v>
      </c>
      <c r="E16" s="27" t="s">
        <v>10</v>
      </c>
      <c r="F16" s="35" t="s">
        <v>23</v>
      </c>
      <c r="G16" s="36"/>
      <c r="H16" s="29"/>
    </row>
    <row r="17" spans="2:8" x14ac:dyDescent="0.1">
      <c r="B17" s="132"/>
      <c r="D17" s="26">
        <v>3</v>
      </c>
      <c r="E17" s="27" t="s">
        <v>10</v>
      </c>
      <c r="F17" s="35" t="s">
        <v>65</v>
      </c>
      <c r="G17" s="36"/>
      <c r="H17" s="29"/>
    </row>
    <row r="18" spans="2:8" x14ac:dyDescent="0.1">
      <c r="B18" s="132"/>
      <c r="D18" s="26">
        <v>4</v>
      </c>
      <c r="E18" s="27" t="s">
        <v>10</v>
      </c>
      <c r="F18" s="35" t="s">
        <v>25</v>
      </c>
      <c r="G18" s="36"/>
      <c r="H18" s="29"/>
    </row>
    <row r="19" spans="2:8" x14ac:dyDescent="0.1">
      <c r="B19" s="132"/>
      <c r="D19" s="26">
        <v>5</v>
      </c>
      <c r="E19" s="27" t="s">
        <v>10</v>
      </c>
      <c r="F19" s="35" t="s">
        <v>26</v>
      </c>
      <c r="G19" s="36"/>
      <c r="H19" s="29"/>
    </row>
    <row r="20" spans="2:8" x14ac:dyDescent="0.1">
      <c r="B20" s="132"/>
      <c r="D20" s="26">
        <v>6</v>
      </c>
      <c r="E20" s="27" t="s">
        <v>10</v>
      </c>
      <c r="F20" s="35" t="s">
        <v>86</v>
      </c>
      <c r="G20" s="36"/>
      <c r="H20" s="29"/>
    </row>
    <row r="21" spans="2:8" x14ac:dyDescent="0.1">
      <c r="B21" s="132"/>
      <c r="D21" s="26">
        <v>7</v>
      </c>
      <c r="E21" s="27" t="s">
        <v>10</v>
      </c>
      <c r="F21" s="35" t="s">
        <v>28</v>
      </c>
      <c r="G21" s="36"/>
      <c r="H21" s="29"/>
    </row>
    <row r="22" spans="2:8" x14ac:dyDescent="0.1">
      <c r="B22" s="132"/>
      <c r="D22" s="26">
        <v>8</v>
      </c>
      <c r="E22" s="27" t="s">
        <v>10</v>
      </c>
      <c r="F22" s="35" t="s">
        <v>75</v>
      </c>
      <c r="G22" s="36"/>
      <c r="H22" s="29"/>
    </row>
    <row r="23" spans="2:8" ht="5.0999999999999996" customHeight="1" x14ac:dyDescent="0.1">
      <c r="B23" s="132"/>
    </row>
    <row r="24" spans="2:8" x14ac:dyDescent="0.1">
      <c r="B24" s="132"/>
      <c r="D24" s="26">
        <v>9</v>
      </c>
      <c r="E24" s="30" t="s">
        <v>11</v>
      </c>
      <c r="F24" s="37" t="s">
        <v>29</v>
      </c>
      <c r="G24" s="38"/>
      <c r="H24" s="31">
        <f>SUM(H15:H22)</f>
        <v>0</v>
      </c>
    </row>
    <row r="25" spans="2:8" ht="3" customHeight="1" x14ac:dyDescent="0.1"/>
    <row r="26" spans="2:8" ht="12.75" customHeight="1" x14ac:dyDescent="0.1">
      <c r="E26" s="133" t="s">
        <v>13</v>
      </c>
      <c r="F26" s="133"/>
      <c r="H26" s="17" t="s">
        <v>33</v>
      </c>
    </row>
    <row r="27" spans="2:8" ht="3" customHeight="1" x14ac:dyDescent="0.1"/>
    <row r="28" spans="2:8" x14ac:dyDescent="0.1">
      <c r="B28" s="132" t="s">
        <v>14</v>
      </c>
      <c r="D28" s="26">
        <v>10</v>
      </c>
      <c r="E28" s="27" t="s">
        <v>17</v>
      </c>
      <c r="F28" s="35" t="s">
        <v>47</v>
      </c>
      <c r="G28" s="36"/>
      <c r="H28" s="29"/>
    </row>
    <row r="29" spans="2:8" x14ac:dyDescent="0.1">
      <c r="B29" s="132"/>
      <c r="D29" s="26">
        <v>11</v>
      </c>
      <c r="E29" s="27" t="s">
        <v>17</v>
      </c>
      <c r="F29" s="35" t="s">
        <v>48</v>
      </c>
      <c r="G29" s="36"/>
      <c r="H29" s="29"/>
    </row>
    <row r="30" spans="2:8" x14ac:dyDescent="0.1">
      <c r="B30" s="132"/>
      <c r="D30" s="26">
        <v>12</v>
      </c>
      <c r="E30" s="27" t="s">
        <v>17</v>
      </c>
      <c r="F30" s="35" t="s">
        <v>49</v>
      </c>
      <c r="G30" s="36"/>
      <c r="H30" s="29"/>
    </row>
    <row r="31" spans="2:8" x14ac:dyDescent="0.1">
      <c r="B31" s="132"/>
      <c r="D31" s="26">
        <v>13</v>
      </c>
      <c r="E31" s="27" t="s">
        <v>17</v>
      </c>
      <c r="F31" s="35" t="s">
        <v>50</v>
      </c>
      <c r="G31" s="36"/>
      <c r="H31" s="29"/>
    </row>
    <row r="32" spans="2:8" x14ac:dyDescent="0.1">
      <c r="B32" s="132"/>
      <c r="D32" s="26">
        <v>14</v>
      </c>
      <c r="E32" s="27" t="s">
        <v>17</v>
      </c>
      <c r="F32" s="35" t="s">
        <v>51</v>
      </c>
      <c r="G32" s="36"/>
      <c r="H32" s="29"/>
    </row>
    <row r="33" spans="2:8" x14ac:dyDescent="0.1">
      <c r="B33" s="132"/>
      <c r="D33" s="26">
        <v>15</v>
      </c>
      <c r="E33" s="27" t="s">
        <v>17</v>
      </c>
      <c r="F33" s="35" t="s">
        <v>52</v>
      </c>
      <c r="G33" s="36"/>
      <c r="H33" s="29"/>
    </row>
    <row r="34" spans="2:8" x14ac:dyDescent="0.1">
      <c r="B34" s="132"/>
      <c r="D34" s="26">
        <v>16</v>
      </c>
      <c r="E34" s="27" t="s">
        <v>17</v>
      </c>
      <c r="F34" s="35" t="s">
        <v>53</v>
      </c>
      <c r="G34" s="36"/>
      <c r="H34" s="29"/>
    </row>
    <row r="35" spans="2:8" x14ac:dyDescent="0.1">
      <c r="B35" s="132"/>
      <c r="D35" s="26">
        <v>17</v>
      </c>
      <c r="E35" s="27" t="s">
        <v>17</v>
      </c>
      <c r="F35" s="35" t="s">
        <v>54</v>
      </c>
      <c r="G35" s="36"/>
      <c r="H35" s="29"/>
    </row>
    <row r="36" spans="2:8" x14ac:dyDescent="0.1">
      <c r="B36" s="132"/>
      <c r="D36" s="26">
        <v>18</v>
      </c>
      <c r="E36" s="27" t="s">
        <v>17</v>
      </c>
      <c r="F36" s="35" t="s">
        <v>87</v>
      </c>
      <c r="G36" s="36"/>
      <c r="H36" s="29"/>
    </row>
    <row r="37" spans="2:8" x14ac:dyDescent="0.1">
      <c r="B37" s="132"/>
      <c r="D37" s="26">
        <v>19</v>
      </c>
      <c r="E37" s="27" t="s">
        <v>17</v>
      </c>
      <c r="F37" s="35" t="s">
        <v>88</v>
      </c>
      <c r="G37" s="36"/>
      <c r="H37" s="29"/>
    </row>
    <row r="38" spans="2:8" ht="5.0999999999999996" customHeight="1" x14ac:dyDescent="0.1">
      <c r="B38" s="132"/>
    </row>
    <row r="39" spans="2:8" x14ac:dyDescent="0.1">
      <c r="B39" s="132"/>
      <c r="D39" s="26">
        <v>20</v>
      </c>
      <c r="E39" s="30" t="s">
        <v>11</v>
      </c>
      <c r="F39" s="37" t="s">
        <v>55</v>
      </c>
      <c r="G39" s="38"/>
      <c r="H39" s="31">
        <f>SUM(H28:H37)</f>
        <v>0</v>
      </c>
    </row>
    <row r="40" spans="2:8" ht="3" customHeight="1" x14ac:dyDescent="0.1"/>
    <row r="41" spans="2:8" x14ac:dyDescent="0.1">
      <c r="D41" s="13"/>
      <c r="E41" s="136" t="s">
        <v>15</v>
      </c>
      <c r="F41" s="136"/>
      <c r="H41" s="17" t="s">
        <v>33</v>
      </c>
    </row>
    <row r="42" spans="2:8" ht="3" customHeight="1" x14ac:dyDescent="0.15">
      <c r="D42" s="13"/>
      <c r="E42" s="15"/>
      <c r="F42" s="15"/>
    </row>
    <row r="43" spans="2:8" x14ac:dyDescent="0.1">
      <c r="B43" s="137" t="s">
        <v>15</v>
      </c>
      <c r="D43" s="26">
        <v>21</v>
      </c>
      <c r="E43" s="27" t="s">
        <v>17</v>
      </c>
      <c r="F43" s="35" t="s">
        <v>42</v>
      </c>
      <c r="G43" s="36"/>
      <c r="H43" s="29"/>
    </row>
    <row r="44" spans="2:8" x14ac:dyDescent="0.1">
      <c r="B44" s="137"/>
      <c r="D44" s="26">
        <v>22</v>
      </c>
      <c r="E44" s="27" t="s">
        <v>17</v>
      </c>
      <c r="F44" s="35" t="s">
        <v>73</v>
      </c>
      <c r="G44" s="36"/>
      <c r="H44" s="29"/>
    </row>
    <row r="45" spans="2:8" x14ac:dyDescent="0.1">
      <c r="B45" s="137"/>
      <c r="D45" s="26">
        <v>23</v>
      </c>
      <c r="E45" s="27" t="s">
        <v>17</v>
      </c>
      <c r="F45" s="35" t="s">
        <v>43</v>
      </c>
      <c r="G45" s="36"/>
      <c r="H45" s="29"/>
    </row>
    <row r="46" spans="2:8" ht="5.0999999999999996" customHeight="1" x14ac:dyDescent="0.1">
      <c r="B46" s="137"/>
    </row>
    <row r="47" spans="2:8" x14ac:dyDescent="0.1">
      <c r="B47" s="137"/>
      <c r="D47" s="26">
        <v>24</v>
      </c>
      <c r="E47" s="30" t="s">
        <v>11</v>
      </c>
      <c r="F47" s="37" t="s">
        <v>44</v>
      </c>
      <c r="G47" s="38"/>
      <c r="H47" s="31">
        <f>SUM(H43:H45)</f>
        <v>0</v>
      </c>
    </row>
    <row r="48" spans="2:8" ht="5.0999999999999996" customHeight="1" x14ac:dyDescent="0.1"/>
    <row r="49" spans="2:8" x14ac:dyDescent="0.1">
      <c r="B49" s="33"/>
      <c r="D49" s="26">
        <v>25</v>
      </c>
      <c r="E49" s="30" t="s">
        <v>11</v>
      </c>
      <c r="F49" s="37" t="s">
        <v>77</v>
      </c>
      <c r="G49" s="38"/>
      <c r="H49" s="31">
        <f>H24-H39-H47</f>
        <v>0</v>
      </c>
    </row>
    <row r="50" spans="2:8" ht="5.0999999999999996" customHeight="1" x14ac:dyDescent="0.1"/>
    <row r="51" spans="2:8" x14ac:dyDescent="0.1">
      <c r="B51" s="33"/>
      <c r="D51" s="26">
        <v>26</v>
      </c>
      <c r="E51" s="30" t="s">
        <v>11</v>
      </c>
      <c r="F51" s="37" t="s">
        <v>78</v>
      </c>
      <c r="G51" s="38"/>
      <c r="H51" s="31">
        <f>H49*1.65%</f>
        <v>0</v>
      </c>
    </row>
    <row r="52" spans="2:8" ht="3" customHeight="1" x14ac:dyDescent="0.1"/>
    <row r="53" spans="2:8" x14ac:dyDescent="0.1">
      <c r="E53" s="133" t="s">
        <v>16</v>
      </c>
      <c r="F53" s="133"/>
      <c r="G53" s="17" t="s">
        <v>33</v>
      </c>
      <c r="H53" s="17" t="s">
        <v>33</v>
      </c>
    </row>
    <row r="54" spans="2:8" ht="3" customHeight="1" x14ac:dyDescent="0.1"/>
    <row r="55" spans="2:8" x14ac:dyDescent="0.1">
      <c r="B55" s="138" t="s">
        <v>18</v>
      </c>
      <c r="D55" s="26">
        <v>27</v>
      </c>
      <c r="E55" s="27" t="s">
        <v>17</v>
      </c>
      <c r="F55" s="28" t="s">
        <v>30</v>
      </c>
      <c r="G55" s="29"/>
      <c r="H55" s="32">
        <f>G55*1.65%</f>
        <v>0</v>
      </c>
    </row>
    <row r="56" spans="2:8" x14ac:dyDescent="0.1">
      <c r="B56" s="138"/>
      <c r="D56" s="26">
        <v>28</v>
      </c>
      <c r="E56" s="27" t="s">
        <v>17</v>
      </c>
      <c r="F56" s="28" t="s">
        <v>84</v>
      </c>
      <c r="G56" s="29"/>
      <c r="H56" s="32">
        <f t="shared" ref="H56:H64" si="0">G56*1.65%</f>
        <v>0</v>
      </c>
    </row>
    <row r="57" spans="2:8" x14ac:dyDescent="0.1">
      <c r="B57" s="138"/>
      <c r="D57" s="26">
        <v>29</v>
      </c>
      <c r="E57" s="27" t="s">
        <v>17</v>
      </c>
      <c r="F57" s="28" t="s">
        <v>85</v>
      </c>
      <c r="G57" s="29"/>
      <c r="H57" s="32">
        <f t="shared" si="0"/>
        <v>0</v>
      </c>
    </row>
    <row r="58" spans="2:8" x14ac:dyDescent="0.1">
      <c r="B58" s="138"/>
      <c r="D58" s="26">
        <v>30</v>
      </c>
      <c r="E58" s="27" t="s">
        <v>17</v>
      </c>
      <c r="F58" s="28" t="s">
        <v>62</v>
      </c>
      <c r="G58" s="29"/>
      <c r="H58" s="32">
        <f t="shared" si="0"/>
        <v>0</v>
      </c>
    </row>
    <row r="59" spans="2:8" x14ac:dyDescent="0.1">
      <c r="B59" s="138"/>
      <c r="D59" s="26">
        <v>31</v>
      </c>
      <c r="E59" s="27" t="s">
        <v>17</v>
      </c>
      <c r="F59" s="28" t="s">
        <v>89</v>
      </c>
      <c r="G59" s="29"/>
      <c r="H59" s="32">
        <f t="shared" si="0"/>
        <v>0</v>
      </c>
    </row>
    <row r="60" spans="2:8" x14ac:dyDescent="0.1">
      <c r="B60" s="138"/>
      <c r="D60" s="26">
        <v>32</v>
      </c>
      <c r="E60" s="27" t="s">
        <v>17</v>
      </c>
      <c r="F60" s="28" t="s">
        <v>34</v>
      </c>
      <c r="G60" s="29"/>
      <c r="H60" s="32">
        <f t="shared" si="0"/>
        <v>0</v>
      </c>
    </row>
    <row r="61" spans="2:8" x14ac:dyDescent="0.1">
      <c r="B61" s="138"/>
      <c r="D61" s="26">
        <v>33</v>
      </c>
      <c r="E61" s="27" t="s">
        <v>17</v>
      </c>
      <c r="F61" s="28" t="s">
        <v>63</v>
      </c>
      <c r="G61" s="29"/>
      <c r="H61" s="32">
        <f t="shared" si="0"/>
        <v>0</v>
      </c>
    </row>
    <row r="62" spans="2:8" x14ac:dyDescent="0.1">
      <c r="B62" s="138"/>
      <c r="D62" s="26">
        <v>34</v>
      </c>
      <c r="E62" s="27" t="s">
        <v>17</v>
      </c>
      <c r="F62" s="28" t="s">
        <v>36</v>
      </c>
      <c r="G62" s="29"/>
      <c r="H62" s="32">
        <f t="shared" si="0"/>
        <v>0</v>
      </c>
    </row>
    <row r="63" spans="2:8" x14ac:dyDescent="0.1">
      <c r="B63" s="138"/>
      <c r="D63" s="26">
        <v>35</v>
      </c>
      <c r="E63" s="27" t="s">
        <v>17</v>
      </c>
      <c r="F63" s="28" t="s">
        <v>37</v>
      </c>
      <c r="G63" s="29"/>
      <c r="H63" s="32">
        <f t="shared" si="0"/>
        <v>0</v>
      </c>
    </row>
    <row r="64" spans="2:8" x14ac:dyDescent="0.1">
      <c r="B64" s="138"/>
      <c r="D64" s="26">
        <v>36</v>
      </c>
      <c r="E64" s="27" t="s">
        <v>17</v>
      </c>
      <c r="F64" s="28" t="s">
        <v>64</v>
      </c>
      <c r="G64" s="29"/>
      <c r="H64" s="32">
        <f t="shared" si="0"/>
        <v>0</v>
      </c>
    </row>
    <row r="65" spans="2:8" x14ac:dyDescent="0.1">
      <c r="B65" s="138"/>
      <c r="D65" s="26">
        <v>37</v>
      </c>
      <c r="E65" s="27" t="s">
        <v>17</v>
      </c>
      <c r="F65" s="35" t="s">
        <v>2</v>
      </c>
      <c r="G65" s="36"/>
      <c r="H65" s="29"/>
    </row>
    <row r="66" spans="2:8" x14ac:dyDescent="0.1">
      <c r="B66" s="138"/>
      <c r="D66" s="26">
        <v>38</v>
      </c>
      <c r="E66" s="27" t="s">
        <v>17</v>
      </c>
      <c r="F66" s="35" t="s">
        <v>146</v>
      </c>
      <c r="G66" s="36"/>
      <c r="H66" s="29"/>
    </row>
    <row r="67" spans="2:8" ht="5.0999999999999996" customHeight="1" x14ac:dyDescent="0.1">
      <c r="B67" s="138"/>
    </row>
    <row r="68" spans="2:8" x14ac:dyDescent="0.1">
      <c r="B68" s="138"/>
      <c r="D68" s="26">
        <v>39</v>
      </c>
      <c r="E68" s="30" t="s">
        <v>11</v>
      </c>
      <c r="F68" s="37" t="s">
        <v>40</v>
      </c>
      <c r="G68" s="38"/>
      <c r="H68" s="31">
        <f>SUM(H55:H66)</f>
        <v>0</v>
      </c>
    </row>
    <row r="69" spans="2:8" ht="5.0999999999999996" customHeight="1" x14ac:dyDescent="0.1"/>
    <row r="70" spans="2:8" x14ac:dyDescent="0.1">
      <c r="B70" s="33"/>
      <c r="D70" s="26">
        <v>40</v>
      </c>
      <c r="E70" s="30" t="s">
        <v>11</v>
      </c>
      <c r="F70" s="37" t="s">
        <v>82</v>
      </c>
      <c r="G70" s="38"/>
      <c r="H70" s="31">
        <f>H51-H68</f>
        <v>0</v>
      </c>
    </row>
    <row r="71" spans="2:8" ht="3" customHeight="1" x14ac:dyDescent="0.1"/>
    <row r="72" spans="2:8" x14ac:dyDescent="0.1">
      <c r="E72" s="131" t="s">
        <v>66</v>
      </c>
      <c r="F72" s="131"/>
      <c r="G72" s="131"/>
    </row>
    <row r="73" spans="2:8" ht="3" customHeight="1" x14ac:dyDescent="0.1"/>
    <row r="74" spans="2:8" ht="12.75" customHeight="1" x14ac:dyDescent="0.1">
      <c r="B74" s="145" t="s">
        <v>76</v>
      </c>
      <c r="D74" s="26">
        <v>41</v>
      </c>
      <c r="E74" s="27" t="s">
        <v>10</v>
      </c>
      <c r="F74" s="37" t="s">
        <v>67</v>
      </c>
      <c r="G74" s="36"/>
      <c r="H74" s="31">
        <f>H66</f>
        <v>0</v>
      </c>
    </row>
    <row r="75" spans="2:8" x14ac:dyDescent="0.1">
      <c r="B75" s="146"/>
      <c r="D75" s="26">
        <v>42</v>
      </c>
      <c r="E75" s="27" t="s">
        <v>10</v>
      </c>
      <c r="F75" s="35" t="s">
        <v>68</v>
      </c>
      <c r="G75" s="36"/>
      <c r="H75" s="32">
        <f>H68</f>
        <v>0</v>
      </c>
    </row>
    <row r="76" spans="2:8" x14ac:dyDescent="0.1">
      <c r="B76" s="146"/>
      <c r="D76" s="26">
        <v>43</v>
      </c>
      <c r="E76" s="30" t="s">
        <v>11</v>
      </c>
      <c r="F76" s="37" t="s">
        <v>69</v>
      </c>
      <c r="G76" s="36"/>
      <c r="H76" s="31">
        <f>H68</f>
        <v>0</v>
      </c>
    </row>
    <row r="77" spans="2:8" x14ac:dyDescent="0.1">
      <c r="B77" s="146"/>
      <c r="D77" s="26">
        <v>44</v>
      </c>
      <c r="E77" s="27" t="s">
        <v>17</v>
      </c>
      <c r="F77" s="35" t="s">
        <v>70</v>
      </c>
      <c r="G77" s="36"/>
      <c r="H77" s="32">
        <f>H51</f>
        <v>0</v>
      </c>
    </row>
    <row r="78" spans="2:8" x14ac:dyDescent="0.1">
      <c r="B78" s="146"/>
      <c r="D78" s="26">
        <v>45</v>
      </c>
      <c r="E78" s="30" t="s">
        <v>11</v>
      </c>
      <c r="F78" s="37" t="s">
        <v>83</v>
      </c>
      <c r="G78" s="36"/>
      <c r="H78" s="42">
        <f>IF((H77-H76)&lt;0,0,(H77-H76))</f>
        <v>0</v>
      </c>
    </row>
    <row r="79" spans="2:8" x14ac:dyDescent="0.1">
      <c r="B79" s="147"/>
      <c r="D79" s="26">
        <v>46</v>
      </c>
      <c r="E79" s="30" t="s">
        <v>11</v>
      </c>
      <c r="F79" s="37" t="s">
        <v>72</v>
      </c>
      <c r="G79" s="36"/>
      <c r="H79" s="42">
        <f>IF((H77-H76)&lt;0,((H77-H76)*(-1)),0)</f>
        <v>0</v>
      </c>
    </row>
    <row r="80" spans="2:8" x14ac:dyDescent="0.1">
      <c r="B80" s="46"/>
      <c r="C80" s="1"/>
      <c r="D80" s="17"/>
      <c r="E80" s="43"/>
      <c r="F80" s="44"/>
      <c r="G80" s="16"/>
      <c r="H80" s="45"/>
    </row>
    <row r="81" spans="2:8" ht="9.9499999999999993" customHeight="1" x14ac:dyDescent="0.1">
      <c r="B81" s="134" t="s">
        <v>19</v>
      </c>
      <c r="C81" s="134"/>
      <c r="D81" s="134"/>
      <c r="E81" s="134"/>
      <c r="F81" s="134"/>
      <c r="G81" s="134"/>
      <c r="H81" s="134"/>
    </row>
    <row r="82" spans="2:8" ht="9" customHeight="1" x14ac:dyDescent="0.1">
      <c r="B82" s="135" t="s">
        <v>20</v>
      </c>
      <c r="C82" s="135"/>
      <c r="D82" s="135"/>
      <c r="E82" s="135"/>
      <c r="F82" s="135"/>
      <c r="G82" s="135"/>
      <c r="H82" s="135"/>
    </row>
    <row r="83" spans="2:8" ht="9" customHeight="1" x14ac:dyDescent="0.1">
      <c r="B83" s="135" t="s">
        <v>21</v>
      </c>
      <c r="C83" s="135"/>
      <c r="D83" s="135"/>
      <c r="E83" s="135"/>
      <c r="F83" s="135"/>
      <c r="G83" s="135"/>
      <c r="H83" s="135"/>
    </row>
    <row r="84" spans="2:8" s="3" customFormat="1" x14ac:dyDescent="0.1">
      <c r="B84" s="18"/>
      <c r="D84" s="19"/>
      <c r="E84" s="18"/>
    </row>
    <row r="85" spans="2:8" s="3" customFormat="1" x14ac:dyDescent="0.1">
      <c r="B85" s="18"/>
      <c r="D85" s="19"/>
      <c r="E85" s="18"/>
    </row>
    <row r="86" spans="2:8" s="3" customFormat="1" x14ac:dyDescent="0.1">
      <c r="B86" s="18"/>
      <c r="D86" s="19"/>
      <c r="E86" s="18"/>
    </row>
    <row r="87" spans="2:8" s="3" customFormat="1" x14ac:dyDescent="0.1">
      <c r="B87" s="18"/>
      <c r="D87" s="19"/>
      <c r="E87" s="18"/>
    </row>
    <row r="88" spans="2:8" s="3" customFormat="1" x14ac:dyDescent="0.1">
      <c r="B88" s="18"/>
      <c r="D88" s="19"/>
      <c r="E88" s="18"/>
    </row>
    <row r="89" spans="2:8" s="3" customFormat="1" x14ac:dyDescent="0.1">
      <c r="B89" s="18"/>
      <c r="D89" s="19"/>
      <c r="E89" s="18"/>
    </row>
    <row r="90" spans="2:8" s="3" customFormat="1" x14ac:dyDescent="0.1">
      <c r="B90" s="18"/>
      <c r="D90" s="19"/>
      <c r="E90" s="18"/>
    </row>
    <row r="91" spans="2:8" s="3" customFormat="1" x14ac:dyDescent="0.1">
      <c r="B91" s="18"/>
      <c r="D91" s="19"/>
      <c r="E91" s="18"/>
    </row>
    <row r="92" spans="2:8" s="3" customFormat="1" x14ac:dyDescent="0.1">
      <c r="B92" s="18"/>
      <c r="D92" s="19"/>
      <c r="E92" s="18"/>
    </row>
    <row r="93" spans="2:8" s="3" customFormat="1" x14ac:dyDescent="0.1">
      <c r="B93" s="18"/>
      <c r="D93" s="19"/>
      <c r="E93" s="18"/>
    </row>
    <row r="94" spans="2:8" s="3" customFormat="1" x14ac:dyDescent="0.1">
      <c r="B94" s="18"/>
      <c r="D94" s="19"/>
      <c r="E94" s="18"/>
    </row>
    <row r="95" spans="2:8" s="3" customFormat="1" x14ac:dyDescent="0.1">
      <c r="B95" s="18"/>
      <c r="D95" s="19"/>
      <c r="E95" s="18"/>
    </row>
    <row r="96" spans="2:8" s="3" customFormat="1" x14ac:dyDescent="0.1">
      <c r="B96" s="18"/>
      <c r="D96" s="19"/>
      <c r="E96" s="18"/>
    </row>
    <row r="97" spans="2:5" s="3" customFormat="1" x14ac:dyDescent="0.1">
      <c r="B97" s="18"/>
      <c r="D97" s="19"/>
      <c r="E97" s="18"/>
    </row>
    <row r="98" spans="2:5" s="3" customFormat="1" x14ac:dyDescent="0.1">
      <c r="B98" s="18"/>
      <c r="D98" s="19"/>
      <c r="E98" s="18"/>
    </row>
    <row r="99" spans="2:5" s="3" customFormat="1" x14ac:dyDescent="0.1">
      <c r="B99" s="18"/>
      <c r="D99" s="19"/>
      <c r="E99" s="18"/>
    </row>
    <row r="100" spans="2:5" s="3" customFormat="1" x14ac:dyDescent="0.1">
      <c r="B100" s="18"/>
      <c r="D100" s="19"/>
      <c r="E100" s="18"/>
    </row>
    <row r="101" spans="2:5" s="3" customFormat="1" x14ac:dyDescent="0.1">
      <c r="B101" s="18"/>
      <c r="D101" s="19"/>
      <c r="E101" s="18"/>
    </row>
    <row r="102" spans="2:5" s="3" customFormat="1" x14ac:dyDescent="0.1">
      <c r="B102" s="18"/>
      <c r="D102" s="19"/>
      <c r="E102" s="18"/>
    </row>
    <row r="103" spans="2:5" s="3" customFormat="1" x14ac:dyDescent="0.1">
      <c r="B103" s="18"/>
      <c r="D103" s="19"/>
      <c r="E103" s="18"/>
    </row>
    <row r="104" spans="2:5" s="3" customFormat="1" x14ac:dyDescent="0.1">
      <c r="B104" s="18"/>
      <c r="D104" s="19"/>
      <c r="E104" s="18"/>
    </row>
    <row r="105" spans="2:5" s="3" customFormat="1" x14ac:dyDescent="0.1">
      <c r="B105" s="18"/>
      <c r="D105" s="19"/>
      <c r="E105" s="18"/>
    </row>
    <row r="106" spans="2:5" s="3" customFormat="1" x14ac:dyDescent="0.1">
      <c r="B106" s="18"/>
      <c r="D106" s="19"/>
      <c r="E106" s="18"/>
    </row>
    <row r="107" spans="2:5" s="3" customFormat="1" x14ac:dyDescent="0.1">
      <c r="B107" s="18"/>
      <c r="D107" s="19"/>
      <c r="E107" s="18"/>
    </row>
    <row r="108" spans="2:5" s="3" customFormat="1" x14ac:dyDescent="0.1">
      <c r="B108" s="18"/>
      <c r="D108" s="19"/>
      <c r="E108" s="18"/>
    </row>
    <row r="109" spans="2:5" s="3" customFormat="1" x14ac:dyDescent="0.1">
      <c r="B109" s="18"/>
      <c r="D109" s="19"/>
      <c r="E109" s="18"/>
    </row>
    <row r="110" spans="2:5" s="3" customFormat="1" x14ac:dyDescent="0.1">
      <c r="B110" s="18"/>
      <c r="D110" s="19"/>
      <c r="E110" s="18"/>
    </row>
    <row r="111" spans="2:5" s="3" customFormat="1" x14ac:dyDescent="0.1">
      <c r="B111" s="18"/>
      <c r="D111" s="19"/>
      <c r="E111" s="18"/>
    </row>
    <row r="112" spans="2:5" s="3" customFormat="1" x14ac:dyDescent="0.1">
      <c r="B112" s="18"/>
      <c r="D112" s="19"/>
      <c r="E112" s="18"/>
    </row>
    <row r="113" spans="2:5" s="3" customFormat="1" x14ac:dyDescent="0.1">
      <c r="B113" s="18"/>
      <c r="D113" s="19"/>
      <c r="E113" s="18"/>
    </row>
    <row r="114" spans="2:5" s="3" customFormat="1" x14ac:dyDescent="0.1">
      <c r="B114" s="18"/>
      <c r="D114" s="19"/>
      <c r="E114" s="18"/>
    </row>
    <row r="115" spans="2:5" s="3" customFormat="1" x14ac:dyDescent="0.1">
      <c r="B115" s="18"/>
      <c r="D115" s="19"/>
      <c r="E115" s="18"/>
    </row>
    <row r="116" spans="2:5" s="3" customFormat="1" x14ac:dyDescent="0.1">
      <c r="B116" s="18"/>
      <c r="D116" s="19"/>
      <c r="E116" s="18"/>
    </row>
    <row r="117" spans="2:5" s="3" customFormat="1" x14ac:dyDescent="0.1">
      <c r="B117" s="18"/>
      <c r="D117" s="19"/>
      <c r="E117" s="18"/>
    </row>
    <row r="118" spans="2:5" s="3" customFormat="1" x14ac:dyDescent="0.1">
      <c r="B118" s="18"/>
      <c r="D118" s="19"/>
      <c r="E118" s="18"/>
    </row>
    <row r="119" spans="2:5" s="3" customFormat="1" x14ac:dyDescent="0.1">
      <c r="B119" s="18"/>
      <c r="D119" s="19"/>
      <c r="E119" s="18"/>
    </row>
    <row r="120" spans="2:5" s="3" customFormat="1" x14ac:dyDescent="0.1">
      <c r="B120" s="18"/>
      <c r="D120" s="19"/>
      <c r="E120" s="18"/>
    </row>
    <row r="121" spans="2:5" s="3" customFormat="1" x14ac:dyDescent="0.1">
      <c r="B121" s="18"/>
      <c r="D121" s="19"/>
      <c r="E121" s="18"/>
    </row>
    <row r="122" spans="2:5" s="3" customFormat="1" x14ac:dyDescent="0.1">
      <c r="B122" s="18"/>
      <c r="D122" s="19"/>
      <c r="E122" s="18"/>
    </row>
    <row r="123" spans="2:5" s="3" customFormat="1" x14ac:dyDescent="0.1">
      <c r="B123" s="18"/>
      <c r="D123" s="19"/>
      <c r="E123" s="18"/>
    </row>
    <row r="124" spans="2:5" s="3" customFormat="1" x14ac:dyDescent="0.1">
      <c r="B124" s="18"/>
      <c r="D124" s="19"/>
      <c r="E124" s="18"/>
    </row>
    <row r="125" spans="2:5" s="3" customFormat="1" x14ac:dyDescent="0.1">
      <c r="B125" s="18"/>
      <c r="D125" s="19"/>
      <c r="E125" s="18"/>
    </row>
    <row r="126" spans="2:5" s="3" customFormat="1" x14ac:dyDescent="0.1">
      <c r="B126" s="18"/>
      <c r="D126" s="19"/>
      <c r="E126" s="18"/>
    </row>
    <row r="127" spans="2:5" s="3" customFormat="1" x14ac:dyDescent="0.1">
      <c r="B127" s="18"/>
      <c r="D127" s="19"/>
      <c r="E127" s="18"/>
    </row>
    <row r="128" spans="2:5" s="3" customFormat="1" x14ac:dyDescent="0.1">
      <c r="B128" s="18"/>
      <c r="D128" s="19"/>
      <c r="E128" s="18"/>
    </row>
    <row r="129" spans="2:5" s="3" customFormat="1" x14ac:dyDescent="0.1">
      <c r="B129" s="18"/>
      <c r="D129" s="19"/>
      <c r="E129" s="18"/>
    </row>
    <row r="130" spans="2:5" s="3" customFormat="1" x14ac:dyDescent="0.1">
      <c r="B130" s="18"/>
      <c r="D130" s="19"/>
      <c r="E130" s="18"/>
    </row>
    <row r="131" spans="2:5" s="3" customFormat="1" x14ac:dyDescent="0.1">
      <c r="B131" s="18"/>
      <c r="D131" s="19"/>
      <c r="E131" s="18"/>
    </row>
    <row r="132" spans="2:5" s="3" customFormat="1" x14ac:dyDescent="0.1">
      <c r="B132" s="18"/>
      <c r="D132" s="19"/>
      <c r="E132" s="18"/>
    </row>
    <row r="133" spans="2:5" s="3" customFormat="1" x14ac:dyDescent="0.1">
      <c r="B133" s="18"/>
      <c r="D133" s="19"/>
      <c r="E133" s="18"/>
    </row>
    <row r="134" spans="2:5" s="3" customFormat="1" x14ac:dyDescent="0.1">
      <c r="B134" s="18"/>
      <c r="D134" s="19"/>
      <c r="E134" s="18"/>
    </row>
    <row r="135" spans="2:5" s="3" customFormat="1" x14ac:dyDescent="0.1">
      <c r="B135" s="18"/>
      <c r="D135" s="19"/>
      <c r="E135" s="18"/>
    </row>
    <row r="136" spans="2:5" s="3" customFormat="1" x14ac:dyDescent="0.1">
      <c r="B136" s="18"/>
      <c r="D136" s="19"/>
      <c r="E136" s="18"/>
    </row>
    <row r="137" spans="2:5" s="3" customFormat="1" x14ac:dyDescent="0.1">
      <c r="B137" s="18"/>
      <c r="D137" s="19"/>
      <c r="E137" s="18"/>
    </row>
    <row r="138" spans="2:5" s="3" customFormat="1" x14ac:dyDescent="0.1">
      <c r="B138" s="18"/>
      <c r="D138" s="19"/>
      <c r="E138" s="18"/>
    </row>
    <row r="139" spans="2:5" s="3" customFormat="1" x14ac:dyDescent="0.1">
      <c r="B139" s="18"/>
      <c r="D139" s="19"/>
      <c r="E139" s="18"/>
    </row>
    <row r="140" spans="2:5" s="3" customFormat="1" x14ac:dyDescent="0.1">
      <c r="B140" s="18"/>
      <c r="D140" s="19"/>
      <c r="E140" s="18"/>
    </row>
    <row r="141" spans="2:5" s="3" customFormat="1" x14ac:dyDescent="0.1">
      <c r="B141" s="18"/>
      <c r="D141" s="19"/>
      <c r="E141" s="18"/>
    </row>
    <row r="142" spans="2:5" s="3" customFormat="1" x14ac:dyDescent="0.1">
      <c r="B142" s="18"/>
      <c r="D142" s="19"/>
      <c r="E142" s="18"/>
    </row>
    <row r="143" spans="2:5" s="3" customFormat="1" x14ac:dyDescent="0.1">
      <c r="B143" s="18"/>
      <c r="D143" s="19"/>
      <c r="E143" s="18"/>
    </row>
    <row r="144" spans="2:5" s="3" customFormat="1" x14ac:dyDescent="0.1">
      <c r="B144" s="18"/>
      <c r="D144" s="19"/>
      <c r="E144" s="18"/>
    </row>
    <row r="145" spans="2:5" s="3" customFormat="1" x14ac:dyDescent="0.1">
      <c r="B145" s="18"/>
      <c r="D145" s="19"/>
      <c r="E145" s="18"/>
    </row>
    <row r="146" spans="2:5" s="3" customFormat="1" x14ac:dyDescent="0.1">
      <c r="B146" s="18"/>
      <c r="D146" s="19"/>
      <c r="E146" s="18"/>
    </row>
    <row r="147" spans="2:5" s="3" customFormat="1" x14ac:dyDescent="0.1">
      <c r="B147" s="18"/>
      <c r="D147" s="19"/>
      <c r="E147" s="18"/>
    </row>
    <row r="148" spans="2:5" s="3" customFormat="1" x14ac:dyDescent="0.1">
      <c r="B148" s="18"/>
      <c r="D148" s="19"/>
      <c r="E148" s="18"/>
    </row>
    <row r="149" spans="2:5" s="3" customFormat="1" x14ac:dyDescent="0.1">
      <c r="B149" s="18"/>
      <c r="D149" s="19"/>
      <c r="E149" s="18"/>
    </row>
    <row r="150" spans="2:5" s="3" customFormat="1" x14ac:dyDescent="0.1">
      <c r="B150" s="18"/>
      <c r="D150" s="19"/>
      <c r="E150" s="18"/>
    </row>
    <row r="151" spans="2:5" s="3" customFormat="1" x14ac:dyDescent="0.1">
      <c r="B151" s="18"/>
      <c r="D151" s="19"/>
      <c r="E151" s="18"/>
    </row>
    <row r="152" spans="2:5" s="3" customFormat="1" x14ac:dyDescent="0.1">
      <c r="B152" s="18"/>
      <c r="D152" s="19"/>
      <c r="E152" s="18"/>
    </row>
    <row r="153" spans="2:5" s="3" customFormat="1" x14ac:dyDescent="0.1">
      <c r="B153" s="18"/>
      <c r="D153" s="19"/>
      <c r="E153" s="18"/>
    </row>
    <row r="154" spans="2:5" s="3" customFormat="1" x14ac:dyDescent="0.1">
      <c r="B154" s="18"/>
      <c r="D154" s="19"/>
      <c r="E154" s="18"/>
    </row>
    <row r="155" spans="2:5" s="3" customFormat="1" x14ac:dyDescent="0.1">
      <c r="B155" s="18"/>
      <c r="D155" s="19"/>
      <c r="E155" s="18"/>
    </row>
    <row r="156" spans="2:5" s="3" customFormat="1" x14ac:dyDescent="0.1">
      <c r="B156" s="18"/>
      <c r="D156" s="19"/>
      <c r="E156" s="18"/>
    </row>
    <row r="157" spans="2:5" s="3" customFormat="1" x14ac:dyDescent="0.1">
      <c r="B157" s="18"/>
      <c r="D157" s="19"/>
      <c r="E157" s="18"/>
    </row>
    <row r="158" spans="2:5" s="3" customFormat="1" x14ac:dyDescent="0.1">
      <c r="B158" s="18"/>
      <c r="D158" s="19"/>
      <c r="E158" s="18"/>
    </row>
    <row r="159" spans="2:5" s="3" customFormat="1" x14ac:dyDescent="0.1">
      <c r="B159" s="18"/>
      <c r="D159" s="19"/>
      <c r="E159" s="18"/>
    </row>
    <row r="160" spans="2:5" s="3" customFormat="1" x14ac:dyDescent="0.1">
      <c r="B160" s="18"/>
      <c r="D160" s="19"/>
      <c r="E160" s="18"/>
    </row>
    <row r="161" spans="2:5" s="3" customFormat="1" x14ac:dyDescent="0.1">
      <c r="B161" s="18"/>
      <c r="D161" s="19"/>
      <c r="E161" s="18"/>
    </row>
    <row r="162" spans="2:5" s="3" customFormat="1" x14ac:dyDescent="0.1">
      <c r="B162" s="18"/>
      <c r="D162" s="19"/>
      <c r="E162" s="18"/>
    </row>
    <row r="163" spans="2:5" s="3" customFormat="1" x14ac:dyDescent="0.1">
      <c r="B163" s="18"/>
      <c r="D163" s="19"/>
      <c r="E163" s="18"/>
    </row>
    <row r="164" spans="2:5" s="3" customFormat="1" x14ac:dyDescent="0.1">
      <c r="B164" s="18"/>
      <c r="D164" s="19"/>
      <c r="E164" s="18"/>
    </row>
    <row r="165" spans="2:5" s="3" customFormat="1" x14ac:dyDescent="0.1">
      <c r="B165" s="18"/>
      <c r="D165" s="19"/>
      <c r="E165" s="18"/>
    </row>
    <row r="166" spans="2:5" s="3" customFormat="1" x14ac:dyDescent="0.1">
      <c r="B166" s="18"/>
      <c r="D166" s="19"/>
      <c r="E166" s="18"/>
    </row>
    <row r="167" spans="2:5" s="3" customFormat="1" x14ac:dyDescent="0.1">
      <c r="B167" s="18"/>
      <c r="D167" s="19"/>
      <c r="E167" s="18"/>
    </row>
    <row r="168" spans="2:5" s="3" customFormat="1" x14ac:dyDescent="0.1">
      <c r="B168" s="18"/>
      <c r="D168" s="19"/>
      <c r="E168" s="18"/>
    </row>
    <row r="169" spans="2:5" s="3" customFormat="1" x14ac:dyDescent="0.1">
      <c r="B169" s="18"/>
      <c r="D169" s="19"/>
      <c r="E169" s="18"/>
    </row>
    <row r="170" spans="2:5" s="3" customFormat="1" x14ac:dyDescent="0.1">
      <c r="B170" s="18"/>
      <c r="D170" s="19"/>
      <c r="E170" s="18"/>
    </row>
    <row r="171" spans="2:5" s="3" customFormat="1" x14ac:dyDescent="0.1">
      <c r="B171" s="18"/>
      <c r="D171" s="19"/>
      <c r="E171" s="18"/>
    </row>
    <row r="172" spans="2:5" s="3" customFormat="1" x14ac:dyDescent="0.1">
      <c r="B172" s="18"/>
      <c r="D172" s="19"/>
      <c r="E172" s="18"/>
    </row>
    <row r="173" spans="2:5" s="3" customFormat="1" x14ac:dyDescent="0.1">
      <c r="B173" s="18"/>
      <c r="D173" s="19"/>
      <c r="E173" s="18"/>
    </row>
    <row r="174" spans="2:5" s="3" customFormat="1" x14ac:dyDescent="0.1">
      <c r="B174" s="18"/>
      <c r="D174" s="19"/>
      <c r="E174" s="18"/>
    </row>
    <row r="175" spans="2:5" s="3" customFormat="1" x14ac:dyDescent="0.1">
      <c r="B175" s="18"/>
      <c r="D175" s="19"/>
      <c r="E175" s="18"/>
    </row>
    <row r="176" spans="2:5" s="3" customFormat="1" x14ac:dyDescent="0.1">
      <c r="B176" s="18"/>
      <c r="D176" s="19"/>
      <c r="E176" s="18"/>
    </row>
    <row r="177" spans="2:5" s="3" customFormat="1" x14ac:dyDescent="0.1">
      <c r="B177" s="18"/>
      <c r="D177" s="19"/>
      <c r="E177" s="18"/>
    </row>
    <row r="178" spans="2:5" s="3" customFormat="1" x14ac:dyDescent="0.1">
      <c r="B178" s="18"/>
      <c r="D178" s="19"/>
      <c r="E178" s="18"/>
    </row>
    <row r="179" spans="2:5" s="3" customFormat="1" x14ac:dyDescent="0.1">
      <c r="B179" s="18"/>
      <c r="D179" s="19"/>
      <c r="E179" s="18"/>
    </row>
    <row r="180" spans="2:5" s="3" customFormat="1" x14ac:dyDescent="0.1">
      <c r="B180" s="18"/>
      <c r="D180" s="19"/>
      <c r="E180" s="18"/>
    </row>
    <row r="181" spans="2:5" s="3" customFormat="1" x14ac:dyDescent="0.1">
      <c r="B181" s="18"/>
      <c r="D181" s="19"/>
      <c r="E181" s="18"/>
    </row>
    <row r="182" spans="2:5" s="3" customFormat="1" x14ac:dyDescent="0.1">
      <c r="B182" s="18"/>
      <c r="D182" s="19"/>
      <c r="E182" s="18"/>
    </row>
    <row r="183" spans="2:5" s="3" customFormat="1" x14ac:dyDescent="0.1">
      <c r="B183" s="18"/>
      <c r="D183" s="19"/>
      <c r="E183" s="18"/>
    </row>
    <row r="184" spans="2:5" s="3" customFormat="1" x14ac:dyDescent="0.1">
      <c r="B184" s="18"/>
      <c r="D184" s="19"/>
      <c r="E184" s="18"/>
    </row>
    <row r="185" spans="2:5" s="3" customFormat="1" x14ac:dyDescent="0.1">
      <c r="B185" s="18"/>
      <c r="D185" s="19"/>
      <c r="E185" s="18"/>
    </row>
    <row r="186" spans="2:5" s="3" customFormat="1" x14ac:dyDescent="0.1">
      <c r="B186" s="18"/>
      <c r="D186" s="19"/>
      <c r="E186" s="18"/>
    </row>
    <row r="187" spans="2:5" s="3" customFormat="1" x14ac:dyDescent="0.1">
      <c r="B187" s="18"/>
      <c r="D187" s="19"/>
      <c r="E187" s="18"/>
    </row>
    <row r="188" spans="2:5" s="3" customFormat="1" x14ac:dyDescent="0.1">
      <c r="B188" s="18"/>
      <c r="D188" s="19"/>
      <c r="E188" s="18"/>
    </row>
    <row r="189" spans="2:5" s="3" customFormat="1" x14ac:dyDescent="0.1">
      <c r="B189" s="18"/>
      <c r="D189" s="19"/>
      <c r="E189" s="18"/>
    </row>
    <row r="190" spans="2:5" s="3" customFormat="1" x14ac:dyDescent="0.1">
      <c r="B190" s="18"/>
      <c r="D190" s="19"/>
      <c r="E190" s="18"/>
    </row>
    <row r="191" spans="2:5" s="3" customFormat="1" x14ac:dyDescent="0.1">
      <c r="B191" s="18"/>
      <c r="D191" s="19"/>
      <c r="E191" s="18"/>
    </row>
    <row r="192" spans="2:5" s="3" customFormat="1" x14ac:dyDescent="0.1">
      <c r="B192" s="18"/>
      <c r="D192" s="19"/>
      <c r="E192" s="18"/>
    </row>
    <row r="193" spans="2:5" s="3" customFormat="1" x14ac:dyDescent="0.1">
      <c r="B193" s="18"/>
      <c r="D193" s="19"/>
      <c r="E193" s="18"/>
    </row>
    <row r="194" spans="2:5" s="3" customFormat="1" x14ac:dyDescent="0.1">
      <c r="B194" s="18"/>
      <c r="D194" s="19"/>
      <c r="E194" s="18"/>
    </row>
    <row r="195" spans="2:5" s="3" customFormat="1" x14ac:dyDescent="0.1">
      <c r="B195" s="18"/>
      <c r="D195" s="19"/>
      <c r="E195" s="18"/>
    </row>
    <row r="196" spans="2:5" s="3" customFormat="1" x14ac:dyDescent="0.1">
      <c r="B196" s="18"/>
      <c r="D196" s="19"/>
      <c r="E196" s="18"/>
    </row>
    <row r="197" spans="2:5" s="3" customFormat="1" x14ac:dyDescent="0.1">
      <c r="B197" s="18"/>
      <c r="D197" s="19"/>
      <c r="E197" s="18"/>
    </row>
    <row r="198" spans="2:5" s="3" customFormat="1" x14ac:dyDescent="0.1">
      <c r="B198" s="18"/>
      <c r="D198" s="19"/>
      <c r="E198" s="18"/>
    </row>
    <row r="199" spans="2:5" s="3" customFormat="1" x14ac:dyDescent="0.1">
      <c r="B199" s="18"/>
      <c r="D199" s="19"/>
      <c r="E199" s="18"/>
    </row>
    <row r="200" spans="2:5" s="3" customFormat="1" x14ac:dyDescent="0.1">
      <c r="B200" s="18"/>
      <c r="D200" s="19"/>
      <c r="E200" s="18"/>
    </row>
    <row r="201" spans="2:5" s="3" customFormat="1" x14ac:dyDescent="0.1">
      <c r="B201" s="18"/>
      <c r="D201" s="19"/>
      <c r="E201" s="18"/>
    </row>
    <row r="202" spans="2:5" s="3" customFormat="1" x14ac:dyDescent="0.1">
      <c r="B202" s="18"/>
      <c r="D202" s="19"/>
      <c r="E202" s="18"/>
    </row>
    <row r="203" spans="2:5" s="3" customFormat="1" x14ac:dyDescent="0.1">
      <c r="B203" s="18"/>
      <c r="D203" s="19"/>
      <c r="E203" s="18"/>
    </row>
    <row r="204" spans="2:5" s="3" customFormat="1" x14ac:dyDescent="0.1">
      <c r="B204" s="18"/>
      <c r="D204" s="19"/>
      <c r="E204" s="18"/>
    </row>
    <row r="205" spans="2:5" s="3" customFormat="1" x14ac:dyDescent="0.1">
      <c r="B205" s="18"/>
      <c r="D205" s="19"/>
      <c r="E205" s="18"/>
    </row>
    <row r="206" spans="2:5" s="3" customFormat="1" x14ac:dyDescent="0.1">
      <c r="B206" s="18"/>
      <c r="D206" s="19"/>
      <c r="E206" s="18"/>
    </row>
    <row r="207" spans="2:5" s="3" customFormat="1" x14ac:dyDescent="0.1">
      <c r="B207" s="18"/>
      <c r="D207" s="19"/>
      <c r="E207" s="18"/>
    </row>
    <row r="208" spans="2:5" s="3" customFormat="1" x14ac:dyDescent="0.1">
      <c r="B208" s="18"/>
      <c r="D208" s="19"/>
      <c r="E208" s="18"/>
    </row>
    <row r="209" spans="2:5" s="3" customFormat="1" x14ac:dyDescent="0.1">
      <c r="B209" s="18"/>
      <c r="D209" s="19"/>
      <c r="E209" s="18"/>
    </row>
    <row r="210" spans="2:5" s="3" customFormat="1" x14ac:dyDescent="0.1">
      <c r="B210" s="18"/>
      <c r="D210" s="19"/>
      <c r="E210" s="18"/>
    </row>
    <row r="211" spans="2:5" s="3" customFormat="1" x14ac:dyDescent="0.1">
      <c r="B211" s="18"/>
      <c r="D211" s="19"/>
      <c r="E211" s="18"/>
    </row>
    <row r="212" spans="2:5" s="3" customFormat="1" x14ac:dyDescent="0.1">
      <c r="B212" s="18"/>
      <c r="D212" s="19"/>
      <c r="E212" s="18"/>
    </row>
    <row r="213" spans="2:5" s="3" customFormat="1" x14ac:dyDescent="0.1">
      <c r="B213" s="18"/>
      <c r="D213" s="19"/>
      <c r="E213" s="18"/>
    </row>
    <row r="214" spans="2:5" s="3" customFormat="1" x14ac:dyDescent="0.1">
      <c r="B214" s="18"/>
      <c r="D214" s="19"/>
      <c r="E214" s="18"/>
    </row>
    <row r="215" spans="2:5" s="3" customFormat="1" x14ac:dyDescent="0.1">
      <c r="B215" s="18"/>
      <c r="D215" s="19"/>
      <c r="E215" s="18"/>
    </row>
    <row r="216" spans="2:5" s="3" customFormat="1" x14ac:dyDescent="0.1">
      <c r="B216" s="18"/>
      <c r="D216" s="19"/>
      <c r="E216" s="18"/>
    </row>
    <row r="217" spans="2:5" s="3" customFormat="1" x14ac:dyDescent="0.1">
      <c r="B217" s="18"/>
      <c r="D217" s="19"/>
      <c r="E217" s="18"/>
    </row>
    <row r="218" spans="2:5" s="3" customFormat="1" x14ac:dyDescent="0.1">
      <c r="B218" s="18"/>
      <c r="D218" s="19"/>
      <c r="E218" s="18"/>
    </row>
    <row r="219" spans="2:5" s="3" customFormat="1" x14ac:dyDescent="0.1">
      <c r="B219" s="18"/>
      <c r="D219" s="19"/>
      <c r="E219" s="18"/>
    </row>
    <row r="220" spans="2:5" s="3" customFormat="1" x14ac:dyDescent="0.1">
      <c r="B220" s="18"/>
      <c r="D220" s="19"/>
      <c r="E220" s="18"/>
    </row>
    <row r="221" spans="2:5" s="3" customFormat="1" x14ac:dyDescent="0.1">
      <c r="B221" s="18"/>
      <c r="D221" s="19"/>
      <c r="E221" s="18"/>
    </row>
    <row r="222" spans="2:5" s="3" customFormat="1" x14ac:dyDescent="0.1">
      <c r="B222" s="18"/>
      <c r="D222" s="19"/>
      <c r="E222" s="18"/>
    </row>
    <row r="223" spans="2:5" s="3" customFormat="1" x14ac:dyDescent="0.1">
      <c r="B223" s="18"/>
      <c r="D223" s="19"/>
      <c r="E223" s="18"/>
    </row>
    <row r="224" spans="2:5" s="3" customFormat="1" x14ac:dyDescent="0.1">
      <c r="B224" s="18"/>
      <c r="D224" s="19"/>
      <c r="E224" s="18"/>
    </row>
    <row r="225" spans="2:5" s="3" customFormat="1" x14ac:dyDescent="0.1">
      <c r="B225" s="18"/>
      <c r="D225" s="19"/>
      <c r="E225" s="18"/>
    </row>
    <row r="226" spans="2:5" s="3" customFormat="1" x14ac:dyDescent="0.1">
      <c r="B226" s="18"/>
      <c r="D226" s="19"/>
      <c r="E226" s="18"/>
    </row>
    <row r="227" spans="2:5" s="3" customFormat="1" x14ac:dyDescent="0.1">
      <c r="B227" s="18"/>
      <c r="D227" s="19"/>
      <c r="E227" s="18"/>
    </row>
    <row r="228" spans="2:5" s="3" customFormat="1" x14ac:dyDescent="0.1">
      <c r="B228" s="18"/>
      <c r="D228" s="19"/>
      <c r="E228" s="18"/>
    </row>
    <row r="229" spans="2:5" s="3" customFormat="1" x14ac:dyDescent="0.1">
      <c r="B229" s="18"/>
      <c r="D229" s="19"/>
      <c r="E229" s="18"/>
    </row>
    <row r="230" spans="2:5" s="3" customFormat="1" x14ac:dyDescent="0.1">
      <c r="B230" s="18"/>
      <c r="D230" s="19"/>
      <c r="E230" s="18"/>
    </row>
    <row r="231" spans="2:5" s="3" customFormat="1" x14ac:dyDescent="0.1">
      <c r="B231" s="18"/>
      <c r="D231" s="19"/>
      <c r="E231" s="18"/>
    </row>
    <row r="232" spans="2:5" s="3" customFormat="1" x14ac:dyDescent="0.1">
      <c r="B232" s="18"/>
      <c r="D232" s="19"/>
      <c r="E232" s="18"/>
    </row>
    <row r="233" spans="2:5" s="3" customFormat="1" x14ac:dyDescent="0.1">
      <c r="B233" s="18"/>
      <c r="D233" s="19"/>
      <c r="E233" s="18"/>
    </row>
    <row r="234" spans="2:5" s="3" customFormat="1" x14ac:dyDescent="0.1">
      <c r="B234" s="18"/>
      <c r="D234" s="19"/>
      <c r="E234" s="18"/>
    </row>
    <row r="235" spans="2:5" s="3" customFormat="1" x14ac:dyDescent="0.1">
      <c r="B235" s="18"/>
      <c r="D235" s="19"/>
      <c r="E235" s="18"/>
    </row>
    <row r="236" spans="2:5" s="3" customFormat="1" x14ac:dyDescent="0.1">
      <c r="B236" s="18"/>
      <c r="D236" s="19"/>
      <c r="E236" s="18"/>
    </row>
    <row r="237" spans="2:5" s="3" customFormat="1" x14ac:dyDescent="0.1">
      <c r="B237" s="18"/>
      <c r="D237" s="19"/>
      <c r="E237" s="18"/>
    </row>
    <row r="238" spans="2:5" s="3" customFormat="1" x14ac:dyDescent="0.1">
      <c r="B238" s="18"/>
      <c r="D238" s="19"/>
      <c r="E238" s="18"/>
    </row>
    <row r="239" spans="2:5" s="3" customFormat="1" x14ac:dyDescent="0.1">
      <c r="B239" s="18"/>
      <c r="D239" s="19"/>
      <c r="E239" s="18"/>
    </row>
    <row r="240" spans="2:5" s="3" customFormat="1" x14ac:dyDescent="0.1">
      <c r="B240" s="18"/>
      <c r="D240" s="19"/>
      <c r="E240" s="18"/>
    </row>
    <row r="241" spans="2:5" s="3" customFormat="1" x14ac:dyDescent="0.1">
      <c r="B241" s="18"/>
      <c r="D241" s="19"/>
      <c r="E241" s="18"/>
    </row>
    <row r="242" spans="2:5" s="3" customFormat="1" x14ac:dyDescent="0.1">
      <c r="B242" s="18"/>
      <c r="D242" s="19"/>
      <c r="E242" s="18"/>
    </row>
    <row r="243" spans="2:5" s="3" customFormat="1" x14ac:dyDescent="0.1">
      <c r="B243" s="18"/>
      <c r="D243" s="19"/>
      <c r="E243" s="18"/>
    </row>
    <row r="244" spans="2:5" s="3" customFormat="1" x14ac:dyDescent="0.1">
      <c r="B244" s="18"/>
      <c r="D244" s="19"/>
      <c r="E244" s="18"/>
    </row>
    <row r="245" spans="2:5" s="3" customFormat="1" x14ac:dyDescent="0.1">
      <c r="B245" s="18"/>
      <c r="D245" s="19"/>
      <c r="E245" s="18"/>
    </row>
    <row r="246" spans="2:5" s="3" customFormat="1" x14ac:dyDescent="0.1">
      <c r="B246" s="18"/>
      <c r="D246" s="19"/>
      <c r="E246" s="18"/>
    </row>
    <row r="247" spans="2:5" s="3" customFormat="1" x14ac:dyDescent="0.1">
      <c r="B247" s="18"/>
      <c r="D247" s="19"/>
      <c r="E247" s="18"/>
    </row>
    <row r="248" spans="2:5" s="3" customFormat="1" x14ac:dyDescent="0.1">
      <c r="B248" s="18"/>
      <c r="D248" s="19"/>
      <c r="E248" s="18"/>
    </row>
    <row r="249" spans="2:5" s="3" customFormat="1" x14ac:dyDescent="0.1">
      <c r="B249" s="18"/>
      <c r="D249" s="19"/>
      <c r="E249" s="18"/>
    </row>
    <row r="250" spans="2:5" s="3" customFormat="1" x14ac:dyDescent="0.1">
      <c r="B250" s="18"/>
      <c r="D250" s="19"/>
      <c r="E250" s="18"/>
    </row>
    <row r="251" spans="2:5" s="3" customFormat="1" x14ac:dyDescent="0.1">
      <c r="B251" s="18"/>
      <c r="D251" s="19"/>
      <c r="E251" s="18"/>
    </row>
    <row r="252" spans="2:5" s="3" customFormat="1" x14ac:dyDescent="0.1">
      <c r="B252" s="18"/>
      <c r="D252" s="19"/>
      <c r="E252" s="18"/>
    </row>
    <row r="253" spans="2:5" s="3" customFormat="1" x14ac:dyDescent="0.1">
      <c r="B253" s="18"/>
      <c r="D253" s="19"/>
      <c r="E253" s="18"/>
    </row>
    <row r="254" spans="2:5" s="3" customFormat="1" x14ac:dyDescent="0.1">
      <c r="B254" s="18"/>
      <c r="D254" s="19"/>
      <c r="E254" s="18"/>
    </row>
    <row r="255" spans="2:5" s="3" customFormat="1" x14ac:dyDescent="0.1">
      <c r="B255" s="18"/>
      <c r="D255" s="19"/>
      <c r="E255" s="18"/>
    </row>
    <row r="256" spans="2:5" s="3" customFormat="1" x14ac:dyDescent="0.1">
      <c r="B256" s="18"/>
      <c r="D256" s="19"/>
      <c r="E256" s="18"/>
    </row>
    <row r="257" spans="2:5" s="3" customFormat="1" x14ac:dyDescent="0.1">
      <c r="B257" s="18"/>
      <c r="D257" s="19"/>
      <c r="E257" s="18"/>
    </row>
    <row r="258" spans="2:5" s="3" customFormat="1" x14ac:dyDescent="0.1">
      <c r="B258" s="18"/>
      <c r="D258" s="19"/>
      <c r="E258" s="18"/>
    </row>
    <row r="259" spans="2:5" s="3" customFormat="1" x14ac:dyDescent="0.1">
      <c r="B259" s="18"/>
      <c r="D259" s="19"/>
      <c r="E259" s="18"/>
    </row>
    <row r="260" spans="2:5" s="3" customFormat="1" x14ac:dyDescent="0.1">
      <c r="B260" s="18"/>
      <c r="D260" s="19"/>
      <c r="E260" s="18"/>
    </row>
    <row r="261" spans="2:5" s="3" customFormat="1" x14ac:dyDescent="0.1">
      <c r="B261" s="18"/>
      <c r="D261" s="19"/>
      <c r="E261" s="18"/>
    </row>
    <row r="262" spans="2:5" s="3" customFormat="1" x14ac:dyDescent="0.1">
      <c r="B262" s="18"/>
      <c r="D262" s="19"/>
      <c r="E262" s="18"/>
    </row>
    <row r="263" spans="2:5" s="3" customFormat="1" x14ac:dyDescent="0.1">
      <c r="B263" s="18"/>
      <c r="D263" s="19"/>
      <c r="E263" s="18"/>
    </row>
    <row r="264" spans="2:5" s="3" customFormat="1" x14ac:dyDescent="0.1">
      <c r="B264" s="18"/>
      <c r="D264" s="19"/>
      <c r="E264" s="18"/>
    </row>
    <row r="265" spans="2:5" s="3" customFormat="1" x14ac:dyDescent="0.1">
      <c r="B265" s="18"/>
      <c r="D265" s="19"/>
      <c r="E265" s="18"/>
    </row>
    <row r="266" spans="2:5" s="3" customFormat="1" x14ac:dyDescent="0.1">
      <c r="B266" s="18"/>
      <c r="D266" s="19"/>
      <c r="E266" s="18"/>
    </row>
    <row r="267" spans="2:5" s="3" customFormat="1" x14ac:dyDescent="0.1">
      <c r="B267" s="18"/>
      <c r="D267" s="19"/>
      <c r="E267" s="18"/>
    </row>
    <row r="268" spans="2:5" s="3" customFormat="1" x14ac:dyDescent="0.1">
      <c r="B268" s="18"/>
      <c r="D268" s="19"/>
      <c r="E268" s="18"/>
    </row>
    <row r="269" spans="2:5" s="3" customFormat="1" x14ac:dyDescent="0.1">
      <c r="B269" s="18"/>
      <c r="D269" s="19"/>
      <c r="E269" s="18"/>
    </row>
    <row r="270" spans="2:5" s="3" customFormat="1" x14ac:dyDescent="0.1">
      <c r="B270" s="18"/>
      <c r="D270" s="19"/>
      <c r="E270" s="18"/>
    </row>
    <row r="271" spans="2:5" s="3" customFormat="1" x14ac:dyDescent="0.1">
      <c r="B271" s="18"/>
      <c r="D271" s="19"/>
      <c r="E271" s="18"/>
    </row>
    <row r="272" spans="2:5" s="3" customFormat="1" x14ac:dyDescent="0.1">
      <c r="B272" s="18"/>
      <c r="D272" s="19"/>
      <c r="E272" s="18"/>
    </row>
    <row r="273" spans="2:5" s="3" customFormat="1" x14ac:dyDescent="0.1">
      <c r="B273" s="18"/>
      <c r="D273" s="19"/>
      <c r="E273" s="18"/>
    </row>
    <row r="274" spans="2:5" s="3" customFormat="1" x14ac:dyDescent="0.1">
      <c r="B274" s="18"/>
      <c r="D274" s="19"/>
      <c r="E274" s="18"/>
    </row>
    <row r="275" spans="2:5" s="3" customFormat="1" x14ac:dyDescent="0.1">
      <c r="B275" s="18"/>
      <c r="D275" s="19"/>
      <c r="E275" s="18"/>
    </row>
    <row r="276" spans="2:5" s="3" customFormat="1" x14ac:dyDescent="0.1">
      <c r="B276" s="18"/>
      <c r="D276" s="19"/>
      <c r="E276" s="18"/>
    </row>
    <row r="277" spans="2:5" s="3" customFormat="1" x14ac:dyDescent="0.1">
      <c r="B277" s="18"/>
      <c r="D277" s="19"/>
      <c r="E277" s="18"/>
    </row>
    <row r="278" spans="2:5" s="3" customFormat="1" x14ac:dyDescent="0.1">
      <c r="B278" s="18"/>
      <c r="D278" s="19"/>
      <c r="E278" s="18"/>
    </row>
    <row r="279" spans="2:5" s="3" customFormat="1" x14ac:dyDescent="0.1">
      <c r="B279" s="18"/>
      <c r="D279" s="19"/>
      <c r="E279" s="18"/>
    </row>
    <row r="280" spans="2:5" s="3" customFormat="1" x14ac:dyDescent="0.1">
      <c r="B280" s="18"/>
      <c r="D280" s="19"/>
      <c r="E280" s="18"/>
    </row>
    <row r="281" spans="2:5" s="3" customFormat="1" x14ac:dyDescent="0.1">
      <c r="B281" s="18"/>
      <c r="D281" s="19"/>
      <c r="E281" s="18"/>
    </row>
    <row r="282" spans="2:5" s="3" customFormat="1" x14ac:dyDescent="0.1">
      <c r="B282" s="18"/>
      <c r="D282" s="19"/>
      <c r="E282" s="18"/>
    </row>
    <row r="283" spans="2:5" s="3" customFormat="1" x14ac:dyDescent="0.1">
      <c r="B283" s="18"/>
      <c r="D283" s="19"/>
      <c r="E283" s="18"/>
    </row>
    <row r="284" spans="2:5" s="3" customFormat="1" x14ac:dyDescent="0.1">
      <c r="B284" s="18"/>
      <c r="D284" s="19"/>
      <c r="E284" s="18"/>
    </row>
    <row r="285" spans="2:5" s="3" customFormat="1" x14ac:dyDescent="0.1">
      <c r="B285" s="18"/>
      <c r="D285" s="19"/>
      <c r="E285" s="18"/>
    </row>
    <row r="286" spans="2:5" s="3" customFormat="1" x14ac:dyDescent="0.1">
      <c r="B286" s="18"/>
      <c r="D286" s="19"/>
      <c r="E286" s="18"/>
    </row>
    <row r="287" spans="2:5" s="3" customFormat="1" x14ac:dyDescent="0.1">
      <c r="B287" s="18"/>
      <c r="D287" s="19"/>
      <c r="E287" s="18"/>
    </row>
    <row r="288" spans="2:5" s="3" customFormat="1" x14ac:dyDescent="0.1">
      <c r="B288" s="18"/>
      <c r="D288" s="19"/>
      <c r="E288" s="18"/>
    </row>
    <row r="289" spans="2:5" s="3" customFormat="1" x14ac:dyDescent="0.1">
      <c r="B289" s="18"/>
      <c r="D289" s="19"/>
      <c r="E289" s="18"/>
    </row>
    <row r="290" spans="2:5" s="3" customFormat="1" x14ac:dyDescent="0.1">
      <c r="B290" s="18"/>
      <c r="D290" s="19"/>
      <c r="E290" s="18"/>
    </row>
    <row r="291" spans="2:5" s="3" customFormat="1" x14ac:dyDescent="0.1">
      <c r="B291" s="18"/>
      <c r="D291" s="19"/>
      <c r="E291" s="18"/>
    </row>
    <row r="292" spans="2:5" s="3" customFormat="1" x14ac:dyDescent="0.1">
      <c r="B292" s="18"/>
      <c r="D292" s="19"/>
      <c r="E292" s="18"/>
    </row>
    <row r="293" spans="2:5" s="3" customFormat="1" x14ac:dyDescent="0.1">
      <c r="B293" s="18"/>
      <c r="D293" s="19"/>
      <c r="E293" s="18"/>
    </row>
    <row r="294" spans="2:5" s="3" customFormat="1" x14ac:dyDescent="0.1">
      <c r="B294" s="18"/>
      <c r="D294" s="19"/>
      <c r="E294" s="18"/>
    </row>
    <row r="295" spans="2:5" s="3" customFormat="1" x14ac:dyDescent="0.1">
      <c r="B295" s="18"/>
      <c r="D295" s="19"/>
      <c r="E295" s="18"/>
    </row>
    <row r="296" spans="2:5" s="3" customFormat="1" x14ac:dyDescent="0.1">
      <c r="B296" s="18"/>
      <c r="D296" s="19"/>
      <c r="E296" s="18"/>
    </row>
    <row r="297" spans="2:5" s="3" customFormat="1" x14ac:dyDescent="0.1">
      <c r="B297" s="18"/>
      <c r="D297" s="19"/>
      <c r="E297" s="18"/>
    </row>
    <row r="298" spans="2:5" s="3" customFormat="1" x14ac:dyDescent="0.1">
      <c r="B298" s="18"/>
      <c r="D298" s="19"/>
      <c r="E298" s="18"/>
    </row>
    <row r="299" spans="2:5" s="3" customFormat="1" x14ac:dyDescent="0.1">
      <c r="B299" s="18"/>
      <c r="D299" s="19"/>
      <c r="E299" s="18"/>
    </row>
    <row r="300" spans="2:5" s="3" customFormat="1" x14ac:dyDescent="0.1">
      <c r="B300" s="18"/>
      <c r="D300" s="19"/>
      <c r="E300" s="18"/>
    </row>
    <row r="301" spans="2:5" s="3" customFormat="1" x14ac:dyDescent="0.1">
      <c r="B301" s="18"/>
      <c r="D301" s="19"/>
      <c r="E301" s="18"/>
    </row>
    <row r="302" spans="2:5" s="3" customFormat="1" x14ac:dyDescent="0.1">
      <c r="B302" s="18"/>
      <c r="D302" s="19"/>
      <c r="E302" s="18"/>
    </row>
    <row r="303" spans="2:5" s="3" customFormat="1" x14ac:dyDescent="0.1">
      <c r="B303" s="18"/>
      <c r="D303" s="19"/>
      <c r="E303" s="18"/>
    </row>
    <row r="304" spans="2:5" s="3" customFormat="1" x14ac:dyDescent="0.1">
      <c r="B304" s="18"/>
      <c r="D304" s="19"/>
      <c r="E304" s="18"/>
    </row>
    <row r="305" spans="2:5" s="3" customFormat="1" x14ac:dyDescent="0.1">
      <c r="B305" s="18"/>
      <c r="D305" s="19"/>
      <c r="E305" s="18"/>
    </row>
    <row r="306" spans="2:5" s="3" customFormat="1" x14ac:dyDescent="0.1">
      <c r="B306" s="18"/>
      <c r="D306" s="19"/>
      <c r="E306" s="18"/>
    </row>
    <row r="307" spans="2:5" s="3" customFormat="1" x14ac:dyDescent="0.1">
      <c r="B307" s="18"/>
      <c r="D307" s="19"/>
      <c r="E307" s="18"/>
    </row>
    <row r="308" spans="2:5" s="3" customFormat="1" x14ac:dyDescent="0.1">
      <c r="B308" s="18"/>
      <c r="D308" s="19"/>
      <c r="E308" s="18"/>
    </row>
    <row r="309" spans="2:5" s="3" customFormat="1" x14ac:dyDescent="0.1">
      <c r="B309" s="18"/>
      <c r="D309" s="19"/>
      <c r="E309" s="18"/>
    </row>
    <row r="310" spans="2:5" s="3" customFormat="1" x14ac:dyDescent="0.1">
      <c r="B310" s="18"/>
      <c r="D310" s="19"/>
      <c r="E310" s="18"/>
    </row>
    <row r="311" spans="2:5" s="3" customFormat="1" x14ac:dyDescent="0.1">
      <c r="B311" s="18"/>
      <c r="D311" s="19"/>
      <c r="E311" s="18"/>
    </row>
    <row r="312" spans="2:5" s="3" customFormat="1" x14ac:dyDescent="0.1">
      <c r="B312" s="18"/>
      <c r="D312" s="19"/>
      <c r="E312" s="18"/>
    </row>
    <row r="313" spans="2:5" s="3" customFormat="1" x14ac:dyDescent="0.1">
      <c r="B313" s="18"/>
      <c r="D313" s="19"/>
      <c r="E313" s="18"/>
    </row>
    <row r="314" spans="2:5" s="3" customFormat="1" x14ac:dyDescent="0.1">
      <c r="B314" s="18"/>
      <c r="D314" s="19"/>
      <c r="E314" s="18"/>
    </row>
    <row r="315" spans="2:5" s="3" customFormat="1" x14ac:dyDescent="0.1">
      <c r="B315" s="18"/>
      <c r="D315" s="19"/>
      <c r="E315" s="18"/>
    </row>
    <row r="316" spans="2:5" s="3" customFormat="1" x14ac:dyDescent="0.1">
      <c r="B316" s="18"/>
      <c r="D316" s="19"/>
      <c r="E316" s="18"/>
    </row>
    <row r="317" spans="2:5" s="3" customFormat="1" x14ac:dyDescent="0.1">
      <c r="B317" s="18"/>
      <c r="D317" s="19"/>
      <c r="E317" s="18"/>
    </row>
    <row r="318" spans="2:5" s="3" customFormat="1" x14ac:dyDescent="0.1">
      <c r="B318" s="18"/>
      <c r="D318" s="19"/>
      <c r="E318" s="18"/>
    </row>
    <row r="319" spans="2:5" s="3" customFormat="1" x14ac:dyDescent="0.1">
      <c r="B319" s="18"/>
      <c r="D319" s="19"/>
      <c r="E319" s="18"/>
    </row>
    <row r="320" spans="2:5" s="3" customFormat="1" x14ac:dyDescent="0.1">
      <c r="B320" s="18"/>
      <c r="D320" s="19"/>
      <c r="E320" s="18"/>
    </row>
    <row r="321" spans="2:5" s="3" customFormat="1" x14ac:dyDescent="0.1">
      <c r="B321" s="18"/>
      <c r="D321" s="19"/>
      <c r="E321" s="18"/>
    </row>
    <row r="322" spans="2:5" s="3" customFormat="1" x14ac:dyDescent="0.1">
      <c r="B322" s="18"/>
      <c r="D322" s="19"/>
      <c r="E322" s="18"/>
    </row>
    <row r="323" spans="2:5" s="3" customFormat="1" x14ac:dyDescent="0.1">
      <c r="B323" s="18"/>
      <c r="D323" s="19"/>
      <c r="E323" s="18"/>
    </row>
    <row r="324" spans="2:5" s="3" customFormat="1" x14ac:dyDescent="0.1">
      <c r="B324" s="18"/>
      <c r="D324" s="19"/>
      <c r="E324" s="18"/>
    </row>
    <row r="325" spans="2:5" s="3" customFormat="1" x14ac:dyDescent="0.1">
      <c r="B325" s="18"/>
      <c r="D325" s="19"/>
      <c r="E325" s="18"/>
    </row>
    <row r="326" spans="2:5" s="3" customFormat="1" x14ac:dyDescent="0.1">
      <c r="B326" s="18"/>
      <c r="D326" s="19"/>
      <c r="E326" s="18"/>
    </row>
    <row r="327" spans="2:5" s="3" customFormat="1" x14ac:dyDescent="0.1">
      <c r="B327" s="18"/>
      <c r="D327" s="19"/>
      <c r="E327" s="18"/>
    </row>
    <row r="328" spans="2:5" s="3" customFormat="1" x14ac:dyDescent="0.1">
      <c r="B328" s="18"/>
      <c r="D328" s="19"/>
      <c r="E328" s="18"/>
    </row>
    <row r="329" spans="2:5" s="3" customFormat="1" x14ac:dyDescent="0.1">
      <c r="B329" s="18"/>
      <c r="D329" s="19"/>
      <c r="E329" s="18"/>
    </row>
    <row r="330" spans="2:5" s="3" customFormat="1" x14ac:dyDescent="0.1">
      <c r="B330" s="18"/>
      <c r="D330" s="19"/>
      <c r="E330" s="18"/>
    </row>
    <row r="331" spans="2:5" s="3" customFormat="1" x14ac:dyDescent="0.1">
      <c r="B331" s="18"/>
      <c r="D331" s="19"/>
      <c r="E331" s="18"/>
    </row>
    <row r="332" spans="2:5" s="3" customFormat="1" x14ac:dyDescent="0.1">
      <c r="B332" s="18"/>
      <c r="D332" s="19"/>
      <c r="E332" s="18"/>
    </row>
    <row r="333" spans="2:5" s="3" customFormat="1" x14ac:dyDescent="0.1">
      <c r="B333" s="18"/>
      <c r="D333" s="19"/>
      <c r="E333" s="18"/>
    </row>
    <row r="334" spans="2:5" s="3" customFormat="1" x14ac:dyDescent="0.1">
      <c r="B334" s="18"/>
      <c r="D334" s="19"/>
      <c r="E334" s="18"/>
    </row>
    <row r="335" spans="2:5" s="3" customFormat="1" x14ac:dyDescent="0.1">
      <c r="B335" s="18"/>
      <c r="D335" s="19"/>
      <c r="E335" s="18"/>
    </row>
    <row r="336" spans="2:5" s="3" customFormat="1" x14ac:dyDescent="0.1">
      <c r="B336" s="18"/>
      <c r="D336" s="19"/>
      <c r="E336" s="18"/>
    </row>
    <row r="337" spans="2:5" s="3" customFormat="1" x14ac:dyDescent="0.1">
      <c r="B337" s="18"/>
      <c r="D337" s="19"/>
      <c r="E337" s="18"/>
    </row>
    <row r="338" spans="2:5" s="3" customFormat="1" x14ac:dyDescent="0.1">
      <c r="B338" s="18"/>
      <c r="D338" s="19"/>
      <c r="E338" s="18"/>
    </row>
    <row r="339" spans="2:5" s="3" customFormat="1" x14ac:dyDescent="0.1">
      <c r="B339" s="18"/>
      <c r="D339" s="19"/>
      <c r="E339" s="18"/>
    </row>
    <row r="340" spans="2:5" s="3" customFormat="1" x14ac:dyDescent="0.1">
      <c r="B340" s="18"/>
      <c r="D340" s="19"/>
      <c r="E340" s="18"/>
    </row>
    <row r="341" spans="2:5" s="3" customFormat="1" x14ac:dyDescent="0.1">
      <c r="B341" s="18"/>
      <c r="D341" s="19"/>
      <c r="E341" s="18"/>
    </row>
    <row r="342" spans="2:5" s="3" customFormat="1" x14ac:dyDescent="0.1">
      <c r="B342" s="18"/>
      <c r="D342" s="19"/>
      <c r="E342" s="18"/>
    </row>
    <row r="343" spans="2:5" s="3" customFormat="1" x14ac:dyDescent="0.1">
      <c r="B343" s="18"/>
      <c r="D343" s="19"/>
      <c r="E343" s="18"/>
    </row>
    <row r="344" spans="2:5" s="3" customFormat="1" x14ac:dyDescent="0.1">
      <c r="B344" s="18"/>
      <c r="D344" s="19"/>
      <c r="E344" s="18"/>
    </row>
    <row r="345" spans="2:5" s="3" customFormat="1" x14ac:dyDescent="0.1">
      <c r="B345" s="18"/>
      <c r="D345" s="19"/>
      <c r="E345" s="18"/>
    </row>
    <row r="346" spans="2:5" s="3" customFormat="1" x14ac:dyDescent="0.1">
      <c r="B346" s="18"/>
      <c r="D346" s="19"/>
      <c r="E346" s="18"/>
    </row>
    <row r="347" spans="2:5" s="3" customFormat="1" x14ac:dyDescent="0.1">
      <c r="B347" s="18"/>
      <c r="D347" s="19"/>
      <c r="E347" s="18"/>
    </row>
    <row r="348" spans="2:5" s="3" customFormat="1" x14ac:dyDescent="0.1">
      <c r="B348" s="18"/>
      <c r="D348" s="19"/>
      <c r="E348" s="18"/>
    </row>
    <row r="349" spans="2:5" s="3" customFormat="1" x14ac:dyDescent="0.1">
      <c r="B349" s="18"/>
      <c r="D349" s="19"/>
      <c r="E349" s="18"/>
    </row>
    <row r="350" spans="2:5" s="3" customFormat="1" x14ac:dyDescent="0.1">
      <c r="B350" s="18"/>
      <c r="D350" s="19"/>
      <c r="E350" s="18"/>
    </row>
    <row r="351" spans="2:5" s="3" customFormat="1" x14ac:dyDescent="0.1">
      <c r="B351" s="18"/>
      <c r="D351" s="19"/>
      <c r="E351" s="18"/>
    </row>
    <row r="352" spans="2:5" s="3" customFormat="1" x14ac:dyDescent="0.1">
      <c r="B352" s="18"/>
      <c r="D352" s="19"/>
      <c r="E352" s="18"/>
    </row>
    <row r="353" spans="2:5" s="3" customFormat="1" x14ac:dyDescent="0.1">
      <c r="B353" s="18"/>
      <c r="D353" s="19"/>
      <c r="E353" s="18"/>
    </row>
    <row r="354" spans="2:5" s="3" customFormat="1" x14ac:dyDescent="0.1">
      <c r="B354" s="18"/>
      <c r="D354" s="19"/>
      <c r="E354" s="18"/>
    </row>
    <row r="355" spans="2:5" s="3" customFormat="1" x14ac:dyDescent="0.1">
      <c r="B355" s="18"/>
      <c r="D355" s="19"/>
      <c r="E355" s="18"/>
    </row>
    <row r="356" spans="2:5" s="3" customFormat="1" x14ac:dyDescent="0.1">
      <c r="B356" s="18"/>
      <c r="D356" s="19"/>
      <c r="E356" s="18"/>
    </row>
    <row r="357" spans="2:5" s="3" customFormat="1" x14ac:dyDescent="0.1">
      <c r="B357" s="18"/>
      <c r="D357" s="19"/>
      <c r="E357" s="18"/>
    </row>
    <row r="358" spans="2:5" s="3" customFormat="1" x14ac:dyDescent="0.1">
      <c r="B358" s="18"/>
      <c r="D358" s="19"/>
      <c r="E358" s="18"/>
    </row>
    <row r="359" spans="2:5" s="3" customFormat="1" x14ac:dyDescent="0.1">
      <c r="B359" s="18"/>
      <c r="D359" s="19"/>
      <c r="E359" s="18"/>
    </row>
    <row r="360" spans="2:5" s="3" customFormat="1" x14ac:dyDescent="0.1">
      <c r="B360" s="18"/>
      <c r="D360" s="19"/>
      <c r="E360" s="18"/>
    </row>
    <row r="361" spans="2:5" s="3" customFormat="1" x14ac:dyDescent="0.1">
      <c r="B361" s="18"/>
      <c r="D361" s="19"/>
      <c r="E361" s="18"/>
    </row>
    <row r="362" spans="2:5" s="3" customFormat="1" x14ac:dyDescent="0.1">
      <c r="B362" s="18"/>
      <c r="D362" s="19"/>
      <c r="E362" s="18"/>
    </row>
    <row r="363" spans="2:5" s="3" customFormat="1" x14ac:dyDescent="0.1">
      <c r="B363" s="18"/>
      <c r="D363" s="19"/>
      <c r="E363" s="18"/>
    </row>
    <row r="364" spans="2:5" s="3" customFormat="1" x14ac:dyDescent="0.1">
      <c r="B364" s="18"/>
      <c r="D364" s="19"/>
      <c r="E364" s="18"/>
    </row>
    <row r="365" spans="2:5" s="3" customFormat="1" x14ac:dyDescent="0.1">
      <c r="B365" s="18"/>
      <c r="D365" s="19"/>
      <c r="E365" s="18"/>
    </row>
    <row r="366" spans="2:5" s="3" customFormat="1" x14ac:dyDescent="0.1">
      <c r="B366" s="18"/>
      <c r="D366" s="19"/>
      <c r="E366" s="18"/>
    </row>
    <row r="367" spans="2:5" s="3" customFormat="1" x14ac:dyDescent="0.1">
      <c r="B367" s="18"/>
      <c r="D367" s="19"/>
      <c r="E367" s="18"/>
    </row>
    <row r="368" spans="2:5" s="3" customFormat="1" x14ac:dyDescent="0.1">
      <c r="B368" s="18"/>
      <c r="D368" s="19"/>
      <c r="E368" s="18"/>
    </row>
    <row r="369" spans="2:5" s="3" customFormat="1" x14ac:dyDescent="0.1">
      <c r="B369" s="18"/>
      <c r="D369" s="19"/>
      <c r="E369" s="18"/>
    </row>
    <row r="370" spans="2:5" s="3" customFormat="1" x14ac:dyDescent="0.1">
      <c r="B370" s="18"/>
      <c r="D370" s="19"/>
      <c r="E370" s="18"/>
    </row>
    <row r="371" spans="2:5" s="3" customFormat="1" x14ac:dyDescent="0.1">
      <c r="B371" s="18"/>
      <c r="D371" s="19"/>
      <c r="E371" s="18"/>
    </row>
    <row r="372" spans="2:5" s="3" customFormat="1" x14ac:dyDescent="0.1">
      <c r="B372" s="18"/>
      <c r="D372" s="19"/>
      <c r="E372" s="18"/>
    </row>
    <row r="373" spans="2:5" s="3" customFormat="1" x14ac:dyDescent="0.1">
      <c r="B373" s="18"/>
      <c r="D373" s="19"/>
      <c r="E373" s="18"/>
    </row>
    <row r="374" spans="2:5" s="3" customFormat="1" x14ac:dyDescent="0.1">
      <c r="B374" s="18"/>
      <c r="D374" s="19"/>
      <c r="E374" s="18"/>
    </row>
    <row r="375" spans="2:5" s="3" customFormat="1" x14ac:dyDescent="0.1">
      <c r="B375" s="18"/>
      <c r="D375" s="19"/>
      <c r="E375" s="18"/>
    </row>
    <row r="376" spans="2:5" s="3" customFormat="1" x14ac:dyDescent="0.1">
      <c r="B376" s="18"/>
      <c r="D376" s="19"/>
      <c r="E376" s="18"/>
    </row>
    <row r="377" spans="2:5" s="3" customFormat="1" x14ac:dyDescent="0.1">
      <c r="B377" s="18"/>
      <c r="D377" s="19"/>
      <c r="E377" s="18"/>
    </row>
    <row r="378" spans="2:5" s="3" customFormat="1" x14ac:dyDescent="0.1">
      <c r="B378" s="18"/>
      <c r="D378" s="19"/>
      <c r="E378" s="18"/>
    </row>
    <row r="379" spans="2:5" s="3" customFormat="1" x14ac:dyDescent="0.1">
      <c r="B379" s="18"/>
      <c r="D379" s="19"/>
      <c r="E379" s="18"/>
    </row>
    <row r="380" spans="2:5" s="3" customFormat="1" x14ac:dyDescent="0.1">
      <c r="B380" s="18"/>
      <c r="D380" s="19"/>
      <c r="E380" s="18"/>
    </row>
    <row r="381" spans="2:5" s="3" customFormat="1" x14ac:dyDescent="0.1">
      <c r="B381" s="18"/>
      <c r="D381" s="19"/>
      <c r="E381" s="18"/>
    </row>
    <row r="382" spans="2:5" s="3" customFormat="1" x14ac:dyDescent="0.1">
      <c r="B382" s="18"/>
      <c r="D382" s="19"/>
      <c r="E382" s="18"/>
    </row>
    <row r="383" spans="2:5" s="3" customFormat="1" x14ac:dyDescent="0.1">
      <c r="B383" s="18"/>
      <c r="D383" s="19"/>
      <c r="E383" s="18"/>
    </row>
    <row r="384" spans="2:5" s="3" customFormat="1" x14ac:dyDescent="0.1">
      <c r="B384" s="18"/>
      <c r="D384" s="19"/>
      <c r="E384" s="18"/>
    </row>
    <row r="385" spans="2:5" s="3" customFormat="1" x14ac:dyDescent="0.1">
      <c r="B385" s="18"/>
      <c r="D385" s="19"/>
      <c r="E385" s="18"/>
    </row>
    <row r="386" spans="2:5" s="3" customFormat="1" x14ac:dyDescent="0.1">
      <c r="B386" s="18"/>
      <c r="D386" s="19"/>
      <c r="E386" s="18"/>
    </row>
    <row r="387" spans="2:5" s="3" customFormat="1" x14ac:dyDescent="0.1">
      <c r="B387" s="18"/>
      <c r="D387" s="19"/>
      <c r="E387" s="18"/>
    </row>
    <row r="388" spans="2:5" s="3" customFormat="1" x14ac:dyDescent="0.1">
      <c r="B388" s="18"/>
      <c r="D388" s="19"/>
      <c r="E388" s="18"/>
    </row>
    <row r="389" spans="2:5" s="3" customFormat="1" x14ac:dyDescent="0.1">
      <c r="B389" s="18"/>
      <c r="D389" s="19"/>
      <c r="E389" s="18"/>
    </row>
    <row r="390" spans="2:5" s="3" customFormat="1" x14ac:dyDescent="0.1">
      <c r="B390" s="18"/>
      <c r="D390" s="19"/>
      <c r="E390" s="18"/>
    </row>
    <row r="391" spans="2:5" s="3" customFormat="1" x14ac:dyDescent="0.1">
      <c r="B391" s="18"/>
      <c r="D391" s="19"/>
      <c r="E391" s="18"/>
    </row>
    <row r="392" spans="2:5" s="3" customFormat="1" x14ac:dyDescent="0.1">
      <c r="B392" s="18"/>
      <c r="D392" s="19"/>
      <c r="E392" s="18"/>
    </row>
    <row r="393" spans="2:5" s="3" customFormat="1" x14ac:dyDescent="0.1">
      <c r="B393" s="18"/>
      <c r="D393" s="19"/>
      <c r="E393" s="18"/>
    </row>
    <row r="394" spans="2:5" s="3" customFormat="1" x14ac:dyDescent="0.1">
      <c r="B394" s="18"/>
      <c r="D394" s="19"/>
      <c r="E394" s="18"/>
    </row>
    <row r="395" spans="2:5" s="3" customFormat="1" x14ac:dyDescent="0.1">
      <c r="B395" s="18"/>
      <c r="D395" s="19"/>
      <c r="E395" s="18"/>
    </row>
    <row r="396" spans="2:5" s="3" customFormat="1" x14ac:dyDescent="0.1">
      <c r="B396" s="18"/>
      <c r="D396" s="19"/>
      <c r="E396" s="18"/>
    </row>
    <row r="397" spans="2:5" s="3" customFormat="1" x14ac:dyDescent="0.1">
      <c r="B397" s="18"/>
      <c r="D397" s="19"/>
      <c r="E397" s="18"/>
    </row>
    <row r="398" spans="2:5" s="3" customFormat="1" x14ac:dyDescent="0.1">
      <c r="B398" s="18"/>
      <c r="D398" s="19"/>
      <c r="E398" s="18"/>
    </row>
    <row r="399" spans="2:5" s="3" customFormat="1" x14ac:dyDescent="0.1">
      <c r="B399" s="18"/>
      <c r="D399" s="19"/>
      <c r="E399" s="18"/>
    </row>
    <row r="400" spans="2:5" s="3" customFormat="1" x14ac:dyDescent="0.1">
      <c r="B400" s="18"/>
      <c r="D400" s="19"/>
      <c r="E400" s="18"/>
    </row>
    <row r="401" spans="2:5" s="3" customFormat="1" x14ac:dyDescent="0.1">
      <c r="B401" s="18"/>
      <c r="D401" s="19"/>
      <c r="E401" s="18"/>
    </row>
    <row r="402" spans="2:5" s="3" customFormat="1" x14ac:dyDescent="0.1">
      <c r="B402" s="18"/>
      <c r="D402" s="19"/>
      <c r="E402" s="18"/>
    </row>
    <row r="403" spans="2:5" s="3" customFormat="1" x14ac:dyDescent="0.1">
      <c r="B403" s="18"/>
      <c r="D403" s="19"/>
      <c r="E403" s="18"/>
    </row>
    <row r="404" spans="2:5" s="3" customFormat="1" x14ac:dyDescent="0.1">
      <c r="B404" s="18"/>
      <c r="D404" s="19"/>
      <c r="E404" s="18"/>
    </row>
    <row r="405" spans="2:5" s="3" customFormat="1" x14ac:dyDescent="0.1">
      <c r="B405" s="18"/>
      <c r="D405" s="19"/>
      <c r="E405" s="18"/>
    </row>
    <row r="406" spans="2:5" s="3" customFormat="1" x14ac:dyDescent="0.1">
      <c r="B406" s="18"/>
      <c r="D406" s="19"/>
      <c r="E406" s="18"/>
    </row>
    <row r="407" spans="2:5" s="3" customFormat="1" x14ac:dyDescent="0.1">
      <c r="B407" s="18"/>
      <c r="D407" s="19"/>
      <c r="E407" s="18"/>
    </row>
    <row r="408" spans="2:5" s="3" customFormat="1" x14ac:dyDescent="0.1">
      <c r="B408" s="18"/>
      <c r="D408" s="19"/>
      <c r="E408" s="18"/>
    </row>
    <row r="409" spans="2:5" s="3" customFormat="1" x14ac:dyDescent="0.1">
      <c r="B409" s="18"/>
      <c r="D409" s="19"/>
      <c r="E409" s="18"/>
    </row>
    <row r="410" spans="2:5" s="3" customFormat="1" x14ac:dyDescent="0.1">
      <c r="B410" s="18"/>
      <c r="D410" s="19"/>
      <c r="E410" s="18"/>
    </row>
    <row r="411" spans="2:5" s="3" customFormat="1" x14ac:dyDescent="0.1">
      <c r="B411" s="18"/>
      <c r="D411" s="19"/>
      <c r="E411" s="18"/>
    </row>
    <row r="412" spans="2:5" s="3" customFormat="1" x14ac:dyDescent="0.1">
      <c r="B412" s="18"/>
      <c r="D412" s="19"/>
      <c r="E412" s="18"/>
    </row>
    <row r="413" spans="2:5" s="3" customFormat="1" x14ac:dyDescent="0.1">
      <c r="B413" s="18"/>
      <c r="D413" s="19"/>
      <c r="E413" s="18"/>
    </row>
    <row r="414" spans="2:5" s="3" customFormat="1" x14ac:dyDescent="0.1">
      <c r="B414" s="18"/>
      <c r="D414" s="19"/>
      <c r="E414" s="18"/>
    </row>
    <row r="415" spans="2:5" s="3" customFormat="1" x14ac:dyDescent="0.1">
      <c r="B415" s="18"/>
      <c r="D415" s="19"/>
      <c r="E415" s="18"/>
    </row>
    <row r="416" spans="2:5" s="3" customFormat="1" x14ac:dyDescent="0.1">
      <c r="B416" s="18"/>
      <c r="D416" s="19"/>
      <c r="E416" s="18"/>
    </row>
    <row r="417" spans="2:5" s="3" customFormat="1" x14ac:dyDescent="0.1">
      <c r="B417" s="18"/>
      <c r="D417" s="19"/>
      <c r="E417" s="18"/>
    </row>
    <row r="418" spans="2:5" s="3" customFormat="1" x14ac:dyDescent="0.1">
      <c r="B418" s="18"/>
      <c r="D418" s="19"/>
      <c r="E418" s="18"/>
    </row>
    <row r="419" spans="2:5" s="3" customFormat="1" x14ac:dyDescent="0.1">
      <c r="B419" s="18"/>
      <c r="D419" s="19"/>
      <c r="E419" s="18"/>
    </row>
    <row r="420" spans="2:5" s="3" customFormat="1" x14ac:dyDescent="0.1">
      <c r="B420" s="18"/>
      <c r="D420" s="19"/>
      <c r="E420" s="18"/>
    </row>
    <row r="421" spans="2:5" s="3" customFormat="1" x14ac:dyDescent="0.1">
      <c r="B421" s="18"/>
      <c r="D421" s="19"/>
      <c r="E421" s="18"/>
    </row>
    <row r="422" spans="2:5" s="3" customFormat="1" x14ac:dyDescent="0.1">
      <c r="B422" s="18"/>
      <c r="D422" s="19"/>
      <c r="E422" s="18"/>
    </row>
    <row r="423" spans="2:5" s="3" customFormat="1" x14ac:dyDescent="0.1">
      <c r="B423" s="18"/>
      <c r="D423" s="19"/>
      <c r="E423" s="18"/>
    </row>
    <row r="424" spans="2:5" s="3" customFormat="1" x14ac:dyDescent="0.1">
      <c r="B424" s="18"/>
      <c r="D424" s="19"/>
      <c r="E424" s="18"/>
    </row>
    <row r="425" spans="2:5" s="3" customFormat="1" x14ac:dyDescent="0.1">
      <c r="B425" s="18"/>
      <c r="D425" s="19"/>
      <c r="E425" s="18"/>
    </row>
    <row r="426" spans="2:5" s="3" customFormat="1" x14ac:dyDescent="0.1">
      <c r="B426" s="18"/>
      <c r="D426" s="19"/>
      <c r="E426" s="18"/>
    </row>
    <row r="427" spans="2:5" s="3" customFormat="1" x14ac:dyDescent="0.1">
      <c r="B427" s="18"/>
      <c r="D427" s="19"/>
      <c r="E427" s="18"/>
    </row>
    <row r="428" spans="2:5" s="3" customFormat="1" x14ac:dyDescent="0.1">
      <c r="B428" s="18"/>
      <c r="D428" s="19"/>
      <c r="E428" s="18"/>
    </row>
    <row r="429" spans="2:5" s="3" customFormat="1" x14ac:dyDescent="0.1">
      <c r="B429" s="18"/>
      <c r="D429" s="19"/>
      <c r="E429" s="18"/>
    </row>
    <row r="430" spans="2:5" s="3" customFormat="1" x14ac:dyDescent="0.1">
      <c r="B430" s="18"/>
      <c r="D430" s="19"/>
      <c r="E430" s="18"/>
    </row>
    <row r="431" spans="2:5" s="3" customFormat="1" x14ac:dyDescent="0.1">
      <c r="B431" s="18"/>
      <c r="D431" s="19"/>
      <c r="E431" s="18"/>
    </row>
    <row r="432" spans="2:5" s="3" customFormat="1" x14ac:dyDescent="0.1">
      <c r="B432" s="18"/>
      <c r="D432" s="19"/>
      <c r="E432" s="18"/>
    </row>
    <row r="433" spans="2:5" s="3" customFormat="1" x14ac:dyDescent="0.1">
      <c r="B433" s="18"/>
      <c r="D433" s="19"/>
      <c r="E433" s="18"/>
    </row>
    <row r="434" spans="2:5" s="3" customFormat="1" x14ac:dyDescent="0.1">
      <c r="B434" s="18"/>
      <c r="D434" s="19"/>
      <c r="E434" s="18"/>
    </row>
    <row r="435" spans="2:5" s="3" customFormat="1" x14ac:dyDescent="0.1">
      <c r="B435" s="18"/>
      <c r="D435" s="19"/>
      <c r="E435" s="18"/>
    </row>
    <row r="436" spans="2:5" s="3" customFormat="1" x14ac:dyDescent="0.1">
      <c r="B436" s="18"/>
      <c r="D436" s="19"/>
      <c r="E436" s="18"/>
    </row>
    <row r="437" spans="2:5" s="3" customFormat="1" x14ac:dyDescent="0.1">
      <c r="B437" s="18"/>
      <c r="D437" s="19"/>
      <c r="E437" s="18"/>
    </row>
    <row r="438" spans="2:5" s="3" customFormat="1" x14ac:dyDescent="0.1">
      <c r="B438" s="18"/>
      <c r="D438" s="19"/>
      <c r="E438" s="18"/>
    </row>
    <row r="439" spans="2:5" s="3" customFormat="1" x14ac:dyDescent="0.1">
      <c r="B439" s="18"/>
      <c r="D439" s="19"/>
      <c r="E439" s="18"/>
    </row>
    <row r="440" spans="2:5" s="3" customFormat="1" x14ac:dyDescent="0.1">
      <c r="B440" s="18"/>
      <c r="D440" s="19"/>
      <c r="E440" s="18"/>
    </row>
    <row r="441" spans="2:5" s="3" customFormat="1" x14ac:dyDescent="0.1">
      <c r="B441" s="18"/>
      <c r="D441" s="19"/>
      <c r="E441" s="18"/>
    </row>
    <row r="442" spans="2:5" s="3" customFormat="1" x14ac:dyDescent="0.1">
      <c r="B442" s="18"/>
      <c r="D442" s="19"/>
      <c r="E442" s="18"/>
    </row>
    <row r="443" spans="2:5" s="3" customFormat="1" x14ac:dyDescent="0.1">
      <c r="B443" s="18"/>
      <c r="D443" s="19"/>
      <c r="E443" s="18"/>
    </row>
    <row r="444" spans="2:5" s="3" customFormat="1" x14ac:dyDescent="0.1">
      <c r="B444" s="18"/>
      <c r="D444" s="19"/>
      <c r="E444" s="18"/>
    </row>
    <row r="445" spans="2:5" s="3" customFormat="1" x14ac:dyDescent="0.1">
      <c r="B445" s="18"/>
      <c r="D445" s="19"/>
      <c r="E445" s="18"/>
    </row>
    <row r="446" spans="2:5" s="3" customFormat="1" x14ac:dyDescent="0.1">
      <c r="B446" s="18"/>
      <c r="D446" s="19"/>
      <c r="E446" s="18"/>
    </row>
    <row r="447" spans="2:5" s="3" customFormat="1" x14ac:dyDescent="0.1">
      <c r="B447" s="18"/>
      <c r="D447" s="19"/>
      <c r="E447" s="18"/>
    </row>
    <row r="448" spans="2:5" s="3" customFormat="1" x14ac:dyDescent="0.1">
      <c r="B448" s="18"/>
      <c r="D448" s="19"/>
      <c r="E448" s="18"/>
    </row>
    <row r="449" spans="2:5" s="3" customFormat="1" x14ac:dyDescent="0.1">
      <c r="B449" s="18"/>
      <c r="D449" s="19"/>
      <c r="E449" s="18"/>
    </row>
    <row r="450" spans="2:5" s="3" customFormat="1" x14ac:dyDescent="0.1">
      <c r="B450" s="18"/>
      <c r="D450" s="19"/>
      <c r="E450" s="18"/>
    </row>
    <row r="451" spans="2:5" s="3" customFormat="1" x14ac:dyDescent="0.1">
      <c r="B451" s="18"/>
      <c r="D451" s="19"/>
      <c r="E451" s="18"/>
    </row>
    <row r="452" spans="2:5" s="3" customFormat="1" x14ac:dyDescent="0.1">
      <c r="B452" s="18"/>
      <c r="D452" s="19"/>
      <c r="E452" s="18"/>
    </row>
    <row r="453" spans="2:5" s="3" customFormat="1" x14ac:dyDescent="0.1">
      <c r="B453" s="18"/>
      <c r="D453" s="19"/>
      <c r="E453" s="18"/>
    </row>
    <row r="454" spans="2:5" s="3" customFormat="1" x14ac:dyDescent="0.1">
      <c r="B454" s="18"/>
      <c r="D454" s="19"/>
      <c r="E454" s="18"/>
    </row>
    <row r="455" spans="2:5" s="3" customFormat="1" x14ac:dyDescent="0.1">
      <c r="B455" s="18"/>
      <c r="D455" s="19"/>
      <c r="E455" s="18"/>
    </row>
    <row r="456" spans="2:5" s="3" customFormat="1" x14ac:dyDescent="0.1">
      <c r="B456" s="18"/>
      <c r="D456" s="19"/>
      <c r="E456" s="18"/>
    </row>
    <row r="457" spans="2:5" s="3" customFormat="1" x14ac:dyDescent="0.1">
      <c r="B457" s="18"/>
      <c r="D457" s="19"/>
      <c r="E457" s="18"/>
    </row>
    <row r="458" spans="2:5" s="3" customFormat="1" x14ac:dyDescent="0.1">
      <c r="B458" s="18"/>
      <c r="D458" s="19"/>
      <c r="E458" s="18"/>
    </row>
    <row r="459" spans="2:5" s="3" customFormat="1" x14ac:dyDescent="0.1">
      <c r="B459" s="18"/>
      <c r="D459" s="19"/>
      <c r="E459" s="18"/>
    </row>
    <row r="460" spans="2:5" s="3" customFormat="1" x14ac:dyDescent="0.1">
      <c r="B460" s="18"/>
      <c r="D460" s="19"/>
      <c r="E460" s="18"/>
    </row>
    <row r="461" spans="2:5" s="3" customFormat="1" x14ac:dyDescent="0.1">
      <c r="B461" s="18"/>
      <c r="D461" s="19"/>
      <c r="E461" s="18"/>
    </row>
    <row r="462" spans="2:5" s="3" customFormat="1" x14ac:dyDescent="0.1">
      <c r="B462" s="18"/>
      <c r="D462" s="19"/>
      <c r="E462" s="18"/>
    </row>
    <row r="463" spans="2:5" s="3" customFormat="1" x14ac:dyDescent="0.1">
      <c r="B463" s="18"/>
      <c r="D463" s="19"/>
      <c r="E463" s="18"/>
    </row>
    <row r="464" spans="2:5" s="3" customFormat="1" x14ac:dyDescent="0.1">
      <c r="B464" s="18"/>
      <c r="D464" s="19"/>
      <c r="E464" s="18"/>
    </row>
    <row r="465" spans="2:5" s="3" customFormat="1" x14ac:dyDescent="0.1">
      <c r="B465" s="18"/>
      <c r="D465" s="19"/>
      <c r="E465" s="18"/>
    </row>
    <row r="466" spans="2:5" s="3" customFormat="1" x14ac:dyDescent="0.1">
      <c r="B466" s="18"/>
      <c r="D466" s="19"/>
      <c r="E466" s="18"/>
    </row>
    <row r="467" spans="2:5" s="3" customFormat="1" x14ac:dyDescent="0.1">
      <c r="B467" s="18"/>
      <c r="D467" s="19"/>
      <c r="E467" s="18"/>
    </row>
    <row r="468" spans="2:5" s="3" customFormat="1" x14ac:dyDescent="0.1">
      <c r="B468" s="18"/>
      <c r="D468" s="19"/>
      <c r="E468" s="18"/>
    </row>
    <row r="469" spans="2:5" s="3" customFormat="1" x14ac:dyDescent="0.1">
      <c r="B469" s="18"/>
      <c r="D469" s="19"/>
      <c r="E469" s="18"/>
    </row>
    <row r="470" spans="2:5" s="3" customFormat="1" x14ac:dyDescent="0.1">
      <c r="B470" s="18"/>
      <c r="D470" s="19"/>
      <c r="E470" s="18"/>
    </row>
    <row r="471" spans="2:5" s="3" customFormat="1" x14ac:dyDescent="0.1">
      <c r="B471" s="18"/>
      <c r="D471" s="19"/>
      <c r="E471" s="18"/>
    </row>
    <row r="472" spans="2:5" s="3" customFormat="1" x14ac:dyDescent="0.1">
      <c r="B472" s="18"/>
      <c r="D472" s="19"/>
      <c r="E472" s="18"/>
    </row>
    <row r="473" spans="2:5" s="3" customFormat="1" x14ac:dyDescent="0.1">
      <c r="B473" s="18"/>
      <c r="D473" s="19"/>
      <c r="E473" s="18"/>
    </row>
    <row r="474" spans="2:5" s="3" customFormat="1" x14ac:dyDescent="0.1">
      <c r="B474" s="18"/>
      <c r="D474" s="19"/>
      <c r="E474" s="18"/>
    </row>
    <row r="475" spans="2:5" s="3" customFormat="1" x14ac:dyDescent="0.1">
      <c r="B475" s="18"/>
      <c r="D475" s="19"/>
      <c r="E475" s="18"/>
    </row>
    <row r="476" spans="2:5" s="3" customFormat="1" x14ac:dyDescent="0.1">
      <c r="B476" s="18"/>
      <c r="D476" s="19"/>
      <c r="E476" s="18"/>
    </row>
    <row r="477" spans="2:5" s="3" customFormat="1" x14ac:dyDescent="0.1">
      <c r="B477" s="18"/>
      <c r="D477" s="19"/>
      <c r="E477" s="18"/>
    </row>
    <row r="478" spans="2:5" s="3" customFormat="1" x14ac:dyDescent="0.1">
      <c r="B478" s="18"/>
      <c r="D478" s="19"/>
      <c r="E478" s="18"/>
    </row>
    <row r="479" spans="2:5" s="3" customFormat="1" x14ac:dyDescent="0.1">
      <c r="B479" s="18"/>
      <c r="D479" s="19"/>
      <c r="E479" s="18"/>
    </row>
    <row r="480" spans="2:5" s="3" customFormat="1" x14ac:dyDescent="0.1">
      <c r="B480" s="18"/>
      <c r="D480" s="19"/>
      <c r="E480" s="18"/>
    </row>
    <row r="481" spans="2:5" s="3" customFormat="1" x14ac:dyDescent="0.1">
      <c r="B481" s="18"/>
      <c r="D481" s="19"/>
      <c r="E481" s="18"/>
    </row>
    <row r="482" spans="2:5" s="3" customFormat="1" x14ac:dyDescent="0.1">
      <c r="B482" s="18"/>
      <c r="D482" s="19"/>
      <c r="E482" s="18"/>
    </row>
    <row r="483" spans="2:5" s="3" customFormat="1" x14ac:dyDescent="0.1">
      <c r="B483" s="18"/>
      <c r="D483" s="19"/>
      <c r="E483" s="18"/>
    </row>
    <row r="484" spans="2:5" s="3" customFormat="1" x14ac:dyDescent="0.1">
      <c r="B484" s="18"/>
      <c r="D484" s="19"/>
      <c r="E484" s="18"/>
    </row>
    <row r="485" spans="2:5" s="3" customFormat="1" x14ac:dyDescent="0.1">
      <c r="B485" s="18"/>
      <c r="D485" s="19"/>
      <c r="E485" s="18"/>
    </row>
    <row r="486" spans="2:5" s="3" customFormat="1" x14ac:dyDescent="0.1">
      <c r="B486" s="18"/>
      <c r="D486" s="19"/>
      <c r="E486" s="18"/>
    </row>
    <row r="487" spans="2:5" s="3" customFormat="1" x14ac:dyDescent="0.1">
      <c r="B487" s="18"/>
      <c r="D487" s="19"/>
      <c r="E487" s="18"/>
    </row>
    <row r="488" spans="2:5" s="3" customFormat="1" x14ac:dyDescent="0.1">
      <c r="B488" s="18"/>
      <c r="D488" s="19"/>
      <c r="E488" s="18"/>
    </row>
    <row r="489" spans="2:5" s="3" customFormat="1" x14ac:dyDescent="0.1">
      <c r="B489" s="18"/>
      <c r="D489" s="19"/>
      <c r="E489" s="18"/>
    </row>
    <row r="490" spans="2:5" s="3" customFormat="1" x14ac:dyDescent="0.1">
      <c r="B490" s="18"/>
      <c r="D490" s="19"/>
      <c r="E490" s="18"/>
    </row>
    <row r="491" spans="2:5" s="3" customFormat="1" x14ac:dyDescent="0.1">
      <c r="B491" s="18"/>
      <c r="D491" s="19"/>
      <c r="E491" s="18"/>
    </row>
    <row r="492" spans="2:5" s="3" customFormat="1" x14ac:dyDescent="0.1">
      <c r="B492" s="18"/>
      <c r="D492" s="19"/>
      <c r="E492" s="18"/>
    </row>
    <row r="493" spans="2:5" s="3" customFormat="1" x14ac:dyDescent="0.1">
      <c r="B493" s="18"/>
      <c r="D493" s="19"/>
      <c r="E493" s="18"/>
    </row>
    <row r="494" spans="2:5" s="3" customFormat="1" x14ac:dyDescent="0.1">
      <c r="B494" s="18"/>
      <c r="D494" s="19"/>
      <c r="E494" s="18"/>
    </row>
    <row r="495" spans="2:5" s="3" customFormat="1" x14ac:dyDescent="0.1">
      <c r="B495" s="18"/>
      <c r="D495" s="19"/>
      <c r="E495" s="18"/>
    </row>
    <row r="496" spans="2:5" s="3" customFormat="1" x14ac:dyDescent="0.1">
      <c r="B496" s="18"/>
      <c r="D496" s="19"/>
      <c r="E496" s="18"/>
    </row>
    <row r="497" spans="2:5" s="3" customFormat="1" x14ac:dyDescent="0.1">
      <c r="B497" s="18"/>
      <c r="D497" s="19"/>
      <c r="E497" s="18"/>
    </row>
    <row r="498" spans="2:5" s="3" customFormat="1" x14ac:dyDescent="0.1">
      <c r="B498" s="18"/>
      <c r="D498" s="19"/>
      <c r="E498" s="18"/>
    </row>
    <row r="499" spans="2:5" s="3" customFormat="1" x14ac:dyDescent="0.1">
      <c r="B499" s="18"/>
      <c r="D499" s="19"/>
      <c r="E499" s="18"/>
    </row>
    <row r="500" spans="2:5" s="3" customFormat="1" x14ac:dyDescent="0.1">
      <c r="B500" s="18"/>
      <c r="D500" s="19"/>
      <c r="E500" s="18"/>
    </row>
    <row r="501" spans="2:5" s="3" customFormat="1" x14ac:dyDescent="0.1">
      <c r="B501" s="18"/>
      <c r="D501" s="19"/>
      <c r="E501" s="18"/>
    </row>
    <row r="502" spans="2:5" s="3" customFormat="1" x14ac:dyDescent="0.1">
      <c r="B502" s="18"/>
      <c r="D502" s="19"/>
      <c r="E502" s="18"/>
    </row>
    <row r="503" spans="2:5" s="3" customFormat="1" x14ac:dyDescent="0.1">
      <c r="B503" s="18"/>
      <c r="D503" s="19"/>
      <c r="E503" s="18"/>
    </row>
    <row r="504" spans="2:5" s="3" customFormat="1" x14ac:dyDescent="0.1">
      <c r="B504" s="18"/>
      <c r="D504" s="19"/>
      <c r="E504" s="18"/>
    </row>
    <row r="505" spans="2:5" s="3" customFormat="1" x14ac:dyDescent="0.1">
      <c r="B505" s="18"/>
      <c r="D505" s="19"/>
      <c r="E505" s="18"/>
    </row>
    <row r="506" spans="2:5" s="3" customFormat="1" x14ac:dyDescent="0.1">
      <c r="B506" s="18"/>
      <c r="D506" s="19"/>
      <c r="E506" s="18"/>
    </row>
    <row r="507" spans="2:5" s="3" customFormat="1" x14ac:dyDescent="0.1">
      <c r="B507" s="18"/>
      <c r="D507" s="19"/>
      <c r="E507" s="18"/>
    </row>
    <row r="508" spans="2:5" s="3" customFormat="1" x14ac:dyDescent="0.1">
      <c r="B508" s="18"/>
      <c r="D508" s="19"/>
      <c r="E508" s="18"/>
    </row>
    <row r="509" spans="2:5" s="3" customFormat="1" x14ac:dyDescent="0.1">
      <c r="B509" s="18"/>
      <c r="D509" s="19"/>
      <c r="E509" s="18"/>
    </row>
    <row r="510" spans="2:5" s="3" customFormat="1" x14ac:dyDescent="0.1">
      <c r="B510" s="18"/>
      <c r="D510" s="19"/>
      <c r="E510" s="18"/>
    </row>
    <row r="511" spans="2:5" s="3" customFormat="1" x14ac:dyDescent="0.1">
      <c r="B511" s="18"/>
      <c r="D511" s="19"/>
      <c r="E511" s="18"/>
    </row>
    <row r="512" spans="2:5" s="3" customFormat="1" x14ac:dyDescent="0.1">
      <c r="B512" s="18"/>
      <c r="D512" s="19"/>
      <c r="E512" s="18"/>
    </row>
    <row r="513" spans="2:5" s="3" customFormat="1" x14ac:dyDescent="0.1">
      <c r="B513" s="18"/>
      <c r="D513" s="19"/>
      <c r="E513" s="18"/>
    </row>
    <row r="514" spans="2:5" s="3" customFormat="1" x14ac:dyDescent="0.1">
      <c r="B514" s="18"/>
      <c r="D514" s="19"/>
      <c r="E514" s="18"/>
    </row>
    <row r="515" spans="2:5" s="3" customFormat="1" x14ac:dyDescent="0.1">
      <c r="B515" s="18"/>
      <c r="D515" s="19"/>
      <c r="E515" s="18"/>
    </row>
    <row r="516" spans="2:5" s="3" customFormat="1" x14ac:dyDescent="0.1">
      <c r="B516" s="18"/>
      <c r="D516" s="19"/>
      <c r="E516" s="18"/>
    </row>
    <row r="517" spans="2:5" s="3" customFormat="1" x14ac:dyDescent="0.1">
      <c r="B517" s="18"/>
      <c r="D517" s="19"/>
      <c r="E517" s="18"/>
    </row>
    <row r="518" spans="2:5" s="3" customFormat="1" x14ac:dyDescent="0.1">
      <c r="B518" s="18"/>
      <c r="D518" s="19"/>
      <c r="E518" s="18"/>
    </row>
    <row r="519" spans="2:5" s="3" customFormat="1" x14ac:dyDescent="0.1">
      <c r="B519" s="18"/>
      <c r="D519" s="19"/>
      <c r="E519" s="18"/>
    </row>
    <row r="520" spans="2:5" s="3" customFormat="1" x14ac:dyDescent="0.1">
      <c r="B520" s="18"/>
      <c r="D520" s="19"/>
      <c r="E520" s="18"/>
    </row>
    <row r="521" spans="2:5" s="3" customFormat="1" x14ac:dyDescent="0.1">
      <c r="B521" s="18"/>
      <c r="D521" s="19"/>
      <c r="E521" s="18"/>
    </row>
    <row r="522" spans="2:5" s="3" customFormat="1" x14ac:dyDescent="0.1">
      <c r="B522" s="18"/>
      <c r="D522" s="19"/>
      <c r="E522" s="18"/>
    </row>
    <row r="523" spans="2:5" s="3" customFormat="1" x14ac:dyDescent="0.1">
      <c r="B523" s="18"/>
      <c r="D523" s="19"/>
      <c r="E523" s="18"/>
    </row>
    <row r="524" spans="2:5" s="3" customFormat="1" x14ac:dyDescent="0.1">
      <c r="B524" s="18"/>
      <c r="D524" s="19"/>
      <c r="E524" s="18"/>
    </row>
    <row r="525" spans="2:5" s="3" customFormat="1" x14ac:dyDescent="0.1">
      <c r="B525" s="18"/>
      <c r="D525" s="19"/>
      <c r="E525" s="18"/>
    </row>
    <row r="526" spans="2:5" s="3" customFormat="1" x14ac:dyDescent="0.1">
      <c r="B526" s="18"/>
      <c r="D526" s="19"/>
      <c r="E526" s="18"/>
    </row>
    <row r="527" spans="2:5" s="3" customFormat="1" x14ac:dyDescent="0.1">
      <c r="B527" s="18"/>
      <c r="D527" s="19"/>
      <c r="E527" s="18"/>
    </row>
    <row r="528" spans="2:5" s="3" customFormat="1" x14ac:dyDescent="0.1">
      <c r="B528" s="18"/>
      <c r="D528" s="19"/>
      <c r="E528" s="18"/>
    </row>
    <row r="529" spans="2:5" s="3" customFormat="1" x14ac:dyDescent="0.1">
      <c r="B529" s="18"/>
      <c r="D529" s="19"/>
      <c r="E529" s="18"/>
    </row>
    <row r="530" spans="2:5" s="3" customFormat="1" x14ac:dyDescent="0.1">
      <c r="B530" s="18"/>
      <c r="D530" s="19"/>
      <c r="E530" s="18"/>
    </row>
    <row r="531" spans="2:5" s="3" customFormat="1" x14ac:dyDescent="0.1">
      <c r="B531" s="18"/>
      <c r="D531" s="19"/>
      <c r="E531" s="18"/>
    </row>
    <row r="532" spans="2:5" s="3" customFormat="1" x14ac:dyDescent="0.1">
      <c r="B532" s="18"/>
      <c r="D532" s="19"/>
      <c r="E532" s="18"/>
    </row>
    <row r="533" spans="2:5" s="3" customFormat="1" x14ac:dyDescent="0.1">
      <c r="B533" s="18"/>
      <c r="D533" s="19"/>
      <c r="E533" s="18"/>
    </row>
    <row r="534" spans="2:5" s="3" customFormat="1" x14ac:dyDescent="0.1">
      <c r="B534" s="18"/>
      <c r="D534" s="19"/>
      <c r="E534" s="18"/>
    </row>
    <row r="535" spans="2:5" s="3" customFormat="1" x14ac:dyDescent="0.1">
      <c r="B535" s="18"/>
      <c r="D535" s="19"/>
      <c r="E535" s="18"/>
    </row>
    <row r="536" spans="2:5" s="3" customFormat="1" x14ac:dyDescent="0.1">
      <c r="B536" s="18"/>
      <c r="D536" s="19"/>
      <c r="E536" s="18"/>
    </row>
    <row r="537" spans="2:5" s="3" customFormat="1" x14ac:dyDescent="0.1">
      <c r="B537" s="18"/>
      <c r="D537" s="19"/>
      <c r="E537" s="18"/>
    </row>
    <row r="538" spans="2:5" s="3" customFormat="1" x14ac:dyDescent="0.1">
      <c r="B538" s="18"/>
      <c r="D538" s="19"/>
      <c r="E538" s="18"/>
    </row>
    <row r="539" spans="2:5" s="3" customFormat="1" x14ac:dyDescent="0.1">
      <c r="B539" s="18"/>
      <c r="D539" s="19"/>
      <c r="E539" s="18"/>
    </row>
    <row r="540" spans="2:5" s="3" customFormat="1" x14ac:dyDescent="0.1">
      <c r="B540" s="18"/>
      <c r="D540" s="19"/>
      <c r="E540" s="18"/>
    </row>
    <row r="541" spans="2:5" s="3" customFormat="1" x14ac:dyDescent="0.1">
      <c r="B541" s="18"/>
      <c r="D541" s="19"/>
      <c r="E541" s="18"/>
    </row>
    <row r="542" spans="2:5" s="3" customFormat="1" x14ac:dyDescent="0.1">
      <c r="B542" s="18"/>
      <c r="D542" s="19"/>
      <c r="E542" s="18"/>
    </row>
    <row r="543" spans="2:5" s="3" customFormat="1" x14ac:dyDescent="0.1">
      <c r="B543" s="18"/>
      <c r="D543" s="19"/>
      <c r="E543" s="18"/>
    </row>
    <row r="544" spans="2:5" s="3" customFormat="1" x14ac:dyDescent="0.1">
      <c r="B544" s="18"/>
      <c r="D544" s="19"/>
      <c r="E544" s="18"/>
    </row>
    <row r="545" spans="2:5" s="3" customFormat="1" x14ac:dyDescent="0.1">
      <c r="B545" s="18"/>
      <c r="D545" s="19"/>
      <c r="E545" s="18"/>
    </row>
    <row r="546" spans="2:5" s="3" customFormat="1" x14ac:dyDescent="0.1">
      <c r="B546" s="18"/>
      <c r="D546" s="19"/>
      <c r="E546" s="18"/>
    </row>
    <row r="547" spans="2:5" s="3" customFormat="1" x14ac:dyDescent="0.1">
      <c r="B547" s="18"/>
      <c r="D547" s="19"/>
      <c r="E547" s="18"/>
    </row>
    <row r="548" spans="2:5" s="3" customFormat="1" x14ac:dyDescent="0.1">
      <c r="B548" s="18"/>
      <c r="D548" s="19"/>
      <c r="E548" s="18"/>
    </row>
    <row r="549" spans="2:5" s="3" customFormat="1" x14ac:dyDescent="0.1">
      <c r="B549" s="18"/>
      <c r="D549" s="19"/>
      <c r="E549" s="18"/>
    </row>
    <row r="550" spans="2:5" s="3" customFormat="1" x14ac:dyDescent="0.1">
      <c r="B550" s="18"/>
      <c r="D550" s="19"/>
      <c r="E550" s="18"/>
    </row>
    <row r="551" spans="2:5" s="3" customFormat="1" x14ac:dyDescent="0.1">
      <c r="B551" s="18"/>
      <c r="D551" s="19"/>
      <c r="E551" s="18"/>
    </row>
    <row r="552" spans="2:5" s="3" customFormat="1" x14ac:dyDescent="0.1">
      <c r="B552" s="18"/>
      <c r="D552" s="19"/>
      <c r="E552" s="18"/>
    </row>
    <row r="553" spans="2:5" s="3" customFormat="1" x14ac:dyDescent="0.1">
      <c r="B553" s="18"/>
      <c r="D553" s="19"/>
      <c r="E553" s="18"/>
    </row>
    <row r="554" spans="2:5" s="3" customFormat="1" x14ac:dyDescent="0.1">
      <c r="B554" s="18"/>
      <c r="D554" s="19"/>
      <c r="E554" s="18"/>
    </row>
    <row r="555" spans="2:5" s="3" customFormat="1" x14ac:dyDescent="0.1">
      <c r="B555" s="18"/>
      <c r="D555" s="19"/>
      <c r="E555" s="18"/>
    </row>
    <row r="556" spans="2:5" s="3" customFormat="1" x14ac:dyDescent="0.1">
      <c r="B556" s="18"/>
      <c r="D556" s="19"/>
      <c r="E556" s="18"/>
    </row>
    <row r="557" spans="2:5" s="3" customFormat="1" x14ac:dyDescent="0.1">
      <c r="B557" s="18"/>
      <c r="D557" s="19"/>
      <c r="E557" s="18"/>
    </row>
    <row r="558" spans="2:5" s="3" customFormat="1" x14ac:dyDescent="0.1">
      <c r="B558" s="18"/>
      <c r="D558" s="19"/>
      <c r="E558" s="18"/>
    </row>
    <row r="559" spans="2:5" s="3" customFormat="1" x14ac:dyDescent="0.1">
      <c r="B559" s="18"/>
      <c r="D559" s="19"/>
      <c r="E559" s="18"/>
    </row>
    <row r="560" spans="2:5" s="3" customFormat="1" x14ac:dyDescent="0.1">
      <c r="B560" s="18"/>
      <c r="D560" s="19"/>
      <c r="E560" s="18"/>
    </row>
    <row r="561" spans="2:5" s="3" customFormat="1" x14ac:dyDescent="0.1">
      <c r="B561" s="18"/>
      <c r="D561" s="19"/>
      <c r="E561" s="18"/>
    </row>
    <row r="562" spans="2:5" s="3" customFormat="1" x14ac:dyDescent="0.1">
      <c r="B562" s="18"/>
      <c r="D562" s="19"/>
      <c r="E562" s="18"/>
    </row>
    <row r="563" spans="2:5" s="3" customFormat="1" x14ac:dyDescent="0.1">
      <c r="B563" s="18"/>
      <c r="D563" s="19"/>
      <c r="E563" s="18"/>
    </row>
    <row r="564" spans="2:5" s="3" customFormat="1" x14ac:dyDescent="0.1">
      <c r="B564" s="18"/>
      <c r="D564" s="19"/>
      <c r="E564" s="18"/>
    </row>
    <row r="565" spans="2:5" s="3" customFormat="1" x14ac:dyDescent="0.1">
      <c r="B565" s="18"/>
      <c r="D565" s="19"/>
      <c r="E565" s="18"/>
    </row>
    <row r="566" spans="2:5" s="3" customFormat="1" x14ac:dyDescent="0.1">
      <c r="B566" s="18"/>
      <c r="D566" s="19"/>
      <c r="E566" s="18"/>
    </row>
    <row r="567" spans="2:5" s="3" customFormat="1" x14ac:dyDescent="0.1">
      <c r="B567" s="18"/>
      <c r="D567" s="19"/>
      <c r="E567" s="18"/>
    </row>
    <row r="568" spans="2:5" s="3" customFormat="1" x14ac:dyDescent="0.1">
      <c r="B568" s="18"/>
      <c r="D568" s="19"/>
      <c r="E568" s="18"/>
    </row>
    <row r="569" spans="2:5" s="3" customFormat="1" x14ac:dyDescent="0.1">
      <c r="B569" s="18"/>
      <c r="D569" s="19"/>
      <c r="E569" s="18"/>
    </row>
    <row r="570" spans="2:5" s="3" customFormat="1" x14ac:dyDescent="0.1">
      <c r="B570" s="18"/>
      <c r="D570" s="19"/>
      <c r="E570" s="18"/>
    </row>
    <row r="571" spans="2:5" s="3" customFormat="1" x14ac:dyDescent="0.1">
      <c r="B571" s="18"/>
      <c r="D571" s="19"/>
      <c r="E571" s="18"/>
    </row>
    <row r="572" spans="2:5" s="3" customFormat="1" x14ac:dyDescent="0.1">
      <c r="B572" s="18"/>
      <c r="D572" s="19"/>
      <c r="E572" s="18"/>
    </row>
    <row r="573" spans="2:5" s="3" customFormat="1" x14ac:dyDescent="0.1">
      <c r="B573" s="18"/>
      <c r="D573" s="19"/>
      <c r="E573" s="18"/>
    </row>
    <row r="574" spans="2:5" s="3" customFormat="1" x14ac:dyDescent="0.1">
      <c r="B574" s="18"/>
      <c r="D574" s="19"/>
      <c r="E574" s="18"/>
    </row>
    <row r="575" spans="2:5" s="3" customFormat="1" x14ac:dyDescent="0.1">
      <c r="B575" s="18"/>
      <c r="D575" s="19"/>
      <c r="E575" s="18"/>
    </row>
    <row r="576" spans="2:5" s="3" customFormat="1" x14ac:dyDescent="0.1">
      <c r="B576" s="18"/>
      <c r="D576" s="19"/>
      <c r="E576" s="18"/>
    </row>
    <row r="577" spans="2:5" s="3" customFormat="1" x14ac:dyDescent="0.1">
      <c r="B577" s="18"/>
      <c r="D577" s="19"/>
      <c r="E577" s="18"/>
    </row>
    <row r="578" spans="2:5" s="3" customFormat="1" x14ac:dyDescent="0.1">
      <c r="B578" s="18"/>
      <c r="D578" s="19"/>
      <c r="E578" s="18"/>
    </row>
    <row r="579" spans="2:5" s="3" customFormat="1" x14ac:dyDescent="0.1">
      <c r="B579" s="18"/>
      <c r="D579" s="19"/>
      <c r="E579" s="18"/>
    </row>
    <row r="580" spans="2:5" s="3" customFormat="1" x14ac:dyDescent="0.1">
      <c r="B580" s="18"/>
      <c r="D580" s="19"/>
      <c r="E580" s="18"/>
    </row>
    <row r="581" spans="2:5" s="3" customFormat="1" x14ac:dyDescent="0.1">
      <c r="B581" s="18"/>
      <c r="D581" s="19"/>
      <c r="E581" s="18"/>
    </row>
    <row r="582" spans="2:5" s="3" customFormat="1" x14ac:dyDescent="0.1">
      <c r="B582" s="18"/>
      <c r="D582" s="19"/>
      <c r="E582" s="18"/>
    </row>
    <row r="583" spans="2:5" s="3" customFormat="1" x14ac:dyDescent="0.1">
      <c r="B583" s="18"/>
      <c r="D583" s="19"/>
      <c r="E583" s="18"/>
    </row>
    <row r="584" spans="2:5" s="3" customFormat="1" x14ac:dyDescent="0.1">
      <c r="B584" s="18"/>
      <c r="D584" s="19"/>
      <c r="E584" s="18"/>
    </row>
    <row r="585" spans="2:5" s="3" customFormat="1" x14ac:dyDescent="0.1">
      <c r="B585" s="18"/>
      <c r="D585" s="19"/>
      <c r="E585" s="18"/>
    </row>
    <row r="586" spans="2:5" s="3" customFormat="1" x14ac:dyDescent="0.1">
      <c r="B586" s="18"/>
      <c r="D586" s="19"/>
      <c r="E586" s="18"/>
    </row>
    <row r="587" spans="2:5" s="3" customFormat="1" x14ac:dyDescent="0.1">
      <c r="B587" s="18"/>
      <c r="D587" s="19"/>
      <c r="E587" s="18"/>
    </row>
    <row r="588" spans="2:5" s="3" customFormat="1" x14ac:dyDescent="0.1">
      <c r="B588" s="18"/>
      <c r="D588" s="19"/>
      <c r="E588" s="18"/>
    </row>
    <row r="589" spans="2:5" s="3" customFormat="1" x14ac:dyDescent="0.1">
      <c r="B589" s="18"/>
      <c r="D589" s="19"/>
      <c r="E589" s="18"/>
    </row>
    <row r="590" spans="2:5" s="3" customFormat="1" x14ac:dyDescent="0.1">
      <c r="B590" s="18"/>
      <c r="D590" s="19"/>
      <c r="E590" s="18"/>
    </row>
    <row r="591" spans="2:5" s="3" customFormat="1" x14ac:dyDescent="0.1">
      <c r="B591" s="18"/>
      <c r="D591" s="19"/>
      <c r="E591" s="18"/>
    </row>
    <row r="592" spans="2:5" s="3" customFormat="1" x14ac:dyDescent="0.1">
      <c r="B592" s="18"/>
      <c r="D592" s="19"/>
      <c r="E592" s="18"/>
    </row>
    <row r="593" spans="2:5" s="3" customFormat="1" x14ac:dyDescent="0.1">
      <c r="B593" s="18"/>
      <c r="D593" s="19"/>
      <c r="E593" s="18"/>
    </row>
    <row r="594" spans="2:5" s="3" customFormat="1" x14ac:dyDescent="0.1">
      <c r="B594" s="18"/>
      <c r="D594" s="19"/>
      <c r="E594" s="18"/>
    </row>
    <row r="595" spans="2:5" s="3" customFormat="1" x14ac:dyDescent="0.1">
      <c r="B595" s="18"/>
      <c r="D595" s="19"/>
      <c r="E595" s="18"/>
    </row>
    <row r="596" spans="2:5" s="3" customFormat="1" x14ac:dyDescent="0.1">
      <c r="B596" s="18"/>
      <c r="D596" s="19"/>
      <c r="E596" s="18"/>
    </row>
    <row r="597" spans="2:5" s="3" customFormat="1" x14ac:dyDescent="0.1">
      <c r="B597" s="18"/>
      <c r="D597" s="19"/>
      <c r="E597" s="18"/>
    </row>
    <row r="598" spans="2:5" s="3" customFormat="1" x14ac:dyDescent="0.1">
      <c r="B598" s="18"/>
      <c r="D598" s="19"/>
      <c r="E598" s="18"/>
    </row>
    <row r="599" spans="2:5" s="3" customFormat="1" x14ac:dyDescent="0.1">
      <c r="B599" s="18"/>
      <c r="D599" s="19"/>
      <c r="E599" s="18"/>
    </row>
    <row r="600" spans="2:5" s="3" customFormat="1" x14ac:dyDescent="0.1">
      <c r="B600" s="18"/>
      <c r="D600" s="19"/>
      <c r="E600" s="18"/>
    </row>
    <row r="601" spans="2:5" s="3" customFormat="1" x14ac:dyDescent="0.1">
      <c r="B601" s="18"/>
      <c r="D601" s="19"/>
      <c r="E601" s="18"/>
    </row>
    <row r="602" spans="2:5" s="3" customFormat="1" x14ac:dyDescent="0.1">
      <c r="B602" s="18"/>
      <c r="D602" s="19"/>
      <c r="E602" s="18"/>
    </row>
    <row r="603" spans="2:5" s="3" customFormat="1" x14ac:dyDescent="0.1">
      <c r="B603" s="18"/>
      <c r="D603" s="19"/>
      <c r="E603" s="18"/>
    </row>
    <row r="604" spans="2:5" s="3" customFormat="1" x14ac:dyDescent="0.1">
      <c r="B604" s="18"/>
      <c r="D604" s="19"/>
      <c r="E604" s="18"/>
    </row>
    <row r="605" spans="2:5" s="3" customFormat="1" x14ac:dyDescent="0.1">
      <c r="B605" s="18"/>
      <c r="D605" s="19"/>
      <c r="E605" s="18"/>
    </row>
    <row r="606" spans="2:5" s="3" customFormat="1" x14ac:dyDescent="0.1">
      <c r="B606" s="18"/>
      <c r="D606" s="19"/>
      <c r="E606" s="18"/>
    </row>
    <row r="607" spans="2:5" s="3" customFormat="1" x14ac:dyDescent="0.1">
      <c r="B607" s="18"/>
      <c r="D607" s="19"/>
      <c r="E607" s="18"/>
    </row>
    <row r="608" spans="2:5" s="3" customFormat="1" x14ac:dyDescent="0.1">
      <c r="B608" s="18"/>
      <c r="D608" s="19"/>
      <c r="E608" s="18"/>
    </row>
    <row r="609" spans="2:5" s="3" customFormat="1" x14ac:dyDescent="0.1">
      <c r="B609" s="18"/>
      <c r="D609" s="19"/>
      <c r="E609" s="18"/>
    </row>
    <row r="610" spans="2:5" s="3" customFormat="1" x14ac:dyDescent="0.1">
      <c r="B610" s="18"/>
      <c r="D610" s="19"/>
      <c r="E610" s="18"/>
    </row>
    <row r="611" spans="2:5" s="3" customFormat="1" x14ac:dyDescent="0.1">
      <c r="B611" s="18"/>
      <c r="D611" s="19"/>
      <c r="E611" s="18"/>
    </row>
    <row r="612" spans="2:5" s="3" customFormat="1" x14ac:dyDescent="0.1">
      <c r="B612" s="18"/>
      <c r="D612" s="19"/>
      <c r="E612" s="18"/>
    </row>
    <row r="613" spans="2:5" s="3" customFormat="1" x14ac:dyDescent="0.1">
      <c r="B613" s="18"/>
      <c r="D613" s="19"/>
      <c r="E613" s="18"/>
    </row>
    <row r="614" spans="2:5" s="3" customFormat="1" x14ac:dyDescent="0.1">
      <c r="B614" s="18"/>
      <c r="D614" s="19"/>
      <c r="E614" s="18"/>
    </row>
  </sheetData>
  <sheetProtection password="C5A6" sheet="1" objects="1" scenarios="1"/>
  <mergeCells count="17">
    <mergeCell ref="B15:B24"/>
    <mergeCell ref="B2:E5"/>
    <mergeCell ref="F3:H3"/>
    <mergeCell ref="F4:H4"/>
    <mergeCell ref="E11:F11"/>
    <mergeCell ref="E13:F13"/>
    <mergeCell ref="E26:F26"/>
    <mergeCell ref="B28:B39"/>
    <mergeCell ref="E41:F41"/>
    <mergeCell ref="B43:B47"/>
    <mergeCell ref="E53:F53"/>
    <mergeCell ref="B83:H83"/>
    <mergeCell ref="B55:B68"/>
    <mergeCell ref="E72:G72"/>
    <mergeCell ref="B74:B79"/>
    <mergeCell ref="B81:H81"/>
    <mergeCell ref="B82:H82"/>
  </mergeCells>
  <phoneticPr fontId="0" type="noConversion"/>
  <pageMargins left="0.59055118110236227" right="0.39370078740157483" top="0.39370078740157483" bottom="0" header="0.11811023622047245" footer="0.11811023622047245"/>
  <pageSetup paperSize="9" orientation="portrait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86"/>
  <sheetViews>
    <sheetView workbookViewId="0" xr3:uid="{F9CF3CF3-643B-5BE6-8B46-32C596A47465}">
      <selection activeCell="H36" sqref="H36"/>
    </sheetView>
  </sheetViews>
  <sheetFormatPr defaultColWidth="9.16796875" defaultRowHeight="12.75" x14ac:dyDescent="0.15"/>
  <cols>
    <col min="1" max="1" width="1.6171875" style="58" customWidth="1"/>
    <col min="2" max="2" width="10.515625" style="58" customWidth="1"/>
    <col min="3" max="3" width="44.76953125" style="58" customWidth="1"/>
    <col min="4" max="4" width="2.6953125" style="98" customWidth="1"/>
    <col min="5" max="5" width="17.125" style="58" customWidth="1"/>
    <col min="6" max="6" width="1.6171875" style="99" customWidth="1"/>
    <col min="7" max="7" width="18.7421875" style="125" customWidth="1"/>
    <col min="8" max="8" width="12" style="58" customWidth="1"/>
    <col min="9" max="9" width="15.5078125" style="56" customWidth="1"/>
    <col min="10" max="66" width="9.16796875" style="57"/>
    <col min="67" max="16384" width="9.16796875" style="58"/>
  </cols>
  <sheetData>
    <row r="1" spans="1:8" x14ac:dyDescent="0.15">
      <c r="A1" s="51"/>
      <c r="B1" s="52"/>
      <c r="C1" s="52"/>
      <c r="D1" s="53"/>
      <c r="E1" s="52"/>
      <c r="F1" s="54"/>
      <c r="G1" s="119"/>
      <c r="H1" s="55"/>
    </row>
    <row r="2" spans="1:8" ht="18" x14ac:dyDescent="0.2">
      <c r="A2" s="51"/>
      <c r="B2" s="59" t="s">
        <v>125</v>
      </c>
      <c r="C2" s="52"/>
      <c r="D2" s="53"/>
      <c r="E2" s="52"/>
      <c r="F2" s="54"/>
      <c r="G2" s="119"/>
      <c r="H2" s="55"/>
    </row>
    <row r="3" spans="1:8" x14ac:dyDescent="0.15">
      <c r="A3" s="60"/>
      <c r="B3" s="61"/>
      <c r="C3" s="61"/>
      <c r="D3" s="62"/>
      <c r="E3" s="61"/>
      <c r="F3" s="63"/>
      <c r="G3" s="120"/>
      <c r="H3" s="55"/>
    </row>
    <row r="4" spans="1:8" x14ac:dyDescent="0.15">
      <c r="A4" s="55"/>
      <c r="B4" s="55"/>
      <c r="C4" s="55"/>
      <c r="D4" s="64"/>
      <c r="E4" s="55"/>
      <c r="F4" s="65"/>
      <c r="G4" s="121"/>
      <c r="H4" s="55"/>
    </row>
    <row r="5" spans="1:8" x14ac:dyDescent="0.15">
      <c r="A5" s="55"/>
      <c r="B5" s="55"/>
      <c r="C5" s="55"/>
      <c r="D5" s="64"/>
      <c r="E5" s="55"/>
      <c r="F5" s="65"/>
      <c r="G5" s="121"/>
      <c r="H5" s="55"/>
    </row>
    <row r="6" spans="1:8" ht="8.1" customHeight="1" x14ac:dyDescent="0.15">
      <c r="A6" s="55"/>
      <c r="B6" s="66"/>
      <c r="C6" s="67"/>
      <c r="D6" s="68" t="s">
        <v>90</v>
      </c>
      <c r="E6" s="69" t="s">
        <v>91</v>
      </c>
      <c r="F6" s="70"/>
      <c r="G6" s="190">
        <f>'Calculadora da COFINS'!H7</f>
        <v>0</v>
      </c>
      <c r="H6" s="55"/>
    </row>
    <row r="7" spans="1:8" ht="9.9499999999999993" customHeight="1" x14ac:dyDescent="0.15">
      <c r="A7" s="55"/>
      <c r="B7" s="71"/>
      <c r="C7" s="72" t="s">
        <v>92</v>
      </c>
      <c r="D7" s="73"/>
      <c r="E7" s="55"/>
      <c r="F7" s="74" t="s">
        <v>93</v>
      </c>
      <c r="G7" s="201"/>
      <c r="H7" s="55"/>
    </row>
    <row r="8" spans="1:8" ht="8.1" customHeight="1" x14ac:dyDescent="0.15">
      <c r="A8" s="55"/>
      <c r="B8" s="71"/>
      <c r="C8" s="75" t="s">
        <v>94</v>
      </c>
      <c r="D8" s="76"/>
      <c r="E8" s="77"/>
      <c r="F8" s="78"/>
      <c r="G8" s="202"/>
      <c r="H8" s="55"/>
    </row>
    <row r="9" spans="1:8" ht="8.1" customHeight="1" x14ac:dyDescent="0.15">
      <c r="A9" s="55"/>
      <c r="B9" s="71"/>
      <c r="C9" s="79" t="s">
        <v>95</v>
      </c>
      <c r="D9" s="68" t="s">
        <v>96</v>
      </c>
      <c r="E9" s="69" t="s">
        <v>97</v>
      </c>
      <c r="F9" s="70"/>
      <c r="G9" s="203">
        <f>'Calculadora da COFINS'!F8</f>
        <v>0</v>
      </c>
      <c r="H9" s="55"/>
    </row>
    <row r="10" spans="1:8" ht="9" customHeight="1" x14ac:dyDescent="0.15">
      <c r="A10" s="55"/>
      <c r="B10" s="71"/>
      <c r="C10" s="55"/>
      <c r="D10" s="73"/>
      <c r="E10" s="55"/>
      <c r="F10" s="74" t="s">
        <v>93</v>
      </c>
      <c r="G10" s="204"/>
      <c r="H10" s="55"/>
    </row>
    <row r="11" spans="1:8" ht="8.1" customHeight="1" x14ac:dyDescent="0.15">
      <c r="A11" s="55"/>
      <c r="B11" s="71"/>
      <c r="C11" s="206" t="s">
        <v>98</v>
      </c>
      <c r="D11" s="76"/>
      <c r="E11" s="77"/>
      <c r="F11" s="78"/>
      <c r="G11" s="205"/>
      <c r="H11" s="55"/>
    </row>
    <row r="12" spans="1:8" ht="8.1" customHeight="1" x14ac:dyDescent="0.15">
      <c r="A12" s="55"/>
      <c r="B12" s="71"/>
      <c r="C12" s="206"/>
      <c r="D12" s="68" t="s">
        <v>99</v>
      </c>
      <c r="E12" s="69" t="s">
        <v>100</v>
      </c>
      <c r="F12" s="70"/>
      <c r="G12" s="195">
        <v>5856</v>
      </c>
      <c r="H12" s="55"/>
    </row>
    <row r="13" spans="1:8" ht="9" customHeight="1" x14ac:dyDescent="0.15">
      <c r="A13" s="55"/>
      <c r="B13" s="71"/>
      <c r="C13" s="206"/>
      <c r="D13" s="73"/>
      <c r="E13" s="55"/>
      <c r="F13" s="74" t="s">
        <v>93</v>
      </c>
      <c r="G13" s="196"/>
      <c r="H13" s="55"/>
    </row>
    <row r="14" spans="1:8" ht="8.1" customHeight="1" x14ac:dyDescent="0.15">
      <c r="A14" s="55"/>
      <c r="B14" s="71"/>
      <c r="C14" s="55"/>
      <c r="D14" s="76"/>
      <c r="E14" s="77"/>
      <c r="F14" s="78"/>
      <c r="G14" s="197"/>
      <c r="H14" s="55"/>
    </row>
    <row r="15" spans="1:8" ht="8.1" customHeight="1" x14ac:dyDescent="0.15">
      <c r="A15" s="55"/>
      <c r="B15" s="80"/>
      <c r="C15" s="81"/>
      <c r="D15" s="68" t="s">
        <v>101</v>
      </c>
      <c r="E15" s="69" t="s">
        <v>102</v>
      </c>
      <c r="F15" s="70"/>
      <c r="G15" s="168"/>
      <c r="H15" s="55"/>
    </row>
    <row r="16" spans="1:8" ht="9" customHeight="1" x14ac:dyDescent="0.15">
      <c r="A16" s="55"/>
      <c r="B16" s="82" t="s">
        <v>103</v>
      </c>
      <c r="C16" s="83"/>
      <c r="D16" s="73"/>
      <c r="E16" s="55"/>
      <c r="F16" s="74" t="s">
        <v>93</v>
      </c>
      <c r="G16" s="169"/>
      <c r="H16" s="55"/>
    </row>
    <row r="17" spans="1:8" ht="8.1" customHeight="1" x14ac:dyDescent="0.15">
      <c r="A17" s="55"/>
      <c r="B17" s="207">
        <f>'Calculadora da COFINS'!F7</f>
        <v>0</v>
      </c>
      <c r="C17" s="208"/>
      <c r="D17" s="76"/>
      <c r="E17" s="77"/>
      <c r="F17" s="78"/>
      <c r="G17" s="170"/>
      <c r="H17" s="55"/>
    </row>
    <row r="18" spans="1:8" ht="8.1" customHeight="1" x14ac:dyDescent="0.15">
      <c r="A18" s="55"/>
      <c r="B18" s="207"/>
      <c r="C18" s="208"/>
      <c r="D18" s="68" t="s">
        <v>104</v>
      </c>
      <c r="E18" s="69" t="s">
        <v>105</v>
      </c>
      <c r="F18" s="70"/>
      <c r="G18" s="173"/>
      <c r="H18" s="55"/>
    </row>
    <row r="19" spans="1:8" ht="9" customHeight="1" x14ac:dyDescent="0.15">
      <c r="A19" s="55"/>
      <c r="B19" s="176" t="s">
        <v>106</v>
      </c>
      <c r="C19" s="209">
        <f>'Calculadora da COFINS'!H8</f>
        <v>0</v>
      </c>
      <c r="D19" s="73"/>
      <c r="E19" s="55"/>
      <c r="F19" s="74" t="s">
        <v>93</v>
      </c>
      <c r="G19" s="174"/>
      <c r="H19" s="55"/>
    </row>
    <row r="20" spans="1:8" ht="8.1" customHeight="1" x14ac:dyDescent="0.15">
      <c r="A20" s="55"/>
      <c r="B20" s="177"/>
      <c r="C20" s="210"/>
      <c r="D20" s="76"/>
      <c r="E20" s="77"/>
      <c r="F20" s="78"/>
      <c r="G20" s="175"/>
      <c r="H20" s="55"/>
    </row>
    <row r="21" spans="1:8" ht="8.1" customHeight="1" x14ac:dyDescent="0.15">
      <c r="A21" s="55"/>
      <c r="B21" s="180" t="s">
        <v>107</v>
      </c>
      <c r="C21" s="181"/>
      <c r="D21" s="68" t="s">
        <v>108</v>
      </c>
      <c r="E21" s="69" t="s">
        <v>109</v>
      </c>
      <c r="F21" s="70"/>
      <c r="G21" s="198">
        <f>'Calculadora da COFINS'!H79</f>
        <v>12697.399999999994</v>
      </c>
      <c r="H21" s="55"/>
    </row>
    <row r="22" spans="1:8" ht="9" customHeight="1" x14ac:dyDescent="0.15">
      <c r="A22" s="55"/>
      <c r="B22" s="182"/>
      <c r="C22" s="183"/>
      <c r="D22" s="73"/>
      <c r="E22" s="55"/>
      <c r="F22" s="74" t="s">
        <v>93</v>
      </c>
      <c r="G22" s="199"/>
      <c r="H22" s="55"/>
    </row>
    <row r="23" spans="1:8" ht="8.1" customHeight="1" x14ac:dyDescent="0.15">
      <c r="A23" s="55"/>
      <c r="B23" s="182"/>
      <c r="C23" s="183"/>
      <c r="D23" s="76"/>
      <c r="E23" s="77"/>
      <c r="F23" s="78"/>
      <c r="G23" s="200"/>
      <c r="H23" s="55"/>
    </row>
    <row r="24" spans="1:8" ht="8.1" customHeight="1" x14ac:dyDescent="0.15">
      <c r="A24" s="84"/>
      <c r="B24" s="148" t="s">
        <v>110</v>
      </c>
      <c r="C24" s="149"/>
      <c r="D24" s="73" t="s">
        <v>111</v>
      </c>
      <c r="E24" s="69" t="s">
        <v>112</v>
      </c>
      <c r="F24" s="85"/>
      <c r="G24" s="187"/>
      <c r="H24" s="55"/>
    </row>
    <row r="25" spans="1:8" ht="9" customHeight="1" x14ac:dyDescent="0.15">
      <c r="A25" s="55"/>
      <c r="B25" s="150"/>
      <c r="C25" s="149"/>
      <c r="D25" s="73"/>
      <c r="E25" s="86"/>
      <c r="F25" s="74" t="s">
        <v>93</v>
      </c>
      <c r="G25" s="188"/>
      <c r="H25" s="55"/>
    </row>
    <row r="26" spans="1:8" ht="8.1" customHeight="1" x14ac:dyDescent="0.15">
      <c r="A26" s="55"/>
      <c r="B26" s="151"/>
      <c r="C26" s="152"/>
      <c r="D26" s="76"/>
      <c r="E26" s="77"/>
      <c r="F26" s="78"/>
      <c r="G26" s="189"/>
      <c r="H26" s="55"/>
    </row>
    <row r="27" spans="1:8" ht="8.1" customHeight="1" x14ac:dyDescent="0.15">
      <c r="A27" s="84"/>
      <c r="B27" s="156" t="s">
        <v>113</v>
      </c>
      <c r="C27" s="157"/>
      <c r="D27" s="64" t="s">
        <v>114</v>
      </c>
      <c r="E27" s="69" t="s">
        <v>115</v>
      </c>
      <c r="F27" s="85"/>
      <c r="G27" s="187"/>
      <c r="H27" s="55"/>
    </row>
    <row r="28" spans="1:8" ht="9" customHeight="1" x14ac:dyDescent="0.15">
      <c r="A28" s="55"/>
      <c r="B28" s="158"/>
      <c r="C28" s="159"/>
      <c r="D28" s="64"/>
      <c r="E28" s="86" t="s">
        <v>116</v>
      </c>
      <c r="F28" s="74" t="s">
        <v>93</v>
      </c>
      <c r="G28" s="188"/>
      <c r="H28" s="55"/>
    </row>
    <row r="29" spans="1:8" ht="8.1" customHeight="1" x14ac:dyDescent="0.15">
      <c r="A29" s="55"/>
      <c r="B29" s="160"/>
      <c r="C29" s="161"/>
      <c r="D29" s="87"/>
      <c r="E29" s="77"/>
      <c r="F29" s="78"/>
      <c r="G29" s="189"/>
      <c r="H29" s="55"/>
    </row>
    <row r="30" spans="1:8" ht="8.1" customHeight="1" x14ac:dyDescent="0.15">
      <c r="A30" s="84"/>
      <c r="B30" s="162" t="s">
        <v>117</v>
      </c>
      <c r="C30" s="163"/>
      <c r="D30" s="64" t="s">
        <v>118</v>
      </c>
      <c r="E30" s="69" t="s">
        <v>119</v>
      </c>
      <c r="F30" s="85"/>
      <c r="G30" s="187">
        <f>G21</f>
        <v>12697.399999999994</v>
      </c>
      <c r="H30" s="55"/>
    </row>
    <row r="31" spans="1:8" ht="9" customHeight="1" x14ac:dyDescent="0.15">
      <c r="A31" s="55"/>
      <c r="B31" s="164"/>
      <c r="C31" s="165"/>
      <c r="D31" s="73"/>
      <c r="E31" s="55"/>
      <c r="F31" s="74" t="s">
        <v>93</v>
      </c>
      <c r="G31" s="188"/>
      <c r="H31" s="55"/>
    </row>
    <row r="32" spans="1:8" ht="8.1" customHeight="1" x14ac:dyDescent="0.15">
      <c r="A32" s="55"/>
      <c r="B32" s="164"/>
      <c r="C32" s="165"/>
      <c r="D32" s="76"/>
      <c r="E32" s="77"/>
      <c r="F32" s="78"/>
      <c r="G32" s="189"/>
      <c r="H32" s="55"/>
    </row>
    <row r="33" spans="1:8" ht="8.1" customHeight="1" x14ac:dyDescent="0.15">
      <c r="A33" s="84"/>
      <c r="B33" s="164"/>
      <c r="C33" s="165"/>
      <c r="D33" s="73" t="s">
        <v>120</v>
      </c>
      <c r="E33" s="69" t="s">
        <v>121</v>
      </c>
      <c r="F33" s="65"/>
      <c r="G33" s="122"/>
      <c r="H33" s="55"/>
    </row>
    <row r="34" spans="1:8" ht="8.1" customHeight="1" x14ac:dyDescent="0.15">
      <c r="A34" s="55"/>
      <c r="B34" s="164"/>
      <c r="C34" s="165"/>
      <c r="D34" s="73"/>
      <c r="E34" s="55"/>
      <c r="F34" s="65"/>
      <c r="G34" s="122"/>
      <c r="H34" s="55"/>
    </row>
    <row r="35" spans="1:8" ht="9" customHeight="1" x14ac:dyDescent="0.15">
      <c r="A35" s="55"/>
      <c r="B35" s="164"/>
      <c r="C35" s="165"/>
      <c r="D35" s="73"/>
      <c r="E35" s="55"/>
      <c r="F35" s="65"/>
      <c r="G35" s="122"/>
      <c r="H35" s="55"/>
    </row>
    <row r="36" spans="1:8" ht="8.1" customHeight="1" x14ac:dyDescent="0.15">
      <c r="A36" s="55"/>
      <c r="B36" s="164"/>
      <c r="C36" s="165"/>
      <c r="D36" s="64"/>
      <c r="E36" s="55"/>
      <c r="F36" s="65"/>
      <c r="G36" s="122"/>
      <c r="H36" s="55"/>
    </row>
    <row r="37" spans="1:8" ht="8.1" customHeight="1" x14ac:dyDescent="0.15">
      <c r="A37" s="55"/>
      <c r="B37" s="166"/>
      <c r="C37" s="167"/>
      <c r="D37" s="64"/>
      <c r="E37" s="55"/>
      <c r="F37" s="65"/>
      <c r="G37" s="122"/>
      <c r="H37" s="55"/>
    </row>
    <row r="38" spans="1:8" ht="8.1" customHeight="1" x14ac:dyDescent="0.15">
      <c r="A38" s="55"/>
      <c r="B38" s="88" t="s">
        <v>122</v>
      </c>
      <c r="C38" s="89"/>
      <c r="D38" s="64"/>
      <c r="E38" s="55"/>
      <c r="F38" s="65"/>
      <c r="G38" s="122"/>
      <c r="H38" s="55"/>
    </row>
    <row r="39" spans="1:8" ht="12" customHeight="1" x14ac:dyDescent="0.15">
      <c r="A39" s="55"/>
      <c r="B39" s="55"/>
      <c r="C39" s="55"/>
      <c r="D39" s="64"/>
      <c r="E39" s="55"/>
      <c r="F39" s="65"/>
      <c r="G39" s="121"/>
      <c r="H39" s="55"/>
    </row>
    <row r="40" spans="1:8" ht="12" customHeight="1" x14ac:dyDescent="0.15">
      <c r="A40" s="90"/>
      <c r="B40" s="91"/>
      <c r="C40" s="91"/>
      <c r="D40" s="92"/>
      <c r="E40" s="91"/>
      <c r="F40" s="93"/>
      <c r="G40" s="123"/>
      <c r="H40" s="55"/>
    </row>
    <row r="41" spans="1:8" x14ac:dyDescent="0.15">
      <c r="A41" s="55"/>
      <c r="B41" s="55"/>
      <c r="C41" s="55"/>
      <c r="D41" s="64"/>
      <c r="E41" s="55"/>
      <c r="F41" s="65"/>
      <c r="G41" s="121"/>
      <c r="H41" s="55"/>
    </row>
    <row r="42" spans="1:8" x14ac:dyDescent="0.15">
      <c r="A42" s="55"/>
      <c r="B42" s="55"/>
      <c r="C42" s="55"/>
      <c r="D42" s="64"/>
      <c r="E42" s="55"/>
      <c r="F42" s="65"/>
      <c r="G42" s="121"/>
      <c r="H42" s="55"/>
    </row>
    <row r="43" spans="1:8" ht="8.1" customHeight="1" x14ac:dyDescent="0.15">
      <c r="A43" s="55"/>
      <c r="B43" s="66"/>
      <c r="C43" s="67"/>
      <c r="D43" s="68" t="s">
        <v>90</v>
      </c>
      <c r="E43" s="69" t="s">
        <v>91</v>
      </c>
      <c r="F43" s="70"/>
      <c r="G43" s="190">
        <f>G6</f>
        <v>0</v>
      </c>
      <c r="H43" s="55"/>
    </row>
    <row r="44" spans="1:8" ht="9.9499999999999993" customHeight="1" x14ac:dyDescent="0.15">
      <c r="A44" s="55"/>
      <c r="B44" s="71"/>
      <c r="C44" s="72" t="s">
        <v>92</v>
      </c>
      <c r="D44" s="73"/>
      <c r="E44" s="55"/>
      <c r="F44" s="74" t="s">
        <v>93</v>
      </c>
      <c r="G44" s="191"/>
      <c r="H44" s="55"/>
    </row>
    <row r="45" spans="1:8" ht="8.1" customHeight="1" x14ac:dyDescent="0.15">
      <c r="A45" s="94"/>
      <c r="B45" s="71"/>
      <c r="C45" s="75" t="s">
        <v>94</v>
      </c>
      <c r="D45" s="76"/>
      <c r="E45" s="77"/>
      <c r="F45" s="78"/>
      <c r="G45" s="192"/>
      <c r="H45" s="55"/>
    </row>
    <row r="46" spans="1:8" ht="8.1" customHeight="1" x14ac:dyDescent="0.15">
      <c r="A46" s="55"/>
      <c r="B46" s="71"/>
      <c r="C46" s="79" t="s">
        <v>95</v>
      </c>
      <c r="D46" s="68" t="s">
        <v>96</v>
      </c>
      <c r="E46" s="69" t="s">
        <v>97</v>
      </c>
      <c r="F46" s="70"/>
      <c r="G46" s="193">
        <f>G9</f>
        <v>0</v>
      </c>
      <c r="H46" s="55"/>
    </row>
    <row r="47" spans="1:8" ht="9" customHeight="1" x14ac:dyDescent="0.15">
      <c r="A47" s="55"/>
      <c r="B47" s="71"/>
      <c r="C47" s="55"/>
      <c r="D47" s="73"/>
      <c r="E47" s="55"/>
      <c r="F47" s="74" t="s">
        <v>93</v>
      </c>
      <c r="G47" s="169"/>
      <c r="H47" s="55"/>
    </row>
    <row r="48" spans="1:8" ht="8.1" customHeight="1" x14ac:dyDescent="0.15">
      <c r="A48" s="55"/>
      <c r="B48" s="71"/>
      <c r="C48" s="194" t="s">
        <v>98</v>
      </c>
      <c r="D48" s="76"/>
      <c r="E48" s="77"/>
      <c r="F48" s="78"/>
      <c r="G48" s="170"/>
      <c r="H48" s="55"/>
    </row>
    <row r="49" spans="1:8" ht="8.1" customHeight="1" x14ac:dyDescent="0.15">
      <c r="A49" s="55"/>
      <c r="B49" s="71"/>
      <c r="C49" s="194"/>
      <c r="D49" s="68" t="s">
        <v>99</v>
      </c>
      <c r="E49" s="69" t="s">
        <v>100</v>
      </c>
      <c r="F49" s="70"/>
      <c r="G49" s="195">
        <f>G12</f>
        <v>5856</v>
      </c>
      <c r="H49" s="55"/>
    </row>
    <row r="50" spans="1:8" ht="9" customHeight="1" x14ac:dyDescent="0.15">
      <c r="A50" s="55"/>
      <c r="B50" s="71"/>
      <c r="C50" s="194"/>
      <c r="D50" s="73"/>
      <c r="E50" s="55"/>
      <c r="F50" s="74" t="s">
        <v>93</v>
      </c>
      <c r="G50" s="196"/>
      <c r="H50" s="55"/>
    </row>
    <row r="51" spans="1:8" ht="8.1" customHeight="1" x14ac:dyDescent="0.15">
      <c r="A51" s="55"/>
      <c r="B51" s="71"/>
      <c r="C51" s="55"/>
      <c r="D51" s="76"/>
      <c r="E51" s="77"/>
      <c r="F51" s="78"/>
      <c r="G51" s="197"/>
      <c r="H51" s="55"/>
    </row>
    <row r="52" spans="1:8" ht="8.1" customHeight="1" x14ac:dyDescent="0.15">
      <c r="A52" s="55"/>
      <c r="B52" s="80"/>
      <c r="C52" s="81"/>
      <c r="D52" s="68" t="s">
        <v>101</v>
      </c>
      <c r="E52" s="69" t="s">
        <v>102</v>
      </c>
      <c r="F52" s="70"/>
      <c r="G52" s="168">
        <f>G15</f>
        <v>0</v>
      </c>
      <c r="H52" s="55"/>
    </row>
    <row r="53" spans="1:8" ht="9" customHeight="1" x14ac:dyDescent="0.15">
      <c r="A53" s="55"/>
      <c r="B53" s="95" t="s">
        <v>103</v>
      </c>
      <c r="C53" s="83"/>
      <c r="D53" s="73"/>
      <c r="E53" s="55"/>
      <c r="F53" s="74" t="s">
        <v>93</v>
      </c>
      <c r="G53" s="169"/>
      <c r="H53" s="55"/>
    </row>
    <row r="54" spans="1:8" ht="8.1" customHeight="1" x14ac:dyDescent="0.15">
      <c r="A54" s="55"/>
      <c r="B54" s="171">
        <f>B17</f>
        <v>0</v>
      </c>
      <c r="C54" s="172"/>
      <c r="D54" s="76"/>
      <c r="E54" s="77"/>
      <c r="F54" s="78"/>
      <c r="G54" s="170"/>
      <c r="H54" s="55"/>
    </row>
    <row r="55" spans="1:8" ht="8.1" customHeight="1" x14ac:dyDescent="0.15">
      <c r="A55" s="55"/>
      <c r="B55" s="171"/>
      <c r="C55" s="172"/>
      <c r="D55" s="68" t="s">
        <v>104</v>
      </c>
      <c r="E55" s="69" t="s">
        <v>105</v>
      </c>
      <c r="F55" s="70"/>
      <c r="G55" s="173">
        <f>G18</f>
        <v>0</v>
      </c>
      <c r="H55" s="55"/>
    </row>
    <row r="56" spans="1:8" ht="9" customHeight="1" x14ac:dyDescent="0.15">
      <c r="A56" s="55"/>
      <c r="B56" s="176" t="s">
        <v>106</v>
      </c>
      <c r="C56" s="178">
        <f>C19</f>
        <v>0</v>
      </c>
      <c r="D56" s="73"/>
      <c r="E56" s="55"/>
      <c r="F56" s="74" t="s">
        <v>93</v>
      </c>
      <c r="G56" s="174"/>
      <c r="H56" s="55"/>
    </row>
    <row r="57" spans="1:8" ht="8.1" customHeight="1" x14ac:dyDescent="0.15">
      <c r="A57" s="55"/>
      <c r="B57" s="177"/>
      <c r="C57" s="179"/>
      <c r="D57" s="76"/>
      <c r="E57" s="77"/>
      <c r="F57" s="78"/>
      <c r="G57" s="175"/>
      <c r="H57" s="55"/>
    </row>
    <row r="58" spans="1:8" ht="8.1" customHeight="1" x14ac:dyDescent="0.15">
      <c r="A58" s="55"/>
      <c r="B58" s="180" t="s">
        <v>107</v>
      </c>
      <c r="C58" s="181"/>
      <c r="D58" s="68" t="s">
        <v>108</v>
      </c>
      <c r="E58" s="69" t="s">
        <v>109</v>
      </c>
      <c r="F58" s="70"/>
      <c r="G58" s="184">
        <f>G21</f>
        <v>12697.399999999994</v>
      </c>
      <c r="H58" s="55"/>
    </row>
    <row r="59" spans="1:8" ht="9" customHeight="1" x14ac:dyDescent="0.15">
      <c r="A59" s="55"/>
      <c r="B59" s="182"/>
      <c r="C59" s="183"/>
      <c r="D59" s="73"/>
      <c r="E59" s="55"/>
      <c r="F59" s="74" t="s">
        <v>93</v>
      </c>
      <c r="G59" s="185"/>
      <c r="H59" s="55"/>
    </row>
    <row r="60" spans="1:8" ht="8.1" customHeight="1" x14ac:dyDescent="0.15">
      <c r="A60" s="55"/>
      <c r="B60" s="182"/>
      <c r="C60" s="183"/>
      <c r="D60" s="76"/>
      <c r="E60" s="77"/>
      <c r="F60" s="78"/>
      <c r="G60" s="186"/>
      <c r="H60" s="55"/>
    </row>
    <row r="61" spans="1:8" ht="8.1" customHeight="1" x14ac:dyDescent="0.15">
      <c r="A61" s="84"/>
      <c r="B61" s="148" t="s">
        <v>110</v>
      </c>
      <c r="C61" s="149"/>
      <c r="D61" s="73" t="s">
        <v>111</v>
      </c>
      <c r="E61" s="69" t="s">
        <v>112</v>
      </c>
      <c r="F61" s="85"/>
      <c r="G61" s="153">
        <f>G24</f>
        <v>0</v>
      </c>
      <c r="H61" s="55"/>
    </row>
    <row r="62" spans="1:8" ht="9" customHeight="1" x14ac:dyDescent="0.15">
      <c r="A62" s="55"/>
      <c r="B62" s="150"/>
      <c r="C62" s="149"/>
      <c r="D62" s="73"/>
      <c r="E62" s="86"/>
      <c r="F62" s="74" t="s">
        <v>93</v>
      </c>
      <c r="G62" s="154"/>
      <c r="H62" s="55"/>
    </row>
    <row r="63" spans="1:8" ht="8.1" customHeight="1" x14ac:dyDescent="0.15">
      <c r="A63" s="55"/>
      <c r="B63" s="151"/>
      <c r="C63" s="152"/>
      <c r="D63" s="76"/>
      <c r="E63" s="77"/>
      <c r="F63" s="78"/>
      <c r="G63" s="155"/>
      <c r="H63" s="55"/>
    </row>
    <row r="64" spans="1:8" ht="8.1" customHeight="1" x14ac:dyDescent="0.15">
      <c r="A64" s="84"/>
      <c r="B64" s="156" t="s">
        <v>113</v>
      </c>
      <c r="C64" s="157"/>
      <c r="D64" s="64" t="s">
        <v>114</v>
      </c>
      <c r="E64" s="69" t="s">
        <v>115</v>
      </c>
      <c r="F64" s="85"/>
      <c r="G64" s="153">
        <f>G27</f>
        <v>0</v>
      </c>
      <c r="H64" s="55"/>
    </row>
    <row r="65" spans="1:8" ht="9" customHeight="1" x14ac:dyDescent="0.15">
      <c r="A65" s="55"/>
      <c r="B65" s="158"/>
      <c r="C65" s="159"/>
      <c r="D65" s="64"/>
      <c r="E65" s="86" t="s">
        <v>116</v>
      </c>
      <c r="F65" s="74" t="s">
        <v>93</v>
      </c>
      <c r="G65" s="154"/>
      <c r="H65" s="55"/>
    </row>
    <row r="66" spans="1:8" ht="8.1" customHeight="1" x14ac:dyDescent="0.15">
      <c r="A66" s="55"/>
      <c r="B66" s="160"/>
      <c r="C66" s="161"/>
      <c r="D66" s="87"/>
      <c r="E66" s="77"/>
      <c r="F66" s="78"/>
      <c r="G66" s="155"/>
      <c r="H66" s="55"/>
    </row>
    <row r="67" spans="1:8" ht="8.1" customHeight="1" x14ac:dyDescent="0.15">
      <c r="A67" s="84"/>
      <c r="B67" s="162" t="s">
        <v>117</v>
      </c>
      <c r="C67" s="163"/>
      <c r="D67" s="64" t="s">
        <v>118</v>
      </c>
      <c r="E67" s="69" t="s">
        <v>119</v>
      </c>
      <c r="F67" s="85"/>
      <c r="G67" s="153">
        <f>G30</f>
        <v>12697.399999999994</v>
      </c>
      <c r="H67" s="55"/>
    </row>
    <row r="68" spans="1:8" ht="9" customHeight="1" x14ac:dyDescent="0.15">
      <c r="A68" s="55"/>
      <c r="B68" s="164"/>
      <c r="C68" s="165"/>
      <c r="D68" s="73"/>
      <c r="E68" s="55"/>
      <c r="F68" s="74" t="s">
        <v>93</v>
      </c>
      <c r="G68" s="154"/>
      <c r="H68" s="55"/>
    </row>
    <row r="69" spans="1:8" ht="8.1" customHeight="1" x14ac:dyDescent="0.15">
      <c r="A69" s="55"/>
      <c r="B69" s="164"/>
      <c r="C69" s="165"/>
      <c r="D69" s="76"/>
      <c r="E69" s="77"/>
      <c r="F69" s="78"/>
      <c r="G69" s="155"/>
      <c r="H69" s="55"/>
    </row>
    <row r="70" spans="1:8" ht="8.1" customHeight="1" x14ac:dyDescent="0.15">
      <c r="A70" s="84"/>
      <c r="B70" s="164"/>
      <c r="C70" s="165"/>
      <c r="D70" s="73" t="s">
        <v>120</v>
      </c>
      <c r="E70" s="69" t="s">
        <v>121</v>
      </c>
      <c r="F70" s="65"/>
      <c r="G70" s="122"/>
      <c r="H70" s="55"/>
    </row>
    <row r="71" spans="1:8" ht="8.1" customHeight="1" x14ac:dyDescent="0.15">
      <c r="A71" s="55"/>
      <c r="B71" s="164"/>
      <c r="C71" s="165"/>
      <c r="D71" s="73"/>
      <c r="E71" s="55"/>
      <c r="F71" s="65"/>
      <c r="G71" s="122"/>
      <c r="H71" s="55"/>
    </row>
    <row r="72" spans="1:8" ht="9" customHeight="1" x14ac:dyDescent="0.15">
      <c r="A72" s="55"/>
      <c r="B72" s="164"/>
      <c r="C72" s="165"/>
      <c r="D72" s="73"/>
      <c r="E72" s="55"/>
      <c r="F72" s="65"/>
      <c r="G72" s="122"/>
      <c r="H72" s="55"/>
    </row>
    <row r="73" spans="1:8" ht="8.1" customHeight="1" x14ac:dyDescent="0.15">
      <c r="A73" s="55"/>
      <c r="B73" s="164"/>
      <c r="C73" s="165"/>
      <c r="D73" s="64"/>
      <c r="E73" s="55"/>
      <c r="F73" s="65"/>
      <c r="G73" s="122"/>
      <c r="H73" s="55"/>
    </row>
    <row r="74" spans="1:8" ht="8.1" customHeight="1" x14ac:dyDescent="0.15">
      <c r="A74" s="55"/>
      <c r="B74" s="166"/>
      <c r="C74" s="167"/>
      <c r="D74" s="64"/>
      <c r="E74" s="55"/>
      <c r="F74" s="65"/>
      <c r="G74" s="122"/>
      <c r="H74" s="55"/>
    </row>
    <row r="75" spans="1:8" ht="8.1" customHeight="1" x14ac:dyDescent="0.15">
      <c r="A75" s="55"/>
      <c r="B75" s="88" t="s">
        <v>122</v>
      </c>
      <c r="C75" s="89"/>
      <c r="D75" s="64"/>
      <c r="E75" s="55"/>
      <c r="F75" s="65"/>
      <c r="G75" s="122"/>
      <c r="H75" s="55"/>
    </row>
    <row r="76" spans="1:8" ht="12" customHeight="1" x14ac:dyDescent="0.15">
      <c r="A76" s="55"/>
      <c r="B76" s="55"/>
      <c r="C76" s="55"/>
      <c r="D76" s="64"/>
      <c r="E76" s="55"/>
      <c r="F76" s="65"/>
      <c r="G76" s="121"/>
      <c r="H76" s="55"/>
    </row>
    <row r="77" spans="1:8" ht="12" customHeight="1" x14ac:dyDescent="0.15">
      <c r="A77" s="91"/>
      <c r="B77" s="91"/>
      <c r="C77" s="91"/>
      <c r="D77" s="92"/>
      <c r="E77" s="91"/>
      <c r="F77" s="93"/>
      <c r="G77" s="123"/>
      <c r="H77" s="55"/>
    </row>
    <row r="78" spans="1:8" x14ac:dyDescent="0.15">
      <c r="A78" s="55"/>
      <c r="B78" s="86" t="s">
        <v>123</v>
      </c>
      <c r="C78" s="55"/>
      <c r="D78" s="64"/>
      <c r="E78" s="55"/>
      <c r="F78" s="65"/>
      <c r="G78" s="121"/>
      <c r="H78" s="55"/>
    </row>
    <row r="79" spans="1:8" x14ac:dyDescent="0.15">
      <c r="A79" s="55"/>
      <c r="B79" s="55"/>
      <c r="C79" s="55"/>
      <c r="D79" s="64"/>
      <c r="E79" s="55"/>
      <c r="F79" s="65"/>
      <c r="G79" s="121"/>
      <c r="H79" s="55"/>
    </row>
    <row r="80" spans="1:8" x14ac:dyDescent="0.15">
      <c r="A80" s="55"/>
      <c r="B80" s="55"/>
      <c r="C80" s="55"/>
      <c r="D80" s="64"/>
      <c r="E80" s="55"/>
      <c r="F80" s="65"/>
      <c r="G80" s="121"/>
      <c r="H80" s="55"/>
    </row>
    <row r="83" spans="1:9" x14ac:dyDescent="0.15">
      <c r="A83" s="55"/>
      <c r="B83" s="55"/>
      <c r="C83" s="55"/>
      <c r="D83" s="64"/>
      <c r="E83" s="55"/>
      <c r="F83" s="65"/>
      <c r="G83" s="121"/>
      <c r="H83" s="55"/>
    </row>
    <row r="84" spans="1:9" x14ac:dyDescent="0.15">
      <c r="A84" s="55"/>
      <c r="B84" s="55"/>
      <c r="C84" s="55"/>
      <c r="D84" s="64"/>
      <c r="E84" s="55"/>
      <c r="F84" s="65"/>
      <c r="G84" s="121"/>
      <c r="H84" s="55"/>
    </row>
    <row r="85" spans="1:9" x14ac:dyDescent="0.15">
      <c r="A85" s="55"/>
      <c r="B85" s="55"/>
      <c r="C85" s="55"/>
      <c r="D85" s="64"/>
      <c r="E85" s="55"/>
      <c r="F85" s="65"/>
      <c r="G85" s="121"/>
      <c r="H85" s="55"/>
    </row>
    <row r="86" spans="1:9" x14ac:dyDescent="0.15">
      <c r="A86" s="77"/>
      <c r="B86" s="77"/>
      <c r="C86" s="77"/>
      <c r="D86" s="87"/>
      <c r="E86" s="77"/>
      <c r="F86" s="96"/>
      <c r="G86" s="124"/>
      <c r="H86" s="77"/>
      <c r="I86" s="97"/>
    </row>
  </sheetData>
  <sheetProtection password="C5A6" sheet="1" objects="1" scenarios="1"/>
  <mergeCells count="34">
    <mergeCell ref="G6:G8"/>
    <mergeCell ref="G9:G11"/>
    <mergeCell ref="C11:C13"/>
    <mergeCell ref="G12:G14"/>
    <mergeCell ref="G15:G17"/>
    <mergeCell ref="B17:C18"/>
    <mergeCell ref="G18:G20"/>
    <mergeCell ref="B19:B20"/>
    <mergeCell ref="C19:C20"/>
    <mergeCell ref="B21:C23"/>
    <mergeCell ref="G21:G23"/>
    <mergeCell ref="B24:C26"/>
    <mergeCell ref="G24:G26"/>
    <mergeCell ref="B27:C29"/>
    <mergeCell ref="G27:G29"/>
    <mergeCell ref="B58:C60"/>
    <mergeCell ref="G58:G60"/>
    <mergeCell ref="B30:C37"/>
    <mergeCell ref="G30:G32"/>
    <mergeCell ref="G43:G45"/>
    <mergeCell ref="G46:G48"/>
    <mergeCell ref="C48:C50"/>
    <mergeCell ref="G49:G51"/>
    <mergeCell ref="G52:G54"/>
    <mergeCell ref="B54:C55"/>
    <mergeCell ref="G55:G57"/>
    <mergeCell ref="B56:B57"/>
    <mergeCell ref="C56:C57"/>
    <mergeCell ref="B61:C63"/>
    <mergeCell ref="G61:G63"/>
    <mergeCell ref="B64:C66"/>
    <mergeCell ref="G64:G66"/>
    <mergeCell ref="B67:C74"/>
    <mergeCell ref="G67:G69"/>
  </mergeCells>
  <phoneticPr fontId="15" type="noConversion"/>
  <pageMargins left="0.39370078740157483" right="0.19685039370078741" top="0.98425196850393704" bottom="0.98425196850393704" header="0.51181102362204722" footer="0.51181102362204722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Draw.Graphic.9" shapeId="5121" r:id="rId4">
          <objectPr defaultSize="0" autoPict="0" r:id="rId5">
            <anchor moveWithCells="1" sizeWithCells="1">
              <from>
                <xdr:col>1</xdr:col>
                <xdr:colOff>57150</xdr:colOff>
                <xdr:row>5</xdr:row>
                <xdr:rowOff>9525</xdr:rowOff>
              </from>
              <to>
                <xdr:col>1</xdr:col>
                <xdr:colOff>628650</xdr:colOff>
                <xdr:row>11</xdr:row>
                <xdr:rowOff>9525</xdr:rowOff>
              </to>
            </anchor>
          </objectPr>
        </oleObject>
      </mc:Choice>
      <mc:Fallback>
        <oleObject progId="CorelDraw.Graphic.9" shapeId="5121" r:id="rId4"/>
      </mc:Fallback>
    </mc:AlternateContent>
    <mc:AlternateContent xmlns:mc="http://schemas.openxmlformats.org/markup-compatibility/2006">
      <mc:Choice Requires="x14">
        <oleObject progId="CorelDraw.Graphic.9" shapeId="5122" r:id="rId6">
          <objectPr defaultSize="0" autoPict="0" r:id="rId5">
            <anchor moveWithCells="1" sizeWithCells="1">
              <from>
                <xdr:col>1</xdr:col>
                <xdr:colOff>57150</xdr:colOff>
                <xdr:row>42</xdr:row>
                <xdr:rowOff>9525</xdr:rowOff>
              </from>
              <to>
                <xdr:col>1</xdr:col>
                <xdr:colOff>628650</xdr:colOff>
                <xdr:row>48</xdr:row>
                <xdr:rowOff>9525</xdr:rowOff>
              </to>
            </anchor>
          </objectPr>
        </oleObject>
      </mc:Choice>
      <mc:Fallback>
        <oleObject progId="CorelDraw.Graphic.9" shapeId="5122" r:id="rId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86"/>
  <sheetViews>
    <sheetView zoomScaleNormal="100" workbookViewId="0" xr3:uid="{78B4E459-6924-5F8B-B7BA-2DD04133E49E}">
      <selection activeCell="C3" sqref="C3"/>
    </sheetView>
  </sheetViews>
  <sheetFormatPr defaultColWidth="9.16796875" defaultRowHeight="12.75" x14ac:dyDescent="0.15"/>
  <cols>
    <col min="1" max="1" width="1.6171875" style="58" customWidth="1"/>
    <col min="2" max="2" width="10.515625" style="58" customWidth="1"/>
    <col min="3" max="3" width="44.76953125" style="58" customWidth="1"/>
    <col min="4" max="4" width="2.6953125" style="98" customWidth="1"/>
    <col min="5" max="5" width="17.125" style="58" customWidth="1"/>
    <col min="6" max="6" width="1.6171875" style="99" customWidth="1"/>
    <col min="7" max="7" width="18.7421875" style="125" customWidth="1"/>
    <col min="8" max="8" width="12" style="58" customWidth="1"/>
    <col min="9" max="9" width="15.5078125" style="56" customWidth="1"/>
    <col min="10" max="66" width="9.16796875" style="57"/>
    <col min="67" max="16384" width="9.16796875" style="58"/>
  </cols>
  <sheetData>
    <row r="1" spans="1:8" x14ac:dyDescent="0.15">
      <c r="A1" s="51"/>
      <c r="B1" s="52"/>
      <c r="C1" s="52"/>
      <c r="D1" s="53"/>
      <c r="E1" s="52"/>
      <c r="F1" s="54"/>
      <c r="G1" s="119"/>
      <c r="H1" s="55"/>
    </row>
    <row r="2" spans="1:8" ht="18" x14ac:dyDescent="0.2">
      <c r="A2" s="51"/>
      <c r="B2" s="59" t="s">
        <v>124</v>
      </c>
      <c r="C2" s="52"/>
      <c r="D2" s="53"/>
      <c r="E2" s="52"/>
      <c r="F2" s="54"/>
      <c r="G2" s="119"/>
      <c r="H2" s="55"/>
    </row>
    <row r="3" spans="1:8" x14ac:dyDescent="0.15">
      <c r="A3" s="60"/>
      <c r="B3" s="61"/>
      <c r="C3" s="61"/>
      <c r="D3" s="62"/>
      <c r="E3" s="61"/>
      <c r="F3" s="63"/>
      <c r="G3" s="120"/>
      <c r="H3" s="55"/>
    </row>
    <row r="4" spans="1:8" x14ac:dyDescent="0.15">
      <c r="A4" s="55"/>
      <c r="B4" s="55"/>
      <c r="C4" s="55"/>
      <c r="D4" s="64"/>
      <c r="E4" s="55"/>
      <c r="F4" s="65"/>
      <c r="G4" s="121"/>
      <c r="H4" s="55"/>
    </row>
    <row r="5" spans="1:8" x14ac:dyDescent="0.15">
      <c r="A5" s="55"/>
      <c r="B5" s="55"/>
      <c r="C5" s="55"/>
      <c r="D5" s="64"/>
      <c r="E5" s="55"/>
      <c r="F5" s="65"/>
      <c r="G5" s="121"/>
      <c r="H5" s="55"/>
    </row>
    <row r="6" spans="1:8" ht="8.1" customHeight="1" x14ac:dyDescent="0.15">
      <c r="A6" s="55"/>
      <c r="B6" s="66"/>
      <c r="C6" s="67"/>
      <c r="D6" s="68" t="s">
        <v>90</v>
      </c>
      <c r="E6" s="69" t="s">
        <v>91</v>
      </c>
      <c r="F6" s="70"/>
      <c r="G6" s="190">
        <f>'Calculadora do PIS'!H7</f>
        <v>0</v>
      </c>
      <c r="H6" s="55"/>
    </row>
    <row r="7" spans="1:8" ht="9.9499999999999993" customHeight="1" x14ac:dyDescent="0.15">
      <c r="A7" s="55"/>
      <c r="B7" s="71"/>
      <c r="C7" s="72" t="s">
        <v>92</v>
      </c>
      <c r="D7" s="73"/>
      <c r="E7" s="55"/>
      <c r="F7" s="74" t="s">
        <v>93</v>
      </c>
      <c r="G7" s="211"/>
      <c r="H7" s="55"/>
    </row>
    <row r="8" spans="1:8" ht="8.1" customHeight="1" x14ac:dyDescent="0.15">
      <c r="A8" s="55"/>
      <c r="B8" s="71"/>
      <c r="C8" s="75" t="s">
        <v>94</v>
      </c>
      <c r="D8" s="76"/>
      <c r="E8" s="77"/>
      <c r="F8" s="78"/>
      <c r="G8" s="212"/>
      <c r="H8" s="55"/>
    </row>
    <row r="9" spans="1:8" ht="8.1" customHeight="1" x14ac:dyDescent="0.15">
      <c r="A9" s="55"/>
      <c r="B9" s="71"/>
      <c r="C9" s="79" t="s">
        <v>95</v>
      </c>
      <c r="D9" s="68" t="s">
        <v>96</v>
      </c>
      <c r="E9" s="69" t="s">
        <v>97</v>
      </c>
      <c r="F9" s="70"/>
      <c r="G9" s="203">
        <f>'Calculadora do PIS'!F8</f>
        <v>0</v>
      </c>
      <c r="H9" s="55"/>
    </row>
    <row r="10" spans="1:8" ht="9" customHeight="1" x14ac:dyDescent="0.15">
      <c r="A10" s="55"/>
      <c r="B10" s="71"/>
      <c r="C10" s="55"/>
      <c r="D10" s="73"/>
      <c r="E10" s="55"/>
      <c r="F10" s="74" t="s">
        <v>93</v>
      </c>
      <c r="G10" s="204"/>
      <c r="H10" s="55"/>
    </row>
    <row r="11" spans="1:8" ht="8.1" customHeight="1" x14ac:dyDescent="0.15">
      <c r="A11" s="55"/>
      <c r="B11" s="71"/>
      <c r="C11" s="206" t="s">
        <v>98</v>
      </c>
      <c r="D11" s="76"/>
      <c r="E11" s="77"/>
      <c r="F11" s="78"/>
      <c r="G11" s="205"/>
      <c r="H11" s="55"/>
    </row>
    <row r="12" spans="1:8" ht="8.1" customHeight="1" x14ac:dyDescent="0.15">
      <c r="A12" s="55"/>
      <c r="B12" s="71"/>
      <c r="C12" s="206"/>
      <c r="D12" s="68" t="s">
        <v>99</v>
      </c>
      <c r="E12" s="69" t="s">
        <v>100</v>
      </c>
      <c r="F12" s="70"/>
      <c r="G12" s="195">
        <v>6912</v>
      </c>
      <c r="H12" s="55"/>
    </row>
    <row r="13" spans="1:8" ht="9" customHeight="1" x14ac:dyDescent="0.15">
      <c r="A13" s="55"/>
      <c r="B13" s="71"/>
      <c r="C13" s="206"/>
      <c r="D13" s="73"/>
      <c r="E13" s="55"/>
      <c r="F13" s="74" t="s">
        <v>93</v>
      </c>
      <c r="G13" s="196"/>
      <c r="H13" s="55"/>
    </row>
    <row r="14" spans="1:8" ht="8.1" customHeight="1" x14ac:dyDescent="0.15">
      <c r="A14" s="55"/>
      <c r="B14" s="71"/>
      <c r="C14" s="55"/>
      <c r="D14" s="76"/>
      <c r="E14" s="77"/>
      <c r="F14" s="78"/>
      <c r="G14" s="197"/>
      <c r="H14" s="55"/>
    </row>
    <row r="15" spans="1:8" ht="8.1" customHeight="1" x14ac:dyDescent="0.15">
      <c r="A15" s="55"/>
      <c r="B15" s="80"/>
      <c r="C15" s="81"/>
      <c r="D15" s="68" t="s">
        <v>101</v>
      </c>
      <c r="E15" s="69" t="s">
        <v>102</v>
      </c>
      <c r="F15" s="70"/>
      <c r="G15" s="168"/>
      <c r="H15" s="55"/>
    </row>
    <row r="16" spans="1:8" ht="9" customHeight="1" x14ac:dyDescent="0.15">
      <c r="A16" s="55"/>
      <c r="B16" s="82" t="s">
        <v>103</v>
      </c>
      <c r="C16" s="83"/>
      <c r="D16" s="73"/>
      <c r="E16" s="55"/>
      <c r="F16" s="74" t="s">
        <v>93</v>
      </c>
      <c r="G16" s="169"/>
      <c r="H16" s="55"/>
    </row>
    <row r="17" spans="1:8" ht="8.1" customHeight="1" x14ac:dyDescent="0.15">
      <c r="A17" s="55"/>
      <c r="B17" s="207">
        <f>'Calculadora do PIS'!F7</f>
        <v>0</v>
      </c>
      <c r="C17" s="208"/>
      <c r="D17" s="76"/>
      <c r="E17" s="77"/>
      <c r="F17" s="78"/>
      <c r="G17" s="170"/>
      <c r="H17" s="55"/>
    </row>
    <row r="18" spans="1:8" ht="8.1" customHeight="1" x14ac:dyDescent="0.15">
      <c r="A18" s="55"/>
      <c r="B18" s="207"/>
      <c r="C18" s="208"/>
      <c r="D18" s="68" t="s">
        <v>104</v>
      </c>
      <c r="E18" s="69" t="s">
        <v>105</v>
      </c>
      <c r="F18" s="70"/>
      <c r="G18" s="173"/>
      <c r="H18" s="55"/>
    </row>
    <row r="19" spans="1:8" ht="9" customHeight="1" x14ac:dyDescent="0.15">
      <c r="A19" s="55"/>
      <c r="B19" s="176" t="s">
        <v>106</v>
      </c>
      <c r="C19" s="209">
        <f>'Calculadora do PIS'!H8</f>
        <v>0</v>
      </c>
      <c r="D19" s="73"/>
      <c r="E19" s="55"/>
      <c r="F19" s="74" t="s">
        <v>93</v>
      </c>
      <c r="G19" s="174"/>
      <c r="H19" s="55"/>
    </row>
    <row r="20" spans="1:8" ht="8.1" customHeight="1" x14ac:dyDescent="0.15">
      <c r="A20" s="55"/>
      <c r="B20" s="177"/>
      <c r="C20" s="210"/>
      <c r="D20" s="76"/>
      <c r="E20" s="77"/>
      <c r="F20" s="78"/>
      <c r="G20" s="175"/>
      <c r="H20" s="55"/>
    </row>
    <row r="21" spans="1:8" ht="8.1" customHeight="1" x14ac:dyDescent="0.15">
      <c r="A21" s="55"/>
      <c r="B21" s="180" t="s">
        <v>107</v>
      </c>
      <c r="C21" s="181"/>
      <c r="D21" s="68" t="s">
        <v>108</v>
      </c>
      <c r="E21" s="69" t="s">
        <v>109</v>
      </c>
      <c r="F21" s="70"/>
      <c r="G21" s="198">
        <f>'Calculadora do PIS'!H78</f>
        <v>0</v>
      </c>
      <c r="H21" s="55"/>
    </row>
    <row r="22" spans="1:8" ht="9" customHeight="1" x14ac:dyDescent="0.15">
      <c r="A22" s="55"/>
      <c r="B22" s="182"/>
      <c r="C22" s="183"/>
      <c r="D22" s="73"/>
      <c r="E22" s="55"/>
      <c r="F22" s="74" t="s">
        <v>93</v>
      </c>
      <c r="G22" s="199"/>
      <c r="H22" s="55"/>
    </row>
    <row r="23" spans="1:8" ht="8.1" customHeight="1" x14ac:dyDescent="0.15">
      <c r="A23" s="55"/>
      <c r="B23" s="182"/>
      <c r="C23" s="183"/>
      <c r="D23" s="76"/>
      <c r="E23" s="77"/>
      <c r="F23" s="78"/>
      <c r="G23" s="200"/>
      <c r="H23" s="55"/>
    </row>
    <row r="24" spans="1:8" ht="8.1" customHeight="1" x14ac:dyDescent="0.15">
      <c r="A24" s="84"/>
      <c r="B24" s="148" t="s">
        <v>110</v>
      </c>
      <c r="C24" s="149"/>
      <c r="D24" s="73" t="s">
        <v>111</v>
      </c>
      <c r="E24" s="69" t="s">
        <v>112</v>
      </c>
      <c r="F24" s="85"/>
      <c r="G24" s="187"/>
      <c r="H24" s="55"/>
    </row>
    <row r="25" spans="1:8" ht="9" customHeight="1" x14ac:dyDescent="0.15">
      <c r="A25" s="55"/>
      <c r="B25" s="150"/>
      <c r="C25" s="149"/>
      <c r="D25" s="73"/>
      <c r="E25" s="86"/>
      <c r="F25" s="74" t="s">
        <v>93</v>
      </c>
      <c r="G25" s="188"/>
      <c r="H25" s="55"/>
    </row>
    <row r="26" spans="1:8" ht="8.1" customHeight="1" x14ac:dyDescent="0.15">
      <c r="A26" s="55"/>
      <c r="B26" s="151"/>
      <c r="C26" s="152"/>
      <c r="D26" s="76"/>
      <c r="E26" s="77"/>
      <c r="F26" s="78"/>
      <c r="G26" s="189"/>
      <c r="H26" s="55"/>
    </row>
    <row r="27" spans="1:8" ht="8.1" customHeight="1" x14ac:dyDescent="0.15">
      <c r="A27" s="84"/>
      <c r="B27" s="156" t="s">
        <v>113</v>
      </c>
      <c r="C27" s="157"/>
      <c r="D27" s="64" t="s">
        <v>114</v>
      </c>
      <c r="E27" s="69" t="s">
        <v>115</v>
      </c>
      <c r="F27" s="85"/>
      <c r="G27" s="187"/>
      <c r="H27" s="55"/>
    </row>
    <row r="28" spans="1:8" ht="9" customHeight="1" x14ac:dyDescent="0.15">
      <c r="A28" s="55"/>
      <c r="B28" s="158"/>
      <c r="C28" s="159"/>
      <c r="D28" s="64"/>
      <c r="E28" s="86" t="s">
        <v>116</v>
      </c>
      <c r="F28" s="74" t="s">
        <v>93</v>
      </c>
      <c r="G28" s="188"/>
      <c r="H28" s="55"/>
    </row>
    <row r="29" spans="1:8" ht="8.1" customHeight="1" x14ac:dyDescent="0.15">
      <c r="A29" s="55"/>
      <c r="B29" s="160"/>
      <c r="C29" s="161"/>
      <c r="D29" s="87"/>
      <c r="E29" s="77"/>
      <c r="F29" s="78"/>
      <c r="G29" s="189"/>
      <c r="H29" s="55"/>
    </row>
    <row r="30" spans="1:8" ht="8.1" customHeight="1" x14ac:dyDescent="0.15">
      <c r="A30" s="84"/>
      <c r="B30" s="162" t="s">
        <v>117</v>
      </c>
      <c r="C30" s="163"/>
      <c r="D30" s="64" t="s">
        <v>118</v>
      </c>
      <c r="E30" s="69" t="s">
        <v>119</v>
      </c>
      <c r="F30" s="85"/>
      <c r="G30" s="187">
        <f>G21</f>
        <v>0</v>
      </c>
      <c r="H30" s="55"/>
    </row>
    <row r="31" spans="1:8" ht="9" customHeight="1" x14ac:dyDescent="0.15">
      <c r="A31" s="55"/>
      <c r="B31" s="164"/>
      <c r="C31" s="165"/>
      <c r="D31" s="73"/>
      <c r="E31" s="55"/>
      <c r="F31" s="74" t="s">
        <v>93</v>
      </c>
      <c r="G31" s="188"/>
      <c r="H31" s="55"/>
    </row>
    <row r="32" spans="1:8" ht="8.1" customHeight="1" x14ac:dyDescent="0.15">
      <c r="A32" s="55"/>
      <c r="B32" s="164"/>
      <c r="C32" s="165"/>
      <c r="D32" s="76"/>
      <c r="E32" s="77"/>
      <c r="F32" s="78"/>
      <c r="G32" s="189"/>
      <c r="H32" s="55"/>
    </row>
    <row r="33" spans="1:8" ht="8.1" customHeight="1" x14ac:dyDescent="0.15">
      <c r="A33" s="84"/>
      <c r="B33" s="164"/>
      <c r="C33" s="165"/>
      <c r="D33" s="73" t="s">
        <v>120</v>
      </c>
      <c r="E33" s="69" t="s">
        <v>121</v>
      </c>
      <c r="F33" s="65"/>
      <c r="G33" s="122"/>
      <c r="H33" s="55"/>
    </row>
    <row r="34" spans="1:8" ht="8.1" customHeight="1" x14ac:dyDescent="0.15">
      <c r="A34" s="55"/>
      <c r="B34" s="164"/>
      <c r="C34" s="165"/>
      <c r="D34" s="73"/>
      <c r="E34" s="55"/>
      <c r="F34" s="65"/>
      <c r="G34" s="122"/>
      <c r="H34" s="55"/>
    </row>
    <row r="35" spans="1:8" ht="9" customHeight="1" x14ac:dyDescent="0.15">
      <c r="A35" s="55"/>
      <c r="B35" s="164"/>
      <c r="C35" s="165"/>
      <c r="D35" s="73"/>
      <c r="E35" s="55"/>
      <c r="F35" s="65"/>
      <c r="G35" s="122"/>
      <c r="H35" s="55"/>
    </row>
    <row r="36" spans="1:8" ht="8.1" customHeight="1" x14ac:dyDescent="0.15">
      <c r="A36" s="55"/>
      <c r="B36" s="164"/>
      <c r="C36" s="165"/>
      <c r="D36" s="64"/>
      <c r="E36" s="55"/>
      <c r="F36" s="65"/>
      <c r="G36" s="122"/>
      <c r="H36" s="55"/>
    </row>
    <row r="37" spans="1:8" ht="8.1" customHeight="1" x14ac:dyDescent="0.15">
      <c r="A37" s="55"/>
      <c r="B37" s="166"/>
      <c r="C37" s="167"/>
      <c r="D37" s="64"/>
      <c r="E37" s="55"/>
      <c r="F37" s="65"/>
      <c r="G37" s="122"/>
      <c r="H37" s="55"/>
    </row>
    <row r="38" spans="1:8" ht="8.1" customHeight="1" x14ac:dyDescent="0.15">
      <c r="A38" s="55"/>
      <c r="B38" s="88" t="s">
        <v>122</v>
      </c>
      <c r="C38" s="89"/>
      <c r="D38" s="64"/>
      <c r="E38" s="55"/>
      <c r="F38" s="65"/>
      <c r="G38" s="122"/>
      <c r="H38" s="55"/>
    </row>
    <row r="39" spans="1:8" ht="12" customHeight="1" x14ac:dyDescent="0.15">
      <c r="A39" s="55"/>
      <c r="B39" s="55"/>
      <c r="C39" s="55"/>
      <c r="D39" s="64"/>
      <c r="E39" s="55"/>
      <c r="F39" s="65"/>
      <c r="G39" s="121"/>
      <c r="H39" s="55"/>
    </row>
    <row r="40" spans="1:8" ht="12" customHeight="1" x14ac:dyDescent="0.15">
      <c r="A40" s="90"/>
      <c r="B40" s="91"/>
      <c r="C40" s="91"/>
      <c r="D40" s="92"/>
      <c r="E40" s="91"/>
      <c r="F40" s="93"/>
      <c r="G40" s="123"/>
      <c r="H40" s="55"/>
    </row>
    <row r="41" spans="1:8" x14ac:dyDescent="0.15">
      <c r="A41" s="55"/>
      <c r="B41" s="55"/>
      <c r="C41" s="55"/>
      <c r="D41" s="64"/>
      <c r="E41" s="55"/>
      <c r="F41" s="65"/>
      <c r="G41" s="121"/>
      <c r="H41" s="55"/>
    </row>
    <row r="42" spans="1:8" x14ac:dyDescent="0.15">
      <c r="A42" s="55"/>
      <c r="B42" s="55"/>
      <c r="C42" s="55"/>
      <c r="D42" s="64"/>
      <c r="E42" s="55"/>
      <c r="F42" s="65"/>
      <c r="G42" s="121"/>
      <c r="H42" s="55"/>
    </row>
    <row r="43" spans="1:8" ht="8.1" customHeight="1" x14ac:dyDescent="0.15">
      <c r="A43" s="55"/>
      <c r="B43" s="66"/>
      <c r="C43" s="67"/>
      <c r="D43" s="68" t="s">
        <v>90</v>
      </c>
      <c r="E43" s="69" t="s">
        <v>91</v>
      </c>
      <c r="F43" s="70"/>
      <c r="G43" s="190">
        <f>'Calculadora do PIS'!H7</f>
        <v>0</v>
      </c>
      <c r="H43" s="55"/>
    </row>
    <row r="44" spans="1:8" ht="9.9499999999999993" customHeight="1" x14ac:dyDescent="0.15">
      <c r="A44" s="55"/>
      <c r="B44" s="71"/>
      <c r="C44" s="72" t="s">
        <v>92</v>
      </c>
      <c r="D44" s="73"/>
      <c r="E44" s="55"/>
      <c r="F44" s="74" t="s">
        <v>93</v>
      </c>
      <c r="G44" s="191"/>
      <c r="H44" s="55"/>
    </row>
    <row r="45" spans="1:8" ht="8.1" customHeight="1" x14ac:dyDescent="0.15">
      <c r="A45" s="94"/>
      <c r="B45" s="71"/>
      <c r="C45" s="75" t="s">
        <v>94</v>
      </c>
      <c r="D45" s="76"/>
      <c r="E45" s="77"/>
      <c r="F45" s="78"/>
      <c r="G45" s="192"/>
      <c r="H45" s="55"/>
    </row>
    <row r="46" spans="1:8" ht="8.1" customHeight="1" x14ac:dyDescent="0.15">
      <c r="A46" s="55"/>
      <c r="B46" s="71"/>
      <c r="C46" s="79" t="s">
        <v>95</v>
      </c>
      <c r="D46" s="68" t="s">
        <v>96</v>
      </c>
      <c r="E46" s="69" t="s">
        <v>97</v>
      </c>
      <c r="F46" s="70"/>
      <c r="G46" s="193">
        <f>G9</f>
        <v>0</v>
      </c>
      <c r="H46" s="55"/>
    </row>
    <row r="47" spans="1:8" ht="9" customHeight="1" x14ac:dyDescent="0.15">
      <c r="A47" s="55"/>
      <c r="B47" s="71"/>
      <c r="C47" s="55"/>
      <c r="D47" s="73"/>
      <c r="E47" s="55"/>
      <c r="F47" s="74" t="s">
        <v>93</v>
      </c>
      <c r="G47" s="213"/>
      <c r="H47" s="55"/>
    </row>
    <row r="48" spans="1:8" ht="8.1" customHeight="1" x14ac:dyDescent="0.15">
      <c r="A48" s="55"/>
      <c r="B48" s="71"/>
      <c r="C48" s="194" t="s">
        <v>98</v>
      </c>
      <c r="D48" s="76"/>
      <c r="E48" s="77"/>
      <c r="F48" s="78"/>
      <c r="G48" s="214"/>
      <c r="H48" s="55"/>
    </row>
    <row r="49" spans="1:8" ht="8.1" customHeight="1" x14ac:dyDescent="0.15">
      <c r="A49" s="55"/>
      <c r="B49" s="71"/>
      <c r="C49" s="194"/>
      <c r="D49" s="68" t="s">
        <v>99</v>
      </c>
      <c r="E49" s="69" t="s">
        <v>100</v>
      </c>
      <c r="F49" s="70"/>
      <c r="G49" s="195">
        <f>G12</f>
        <v>6912</v>
      </c>
      <c r="H49" s="55"/>
    </row>
    <row r="50" spans="1:8" ht="9" customHeight="1" x14ac:dyDescent="0.15">
      <c r="A50" s="55"/>
      <c r="B50" s="71"/>
      <c r="C50" s="194"/>
      <c r="D50" s="73"/>
      <c r="E50" s="55"/>
      <c r="F50" s="74" t="s">
        <v>93</v>
      </c>
      <c r="G50" s="196"/>
      <c r="H50" s="55"/>
    </row>
    <row r="51" spans="1:8" ht="8.1" customHeight="1" x14ac:dyDescent="0.15">
      <c r="A51" s="55"/>
      <c r="B51" s="71"/>
      <c r="C51" s="55"/>
      <c r="D51" s="76"/>
      <c r="E51" s="77"/>
      <c r="F51" s="78"/>
      <c r="G51" s="197"/>
      <c r="H51" s="55"/>
    </row>
    <row r="52" spans="1:8" ht="8.1" customHeight="1" x14ac:dyDescent="0.15">
      <c r="A52" s="55"/>
      <c r="B52" s="80"/>
      <c r="C52" s="81"/>
      <c r="D52" s="68" t="s">
        <v>101</v>
      </c>
      <c r="E52" s="69" t="s">
        <v>102</v>
      </c>
      <c r="F52" s="70"/>
      <c r="G52" s="168">
        <f>G15</f>
        <v>0</v>
      </c>
      <c r="H52" s="55"/>
    </row>
    <row r="53" spans="1:8" ht="9" customHeight="1" x14ac:dyDescent="0.15">
      <c r="A53" s="55"/>
      <c r="B53" s="95" t="s">
        <v>103</v>
      </c>
      <c r="C53" s="83"/>
      <c r="D53" s="73"/>
      <c r="E53" s="55"/>
      <c r="F53" s="74" t="s">
        <v>93</v>
      </c>
      <c r="G53" s="169"/>
      <c r="H53" s="55"/>
    </row>
    <row r="54" spans="1:8" ht="8.1" customHeight="1" x14ac:dyDescent="0.15">
      <c r="A54" s="55"/>
      <c r="B54" s="171">
        <f>B17</f>
        <v>0</v>
      </c>
      <c r="C54" s="172"/>
      <c r="D54" s="76"/>
      <c r="E54" s="77"/>
      <c r="F54" s="78"/>
      <c r="G54" s="170"/>
      <c r="H54" s="55"/>
    </row>
    <row r="55" spans="1:8" ht="8.1" customHeight="1" x14ac:dyDescent="0.15">
      <c r="A55" s="55"/>
      <c r="B55" s="171"/>
      <c r="C55" s="172"/>
      <c r="D55" s="68" t="s">
        <v>104</v>
      </c>
      <c r="E55" s="69" t="s">
        <v>105</v>
      </c>
      <c r="F55" s="70"/>
      <c r="G55" s="173">
        <f>G18</f>
        <v>0</v>
      </c>
      <c r="H55" s="55"/>
    </row>
    <row r="56" spans="1:8" ht="9" customHeight="1" x14ac:dyDescent="0.15">
      <c r="A56" s="55"/>
      <c r="B56" s="176" t="s">
        <v>106</v>
      </c>
      <c r="C56" s="178">
        <f>C19</f>
        <v>0</v>
      </c>
      <c r="D56" s="73"/>
      <c r="E56" s="55"/>
      <c r="F56" s="74" t="s">
        <v>93</v>
      </c>
      <c r="G56" s="174"/>
      <c r="H56" s="55"/>
    </row>
    <row r="57" spans="1:8" ht="8.1" customHeight="1" x14ac:dyDescent="0.15">
      <c r="A57" s="55"/>
      <c r="B57" s="177"/>
      <c r="C57" s="179"/>
      <c r="D57" s="76"/>
      <c r="E57" s="77"/>
      <c r="F57" s="78"/>
      <c r="G57" s="175"/>
      <c r="H57" s="55"/>
    </row>
    <row r="58" spans="1:8" ht="8.1" customHeight="1" x14ac:dyDescent="0.15">
      <c r="A58" s="55"/>
      <c r="B58" s="180" t="s">
        <v>107</v>
      </c>
      <c r="C58" s="181"/>
      <c r="D58" s="68" t="s">
        <v>108</v>
      </c>
      <c r="E58" s="69" t="s">
        <v>109</v>
      </c>
      <c r="F58" s="70"/>
      <c r="G58" s="184">
        <f>G21</f>
        <v>0</v>
      </c>
      <c r="H58" s="55"/>
    </row>
    <row r="59" spans="1:8" ht="9" customHeight="1" x14ac:dyDescent="0.15">
      <c r="A59" s="55"/>
      <c r="B59" s="182"/>
      <c r="C59" s="183"/>
      <c r="D59" s="73"/>
      <c r="E59" s="55"/>
      <c r="F59" s="74" t="s">
        <v>93</v>
      </c>
      <c r="G59" s="185"/>
      <c r="H59" s="55"/>
    </row>
    <row r="60" spans="1:8" ht="8.1" customHeight="1" x14ac:dyDescent="0.15">
      <c r="A60" s="55"/>
      <c r="B60" s="182"/>
      <c r="C60" s="183"/>
      <c r="D60" s="76"/>
      <c r="E60" s="77"/>
      <c r="F60" s="78"/>
      <c r="G60" s="186"/>
      <c r="H60" s="55"/>
    </row>
    <row r="61" spans="1:8" ht="8.1" customHeight="1" x14ac:dyDescent="0.15">
      <c r="A61" s="84"/>
      <c r="B61" s="148" t="s">
        <v>110</v>
      </c>
      <c r="C61" s="149"/>
      <c r="D61" s="73" t="s">
        <v>111</v>
      </c>
      <c r="E61" s="69" t="s">
        <v>112</v>
      </c>
      <c r="F61" s="85"/>
      <c r="G61" s="153">
        <f>G24</f>
        <v>0</v>
      </c>
      <c r="H61" s="55"/>
    </row>
    <row r="62" spans="1:8" ht="9" customHeight="1" x14ac:dyDescent="0.15">
      <c r="A62" s="55"/>
      <c r="B62" s="150"/>
      <c r="C62" s="149"/>
      <c r="D62" s="73"/>
      <c r="E62" s="86"/>
      <c r="F62" s="74" t="s">
        <v>93</v>
      </c>
      <c r="G62" s="154"/>
      <c r="H62" s="55"/>
    </row>
    <row r="63" spans="1:8" ht="8.1" customHeight="1" x14ac:dyDescent="0.15">
      <c r="A63" s="55"/>
      <c r="B63" s="151"/>
      <c r="C63" s="152"/>
      <c r="D63" s="76"/>
      <c r="E63" s="77"/>
      <c r="F63" s="78"/>
      <c r="G63" s="155"/>
      <c r="H63" s="55"/>
    </row>
    <row r="64" spans="1:8" ht="8.1" customHeight="1" x14ac:dyDescent="0.15">
      <c r="A64" s="84"/>
      <c r="B64" s="156" t="s">
        <v>113</v>
      </c>
      <c r="C64" s="157"/>
      <c r="D64" s="64" t="s">
        <v>114</v>
      </c>
      <c r="E64" s="69" t="s">
        <v>115</v>
      </c>
      <c r="F64" s="85"/>
      <c r="G64" s="153">
        <f>G27</f>
        <v>0</v>
      </c>
      <c r="H64" s="55"/>
    </row>
    <row r="65" spans="1:8" ht="9" customHeight="1" x14ac:dyDescent="0.15">
      <c r="A65" s="55"/>
      <c r="B65" s="158"/>
      <c r="C65" s="159"/>
      <c r="D65" s="64"/>
      <c r="E65" s="86" t="s">
        <v>116</v>
      </c>
      <c r="F65" s="74" t="s">
        <v>93</v>
      </c>
      <c r="G65" s="154"/>
      <c r="H65" s="55"/>
    </row>
    <row r="66" spans="1:8" ht="8.1" customHeight="1" x14ac:dyDescent="0.15">
      <c r="A66" s="55"/>
      <c r="B66" s="160"/>
      <c r="C66" s="161"/>
      <c r="D66" s="87"/>
      <c r="E66" s="77"/>
      <c r="F66" s="78"/>
      <c r="G66" s="155"/>
      <c r="H66" s="55"/>
    </row>
    <row r="67" spans="1:8" ht="8.1" customHeight="1" x14ac:dyDescent="0.15">
      <c r="A67" s="84"/>
      <c r="B67" s="162" t="s">
        <v>117</v>
      </c>
      <c r="C67" s="163"/>
      <c r="D67" s="64" t="s">
        <v>118</v>
      </c>
      <c r="E67" s="69" t="s">
        <v>119</v>
      </c>
      <c r="F67" s="85"/>
      <c r="G67" s="153">
        <f>G30</f>
        <v>0</v>
      </c>
      <c r="H67" s="55"/>
    </row>
    <row r="68" spans="1:8" ht="9" customHeight="1" x14ac:dyDescent="0.15">
      <c r="A68" s="55"/>
      <c r="B68" s="164"/>
      <c r="C68" s="165"/>
      <c r="D68" s="73"/>
      <c r="E68" s="55"/>
      <c r="F68" s="74" t="s">
        <v>93</v>
      </c>
      <c r="G68" s="154"/>
      <c r="H68" s="55"/>
    </row>
    <row r="69" spans="1:8" ht="8.1" customHeight="1" x14ac:dyDescent="0.15">
      <c r="A69" s="55"/>
      <c r="B69" s="164"/>
      <c r="C69" s="165"/>
      <c r="D69" s="76"/>
      <c r="E69" s="77"/>
      <c r="F69" s="78"/>
      <c r="G69" s="155"/>
      <c r="H69" s="55"/>
    </row>
    <row r="70" spans="1:8" ht="8.1" customHeight="1" x14ac:dyDescent="0.15">
      <c r="A70" s="84"/>
      <c r="B70" s="164"/>
      <c r="C70" s="165"/>
      <c r="D70" s="73" t="s">
        <v>120</v>
      </c>
      <c r="E70" s="69" t="s">
        <v>121</v>
      </c>
      <c r="F70" s="65"/>
      <c r="G70" s="122"/>
      <c r="H70" s="55"/>
    </row>
    <row r="71" spans="1:8" ht="8.1" customHeight="1" x14ac:dyDescent="0.15">
      <c r="A71" s="55"/>
      <c r="B71" s="164"/>
      <c r="C71" s="165"/>
      <c r="D71" s="73"/>
      <c r="E71" s="55"/>
      <c r="F71" s="65"/>
      <c r="G71" s="122"/>
      <c r="H71" s="55"/>
    </row>
    <row r="72" spans="1:8" ht="9" customHeight="1" x14ac:dyDescent="0.15">
      <c r="A72" s="55"/>
      <c r="B72" s="164"/>
      <c r="C72" s="165"/>
      <c r="D72" s="73"/>
      <c r="E72" s="55"/>
      <c r="F72" s="65"/>
      <c r="G72" s="122"/>
      <c r="H72" s="55"/>
    </row>
    <row r="73" spans="1:8" ht="8.1" customHeight="1" x14ac:dyDescent="0.15">
      <c r="A73" s="55"/>
      <c r="B73" s="164"/>
      <c r="C73" s="165"/>
      <c r="D73" s="64"/>
      <c r="E73" s="55"/>
      <c r="F73" s="65"/>
      <c r="G73" s="122"/>
      <c r="H73" s="55"/>
    </row>
    <row r="74" spans="1:8" ht="8.1" customHeight="1" x14ac:dyDescent="0.15">
      <c r="A74" s="55"/>
      <c r="B74" s="166"/>
      <c r="C74" s="167"/>
      <c r="D74" s="64"/>
      <c r="E74" s="55"/>
      <c r="F74" s="65"/>
      <c r="G74" s="122"/>
      <c r="H74" s="55"/>
    </row>
    <row r="75" spans="1:8" ht="8.1" customHeight="1" x14ac:dyDescent="0.15">
      <c r="A75" s="55"/>
      <c r="B75" s="88" t="s">
        <v>122</v>
      </c>
      <c r="C75" s="89"/>
      <c r="D75" s="64"/>
      <c r="E75" s="55"/>
      <c r="F75" s="65"/>
      <c r="G75" s="122"/>
      <c r="H75" s="55"/>
    </row>
    <row r="76" spans="1:8" ht="12" customHeight="1" x14ac:dyDescent="0.15">
      <c r="A76" s="55"/>
      <c r="B76" s="55"/>
      <c r="C76" s="55"/>
      <c r="D76" s="64"/>
      <c r="E76" s="55"/>
      <c r="F76" s="65"/>
      <c r="G76" s="121"/>
      <c r="H76" s="55"/>
    </row>
    <row r="77" spans="1:8" ht="12" customHeight="1" x14ac:dyDescent="0.15">
      <c r="A77" s="91"/>
      <c r="B77" s="91"/>
      <c r="C77" s="91"/>
      <c r="D77" s="92"/>
      <c r="E77" s="91"/>
      <c r="F77" s="93"/>
      <c r="G77" s="123"/>
      <c r="H77" s="55"/>
    </row>
    <row r="78" spans="1:8" x14ac:dyDescent="0.15">
      <c r="A78" s="55"/>
      <c r="B78" s="86" t="s">
        <v>123</v>
      </c>
      <c r="C78" s="55"/>
      <c r="D78" s="64"/>
      <c r="E78" s="55"/>
      <c r="F78" s="65"/>
      <c r="G78" s="121"/>
      <c r="H78" s="55"/>
    </row>
    <row r="79" spans="1:8" x14ac:dyDescent="0.15">
      <c r="A79" s="55"/>
      <c r="B79" s="55"/>
      <c r="C79" s="55"/>
      <c r="D79" s="64"/>
      <c r="E79" s="55"/>
      <c r="F79" s="65"/>
      <c r="G79" s="121"/>
      <c r="H79" s="55"/>
    </row>
    <row r="80" spans="1:8" x14ac:dyDescent="0.15">
      <c r="A80" s="55"/>
      <c r="B80" s="55"/>
      <c r="C80" s="55"/>
      <c r="D80" s="64"/>
      <c r="E80" s="55"/>
      <c r="F80" s="65"/>
      <c r="G80" s="121"/>
      <c r="H80" s="55"/>
    </row>
    <row r="83" spans="1:9" x14ac:dyDescent="0.15">
      <c r="A83" s="55"/>
      <c r="B83" s="55"/>
      <c r="C83" s="55"/>
      <c r="D83" s="64"/>
      <c r="E83" s="55"/>
      <c r="F83" s="65"/>
      <c r="G83" s="121"/>
      <c r="H83" s="55"/>
    </row>
    <row r="84" spans="1:9" x14ac:dyDescent="0.15">
      <c r="A84" s="55"/>
      <c r="B84" s="55"/>
      <c r="C84" s="55"/>
      <c r="D84" s="64"/>
      <c r="E84" s="55"/>
      <c r="F84" s="65"/>
      <c r="G84" s="121"/>
      <c r="H84" s="55"/>
    </row>
    <row r="85" spans="1:9" x14ac:dyDescent="0.15">
      <c r="A85" s="55"/>
      <c r="B85" s="55"/>
      <c r="C85" s="55"/>
      <c r="D85" s="64"/>
      <c r="E85" s="55"/>
      <c r="F85" s="65"/>
      <c r="G85" s="121"/>
      <c r="H85" s="55"/>
    </row>
    <row r="86" spans="1:9" x14ac:dyDescent="0.15">
      <c r="A86" s="77"/>
      <c r="B86" s="77"/>
      <c r="C86" s="77"/>
      <c r="D86" s="87"/>
      <c r="E86" s="77"/>
      <c r="F86" s="96"/>
      <c r="G86" s="124"/>
      <c r="H86" s="77"/>
      <c r="I86" s="97"/>
    </row>
  </sheetData>
  <sheetProtection password="C5A6" sheet="1" objects="1" scenarios="1"/>
  <mergeCells count="34">
    <mergeCell ref="B67:C74"/>
    <mergeCell ref="G67:G69"/>
    <mergeCell ref="B58:C60"/>
    <mergeCell ref="G58:G60"/>
    <mergeCell ref="B61:C63"/>
    <mergeCell ref="G61:G63"/>
    <mergeCell ref="G43:G45"/>
    <mergeCell ref="G46:G48"/>
    <mergeCell ref="C48:C50"/>
    <mergeCell ref="G49:G51"/>
    <mergeCell ref="B64:C66"/>
    <mergeCell ref="G64:G66"/>
    <mergeCell ref="G52:G54"/>
    <mergeCell ref="B54:C55"/>
    <mergeCell ref="G55:G57"/>
    <mergeCell ref="B56:B57"/>
    <mergeCell ref="C56:C57"/>
    <mergeCell ref="B30:C37"/>
    <mergeCell ref="G30:G32"/>
    <mergeCell ref="B21:C23"/>
    <mergeCell ref="G21:G23"/>
    <mergeCell ref="B24:C26"/>
    <mergeCell ref="G24:G26"/>
    <mergeCell ref="G6:G8"/>
    <mergeCell ref="G9:G11"/>
    <mergeCell ref="C11:C13"/>
    <mergeCell ref="G12:G14"/>
    <mergeCell ref="B27:C29"/>
    <mergeCell ref="G27:G29"/>
    <mergeCell ref="G15:G17"/>
    <mergeCell ref="B17:C18"/>
    <mergeCell ref="G18:G20"/>
    <mergeCell ref="B19:B20"/>
    <mergeCell ref="C19:C20"/>
  </mergeCells>
  <phoneticPr fontId="0" type="noConversion"/>
  <pageMargins left="0.39370078740157483" right="0.19685039370078741" top="0.98425196850393704" bottom="0.59055118110236227" header="0.51181102362204722" footer="0.51181102362204722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Draw.Graphic.9" shapeId="4099" r:id="rId4">
          <objectPr defaultSize="0" autoPict="0" r:id="rId5">
            <anchor moveWithCells="1" sizeWithCells="1">
              <from>
                <xdr:col>1</xdr:col>
                <xdr:colOff>57150</xdr:colOff>
                <xdr:row>5</xdr:row>
                <xdr:rowOff>9525</xdr:rowOff>
              </from>
              <to>
                <xdr:col>1</xdr:col>
                <xdr:colOff>628650</xdr:colOff>
                <xdr:row>11</xdr:row>
                <xdr:rowOff>9525</xdr:rowOff>
              </to>
            </anchor>
          </objectPr>
        </oleObject>
      </mc:Choice>
      <mc:Fallback>
        <oleObject progId="CorelDraw.Graphic.9" shapeId="4099" r:id="rId4"/>
      </mc:Fallback>
    </mc:AlternateContent>
    <mc:AlternateContent xmlns:mc="http://schemas.openxmlformats.org/markup-compatibility/2006">
      <mc:Choice Requires="x14">
        <oleObject progId="CorelDraw.Graphic.9" shapeId="4100" r:id="rId6">
          <objectPr defaultSize="0" autoPict="0" r:id="rId5">
            <anchor moveWithCells="1" sizeWithCells="1">
              <from>
                <xdr:col>1</xdr:col>
                <xdr:colOff>57150</xdr:colOff>
                <xdr:row>42</xdr:row>
                <xdr:rowOff>9525</xdr:rowOff>
              </from>
              <to>
                <xdr:col>1</xdr:col>
                <xdr:colOff>628650</xdr:colOff>
                <xdr:row>48</xdr:row>
                <xdr:rowOff>9525</xdr:rowOff>
              </to>
            </anchor>
          </objectPr>
        </oleObject>
      </mc:Choice>
      <mc:Fallback>
        <oleObject progId="CorelDraw.Graphic.9" shapeId="4100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Calculadora do PIS-Anterior</vt:lpstr>
      <vt:lpstr>Abertura</vt:lpstr>
      <vt:lpstr>Calculadora da COFINS</vt:lpstr>
      <vt:lpstr>Calculadora do PIS</vt:lpstr>
      <vt:lpstr>DARF - COFINS</vt:lpstr>
      <vt:lpstr>DARF - PIS</vt:lpstr>
      <vt:lpstr>Calculadora da COFINS!Area_de_impressao</vt:lpstr>
      <vt:lpstr>Calculadora do PIS!Area_de_impressao</vt:lpstr>
      <vt:lpstr>Calculadora do PIS-Anterior!Area_de_impressao</vt:lpstr>
      <vt:lpstr>DARF - COFINS!Area_de_impressao</vt:lpstr>
      <vt:lpstr>DARF - PIS!Area_de_impressao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ME</dc:creator>
  <cp:lastModifiedBy>X</cp:lastModifiedBy>
  <cp:lastPrinted>2004-03-03T23:53:28Z</cp:lastPrinted>
  <dcterms:created xsi:type="dcterms:W3CDTF">2004-02-23T20:10:31Z</dcterms:created>
  <dcterms:modified xsi:type="dcterms:W3CDTF">2018-03-02T18:37:59Z</dcterms:modified>
</cp:coreProperties>
</file>