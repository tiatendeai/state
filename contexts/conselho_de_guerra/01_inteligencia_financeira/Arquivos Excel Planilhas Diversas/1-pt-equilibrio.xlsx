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vml" ContentType="application/vnd.openxmlformats-officedocument.vmlDrawing"/>
  <Default Extension="jp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505"/>
  <workbookPr codeName="EstaPasta_de_trabalho" autoCompressPictures="0"/>
  <mc:AlternateContent xmlns:mc="http://schemas.openxmlformats.org/markup-compatibility/2006">
    <mc:Choice Requires="x15">
      <x15ac:absPath xmlns:x15ac="http://schemas.microsoft.com/office/spreadsheetml/2010/11/ac" url="/Users/viniciuscaldasbarbosa/Dropbox (LUZ.vc)/Planilhas/Prontas/2 - Finanças/Cálculo de Ponto de Equilíbrio/Planilha de Cálculo de Ponto de Equilíbrio/Versão 2007 - 2013/"/>
    </mc:Choice>
  </mc:AlternateContent>
  <bookViews>
    <workbookView xWindow="0" yWindow="460" windowWidth="21180" windowHeight="17260" tabRatio="0"/>
  </bookViews>
  <sheets>
    <sheet name="Ini" sheetId="2" r:id="rId1"/>
    <sheet name="PG" sheetId="3" r:id="rId2"/>
    <sheet name="PEq" sheetId="4" r:id="rId3"/>
    <sheet name="PG_CD" sheetId="12" r:id="rId4"/>
    <sheet name="Peq_Pro" sheetId="13" r:id="rId5"/>
    <sheet name="AC" sheetId="5" r:id="rId6"/>
    <sheet name="RC" sheetId="6" r:id="rId7"/>
    <sheet name="Graf" sheetId="7" r:id="rId8"/>
    <sheet name="RI" sheetId="8" r:id="rId9"/>
    <sheet name="Dúvidas" sheetId="9" r:id="rId10"/>
    <sheet name="Sugestões" sheetId="10" r:id="rId11"/>
    <sheet name="Sobre a LUZ" sheetId="11" r:id="rId12"/>
    <sheet name="Graf_Sup" sheetId="14" state="hidden" r:id="rId13"/>
  </sheets>
  <definedNames>
    <definedName name="_xlnm.Print_Area" localSheetId="8">RI!$B$4:$H$108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12" l="1"/>
  <c r="H7" i="12"/>
  <c r="H8" i="12"/>
  <c r="H9" i="12"/>
  <c r="H10" i="12"/>
  <c r="H11" i="12"/>
  <c r="H12" i="12"/>
  <c r="G13" i="4"/>
  <c r="G14" i="4"/>
  <c r="L6" i="12"/>
  <c r="L7" i="12"/>
  <c r="L8" i="12"/>
  <c r="L9" i="12"/>
  <c r="L10" i="12"/>
  <c r="L11" i="12"/>
  <c r="L12" i="12"/>
  <c r="G10" i="4"/>
  <c r="G7" i="4"/>
  <c r="C52" i="14"/>
  <c r="F101" i="8"/>
  <c r="Q6" i="12"/>
  <c r="Q7" i="12"/>
  <c r="Q8" i="12"/>
  <c r="Q9" i="12"/>
  <c r="Q10" i="12"/>
  <c r="Q11" i="12"/>
  <c r="Q12" i="12"/>
  <c r="E6" i="6"/>
  <c r="F7" i="3"/>
  <c r="K6" i="12"/>
  <c r="F8" i="3"/>
  <c r="K7" i="12"/>
  <c r="F9" i="3"/>
  <c r="K8" i="12"/>
  <c r="F10" i="3"/>
  <c r="K9" i="12"/>
  <c r="F11" i="3"/>
  <c r="K10" i="12"/>
  <c r="F12" i="3"/>
  <c r="K11" i="12"/>
  <c r="F13" i="3"/>
  <c r="K12" i="12"/>
  <c r="E7" i="6"/>
  <c r="J6" i="12"/>
  <c r="J7" i="12"/>
  <c r="J8" i="12"/>
  <c r="J9" i="12"/>
  <c r="J10" i="12"/>
  <c r="J11" i="12"/>
  <c r="J12" i="12"/>
  <c r="E8" i="6"/>
  <c r="P6" i="12"/>
  <c r="P7" i="12"/>
  <c r="P8" i="12"/>
  <c r="P9" i="12"/>
  <c r="P10" i="12"/>
  <c r="P11" i="12"/>
  <c r="P12" i="12"/>
  <c r="E9" i="6"/>
  <c r="C44" i="14"/>
  <c r="C45" i="14"/>
  <c r="C46" i="14"/>
  <c r="C47" i="14"/>
  <c r="C48" i="14"/>
  <c r="D48" i="14"/>
  <c r="F92" i="8"/>
  <c r="G18" i="4"/>
  <c r="G36" i="7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505" i="12"/>
  <c r="P506" i="12"/>
  <c r="P507" i="12"/>
  <c r="E10" i="6"/>
  <c r="E18" i="6"/>
  <c r="H36" i="7"/>
  <c r="D35" i="7"/>
  <c r="M6" i="12"/>
  <c r="M7" i="12"/>
  <c r="M8" i="12"/>
  <c r="M9" i="12"/>
  <c r="M10" i="12"/>
  <c r="M11" i="12"/>
  <c r="M12" i="12"/>
  <c r="H13" i="12"/>
  <c r="L13" i="12"/>
  <c r="M13" i="12"/>
  <c r="H14" i="12"/>
  <c r="L14" i="12"/>
  <c r="M14" i="12"/>
  <c r="H15" i="12"/>
  <c r="L15" i="12"/>
  <c r="M15" i="12"/>
  <c r="H16" i="12"/>
  <c r="L16" i="12"/>
  <c r="M16" i="12"/>
  <c r="H17" i="12"/>
  <c r="L17" i="12"/>
  <c r="M17" i="12"/>
  <c r="H18" i="12"/>
  <c r="L18" i="12"/>
  <c r="M18" i="12"/>
  <c r="H19" i="12"/>
  <c r="L19" i="12"/>
  <c r="M19" i="12"/>
  <c r="H20" i="12"/>
  <c r="L20" i="12"/>
  <c r="M20" i="12"/>
  <c r="H21" i="12"/>
  <c r="L21" i="12"/>
  <c r="M21" i="12"/>
  <c r="H22" i="12"/>
  <c r="L22" i="12"/>
  <c r="M22" i="12"/>
  <c r="H23" i="12"/>
  <c r="L23" i="12"/>
  <c r="M23" i="12"/>
  <c r="H24" i="12"/>
  <c r="L24" i="12"/>
  <c r="M24" i="12"/>
  <c r="H25" i="12"/>
  <c r="L25" i="12"/>
  <c r="M25" i="12"/>
  <c r="H26" i="12"/>
  <c r="L26" i="12"/>
  <c r="M26" i="12"/>
  <c r="H27" i="12"/>
  <c r="L27" i="12"/>
  <c r="M27" i="12"/>
  <c r="H28" i="12"/>
  <c r="L28" i="12"/>
  <c r="M28" i="12"/>
  <c r="H29" i="12"/>
  <c r="L29" i="12"/>
  <c r="M29" i="12"/>
  <c r="H30" i="12"/>
  <c r="L30" i="12"/>
  <c r="M30" i="12"/>
  <c r="H31" i="12"/>
  <c r="L31" i="12"/>
  <c r="M31" i="12"/>
  <c r="H32" i="12"/>
  <c r="L32" i="12"/>
  <c r="M32" i="12"/>
  <c r="H33" i="12"/>
  <c r="L33" i="12"/>
  <c r="M33" i="12"/>
  <c r="H34" i="12"/>
  <c r="L34" i="12"/>
  <c r="M34" i="12"/>
  <c r="H35" i="12"/>
  <c r="L35" i="12"/>
  <c r="M35" i="12"/>
  <c r="H36" i="12"/>
  <c r="L36" i="12"/>
  <c r="M36" i="12"/>
  <c r="H37" i="12"/>
  <c r="L37" i="12"/>
  <c r="M37" i="12"/>
  <c r="H38" i="12"/>
  <c r="L38" i="12"/>
  <c r="M38" i="12"/>
  <c r="H39" i="12"/>
  <c r="L39" i="12"/>
  <c r="M39" i="12"/>
  <c r="H40" i="12"/>
  <c r="L40" i="12"/>
  <c r="M40" i="12"/>
  <c r="H41" i="12"/>
  <c r="L41" i="12"/>
  <c r="M41" i="12"/>
  <c r="H42" i="12"/>
  <c r="L42" i="12"/>
  <c r="M42" i="12"/>
  <c r="H43" i="12"/>
  <c r="L43" i="12"/>
  <c r="M43" i="12"/>
  <c r="H44" i="12"/>
  <c r="L44" i="12"/>
  <c r="M44" i="12"/>
  <c r="H45" i="12"/>
  <c r="L45" i="12"/>
  <c r="M45" i="12"/>
  <c r="H46" i="12"/>
  <c r="L46" i="12"/>
  <c r="M46" i="12"/>
  <c r="H47" i="12"/>
  <c r="L47" i="12"/>
  <c r="M47" i="12"/>
  <c r="H48" i="12"/>
  <c r="L48" i="12"/>
  <c r="M48" i="12"/>
  <c r="H49" i="12"/>
  <c r="L49" i="12"/>
  <c r="M49" i="12"/>
  <c r="H50" i="12"/>
  <c r="L50" i="12"/>
  <c r="M50" i="12"/>
  <c r="C25" i="14"/>
  <c r="A25" i="14"/>
  <c r="C24" i="14"/>
  <c r="A24" i="14"/>
  <c r="C23" i="14"/>
  <c r="A23" i="14"/>
  <c r="C22" i="14"/>
  <c r="C21" i="14"/>
  <c r="C11" i="12"/>
  <c r="A22" i="14"/>
  <c r="C20" i="14"/>
  <c r="C12" i="12"/>
  <c r="A21" i="14"/>
  <c r="C19" i="14"/>
  <c r="C7" i="12"/>
  <c r="A20" i="14"/>
  <c r="C18" i="14"/>
  <c r="C10" i="12"/>
  <c r="A19" i="14"/>
  <c r="C17" i="14"/>
  <c r="C9" i="12"/>
  <c r="A18" i="14"/>
  <c r="C16" i="14"/>
  <c r="C6" i="12"/>
  <c r="A17" i="14"/>
  <c r="C8" i="12"/>
  <c r="A16" i="14"/>
  <c r="H51" i="12"/>
  <c r="L51" i="12"/>
  <c r="H52" i="12"/>
  <c r="L52" i="12"/>
  <c r="H53" i="12"/>
  <c r="L53" i="12"/>
  <c r="H54" i="12"/>
  <c r="L54" i="12"/>
  <c r="H55" i="12"/>
  <c r="L55" i="12"/>
  <c r="H56" i="12"/>
  <c r="L56" i="12"/>
  <c r="H57" i="12"/>
  <c r="L57" i="12"/>
  <c r="H58" i="12"/>
  <c r="L58" i="12"/>
  <c r="H59" i="12"/>
  <c r="L59" i="12"/>
  <c r="H60" i="12"/>
  <c r="L60" i="12"/>
  <c r="H61" i="12"/>
  <c r="L61" i="12"/>
  <c r="H62" i="12"/>
  <c r="L62" i="12"/>
  <c r="H63" i="12"/>
  <c r="L63" i="12"/>
  <c r="H64" i="12"/>
  <c r="L64" i="12"/>
  <c r="H65" i="12"/>
  <c r="L65" i="12"/>
  <c r="H66" i="12"/>
  <c r="L66" i="12"/>
  <c r="H67" i="12"/>
  <c r="L67" i="12"/>
  <c r="H68" i="12"/>
  <c r="L68" i="12"/>
  <c r="H69" i="12"/>
  <c r="L69" i="12"/>
  <c r="H70" i="12"/>
  <c r="L70" i="12"/>
  <c r="H71" i="12"/>
  <c r="L71" i="12"/>
  <c r="H72" i="12"/>
  <c r="L72" i="12"/>
  <c r="H73" i="12"/>
  <c r="L73" i="12"/>
  <c r="H74" i="12"/>
  <c r="L74" i="12"/>
  <c r="H75" i="12"/>
  <c r="L75" i="12"/>
  <c r="H76" i="12"/>
  <c r="L76" i="12"/>
  <c r="H77" i="12"/>
  <c r="L77" i="12"/>
  <c r="H78" i="12"/>
  <c r="L78" i="12"/>
  <c r="H79" i="12"/>
  <c r="L79" i="12"/>
  <c r="H80" i="12"/>
  <c r="L80" i="12"/>
  <c r="H81" i="12"/>
  <c r="L81" i="12"/>
  <c r="H82" i="12"/>
  <c r="L82" i="12"/>
  <c r="H83" i="12"/>
  <c r="L83" i="12"/>
  <c r="H84" i="12"/>
  <c r="L84" i="12"/>
  <c r="H85" i="12"/>
  <c r="L85" i="12"/>
  <c r="H86" i="12"/>
  <c r="L86" i="12"/>
  <c r="H87" i="12"/>
  <c r="L87" i="12"/>
  <c r="H88" i="12"/>
  <c r="L88" i="12"/>
  <c r="H89" i="12"/>
  <c r="L89" i="12"/>
  <c r="H90" i="12"/>
  <c r="L90" i="12"/>
  <c r="H91" i="12"/>
  <c r="L91" i="12"/>
  <c r="H92" i="12"/>
  <c r="L92" i="12"/>
  <c r="H93" i="12"/>
  <c r="L93" i="12"/>
  <c r="H94" i="12"/>
  <c r="L94" i="12"/>
  <c r="H95" i="12"/>
  <c r="L95" i="12"/>
  <c r="H96" i="12"/>
  <c r="L96" i="12"/>
  <c r="H97" i="12"/>
  <c r="L97" i="12"/>
  <c r="H98" i="12"/>
  <c r="L98" i="12"/>
  <c r="H99" i="12"/>
  <c r="L99" i="12"/>
  <c r="H100" i="12"/>
  <c r="L100" i="12"/>
  <c r="H101" i="12"/>
  <c r="L101" i="12"/>
  <c r="H102" i="12"/>
  <c r="L102" i="12"/>
  <c r="H103" i="12"/>
  <c r="L103" i="12"/>
  <c r="H104" i="12"/>
  <c r="L104" i="12"/>
  <c r="H105" i="12"/>
  <c r="L105" i="12"/>
  <c r="H106" i="12"/>
  <c r="L106" i="12"/>
  <c r="H107" i="12"/>
  <c r="L107" i="12"/>
  <c r="H108" i="12"/>
  <c r="L108" i="12"/>
  <c r="H109" i="12"/>
  <c r="L109" i="12"/>
  <c r="H110" i="12"/>
  <c r="L110" i="12"/>
  <c r="H111" i="12"/>
  <c r="L111" i="12"/>
  <c r="H112" i="12"/>
  <c r="L112" i="12"/>
  <c r="H113" i="12"/>
  <c r="L113" i="12"/>
  <c r="H114" i="12"/>
  <c r="L114" i="12"/>
  <c r="H115" i="12"/>
  <c r="L115" i="12"/>
  <c r="H116" i="12"/>
  <c r="L116" i="12"/>
  <c r="H117" i="12"/>
  <c r="L117" i="12"/>
  <c r="H118" i="12"/>
  <c r="L118" i="12"/>
  <c r="H119" i="12"/>
  <c r="L119" i="12"/>
  <c r="H120" i="12"/>
  <c r="L120" i="12"/>
  <c r="H121" i="12"/>
  <c r="L121" i="12"/>
  <c r="H122" i="12"/>
  <c r="L122" i="12"/>
  <c r="H123" i="12"/>
  <c r="L123" i="12"/>
  <c r="H124" i="12"/>
  <c r="L124" i="12"/>
  <c r="H125" i="12"/>
  <c r="L125" i="12"/>
  <c r="H126" i="12"/>
  <c r="L126" i="12"/>
  <c r="H127" i="12"/>
  <c r="L127" i="12"/>
  <c r="H128" i="12"/>
  <c r="L128" i="12"/>
  <c r="H129" i="12"/>
  <c r="L129" i="12"/>
  <c r="H130" i="12"/>
  <c r="L130" i="12"/>
  <c r="H131" i="12"/>
  <c r="L131" i="12"/>
  <c r="H132" i="12"/>
  <c r="L132" i="12"/>
  <c r="H133" i="12"/>
  <c r="L133" i="12"/>
  <c r="H134" i="12"/>
  <c r="L134" i="12"/>
  <c r="H135" i="12"/>
  <c r="L135" i="12"/>
  <c r="H136" i="12"/>
  <c r="L136" i="12"/>
  <c r="H137" i="12"/>
  <c r="L137" i="12"/>
  <c r="H138" i="12"/>
  <c r="L138" i="12"/>
  <c r="H139" i="12"/>
  <c r="L139" i="12"/>
  <c r="H140" i="12"/>
  <c r="L140" i="12"/>
  <c r="H141" i="12"/>
  <c r="L141" i="12"/>
  <c r="H142" i="12"/>
  <c r="L142" i="12"/>
  <c r="H143" i="12"/>
  <c r="L143" i="12"/>
  <c r="H144" i="12"/>
  <c r="L144" i="12"/>
  <c r="H145" i="12"/>
  <c r="L145" i="12"/>
  <c r="H146" i="12"/>
  <c r="L146" i="12"/>
  <c r="H147" i="12"/>
  <c r="L147" i="12"/>
  <c r="H148" i="12"/>
  <c r="L148" i="12"/>
  <c r="H149" i="12"/>
  <c r="L149" i="12"/>
  <c r="H150" i="12"/>
  <c r="L150" i="12"/>
  <c r="H151" i="12"/>
  <c r="L151" i="12"/>
  <c r="H152" i="12"/>
  <c r="L152" i="12"/>
  <c r="H153" i="12"/>
  <c r="L153" i="12"/>
  <c r="H154" i="12"/>
  <c r="L154" i="12"/>
  <c r="H155" i="12"/>
  <c r="L155" i="12"/>
  <c r="H156" i="12"/>
  <c r="L156" i="12"/>
  <c r="H157" i="12"/>
  <c r="L157" i="12"/>
  <c r="H158" i="12"/>
  <c r="L158" i="12"/>
  <c r="H159" i="12"/>
  <c r="L159" i="12"/>
  <c r="H160" i="12"/>
  <c r="L160" i="12"/>
  <c r="H161" i="12"/>
  <c r="L161" i="12"/>
  <c r="H162" i="12"/>
  <c r="L162" i="12"/>
  <c r="H163" i="12"/>
  <c r="L163" i="12"/>
  <c r="H164" i="12"/>
  <c r="L164" i="12"/>
  <c r="H165" i="12"/>
  <c r="L165" i="12"/>
  <c r="H166" i="12"/>
  <c r="L166" i="12"/>
  <c r="H167" i="12"/>
  <c r="L167" i="12"/>
  <c r="H168" i="12"/>
  <c r="L168" i="12"/>
  <c r="H169" i="12"/>
  <c r="L169" i="12"/>
  <c r="H170" i="12"/>
  <c r="L170" i="12"/>
  <c r="H171" i="12"/>
  <c r="L171" i="12"/>
  <c r="H172" i="12"/>
  <c r="L172" i="12"/>
  <c r="H173" i="12"/>
  <c r="L173" i="12"/>
  <c r="H174" i="12"/>
  <c r="L174" i="12"/>
  <c r="H175" i="12"/>
  <c r="L175" i="12"/>
  <c r="H176" i="12"/>
  <c r="L176" i="12"/>
  <c r="H177" i="12"/>
  <c r="L177" i="12"/>
  <c r="H178" i="12"/>
  <c r="L178" i="12"/>
  <c r="H179" i="12"/>
  <c r="L179" i="12"/>
  <c r="H180" i="12"/>
  <c r="L180" i="12"/>
  <c r="H181" i="12"/>
  <c r="L181" i="12"/>
  <c r="H182" i="12"/>
  <c r="L182" i="12"/>
  <c r="H183" i="12"/>
  <c r="L183" i="12"/>
  <c r="H184" i="12"/>
  <c r="L184" i="12"/>
  <c r="H185" i="12"/>
  <c r="L185" i="12"/>
  <c r="H186" i="12"/>
  <c r="L186" i="12"/>
  <c r="H187" i="12"/>
  <c r="L187" i="12"/>
  <c r="H188" i="12"/>
  <c r="L188" i="12"/>
  <c r="H189" i="12"/>
  <c r="L189" i="12"/>
  <c r="H190" i="12"/>
  <c r="L190" i="12"/>
  <c r="H191" i="12"/>
  <c r="L191" i="12"/>
  <c r="H192" i="12"/>
  <c r="L192" i="12"/>
  <c r="H193" i="12"/>
  <c r="L193" i="12"/>
  <c r="H194" i="12"/>
  <c r="L194" i="12"/>
  <c r="H195" i="12"/>
  <c r="L195" i="12"/>
  <c r="H196" i="12"/>
  <c r="L196" i="12"/>
  <c r="H197" i="12"/>
  <c r="L197" i="12"/>
  <c r="H198" i="12"/>
  <c r="L198" i="12"/>
  <c r="H199" i="12"/>
  <c r="L199" i="12"/>
  <c r="H200" i="12"/>
  <c r="L200" i="12"/>
  <c r="H201" i="12"/>
  <c r="L201" i="12"/>
  <c r="H202" i="12"/>
  <c r="L202" i="12"/>
  <c r="H203" i="12"/>
  <c r="L203" i="12"/>
  <c r="H204" i="12"/>
  <c r="L204" i="12"/>
  <c r="H205" i="12"/>
  <c r="L205" i="12"/>
  <c r="H206" i="12"/>
  <c r="L206" i="12"/>
  <c r="H207" i="12"/>
  <c r="L207" i="12"/>
  <c r="H208" i="12"/>
  <c r="L208" i="12"/>
  <c r="H209" i="12"/>
  <c r="L209" i="12"/>
  <c r="H210" i="12"/>
  <c r="L210" i="12"/>
  <c r="H211" i="12"/>
  <c r="L211" i="12"/>
  <c r="H212" i="12"/>
  <c r="L212" i="12"/>
  <c r="H213" i="12"/>
  <c r="L213" i="12"/>
  <c r="H214" i="12"/>
  <c r="L214" i="12"/>
  <c r="H215" i="12"/>
  <c r="L215" i="12"/>
  <c r="H216" i="12"/>
  <c r="L216" i="12"/>
  <c r="H217" i="12"/>
  <c r="L217" i="12"/>
  <c r="H218" i="12"/>
  <c r="L218" i="12"/>
  <c r="H219" i="12"/>
  <c r="L219" i="12"/>
  <c r="H220" i="12"/>
  <c r="L220" i="12"/>
  <c r="H221" i="12"/>
  <c r="L221" i="12"/>
  <c r="H222" i="12"/>
  <c r="L222" i="12"/>
  <c r="H223" i="12"/>
  <c r="L223" i="12"/>
  <c r="H224" i="12"/>
  <c r="L224" i="12"/>
  <c r="H225" i="12"/>
  <c r="L225" i="12"/>
  <c r="H226" i="12"/>
  <c r="L226" i="12"/>
  <c r="H227" i="12"/>
  <c r="L227" i="12"/>
  <c r="H228" i="12"/>
  <c r="L228" i="12"/>
  <c r="H229" i="12"/>
  <c r="L229" i="12"/>
  <c r="H230" i="12"/>
  <c r="L230" i="12"/>
  <c r="H231" i="12"/>
  <c r="L231" i="12"/>
  <c r="H232" i="12"/>
  <c r="L232" i="12"/>
  <c r="H233" i="12"/>
  <c r="L233" i="12"/>
  <c r="H234" i="12"/>
  <c r="L234" i="12"/>
  <c r="H235" i="12"/>
  <c r="L235" i="12"/>
  <c r="H236" i="12"/>
  <c r="L236" i="12"/>
  <c r="H237" i="12"/>
  <c r="L237" i="12"/>
  <c r="H238" i="12"/>
  <c r="L238" i="12"/>
  <c r="H239" i="12"/>
  <c r="L239" i="12"/>
  <c r="H240" i="12"/>
  <c r="L240" i="12"/>
  <c r="H241" i="12"/>
  <c r="L241" i="12"/>
  <c r="H242" i="12"/>
  <c r="L242" i="12"/>
  <c r="H243" i="12"/>
  <c r="L243" i="12"/>
  <c r="H244" i="12"/>
  <c r="L244" i="12"/>
  <c r="H245" i="12"/>
  <c r="L245" i="12"/>
  <c r="H246" i="12"/>
  <c r="L246" i="12"/>
  <c r="H247" i="12"/>
  <c r="L247" i="12"/>
  <c r="H248" i="12"/>
  <c r="L248" i="12"/>
  <c r="H249" i="12"/>
  <c r="L249" i="12"/>
  <c r="H250" i="12"/>
  <c r="L250" i="12"/>
  <c r="H251" i="12"/>
  <c r="L251" i="12"/>
  <c r="H252" i="12"/>
  <c r="L252" i="12"/>
  <c r="H253" i="12"/>
  <c r="L253" i="12"/>
  <c r="H254" i="12"/>
  <c r="L254" i="12"/>
  <c r="H255" i="12"/>
  <c r="L255" i="12"/>
  <c r="H256" i="12"/>
  <c r="L256" i="12"/>
  <c r="H257" i="12"/>
  <c r="L257" i="12"/>
  <c r="H258" i="12"/>
  <c r="L258" i="12"/>
  <c r="H259" i="12"/>
  <c r="L259" i="12"/>
  <c r="H260" i="12"/>
  <c r="L260" i="12"/>
  <c r="H261" i="12"/>
  <c r="L261" i="12"/>
  <c r="H262" i="12"/>
  <c r="L262" i="12"/>
  <c r="H263" i="12"/>
  <c r="L263" i="12"/>
  <c r="H264" i="12"/>
  <c r="L264" i="12"/>
  <c r="H265" i="12"/>
  <c r="L265" i="12"/>
  <c r="H266" i="12"/>
  <c r="L266" i="12"/>
  <c r="H267" i="12"/>
  <c r="L267" i="12"/>
  <c r="H268" i="12"/>
  <c r="L268" i="12"/>
  <c r="H269" i="12"/>
  <c r="L269" i="12"/>
  <c r="H270" i="12"/>
  <c r="L270" i="12"/>
  <c r="H271" i="12"/>
  <c r="L271" i="12"/>
  <c r="H272" i="12"/>
  <c r="L272" i="12"/>
  <c r="H273" i="12"/>
  <c r="L273" i="12"/>
  <c r="H274" i="12"/>
  <c r="L274" i="12"/>
  <c r="H275" i="12"/>
  <c r="L275" i="12"/>
  <c r="H276" i="12"/>
  <c r="L276" i="12"/>
  <c r="H277" i="12"/>
  <c r="L277" i="12"/>
  <c r="H278" i="12"/>
  <c r="L278" i="12"/>
  <c r="H279" i="12"/>
  <c r="L279" i="12"/>
  <c r="H280" i="12"/>
  <c r="L280" i="12"/>
  <c r="H281" i="12"/>
  <c r="L281" i="12"/>
  <c r="H282" i="12"/>
  <c r="L282" i="12"/>
  <c r="H283" i="12"/>
  <c r="L283" i="12"/>
  <c r="H284" i="12"/>
  <c r="L284" i="12"/>
  <c r="H285" i="12"/>
  <c r="L285" i="12"/>
  <c r="H286" i="12"/>
  <c r="L286" i="12"/>
  <c r="H287" i="12"/>
  <c r="L287" i="12"/>
  <c r="H288" i="12"/>
  <c r="L288" i="12"/>
  <c r="H289" i="12"/>
  <c r="L289" i="12"/>
  <c r="H290" i="12"/>
  <c r="L290" i="12"/>
  <c r="H291" i="12"/>
  <c r="L291" i="12"/>
  <c r="H292" i="12"/>
  <c r="L292" i="12"/>
  <c r="H293" i="12"/>
  <c r="L293" i="12"/>
  <c r="H294" i="12"/>
  <c r="L294" i="12"/>
  <c r="H295" i="12"/>
  <c r="L295" i="12"/>
  <c r="H296" i="12"/>
  <c r="L296" i="12"/>
  <c r="H297" i="12"/>
  <c r="L297" i="12"/>
  <c r="H298" i="12"/>
  <c r="L298" i="12"/>
  <c r="H299" i="12"/>
  <c r="L299" i="12"/>
  <c r="H300" i="12"/>
  <c r="L300" i="12"/>
  <c r="H301" i="12"/>
  <c r="L301" i="12"/>
  <c r="H302" i="12"/>
  <c r="L302" i="12"/>
  <c r="H303" i="12"/>
  <c r="L303" i="12"/>
  <c r="H304" i="12"/>
  <c r="L304" i="12"/>
  <c r="H305" i="12"/>
  <c r="L305" i="12"/>
  <c r="H306" i="12"/>
  <c r="L306" i="12"/>
  <c r="H307" i="12"/>
  <c r="L307" i="12"/>
  <c r="H308" i="12"/>
  <c r="L308" i="12"/>
  <c r="H309" i="12"/>
  <c r="L309" i="12"/>
  <c r="H310" i="12"/>
  <c r="L310" i="12"/>
  <c r="H311" i="12"/>
  <c r="L311" i="12"/>
  <c r="H312" i="12"/>
  <c r="L312" i="12"/>
  <c r="H313" i="12"/>
  <c r="L313" i="12"/>
  <c r="H314" i="12"/>
  <c r="L314" i="12"/>
  <c r="H315" i="12"/>
  <c r="L315" i="12"/>
  <c r="H316" i="12"/>
  <c r="L316" i="12"/>
  <c r="H317" i="12"/>
  <c r="L317" i="12"/>
  <c r="H318" i="12"/>
  <c r="L318" i="12"/>
  <c r="H319" i="12"/>
  <c r="L319" i="12"/>
  <c r="H320" i="12"/>
  <c r="L320" i="12"/>
  <c r="H321" i="12"/>
  <c r="L321" i="12"/>
  <c r="H322" i="12"/>
  <c r="L322" i="12"/>
  <c r="H323" i="12"/>
  <c r="L323" i="12"/>
  <c r="H324" i="12"/>
  <c r="L324" i="12"/>
  <c r="H325" i="12"/>
  <c r="L325" i="12"/>
  <c r="H326" i="12"/>
  <c r="L326" i="12"/>
  <c r="H327" i="12"/>
  <c r="L327" i="12"/>
  <c r="H328" i="12"/>
  <c r="L328" i="12"/>
  <c r="H329" i="12"/>
  <c r="L329" i="12"/>
  <c r="H330" i="12"/>
  <c r="L330" i="12"/>
  <c r="H331" i="12"/>
  <c r="L331" i="12"/>
  <c r="H332" i="12"/>
  <c r="L332" i="12"/>
  <c r="H333" i="12"/>
  <c r="L333" i="12"/>
  <c r="H334" i="12"/>
  <c r="L334" i="12"/>
  <c r="H335" i="12"/>
  <c r="L335" i="12"/>
  <c r="H336" i="12"/>
  <c r="L336" i="12"/>
  <c r="H337" i="12"/>
  <c r="L337" i="12"/>
  <c r="H338" i="12"/>
  <c r="L338" i="12"/>
  <c r="H339" i="12"/>
  <c r="L339" i="12"/>
  <c r="H340" i="12"/>
  <c r="L340" i="12"/>
  <c r="H341" i="12"/>
  <c r="L341" i="12"/>
  <c r="H342" i="12"/>
  <c r="L342" i="12"/>
  <c r="H343" i="12"/>
  <c r="L343" i="12"/>
  <c r="H344" i="12"/>
  <c r="L344" i="12"/>
  <c r="H345" i="12"/>
  <c r="L345" i="12"/>
  <c r="H346" i="12"/>
  <c r="L346" i="12"/>
  <c r="H347" i="12"/>
  <c r="L347" i="12"/>
  <c r="H348" i="12"/>
  <c r="L348" i="12"/>
  <c r="H349" i="12"/>
  <c r="L349" i="12"/>
  <c r="H350" i="12"/>
  <c r="L350" i="12"/>
  <c r="H351" i="12"/>
  <c r="L351" i="12"/>
  <c r="H352" i="12"/>
  <c r="L352" i="12"/>
  <c r="H353" i="12"/>
  <c r="L353" i="12"/>
  <c r="H354" i="12"/>
  <c r="L354" i="12"/>
  <c r="H355" i="12"/>
  <c r="L355" i="12"/>
  <c r="H356" i="12"/>
  <c r="L356" i="12"/>
  <c r="H357" i="12"/>
  <c r="L357" i="12"/>
  <c r="H358" i="12"/>
  <c r="L358" i="12"/>
  <c r="H359" i="12"/>
  <c r="L359" i="12"/>
  <c r="H360" i="12"/>
  <c r="L360" i="12"/>
  <c r="H361" i="12"/>
  <c r="L361" i="12"/>
  <c r="H362" i="12"/>
  <c r="L362" i="12"/>
  <c r="H363" i="12"/>
  <c r="L363" i="12"/>
  <c r="H364" i="12"/>
  <c r="L364" i="12"/>
  <c r="H365" i="12"/>
  <c r="L365" i="12"/>
  <c r="H366" i="12"/>
  <c r="L366" i="12"/>
  <c r="H367" i="12"/>
  <c r="L367" i="12"/>
  <c r="H368" i="12"/>
  <c r="L368" i="12"/>
  <c r="H369" i="12"/>
  <c r="L369" i="12"/>
  <c r="H370" i="12"/>
  <c r="L370" i="12"/>
  <c r="H371" i="12"/>
  <c r="L371" i="12"/>
  <c r="H372" i="12"/>
  <c r="L372" i="12"/>
  <c r="H373" i="12"/>
  <c r="L373" i="12"/>
  <c r="H374" i="12"/>
  <c r="L374" i="12"/>
  <c r="H375" i="12"/>
  <c r="L375" i="12"/>
  <c r="H376" i="12"/>
  <c r="L376" i="12"/>
  <c r="H377" i="12"/>
  <c r="L377" i="12"/>
  <c r="H378" i="12"/>
  <c r="L378" i="12"/>
  <c r="H379" i="12"/>
  <c r="L379" i="12"/>
  <c r="H380" i="12"/>
  <c r="L380" i="12"/>
  <c r="H381" i="12"/>
  <c r="L381" i="12"/>
  <c r="H382" i="12"/>
  <c r="L382" i="12"/>
  <c r="H383" i="12"/>
  <c r="L383" i="12"/>
  <c r="H384" i="12"/>
  <c r="L384" i="12"/>
  <c r="H385" i="12"/>
  <c r="L385" i="12"/>
  <c r="H386" i="12"/>
  <c r="L386" i="12"/>
  <c r="H387" i="12"/>
  <c r="L387" i="12"/>
  <c r="H388" i="12"/>
  <c r="L388" i="12"/>
  <c r="H389" i="12"/>
  <c r="L389" i="12"/>
  <c r="H390" i="12"/>
  <c r="L390" i="12"/>
  <c r="H391" i="12"/>
  <c r="L391" i="12"/>
  <c r="H392" i="12"/>
  <c r="L392" i="12"/>
  <c r="H393" i="12"/>
  <c r="L393" i="12"/>
  <c r="H394" i="12"/>
  <c r="L394" i="12"/>
  <c r="H395" i="12"/>
  <c r="L395" i="12"/>
  <c r="H396" i="12"/>
  <c r="L396" i="12"/>
  <c r="H397" i="12"/>
  <c r="L397" i="12"/>
  <c r="H398" i="12"/>
  <c r="L398" i="12"/>
  <c r="H399" i="12"/>
  <c r="L399" i="12"/>
  <c r="H400" i="12"/>
  <c r="L400" i="12"/>
  <c r="H401" i="12"/>
  <c r="L401" i="12"/>
  <c r="H402" i="12"/>
  <c r="L402" i="12"/>
  <c r="H403" i="12"/>
  <c r="L403" i="12"/>
  <c r="H404" i="12"/>
  <c r="L404" i="12"/>
  <c r="H405" i="12"/>
  <c r="L405" i="12"/>
  <c r="H406" i="12"/>
  <c r="L406" i="12"/>
  <c r="H407" i="12"/>
  <c r="L407" i="12"/>
  <c r="H408" i="12"/>
  <c r="L408" i="12"/>
  <c r="H409" i="12"/>
  <c r="L409" i="12"/>
  <c r="H410" i="12"/>
  <c r="L410" i="12"/>
  <c r="H411" i="12"/>
  <c r="L411" i="12"/>
  <c r="H412" i="12"/>
  <c r="L412" i="12"/>
  <c r="H413" i="12"/>
  <c r="L413" i="12"/>
  <c r="H414" i="12"/>
  <c r="L414" i="12"/>
  <c r="H415" i="12"/>
  <c r="L415" i="12"/>
  <c r="H416" i="12"/>
  <c r="L416" i="12"/>
  <c r="H417" i="12"/>
  <c r="L417" i="12"/>
  <c r="H418" i="12"/>
  <c r="L418" i="12"/>
  <c r="H419" i="12"/>
  <c r="L419" i="12"/>
  <c r="H420" i="12"/>
  <c r="L420" i="12"/>
  <c r="H421" i="12"/>
  <c r="L421" i="12"/>
  <c r="H422" i="12"/>
  <c r="L422" i="12"/>
  <c r="H423" i="12"/>
  <c r="L423" i="12"/>
  <c r="H424" i="12"/>
  <c r="L424" i="12"/>
  <c r="H425" i="12"/>
  <c r="L425" i="12"/>
  <c r="H426" i="12"/>
  <c r="L426" i="12"/>
  <c r="H427" i="12"/>
  <c r="L427" i="12"/>
  <c r="H428" i="12"/>
  <c r="L428" i="12"/>
  <c r="H429" i="12"/>
  <c r="L429" i="12"/>
  <c r="H430" i="12"/>
  <c r="L430" i="12"/>
  <c r="H431" i="12"/>
  <c r="L431" i="12"/>
  <c r="H432" i="12"/>
  <c r="L432" i="12"/>
  <c r="H433" i="12"/>
  <c r="L433" i="12"/>
  <c r="H434" i="12"/>
  <c r="L434" i="12"/>
  <c r="H435" i="12"/>
  <c r="L435" i="12"/>
  <c r="H436" i="12"/>
  <c r="L436" i="12"/>
  <c r="H437" i="12"/>
  <c r="L437" i="12"/>
  <c r="H438" i="12"/>
  <c r="L438" i="12"/>
  <c r="H439" i="12"/>
  <c r="L439" i="12"/>
  <c r="H440" i="12"/>
  <c r="L440" i="12"/>
  <c r="H441" i="12"/>
  <c r="L441" i="12"/>
  <c r="H442" i="12"/>
  <c r="L442" i="12"/>
  <c r="H443" i="12"/>
  <c r="L443" i="12"/>
  <c r="H444" i="12"/>
  <c r="L444" i="12"/>
  <c r="H445" i="12"/>
  <c r="L445" i="12"/>
  <c r="H446" i="12"/>
  <c r="L446" i="12"/>
  <c r="H447" i="12"/>
  <c r="L447" i="12"/>
  <c r="H448" i="12"/>
  <c r="L448" i="12"/>
  <c r="H449" i="12"/>
  <c r="L449" i="12"/>
  <c r="H450" i="12"/>
  <c r="L450" i="12"/>
  <c r="H451" i="12"/>
  <c r="L451" i="12"/>
  <c r="H452" i="12"/>
  <c r="L452" i="12"/>
  <c r="H453" i="12"/>
  <c r="L453" i="12"/>
  <c r="H454" i="12"/>
  <c r="L454" i="12"/>
  <c r="H455" i="12"/>
  <c r="L455" i="12"/>
  <c r="H456" i="12"/>
  <c r="L456" i="12"/>
  <c r="H457" i="12"/>
  <c r="L457" i="12"/>
  <c r="H458" i="12"/>
  <c r="L458" i="12"/>
  <c r="H459" i="12"/>
  <c r="L459" i="12"/>
  <c r="H460" i="12"/>
  <c r="L460" i="12"/>
  <c r="H461" i="12"/>
  <c r="L461" i="12"/>
  <c r="H462" i="12"/>
  <c r="L462" i="12"/>
  <c r="H463" i="12"/>
  <c r="L463" i="12"/>
  <c r="H464" i="12"/>
  <c r="L464" i="12"/>
  <c r="H465" i="12"/>
  <c r="L465" i="12"/>
  <c r="H466" i="12"/>
  <c r="L466" i="12"/>
  <c r="H467" i="12"/>
  <c r="L467" i="12"/>
  <c r="H468" i="12"/>
  <c r="L468" i="12"/>
  <c r="H469" i="12"/>
  <c r="L469" i="12"/>
  <c r="H470" i="12"/>
  <c r="L470" i="12"/>
  <c r="H471" i="12"/>
  <c r="L471" i="12"/>
  <c r="H472" i="12"/>
  <c r="L472" i="12"/>
  <c r="H473" i="12"/>
  <c r="L473" i="12"/>
  <c r="H474" i="12"/>
  <c r="L474" i="12"/>
  <c r="H475" i="12"/>
  <c r="L475" i="12"/>
  <c r="H476" i="12"/>
  <c r="L476" i="12"/>
  <c r="H477" i="12"/>
  <c r="L477" i="12"/>
  <c r="H478" i="12"/>
  <c r="L478" i="12"/>
  <c r="H479" i="12"/>
  <c r="L479" i="12"/>
  <c r="H480" i="12"/>
  <c r="L480" i="12"/>
  <c r="H481" i="12"/>
  <c r="L481" i="12"/>
  <c r="H482" i="12"/>
  <c r="L482" i="12"/>
  <c r="H483" i="12"/>
  <c r="L483" i="12"/>
  <c r="H484" i="12"/>
  <c r="L484" i="12"/>
  <c r="H485" i="12"/>
  <c r="L485" i="12"/>
  <c r="H486" i="12"/>
  <c r="L486" i="12"/>
  <c r="H487" i="12"/>
  <c r="L487" i="12"/>
  <c r="H488" i="12"/>
  <c r="L488" i="12"/>
  <c r="H489" i="12"/>
  <c r="L489" i="12"/>
  <c r="H490" i="12"/>
  <c r="L490" i="12"/>
  <c r="H491" i="12"/>
  <c r="L491" i="12"/>
  <c r="H492" i="12"/>
  <c r="L492" i="12"/>
  <c r="H493" i="12"/>
  <c r="L493" i="12"/>
  <c r="H494" i="12"/>
  <c r="L494" i="12"/>
  <c r="H495" i="12"/>
  <c r="L495" i="12"/>
  <c r="H496" i="12"/>
  <c r="L496" i="12"/>
  <c r="H497" i="12"/>
  <c r="L497" i="12"/>
  <c r="H498" i="12"/>
  <c r="L498" i="12"/>
  <c r="H499" i="12"/>
  <c r="L499" i="12"/>
  <c r="H500" i="12"/>
  <c r="L500" i="12"/>
  <c r="H501" i="12"/>
  <c r="L501" i="12"/>
  <c r="H502" i="12"/>
  <c r="L502" i="12"/>
  <c r="H503" i="12"/>
  <c r="L503" i="12"/>
  <c r="H504" i="12"/>
  <c r="L504" i="12"/>
  <c r="H505" i="12"/>
  <c r="L505" i="12"/>
  <c r="H506" i="12"/>
  <c r="L506" i="12"/>
  <c r="H507" i="12"/>
  <c r="L507" i="12"/>
  <c r="G19" i="4"/>
  <c r="G20" i="4"/>
  <c r="G7" i="3"/>
  <c r="O6" i="12"/>
  <c r="N6" i="12"/>
  <c r="G8" i="3"/>
  <c r="O7" i="12"/>
  <c r="N7" i="12"/>
  <c r="G9" i="3"/>
  <c r="O8" i="12"/>
  <c r="N8" i="12"/>
  <c r="G10" i="3"/>
  <c r="O9" i="12"/>
  <c r="N9" i="12"/>
  <c r="G11" i="3"/>
  <c r="O10" i="12"/>
  <c r="N10" i="12"/>
  <c r="G12" i="3"/>
  <c r="O11" i="12"/>
  <c r="N11" i="12"/>
  <c r="G13" i="3"/>
  <c r="O12" i="12"/>
  <c r="N12" i="12"/>
  <c r="G14" i="3"/>
  <c r="O13" i="12"/>
  <c r="N13" i="12"/>
  <c r="G15" i="3"/>
  <c r="O14" i="12"/>
  <c r="N14" i="12"/>
  <c r="G16" i="3"/>
  <c r="O15" i="12"/>
  <c r="N15" i="12"/>
  <c r="G17" i="3"/>
  <c r="O16" i="12"/>
  <c r="N16" i="12"/>
  <c r="G18" i="3"/>
  <c r="O17" i="12"/>
  <c r="N17" i="12"/>
  <c r="G19" i="3"/>
  <c r="O18" i="12"/>
  <c r="N18" i="12"/>
  <c r="G20" i="3"/>
  <c r="O19" i="12"/>
  <c r="N19" i="12"/>
  <c r="G21" i="3"/>
  <c r="O20" i="12"/>
  <c r="N20" i="12"/>
  <c r="G22" i="3"/>
  <c r="O21" i="12"/>
  <c r="N21" i="12"/>
  <c r="G23" i="3"/>
  <c r="O22" i="12"/>
  <c r="N22" i="12"/>
  <c r="G24" i="3"/>
  <c r="O23" i="12"/>
  <c r="N23" i="12"/>
  <c r="G25" i="3"/>
  <c r="O24" i="12"/>
  <c r="N24" i="12"/>
  <c r="G26" i="3"/>
  <c r="O25" i="12"/>
  <c r="N25" i="12"/>
  <c r="G27" i="3"/>
  <c r="O26" i="12"/>
  <c r="N26" i="12"/>
  <c r="G28" i="3"/>
  <c r="O27" i="12"/>
  <c r="N27" i="12"/>
  <c r="G29" i="3"/>
  <c r="O28" i="12"/>
  <c r="N28" i="12"/>
  <c r="G30" i="3"/>
  <c r="O29" i="12"/>
  <c r="N29" i="12"/>
  <c r="G31" i="3"/>
  <c r="O30" i="12"/>
  <c r="N30" i="12"/>
  <c r="G32" i="3"/>
  <c r="O31" i="12"/>
  <c r="N31" i="12"/>
  <c r="G33" i="3"/>
  <c r="O32" i="12"/>
  <c r="N32" i="12"/>
  <c r="G34" i="3"/>
  <c r="O33" i="12"/>
  <c r="N33" i="12"/>
  <c r="G35" i="3"/>
  <c r="O34" i="12"/>
  <c r="N34" i="12"/>
  <c r="G36" i="3"/>
  <c r="O35" i="12"/>
  <c r="N35" i="12"/>
  <c r="G37" i="3"/>
  <c r="O36" i="12"/>
  <c r="N36" i="12"/>
  <c r="G38" i="3"/>
  <c r="O37" i="12"/>
  <c r="N37" i="12"/>
  <c r="G39" i="3"/>
  <c r="O38" i="12"/>
  <c r="N38" i="12"/>
  <c r="G40" i="3"/>
  <c r="O39" i="12"/>
  <c r="N39" i="12"/>
  <c r="G41" i="3"/>
  <c r="O40" i="12"/>
  <c r="N40" i="12"/>
  <c r="G42" i="3"/>
  <c r="O41" i="12"/>
  <c r="N41" i="12"/>
  <c r="G43" i="3"/>
  <c r="O42" i="12"/>
  <c r="N42" i="12"/>
  <c r="G44" i="3"/>
  <c r="O43" i="12"/>
  <c r="N43" i="12"/>
  <c r="G45" i="3"/>
  <c r="O44" i="12"/>
  <c r="N44" i="12"/>
  <c r="G46" i="3"/>
  <c r="O45" i="12"/>
  <c r="N45" i="12"/>
  <c r="G47" i="3"/>
  <c r="O46" i="12"/>
  <c r="N46" i="12"/>
  <c r="G48" i="3"/>
  <c r="O47" i="12"/>
  <c r="N47" i="12"/>
  <c r="G49" i="3"/>
  <c r="O48" i="12"/>
  <c r="N48" i="12"/>
  <c r="G50" i="3"/>
  <c r="O49" i="12"/>
  <c r="N49" i="12"/>
  <c r="G51" i="3"/>
  <c r="O50" i="12"/>
  <c r="N50" i="12"/>
  <c r="G52" i="3"/>
  <c r="O51" i="12"/>
  <c r="N51" i="12"/>
  <c r="G53" i="3"/>
  <c r="O52" i="12"/>
  <c r="N52" i="12"/>
  <c r="G54" i="3"/>
  <c r="O53" i="12"/>
  <c r="N53" i="12"/>
  <c r="G55" i="3"/>
  <c r="O54" i="12"/>
  <c r="N54" i="12"/>
  <c r="G56" i="3"/>
  <c r="O55" i="12"/>
  <c r="N55" i="12"/>
  <c r="G57" i="3"/>
  <c r="O56" i="12"/>
  <c r="N56" i="12"/>
  <c r="G58" i="3"/>
  <c r="O57" i="12"/>
  <c r="N57" i="12"/>
  <c r="G59" i="3"/>
  <c r="O58" i="12"/>
  <c r="N58" i="12"/>
  <c r="G60" i="3"/>
  <c r="O59" i="12"/>
  <c r="N59" i="12"/>
  <c r="G61" i="3"/>
  <c r="O60" i="12"/>
  <c r="N60" i="12"/>
  <c r="G62" i="3"/>
  <c r="O61" i="12"/>
  <c r="N61" i="12"/>
  <c r="G63" i="3"/>
  <c r="O62" i="12"/>
  <c r="N62" i="12"/>
  <c r="G64" i="3"/>
  <c r="O63" i="12"/>
  <c r="N63" i="12"/>
  <c r="G65" i="3"/>
  <c r="O64" i="12"/>
  <c r="N64" i="12"/>
  <c r="G66" i="3"/>
  <c r="O65" i="12"/>
  <c r="N65" i="12"/>
  <c r="G67" i="3"/>
  <c r="O66" i="12"/>
  <c r="N66" i="12"/>
  <c r="G68" i="3"/>
  <c r="O67" i="12"/>
  <c r="N67" i="12"/>
  <c r="G69" i="3"/>
  <c r="O68" i="12"/>
  <c r="N68" i="12"/>
  <c r="G70" i="3"/>
  <c r="O69" i="12"/>
  <c r="N69" i="12"/>
  <c r="G71" i="3"/>
  <c r="O70" i="12"/>
  <c r="N70" i="12"/>
  <c r="G72" i="3"/>
  <c r="O71" i="12"/>
  <c r="N71" i="12"/>
  <c r="G73" i="3"/>
  <c r="O72" i="12"/>
  <c r="N72" i="12"/>
  <c r="G74" i="3"/>
  <c r="O73" i="12"/>
  <c r="N73" i="12"/>
  <c r="G75" i="3"/>
  <c r="O74" i="12"/>
  <c r="N74" i="12"/>
  <c r="G76" i="3"/>
  <c r="O75" i="12"/>
  <c r="N75" i="12"/>
  <c r="G77" i="3"/>
  <c r="O76" i="12"/>
  <c r="N76" i="12"/>
  <c r="G78" i="3"/>
  <c r="O77" i="12"/>
  <c r="N77" i="12"/>
  <c r="G79" i="3"/>
  <c r="O78" i="12"/>
  <c r="N78" i="12"/>
  <c r="G80" i="3"/>
  <c r="O79" i="12"/>
  <c r="N79" i="12"/>
  <c r="G81" i="3"/>
  <c r="O80" i="12"/>
  <c r="N80" i="12"/>
  <c r="G82" i="3"/>
  <c r="O81" i="12"/>
  <c r="N81" i="12"/>
  <c r="G83" i="3"/>
  <c r="O82" i="12"/>
  <c r="N82" i="12"/>
  <c r="G84" i="3"/>
  <c r="O83" i="12"/>
  <c r="N83" i="12"/>
  <c r="G85" i="3"/>
  <c r="O84" i="12"/>
  <c r="N84" i="12"/>
  <c r="G86" i="3"/>
  <c r="O85" i="12"/>
  <c r="N85" i="12"/>
  <c r="G87" i="3"/>
  <c r="O86" i="12"/>
  <c r="N86" i="12"/>
  <c r="G88" i="3"/>
  <c r="O87" i="12"/>
  <c r="N87" i="12"/>
  <c r="G89" i="3"/>
  <c r="O88" i="12"/>
  <c r="N88" i="12"/>
  <c r="G90" i="3"/>
  <c r="O89" i="12"/>
  <c r="N89" i="12"/>
  <c r="G91" i="3"/>
  <c r="O90" i="12"/>
  <c r="N90" i="12"/>
  <c r="G92" i="3"/>
  <c r="O91" i="12"/>
  <c r="N91" i="12"/>
  <c r="G93" i="3"/>
  <c r="O92" i="12"/>
  <c r="N92" i="12"/>
  <c r="G94" i="3"/>
  <c r="O93" i="12"/>
  <c r="N93" i="12"/>
  <c r="G95" i="3"/>
  <c r="O94" i="12"/>
  <c r="N94" i="12"/>
  <c r="G96" i="3"/>
  <c r="O95" i="12"/>
  <c r="N95" i="12"/>
  <c r="G97" i="3"/>
  <c r="O96" i="12"/>
  <c r="N96" i="12"/>
  <c r="G98" i="3"/>
  <c r="O97" i="12"/>
  <c r="N97" i="12"/>
  <c r="G99" i="3"/>
  <c r="O98" i="12"/>
  <c r="N98" i="12"/>
  <c r="G100" i="3"/>
  <c r="O99" i="12"/>
  <c r="N99" i="12"/>
  <c r="G101" i="3"/>
  <c r="O100" i="12"/>
  <c r="N100" i="12"/>
  <c r="G102" i="3"/>
  <c r="O101" i="12"/>
  <c r="N101" i="12"/>
  <c r="G103" i="3"/>
  <c r="O102" i="12"/>
  <c r="N102" i="12"/>
  <c r="G104" i="3"/>
  <c r="O103" i="12"/>
  <c r="N103" i="12"/>
  <c r="G105" i="3"/>
  <c r="O104" i="12"/>
  <c r="N104" i="12"/>
  <c r="G106" i="3"/>
  <c r="O105" i="12"/>
  <c r="N105" i="12"/>
  <c r="G107" i="3"/>
  <c r="O106" i="12"/>
  <c r="N106" i="12"/>
  <c r="G108" i="3"/>
  <c r="O107" i="12"/>
  <c r="N107" i="12"/>
  <c r="G109" i="3"/>
  <c r="O108" i="12"/>
  <c r="N108" i="12"/>
  <c r="G110" i="3"/>
  <c r="O109" i="12"/>
  <c r="N109" i="12"/>
  <c r="G111" i="3"/>
  <c r="O110" i="12"/>
  <c r="N110" i="12"/>
  <c r="G112" i="3"/>
  <c r="O111" i="12"/>
  <c r="N111" i="12"/>
  <c r="G113" i="3"/>
  <c r="O112" i="12"/>
  <c r="N112" i="12"/>
  <c r="G114" i="3"/>
  <c r="O113" i="12"/>
  <c r="N113" i="12"/>
  <c r="G115" i="3"/>
  <c r="O114" i="12"/>
  <c r="N114" i="12"/>
  <c r="G116" i="3"/>
  <c r="O115" i="12"/>
  <c r="N115" i="12"/>
  <c r="G117" i="3"/>
  <c r="O116" i="12"/>
  <c r="N116" i="12"/>
  <c r="G118" i="3"/>
  <c r="O117" i="12"/>
  <c r="N117" i="12"/>
  <c r="G119" i="3"/>
  <c r="O118" i="12"/>
  <c r="N118" i="12"/>
  <c r="G120" i="3"/>
  <c r="O119" i="12"/>
  <c r="N119" i="12"/>
  <c r="G121" i="3"/>
  <c r="O120" i="12"/>
  <c r="N120" i="12"/>
  <c r="G122" i="3"/>
  <c r="O121" i="12"/>
  <c r="N121" i="12"/>
  <c r="G123" i="3"/>
  <c r="O122" i="12"/>
  <c r="N122" i="12"/>
  <c r="G124" i="3"/>
  <c r="O123" i="12"/>
  <c r="N123" i="12"/>
  <c r="G125" i="3"/>
  <c r="O124" i="12"/>
  <c r="N124" i="12"/>
  <c r="G126" i="3"/>
  <c r="O125" i="12"/>
  <c r="N125" i="12"/>
  <c r="G127" i="3"/>
  <c r="O126" i="12"/>
  <c r="N126" i="12"/>
  <c r="G128" i="3"/>
  <c r="O127" i="12"/>
  <c r="N127" i="12"/>
  <c r="G129" i="3"/>
  <c r="O128" i="12"/>
  <c r="N128" i="12"/>
  <c r="G130" i="3"/>
  <c r="O129" i="12"/>
  <c r="N129" i="12"/>
  <c r="G131" i="3"/>
  <c r="O130" i="12"/>
  <c r="N130" i="12"/>
  <c r="G132" i="3"/>
  <c r="O131" i="12"/>
  <c r="N131" i="12"/>
  <c r="G133" i="3"/>
  <c r="O132" i="12"/>
  <c r="N132" i="12"/>
  <c r="G134" i="3"/>
  <c r="O133" i="12"/>
  <c r="N133" i="12"/>
  <c r="G135" i="3"/>
  <c r="O134" i="12"/>
  <c r="N134" i="12"/>
  <c r="G136" i="3"/>
  <c r="O135" i="12"/>
  <c r="N135" i="12"/>
  <c r="G137" i="3"/>
  <c r="O136" i="12"/>
  <c r="N136" i="12"/>
  <c r="G138" i="3"/>
  <c r="O137" i="12"/>
  <c r="N137" i="12"/>
  <c r="G139" i="3"/>
  <c r="O138" i="12"/>
  <c r="N138" i="12"/>
  <c r="G140" i="3"/>
  <c r="O139" i="12"/>
  <c r="N139" i="12"/>
  <c r="G141" i="3"/>
  <c r="O140" i="12"/>
  <c r="N140" i="12"/>
  <c r="G142" i="3"/>
  <c r="O141" i="12"/>
  <c r="N141" i="12"/>
  <c r="G143" i="3"/>
  <c r="O142" i="12"/>
  <c r="N142" i="12"/>
  <c r="G144" i="3"/>
  <c r="O143" i="12"/>
  <c r="N143" i="12"/>
  <c r="G145" i="3"/>
  <c r="O144" i="12"/>
  <c r="N144" i="12"/>
  <c r="G146" i="3"/>
  <c r="O145" i="12"/>
  <c r="N145" i="12"/>
  <c r="G147" i="3"/>
  <c r="O146" i="12"/>
  <c r="N146" i="12"/>
  <c r="G148" i="3"/>
  <c r="O147" i="12"/>
  <c r="N147" i="12"/>
  <c r="G149" i="3"/>
  <c r="O148" i="12"/>
  <c r="N148" i="12"/>
  <c r="G150" i="3"/>
  <c r="O149" i="12"/>
  <c r="N149" i="12"/>
  <c r="G151" i="3"/>
  <c r="O150" i="12"/>
  <c r="N150" i="12"/>
  <c r="G152" i="3"/>
  <c r="O151" i="12"/>
  <c r="N151" i="12"/>
  <c r="G153" i="3"/>
  <c r="O152" i="12"/>
  <c r="N152" i="12"/>
  <c r="G154" i="3"/>
  <c r="O153" i="12"/>
  <c r="N153" i="12"/>
  <c r="G155" i="3"/>
  <c r="O154" i="12"/>
  <c r="N154" i="12"/>
  <c r="G156" i="3"/>
  <c r="O155" i="12"/>
  <c r="N155" i="12"/>
  <c r="G157" i="3"/>
  <c r="O156" i="12"/>
  <c r="N156" i="12"/>
  <c r="G158" i="3"/>
  <c r="O157" i="12"/>
  <c r="N157" i="12"/>
  <c r="G159" i="3"/>
  <c r="O158" i="12"/>
  <c r="N158" i="12"/>
  <c r="G160" i="3"/>
  <c r="O159" i="12"/>
  <c r="N159" i="12"/>
  <c r="G161" i="3"/>
  <c r="O160" i="12"/>
  <c r="N160" i="12"/>
  <c r="G162" i="3"/>
  <c r="O161" i="12"/>
  <c r="N161" i="12"/>
  <c r="G163" i="3"/>
  <c r="O162" i="12"/>
  <c r="N162" i="12"/>
  <c r="G164" i="3"/>
  <c r="O163" i="12"/>
  <c r="N163" i="12"/>
  <c r="G165" i="3"/>
  <c r="O164" i="12"/>
  <c r="N164" i="12"/>
  <c r="G166" i="3"/>
  <c r="O165" i="12"/>
  <c r="N165" i="12"/>
  <c r="G167" i="3"/>
  <c r="O166" i="12"/>
  <c r="N166" i="12"/>
  <c r="G168" i="3"/>
  <c r="O167" i="12"/>
  <c r="N167" i="12"/>
  <c r="G169" i="3"/>
  <c r="O168" i="12"/>
  <c r="N168" i="12"/>
  <c r="G170" i="3"/>
  <c r="O169" i="12"/>
  <c r="N169" i="12"/>
  <c r="G171" i="3"/>
  <c r="O170" i="12"/>
  <c r="N170" i="12"/>
  <c r="G172" i="3"/>
  <c r="O171" i="12"/>
  <c r="N171" i="12"/>
  <c r="G173" i="3"/>
  <c r="O172" i="12"/>
  <c r="N172" i="12"/>
  <c r="G174" i="3"/>
  <c r="O173" i="12"/>
  <c r="N173" i="12"/>
  <c r="G175" i="3"/>
  <c r="O174" i="12"/>
  <c r="N174" i="12"/>
  <c r="G176" i="3"/>
  <c r="O175" i="12"/>
  <c r="N175" i="12"/>
  <c r="G177" i="3"/>
  <c r="O176" i="12"/>
  <c r="N176" i="12"/>
  <c r="G178" i="3"/>
  <c r="O177" i="12"/>
  <c r="N177" i="12"/>
  <c r="G179" i="3"/>
  <c r="O178" i="12"/>
  <c r="N178" i="12"/>
  <c r="G180" i="3"/>
  <c r="O179" i="12"/>
  <c r="N179" i="12"/>
  <c r="G181" i="3"/>
  <c r="O180" i="12"/>
  <c r="N180" i="12"/>
  <c r="G182" i="3"/>
  <c r="O181" i="12"/>
  <c r="N181" i="12"/>
  <c r="G183" i="3"/>
  <c r="O182" i="12"/>
  <c r="N182" i="12"/>
  <c r="G184" i="3"/>
  <c r="O183" i="12"/>
  <c r="N183" i="12"/>
  <c r="G185" i="3"/>
  <c r="O184" i="12"/>
  <c r="N184" i="12"/>
  <c r="G186" i="3"/>
  <c r="O185" i="12"/>
  <c r="N185" i="12"/>
  <c r="G187" i="3"/>
  <c r="O186" i="12"/>
  <c r="N186" i="12"/>
  <c r="G188" i="3"/>
  <c r="O187" i="12"/>
  <c r="N187" i="12"/>
  <c r="G189" i="3"/>
  <c r="O188" i="12"/>
  <c r="N188" i="12"/>
  <c r="G190" i="3"/>
  <c r="O189" i="12"/>
  <c r="N189" i="12"/>
  <c r="G191" i="3"/>
  <c r="O190" i="12"/>
  <c r="N190" i="12"/>
  <c r="G192" i="3"/>
  <c r="O191" i="12"/>
  <c r="N191" i="12"/>
  <c r="G193" i="3"/>
  <c r="O192" i="12"/>
  <c r="N192" i="12"/>
  <c r="G194" i="3"/>
  <c r="O193" i="12"/>
  <c r="N193" i="12"/>
  <c r="G195" i="3"/>
  <c r="O194" i="12"/>
  <c r="N194" i="12"/>
  <c r="G196" i="3"/>
  <c r="O195" i="12"/>
  <c r="N195" i="12"/>
  <c r="G197" i="3"/>
  <c r="O196" i="12"/>
  <c r="N196" i="12"/>
  <c r="G198" i="3"/>
  <c r="O197" i="12"/>
  <c r="N197" i="12"/>
  <c r="G199" i="3"/>
  <c r="O198" i="12"/>
  <c r="N198" i="12"/>
  <c r="G200" i="3"/>
  <c r="O199" i="12"/>
  <c r="N199" i="12"/>
  <c r="G201" i="3"/>
  <c r="O200" i="12"/>
  <c r="N200" i="12"/>
  <c r="G202" i="3"/>
  <c r="O201" i="12"/>
  <c r="N201" i="12"/>
  <c r="G203" i="3"/>
  <c r="O202" i="12"/>
  <c r="N202" i="12"/>
  <c r="G204" i="3"/>
  <c r="O203" i="12"/>
  <c r="N203" i="12"/>
  <c r="G205" i="3"/>
  <c r="O204" i="12"/>
  <c r="N204" i="12"/>
  <c r="G206" i="3"/>
  <c r="O205" i="12"/>
  <c r="N205" i="12"/>
  <c r="G207" i="3"/>
  <c r="O206" i="12"/>
  <c r="N206" i="12"/>
  <c r="G208" i="3"/>
  <c r="O207" i="12"/>
  <c r="N207" i="12"/>
  <c r="G209" i="3"/>
  <c r="O208" i="12"/>
  <c r="N208" i="12"/>
  <c r="G210" i="3"/>
  <c r="O209" i="12"/>
  <c r="N209" i="12"/>
  <c r="G211" i="3"/>
  <c r="O210" i="12"/>
  <c r="N210" i="12"/>
  <c r="G212" i="3"/>
  <c r="O211" i="12"/>
  <c r="N211" i="12"/>
  <c r="G213" i="3"/>
  <c r="O212" i="12"/>
  <c r="N212" i="12"/>
  <c r="G214" i="3"/>
  <c r="O213" i="12"/>
  <c r="N213" i="12"/>
  <c r="G215" i="3"/>
  <c r="O214" i="12"/>
  <c r="N214" i="12"/>
  <c r="G216" i="3"/>
  <c r="O215" i="12"/>
  <c r="N215" i="12"/>
  <c r="G217" i="3"/>
  <c r="O216" i="12"/>
  <c r="N216" i="12"/>
  <c r="G218" i="3"/>
  <c r="O217" i="12"/>
  <c r="N217" i="12"/>
  <c r="G219" i="3"/>
  <c r="O218" i="12"/>
  <c r="N218" i="12"/>
  <c r="G220" i="3"/>
  <c r="O219" i="12"/>
  <c r="N219" i="12"/>
  <c r="G221" i="3"/>
  <c r="O220" i="12"/>
  <c r="N220" i="12"/>
  <c r="G222" i="3"/>
  <c r="O221" i="12"/>
  <c r="N221" i="12"/>
  <c r="G223" i="3"/>
  <c r="O222" i="12"/>
  <c r="N222" i="12"/>
  <c r="G224" i="3"/>
  <c r="O223" i="12"/>
  <c r="N223" i="12"/>
  <c r="G225" i="3"/>
  <c r="O224" i="12"/>
  <c r="N224" i="12"/>
  <c r="G226" i="3"/>
  <c r="O225" i="12"/>
  <c r="N225" i="12"/>
  <c r="G227" i="3"/>
  <c r="O226" i="12"/>
  <c r="N226" i="12"/>
  <c r="G228" i="3"/>
  <c r="O227" i="12"/>
  <c r="N227" i="12"/>
  <c r="G229" i="3"/>
  <c r="O228" i="12"/>
  <c r="N228" i="12"/>
  <c r="G230" i="3"/>
  <c r="O229" i="12"/>
  <c r="N229" i="12"/>
  <c r="G231" i="3"/>
  <c r="O230" i="12"/>
  <c r="N230" i="12"/>
  <c r="G232" i="3"/>
  <c r="O231" i="12"/>
  <c r="N231" i="12"/>
  <c r="G233" i="3"/>
  <c r="O232" i="12"/>
  <c r="N232" i="12"/>
  <c r="G234" i="3"/>
  <c r="O233" i="12"/>
  <c r="N233" i="12"/>
  <c r="G235" i="3"/>
  <c r="O234" i="12"/>
  <c r="N234" i="12"/>
  <c r="G236" i="3"/>
  <c r="O235" i="12"/>
  <c r="N235" i="12"/>
  <c r="G237" i="3"/>
  <c r="O236" i="12"/>
  <c r="N236" i="12"/>
  <c r="G238" i="3"/>
  <c r="O237" i="12"/>
  <c r="N237" i="12"/>
  <c r="G239" i="3"/>
  <c r="O238" i="12"/>
  <c r="N238" i="12"/>
  <c r="G240" i="3"/>
  <c r="O239" i="12"/>
  <c r="N239" i="12"/>
  <c r="G241" i="3"/>
  <c r="O240" i="12"/>
  <c r="N240" i="12"/>
  <c r="G242" i="3"/>
  <c r="O241" i="12"/>
  <c r="N241" i="12"/>
  <c r="G243" i="3"/>
  <c r="O242" i="12"/>
  <c r="N242" i="12"/>
  <c r="G244" i="3"/>
  <c r="O243" i="12"/>
  <c r="N243" i="12"/>
  <c r="G245" i="3"/>
  <c r="O244" i="12"/>
  <c r="N244" i="12"/>
  <c r="G246" i="3"/>
  <c r="O245" i="12"/>
  <c r="N245" i="12"/>
  <c r="G247" i="3"/>
  <c r="O246" i="12"/>
  <c r="N246" i="12"/>
  <c r="G248" i="3"/>
  <c r="O247" i="12"/>
  <c r="N247" i="12"/>
  <c r="G249" i="3"/>
  <c r="O248" i="12"/>
  <c r="N248" i="12"/>
  <c r="G250" i="3"/>
  <c r="O249" i="12"/>
  <c r="N249" i="12"/>
  <c r="G251" i="3"/>
  <c r="O250" i="12"/>
  <c r="N250" i="12"/>
  <c r="G252" i="3"/>
  <c r="O251" i="12"/>
  <c r="N251" i="12"/>
  <c r="G253" i="3"/>
  <c r="O252" i="12"/>
  <c r="N252" i="12"/>
  <c r="G254" i="3"/>
  <c r="O253" i="12"/>
  <c r="N253" i="12"/>
  <c r="G255" i="3"/>
  <c r="O254" i="12"/>
  <c r="N254" i="12"/>
  <c r="G256" i="3"/>
  <c r="O255" i="12"/>
  <c r="N255" i="12"/>
  <c r="G257" i="3"/>
  <c r="O256" i="12"/>
  <c r="N256" i="12"/>
  <c r="G258" i="3"/>
  <c r="O257" i="12"/>
  <c r="N257" i="12"/>
  <c r="G259" i="3"/>
  <c r="O258" i="12"/>
  <c r="N258" i="12"/>
  <c r="G260" i="3"/>
  <c r="O259" i="12"/>
  <c r="N259" i="12"/>
  <c r="G261" i="3"/>
  <c r="O260" i="12"/>
  <c r="N260" i="12"/>
  <c r="G262" i="3"/>
  <c r="O261" i="12"/>
  <c r="N261" i="12"/>
  <c r="G263" i="3"/>
  <c r="O262" i="12"/>
  <c r="N262" i="12"/>
  <c r="G264" i="3"/>
  <c r="O263" i="12"/>
  <c r="N263" i="12"/>
  <c r="G265" i="3"/>
  <c r="O264" i="12"/>
  <c r="N264" i="12"/>
  <c r="G266" i="3"/>
  <c r="O265" i="12"/>
  <c r="N265" i="12"/>
  <c r="G267" i="3"/>
  <c r="O266" i="12"/>
  <c r="N266" i="12"/>
  <c r="G268" i="3"/>
  <c r="O267" i="12"/>
  <c r="N267" i="12"/>
  <c r="G269" i="3"/>
  <c r="O268" i="12"/>
  <c r="N268" i="12"/>
  <c r="G270" i="3"/>
  <c r="O269" i="12"/>
  <c r="N269" i="12"/>
  <c r="G271" i="3"/>
  <c r="O270" i="12"/>
  <c r="N270" i="12"/>
  <c r="G272" i="3"/>
  <c r="O271" i="12"/>
  <c r="N271" i="12"/>
  <c r="G273" i="3"/>
  <c r="O272" i="12"/>
  <c r="N272" i="12"/>
  <c r="G274" i="3"/>
  <c r="O273" i="12"/>
  <c r="N273" i="12"/>
  <c r="G275" i="3"/>
  <c r="O274" i="12"/>
  <c r="N274" i="12"/>
  <c r="G276" i="3"/>
  <c r="O275" i="12"/>
  <c r="N275" i="12"/>
  <c r="G277" i="3"/>
  <c r="O276" i="12"/>
  <c r="N276" i="12"/>
  <c r="G278" i="3"/>
  <c r="O277" i="12"/>
  <c r="N277" i="12"/>
  <c r="G279" i="3"/>
  <c r="O278" i="12"/>
  <c r="N278" i="12"/>
  <c r="G280" i="3"/>
  <c r="O279" i="12"/>
  <c r="N279" i="12"/>
  <c r="G281" i="3"/>
  <c r="O280" i="12"/>
  <c r="N280" i="12"/>
  <c r="G282" i="3"/>
  <c r="O281" i="12"/>
  <c r="N281" i="12"/>
  <c r="G283" i="3"/>
  <c r="O282" i="12"/>
  <c r="N282" i="12"/>
  <c r="G284" i="3"/>
  <c r="O283" i="12"/>
  <c r="N283" i="12"/>
  <c r="G285" i="3"/>
  <c r="O284" i="12"/>
  <c r="N284" i="12"/>
  <c r="G286" i="3"/>
  <c r="O285" i="12"/>
  <c r="N285" i="12"/>
  <c r="G287" i="3"/>
  <c r="O286" i="12"/>
  <c r="N286" i="12"/>
  <c r="G288" i="3"/>
  <c r="O287" i="12"/>
  <c r="N287" i="12"/>
  <c r="G289" i="3"/>
  <c r="O288" i="12"/>
  <c r="N288" i="12"/>
  <c r="G290" i="3"/>
  <c r="O289" i="12"/>
  <c r="N289" i="12"/>
  <c r="G291" i="3"/>
  <c r="O290" i="12"/>
  <c r="N290" i="12"/>
  <c r="G292" i="3"/>
  <c r="O291" i="12"/>
  <c r="N291" i="12"/>
  <c r="G293" i="3"/>
  <c r="O292" i="12"/>
  <c r="N292" i="12"/>
  <c r="G294" i="3"/>
  <c r="O293" i="12"/>
  <c r="N293" i="12"/>
  <c r="G295" i="3"/>
  <c r="O294" i="12"/>
  <c r="N294" i="12"/>
  <c r="G296" i="3"/>
  <c r="O295" i="12"/>
  <c r="N295" i="12"/>
  <c r="G297" i="3"/>
  <c r="O296" i="12"/>
  <c r="N296" i="12"/>
  <c r="G298" i="3"/>
  <c r="O297" i="12"/>
  <c r="N297" i="12"/>
  <c r="G299" i="3"/>
  <c r="O298" i="12"/>
  <c r="N298" i="12"/>
  <c r="G300" i="3"/>
  <c r="O299" i="12"/>
  <c r="N299" i="12"/>
  <c r="G301" i="3"/>
  <c r="O300" i="12"/>
  <c r="N300" i="12"/>
  <c r="G302" i="3"/>
  <c r="O301" i="12"/>
  <c r="N301" i="12"/>
  <c r="G303" i="3"/>
  <c r="O302" i="12"/>
  <c r="N302" i="12"/>
  <c r="G304" i="3"/>
  <c r="O303" i="12"/>
  <c r="N303" i="12"/>
  <c r="G305" i="3"/>
  <c r="O304" i="12"/>
  <c r="N304" i="12"/>
  <c r="G306" i="3"/>
  <c r="O305" i="12"/>
  <c r="N305" i="12"/>
  <c r="G307" i="3"/>
  <c r="O306" i="12"/>
  <c r="N306" i="12"/>
  <c r="G308" i="3"/>
  <c r="O307" i="12"/>
  <c r="N307" i="12"/>
  <c r="G309" i="3"/>
  <c r="O308" i="12"/>
  <c r="N308" i="12"/>
  <c r="G310" i="3"/>
  <c r="O309" i="12"/>
  <c r="N309" i="12"/>
  <c r="G311" i="3"/>
  <c r="O310" i="12"/>
  <c r="N310" i="12"/>
  <c r="G312" i="3"/>
  <c r="O311" i="12"/>
  <c r="N311" i="12"/>
  <c r="G313" i="3"/>
  <c r="O312" i="12"/>
  <c r="N312" i="12"/>
  <c r="G314" i="3"/>
  <c r="O313" i="12"/>
  <c r="N313" i="12"/>
  <c r="G315" i="3"/>
  <c r="O314" i="12"/>
  <c r="N314" i="12"/>
  <c r="G316" i="3"/>
  <c r="O315" i="12"/>
  <c r="N315" i="12"/>
  <c r="G317" i="3"/>
  <c r="O316" i="12"/>
  <c r="N316" i="12"/>
  <c r="G318" i="3"/>
  <c r="O317" i="12"/>
  <c r="N317" i="12"/>
  <c r="G319" i="3"/>
  <c r="O318" i="12"/>
  <c r="N318" i="12"/>
  <c r="G320" i="3"/>
  <c r="O319" i="12"/>
  <c r="N319" i="12"/>
  <c r="G321" i="3"/>
  <c r="O320" i="12"/>
  <c r="N320" i="12"/>
  <c r="G322" i="3"/>
  <c r="O321" i="12"/>
  <c r="N321" i="12"/>
  <c r="G323" i="3"/>
  <c r="O322" i="12"/>
  <c r="N322" i="12"/>
  <c r="G324" i="3"/>
  <c r="O323" i="12"/>
  <c r="N323" i="12"/>
  <c r="G325" i="3"/>
  <c r="O324" i="12"/>
  <c r="N324" i="12"/>
  <c r="G326" i="3"/>
  <c r="O325" i="12"/>
  <c r="N325" i="12"/>
  <c r="G327" i="3"/>
  <c r="O326" i="12"/>
  <c r="N326" i="12"/>
  <c r="G328" i="3"/>
  <c r="O327" i="12"/>
  <c r="N327" i="12"/>
  <c r="G329" i="3"/>
  <c r="O328" i="12"/>
  <c r="N328" i="12"/>
  <c r="G330" i="3"/>
  <c r="O329" i="12"/>
  <c r="N329" i="12"/>
  <c r="G331" i="3"/>
  <c r="O330" i="12"/>
  <c r="N330" i="12"/>
  <c r="G332" i="3"/>
  <c r="O331" i="12"/>
  <c r="N331" i="12"/>
  <c r="G333" i="3"/>
  <c r="O332" i="12"/>
  <c r="N332" i="12"/>
  <c r="G334" i="3"/>
  <c r="O333" i="12"/>
  <c r="N333" i="12"/>
  <c r="G335" i="3"/>
  <c r="O334" i="12"/>
  <c r="N334" i="12"/>
  <c r="G336" i="3"/>
  <c r="O335" i="12"/>
  <c r="N335" i="12"/>
  <c r="G337" i="3"/>
  <c r="O336" i="12"/>
  <c r="N336" i="12"/>
  <c r="G338" i="3"/>
  <c r="O337" i="12"/>
  <c r="N337" i="12"/>
  <c r="G339" i="3"/>
  <c r="O338" i="12"/>
  <c r="N338" i="12"/>
  <c r="G340" i="3"/>
  <c r="O339" i="12"/>
  <c r="N339" i="12"/>
  <c r="G341" i="3"/>
  <c r="O340" i="12"/>
  <c r="N340" i="12"/>
  <c r="G342" i="3"/>
  <c r="O341" i="12"/>
  <c r="N341" i="12"/>
  <c r="G343" i="3"/>
  <c r="O342" i="12"/>
  <c r="N342" i="12"/>
  <c r="G344" i="3"/>
  <c r="O343" i="12"/>
  <c r="N343" i="12"/>
  <c r="G345" i="3"/>
  <c r="O344" i="12"/>
  <c r="N344" i="12"/>
  <c r="G346" i="3"/>
  <c r="O345" i="12"/>
  <c r="N345" i="12"/>
  <c r="G347" i="3"/>
  <c r="O346" i="12"/>
  <c r="N346" i="12"/>
  <c r="G348" i="3"/>
  <c r="O347" i="12"/>
  <c r="N347" i="12"/>
  <c r="G349" i="3"/>
  <c r="O348" i="12"/>
  <c r="N348" i="12"/>
  <c r="G350" i="3"/>
  <c r="O349" i="12"/>
  <c r="N349" i="12"/>
  <c r="G351" i="3"/>
  <c r="O350" i="12"/>
  <c r="N350" i="12"/>
  <c r="G352" i="3"/>
  <c r="O351" i="12"/>
  <c r="N351" i="12"/>
  <c r="G353" i="3"/>
  <c r="O352" i="12"/>
  <c r="N352" i="12"/>
  <c r="G354" i="3"/>
  <c r="O353" i="12"/>
  <c r="N353" i="12"/>
  <c r="G355" i="3"/>
  <c r="O354" i="12"/>
  <c r="N354" i="12"/>
  <c r="G356" i="3"/>
  <c r="O355" i="12"/>
  <c r="N355" i="12"/>
  <c r="G357" i="3"/>
  <c r="O356" i="12"/>
  <c r="N356" i="12"/>
  <c r="G358" i="3"/>
  <c r="O357" i="12"/>
  <c r="N357" i="12"/>
  <c r="G359" i="3"/>
  <c r="O358" i="12"/>
  <c r="N358" i="12"/>
  <c r="G360" i="3"/>
  <c r="O359" i="12"/>
  <c r="N359" i="12"/>
  <c r="G361" i="3"/>
  <c r="O360" i="12"/>
  <c r="N360" i="12"/>
  <c r="G362" i="3"/>
  <c r="O361" i="12"/>
  <c r="N361" i="12"/>
  <c r="G363" i="3"/>
  <c r="O362" i="12"/>
  <c r="N362" i="12"/>
  <c r="G364" i="3"/>
  <c r="O363" i="12"/>
  <c r="N363" i="12"/>
  <c r="G365" i="3"/>
  <c r="O364" i="12"/>
  <c r="N364" i="12"/>
  <c r="G366" i="3"/>
  <c r="O365" i="12"/>
  <c r="N365" i="12"/>
  <c r="G367" i="3"/>
  <c r="O366" i="12"/>
  <c r="N366" i="12"/>
  <c r="G368" i="3"/>
  <c r="O367" i="12"/>
  <c r="N367" i="12"/>
  <c r="G369" i="3"/>
  <c r="O368" i="12"/>
  <c r="N368" i="12"/>
  <c r="G370" i="3"/>
  <c r="O369" i="12"/>
  <c r="N369" i="12"/>
  <c r="G371" i="3"/>
  <c r="O370" i="12"/>
  <c r="N370" i="12"/>
  <c r="G372" i="3"/>
  <c r="O371" i="12"/>
  <c r="N371" i="12"/>
  <c r="G373" i="3"/>
  <c r="O372" i="12"/>
  <c r="N372" i="12"/>
  <c r="G374" i="3"/>
  <c r="O373" i="12"/>
  <c r="N373" i="12"/>
  <c r="G375" i="3"/>
  <c r="O374" i="12"/>
  <c r="N374" i="12"/>
  <c r="G376" i="3"/>
  <c r="O375" i="12"/>
  <c r="N375" i="12"/>
  <c r="G377" i="3"/>
  <c r="O376" i="12"/>
  <c r="N376" i="12"/>
  <c r="G378" i="3"/>
  <c r="O377" i="12"/>
  <c r="N377" i="12"/>
  <c r="G379" i="3"/>
  <c r="O378" i="12"/>
  <c r="N378" i="12"/>
  <c r="G380" i="3"/>
  <c r="O379" i="12"/>
  <c r="N379" i="12"/>
  <c r="G381" i="3"/>
  <c r="O380" i="12"/>
  <c r="N380" i="12"/>
  <c r="G382" i="3"/>
  <c r="O381" i="12"/>
  <c r="N381" i="12"/>
  <c r="G383" i="3"/>
  <c r="O382" i="12"/>
  <c r="N382" i="12"/>
  <c r="G384" i="3"/>
  <c r="O383" i="12"/>
  <c r="N383" i="12"/>
  <c r="G385" i="3"/>
  <c r="O384" i="12"/>
  <c r="N384" i="12"/>
  <c r="G386" i="3"/>
  <c r="O385" i="12"/>
  <c r="N385" i="12"/>
  <c r="G387" i="3"/>
  <c r="O386" i="12"/>
  <c r="N386" i="12"/>
  <c r="G388" i="3"/>
  <c r="O387" i="12"/>
  <c r="N387" i="12"/>
  <c r="G389" i="3"/>
  <c r="O388" i="12"/>
  <c r="N388" i="12"/>
  <c r="G390" i="3"/>
  <c r="O389" i="12"/>
  <c r="N389" i="12"/>
  <c r="G391" i="3"/>
  <c r="O390" i="12"/>
  <c r="N390" i="12"/>
  <c r="G392" i="3"/>
  <c r="O391" i="12"/>
  <c r="N391" i="12"/>
  <c r="G393" i="3"/>
  <c r="O392" i="12"/>
  <c r="N392" i="12"/>
  <c r="G394" i="3"/>
  <c r="O393" i="12"/>
  <c r="N393" i="12"/>
  <c r="G395" i="3"/>
  <c r="O394" i="12"/>
  <c r="N394" i="12"/>
  <c r="G396" i="3"/>
  <c r="O395" i="12"/>
  <c r="N395" i="12"/>
  <c r="G397" i="3"/>
  <c r="O396" i="12"/>
  <c r="N396" i="12"/>
  <c r="G398" i="3"/>
  <c r="O397" i="12"/>
  <c r="N397" i="12"/>
  <c r="G399" i="3"/>
  <c r="O398" i="12"/>
  <c r="N398" i="12"/>
  <c r="G400" i="3"/>
  <c r="O399" i="12"/>
  <c r="N399" i="12"/>
  <c r="G401" i="3"/>
  <c r="O400" i="12"/>
  <c r="N400" i="12"/>
  <c r="G402" i="3"/>
  <c r="O401" i="12"/>
  <c r="N401" i="12"/>
  <c r="G403" i="3"/>
  <c r="O402" i="12"/>
  <c r="N402" i="12"/>
  <c r="G404" i="3"/>
  <c r="O403" i="12"/>
  <c r="N403" i="12"/>
  <c r="G405" i="3"/>
  <c r="O404" i="12"/>
  <c r="N404" i="12"/>
  <c r="G406" i="3"/>
  <c r="O405" i="12"/>
  <c r="N405" i="12"/>
  <c r="G407" i="3"/>
  <c r="O406" i="12"/>
  <c r="N406" i="12"/>
  <c r="G408" i="3"/>
  <c r="O407" i="12"/>
  <c r="N407" i="12"/>
  <c r="G409" i="3"/>
  <c r="O408" i="12"/>
  <c r="N408" i="12"/>
  <c r="G410" i="3"/>
  <c r="O409" i="12"/>
  <c r="N409" i="12"/>
  <c r="G411" i="3"/>
  <c r="O410" i="12"/>
  <c r="N410" i="12"/>
  <c r="G412" i="3"/>
  <c r="O411" i="12"/>
  <c r="N411" i="12"/>
  <c r="G413" i="3"/>
  <c r="O412" i="12"/>
  <c r="N412" i="12"/>
  <c r="G414" i="3"/>
  <c r="O413" i="12"/>
  <c r="N413" i="12"/>
  <c r="G415" i="3"/>
  <c r="O414" i="12"/>
  <c r="N414" i="12"/>
  <c r="G416" i="3"/>
  <c r="O415" i="12"/>
  <c r="N415" i="12"/>
  <c r="G417" i="3"/>
  <c r="O416" i="12"/>
  <c r="N416" i="12"/>
  <c r="G418" i="3"/>
  <c r="O417" i="12"/>
  <c r="N417" i="12"/>
  <c r="G419" i="3"/>
  <c r="O418" i="12"/>
  <c r="N418" i="12"/>
  <c r="G420" i="3"/>
  <c r="O419" i="12"/>
  <c r="N419" i="12"/>
  <c r="G421" i="3"/>
  <c r="O420" i="12"/>
  <c r="N420" i="12"/>
  <c r="G422" i="3"/>
  <c r="O421" i="12"/>
  <c r="N421" i="12"/>
  <c r="G423" i="3"/>
  <c r="O422" i="12"/>
  <c r="N422" i="12"/>
  <c r="G424" i="3"/>
  <c r="O423" i="12"/>
  <c r="N423" i="12"/>
  <c r="G425" i="3"/>
  <c r="O424" i="12"/>
  <c r="N424" i="12"/>
  <c r="G426" i="3"/>
  <c r="O425" i="12"/>
  <c r="N425" i="12"/>
  <c r="G427" i="3"/>
  <c r="O426" i="12"/>
  <c r="N426" i="12"/>
  <c r="G428" i="3"/>
  <c r="O427" i="12"/>
  <c r="N427" i="12"/>
  <c r="G429" i="3"/>
  <c r="O428" i="12"/>
  <c r="N428" i="12"/>
  <c r="G430" i="3"/>
  <c r="O429" i="12"/>
  <c r="N429" i="12"/>
  <c r="G431" i="3"/>
  <c r="O430" i="12"/>
  <c r="N430" i="12"/>
  <c r="G432" i="3"/>
  <c r="O431" i="12"/>
  <c r="N431" i="12"/>
  <c r="G433" i="3"/>
  <c r="O432" i="12"/>
  <c r="N432" i="12"/>
  <c r="G434" i="3"/>
  <c r="O433" i="12"/>
  <c r="N433" i="12"/>
  <c r="G435" i="3"/>
  <c r="O434" i="12"/>
  <c r="N434" i="12"/>
  <c r="G436" i="3"/>
  <c r="O435" i="12"/>
  <c r="N435" i="12"/>
  <c r="G437" i="3"/>
  <c r="O436" i="12"/>
  <c r="N436" i="12"/>
  <c r="G438" i="3"/>
  <c r="O437" i="12"/>
  <c r="N437" i="12"/>
  <c r="G439" i="3"/>
  <c r="O438" i="12"/>
  <c r="N438" i="12"/>
  <c r="G440" i="3"/>
  <c r="O439" i="12"/>
  <c r="N439" i="12"/>
  <c r="G441" i="3"/>
  <c r="O440" i="12"/>
  <c r="N440" i="12"/>
  <c r="G442" i="3"/>
  <c r="O441" i="12"/>
  <c r="N441" i="12"/>
  <c r="G443" i="3"/>
  <c r="O442" i="12"/>
  <c r="N442" i="12"/>
  <c r="G444" i="3"/>
  <c r="O443" i="12"/>
  <c r="N443" i="12"/>
  <c r="G445" i="3"/>
  <c r="O444" i="12"/>
  <c r="N444" i="12"/>
  <c r="G446" i="3"/>
  <c r="O445" i="12"/>
  <c r="N445" i="12"/>
  <c r="G447" i="3"/>
  <c r="O446" i="12"/>
  <c r="N446" i="12"/>
  <c r="G448" i="3"/>
  <c r="O447" i="12"/>
  <c r="N447" i="12"/>
  <c r="G449" i="3"/>
  <c r="O448" i="12"/>
  <c r="N448" i="12"/>
  <c r="G450" i="3"/>
  <c r="O449" i="12"/>
  <c r="N449" i="12"/>
  <c r="G451" i="3"/>
  <c r="O450" i="12"/>
  <c r="N450" i="12"/>
  <c r="G452" i="3"/>
  <c r="O451" i="12"/>
  <c r="N451" i="12"/>
  <c r="G453" i="3"/>
  <c r="O452" i="12"/>
  <c r="N452" i="12"/>
  <c r="G454" i="3"/>
  <c r="O453" i="12"/>
  <c r="N453" i="12"/>
  <c r="G455" i="3"/>
  <c r="O454" i="12"/>
  <c r="N454" i="12"/>
  <c r="G456" i="3"/>
  <c r="O455" i="12"/>
  <c r="N455" i="12"/>
  <c r="G457" i="3"/>
  <c r="O456" i="12"/>
  <c r="N456" i="12"/>
  <c r="G458" i="3"/>
  <c r="O457" i="12"/>
  <c r="N457" i="12"/>
  <c r="G459" i="3"/>
  <c r="O458" i="12"/>
  <c r="N458" i="12"/>
  <c r="G460" i="3"/>
  <c r="O459" i="12"/>
  <c r="N459" i="12"/>
  <c r="G461" i="3"/>
  <c r="O460" i="12"/>
  <c r="N460" i="12"/>
  <c r="G462" i="3"/>
  <c r="O461" i="12"/>
  <c r="N461" i="12"/>
  <c r="G463" i="3"/>
  <c r="O462" i="12"/>
  <c r="N462" i="12"/>
  <c r="G464" i="3"/>
  <c r="O463" i="12"/>
  <c r="N463" i="12"/>
  <c r="G465" i="3"/>
  <c r="O464" i="12"/>
  <c r="N464" i="12"/>
  <c r="G466" i="3"/>
  <c r="O465" i="12"/>
  <c r="N465" i="12"/>
  <c r="G467" i="3"/>
  <c r="O466" i="12"/>
  <c r="N466" i="12"/>
  <c r="G468" i="3"/>
  <c r="O467" i="12"/>
  <c r="N467" i="12"/>
  <c r="G469" i="3"/>
  <c r="O468" i="12"/>
  <c r="N468" i="12"/>
  <c r="G470" i="3"/>
  <c r="O469" i="12"/>
  <c r="N469" i="12"/>
  <c r="G471" i="3"/>
  <c r="O470" i="12"/>
  <c r="N470" i="12"/>
  <c r="G472" i="3"/>
  <c r="O471" i="12"/>
  <c r="N471" i="12"/>
  <c r="G473" i="3"/>
  <c r="O472" i="12"/>
  <c r="N472" i="12"/>
  <c r="G474" i="3"/>
  <c r="O473" i="12"/>
  <c r="N473" i="12"/>
  <c r="G475" i="3"/>
  <c r="O474" i="12"/>
  <c r="N474" i="12"/>
  <c r="G476" i="3"/>
  <c r="O475" i="12"/>
  <c r="N475" i="12"/>
  <c r="G477" i="3"/>
  <c r="O476" i="12"/>
  <c r="N476" i="12"/>
  <c r="G478" i="3"/>
  <c r="O477" i="12"/>
  <c r="N477" i="12"/>
  <c r="G479" i="3"/>
  <c r="O478" i="12"/>
  <c r="N478" i="12"/>
  <c r="G480" i="3"/>
  <c r="O479" i="12"/>
  <c r="N479" i="12"/>
  <c r="G481" i="3"/>
  <c r="O480" i="12"/>
  <c r="N480" i="12"/>
  <c r="G482" i="3"/>
  <c r="O481" i="12"/>
  <c r="N481" i="12"/>
  <c r="G483" i="3"/>
  <c r="O482" i="12"/>
  <c r="N482" i="12"/>
  <c r="G484" i="3"/>
  <c r="O483" i="12"/>
  <c r="N483" i="12"/>
  <c r="G485" i="3"/>
  <c r="O484" i="12"/>
  <c r="N484" i="12"/>
  <c r="G486" i="3"/>
  <c r="O485" i="12"/>
  <c r="N485" i="12"/>
  <c r="G487" i="3"/>
  <c r="O486" i="12"/>
  <c r="N486" i="12"/>
  <c r="G488" i="3"/>
  <c r="O487" i="12"/>
  <c r="N487" i="12"/>
  <c r="G489" i="3"/>
  <c r="O488" i="12"/>
  <c r="N488" i="12"/>
  <c r="G490" i="3"/>
  <c r="O489" i="12"/>
  <c r="N489" i="12"/>
  <c r="G491" i="3"/>
  <c r="O490" i="12"/>
  <c r="N490" i="12"/>
  <c r="G492" i="3"/>
  <c r="O491" i="12"/>
  <c r="N491" i="12"/>
  <c r="G493" i="3"/>
  <c r="O492" i="12"/>
  <c r="N492" i="12"/>
  <c r="G494" i="3"/>
  <c r="O493" i="12"/>
  <c r="N493" i="12"/>
  <c r="G495" i="3"/>
  <c r="O494" i="12"/>
  <c r="N494" i="12"/>
  <c r="G496" i="3"/>
  <c r="O495" i="12"/>
  <c r="N495" i="12"/>
  <c r="G497" i="3"/>
  <c r="O496" i="12"/>
  <c r="N496" i="12"/>
  <c r="G498" i="3"/>
  <c r="O497" i="12"/>
  <c r="N497" i="12"/>
  <c r="G499" i="3"/>
  <c r="O498" i="12"/>
  <c r="N498" i="12"/>
  <c r="G500" i="3"/>
  <c r="O499" i="12"/>
  <c r="N499" i="12"/>
  <c r="G501" i="3"/>
  <c r="O500" i="12"/>
  <c r="N500" i="12"/>
  <c r="G502" i="3"/>
  <c r="O501" i="12"/>
  <c r="N501" i="12"/>
  <c r="G503" i="3"/>
  <c r="O502" i="12"/>
  <c r="N502" i="12"/>
  <c r="G504" i="3"/>
  <c r="O503" i="12"/>
  <c r="N503" i="12"/>
  <c r="G505" i="3"/>
  <c r="O504" i="12"/>
  <c r="N504" i="12"/>
  <c r="G506" i="3"/>
  <c r="O505" i="12"/>
  <c r="N505" i="12"/>
  <c r="G507" i="3"/>
  <c r="O506" i="12"/>
  <c r="N506" i="12"/>
  <c r="O507" i="12"/>
  <c r="N507" i="12"/>
  <c r="F36" i="6"/>
  <c r="F35" i="6"/>
  <c r="E36" i="6"/>
  <c r="F34" i="6"/>
  <c r="E35" i="6"/>
  <c r="F33" i="6"/>
  <c r="C34" i="6"/>
  <c r="E34" i="6"/>
  <c r="F32" i="6"/>
  <c r="E33" i="6"/>
  <c r="C33" i="6"/>
  <c r="F31" i="6"/>
  <c r="C32" i="6"/>
  <c r="F30" i="6"/>
  <c r="E31" i="6"/>
  <c r="C30" i="6"/>
  <c r="E30" i="6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E26" i="6"/>
  <c r="E25" i="6"/>
  <c r="C26" i="6"/>
  <c r="E24" i="6"/>
  <c r="C25" i="6"/>
  <c r="E23" i="6"/>
  <c r="C24" i="6"/>
  <c r="E22" i="6"/>
  <c r="C23" i="6"/>
  <c r="C22" i="6"/>
  <c r="F39" i="6"/>
  <c r="E39" i="6"/>
  <c r="F38" i="6"/>
  <c r="E38" i="6"/>
  <c r="F37" i="6"/>
  <c r="C37" i="6"/>
  <c r="E37" i="6"/>
  <c r="E17" i="6"/>
  <c r="E16" i="6"/>
  <c r="C17" i="6"/>
  <c r="E15" i="6"/>
  <c r="C16" i="6"/>
  <c r="E14" i="6"/>
  <c r="C15" i="6"/>
  <c r="E13" i="6"/>
  <c r="C14" i="6"/>
  <c r="C13" i="6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M507" i="12"/>
  <c r="M506" i="12"/>
  <c r="M505" i="12"/>
  <c r="M504" i="12"/>
  <c r="M503" i="12"/>
  <c r="M502" i="12"/>
  <c r="M501" i="12"/>
  <c r="M500" i="12"/>
  <c r="M499" i="12"/>
  <c r="M498" i="12"/>
  <c r="M497" i="12"/>
  <c r="M496" i="12"/>
  <c r="M495" i="12"/>
  <c r="M494" i="12"/>
  <c r="M493" i="12"/>
  <c r="M492" i="12"/>
  <c r="M491" i="12"/>
  <c r="M490" i="12"/>
  <c r="M489" i="12"/>
  <c r="M488" i="12"/>
  <c r="M487" i="12"/>
  <c r="M486" i="12"/>
  <c r="M485" i="12"/>
  <c r="M484" i="12"/>
  <c r="M483" i="12"/>
  <c r="M482" i="12"/>
  <c r="M481" i="12"/>
  <c r="M480" i="12"/>
  <c r="M479" i="12"/>
  <c r="M478" i="12"/>
  <c r="M477" i="12"/>
  <c r="M476" i="12"/>
  <c r="M475" i="12"/>
  <c r="M474" i="12"/>
  <c r="M473" i="12"/>
  <c r="M472" i="12"/>
  <c r="M471" i="12"/>
  <c r="M470" i="12"/>
  <c r="M469" i="12"/>
  <c r="M468" i="12"/>
  <c r="M467" i="12"/>
  <c r="M466" i="12"/>
  <c r="M465" i="12"/>
  <c r="M464" i="12"/>
  <c r="M463" i="12"/>
  <c r="M462" i="12"/>
  <c r="M461" i="12"/>
  <c r="M460" i="12"/>
  <c r="M459" i="12"/>
  <c r="M458" i="12"/>
  <c r="M457" i="12"/>
  <c r="M456" i="12"/>
  <c r="M455" i="12"/>
  <c r="M454" i="12"/>
  <c r="M453" i="12"/>
  <c r="M452" i="12"/>
  <c r="M451" i="12"/>
  <c r="M450" i="12"/>
  <c r="M449" i="12"/>
  <c r="M448" i="12"/>
  <c r="M447" i="12"/>
  <c r="M446" i="12"/>
  <c r="M445" i="12"/>
  <c r="M444" i="12"/>
  <c r="M443" i="12"/>
  <c r="M442" i="12"/>
  <c r="M441" i="12"/>
  <c r="M440" i="12"/>
  <c r="M439" i="12"/>
  <c r="M438" i="12"/>
  <c r="M437" i="12"/>
  <c r="M436" i="12"/>
  <c r="M435" i="12"/>
  <c r="M434" i="12"/>
  <c r="M433" i="12"/>
  <c r="M432" i="12"/>
  <c r="M431" i="12"/>
  <c r="M430" i="12"/>
  <c r="M429" i="12"/>
  <c r="M428" i="12"/>
  <c r="M427" i="12"/>
  <c r="M426" i="12"/>
  <c r="M425" i="12"/>
  <c r="M424" i="12"/>
  <c r="M423" i="12"/>
  <c r="M422" i="12"/>
  <c r="M421" i="12"/>
  <c r="M420" i="12"/>
  <c r="M419" i="12"/>
  <c r="M418" i="12"/>
  <c r="M417" i="12"/>
  <c r="M416" i="12"/>
  <c r="M415" i="12"/>
  <c r="M414" i="12"/>
  <c r="M413" i="12"/>
  <c r="M412" i="12"/>
  <c r="M411" i="12"/>
  <c r="M410" i="12"/>
  <c r="M409" i="12"/>
  <c r="M408" i="12"/>
  <c r="M407" i="12"/>
  <c r="M406" i="12"/>
  <c r="M405" i="12"/>
  <c r="M404" i="12"/>
  <c r="M403" i="12"/>
  <c r="M402" i="12"/>
  <c r="M401" i="12"/>
  <c r="M400" i="12"/>
  <c r="M399" i="12"/>
  <c r="M398" i="12"/>
  <c r="M397" i="12"/>
  <c r="M396" i="12"/>
  <c r="M395" i="12"/>
  <c r="M394" i="12"/>
  <c r="M393" i="12"/>
  <c r="M392" i="12"/>
  <c r="M391" i="12"/>
  <c r="M390" i="12"/>
  <c r="M389" i="12"/>
  <c r="M388" i="12"/>
  <c r="M387" i="12"/>
  <c r="M386" i="12"/>
  <c r="M385" i="12"/>
  <c r="M384" i="12"/>
  <c r="M383" i="12"/>
  <c r="M382" i="12"/>
  <c r="M381" i="12"/>
  <c r="M380" i="12"/>
  <c r="M379" i="12"/>
  <c r="M378" i="12"/>
  <c r="M377" i="12"/>
  <c r="M376" i="12"/>
  <c r="M375" i="12"/>
  <c r="M374" i="12"/>
  <c r="M373" i="12"/>
  <c r="M372" i="12"/>
  <c r="M371" i="12"/>
  <c r="M370" i="12"/>
  <c r="M369" i="12"/>
  <c r="M368" i="12"/>
  <c r="M367" i="12"/>
  <c r="M366" i="12"/>
  <c r="M365" i="12"/>
  <c r="M364" i="12"/>
  <c r="M363" i="12"/>
  <c r="M362" i="12"/>
  <c r="M361" i="12"/>
  <c r="M360" i="12"/>
  <c r="M359" i="12"/>
  <c r="M358" i="12"/>
  <c r="M357" i="12"/>
  <c r="M356" i="12"/>
  <c r="M355" i="12"/>
  <c r="M354" i="12"/>
  <c r="M353" i="12"/>
  <c r="M352" i="12"/>
  <c r="M351" i="12"/>
  <c r="M350" i="12"/>
  <c r="M349" i="12"/>
  <c r="M348" i="12"/>
  <c r="M347" i="12"/>
  <c r="M346" i="12"/>
  <c r="M345" i="12"/>
  <c r="M344" i="12"/>
  <c r="M343" i="12"/>
  <c r="M342" i="12"/>
  <c r="M341" i="12"/>
  <c r="M340" i="12"/>
  <c r="M339" i="12"/>
  <c r="M338" i="12"/>
  <c r="M337" i="12"/>
  <c r="M336" i="12"/>
  <c r="M335" i="12"/>
  <c r="M334" i="12"/>
  <c r="M333" i="12"/>
  <c r="M332" i="12"/>
  <c r="M331" i="12"/>
  <c r="M330" i="12"/>
  <c r="M329" i="12"/>
  <c r="M328" i="12"/>
  <c r="M327" i="12"/>
  <c r="M326" i="12"/>
  <c r="M325" i="12"/>
  <c r="M324" i="12"/>
  <c r="M323" i="12"/>
  <c r="M322" i="12"/>
  <c r="M321" i="12"/>
  <c r="M320" i="12"/>
  <c r="M319" i="12"/>
  <c r="M318" i="12"/>
  <c r="M317" i="12"/>
  <c r="M316" i="12"/>
  <c r="M315" i="12"/>
  <c r="M314" i="12"/>
  <c r="M313" i="12"/>
  <c r="M312" i="12"/>
  <c r="M311" i="12"/>
  <c r="M310" i="12"/>
  <c r="M309" i="12"/>
  <c r="M308" i="12"/>
  <c r="M307" i="12"/>
  <c r="M306" i="12"/>
  <c r="M305" i="12"/>
  <c r="M304" i="12"/>
  <c r="M303" i="12"/>
  <c r="M302" i="12"/>
  <c r="M301" i="12"/>
  <c r="M300" i="12"/>
  <c r="M299" i="12"/>
  <c r="M298" i="12"/>
  <c r="M297" i="12"/>
  <c r="M296" i="12"/>
  <c r="M295" i="12"/>
  <c r="M294" i="12"/>
  <c r="M293" i="12"/>
  <c r="M292" i="12"/>
  <c r="M291" i="12"/>
  <c r="M290" i="12"/>
  <c r="M289" i="12"/>
  <c r="M288" i="12"/>
  <c r="M287" i="12"/>
  <c r="M286" i="12"/>
  <c r="M285" i="12"/>
  <c r="M284" i="12"/>
  <c r="M283" i="12"/>
  <c r="M282" i="12"/>
  <c r="M281" i="12"/>
  <c r="M280" i="12"/>
  <c r="M279" i="12"/>
  <c r="M278" i="12"/>
  <c r="M277" i="12"/>
  <c r="M276" i="12"/>
  <c r="M275" i="12"/>
  <c r="M274" i="12"/>
  <c r="M273" i="12"/>
  <c r="M272" i="12"/>
  <c r="M271" i="12"/>
  <c r="M270" i="12"/>
  <c r="M269" i="12"/>
  <c r="M268" i="12"/>
  <c r="M267" i="12"/>
  <c r="M266" i="12"/>
  <c r="M265" i="12"/>
  <c r="M264" i="12"/>
  <c r="M263" i="12"/>
  <c r="M262" i="12"/>
  <c r="M261" i="12"/>
  <c r="M260" i="12"/>
  <c r="M259" i="12"/>
  <c r="M258" i="12"/>
  <c r="M257" i="12"/>
  <c r="M256" i="12"/>
  <c r="M255" i="12"/>
  <c r="M254" i="12"/>
  <c r="M253" i="12"/>
  <c r="M252" i="12"/>
  <c r="M251" i="12"/>
  <c r="M250" i="12"/>
  <c r="M249" i="12"/>
  <c r="M248" i="12"/>
  <c r="M247" i="12"/>
  <c r="M246" i="12"/>
  <c r="M245" i="12"/>
  <c r="M244" i="12"/>
  <c r="M243" i="12"/>
  <c r="M242" i="12"/>
  <c r="M241" i="12"/>
  <c r="M240" i="12"/>
  <c r="M239" i="12"/>
  <c r="M238" i="12"/>
  <c r="M237" i="12"/>
  <c r="M236" i="12"/>
  <c r="M235" i="12"/>
  <c r="M234" i="12"/>
  <c r="M233" i="12"/>
  <c r="M232" i="12"/>
  <c r="M231" i="12"/>
  <c r="M230" i="12"/>
  <c r="M229" i="12"/>
  <c r="M228" i="12"/>
  <c r="M227" i="12"/>
  <c r="M226" i="12"/>
  <c r="M225" i="12"/>
  <c r="M224" i="12"/>
  <c r="M223" i="12"/>
  <c r="M222" i="12"/>
  <c r="M221" i="12"/>
  <c r="M220" i="12"/>
  <c r="M219" i="12"/>
  <c r="M218" i="12"/>
  <c r="M217" i="12"/>
  <c r="M216" i="12"/>
  <c r="M215" i="12"/>
  <c r="M214" i="12"/>
  <c r="M213" i="12"/>
  <c r="M212" i="12"/>
  <c r="M211" i="12"/>
  <c r="M210" i="12"/>
  <c r="M209" i="12"/>
  <c r="M208" i="12"/>
  <c r="M207" i="12"/>
  <c r="M206" i="12"/>
  <c r="M205" i="12"/>
  <c r="M204" i="12"/>
  <c r="M203" i="12"/>
  <c r="M202" i="12"/>
  <c r="M201" i="12"/>
  <c r="M200" i="12"/>
  <c r="M199" i="12"/>
  <c r="M198" i="12"/>
  <c r="M197" i="12"/>
  <c r="M196" i="12"/>
  <c r="M195" i="12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76" i="12"/>
  <c r="M175" i="12"/>
  <c r="M174" i="12"/>
  <c r="M173" i="12"/>
  <c r="M172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D23" i="6"/>
  <c r="F23" i="6"/>
  <c r="D26" i="6"/>
  <c r="F26" i="6"/>
  <c r="D22" i="6"/>
  <c r="F22" i="6"/>
  <c r="D25" i="6"/>
  <c r="F25" i="6"/>
  <c r="D24" i="6"/>
  <c r="F24" i="6"/>
  <c r="H24" i="6"/>
  <c r="G24" i="6"/>
  <c r="C36" i="6"/>
  <c r="C31" i="6"/>
  <c r="E32" i="6"/>
  <c r="C35" i="6"/>
  <c r="C39" i="6"/>
  <c r="C38" i="6"/>
  <c r="D10" i="13"/>
  <c r="F83" i="8"/>
  <c r="E44" i="8"/>
  <c r="E43" i="8"/>
  <c r="E42" i="8"/>
  <c r="E41" i="8"/>
  <c r="E40" i="8"/>
  <c r="E39" i="8"/>
  <c r="E26" i="8"/>
  <c r="E22" i="8"/>
  <c r="E21" i="8"/>
  <c r="E15" i="8"/>
  <c r="D53" i="7"/>
  <c r="E35" i="8"/>
  <c r="C39" i="14"/>
  <c r="A39" i="14"/>
  <c r="C38" i="14"/>
  <c r="A38" i="14"/>
  <c r="C37" i="14"/>
  <c r="C36" i="14"/>
  <c r="A37" i="14"/>
  <c r="C35" i="14"/>
  <c r="A36" i="14"/>
  <c r="C34" i="14"/>
  <c r="C33" i="14"/>
  <c r="A34" i="14"/>
  <c r="C32" i="14"/>
  <c r="A33" i="14"/>
  <c r="C31" i="14"/>
  <c r="A32" i="14"/>
  <c r="C30" i="14"/>
  <c r="A30" i="14"/>
  <c r="H25" i="6"/>
  <c r="G25" i="6"/>
  <c r="H23" i="6"/>
  <c r="G23" i="6"/>
  <c r="H22" i="6"/>
  <c r="G22" i="6"/>
  <c r="H26" i="6"/>
  <c r="G26" i="6"/>
  <c r="E32" i="8"/>
  <c r="A35" i="14"/>
  <c r="A31" i="14"/>
  <c r="C43" i="8"/>
  <c r="C42" i="8"/>
  <c r="C39" i="8"/>
  <c r="E33" i="8"/>
  <c r="E34" i="8"/>
  <c r="E36" i="8"/>
  <c r="C40" i="8"/>
  <c r="E52" i="8"/>
  <c r="E49" i="8"/>
  <c r="E50" i="8"/>
  <c r="E51" i="8"/>
  <c r="C41" i="8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Q1" i="5"/>
  <c r="E48" i="8"/>
  <c r="A46" i="14"/>
  <c r="A45" i="14"/>
  <c r="D44" i="7"/>
  <c r="A44" i="14"/>
  <c r="A47" i="14"/>
  <c r="C52" i="8"/>
  <c r="C49" i="8"/>
  <c r="C7" i="13"/>
  <c r="T504" i="13"/>
  <c r="T503" i="13"/>
  <c r="T502" i="13"/>
  <c r="T501" i="13"/>
  <c r="T500" i="13"/>
  <c r="T499" i="13"/>
  <c r="T498" i="13"/>
  <c r="T497" i="13"/>
  <c r="T496" i="13"/>
  <c r="T495" i="13"/>
  <c r="T494" i="13"/>
  <c r="T493" i="13"/>
  <c r="T492" i="13"/>
  <c r="T491" i="13"/>
  <c r="T490" i="13"/>
  <c r="T489" i="13"/>
  <c r="T488" i="13"/>
  <c r="T487" i="13"/>
  <c r="T486" i="13"/>
  <c r="T485" i="13"/>
  <c r="T484" i="13"/>
  <c r="T483" i="13"/>
  <c r="T482" i="13"/>
  <c r="T481" i="13"/>
  <c r="T480" i="13"/>
  <c r="T479" i="13"/>
  <c r="T478" i="13"/>
  <c r="T477" i="13"/>
  <c r="T476" i="13"/>
  <c r="T475" i="13"/>
  <c r="T474" i="13"/>
  <c r="T473" i="13"/>
  <c r="T472" i="13"/>
  <c r="T471" i="13"/>
  <c r="T470" i="13"/>
  <c r="T469" i="13"/>
  <c r="T468" i="13"/>
  <c r="T467" i="13"/>
  <c r="T466" i="13"/>
  <c r="T465" i="13"/>
  <c r="T464" i="13"/>
  <c r="T463" i="13"/>
  <c r="T462" i="13"/>
  <c r="T461" i="13"/>
  <c r="T460" i="13"/>
  <c r="T459" i="13"/>
  <c r="T458" i="13"/>
  <c r="T457" i="13"/>
  <c r="T456" i="13"/>
  <c r="T455" i="13"/>
  <c r="T454" i="13"/>
  <c r="T453" i="13"/>
  <c r="T452" i="13"/>
  <c r="T451" i="13"/>
  <c r="T450" i="13"/>
  <c r="T449" i="13"/>
  <c r="T448" i="13"/>
  <c r="T447" i="13"/>
  <c r="T446" i="13"/>
  <c r="T445" i="13"/>
  <c r="T444" i="13"/>
  <c r="T443" i="13"/>
  <c r="T442" i="13"/>
  <c r="T441" i="13"/>
  <c r="T440" i="13"/>
  <c r="T439" i="13"/>
  <c r="T438" i="13"/>
  <c r="T437" i="13"/>
  <c r="T436" i="13"/>
  <c r="T435" i="13"/>
  <c r="T434" i="13"/>
  <c r="T433" i="13"/>
  <c r="T432" i="13"/>
  <c r="T431" i="13"/>
  <c r="T430" i="13"/>
  <c r="T429" i="13"/>
  <c r="T428" i="13"/>
  <c r="T427" i="13"/>
  <c r="T426" i="13"/>
  <c r="T425" i="13"/>
  <c r="T424" i="13"/>
  <c r="T423" i="13"/>
  <c r="T422" i="13"/>
  <c r="T421" i="13"/>
  <c r="T420" i="13"/>
  <c r="T419" i="13"/>
  <c r="T418" i="13"/>
  <c r="T417" i="13"/>
  <c r="T416" i="13"/>
  <c r="T415" i="13"/>
  <c r="T414" i="13"/>
  <c r="T413" i="13"/>
  <c r="T412" i="13"/>
  <c r="T411" i="13"/>
  <c r="T410" i="13"/>
  <c r="T409" i="13"/>
  <c r="T408" i="13"/>
  <c r="T407" i="13"/>
  <c r="T406" i="13"/>
  <c r="T405" i="13"/>
  <c r="T404" i="13"/>
  <c r="T403" i="13"/>
  <c r="T402" i="13"/>
  <c r="T401" i="13"/>
  <c r="T400" i="13"/>
  <c r="T399" i="13"/>
  <c r="T398" i="13"/>
  <c r="T397" i="13"/>
  <c r="T396" i="13"/>
  <c r="T395" i="13"/>
  <c r="T394" i="13"/>
  <c r="T393" i="13"/>
  <c r="T392" i="13"/>
  <c r="T391" i="13"/>
  <c r="T390" i="13"/>
  <c r="T389" i="13"/>
  <c r="T388" i="13"/>
  <c r="T387" i="13"/>
  <c r="T386" i="13"/>
  <c r="T385" i="13"/>
  <c r="T384" i="13"/>
  <c r="T383" i="13"/>
  <c r="T382" i="13"/>
  <c r="T381" i="13"/>
  <c r="T380" i="13"/>
  <c r="T379" i="13"/>
  <c r="T378" i="13"/>
  <c r="T377" i="13"/>
  <c r="T376" i="13"/>
  <c r="T375" i="13"/>
  <c r="T374" i="13"/>
  <c r="T373" i="13"/>
  <c r="T372" i="13"/>
  <c r="T371" i="13"/>
  <c r="T370" i="13"/>
  <c r="T369" i="13"/>
  <c r="T368" i="13"/>
  <c r="T367" i="13"/>
  <c r="T366" i="13"/>
  <c r="T365" i="13"/>
  <c r="T364" i="13"/>
  <c r="T363" i="13"/>
  <c r="T362" i="13"/>
  <c r="T361" i="13"/>
  <c r="T360" i="13"/>
  <c r="T359" i="13"/>
  <c r="T358" i="13"/>
  <c r="T357" i="13"/>
  <c r="T356" i="13"/>
  <c r="T355" i="13"/>
  <c r="T354" i="13"/>
  <c r="T353" i="13"/>
  <c r="T352" i="13"/>
  <c r="T351" i="13"/>
  <c r="T350" i="13"/>
  <c r="T349" i="13"/>
  <c r="T348" i="13"/>
  <c r="T347" i="13"/>
  <c r="T346" i="13"/>
  <c r="T345" i="13"/>
  <c r="T344" i="13"/>
  <c r="T343" i="13"/>
  <c r="T342" i="13"/>
  <c r="T341" i="13"/>
  <c r="T340" i="13"/>
  <c r="T339" i="13"/>
  <c r="T338" i="13"/>
  <c r="T337" i="13"/>
  <c r="T336" i="13"/>
  <c r="T335" i="13"/>
  <c r="T334" i="13"/>
  <c r="T333" i="13"/>
  <c r="T332" i="13"/>
  <c r="T331" i="13"/>
  <c r="T330" i="13"/>
  <c r="T329" i="13"/>
  <c r="T328" i="13"/>
  <c r="T327" i="13"/>
  <c r="T326" i="13"/>
  <c r="T325" i="13"/>
  <c r="T324" i="13"/>
  <c r="T323" i="13"/>
  <c r="T322" i="13"/>
  <c r="T321" i="13"/>
  <c r="T320" i="13"/>
  <c r="T319" i="13"/>
  <c r="T318" i="13"/>
  <c r="T317" i="13"/>
  <c r="T316" i="13"/>
  <c r="T315" i="13"/>
  <c r="T314" i="13"/>
  <c r="T313" i="13"/>
  <c r="T312" i="13"/>
  <c r="T311" i="13"/>
  <c r="T310" i="13"/>
  <c r="T309" i="13"/>
  <c r="T308" i="13"/>
  <c r="T307" i="13"/>
  <c r="T306" i="13"/>
  <c r="T305" i="13"/>
  <c r="T304" i="13"/>
  <c r="T303" i="13"/>
  <c r="T302" i="13"/>
  <c r="T301" i="13"/>
  <c r="T300" i="13"/>
  <c r="T299" i="13"/>
  <c r="T298" i="13"/>
  <c r="T297" i="13"/>
  <c r="T296" i="13"/>
  <c r="T295" i="13"/>
  <c r="T294" i="13"/>
  <c r="T293" i="13"/>
  <c r="T292" i="13"/>
  <c r="T291" i="13"/>
  <c r="T290" i="13"/>
  <c r="T289" i="13"/>
  <c r="T288" i="13"/>
  <c r="T287" i="13"/>
  <c r="T286" i="13"/>
  <c r="T285" i="13"/>
  <c r="T284" i="13"/>
  <c r="T283" i="13"/>
  <c r="T282" i="13"/>
  <c r="T281" i="13"/>
  <c r="T280" i="13"/>
  <c r="T279" i="13"/>
  <c r="T278" i="13"/>
  <c r="T277" i="13"/>
  <c r="T276" i="13"/>
  <c r="T275" i="13"/>
  <c r="T274" i="13"/>
  <c r="T273" i="13"/>
  <c r="T272" i="13"/>
  <c r="T271" i="13"/>
  <c r="T270" i="13"/>
  <c r="T269" i="13"/>
  <c r="T268" i="13"/>
  <c r="T267" i="13"/>
  <c r="T266" i="13"/>
  <c r="T265" i="13"/>
  <c r="T264" i="13"/>
  <c r="T263" i="13"/>
  <c r="T262" i="13"/>
  <c r="T261" i="13"/>
  <c r="T260" i="13"/>
  <c r="T259" i="13"/>
  <c r="T258" i="13"/>
  <c r="T257" i="13"/>
  <c r="T256" i="13"/>
  <c r="T255" i="13"/>
  <c r="T254" i="13"/>
  <c r="T253" i="13"/>
  <c r="T252" i="13"/>
  <c r="T251" i="13"/>
  <c r="T250" i="13"/>
  <c r="T249" i="13"/>
  <c r="T248" i="13"/>
  <c r="T247" i="13"/>
  <c r="T246" i="13"/>
  <c r="T245" i="13"/>
  <c r="T244" i="13"/>
  <c r="T243" i="13"/>
  <c r="T242" i="13"/>
  <c r="T241" i="13"/>
  <c r="T240" i="13"/>
  <c r="T239" i="13"/>
  <c r="T238" i="13"/>
  <c r="T237" i="13"/>
  <c r="T236" i="13"/>
  <c r="T235" i="13"/>
  <c r="T234" i="13"/>
  <c r="T233" i="13"/>
  <c r="T232" i="13"/>
  <c r="T231" i="13"/>
  <c r="T230" i="13"/>
  <c r="T229" i="13"/>
  <c r="T228" i="13"/>
  <c r="T227" i="13"/>
  <c r="T226" i="13"/>
  <c r="T225" i="13"/>
  <c r="T224" i="13"/>
  <c r="T223" i="13"/>
  <c r="T222" i="13"/>
  <c r="T221" i="13"/>
  <c r="T220" i="13"/>
  <c r="T219" i="13"/>
  <c r="T218" i="13"/>
  <c r="T217" i="13"/>
  <c r="T216" i="13"/>
  <c r="T215" i="13"/>
  <c r="T214" i="13"/>
  <c r="T213" i="13"/>
  <c r="T212" i="13"/>
  <c r="T211" i="13"/>
  <c r="T210" i="13"/>
  <c r="T209" i="13"/>
  <c r="T208" i="13"/>
  <c r="T207" i="13"/>
  <c r="T206" i="13"/>
  <c r="T205" i="13"/>
  <c r="T204" i="13"/>
  <c r="T203" i="13"/>
  <c r="T202" i="13"/>
  <c r="T201" i="13"/>
  <c r="T200" i="13"/>
  <c r="T199" i="13"/>
  <c r="T198" i="13"/>
  <c r="T197" i="13"/>
  <c r="T196" i="13"/>
  <c r="T195" i="13"/>
  <c r="T194" i="13"/>
  <c r="T193" i="13"/>
  <c r="T192" i="13"/>
  <c r="T191" i="13"/>
  <c r="T190" i="13"/>
  <c r="T189" i="13"/>
  <c r="T188" i="13"/>
  <c r="T187" i="13"/>
  <c r="T186" i="13"/>
  <c r="T185" i="13"/>
  <c r="T184" i="13"/>
  <c r="T183" i="13"/>
  <c r="T182" i="13"/>
  <c r="T181" i="13"/>
  <c r="T180" i="13"/>
  <c r="T179" i="13"/>
  <c r="T178" i="13"/>
  <c r="T177" i="13"/>
  <c r="T176" i="13"/>
  <c r="T175" i="13"/>
  <c r="T174" i="13"/>
  <c r="T173" i="13"/>
  <c r="T172" i="13"/>
  <c r="T171" i="13"/>
  <c r="T170" i="13"/>
  <c r="T169" i="13"/>
  <c r="T168" i="13"/>
  <c r="T167" i="13"/>
  <c r="T166" i="13"/>
  <c r="T165" i="13"/>
  <c r="T164" i="13"/>
  <c r="T163" i="13"/>
  <c r="T162" i="13"/>
  <c r="T161" i="13"/>
  <c r="T160" i="13"/>
  <c r="T159" i="13"/>
  <c r="T158" i="13"/>
  <c r="T157" i="13"/>
  <c r="T156" i="13"/>
  <c r="T155" i="13"/>
  <c r="T154" i="13"/>
  <c r="T153" i="13"/>
  <c r="T152" i="13"/>
  <c r="T151" i="13"/>
  <c r="T150" i="13"/>
  <c r="T149" i="13"/>
  <c r="T148" i="13"/>
  <c r="T147" i="13"/>
  <c r="T146" i="13"/>
  <c r="T145" i="13"/>
  <c r="T144" i="13"/>
  <c r="T143" i="13"/>
  <c r="T142" i="13"/>
  <c r="T141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6" i="13"/>
  <c r="T75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48" i="8"/>
  <c r="D48" i="8"/>
  <c r="D50" i="8"/>
  <c r="C50" i="8"/>
  <c r="D51" i="8"/>
  <c r="C51" i="8"/>
  <c r="D52" i="8"/>
  <c r="D49" i="8"/>
  <c r="D11" i="13"/>
  <c r="F48" i="8"/>
  <c r="G48" i="8"/>
  <c r="E18" i="8"/>
  <c r="F49" i="8"/>
  <c r="G49" i="8"/>
  <c r="F52" i="8"/>
  <c r="G52" i="8"/>
  <c r="F51" i="8"/>
  <c r="G51" i="8"/>
  <c r="F50" i="8"/>
  <c r="G50" i="8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59" i="9"/>
  <c r="C7" i="9"/>
  <c r="D26" i="7"/>
  <c r="F74" i="8"/>
  <c r="E27" i="8"/>
  <c r="E28" i="8"/>
  <c r="C12" i="14"/>
  <c r="C7" i="14"/>
  <c r="E7" i="14"/>
  <c r="C10" i="14"/>
  <c r="C6" i="14"/>
  <c r="C9" i="14"/>
  <c r="C3" i="14"/>
  <c r="C8" i="14"/>
  <c r="D8" i="14"/>
  <c r="C5" i="14"/>
  <c r="E5" i="14"/>
  <c r="C11" i="14"/>
  <c r="C4" i="14"/>
  <c r="E4" i="14"/>
  <c r="D8" i="13"/>
  <c r="D9" i="13"/>
  <c r="D7" i="13"/>
  <c r="E12" i="14"/>
  <c r="A12" i="14"/>
  <c r="E11" i="14"/>
  <c r="A11" i="14"/>
  <c r="E10" i="14"/>
  <c r="A10" i="14"/>
  <c r="E9" i="14"/>
  <c r="D3" i="14"/>
  <c r="D11" i="14"/>
  <c r="D12" i="14"/>
  <c r="D10" i="14"/>
  <c r="D7" i="14"/>
  <c r="A7" i="14"/>
  <c r="E3" i="14"/>
  <c r="A3" i="14"/>
  <c r="A6" i="14"/>
  <c r="A8" i="14"/>
  <c r="D5" i="14"/>
  <c r="E6" i="14"/>
  <c r="E8" i="14"/>
  <c r="D4" i="14"/>
  <c r="D9" i="14"/>
  <c r="A9" i="14"/>
  <c r="A4" i="14"/>
  <c r="A5" i="14"/>
  <c r="D6" i="14"/>
  <c r="D17" i="7"/>
  <c r="F65" i="8"/>
  <c r="D8" i="7"/>
  <c r="F56" i="8"/>
</calcChain>
</file>

<file path=xl/comments1.xml><?xml version="1.0" encoding="utf-8"?>
<comments xmlns="http://schemas.openxmlformats.org/spreadsheetml/2006/main">
  <authors>
    <author>rgbas_000</author>
  </authors>
  <commentList>
    <comment ref="C5" authorId="0">
      <text>
        <r>
          <rPr>
            <sz val="12"/>
            <color indexed="81"/>
            <rFont val="Calibri"/>
            <family val="2"/>
            <scheme val="minor"/>
          </rPr>
          <t>Descrição do produto vendido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5" authorId="0">
      <text>
        <r>
          <rPr>
            <sz val="12"/>
            <color indexed="81"/>
            <rFont val="Calibri"/>
            <family val="2"/>
            <scheme val="minor"/>
          </rPr>
          <t>Preço de venda do produto.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" authorId="0">
      <text>
        <r>
          <rPr>
            <sz val="12"/>
            <color indexed="81"/>
            <rFont val="Calibri"/>
            <family val="2"/>
            <scheme val="minor"/>
          </rPr>
          <t>Quantidade estimada de produtos a ser vendido.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rgbas_000</author>
  </authors>
  <commentList>
    <comment ref="C5" authorId="0">
      <text>
        <r>
          <rPr>
            <sz val="12"/>
            <color indexed="81"/>
            <rFont val="Calibri"/>
            <family val="2"/>
            <scheme val="minor"/>
          </rPr>
          <t>Relacionar os custos fixos da sua empresa. Alguns já estão fixos para orientá-lo(a).</t>
        </r>
      </text>
    </comment>
    <comment ref="D5" authorId="0">
      <text>
        <r>
          <rPr>
            <sz val="12"/>
            <color indexed="81"/>
            <rFont val="Calibri"/>
            <family val="2"/>
            <scheme val="minor"/>
          </rPr>
          <t>Informar o valor mensal pago dos custos fixos relacionados.</t>
        </r>
      </text>
    </comment>
  </commentList>
</comments>
</file>

<file path=xl/comments3.xml><?xml version="1.0" encoding="utf-8"?>
<comments xmlns="http://schemas.openxmlformats.org/spreadsheetml/2006/main">
  <authors>
    <author>rgbas_000</author>
  </authors>
  <commentList>
    <comment ref="D5" authorId="0">
      <text>
        <r>
          <rPr>
            <sz val="12"/>
            <color indexed="81"/>
            <rFont val="Calibri"/>
            <family val="2"/>
            <scheme val="minor"/>
          </rPr>
          <t>Custo unitário da matéria-prima por produto.</t>
        </r>
      </text>
    </comment>
    <comment ref="E5" authorId="0">
      <text>
        <r>
          <rPr>
            <sz val="12"/>
            <color indexed="81"/>
            <rFont val="Calibri"/>
            <family val="2"/>
            <scheme val="minor"/>
          </rPr>
          <t>Comissão paga  relacionada ao valor de venda.</t>
        </r>
      </text>
    </comment>
    <comment ref="F5" authorId="0">
      <text>
        <r>
          <rPr>
            <sz val="12"/>
            <color indexed="81"/>
            <rFont val="Calibri"/>
            <family val="2"/>
            <scheme val="minor"/>
          </rPr>
          <t>% dos impostos pagos com relação ao valor de venda.</t>
        </r>
      </text>
    </comment>
    <comment ref="G5" authorId="0">
      <text>
        <r>
          <rPr>
            <sz val="12"/>
            <color indexed="81"/>
            <rFont val="Calibri"/>
            <family val="2"/>
            <scheme val="minor"/>
          </rPr>
          <t>Outros custos diretamente relacionados aos produtos vendidos.
Ex.:
- Embalagem
- Frete</t>
        </r>
      </text>
    </comment>
  </commentList>
</comments>
</file>

<file path=xl/comments4.xml><?xml version="1.0" encoding="utf-8"?>
<comments xmlns="http://schemas.openxmlformats.org/spreadsheetml/2006/main">
  <authors>
    <author>Produção 1</author>
  </authors>
  <commentList>
    <comment ref="C11" authorId="0">
      <text>
        <r>
          <rPr>
            <sz val="9"/>
            <color indexed="81"/>
            <rFont val="Segoe UI"/>
            <family val="2"/>
          </rPr>
          <t xml:space="preserve">
A margem de contribuição representa o quanto cada produto que você vende contribui para cobrir os custos fixos da sua empresa. 
Ou seja, ela é calculada diminuindo o preço do produto pelo total de gastos variáveis.
A margem de contribuição ponderada também leva em consideração a participação de cada produto no total de vendas da sua empresa. Em cada de vários produtos vendidos, está é a forma mais adequada para calcular seu ponto de equilíbrio</t>
        </r>
      </text>
    </comment>
  </commentList>
</comments>
</file>

<file path=xl/comments5.xml><?xml version="1.0" encoding="utf-8"?>
<comments xmlns="http://schemas.openxmlformats.org/spreadsheetml/2006/main">
  <authors>
    <author>rgbas_000</author>
  </authors>
  <commentList>
    <comment ref="C8" authorId="0">
      <text>
        <r>
          <rPr>
            <sz val="12"/>
            <color indexed="81"/>
            <rFont val="Calibri"/>
            <family val="2"/>
            <scheme val="minor"/>
          </rPr>
          <t>Relacionar os seus concorrentes.</t>
        </r>
      </text>
    </comment>
    <comment ref="D8" authorId="0">
      <text>
        <r>
          <rPr>
            <sz val="12"/>
            <color indexed="81"/>
            <rFont val="Calibri"/>
            <family val="2"/>
            <scheme val="minor"/>
          </rPr>
          <t>Escolher um diferencial do seu concorrente.</t>
        </r>
      </text>
    </comment>
    <comment ref="E8" authorId="0">
      <text>
        <r>
          <rPr>
            <sz val="12"/>
            <color indexed="81"/>
            <rFont val="Calibri"/>
            <family val="2"/>
            <scheme val="minor"/>
          </rPr>
          <t>Escolher um produto a ser comparado com o seu concorrente.</t>
        </r>
      </text>
    </comment>
    <comment ref="F8" authorId="0">
      <text>
        <r>
          <rPr>
            <sz val="12"/>
            <color indexed="81"/>
            <rFont val="Calibri"/>
            <family val="2"/>
            <scheme val="minor"/>
          </rPr>
          <t>Informar o preço praticado pelo seu concorrente no produto escolhido.</t>
        </r>
      </text>
    </comment>
  </commentList>
</comments>
</file>

<file path=xl/sharedStrings.xml><?xml version="1.0" encoding="utf-8"?>
<sst xmlns="http://schemas.openxmlformats.org/spreadsheetml/2006/main" count="237" uniqueCount="164">
  <si>
    <t>Faça previsões orçamentárias para seu financeiro e acompanhe automaticamente com um fluxo de caiax integrado em uma só planilha.</t>
  </si>
  <si>
    <t>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</si>
  <si>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</si>
  <si>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Posso remover linhas?</t>
  </si>
  <si>
    <t>Eles são avisos sobre como a sua projeção está. A partir deles, você pode refinar suas projeções e pensar em medidas mais agressivas para tornar seu projeto mais agressivo.</t>
  </si>
  <si>
    <t>Para que servem os alertas?</t>
  </si>
  <si>
    <t>Como desbloquear a planilha?</t>
  </si>
  <si>
    <t>Basta entrar no menu superior "Revisão" e escolher o item desproteger planilha no grupo Alterações. As planilhas não possuem senhas, apenas estão bloqueadas para melhorar a usabilidade delas.</t>
  </si>
  <si>
    <t>Essa planilha pode ser apresentada para instituições financeiras?</t>
  </si>
  <si>
    <t>Sim. Porém esses dados não garantem aprovações ou reprovações por parte dessas instituições. Sendo usados como dados complementares.</t>
  </si>
  <si>
    <t>Como redimensiono uma coluna ou linha da planilha?</t>
  </si>
  <si>
    <t>Com a planilha desbloqueada(ver pergunta 5), clique sobre o número da linha com o botão diretiro e escolha a opção altura da linha no caso das linhas ou na letra da coluna com o botão direito e escolha a opção largura da coluna no caso de colunas.</t>
  </si>
  <si>
    <t>Como faço para imprimir uma planilha?</t>
  </si>
  <si>
    <t>Como mudo a moeda da planilha?</t>
  </si>
  <si>
    <t>Escolha Opção Arquivo e vá ao item imprimir no seu menu superior.</t>
  </si>
  <si>
    <t>Selecione os campos que deseja mudar a moeda. Clique com o botão direito escolha a opção formatar células. Altere o símbolo para o formato que desejar na guia Número.</t>
  </si>
  <si>
    <t>Por que não aproveitar esse kit pronto da LUZ e aproveita para montar aquela estratégia matadora, por um preço menor?</t>
  </si>
  <si>
    <t>Kit Finanças</t>
  </si>
  <si>
    <t>Planilha de Fluxo de Caixa</t>
  </si>
  <si>
    <t>Essa planilha é a melhor solução para controlar seus gastos que você pode encontrar. Aceita por mais de 2.000 usuários, ela deixa os sistemas e programas complexos para trás! Baixe a demonstração e comprove.</t>
  </si>
  <si>
    <t>Planilha de Estudo de Viabilidade Econômica</t>
  </si>
  <si>
    <t>Controle o fluxo de caixa de uma empresa com a Planilha de Fluxo de Caixa 3.0</t>
  </si>
  <si>
    <t>Planilha de Fluxo de Caixa Avançado</t>
  </si>
  <si>
    <t>http://luz.vc/ferramentas/planilhas-avancadas/planilha-de-fluxo-de-caixa-avancado/</t>
  </si>
  <si>
    <t>Planilha de Formação de Preços para Serviços</t>
  </si>
  <si>
    <t>Com a Planilha de Formação de Preços para Serviços em excel você descobrirá qual o preço ideal que você deve praticar no seu mercado, levando em consideração todos os fatores importantes para a sua empresa, desde os seus custos até os preços dos seus concorrentes.</t>
  </si>
  <si>
    <t>1. PREMISSAS GERAIS</t>
  </si>
  <si>
    <t>2. PONTO DE EQUILÍBRIO</t>
  </si>
  <si>
    <t>3. ANÁLISE DA CONCORRÊNCIA</t>
  </si>
  <si>
    <t>4. RESULTADOS CONSOLIDADOS</t>
  </si>
  <si>
    <t>5. GRÁFICOS</t>
  </si>
  <si>
    <t>6. RELATÓRIO DE IMPRESSÃO</t>
  </si>
  <si>
    <t>DÚVIDAS FREQUENTES</t>
  </si>
  <si>
    <t>SUGESTÕES PARA VOCÊ</t>
  </si>
  <si>
    <t>SOBRE A LUZ</t>
  </si>
  <si>
    <t>Clique Aqui</t>
  </si>
  <si>
    <t>http://luz.vc/ferramentas/planilhas-avancadas/planilha-de-fluxo-de-caixa-avancado/?utm_source=referral&amp;utm_medium=produtos&amp;utm_campaign=Peq3</t>
  </si>
  <si>
    <t>AVALIE ESTA PLANILHA E GANHE 10% DE DESCONTO &gt;</t>
  </si>
  <si>
    <t>Clique abaixo para selecionar sua dúvida:</t>
  </si>
  <si>
    <t>Veja a resposta abaixo:</t>
  </si>
  <si>
    <t>1. Posso adicionar mais linhas e colunas na planilha?</t>
  </si>
  <si>
    <t>PLANILHA DE</t>
  </si>
  <si>
    <r>
      <t xml:space="preserve">IMPORTANTE: </t>
    </r>
    <r>
      <rPr>
        <b/>
        <sz val="18"/>
        <color rgb="FF333333"/>
        <rFont val="Calibri"/>
        <family val="2"/>
        <scheme val="minor"/>
      </rPr>
      <t>LEIA OS PASSOS E ENTENDA A PLANILHA</t>
    </r>
  </si>
  <si>
    <t>Dúvidas? Clique nos Links presentes em toda a planilha para ver vídeos explicativos sobre o método, preenchimento e análise de cada aba!</t>
  </si>
  <si>
    <t>Passo 1</t>
  </si>
  <si>
    <t>PREMISSAS GERAIS</t>
  </si>
  <si>
    <t>Passo 2</t>
  </si>
  <si>
    <t>PONTO DE EQUILÍBRIO</t>
  </si>
  <si>
    <t>Passo 3</t>
  </si>
  <si>
    <t>ANÁLISE DA CONCORRÊNCIA</t>
  </si>
  <si>
    <t>Passo 4</t>
  </si>
  <si>
    <t>RESULTADOS CONSOLIDADOS</t>
  </si>
  <si>
    <t>Passo 5</t>
  </si>
  <si>
    <t>GRÁFICOS</t>
  </si>
  <si>
    <t>Passo 6</t>
  </si>
  <si>
    <t>RELATÓRIO DE IMPRESSÃO</t>
  </si>
  <si>
    <t>Produto</t>
  </si>
  <si>
    <t>Preço de Venda</t>
  </si>
  <si>
    <t>Projeções de vendas mensais</t>
  </si>
  <si>
    <t>Receita bruta mensal</t>
  </si>
  <si>
    <t>% de Participação</t>
  </si>
  <si>
    <t>Ex.: Camisa</t>
  </si>
  <si>
    <t>Ex.: R$ 100,00</t>
  </si>
  <si>
    <t>Ex.: 50</t>
  </si>
  <si>
    <t>Ex.: 100%</t>
  </si>
  <si>
    <t>Ex.: R$ 5.000,00</t>
  </si>
  <si>
    <t>Matéria - Prima</t>
  </si>
  <si>
    <t>Comissões (%)</t>
  </si>
  <si>
    <t>Outros gastos</t>
  </si>
  <si>
    <t>Total custo por produto</t>
  </si>
  <si>
    <t>Impostos (%)</t>
  </si>
  <si>
    <t>Custo Fixo</t>
  </si>
  <si>
    <t>Valor (R$)</t>
  </si>
  <si>
    <t>Pró Labore e salários</t>
  </si>
  <si>
    <t>Telefone e internet</t>
  </si>
  <si>
    <t>Aluguel</t>
  </si>
  <si>
    <t>Marketing</t>
  </si>
  <si>
    <t>Empréstimos</t>
  </si>
  <si>
    <t>Legais e Jurídicos</t>
  </si>
  <si>
    <t>Outros Custos</t>
  </si>
  <si>
    <t>Margem de contribuição</t>
  </si>
  <si>
    <t>Descrição</t>
  </si>
  <si>
    <t>Taxa de propriedade (águal e luz)</t>
  </si>
  <si>
    <t>Preço de venda médio dos seus produtos</t>
  </si>
  <si>
    <t>Margem de contribuição média dos seus produtos</t>
  </si>
  <si>
    <t>Custos diretos totais</t>
  </si>
  <si>
    <t>Custos diretos médio por produto</t>
  </si>
  <si>
    <t>Ponto de Equilíbrio (Break Even Point)</t>
  </si>
  <si>
    <t>Qual o valor total dos seus custos fixos?</t>
  </si>
  <si>
    <t>Qual deve ser o faturamento para não ter prejuízo?</t>
  </si>
  <si>
    <t>Quantos produtos você precisa vender para não ter prejuízo?</t>
  </si>
  <si>
    <t>Selecione o seu produto</t>
  </si>
  <si>
    <t>Unidades</t>
  </si>
  <si>
    <t>Total de despesas diretas</t>
  </si>
  <si>
    <t>MC unitária</t>
  </si>
  <si>
    <t>MC ponderada</t>
  </si>
  <si>
    <t>IMC (%)</t>
  </si>
  <si>
    <t>Margem de contribuição
unitária</t>
  </si>
  <si>
    <r>
      <rPr>
        <sz val="12"/>
        <color rgb="FFFF0000"/>
        <rFont val="Calibri"/>
        <family val="2"/>
        <scheme val="minor"/>
      </rPr>
      <t xml:space="preserve">Importante: </t>
    </r>
    <r>
      <rPr>
        <sz val="12"/>
        <color theme="1"/>
        <rFont val="Calibri"/>
        <family val="2"/>
        <scheme val="minor"/>
      </rPr>
      <t>Faça uma pesquisa com seus principais concorrentes. Recomendamos que você inclua sempre a empresa top de mercado na sua pesquisa.</t>
    </r>
  </si>
  <si>
    <t>Análise dos concorrentes</t>
  </si>
  <si>
    <t>Empresa</t>
  </si>
  <si>
    <t>Diferencial</t>
  </si>
  <si>
    <t>Orientação</t>
  </si>
  <si>
    <t>Preço</t>
  </si>
  <si>
    <t>Qualidade</t>
  </si>
  <si>
    <t>Localização Geográfica</t>
  </si>
  <si>
    <t>Resumo dos Custos Diretos</t>
  </si>
  <si>
    <t>Matéria - prima</t>
  </si>
  <si>
    <t>Impostos</t>
  </si>
  <si>
    <t>Comissões</t>
  </si>
  <si>
    <t>Total dos gastos</t>
  </si>
  <si>
    <t>Top 5 Custos Fixos</t>
  </si>
  <si>
    <t>Total dos custos fixos</t>
  </si>
  <si>
    <t>Análise da concorrência (máximo de 5 produtos comparados)</t>
  </si>
  <si>
    <t>Preço médio de mercado</t>
  </si>
  <si>
    <t>Preço praticado por você</t>
  </si>
  <si>
    <t>Diferença</t>
  </si>
  <si>
    <t>Comentário</t>
  </si>
  <si>
    <t>Produtos</t>
  </si>
  <si>
    <t>Quantidade a ser vendida</t>
  </si>
  <si>
    <t>Receita gerada</t>
  </si>
  <si>
    <t>Receita no ponto de equilíbrio</t>
  </si>
  <si>
    <r>
      <t>Importante:</t>
    </r>
    <r>
      <rPr>
        <sz val="12"/>
        <rFont val="Calibri"/>
        <family val="2"/>
        <scheme val="minor"/>
      </rPr>
      <t xml:space="preserve"> Confira seus dados em gráficos e conte com o auxílio dos comentários que ajudam na interpretação dos dados.</t>
    </r>
  </si>
  <si>
    <t>Gráfico Top 10 Mix de Produtos - Receita Gerada</t>
  </si>
  <si>
    <t>Top 10 Mix de Produtos - Receita Gerada</t>
  </si>
  <si>
    <t>Top 10 Mix de Produtos - quantidade</t>
  </si>
  <si>
    <t>Gráfico Top 10 Mix de Produtos - Quantidade</t>
  </si>
  <si>
    <t>Gráfico Top 10 Margem de Contribuição</t>
  </si>
  <si>
    <t>Margem de Contribuição</t>
  </si>
  <si>
    <t>Custos fixos</t>
  </si>
  <si>
    <t>Gráfico Top 10 Custos Fixos</t>
  </si>
  <si>
    <t>Valor</t>
  </si>
  <si>
    <t>Gráfico Top 10 Custos Diretos</t>
  </si>
  <si>
    <t>Custos diretos</t>
  </si>
  <si>
    <t>Outros Gastos</t>
  </si>
  <si>
    <t>Matéria Prima</t>
  </si>
  <si>
    <t>Gráfico - Análise dos Concorrentes</t>
  </si>
  <si>
    <t>Preço Concorrente</t>
  </si>
  <si>
    <t>Seu Preço</t>
  </si>
  <si>
    <t>Qtd de concorrentes</t>
  </si>
  <si>
    <t>CÁLCULO DE PONTO DE EQUILÍBRIO 3.0</t>
  </si>
  <si>
    <t>Seja bem-vindo(a). Com esta planilha você poderá ter o total controle sobre o cálculo do faturamento mínimo necessário para cobrir os custos (fixos e variáveis) da sua empresa.</t>
  </si>
  <si>
    <r>
      <t>1.2. Custos Diretos:</t>
    </r>
    <r>
      <rPr>
        <sz val="11"/>
        <color theme="1"/>
        <rFont val="Arial"/>
        <family val="2"/>
      </rPr>
      <t xml:space="preserve"> Aqui você irá registrar os custos relacionados aos produtos vendidos. O valor da Matéria-prima, Impostos, Comissões e outros custos diretos.</t>
    </r>
  </si>
  <si>
    <t>Posicionamento no mercado</t>
  </si>
  <si>
    <t>Nesta etapa do processo você irá registrar os seus Custos Fixos de sua empresa e a partir daí iremos iniciar os cálculos do Índice de Margem de Contribuição (IMC) para descobrirmos a sua Receita necessária para cobrir seus Custos.</t>
  </si>
  <si>
    <r>
      <t>2.1. Margem de Contribuição:</t>
    </r>
    <r>
      <rPr>
        <sz val="11"/>
        <color theme="1"/>
        <rFont val="Arial"/>
        <family val="2"/>
      </rPr>
      <t xml:space="preserve"> Aqui você irá relacionar os seus Custos Fixos com seus respectivos valores mensais. Com base nestes números iremos calcular a sua Margem de Contribuição.</t>
    </r>
  </si>
  <si>
    <r>
      <t>2.2. Ponto de Equilíbrio por Produto:</t>
    </r>
    <r>
      <rPr>
        <sz val="11"/>
        <color theme="1"/>
        <rFont val="Arial"/>
        <family val="2"/>
      </rPr>
      <t xml:space="preserve"> Aqui você poderá selecionar um produto e observar a quantidade mínima necessária a ser vendida deste para atingir a Receita necessária para cobrir os custos com este produto.</t>
    </r>
  </si>
  <si>
    <t xml:space="preserve">Aqui você irá inserir uma pesquisa de mercado em relação à sua concorrência. A partir desta análise, é possível identificar oportunidades para elevar o seu markup ou diminuir para se tornar mais competitivo no mercado.
</t>
  </si>
  <si>
    <t xml:space="preserve">Aqui você poderá conferir os resultados consolidados, calculados automáticamente com base nas informações fornecidas anteriormente, do Ponto de Equilíbrio de seus produtos.
</t>
  </si>
  <si>
    <t>Faça uma análise gráfica de forma rápida e eficiente dos resultados de sua planilha.</t>
  </si>
  <si>
    <t>Imprima o relatório da sua análise de Ponto de Equilíbrio. Apenas o que importa, com formatação econômica para gastar menos tinta e ter melhor aproveitamento do papel.</t>
  </si>
  <si>
    <t>Inicialmento você irá realizar o registro de uma projeção de venda e o custo diretamente associado aos produtos vendidos.</t>
  </si>
  <si>
    <r>
      <t>1.1. Produtos:</t>
    </r>
    <r>
      <rPr>
        <sz val="11"/>
        <color theme="1"/>
        <rFont val="Arial"/>
        <family val="2"/>
      </rPr>
      <t xml:space="preserve"> Aqui você irá registrar uma projeção de suas vendas, produto a produto.</t>
    </r>
  </si>
  <si>
    <t>1. Margem de Contribuição</t>
  </si>
  <si>
    <t>2. Resultados Consolidados</t>
  </si>
  <si>
    <t>3. Graficos</t>
  </si>
  <si>
    <t>PLANILHA DE CÁLCULO DE PONTO DE EQUILÍBRIO 3.0</t>
  </si>
  <si>
    <t>RELATÓRIO IMPRESSO</t>
  </si>
  <si>
    <t>lucro</t>
  </si>
  <si>
    <t>custos maior que lucro</t>
  </si>
  <si>
    <t>custo menor que lucro</t>
  </si>
  <si>
    <t>A soma dos seus custos diretos e custos fixos fazem com que eles sejam maiores que seu lucro. Significa que o lucro obtido não paga seus custos com o volume de vendas que foi estipulado.
Dica:
Faça uma revisão na operação do seu negócio com o intuito de reduzir todos os seus custos para se tornar mais competitivo sem deixar de obter lucro.</t>
  </si>
  <si>
    <t>Parabéns! Seu lucro é maior que os seus custos fixos. Mantenha esse processo para não deixar que seus custos ultrapassem o seu lucro.</t>
  </si>
  <si>
    <t>3.0.2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</si>
</sst>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&quot;R$&quot;* #,##0.00_-;\-&quot;R$&quot;* #,##0.00_-;_-&quot;R$&quot;* &quot;-&quot;??_-;_-@_-"/>
    <numFmt numFmtId="166" formatCode="&quot;R$&quot;\ #,##0.00"/>
    <numFmt numFmtId="167" formatCode="&quot;R$&quot;\ #,##0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4"/>
      <color rgb="FF6699CC"/>
      <name val="Calibri"/>
      <family val="2"/>
      <scheme val="minor"/>
    </font>
    <font>
      <sz val="12"/>
      <color rgb="FF6699CC"/>
      <name val="Calibri"/>
      <family val="2"/>
      <scheme val="minor"/>
    </font>
    <font>
      <sz val="14"/>
      <color rgb="FF0563C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59595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28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48"/>
      <color rgb="FF333333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999999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9"/>
      <color indexed="81"/>
      <name val="Segoe UI"/>
      <family val="2"/>
    </font>
    <font>
      <sz val="12"/>
      <color indexed="8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333"/>
        <bgColor rgb="FF000000"/>
      </patternFill>
    </fill>
  </fills>
  <borders count="34">
    <border>
      <left/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theme="0"/>
      </top>
      <bottom style="thin">
        <color theme="0" tint="-0.14996795556505021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/>
      <right style="medium">
        <color theme="0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42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4" fillId="4" borderId="0" xfId="0" applyFont="1" applyFill="1"/>
    <xf numFmtId="0" fontId="0" fillId="0" borderId="0" xfId="0" applyAlignment="1">
      <alignment horizontal="left" vertical="center" wrapText="1" indent="1"/>
    </xf>
    <xf numFmtId="0" fontId="6" fillId="0" borderId="0" xfId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4" borderId="0" xfId="0" applyFont="1" applyFill="1" applyAlignment="1">
      <alignment vertical="top"/>
    </xf>
    <xf numFmtId="0" fontId="3" fillId="2" borderId="0" xfId="0" applyFont="1" applyFill="1"/>
    <xf numFmtId="0" fontId="0" fillId="0" borderId="0" xfId="0" applyFill="1"/>
    <xf numFmtId="0" fontId="13" fillId="0" borderId="0" xfId="0" applyFont="1" applyFill="1"/>
    <xf numFmtId="0" fontId="15" fillId="0" borderId="0" xfId="0" applyFont="1" applyFill="1"/>
    <xf numFmtId="0" fontId="17" fillId="0" borderId="0" xfId="0" applyFont="1" applyAlignment="1">
      <alignment vertical="center"/>
    </xf>
    <xf numFmtId="0" fontId="19" fillId="5" borderId="0" xfId="1" applyFont="1" applyFill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22" fillId="6" borderId="5" xfId="0" applyFont="1" applyFill="1" applyBorder="1" applyAlignment="1">
      <alignment horizontal="left" vertical="center" indent="1"/>
    </xf>
    <xf numFmtId="166" fontId="23" fillId="7" borderId="10" xfId="0" applyNumberFormat="1" applyFont="1" applyFill="1" applyBorder="1" applyAlignment="1">
      <alignment horizontal="center" vertical="center"/>
    </xf>
    <xf numFmtId="0" fontId="11" fillId="0" borderId="8" xfId="0" applyFont="1" applyBorder="1" applyAlignment="1" applyProtection="1">
      <alignment horizontal="left" vertical="center" indent="1"/>
      <protection locked="0"/>
    </xf>
    <xf numFmtId="166" fontId="11" fillId="0" borderId="8" xfId="0" applyNumberFormat="1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center" indent="1"/>
      <protection locked="0"/>
    </xf>
    <xf numFmtId="166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9" fontId="0" fillId="0" borderId="0" xfId="3" applyFont="1"/>
    <xf numFmtId="0" fontId="22" fillId="6" borderId="6" xfId="0" applyFont="1" applyFill="1" applyBorder="1" applyAlignment="1">
      <alignment horizontal="left" vertical="center" indent="1"/>
    </xf>
    <xf numFmtId="9" fontId="11" fillId="0" borderId="7" xfId="3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indent="1"/>
    </xf>
    <xf numFmtId="0" fontId="24" fillId="3" borderId="12" xfId="0" applyFont="1" applyFill="1" applyBorder="1" applyAlignment="1">
      <alignment horizontal="left" vertical="center" indent="1"/>
    </xf>
    <xf numFmtId="0" fontId="24" fillId="3" borderId="15" xfId="0" applyFont="1" applyFill="1" applyBorder="1" applyAlignment="1">
      <alignment horizontal="left" vertical="center" indent="1"/>
    </xf>
    <xf numFmtId="166" fontId="0" fillId="0" borderId="0" xfId="0" applyNumberFormat="1"/>
    <xf numFmtId="0" fontId="22" fillId="6" borderId="6" xfId="0" applyFont="1" applyFill="1" applyBorder="1" applyAlignment="1">
      <alignment horizontal="left" vertical="center" wrapText="1" indent="1"/>
    </xf>
    <xf numFmtId="9" fontId="23" fillId="7" borderId="10" xfId="3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left" vertical="center" indent="1"/>
    </xf>
    <xf numFmtId="0" fontId="22" fillId="6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4" fillId="3" borderId="12" xfId="0" applyFont="1" applyFill="1" applyBorder="1" applyAlignment="1">
      <alignment horizontal="left" vertical="center" wrapText="1" indent="1"/>
    </xf>
    <xf numFmtId="0" fontId="11" fillId="0" borderId="18" xfId="0" applyFont="1" applyBorder="1" applyAlignment="1" applyProtection="1">
      <alignment horizontal="left" vertical="center" indent="1"/>
      <protection locked="0"/>
    </xf>
    <xf numFmtId="0" fontId="11" fillId="0" borderId="7" xfId="0" applyFont="1" applyBorder="1" applyAlignment="1" applyProtection="1">
      <alignment horizontal="left" vertical="center" wrapText="1" indent="1"/>
      <protection locked="0"/>
    </xf>
    <xf numFmtId="0" fontId="24" fillId="3" borderId="12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left" vertical="center" wrapText="1" indent="1"/>
    </xf>
    <xf numFmtId="166" fontId="23" fillId="7" borderId="5" xfId="0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left" vertical="center" indent="1"/>
    </xf>
    <xf numFmtId="1" fontId="23" fillId="7" borderId="10" xfId="0" applyNumberFormat="1" applyFont="1" applyFill="1" applyBorder="1" applyAlignment="1">
      <alignment horizontal="center" vertical="center"/>
    </xf>
    <xf numFmtId="1" fontId="23" fillId="7" borderId="5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1" fontId="24" fillId="3" borderId="6" xfId="0" applyNumberFormat="1" applyFont="1" applyFill="1" applyBorder="1" applyAlignment="1">
      <alignment horizontal="left" vertical="center" indent="1"/>
    </xf>
    <xf numFmtId="0" fontId="24" fillId="3" borderId="6" xfId="0" applyFont="1" applyFill="1" applyBorder="1" applyAlignment="1">
      <alignment horizontal="left" vertical="center" indent="1"/>
    </xf>
    <xf numFmtId="1" fontId="23" fillId="7" borderId="7" xfId="0" applyNumberFormat="1" applyFont="1" applyFill="1" applyBorder="1" applyAlignment="1">
      <alignment horizontal="center" vertical="center"/>
    </xf>
    <xf numFmtId="166" fontId="23" fillId="7" borderId="7" xfId="0" applyNumberFormat="1" applyFont="1" applyFill="1" applyBorder="1" applyAlignment="1">
      <alignment horizontal="center" vertical="center"/>
    </xf>
    <xf numFmtId="1" fontId="0" fillId="0" borderId="0" xfId="0" applyNumberFormat="1"/>
    <xf numFmtId="9" fontId="23" fillId="7" borderId="7" xfId="3" applyFont="1" applyFill="1" applyBorder="1" applyAlignment="1">
      <alignment horizontal="center" vertical="center"/>
    </xf>
    <xf numFmtId="167" fontId="23" fillId="7" borderId="7" xfId="3" applyNumberFormat="1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166" fontId="11" fillId="0" borderId="27" xfId="0" applyNumberFormat="1" applyFont="1" applyBorder="1" applyAlignment="1" applyProtection="1">
      <alignment horizontal="center" vertical="center"/>
      <protection locked="0"/>
    </xf>
    <xf numFmtId="166" fontId="11" fillId="0" borderId="28" xfId="0" applyNumberFormat="1" applyFont="1" applyBorder="1" applyAlignment="1" applyProtection="1">
      <alignment horizontal="center" vertical="center"/>
      <protection locked="0"/>
    </xf>
    <xf numFmtId="166" fontId="11" fillId="0" borderId="29" xfId="0" applyNumberFormat="1" applyFont="1" applyBorder="1" applyAlignment="1" applyProtection="1">
      <alignment horizontal="center" vertical="center"/>
      <protection locked="0"/>
    </xf>
    <xf numFmtId="166" fontId="11" fillId="0" borderId="30" xfId="0" applyNumberFormat="1" applyFont="1" applyBorder="1" applyAlignment="1" applyProtection="1">
      <alignment horizontal="center" vertical="center"/>
      <protection locked="0"/>
    </xf>
    <xf numFmtId="166" fontId="23" fillId="4" borderId="10" xfId="0" applyNumberFormat="1" applyFont="1" applyFill="1" applyBorder="1" applyAlignment="1">
      <alignment horizontal="center" vertical="center"/>
    </xf>
    <xf numFmtId="9" fontId="23" fillId="4" borderId="5" xfId="3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left" vertical="center" indent="1"/>
    </xf>
    <xf numFmtId="0" fontId="23" fillId="4" borderId="12" xfId="0" applyFont="1" applyFill="1" applyBorder="1" applyAlignment="1">
      <alignment horizontal="left" vertical="center" indent="1"/>
    </xf>
    <xf numFmtId="0" fontId="23" fillId="4" borderId="15" xfId="0" applyFont="1" applyFill="1" applyBorder="1" applyAlignment="1">
      <alignment horizontal="left" vertical="center" indent="1"/>
    </xf>
    <xf numFmtId="166" fontId="23" fillId="4" borderId="5" xfId="0" applyNumberFormat="1" applyFont="1" applyFill="1" applyBorder="1" applyAlignment="1" applyProtection="1">
      <alignment horizontal="center" vertical="center"/>
      <protection locked="0"/>
    </xf>
    <xf numFmtId="1" fontId="23" fillId="4" borderId="5" xfId="0" applyNumberFormat="1" applyFont="1" applyFill="1" applyBorder="1" applyAlignment="1" applyProtection="1">
      <alignment horizontal="center" vertical="center"/>
      <protection locked="0"/>
    </xf>
    <xf numFmtId="166" fontId="23" fillId="4" borderId="5" xfId="0" applyNumberFormat="1" applyFont="1" applyFill="1" applyBorder="1" applyAlignment="1">
      <alignment horizontal="center" vertical="center"/>
    </xf>
    <xf numFmtId="1" fontId="23" fillId="4" borderId="5" xfId="0" applyNumberFormat="1" applyFont="1" applyFill="1" applyBorder="1" applyAlignment="1">
      <alignment horizontal="center" vertical="center"/>
    </xf>
    <xf numFmtId="166" fontId="23" fillId="4" borderId="5" xfId="0" applyNumberFormat="1" applyFont="1" applyFill="1" applyBorder="1" applyAlignment="1" applyProtection="1">
      <alignment horizontal="center" vertical="center"/>
    </xf>
    <xf numFmtId="1" fontId="23" fillId="4" borderId="5" xfId="2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4" applyFont="1" applyAlignment="1">
      <alignment horizontal="center"/>
    </xf>
    <xf numFmtId="0" fontId="3" fillId="0" borderId="0" xfId="0" applyFont="1" applyAlignment="1">
      <alignment wrapText="1"/>
    </xf>
    <xf numFmtId="0" fontId="14" fillId="2" borderId="0" xfId="0" applyFont="1" applyFill="1"/>
    <xf numFmtId="0" fontId="14" fillId="8" borderId="0" xfId="0" applyFont="1" applyFill="1"/>
    <xf numFmtId="0" fontId="14" fillId="0" borderId="0" xfId="0" applyFont="1"/>
    <xf numFmtId="0" fontId="14" fillId="4" borderId="0" xfId="0" applyFont="1" applyFill="1"/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166" fontId="23" fillId="4" borderId="5" xfId="0" applyNumberFormat="1" applyFont="1" applyFill="1" applyBorder="1" applyAlignment="1" applyProtection="1">
      <alignment horizontal="center" vertical="center"/>
    </xf>
    <xf numFmtId="0" fontId="23" fillId="4" borderId="12" xfId="0" applyFont="1" applyFill="1" applyBorder="1" applyAlignment="1" applyProtection="1">
      <alignment horizontal="left" vertical="center" indent="1"/>
    </xf>
    <xf numFmtId="0" fontId="18" fillId="0" borderId="0" xfId="0" applyFont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2" fillId="6" borderId="13" xfId="0" applyFont="1" applyFill="1" applyBorder="1" applyAlignment="1">
      <alignment horizontal="left" vertical="center" indent="1"/>
    </xf>
    <xf numFmtId="0" fontId="22" fillId="6" borderId="14" xfId="0" applyFont="1" applyFill="1" applyBorder="1" applyAlignment="1">
      <alignment horizontal="left" vertical="center" indent="1"/>
    </xf>
    <xf numFmtId="0" fontId="11" fillId="5" borderId="15" xfId="0" applyFont="1" applyFill="1" applyBorder="1" applyAlignment="1">
      <alignment horizontal="left" vertical="center" indent="1"/>
    </xf>
    <xf numFmtId="0" fontId="11" fillId="5" borderId="16" xfId="0" applyFont="1" applyFill="1" applyBorder="1" applyAlignment="1">
      <alignment horizontal="left" vertical="center" indent="1"/>
    </xf>
    <xf numFmtId="0" fontId="11" fillId="5" borderId="13" xfId="0" applyFont="1" applyFill="1" applyBorder="1" applyAlignment="1">
      <alignment horizontal="left" vertical="center" indent="1"/>
    </xf>
    <xf numFmtId="166" fontId="23" fillId="4" borderId="5" xfId="0" applyNumberFormat="1" applyFont="1" applyFill="1" applyBorder="1" applyAlignment="1" applyProtection="1">
      <alignment horizontal="center" vertical="center"/>
    </xf>
    <xf numFmtId="0" fontId="23" fillId="7" borderId="12" xfId="0" applyFont="1" applyFill="1" applyBorder="1" applyAlignment="1">
      <alignment horizontal="left" vertical="center" indent="1"/>
    </xf>
    <xf numFmtId="0" fontId="23" fillId="7" borderId="10" xfId="0" applyFont="1" applyFill="1" applyBorder="1" applyAlignment="1">
      <alignment horizontal="left" vertical="center" indent="1"/>
    </xf>
    <xf numFmtId="0" fontId="23" fillId="4" borderId="12" xfId="0" applyFont="1" applyFill="1" applyBorder="1" applyAlignment="1">
      <alignment horizontal="left" vertical="center" indent="1"/>
    </xf>
    <xf numFmtId="0" fontId="23" fillId="4" borderId="10" xfId="0" applyFont="1" applyFill="1" applyBorder="1" applyAlignment="1">
      <alignment horizontal="left" vertical="center" indent="1"/>
    </xf>
    <xf numFmtId="0" fontId="24" fillId="3" borderId="12" xfId="0" applyFont="1" applyFill="1" applyBorder="1" applyAlignment="1">
      <alignment horizontal="left" vertical="center" indent="1"/>
    </xf>
    <xf numFmtId="0" fontId="24" fillId="3" borderId="10" xfId="0" applyFont="1" applyFill="1" applyBorder="1" applyAlignment="1">
      <alignment horizontal="left" vertical="center" indent="1"/>
    </xf>
    <xf numFmtId="0" fontId="22" fillId="6" borderId="5" xfId="0" applyFont="1" applyFill="1" applyBorder="1" applyAlignment="1">
      <alignment horizontal="left" vertical="center" indent="1"/>
    </xf>
    <xf numFmtId="166" fontId="23" fillId="4" borderId="5" xfId="0" applyNumberFormat="1" applyFont="1" applyFill="1" applyBorder="1" applyAlignment="1">
      <alignment horizontal="left" vertical="center" indent="1"/>
    </xf>
    <xf numFmtId="0" fontId="24" fillId="3" borderId="5" xfId="0" applyFont="1" applyFill="1" applyBorder="1" applyAlignment="1">
      <alignment horizontal="left" vertical="center" indent="1"/>
    </xf>
    <xf numFmtId="0" fontId="23" fillId="4" borderId="22" xfId="0" applyFont="1" applyFill="1" applyBorder="1" applyAlignment="1">
      <alignment horizontal="left" vertical="center" wrapText="1" indent="1"/>
    </xf>
    <xf numFmtId="0" fontId="23" fillId="4" borderId="17" xfId="0" applyFont="1" applyFill="1" applyBorder="1" applyAlignment="1">
      <alignment horizontal="left" vertical="center" wrapText="1" indent="1"/>
    </xf>
    <xf numFmtId="0" fontId="23" fillId="4" borderId="8" xfId="0" applyFont="1" applyFill="1" applyBorder="1" applyAlignment="1">
      <alignment horizontal="left" vertical="center" wrapText="1" indent="1"/>
    </xf>
    <xf numFmtId="0" fontId="23" fillId="4" borderId="22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left" vertical="center" wrapText="1" indent="1"/>
    </xf>
    <xf numFmtId="0" fontId="23" fillId="4" borderId="0" xfId="0" applyFont="1" applyFill="1" applyBorder="1" applyAlignment="1">
      <alignment horizontal="left" vertical="center" wrapText="1" indent="1"/>
    </xf>
    <xf numFmtId="0" fontId="27" fillId="0" borderId="31" xfId="0" applyFont="1" applyFill="1" applyBorder="1" applyAlignment="1">
      <alignment horizontal="center" vertical="center" wrapText="1"/>
    </xf>
    <xf numFmtId="0" fontId="27" fillId="0" borderId="32" xfId="0" applyFont="1" applyFill="1" applyBorder="1" applyAlignment="1">
      <alignment horizontal="center" vertical="center" wrapText="1"/>
    </xf>
    <xf numFmtId="0" fontId="27" fillId="0" borderId="33" xfId="0" applyFont="1" applyFill="1" applyBorder="1" applyAlignment="1">
      <alignment horizontal="center" vertical="center" wrapText="1"/>
    </xf>
    <xf numFmtId="166" fontId="23" fillId="4" borderId="12" xfId="0" applyNumberFormat="1" applyFont="1" applyFill="1" applyBorder="1" applyAlignment="1">
      <alignment horizontal="left" vertical="center" indent="1"/>
    </xf>
    <xf numFmtId="166" fontId="23" fillId="4" borderId="10" xfId="0" applyNumberFormat="1" applyFont="1" applyFill="1" applyBorder="1" applyAlignment="1">
      <alignment horizontal="left" vertical="center" indent="1"/>
    </xf>
    <xf numFmtId="0" fontId="23" fillId="4" borderId="2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center" wrapText="1"/>
    </xf>
    <xf numFmtId="166" fontId="23" fillId="4" borderId="5" xfId="0" applyNumberFormat="1" applyFont="1" applyFill="1" applyBorder="1" applyAlignment="1" applyProtection="1">
      <alignment horizontal="left" vertical="center" indent="1"/>
      <protection locked="0"/>
    </xf>
    <xf numFmtId="1" fontId="23" fillId="4" borderId="5" xfId="2" applyNumberFormat="1" applyFont="1" applyFill="1" applyBorder="1" applyAlignment="1" applyProtection="1">
      <alignment horizontal="left" vertical="center" indent="1"/>
      <protection locked="0"/>
    </xf>
    <xf numFmtId="0" fontId="22" fillId="6" borderId="16" xfId="0" applyFont="1" applyFill="1" applyBorder="1" applyAlignment="1">
      <alignment horizontal="left" vertical="center" indent="1"/>
    </xf>
    <xf numFmtId="0" fontId="22" fillId="6" borderId="0" xfId="0" applyFont="1" applyFill="1" applyBorder="1" applyAlignment="1">
      <alignment horizontal="left" vertical="center" indent="1"/>
    </xf>
    <xf numFmtId="0" fontId="24" fillId="3" borderId="16" xfId="0" applyFont="1" applyFill="1" applyBorder="1" applyAlignment="1">
      <alignment horizontal="left" vertical="center" indent="1"/>
    </xf>
    <xf numFmtId="0" fontId="24" fillId="3" borderId="23" xfId="0" applyFont="1" applyFill="1" applyBorder="1" applyAlignment="1">
      <alignment horizontal="left" vertical="center" indent="1"/>
    </xf>
    <xf numFmtId="0" fontId="11" fillId="5" borderId="6" xfId="0" applyFont="1" applyFill="1" applyBorder="1" applyAlignment="1">
      <alignment horizontal="left" vertical="center" indent="1"/>
    </xf>
    <xf numFmtId="0" fontId="11" fillId="5" borderId="25" xfId="0" applyFont="1" applyFill="1" applyBorder="1" applyAlignment="1">
      <alignment horizontal="left" vertical="center" indent="1"/>
    </xf>
    <xf numFmtId="0" fontId="11" fillId="5" borderId="26" xfId="0" applyFont="1" applyFill="1" applyBorder="1" applyAlignment="1">
      <alignment horizontal="left" vertical="center" indent="1"/>
    </xf>
    <xf numFmtId="0" fontId="24" fillId="3" borderId="0" xfId="0" applyFont="1" applyFill="1" applyBorder="1" applyAlignment="1">
      <alignment horizontal="left" vertical="center" indent="1"/>
    </xf>
    <xf numFmtId="166" fontId="23" fillId="4" borderId="6" xfId="0" applyNumberFormat="1" applyFont="1" applyFill="1" applyBorder="1" applyAlignment="1" applyProtection="1">
      <alignment horizontal="left" vertical="center" indent="1"/>
      <protection locked="0"/>
    </xf>
    <xf numFmtId="166" fontId="23" fillId="4" borderId="25" xfId="0" applyNumberFormat="1" applyFont="1" applyFill="1" applyBorder="1" applyAlignment="1" applyProtection="1">
      <alignment horizontal="left" vertical="center" indent="1"/>
      <protection locked="0"/>
    </xf>
    <xf numFmtId="166" fontId="23" fillId="4" borderId="26" xfId="0" applyNumberFormat="1" applyFont="1" applyFill="1" applyBorder="1" applyAlignment="1" applyProtection="1">
      <alignment horizontal="left" vertical="center" indent="1"/>
      <protection locked="0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3" fillId="7" borderId="7" xfId="0" applyFont="1" applyFill="1" applyBorder="1" applyAlignment="1">
      <alignment horizontal="left" vertical="center" indent="1"/>
    </xf>
    <xf numFmtId="0" fontId="24" fillId="3" borderId="15" xfId="0" applyFont="1" applyFill="1" applyBorder="1" applyAlignment="1">
      <alignment horizontal="left" vertical="center" indent="1"/>
    </xf>
    <xf numFmtId="0" fontId="24" fillId="3" borderId="19" xfId="0" applyFont="1" applyFill="1" applyBorder="1" applyAlignment="1">
      <alignment horizontal="left" vertical="center" indent="1"/>
    </xf>
  </cellXfs>
  <cellStyles count="6">
    <cellStyle name="Hiperlink" xfId="1" builtinId="8"/>
    <cellStyle name="Hiperlink Visitado" xfId="5" builtinId="9" hidden="1"/>
    <cellStyle name="Moeda" xfId="4" builtinId="4"/>
    <cellStyle name="Normal" xfId="0" builtinId="0"/>
    <cellStyle name="Porcentagem" xfId="3" builtinId="5"/>
    <cellStyle name="Vírgula" xfId="2" builtinId="3"/>
  </cellStyles>
  <dxfs count="13">
    <dxf>
      <font>
        <color rgb="FF000000"/>
      </font>
      <fill>
        <patternFill>
          <bgColor rgb="FFFF9797"/>
        </patternFill>
      </fill>
    </dxf>
    <dxf>
      <font>
        <color rgb="FF000000"/>
      </font>
      <fill>
        <patternFill>
          <bgColor rgb="FF99CC99"/>
        </patternFill>
      </fill>
    </dxf>
    <dxf>
      <font>
        <color rgb="FF000000"/>
      </font>
      <fill>
        <patternFill>
          <bgColor rgb="FFFFE599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rgb="FF000000"/>
      </font>
      <fill>
        <patternFill>
          <bgColor rgb="FFFF9797"/>
        </patternFill>
      </fill>
    </dxf>
    <dxf>
      <font>
        <color rgb="FF000000"/>
      </font>
      <fill>
        <patternFill>
          <bgColor rgb="FF99CC99"/>
        </patternFill>
      </fill>
    </dxf>
    <dxf>
      <font>
        <color rgb="FF000000"/>
      </font>
      <fill>
        <patternFill>
          <bgColor rgb="FFFFE599"/>
        </patternFill>
      </fill>
    </dxf>
    <dxf>
      <fill>
        <patternFill>
          <bgColor theme="0" tint="-4.9989318521683403E-2"/>
        </patternFill>
      </fill>
    </dxf>
    <dxf>
      <font>
        <color rgb="FF999999"/>
      </font>
      <fill>
        <patternFill>
          <bgColor rgb="FFEAEAEA"/>
        </patternFill>
      </fill>
    </dxf>
    <dxf>
      <font>
        <color rgb="FF000000"/>
      </font>
      <fill>
        <patternFill>
          <bgColor rgb="FFFF9797"/>
        </patternFill>
      </fill>
    </dxf>
    <dxf>
      <font>
        <color rgb="FF000000"/>
      </font>
      <fill>
        <patternFill>
          <bgColor rgb="FFFFE599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AEAEA"/>
      <color rgb="FF999999"/>
      <color rgb="FFFF6666"/>
      <color rgb="FFFF9797"/>
      <color rgb="FF4F81BD"/>
      <color rgb="FF6699CC"/>
      <color rgb="FF000000"/>
      <color rgb="FFFFE599"/>
      <color rgb="FF99CC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Receita Gerada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'RC'!$F$30:$F$39</c:f>
              <c:numCache>
                <c:formatCode>"R$"\ #,##0.00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'RC'!$C$30:$D$39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95823376"/>
        <c:axId val="-1982724256"/>
      </c:barChart>
      <c:catAx>
        <c:axId val="-19958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82724256"/>
        <c:crosses val="autoZero"/>
        <c:auto val="1"/>
        <c:lblAlgn val="ctr"/>
        <c:lblOffset val="100"/>
        <c:noMultiLvlLbl val="0"/>
      </c:catAx>
      <c:valAx>
        <c:axId val="-1982724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5823376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Graf_Sup!$C$3:$C$12</c:f>
              <c:numCache>
                <c:formatCode>0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Graf_Sup!$A$3:$B$12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80102960"/>
        <c:axId val="-1996339232"/>
      </c:barChart>
      <c:catAx>
        <c:axId val="-5801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6339232"/>
        <c:crosses val="autoZero"/>
        <c:auto val="1"/>
        <c:lblAlgn val="ctr"/>
        <c:lblOffset val="100"/>
        <c:noMultiLvlLbl val="0"/>
      </c:catAx>
      <c:valAx>
        <c:axId val="-19963392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0102960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IMC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Graf_Sup!$C$16:$C$25</c:f>
              <c:numCache>
                <c:formatCode>0%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Graf_Sup!$A$16:$B$25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341536"/>
        <c:axId val="-1996260224"/>
      </c:barChart>
      <c:catAx>
        <c:axId val="14403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6260224"/>
        <c:crosses val="autoZero"/>
        <c:auto val="1"/>
        <c:lblAlgn val="ctr"/>
        <c:lblOffset val="100"/>
        <c:noMultiLvlLbl val="0"/>
      </c:catAx>
      <c:valAx>
        <c:axId val="-19962602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0341536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Graf_Sup!$A$29</c:f>
              <c:strCache>
                <c:ptCount val="1"/>
                <c:pt idx="0">
                  <c:v>Custos fixos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Graf_Sup!$C$30:$C$39</c:f>
              <c:numCache>
                <c:formatCode>"R$"\ #,##0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Graf_Sup!$A$30:$B$39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Custos Diretos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Graf_Sup!$A$44:$B$47</c:f>
              <c:strCache>
                <c:ptCount val="4"/>
                <c:pt idx="0">
                  <c:v>Matéria - prima</c:v>
                </c:pt>
                <c:pt idx="1">
                  <c:v>Impostos</c:v>
                </c:pt>
                <c:pt idx="2">
                  <c:v>Impostos</c:v>
                </c:pt>
                <c:pt idx="3">
                  <c:v>Impostos</c:v>
                </c:pt>
              </c:strCache>
            </c:strRef>
          </c:cat>
          <c:val>
            <c:numRef>
              <c:f>Graf_Sup!$C$44:$C$47</c:f>
              <c:numCache>
                <c:formatCode>"R$"\ #,##0</c:formatCode>
                <c:ptCount val="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23225696"/>
        <c:axId val="1409786144"/>
      </c:barChart>
      <c:catAx>
        <c:axId val="-212322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786144"/>
        <c:crosses val="autoZero"/>
        <c:auto val="1"/>
        <c:lblAlgn val="ctr"/>
        <c:lblOffset val="100"/>
        <c:noMultiLvlLbl val="0"/>
      </c:catAx>
      <c:valAx>
        <c:axId val="140978614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123225696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Preço concorrente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'RC'!$D$22:$D$26</c:f>
              <c:numCache>
                <c:formatCode>"R$"\ #,##0.00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'RC'!$C$22:$C$26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ser>
          <c:idx val="1"/>
          <c:order val="1"/>
          <c:tx>
            <c:v>Seu Preço</c:v>
          </c:tx>
          <c:spPr>
            <a:solidFill>
              <a:srgbClr val="FF6666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'RC'!$E$22:$E$26</c:f>
              <c:numCache>
                <c:formatCode>"R$"\ #,##0.00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'RC'!$C$22:$C$26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559552"/>
        <c:axId val="-2032677792"/>
      </c:barChart>
      <c:catAx>
        <c:axId val="15125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32677792"/>
        <c:crosses val="autoZero"/>
        <c:auto val="1"/>
        <c:lblAlgn val="ctr"/>
        <c:lblOffset val="100"/>
        <c:noMultiLvlLbl val="0"/>
      </c:catAx>
      <c:valAx>
        <c:axId val="-20326777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2559552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651070404624"/>
          <c:y val="0.839284589426322"/>
          <c:w val="0.413181437057273"/>
          <c:h val="0.13214398200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Receita Gerada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'RC'!$F$30:$F$39</c:f>
              <c:numCache>
                <c:formatCode>"R$"\ #,##0.00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'RC'!$C$30:$D$39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80457168"/>
        <c:axId val="1440654800"/>
      </c:barChart>
      <c:catAx>
        <c:axId val="-58045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0654800"/>
        <c:crosses val="autoZero"/>
        <c:auto val="1"/>
        <c:lblAlgn val="ctr"/>
        <c:lblOffset val="100"/>
        <c:noMultiLvlLbl val="0"/>
      </c:catAx>
      <c:valAx>
        <c:axId val="14406548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80457168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Graf_Sup!$C$3:$C$12</c:f>
              <c:numCache>
                <c:formatCode>0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Graf_Sup!$A$3:$B$12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610352"/>
        <c:axId val="1817544512"/>
      </c:barChart>
      <c:catAx>
        <c:axId val="155361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7544512"/>
        <c:crosses val="autoZero"/>
        <c:auto val="1"/>
        <c:lblAlgn val="ctr"/>
        <c:lblOffset val="100"/>
        <c:noMultiLvlLbl val="0"/>
      </c:catAx>
      <c:valAx>
        <c:axId val="181754451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610352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IMC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Graf_Sup!$C$16:$C$25</c:f>
              <c:numCache>
                <c:formatCode>0%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Graf_Sup!$A$16:$B$25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88361936"/>
        <c:axId val="-2082544816"/>
      </c:barChart>
      <c:catAx>
        <c:axId val="-198836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82544816"/>
        <c:crosses val="autoZero"/>
        <c:auto val="1"/>
        <c:lblAlgn val="ctr"/>
        <c:lblOffset val="100"/>
        <c:noMultiLvlLbl val="0"/>
      </c:catAx>
      <c:valAx>
        <c:axId val="-208254481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88361936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Graf_Sup!$A$29</c:f>
              <c:strCache>
                <c:ptCount val="1"/>
                <c:pt idx="0">
                  <c:v>Custos fixos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Graf_Sup!$C$30:$C$39</c:f>
              <c:numCache>
                <c:formatCode>"R$"\ #,##0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Graf_Sup!$A$30:$B$39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Custos Diretos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Graf_Sup!$A$44:$B$47</c:f>
              <c:strCache>
                <c:ptCount val="4"/>
                <c:pt idx="0">
                  <c:v>Matéria - prima</c:v>
                </c:pt>
                <c:pt idx="1">
                  <c:v>Impostos</c:v>
                </c:pt>
                <c:pt idx="2">
                  <c:v>Impostos</c:v>
                </c:pt>
                <c:pt idx="3">
                  <c:v>Impostos</c:v>
                </c:pt>
              </c:strCache>
            </c:strRef>
          </c:cat>
          <c:val>
            <c:numRef>
              <c:f>Graf_Sup!$C$44:$C$47</c:f>
              <c:numCache>
                <c:formatCode>"R$"\ #,##0</c:formatCode>
                <c:ptCount val="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664208"/>
        <c:axId val="1409958000"/>
      </c:barChart>
      <c:catAx>
        <c:axId val="137866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958000"/>
        <c:crosses val="autoZero"/>
        <c:auto val="1"/>
        <c:lblAlgn val="ctr"/>
        <c:lblOffset val="100"/>
        <c:noMultiLvlLbl val="0"/>
      </c:catAx>
      <c:valAx>
        <c:axId val="14099580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8664208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Preço concorrente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'RC'!$D$22:$D$26</c:f>
              <c:numCache>
                <c:formatCode>"R$"\ #,##0.00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'RC'!$C$22:$C$26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ser>
          <c:idx val="1"/>
          <c:order val="1"/>
          <c:tx>
            <c:v>Seu Preço</c:v>
          </c:tx>
          <c:spPr>
            <a:solidFill>
              <a:srgbClr val="FF6666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'RC'!$E$22:$E$26</c:f>
              <c:numCache>
                <c:formatCode>"R$"\ #,##0.00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'RC'!$C$22:$C$26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834608"/>
        <c:axId val="1378630096"/>
      </c:barChart>
      <c:catAx>
        <c:axId val="13778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8630096"/>
        <c:crosses val="autoZero"/>
        <c:auto val="1"/>
        <c:lblAlgn val="ctr"/>
        <c:lblOffset val="100"/>
        <c:noMultiLvlLbl val="0"/>
      </c:catAx>
      <c:valAx>
        <c:axId val="137863009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7834608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651070404624"/>
          <c:y val="0.839284589426322"/>
          <c:w val="0.413181437057273"/>
          <c:h val="0.13214398200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https://www.youtube.com/watch?v=uTVOd3Kv_SY&amp;list=PLWta3T-QZpj4lztMQhaadmQKqkPzl2fCj" TargetMode="External"/><Relationship Id="rId13" Type="http://schemas.openxmlformats.org/officeDocument/2006/relationships/image" Target="../media/image2.png"/><Relationship Id="rId14" Type="http://schemas.openxmlformats.org/officeDocument/2006/relationships/hyperlink" Target="https://www.youtube.com/watch?v=nB5awDCxCQU&amp;list=PLWta3T-QZpj4lztMQhaadmQKqkPzl2fCj&amp;index=2" TargetMode="External"/><Relationship Id="rId15" Type="http://schemas.openxmlformats.org/officeDocument/2006/relationships/hyperlink" Target="https://www.youtube.com/watch?v=7kYrDvnqZP4&amp;list=PLWta3T-QZpj4lztMQhaadmQKqkPzl2fCj&amp;index=3" TargetMode="External"/><Relationship Id="rId16" Type="http://schemas.openxmlformats.org/officeDocument/2006/relationships/hyperlink" Target="https://www.youtube.com/watch?v=7M8v39x27p8&amp;index=4&amp;list=PLWta3T-QZpj4lztMQhaadmQKqkPzl2fCj" TargetMode="External"/><Relationship Id="rId17" Type="http://schemas.openxmlformats.org/officeDocument/2006/relationships/hyperlink" Target="https://www.youtube.com/watch?v=iXP6Qswwq5I&amp;index=5&amp;list=PLWta3T-QZpj4lztMQhaadmQKqkPzl2fCj" TargetMode="External"/><Relationship Id="rId18" Type="http://schemas.openxmlformats.org/officeDocument/2006/relationships/hyperlink" Target="https://www.youtube.com/watch?v=wTSAnhF46SQ&amp;index=6&amp;list=PLWta3T-QZpj4lztMQhaadmQKqkPzl2fCj" TargetMode="External"/><Relationship Id="rId19" Type="http://schemas.openxmlformats.org/officeDocument/2006/relationships/hyperlink" Target="https://www.youtube.com/watch?v=wzSKDUpDyhs&amp;list=PLWta3T-QZpj4lztMQhaadmQKqkPzl2fCj&amp;index=7" TargetMode="External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#'PG_CD'!B1"/><Relationship Id="rId13" Type="http://schemas.openxmlformats.org/officeDocument/2006/relationships/hyperlink" Target="https://www.youtube.com/watch?v=nB5awDCxCQU&amp;list=PLWta3T-QZpj4lztMQhaadmQKqkPzl2fCj&amp;index=2" TargetMode="External"/><Relationship Id="rId14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3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#'Peq_Pro'!B1"/><Relationship Id="rId13" Type="http://schemas.openxmlformats.org/officeDocument/2006/relationships/hyperlink" Target="https://www.youtube.com/watch?v=7kYrDvnqZP4&amp;list=PLWta3T-QZpj4lztMQhaadmQKqkPzl2fCj&amp;index=3" TargetMode="External"/><Relationship Id="rId14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4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#'PG_CD'!B1"/><Relationship Id="rId13" Type="http://schemas.openxmlformats.org/officeDocument/2006/relationships/hyperlink" Target="https://www.youtube.com/watch?v=nB5awDCxCQU&amp;list=PLWta3T-QZpj4lztMQhaadmQKqkPzl2fCj&amp;index=2" TargetMode="External"/><Relationship Id="rId14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5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https://www.youtube.com/watch?v=7kYrDvnqZP4&amp;list=PLWta3T-QZpj4lztMQhaadmQKqkPzl2fCj&amp;index=3" TargetMode="External"/><Relationship Id="rId13" Type="http://schemas.openxmlformats.org/officeDocument/2006/relationships/image" Target="../media/image2.png"/><Relationship Id="rId14" Type="http://schemas.openxmlformats.org/officeDocument/2006/relationships/hyperlink" Target="#'Peq_Pro'!B1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6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https://www.youtube.com/watch?v=7M8v39x27p8&amp;index=4&amp;list=PLWta3T-QZpj4lztMQhaadmQKqkPzl2fCj" TargetMode="External"/><Relationship Id="rId13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7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https://www.youtube.com/watch?v=iXP6Qswwq5I&amp;index=5&amp;list=PLWta3T-QZpj4lztMQhaadmQKqkPzl2fCj" TargetMode="External"/><Relationship Id="rId13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8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chart" Target="../charts/chart1.xml"/><Relationship Id="rId13" Type="http://schemas.openxmlformats.org/officeDocument/2006/relationships/chart" Target="../charts/chart2.xml"/><Relationship Id="rId14" Type="http://schemas.openxmlformats.org/officeDocument/2006/relationships/chart" Target="../charts/chart3.xml"/><Relationship Id="rId15" Type="http://schemas.openxmlformats.org/officeDocument/2006/relationships/chart" Target="../charts/chart4.xml"/><Relationship Id="rId16" Type="http://schemas.openxmlformats.org/officeDocument/2006/relationships/chart" Target="../charts/chart5.xml"/><Relationship Id="rId17" Type="http://schemas.openxmlformats.org/officeDocument/2006/relationships/chart" Target="../charts/chart6.xml"/><Relationship Id="rId18" Type="http://schemas.openxmlformats.org/officeDocument/2006/relationships/hyperlink" Target="https://www.youtube.com/watch?v=wTSAnhF46SQ&amp;index=6&amp;list=PLWta3T-QZpj4lztMQhaadmQKqkPzl2fCj" TargetMode="External"/><Relationship Id="rId19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9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chart" Target="../charts/chart7.xml"/><Relationship Id="rId13" Type="http://schemas.openxmlformats.org/officeDocument/2006/relationships/chart" Target="../charts/chart8.xml"/><Relationship Id="rId14" Type="http://schemas.openxmlformats.org/officeDocument/2006/relationships/chart" Target="../charts/chart9.xml"/><Relationship Id="rId15" Type="http://schemas.openxmlformats.org/officeDocument/2006/relationships/chart" Target="../charts/chart10.xml"/><Relationship Id="rId16" Type="http://schemas.openxmlformats.org/officeDocument/2006/relationships/chart" Target="../charts/chart11.xml"/><Relationship Id="rId17" Type="http://schemas.openxmlformats.org/officeDocument/2006/relationships/chart" Target="../charts/chart12.xml"/><Relationship Id="rId18" Type="http://schemas.openxmlformats.org/officeDocument/2006/relationships/hyperlink" Target="https://www.youtube.com/watch?v=wzSKDUpDyhs&amp;list=PLWta3T-QZpj4lztMQhaadmQKqkPzl2fCj&amp;index=7" TargetMode="External"/><Relationship Id="rId19" Type="http://schemas.openxmlformats.org/officeDocument/2006/relationships/image" Target="../media/image2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10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http://luz.vc/ferramentas/pacotes/pacote-de-planilhas-luz/?utm_source=referral&amp;utm_medium=produtos&amp;utm_campaign=peq3" TargetMode="External"/><Relationship Id="rId13" Type="http://schemas.openxmlformats.org/officeDocument/2006/relationships/image" Target="../media/image3.png"/><Relationship Id="rId14" Type="http://schemas.openxmlformats.org/officeDocument/2006/relationships/hyperlink" Target="http://cursos.luz.vc/course/curso-de-excel-iniciante-e-intermediario/?utm_source=referral&amp;utm_medium=produtos&amp;utm_campaign=peq3" TargetMode="External"/><Relationship Id="rId15" Type="http://schemas.openxmlformats.org/officeDocument/2006/relationships/image" Target="../media/image4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11.xml.rels><?xml version="1.0" encoding="UTF-8" standalone="yes"?>
<Relationships xmlns="http://schemas.openxmlformats.org/package/2006/relationships"><Relationship Id="rId11" Type="http://schemas.openxmlformats.org/officeDocument/2006/relationships/hyperlink" Target="#'Sobre a LUZ'!B1"/><Relationship Id="rId12" Type="http://schemas.openxmlformats.org/officeDocument/2006/relationships/hyperlink" Target="https://luz.vc/minha-conta/?utm_source=referral&amp;utm_medium=produtos&amp;utm_campaign=Peq3" TargetMode="External"/><Relationship Id="rId13" Type="http://schemas.openxmlformats.org/officeDocument/2006/relationships/image" Target="../media/image5.png"/><Relationship Id="rId14" Type="http://schemas.openxmlformats.org/officeDocument/2006/relationships/hyperlink" Target="http://luz.vc/ferramentas/pacotes/pacote-de-planilhas-luz/?utm_source=referral&amp;utm_medium=produtos&amp;utm_campaign=peq3" TargetMode="External"/><Relationship Id="rId15" Type="http://schemas.openxmlformats.org/officeDocument/2006/relationships/image" Target="../media/image3.png"/><Relationship Id="rId16" Type="http://schemas.openxmlformats.org/officeDocument/2006/relationships/hyperlink" Target="http://cursos.luz.vc/course/curso-de-excel-iniciante-e-intermediario/?utm_source=referral&amp;utm_medium=produtos&amp;utm_campaign=peq3" TargetMode="External"/><Relationship Id="rId17" Type="http://schemas.openxmlformats.org/officeDocument/2006/relationships/image" Target="../media/image4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Relationship Id="rId9" Type="http://schemas.openxmlformats.org/officeDocument/2006/relationships/hyperlink" Target="#'D&#250;vidas'!B1"/><Relationship Id="rId10" Type="http://schemas.openxmlformats.org/officeDocument/2006/relationships/hyperlink" Target="#'Sugest&#245;es'!B1"/></Relationships>
</file>

<file path=xl/drawings/_rels/drawing12.xml.rels><?xml version="1.0" encoding="UTF-8" standalone="yes"?>
<Relationships xmlns="http://schemas.openxmlformats.org/package/2006/relationships"><Relationship Id="rId9" Type="http://schemas.openxmlformats.org/officeDocument/2006/relationships/hyperlink" Target="#'D&#250;vidas'!B1"/><Relationship Id="rId20" Type="http://schemas.openxmlformats.org/officeDocument/2006/relationships/hyperlink" Target="http://cursos.luz.vc/course/curso-de-excel-iniciante-e-intermediario/?utm_source=referral&amp;utm_medium=produtos&amp;utm_campaign=peq3" TargetMode="External"/><Relationship Id="rId21" Type="http://schemas.openxmlformats.org/officeDocument/2006/relationships/image" Target="../media/image4.png"/><Relationship Id="rId22" Type="http://schemas.openxmlformats.org/officeDocument/2006/relationships/image" Target="../media/image9.jpg"/><Relationship Id="rId23" Type="http://schemas.openxmlformats.org/officeDocument/2006/relationships/hyperlink" Target="http://ajuda.luz.vc/?utm_source=referral&amp;utm_medium=produtos&amp;utm_campaign=peq3" TargetMode="External"/><Relationship Id="rId24" Type="http://schemas.openxmlformats.org/officeDocument/2006/relationships/image" Target="../media/image10.png"/><Relationship Id="rId25" Type="http://schemas.openxmlformats.org/officeDocument/2006/relationships/hyperlink" Target="http://luz.vc/?utm_source=referral&amp;utm_medium=produtos&amp;utm_campaign=peq3" TargetMode="External"/><Relationship Id="rId26" Type="http://schemas.openxmlformats.org/officeDocument/2006/relationships/image" Target="../media/image11.png"/><Relationship Id="rId27" Type="http://schemas.openxmlformats.org/officeDocument/2006/relationships/hyperlink" Target="http://blog.luz.vc/?utm_source=referral&amp;utm_medium=produtos&amp;utm_campaign=peq3" TargetMode="External"/><Relationship Id="rId28" Type="http://schemas.openxmlformats.org/officeDocument/2006/relationships/image" Target="../media/image12.png"/><Relationship Id="rId10" Type="http://schemas.openxmlformats.org/officeDocument/2006/relationships/hyperlink" Target="#'Sugest&#245;es'!B1"/><Relationship Id="rId11" Type="http://schemas.openxmlformats.org/officeDocument/2006/relationships/hyperlink" Target="#'Sobre a LUZ'!B1"/><Relationship Id="rId12" Type="http://schemas.openxmlformats.org/officeDocument/2006/relationships/hyperlink" Target="https://www.facebook.com/luzplanilhas?fref=ts&amp;utm_source=referral&amp;utm_medium=produtos&amp;utm_campaign=peq3" TargetMode="External"/><Relationship Id="rId13" Type="http://schemas.openxmlformats.org/officeDocument/2006/relationships/image" Target="../media/image6.png"/><Relationship Id="rId14" Type="http://schemas.openxmlformats.org/officeDocument/2006/relationships/hyperlink" Target="https://twitter.com/luzplanilhas?utm_source=referral&amp;utm_medium=produtos&amp;utm_campaign=peq3" TargetMode="External"/><Relationship Id="rId15" Type="http://schemas.openxmlformats.org/officeDocument/2006/relationships/image" Target="../media/image7.png"/><Relationship Id="rId16" Type="http://schemas.openxmlformats.org/officeDocument/2006/relationships/hyperlink" Target="https://plus.google.com/+luzvcmesmo/posts?utm_source=referral&amp;utm_medium=produtos&amp;utm_campaign=peq3" TargetMode="External"/><Relationship Id="rId17" Type="http://schemas.openxmlformats.org/officeDocument/2006/relationships/image" Target="../media/image8.png"/><Relationship Id="rId18" Type="http://schemas.openxmlformats.org/officeDocument/2006/relationships/hyperlink" Target="http://luz.vc/ferramentas/pacotes/pacote-de-planilhas-luz/?utm_source=referral&amp;utm_medium=produtos&amp;utm_campaign=peq3" TargetMode="External"/><Relationship Id="rId19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hyperlink" Target="#'Ini'!B1"/><Relationship Id="rId3" Type="http://schemas.openxmlformats.org/officeDocument/2006/relationships/hyperlink" Target="#'PG'!B1"/><Relationship Id="rId4" Type="http://schemas.openxmlformats.org/officeDocument/2006/relationships/hyperlink" Target="#'PEq'!B1"/><Relationship Id="rId5" Type="http://schemas.openxmlformats.org/officeDocument/2006/relationships/hyperlink" Target="#'AC'!B1"/><Relationship Id="rId6" Type="http://schemas.openxmlformats.org/officeDocument/2006/relationships/hyperlink" Target="#'RC'!B1"/><Relationship Id="rId7" Type="http://schemas.openxmlformats.org/officeDocument/2006/relationships/hyperlink" Target="#'Graf'!B1"/><Relationship Id="rId8" Type="http://schemas.openxmlformats.org/officeDocument/2006/relationships/hyperlink" Target="#'RI'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297392</xdr:colOff>
      <xdr:row>0</xdr:row>
      <xdr:rowOff>133350</xdr:rowOff>
    </xdr:from>
    <xdr:to>
      <xdr:col>11</xdr:col>
      <xdr:colOff>407459</xdr:colOff>
      <xdr:row>1</xdr:row>
      <xdr:rowOff>337608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1</xdr:row>
      <xdr:rowOff>274695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1</xdr:row>
      <xdr:rowOff>400053</xdr:rowOff>
    </xdr:from>
    <xdr:to>
      <xdr:col>0</xdr:col>
      <xdr:colOff>1710266</xdr:colOff>
      <xdr:row>1</xdr:row>
      <xdr:rowOff>400053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1</xdr:row>
      <xdr:rowOff>486836</xdr:rowOff>
    </xdr:from>
    <xdr:to>
      <xdr:col>0</xdr:col>
      <xdr:colOff>1756833</xdr:colOff>
      <xdr:row>1</xdr:row>
      <xdr:rowOff>764119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6</xdr:row>
      <xdr:rowOff>382058</xdr:rowOff>
    </xdr:from>
    <xdr:to>
      <xdr:col>0</xdr:col>
      <xdr:colOff>1717675</xdr:colOff>
      <xdr:row>6</xdr:row>
      <xdr:rowOff>382058</xdr:rowOff>
    </xdr:to>
    <xdr:cxnSp macro="">
      <xdr:nvCxnSpPr>
        <xdr:cNvPr id="6" name="Conector reto 5"/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2</xdr:row>
      <xdr:rowOff>85725</xdr:rowOff>
    </xdr:from>
    <xdr:to>
      <xdr:col>1</xdr:col>
      <xdr:colOff>12700</xdr:colOff>
      <xdr:row>2</xdr:row>
      <xdr:rowOff>339725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2</xdr:row>
      <xdr:rowOff>403225</xdr:rowOff>
    </xdr:from>
    <xdr:to>
      <xdr:col>1</xdr:col>
      <xdr:colOff>12700</xdr:colOff>
      <xdr:row>2</xdr:row>
      <xdr:rowOff>657225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22225</xdr:rowOff>
    </xdr:from>
    <xdr:to>
      <xdr:col>1</xdr:col>
      <xdr:colOff>12700</xdr:colOff>
      <xdr:row>3</xdr:row>
      <xdr:rowOff>276225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339725</xdr:rowOff>
    </xdr:from>
    <xdr:to>
      <xdr:col>1</xdr:col>
      <xdr:colOff>12700</xdr:colOff>
      <xdr:row>4</xdr:row>
      <xdr:rowOff>212725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276225</xdr:rowOff>
    </xdr:from>
    <xdr:to>
      <xdr:col>1</xdr:col>
      <xdr:colOff>12700</xdr:colOff>
      <xdr:row>5</xdr:row>
      <xdr:rowOff>1058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64558</xdr:rowOff>
    </xdr:from>
    <xdr:to>
      <xdr:col>1</xdr:col>
      <xdr:colOff>12700</xdr:colOff>
      <xdr:row>5</xdr:row>
      <xdr:rowOff>318558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1058</xdr:rowOff>
    </xdr:from>
    <xdr:to>
      <xdr:col>1</xdr:col>
      <xdr:colOff>12700</xdr:colOff>
      <xdr:row>6</xdr:row>
      <xdr:rowOff>255058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509058</xdr:rowOff>
    </xdr:from>
    <xdr:to>
      <xdr:col>1</xdr:col>
      <xdr:colOff>12700</xdr:colOff>
      <xdr:row>7</xdr:row>
      <xdr:rowOff>149225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212725</xdr:rowOff>
    </xdr:from>
    <xdr:to>
      <xdr:col>1</xdr:col>
      <xdr:colOff>12700</xdr:colOff>
      <xdr:row>8</xdr:row>
      <xdr:rowOff>85725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149225</xdr:rowOff>
    </xdr:from>
    <xdr:to>
      <xdr:col>1</xdr:col>
      <xdr:colOff>12700</xdr:colOff>
      <xdr:row>9</xdr:row>
      <xdr:rowOff>22225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18</xdr:col>
      <xdr:colOff>566208</xdr:colOff>
      <xdr:row>3</xdr:row>
      <xdr:rowOff>0</xdr:rowOff>
    </xdr:to>
    <xdr:cxnSp macro="">
      <xdr:nvCxnSpPr>
        <xdr:cNvPr id="17" name="Conector reto 16"/>
        <xdr:cNvCxnSpPr/>
      </xdr:nvCxnSpPr>
      <xdr:spPr>
        <a:xfrm>
          <a:off x="2106083" y="1947333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16934</xdr:colOff>
      <xdr:row>4</xdr:row>
      <xdr:rowOff>42332</xdr:rowOff>
    </xdr:from>
    <xdr:to>
      <xdr:col>8</xdr:col>
      <xdr:colOff>378884</xdr:colOff>
      <xdr:row>4</xdr:row>
      <xdr:rowOff>400048</xdr:rowOff>
    </xdr:to>
    <xdr:pic>
      <xdr:nvPicPr>
        <xdr:cNvPr id="18" name="Imagem 19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6125" y="2366432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21108</xdr:colOff>
      <xdr:row>5</xdr:row>
      <xdr:rowOff>52915</xdr:rowOff>
    </xdr:from>
    <xdr:to>
      <xdr:col>6</xdr:col>
      <xdr:colOff>668959</xdr:colOff>
      <xdr:row>5</xdr:row>
      <xdr:rowOff>359831</xdr:rowOff>
    </xdr:to>
    <xdr:sp macro="" textlink="">
      <xdr:nvSpPr>
        <xdr:cNvPr id="19" name="Retângulo 18">
          <a:hlinkClick xmlns:r="http://schemas.openxmlformats.org/officeDocument/2006/relationships" r:id="rId14"/>
        </xdr:cNvPr>
        <xdr:cNvSpPr/>
      </xdr:nvSpPr>
      <xdr:spPr>
        <a:xfrm>
          <a:off x="5269383" y="2910415"/>
          <a:ext cx="1695601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 editAs="oneCell">
    <xdr:from>
      <xdr:col>5</xdr:col>
      <xdr:colOff>370347</xdr:colOff>
      <xdr:row>10</xdr:row>
      <xdr:rowOff>52915</xdr:rowOff>
    </xdr:from>
    <xdr:to>
      <xdr:col>6</xdr:col>
      <xdr:colOff>1018198</xdr:colOff>
      <xdr:row>10</xdr:row>
      <xdr:rowOff>359831</xdr:rowOff>
    </xdr:to>
    <xdr:sp macro="" textlink="">
      <xdr:nvSpPr>
        <xdr:cNvPr id="20" name="Retângulo 19">
          <a:hlinkClick xmlns:r="http://schemas.openxmlformats.org/officeDocument/2006/relationships" r:id="rId15"/>
        </xdr:cNvPr>
        <xdr:cNvSpPr/>
      </xdr:nvSpPr>
      <xdr:spPr>
        <a:xfrm>
          <a:off x="5618622" y="5044015"/>
          <a:ext cx="1695601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 editAs="oneCell">
    <xdr:from>
      <xdr:col>2</xdr:col>
      <xdr:colOff>0</xdr:colOff>
      <xdr:row>9</xdr:row>
      <xdr:rowOff>222255</xdr:rowOff>
    </xdr:from>
    <xdr:to>
      <xdr:col>18</xdr:col>
      <xdr:colOff>566208</xdr:colOff>
      <xdr:row>9</xdr:row>
      <xdr:rowOff>222255</xdr:rowOff>
    </xdr:to>
    <xdr:cxnSp macro="">
      <xdr:nvCxnSpPr>
        <xdr:cNvPr id="21" name="Conector reto 20"/>
        <xdr:cNvCxnSpPr/>
      </xdr:nvCxnSpPr>
      <xdr:spPr>
        <a:xfrm>
          <a:off x="2106083" y="4836588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835999</xdr:colOff>
      <xdr:row>15</xdr:row>
      <xdr:rowOff>52915</xdr:rowOff>
    </xdr:from>
    <xdr:to>
      <xdr:col>7</xdr:col>
      <xdr:colOff>436100</xdr:colOff>
      <xdr:row>15</xdr:row>
      <xdr:rowOff>359831</xdr:rowOff>
    </xdr:to>
    <xdr:sp macro="" textlink="">
      <xdr:nvSpPr>
        <xdr:cNvPr id="22" name="Retângulo 21">
          <a:hlinkClick xmlns:r="http://schemas.openxmlformats.org/officeDocument/2006/relationships" r:id="rId16"/>
        </xdr:cNvPr>
        <xdr:cNvSpPr/>
      </xdr:nvSpPr>
      <xdr:spPr>
        <a:xfrm>
          <a:off x="6084274" y="7177615"/>
          <a:ext cx="1695601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 editAs="oneCell">
    <xdr:from>
      <xdr:col>2</xdr:col>
      <xdr:colOff>0</xdr:colOff>
      <xdr:row>14</xdr:row>
      <xdr:rowOff>222255</xdr:rowOff>
    </xdr:from>
    <xdr:to>
      <xdr:col>18</xdr:col>
      <xdr:colOff>566208</xdr:colOff>
      <xdr:row>14</xdr:row>
      <xdr:rowOff>222255</xdr:rowOff>
    </xdr:to>
    <xdr:cxnSp macro="">
      <xdr:nvCxnSpPr>
        <xdr:cNvPr id="23" name="Conector reto 22"/>
        <xdr:cNvCxnSpPr/>
      </xdr:nvCxnSpPr>
      <xdr:spPr>
        <a:xfrm>
          <a:off x="2106083" y="6974422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1026499</xdr:colOff>
      <xdr:row>18</xdr:row>
      <xdr:rowOff>52915</xdr:rowOff>
    </xdr:from>
    <xdr:to>
      <xdr:col>7</xdr:col>
      <xdr:colOff>626600</xdr:colOff>
      <xdr:row>18</xdr:row>
      <xdr:rowOff>359831</xdr:rowOff>
    </xdr:to>
    <xdr:sp macro="" textlink="">
      <xdr:nvSpPr>
        <xdr:cNvPr id="24" name="Retângulo 23">
          <a:hlinkClick xmlns:r="http://schemas.openxmlformats.org/officeDocument/2006/relationships" r:id="rId17"/>
        </xdr:cNvPr>
        <xdr:cNvSpPr/>
      </xdr:nvSpPr>
      <xdr:spPr>
        <a:xfrm>
          <a:off x="6275832" y="8561915"/>
          <a:ext cx="1695601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 editAs="oneCell">
    <xdr:from>
      <xdr:col>2</xdr:col>
      <xdr:colOff>0</xdr:colOff>
      <xdr:row>17</xdr:row>
      <xdr:rowOff>222255</xdr:rowOff>
    </xdr:from>
    <xdr:to>
      <xdr:col>18</xdr:col>
      <xdr:colOff>566208</xdr:colOff>
      <xdr:row>17</xdr:row>
      <xdr:rowOff>222255</xdr:rowOff>
    </xdr:to>
    <xdr:cxnSp macro="">
      <xdr:nvCxnSpPr>
        <xdr:cNvPr id="25" name="Conector reto 24"/>
        <xdr:cNvCxnSpPr/>
      </xdr:nvCxnSpPr>
      <xdr:spPr>
        <a:xfrm>
          <a:off x="2106083" y="8350255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137554</xdr:colOff>
      <xdr:row>21</xdr:row>
      <xdr:rowOff>52915</xdr:rowOff>
    </xdr:from>
    <xdr:to>
      <xdr:col>5</xdr:col>
      <xdr:colOff>785405</xdr:colOff>
      <xdr:row>21</xdr:row>
      <xdr:rowOff>359831</xdr:rowOff>
    </xdr:to>
    <xdr:sp macro="" textlink="">
      <xdr:nvSpPr>
        <xdr:cNvPr id="26" name="Retângulo 25">
          <a:hlinkClick xmlns:r="http://schemas.openxmlformats.org/officeDocument/2006/relationships" r:id="rId18"/>
        </xdr:cNvPr>
        <xdr:cNvSpPr/>
      </xdr:nvSpPr>
      <xdr:spPr>
        <a:xfrm>
          <a:off x="4338079" y="9920815"/>
          <a:ext cx="1695601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 editAs="oneCell">
    <xdr:from>
      <xdr:col>2</xdr:col>
      <xdr:colOff>0</xdr:colOff>
      <xdr:row>20</xdr:row>
      <xdr:rowOff>222255</xdr:rowOff>
    </xdr:from>
    <xdr:to>
      <xdr:col>18</xdr:col>
      <xdr:colOff>566208</xdr:colOff>
      <xdr:row>20</xdr:row>
      <xdr:rowOff>222255</xdr:rowOff>
    </xdr:to>
    <xdr:cxnSp macro="">
      <xdr:nvCxnSpPr>
        <xdr:cNvPr id="27" name="Conector reto 26"/>
        <xdr:cNvCxnSpPr/>
      </xdr:nvCxnSpPr>
      <xdr:spPr>
        <a:xfrm>
          <a:off x="2106083" y="9726088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719586</xdr:colOff>
      <xdr:row>24</xdr:row>
      <xdr:rowOff>52915</xdr:rowOff>
    </xdr:from>
    <xdr:to>
      <xdr:col>7</xdr:col>
      <xdr:colOff>319687</xdr:colOff>
      <xdr:row>24</xdr:row>
      <xdr:rowOff>359831</xdr:rowOff>
    </xdr:to>
    <xdr:sp macro="" textlink="">
      <xdr:nvSpPr>
        <xdr:cNvPr id="28" name="Retângulo 27">
          <a:hlinkClick xmlns:r="http://schemas.openxmlformats.org/officeDocument/2006/relationships" r:id="rId19"/>
        </xdr:cNvPr>
        <xdr:cNvSpPr/>
      </xdr:nvSpPr>
      <xdr:spPr>
        <a:xfrm>
          <a:off x="5967861" y="11292415"/>
          <a:ext cx="1695601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 editAs="oneCell">
    <xdr:from>
      <xdr:col>2</xdr:col>
      <xdr:colOff>0</xdr:colOff>
      <xdr:row>23</xdr:row>
      <xdr:rowOff>222255</xdr:rowOff>
    </xdr:from>
    <xdr:to>
      <xdr:col>18</xdr:col>
      <xdr:colOff>566208</xdr:colOff>
      <xdr:row>23</xdr:row>
      <xdr:rowOff>222255</xdr:rowOff>
    </xdr:to>
    <xdr:cxnSp macro="">
      <xdr:nvCxnSpPr>
        <xdr:cNvPr id="29" name="Conector reto 28"/>
        <xdr:cNvCxnSpPr/>
      </xdr:nvCxnSpPr>
      <xdr:spPr>
        <a:xfrm>
          <a:off x="2106083" y="11101922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68086</xdr:colOff>
      <xdr:row>0</xdr:row>
      <xdr:rowOff>133350</xdr:rowOff>
    </xdr:from>
    <xdr:to>
      <xdr:col>6</xdr:col>
      <xdr:colOff>664986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61375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Esta e a primeira</a:t>
          </a:r>
          <a:r>
            <a:rPr lang="pt-BR" sz="1100" baseline="0"/>
            <a:t> etapa da planilha. Aqui você irá registrar uma projeção das suas vendas. Estas informações são necessárias para a planilha a gerar os resultados.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205669</xdr:rowOff>
    </xdr:from>
    <xdr:to>
      <xdr:col>0</xdr:col>
      <xdr:colOff>1717675</xdr:colOff>
      <xdr:row>10</xdr:row>
      <xdr:rowOff>205669</xdr:rowOff>
    </xdr:to>
    <xdr:cxnSp macro="">
      <xdr:nvCxnSpPr>
        <xdr:cNvPr id="6" name="Conector reto 5"/>
        <xdr:cNvCxnSpPr/>
      </xdr:nvCxnSpPr>
      <xdr:spPr>
        <a:xfrm>
          <a:off x="152400" y="3624086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195086</xdr:rowOff>
    </xdr:from>
    <xdr:to>
      <xdr:col>1</xdr:col>
      <xdr:colOff>12700</xdr:colOff>
      <xdr:row>5</xdr:row>
      <xdr:rowOff>68086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131586</xdr:rowOff>
    </xdr:from>
    <xdr:to>
      <xdr:col>1</xdr:col>
      <xdr:colOff>12700</xdr:colOff>
      <xdr:row>6</xdr:row>
      <xdr:rowOff>4586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68086</xdr:rowOff>
    </xdr:from>
    <xdr:to>
      <xdr:col>1</xdr:col>
      <xdr:colOff>12700</xdr:colOff>
      <xdr:row>6</xdr:row>
      <xdr:rowOff>322086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4586</xdr:rowOff>
    </xdr:from>
    <xdr:to>
      <xdr:col>1</xdr:col>
      <xdr:colOff>12700</xdr:colOff>
      <xdr:row>7</xdr:row>
      <xdr:rowOff>258586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322086</xdr:rowOff>
    </xdr:from>
    <xdr:to>
      <xdr:col>1</xdr:col>
      <xdr:colOff>12700</xdr:colOff>
      <xdr:row>8</xdr:row>
      <xdr:rowOff>195086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322086</xdr:rowOff>
    </xdr:from>
    <xdr:to>
      <xdr:col>1</xdr:col>
      <xdr:colOff>12700</xdr:colOff>
      <xdr:row>11</xdr:row>
      <xdr:rowOff>195086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258586</xdr:rowOff>
    </xdr:from>
    <xdr:to>
      <xdr:col>1</xdr:col>
      <xdr:colOff>12700</xdr:colOff>
      <xdr:row>12</xdr:row>
      <xdr:rowOff>131586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195086</xdr:rowOff>
    </xdr:from>
    <xdr:to>
      <xdr:col>1</xdr:col>
      <xdr:colOff>12700</xdr:colOff>
      <xdr:row>13</xdr:row>
      <xdr:rowOff>68086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1275875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3"/>
        </xdr:cNvPr>
        <xdr:cNvSpPr/>
      </xdr:nvSpPr>
      <xdr:spPr>
        <a:xfrm>
          <a:off x="2224264" y="674864"/>
          <a:ext cx="1260000" cy="309033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2</xdr:col>
      <xdr:colOff>1318326</xdr:colOff>
      <xdr:row>1</xdr:row>
      <xdr:rowOff>244475</xdr:rowOff>
    </xdr:from>
    <xdr:to>
      <xdr:col>2</xdr:col>
      <xdr:colOff>2578326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12"/>
        </xdr:cNvPr>
        <xdr:cNvSpPr/>
      </xdr:nvSpPr>
      <xdr:spPr>
        <a:xfrm>
          <a:off x="3526715" y="674864"/>
          <a:ext cx="1260000" cy="3090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100000"/>
                </a:schemeClr>
              </a:solidFill>
            </a:rPr>
            <a:t>Custos Diretos</a:t>
          </a:r>
        </a:p>
      </xdr:txBody>
    </xdr:sp>
    <xdr:clientData/>
  </xdr:twoCellAnchor>
  <xdr:twoCellAnchor editAs="absolute">
    <xdr:from>
      <xdr:col>2</xdr:col>
      <xdr:colOff>2910417</xdr:colOff>
      <xdr:row>0</xdr:row>
      <xdr:rowOff>169333</xdr:rowOff>
    </xdr:from>
    <xdr:to>
      <xdr:col>3</xdr:col>
      <xdr:colOff>86783</xdr:colOff>
      <xdr:row>1</xdr:row>
      <xdr:rowOff>96660</xdr:rowOff>
    </xdr:to>
    <xdr:pic>
      <xdr:nvPicPr>
        <xdr:cNvPr id="21" name="Imagem 20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0" y="169333"/>
          <a:ext cx="361950" cy="361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569031</xdr:colOff>
      <xdr:row>0</xdr:row>
      <xdr:rowOff>133350</xdr:rowOff>
    </xdr:from>
    <xdr:to>
      <xdr:col>6</xdr:col>
      <xdr:colOff>770819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61375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O ponto de equilíbrio é um indicador</a:t>
          </a:r>
          <a:r>
            <a:rPr lang="pt-BR" sz="1100" baseline="0"/>
            <a:t> de segurança do negócio, pois mostra o quanto é necessário vender para que as receitas se igualem às despesas e custos.</a:t>
          </a:r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205669</xdr:rowOff>
    </xdr:from>
    <xdr:to>
      <xdr:col>0</xdr:col>
      <xdr:colOff>1717675</xdr:colOff>
      <xdr:row>10</xdr:row>
      <xdr:rowOff>205669</xdr:rowOff>
    </xdr:to>
    <xdr:cxnSp macro="">
      <xdr:nvCxnSpPr>
        <xdr:cNvPr id="6" name="Conector reto 5"/>
        <xdr:cNvCxnSpPr/>
      </xdr:nvCxnSpPr>
      <xdr:spPr>
        <a:xfrm>
          <a:off x="152400" y="3624086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195086</xdr:rowOff>
    </xdr:from>
    <xdr:to>
      <xdr:col>1</xdr:col>
      <xdr:colOff>12700</xdr:colOff>
      <xdr:row>5</xdr:row>
      <xdr:rowOff>68086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131586</xdr:rowOff>
    </xdr:from>
    <xdr:to>
      <xdr:col>1</xdr:col>
      <xdr:colOff>12700</xdr:colOff>
      <xdr:row>6</xdr:row>
      <xdr:rowOff>4586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68086</xdr:rowOff>
    </xdr:from>
    <xdr:to>
      <xdr:col>1</xdr:col>
      <xdr:colOff>12700</xdr:colOff>
      <xdr:row>6</xdr:row>
      <xdr:rowOff>322086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4586</xdr:rowOff>
    </xdr:from>
    <xdr:to>
      <xdr:col>1</xdr:col>
      <xdr:colOff>12700</xdr:colOff>
      <xdr:row>7</xdr:row>
      <xdr:rowOff>258586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322086</xdr:rowOff>
    </xdr:from>
    <xdr:to>
      <xdr:col>1</xdr:col>
      <xdr:colOff>12700</xdr:colOff>
      <xdr:row>8</xdr:row>
      <xdr:rowOff>195086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322086</xdr:rowOff>
    </xdr:from>
    <xdr:to>
      <xdr:col>1</xdr:col>
      <xdr:colOff>12700</xdr:colOff>
      <xdr:row>11</xdr:row>
      <xdr:rowOff>195086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258586</xdr:rowOff>
    </xdr:from>
    <xdr:to>
      <xdr:col>1</xdr:col>
      <xdr:colOff>12700</xdr:colOff>
      <xdr:row>12</xdr:row>
      <xdr:rowOff>131586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195086</xdr:rowOff>
    </xdr:from>
    <xdr:to>
      <xdr:col>1</xdr:col>
      <xdr:colOff>12700</xdr:colOff>
      <xdr:row>13</xdr:row>
      <xdr:rowOff>68086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2355875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</xdr:cNvPr>
        <xdr:cNvSpPr/>
      </xdr:nvSpPr>
      <xdr:spPr>
        <a:xfrm>
          <a:off x="2224264" y="674864"/>
          <a:ext cx="2340000" cy="309033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100000"/>
                </a:schemeClr>
              </a:solidFill>
            </a:rPr>
            <a:t>Margem de Contribuição</a:t>
          </a:r>
        </a:p>
      </xdr:txBody>
    </xdr:sp>
    <xdr:clientData/>
  </xdr:twoCellAnchor>
  <xdr:twoCellAnchor editAs="absolute">
    <xdr:from>
      <xdr:col>2</xdr:col>
      <xdr:colOff>2390774</xdr:colOff>
      <xdr:row>1</xdr:row>
      <xdr:rowOff>244475</xdr:rowOff>
    </xdr:from>
    <xdr:to>
      <xdr:col>5</xdr:col>
      <xdr:colOff>179915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12"/>
        </xdr:cNvPr>
        <xdr:cNvSpPr/>
      </xdr:nvSpPr>
      <xdr:spPr>
        <a:xfrm>
          <a:off x="4496857" y="678392"/>
          <a:ext cx="2308225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>
                  <a:lumMod val="100000"/>
                </a:schemeClr>
              </a:solidFill>
            </a:rPr>
            <a:t>Ponto de Equilíbrio por Produto</a:t>
          </a:r>
        </a:p>
      </xdr:txBody>
    </xdr:sp>
    <xdr:clientData/>
  </xdr:twoCellAnchor>
  <xdr:twoCellAnchor editAs="absolute">
    <xdr:from>
      <xdr:col>3</xdr:col>
      <xdr:colOff>225778</xdr:colOff>
      <xdr:row>0</xdr:row>
      <xdr:rowOff>176389</xdr:rowOff>
    </xdr:from>
    <xdr:to>
      <xdr:col>3</xdr:col>
      <xdr:colOff>587728</xdr:colOff>
      <xdr:row>1</xdr:row>
      <xdr:rowOff>103716</xdr:rowOff>
    </xdr:to>
    <xdr:pic>
      <xdr:nvPicPr>
        <xdr:cNvPr id="20" name="Imagem 19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0" y="176389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68086</xdr:colOff>
      <xdr:row>0</xdr:row>
      <xdr:rowOff>133350</xdr:rowOff>
    </xdr:from>
    <xdr:to>
      <xdr:col>6</xdr:col>
      <xdr:colOff>1095375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61375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registrar os custos diretos relacionados aos produtos mensionados no passo anterior. Estes dados são importantes para a planilha a gerar os resultados.</a:t>
          </a:r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205669</xdr:rowOff>
    </xdr:from>
    <xdr:to>
      <xdr:col>0</xdr:col>
      <xdr:colOff>1717675</xdr:colOff>
      <xdr:row>10</xdr:row>
      <xdr:rowOff>205669</xdr:rowOff>
    </xdr:to>
    <xdr:cxnSp macro="">
      <xdr:nvCxnSpPr>
        <xdr:cNvPr id="6" name="Conector reto 5"/>
        <xdr:cNvCxnSpPr/>
      </xdr:nvCxnSpPr>
      <xdr:spPr>
        <a:xfrm>
          <a:off x="152400" y="3624086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195086</xdr:rowOff>
    </xdr:from>
    <xdr:to>
      <xdr:col>1</xdr:col>
      <xdr:colOff>12700</xdr:colOff>
      <xdr:row>5</xdr:row>
      <xdr:rowOff>68086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131586</xdr:rowOff>
    </xdr:from>
    <xdr:to>
      <xdr:col>1</xdr:col>
      <xdr:colOff>12700</xdr:colOff>
      <xdr:row>6</xdr:row>
      <xdr:rowOff>4586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68086</xdr:rowOff>
    </xdr:from>
    <xdr:to>
      <xdr:col>1</xdr:col>
      <xdr:colOff>12700</xdr:colOff>
      <xdr:row>6</xdr:row>
      <xdr:rowOff>322086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4586</xdr:rowOff>
    </xdr:from>
    <xdr:to>
      <xdr:col>1</xdr:col>
      <xdr:colOff>12700</xdr:colOff>
      <xdr:row>7</xdr:row>
      <xdr:rowOff>258586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322086</xdr:rowOff>
    </xdr:from>
    <xdr:to>
      <xdr:col>1</xdr:col>
      <xdr:colOff>12700</xdr:colOff>
      <xdr:row>8</xdr:row>
      <xdr:rowOff>195086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322086</xdr:rowOff>
    </xdr:from>
    <xdr:to>
      <xdr:col>1</xdr:col>
      <xdr:colOff>12700</xdr:colOff>
      <xdr:row>11</xdr:row>
      <xdr:rowOff>195086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258586</xdr:rowOff>
    </xdr:from>
    <xdr:to>
      <xdr:col>1</xdr:col>
      <xdr:colOff>12700</xdr:colOff>
      <xdr:row>12</xdr:row>
      <xdr:rowOff>131586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195086</xdr:rowOff>
    </xdr:from>
    <xdr:to>
      <xdr:col>1</xdr:col>
      <xdr:colOff>12700</xdr:colOff>
      <xdr:row>13</xdr:row>
      <xdr:rowOff>68086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2</xdr:col>
      <xdr:colOff>14111</xdr:colOff>
      <xdr:row>1</xdr:row>
      <xdr:rowOff>246947</xdr:rowOff>
    </xdr:from>
    <xdr:to>
      <xdr:col>2</xdr:col>
      <xdr:colOff>1274111</xdr:colOff>
      <xdr:row>3</xdr:row>
      <xdr:rowOff>5647</xdr:rowOff>
    </xdr:to>
    <xdr:sp macro="" textlink="">
      <xdr:nvSpPr>
        <xdr:cNvPr id="19" name="Retângulo 18">
          <a:hlinkClick xmlns:r="http://schemas.openxmlformats.org/officeDocument/2006/relationships" r:id="rId3"/>
        </xdr:cNvPr>
        <xdr:cNvSpPr/>
      </xdr:nvSpPr>
      <xdr:spPr>
        <a:xfrm>
          <a:off x="2222500" y="677336"/>
          <a:ext cx="1260000" cy="3090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2</xdr:col>
      <xdr:colOff>1316562</xdr:colOff>
      <xdr:row>1</xdr:row>
      <xdr:rowOff>246947</xdr:rowOff>
    </xdr:from>
    <xdr:to>
      <xdr:col>2</xdr:col>
      <xdr:colOff>2576562</xdr:colOff>
      <xdr:row>3</xdr:row>
      <xdr:rowOff>5647</xdr:rowOff>
    </xdr:to>
    <xdr:sp macro="" textlink="">
      <xdr:nvSpPr>
        <xdr:cNvPr id="20" name="Retângulo 19">
          <a:hlinkClick xmlns:r="http://schemas.openxmlformats.org/officeDocument/2006/relationships" r:id="rId12"/>
        </xdr:cNvPr>
        <xdr:cNvSpPr/>
      </xdr:nvSpPr>
      <xdr:spPr>
        <a:xfrm>
          <a:off x="3524951" y="677336"/>
          <a:ext cx="1260000" cy="309033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100000"/>
                </a:schemeClr>
              </a:solidFill>
            </a:rPr>
            <a:t>Custos Diretos</a:t>
          </a:r>
        </a:p>
      </xdr:txBody>
    </xdr:sp>
    <xdr:clientData/>
  </xdr:twoCellAnchor>
  <xdr:twoCellAnchor editAs="absolute">
    <xdr:from>
      <xdr:col>2</xdr:col>
      <xdr:colOff>2910417</xdr:colOff>
      <xdr:row>0</xdr:row>
      <xdr:rowOff>169334</xdr:rowOff>
    </xdr:from>
    <xdr:to>
      <xdr:col>3</xdr:col>
      <xdr:colOff>86783</xdr:colOff>
      <xdr:row>1</xdr:row>
      <xdr:rowOff>96661</xdr:rowOff>
    </xdr:to>
    <xdr:pic>
      <xdr:nvPicPr>
        <xdr:cNvPr id="22" name="Imagem 21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0" y="169334"/>
          <a:ext cx="361950" cy="361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957086</xdr:colOff>
      <xdr:row>0</xdr:row>
      <xdr:rowOff>133350</xdr:rowOff>
    </xdr:from>
    <xdr:to>
      <xdr:col>12</xdr:col>
      <xdr:colOff>481541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61375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ponto de equilíbrio é um indicador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segurança do negócio, pois mostra o quanto é necessário vender para que as receitas se igualem às despesas e custos.</a:t>
          </a:r>
          <a:endParaRPr lang="pt-BR">
            <a:effectLst/>
          </a:endParaRP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29280</xdr:rowOff>
    </xdr:from>
    <xdr:to>
      <xdr:col>0</xdr:col>
      <xdr:colOff>1717675</xdr:colOff>
      <xdr:row>11</xdr:row>
      <xdr:rowOff>29280</xdr:rowOff>
    </xdr:to>
    <xdr:cxnSp macro="">
      <xdr:nvCxnSpPr>
        <xdr:cNvPr id="6" name="Conector reto 5"/>
        <xdr:cNvCxnSpPr/>
      </xdr:nvCxnSpPr>
      <xdr:spPr>
        <a:xfrm>
          <a:off x="152400" y="361703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195086</xdr:rowOff>
    </xdr:from>
    <xdr:to>
      <xdr:col>1</xdr:col>
      <xdr:colOff>12700</xdr:colOff>
      <xdr:row>5</xdr:row>
      <xdr:rowOff>68086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131586</xdr:rowOff>
    </xdr:from>
    <xdr:to>
      <xdr:col>1</xdr:col>
      <xdr:colOff>12700</xdr:colOff>
      <xdr:row>6</xdr:row>
      <xdr:rowOff>209197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283280</xdr:rowOff>
    </xdr:from>
    <xdr:to>
      <xdr:col>1</xdr:col>
      <xdr:colOff>12700</xdr:colOff>
      <xdr:row>7</xdr:row>
      <xdr:rowOff>156280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6030"/>
          <a:ext cx="1852083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219780</xdr:rowOff>
    </xdr:from>
    <xdr:to>
      <xdr:col>1</xdr:col>
      <xdr:colOff>12700</xdr:colOff>
      <xdr:row>8</xdr:row>
      <xdr:rowOff>92780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35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156280</xdr:rowOff>
    </xdr:from>
    <xdr:to>
      <xdr:col>1</xdr:col>
      <xdr:colOff>12700</xdr:colOff>
      <xdr:row>9</xdr:row>
      <xdr:rowOff>29280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1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92780</xdr:rowOff>
    </xdr:from>
    <xdr:to>
      <xdr:col>1</xdr:col>
      <xdr:colOff>12700</xdr:colOff>
      <xdr:row>9</xdr:row>
      <xdr:rowOff>346780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185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29280</xdr:rowOff>
    </xdr:from>
    <xdr:to>
      <xdr:col>1</xdr:col>
      <xdr:colOff>12700</xdr:colOff>
      <xdr:row>10</xdr:row>
      <xdr:rowOff>283280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6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156280</xdr:rowOff>
    </xdr:from>
    <xdr:to>
      <xdr:col>1</xdr:col>
      <xdr:colOff>12700</xdr:colOff>
      <xdr:row>12</xdr:row>
      <xdr:rowOff>29280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4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92780</xdr:rowOff>
    </xdr:from>
    <xdr:to>
      <xdr:col>1</xdr:col>
      <xdr:colOff>12700</xdr:colOff>
      <xdr:row>12</xdr:row>
      <xdr:rowOff>346780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15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13</xdr:row>
      <xdr:rowOff>29280</xdr:rowOff>
    </xdr:from>
    <xdr:to>
      <xdr:col>1</xdr:col>
      <xdr:colOff>12700</xdr:colOff>
      <xdr:row>13</xdr:row>
      <xdr:rowOff>283280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79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3</xdr:col>
      <xdr:colOff>613855</xdr:colOff>
      <xdr:row>0</xdr:row>
      <xdr:rowOff>176397</xdr:rowOff>
    </xdr:from>
    <xdr:to>
      <xdr:col>3</xdr:col>
      <xdr:colOff>975805</xdr:colOff>
      <xdr:row>1</xdr:row>
      <xdr:rowOff>103724</xdr:rowOff>
    </xdr:to>
    <xdr:pic>
      <xdr:nvPicPr>
        <xdr:cNvPr id="19" name="Imagem 19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22" y="176397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14111</xdr:colOff>
      <xdr:row>1</xdr:row>
      <xdr:rowOff>239891</xdr:rowOff>
    </xdr:from>
    <xdr:to>
      <xdr:col>2</xdr:col>
      <xdr:colOff>2354111</xdr:colOff>
      <xdr:row>2</xdr:row>
      <xdr:rowOff>261057</xdr:rowOff>
    </xdr:to>
    <xdr:sp macro="" textlink="">
      <xdr:nvSpPr>
        <xdr:cNvPr id="20" name="Retângulo 19">
          <a:hlinkClick xmlns:r="http://schemas.openxmlformats.org/officeDocument/2006/relationships" r:id="rId4"/>
        </xdr:cNvPr>
        <xdr:cNvSpPr/>
      </xdr:nvSpPr>
      <xdr:spPr>
        <a:xfrm>
          <a:off x="2222500" y="670280"/>
          <a:ext cx="2340000" cy="3090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>
                  <a:lumMod val="100000"/>
                </a:schemeClr>
              </a:solidFill>
            </a:rPr>
            <a:t>Margem de Contribuição</a:t>
          </a:r>
        </a:p>
      </xdr:txBody>
    </xdr:sp>
    <xdr:clientData/>
  </xdr:twoCellAnchor>
  <xdr:twoCellAnchor editAs="absolute">
    <xdr:from>
      <xdr:col>3</xdr:col>
      <xdr:colOff>44801</xdr:colOff>
      <xdr:row>1</xdr:row>
      <xdr:rowOff>239891</xdr:rowOff>
    </xdr:from>
    <xdr:to>
      <xdr:col>4</xdr:col>
      <xdr:colOff>508000</xdr:colOff>
      <xdr:row>2</xdr:row>
      <xdr:rowOff>264232</xdr:rowOff>
    </xdr:to>
    <xdr:sp macro="" textlink="">
      <xdr:nvSpPr>
        <xdr:cNvPr id="21" name="Retângulo 20">
          <a:hlinkClick xmlns:r="http://schemas.openxmlformats.org/officeDocument/2006/relationships" r:id="rId14"/>
        </xdr:cNvPr>
        <xdr:cNvSpPr/>
      </xdr:nvSpPr>
      <xdr:spPr>
        <a:xfrm>
          <a:off x="4489801" y="673808"/>
          <a:ext cx="2325866" cy="288924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100000"/>
                </a:schemeClr>
              </a:solidFill>
            </a:rPr>
            <a:t>Ponto de Equilíbrio por Produto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1048809</xdr:colOff>
      <xdr:row>0</xdr:row>
      <xdr:rowOff>133349</xdr:rowOff>
    </xdr:from>
    <xdr:to>
      <xdr:col>7</xdr:col>
      <xdr:colOff>1659819</xdr:colOff>
      <xdr:row>2</xdr:row>
      <xdr:rowOff>116416</xdr:rowOff>
    </xdr:to>
    <xdr:sp macro="" textlink="">
      <xdr:nvSpPr>
        <xdr:cNvPr id="2" name="CaixaDeTexto 1"/>
        <xdr:cNvSpPr txBox="1"/>
      </xdr:nvSpPr>
      <xdr:spPr>
        <a:xfrm>
          <a:off x="5652559" y="133349"/>
          <a:ext cx="6050843" cy="6815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Insira a sua pesquisa de mercado em relação à sua concorrência. A partir desta análise, é possível identificar oportunidades</a:t>
          </a:r>
          <a:r>
            <a:rPr lang="pt-BR" sz="1100" baseline="0"/>
            <a:t> para elevar o seu markup ou diminuir para se tornar mais competitivo no mercado.</a:t>
          </a:r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625474</xdr:rowOff>
    </xdr:from>
    <xdr:to>
      <xdr:col>0</xdr:col>
      <xdr:colOff>1717675</xdr:colOff>
      <xdr:row>9</xdr:row>
      <xdr:rowOff>625474</xdr:rowOff>
    </xdr:to>
    <xdr:cxnSp macro="">
      <xdr:nvCxnSpPr>
        <xdr:cNvPr id="6" name="Conector reto 5"/>
        <xdr:cNvCxnSpPr/>
      </xdr:nvCxnSpPr>
      <xdr:spPr>
        <a:xfrm>
          <a:off x="152400" y="3620557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5</xdr:row>
      <xdr:rowOff>29280</xdr:rowOff>
    </xdr:from>
    <xdr:to>
      <xdr:col>1</xdr:col>
      <xdr:colOff>12700</xdr:colOff>
      <xdr:row>6</xdr:row>
      <xdr:rowOff>106891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1030"/>
          <a:ext cx="1852083" cy="24694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180974</xdr:rowOff>
    </xdr:from>
    <xdr:to>
      <xdr:col>1</xdr:col>
      <xdr:colOff>12700</xdr:colOff>
      <xdr:row>7</xdr:row>
      <xdr:rowOff>53974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20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117474</xdr:rowOff>
    </xdr:from>
    <xdr:to>
      <xdr:col>1</xdr:col>
      <xdr:colOff>12700</xdr:colOff>
      <xdr:row>7</xdr:row>
      <xdr:rowOff>371474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9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53974</xdr:rowOff>
    </xdr:from>
    <xdr:to>
      <xdr:col>1</xdr:col>
      <xdr:colOff>12700</xdr:colOff>
      <xdr:row>8</xdr:row>
      <xdr:rowOff>307974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7057"/>
          <a:ext cx="1852083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371474</xdr:rowOff>
    </xdr:from>
    <xdr:to>
      <xdr:col>1</xdr:col>
      <xdr:colOff>12700</xdr:colOff>
      <xdr:row>8</xdr:row>
      <xdr:rowOff>625474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4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688974</xdr:rowOff>
    </xdr:from>
    <xdr:to>
      <xdr:col>1</xdr:col>
      <xdr:colOff>12700</xdr:colOff>
      <xdr:row>9</xdr:row>
      <xdr:rowOff>180974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20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244474</xdr:rowOff>
    </xdr:from>
    <xdr:to>
      <xdr:col>1</xdr:col>
      <xdr:colOff>12700</xdr:colOff>
      <xdr:row>9</xdr:row>
      <xdr:rowOff>498474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9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752474</xdr:rowOff>
    </xdr:from>
    <xdr:to>
      <xdr:col>1</xdr:col>
      <xdr:colOff>12700</xdr:colOff>
      <xdr:row>10</xdr:row>
      <xdr:rowOff>244474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7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307974</xdr:rowOff>
    </xdr:from>
    <xdr:to>
      <xdr:col>1</xdr:col>
      <xdr:colOff>12700</xdr:colOff>
      <xdr:row>10</xdr:row>
      <xdr:rowOff>561974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50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625474</xdr:rowOff>
    </xdr:from>
    <xdr:to>
      <xdr:col>1</xdr:col>
      <xdr:colOff>12700</xdr:colOff>
      <xdr:row>11</xdr:row>
      <xdr:rowOff>117474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2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3</xdr:col>
      <xdr:colOff>705556</xdr:colOff>
      <xdr:row>0</xdr:row>
      <xdr:rowOff>169333</xdr:rowOff>
    </xdr:from>
    <xdr:to>
      <xdr:col>3</xdr:col>
      <xdr:colOff>1067506</xdr:colOff>
      <xdr:row>1</xdr:row>
      <xdr:rowOff>96660</xdr:rowOff>
    </xdr:to>
    <xdr:pic>
      <xdr:nvPicPr>
        <xdr:cNvPr id="18" name="Imagem 19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306" y="169333"/>
          <a:ext cx="361950" cy="361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71614</xdr:colOff>
      <xdr:row>0</xdr:row>
      <xdr:rowOff>133350</xdr:rowOff>
    </xdr:from>
    <xdr:to>
      <xdr:col>6</xdr:col>
      <xdr:colOff>2538236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776031" y="133350"/>
          <a:ext cx="6064955" cy="4403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Confira</a:t>
          </a:r>
          <a:r>
            <a:rPr lang="pt-BR" sz="1100" baseline="0"/>
            <a:t> os resultados consolidados do Ponto de Equilíbrio de seu produto. Esta é uma etapa com geração automática de resultados, portanto, não precisa inserir nenhum valor.</a:t>
          </a:r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29280</xdr:rowOff>
    </xdr:from>
    <xdr:to>
      <xdr:col>0</xdr:col>
      <xdr:colOff>1717675</xdr:colOff>
      <xdr:row>11</xdr:row>
      <xdr:rowOff>29280</xdr:rowOff>
    </xdr:to>
    <xdr:cxnSp macro="">
      <xdr:nvCxnSpPr>
        <xdr:cNvPr id="6" name="Conector reto 5"/>
        <xdr:cNvCxnSpPr/>
      </xdr:nvCxnSpPr>
      <xdr:spPr>
        <a:xfrm>
          <a:off x="152400" y="361703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195086</xdr:rowOff>
    </xdr:from>
    <xdr:to>
      <xdr:col>1</xdr:col>
      <xdr:colOff>12700</xdr:colOff>
      <xdr:row>5</xdr:row>
      <xdr:rowOff>68086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131586</xdr:rowOff>
    </xdr:from>
    <xdr:to>
      <xdr:col>1</xdr:col>
      <xdr:colOff>12700</xdr:colOff>
      <xdr:row>6</xdr:row>
      <xdr:rowOff>4586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68086</xdr:rowOff>
    </xdr:from>
    <xdr:to>
      <xdr:col>1</xdr:col>
      <xdr:colOff>12700</xdr:colOff>
      <xdr:row>6</xdr:row>
      <xdr:rowOff>322086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4586</xdr:rowOff>
    </xdr:from>
    <xdr:to>
      <xdr:col>1</xdr:col>
      <xdr:colOff>12700</xdr:colOff>
      <xdr:row>7</xdr:row>
      <xdr:rowOff>258586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322086</xdr:rowOff>
    </xdr:from>
    <xdr:to>
      <xdr:col>1</xdr:col>
      <xdr:colOff>12700</xdr:colOff>
      <xdr:row>8</xdr:row>
      <xdr:rowOff>195086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156280</xdr:rowOff>
    </xdr:from>
    <xdr:to>
      <xdr:col>1</xdr:col>
      <xdr:colOff>12700</xdr:colOff>
      <xdr:row>12</xdr:row>
      <xdr:rowOff>29280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4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92780</xdr:rowOff>
    </xdr:from>
    <xdr:to>
      <xdr:col>1</xdr:col>
      <xdr:colOff>12700</xdr:colOff>
      <xdr:row>12</xdr:row>
      <xdr:rowOff>346780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15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13</xdr:row>
      <xdr:rowOff>29280</xdr:rowOff>
    </xdr:from>
    <xdr:to>
      <xdr:col>1</xdr:col>
      <xdr:colOff>12700</xdr:colOff>
      <xdr:row>13</xdr:row>
      <xdr:rowOff>283280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79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3</xdr:col>
      <xdr:colOff>1527530</xdr:colOff>
      <xdr:row>0</xdr:row>
      <xdr:rowOff>169341</xdr:rowOff>
    </xdr:from>
    <xdr:to>
      <xdr:col>4</xdr:col>
      <xdr:colOff>90313</xdr:colOff>
      <xdr:row>1</xdr:row>
      <xdr:rowOff>96668</xdr:rowOff>
    </xdr:to>
    <xdr:pic>
      <xdr:nvPicPr>
        <xdr:cNvPr id="22" name="Imagem 19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2780" y="169341"/>
          <a:ext cx="361950" cy="361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3405364</xdr:colOff>
      <xdr:row>0</xdr:row>
      <xdr:rowOff>133350</xdr:rowOff>
    </xdr:from>
    <xdr:to>
      <xdr:col>3</xdr:col>
      <xdr:colOff>4355041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61375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Os gráficos são uma maneira eficiente de visualizar os resultados de sua planilha. É uma boa geração automática que você não precisará inserir nenhuma informação.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244474</xdr:rowOff>
    </xdr:from>
    <xdr:to>
      <xdr:col>0</xdr:col>
      <xdr:colOff>1717675</xdr:colOff>
      <xdr:row>11</xdr:row>
      <xdr:rowOff>244474</xdr:rowOff>
    </xdr:to>
    <xdr:cxnSp macro="">
      <xdr:nvCxnSpPr>
        <xdr:cNvPr id="6" name="Conector reto 5"/>
        <xdr:cNvCxnSpPr/>
      </xdr:nvCxnSpPr>
      <xdr:spPr>
        <a:xfrm>
          <a:off x="152400" y="3620557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5</xdr:row>
      <xdr:rowOff>29280</xdr:rowOff>
    </xdr:from>
    <xdr:to>
      <xdr:col>1</xdr:col>
      <xdr:colOff>12700</xdr:colOff>
      <xdr:row>6</xdr:row>
      <xdr:rowOff>106891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1030"/>
          <a:ext cx="1852083" cy="24694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180974</xdr:rowOff>
    </xdr:from>
    <xdr:to>
      <xdr:col>1</xdr:col>
      <xdr:colOff>12700</xdr:colOff>
      <xdr:row>7</xdr:row>
      <xdr:rowOff>53974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20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117474</xdr:rowOff>
    </xdr:from>
    <xdr:to>
      <xdr:col>1</xdr:col>
      <xdr:colOff>12700</xdr:colOff>
      <xdr:row>7</xdr:row>
      <xdr:rowOff>371474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9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53974</xdr:rowOff>
    </xdr:from>
    <xdr:to>
      <xdr:col>1</xdr:col>
      <xdr:colOff>12700</xdr:colOff>
      <xdr:row>8</xdr:row>
      <xdr:rowOff>307974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70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371474</xdr:rowOff>
    </xdr:from>
    <xdr:to>
      <xdr:col>1</xdr:col>
      <xdr:colOff>12700</xdr:colOff>
      <xdr:row>9</xdr:row>
      <xdr:rowOff>244474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4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307974</xdr:rowOff>
    </xdr:from>
    <xdr:to>
      <xdr:col>1</xdr:col>
      <xdr:colOff>12700</xdr:colOff>
      <xdr:row>10</xdr:row>
      <xdr:rowOff>180974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2057"/>
          <a:ext cx="1852083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244474</xdr:rowOff>
    </xdr:from>
    <xdr:to>
      <xdr:col>1</xdr:col>
      <xdr:colOff>12700</xdr:colOff>
      <xdr:row>11</xdr:row>
      <xdr:rowOff>117474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9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371474</xdr:rowOff>
    </xdr:from>
    <xdr:to>
      <xdr:col>1</xdr:col>
      <xdr:colOff>12700</xdr:colOff>
      <xdr:row>12</xdr:row>
      <xdr:rowOff>244474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7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307974</xdr:rowOff>
    </xdr:from>
    <xdr:to>
      <xdr:col>1</xdr:col>
      <xdr:colOff>12700</xdr:colOff>
      <xdr:row>13</xdr:row>
      <xdr:rowOff>180974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50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13</xdr:row>
      <xdr:rowOff>244474</xdr:rowOff>
    </xdr:from>
    <xdr:to>
      <xdr:col>1</xdr:col>
      <xdr:colOff>12700</xdr:colOff>
      <xdr:row>14</xdr:row>
      <xdr:rowOff>117474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2557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14</xdr:row>
      <xdr:rowOff>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23</xdr:row>
      <xdr:rowOff>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32</xdr:row>
      <xdr:rowOff>0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34</xdr:row>
      <xdr:rowOff>1411</xdr:rowOff>
    </xdr:from>
    <xdr:to>
      <xdr:col>3</xdr:col>
      <xdr:colOff>0</xdr:colOff>
      <xdr:row>41</xdr:row>
      <xdr:rowOff>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50</xdr:row>
      <xdr:rowOff>0</xdr:rowOff>
    </xdr:to>
    <xdr:graphicFrame macro="">
      <xdr:nvGraphicFramePr>
        <xdr:cNvPr id="25" name="Gráfico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59</xdr:row>
      <xdr:rowOff>0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absolute">
    <xdr:from>
      <xdr:col>2</xdr:col>
      <xdr:colOff>3062111</xdr:colOff>
      <xdr:row>0</xdr:row>
      <xdr:rowOff>169334</xdr:rowOff>
    </xdr:from>
    <xdr:to>
      <xdr:col>2</xdr:col>
      <xdr:colOff>3424061</xdr:colOff>
      <xdr:row>1</xdr:row>
      <xdr:rowOff>96661</xdr:rowOff>
    </xdr:to>
    <xdr:pic>
      <xdr:nvPicPr>
        <xdr:cNvPr id="24" name="Imagem 19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0" y="169334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1592086</xdr:colOff>
      <xdr:row>0</xdr:row>
      <xdr:rowOff>133350</xdr:rowOff>
    </xdr:from>
    <xdr:to>
      <xdr:col>6</xdr:col>
      <xdr:colOff>2471208</xdr:colOff>
      <xdr:row>1</xdr:row>
      <xdr:rowOff>139747</xdr:rowOff>
    </xdr:to>
    <xdr:sp macro="" textlink="">
      <xdr:nvSpPr>
        <xdr:cNvPr id="2" name="CaixaDeTexto 1"/>
        <xdr:cNvSpPr txBox="1"/>
      </xdr:nvSpPr>
      <xdr:spPr>
        <a:xfrm>
          <a:off x="561375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Imprima o relatório da sua análise de Ponto de Equilíbrio. Apenas o que importa, com formatação econômica para gastar menos tinta e ter melhor aproveitamento do papel.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58564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195086</xdr:rowOff>
    </xdr:from>
    <xdr:to>
      <xdr:col>0</xdr:col>
      <xdr:colOff>1717675</xdr:colOff>
      <xdr:row>10</xdr:row>
      <xdr:rowOff>195086</xdr:rowOff>
    </xdr:to>
    <xdr:cxnSp macro="">
      <xdr:nvCxnSpPr>
        <xdr:cNvPr id="6" name="Conector reto 5"/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195086</xdr:rowOff>
    </xdr:from>
    <xdr:to>
      <xdr:col>1</xdr:col>
      <xdr:colOff>12700</xdr:colOff>
      <xdr:row>5</xdr:row>
      <xdr:rowOff>68086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131586</xdr:rowOff>
    </xdr:from>
    <xdr:to>
      <xdr:col>1</xdr:col>
      <xdr:colOff>12700</xdr:colOff>
      <xdr:row>6</xdr:row>
      <xdr:rowOff>4586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68086</xdr:rowOff>
    </xdr:from>
    <xdr:to>
      <xdr:col>1</xdr:col>
      <xdr:colOff>12700</xdr:colOff>
      <xdr:row>6</xdr:row>
      <xdr:rowOff>322086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4586</xdr:rowOff>
    </xdr:from>
    <xdr:to>
      <xdr:col>1</xdr:col>
      <xdr:colOff>12700</xdr:colOff>
      <xdr:row>7</xdr:row>
      <xdr:rowOff>258586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322086</xdr:rowOff>
    </xdr:from>
    <xdr:to>
      <xdr:col>1</xdr:col>
      <xdr:colOff>12700</xdr:colOff>
      <xdr:row>8</xdr:row>
      <xdr:rowOff>195086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322086</xdr:rowOff>
    </xdr:from>
    <xdr:to>
      <xdr:col>1</xdr:col>
      <xdr:colOff>12700</xdr:colOff>
      <xdr:row>11</xdr:row>
      <xdr:rowOff>195086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258586</xdr:rowOff>
    </xdr:from>
    <xdr:to>
      <xdr:col>1</xdr:col>
      <xdr:colOff>12700</xdr:colOff>
      <xdr:row>12</xdr:row>
      <xdr:rowOff>131586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195086</xdr:rowOff>
    </xdr:from>
    <xdr:to>
      <xdr:col>1</xdr:col>
      <xdr:colOff>12700</xdr:colOff>
      <xdr:row>13</xdr:row>
      <xdr:rowOff>68086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>
    <xdr:from>
      <xdr:col>1</xdr:col>
      <xdr:colOff>268110</xdr:colOff>
      <xdr:row>55</xdr:row>
      <xdr:rowOff>0</xdr:rowOff>
    </xdr:from>
    <xdr:to>
      <xdr:col>5</xdr:col>
      <xdr:colOff>0</xdr:colOff>
      <xdr:row>62</xdr:row>
      <xdr:rowOff>0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268110</xdr:colOff>
      <xdr:row>64</xdr:row>
      <xdr:rowOff>0</xdr:rowOff>
    </xdr:from>
    <xdr:to>
      <xdr:col>4</xdr:col>
      <xdr:colOff>1813277</xdr:colOff>
      <xdr:row>71</xdr:row>
      <xdr:rowOff>0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268110</xdr:colOff>
      <xdr:row>73</xdr:row>
      <xdr:rowOff>0</xdr:rowOff>
    </xdr:from>
    <xdr:to>
      <xdr:col>4</xdr:col>
      <xdr:colOff>1813277</xdr:colOff>
      <xdr:row>80</xdr:row>
      <xdr:rowOff>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268110</xdr:colOff>
      <xdr:row>82</xdr:row>
      <xdr:rowOff>1411</xdr:rowOff>
    </xdr:from>
    <xdr:to>
      <xdr:col>4</xdr:col>
      <xdr:colOff>1813277</xdr:colOff>
      <xdr:row>89</xdr:row>
      <xdr:rowOff>0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268110</xdr:colOff>
      <xdr:row>91</xdr:row>
      <xdr:rowOff>0</xdr:rowOff>
    </xdr:from>
    <xdr:to>
      <xdr:col>4</xdr:col>
      <xdr:colOff>1813277</xdr:colOff>
      <xdr:row>98</xdr:row>
      <xdr:rowOff>0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268110</xdr:colOff>
      <xdr:row>100</xdr:row>
      <xdr:rowOff>0</xdr:rowOff>
    </xdr:from>
    <xdr:to>
      <xdr:col>4</xdr:col>
      <xdr:colOff>1813277</xdr:colOff>
      <xdr:row>107</xdr:row>
      <xdr:rowOff>0</xdr:rowOff>
    </xdr:to>
    <xdr:graphicFrame macro="">
      <xdr:nvGraphicFramePr>
        <xdr:cNvPr id="22" name="Gráfico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absolute">
    <xdr:from>
      <xdr:col>3</xdr:col>
      <xdr:colOff>1248835</xdr:colOff>
      <xdr:row>0</xdr:row>
      <xdr:rowOff>169335</xdr:rowOff>
    </xdr:from>
    <xdr:to>
      <xdr:col>3</xdr:col>
      <xdr:colOff>1610785</xdr:colOff>
      <xdr:row>1</xdr:row>
      <xdr:rowOff>96662</xdr:rowOff>
    </xdr:to>
    <xdr:pic>
      <xdr:nvPicPr>
        <xdr:cNvPr id="23" name="Imagem 19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2" y="169335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1</xdr:row>
      <xdr:rowOff>141511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Escolha sua dúvida entre as perguntas mais frequentes e veja as respostas. Se continuar com dúvidas no uso da planilha, entre em contato pelo nosso email </a:t>
          </a:r>
          <a:r>
            <a:rPr lang="pt-BR" sz="1100">
              <a:solidFill>
                <a:srgbClr val="0070C0"/>
              </a:solidFill>
            </a:rPr>
            <a:t>contato@luz.vc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/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117475</xdr:rowOff>
    </xdr:from>
    <xdr:to>
      <xdr:col>1</xdr:col>
      <xdr:colOff>12700</xdr:colOff>
      <xdr:row>10</xdr:row>
      <xdr:rowOff>371475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53975</xdr:rowOff>
    </xdr:from>
    <xdr:to>
      <xdr:col>1</xdr:col>
      <xdr:colOff>12700</xdr:colOff>
      <xdr:row>11</xdr:row>
      <xdr:rowOff>307975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371475</xdr:rowOff>
    </xdr:from>
    <xdr:to>
      <xdr:col>1</xdr:col>
      <xdr:colOff>12700</xdr:colOff>
      <xdr:row>12</xdr:row>
      <xdr:rowOff>244475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oneCell">
    <xdr:from>
      <xdr:col>11</xdr:col>
      <xdr:colOff>127000</xdr:colOff>
      <xdr:row>3</xdr:row>
      <xdr:rowOff>380999</xdr:rowOff>
    </xdr:from>
    <xdr:to>
      <xdr:col>19</xdr:col>
      <xdr:colOff>318556</xdr:colOff>
      <xdr:row>8</xdr:row>
      <xdr:rowOff>306019</xdr:rowOff>
    </xdr:to>
    <xdr:pic>
      <xdr:nvPicPr>
        <xdr:cNvPr id="19" name="Imagem 28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5889" y="1354666"/>
          <a:ext cx="5836000" cy="183002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127000</xdr:colOff>
      <xdr:row>9</xdr:row>
      <xdr:rowOff>0</xdr:rowOff>
    </xdr:from>
    <xdr:to>
      <xdr:col>19</xdr:col>
      <xdr:colOff>318556</xdr:colOff>
      <xdr:row>13</xdr:row>
      <xdr:rowOff>306020</xdr:rowOff>
    </xdr:to>
    <xdr:pic>
      <xdr:nvPicPr>
        <xdr:cNvPr id="20" name="Imagem 29">
          <a:hlinkClick xmlns:r="http://schemas.openxmlformats.org/officeDocument/2006/relationships" r:id="rId14"/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5889" y="3259667"/>
          <a:ext cx="5836000" cy="18300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2858558</xdr:colOff>
      <xdr:row>0</xdr:row>
      <xdr:rowOff>133350</xdr:rowOff>
    </xdr:from>
    <xdr:to>
      <xdr:col>6</xdr:col>
      <xdr:colOff>4058709</xdr:colOff>
      <xdr:row>1</xdr:row>
      <xdr:rowOff>141511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Além da planilha de fluxo de caixa, você pode usar outras planilhas para melhorar a gestão da sua empresa. Todas as planilhas da LUZ já estão prontas e são práticas de se usar!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44453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32808</xdr:rowOff>
    </xdr:from>
    <xdr:to>
      <xdr:col>0</xdr:col>
      <xdr:colOff>1717675</xdr:colOff>
      <xdr:row>13</xdr:row>
      <xdr:rowOff>32808</xdr:rowOff>
    </xdr:to>
    <xdr:cxnSp macro="">
      <xdr:nvCxnSpPr>
        <xdr:cNvPr id="6" name="Conector reto 5"/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180975</xdr:rowOff>
    </xdr:from>
    <xdr:to>
      <xdr:col>1</xdr:col>
      <xdr:colOff>12700</xdr:colOff>
      <xdr:row>5</xdr:row>
      <xdr:rowOff>202141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265641</xdr:rowOff>
    </xdr:from>
    <xdr:to>
      <xdr:col>1</xdr:col>
      <xdr:colOff>12700</xdr:colOff>
      <xdr:row>6</xdr:row>
      <xdr:rowOff>138641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202141</xdr:rowOff>
    </xdr:from>
    <xdr:to>
      <xdr:col>1</xdr:col>
      <xdr:colOff>12700</xdr:colOff>
      <xdr:row>8</xdr:row>
      <xdr:rowOff>32808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96308</xdr:rowOff>
    </xdr:from>
    <xdr:to>
      <xdr:col>1</xdr:col>
      <xdr:colOff>12700</xdr:colOff>
      <xdr:row>9</xdr:row>
      <xdr:rowOff>117475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180975</xdr:rowOff>
    </xdr:from>
    <xdr:to>
      <xdr:col>1</xdr:col>
      <xdr:colOff>12700</xdr:colOff>
      <xdr:row>9</xdr:row>
      <xdr:rowOff>434975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498475</xdr:rowOff>
    </xdr:from>
    <xdr:to>
      <xdr:col>1</xdr:col>
      <xdr:colOff>12700</xdr:colOff>
      <xdr:row>11</xdr:row>
      <xdr:rowOff>11641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82196</xdr:rowOff>
    </xdr:from>
    <xdr:to>
      <xdr:col>1</xdr:col>
      <xdr:colOff>12700</xdr:colOff>
      <xdr:row>12</xdr:row>
      <xdr:rowOff>131586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13</xdr:row>
      <xdr:rowOff>159808</xdr:rowOff>
    </xdr:from>
    <xdr:to>
      <xdr:col>1</xdr:col>
      <xdr:colOff>12700</xdr:colOff>
      <xdr:row>14</xdr:row>
      <xdr:rowOff>32808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14</xdr:row>
      <xdr:rowOff>96308</xdr:rowOff>
    </xdr:from>
    <xdr:to>
      <xdr:col>1</xdr:col>
      <xdr:colOff>12700</xdr:colOff>
      <xdr:row>15</xdr:row>
      <xdr:rowOff>124531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15</xdr:row>
      <xdr:rowOff>188031</xdr:rowOff>
    </xdr:from>
    <xdr:to>
      <xdr:col>1</xdr:col>
      <xdr:colOff>12700</xdr:colOff>
      <xdr:row>17</xdr:row>
      <xdr:rowOff>11641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oneCell">
    <xdr:from>
      <xdr:col>3</xdr:col>
      <xdr:colOff>3460750</xdr:colOff>
      <xdr:row>1</xdr:row>
      <xdr:rowOff>241300</xdr:rowOff>
    </xdr:from>
    <xdr:to>
      <xdr:col>5</xdr:col>
      <xdr:colOff>11642</xdr:colOff>
      <xdr:row>2</xdr:row>
      <xdr:rowOff>222250</xdr:rowOff>
    </xdr:to>
    <xdr:pic>
      <xdr:nvPicPr>
        <xdr:cNvPr id="17" name="Imagem 16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800" y="669925"/>
          <a:ext cx="1160992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183444</xdr:colOff>
      <xdr:row>4</xdr:row>
      <xdr:rowOff>14111</xdr:rowOff>
    </xdr:from>
    <xdr:to>
      <xdr:col>4</xdr:col>
      <xdr:colOff>375000</xdr:colOff>
      <xdr:row>10</xdr:row>
      <xdr:rowOff>80242</xdr:rowOff>
    </xdr:to>
    <xdr:pic>
      <xdr:nvPicPr>
        <xdr:cNvPr id="20" name="Imagem 28">
          <a:hlinkClick xmlns:r="http://schemas.openxmlformats.org/officeDocument/2006/relationships" r:id="rId14"/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1185333"/>
          <a:ext cx="5836000" cy="1830020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183444</xdr:colOff>
      <xdr:row>11</xdr:row>
      <xdr:rowOff>56445</xdr:rowOff>
    </xdr:from>
    <xdr:to>
      <xdr:col>4</xdr:col>
      <xdr:colOff>375000</xdr:colOff>
      <xdr:row>18</xdr:row>
      <xdr:rowOff>52021</xdr:rowOff>
    </xdr:to>
    <xdr:pic>
      <xdr:nvPicPr>
        <xdr:cNvPr id="21" name="Imagem 29">
          <a:hlinkClick xmlns:r="http://schemas.openxmlformats.org/officeDocument/2006/relationships" r:id="rId16"/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3090334"/>
          <a:ext cx="5836000" cy="18300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2</xdr:row>
      <xdr:rowOff>47038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A LUZ é uma empresa especializada no desenvolvimento de planilhas empresariais. Desde 2005 ajudamos empresários e gestores a vencer seus desafios em suas respectivas áreas de trabalho. Conheça um pouco mais da LUZ e descubra como podemos ajudar!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/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Premissas gerais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Ponto de Equilíbrio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Análise da Concorrência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7"/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117475</xdr:rowOff>
    </xdr:from>
    <xdr:to>
      <xdr:col>1</xdr:col>
      <xdr:colOff>12700</xdr:colOff>
      <xdr:row>10</xdr:row>
      <xdr:rowOff>371475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53975</xdr:rowOff>
    </xdr:from>
    <xdr:to>
      <xdr:col>1</xdr:col>
      <xdr:colOff>12700</xdr:colOff>
      <xdr:row>11</xdr:row>
      <xdr:rowOff>307975</xdr:rowOff>
    </xdr:to>
    <xdr:sp macro="" textlink="">
      <xdr:nvSpPr>
        <xdr:cNvPr id="15" name="Retângulo 14">
          <a:hlinkClick xmlns:r="http://schemas.openxmlformats.org/officeDocument/2006/relationships" r:id="rId10"/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371475</xdr:rowOff>
    </xdr:from>
    <xdr:to>
      <xdr:col>1</xdr:col>
      <xdr:colOff>12700</xdr:colOff>
      <xdr:row>12</xdr:row>
      <xdr:rowOff>244475</xdr:rowOff>
    </xdr:to>
    <xdr:sp macro="" textlink="">
      <xdr:nvSpPr>
        <xdr:cNvPr id="16" name="Retângulo 15">
          <a:hlinkClick xmlns:r="http://schemas.openxmlformats.org/officeDocument/2006/relationships" r:id="rId11"/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Sobre a LUZ</a:t>
          </a:r>
        </a:p>
      </xdr:txBody>
    </xdr:sp>
    <xdr:clientData/>
  </xdr:twoCellAnchor>
  <xdr:twoCellAnchor editAs="absolute">
    <xdr:from>
      <xdr:col>7</xdr:col>
      <xdr:colOff>393347</xdr:colOff>
      <xdr:row>8</xdr:row>
      <xdr:rowOff>112889</xdr:rowOff>
    </xdr:from>
    <xdr:to>
      <xdr:col>10</xdr:col>
      <xdr:colOff>266080</xdr:colOff>
      <xdr:row>9</xdr:row>
      <xdr:rowOff>303389</xdr:rowOff>
    </xdr:to>
    <xdr:pic>
      <xdr:nvPicPr>
        <xdr:cNvPr id="27" name="Imagem 20">
          <a:hlinkClick xmlns:r="http://schemas.openxmlformats.org/officeDocument/2006/relationships" r:id="rId12"/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903" y="2991556"/>
          <a:ext cx="1904733" cy="571500"/>
        </a:xfrm>
        <a:prstGeom prst="rect">
          <a:avLst/>
        </a:prstGeom>
      </xdr:spPr>
    </xdr:pic>
    <xdr:clientData/>
  </xdr:twoCellAnchor>
  <xdr:twoCellAnchor editAs="absolute">
    <xdr:from>
      <xdr:col>7</xdr:col>
      <xdr:colOff>393347</xdr:colOff>
      <xdr:row>9</xdr:row>
      <xdr:rowOff>328789</xdr:rowOff>
    </xdr:from>
    <xdr:to>
      <xdr:col>10</xdr:col>
      <xdr:colOff>266080</xdr:colOff>
      <xdr:row>11</xdr:row>
      <xdr:rowOff>138289</xdr:rowOff>
    </xdr:to>
    <xdr:pic>
      <xdr:nvPicPr>
        <xdr:cNvPr id="28" name="Imagem 21">
          <a:hlinkClick xmlns:r="http://schemas.openxmlformats.org/officeDocument/2006/relationships" r:id="rId14"/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903" y="3588456"/>
          <a:ext cx="1904733" cy="571500"/>
        </a:xfrm>
        <a:prstGeom prst="rect">
          <a:avLst/>
        </a:prstGeom>
      </xdr:spPr>
    </xdr:pic>
    <xdr:clientData/>
  </xdr:twoCellAnchor>
  <xdr:twoCellAnchor editAs="absolute">
    <xdr:from>
      <xdr:col>7</xdr:col>
      <xdr:colOff>393347</xdr:colOff>
      <xdr:row>11</xdr:row>
      <xdr:rowOff>150989</xdr:rowOff>
    </xdr:from>
    <xdr:to>
      <xdr:col>10</xdr:col>
      <xdr:colOff>266080</xdr:colOff>
      <xdr:row>12</xdr:row>
      <xdr:rowOff>341489</xdr:rowOff>
    </xdr:to>
    <xdr:pic>
      <xdr:nvPicPr>
        <xdr:cNvPr id="29" name="Imagem 22">
          <a:hlinkClick xmlns:r="http://schemas.openxmlformats.org/officeDocument/2006/relationships" r:id="rId16"/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903" y="4172656"/>
          <a:ext cx="1904733" cy="571500"/>
        </a:xfrm>
        <a:prstGeom prst="rect">
          <a:avLst/>
        </a:prstGeom>
      </xdr:spPr>
    </xdr:pic>
    <xdr:clientData/>
  </xdr:twoCellAnchor>
  <xdr:twoCellAnchor editAs="oneCell">
    <xdr:from>
      <xdr:col>10</xdr:col>
      <xdr:colOff>664280</xdr:colOff>
      <xdr:row>3</xdr:row>
      <xdr:rowOff>239889</xdr:rowOff>
    </xdr:from>
    <xdr:to>
      <xdr:col>19</xdr:col>
      <xdr:colOff>404280</xdr:colOff>
      <xdr:row>8</xdr:row>
      <xdr:rowOff>164909</xdr:rowOff>
    </xdr:to>
    <xdr:pic>
      <xdr:nvPicPr>
        <xdr:cNvPr id="30" name="Imagem 28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1836" y="1213556"/>
          <a:ext cx="5836000" cy="1830020"/>
        </a:xfrm>
        <a:prstGeom prst="rect">
          <a:avLst/>
        </a:prstGeom>
      </xdr:spPr>
    </xdr:pic>
    <xdr:clientData/>
  </xdr:twoCellAnchor>
  <xdr:twoCellAnchor editAs="oneCell">
    <xdr:from>
      <xdr:col>10</xdr:col>
      <xdr:colOff>664280</xdr:colOff>
      <xdr:row>8</xdr:row>
      <xdr:rowOff>239890</xdr:rowOff>
    </xdr:from>
    <xdr:to>
      <xdr:col>19</xdr:col>
      <xdr:colOff>404280</xdr:colOff>
      <xdr:row>13</xdr:row>
      <xdr:rowOff>164910</xdr:rowOff>
    </xdr:to>
    <xdr:pic>
      <xdr:nvPicPr>
        <xdr:cNvPr id="31" name="Imagem 29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1836" y="3118557"/>
          <a:ext cx="5836000" cy="1830020"/>
        </a:xfrm>
        <a:prstGeom prst="rect">
          <a:avLst/>
        </a:prstGeom>
      </xdr:spPr>
    </xdr:pic>
    <xdr:clientData/>
  </xdr:twoCellAnchor>
  <xdr:twoCellAnchor editAs="oneCell">
    <xdr:from>
      <xdr:col>1</xdr:col>
      <xdr:colOff>239889</xdr:colOff>
      <xdr:row>8</xdr:row>
      <xdr:rowOff>111831</xdr:rowOff>
    </xdr:from>
    <xdr:to>
      <xdr:col>7</xdr:col>
      <xdr:colOff>367947</xdr:colOff>
      <xdr:row>12</xdr:row>
      <xdr:rowOff>341031</xdr:rowOff>
    </xdr:to>
    <xdr:pic>
      <xdr:nvPicPr>
        <xdr:cNvPr id="32" name="Imagem 28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2445" y="2990498"/>
          <a:ext cx="3811058" cy="1753200"/>
        </a:xfrm>
        <a:prstGeom prst="rect">
          <a:avLst/>
        </a:prstGeom>
      </xdr:spPr>
    </xdr:pic>
    <xdr:clientData/>
  </xdr:twoCellAnchor>
  <xdr:twoCellAnchor editAs="oneCell">
    <xdr:from>
      <xdr:col>7</xdr:col>
      <xdr:colOff>394404</xdr:colOff>
      <xdr:row>3</xdr:row>
      <xdr:rowOff>282221</xdr:rowOff>
    </xdr:from>
    <xdr:to>
      <xdr:col>10</xdr:col>
      <xdr:colOff>270104</xdr:colOff>
      <xdr:row>8</xdr:row>
      <xdr:rowOff>94421</xdr:rowOff>
    </xdr:to>
    <xdr:pic>
      <xdr:nvPicPr>
        <xdr:cNvPr id="33" name="Imagem 31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960" y="1255888"/>
          <a:ext cx="1907700" cy="171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283280</xdr:colOff>
      <xdr:row>3</xdr:row>
      <xdr:rowOff>282221</xdr:rowOff>
    </xdr:from>
    <xdr:to>
      <xdr:col>4</xdr:col>
      <xdr:colOff>476480</xdr:colOff>
      <xdr:row>8</xdr:row>
      <xdr:rowOff>94421</xdr:rowOff>
    </xdr:to>
    <xdr:pic>
      <xdr:nvPicPr>
        <xdr:cNvPr id="34" name="Imagem 32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836" y="1255888"/>
          <a:ext cx="1844200" cy="1717200"/>
        </a:xfrm>
        <a:prstGeom prst="rect">
          <a:avLst/>
        </a:prstGeom>
      </xdr:spPr>
    </xdr:pic>
    <xdr:clientData/>
  </xdr:twoCellAnchor>
  <xdr:twoCellAnchor editAs="oneCell">
    <xdr:from>
      <xdr:col>4</xdr:col>
      <xdr:colOff>497592</xdr:colOff>
      <xdr:row>3</xdr:row>
      <xdr:rowOff>282221</xdr:rowOff>
    </xdr:from>
    <xdr:to>
      <xdr:col>7</xdr:col>
      <xdr:colOff>373292</xdr:colOff>
      <xdr:row>8</xdr:row>
      <xdr:rowOff>94421</xdr:rowOff>
    </xdr:to>
    <xdr:pic>
      <xdr:nvPicPr>
        <xdr:cNvPr id="35" name="Imagem 33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1148" y="1255888"/>
          <a:ext cx="1907700" cy="171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luz.vc/ferramentas/planilhas-prontas/planilha-de-fluxo-de-caixa/?utm_source=referral&amp;utm_medium=produtos&amp;utm_campaign=Peq3" TargetMode="External"/><Relationship Id="rId4" Type="http://schemas.openxmlformats.org/officeDocument/2006/relationships/hyperlink" Target="http://luz.vc/ferramentas/planilhas-prontas/planilha-de-estudo-de-viabilidade-economica/?utm_source=referral&amp;utm_medium=produtos&amp;utm_campaign=Peq3" TargetMode="External"/><Relationship Id="rId5" Type="http://schemas.openxmlformats.org/officeDocument/2006/relationships/hyperlink" Target="http://luz.vc/ferramentas/planilhas-prontas/planilha-de-estudo-de-viabilidade-economica/?utm_source=referral&amp;utm_medium=produtos&amp;utm_campaign=Peq3" TargetMode="External"/><Relationship Id="rId6" Type="http://schemas.openxmlformats.org/officeDocument/2006/relationships/hyperlink" Target="http://luz.vc/ferramentas/planilhas-prontas/planilha-de-formacao-de-precos-para-servicos/?utm_source=referral&amp;utm_medium=produtos&amp;utm_campaign=Peq3" TargetMode="External"/><Relationship Id="rId7" Type="http://schemas.openxmlformats.org/officeDocument/2006/relationships/hyperlink" Target="http://luz.vc/ferramentas/planilhas-prontas/planilha-de-formacao-de-precos-para-servicos/?utm_source=referral&amp;utm_medium=produtos&amp;utm_campaign=Peq3" TargetMode="External"/><Relationship Id="rId8" Type="http://schemas.openxmlformats.org/officeDocument/2006/relationships/hyperlink" Target="http://luz.vc/ferramentas/planilhas-avancadas/planilha-de-fluxo-de-caixa-avancado/?utm_source=referral&amp;utm_medium=produtos&amp;utm_campaign=Peq3" TargetMode="External"/><Relationship Id="rId9" Type="http://schemas.openxmlformats.org/officeDocument/2006/relationships/hyperlink" Target="http://luz.vc/ferramentas/planilhas-avancadas/planilha-de-fluxo-de-caixa-avancado/?utm_source=referral&amp;utm_medium=produtos&amp;utm_campaign=Peq3" TargetMode="External"/><Relationship Id="rId10" Type="http://schemas.openxmlformats.org/officeDocument/2006/relationships/hyperlink" Target="http://luz.vc/ferramentas/pacotes/kit-financas/?utm_source=referral&amp;utm_medium=produtos&amp;utm_campaign=Peq3" TargetMode="External"/><Relationship Id="rId11" Type="http://schemas.openxmlformats.org/officeDocument/2006/relationships/drawing" Target="../drawings/drawing11.xml"/><Relationship Id="rId1" Type="http://schemas.openxmlformats.org/officeDocument/2006/relationships/hyperlink" Target="http://luz.vc/ferramentas/pacotes/kit-financas/?utm_source=referral&amp;utm_medium=produtos&amp;utm_campaign=Peq3" TargetMode="External"/><Relationship Id="rId2" Type="http://schemas.openxmlformats.org/officeDocument/2006/relationships/hyperlink" Target="http://luz.vc/ferramentas/planilhas-prontas/planilha-de-fluxo-de-caixa/?utm_source=referral&amp;utm_medium=produtos&amp;utm_campaign=Peq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enableFormatConditionsCalculation="0"/>
  <dimension ref="A1:M100"/>
  <sheetViews>
    <sheetView showGridLines="0" tabSelected="1" zoomScale="90" zoomScaleNormal="90" zoomScalePageLayoutView="90" workbookViewId="0">
      <selection activeCell="B1" sqref="B1"/>
    </sheetView>
  </sheetViews>
  <sheetFormatPr baseColWidth="10" defaultColWidth="8.83203125" defaultRowHeight="15" zeroHeight="1" x14ac:dyDescent="0.2"/>
  <cols>
    <col min="1" max="1" width="27.6640625" style="1" customWidth="1"/>
    <col min="2" max="2" width="3.83203125" customWidth="1"/>
    <col min="3" max="13" width="15.6640625" customWidth="1"/>
  </cols>
  <sheetData>
    <row r="1" spans="1:13" s="11" customFormat="1" ht="34" customHeight="1" x14ac:dyDescent="0.45">
      <c r="A1" s="77" t="s">
        <v>163</v>
      </c>
      <c r="C1" s="12" t="s">
        <v>41</v>
      </c>
    </row>
    <row r="2" spans="1:13" s="11" customFormat="1" ht="64.5" customHeight="1" x14ac:dyDescent="0.7">
      <c r="A2" s="1"/>
      <c r="C2" s="13" t="s">
        <v>140</v>
      </c>
    </row>
    <row r="3" spans="1:13" s="11" customFormat="1" ht="54.75" customHeight="1" x14ac:dyDescent="0.2">
      <c r="A3" s="1"/>
      <c r="C3" s="85" t="s">
        <v>141</v>
      </c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30" customHeight="1" x14ac:dyDescent="0.2">
      <c r="C4" s="14" t="s">
        <v>42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42" customHeight="1" x14ac:dyDescent="0.2">
      <c r="C5" s="84" t="s">
        <v>43</v>
      </c>
      <c r="D5" s="84"/>
      <c r="E5" s="84"/>
      <c r="F5" s="84"/>
      <c r="G5" s="84"/>
      <c r="H5" s="84"/>
      <c r="I5" s="3"/>
      <c r="J5" s="3"/>
      <c r="K5" s="3"/>
      <c r="L5" s="3"/>
      <c r="M5" s="3"/>
    </row>
    <row r="6" spans="1:13" ht="30" customHeight="1" x14ac:dyDescent="0.2">
      <c r="C6" s="15" t="s">
        <v>44</v>
      </c>
      <c r="D6" s="16" t="s">
        <v>45</v>
      </c>
    </row>
    <row r="7" spans="1:13" ht="48" customHeight="1" x14ac:dyDescent="0.2">
      <c r="C7" s="84" t="s">
        <v>151</v>
      </c>
      <c r="D7" s="84"/>
      <c r="E7" s="84"/>
      <c r="F7" s="84"/>
      <c r="G7" s="84"/>
      <c r="H7" s="84"/>
      <c r="I7" s="84"/>
    </row>
    <row r="8" spans="1:13" ht="30" customHeight="1" x14ac:dyDescent="0.2">
      <c r="C8" s="86" t="s">
        <v>152</v>
      </c>
      <c r="D8" s="84"/>
      <c r="E8" s="84"/>
      <c r="F8" s="84"/>
      <c r="G8" s="84"/>
      <c r="H8" s="84"/>
      <c r="I8" s="84"/>
      <c r="J8" s="84"/>
    </row>
    <row r="9" spans="1:13" ht="30" customHeight="1" x14ac:dyDescent="0.2">
      <c r="C9" s="86" t="s">
        <v>142</v>
      </c>
      <c r="D9" s="84"/>
      <c r="E9" s="84"/>
      <c r="F9" s="84"/>
      <c r="G9" s="84"/>
      <c r="H9" s="84"/>
      <c r="I9" s="84"/>
      <c r="J9" s="84"/>
    </row>
    <row r="10" spans="1:13" ht="30" customHeight="1" x14ac:dyDescent="0.2"/>
    <row r="11" spans="1:13" ht="30" customHeight="1" x14ac:dyDescent="0.2">
      <c r="C11" s="15" t="s">
        <v>46</v>
      </c>
      <c r="D11" s="16" t="s">
        <v>47</v>
      </c>
    </row>
    <row r="12" spans="1:13" ht="48" customHeight="1" x14ac:dyDescent="0.2">
      <c r="C12" s="84" t="s">
        <v>144</v>
      </c>
      <c r="D12" s="84"/>
      <c r="E12" s="84"/>
      <c r="F12" s="84"/>
      <c r="G12" s="84"/>
      <c r="H12" s="84"/>
      <c r="I12" s="84"/>
    </row>
    <row r="13" spans="1:13" ht="30" customHeight="1" x14ac:dyDescent="0.2">
      <c r="C13" s="86" t="s">
        <v>145</v>
      </c>
      <c r="D13" s="84"/>
      <c r="E13" s="84"/>
      <c r="F13" s="84"/>
      <c r="G13" s="84"/>
      <c r="H13" s="84"/>
      <c r="I13" s="84"/>
      <c r="J13" s="84"/>
    </row>
    <row r="14" spans="1:13" ht="30" customHeight="1" x14ac:dyDescent="0.2">
      <c r="C14" s="86" t="s">
        <v>146</v>
      </c>
      <c r="D14" s="84"/>
      <c r="E14" s="84"/>
      <c r="F14" s="84"/>
      <c r="G14" s="84"/>
      <c r="H14" s="84"/>
      <c r="I14" s="84"/>
      <c r="J14" s="84"/>
    </row>
    <row r="15" spans="1:13" ht="30" customHeight="1" x14ac:dyDescent="0.2"/>
    <row r="16" spans="1:13" ht="30" customHeight="1" x14ac:dyDescent="0.2">
      <c r="C16" s="15" t="s">
        <v>48</v>
      </c>
      <c r="D16" s="16" t="s">
        <v>49</v>
      </c>
    </row>
    <row r="17" spans="3:9" ht="48" customHeight="1" x14ac:dyDescent="0.2">
      <c r="C17" s="84" t="s">
        <v>147</v>
      </c>
      <c r="D17" s="84"/>
      <c r="E17" s="84"/>
      <c r="F17" s="84"/>
      <c r="G17" s="84"/>
      <c r="H17" s="84"/>
      <c r="I17" s="84"/>
    </row>
    <row r="18" spans="3:9" ht="30" customHeight="1" x14ac:dyDescent="0.2"/>
    <row r="19" spans="3:9" ht="30" customHeight="1" x14ac:dyDescent="0.2">
      <c r="C19" s="15" t="s">
        <v>50</v>
      </c>
      <c r="D19" s="16" t="s">
        <v>51</v>
      </c>
    </row>
    <row r="20" spans="3:9" ht="48" customHeight="1" x14ac:dyDescent="0.2">
      <c r="C20" s="84" t="s">
        <v>148</v>
      </c>
      <c r="D20" s="84"/>
      <c r="E20" s="84"/>
      <c r="F20" s="84"/>
      <c r="G20" s="84"/>
      <c r="H20" s="84"/>
      <c r="I20" s="84"/>
    </row>
    <row r="21" spans="3:9" ht="30" customHeight="1" x14ac:dyDescent="0.2"/>
    <row r="22" spans="3:9" ht="30" customHeight="1" x14ac:dyDescent="0.2">
      <c r="C22" s="15" t="s">
        <v>52</v>
      </c>
      <c r="D22" s="16" t="s">
        <v>53</v>
      </c>
    </row>
    <row r="23" spans="3:9" ht="48" customHeight="1" x14ac:dyDescent="0.2">
      <c r="C23" s="84" t="s">
        <v>149</v>
      </c>
      <c r="D23" s="84"/>
      <c r="E23" s="84"/>
      <c r="F23" s="84"/>
      <c r="G23" s="84"/>
      <c r="H23" s="84"/>
      <c r="I23" s="84"/>
    </row>
    <row r="24" spans="3:9" ht="30" customHeight="1" x14ac:dyDescent="0.2"/>
    <row r="25" spans="3:9" ht="30" customHeight="1" x14ac:dyDescent="0.2">
      <c r="C25" s="15" t="s">
        <v>54</v>
      </c>
      <c r="D25" s="16" t="s">
        <v>55</v>
      </c>
    </row>
    <row r="26" spans="3:9" ht="48" customHeight="1" x14ac:dyDescent="0.2">
      <c r="C26" s="84" t="s">
        <v>150</v>
      </c>
      <c r="D26" s="84"/>
      <c r="E26" s="84"/>
      <c r="F26" s="84"/>
      <c r="G26" s="84"/>
      <c r="H26" s="84"/>
      <c r="I26" s="84"/>
    </row>
    <row r="27" spans="3:9" ht="30" customHeight="1" x14ac:dyDescent="0.2"/>
    <row r="28" spans="3:9" ht="30" customHeight="1" x14ac:dyDescent="0.2"/>
    <row r="29" spans="3:9" ht="30" customHeight="1" x14ac:dyDescent="0.2"/>
    <row r="30" spans="3:9" ht="30" customHeight="1" x14ac:dyDescent="0.2"/>
    <row r="31" spans="3:9" ht="30" customHeight="1" x14ac:dyDescent="0.2"/>
    <row r="32" spans="3:9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</sheetData>
  <sheetProtection sheet="1" objects="1" scenarios="1"/>
  <mergeCells count="12">
    <mergeCell ref="C26:I26"/>
    <mergeCell ref="C3:M3"/>
    <mergeCell ref="C5:H5"/>
    <mergeCell ref="C7:I7"/>
    <mergeCell ref="C8:J8"/>
    <mergeCell ref="C9:J9"/>
    <mergeCell ref="C12:I12"/>
    <mergeCell ref="C13:J13"/>
    <mergeCell ref="C14:J14"/>
    <mergeCell ref="C17:I17"/>
    <mergeCell ref="C20:I20"/>
    <mergeCell ref="C23:I23"/>
  </mergeCells>
  <hyperlinks>
    <hyperlink ref="C6" location="'PG'!B1" display="http://www.globo.com"/>
    <hyperlink ref="C11" location="'PEq'!B1" display="http://www.globo.com"/>
    <hyperlink ref="C16" location="'AC'!B1" display="http://www.globo.com"/>
    <hyperlink ref="C19" location="'RC'!B1" display="http://www.globo.com"/>
    <hyperlink ref="C22" location="'Graf'!B1" display="http://www.globo.com"/>
    <hyperlink ref="C25" location="'RI'!B1" display="http://www.globo.com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enableFormatConditionsCalculation="0"/>
  <dimension ref="A1:G507"/>
  <sheetViews>
    <sheetView showGridLines="0" zoomScale="90" zoomScaleNormal="90" zoomScalePageLayoutView="90" workbookViewId="0">
      <pane ySplit="5" topLeftCell="A6" activePane="bottomLeft" state="frozen"/>
      <selection pane="bottomLeft" activeCell="C7" sqref="C7:E13"/>
    </sheetView>
  </sheetViews>
  <sheetFormatPr baseColWidth="10" defaultColWidth="8.83203125" defaultRowHeight="15" zeroHeight="1" x14ac:dyDescent="0.2"/>
  <cols>
    <col min="1" max="1" width="27.6640625" style="1" customWidth="1"/>
    <col min="2" max="2" width="3.83203125" customWidth="1"/>
    <col min="3" max="3" width="47.6640625" customWidth="1"/>
    <col min="4" max="4" width="28.83203125" customWidth="1"/>
    <col min="5" max="5" width="29.83203125" bestFit="1" customWidth="1"/>
    <col min="6" max="7" width="23.1640625" customWidth="1"/>
  </cols>
  <sheetData>
    <row r="1" spans="1:7" s="4" customFormat="1" ht="34" customHeight="1" x14ac:dyDescent="0.3">
      <c r="A1" s="77" t="s">
        <v>163</v>
      </c>
      <c r="C1" s="5" t="s">
        <v>26</v>
      </c>
    </row>
    <row r="2" spans="1:7" s="4" customFormat="1" ht="21.5" customHeight="1" x14ac:dyDescent="0.2">
      <c r="A2" s="1"/>
    </row>
    <row r="3" spans="1:7" s="4" customFormat="1" ht="21.5" customHeight="1" x14ac:dyDescent="0.2">
      <c r="A3" s="1"/>
    </row>
    <row r="4" spans="1:7" ht="14" customHeight="1" thickBot="1" x14ac:dyDescent="0.25"/>
    <row r="5" spans="1:7" ht="30" customHeight="1" thickBot="1" x14ac:dyDescent="0.25">
      <c r="C5" s="17" t="s">
        <v>56</v>
      </c>
      <c r="D5" s="17" t="s">
        <v>57</v>
      </c>
      <c r="E5" s="17" t="s">
        <v>58</v>
      </c>
      <c r="F5" s="17" t="s">
        <v>59</v>
      </c>
      <c r="G5" s="17" t="s">
        <v>60</v>
      </c>
    </row>
    <row r="6" spans="1:7" ht="30" customHeight="1" thickBot="1" x14ac:dyDescent="0.25">
      <c r="C6" s="64" t="s">
        <v>61</v>
      </c>
      <c r="D6" s="80" t="s">
        <v>62</v>
      </c>
      <c r="E6" s="80" t="s">
        <v>63</v>
      </c>
      <c r="F6" s="81" t="s">
        <v>65</v>
      </c>
      <c r="G6" s="81" t="s">
        <v>64</v>
      </c>
    </row>
    <row r="7" spans="1:7" ht="30" customHeight="1" thickBot="1" x14ac:dyDescent="0.25">
      <c r="C7" s="19"/>
      <c r="D7" s="20"/>
      <c r="E7" s="21"/>
      <c r="F7" s="62" t="str">
        <f>IF(ISERROR(
IF(C7="","",D7*E7)),"",IF(C7="","",D7*E7))</f>
        <v/>
      </c>
      <c r="G7" s="63" t="str">
        <f>IF(ISERROR(
$F7/SUM($F$7:$F$507)),"",$F7/SUM($F$7:$F$507))</f>
        <v/>
      </c>
    </row>
    <row r="8" spans="1:7" ht="30" customHeight="1" thickBot="1" x14ac:dyDescent="0.25">
      <c r="C8" s="22"/>
      <c r="D8" s="23"/>
      <c r="E8" s="24"/>
      <c r="F8" s="62" t="str">
        <f t="shared" ref="F8:F71" si="0">IF(ISERROR(
IF(C8="","",D8*E8)),"",IF(C8="","",D8*E8))</f>
        <v/>
      </c>
      <c r="G8" s="63" t="str">
        <f t="shared" ref="G8:G71" si="1">IF(ISERROR(
$F8/SUM($F$7:$F$507)),"",$F8/SUM($F$7:$F$507))</f>
        <v/>
      </c>
    </row>
    <row r="9" spans="1:7" ht="30" customHeight="1" thickBot="1" x14ac:dyDescent="0.25">
      <c r="C9" s="22"/>
      <c r="D9" s="23"/>
      <c r="E9" s="24"/>
      <c r="F9" s="62" t="str">
        <f t="shared" si="0"/>
        <v/>
      </c>
      <c r="G9" s="63" t="str">
        <f t="shared" si="1"/>
        <v/>
      </c>
    </row>
    <row r="10" spans="1:7" ht="30" customHeight="1" thickBot="1" x14ac:dyDescent="0.25">
      <c r="C10" s="22"/>
      <c r="D10" s="23"/>
      <c r="E10" s="24"/>
      <c r="F10" s="62" t="str">
        <f t="shared" si="0"/>
        <v/>
      </c>
      <c r="G10" s="63" t="str">
        <f t="shared" si="1"/>
        <v/>
      </c>
    </row>
    <row r="11" spans="1:7" ht="30" customHeight="1" thickBot="1" x14ac:dyDescent="0.25">
      <c r="C11" s="22"/>
      <c r="D11" s="23"/>
      <c r="E11" s="24"/>
      <c r="F11" s="62" t="str">
        <f t="shared" si="0"/>
        <v/>
      </c>
      <c r="G11" s="63" t="str">
        <f t="shared" si="1"/>
        <v/>
      </c>
    </row>
    <row r="12" spans="1:7" ht="30" customHeight="1" thickBot="1" x14ac:dyDescent="0.25">
      <c r="C12" s="22"/>
      <c r="D12" s="23"/>
      <c r="E12" s="24"/>
      <c r="F12" s="62" t="str">
        <f t="shared" si="0"/>
        <v/>
      </c>
      <c r="G12" s="63" t="str">
        <f t="shared" si="1"/>
        <v/>
      </c>
    </row>
    <row r="13" spans="1:7" ht="30" customHeight="1" thickBot="1" x14ac:dyDescent="0.25">
      <c r="C13" s="22"/>
      <c r="D13" s="23"/>
      <c r="E13" s="24"/>
      <c r="F13" s="62" t="str">
        <f t="shared" si="0"/>
        <v/>
      </c>
      <c r="G13" s="63" t="str">
        <f t="shared" si="1"/>
        <v/>
      </c>
    </row>
    <row r="14" spans="1:7" ht="30" customHeight="1" thickBot="1" x14ac:dyDescent="0.25">
      <c r="C14" s="22"/>
      <c r="D14" s="23"/>
      <c r="E14" s="24"/>
      <c r="F14" s="62" t="str">
        <f t="shared" si="0"/>
        <v/>
      </c>
      <c r="G14" s="63" t="str">
        <f t="shared" si="1"/>
        <v/>
      </c>
    </row>
    <row r="15" spans="1:7" ht="30" customHeight="1" thickBot="1" x14ac:dyDescent="0.25">
      <c r="C15" s="22"/>
      <c r="D15" s="23"/>
      <c r="E15" s="24"/>
      <c r="F15" s="62" t="str">
        <f t="shared" si="0"/>
        <v/>
      </c>
      <c r="G15" s="63" t="str">
        <f t="shared" si="1"/>
        <v/>
      </c>
    </row>
    <row r="16" spans="1:7" ht="30" customHeight="1" thickBot="1" x14ac:dyDescent="0.25">
      <c r="C16" s="22"/>
      <c r="D16" s="23"/>
      <c r="E16" s="24"/>
      <c r="F16" s="62" t="str">
        <f t="shared" si="0"/>
        <v/>
      </c>
      <c r="G16" s="63" t="str">
        <f t="shared" si="1"/>
        <v/>
      </c>
    </row>
    <row r="17" spans="3:7" ht="30" customHeight="1" thickBot="1" x14ac:dyDescent="0.25">
      <c r="C17" s="22"/>
      <c r="D17" s="23"/>
      <c r="E17" s="24"/>
      <c r="F17" s="62" t="str">
        <f t="shared" si="0"/>
        <v/>
      </c>
      <c r="G17" s="63" t="str">
        <f t="shared" si="1"/>
        <v/>
      </c>
    </row>
    <row r="18" spans="3:7" ht="30" customHeight="1" thickBot="1" x14ac:dyDescent="0.25">
      <c r="C18" s="22"/>
      <c r="D18" s="23"/>
      <c r="E18" s="24"/>
      <c r="F18" s="62" t="str">
        <f t="shared" si="0"/>
        <v/>
      </c>
      <c r="G18" s="63" t="str">
        <f t="shared" si="1"/>
        <v/>
      </c>
    </row>
    <row r="19" spans="3:7" ht="30" customHeight="1" thickBot="1" x14ac:dyDescent="0.25">
      <c r="C19" s="22"/>
      <c r="D19" s="23"/>
      <c r="E19" s="24"/>
      <c r="F19" s="62" t="str">
        <f t="shared" si="0"/>
        <v/>
      </c>
      <c r="G19" s="63" t="str">
        <f t="shared" si="1"/>
        <v/>
      </c>
    </row>
    <row r="20" spans="3:7" ht="30" customHeight="1" thickBot="1" x14ac:dyDescent="0.25">
      <c r="C20" s="22"/>
      <c r="D20" s="23"/>
      <c r="E20" s="24"/>
      <c r="F20" s="62" t="str">
        <f t="shared" si="0"/>
        <v/>
      </c>
      <c r="G20" s="63" t="str">
        <f t="shared" si="1"/>
        <v/>
      </c>
    </row>
    <row r="21" spans="3:7" ht="30" customHeight="1" thickBot="1" x14ac:dyDescent="0.25">
      <c r="C21" s="22"/>
      <c r="D21" s="23"/>
      <c r="E21" s="24"/>
      <c r="F21" s="62" t="str">
        <f t="shared" si="0"/>
        <v/>
      </c>
      <c r="G21" s="63" t="str">
        <f t="shared" si="1"/>
        <v/>
      </c>
    </row>
    <row r="22" spans="3:7" ht="30" customHeight="1" thickBot="1" x14ac:dyDescent="0.25">
      <c r="C22" s="22"/>
      <c r="D22" s="23"/>
      <c r="E22" s="24"/>
      <c r="F22" s="62" t="str">
        <f t="shared" si="0"/>
        <v/>
      </c>
      <c r="G22" s="63" t="str">
        <f t="shared" si="1"/>
        <v/>
      </c>
    </row>
    <row r="23" spans="3:7" ht="30" customHeight="1" thickBot="1" x14ac:dyDescent="0.25">
      <c r="C23" s="22"/>
      <c r="D23" s="23"/>
      <c r="E23" s="24"/>
      <c r="F23" s="62" t="str">
        <f t="shared" si="0"/>
        <v/>
      </c>
      <c r="G23" s="63" t="str">
        <f t="shared" si="1"/>
        <v/>
      </c>
    </row>
    <row r="24" spans="3:7" ht="30" customHeight="1" thickBot="1" x14ac:dyDescent="0.25">
      <c r="C24" s="22"/>
      <c r="D24" s="23"/>
      <c r="E24" s="24"/>
      <c r="F24" s="62" t="str">
        <f t="shared" si="0"/>
        <v/>
      </c>
      <c r="G24" s="63" t="str">
        <f t="shared" si="1"/>
        <v/>
      </c>
    </row>
    <row r="25" spans="3:7" ht="30" customHeight="1" thickBot="1" x14ac:dyDescent="0.25">
      <c r="C25" s="22"/>
      <c r="D25" s="23"/>
      <c r="E25" s="24"/>
      <c r="F25" s="62" t="str">
        <f t="shared" si="0"/>
        <v/>
      </c>
      <c r="G25" s="63" t="str">
        <f t="shared" si="1"/>
        <v/>
      </c>
    </row>
    <row r="26" spans="3:7" ht="30" customHeight="1" thickBot="1" x14ac:dyDescent="0.25">
      <c r="C26" s="22"/>
      <c r="D26" s="23"/>
      <c r="E26" s="24"/>
      <c r="F26" s="62" t="str">
        <f t="shared" si="0"/>
        <v/>
      </c>
      <c r="G26" s="63" t="str">
        <f t="shared" si="1"/>
        <v/>
      </c>
    </row>
    <row r="27" spans="3:7" ht="30" customHeight="1" thickBot="1" x14ac:dyDescent="0.25">
      <c r="C27" s="22"/>
      <c r="D27" s="23"/>
      <c r="E27" s="24"/>
      <c r="F27" s="62" t="str">
        <f t="shared" si="0"/>
        <v/>
      </c>
      <c r="G27" s="63" t="str">
        <f t="shared" si="1"/>
        <v/>
      </c>
    </row>
    <row r="28" spans="3:7" ht="30" customHeight="1" thickBot="1" x14ac:dyDescent="0.25">
      <c r="C28" s="22"/>
      <c r="D28" s="23"/>
      <c r="E28" s="24"/>
      <c r="F28" s="62" t="str">
        <f t="shared" si="0"/>
        <v/>
      </c>
      <c r="G28" s="63" t="str">
        <f t="shared" si="1"/>
        <v/>
      </c>
    </row>
    <row r="29" spans="3:7" ht="30" customHeight="1" thickBot="1" x14ac:dyDescent="0.25">
      <c r="C29" s="22"/>
      <c r="D29" s="23"/>
      <c r="E29" s="24"/>
      <c r="F29" s="62" t="str">
        <f t="shared" si="0"/>
        <v/>
      </c>
      <c r="G29" s="63" t="str">
        <f t="shared" si="1"/>
        <v/>
      </c>
    </row>
    <row r="30" spans="3:7" ht="30" customHeight="1" thickBot="1" x14ac:dyDescent="0.25">
      <c r="C30" s="22"/>
      <c r="D30" s="23"/>
      <c r="E30" s="24"/>
      <c r="F30" s="62" t="str">
        <f t="shared" si="0"/>
        <v/>
      </c>
      <c r="G30" s="63" t="str">
        <f t="shared" si="1"/>
        <v/>
      </c>
    </row>
    <row r="31" spans="3:7" ht="30" customHeight="1" thickBot="1" x14ac:dyDescent="0.25">
      <c r="C31" s="22"/>
      <c r="D31" s="23"/>
      <c r="E31" s="24"/>
      <c r="F31" s="62" t="str">
        <f t="shared" si="0"/>
        <v/>
      </c>
      <c r="G31" s="63" t="str">
        <f t="shared" si="1"/>
        <v/>
      </c>
    </row>
    <row r="32" spans="3:7" ht="30" customHeight="1" thickBot="1" x14ac:dyDescent="0.25">
      <c r="C32" s="22"/>
      <c r="D32" s="23"/>
      <c r="E32" s="24"/>
      <c r="F32" s="62" t="str">
        <f t="shared" si="0"/>
        <v/>
      </c>
      <c r="G32" s="63" t="str">
        <f t="shared" si="1"/>
        <v/>
      </c>
    </row>
    <row r="33" spans="3:7" ht="30" customHeight="1" thickBot="1" x14ac:dyDescent="0.25">
      <c r="C33" s="22"/>
      <c r="D33" s="23"/>
      <c r="E33" s="24"/>
      <c r="F33" s="62" t="str">
        <f t="shared" si="0"/>
        <v/>
      </c>
      <c r="G33" s="63" t="str">
        <f t="shared" si="1"/>
        <v/>
      </c>
    </row>
    <row r="34" spans="3:7" ht="30" customHeight="1" thickBot="1" x14ac:dyDescent="0.25">
      <c r="C34" s="22"/>
      <c r="D34" s="23"/>
      <c r="E34" s="24"/>
      <c r="F34" s="62" t="str">
        <f t="shared" si="0"/>
        <v/>
      </c>
      <c r="G34" s="63" t="str">
        <f t="shared" si="1"/>
        <v/>
      </c>
    </row>
    <row r="35" spans="3:7" ht="30" customHeight="1" thickBot="1" x14ac:dyDescent="0.25">
      <c r="C35" s="22"/>
      <c r="D35" s="23"/>
      <c r="E35" s="24"/>
      <c r="F35" s="62" t="str">
        <f t="shared" si="0"/>
        <v/>
      </c>
      <c r="G35" s="63" t="str">
        <f t="shared" si="1"/>
        <v/>
      </c>
    </row>
    <row r="36" spans="3:7" ht="30" customHeight="1" thickBot="1" x14ac:dyDescent="0.25">
      <c r="C36" s="22"/>
      <c r="D36" s="23"/>
      <c r="E36" s="24"/>
      <c r="F36" s="62" t="str">
        <f t="shared" si="0"/>
        <v/>
      </c>
      <c r="G36" s="63" t="str">
        <f t="shared" si="1"/>
        <v/>
      </c>
    </row>
    <row r="37" spans="3:7" ht="30" customHeight="1" thickBot="1" x14ac:dyDescent="0.25">
      <c r="C37" s="22"/>
      <c r="D37" s="23"/>
      <c r="E37" s="24"/>
      <c r="F37" s="62" t="str">
        <f t="shared" si="0"/>
        <v/>
      </c>
      <c r="G37" s="63" t="str">
        <f t="shared" si="1"/>
        <v/>
      </c>
    </row>
    <row r="38" spans="3:7" ht="30" customHeight="1" thickBot="1" x14ac:dyDescent="0.25">
      <c r="C38" s="22"/>
      <c r="D38" s="23"/>
      <c r="E38" s="24"/>
      <c r="F38" s="62" t="str">
        <f t="shared" si="0"/>
        <v/>
      </c>
      <c r="G38" s="63" t="str">
        <f t="shared" si="1"/>
        <v/>
      </c>
    </row>
    <row r="39" spans="3:7" ht="30" customHeight="1" thickBot="1" x14ac:dyDescent="0.25">
      <c r="C39" s="22"/>
      <c r="D39" s="23"/>
      <c r="E39" s="24"/>
      <c r="F39" s="62" t="str">
        <f t="shared" si="0"/>
        <v/>
      </c>
      <c r="G39" s="63" t="str">
        <f t="shared" si="1"/>
        <v/>
      </c>
    </row>
    <row r="40" spans="3:7" ht="30" customHeight="1" thickBot="1" x14ac:dyDescent="0.25">
      <c r="C40" s="22"/>
      <c r="D40" s="23"/>
      <c r="E40" s="24"/>
      <c r="F40" s="62" t="str">
        <f t="shared" si="0"/>
        <v/>
      </c>
      <c r="G40" s="63" t="str">
        <f t="shared" si="1"/>
        <v/>
      </c>
    </row>
    <row r="41" spans="3:7" ht="30" customHeight="1" thickBot="1" x14ac:dyDescent="0.25">
      <c r="C41" s="22"/>
      <c r="D41" s="23"/>
      <c r="E41" s="24"/>
      <c r="F41" s="62" t="str">
        <f t="shared" si="0"/>
        <v/>
      </c>
      <c r="G41" s="63" t="str">
        <f t="shared" si="1"/>
        <v/>
      </c>
    </row>
    <row r="42" spans="3:7" ht="30" customHeight="1" thickBot="1" x14ac:dyDescent="0.25">
      <c r="C42" s="22"/>
      <c r="D42" s="23"/>
      <c r="E42" s="24"/>
      <c r="F42" s="62" t="str">
        <f t="shared" si="0"/>
        <v/>
      </c>
      <c r="G42" s="63" t="str">
        <f t="shared" si="1"/>
        <v/>
      </c>
    </row>
    <row r="43" spans="3:7" ht="30" customHeight="1" thickBot="1" x14ac:dyDescent="0.25">
      <c r="C43" s="22"/>
      <c r="D43" s="23"/>
      <c r="E43" s="24"/>
      <c r="F43" s="62" t="str">
        <f t="shared" si="0"/>
        <v/>
      </c>
      <c r="G43" s="63" t="str">
        <f t="shared" si="1"/>
        <v/>
      </c>
    </row>
    <row r="44" spans="3:7" ht="30" customHeight="1" thickBot="1" x14ac:dyDescent="0.25">
      <c r="C44" s="22"/>
      <c r="D44" s="23"/>
      <c r="E44" s="24"/>
      <c r="F44" s="62" t="str">
        <f t="shared" si="0"/>
        <v/>
      </c>
      <c r="G44" s="63" t="str">
        <f t="shared" si="1"/>
        <v/>
      </c>
    </row>
    <row r="45" spans="3:7" ht="30" customHeight="1" thickBot="1" x14ac:dyDescent="0.25">
      <c r="C45" s="22"/>
      <c r="D45" s="23"/>
      <c r="E45" s="24"/>
      <c r="F45" s="62" t="str">
        <f t="shared" si="0"/>
        <v/>
      </c>
      <c r="G45" s="63" t="str">
        <f t="shared" si="1"/>
        <v/>
      </c>
    </row>
    <row r="46" spans="3:7" ht="30" customHeight="1" thickBot="1" x14ac:dyDescent="0.25">
      <c r="C46" s="22"/>
      <c r="D46" s="23"/>
      <c r="E46" s="24"/>
      <c r="F46" s="62" t="str">
        <f t="shared" si="0"/>
        <v/>
      </c>
      <c r="G46" s="63" t="str">
        <f t="shared" si="1"/>
        <v/>
      </c>
    </row>
    <row r="47" spans="3:7" ht="30" customHeight="1" thickBot="1" x14ac:dyDescent="0.25">
      <c r="C47" s="22"/>
      <c r="D47" s="23"/>
      <c r="E47" s="24"/>
      <c r="F47" s="62" t="str">
        <f t="shared" si="0"/>
        <v/>
      </c>
      <c r="G47" s="63" t="str">
        <f t="shared" si="1"/>
        <v/>
      </c>
    </row>
    <row r="48" spans="3:7" ht="30" customHeight="1" thickBot="1" x14ac:dyDescent="0.25">
      <c r="C48" s="22"/>
      <c r="D48" s="23"/>
      <c r="E48" s="24"/>
      <c r="F48" s="62" t="str">
        <f t="shared" si="0"/>
        <v/>
      </c>
      <c r="G48" s="63" t="str">
        <f t="shared" si="1"/>
        <v/>
      </c>
    </row>
    <row r="49" spans="3:7" ht="30" customHeight="1" thickBot="1" x14ac:dyDescent="0.25">
      <c r="C49" s="22"/>
      <c r="D49" s="23"/>
      <c r="E49" s="24"/>
      <c r="F49" s="62" t="str">
        <f t="shared" si="0"/>
        <v/>
      </c>
      <c r="G49" s="63" t="str">
        <f t="shared" si="1"/>
        <v/>
      </c>
    </row>
    <row r="50" spans="3:7" ht="30" customHeight="1" thickBot="1" x14ac:dyDescent="0.25">
      <c r="C50" s="22"/>
      <c r="D50" s="23"/>
      <c r="E50" s="24"/>
      <c r="F50" s="62" t="str">
        <f t="shared" si="0"/>
        <v/>
      </c>
      <c r="G50" s="63" t="str">
        <f t="shared" si="1"/>
        <v/>
      </c>
    </row>
    <row r="51" spans="3:7" ht="30" customHeight="1" thickBot="1" x14ac:dyDescent="0.25">
      <c r="C51" s="22"/>
      <c r="D51" s="23"/>
      <c r="E51" s="24"/>
      <c r="F51" s="62" t="str">
        <f t="shared" si="0"/>
        <v/>
      </c>
      <c r="G51" s="63" t="str">
        <f t="shared" si="1"/>
        <v/>
      </c>
    </row>
    <row r="52" spans="3:7" ht="30" customHeight="1" thickBot="1" x14ac:dyDescent="0.25">
      <c r="C52" s="22"/>
      <c r="D52" s="23"/>
      <c r="E52" s="24"/>
      <c r="F52" s="62" t="str">
        <f t="shared" si="0"/>
        <v/>
      </c>
      <c r="G52" s="63" t="str">
        <f t="shared" si="1"/>
        <v/>
      </c>
    </row>
    <row r="53" spans="3:7" ht="30" customHeight="1" thickBot="1" x14ac:dyDescent="0.25">
      <c r="C53" s="22"/>
      <c r="D53" s="23"/>
      <c r="E53" s="24"/>
      <c r="F53" s="62" t="str">
        <f t="shared" si="0"/>
        <v/>
      </c>
      <c r="G53" s="63" t="str">
        <f t="shared" si="1"/>
        <v/>
      </c>
    </row>
    <row r="54" spans="3:7" ht="30" customHeight="1" thickBot="1" x14ac:dyDescent="0.25">
      <c r="C54" s="22"/>
      <c r="D54" s="23"/>
      <c r="E54" s="24"/>
      <c r="F54" s="62" t="str">
        <f t="shared" si="0"/>
        <v/>
      </c>
      <c r="G54" s="63" t="str">
        <f t="shared" si="1"/>
        <v/>
      </c>
    </row>
    <row r="55" spans="3:7" ht="30" customHeight="1" thickBot="1" x14ac:dyDescent="0.25">
      <c r="C55" s="22"/>
      <c r="D55" s="23"/>
      <c r="E55" s="24"/>
      <c r="F55" s="62" t="str">
        <f t="shared" si="0"/>
        <v/>
      </c>
      <c r="G55" s="63" t="str">
        <f t="shared" si="1"/>
        <v/>
      </c>
    </row>
    <row r="56" spans="3:7" ht="30" customHeight="1" thickBot="1" x14ac:dyDescent="0.25">
      <c r="C56" s="22"/>
      <c r="D56" s="23"/>
      <c r="E56" s="24"/>
      <c r="F56" s="62" t="str">
        <f t="shared" si="0"/>
        <v/>
      </c>
      <c r="G56" s="63" t="str">
        <f t="shared" si="1"/>
        <v/>
      </c>
    </row>
    <row r="57" spans="3:7" ht="30" customHeight="1" thickBot="1" x14ac:dyDescent="0.25">
      <c r="C57" s="22"/>
      <c r="D57" s="23"/>
      <c r="E57" s="24"/>
      <c r="F57" s="62" t="str">
        <f t="shared" si="0"/>
        <v/>
      </c>
      <c r="G57" s="63" t="str">
        <f t="shared" si="1"/>
        <v/>
      </c>
    </row>
    <row r="58" spans="3:7" ht="30" customHeight="1" thickBot="1" x14ac:dyDescent="0.25">
      <c r="C58" s="22"/>
      <c r="D58" s="23"/>
      <c r="E58" s="24"/>
      <c r="F58" s="62" t="str">
        <f t="shared" si="0"/>
        <v/>
      </c>
      <c r="G58" s="63" t="str">
        <f t="shared" si="1"/>
        <v/>
      </c>
    </row>
    <row r="59" spans="3:7" ht="30" customHeight="1" thickBot="1" x14ac:dyDescent="0.25">
      <c r="C59" s="22"/>
      <c r="D59" s="23"/>
      <c r="E59" s="24"/>
      <c r="F59" s="62" t="str">
        <f t="shared" si="0"/>
        <v/>
      </c>
      <c r="G59" s="63" t="str">
        <f t="shared" si="1"/>
        <v/>
      </c>
    </row>
    <row r="60" spans="3:7" ht="30" customHeight="1" thickBot="1" x14ac:dyDescent="0.25">
      <c r="C60" s="22"/>
      <c r="D60" s="23"/>
      <c r="E60" s="24"/>
      <c r="F60" s="62" t="str">
        <f t="shared" si="0"/>
        <v/>
      </c>
      <c r="G60" s="63" t="str">
        <f t="shared" si="1"/>
        <v/>
      </c>
    </row>
    <row r="61" spans="3:7" ht="30" customHeight="1" thickBot="1" x14ac:dyDescent="0.25">
      <c r="C61" s="22"/>
      <c r="D61" s="23"/>
      <c r="E61" s="24"/>
      <c r="F61" s="62" t="str">
        <f t="shared" si="0"/>
        <v/>
      </c>
      <c r="G61" s="63" t="str">
        <f t="shared" si="1"/>
        <v/>
      </c>
    </row>
    <row r="62" spans="3:7" ht="30" customHeight="1" thickBot="1" x14ac:dyDescent="0.25">
      <c r="C62" s="22"/>
      <c r="D62" s="23"/>
      <c r="E62" s="24"/>
      <c r="F62" s="62" t="str">
        <f t="shared" si="0"/>
        <v/>
      </c>
      <c r="G62" s="63" t="str">
        <f t="shared" si="1"/>
        <v/>
      </c>
    </row>
    <row r="63" spans="3:7" ht="30" customHeight="1" thickBot="1" x14ac:dyDescent="0.25">
      <c r="C63" s="22"/>
      <c r="D63" s="23"/>
      <c r="E63" s="24"/>
      <c r="F63" s="62" t="str">
        <f t="shared" si="0"/>
        <v/>
      </c>
      <c r="G63" s="63" t="str">
        <f t="shared" si="1"/>
        <v/>
      </c>
    </row>
    <row r="64" spans="3:7" ht="30" customHeight="1" thickBot="1" x14ac:dyDescent="0.25">
      <c r="C64" s="22"/>
      <c r="D64" s="23"/>
      <c r="E64" s="24"/>
      <c r="F64" s="62" t="str">
        <f t="shared" si="0"/>
        <v/>
      </c>
      <c r="G64" s="63" t="str">
        <f t="shared" si="1"/>
        <v/>
      </c>
    </row>
    <row r="65" spans="3:7" ht="30" customHeight="1" thickBot="1" x14ac:dyDescent="0.25">
      <c r="C65" s="22"/>
      <c r="D65" s="23"/>
      <c r="E65" s="24"/>
      <c r="F65" s="62" t="str">
        <f t="shared" si="0"/>
        <v/>
      </c>
      <c r="G65" s="63" t="str">
        <f t="shared" si="1"/>
        <v/>
      </c>
    </row>
    <row r="66" spans="3:7" ht="30" customHeight="1" thickBot="1" x14ac:dyDescent="0.25">
      <c r="C66" s="22"/>
      <c r="D66" s="23"/>
      <c r="E66" s="24"/>
      <c r="F66" s="62" t="str">
        <f t="shared" si="0"/>
        <v/>
      </c>
      <c r="G66" s="63" t="str">
        <f t="shared" si="1"/>
        <v/>
      </c>
    </row>
    <row r="67" spans="3:7" ht="30" customHeight="1" thickBot="1" x14ac:dyDescent="0.25">
      <c r="C67" s="22"/>
      <c r="D67" s="23"/>
      <c r="E67" s="24"/>
      <c r="F67" s="62" t="str">
        <f t="shared" si="0"/>
        <v/>
      </c>
      <c r="G67" s="63" t="str">
        <f t="shared" si="1"/>
        <v/>
      </c>
    </row>
    <row r="68" spans="3:7" ht="30" customHeight="1" thickBot="1" x14ac:dyDescent="0.25">
      <c r="C68" s="22"/>
      <c r="D68" s="23"/>
      <c r="E68" s="24"/>
      <c r="F68" s="62" t="str">
        <f t="shared" si="0"/>
        <v/>
      </c>
      <c r="G68" s="63" t="str">
        <f t="shared" si="1"/>
        <v/>
      </c>
    </row>
    <row r="69" spans="3:7" ht="30" customHeight="1" thickBot="1" x14ac:dyDescent="0.25">
      <c r="C69" s="22"/>
      <c r="D69" s="23"/>
      <c r="E69" s="24"/>
      <c r="F69" s="62" t="str">
        <f t="shared" si="0"/>
        <v/>
      </c>
      <c r="G69" s="63" t="str">
        <f t="shared" si="1"/>
        <v/>
      </c>
    </row>
    <row r="70" spans="3:7" ht="30" customHeight="1" thickBot="1" x14ac:dyDescent="0.25">
      <c r="C70" s="22"/>
      <c r="D70" s="23"/>
      <c r="E70" s="24"/>
      <c r="F70" s="62" t="str">
        <f t="shared" si="0"/>
        <v/>
      </c>
      <c r="G70" s="63" t="str">
        <f t="shared" si="1"/>
        <v/>
      </c>
    </row>
    <row r="71" spans="3:7" ht="30" customHeight="1" thickBot="1" x14ac:dyDescent="0.25">
      <c r="C71" s="22"/>
      <c r="D71" s="23"/>
      <c r="E71" s="24"/>
      <c r="F71" s="62" t="str">
        <f t="shared" si="0"/>
        <v/>
      </c>
      <c r="G71" s="63" t="str">
        <f t="shared" si="1"/>
        <v/>
      </c>
    </row>
    <row r="72" spans="3:7" ht="30" customHeight="1" thickBot="1" x14ac:dyDescent="0.25">
      <c r="C72" s="22"/>
      <c r="D72" s="23"/>
      <c r="E72" s="24"/>
      <c r="F72" s="62" t="str">
        <f t="shared" ref="F72:F135" si="2">IF(ISERROR(
IF(C72="","",D72*E72)),"",IF(C72="","",D72*E72))</f>
        <v/>
      </c>
      <c r="G72" s="63" t="str">
        <f t="shared" ref="G72:G135" si="3">IF(ISERROR(
$F72/SUM($F$7:$F$507)),"",$F72/SUM($F$7:$F$507))</f>
        <v/>
      </c>
    </row>
    <row r="73" spans="3:7" ht="30" customHeight="1" thickBot="1" x14ac:dyDescent="0.25">
      <c r="C73" s="22"/>
      <c r="D73" s="23"/>
      <c r="E73" s="24"/>
      <c r="F73" s="62" t="str">
        <f t="shared" si="2"/>
        <v/>
      </c>
      <c r="G73" s="63" t="str">
        <f t="shared" si="3"/>
        <v/>
      </c>
    </row>
    <row r="74" spans="3:7" ht="30" customHeight="1" thickBot="1" x14ac:dyDescent="0.25">
      <c r="C74" s="22"/>
      <c r="D74" s="23"/>
      <c r="E74" s="24"/>
      <c r="F74" s="62" t="str">
        <f t="shared" si="2"/>
        <v/>
      </c>
      <c r="G74" s="63" t="str">
        <f t="shared" si="3"/>
        <v/>
      </c>
    </row>
    <row r="75" spans="3:7" ht="30" customHeight="1" thickBot="1" x14ac:dyDescent="0.25">
      <c r="C75" s="22"/>
      <c r="D75" s="23"/>
      <c r="E75" s="24"/>
      <c r="F75" s="62" t="str">
        <f t="shared" si="2"/>
        <v/>
      </c>
      <c r="G75" s="63" t="str">
        <f t="shared" si="3"/>
        <v/>
      </c>
    </row>
    <row r="76" spans="3:7" ht="30" customHeight="1" thickBot="1" x14ac:dyDescent="0.25">
      <c r="C76" s="22"/>
      <c r="D76" s="23"/>
      <c r="E76" s="24"/>
      <c r="F76" s="62" t="str">
        <f t="shared" si="2"/>
        <v/>
      </c>
      <c r="G76" s="63" t="str">
        <f t="shared" si="3"/>
        <v/>
      </c>
    </row>
    <row r="77" spans="3:7" ht="30" customHeight="1" thickBot="1" x14ac:dyDescent="0.25">
      <c r="C77" s="22"/>
      <c r="D77" s="23"/>
      <c r="E77" s="24"/>
      <c r="F77" s="62" t="str">
        <f t="shared" si="2"/>
        <v/>
      </c>
      <c r="G77" s="63" t="str">
        <f t="shared" si="3"/>
        <v/>
      </c>
    </row>
    <row r="78" spans="3:7" ht="30" customHeight="1" thickBot="1" x14ac:dyDescent="0.25">
      <c r="C78" s="22"/>
      <c r="D78" s="23"/>
      <c r="E78" s="24"/>
      <c r="F78" s="62" t="str">
        <f t="shared" si="2"/>
        <v/>
      </c>
      <c r="G78" s="63" t="str">
        <f t="shared" si="3"/>
        <v/>
      </c>
    </row>
    <row r="79" spans="3:7" ht="30" customHeight="1" thickBot="1" x14ac:dyDescent="0.25">
      <c r="C79" s="22"/>
      <c r="D79" s="23"/>
      <c r="E79" s="24"/>
      <c r="F79" s="62" t="str">
        <f t="shared" si="2"/>
        <v/>
      </c>
      <c r="G79" s="63" t="str">
        <f t="shared" si="3"/>
        <v/>
      </c>
    </row>
    <row r="80" spans="3:7" ht="30" customHeight="1" thickBot="1" x14ac:dyDescent="0.25">
      <c r="C80" s="22"/>
      <c r="D80" s="23"/>
      <c r="E80" s="24"/>
      <c r="F80" s="62" t="str">
        <f t="shared" si="2"/>
        <v/>
      </c>
      <c r="G80" s="63" t="str">
        <f t="shared" si="3"/>
        <v/>
      </c>
    </row>
    <row r="81" spans="3:7" ht="30" customHeight="1" thickBot="1" x14ac:dyDescent="0.25">
      <c r="C81" s="22"/>
      <c r="D81" s="23"/>
      <c r="E81" s="24"/>
      <c r="F81" s="62" t="str">
        <f t="shared" si="2"/>
        <v/>
      </c>
      <c r="G81" s="63" t="str">
        <f t="shared" si="3"/>
        <v/>
      </c>
    </row>
    <row r="82" spans="3:7" ht="30" customHeight="1" thickBot="1" x14ac:dyDescent="0.25">
      <c r="C82" s="22"/>
      <c r="D82" s="23"/>
      <c r="E82" s="24"/>
      <c r="F82" s="62" t="str">
        <f t="shared" si="2"/>
        <v/>
      </c>
      <c r="G82" s="63" t="str">
        <f t="shared" si="3"/>
        <v/>
      </c>
    </row>
    <row r="83" spans="3:7" ht="30" customHeight="1" thickBot="1" x14ac:dyDescent="0.25">
      <c r="C83" s="22"/>
      <c r="D83" s="23"/>
      <c r="E83" s="24"/>
      <c r="F83" s="62" t="str">
        <f t="shared" si="2"/>
        <v/>
      </c>
      <c r="G83" s="63" t="str">
        <f t="shared" si="3"/>
        <v/>
      </c>
    </row>
    <row r="84" spans="3:7" ht="30" customHeight="1" thickBot="1" x14ac:dyDescent="0.25">
      <c r="C84" s="22"/>
      <c r="D84" s="23"/>
      <c r="E84" s="24"/>
      <c r="F84" s="62" t="str">
        <f t="shared" si="2"/>
        <v/>
      </c>
      <c r="G84" s="63" t="str">
        <f t="shared" si="3"/>
        <v/>
      </c>
    </row>
    <row r="85" spans="3:7" ht="30" customHeight="1" thickBot="1" x14ac:dyDescent="0.25">
      <c r="C85" s="22"/>
      <c r="D85" s="23"/>
      <c r="E85" s="24"/>
      <c r="F85" s="62" t="str">
        <f t="shared" si="2"/>
        <v/>
      </c>
      <c r="G85" s="63" t="str">
        <f t="shared" si="3"/>
        <v/>
      </c>
    </row>
    <row r="86" spans="3:7" ht="30" customHeight="1" thickBot="1" x14ac:dyDescent="0.25">
      <c r="C86" s="22"/>
      <c r="D86" s="23"/>
      <c r="E86" s="24"/>
      <c r="F86" s="62" t="str">
        <f t="shared" si="2"/>
        <v/>
      </c>
      <c r="G86" s="63" t="str">
        <f t="shared" si="3"/>
        <v/>
      </c>
    </row>
    <row r="87" spans="3:7" ht="30" customHeight="1" thickBot="1" x14ac:dyDescent="0.25">
      <c r="C87" s="22"/>
      <c r="D87" s="23"/>
      <c r="E87" s="24"/>
      <c r="F87" s="62" t="str">
        <f t="shared" si="2"/>
        <v/>
      </c>
      <c r="G87" s="63" t="str">
        <f t="shared" si="3"/>
        <v/>
      </c>
    </row>
    <row r="88" spans="3:7" ht="30" customHeight="1" thickBot="1" x14ac:dyDescent="0.25">
      <c r="C88" s="22"/>
      <c r="D88" s="23"/>
      <c r="E88" s="24"/>
      <c r="F88" s="62" t="str">
        <f t="shared" si="2"/>
        <v/>
      </c>
      <c r="G88" s="63" t="str">
        <f t="shared" si="3"/>
        <v/>
      </c>
    </row>
    <row r="89" spans="3:7" ht="30" customHeight="1" thickBot="1" x14ac:dyDescent="0.25">
      <c r="C89" s="22"/>
      <c r="D89" s="23"/>
      <c r="E89" s="24"/>
      <c r="F89" s="62" t="str">
        <f t="shared" si="2"/>
        <v/>
      </c>
      <c r="G89" s="63" t="str">
        <f t="shared" si="3"/>
        <v/>
      </c>
    </row>
    <row r="90" spans="3:7" ht="30" customHeight="1" thickBot="1" x14ac:dyDescent="0.25">
      <c r="C90" s="22"/>
      <c r="D90" s="23"/>
      <c r="E90" s="24"/>
      <c r="F90" s="62" t="str">
        <f t="shared" si="2"/>
        <v/>
      </c>
      <c r="G90" s="63" t="str">
        <f t="shared" si="3"/>
        <v/>
      </c>
    </row>
    <row r="91" spans="3:7" ht="30" customHeight="1" thickBot="1" x14ac:dyDescent="0.25">
      <c r="C91" s="22"/>
      <c r="D91" s="23"/>
      <c r="E91" s="24"/>
      <c r="F91" s="62" t="str">
        <f t="shared" si="2"/>
        <v/>
      </c>
      <c r="G91" s="63" t="str">
        <f t="shared" si="3"/>
        <v/>
      </c>
    </row>
    <row r="92" spans="3:7" ht="30" customHeight="1" thickBot="1" x14ac:dyDescent="0.25">
      <c r="C92" s="22"/>
      <c r="D92" s="23"/>
      <c r="E92" s="24"/>
      <c r="F92" s="62" t="str">
        <f t="shared" si="2"/>
        <v/>
      </c>
      <c r="G92" s="63" t="str">
        <f t="shared" si="3"/>
        <v/>
      </c>
    </row>
    <row r="93" spans="3:7" ht="30" customHeight="1" thickBot="1" x14ac:dyDescent="0.25">
      <c r="C93" s="22"/>
      <c r="D93" s="23"/>
      <c r="E93" s="24"/>
      <c r="F93" s="62" t="str">
        <f t="shared" si="2"/>
        <v/>
      </c>
      <c r="G93" s="63" t="str">
        <f t="shared" si="3"/>
        <v/>
      </c>
    </row>
    <row r="94" spans="3:7" ht="30" customHeight="1" thickBot="1" x14ac:dyDescent="0.25">
      <c r="C94" s="22"/>
      <c r="D94" s="23"/>
      <c r="E94" s="24"/>
      <c r="F94" s="62" t="str">
        <f t="shared" si="2"/>
        <v/>
      </c>
      <c r="G94" s="63" t="str">
        <f t="shared" si="3"/>
        <v/>
      </c>
    </row>
    <row r="95" spans="3:7" ht="30" customHeight="1" thickBot="1" x14ac:dyDescent="0.25">
      <c r="C95" s="22"/>
      <c r="D95" s="23"/>
      <c r="E95" s="24"/>
      <c r="F95" s="62" t="str">
        <f t="shared" si="2"/>
        <v/>
      </c>
      <c r="G95" s="63" t="str">
        <f t="shared" si="3"/>
        <v/>
      </c>
    </row>
    <row r="96" spans="3:7" ht="30" customHeight="1" thickBot="1" x14ac:dyDescent="0.25">
      <c r="C96" s="22"/>
      <c r="D96" s="23"/>
      <c r="E96" s="24"/>
      <c r="F96" s="62" t="str">
        <f t="shared" si="2"/>
        <v/>
      </c>
      <c r="G96" s="63" t="str">
        <f t="shared" si="3"/>
        <v/>
      </c>
    </row>
    <row r="97" spans="3:7" ht="30" customHeight="1" thickBot="1" x14ac:dyDescent="0.25">
      <c r="C97" s="22"/>
      <c r="D97" s="23"/>
      <c r="E97" s="24"/>
      <c r="F97" s="62" t="str">
        <f t="shared" si="2"/>
        <v/>
      </c>
      <c r="G97" s="63" t="str">
        <f t="shared" si="3"/>
        <v/>
      </c>
    </row>
    <row r="98" spans="3:7" ht="30" customHeight="1" thickBot="1" x14ac:dyDescent="0.25">
      <c r="C98" s="22"/>
      <c r="D98" s="23"/>
      <c r="E98" s="24"/>
      <c r="F98" s="62" t="str">
        <f t="shared" si="2"/>
        <v/>
      </c>
      <c r="G98" s="63" t="str">
        <f t="shared" si="3"/>
        <v/>
      </c>
    </row>
    <row r="99" spans="3:7" ht="30" customHeight="1" thickBot="1" x14ac:dyDescent="0.25">
      <c r="C99" s="22"/>
      <c r="D99" s="23"/>
      <c r="E99" s="24"/>
      <c r="F99" s="62" t="str">
        <f t="shared" si="2"/>
        <v/>
      </c>
      <c r="G99" s="63" t="str">
        <f t="shared" si="3"/>
        <v/>
      </c>
    </row>
    <row r="100" spans="3:7" ht="30" customHeight="1" thickBot="1" x14ac:dyDescent="0.25">
      <c r="C100" s="22"/>
      <c r="D100" s="23"/>
      <c r="E100" s="24"/>
      <c r="F100" s="62" t="str">
        <f t="shared" si="2"/>
        <v/>
      </c>
      <c r="G100" s="63" t="str">
        <f t="shared" si="3"/>
        <v/>
      </c>
    </row>
    <row r="101" spans="3:7" ht="30" customHeight="1" thickBot="1" x14ac:dyDescent="0.25">
      <c r="C101" s="22"/>
      <c r="D101" s="23"/>
      <c r="E101" s="24"/>
      <c r="F101" s="62" t="str">
        <f t="shared" si="2"/>
        <v/>
      </c>
      <c r="G101" s="63" t="str">
        <f t="shared" si="3"/>
        <v/>
      </c>
    </row>
    <row r="102" spans="3:7" ht="30" customHeight="1" thickBot="1" x14ac:dyDescent="0.25">
      <c r="C102" s="22"/>
      <c r="D102" s="23"/>
      <c r="E102" s="24"/>
      <c r="F102" s="62" t="str">
        <f t="shared" si="2"/>
        <v/>
      </c>
      <c r="G102" s="63" t="str">
        <f t="shared" si="3"/>
        <v/>
      </c>
    </row>
    <row r="103" spans="3:7" ht="30" customHeight="1" thickBot="1" x14ac:dyDescent="0.25">
      <c r="C103" s="22"/>
      <c r="D103" s="23"/>
      <c r="E103" s="24"/>
      <c r="F103" s="62" t="str">
        <f t="shared" si="2"/>
        <v/>
      </c>
      <c r="G103" s="63" t="str">
        <f t="shared" si="3"/>
        <v/>
      </c>
    </row>
    <row r="104" spans="3:7" ht="30" customHeight="1" thickBot="1" x14ac:dyDescent="0.25">
      <c r="C104" s="22"/>
      <c r="D104" s="23"/>
      <c r="E104" s="24"/>
      <c r="F104" s="62" t="str">
        <f t="shared" si="2"/>
        <v/>
      </c>
      <c r="G104" s="63" t="str">
        <f t="shared" si="3"/>
        <v/>
      </c>
    </row>
    <row r="105" spans="3:7" ht="30" customHeight="1" thickBot="1" x14ac:dyDescent="0.25">
      <c r="C105" s="22"/>
      <c r="D105" s="23"/>
      <c r="E105" s="24"/>
      <c r="F105" s="62" t="str">
        <f t="shared" si="2"/>
        <v/>
      </c>
      <c r="G105" s="63" t="str">
        <f t="shared" si="3"/>
        <v/>
      </c>
    </row>
    <row r="106" spans="3:7" ht="30" customHeight="1" thickBot="1" x14ac:dyDescent="0.25">
      <c r="C106" s="22"/>
      <c r="D106" s="23"/>
      <c r="E106" s="24"/>
      <c r="F106" s="62" t="str">
        <f t="shared" si="2"/>
        <v/>
      </c>
      <c r="G106" s="63" t="str">
        <f t="shared" si="3"/>
        <v/>
      </c>
    </row>
    <row r="107" spans="3:7" ht="30" customHeight="1" thickBot="1" x14ac:dyDescent="0.25">
      <c r="C107" s="22"/>
      <c r="D107" s="23"/>
      <c r="E107" s="24"/>
      <c r="F107" s="62" t="str">
        <f t="shared" si="2"/>
        <v/>
      </c>
      <c r="G107" s="63" t="str">
        <f t="shared" si="3"/>
        <v/>
      </c>
    </row>
    <row r="108" spans="3:7" ht="30" customHeight="1" thickBot="1" x14ac:dyDescent="0.25">
      <c r="C108" s="22"/>
      <c r="D108" s="23"/>
      <c r="E108" s="24"/>
      <c r="F108" s="62" t="str">
        <f t="shared" si="2"/>
        <v/>
      </c>
      <c r="G108" s="63" t="str">
        <f t="shared" si="3"/>
        <v/>
      </c>
    </row>
    <row r="109" spans="3:7" ht="30" customHeight="1" thickBot="1" x14ac:dyDescent="0.25">
      <c r="C109" s="22"/>
      <c r="D109" s="23"/>
      <c r="E109" s="24"/>
      <c r="F109" s="62" t="str">
        <f t="shared" si="2"/>
        <v/>
      </c>
      <c r="G109" s="63" t="str">
        <f t="shared" si="3"/>
        <v/>
      </c>
    </row>
    <row r="110" spans="3:7" ht="30" customHeight="1" thickBot="1" x14ac:dyDescent="0.25">
      <c r="C110" s="22"/>
      <c r="D110" s="23"/>
      <c r="E110" s="24"/>
      <c r="F110" s="62" t="str">
        <f t="shared" si="2"/>
        <v/>
      </c>
      <c r="G110" s="63" t="str">
        <f t="shared" si="3"/>
        <v/>
      </c>
    </row>
    <row r="111" spans="3:7" ht="30" customHeight="1" thickBot="1" x14ac:dyDescent="0.25">
      <c r="C111" s="22"/>
      <c r="D111" s="23"/>
      <c r="E111" s="24"/>
      <c r="F111" s="62" t="str">
        <f t="shared" si="2"/>
        <v/>
      </c>
      <c r="G111" s="63" t="str">
        <f t="shared" si="3"/>
        <v/>
      </c>
    </row>
    <row r="112" spans="3:7" ht="30" customHeight="1" thickBot="1" x14ac:dyDescent="0.25">
      <c r="C112" s="22"/>
      <c r="D112" s="23"/>
      <c r="E112" s="24"/>
      <c r="F112" s="62" t="str">
        <f t="shared" si="2"/>
        <v/>
      </c>
      <c r="G112" s="63" t="str">
        <f t="shared" si="3"/>
        <v/>
      </c>
    </row>
    <row r="113" spans="3:7" ht="30" customHeight="1" thickBot="1" x14ac:dyDescent="0.25">
      <c r="C113" s="22"/>
      <c r="D113" s="23"/>
      <c r="E113" s="24"/>
      <c r="F113" s="62" t="str">
        <f t="shared" si="2"/>
        <v/>
      </c>
      <c r="G113" s="63" t="str">
        <f t="shared" si="3"/>
        <v/>
      </c>
    </row>
    <row r="114" spans="3:7" ht="30" customHeight="1" thickBot="1" x14ac:dyDescent="0.25">
      <c r="C114" s="22"/>
      <c r="D114" s="23"/>
      <c r="E114" s="24"/>
      <c r="F114" s="62" t="str">
        <f t="shared" si="2"/>
        <v/>
      </c>
      <c r="G114" s="63" t="str">
        <f t="shared" si="3"/>
        <v/>
      </c>
    </row>
    <row r="115" spans="3:7" ht="30" customHeight="1" thickBot="1" x14ac:dyDescent="0.25">
      <c r="C115" s="22"/>
      <c r="D115" s="23"/>
      <c r="E115" s="24"/>
      <c r="F115" s="62" t="str">
        <f t="shared" si="2"/>
        <v/>
      </c>
      <c r="G115" s="63" t="str">
        <f t="shared" si="3"/>
        <v/>
      </c>
    </row>
    <row r="116" spans="3:7" ht="30" customHeight="1" thickBot="1" x14ac:dyDescent="0.25">
      <c r="C116" s="22"/>
      <c r="D116" s="23"/>
      <c r="E116" s="24"/>
      <c r="F116" s="62" t="str">
        <f t="shared" si="2"/>
        <v/>
      </c>
      <c r="G116" s="63" t="str">
        <f t="shared" si="3"/>
        <v/>
      </c>
    </row>
    <row r="117" spans="3:7" ht="30" customHeight="1" thickBot="1" x14ac:dyDescent="0.25">
      <c r="C117" s="22"/>
      <c r="D117" s="23"/>
      <c r="E117" s="24"/>
      <c r="F117" s="62" t="str">
        <f t="shared" si="2"/>
        <v/>
      </c>
      <c r="G117" s="63" t="str">
        <f t="shared" si="3"/>
        <v/>
      </c>
    </row>
    <row r="118" spans="3:7" ht="30" customHeight="1" thickBot="1" x14ac:dyDescent="0.25">
      <c r="C118" s="22"/>
      <c r="D118" s="23"/>
      <c r="E118" s="24"/>
      <c r="F118" s="62" t="str">
        <f t="shared" si="2"/>
        <v/>
      </c>
      <c r="G118" s="63" t="str">
        <f t="shared" si="3"/>
        <v/>
      </c>
    </row>
    <row r="119" spans="3:7" ht="30" customHeight="1" thickBot="1" x14ac:dyDescent="0.25">
      <c r="C119" s="22"/>
      <c r="D119" s="23"/>
      <c r="E119" s="24"/>
      <c r="F119" s="62" t="str">
        <f t="shared" si="2"/>
        <v/>
      </c>
      <c r="G119" s="63" t="str">
        <f t="shared" si="3"/>
        <v/>
      </c>
    </row>
    <row r="120" spans="3:7" ht="30" customHeight="1" thickBot="1" x14ac:dyDescent="0.25">
      <c r="C120" s="22"/>
      <c r="D120" s="23"/>
      <c r="E120" s="24"/>
      <c r="F120" s="62" t="str">
        <f t="shared" si="2"/>
        <v/>
      </c>
      <c r="G120" s="63" t="str">
        <f t="shared" si="3"/>
        <v/>
      </c>
    </row>
    <row r="121" spans="3:7" ht="30" customHeight="1" thickBot="1" x14ac:dyDescent="0.25">
      <c r="C121" s="22"/>
      <c r="D121" s="23"/>
      <c r="E121" s="24"/>
      <c r="F121" s="62" t="str">
        <f t="shared" si="2"/>
        <v/>
      </c>
      <c r="G121" s="63" t="str">
        <f t="shared" si="3"/>
        <v/>
      </c>
    </row>
    <row r="122" spans="3:7" ht="30" customHeight="1" thickBot="1" x14ac:dyDescent="0.25">
      <c r="C122" s="22"/>
      <c r="D122" s="23"/>
      <c r="E122" s="24"/>
      <c r="F122" s="62" t="str">
        <f t="shared" si="2"/>
        <v/>
      </c>
      <c r="G122" s="63" t="str">
        <f t="shared" si="3"/>
        <v/>
      </c>
    </row>
    <row r="123" spans="3:7" ht="30" customHeight="1" thickBot="1" x14ac:dyDescent="0.25">
      <c r="C123" s="22"/>
      <c r="D123" s="23"/>
      <c r="E123" s="24"/>
      <c r="F123" s="62" t="str">
        <f t="shared" si="2"/>
        <v/>
      </c>
      <c r="G123" s="63" t="str">
        <f t="shared" si="3"/>
        <v/>
      </c>
    </row>
    <row r="124" spans="3:7" ht="30" customHeight="1" thickBot="1" x14ac:dyDescent="0.25">
      <c r="C124" s="22"/>
      <c r="D124" s="23"/>
      <c r="E124" s="24"/>
      <c r="F124" s="62" t="str">
        <f t="shared" si="2"/>
        <v/>
      </c>
      <c r="G124" s="63" t="str">
        <f t="shared" si="3"/>
        <v/>
      </c>
    </row>
    <row r="125" spans="3:7" ht="30" customHeight="1" thickBot="1" x14ac:dyDescent="0.25">
      <c r="C125" s="22"/>
      <c r="D125" s="23"/>
      <c r="E125" s="24"/>
      <c r="F125" s="62" t="str">
        <f t="shared" si="2"/>
        <v/>
      </c>
      <c r="G125" s="63" t="str">
        <f t="shared" si="3"/>
        <v/>
      </c>
    </row>
    <row r="126" spans="3:7" ht="30" customHeight="1" thickBot="1" x14ac:dyDescent="0.25">
      <c r="C126" s="22"/>
      <c r="D126" s="23"/>
      <c r="E126" s="24"/>
      <c r="F126" s="62" t="str">
        <f t="shared" si="2"/>
        <v/>
      </c>
      <c r="G126" s="63" t="str">
        <f t="shared" si="3"/>
        <v/>
      </c>
    </row>
    <row r="127" spans="3:7" ht="30" customHeight="1" thickBot="1" x14ac:dyDescent="0.25">
      <c r="C127" s="22"/>
      <c r="D127" s="23"/>
      <c r="E127" s="24"/>
      <c r="F127" s="62" t="str">
        <f t="shared" si="2"/>
        <v/>
      </c>
      <c r="G127" s="63" t="str">
        <f t="shared" si="3"/>
        <v/>
      </c>
    </row>
    <row r="128" spans="3:7" ht="30" customHeight="1" thickBot="1" x14ac:dyDescent="0.25">
      <c r="C128" s="22"/>
      <c r="D128" s="23"/>
      <c r="E128" s="24"/>
      <c r="F128" s="62" t="str">
        <f t="shared" si="2"/>
        <v/>
      </c>
      <c r="G128" s="63" t="str">
        <f t="shared" si="3"/>
        <v/>
      </c>
    </row>
    <row r="129" spans="3:7" ht="30" customHeight="1" thickBot="1" x14ac:dyDescent="0.25">
      <c r="C129" s="22"/>
      <c r="D129" s="23"/>
      <c r="E129" s="24"/>
      <c r="F129" s="62" t="str">
        <f t="shared" si="2"/>
        <v/>
      </c>
      <c r="G129" s="63" t="str">
        <f t="shared" si="3"/>
        <v/>
      </c>
    </row>
    <row r="130" spans="3:7" ht="30" customHeight="1" thickBot="1" x14ac:dyDescent="0.25">
      <c r="C130" s="22"/>
      <c r="D130" s="23"/>
      <c r="E130" s="24"/>
      <c r="F130" s="62" t="str">
        <f t="shared" si="2"/>
        <v/>
      </c>
      <c r="G130" s="63" t="str">
        <f t="shared" si="3"/>
        <v/>
      </c>
    </row>
    <row r="131" spans="3:7" ht="30" customHeight="1" thickBot="1" x14ac:dyDescent="0.25">
      <c r="C131" s="22"/>
      <c r="D131" s="23"/>
      <c r="E131" s="24"/>
      <c r="F131" s="62" t="str">
        <f t="shared" si="2"/>
        <v/>
      </c>
      <c r="G131" s="63" t="str">
        <f t="shared" si="3"/>
        <v/>
      </c>
    </row>
    <row r="132" spans="3:7" ht="30" customHeight="1" thickBot="1" x14ac:dyDescent="0.25">
      <c r="C132" s="22"/>
      <c r="D132" s="23"/>
      <c r="E132" s="24"/>
      <c r="F132" s="62" t="str">
        <f t="shared" si="2"/>
        <v/>
      </c>
      <c r="G132" s="63" t="str">
        <f t="shared" si="3"/>
        <v/>
      </c>
    </row>
    <row r="133" spans="3:7" ht="30" customHeight="1" thickBot="1" x14ac:dyDescent="0.25">
      <c r="C133" s="22"/>
      <c r="D133" s="23"/>
      <c r="E133" s="24"/>
      <c r="F133" s="62" t="str">
        <f t="shared" si="2"/>
        <v/>
      </c>
      <c r="G133" s="63" t="str">
        <f t="shared" si="3"/>
        <v/>
      </c>
    </row>
    <row r="134" spans="3:7" ht="30" customHeight="1" thickBot="1" x14ac:dyDescent="0.25">
      <c r="C134" s="22"/>
      <c r="D134" s="23"/>
      <c r="E134" s="24"/>
      <c r="F134" s="62" t="str">
        <f t="shared" si="2"/>
        <v/>
      </c>
      <c r="G134" s="63" t="str">
        <f t="shared" si="3"/>
        <v/>
      </c>
    </row>
    <row r="135" spans="3:7" ht="30" customHeight="1" thickBot="1" x14ac:dyDescent="0.25">
      <c r="C135" s="22"/>
      <c r="D135" s="23"/>
      <c r="E135" s="24"/>
      <c r="F135" s="62" t="str">
        <f t="shared" si="2"/>
        <v/>
      </c>
      <c r="G135" s="63" t="str">
        <f t="shared" si="3"/>
        <v/>
      </c>
    </row>
    <row r="136" spans="3:7" ht="30" customHeight="1" thickBot="1" x14ac:dyDescent="0.25">
      <c r="C136" s="22"/>
      <c r="D136" s="23"/>
      <c r="E136" s="24"/>
      <c r="F136" s="62" t="str">
        <f t="shared" ref="F136:F199" si="4">IF(ISERROR(
IF(C136="","",D136*E136)),"",IF(C136="","",D136*E136))</f>
        <v/>
      </c>
      <c r="G136" s="63" t="str">
        <f t="shared" ref="G136:G199" si="5">IF(ISERROR(
$F136/SUM($F$7:$F$507)),"",$F136/SUM($F$7:$F$507))</f>
        <v/>
      </c>
    </row>
    <row r="137" spans="3:7" ht="30" customHeight="1" thickBot="1" x14ac:dyDescent="0.25">
      <c r="C137" s="22"/>
      <c r="D137" s="23"/>
      <c r="E137" s="24"/>
      <c r="F137" s="62" t="str">
        <f t="shared" si="4"/>
        <v/>
      </c>
      <c r="G137" s="63" t="str">
        <f t="shared" si="5"/>
        <v/>
      </c>
    </row>
    <row r="138" spans="3:7" ht="30" customHeight="1" thickBot="1" x14ac:dyDescent="0.25">
      <c r="C138" s="22"/>
      <c r="D138" s="23"/>
      <c r="E138" s="24"/>
      <c r="F138" s="62" t="str">
        <f t="shared" si="4"/>
        <v/>
      </c>
      <c r="G138" s="63" t="str">
        <f t="shared" si="5"/>
        <v/>
      </c>
    </row>
    <row r="139" spans="3:7" ht="30" customHeight="1" thickBot="1" x14ac:dyDescent="0.25">
      <c r="C139" s="22"/>
      <c r="D139" s="23"/>
      <c r="E139" s="24"/>
      <c r="F139" s="62" t="str">
        <f t="shared" si="4"/>
        <v/>
      </c>
      <c r="G139" s="63" t="str">
        <f t="shared" si="5"/>
        <v/>
      </c>
    </row>
    <row r="140" spans="3:7" ht="30" customHeight="1" thickBot="1" x14ac:dyDescent="0.25">
      <c r="C140" s="22"/>
      <c r="D140" s="23"/>
      <c r="E140" s="24"/>
      <c r="F140" s="62" t="str">
        <f t="shared" si="4"/>
        <v/>
      </c>
      <c r="G140" s="63" t="str">
        <f t="shared" si="5"/>
        <v/>
      </c>
    </row>
    <row r="141" spans="3:7" ht="30" customHeight="1" thickBot="1" x14ac:dyDescent="0.25">
      <c r="C141" s="22"/>
      <c r="D141" s="23"/>
      <c r="E141" s="24"/>
      <c r="F141" s="62" t="str">
        <f t="shared" si="4"/>
        <v/>
      </c>
      <c r="G141" s="63" t="str">
        <f t="shared" si="5"/>
        <v/>
      </c>
    </row>
    <row r="142" spans="3:7" ht="30" customHeight="1" thickBot="1" x14ac:dyDescent="0.25">
      <c r="C142" s="22"/>
      <c r="D142" s="23"/>
      <c r="E142" s="24"/>
      <c r="F142" s="62" t="str">
        <f t="shared" si="4"/>
        <v/>
      </c>
      <c r="G142" s="63" t="str">
        <f t="shared" si="5"/>
        <v/>
      </c>
    </row>
    <row r="143" spans="3:7" ht="30" customHeight="1" thickBot="1" x14ac:dyDescent="0.25">
      <c r="C143" s="22"/>
      <c r="D143" s="23"/>
      <c r="E143" s="24"/>
      <c r="F143" s="62" t="str">
        <f t="shared" si="4"/>
        <v/>
      </c>
      <c r="G143" s="63" t="str">
        <f t="shared" si="5"/>
        <v/>
      </c>
    </row>
    <row r="144" spans="3:7" ht="30" customHeight="1" thickBot="1" x14ac:dyDescent="0.25">
      <c r="C144" s="22"/>
      <c r="D144" s="23"/>
      <c r="E144" s="24"/>
      <c r="F144" s="62" t="str">
        <f t="shared" si="4"/>
        <v/>
      </c>
      <c r="G144" s="63" t="str">
        <f t="shared" si="5"/>
        <v/>
      </c>
    </row>
    <row r="145" spans="3:7" ht="30" customHeight="1" thickBot="1" x14ac:dyDescent="0.25">
      <c r="C145" s="22"/>
      <c r="D145" s="23"/>
      <c r="E145" s="24"/>
      <c r="F145" s="62" t="str">
        <f t="shared" si="4"/>
        <v/>
      </c>
      <c r="G145" s="63" t="str">
        <f t="shared" si="5"/>
        <v/>
      </c>
    </row>
    <row r="146" spans="3:7" ht="30" customHeight="1" thickBot="1" x14ac:dyDescent="0.25">
      <c r="C146" s="22"/>
      <c r="D146" s="23"/>
      <c r="E146" s="24"/>
      <c r="F146" s="62" t="str">
        <f t="shared" si="4"/>
        <v/>
      </c>
      <c r="G146" s="63" t="str">
        <f t="shared" si="5"/>
        <v/>
      </c>
    </row>
    <row r="147" spans="3:7" ht="30" customHeight="1" thickBot="1" x14ac:dyDescent="0.25">
      <c r="C147" s="22"/>
      <c r="D147" s="23"/>
      <c r="E147" s="24"/>
      <c r="F147" s="62" t="str">
        <f t="shared" si="4"/>
        <v/>
      </c>
      <c r="G147" s="63" t="str">
        <f t="shared" si="5"/>
        <v/>
      </c>
    </row>
    <row r="148" spans="3:7" ht="30" customHeight="1" thickBot="1" x14ac:dyDescent="0.25">
      <c r="C148" s="22"/>
      <c r="D148" s="23"/>
      <c r="E148" s="24"/>
      <c r="F148" s="62" t="str">
        <f t="shared" si="4"/>
        <v/>
      </c>
      <c r="G148" s="63" t="str">
        <f t="shared" si="5"/>
        <v/>
      </c>
    </row>
    <row r="149" spans="3:7" ht="30" customHeight="1" thickBot="1" x14ac:dyDescent="0.25">
      <c r="C149" s="22"/>
      <c r="D149" s="23"/>
      <c r="E149" s="24"/>
      <c r="F149" s="62" t="str">
        <f t="shared" si="4"/>
        <v/>
      </c>
      <c r="G149" s="63" t="str">
        <f t="shared" si="5"/>
        <v/>
      </c>
    </row>
    <row r="150" spans="3:7" ht="30" customHeight="1" thickBot="1" x14ac:dyDescent="0.25">
      <c r="C150" s="22"/>
      <c r="D150" s="23"/>
      <c r="E150" s="24"/>
      <c r="F150" s="62" t="str">
        <f t="shared" si="4"/>
        <v/>
      </c>
      <c r="G150" s="63" t="str">
        <f t="shared" si="5"/>
        <v/>
      </c>
    </row>
    <row r="151" spans="3:7" ht="30" customHeight="1" thickBot="1" x14ac:dyDescent="0.25">
      <c r="C151" s="22"/>
      <c r="D151" s="23"/>
      <c r="E151" s="24"/>
      <c r="F151" s="62" t="str">
        <f t="shared" si="4"/>
        <v/>
      </c>
      <c r="G151" s="63" t="str">
        <f t="shared" si="5"/>
        <v/>
      </c>
    </row>
    <row r="152" spans="3:7" ht="30" customHeight="1" thickBot="1" x14ac:dyDescent="0.25">
      <c r="C152" s="22"/>
      <c r="D152" s="23"/>
      <c r="E152" s="24"/>
      <c r="F152" s="62" t="str">
        <f t="shared" si="4"/>
        <v/>
      </c>
      <c r="G152" s="63" t="str">
        <f t="shared" si="5"/>
        <v/>
      </c>
    </row>
    <row r="153" spans="3:7" ht="30" customHeight="1" thickBot="1" x14ac:dyDescent="0.25">
      <c r="C153" s="22"/>
      <c r="D153" s="23"/>
      <c r="E153" s="24"/>
      <c r="F153" s="62" t="str">
        <f t="shared" si="4"/>
        <v/>
      </c>
      <c r="G153" s="63" t="str">
        <f t="shared" si="5"/>
        <v/>
      </c>
    </row>
    <row r="154" spans="3:7" ht="30" customHeight="1" thickBot="1" x14ac:dyDescent="0.25">
      <c r="C154" s="22"/>
      <c r="D154" s="23"/>
      <c r="E154" s="24"/>
      <c r="F154" s="62" t="str">
        <f t="shared" si="4"/>
        <v/>
      </c>
      <c r="G154" s="63" t="str">
        <f t="shared" si="5"/>
        <v/>
      </c>
    </row>
    <row r="155" spans="3:7" ht="30" customHeight="1" thickBot="1" x14ac:dyDescent="0.25">
      <c r="C155" s="22"/>
      <c r="D155" s="23"/>
      <c r="E155" s="24"/>
      <c r="F155" s="62" t="str">
        <f t="shared" si="4"/>
        <v/>
      </c>
      <c r="G155" s="63" t="str">
        <f t="shared" si="5"/>
        <v/>
      </c>
    </row>
    <row r="156" spans="3:7" ht="30" customHeight="1" thickBot="1" x14ac:dyDescent="0.25">
      <c r="C156" s="22"/>
      <c r="D156" s="23"/>
      <c r="E156" s="24"/>
      <c r="F156" s="62" t="str">
        <f t="shared" si="4"/>
        <v/>
      </c>
      <c r="G156" s="63" t="str">
        <f t="shared" si="5"/>
        <v/>
      </c>
    </row>
    <row r="157" spans="3:7" ht="30" customHeight="1" thickBot="1" x14ac:dyDescent="0.25">
      <c r="C157" s="22"/>
      <c r="D157" s="23"/>
      <c r="E157" s="24"/>
      <c r="F157" s="62" t="str">
        <f t="shared" si="4"/>
        <v/>
      </c>
      <c r="G157" s="63" t="str">
        <f t="shared" si="5"/>
        <v/>
      </c>
    </row>
    <row r="158" spans="3:7" ht="30" customHeight="1" thickBot="1" x14ac:dyDescent="0.25">
      <c r="C158" s="22"/>
      <c r="D158" s="23"/>
      <c r="E158" s="24"/>
      <c r="F158" s="62" t="str">
        <f t="shared" si="4"/>
        <v/>
      </c>
      <c r="G158" s="63" t="str">
        <f t="shared" si="5"/>
        <v/>
      </c>
    </row>
    <row r="159" spans="3:7" ht="30" customHeight="1" thickBot="1" x14ac:dyDescent="0.25">
      <c r="C159" s="22"/>
      <c r="D159" s="23"/>
      <c r="E159" s="24"/>
      <c r="F159" s="62" t="str">
        <f t="shared" si="4"/>
        <v/>
      </c>
      <c r="G159" s="63" t="str">
        <f t="shared" si="5"/>
        <v/>
      </c>
    </row>
    <row r="160" spans="3:7" ht="30" customHeight="1" thickBot="1" x14ac:dyDescent="0.25">
      <c r="C160" s="22"/>
      <c r="D160" s="23"/>
      <c r="E160" s="24"/>
      <c r="F160" s="62" t="str">
        <f t="shared" si="4"/>
        <v/>
      </c>
      <c r="G160" s="63" t="str">
        <f t="shared" si="5"/>
        <v/>
      </c>
    </row>
    <row r="161" spans="3:7" ht="30" customHeight="1" thickBot="1" x14ac:dyDescent="0.25">
      <c r="C161" s="22"/>
      <c r="D161" s="23"/>
      <c r="E161" s="24"/>
      <c r="F161" s="62" t="str">
        <f t="shared" si="4"/>
        <v/>
      </c>
      <c r="G161" s="63" t="str">
        <f t="shared" si="5"/>
        <v/>
      </c>
    </row>
    <row r="162" spans="3:7" ht="30" customHeight="1" thickBot="1" x14ac:dyDescent="0.25">
      <c r="C162" s="22"/>
      <c r="D162" s="23"/>
      <c r="E162" s="24"/>
      <c r="F162" s="62" t="str">
        <f t="shared" si="4"/>
        <v/>
      </c>
      <c r="G162" s="63" t="str">
        <f t="shared" si="5"/>
        <v/>
      </c>
    </row>
    <row r="163" spans="3:7" ht="30" customHeight="1" thickBot="1" x14ac:dyDescent="0.25">
      <c r="C163" s="22"/>
      <c r="D163" s="23"/>
      <c r="E163" s="24"/>
      <c r="F163" s="62" t="str">
        <f t="shared" si="4"/>
        <v/>
      </c>
      <c r="G163" s="63" t="str">
        <f t="shared" si="5"/>
        <v/>
      </c>
    </row>
    <row r="164" spans="3:7" ht="30" customHeight="1" thickBot="1" x14ac:dyDescent="0.25">
      <c r="C164" s="22"/>
      <c r="D164" s="23"/>
      <c r="E164" s="24"/>
      <c r="F164" s="62" t="str">
        <f t="shared" si="4"/>
        <v/>
      </c>
      <c r="G164" s="63" t="str">
        <f t="shared" si="5"/>
        <v/>
      </c>
    </row>
    <row r="165" spans="3:7" ht="30" customHeight="1" thickBot="1" x14ac:dyDescent="0.25">
      <c r="C165" s="22"/>
      <c r="D165" s="23"/>
      <c r="E165" s="24"/>
      <c r="F165" s="62" t="str">
        <f t="shared" si="4"/>
        <v/>
      </c>
      <c r="G165" s="63" t="str">
        <f t="shared" si="5"/>
        <v/>
      </c>
    </row>
    <row r="166" spans="3:7" ht="30" customHeight="1" thickBot="1" x14ac:dyDescent="0.25">
      <c r="C166" s="22"/>
      <c r="D166" s="23"/>
      <c r="E166" s="24"/>
      <c r="F166" s="62" t="str">
        <f t="shared" si="4"/>
        <v/>
      </c>
      <c r="G166" s="63" t="str">
        <f t="shared" si="5"/>
        <v/>
      </c>
    </row>
    <row r="167" spans="3:7" ht="30" customHeight="1" thickBot="1" x14ac:dyDescent="0.25">
      <c r="C167" s="22"/>
      <c r="D167" s="23"/>
      <c r="E167" s="24"/>
      <c r="F167" s="62" t="str">
        <f t="shared" si="4"/>
        <v/>
      </c>
      <c r="G167" s="63" t="str">
        <f t="shared" si="5"/>
        <v/>
      </c>
    </row>
    <row r="168" spans="3:7" ht="30" customHeight="1" thickBot="1" x14ac:dyDescent="0.25">
      <c r="C168" s="22"/>
      <c r="D168" s="23"/>
      <c r="E168" s="24"/>
      <c r="F168" s="62" t="str">
        <f t="shared" si="4"/>
        <v/>
      </c>
      <c r="G168" s="63" t="str">
        <f t="shared" si="5"/>
        <v/>
      </c>
    </row>
    <row r="169" spans="3:7" ht="30" customHeight="1" thickBot="1" x14ac:dyDescent="0.25">
      <c r="C169" s="22"/>
      <c r="D169" s="23"/>
      <c r="E169" s="24"/>
      <c r="F169" s="62" t="str">
        <f t="shared" si="4"/>
        <v/>
      </c>
      <c r="G169" s="63" t="str">
        <f t="shared" si="5"/>
        <v/>
      </c>
    </row>
    <row r="170" spans="3:7" ht="30" customHeight="1" thickBot="1" x14ac:dyDescent="0.25">
      <c r="C170" s="22"/>
      <c r="D170" s="23"/>
      <c r="E170" s="24"/>
      <c r="F170" s="62" t="str">
        <f t="shared" si="4"/>
        <v/>
      </c>
      <c r="G170" s="63" t="str">
        <f t="shared" si="5"/>
        <v/>
      </c>
    </row>
    <row r="171" spans="3:7" ht="30" customHeight="1" thickBot="1" x14ac:dyDescent="0.25">
      <c r="C171" s="22"/>
      <c r="D171" s="23"/>
      <c r="E171" s="24"/>
      <c r="F171" s="62" t="str">
        <f t="shared" si="4"/>
        <v/>
      </c>
      <c r="G171" s="63" t="str">
        <f t="shared" si="5"/>
        <v/>
      </c>
    </row>
    <row r="172" spans="3:7" ht="30" customHeight="1" thickBot="1" x14ac:dyDescent="0.25">
      <c r="C172" s="22"/>
      <c r="D172" s="23"/>
      <c r="E172" s="24"/>
      <c r="F172" s="62" t="str">
        <f t="shared" si="4"/>
        <v/>
      </c>
      <c r="G172" s="63" t="str">
        <f t="shared" si="5"/>
        <v/>
      </c>
    </row>
    <row r="173" spans="3:7" ht="30" customHeight="1" thickBot="1" x14ac:dyDescent="0.25">
      <c r="C173" s="22"/>
      <c r="D173" s="23"/>
      <c r="E173" s="24"/>
      <c r="F173" s="62" t="str">
        <f t="shared" si="4"/>
        <v/>
      </c>
      <c r="G173" s="63" t="str">
        <f t="shared" si="5"/>
        <v/>
      </c>
    </row>
    <row r="174" spans="3:7" ht="30" customHeight="1" thickBot="1" x14ac:dyDescent="0.25">
      <c r="C174" s="22"/>
      <c r="D174" s="23"/>
      <c r="E174" s="24"/>
      <c r="F174" s="62" t="str">
        <f t="shared" si="4"/>
        <v/>
      </c>
      <c r="G174" s="63" t="str">
        <f t="shared" si="5"/>
        <v/>
      </c>
    </row>
    <row r="175" spans="3:7" ht="30" customHeight="1" thickBot="1" x14ac:dyDescent="0.25">
      <c r="C175" s="22"/>
      <c r="D175" s="23"/>
      <c r="E175" s="24"/>
      <c r="F175" s="62" t="str">
        <f t="shared" si="4"/>
        <v/>
      </c>
      <c r="G175" s="63" t="str">
        <f t="shared" si="5"/>
        <v/>
      </c>
    </row>
    <row r="176" spans="3:7" ht="30" customHeight="1" thickBot="1" x14ac:dyDescent="0.25">
      <c r="C176" s="22"/>
      <c r="D176" s="23"/>
      <c r="E176" s="24"/>
      <c r="F176" s="62" t="str">
        <f t="shared" si="4"/>
        <v/>
      </c>
      <c r="G176" s="63" t="str">
        <f t="shared" si="5"/>
        <v/>
      </c>
    </row>
    <row r="177" spans="3:7" ht="30" customHeight="1" thickBot="1" x14ac:dyDescent="0.25">
      <c r="C177" s="22"/>
      <c r="D177" s="23"/>
      <c r="E177" s="24"/>
      <c r="F177" s="62" t="str">
        <f t="shared" si="4"/>
        <v/>
      </c>
      <c r="G177" s="63" t="str">
        <f t="shared" si="5"/>
        <v/>
      </c>
    </row>
    <row r="178" spans="3:7" ht="30" customHeight="1" thickBot="1" x14ac:dyDescent="0.25">
      <c r="C178" s="22"/>
      <c r="D178" s="23"/>
      <c r="E178" s="24"/>
      <c r="F178" s="62" t="str">
        <f t="shared" si="4"/>
        <v/>
      </c>
      <c r="G178" s="63" t="str">
        <f t="shared" si="5"/>
        <v/>
      </c>
    </row>
    <row r="179" spans="3:7" ht="30" customHeight="1" thickBot="1" x14ac:dyDescent="0.25">
      <c r="C179" s="22"/>
      <c r="D179" s="23"/>
      <c r="E179" s="24"/>
      <c r="F179" s="62" t="str">
        <f t="shared" si="4"/>
        <v/>
      </c>
      <c r="G179" s="63" t="str">
        <f t="shared" si="5"/>
        <v/>
      </c>
    </row>
    <row r="180" spans="3:7" ht="30" customHeight="1" thickBot="1" x14ac:dyDescent="0.25">
      <c r="C180" s="22"/>
      <c r="D180" s="23"/>
      <c r="E180" s="24"/>
      <c r="F180" s="62" t="str">
        <f t="shared" si="4"/>
        <v/>
      </c>
      <c r="G180" s="63" t="str">
        <f t="shared" si="5"/>
        <v/>
      </c>
    </row>
    <row r="181" spans="3:7" ht="30" customHeight="1" thickBot="1" x14ac:dyDescent="0.25">
      <c r="C181" s="22"/>
      <c r="D181" s="23"/>
      <c r="E181" s="24"/>
      <c r="F181" s="62" t="str">
        <f t="shared" si="4"/>
        <v/>
      </c>
      <c r="G181" s="63" t="str">
        <f t="shared" si="5"/>
        <v/>
      </c>
    </row>
    <row r="182" spans="3:7" ht="30" customHeight="1" thickBot="1" x14ac:dyDescent="0.25">
      <c r="C182" s="22"/>
      <c r="D182" s="23"/>
      <c r="E182" s="24"/>
      <c r="F182" s="62" t="str">
        <f t="shared" si="4"/>
        <v/>
      </c>
      <c r="G182" s="63" t="str">
        <f t="shared" si="5"/>
        <v/>
      </c>
    </row>
    <row r="183" spans="3:7" ht="30" customHeight="1" thickBot="1" x14ac:dyDescent="0.25">
      <c r="C183" s="22"/>
      <c r="D183" s="23"/>
      <c r="E183" s="24"/>
      <c r="F183" s="62" t="str">
        <f t="shared" si="4"/>
        <v/>
      </c>
      <c r="G183" s="63" t="str">
        <f t="shared" si="5"/>
        <v/>
      </c>
    </row>
    <row r="184" spans="3:7" ht="30" customHeight="1" thickBot="1" x14ac:dyDescent="0.25">
      <c r="C184" s="22"/>
      <c r="D184" s="23"/>
      <c r="E184" s="24"/>
      <c r="F184" s="62" t="str">
        <f t="shared" si="4"/>
        <v/>
      </c>
      <c r="G184" s="63" t="str">
        <f t="shared" si="5"/>
        <v/>
      </c>
    </row>
    <row r="185" spans="3:7" ht="30" customHeight="1" thickBot="1" x14ac:dyDescent="0.25">
      <c r="C185" s="22"/>
      <c r="D185" s="23"/>
      <c r="E185" s="24"/>
      <c r="F185" s="62" t="str">
        <f t="shared" si="4"/>
        <v/>
      </c>
      <c r="G185" s="63" t="str">
        <f t="shared" si="5"/>
        <v/>
      </c>
    </row>
    <row r="186" spans="3:7" ht="30" customHeight="1" thickBot="1" x14ac:dyDescent="0.25">
      <c r="C186" s="22"/>
      <c r="D186" s="23"/>
      <c r="E186" s="24"/>
      <c r="F186" s="62" t="str">
        <f t="shared" si="4"/>
        <v/>
      </c>
      <c r="G186" s="63" t="str">
        <f t="shared" si="5"/>
        <v/>
      </c>
    </row>
    <row r="187" spans="3:7" ht="30" customHeight="1" thickBot="1" x14ac:dyDescent="0.25">
      <c r="C187" s="22"/>
      <c r="D187" s="23"/>
      <c r="E187" s="24"/>
      <c r="F187" s="62" t="str">
        <f t="shared" si="4"/>
        <v/>
      </c>
      <c r="G187" s="63" t="str">
        <f t="shared" si="5"/>
        <v/>
      </c>
    </row>
    <row r="188" spans="3:7" ht="30" customHeight="1" thickBot="1" x14ac:dyDescent="0.25">
      <c r="C188" s="22"/>
      <c r="D188" s="23"/>
      <c r="E188" s="24"/>
      <c r="F188" s="62" t="str">
        <f t="shared" si="4"/>
        <v/>
      </c>
      <c r="G188" s="63" t="str">
        <f t="shared" si="5"/>
        <v/>
      </c>
    </row>
    <row r="189" spans="3:7" ht="30" customHeight="1" thickBot="1" x14ac:dyDescent="0.25">
      <c r="C189" s="22"/>
      <c r="D189" s="23"/>
      <c r="E189" s="24"/>
      <c r="F189" s="62" t="str">
        <f t="shared" si="4"/>
        <v/>
      </c>
      <c r="G189" s="63" t="str">
        <f t="shared" si="5"/>
        <v/>
      </c>
    </row>
    <row r="190" spans="3:7" ht="30" customHeight="1" thickBot="1" x14ac:dyDescent="0.25">
      <c r="C190" s="22"/>
      <c r="D190" s="23"/>
      <c r="E190" s="24"/>
      <c r="F190" s="62" t="str">
        <f t="shared" si="4"/>
        <v/>
      </c>
      <c r="G190" s="63" t="str">
        <f t="shared" si="5"/>
        <v/>
      </c>
    </row>
    <row r="191" spans="3:7" ht="30" customHeight="1" thickBot="1" x14ac:dyDescent="0.25">
      <c r="C191" s="22"/>
      <c r="D191" s="23"/>
      <c r="E191" s="24"/>
      <c r="F191" s="62" t="str">
        <f t="shared" si="4"/>
        <v/>
      </c>
      <c r="G191" s="63" t="str">
        <f t="shared" si="5"/>
        <v/>
      </c>
    </row>
    <row r="192" spans="3:7" ht="30" customHeight="1" thickBot="1" x14ac:dyDescent="0.25">
      <c r="C192" s="22"/>
      <c r="D192" s="23"/>
      <c r="E192" s="24"/>
      <c r="F192" s="62" t="str">
        <f t="shared" si="4"/>
        <v/>
      </c>
      <c r="G192" s="63" t="str">
        <f t="shared" si="5"/>
        <v/>
      </c>
    </row>
    <row r="193" spans="3:7" ht="30" customHeight="1" thickBot="1" x14ac:dyDescent="0.25">
      <c r="C193" s="22"/>
      <c r="D193" s="23"/>
      <c r="E193" s="24"/>
      <c r="F193" s="62" t="str">
        <f t="shared" si="4"/>
        <v/>
      </c>
      <c r="G193" s="63" t="str">
        <f t="shared" si="5"/>
        <v/>
      </c>
    </row>
    <row r="194" spans="3:7" ht="30" customHeight="1" thickBot="1" x14ac:dyDescent="0.25">
      <c r="C194" s="22"/>
      <c r="D194" s="23"/>
      <c r="E194" s="24"/>
      <c r="F194" s="62" t="str">
        <f t="shared" si="4"/>
        <v/>
      </c>
      <c r="G194" s="63" t="str">
        <f t="shared" si="5"/>
        <v/>
      </c>
    </row>
    <row r="195" spans="3:7" ht="30" customHeight="1" thickBot="1" x14ac:dyDescent="0.25">
      <c r="C195" s="22"/>
      <c r="D195" s="23"/>
      <c r="E195" s="24"/>
      <c r="F195" s="62" t="str">
        <f t="shared" si="4"/>
        <v/>
      </c>
      <c r="G195" s="63" t="str">
        <f t="shared" si="5"/>
        <v/>
      </c>
    </row>
    <row r="196" spans="3:7" ht="30" customHeight="1" thickBot="1" x14ac:dyDescent="0.25">
      <c r="C196" s="22"/>
      <c r="D196" s="23"/>
      <c r="E196" s="24"/>
      <c r="F196" s="62" t="str">
        <f t="shared" si="4"/>
        <v/>
      </c>
      <c r="G196" s="63" t="str">
        <f t="shared" si="5"/>
        <v/>
      </c>
    </row>
    <row r="197" spans="3:7" ht="30" customHeight="1" thickBot="1" x14ac:dyDescent="0.25">
      <c r="C197" s="22"/>
      <c r="D197" s="23"/>
      <c r="E197" s="24"/>
      <c r="F197" s="62" t="str">
        <f t="shared" si="4"/>
        <v/>
      </c>
      <c r="G197" s="63" t="str">
        <f t="shared" si="5"/>
        <v/>
      </c>
    </row>
    <row r="198" spans="3:7" ht="30" customHeight="1" thickBot="1" x14ac:dyDescent="0.25">
      <c r="C198" s="22"/>
      <c r="D198" s="23"/>
      <c r="E198" s="24"/>
      <c r="F198" s="62" t="str">
        <f t="shared" si="4"/>
        <v/>
      </c>
      <c r="G198" s="63" t="str">
        <f t="shared" si="5"/>
        <v/>
      </c>
    </row>
    <row r="199" spans="3:7" ht="30" customHeight="1" thickBot="1" x14ac:dyDescent="0.25">
      <c r="C199" s="22"/>
      <c r="D199" s="23"/>
      <c r="E199" s="24"/>
      <c r="F199" s="62" t="str">
        <f t="shared" si="4"/>
        <v/>
      </c>
      <c r="G199" s="63" t="str">
        <f t="shared" si="5"/>
        <v/>
      </c>
    </row>
    <row r="200" spans="3:7" ht="30" customHeight="1" thickBot="1" x14ac:dyDescent="0.25">
      <c r="C200" s="22"/>
      <c r="D200" s="23"/>
      <c r="E200" s="24"/>
      <c r="F200" s="62" t="str">
        <f t="shared" ref="F200:F263" si="6">IF(ISERROR(
IF(C200="","",D200*E200)),"",IF(C200="","",D200*E200))</f>
        <v/>
      </c>
      <c r="G200" s="63" t="str">
        <f t="shared" ref="G200:G263" si="7">IF(ISERROR(
$F200/SUM($F$7:$F$507)),"",$F200/SUM($F$7:$F$507))</f>
        <v/>
      </c>
    </row>
    <row r="201" spans="3:7" ht="30" customHeight="1" thickBot="1" x14ac:dyDescent="0.25">
      <c r="C201" s="22"/>
      <c r="D201" s="23"/>
      <c r="E201" s="24"/>
      <c r="F201" s="62" t="str">
        <f t="shared" si="6"/>
        <v/>
      </c>
      <c r="G201" s="63" t="str">
        <f t="shared" si="7"/>
        <v/>
      </c>
    </row>
    <row r="202" spans="3:7" ht="30" customHeight="1" thickBot="1" x14ac:dyDescent="0.25">
      <c r="C202" s="22"/>
      <c r="D202" s="23"/>
      <c r="E202" s="24"/>
      <c r="F202" s="62" t="str">
        <f t="shared" si="6"/>
        <v/>
      </c>
      <c r="G202" s="63" t="str">
        <f t="shared" si="7"/>
        <v/>
      </c>
    </row>
    <row r="203" spans="3:7" ht="30" customHeight="1" thickBot="1" x14ac:dyDescent="0.25">
      <c r="C203" s="22"/>
      <c r="D203" s="23"/>
      <c r="E203" s="24"/>
      <c r="F203" s="62" t="str">
        <f t="shared" si="6"/>
        <v/>
      </c>
      <c r="G203" s="63" t="str">
        <f t="shared" si="7"/>
        <v/>
      </c>
    </row>
    <row r="204" spans="3:7" ht="30" customHeight="1" thickBot="1" x14ac:dyDescent="0.25">
      <c r="C204" s="22"/>
      <c r="D204" s="23"/>
      <c r="E204" s="24"/>
      <c r="F204" s="62" t="str">
        <f t="shared" si="6"/>
        <v/>
      </c>
      <c r="G204" s="63" t="str">
        <f t="shared" si="7"/>
        <v/>
      </c>
    </row>
    <row r="205" spans="3:7" ht="30" customHeight="1" thickBot="1" x14ac:dyDescent="0.25">
      <c r="C205" s="22"/>
      <c r="D205" s="23"/>
      <c r="E205" s="24"/>
      <c r="F205" s="62" t="str">
        <f t="shared" si="6"/>
        <v/>
      </c>
      <c r="G205" s="63" t="str">
        <f t="shared" si="7"/>
        <v/>
      </c>
    </row>
    <row r="206" spans="3:7" ht="30" customHeight="1" thickBot="1" x14ac:dyDescent="0.25">
      <c r="C206" s="22"/>
      <c r="D206" s="23"/>
      <c r="E206" s="24"/>
      <c r="F206" s="62" t="str">
        <f t="shared" si="6"/>
        <v/>
      </c>
      <c r="G206" s="63" t="str">
        <f t="shared" si="7"/>
        <v/>
      </c>
    </row>
    <row r="207" spans="3:7" ht="30" customHeight="1" thickBot="1" x14ac:dyDescent="0.25">
      <c r="C207" s="22"/>
      <c r="D207" s="23"/>
      <c r="E207" s="24"/>
      <c r="F207" s="62" t="str">
        <f t="shared" si="6"/>
        <v/>
      </c>
      <c r="G207" s="63" t="str">
        <f t="shared" si="7"/>
        <v/>
      </c>
    </row>
    <row r="208" spans="3:7" ht="30" customHeight="1" thickBot="1" x14ac:dyDescent="0.25">
      <c r="C208" s="22"/>
      <c r="D208" s="23"/>
      <c r="E208" s="24"/>
      <c r="F208" s="62" t="str">
        <f t="shared" si="6"/>
        <v/>
      </c>
      <c r="G208" s="63" t="str">
        <f t="shared" si="7"/>
        <v/>
      </c>
    </row>
    <row r="209" spans="3:7" ht="30" customHeight="1" thickBot="1" x14ac:dyDescent="0.25">
      <c r="C209" s="22"/>
      <c r="D209" s="23"/>
      <c r="E209" s="24"/>
      <c r="F209" s="62" t="str">
        <f t="shared" si="6"/>
        <v/>
      </c>
      <c r="G209" s="63" t="str">
        <f t="shared" si="7"/>
        <v/>
      </c>
    </row>
    <row r="210" spans="3:7" ht="30" customHeight="1" thickBot="1" x14ac:dyDescent="0.25">
      <c r="C210" s="22"/>
      <c r="D210" s="23"/>
      <c r="E210" s="24"/>
      <c r="F210" s="62" t="str">
        <f t="shared" si="6"/>
        <v/>
      </c>
      <c r="G210" s="63" t="str">
        <f t="shared" si="7"/>
        <v/>
      </c>
    </row>
    <row r="211" spans="3:7" ht="30" customHeight="1" thickBot="1" x14ac:dyDescent="0.25">
      <c r="C211" s="22"/>
      <c r="D211" s="23"/>
      <c r="E211" s="24"/>
      <c r="F211" s="62" t="str">
        <f t="shared" si="6"/>
        <v/>
      </c>
      <c r="G211" s="63" t="str">
        <f t="shared" si="7"/>
        <v/>
      </c>
    </row>
    <row r="212" spans="3:7" ht="30" customHeight="1" thickBot="1" x14ac:dyDescent="0.25">
      <c r="C212" s="22"/>
      <c r="D212" s="23"/>
      <c r="E212" s="24"/>
      <c r="F212" s="62" t="str">
        <f t="shared" si="6"/>
        <v/>
      </c>
      <c r="G212" s="63" t="str">
        <f t="shared" si="7"/>
        <v/>
      </c>
    </row>
    <row r="213" spans="3:7" ht="30" customHeight="1" thickBot="1" x14ac:dyDescent="0.25">
      <c r="C213" s="22"/>
      <c r="D213" s="23"/>
      <c r="E213" s="24"/>
      <c r="F213" s="62" t="str">
        <f t="shared" si="6"/>
        <v/>
      </c>
      <c r="G213" s="63" t="str">
        <f t="shared" si="7"/>
        <v/>
      </c>
    </row>
    <row r="214" spans="3:7" ht="30" customHeight="1" thickBot="1" x14ac:dyDescent="0.25">
      <c r="C214" s="22"/>
      <c r="D214" s="23"/>
      <c r="E214" s="24"/>
      <c r="F214" s="62" t="str">
        <f t="shared" si="6"/>
        <v/>
      </c>
      <c r="G214" s="63" t="str">
        <f t="shared" si="7"/>
        <v/>
      </c>
    </row>
    <row r="215" spans="3:7" ht="30" customHeight="1" thickBot="1" x14ac:dyDescent="0.25">
      <c r="C215" s="22"/>
      <c r="D215" s="23"/>
      <c r="E215" s="24"/>
      <c r="F215" s="62" t="str">
        <f t="shared" si="6"/>
        <v/>
      </c>
      <c r="G215" s="63" t="str">
        <f t="shared" si="7"/>
        <v/>
      </c>
    </row>
    <row r="216" spans="3:7" ht="30" customHeight="1" thickBot="1" x14ac:dyDescent="0.25">
      <c r="C216" s="22"/>
      <c r="D216" s="23"/>
      <c r="E216" s="24"/>
      <c r="F216" s="62" t="str">
        <f t="shared" si="6"/>
        <v/>
      </c>
      <c r="G216" s="63" t="str">
        <f t="shared" si="7"/>
        <v/>
      </c>
    </row>
    <row r="217" spans="3:7" ht="30" customHeight="1" thickBot="1" x14ac:dyDescent="0.25">
      <c r="C217" s="22"/>
      <c r="D217" s="23"/>
      <c r="E217" s="24"/>
      <c r="F217" s="62" t="str">
        <f t="shared" si="6"/>
        <v/>
      </c>
      <c r="G217" s="63" t="str">
        <f t="shared" si="7"/>
        <v/>
      </c>
    </row>
    <row r="218" spans="3:7" ht="30" customHeight="1" thickBot="1" x14ac:dyDescent="0.25">
      <c r="C218" s="22"/>
      <c r="D218" s="23"/>
      <c r="E218" s="24"/>
      <c r="F218" s="62" t="str">
        <f t="shared" si="6"/>
        <v/>
      </c>
      <c r="G218" s="63" t="str">
        <f t="shared" si="7"/>
        <v/>
      </c>
    </row>
    <row r="219" spans="3:7" ht="30" customHeight="1" thickBot="1" x14ac:dyDescent="0.25">
      <c r="C219" s="22"/>
      <c r="D219" s="23"/>
      <c r="E219" s="24"/>
      <c r="F219" s="62" t="str">
        <f t="shared" si="6"/>
        <v/>
      </c>
      <c r="G219" s="63" t="str">
        <f t="shared" si="7"/>
        <v/>
      </c>
    </row>
    <row r="220" spans="3:7" ht="30" customHeight="1" thickBot="1" x14ac:dyDescent="0.25">
      <c r="C220" s="22"/>
      <c r="D220" s="23"/>
      <c r="E220" s="24"/>
      <c r="F220" s="62" t="str">
        <f t="shared" si="6"/>
        <v/>
      </c>
      <c r="G220" s="63" t="str">
        <f t="shared" si="7"/>
        <v/>
      </c>
    </row>
    <row r="221" spans="3:7" ht="30" customHeight="1" thickBot="1" x14ac:dyDescent="0.25">
      <c r="C221" s="22"/>
      <c r="D221" s="23"/>
      <c r="E221" s="24"/>
      <c r="F221" s="62" t="str">
        <f t="shared" si="6"/>
        <v/>
      </c>
      <c r="G221" s="63" t="str">
        <f t="shared" si="7"/>
        <v/>
      </c>
    </row>
    <row r="222" spans="3:7" ht="30" customHeight="1" thickBot="1" x14ac:dyDescent="0.25">
      <c r="C222" s="22"/>
      <c r="D222" s="23"/>
      <c r="E222" s="24"/>
      <c r="F222" s="62" t="str">
        <f t="shared" si="6"/>
        <v/>
      </c>
      <c r="G222" s="63" t="str">
        <f t="shared" si="7"/>
        <v/>
      </c>
    </row>
    <row r="223" spans="3:7" ht="30" customHeight="1" thickBot="1" x14ac:dyDescent="0.25">
      <c r="C223" s="22"/>
      <c r="D223" s="23"/>
      <c r="E223" s="24"/>
      <c r="F223" s="62" t="str">
        <f t="shared" si="6"/>
        <v/>
      </c>
      <c r="G223" s="63" t="str">
        <f t="shared" si="7"/>
        <v/>
      </c>
    </row>
    <row r="224" spans="3:7" ht="30" customHeight="1" thickBot="1" x14ac:dyDescent="0.25">
      <c r="C224" s="22"/>
      <c r="D224" s="23"/>
      <c r="E224" s="24"/>
      <c r="F224" s="62" t="str">
        <f t="shared" si="6"/>
        <v/>
      </c>
      <c r="G224" s="63" t="str">
        <f t="shared" si="7"/>
        <v/>
      </c>
    </row>
    <row r="225" spans="3:7" ht="30" customHeight="1" thickBot="1" x14ac:dyDescent="0.25">
      <c r="C225" s="22"/>
      <c r="D225" s="23"/>
      <c r="E225" s="24"/>
      <c r="F225" s="62" t="str">
        <f t="shared" si="6"/>
        <v/>
      </c>
      <c r="G225" s="63" t="str">
        <f t="shared" si="7"/>
        <v/>
      </c>
    </row>
    <row r="226" spans="3:7" ht="30" customHeight="1" thickBot="1" x14ac:dyDescent="0.25">
      <c r="C226" s="22"/>
      <c r="D226" s="23"/>
      <c r="E226" s="24"/>
      <c r="F226" s="62" t="str">
        <f t="shared" si="6"/>
        <v/>
      </c>
      <c r="G226" s="63" t="str">
        <f t="shared" si="7"/>
        <v/>
      </c>
    </row>
    <row r="227" spans="3:7" ht="30" customHeight="1" thickBot="1" x14ac:dyDescent="0.25">
      <c r="C227" s="22"/>
      <c r="D227" s="23"/>
      <c r="E227" s="24"/>
      <c r="F227" s="62" t="str">
        <f t="shared" si="6"/>
        <v/>
      </c>
      <c r="G227" s="63" t="str">
        <f t="shared" si="7"/>
        <v/>
      </c>
    </row>
    <row r="228" spans="3:7" ht="30" customHeight="1" thickBot="1" x14ac:dyDescent="0.25">
      <c r="C228" s="22"/>
      <c r="D228" s="23"/>
      <c r="E228" s="24"/>
      <c r="F228" s="62" t="str">
        <f t="shared" si="6"/>
        <v/>
      </c>
      <c r="G228" s="63" t="str">
        <f t="shared" si="7"/>
        <v/>
      </c>
    </row>
    <row r="229" spans="3:7" ht="30" customHeight="1" thickBot="1" x14ac:dyDescent="0.25">
      <c r="C229" s="22"/>
      <c r="D229" s="23"/>
      <c r="E229" s="24"/>
      <c r="F229" s="62" t="str">
        <f t="shared" si="6"/>
        <v/>
      </c>
      <c r="G229" s="63" t="str">
        <f t="shared" si="7"/>
        <v/>
      </c>
    </row>
    <row r="230" spans="3:7" ht="30" customHeight="1" thickBot="1" x14ac:dyDescent="0.25">
      <c r="C230" s="22"/>
      <c r="D230" s="23"/>
      <c r="E230" s="24"/>
      <c r="F230" s="62" t="str">
        <f t="shared" si="6"/>
        <v/>
      </c>
      <c r="G230" s="63" t="str">
        <f t="shared" si="7"/>
        <v/>
      </c>
    </row>
    <row r="231" spans="3:7" ht="30" customHeight="1" thickBot="1" x14ac:dyDescent="0.25">
      <c r="C231" s="22"/>
      <c r="D231" s="23"/>
      <c r="E231" s="24"/>
      <c r="F231" s="62" t="str">
        <f t="shared" si="6"/>
        <v/>
      </c>
      <c r="G231" s="63" t="str">
        <f t="shared" si="7"/>
        <v/>
      </c>
    </row>
    <row r="232" spans="3:7" ht="30" customHeight="1" thickBot="1" x14ac:dyDescent="0.25">
      <c r="C232" s="22"/>
      <c r="D232" s="23"/>
      <c r="E232" s="24"/>
      <c r="F232" s="62" t="str">
        <f t="shared" si="6"/>
        <v/>
      </c>
      <c r="G232" s="63" t="str">
        <f t="shared" si="7"/>
        <v/>
      </c>
    </row>
    <row r="233" spans="3:7" ht="30" customHeight="1" thickBot="1" x14ac:dyDescent="0.25">
      <c r="C233" s="22"/>
      <c r="D233" s="23"/>
      <c r="E233" s="24"/>
      <c r="F233" s="62" t="str">
        <f t="shared" si="6"/>
        <v/>
      </c>
      <c r="G233" s="63" t="str">
        <f t="shared" si="7"/>
        <v/>
      </c>
    </row>
    <row r="234" spans="3:7" ht="30" customHeight="1" thickBot="1" x14ac:dyDescent="0.25">
      <c r="C234" s="22"/>
      <c r="D234" s="23"/>
      <c r="E234" s="24"/>
      <c r="F234" s="62" t="str">
        <f t="shared" si="6"/>
        <v/>
      </c>
      <c r="G234" s="63" t="str">
        <f t="shared" si="7"/>
        <v/>
      </c>
    </row>
    <row r="235" spans="3:7" ht="30" customHeight="1" thickBot="1" x14ac:dyDescent="0.25">
      <c r="C235" s="22"/>
      <c r="D235" s="23"/>
      <c r="E235" s="24"/>
      <c r="F235" s="62" t="str">
        <f t="shared" si="6"/>
        <v/>
      </c>
      <c r="G235" s="63" t="str">
        <f t="shared" si="7"/>
        <v/>
      </c>
    </row>
    <row r="236" spans="3:7" ht="30" customHeight="1" thickBot="1" x14ac:dyDescent="0.25">
      <c r="C236" s="22"/>
      <c r="D236" s="23"/>
      <c r="E236" s="24"/>
      <c r="F236" s="62" t="str">
        <f t="shared" si="6"/>
        <v/>
      </c>
      <c r="G236" s="63" t="str">
        <f t="shared" si="7"/>
        <v/>
      </c>
    </row>
    <row r="237" spans="3:7" ht="30" customHeight="1" thickBot="1" x14ac:dyDescent="0.25">
      <c r="C237" s="22"/>
      <c r="D237" s="23"/>
      <c r="E237" s="24"/>
      <c r="F237" s="62" t="str">
        <f t="shared" si="6"/>
        <v/>
      </c>
      <c r="G237" s="63" t="str">
        <f t="shared" si="7"/>
        <v/>
      </c>
    </row>
    <row r="238" spans="3:7" ht="30" customHeight="1" thickBot="1" x14ac:dyDescent="0.25">
      <c r="C238" s="22"/>
      <c r="D238" s="23"/>
      <c r="E238" s="24"/>
      <c r="F238" s="62" t="str">
        <f t="shared" si="6"/>
        <v/>
      </c>
      <c r="G238" s="63" t="str">
        <f t="shared" si="7"/>
        <v/>
      </c>
    </row>
    <row r="239" spans="3:7" ht="30" customHeight="1" thickBot="1" x14ac:dyDescent="0.25">
      <c r="C239" s="22"/>
      <c r="D239" s="23"/>
      <c r="E239" s="24"/>
      <c r="F239" s="62" t="str">
        <f t="shared" si="6"/>
        <v/>
      </c>
      <c r="G239" s="63" t="str">
        <f t="shared" si="7"/>
        <v/>
      </c>
    </row>
    <row r="240" spans="3:7" ht="30" customHeight="1" thickBot="1" x14ac:dyDescent="0.25">
      <c r="C240" s="22"/>
      <c r="D240" s="23"/>
      <c r="E240" s="24"/>
      <c r="F240" s="62" t="str">
        <f t="shared" si="6"/>
        <v/>
      </c>
      <c r="G240" s="63" t="str">
        <f t="shared" si="7"/>
        <v/>
      </c>
    </row>
    <row r="241" spans="3:7" ht="30" customHeight="1" thickBot="1" x14ac:dyDescent="0.25">
      <c r="C241" s="22"/>
      <c r="D241" s="23"/>
      <c r="E241" s="24"/>
      <c r="F241" s="62" t="str">
        <f t="shared" si="6"/>
        <v/>
      </c>
      <c r="G241" s="63" t="str">
        <f t="shared" si="7"/>
        <v/>
      </c>
    </row>
    <row r="242" spans="3:7" ht="30" customHeight="1" thickBot="1" x14ac:dyDescent="0.25">
      <c r="C242" s="22"/>
      <c r="D242" s="23"/>
      <c r="E242" s="24"/>
      <c r="F242" s="62" t="str">
        <f t="shared" si="6"/>
        <v/>
      </c>
      <c r="G242" s="63" t="str">
        <f t="shared" si="7"/>
        <v/>
      </c>
    </row>
    <row r="243" spans="3:7" ht="30" customHeight="1" thickBot="1" x14ac:dyDescent="0.25">
      <c r="C243" s="22"/>
      <c r="D243" s="23"/>
      <c r="E243" s="24"/>
      <c r="F243" s="62" t="str">
        <f t="shared" si="6"/>
        <v/>
      </c>
      <c r="G243" s="63" t="str">
        <f t="shared" si="7"/>
        <v/>
      </c>
    </row>
    <row r="244" spans="3:7" ht="30" customHeight="1" thickBot="1" x14ac:dyDescent="0.25">
      <c r="C244" s="22"/>
      <c r="D244" s="23"/>
      <c r="E244" s="24"/>
      <c r="F244" s="62" t="str">
        <f t="shared" si="6"/>
        <v/>
      </c>
      <c r="G244" s="63" t="str">
        <f t="shared" si="7"/>
        <v/>
      </c>
    </row>
    <row r="245" spans="3:7" ht="30" customHeight="1" thickBot="1" x14ac:dyDescent="0.25">
      <c r="C245" s="22"/>
      <c r="D245" s="23"/>
      <c r="E245" s="24"/>
      <c r="F245" s="62" t="str">
        <f t="shared" si="6"/>
        <v/>
      </c>
      <c r="G245" s="63" t="str">
        <f t="shared" si="7"/>
        <v/>
      </c>
    </row>
    <row r="246" spans="3:7" ht="30" customHeight="1" thickBot="1" x14ac:dyDescent="0.25">
      <c r="C246" s="22"/>
      <c r="D246" s="23"/>
      <c r="E246" s="24"/>
      <c r="F246" s="62" t="str">
        <f t="shared" si="6"/>
        <v/>
      </c>
      <c r="G246" s="63" t="str">
        <f t="shared" si="7"/>
        <v/>
      </c>
    </row>
    <row r="247" spans="3:7" ht="30" customHeight="1" thickBot="1" x14ac:dyDescent="0.25">
      <c r="C247" s="22"/>
      <c r="D247" s="23"/>
      <c r="E247" s="24"/>
      <c r="F247" s="62" t="str">
        <f t="shared" si="6"/>
        <v/>
      </c>
      <c r="G247" s="63" t="str">
        <f t="shared" si="7"/>
        <v/>
      </c>
    </row>
    <row r="248" spans="3:7" ht="30" customHeight="1" thickBot="1" x14ac:dyDescent="0.25">
      <c r="C248" s="22"/>
      <c r="D248" s="23"/>
      <c r="E248" s="24"/>
      <c r="F248" s="62" t="str">
        <f t="shared" si="6"/>
        <v/>
      </c>
      <c r="G248" s="63" t="str">
        <f t="shared" si="7"/>
        <v/>
      </c>
    </row>
    <row r="249" spans="3:7" ht="30" customHeight="1" thickBot="1" x14ac:dyDescent="0.25">
      <c r="C249" s="22"/>
      <c r="D249" s="23"/>
      <c r="E249" s="24"/>
      <c r="F249" s="62" t="str">
        <f t="shared" si="6"/>
        <v/>
      </c>
      <c r="G249" s="63" t="str">
        <f t="shared" si="7"/>
        <v/>
      </c>
    </row>
    <row r="250" spans="3:7" ht="30" customHeight="1" thickBot="1" x14ac:dyDescent="0.25">
      <c r="C250" s="22"/>
      <c r="D250" s="23"/>
      <c r="E250" s="24"/>
      <c r="F250" s="62" t="str">
        <f t="shared" si="6"/>
        <v/>
      </c>
      <c r="G250" s="63" t="str">
        <f t="shared" si="7"/>
        <v/>
      </c>
    </row>
    <row r="251" spans="3:7" ht="30" customHeight="1" thickBot="1" x14ac:dyDescent="0.25">
      <c r="C251" s="22"/>
      <c r="D251" s="23"/>
      <c r="E251" s="24"/>
      <c r="F251" s="62" t="str">
        <f t="shared" si="6"/>
        <v/>
      </c>
      <c r="G251" s="63" t="str">
        <f t="shared" si="7"/>
        <v/>
      </c>
    </row>
    <row r="252" spans="3:7" ht="30" customHeight="1" thickBot="1" x14ac:dyDescent="0.25">
      <c r="C252" s="22"/>
      <c r="D252" s="23"/>
      <c r="E252" s="24"/>
      <c r="F252" s="62" t="str">
        <f t="shared" si="6"/>
        <v/>
      </c>
      <c r="G252" s="63" t="str">
        <f t="shared" si="7"/>
        <v/>
      </c>
    </row>
    <row r="253" spans="3:7" ht="30" customHeight="1" thickBot="1" x14ac:dyDescent="0.25">
      <c r="C253" s="22"/>
      <c r="D253" s="23"/>
      <c r="E253" s="24"/>
      <c r="F253" s="62" t="str">
        <f t="shared" si="6"/>
        <v/>
      </c>
      <c r="G253" s="63" t="str">
        <f t="shared" si="7"/>
        <v/>
      </c>
    </row>
    <row r="254" spans="3:7" ht="30" customHeight="1" thickBot="1" x14ac:dyDescent="0.25">
      <c r="C254" s="22"/>
      <c r="D254" s="23"/>
      <c r="E254" s="24"/>
      <c r="F254" s="62" t="str">
        <f t="shared" si="6"/>
        <v/>
      </c>
      <c r="G254" s="63" t="str">
        <f t="shared" si="7"/>
        <v/>
      </c>
    </row>
    <row r="255" spans="3:7" ht="30" customHeight="1" thickBot="1" x14ac:dyDescent="0.25">
      <c r="C255" s="22"/>
      <c r="D255" s="23"/>
      <c r="E255" s="24"/>
      <c r="F255" s="62" t="str">
        <f t="shared" si="6"/>
        <v/>
      </c>
      <c r="G255" s="63" t="str">
        <f t="shared" si="7"/>
        <v/>
      </c>
    </row>
    <row r="256" spans="3:7" ht="30" customHeight="1" thickBot="1" x14ac:dyDescent="0.25">
      <c r="C256" s="22"/>
      <c r="D256" s="23"/>
      <c r="E256" s="24"/>
      <c r="F256" s="62" t="str">
        <f t="shared" si="6"/>
        <v/>
      </c>
      <c r="G256" s="63" t="str">
        <f t="shared" si="7"/>
        <v/>
      </c>
    </row>
    <row r="257" spans="3:7" ht="30" customHeight="1" thickBot="1" x14ac:dyDescent="0.25">
      <c r="C257" s="22"/>
      <c r="D257" s="23"/>
      <c r="E257" s="24"/>
      <c r="F257" s="62" t="str">
        <f t="shared" si="6"/>
        <v/>
      </c>
      <c r="G257" s="63" t="str">
        <f t="shared" si="7"/>
        <v/>
      </c>
    </row>
    <row r="258" spans="3:7" ht="30" customHeight="1" thickBot="1" x14ac:dyDescent="0.25">
      <c r="C258" s="22"/>
      <c r="D258" s="23"/>
      <c r="E258" s="24"/>
      <c r="F258" s="62" t="str">
        <f t="shared" si="6"/>
        <v/>
      </c>
      <c r="G258" s="63" t="str">
        <f t="shared" si="7"/>
        <v/>
      </c>
    </row>
    <row r="259" spans="3:7" ht="30" customHeight="1" thickBot="1" x14ac:dyDescent="0.25">
      <c r="C259" s="22"/>
      <c r="D259" s="23"/>
      <c r="E259" s="24"/>
      <c r="F259" s="62" t="str">
        <f t="shared" si="6"/>
        <v/>
      </c>
      <c r="G259" s="63" t="str">
        <f t="shared" si="7"/>
        <v/>
      </c>
    </row>
    <row r="260" spans="3:7" ht="30" customHeight="1" thickBot="1" x14ac:dyDescent="0.25">
      <c r="C260" s="22"/>
      <c r="D260" s="23"/>
      <c r="E260" s="24"/>
      <c r="F260" s="62" t="str">
        <f t="shared" si="6"/>
        <v/>
      </c>
      <c r="G260" s="63" t="str">
        <f t="shared" si="7"/>
        <v/>
      </c>
    </row>
    <row r="261" spans="3:7" ht="30" customHeight="1" thickBot="1" x14ac:dyDescent="0.25">
      <c r="C261" s="22"/>
      <c r="D261" s="23"/>
      <c r="E261" s="24"/>
      <c r="F261" s="62" t="str">
        <f t="shared" si="6"/>
        <v/>
      </c>
      <c r="G261" s="63" t="str">
        <f t="shared" si="7"/>
        <v/>
      </c>
    </row>
    <row r="262" spans="3:7" ht="30" customHeight="1" thickBot="1" x14ac:dyDescent="0.25">
      <c r="C262" s="22"/>
      <c r="D262" s="23"/>
      <c r="E262" s="24"/>
      <c r="F262" s="62" t="str">
        <f t="shared" si="6"/>
        <v/>
      </c>
      <c r="G262" s="63" t="str">
        <f t="shared" si="7"/>
        <v/>
      </c>
    </row>
    <row r="263" spans="3:7" ht="30" customHeight="1" thickBot="1" x14ac:dyDescent="0.25">
      <c r="C263" s="22"/>
      <c r="D263" s="23"/>
      <c r="E263" s="24"/>
      <c r="F263" s="62" t="str">
        <f t="shared" si="6"/>
        <v/>
      </c>
      <c r="G263" s="63" t="str">
        <f t="shared" si="7"/>
        <v/>
      </c>
    </row>
    <row r="264" spans="3:7" ht="30" customHeight="1" thickBot="1" x14ac:dyDescent="0.25">
      <c r="C264" s="22"/>
      <c r="D264" s="23"/>
      <c r="E264" s="24"/>
      <c r="F264" s="62" t="str">
        <f t="shared" ref="F264:F327" si="8">IF(ISERROR(
IF(C264="","",D264*E264)),"",IF(C264="","",D264*E264))</f>
        <v/>
      </c>
      <c r="G264" s="63" t="str">
        <f t="shared" ref="G264:G327" si="9">IF(ISERROR(
$F264/SUM($F$7:$F$507)),"",$F264/SUM($F$7:$F$507))</f>
        <v/>
      </c>
    </row>
    <row r="265" spans="3:7" ht="30" customHeight="1" thickBot="1" x14ac:dyDescent="0.25">
      <c r="C265" s="22"/>
      <c r="D265" s="23"/>
      <c r="E265" s="24"/>
      <c r="F265" s="62" t="str">
        <f t="shared" si="8"/>
        <v/>
      </c>
      <c r="G265" s="63" t="str">
        <f t="shared" si="9"/>
        <v/>
      </c>
    </row>
    <row r="266" spans="3:7" ht="30" customHeight="1" thickBot="1" x14ac:dyDescent="0.25">
      <c r="C266" s="22"/>
      <c r="D266" s="23"/>
      <c r="E266" s="24"/>
      <c r="F266" s="62" t="str">
        <f t="shared" si="8"/>
        <v/>
      </c>
      <c r="G266" s="63" t="str">
        <f t="shared" si="9"/>
        <v/>
      </c>
    </row>
    <row r="267" spans="3:7" ht="30" customHeight="1" thickBot="1" x14ac:dyDescent="0.25">
      <c r="C267" s="22"/>
      <c r="D267" s="23"/>
      <c r="E267" s="24"/>
      <c r="F267" s="62" t="str">
        <f t="shared" si="8"/>
        <v/>
      </c>
      <c r="G267" s="63" t="str">
        <f t="shared" si="9"/>
        <v/>
      </c>
    </row>
    <row r="268" spans="3:7" ht="30" customHeight="1" thickBot="1" x14ac:dyDescent="0.25">
      <c r="C268" s="22"/>
      <c r="D268" s="23"/>
      <c r="E268" s="24"/>
      <c r="F268" s="62" t="str">
        <f t="shared" si="8"/>
        <v/>
      </c>
      <c r="G268" s="63" t="str">
        <f t="shared" si="9"/>
        <v/>
      </c>
    </row>
    <row r="269" spans="3:7" ht="30" customHeight="1" thickBot="1" x14ac:dyDescent="0.25">
      <c r="C269" s="22"/>
      <c r="D269" s="23"/>
      <c r="E269" s="24"/>
      <c r="F269" s="62" t="str">
        <f t="shared" si="8"/>
        <v/>
      </c>
      <c r="G269" s="63" t="str">
        <f t="shared" si="9"/>
        <v/>
      </c>
    </row>
    <row r="270" spans="3:7" ht="30" customHeight="1" thickBot="1" x14ac:dyDescent="0.25">
      <c r="C270" s="22"/>
      <c r="D270" s="23"/>
      <c r="E270" s="24"/>
      <c r="F270" s="62" t="str">
        <f t="shared" si="8"/>
        <v/>
      </c>
      <c r="G270" s="63" t="str">
        <f t="shared" si="9"/>
        <v/>
      </c>
    </row>
    <row r="271" spans="3:7" ht="30" customHeight="1" thickBot="1" x14ac:dyDescent="0.25">
      <c r="C271" s="22"/>
      <c r="D271" s="23"/>
      <c r="E271" s="24"/>
      <c r="F271" s="62" t="str">
        <f t="shared" si="8"/>
        <v/>
      </c>
      <c r="G271" s="63" t="str">
        <f t="shared" si="9"/>
        <v/>
      </c>
    </row>
    <row r="272" spans="3:7" ht="30" customHeight="1" thickBot="1" x14ac:dyDescent="0.25">
      <c r="C272" s="22"/>
      <c r="D272" s="23"/>
      <c r="E272" s="24"/>
      <c r="F272" s="62" t="str">
        <f t="shared" si="8"/>
        <v/>
      </c>
      <c r="G272" s="63" t="str">
        <f t="shared" si="9"/>
        <v/>
      </c>
    </row>
    <row r="273" spans="3:7" ht="30" customHeight="1" thickBot="1" x14ac:dyDescent="0.25">
      <c r="C273" s="22"/>
      <c r="D273" s="23"/>
      <c r="E273" s="24"/>
      <c r="F273" s="62" t="str">
        <f t="shared" si="8"/>
        <v/>
      </c>
      <c r="G273" s="63" t="str">
        <f t="shared" si="9"/>
        <v/>
      </c>
    </row>
    <row r="274" spans="3:7" ht="30" customHeight="1" thickBot="1" x14ac:dyDescent="0.25">
      <c r="C274" s="22"/>
      <c r="D274" s="23"/>
      <c r="E274" s="24"/>
      <c r="F274" s="62" t="str">
        <f t="shared" si="8"/>
        <v/>
      </c>
      <c r="G274" s="63" t="str">
        <f t="shared" si="9"/>
        <v/>
      </c>
    </row>
    <row r="275" spans="3:7" ht="30" customHeight="1" thickBot="1" x14ac:dyDescent="0.25">
      <c r="C275" s="22"/>
      <c r="D275" s="23"/>
      <c r="E275" s="24"/>
      <c r="F275" s="62" t="str">
        <f t="shared" si="8"/>
        <v/>
      </c>
      <c r="G275" s="63" t="str">
        <f t="shared" si="9"/>
        <v/>
      </c>
    </row>
    <row r="276" spans="3:7" ht="30" customHeight="1" thickBot="1" x14ac:dyDescent="0.25">
      <c r="C276" s="22"/>
      <c r="D276" s="23"/>
      <c r="E276" s="24"/>
      <c r="F276" s="62" t="str">
        <f t="shared" si="8"/>
        <v/>
      </c>
      <c r="G276" s="63" t="str">
        <f t="shared" si="9"/>
        <v/>
      </c>
    </row>
    <row r="277" spans="3:7" ht="30" customHeight="1" thickBot="1" x14ac:dyDescent="0.25">
      <c r="C277" s="22"/>
      <c r="D277" s="23"/>
      <c r="E277" s="24"/>
      <c r="F277" s="62" t="str">
        <f t="shared" si="8"/>
        <v/>
      </c>
      <c r="G277" s="63" t="str">
        <f t="shared" si="9"/>
        <v/>
      </c>
    </row>
    <row r="278" spans="3:7" ht="30" customHeight="1" thickBot="1" x14ac:dyDescent="0.25">
      <c r="C278" s="22"/>
      <c r="D278" s="23"/>
      <c r="E278" s="24"/>
      <c r="F278" s="62" t="str">
        <f t="shared" si="8"/>
        <v/>
      </c>
      <c r="G278" s="63" t="str">
        <f t="shared" si="9"/>
        <v/>
      </c>
    </row>
    <row r="279" spans="3:7" ht="30" customHeight="1" thickBot="1" x14ac:dyDescent="0.25">
      <c r="C279" s="22"/>
      <c r="D279" s="23"/>
      <c r="E279" s="24"/>
      <c r="F279" s="62" t="str">
        <f t="shared" si="8"/>
        <v/>
      </c>
      <c r="G279" s="63" t="str">
        <f t="shared" si="9"/>
        <v/>
      </c>
    </row>
    <row r="280" spans="3:7" ht="30" customHeight="1" thickBot="1" x14ac:dyDescent="0.25">
      <c r="C280" s="22"/>
      <c r="D280" s="23"/>
      <c r="E280" s="24"/>
      <c r="F280" s="62" t="str">
        <f t="shared" si="8"/>
        <v/>
      </c>
      <c r="G280" s="63" t="str">
        <f t="shared" si="9"/>
        <v/>
      </c>
    </row>
    <row r="281" spans="3:7" ht="30" customHeight="1" thickBot="1" x14ac:dyDescent="0.25">
      <c r="C281" s="22"/>
      <c r="D281" s="23"/>
      <c r="E281" s="24"/>
      <c r="F281" s="62" t="str">
        <f t="shared" si="8"/>
        <v/>
      </c>
      <c r="G281" s="63" t="str">
        <f t="shared" si="9"/>
        <v/>
      </c>
    </row>
    <row r="282" spans="3:7" ht="30" customHeight="1" thickBot="1" x14ac:dyDescent="0.25">
      <c r="C282" s="22"/>
      <c r="D282" s="23"/>
      <c r="E282" s="24"/>
      <c r="F282" s="62" t="str">
        <f t="shared" si="8"/>
        <v/>
      </c>
      <c r="G282" s="63" t="str">
        <f t="shared" si="9"/>
        <v/>
      </c>
    </row>
    <row r="283" spans="3:7" ht="30" customHeight="1" thickBot="1" x14ac:dyDescent="0.25">
      <c r="C283" s="22"/>
      <c r="D283" s="23"/>
      <c r="E283" s="24"/>
      <c r="F283" s="62" t="str">
        <f t="shared" si="8"/>
        <v/>
      </c>
      <c r="G283" s="63" t="str">
        <f t="shared" si="9"/>
        <v/>
      </c>
    </row>
    <row r="284" spans="3:7" ht="30" customHeight="1" thickBot="1" x14ac:dyDescent="0.25">
      <c r="C284" s="22"/>
      <c r="D284" s="23"/>
      <c r="E284" s="24"/>
      <c r="F284" s="62" t="str">
        <f t="shared" si="8"/>
        <v/>
      </c>
      <c r="G284" s="63" t="str">
        <f t="shared" si="9"/>
        <v/>
      </c>
    </row>
    <row r="285" spans="3:7" ht="30" customHeight="1" thickBot="1" x14ac:dyDescent="0.25">
      <c r="C285" s="22"/>
      <c r="D285" s="23"/>
      <c r="E285" s="24"/>
      <c r="F285" s="62" t="str">
        <f t="shared" si="8"/>
        <v/>
      </c>
      <c r="G285" s="63" t="str">
        <f t="shared" si="9"/>
        <v/>
      </c>
    </row>
    <row r="286" spans="3:7" ht="30" customHeight="1" thickBot="1" x14ac:dyDescent="0.25">
      <c r="C286" s="22"/>
      <c r="D286" s="23"/>
      <c r="E286" s="24"/>
      <c r="F286" s="62" t="str">
        <f t="shared" si="8"/>
        <v/>
      </c>
      <c r="G286" s="63" t="str">
        <f t="shared" si="9"/>
        <v/>
      </c>
    </row>
    <row r="287" spans="3:7" ht="30" customHeight="1" thickBot="1" x14ac:dyDescent="0.25">
      <c r="C287" s="22"/>
      <c r="D287" s="23"/>
      <c r="E287" s="24"/>
      <c r="F287" s="62" t="str">
        <f t="shared" si="8"/>
        <v/>
      </c>
      <c r="G287" s="63" t="str">
        <f t="shared" si="9"/>
        <v/>
      </c>
    </row>
    <row r="288" spans="3:7" ht="30" customHeight="1" thickBot="1" x14ac:dyDescent="0.25">
      <c r="C288" s="22"/>
      <c r="D288" s="23"/>
      <c r="E288" s="24"/>
      <c r="F288" s="62" t="str">
        <f t="shared" si="8"/>
        <v/>
      </c>
      <c r="G288" s="63" t="str">
        <f t="shared" si="9"/>
        <v/>
      </c>
    </row>
    <row r="289" spans="3:7" ht="30" customHeight="1" thickBot="1" x14ac:dyDescent="0.25">
      <c r="C289" s="22"/>
      <c r="D289" s="23"/>
      <c r="E289" s="24"/>
      <c r="F289" s="62" t="str">
        <f t="shared" si="8"/>
        <v/>
      </c>
      <c r="G289" s="63" t="str">
        <f t="shared" si="9"/>
        <v/>
      </c>
    </row>
    <row r="290" spans="3:7" ht="30" customHeight="1" thickBot="1" x14ac:dyDescent="0.25">
      <c r="C290" s="22"/>
      <c r="D290" s="23"/>
      <c r="E290" s="24"/>
      <c r="F290" s="62" t="str">
        <f t="shared" si="8"/>
        <v/>
      </c>
      <c r="G290" s="63" t="str">
        <f t="shared" si="9"/>
        <v/>
      </c>
    </row>
    <row r="291" spans="3:7" ht="30" customHeight="1" thickBot="1" x14ac:dyDescent="0.25">
      <c r="C291" s="22"/>
      <c r="D291" s="23"/>
      <c r="E291" s="24"/>
      <c r="F291" s="62" t="str">
        <f t="shared" si="8"/>
        <v/>
      </c>
      <c r="G291" s="63" t="str">
        <f t="shared" si="9"/>
        <v/>
      </c>
    </row>
    <row r="292" spans="3:7" ht="30" customHeight="1" thickBot="1" x14ac:dyDescent="0.25">
      <c r="C292" s="22"/>
      <c r="D292" s="23"/>
      <c r="E292" s="24"/>
      <c r="F292" s="62" t="str">
        <f t="shared" si="8"/>
        <v/>
      </c>
      <c r="G292" s="63" t="str">
        <f t="shared" si="9"/>
        <v/>
      </c>
    </row>
    <row r="293" spans="3:7" ht="30" customHeight="1" thickBot="1" x14ac:dyDescent="0.25">
      <c r="C293" s="22"/>
      <c r="D293" s="23"/>
      <c r="E293" s="24"/>
      <c r="F293" s="62" t="str">
        <f t="shared" si="8"/>
        <v/>
      </c>
      <c r="G293" s="63" t="str">
        <f t="shared" si="9"/>
        <v/>
      </c>
    </row>
    <row r="294" spans="3:7" ht="30" customHeight="1" thickBot="1" x14ac:dyDescent="0.25">
      <c r="C294" s="22"/>
      <c r="D294" s="23"/>
      <c r="E294" s="24"/>
      <c r="F294" s="62" t="str">
        <f t="shared" si="8"/>
        <v/>
      </c>
      <c r="G294" s="63" t="str">
        <f t="shared" si="9"/>
        <v/>
      </c>
    </row>
    <row r="295" spans="3:7" ht="30" customHeight="1" thickBot="1" x14ac:dyDescent="0.25">
      <c r="C295" s="22"/>
      <c r="D295" s="23"/>
      <c r="E295" s="24"/>
      <c r="F295" s="62" t="str">
        <f t="shared" si="8"/>
        <v/>
      </c>
      <c r="G295" s="63" t="str">
        <f t="shared" si="9"/>
        <v/>
      </c>
    </row>
    <row r="296" spans="3:7" ht="30" customHeight="1" thickBot="1" x14ac:dyDescent="0.25">
      <c r="C296" s="22"/>
      <c r="D296" s="23"/>
      <c r="E296" s="24"/>
      <c r="F296" s="62" t="str">
        <f t="shared" si="8"/>
        <v/>
      </c>
      <c r="G296" s="63" t="str">
        <f t="shared" si="9"/>
        <v/>
      </c>
    </row>
    <row r="297" spans="3:7" ht="30" customHeight="1" thickBot="1" x14ac:dyDescent="0.25">
      <c r="C297" s="22"/>
      <c r="D297" s="23"/>
      <c r="E297" s="24"/>
      <c r="F297" s="62" t="str">
        <f t="shared" si="8"/>
        <v/>
      </c>
      <c r="G297" s="63" t="str">
        <f t="shared" si="9"/>
        <v/>
      </c>
    </row>
    <row r="298" spans="3:7" ht="30" customHeight="1" thickBot="1" x14ac:dyDescent="0.25">
      <c r="C298" s="22"/>
      <c r="D298" s="23"/>
      <c r="E298" s="24"/>
      <c r="F298" s="62" t="str">
        <f t="shared" si="8"/>
        <v/>
      </c>
      <c r="G298" s="63" t="str">
        <f t="shared" si="9"/>
        <v/>
      </c>
    </row>
    <row r="299" spans="3:7" ht="30" customHeight="1" thickBot="1" x14ac:dyDescent="0.25">
      <c r="C299" s="22"/>
      <c r="D299" s="23"/>
      <c r="E299" s="24"/>
      <c r="F299" s="62" t="str">
        <f t="shared" si="8"/>
        <v/>
      </c>
      <c r="G299" s="63" t="str">
        <f t="shared" si="9"/>
        <v/>
      </c>
    </row>
    <row r="300" spans="3:7" ht="30" customHeight="1" thickBot="1" x14ac:dyDescent="0.25">
      <c r="C300" s="22"/>
      <c r="D300" s="23"/>
      <c r="E300" s="24"/>
      <c r="F300" s="62" t="str">
        <f t="shared" si="8"/>
        <v/>
      </c>
      <c r="G300" s="63" t="str">
        <f t="shared" si="9"/>
        <v/>
      </c>
    </row>
    <row r="301" spans="3:7" ht="30" customHeight="1" thickBot="1" x14ac:dyDescent="0.25">
      <c r="C301" s="22"/>
      <c r="D301" s="23"/>
      <c r="E301" s="24"/>
      <c r="F301" s="62" t="str">
        <f t="shared" si="8"/>
        <v/>
      </c>
      <c r="G301" s="63" t="str">
        <f t="shared" si="9"/>
        <v/>
      </c>
    </row>
    <row r="302" spans="3:7" ht="30" customHeight="1" thickBot="1" x14ac:dyDescent="0.25">
      <c r="C302" s="22"/>
      <c r="D302" s="23"/>
      <c r="E302" s="24"/>
      <c r="F302" s="62" t="str">
        <f t="shared" si="8"/>
        <v/>
      </c>
      <c r="G302" s="63" t="str">
        <f t="shared" si="9"/>
        <v/>
      </c>
    </row>
    <row r="303" spans="3:7" ht="30" customHeight="1" thickBot="1" x14ac:dyDescent="0.25">
      <c r="C303" s="22"/>
      <c r="D303" s="23"/>
      <c r="E303" s="24"/>
      <c r="F303" s="62" t="str">
        <f t="shared" si="8"/>
        <v/>
      </c>
      <c r="G303" s="63" t="str">
        <f t="shared" si="9"/>
        <v/>
      </c>
    </row>
    <row r="304" spans="3:7" ht="30" customHeight="1" thickBot="1" x14ac:dyDescent="0.25">
      <c r="C304" s="22"/>
      <c r="D304" s="23"/>
      <c r="E304" s="24"/>
      <c r="F304" s="62" t="str">
        <f t="shared" si="8"/>
        <v/>
      </c>
      <c r="G304" s="63" t="str">
        <f t="shared" si="9"/>
        <v/>
      </c>
    </row>
    <row r="305" spans="3:7" ht="30" customHeight="1" thickBot="1" x14ac:dyDescent="0.25">
      <c r="C305" s="22"/>
      <c r="D305" s="23"/>
      <c r="E305" s="24"/>
      <c r="F305" s="62" t="str">
        <f t="shared" si="8"/>
        <v/>
      </c>
      <c r="G305" s="63" t="str">
        <f t="shared" si="9"/>
        <v/>
      </c>
    </row>
    <row r="306" spans="3:7" ht="30" customHeight="1" thickBot="1" x14ac:dyDescent="0.25">
      <c r="C306" s="22"/>
      <c r="D306" s="23"/>
      <c r="E306" s="24"/>
      <c r="F306" s="62" t="str">
        <f t="shared" si="8"/>
        <v/>
      </c>
      <c r="G306" s="63" t="str">
        <f t="shared" si="9"/>
        <v/>
      </c>
    </row>
    <row r="307" spans="3:7" ht="30" customHeight="1" thickBot="1" x14ac:dyDescent="0.25">
      <c r="C307" s="22"/>
      <c r="D307" s="23"/>
      <c r="E307" s="24"/>
      <c r="F307" s="62" t="str">
        <f t="shared" si="8"/>
        <v/>
      </c>
      <c r="G307" s="63" t="str">
        <f t="shared" si="9"/>
        <v/>
      </c>
    </row>
    <row r="308" spans="3:7" ht="30" customHeight="1" thickBot="1" x14ac:dyDescent="0.25">
      <c r="C308" s="22"/>
      <c r="D308" s="23"/>
      <c r="E308" s="24"/>
      <c r="F308" s="62" t="str">
        <f t="shared" si="8"/>
        <v/>
      </c>
      <c r="G308" s="63" t="str">
        <f t="shared" si="9"/>
        <v/>
      </c>
    </row>
    <row r="309" spans="3:7" ht="30" customHeight="1" thickBot="1" x14ac:dyDescent="0.25">
      <c r="C309" s="22"/>
      <c r="D309" s="23"/>
      <c r="E309" s="24"/>
      <c r="F309" s="62" t="str">
        <f t="shared" si="8"/>
        <v/>
      </c>
      <c r="G309" s="63" t="str">
        <f t="shared" si="9"/>
        <v/>
      </c>
    </row>
    <row r="310" spans="3:7" ht="30" customHeight="1" thickBot="1" x14ac:dyDescent="0.25">
      <c r="C310" s="22"/>
      <c r="D310" s="23"/>
      <c r="E310" s="24"/>
      <c r="F310" s="62" t="str">
        <f t="shared" si="8"/>
        <v/>
      </c>
      <c r="G310" s="63" t="str">
        <f t="shared" si="9"/>
        <v/>
      </c>
    </row>
    <row r="311" spans="3:7" ht="30" customHeight="1" thickBot="1" x14ac:dyDescent="0.25">
      <c r="C311" s="22"/>
      <c r="D311" s="23"/>
      <c r="E311" s="24"/>
      <c r="F311" s="62" t="str">
        <f t="shared" si="8"/>
        <v/>
      </c>
      <c r="G311" s="63" t="str">
        <f t="shared" si="9"/>
        <v/>
      </c>
    </row>
    <row r="312" spans="3:7" ht="30" customHeight="1" thickBot="1" x14ac:dyDescent="0.25">
      <c r="C312" s="22"/>
      <c r="D312" s="23"/>
      <c r="E312" s="24"/>
      <c r="F312" s="62" t="str">
        <f t="shared" si="8"/>
        <v/>
      </c>
      <c r="G312" s="63" t="str">
        <f t="shared" si="9"/>
        <v/>
      </c>
    </row>
    <row r="313" spans="3:7" ht="30" customHeight="1" thickBot="1" x14ac:dyDescent="0.25">
      <c r="C313" s="22"/>
      <c r="D313" s="23"/>
      <c r="E313" s="24"/>
      <c r="F313" s="62" t="str">
        <f t="shared" si="8"/>
        <v/>
      </c>
      <c r="G313" s="63" t="str">
        <f t="shared" si="9"/>
        <v/>
      </c>
    </row>
    <row r="314" spans="3:7" ht="30" customHeight="1" thickBot="1" x14ac:dyDescent="0.25">
      <c r="C314" s="22"/>
      <c r="D314" s="23"/>
      <c r="E314" s="24"/>
      <c r="F314" s="62" t="str">
        <f t="shared" si="8"/>
        <v/>
      </c>
      <c r="G314" s="63" t="str">
        <f t="shared" si="9"/>
        <v/>
      </c>
    </row>
    <row r="315" spans="3:7" ht="30" customHeight="1" thickBot="1" x14ac:dyDescent="0.25">
      <c r="C315" s="22"/>
      <c r="D315" s="23"/>
      <c r="E315" s="24"/>
      <c r="F315" s="62" t="str">
        <f t="shared" si="8"/>
        <v/>
      </c>
      <c r="G315" s="63" t="str">
        <f t="shared" si="9"/>
        <v/>
      </c>
    </row>
    <row r="316" spans="3:7" ht="30" customHeight="1" thickBot="1" x14ac:dyDescent="0.25">
      <c r="C316" s="22"/>
      <c r="D316" s="23"/>
      <c r="E316" s="24"/>
      <c r="F316" s="62" t="str">
        <f t="shared" si="8"/>
        <v/>
      </c>
      <c r="G316" s="63" t="str">
        <f t="shared" si="9"/>
        <v/>
      </c>
    </row>
    <row r="317" spans="3:7" ht="30" customHeight="1" thickBot="1" x14ac:dyDescent="0.25">
      <c r="C317" s="22"/>
      <c r="D317" s="23"/>
      <c r="E317" s="24"/>
      <c r="F317" s="62" t="str">
        <f t="shared" si="8"/>
        <v/>
      </c>
      <c r="G317" s="63" t="str">
        <f t="shared" si="9"/>
        <v/>
      </c>
    </row>
    <row r="318" spans="3:7" ht="30" customHeight="1" thickBot="1" x14ac:dyDescent="0.25">
      <c r="C318" s="22"/>
      <c r="D318" s="23"/>
      <c r="E318" s="24"/>
      <c r="F318" s="62" t="str">
        <f t="shared" si="8"/>
        <v/>
      </c>
      <c r="G318" s="63" t="str">
        <f t="shared" si="9"/>
        <v/>
      </c>
    </row>
    <row r="319" spans="3:7" ht="30" customHeight="1" thickBot="1" x14ac:dyDescent="0.25">
      <c r="C319" s="22"/>
      <c r="D319" s="23"/>
      <c r="E319" s="24"/>
      <c r="F319" s="62" t="str">
        <f t="shared" si="8"/>
        <v/>
      </c>
      <c r="G319" s="63" t="str">
        <f t="shared" si="9"/>
        <v/>
      </c>
    </row>
    <row r="320" spans="3:7" ht="30" customHeight="1" thickBot="1" x14ac:dyDescent="0.25">
      <c r="C320" s="22"/>
      <c r="D320" s="23"/>
      <c r="E320" s="24"/>
      <c r="F320" s="62" t="str">
        <f t="shared" si="8"/>
        <v/>
      </c>
      <c r="G320" s="63" t="str">
        <f t="shared" si="9"/>
        <v/>
      </c>
    </row>
    <row r="321" spans="3:7" ht="30" customHeight="1" thickBot="1" x14ac:dyDescent="0.25">
      <c r="C321" s="22"/>
      <c r="D321" s="23"/>
      <c r="E321" s="24"/>
      <c r="F321" s="62" t="str">
        <f t="shared" si="8"/>
        <v/>
      </c>
      <c r="G321" s="63" t="str">
        <f t="shared" si="9"/>
        <v/>
      </c>
    </row>
    <row r="322" spans="3:7" ht="30" customHeight="1" thickBot="1" x14ac:dyDescent="0.25">
      <c r="C322" s="22"/>
      <c r="D322" s="23"/>
      <c r="E322" s="24"/>
      <c r="F322" s="62" t="str">
        <f t="shared" si="8"/>
        <v/>
      </c>
      <c r="G322" s="63" t="str">
        <f t="shared" si="9"/>
        <v/>
      </c>
    </row>
    <row r="323" spans="3:7" ht="30" customHeight="1" thickBot="1" x14ac:dyDescent="0.25">
      <c r="C323" s="22"/>
      <c r="D323" s="23"/>
      <c r="E323" s="24"/>
      <c r="F323" s="62" t="str">
        <f t="shared" si="8"/>
        <v/>
      </c>
      <c r="G323" s="63" t="str">
        <f t="shared" si="9"/>
        <v/>
      </c>
    </row>
    <row r="324" spans="3:7" ht="30" customHeight="1" thickBot="1" x14ac:dyDescent="0.25">
      <c r="C324" s="22"/>
      <c r="D324" s="23"/>
      <c r="E324" s="24"/>
      <c r="F324" s="62" t="str">
        <f t="shared" si="8"/>
        <v/>
      </c>
      <c r="G324" s="63" t="str">
        <f t="shared" si="9"/>
        <v/>
      </c>
    </row>
    <row r="325" spans="3:7" ht="30" customHeight="1" thickBot="1" x14ac:dyDescent="0.25">
      <c r="C325" s="22"/>
      <c r="D325" s="23"/>
      <c r="E325" s="24"/>
      <c r="F325" s="62" t="str">
        <f t="shared" si="8"/>
        <v/>
      </c>
      <c r="G325" s="63" t="str">
        <f t="shared" si="9"/>
        <v/>
      </c>
    </row>
    <row r="326" spans="3:7" ht="30" customHeight="1" thickBot="1" x14ac:dyDescent="0.25">
      <c r="C326" s="22"/>
      <c r="D326" s="23"/>
      <c r="E326" s="24"/>
      <c r="F326" s="62" t="str">
        <f t="shared" si="8"/>
        <v/>
      </c>
      <c r="G326" s="63" t="str">
        <f t="shared" si="9"/>
        <v/>
      </c>
    </row>
    <row r="327" spans="3:7" ht="30" customHeight="1" thickBot="1" x14ac:dyDescent="0.25">
      <c r="C327" s="22"/>
      <c r="D327" s="23"/>
      <c r="E327" s="24"/>
      <c r="F327" s="62" t="str">
        <f t="shared" si="8"/>
        <v/>
      </c>
      <c r="G327" s="63" t="str">
        <f t="shared" si="9"/>
        <v/>
      </c>
    </row>
    <row r="328" spans="3:7" ht="30" customHeight="1" thickBot="1" x14ac:dyDescent="0.25">
      <c r="C328" s="22"/>
      <c r="D328" s="23"/>
      <c r="E328" s="24"/>
      <c r="F328" s="62" t="str">
        <f t="shared" ref="F328:F391" si="10">IF(ISERROR(
IF(C328="","",D328*E328)),"",IF(C328="","",D328*E328))</f>
        <v/>
      </c>
      <c r="G328" s="63" t="str">
        <f t="shared" ref="G328:G391" si="11">IF(ISERROR(
$F328/SUM($F$7:$F$507)),"",$F328/SUM($F$7:$F$507))</f>
        <v/>
      </c>
    </row>
    <row r="329" spans="3:7" ht="30" customHeight="1" thickBot="1" x14ac:dyDescent="0.25">
      <c r="C329" s="22"/>
      <c r="D329" s="23"/>
      <c r="E329" s="24"/>
      <c r="F329" s="62" t="str">
        <f t="shared" si="10"/>
        <v/>
      </c>
      <c r="G329" s="63" t="str">
        <f t="shared" si="11"/>
        <v/>
      </c>
    </row>
    <row r="330" spans="3:7" ht="30" customHeight="1" thickBot="1" x14ac:dyDescent="0.25">
      <c r="C330" s="22"/>
      <c r="D330" s="23"/>
      <c r="E330" s="24"/>
      <c r="F330" s="62" t="str">
        <f t="shared" si="10"/>
        <v/>
      </c>
      <c r="G330" s="63" t="str">
        <f t="shared" si="11"/>
        <v/>
      </c>
    </row>
    <row r="331" spans="3:7" ht="30" customHeight="1" thickBot="1" x14ac:dyDescent="0.25">
      <c r="C331" s="22"/>
      <c r="D331" s="23"/>
      <c r="E331" s="24"/>
      <c r="F331" s="62" t="str">
        <f t="shared" si="10"/>
        <v/>
      </c>
      <c r="G331" s="63" t="str">
        <f t="shared" si="11"/>
        <v/>
      </c>
    </row>
    <row r="332" spans="3:7" ht="30" customHeight="1" thickBot="1" x14ac:dyDescent="0.25">
      <c r="C332" s="22"/>
      <c r="D332" s="23"/>
      <c r="E332" s="24"/>
      <c r="F332" s="62" t="str">
        <f t="shared" si="10"/>
        <v/>
      </c>
      <c r="G332" s="63" t="str">
        <f t="shared" si="11"/>
        <v/>
      </c>
    </row>
    <row r="333" spans="3:7" ht="30" customHeight="1" thickBot="1" x14ac:dyDescent="0.25">
      <c r="C333" s="22"/>
      <c r="D333" s="23"/>
      <c r="E333" s="24"/>
      <c r="F333" s="62" t="str">
        <f t="shared" si="10"/>
        <v/>
      </c>
      <c r="G333" s="63" t="str">
        <f t="shared" si="11"/>
        <v/>
      </c>
    </row>
    <row r="334" spans="3:7" ht="30" customHeight="1" thickBot="1" x14ac:dyDescent="0.25">
      <c r="C334" s="22"/>
      <c r="D334" s="23"/>
      <c r="E334" s="24"/>
      <c r="F334" s="62" t="str">
        <f t="shared" si="10"/>
        <v/>
      </c>
      <c r="G334" s="63" t="str">
        <f t="shared" si="11"/>
        <v/>
      </c>
    </row>
    <row r="335" spans="3:7" ht="30" customHeight="1" thickBot="1" x14ac:dyDescent="0.25">
      <c r="C335" s="22"/>
      <c r="D335" s="23"/>
      <c r="E335" s="24"/>
      <c r="F335" s="62" t="str">
        <f t="shared" si="10"/>
        <v/>
      </c>
      <c r="G335" s="63" t="str">
        <f t="shared" si="11"/>
        <v/>
      </c>
    </row>
    <row r="336" spans="3:7" ht="30" customHeight="1" thickBot="1" x14ac:dyDescent="0.25">
      <c r="C336" s="22"/>
      <c r="D336" s="23"/>
      <c r="E336" s="24"/>
      <c r="F336" s="62" t="str">
        <f t="shared" si="10"/>
        <v/>
      </c>
      <c r="G336" s="63" t="str">
        <f t="shared" si="11"/>
        <v/>
      </c>
    </row>
    <row r="337" spans="3:7" ht="30" customHeight="1" thickBot="1" x14ac:dyDescent="0.25">
      <c r="C337" s="22"/>
      <c r="D337" s="23"/>
      <c r="E337" s="24"/>
      <c r="F337" s="62" t="str">
        <f t="shared" si="10"/>
        <v/>
      </c>
      <c r="G337" s="63" t="str">
        <f t="shared" si="11"/>
        <v/>
      </c>
    </row>
    <row r="338" spans="3:7" ht="30" customHeight="1" thickBot="1" x14ac:dyDescent="0.25">
      <c r="C338" s="22"/>
      <c r="D338" s="23"/>
      <c r="E338" s="24"/>
      <c r="F338" s="62" t="str">
        <f t="shared" si="10"/>
        <v/>
      </c>
      <c r="G338" s="63" t="str">
        <f t="shared" si="11"/>
        <v/>
      </c>
    </row>
    <row r="339" spans="3:7" ht="30" customHeight="1" thickBot="1" x14ac:dyDescent="0.25">
      <c r="C339" s="22"/>
      <c r="D339" s="23"/>
      <c r="E339" s="24"/>
      <c r="F339" s="62" t="str">
        <f t="shared" si="10"/>
        <v/>
      </c>
      <c r="G339" s="63" t="str">
        <f t="shared" si="11"/>
        <v/>
      </c>
    </row>
    <row r="340" spans="3:7" ht="30" customHeight="1" thickBot="1" x14ac:dyDescent="0.25">
      <c r="C340" s="22"/>
      <c r="D340" s="23"/>
      <c r="E340" s="24"/>
      <c r="F340" s="62" t="str">
        <f t="shared" si="10"/>
        <v/>
      </c>
      <c r="G340" s="63" t="str">
        <f t="shared" si="11"/>
        <v/>
      </c>
    </row>
    <row r="341" spans="3:7" ht="30" customHeight="1" thickBot="1" x14ac:dyDescent="0.25">
      <c r="C341" s="22"/>
      <c r="D341" s="23"/>
      <c r="E341" s="24"/>
      <c r="F341" s="62" t="str">
        <f t="shared" si="10"/>
        <v/>
      </c>
      <c r="G341" s="63" t="str">
        <f t="shared" si="11"/>
        <v/>
      </c>
    </row>
    <row r="342" spans="3:7" ht="30" customHeight="1" thickBot="1" x14ac:dyDescent="0.25">
      <c r="C342" s="22"/>
      <c r="D342" s="23"/>
      <c r="E342" s="24"/>
      <c r="F342" s="62" t="str">
        <f t="shared" si="10"/>
        <v/>
      </c>
      <c r="G342" s="63" t="str">
        <f t="shared" si="11"/>
        <v/>
      </c>
    </row>
    <row r="343" spans="3:7" ht="30" customHeight="1" thickBot="1" x14ac:dyDescent="0.25">
      <c r="C343" s="22"/>
      <c r="D343" s="23"/>
      <c r="E343" s="24"/>
      <c r="F343" s="62" t="str">
        <f t="shared" si="10"/>
        <v/>
      </c>
      <c r="G343" s="63" t="str">
        <f t="shared" si="11"/>
        <v/>
      </c>
    </row>
    <row r="344" spans="3:7" ht="30" customHeight="1" thickBot="1" x14ac:dyDescent="0.25">
      <c r="C344" s="22"/>
      <c r="D344" s="23"/>
      <c r="E344" s="24"/>
      <c r="F344" s="62" t="str">
        <f t="shared" si="10"/>
        <v/>
      </c>
      <c r="G344" s="63" t="str">
        <f t="shared" si="11"/>
        <v/>
      </c>
    </row>
    <row r="345" spans="3:7" ht="30" customHeight="1" thickBot="1" x14ac:dyDescent="0.25">
      <c r="C345" s="22"/>
      <c r="D345" s="23"/>
      <c r="E345" s="24"/>
      <c r="F345" s="62" t="str">
        <f t="shared" si="10"/>
        <v/>
      </c>
      <c r="G345" s="63" t="str">
        <f t="shared" si="11"/>
        <v/>
      </c>
    </row>
    <row r="346" spans="3:7" ht="30" customHeight="1" thickBot="1" x14ac:dyDescent="0.25">
      <c r="C346" s="22"/>
      <c r="D346" s="23"/>
      <c r="E346" s="24"/>
      <c r="F346" s="62" t="str">
        <f t="shared" si="10"/>
        <v/>
      </c>
      <c r="G346" s="63" t="str">
        <f t="shared" si="11"/>
        <v/>
      </c>
    </row>
    <row r="347" spans="3:7" ht="30" customHeight="1" thickBot="1" x14ac:dyDescent="0.25">
      <c r="C347" s="22"/>
      <c r="D347" s="23"/>
      <c r="E347" s="24"/>
      <c r="F347" s="62" t="str">
        <f t="shared" si="10"/>
        <v/>
      </c>
      <c r="G347" s="63" t="str">
        <f t="shared" si="11"/>
        <v/>
      </c>
    </row>
    <row r="348" spans="3:7" ht="30" customHeight="1" thickBot="1" x14ac:dyDescent="0.25">
      <c r="C348" s="22"/>
      <c r="D348" s="23"/>
      <c r="E348" s="24"/>
      <c r="F348" s="62" t="str">
        <f t="shared" si="10"/>
        <v/>
      </c>
      <c r="G348" s="63" t="str">
        <f t="shared" si="11"/>
        <v/>
      </c>
    </row>
    <row r="349" spans="3:7" ht="30" customHeight="1" thickBot="1" x14ac:dyDescent="0.25">
      <c r="C349" s="22"/>
      <c r="D349" s="23"/>
      <c r="E349" s="24"/>
      <c r="F349" s="62" t="str">
        <f t="shared" si="10"/>
        <v/>
      </c>
      <c r="G349" s="63" t="str">
        <f t="shared" si="11"/>
        <v/>
      </c>
    </row>
    <row r="350" spans="3:7" ht="30" customHeight="1" thickBot="1" x14ac:dyDescent="0.25">
      <c r="C350" s="22"/>
      <c r="D350" s="23"/>
      <c r="E350" s="24"/>
      <c r="F350" s="62" t="str">
        <f t="shared" si="10"/>
        <v/>
      </c>
      <c r="G350" s="63" t="str">
        <f t="shared" si="11"/>
        <v/>
      </c>
    </row>
    <row r="351" spans="3:7" ht="30" customHeight="1" thickBot="1" x14ac:dyDescent="0.25">
      <c r="C351" s="22"/>
      <c r="D351" s="23"/>
      <c r="E351" s="24"/>
      <c r="F351" s="62" t="str">
        <f t="shared" si="10"/>
        <v/>
      </c>
      <c r="G351" s="63" t="str">
        <f t="shared" si="11"/>
        <v/>
      </c>
    </row>
    <row r="352" spans="3:7" ht="30" customHeight="1" thickBot="1" x14ac:dyDescent="0.25">
      <c r="C352" s="22"/>
      <c r="D352" s="23"/>
      <c r="E352" s="24"/>
      <c r="F352" s="62" t="str">
        <f t="shared" si="10"/>
        <v/>
      </c>
      <c r="G352" s="63" t="str">
        <f t="shared" si="11"/>
        <v/>
      </c>
    </row>
    <row r="353" spans="3:7" ht="30" customHeight="1" thickBot="1" x14ac:dyDescent="0.25">
      <c r="C353" s="22"/>
      <c r="D353" s="23"/>
      <c r="E353" s="24"/>
      <c r="F353" s="62" t="str">
        <f t="shared" si="10"/>
        <v/>
      </c>
      <c r="G353" s="63" t="str">
        <f t="shared" si="11"/>
        <v/>
      </c>
    </row>
    <row r="354" spans="3:7" ht="30" customHeight="1" thickBot="1" x14ac:dyDescent="0.25">
      <c r="C354" s="22"/>
      <c r="D354" s="23"/>
      <c r="E354" s="24"/>
      <c r="F354" s="62" t="str">
        <f t="shared" si="10"/>
        <v/>
      </c>
      <c r="G354" s="63" t="str">
        <f t="shared" si="11"/>
        <v/>
      </c>
    </row>
    <row r="355" spans="3:7" ht="30" customHeight="1" thickBot="1" x14ac:dyDescent="0.25">
      <c r="C355" s="22"/>
      <c r="D355" s="23"/>
      <c r="E355" s="24"/>
      <c r="F355" s="62" t="str">
        <f t="shared" si="10"/>
        <v/>
      </c>
      <c r="G355" s="63" t="str">
        <f t="shared" si="11"/>
        <v/>
      </c>
    </row>
    <row r="356" spans="3:7" ht="30" customHeight="1" thickBot="1" x14ac:dyDescent="0.25">
      <c r="C356" s="22"/>
      <c r="D356" s="23"/>
      <c r="E356" s="24"/>
      <c r="F356" s="62" t="str">
        <f t="shared" si="10"/>
        <v/>
      </c>
      <c r="G356" s="63" t="str">
        <f t="shared" si="11"/>
        <v/>
      </c>
    </row>
    <row r="357" spans="3:7" ht="30" customHeight="1" thickBot="1" x14ac:dyDescent="0.25">
      <c r="C357" s="22"/>
      <c r="D357" s="23"/>
      <c r="E357" s="24"/>
      <c r="F357" s="62" t="str">
        <f t="shared" si="10"/>
        <v/>
      </c>
      <c r="G357" s="63" t="str">
        <f t="shared" si="11"/>
        <v/>
      </c>
    </row>
    <row r="358" spans="3:7" ht="30" customHeight="1" thickBot="1" x14ac:dyDescent="0.25">
      <c r="C358" s="22"/>
      <c r="D358" s="23"/>
      <c r="E358" s="24"/>
      <c r="F358" s="62" t="str">
        <f t="shared" si="10"/>
        <v/>
      </c>
      <c r="G358" s="63" t="str">
        <f t="shared" si="11"/>
        <v/>
      </c>
    </row>
    <row r="359" spans="3:7" ht="30" customHeight="1" thickBot="1" x14ac:dyDescent="0.25">
      <c r="C359" s="22"/>
      <c r="D359" s="23"/>
      <c r="E359" s="24"/>
      <c r="F359" s="62" t="str">
        <f t="shared" si="10"/>
        <v/>
      </c>
      <c r="G359" s="63" t="str">
        <f t="shared" si="11"/>
        <v/>
      </c>
    </row>
    <row r="360" spans="3:7" ht="30" customHeight="1" thickBot="1" x14ac:dyDescent="0.25">
      <c r="C360" s="22"/>
      <c r="D360" s="23"/>
      <c r="E360" s="24"/>
      <c r="F360" s="62" t="str">
        <f t="shared" si="10"/>
        <v/>
      </c>
      <c r="G360" s="63" t="str">
        <f t="shared" si="11"/>
        <v/>
      </c>
    </row>
    <row r="361" spans="3:7" ht="30" customHeight="1" thickBot="1" x14ac:dyDescent="0.25">
      <c r="C361" s="22"/>
      <c r="D361" s="23"/>
      <c r="E361" s="24"/>
      <c r="F361" s="62" t="str">
        <f t="shared" si="10"/>
        <v/>
      </c>
      <c r="G361" s="63" t="str">
        <f t="shared" si="11"/>
        <v/>
      </c>
    </row>
    <row r="362" spans="3:7" ht="30" customHeight="1" thickBot="1" x14ac:dyDescent="0.25">
      <c r="C362" s="22"/>
      <c r="D362" s="23"/>
      <c r="E362" s="24"/>
      <c r="F362" s="62" t="str">
        <f t="shared" si="10"/>
        <v/>
      </c>
      <c r="G362" s="63" t="str">
        <f t="shared" si="11"/>
        <v/>
      </c>
    </row>
    <row r="363" spans="3:7" ht="30" customHeight="1" thickBot="1" x14ac:dyDescent="0.25">
      <c r="C363" s="22"/>
      <c r="D363" s="23"/>
      <c r="E363" s="24"/>
      <c r="F363" s="62" t="str">
        <f t="shared" si="10"/>
        <v/>
      </c>
      <c r="G363" s="63" t="str">
        <f t="shared" si="11"/>
        <v/>
      </c>
    </row>
    <row r="364" spans="3:7" ht="30" customHeight="1" thickBot="1" x14ac:dyDescent="0.25">
      <c r="C364" s="22"/>
      <c r="D364" s="23"/>
      <c r="E364" s="24"/>
      <c r="F364" s="62" t="str">
        <f t="shared" si="10"/>
        <v/>
      </c>
      <c r="G364" s="63" t="str">
        <f t="shared" si="11"/>
        <v/>
      </c>
    </row>
    <row r="365" spans="3:7" ht="30" customHeight="1" thickBot="1" x14ac:dyDescent="0.25">
      <c r="C365" s="22"/>
      <c r="D365" s="23"/>
      <c r="E365" s="24"/>
      <c r="F365" s="62" t="str">
        <f t="shared" si="10"/>
        <v/>
      </c>
      <c r="G365" s="63" t="str">
        <f t="shared" si="11"/>
        <v/>
      </c>
    </row>
    <row r="366" spans="3:7" ht="30" customHeight="1" thickBot="1" x14ac:dyDescent="0.25">
      <c r="C366" s="22"/>
      <c r="D366" s="23"/>
      <c r="E366" s="24"/>
      <c r="F366" s="62" t="str">
        <f t="shared" si="10"/>
        <v/>
      </c>
      <c r="G366" s="63" t="str">
        <f t="shared" si="11"/>
        <v/>
      </c>
    </row>
    <row r="367" spans="3:7" ht="30" customHeight="1" thickBot="1" x14ac:dyDescent="0.25">
      <c r="C367" s="22"/>
      <c r="D367" s="23"/>
      <c r="E367" s="24"/>
      <c r="F367" s="62" t="str">
        <f t="shared" si="10"/>
        <v/>
      </c>
      <c r="G367" s="63" t="str">
        <f t="shared" si="11"/>
        <v/>
      </c>
    </row>
    <row r="368" spans="3:7" ht="30" customHeight="1" thickBot="1" x14ac:dyDescent="0.25">
      <c r="C368" s="22"/>
      <c r="D368" s="23"/>
      <c r="E368" s="24"/>
      <c r="F368" s="62" t="str">
        <f t="shared" si="10"/>
        <v/>
      </c>
      <c r="G368" s="63" t="str">
        <f t="shared" si="11"/>
        <v/>
      </c>
    </row>
    <row r="369" spans="3:7" ht="30" customHeight="1" thickBot="1" x14ac:dyDescent="0.25">
      <c r="C369" s="22"/>
      <c r="D369" s="23"/>
      <c r="E369" s="24"/>
      <c r="F369" s="62" t="str">
        <f t="shared" si="10"/>
        <v/>
      </c>
      <c r="G369" s="63" t="str">
        <f t="shared" si="11"/>
        <v/>
      </c>
    </row>
    <row r="370" spans="3:7" ht="30" customHeight="1" thickBot="1" x14ac:dyDescent="0.25">
      <c r="C370" s="22"/>
      <c r="D370" s="23"/>
      <c r="E370" s="24"/>
      <c r="F370" s="62" t="str">
        <f t="shared" si="10"/>
        <v/>
      </c>
      <c r="G370" s="63" t="str">
        <f t="shared" si="11"/>
        <v/>
      </c>
    </row>
    <row r="371" spans="3:7" ht="30" customHeight="1" thickBot="1" x14ac:dyDescent="0.25">
      <c r="C371" s="22"/>
      <c r="D371" s="23"/>
      <c r="E371" s="24"/>
      <c r="F371" s="62" t="str">
        <f t="shared" si="10"/>
        <v/>
      </c>
      <c r="G371" s="63" t="str">
        <f t="shared" si="11"/>
        <v/>
      </c>
    </row>
    <row r="372" spans="3:7" ht="30" customHeight="1" thickBot="1" x14ac:dyDescent="0.25">
      <c r="C372" s="22"/>
      <c r="D372" s="23"/>
      <c r="E372" s="24"/>
      <c r="F372" s="62" t="str">
        <f t="shared" si="10"/>
        <v/>
      </c>
      <c r="G372" s="63" t="str">
        <f t="shared" si="11"/>
        <v/>
      </c>
    </row>
    <row r="373" spans="3:7" ht="30" customHeight="1" thickBot="1" x14ac:dyDescent="0.25">
      <c r="C373" s="22"/>
      <c r="D373" s="23"/>
      <c r="E373" s="24"/>
      <c r="F373" s="62" t="str">
        <f t="shared" si="10"/>
        <v/>
      </c>
      <c r="G373" s="63" t="str">
        <f t="shared" si="11"/>
        <v/>
      </c>
    </row>
    <row r="374" spans="3:7" ht="30" customHeight="1" thickBot="1" x14ac:dyDescent="0.25">
      <c r="C374" s="22"/>
      <c r="D374" s="23"/>
      <c r="E374" s="24"/>
      <c r="F374" s="62" t="str">
        <f t="shared" si="10"/>
        <v/>
      </c>
      <c r="G374" s="63" t="str">
        <f t="shared" si="11"/>
        <v/>
      </c>
    </row>
    <row r="375" spans="3:7" ht="30" customHeight="1" thickBot="1" x14ac:dyDescent="0.25">
      <c r="C375" s="22"/>
      <c r="D375" s="23"/>
      <c r="E375" s="24"/>
      <c r="F375" s="62" t="str">
        <f t="shared" si="10"/>
        <v/>
      </c>
      <c r="G375" s="63" t="str">
        <f t="shared" si="11"/>
        <v/>
      </c>
    </row>
    <row r="376" spans="3:7" ht="30" customHeight="1" thickBot="1" x14ac:dyDescent="0.25">
      <c r="C376" s="22"/>
      <c r="D376" s="23"/>
      <c r="E376" s="24"/>
      <c r="F376" s="62" t="str">
        <f t="shared" si="10"/>
        <v/>
      </c>
      <c r="G376" s="63" t="str">
        <f t="shared" si="11"/>
        <v/>
      </c>
    </row>
    <row r="377" spans="3:7" ht="30" customHeight="1" thickBot="1" x14ac:dyDescent="0.25">
      <c r="C377" s="22"/>
      <c r="D377" s="23"/>
      <c r="E377" s="24"/>
      <c r="F377" s="62" t="str">
        <f t="shared" si="10"/>
        <v/>
      </c>
      <c r="G377" s="63" t="str">
        <f t="shared" si="11"/>
        <v/>
      </c>
    </row>
    <row r="378" spans="3:7" ht="30" customHeight="1" thickBot="1" x14ac:dyDescent="0.25">
      <c r="C378" s="22"/>
      <c r="D378" s="23"/>
      <c r="E378" s="24"/>
      <c r="F378" s="62" t="str">
        <f t="shared" si="10"/>
        <v/>
      </c>
      <c r="G378" s="63" t="str">
        <f t="shared" si="11"/>
        <v/>
      </c>
    </row>
    <row r="379" spans="3:7" ht="30" customHeight="1" thickBot="1" x14ac:dyDescent="0.25">
      <c r="C379" s="22"/>
      <c r="D379" s="23"/>
      <c r="E379" s="24"/>
      <c r="F379" s="62" t="str">
        <f t="shared" si="10"/>
        <v/>
      </c>
      <c r="G379" s="63" t="str">
        <f t="shared" si="11"/>
        <v/>
      </c>
    </row>
    <row r="380" spans="3:7" ht="30" customHeight="1" thickBot="1" x14ac:dyDescent="0.25">
      <c r="C380" s="22"/>
      <c r="D380" s="23"/>
      <c r="E380" s="24"/>
      <c r="F380" s="62" t="str">
        <f t="shared" si="10"/>
        <v/>
      </c>
      <c r="G380" s="63" t="str">
        <f t="shared" si="11"/>
        <v/>
      </c>
    </row>
    <row r="381" spans="3:7" ht="30" customHeight="1" thickBot="1" x14ac:dyDescent="0.25">
      <c r="C381" s="22"/>
      <c r="D381" s="23"/>
      <c r="E381" s="24"/>
      <c r="F381" s="62" t="str">
        <f t="shared" si="10"/>
        <v/>
      </c>
      <c r="G381" s="63" t="str">
        <f t="shared" si="11"/>
        <v/>
      </c>
    </row>
    <row r="382" spans="3:7" ht="30" customHeight="1" thickBot="1" x14ac:dyDescent="0.25">
      <c r="C382" s="22"/>
      <c r="D382" s="23"/>
      <c r="E382" s="24"/>
      <c r="F382" s="62" t="str">
        <f t="shared" si="10"/>
        <v/>
      </c>
      <c r="G382" s="63" t="str">
        <f t="shared" si="11"/>
        <v/>
      </c>
    </row>
    <row r="383" spans="3:7" ht="30" customHeight="1" thickBot="1" x14ac:dyDescent="0.25">
      <c r="C383" s="22"/>
      <c r="D383" s="23"/>
      <c r="E383" s="24"/>
      <c r="F383" s="62" t="str">
        <f t="shared" si="10"/>
        <v/>
      </c>
      <c r="G383" s="63" t="str">
        <f t="shared" si="11"/>
        <v/>
      </c>
    </row>
    <row r="384" spans="3:7" ht="30" customHeight="1" thickBot="1" x14ac:dyDescent="0.25">
      <c r="C384" s="22"/>
      <c r="D384" s="23"/>
      <c r="E384" s="24"/>
      <c r="F384" s="62" t="str">
        <f t="shared" si="10"/>
        <v/>
      </c>
      <c r="G384" s="63" t="str">
        <f t="shared" si="11"/>
        <v/>
      </c>
    </row>
    <row r="385" spans="3:7" ht="30" customHeight="1" thickBot="1" x14ac:dyDescent="0.25">
      <c r="C385" s="22"/>
      <c r="D385" s="23"/>
      <c r="E385" s="24"/>
      <c r="F385" s="62" t="str">
        <f t="shared" si="10"/>
        <v/>
      </c>
      <c r="G385" s="63" t="str">
        <f t="shared" si="11"/>
        <v/>
      </c>
    </row>
    <row r="386" spans="3:7" ht="30" customHeight="1" thickBot="1" x14ac:dyDescent="0.25">
      <c r="C386" s="22"/>
      <c r="D386" s="23"/>
      <c r="E386" s="24"/>
      <c r="F386" s="62" t="str">
        <f t="shared" si="10"/>
        <v/>
      </c>
      <c r="G386" s="63" t="str">
        <f t="shared" si="11"/>
        <v/>
      </c>
    </row>
    <row r="387" spans="3:7" ht="30" customHeight="1" thickBot="1" x14ac:dyDescent="0.25">
      <c r="C387" s="22"/>
      <c r="D387" s="23"/>
      <c r="E387" s="24"/>
      <c r="F387" s="62" t="str">
        <f t="shared" si="10"/>
        <v/>
      </c>
      <c r="G387" s="63" t="str">
        <f t="shared" si="11"/>
        <v/>
      </c>
    </row>
    <row r="388" spans="3:7" ht="30" customHeight="1" thickBot="1" x14ac:dyDescent="0.25">
      <c r="C388" s="22"/>
      <c r="D388" s="23"/>
      <c r="E388" s="24"/>
      <c r="F388" s="62" t="str">
        <f t="shared" si="10"/>
        <v/>
      </c>
      <c r="G388" s="63" t="str">
        <f t="shared" si="11"/>
        <v/>
      </c>
    </row>
    <row r="389" spans="3:7" ht="30" customHeight="1" thickBot="1" x14ac:dyDescent="0.25">
      <c r="C389" s="22"/>
      <c r="D389" s="23"/>
      <c r="E389" s="24"/>
      <c r="F389" s="62" t="str">
        <f t="shared" si="10"/>
        <v/>
      </c>
      <c r="G389" s="63" t="str">
        <f t="shared" si="11"/>
        <v/>
      </c>
    </row>
    <row r="390" spans="3:7" ht="30" customHeight="1" thickBot="1" x14ac:dyDescent="0.25">
      <c r="C390" s="22"/>
      <c r="D390" s="23"/>
      <c r="E390" s="24"/>
      <c r="F390" s="62" t="str">
        <f t="shared" si="10"/>
        <v/>
      </c>
      <c r="G390" s="63" t="str">
        <f t="shared" si="11"/>
        <v/>
      </c>
    </row>
    <row r="391" spans="3:7" ht="30" customHeight="1" thickBot="1" x14ac:dyDescent="0.25">
      <c r="C391" s="22"/>
      <c r="D391" s="23"/>
      <c r="E391" s="24"/>
      <c r="F391" s="62" t="str">
        <f t="shared" si="10"/>
        <v/>
      </c>
      <c r="G391" s="63" t="str">
        <f t="shared" si="11"/>
        <v/>
      </c>
    </row>
    <row r="392" spans="3:7" ht="30" customHeight="1" thickBot="1" x14ac:dyDescent="0.25">
      <c r="C392" s="22"/>
      <c r="D392" s="23"/>
      <c r="E392" s="24"/>
      <c r="F392" s="62" t="str">
        <f t="shared" ref="F392:F455" si="12">IF(ISERROR(
IF(C392="","",D392*E392)),"",IF(C392="","",D392*E392))</f>
        <v/>
      </c>
      <c r="G392" s="63" t="str">
        <f t="shared" ref="G392:G455" si="13">IF(ISERROR(
$F392/SUM($F$7:$F$507)),"",$F392/SUM($F$7:$F$507))</f>
        <v/>
      </c>
    </row>
    <row r="393" spans="3:7" ht="30" customHeight="1" thickBot="1" x14ac:dyDescent="0.25">
      <c r="C393" s="22"/>
      <c r="D393" s="23"/>
      <c r="E393" s="24"/>
      <c r="F393" s="62" t="str">
        <f t="shared" si="12"/>
        <v/>
      </c>
      <c r="G393" s="63" t="str">
        <f t="shared" si="13"/>
        <v/>
      </c>
    </row>
    <row r="394" spans="3:7" ht="30" customHeight="1" thickBot="1" x14ac:dyDescent="0.25">
      <c r="C394" s="22"/>
      <c r="D394" s="23"/>
      <c r="E394" s="24"/>
      <c r="F394" s="62" t="str">
        <f t="shared" si="12"/>
        <v/>
      </c>
      <c r="G394" s="63" t="str">
        <f t="shared" si="13"/>
        <v/>
      </c>
    </row>
    <row r="395" spans="3:7" ht="30" customHeight="1" thickBot="1" x14ac:dyDescent="0.25">
      <c r="C395" s="22"/>
      <c r="D395" s="23"/>
      <c r="E395" s="24"/>
      <c r="F395" s="62" t="str">
        <f t="shared" si="12"/>
        <v/>
      </c>
      <c r="G395" s="63" t="str">
        <f t="shared" si="13"/>
        <v/>
      </c>
    </row>
    <row r="396" spans="3:7" ht="30" customHeight="1" thickBot="1" x14ac:dyDescent="0.25">
      <c r="C396" s="22"/>
      <c r="D396" s="23"/>
      <c r="E396" s="24"/>
      <c r="F396" s="62" t="str">
        <f t="shared" si="12"/>
        <v/>
      </c>
      <c r="G396" s="63" t="str">
        <f t="shared" si="13"/>
        <v/>
      </c>
    </row>
    <row r="397" spans="3:7" ht="30" customHeight="1" thickBot="1" x14ac:dyDescent="0.25">
      <c r="C397" s="22"/>
      <c r="D397" s="23"/>
      <c r="E397" s="24"/>
      <c r="F397" s="62" t="str">
        <f t="shared" si="12"/>
        <v/>
      </c>
      <c r="G397" s="63" t="str">
        <f t="shared" si="13"/>
        <v/>
      </c>
    </row>
    <row r="398" spans="3:7" ht="30" customHeight="1" thickBot="1" x14ac:dyDescent="0.25">
      <c r="C398" s="22"/>
      <c r="D398" s="23"/>
      <c r="E398" s="24"/>
      <c r="F398" s="62" t="str">
        <f t="shared" si="12"/>
        <v/>
      </c>
      <c r="G398" s="63" t="str">
        <f t="shared" si="13"/>
        <v/>
      </c>
    </row>
    <row r="399" spans="3:7" ht="30" customHeight="1" thickBot="1" x14ac:dyDescent="0.25">
      <c r="C399" s="22"/>
      <c r="D399" s="23"/>
      <c r="E399" s="24"/>
      <c r="F399" s="62" t="str">
        <f t="shared" si="12"/>
        <v/>
      </c>
      <c r="G399" s="63" t="str">
        <f t="shared" si="13"/>
        <v/>
      </c>
    </row>
    <row r="400" spans="3:7" ht="30" customHeight="1" thickBot="1" x14ac:dyDescent="0.25">
      <c r="C400" s="22"/>
      <c r="D400" s="23"/>
      <c r="E400" s="24"/>
      <c r="F400" s="62" t="str">
        <f t="shared" si="12"/>
        <v/>
      </c>
      <c r="G400" s="63" t="str">
        <f t="shared" si="13"/>
        <v/>
      </c>
    </row>
    <row r="401" spans="3:7" ht="30" customHeight="1" thickBot="1" x14ac:dyDescent="0.25">
      <c r="C401" s="22"/>
      <c r="D401" s="23"/>
      <c r="E401" s="24"/>
      <c r="F401" s="62" t="str">
        <f t="shared" si="12"/>
        <v/>
      </c>
      <c r="G401" s="63" t="str">
        <f t="shared" si="13"/>
        <v/>
      </c>
    </row>
    <row r="402" spans="3:7" ht="30" customHeight="1" thickBot="1" x14ac:dyDescent="0.25">
      <c r="C402" s="22"/>
      <c r="D402" s="23"/>
      <c r="E402" s="24"/>
      <c r="F402" s="62" t="str">
        <f t="shared" si="12"/>
        <v/>
      </c>
      <c r="G402" s="63" t="str">
        <f t="shared" si="13"/>
        <v/>
      </c>
    </row>
    <row r="403" spans="3:7" ht="30" customHeight="1" thickBot="1" x14ac:dyDescent="0.25">
      <c r="C403" s="22"/>
      <c r="D403" s="23"/>
      <c r="E403" s="24"/>
      <c r="F403" s="62" t="str">
        <f t="shared" si="12"/>
        <v/>
      </c>
      <c r="G403" s="63" t="str">
        <f t="shared" si="13"/>
        <v/>
      </c>
    </row>
    <row r="404" spans="3:7" ht="30" customHeight="1" thickBot="1" x14ac:dyDescent="0.25">
      <c r="C404" s="22"/>
      <c r="D404" s="23"/>
      <c r="E404" s="24"/>
      <c r="F404" s="62" t="str">
        <f t="shared" si="12"/>
        <v/>
      </c>
      <c r="G404" s="63" t="str">
        <f t="shared" si="13"/>
        <v/>
      </c>
    </row>
    <row r="405" spans="3:7" ht="30" customHeight="1" thickBot="1" x14ac:dyDescent="0.25">
      <c r="C405" s="22"/>
      <c r="D405" s="23"/>
      <c r="E405" s="24"/>
      <c r="F405" s="62" t="str">
        <f t="shared" si="12"/>
        <v/>
      </c>
      <c r="G405" s="63" t="str">
        <f t="shared" si="13"/>
        <v/>
      </c>
    </row>
    <row r="406" spans="3:7" ht="30" customHeight="1" thickBot="1" x14ac:dyDescent="0.25">
      <c r="C406" s="22"/>
      <c r="D406" s="23"/>
      <c r="E406" s="24"/>
      <c r="F406" s="62" t="str">
        <f t="shared" si="12"/>
        <v/>
      </c>
      <c r="G406" s="63" t="str">
        <f t="shared" si="13"/>
        <v/>
      </c>
    </row>
    <row r="407" spans="3:7" ht="30" customHeight="1" thickBot="1" x14ac:dyDescent="0.25">
      <c r="C407" s="22"/>
      <c r="D407" s="23"/>
      <c r="E407" s="24"/>
      <c r="F407" s="62" t="str">
        <f t="shared" si="12"/>
        <v/>
      </c>
      <c r="G407" s="63" t="str">
        <f t="shared" si="13"/>
        <v/>
      </c>
    </row>
    <row r="408" spans="3:7" ht="30" customHeight="1" thickBot="1" x14ac:dyDescent="0.25">
      <c r="C408" s="22"/>
      <c r="D408" s="23"/>
      <c r="E408" s="24"/>
      <c r="F408" s="62" t="str">
        <f t="shared" si="12"/>
        <v/>
      </c>
      <c r="G408" s="63" t="str">
        <f t="shared" si="13"/>
        <v/>
      </c>
    </row>
    <row r="409" spans="3:7" ht="30" customHeight="1" thickBot="1" x14ac:dyDescent="0.25">
      <c r="C409" s="22"/>
      <c r="D409" s="23"/>
      <c r="E409" s="24"/>
      <c r="F409" s="62" t="str">
        <f t="shared" si="12"/>
        <v/>
      </c>
      <c r="G409" s="63" t="str">
        <f t="shared" si="13"/>
        <v/>
      </c>
    </row>
    <row r="410" spans="3:7" ht="30" customHeight="1" thickBot="1" x14ac:dyDescent="0.25">
      <c r="C410" s="22"/>
      <c r="D410" s="23"/>
      <c r="E410" s="24"/>
      <c r="F410" s="62" t="str">
        <f t="shared" si="12"/>
        <v/>
      </c>
      <c r="G410" s="63" t="str">
        <f t="shared" si="13"/>
        <v/>
      </c>
    </row>
    <row r="411" spans="3:7" ht="30" customHeight="1" thickBot="1" x14ac:dyDescent="0.25">
      <c r="C411" s="22"/>
      <c r="D411" s="23"/>
      <c r="E411" s="24"/>
      <c r="F411" s="62" t="str">
        <f t="shared" si="12"/>
        <v/>
      </c>
      <c r="G411" s="63" t="str">
        <f t="shared" si="13"/>
        <v/>
      </c>
    </row>
    <row r="412" spans="3:7" ht="30" customHeight="1" thickBot="1" x14ac:dyDescent="0.25">
      <c r="C412" s="22"/>
      <c r="D412" s="23"/>
      <c r="E412" s="24"/>
      <c r="F412" s="62" t="str">
        <f t="shared" si="12"/>
        <v/>
      </c>
      <c r="G412" s="63" t="str">
        <f t="shared" si="13"/>
        <v/>
      </c>
    </row>
    <row r="413" spans="3:7" ht="30" customHeight="1" thickBot="1" x14ac:dyDescent="0.25">
      <c r="C413" s="22"/>
      <c r="D413" s="23"/>
      <c r="E413" s="24"/>
      <c r="F413" s="62" t="str">
        <f t="shared" si="12"/>
        <v/>
      </c>
      <c r="G413" s="63" t="str">
        <f t="shared" si="13"/>
        <v/>
      </c>
    </row>
    <row r="414" spans="3:7" ht="30" customHeight="1" thickBot="1" x14ac:dyDescent="0.25">
      <c r="C414" s="22"/>
      <c r="D414" s="23"/>
      <c r="E414" s="24"/>
      <c r="F414" s="62" t="str">
        <f t="shared" si="12"/>
        <v/>
      </c>
      <c r="G414" s="63" t="str">
        <f t="shared" si="13"/>
        <v/>
      </c>
    </row>
    <row r="415" spans="3:7" ht="30" customHeight="1" thickBot="1" x14ac:dyDescent="0.25">
      <c r="C415" s="22"/>
      <c r="D415" s="23"/>
      <c r="E415" s="24"/>
      <c r="F415" s="62" t="str">
        <f t="shared" si="12"/>
        <v/>
      </c>
      <c r="G415" s="63" t="str">
        <f t="shared" si="13"/>
        <v/>
      </c>
    </row>
    <row r="416" spans="3:7" ht="30" customHeight="1" thickBot="1" x14ac:dyDescent="0.25">
      <c r="C416" s="22"/>
      <c r="D416" s="23"/>
      <c r="E416" s="24"/>
      <c r="F416" s="62" t="str">
        <f t="shared" si="12"/>
        <v/>
      </c>
      <c r="G416" s="63" t="str">
        <f t="shared" si="13"/>
        <v/>
      </c>
    </row>
    <row r="417" spans="3:7" ht="30" customHeight="1" thickBot="1" x14ac:dyDescent="0.25">
      <c r="C417" s="22"/>
      <c r="D417" s="23"/>
      <c r="E417" s="24"/>
      <c r="F417" s="62" t="str">
        <f t="shared" si="12"/>
        <v/>
      </c>
      <c r="G417" s="63" t="str">
        <f t="shared" si="13"/>
        <v/>
      </c>
    </row>
    <row r="418" spans="3:7" ht="30" customHeight="1" thickBot="1" x14ac:dyDescent="0.25">
      <c r="C418" s="22"/>
      <c r="D418" s="23"/>
      <c r="E418" s="24"/>
      <c r="F418" s="62" t="str">
        <f t="shared" si="12"/>
        <v/>
      </c>
      <c r="G418" s="63" t="str">
        <f t="shared" si="13"/>
        <v/>
      </c>
    </row>
    <row r="419" spans="3:7" ht="30" customHeight="1" thickBot="1" x14ac:dyDescent="0.25">
      <c r="C419" s="22"/>
      <c r="D419" s="23"/>
      <c r="E419" s="24"/>
      <c r="F419" s="62" t="str">
        <f t="shared" si="12"/>
        <v/>
      </c>
      <c r="G419" s="63" t="str">
        <f t="shared" si="13"/>
        <v/>
      </c>
    </row>
    <row r="420" spans="3:7" ht="30" customHeight="1" thickBot="1" x14ac:dyDescent="0.25">
      <c r="C420" s="22"/>
      <c r="D420" s="23"/>
      <c r="E420" s="24"/>
      <c r="F420" s="62" t="str">
        <f t="shared" si="12"/>
        <v/>
      </c>
      <c r="G420" s="63" t="str">
        <f t="shared" si="13"/>
        <v/>
      </c>
    </row>
    <row r="421" spans="3:7" ht="30" customHeight="1" thickBot="1" x14ac:dyDescent="0.25">
      <c r="C421" s="22"/>
      <c r="D421" s="23"/>
      <c r="E421" s="24"/>
      <c r="F421" s="62" t="str">
        <f t="shared" si="12"/>
        <v/>
      </c>
      <c r="G421" s="63" t="str">
        <f t="shared" si="13"/>
        <v/>
      </c>
    </row>
    <row r="422" spans="3:7" ht="30" customHeight="1" thickBot="1" x14ac:dyDescent="0.25">
      <c r="C422" s="22"/>
      <c r="D422" s="23"/>
      <c r="E422" s="24"/>
      <c r="F422" s="62" t="str">
        <f t="shared" si="12"/>
        <v/>
      </c>
      <c r="G422" s="63" t="str">
        <f t="shared" si="13"/>
        <v/>
      </c>
    </row>
    <row r="423" spans="3:7" ht="30" customHeight="1" thickBot="1" x14ac:dyDescent="0.25">
      <c r="C423" s="22"/>
      <c r="D423" s="23"/>
      <c r="E423" s="24"/>
      <c r="F423" s="62" t="str">
        <f t="shared" si="12"/>
        <v/>
      </c>
      <c r="G423" s="63" t="str">
        <f t="shared" si="13"/>
        <v/>
      </c>
    </row>
    <row r="424" spans="3:7" ht="30" customHeight="1" thickBot="1" x14ac:dyDescent="0.25">
      <c r="C424" s="22"/>
      <c r="D424" s="23"/>
      <c r="E424" s="24"/>
      <c r="F424" s="62" t="str">
        <f t="shared" si="12"/>
        <v/>
      </c>
      <c r="G424" s="63" t="str">
        <f t="shared" si="13"/>
        <v/>
      </c>
    </row>
    <row r="425" spans="3:7" ht="30" customHeight="1" thickBot="1" x14ac:dyDescent="0.25">
      <c r="C425" s="22"/>
      <c r="D425" s="23"/>
      <c r="E425" s="24"/>
      <c r="F425" s="62" t="str">
        <f t="shared" si="12"/>
        <v/>
      </c>
      <c r="G425" s="63" t="str">
        <f t="shared" si="13"/>
        <v/>
      </c>
    </row>
    <row r="426" spans="3:7" ht="30" customHeight="1" thickBot="1" x14ac:dyDescent="0.25">
      <c r="C426" s="22"/>
      <c r="D426" s="23"/>
      <c r="E426" s="24"/>
      <c r="F426" s="62" t="str">
        <f t="shared" si="12"/>
        <v/>
      </c>
      <c r="G426" s="63" t="str">
        <f t="shared" si="13"/>
        <v/>
      </c>
    </row>
    <row r="427" spans="3:7" ht="30" customHeight="1" thickBot="1" x14ac:dyDescent="0.25">
      <c r="C427" s="22"/>
      <c r="D427" s="23"/>
      <c r="E427" s="24"/>
      <c r="F427" s="62" t="str">
        <f t="shared" si="12"/>
        <v/>
      </c>
      <c r="G427" s="63" t="str">
        <f t="shared" si="13"/>
        <v/>
      </c>
    </row>
    <row r="428" spans="3:7" ht="30" customHeight="1" thickBot="1" x14ac:dyDescent="0.25">
      <c r="C428" s="22"/>
      <c r="D428" s="23"/>
      <c r="E428" s="24"/>
      <c r="F428" s="62" t="str">
        <f t="shared" si="12"/>
        <v/>
      </c>
      <c r="G428" s="63" t="str">
        <f t="shared" si="13"/>
        <v/>
      </c>
    </row>
    <row r="429" spans="3:7" ht="30" customHeight="1" thickBot="1" x14ac:dyDescent="0.25">
      <c r="C429" s="22"/>
      <c r="D429" s="23"/>
      <c r="E429" s="24"/>
      <c r="F429" s="62" t="str">
        <f t="shared" si="12"/>
        <v/>
      </c>
      <c r="G429" s="63" t="str">
        <f t="shared" si="13"/>
        <v/>
      </c>
    </row>
    <row r="430" spans="3:7" ht="30" customHeight="1" thickBot="1" x14ac:dyDescent="0.25">
      <c r="C430" s="22"/>
      <c r="D430" s="23"/>
      <c r="E430" s="24"/>
      <c r="F430" s="62" t="str">
        <f t="shared" si="12"/>
        <v/>
      </c>
      <c r="G430" s="63" t="str">
        <f t="shared" si="13"/>
        <v/>
      </c>
    </row>
    <row r="431" spans="3:7" ht="30" customHeight="1" thickBot="1" x14ac:dyDescent="0.25">
      <c r="C431" s="22"/>
      <c r="D431" s="23"/>
      <c r="E431" s="24"/>
      <c r="F431" s="62" t="str">
        <f t="shared" si="12"/>
        <v/>
      </c>
      <c r="G431" s="63" t="str">
        <f t="shared" si="13"/>
        <v/>
      </c>
    </row>
    <row r="432" spans="3:7" ht="30" customHeight="1" thickBot="1" x14ac:dyDescent="0.25">
      <c r="C432" s="22"/>
      <c r="D432" s="23"/>
      <c r="E432" s="24"/>
      <c r="F432" s="62" t="str">
        <f t="shared" si="12"/>
        <v/>
      </c>
      <c r="G432" s="63" t="str">
        <f t="shared" si="13"/>
        <v/>
      </c>
    </row>
    <row r="433" spans="3:7" ht="30" customHeight="1" thickBot="1" x14ac:dyDescent="0.25">
      <c r="C433" s="22"/>
      <c r="D433" s="23"/>
      <c r="E433" s="24"/>
      <c r="F433" s="62" t="str">
        <f t="shared" si="12"/>
        <v/>
      </c>
      <c r="G433" s="63" t="str">
        <f t="shared" si="13"/>
        <v/>
      </c>
    </row>
    <row r="434" spans="3:7" ht="30" customHeight="1" thickBot="1" x14ac:dyDescent="0.25">
      <c r="C434" s="22"/>
      <c r="D434" s="23"/>
      <c r="E434" s="24"/>
      <c r="F434" s="62" t="str">
        <f t="shared" si="12"/>
        <v/>
      </c>
      <c r="G434" s="63" t="str">
        <f t="shared" si="13"/>
        <v/>
      </c>
    </row>
    <row r="435" spans="3:7" ht="30" customHeight="1" thickBot="1" x14ac:dyDescent="0.25">
      <c r="C435" s="22"/>
      <c r="D435" s="23"/>
      <c r="E435" s="24"/>
      <c r="F435" s="62" t="str">
        <f t="shared" si="12"/>
        <v/>
      </c>
      <c r="G435" s="63" t="str">
        <f t="shared" si="13"/>
        <v/>
      </c>
    </row>
    <row r="436" spans="3:7" ht="30" customHeight="1" thickBot="1" x14ac:dyDescent="0.25">
      <c r="C436" s="22"/>
      <c r="D436" s="23"/>
      <c r="E436" s="24"/>
      <c r="F436" s="62" t="str">
        <f t="shared" si="12"/>
        <v/>
      </c>
      <c r="G436" s="63" t="str">
        <f t="shared" si="13"/>
        <v/>
      </c>
    </row>
    <row r="437" spans="3:7" ht="30" customHeight="1" thickBot="1" x14ac:dyDescent="0.25">
      <c r="C437" s="22"/>
      <c r="D437" s="23"/>
      <c r="E437" s="24"/>
      <c r="F437" s="62" t="str">
        <f t="shared" si="12"/>
        <v/>
      </c>
      <c r="G437" s="63" t="str">
        <f t="shared" si="13"/>
        <v/>
      </c>
    </row>
    <row r="438" spans="3:7" ht="30" customHeight="1" thickBot="1" x14ac:dyDescent="0.25">
      <c r="C438" s="22"/>
      <c r="D438" s="23"/>
      <c r="E438" s="24"/>
      <c r="F438" s="62" t="str">
        <f t="shared" si="12"/>
        <v/>
      </c>
      <c r="G438" s="63" t="str">
        <f t="shared" si="13"/>
        <v/>
      </c>
    </row>
    <row r="439" spans="3:7" ht="30" customHeight="1" thickBot="1" x14ac:dyDescent="0.25">
      <c r="C439" s="22"/>
      <c r="D439" s="23"/>
      <c r="E439" s="24"/>
      <c r="F439" s="62" t="str">
        <f t="shared" si="12"/>
        <v/>
      </c>
      <c r="G439" s="63" t="str">
        <f t="shared" si="13"/>
        <v/>
      </c>
    </row>
    <row r="440" spans="3:7" ht="30" customHeight="1" thickBot="1" x14ac:dyDescent="0.25">
      <c r="C440" s="22"/>
      <c r="D440" s="23"/>
      <c r="E440" s="24"/>
      <c r="F440" s="62" t="str">
        <f t="shared" si="12"/>
        <v/>
      </c>
      <c r="G440" s="63" t="str">
        <f t="shared" si="13"/>
        <v/>
      </c>
    </row>
    <row r="441" spans="3:7" ht="30" customHeight="1" thickBot="1" x14ac:dyDescent="0.25">
      <c r="C441" s="22"/>
      <c r="D441" s="23"/>
      <c r="E441" s="24"/>
      <c r="F441" s="62" t="str">
        <f t="shared" si="12"/>
        <v/>
      </c>
      <c r="G441" s="63" t="str">
        <f t="shared" si="13"/>
        <v/>
      </c>
    </row>
    <row r="442" spans="3:7" ht="30" customHeight="1" thickBot="1" x14ac:dyDescent="0.25">
      <c r="C442" s="22"/>
      <c r="D442" s="23"/>
      <c r="E442" s="24"/>
      <c r="F442" s="62" t="str">
        <f t="shared" si="12"/>
        <v/>
      </c>
      <c r="G442" s="63" t="str">
        <f t="shared" si="13"/>
        <v/>
      </c>
    </row>
    <row r="443" spans="3:7" ht="30" customHeight="1" thickBot="1" x14ac:dyDescent="0.25">
      <c r="C443" s="22"/>
      <c r="D443" s="23"/>
      <c r="E443" s="24"/>
      <c r="F443" s="62" t="str">
        <f t="shared" si="12"/>
        <v/>
      </c>
      <c r="G443" s="63" t="str">
        <f t="shared" si="13"/>
        <v/>
      </c>
    </row>
    <row r="444" spans="3:7" ht="30" customHeight="1" thickBot="1" x14ac:dyDescent="0.25">
      <c r="C444" s="22"/>
      <c r="D444" s="23"/>
      <c r="E444" s="24"/>
      <c r="F444" s="62" t="str">
        <f t="shared" si="12"/>
        <v/>
      </c>
      <c r="G444" s="63" t="str">
        <f t="shared" si="13"/>
        <v/>
      </c>
    </row>
    <row r="445" spans="3:7" ht="30" customHeight="1" thickBot="1" x14ac:dyDescent="0.25">
      <c r="C445" s="22"/>
      <c r="D445" s="23"/>
      <c r="E445" s="24"/>
      <c r="F445" s="62" t="str">
        <f t="shared" si="12"/>
        <v/>
      </c>
      <c r="G445" s="63" t="str">
        <f t="shared" si="13"/>
        <v/>
      </c>
    </row>
    <row r="446" spans="3:7" ht="30" customHeight="1" thickBot="1" x14ac:dyDescent="0.25">
      <c r="C446" s="22"/>
      <c r="D446" s="23"/>
      <c r="E446" s="24"/>
      <c r="F446" s="62" t="str">
        <f t="shared" si="12"/>
        <v/>
      </c>
      <c r="G446" s="63" t="str">
        <f t="shared" si="13"/>
        <v/>
      </c>
    </row>
    <row r="447" spans="3:7" ht="30" customHeight="1" thickBot="1" x14ac:dyDescent="0.25">
      <c r="C447" s="22"/>
      <c r="D447" s="23"/>
      <c r="E447" s="24"/>
      <c r="F447" s="62" t="str">
        <f t="shared" si="12"/>
        <v/>
      </c>
      <c r="G447" s="63" t="str">
        <f t="shared" si="13"/>
        <v/>
      </c>
    </row>
    <row r="448" spans="3:7" ht="30" customHeight="1" thickBot="1" x14ac:dyDescent="0.25">
      <c r="C448" s="22"/>
      <c r="D448" s="23"/>
      <c r="E448" s="24"/>
      <c r="F448" s="62" t="str">
        <f t="shared" si="12"/>
        <v/>
      </c>
      <c r="G448" s="63" t="str">
        <f t="shared" si="13"/>
        <v/>
      </c>
    </row>
    <row r="449" spans="3:7" ht="30" customHeight="1" thickBot="1" x14ac:dyDescent="0.25">
      <c r="C449" s="22"/>
      <c r="D449" s="23"/>
      <c r="E449" s="24"/>
      <c r="F449" s="62" t="str">
        <f t="shared" si="12"/>
        <v/>
      </c>
      <c r="G449" s="63" t="str">
        <f t="shared" si="13"/>
        <v/>
      </c>
    </row>
    <row r="450" spans="3:7" ht="30" customHeight="1" thickBot="1" x14ac:dyDescent="0.25">
      <c r="C450" s="22"/>
      <c r="D450" s="23"/>
      <c r="E450" s="24"/>
      <c r="F450" s="62" t="str">
        <f t="shared" si="12"/>
        <v/>
      </c>
      <c r="G450" s="63" t="str">
        <f t="shared" si="13"/>
        <v/>
      </c>
    </row>
    <row r="451" spans="3:7" ht="30" customHeight="1" thickBot="1" x14ac:dyDescent="0.25">
      <c r="C451" s="22"/>
      <c r="D451" s="23"/>
      <c r="E451" s="24"/>
      <c r="F451" s="62" t="str">
        <f t="shared" si="12"/>
        <v/>
      </c>
      <c r="G451" s="63" t="str">
        <f t="shared" si="13"/>
        <v/>
      </c>
    </row>
    <row r="452" spans="3:7" ht="30" customHeight="1" thickBot="1" x14ac:dyDescent="0.25">
      <c r="C452" s="22"/>
      <c r="D452" s="23"/>
      <c r="E452" s="24"/>
      <c r="F452" s="62" t="str">
        <f t="shared" si="12"/>
        <v/>
      </c>
      <c r="G452" s="63" t="str">
        <f t="shared" si="13"/>
        <v/>
      </c>
    </row>
    <row r="453" spans="3:7" ht="30" customHeight="1" thickBot="1" x14ac:dyDescent="0.25">
      <c r="C453" s="22"/>
      <c r="D453" s="23"/>
      <c r="E453" s="24"/>
      <c r="F453" s="62" t="str">
        <f t="shared" si="12"/>
        <v/>
      </c>
      <c r="G453" s="63" t="str">
        <f t="shared" si="13"/>
        <v/>
      </c>
    </row>
    <row r="454" spans="3:7" ht="30" customHeight="1" thickBot="1" x14ac:dyDescent="0.25">
      <c r="C454" s="22"/>
      <c r="D454" s="23"/>
      <c r="E454" s="24"/>
      <c r="F454" s="62" t="str">
        <f t="shared" si="12"/>
        <v/>
      </c>
      <c r="G454" s="63" t="str">
        <f t="shared" si="13"/>
        <v/>
      </c>
    </row>
    <row r="455" spans="3:7" ht="30" customHeight="1" thickBot="1" x14ac:dyDescent="0.25">
      <c r="C455" s="22"/>
      <c r="D455" s="23"/>
      <c r="E455" s="24"/>
      <c r="F455" s="62" t="str">
        <f t="shared" si="12"/>
        <v/>
      </c>
      <c r="G455" s="63" t="str">
        <f t="shared" si="13"/>
        <v/>
      </c>
    </row>
    <row r="456" spans="3:7" ht="30" customHeight="1" thickBot="1" x14ac:dyDescent="0.25">
      <c r="C456" s="22"/>
      <c r="D456" s="23"/>
      <c r="E456" s="24"/>
      <c r="F456" s="62" t="str">
        <f t="shared" ref="F456:F507" si="14">IF(ISERROR(
IF(C456="","",D456*E456)),"",IF(C456="","",D456*E456))</f>
        <v/>
      </c>
      <c r="G456" s="63" t="str">
        <f t="shared" ref="G456:G507" si="15">IF(ISERROR(
$F456/SUM($F$7:$F$507)),"",$F456/SUM($F$7:$F$507))</f>
        <v/>
      </c>
    </row>
    <row r="457" spans="3:7" ht="30" customHeight="1" thickBot="1" x14ac:dyDescent="0.25">
      <c r="C457" s="22"/>
      <c r="D457" s="23"/>
      <c r="E457" s="24"/>
      <c r="F457" s="62" t="str">
        <f t="shared" si="14"/>
        <v/>
      </c>
      <c r="G457" s="63" t="str">
        <f t="shared" si="15"/>
        <v/>
      </c>
    </row>
    <row r="458" spans="3:7" ht="30" customHeight="1" thickBot="1" x14ac:dyDescent="0.25">
      <c r="C458" s="22"/>
      <c r="D458" s="23"/>
      <c r="E458" s="24"/>
      <c r="F458" s="62" t="str">
        <f t="shared" si="14"/>
        <v/>
      </c>
      <c r="G458" s="63" t="str">
        <f t="shared" si="15"/>
        <v/>
      </c>
    </row>
    <row r="459" spans="3:7" ht="30" customHeight="1" thickBot="1" x14ac:dyDescent="0.25">
      <c r="C459" s="22"/>
      <c r="D459" s="23"/>
      <c r="E459" s="24"/>
      <c r="F459" s="62" t="str">
        <f t="shared" si="14"/>
        <v/>
      </c>
      <c r="G459" s="63" t="str">
        <f t="shared" si="15"/>
        <v/>
      </c>
    </row>
    <row r="460" spans="3:7" ht="30" customHeight="1" thickBot="1" x14ac:dyDescent="0.25">
      <c r="C460" s="22"/>
      <c r="D460" s="23"/>
      <c r="E460" s="24"/>
      <c r="F460" s="62" t="str">
        <f t="shared" si="14"/>
        <v/>
      </c>
      <c r="G460" s="63" t="str">
        <f t="shared" si="15"/>
        <v/>
      </c>
    </row>
    <row r="461" spans="3:7" ht="30" customHeight="1" thickBot="1" x14ac:dyDescent="0.25">
      <c r="C461" s="22"/>
      <c r="D461" s="23"/>
      <c r="E461" s="24"/>
      <c r="F461" s="62" t="str">
        <f t="shared" si="14"/>
        <v/>
      </c>
      <c r="G461" s="63" t="str">
        <f t="shared" si="15"/>
        <v/>
      </c>
    </row>
    <row r="462" spans="3:7" ht="30" customHeight="1" thickBot="1" x14ac:dyDescent="0.25">
      <c r="C462" s="22"/>
      <c r="D462" s="23"/>
      <c r="E462" s="24"/>
      <c r="F462" s="62" t="str">
        <f t="shared" si="14"/>
        <v/>
      </c>
      <c r="G462" s="63" t="str">
        <f t="shared" si="15"/>
        <v/>
      </c>
    </row>
    <row r="463" spans="3:7" ht="30" customHeight="1" thickBot="1" x14ac:dyDescent="0.25">
      <c r="C463" s="22"/>
      <c r="D463" s="23"/>
      <c r="E463" s="24"/>
      <c r="F463" s="62" t="str">
        <f t="shared" si="14"/>
        <v/>
      </c>
      <c r="G463" s="63" t="str">
        <f t="shared" si="15"/>
        <v/>
      </c>
    </row>
    <row r="464" spans="3:7" ht="30" customHeight="1" thickBot="1" x14ac:dyDescent="0.25">
      <c r="C464" s="22"/>
      <c r="D464" s="23"/>
      <c r="E464" s="24"/>
      <c r="F464" s="62" t="str">
        <f t="shared" si="14"/>
        <v/>
      </c>
      <c r="G464" s="63" t="str">
        <f t="shared" si="15"/>
        <v/>
      </c>
    </row>
    <row r="465" spans="3:7" ht="30" customHeight="1" thickBot="1" x14ac:dyDescent="0.25">
      <c r="C465" s="22"/>
      <c r="D465" s="23"/>
      <c r="E465" s="24"/>
      <c r="F465" s="62" t="str">
        <f t="shared" si="14"/>
        <v/>
      </c>
      <c r="G465" s="63" t="str">
        <f t="shared" si="15"/>
        <v/>
      </c>
    </row>
    <row r="466" spans="3:7" ht="30" customHeight="1" thickBot="1" x14ac:dyDescent="0.25">
      <c r="C466" s="22"/>
      <c r="D466" s="23"/>
      <c r="E466" s="24"/>
      <c r="F466" s="62" t="str">
        <f t="shared" si="14"/>
        <v/>
      </c>
      <c r="G466" s="63" t="str">
        <f t="shared" si="15"/>
        <v/>
      </c>
    </row>
    <row r="467" spans="3:7" ht="30" customHeight="1" thickBot="1" x14ac:dyDescent="0.25">
      <c r="C467" s="22"/>
      <c r="D467" s="23"/>
      <c r="E467" s="24"/>
      <c r="F467" s="62" t="str">
        <f t="shared" si="14"/>
        <v/>
      </c>
      <c r="G467" s="63" t="str">
        <f t="shared" si="15"/>
        <v/>
      </c>
    </row>
    <row r="468" spans="3:7" ht="30" customHeight="1" thickBot="1" x14ac:dyDescent="0.25">
      <c r="C468" s="22"/>
      <c r="D468" s="23"/>
      <c r="E468" s="24"/>
      <c r="F468" s="62" t="str">
        <f t="shared" si="14"/>
        <v/>
      </c>
      <c r="G468" s="63" t="str">
        <f t="shared" si="15"/>
        <v/>
      </c>
    </row>
    <row r="469" spans="3:7" ht="30" customHeight="1" thickBot="1" x14ac:dyDescent="0.25">
      <c r="C469" s="22"/>
      <c r="D469" s="23"/>
      <c r="E469" s="24"/>
      <c r="F469" s="62" t="str">
        <f t="shared" si="14"/>
        <v/>
      </c>
      <c r="G469" s="63" t="str">
        <f t="shared" si="15"/>
        <v/>
      </c>
    </row>
    <row r="470" spans="3:7" ht="30" customHeight="1" thickBot="1" x14ac:dyDescent="0.25">
      <c r="C470" s="22"/>
      <c r="D470" s="23"/>
      <c r="E470" s="24"/>
      <c r="F470" s="62" t="str">
        <f t="shared" si="14"/>
        <v/>
      </c>
      <c r="G470" s="63" t="str">
        <f t="shared" si="15"/>
        <v/>
      </c>
    </row>
    <row r="471" spans="3:7" ht="30" customHeight="1" thickBot="1" x14ac:dyDescent="0.25">
      <c r="C471" s="22"/>
      <c r="D471" s="23"/>
      <c r="E471" s="24"/>
      <c r="F471" s="62" t="str">
        <f t="shared" si="14"/>
        <v/>
      </c>
      <c r="G471" s="63" t="str">
        <f t="shared" si="15"/>
        <v/>
      </c>
    </row>
    <row r="472" spans="3:7" ht="30" customHeight="1" thickBot="1" x14ac:dyDescent="0.25">
      <c r="C472" s="22"/>
      <c r="D472" s="23"/>
      <c r="E472" s="24"/>
      <c r="F472" s="62" t="str">
        <f t="shared" si="14"/>
        <v/>
      </c>
      <c r="G472" s="63" t="str">
        <f t="shared" si="15"/>
        <v/>
      </c>
    </row>
    <row r="473" spans="3:7" ht="30" customHeight="1" thickBot="1" x14ac:dyDescent="0.25">
      <c r="C473" s="22"/>
      <c r="D473" s="23"/>
      <c r="E473" s="24"/>
      <c r="F473" s="62" t="str">
        <f t="shared" si="14"/>
        <v/>
      </c>
      <c r="G473" s="63" t="str">
        <f t="shared" si="15"/>
        <v/>
      </c>
    </row>
    <row r="474" spans="3:7" ht="30" customHeight="1" thickBot="1" x14ac:dyDescent="0.25">
      <c r="C474" s="22"/>
      <c r="D474" s="23"/>
      <c r="E474" s="24"/>
      <c r="F474" s="62" t="str">
        <f t="shared" si="14"/>
        <v/>
      </c>
      <c r="G474" s="63" t="str">
        <f t="shared" si="15"/>
        <v/>
      </c>
    </row>
    <row r="475" spans="3:7" ht="30" customHeight="1" thickBot="1" x14ac:dyDescent="0.25">
      <c r="C475" s="22"/>
      <c r="D475" s="23"/>
      <c r="E475" s="24"/>
      <c r="F475" s="62" t="str">
        <f t="shared" si="14"/>
        <v/>
      </c>
      <c r="G475" s="63" t="str">
        <f t="shared" si="15"/>
        <v/>
      </c>
    </row>
    <row r="476" spans="3:7" ht="30" customHeight="1" thickBot="1" x14ac:dyDescent="0.25">
      <c r="C476" s="22"/>
      <c r="D476" s="23"/>
      <c r="E476" s="24"/>
      <c r="F476" s="62" t="str">
        <f t="shared" si="14"/>
        <v/>
      </c>
      <c r="G476" s="63" t="str">
        <f t="shared" si="15"/>
        <v/>
      </c>
    </row>
    <row r="477" spans="3:7" ht="30" customHeight="1" thickBot="1" x14ac:dyDescent="0.25">
      <c r="C477" s="22"/>
      <c r="D477" s="23"/>
      <c r="E477" s="24"/>
      <c r="F477" s="62" t="str">
        <f t="shared" si="14"/>
        <v/>
      </c>
      <c r="G477" s="63" t="str">
        <f t="shared" si="15"/>
        <v/>
      </c>
    </row>
    <row r="478" spans="3:7" ht="30" customHeight="1" thickBot="1" x14ac:dyDescent="0.25">
      <c r="C478" s="22"/>
      <c r="D478" s="23"/>
      <c r="E478" s="24"/>
      <c r="F478" s="62" t="str">
        <f t="shared" si="14"/>
        <v/>
      </c>
      <c r="G478" s="63" t="str">
        <f t="shared" si="15"/>
        <v/>
      </c>
    </row>
    <row r="479" spans="3:7" ht="30" customHeight="1" thickBot="1" x14ac:dyDescent="0.25">
      <c r="C479" s="22"/>
      <c r="D479" s="23"/>
      <c r="E479" s="24"/>
      <c r="F479" s="62" t="str">
        <f t="shared" si="14"/>
        <v/>
      </c>
      <c r="G479" s="63" t="str">
        <f t="shared" si="15"/>
        <v/>
      </c>
    </row>
    <row r="480" spans="3:7" ht="30" customHeight="1" thickBot="1" x14ac:dyDescent="0.25">
      <c r="C480" s="22"/>
      <c r="D480" s="23"/>
      <c r="E480" s="24"/>
      <c r="F480" s="62" t="str">
        <f t="shared" si="14"/>
        <v/>
      </c>
      <c r="G480" s="63" t="str">
        <f t="shared" si="15"/>
        <v/>
      </c>
    </row>
    <row r="481" spans="3:7" ht="30" customHeight="1" thickBot="1" x14ac:dyDescent="0.25">
      <c r="C481" s="22"/>
      <c r="D481" s="23"/>
      <c r="E481" s="24"/>
      <c r="F481" s="62" t="str">
        <f t="shared" si="14"/>
        <v/>
      </c>
      <c r="G481" s="63" t="str">
        <f t="shared" si="15"/>
        <v/>
      </c>
    </row>
    <row r="482" spans="3:7" ht="30" customHeight="1" thickBot="1" x14ac:dyDescent="0.25">
      <c r="C482" s="22"/>
      <c r="D482" s="23"/>
      <c r="E482" s="24"/>
      <c r="F482" s="62" t="str">
        <f t="shared" si="14"/>
        <v/>
      </c>
      <c r="G482" s="63" t="str">
        <f t="shared" si="15"/>
        <v/>
      </c>
    </row>
    <row r="483" spans="3:7" ht="30" customHeight="1" thickBot="1" x14ac:dyDescent="0.25">
      <c r="C483" s="22"/>
      <c r="D483" s="23"/>
      <c r="E483" s="24"/>
      <c r="F483" s="62" t="str">
        <f t="shared" si="14"/>
        <v/>
      </c>
      <c r="G483" s="63" t="str">
        <f t="shared" si="15"/>
        <v/>
      </c>
    </row>
    <row r="484" spans="3:7" ht="30" customHeight="1" thickBot="1" x14ac:dyDescent="0.25">
      <c r="C484" s="22"/>
      <c r="D484" s="23"/>
      <c r="E484" s="24"/>
      <c r="F484" s="62" t="str">
        <f t="shared" si="14"/>
        <v/>
      </c>
      <c r="G484" s="63" t="str">
        <f t="shared" si="15"/>
        <v/>
      </c>
    </row>
    <row r="485" spans="3:7" ht="30" customHeight="1" thickBot="1" x14ac:dyDescent="0.25">
      <c r="C485" s="22"/>
      <c r="D485" s="23"/>
      <c r="E485" s="24"/>
      <c r="F485" s="62" t="str">
        <f t="shared" si="14"/>
        <v/>
      </c>
      <c r="G485" s="63" t="str">
        <f t="shared" si="15"/>
        <v/>
      </c>
    </row>
    <row r="486" spans="3:7" ht="30" customHeight="1" thickBot="1" x14ac:dyDescent="0.25">
      <c r="C486" s="22"/>
      <c r="D486" s="23"/>
      <c r="E486" s="24"/>
      <c r="F486" s="62" t="str">
        <f t="shared" si="14"/>
        <v/>
      </c>
      <c r="G486" s="63" t="str">
        <f t="shared" si="15"/>
        <v/>
      </c>
    </row>
    <row r="487" spans="3:7" ht="30" customHeight="1" thickBot="1" x14ac:dyDescent="0.25">
      <c r="C487" s="22"/>
      <c r="D487" s="23"/>
      <c r="E487" s="24"/>
      <c r="F487" s="62" t="str">
        <f t="shared" si="14"/>
        <v/>
      </c>
      <c r="G487" s="63" t="str">
        <f t="shared" si="15"/>
        <v/>
      </c>
    </row>
    <row r="488" spans="3:7" ht="30" customHeight="1" thickBot="1" x14ac:dyDescent="0.25">
      <c r="C488" s="22"/>
      <c r="D488" s="23"/>
      <c r="E488" s="24"/>
      <c r="F488" s="62" t="str">
        <f t="shared" si="14"/>
        <v/>
      </c>
      <c r="G488" s="63" t="str">
        <f t="shared" si="15"/>
        <v/>
      </c>
    </row>
    <row r="489" spans="3:7" ht="30" customHeight="1" thickBot="1" x14ac:dyDescent="0.25">
      <c r="C489" s="22"/>
      <c r="D489" s="23"/>
      <c r="E489" s="24"/>
      <c r="F489" s="62" t="str">
        <f t="shared" si="14"/>
        <v/>
      </c>
      <c r="G489" s="63" t="str">
        <f t="shared" si="15"/>
        <v/>
      </c>
    </row>
    <row r="490" spans="3:7" ht="30" customHeight="1" thickBot="1" x14ac:dyDescent="0.25">
      <c r="C490" s="22"/>
      <c r="D490" s="23"/>
      <c r="E490" s="24"/>
      <c r="F490" s="62" t="str">
        <f t="shared" si="14"/>
        <v/>
      </c>
      <c r="G490" s="63" t="str">
        <f t="shared" si="15"/>
        <v/>
      </c>
    </row>
    <row r="491" spans="3:7" ht="30" customHeight="1" thickBot="1" x14ac:dyDescent="0.25">
      <c r="C491" s="22"/>
      <c r="D491" s="23"/>
      <c r="E491" s="24"/>
      <c r="F491" s="62" t="str">
        <f t="shared" si="14"/>
        <v/>
      </c>
      <c r="G491" s="63" t="str">
        <f t="shared" si="15"/>
        <v/>
      </c>
    </row>
    <row r="492" spans="3:7" ht="30" customHeight="1" thickBot="1" x14ac:dyDescent="0.25">
      <c r="C492" s="22"/>
      <c r="D492" s="23"/>
      <c r="E492" s="24"/>
      <c r="F492" s="62" t="str">
        <f t="shared" si="14"/>
        <v/>
      </c>
      <c r="G492" s="63" t="str">
        <f t="shared" si="15"/>
        <v/>
      </c>
    </row>
    <row r="493" spans="3:7" ht="30" customHeight="1" thickBot="1" x14ac:dyDescent="0.25">
      <c r="C493" s="22"/>
      <c r="D493" s="23"/>
      <c r="E493" s="24"/>
      <c r="F493" s="62" t="str">
        <f t="shared" si="14"/>
        <v/>
      </c>
      <c r="G493" s="63" t="str">
        <f t="shared" si="15"/>
        <v/>
      </c>
    </row>
    <row r="494" spans="3:7" ht="30" customHeight="1" thickBot="1" x14ac:dyDescent="0.25">
      <c r="C494" s="22"/>
      <c r="D494" s="23"/>
      <c r="E494" s="24"/>
      <c r="F494" s="62" t="str">
        <f t="shared" si="14"/>
        <v/>
      </c>
      <c r="G494" s="63" t="str">
        <f t="shared" si="15"/>
        <v/>
      </c>
    </row>
    <row r="495" spans="3:7" ht="30" customHeight="1" thickBot="1" x14ac:dyDescent="0.25">
      <c r="C495" s="22"/>
      <c r="D495" s="23"/>
      <c r="E495" s="24"/>
      <c r="F495" s="62" t="str">
        <f t="shared" si="14"/>
        <v/>
      </c>
      <c r="G495" s="63" t="str">
        <f t="shared" si="15"/>
        <v/>
      </c>
    </row>
    <row r="496" spans="3:7" ht="30" customHeight="1" thickBot="1" x14ac:dyDescent="0.25">
      <c r="C496" s="22"/>
      <c r="D496" s="23"/>
      <c r="E496" s="24"/>
      <c r="F496" s="62" t="str">
        <f t="shared" si="14"/>
        <v/>
      </c>
      <c r="G496" s="63" t="str">
        <f t="shared" si="15"/>
        <v/>
      </c>
    </row>
    <row r="497" spans="3:7" ht="30" customHeight="1" thickBot="1" x14ac:dyDescent="0.25">
      <c r="C497" s="22"/>
      <c r="D497" s="23"/>
      <c r="E497" s="24"/>
      <c r="F497" s="62" t="str">
        <f t="shared" si="14"/>
        <v/>
      </c>
      <c r="G497" s="63" t="str">
        <f t="shared" si="15"/>
        <v/>
      </c>
    </row>
    <row r="498" spans="3:7" ht="30" customHeight="1" thickBot="1" x14ac:dyDescent="0.25">
      <c r="C498" s="22"/>
      <c r="D498" s="23"/>
      <c r="E498" s="24"/>
      <c r="F498" s="62" t="str">
        <f t="shared" si="14"/>
        <v/>
      </c>
      <c r="G498" s="63" t="str">
        <f t="shared" si="15"/>
        <v/>
      </c>
    </row>
    <row r="499" spans="3:7" ht="30" customHeight="1" thickBot="1" x14ac:dyDescent="0.25">
      <c r="C499" s="22"/>
      <c r="D499" s="23"/>
      <c r="E499" s="24"/>
      <c r="F499" s="62" t="str">
        <f t="shared" si="14"/>
        <v/>
      </c>
      <c r="G499" s="63" t="str">
        <f t="shared" si="15"/>
        <v/>
      </c>
    </row>
    <row r="500" spans="3:7" ht="30" customHeight="1" thickBot="1" x14ac:dyDescent="0.25">
      <c r="C500" s="22"/>
      <c r="D500" s="23"/>
      <c r="E500" s="24"/>
      <c r="F500" s="62" t="str">
        <f t="shared" si="14"/>
        <v/>
      </c>
      <c r="G500" s="63" t="str">
        <f t="shared" si="15"/>
        <v/>
      </c>
    </row>
    <row r="501" spans="3:7" ht="30" customHeight="1" thickBot="1" x14ac:dyDescent="0.25">
      <c r="C501" s="22"/>
      <c r="D501" s="23"/>
      <c r="E501" s="24"/>
      <c r="F501" s="62" t="str">
        <f t="shared" si="14"/>
        <v/>
      </c>
      <c r="G501" s="63" t="str">
        <f t="shared" si="15"/>
        <v/>
      </c>
    </row>
    <row r="502" spans="3:7" ht="30" customHeight="1" thickBot="1" x14ac:dyDescent="0.25">
      <c r="C502" s="22"/>
      <c r="D502" s="23"/>
      <c r="E502" s="24"/>
      <c r="F502" s="62" t="str">
        <f t="shared" si="14"/>
        <v/>
      </c>
      <c r="G502" s="63" t="str">
        <f t="shared" si="15"/>
        <v/>
      </c>
    </row>
    <row r="503" spans="3:7" ht="30" customHeight="1" thickBot="1" x14ac:dyDescent="0.25">
      <c r="C503" s="22"/>
      <c r="D503" s="23"/>
      <c r="E503" s="24"/>
      <c r="F503" s="62" t="str">
        <f t="shared" si="14"/>
        <v/>
      </c>
      <c r="G503" s="63" t="str">
        <f t="shared" si="15"/>
        <v/>
      </c>
    </row>
    <row r="504" spans="3:7" ht="30" customHeight="1" thickBot="1" x14ac:dyDescent="0.25">
      <c r="C504" s="22"/>
      <c r="D504" s="23"/>
      <c r="E504" s="24"/>
      <c r="F504" s="62" t="str">
        <f t="shared" si="14"/>
        <v/>
      </c>
      <c r="G504" s="63" t="str">
        <f t="shared" si="15"/>
        <v/>
      </c>
    </row>
    <row r="505" spans="3:7" ht="30" customHeight="1" thickBot="1" x14ac:dyDescent="0.25">
      <c r="C505" s="22"/>
      <c r="D505" s="23"/>
      <c r="E505" s="24"/>
      <c r="F505" s="62" t="str">
        <f t="shared" si="14"/>
        <v/>
      </c>
      <c r="G505" s="63" t="str">
        <f t="shared" si="15"/>
        <v/>
      </c>
    </row>
    <row r="506" spans="3:7" ht="30" customHeight="1" thickBot="1" x14ac:dyDescent="0.25">
      <c r="C506" s="22"/>
      <c r="D506" s="23"/>
      <c r="E506" s="24"/>
      <c r="F506" s="62" t="str">
        <f t="shared" si="14"/>
        <v/>
      </c>
      <c r="G506" s="63" t="str">
        <f t="shared" si="15"/>
        <v/>
      </c>
    </row>
    <row r="507" spans="3:7" ht="30" customHeight="1" thickBot="1" x14ac:dyDescent="0.25">
      <c r="C507" s="22"/>
      <c r="D507" s="23"/>
      <c r="E507" s="24"/>
      <c r="F507" s="62" t="str">
        <f t="shared" si="14"/>
        <v/>
      </c>
      <c r="G507" s="63" t="str">
        <f t="shared" si="15"/>
        <v/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enableFormatConditionsCalculation="0"/>
  <dimension ref="A1:G100"/>
  <sheetViews>
    <sheetView showGridLines="0" zoomScale="90" zoomScaleNormal="90" zoomScalePageLayoutView="90" workbookViewId="0">
      <pane ySplit="5" topLeftCell="A6" activePane="bottomLeft" state="frozen"/>
      <selection pane="bottomLeft" activeCell="D13" sqref="D6:D13"/>
    </sheetView>
  </sheetViews>
  <sheetFormatPr baseColWidth="10" defaultColWidth="8.83203125" defaultRowHeight="15" zeroHeight="1" x14ac:dyDescent="0.2"/>
  <cols>
    <col min="1" max="1" width="27.6640625" style="1" customWidth="1"/>
    <col min="2" max="2" width="3.83203125" customWidth="1"/>
    <col min="3" max="3" width="40.5" customWidth="1"/>
    <col min="4" max="4" width="22.5" customWidth="1"/>
    <col min="5" max="5" width="4.5" customWidth="1"/>
    <col min="6" max="6" width="60.5" customWidth="1"/>
    <col min="7" max="7" width="23.1640625" customWidth="1"/>
  </cols>
  <sheetData>
    <row r="1" spans="1:7" s="4" customFormat="1" ht="34" customHeight="1" x14ac:dyDescent="0.3">
      <c r="A1" s="77" t="s">
        <v>163</v>
      </c>
      <c r="C1" s="5" t="s">
        <v>27</v>
      </c>
    </row>
    <row r="2" spans="1:7" s="4" customFormat="1" ht="21.5" customHeight="1" x14ac:dyDescent="0.2">
      <c r="A2" s="1"/>
    </row>
    <row r="3" spans="1:7" s="4" customFormat="1" ht="21.5" customHeight="1" x14ac:dyDescent="0.2">
      <c r="A3" s="1"/>
    </row>
    <row r="4" spans="1:7" ht="14" customHeight="1" thickBot="1" x14ac:dyDescent="0.25"/>
    <row r="5" spans="1:7" ht="30" customHeight="1" thickBot="1" x14ac:dyDescent="0.25">
      <c r="C5" s="26" t="s">
        <v>71</v>
      </c>
      <c r="D5" s="26" t="s">
        <v>72</v>
      </c>
      <c r="F5" s="87" t="s">
        <v>80</v>
      </c>
      <c r="G5" s="88"/>
    </row>
    <row r="6" spans="1:7" ht="30" customHeight="1" thickBot="1" x14ac:dyDescent="0.25">
      <c r="C6" s="65" t="s">
        <v>73</v>
      </c>
      <c r="D6" s="59"/>
      <c r="F6" s="29" t="s">
        <v>81</v>
      </c>
      <c r="G6" s="30" t="s">
        <v>72</v>
      </c>
    </row>
    <row r="7" spans="1:7" ht="30" customHeight="1" thickBot="1" x14ac:dyDescent="0.25">
      <c r="C7" s="65" t="s">
        <v>82</v>
      </c>
      <c r="D7" s="60"/>
      <c r="F7" s="89" t="s">
        <v>83</v>
      </c>
      <c r="G7" s="92" t="str">
        <f>IF(ISERROR(SUMPRODUCT(PG!D7:D507,PG!E7:E507)/SUM(PG!E7:E507)),"",SUMPRODUCT(PG!D7:D507,PG!E7:E507)/SUM(PG!E7:E507))</f>
        <v/>
      </c>
    </row>
    <row r="8" spans="1:7" ht="30" customHeight="1" thickBot="1" x14ac:dyDescent="0.25">
      <c r="C8" s="65" t="s">
        <v>74</v>
      </c>
      <c r="D8" s="60"/>
      <c r="F8" s="90"/>
      <c r="G8" s="92"/>
    </row>
    <row r="9" spans="1:7" ht="30" customHeight="1" thickBot="1" x14ac:dyDescent="0.25">
      <c r="C9" s="65" t="s">
        <v>75</v>
      </c>
      <c r="D9" s="60"/>
      <c r="F9" s="91"/>
      <c r="G9" s="92"/>
    </row>
    <row r="10" spans="1:7" ht="30" customHeight="1" thickBot="1" x14ac:dyDescent="0.25">
      <c r="C10" s="65" t="s">
        <v>76</v>
      </c>
      <c r="D10" s="60"/>
      <c r="F10" s="89" t="s">
        <v>84</v>
      </c>
      <c r="G10" s="92" t="str">
        <f>IF(ISERROR(SUMPRODUCT(PG_CD!L6:L506,PG!E7:E507)/SUM(PG!E7:E507)),"",SUMPRODUCT(PG_CD!L6:L506,PG!E7:E507)/SUM(PG!E7:E507))</f>
        <v/>
      </c>
    </row>
    <row r="11" spans="1:7" ht="30" customHeight="1" thickBot="1" x14ac:dyDescent="0.25">
      <c r="C11" s="65" t="s">
        <v>77</v>
      </c>
      <c r="D11" s="60"/>
      <c r="F11" s="90"/>
      <c r="G11" s="92"/>
    </row>
    <row r="12" spans="1:7" ht="30" customHeight="1" thickBot="1" x14ac:dyDescent="0.25">
      <c r="C12" s="65" t="s">
        <v>78</v>
      </c>
      <c r="D12" s="60"/>
      <c r="F12" s="91"/>
      <c r="G12" s="92"/>
    </row>
    <row r="13" spans="1:7" ht="30" customHeight="1" thickBot="1" x14ac:dyDescent="0.25">
      <c r="C13" s="66" t="s">
        <v>79</v>
      </c>
      <c r="D13" s="61"/>
      <c r="F13" s="29" t="s">
        <v>85</v>
      </c>
      <c r="G13" s="82">
        <f>IF(ISERROR(SUMPRODUCT(PG_CD!$H$6:$H$506,PG!E7:E507)),"",SUMPRODUCT(PG_CD!$H$6:$H$506,PG!E7:E507))</f>
        <v>0</v>
      </c>
    </row>
    <row r="14" spans="1:7" ht="30" customHeight="1" thickBot="1" x14ac:dyDescent="0.25">
      <c r="C14" s="39"/>
      <c r="D14" s="58"/>
      <c r="F14" s="29" t="s">
        <v>86</v>
      </c>
      <c r="G14" s="82" t="e">
        <f>G13/SUM(PG!C7:E507)</f>
        <v>#DIV/0!</v>
      </c>
    </row>
    <row r="15" spans="1:7" ht="30" customHeight="1" x14ac:dyDescent="0.2">
      <c r="C15" s="19"/>
      <c r="D15" s="23"/>
    </row>
    <row r="16" spans="1:7" ht="30" customHeight="1" thickBot="1" x14ac:dyDescent="0.25">
      <c r="C16" s="22"/>
      <c r="D16" s="23"/>
      <c r="F16" s="87" t="s">
        <v>87</v>
      </c>
      <c r="G16" s="88"/>
    </row>
    <row r="17" spans="3:7" ht="30" customHeight="1" thickBot="1" x14ac:dyDescent="0.25">
      <c r="C17" s="22"/>
      <c r="D17" s="23"/>
      <c r="F17" s="29" t="s">
        <v>81</v>
      </c>
      <c r="G17" s="30" t="s">
        <v>72</v>
      </c>
    </row>
    <row r="18" spans="3:7" ht="30" customHeight="1" thickBot="1" x14ac:dyDescent="0.25">
      <c r="C18" s="22"/>
      <c r="D18" s="23"/>
      <c r="F18" s="29" t="s">
        <v>88</v>
      </c>
      <c r="G18" s="71">
        <f>SUM(D6:D50)</f>
        <v>0</v>
      </c>
    </row>
    <row r="19" spans="3:7" ht="30" customHeight="1" thickBot="1" x14ac:dyDescent="0.25">
      <c r="C19" s="22"/>
      <c r="D19" s="23"/>
      <c r="F19" s="29" t="s">
        <v>89</v>
      </c>
      <c r="G19" s="71" t="str">
        <f>IF(ISERROR(G18/(G10/G7)),"",G18/(G10/G7))</f>
        <v/>
      </c>
    </row>
    <row r="20" spans="3:7" ht="30" customHeight="1" thickBot="1" x14ac:dyDescent="0.25">
      <c r="C20" s="22"/>
      <c r="D20" s="23"/>
      <c r="F20" s="29" t="s">
        <v>90</v>
      </c>
      <c r="G20" s="72" t="str">
        <f>IF(ISERROR(G19/G7),"",G19/G7)</f>
        <v/>
      </c>
    </row>
    <row r="21" spans="3:7" ht="30" customHeight="1" x14ac:dyDescent="0.2">
      <c r="C21" s="22"/>
      <c r="D21" s="23"/>
    </row>
    <row r="22" spans="3:7" ht="30" customHeight="1" x14ac:dyDescent="0.2">
      <c r="C22" s="22"/>
      <c r="D22" s="23"/>
    </row>
    <row r="23" spans="3:7" ht="30" customHeight="1" x14ac:dyDescent="0.2">
      <c r="C23" s="22"/>
      <c r="D23" s="23"/>
    </row>
    <row r="24" spans="3:7" ht="30" customHeight="1" x14ac:dyDescent="0.2">
      <c r="C24" s="22"/>
      <c r="D24" s="23"/>
    </row>
    <row r="25" spans="3:7" ht="30" customHeight="1" x14ac:dyDescent="0.2">
      <c r="C25" s="22"/>
      <c r="D25" s="23"/>
    </row>
    <row r="26" spans="3:7" ht="30" customHeight="1" x14ac:dyDescent="0.2">
      <c r="C26" s="22"/>
      <c r="D26" s="23"/>
    </row>
    <row r="27" spans="3:7" ht="30" customHeight="1" x14ac:dyDescent="0.2">
      <c r="C27" s="22"/>
      <c r="D27" s="23"/>
    </row>
    <row r="28" spans="3:7" ht="30" customHeight="1" x14ac:dyDescent="0.2">
      <c r="C28" s="22"/>
      <c r="D28" s="23"/>
    </row>
    <row r="29" spans="3:7" ht="30" customHeight="1" x14ac:dyDescent="0.2">
      <c r="C29" s="22"/>
      <c r="D29" s="23"/>
    </row>
    <row r="30" spans="3:7" ht="30" customHeight="1" x14ac:dyDescent="0.2">
      <c r="C30" s="22"/>
      <c r="D30" s="23"/>
    </row>
    <row r="31" spans="3:7" ht="30" customHeight="1" x14ac:dyDescent="0.2">
      <c r="C31" s="22"/>
      <c r="D31" s="23"/>
    </row>
    <row r="32" spans="3:7" ht="30" customHeight="1" x14ac:dyDescent="0.2">
      <c r="C32" s="22"/>
      <c r="D32" s="23"/>
    </row>
    <row r="33" spans="3:4" ht="30" customHeight="1" x14ac:dyDescent="0.2">
      <c r="C33" s="22"/>
      <c r="D33" s="23"/>
    </row>
    <row r="34" spans="3:4" ht="30" customHeight="1" x14ac:dyDescent="0.2">
      <c r="C34" s="22"/>
      <c r="D34" s="23"/>
    </row>
    <row r="35" spans="3:4" ht="30" customHeight="1" x14ac:dyDescent="0.2">
      <c r="C35" s="22"/>
      <c r="D35" s="23"/>
    </row>
    <row r="36" spans="3:4" ht="30" customHeight="1" x14ac:dyDescent="0.2">
      <c r="C36" s="22"/>
      <c r="D36" s="23"/>
    </row>
    <row r="37" spans="3:4" ht="30" customHeight="1" x14ac:dyDescent="0.2">
      <c r="C37" s="22"/>
      <c r="D37" s="23"/>
    </row>
    <row r="38" spans="3:4" ht="30" customHeight="1" x14ac:dyDescent="0.2">
      <c r="C38" s="22"/>
      <c r="D38" s="23"/>
    </row>
    <row r="39" spans="3:4" ht="30" customHeight="1" x14ac:dyDescent="0.2">
      <c r="C39" s="22"/>
      <c r="D39" s="23"/>
    </row>
    <row r="40" spans="3:4" ht="30" customHeight="1" x14ac:dyDescent="0.2">
      <c r="C40" s="22"/>
      <c r="D40" s="23"/>
    </row>
    <row r="41" spans="3:4" ht="30" customHeight="1" x14ac:dyDescent="0.2">
      <c r="C41" s="22"/>
      <c r="D41" s="23"/>
    </row>
    <row r="42" spans="3:4" ht="30" customHeight="1" x14ac:dyDescent="0.2">
      <c r="C42" s="22"/>
      <c r="D42" s="23"/>
    </row>
    <row r="43" spans="3:4" ht="30" customHeight="1" x14ac:dyDescent="0.2">
      <c r="C43" s="22"/>
      <c r="D43" s="23"/>
    </row>
    <row r="44" spans="3:4" ht="30" customHeight="1" x14ac:dyDescent="0.2">
      <c r="C44" s="22"/>
      <c r="D44" s="23"/>
    </row>
    <row r="45" spans="3:4" ht="30" customHeight="1" x14ac:dyDescent="0.2">
      <c r="C45" s="22"/>
      <c r="D45" s="23"/>
    </row>
    <row r="46" spans="3:4" ht="30" customHeight="1" x14ac:dyDescent="0.2">
      <c r="C46" s="22"/>
      <c r="D46" s="23"/>
    </row>
    <row r="47" spans="3:4" ht="30" customHeight="1" x14ac:dyDescent="0.2">
      <c r="C47" s="22"/>
      <c r="D47" s="23"/>
    </row>
    <row r="48" spans="3:4" ht="30" customHeight="1" x14ac:dyDescent="0.2">
      <c r="C48" s="22"/>
      <c r="D48" s="23"/>
    </row>
    <row r="49" spans="3:4" ht="30" customHeight="1" x14ac:dyDescent="0.2">
      <c r="C49" s="22"/>
      <c r="D49" s="23"/>
    </row>
    <row r="50" spans="3:4" ht="30" customHeight="1" x14ac:dyDescent="0.2">
      <c r="C50" s="22"/>
      <c r="D50" s="23"/>
    </row>
    <row r="51" spans="3:4" ht="30" hidden="1" customHeight="1" x14ac:dyDescent="0.2">
      <c r="C51" s="28"/>
    </row>
    <row r="52" spans="3:4" ht="30" hidden="1" customHeight="1" x14ac:dyDescent="0.2">
      <c r="C52" s="28"/>
    </row>
    <row r="53" spans="3:4" ht="30" hidden="1" customHeight="1" x14ac:dyDescent="0.2">
      <c r="C53" s="28"/>
    </row>
    <row r="54" spans="3:4" ht="30" hidden="1" customHeight="1" x14ac:dyDescent="0.2">
      <c r="C54" s="28"/>
    </row>
    <row r="55" spans="3:4" ht="30" hidden="1" customHeight="1" x14ac:dyDescent="0.2">
      <c r="C55" s="28"/>
    </row>
    <row r="56" spans="3:4" ht="30" hidden="1" customHeight="1" x14ac:dyDescent="0.2">
      <c r="C56" s="28"/>
    </row>
    <row r="57" spans="3:4" ht="30" hidden="1" customHeight="1" x14ac:dyDescent="0.2">
      <c r="C57" s="28"/>
    </row>
    <row r="58" spans="3:4" ht="30" hidden="1" customHeight="1" x14ac:dyDescent="0.2">
      <c r="C58" s="28"/>
    </row>
    <row r="59" spans="3:4" ht="30" hidden="1" customHeight="1" x14ac:dyDescent="0.2">
      <c r="C59" s="28"/>
    </row>
    <row r="60" spans="3:4" ht="30" hidden="1" customHeight="1" x14ac:dyDescent="0.2">
      <c r="C60" s="28"/>
    </row>
    <row r="61" spans="3:4" ht="30" hidden="1" customHeight="1" x14ac:dyDescent="0.2">
      <c r="C61" s="28"/>
    </row>
    <row r="62" spans="3:4" ht="30" hidden="1" customHeight="1" x14ac:dyDescent="0.2">
      <c r="C62" s="28"/>
    </row>
    <row r="63" spans="3:4" ht="30" hidden="1" customHeight="1" x14ac:dyDescent="0.2">
      <c r="C63" s="28"/>
    </row>
    <row r="64" spans="3:4" ht="30" hidden="1" customHeight="1" x14ac:dyDescent="0.2">
      <c r="C64" s="28"/>
    </row>
    <row r="65" spans="3:3" ht="30" hidden="1" customHeight="1" x14ac:dyDescent="0.2">
      <c r="C65" s="28"/>
    </row>
    <row r="66" spans="3:3" ht="30" hidden="1" customHeight="1" x14ac:dyDescent="0.2">
      <c r="C66" s="28"/>
    </row>
    <row r="67" spans="3:3" ht="30" hidden="1" customHeight="1" x14ac:dyDescent="0.2">
      <c r="C67" s="28"/>
    </row>
    <row r="68" spans="3:3" ht="30" hidden="1" customHeight="1" x14ac:dyDescent="0.2">
      <c r="C68" s="28"/>
    </row>
    <row r="69" spans="3:3" ht="30" hidden="1" customHeight="1" x14ac:dyDescent="0.2">
      <c r="C69" s="28"/>
    </row>
    <row r="70" spans="3:3" ht="30" hidden="1" customHeight="1" x14ac:dyDescent="0.2">
      <c r="C70" s="28"/>
    </row>
    <row r="71" spans="3:3" ht="30" hidden="1" customHeight="1" x14ac:dyDescent="0.2">
      <c r="C71" s="28"/>
    </row>
    <row r="72" spans="3:3" ht="30" hidden="1" customHeight="1" x14ac:dyDescent="0.2">
      <c r="C72" s="28"/>
    </row>
    <row r="73" spans="3:3" ht="30" hidden="1" customHeight="1" x14ac:dyDescent="0.2">
      <c r="C73" s="28"/>
    </row>
    <row r="74" spans="3:3" ht="30" hidden="1" customHeight="1" x14ac:dyDescent="0.2">
      <c r="C74" s="28"/>
    </row>
    <row r="75" spans="3:3" ht="30" hidden="1" customHeight="1" x14ac:dyDescent="0.2">
      <c r="C75" s="28"/>
    </row>
    <row r="76" spans="3:3" ht="30" hidden="1" customHeight="1" x14ac:dyDescent="0.2">
      <c r="C76" s="28"/>
    </row>
    <row r="77" spans="3:3" ht="30" hidden="1" customHeight="1" x14ac:dyDescent="0.2">
      <c r="C77" s="28"/>
    </row>
    <row r="78" spans="3:3" ht="30" hidden="1" customHeight="1" x14ac:dyDescent="0.2">
      <c r="C78" s="28"/>
    </row>
    <row r="79" spans="3:3" ht="30" hidden="1" customHeight="1" x14ac:dyDescent="0.2">
      <c r="C79" s="28"/>
    </row>
    <row r="80" spans="3:3" ht="30" hidden="1" customHeight="1" x14ac:dyDescent="0.2">
      <c r="C80" s="28"/>
    </row>
    <row r="81" spans="3:3" ht="30" hidden="1" customHeight="1" x14ac:dyDescent="0.2">
      <c r="C81" s="28"/>
    </row>
    <row r="82" spans="3:3" ht="30" hidden="1" customHeight="1" x14ac:dyDescent="0.2">
      <c r="C82" s="28"/>
    </row>
    <row r="83" spans="3:3" ht="30" hidden="1" customHeight="1" x14ac:dyDescent="0.2">
      <c r="C83" s="28"/>
    </row>
    <row r="84" spans="3:3" ht="30" hidden="1" customHeight="1" x14ac:dyDescent="0.2">
      <c r="C84" s="28"/>
    </row>
    <row r="85" spans="3:3" ht="30" hidden="1" customHeight="1" x14ac:dyDescent="0.2">
      <c r="C85" s="28"/>
    </row>
    <row r="86" spans="3:3" ht="30" hidden="1" customHeight="1" x14ac:dyDescent="0.2">
      <c r="C86" s="28"/>
    </row>
    <row r="87" spans="3:3" ht="30" hidden="1" customHeight="1" x14ac:dyDescent="0.2">
      <c r="C87" s="28"/>
    </row>
    <row r="88" spans="3:3" ht="30" hidden="1" customHeight="1" x14ac:dyDescent="0.2">
      <c r="C88" s="28"/>
    </row>
    <row r="89" spans="3:3" ht="30" hidden="1" customHeight="1" x14ac:dyDescent="0.2">
      <c r="C89" s="28"/>
    </row>
    <row r="90" spans="3:3" ht="30" hidden="1" customHeight="1" x14ac:dyDescent="0.2">
      <c r="C90" s="28"/>
    </row>
    <row r="91" spans="3:3" ht="30" hidden="1" customHeight="1" x14ac:dyDescent="0.2">
      <c r="C91" s="28"/>
    </row>
    <row r="92" spans="3:3" ht="30" hidden="1" customHeight="1" x14ac:dyDescent="0.2">
      <c r="C92" s="28"/>
    </row>
    <row r="93" spans="3:3" ht="30" hidden="1" customHeight="1" x14ac:dyDescent="0.2">
      <c r="C93" s="28"/>
    </row>
    <row r="94" spans="3:3" ht="30" hidden="1" customHeight="1" x14ac:dyDescent="0.2">
      <c r="C94" s="28"/>
    </row>
    <row r="95" spans="3:3" ht="30" hidden="1" customHeight="1" x14ac:dyDescent="0.2">
      <c r="C95" s="28"/>
    </row>
    <row r="96" spans="3:3" ht="30" hidden="1" customHeight="1" x14ac:dyDescent="0.2">
      <c r="C96" s="28"/>
    </row>
    <row r="97" spans="3:3" ht="30" hidden="1" customHeight="1" x14ac:dyDescent="0.2">
      <c r="C97" s="28"/>
    </row>
    <row r="98" spans="3:3" ht="30" hidden="1" customHeight="1" x14ac:dyDescent="0.2">
      <c r="C98" s="28"/>
    </row>
    <row r="99" spans="3:3" ht="30" hidden="1" customHeight="1" x14ac:dyDescent="0.2">
      <c r="C99" s="28"/>
    </row>
    <row r="100" spans="3:3" ht="30" hidden="1" customHeight="1" x14ac:dyDescent="0.2">
      <c r="C100" s="28"/>
    </row>
  </sheetData>
  <mergeCells count="6">
    <mergeCell ref="F16:G16"/>
    <mergeCell ref="F5:G5"/>
    <mergeCell ref="F7:F9"/>
    <mergeCell ref="G7:G9"/>
    <mergeCell ref="F10:F12"/>
    <mergeCell ref="G10:G1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1" enableFormatConditionsCalculation="0"/>
  <dimension ref="A1:Z507"/>
  <sheetViews>
    <sheetView showGridLines="0" zoomScale="90" zoomScaleNormal="90" zoomScalePageLayoutView="90" workbookViewId="0">
      <pane ySplit="5" topLeftCell="A6" activePane="bottomLeft" state="frozen"/>
      <selection pane="bottomLeft" activeCell="D6" sqref="D6"/>
    </sheetView>
  </sheetViews>
  <sheetFormatPr baseColWidth="10" defaultColWidth="8.83203125" defaultRowHeight="0" customHeight="1" zeroHeight="1" x14ac:dyDescent="0.2"/>
  <cols>
    <col min="1" max="1" width="27.6640625" style="1" customWidth="1"/>
    <col min="2" max="2" width="3.83203125" customWidth="1"/>
    <col min="3" max="3" width="47.6640625" customWidth="1"/>
    <col min="4" max="8" width="25.33203125" customWidth="1"/>
    <col min="9" max="9" width="8.6640625" hidden="1" customWidth="1"/>
    <col min="10" max="11" width="23" hidden="1" customWidth="1"/>
    <col min="12" max="15" width="29" hidden="1" customWidth="1"/>
    <col min="16" max="17" width="23" hidden="1" customWidth="1"/>
    <col min="18" max="26" width="8.6640625" hidden="1" customWidth="1"/>
  </cols>
  <sheetData>
    <row r="1" spans="1:17" s="4" customFormat="1" ht="34" customHeight="1" x14ac:dyDescent="0.3">
      <c r="A1" s="77" t="s">
        <v>163</v>
      </c>
      <c r="C1" s="5" t="s">
        <v>26</v>
      </c>
    </row>
    <row r="2" spans="1:17" s="4" customFormat="1" ht="21.5" customHeight="1" x14ac:dyDescent="0.2">
      <c r="A2" s="1"/>
    </row>
    <row r="3" spans="1:17" s="4" customFormat="1" ht="21.5" customHeight="1" x14ac:dyDescent="0.2">
      <c r="A3" s="1"/>
    </row>
    <row r="4" spans="1:17" ht="14" customHeight="1" thickBot="1" x14ac:dyDescent="0.25"/>
    <row r="5" spans="1:17" ht="30" customHeight="1" thickBot="1" x14ac:dyDescent="0.25">
      <c r="C5" s="17" t="s">
        <v>56</v>
      </c>
      <c r="D5" s="26" t="s">
        <v>66</v>
      </c>
      <c r="E5" s="26" t="s">
        <v>67</v>
      </c>
      <c r="F5" s="26" t="s">
        <v>70</v>
      </c>
      <c r="G5" s="26" t="s">
        <v>68</v>
      </c>
      <c r="H5" s="17" t="s">
        <v>69</v>
      </c>
      <c r="J5" s="26" t="s">
        <v>67</v>
      </c>
      <c r="K5" s="26" t="s">
        <v>70</v>
      </c>
      <c r="L5" s="36" t="s">
        <v>97</v>
      </c>
      <c r="M5" s="35" t="s">
        <v>96</v>
      </c>
      <c r="N5" s="36" t="s">
        <v>121</v>
      </c>
      <c r="O5" s="36" t="s">
        <v>119</v>
      </c>
      <c r="P5" s="26" t="s">
        <v>134</v>
      </c>
      <c r="Q5" s="26" t="s">
        <v>135</v>
      </c>
    </row>
    <row r="6" spans="1:17" ht="30" customHeight="1" thickBot="1" x14ac:dyDescent="0.25">
      <c r="C6" s="83">
        <f>PG!C7</f>
        <v>0</v>
      </c>
      <c r="D6" s="23"/>
      <c r="E6" s="27"/>
      <c r="F6" s="27"/>
      <c r="G6" s="23"/>
      <c r="H6" s="62">
        <f>D6+PG!D7*(E6+F6)+G6</f>
        <v>0</v>
      </c>
      <c r="J6" s="18" t="str">
        <f>IF(ISERROR(
PG!F7*E6),"",PG!F7*E6)</f>
        <v/>
      </c>
      <c r="K6" s="18" t="str">
        <f>IF(ISERROR(
PG!F7*F6),"",PG!F7*F6)</f>
        <v/>
      </c>
      <c r="L6" s="18">
        <f>IF(ISERROR(
PG!D7-H6),"",PG!D7-H6)</f>
        <v>0</v>
      </c>
      <c r="M6" s="33" t="str">
        <f>IF(ISERROR(
L6/PG!D7),"",L6/PG!D7)</f>
        <v/>
      </c>
      <c r="N6" s="18" t="str">
        <f>IF(ISERROR(
(O6*PG!D7)),"",(O6*PG!D7))</f>
        <v/>
      </c>
      <c r="O6" s="45" t="str">
        <f>IF(ISERROR(
PEq!$G$20*PG!G7),"",PEq!$G$20*PG!G7)</f>
        <v/>
      </c>
      <c r="P6" s="18">
        <f>IF(ISERROR(
PG!E7*G6),"",PG!E7*G6)</f>
        <v>0</v>
      </c>
      <c r="Q6" s="18">
        <f>IF(ISERROR(
PG!E7*D6),"",PG!E7*D6)</f>
        <v>0</v>
      </c>
    </row>
    <row r="7" spans="1:17" ht="30" customHeight="1" thickBot="1" x14ac:dyDescent="0.25">
      <c r="C7" s="83">
        <f>PG!C8</f>
        <v>0</v>
      </c>
      <c r="D7" s="23"/>
      <c r="E7" s="27"/>
      <c r="F7" s="27"/>
      <c r="G7" s="23"/>
      <c r="H7" s="62">
        <f>D7+PG!D8*(E7+F7)+G7</f>
        <v>0</v>
      </c>
      <c r="J7" s="18" t="str">
        <f>IF(ISERROR(
PG!F8*E7),"",PG!F8*E7)</f>
        <v/>
      </c>
      <c r="K7" s="18" t="str">
        <f>IF(ISERROR(
PG!F8*F7),"",PG!F8*F7)</f>
        <v/>
      </c>
      <c r="L7" s="18">
        <f>IF(ISERROR(
PG!D8-H7),"",PG!D8-H7)</f>
        <v>0</v>
      </c>
      <c r="M7" s="33" t="str">
        <f>IF(ISERROR(
L7/PG!D8),"",L7/PG!D8)</f>
        <v/>
      </c>
      <c r="N7" s="18" t="str">
        <f>IF(ISERROR(
(O7*PG!D8)),"",(O7*PG!D8))</f>
        <v/>
      </c>
      <c r="O7" s="45" t="str">
        <f>IF(ISERROR(
PEq!$G$20*PG!G8),"",PEq!$G$20*PG!G8)</f>
        <v/>
      </c>
      <c r="P7" s="18">
        <f>IF(ISERROR(
PG!E8*G7),"",PG!E8*G7)</f>
        <v>0</v>
      </c>
      <c r="Q7" s="18">
        <f>IF(ISERROR(
PG!E8*D7),"",PG!E8*D7)</f>
        <v>0</v>
      </c>
    </row>
    <row r="8" spans="1:17" ht="30" customHeight="1" thickBot="1" x14ac:dyDescent="0.25">
      <c r="C8" s="83">
        <f>PG!C9</f>
        <v>0</v>
      </c>
      <c r="D8" s="23"/>
      <c r="E8" s="27"/>
      <c r="F8" s="27"/>
      <c r="G8" s="23"/>
      <c r="H8" s="62">
        <f>D8+PG!D9*(E8+F8)+G8</f>
        <v>0</v>
      </c>
      <c r="J8" s="18" t="str">
        <f>IF(ISERROR(
PG!F9*E8),"",PG!F9*E8)</f>
        <v/>
      </c>
      <c r="K8" s="18" t="str">
        <f>IF(ISERROR(
PG!F9*F8),"",PG!F9*F8)</f>
        <v/>
      </c>
      <c r="L8" s="18">
        <f>IF(ISERROR(
PG!D9-H8),"",PG!D9-H8)</f>
        <v>0</v>
      </c>
      <c r="M8" s="33" t="str">
        <f>IF(ISERROR(
L8/PG!D9),"",L8/PG!D9)</f>
        <v/>
      </c>
      <c r="N8" s="18" t="str">
        <f>IF(ISERROR(
(O8*PG!D9)),"",(O8*PG!D9))</f>
        <v/>
      </c>
      <c r="O8" s="45" t="str">
        <f>IF(ISERROR(
PEq!$G$20*PG!G9),"",PEq!$G$20*PG!G9)</f>
        <v/>
      </c>
      <c r="P8" s="18">
        <f>IF(ISERROR(
PG!E9*G8),"",PG!E9*G8)</f>
        <v>0</v>
      </c>
      <c r="Q8" s="18">
        <f>IF(ISERROR(
PG!E9*D8),"",PG!E9*D8)</f>
        <v>0</v>
      </c>
    </row>
    <row r="9" spans="1:17" ht="30" customHeight="1" thickBot="1" x14ac:dyDescent="0.25">
      <c r="C9" s="83">
        <f>PG!C10</f>
        <v>0</v>
      </c>
      <c r="D9" s="23"/>
      <c r="E9" s="27"/>
      <c r="F9" s="27"/>
      <c r="G9" s="23"/>
      <c r="H9" s="62">
        <f>D9+PG!D10*(E9+F9)+G9</f>
        <v>0</v>
      </c>
      <c r="J9" s="18" t="str">
        <f>IF(ISERROR(
PG!F10*E9),"",PG!F10*E9)</f>
        <v/>
      </c>
      <c r="K9" s="18" t="str">
        <f>IF(ISERROR(
PG!F10*F9),"",PG!F10*F9)</f>
        <v/>
      </c>
      <c r="L9" s="18">
        <f>IF(ISERROR(
PG!D10-H9),"",PG!D10-H9)</f>
        <v>0</v>
      </c>
      <c r="M9" s="33" t="str">
        <f>IF(ISERROR(
L9/PG!D10),"",L9/PG!D10)</f>
        <v/>
      </c>
      <c r="N9" s="18" t="str">
        <f>IF(ISERROR(
(O9*PG!D10)),"",(O9*PG!D10))</f>
        <v/>
      </c>
      <c r="O9" s="45" t="str">
        <f>IF(ISERROR(
PEq!$G$20*PG!G10),"",PEq!$G$20*PG!G10)</f>
        <v/>
      </c>
      <c r="P9" s="18">
        <f>IF(ISERROR(
PG!E10*G9),"",PG!E10*G9)</f>
        <v>0</v>
      </c>
      <c r="Q9" s="18">
        <f>IF(ISERROR(
PG!E10*D9),"",PG!E10*D9)</f>
        <v>0</v>
      </c>
    </row>
    <row r="10" spans="1:17" ht="30" customHeight="1" thickBot="1" x14ac:dyDescent="0.25">
      <c r="C10" s="83">
        <f>PG!C11</f>
        <v>0</v>
      </c>
      <c r="D10" s="23"/>
      <c r="E10" s="27"/>
      <c r="F10" s="27"/>
      <c r="G10" s="23"/>
      <c r="H10" s="62">
        <f>D10+PG!D11*(E10+F10)+G10</f>
        <v>0</v>
      </c>
      <c r="J10" s="18" t="str">
        <f>IF(ISERROR(
PG!F11*E10),"",PG!F11*E10)</f>
        <v/>
      </c>
      <c r="K10" s="18" t="str">
        <f>IF(ISERROR(
PG!F11*F10),"",PG!F11*F10)</f>
        <v/>
      </c>
      <c r="L10" s="18">
        <f>IF(ISERROR(
PG!D11-H10),"",PG!D11-H10)</f>
        <v>0</v>
      </c>
      <c r="M10" s="33" t="str">
        <f>IF(ISERROR(
L10/PG!D11),"",L10/PG!D11)</f>
        <v/>
      </c>
      <c r="N10" s="18" t="str">
        <f>IF(ISERROR(
(O10*PG!D11)),"",(O10*PG!D11))</f>
        <v/>
      </c>
      <c r="O10" s="45" t="str">
        <f>IF(ISERROR(
PEq!$G$20*PG!G11),"",PEq!$G$20*PG!G11)</f>
        <v/>
      </c>
      <c r="P10" s="18">
        <f>IF(ISERROR(
PG!E11*G10),"",PG!E11*G10)</f>
        <v>0</v>
      </c>
      <c r="Q10" s="18">
        <f>IF(ISERROR(
PG!E11*D10),"",PG!E11*D10)</f>
        <v>0</v>
      </c>
    </row>
    <row r="11" spans="1:17" ht="30" customHeight="1" thickBot="1" x14ac:dyDescent="0.25">
      <c r="C11" s="83">
        <f>PG!C12</f>
        <v>0</v>
      </c>
      <c r="D11" s="23"/>
      <c r="E11" s="27"/>
      <c r="F11" s="27"/>
      <c r="G11" s="23"/>
      <c r="H11" s="62">
        <f>D11+PG!D12*(E11+F11)+G11</f>
        <v>0</v>
      </c>
      <c r="J11" s="18" t="str">
        <f>IF(ISERROR(
PG!F12*E11),"",PG!F12*E11)</f>
        <v/>
      </c>
      <c r="K11" s="18" t="str">
        <f>IF(ISERROR(
PG!F12*F11),"",PG!F12*F11)</f>
        <v/>
      </c>
      <c r="L11" s="18">
        <f>IF(ISERROR(
PG!D12-H11),"",PG!D12-H11)</f>
        <v>0</v>
      </c>
      <c r="M11" s="33" t="str">
        <f>IF(ISERROR(
L11/PG!D12),"",L11/PG!D12)</f>
        <v/>
      </c>
      <c r="N11" s="18" t="str">
        <f>IF(ISERROR(
(O11*PG!D12)),"",(O11*PG!D12))</f>
        <v/>
      </c>
      <c r="O11" s="45" t="str">
        <f>IF(ISERROR(
PEq!$G$20*PG!G12),"",PEq!$G$20*PG!G12)</f>
        <v/>
      </c>
      <c r="P11" s="18">
        <f>IF(ISERROR(
PG!E12*G11),"",PG!E12*G11)</f>
        <v>0</v>
      </c>
      <c r="Q11" s="18">
        <f>IF(ISERROR(
PG!E12*D11),"",PG!E12*D11)</f>
        <v>0</v>
      </c>
    </row>
    <row r="12" spans="1:17" ht="30" customHeight="1" thickBot="1" x14ac:dyDescent="0.25">
      <c r="C12" s="83">
        <f>PG!C13</f>
        <v>0</v>
      </c>
      <c r="D12" s="23"/>
      <c r="E12" s="27"/>
      <c r="F12" s="27"/>
      <c r="G12" s="23"/>
      <c r="H12" s="62">
        <f>D12+PG!D13*(E12+F12)+G12</f>
        <v>0</v>
      </c>
      <c r="J12" s="18" t="str">
        <f>IF(ISERROR(
PG!F13*E12),"",PG!F13*E12)</f>
        <v/>
      </c>
      <c r="K12" s="18" t="str">
        <f>IF(ISERROR(
PG!F13*F12),"",PG!F13*F12)</f>
        <v/>
      </c>
      <c r="L12" s="18">
        <f>IF(ISERROR(
PG!D13-H12),"",PG!D13-H12)</f>
        <v>0</v>
      </c>
      <c r="M12" s="33" t="str">
        <f>IF(ISERROR(
L12/PG!D13),"",L12/PG!D13)</f>
        <v/>
      </c>
      <c r="N12" s="18" t="str">
        <f>IF(ISERROR(
(O12*PG!D13)),"",(O12*PG!D13))</f>
        <v/>
      </c>
      <c r="O12" s="45" t="str">
        <f>IF(ISERROR(
PEq!$G$20*PG!G13),"",PEq!$G$20*PG!G13)</f>
        <v/>
      </c>
      <c r="P12" s="18">
        <f>IF(ISERROR(
PG!E13*G12),"",PG!E13*G12)</f>
        <v>0</v>
      </c>
      <c r="Q12" s="18">
        <f>IF(ISERROR(
PG!E13*D12),"",PG!E13*D12)</f>
        <v>0</v>
      </c>
    </row>
    <row r="13" spans="1:17" ht="30" customHeight="1" thickBot="1" x14ac:dyDescent="0.25">
      <c r="C13" s="83">
        <f>PG!C14</f>
        <v>0</v>
      </c>
      <c r="D13" s="23"/>
      <c r="E13" s="27"/>
      <c r="F13" s="27"/>
      <c r="G13" s="23"/>
      <c r="H13" s="62">
        <f>D13+PG!D14*(E13+F13)+G13</f>
        <v>0</v>
      </c>
      <c r="J13" s="18" t="str">
        <f>IF(ISERROR(
PG!F14*E13),"",PG!F14*E13)</f>
        <v/>
      </c>
      <c r="K13" s="18" t="str">
        <f>IF(ISERROR(
PG!F14*F13),"",PG!F14*F13)</f>
        <v/>
      </c>
      <c r="L13" s="18">
        <f>IF(ISERROR(
PG!D14-H13),"",PG!D14-H13)</f>
        <v>0</v>
      </c>
      <c r="M13" s="33" t="str">
        <f>IF(ISERROR(
L13/PG!D14),"",L13/PG!D14)</f>
        <v/>
      </c>
      <c r="N13" s="18" t="str">
        <f>IF(ISERROR(
(O13*PG!D14)),"",(O13*PG!D14))</f>
        <v/>
      </c>
      <c r="O13" s="45" t="str">
        <f>IF(ISERROR(
PEq!$G$20*PG!G14),"",PEq!$G$20*PG!G14)</f>
        <v/>
      </c>
      <c r="P13" s="18">
        <f>IF(ISERROR(
PG!E14*G13),"",PG!E14*G13)</f>
        <v>0</v>
      </c>
      <c r="Q13" s="18">
        <f>IF(ISERROR(
PG!E14*D13),"",PG!E14*D13)</f>
        <v>0</v>
      </c>
    </row>
    <row r="14" spans="1:17" ht="30" customHeight="1" thickBot="1" x14ac:dyDescent="0.25">
      <c r="C14" s="83">
        <f>PG!C15</f>
        <v>0</v>
      </c>
      <c r="D14" s="23"/>
      <c r="E14" s="27"/>
      <c r="F14" s="27"/>
      <c r="G14" s="23"/>
      <c r="H14" s="62">
        <f>D14+PG!D15*(E14+F14)+G14</f>
        <v>0</v>
      </c>
      <c r="J14" s="18" t="str">
        <f>IF(ISERROR(
PG!F15*E14),"",PG!F15*E14)</f>
        <v/>
      </c>
      <c r="K14" s="18" t="str">
        <f>IF(ISERROR(
PG!F15*F14),"",PG!F15*F14)</f>
        <v/>
      </c>
      <c r="L14" s="18">
        <f>IF(ISERROR(
PG!D15-H14),"",PG!D15-H14)</f>
        <v>0</v>
      </c>
      <c r="M14" s="33" t="str">
        <f>IF(ISERROR(
L14/PG!D15),"",L14/PG!D15)</f>
        <v/>
      </c>
      <c r="N14" s="18" t="str">
        <f>IF(ISERROR(
(O14*PG!D15)),"",(O14*PG!D15))</f>
        <v/>
      </c>
      <c r="O14" s="45" t="str">
        <f>IF(ISERROR(
PEq!$G$20*PG!G15),"",PEq!$G$20*PG!G15)</f>
        <v/>
      </c>
      <c r="P14" s="18">
        <f>IF(ISERROR(
PG!E15*G14),"",PG!E15*G14)</f>
        <v>0</v>
      </c>
      <c r="Q14" s="18">
        <f>IF(ISERROR(
PG!E15*D14),"",PG!E15*D14)</f>
        <v>0</v>
      </c>
    </row>
    <row r="15" spans="1:17" ht="30" customHeight="1" thickBot="1" x14ac:dyDescent="0.25">
      <c r="C15" s="83">
        <f>PG!C16</f>
        <v>0</v>
      </c>
      <c r="D15" s="23"/>
      <c r="E15" s="27"/>
      <c r="F15" s="27"/>
      <c r="G15" s="23"/>
      <c r="H15" s="62">
        <f>D15+PG!D16*(E15+F15)+G15</f>
        <v>0</v>
      </c>
      <c r="J15" s="18" t="str">
        <f>IF(ISERROR(
PG!F16*E15),"",PG!F16*E15)</f>
        <v/>
      </c>
      <c r="K15" s="18" t="str">
        <f>IF(ISERROR(
PG!F16*F15),"",PG!F16*F15)</f>
        <v/>
      </c>
      <c r="L15" s="18">
        <f>IF(ISERROR(
PG!D16-H15),"",PG!D16-H15)</f>
        <v>0</v>
      </c>
      <c r="M15" s="33" t="str">
        <f>IF(ISERROR(
L15/PG!D16),"",L15/PG!D16)</f>
        <v/>
      </c>
      <c r="N15" s="18" t="str">
        <f>IF(ISERROR(
(O15*PG!D16)),"",(O15*PG!D16))</f>
        <v/>
      </c>
      <c r="O15" s="45" t="str">
        <f>IF(ISERROR(
PEq!$G$20*PG!G16),"",PEq!$G$20*PG!G16)</f>
        <v/>
      </c>
      <c r="P15" s="18">
        <f>IF(ISERROR(
PG!E16*G15),"",PG!E16*G15)</f>
        <v>0</v>
      </c>
      <c r="Q15" s="18">
        <f>IF(ISERROR(
PG!E16*D15),"",PG!E16*D15)</f>
        <v>0</v>
      </c>
    </row>
    <row r="16" spans="1:17" ht="30" customHeight="1" thickBot="1" x14ac:dyDescent="0.25">
      <c r="C16" s="83">
        <f>PG!C17</f>
        <v>0</v>
      </c>
      <c r="D16" s="23"/>
      <c r="E16" s="27"/>
      <c r="F16" s="27"/>
      <c r="G16" s="23"/>
      <c r="H16" s="62">
        <f>D16+PG!D17*(E16+F16)+G16</f>
        <v>0</v>
      </c>
      <c r="J16" s="18" t="str">
        <f>IF(ISERROR(
PG!F17*E16),"",PG!F17*E16)</f>
        <v/>
      </c>
      <c r="K16" s="18" t="str">
        <f>IF(ISERROR(
PG!F17*F16),"",PG!F17*F16)</f>
        <v/>
      </c>
      <c r="L16" s="18">
        <f>IF(ISERROR(
PG!D17-H16),"",PG!D17-H16)</f>
        <v>0</v>
      </c>
      <c r="M16" s="33" t="str">
        <f>IF(ISERROR(
L16/PG!D17),"",L16/PG!D17)</f>
        <v/>
      </c>
      <c r="N16" s="18" t="str">
        <f>IF(ISERROR(
(O16*PG!D17)),"",(O16*PG!D17))</f>
        <v/>
      </c>
      <c r="O16" s="45" t="str">
        <f>IF(ISERROR(
PEq!$G$20*PG!G17),"",PEq!$G$20*PG!G17)</f>
        <v/>
      </c>
      <c r="P16" s="18">
        <f>IF(ISERROR(
PG!E17*G16),"",PG!E17*G16)</f>
        <v>0</v>
      </c>
      <c r="Q16" s="18">
        <f>IF(ISERROR(
PG!E17*D16),"",PG!E17*D16)</f>
        <v>0</v>
      </c>
    </row>
    <row r="17" spans="3:17" ht="30" customHeight="1" thickBot="1" x14ac:dyDescent="0.25">
      <c r="C17" s="83">
        <f>PG!C18</f>
        <v>0</v>
      </c>
      <c r="D17" s="23"/>
      <c r="E17" s="27"/>
      <c r="F17" s="27"/>
      <c r="G17" s="23"/>
      <c r="H17" s="62">
        <f>D17+PG!D18*(E17+F17)+G17</f>
        <v>0</v>
      </c>
      <c r="J17" s="18" t="str">
        <f>IF(ISERROR(
PG!F18*E17),"",PG!F18*E17)</f>
        <v/>
      </c>
      <c r="K17" s="18" t="str">
        <f>IF(ISERROR(
PG!F18*F17),"",PG!F18*F17)</f>
        <v/>
      </c>
      <c r="L17" s="18">
        <f>IF(ISERROR(
PG!D18-H17),"",PG!D18-H17)</f>
        <v>0</v>
      </c>
      <c r="M17" s="33" t="str">
        <f>IF(ISERROR(
L17/PG!D18),"",L17/PG!D18)</f>
        <v/>
      </c>
      <c r="N17" s="18" t="str">
        <f>IF(ISERROR(
(O17*PG!D18)),"",(O17*PG!D18))</f>
        <v/>
      </c>
      <c r="O17" s="45" t="str">
        <f>IF(ISERROR(
PEq!$G$20*PG!G18),"",PEq!$G$20*PG!G18)</f>
        <v/>
      </c>
      <c r="P17" s="18">
        <f>IF(ISERROR(
PG!E18*G17),"",PG!E18*G17)</f>
        <v>0</v>
      </c>
      <c r="Q17" s="18">
        <f>IF(ISERROR(
PG!E18*D17),"",PG!E18*D17)</f>
        <v>0</v>
      </c>
    </row>
    <row r="18" spans="3:17" ht="30" customHeight="1" thickBot="1" x14ac:dyDescent="0.25">
      <c r="C18" s="83">
        <f>PG!C19</f>
        <v>0</v>
      </c>
      <c r="D18" s="23"/>
      <c r="E18" s="27"/>
      <c r="F18" s="27"/>
      <c r="G18" s="23"/>
      <c r="H18" s="62">
        <f>D18+PG!D19*(E18+F18)+G18</f>
        <v>0</v>
      </c>
      <c r="J18" s="18" t="str">
        <f>IF(ISERROR(
PG!F19*E18),"",PG!F19*E18)</f>
        <v/>
      </c>
      <c r="K18" s="18" t="str">
        <f>IF(ISERROR(
PG!F19*F18),"",PG!F19*F18)</f>
        <v/>
      </c>
      <c r="L18" s="18">
        <f>IF(ISERROR(
PG!D19-H18),"",PG!D19-H18)</f>
        <v>0</v>
      </c>
      <c r="M18" s="33" t="str">
        <f>IF(ISERROR(
L18/PG!D19),"",L18/PG!D19)</f>
        <v/>
      </c>
      <c r="N18" s="18" t="str">
        <f>IF(ISERROR(
(O18*PG!D19)),"",(O18*PG!D19))</f>
        <v/>
      </c>
      <c r="O18" s="45" t="str">
        <f>IF(ISERROR(
PEq!$G$20*PG!G19),"",PEq!$G$20*PG!G19)</f>
        <v/>
      </c>
      <c r="P18" s="18">
        <f>IF(ISERROR(
PG!E19*G18),"",PG!E19*G18)</f>
        <v>0</v>
      </c>
      <c r="Q18" s="18">
        <f>IF(ISERROR(
PG!E19*D18),"",PG!E19*D18)</f>
        <v>0</v>
      </c>
    </row>
    <row r="19" spans="3:17" ht="30" customHeight="1" thickBot="1" x14ac:dyDescent="0.25">
      <c r="C19" s="83">
        <f>PG!C20</f>
        <v>0</v>
      </c>
      <c r="D19" s="23"/>
      <c r="E19" s="27"/>
      <c r="F19" s="27"/>
      <c r="G19" s="23"/>
      <c r="H19" s="62">
        <f>D19+PG!D20*(E19+F19)+G19</f>
        <v>0</v>
      </c>
      <c r="J19" s="18" t="str">
        <f>IF(ISERROR(
PG!F20*E19),"",PG!F20*E19)</f>
        <v/>
      </c>
      <c r="K19" s="18" t="str">
        <f>IF(ISERROR(
PG!F20*F19),"",PG!F20*F19)</f>
        <v/>
      </c>
      <c r="L19" s="18">
        <f>IF(ISERROR(
PG!D20-H19),"",PG!D20-H19)</f>
        <v>0</v>
      </c>
      <c r="M19" s="33" t="str">
        <f>IF(ISERROR(
L19/PG!D20),"",L19/PG!D20)</f>
        <v/>
      </c>
      <c r="N19" s="18" t="str">
        <f>IF(ISERROR(
(O19*PG!D20)),"",(O19*PG!D20))</f>
        <v/>
      </c>
      <c r="O19" s="45" t="str">
        <f>IF(ISERROR(
PEq!$G$20*PG!G20),"",PEq!$G$20*PG!G20)</f>
        <v/>
      </c>
      <c r="P19" s="18">
        <f>IF(ISERROR(
PG!E20*G19),"",PG!E20*G19)</f>
        <v>0</v>
      </c>
      <c r="Q19" s="18">
        <f>IF(ISERROR(
PG!E20*D19),"",PG!E20*D19)</f>
        <v>0</v>
      </c>
    </row>
    <row r="20" spans="3:17" ht="30" customHeight="1" thickBot="1" x14ac:dyDescent="0.25">
      <c r="C20" s="83">
        <f>PG!C21</f>
        <v>0</v>
      </c>
      <c r="D20" s="23"/>
      <c r="E20" s="27"/>
      <c r="F20" s="27"/>
      <c r="G20" s="23"/>
      <c r="H20" s="62">
        <f>D20+PG!D21*(E20+F20)+G20</f>
        <v>0</v>
      </c>
      <c r="J20" s="18" t="str">
        <f>IF(ISERROR(
PG!F21*E20),"",PG!F21*E20)</f>
        <v/>
      </c>
      <c r="K20" s="18" t="str">
        <f>IF(ISERROR(
PG!F21*F20),"",PG!F21*F20)</f>
        <v/>
      </c>
      <c r="L20" s="18">
        <f>IF(ISERROR(
PG!D21-H20),"",PG!D21-H20)</f>
        <v>0</v>
      </c>
      <c r="M20" s="33" t="str">
        <f>IF(ISERROR(
L20/PG!D21),"",L20/PG!D21)</f>
        <v/>
      </c>
      <c r="N20" s="18" t="str">
        <f>IF(ISERROR(
(O20*PG!D21)),"",(O20*PG!D21))</f>
        <v/>
      </c>
      <c r="O20" s="45" t="str">
        <f>IF(ISERROR(
PEq!$G$20*PG!G21),"",PEq!$G$20*PG!G21)</f>
        <v/>
      </c>
      <c r="P20" s="18">
        <f>IF(ISERROR(
PG!E21*G20),"",PG!E21*G20)</f>
        <v>0</v>
      </c>
      <c r="Q20" s="18">
        <f>IF(ISERROR(
PG!E21*D20),"",PG!E21*D20)</f>
        <v>0</v>
      </c>
    </row>
    <row r="21" spans="3:17" ht="30" customHeight="1" thickBot="1" x14ac:dyDescent="0.25">
      <c r="C21" s="83">
        <f>PG!C22</f>
        <v>0</v>
      </c>
      <c r="D21" s="23"/>
      <c r="E21" s="27"/>
      <c r="F21" s="27"/>
      <c r="G21" s="23"/>
      <c r="H21" s="62">
        <f>D21+PG!D22*(E21+F21)+G21</f>
        <v>0</v>
      </c>
      <c r="J21" s="18" t="str">
        <f>IF(ISERROR(
PG!F22*E21),"",PG!F22*E21)</f>
        <v/>
      </c>
      <c r="K21" s="18" t="str">
        <f>IF(ISERROR(
PG!F22*F21),"",PG!F22*F21)</f>
        <v/>
      </c>
      <c r="L21" s="18">
        <f>IF(ISERROR(
PG!D22-H21),"",PG!D22-H21)</f>
        <v>0</v>
      </c>
      <c r="M21" s="33" t="str">
        <f>IF(ISERROR(
L21/PG!D22),"",L21/PG!D22)</f>
        <v/>
      </c>
      <c r="N21" s="18" t="str">
        <f>IF(ISERROR(
(O21*PG!D22)),"",(O21*PG!D22))</f>
        <v/>
      </c>
      <c r="O21" s="45" t="str">
        <f>IF(ISERROR(
PEq!$G$20*PG!G22),"",PEq!$G$20*PG!G22)</f>
        <v/>
      </c>
      <c r="P21" s="18">
        <f>IF(ISERROR(
PG!E22*G21),"",PG!E22*G21)</f>
        <v>0</v>
      </c>
      <c r="Q21" s="18">
        <f>IF(ISERROR(
PG!E22*D21),"",PG!E22*D21)</f>
        <v>0</v>
      </c>
    </row>
    <row r="22" spans="3:17" ht="30" customHeight="1" thickBot="1" x14ac:dyDescent="0.25">
      <c r="C22" s="83">
        <f>PG!C23</f>
        <v>0</v>
      </c>
      <c r="D22" s="23"/>
      <c r="E22" s="27"/>
      <c r="F22" s="27"/>
      <c r="G22" s="23"/>
      <c r="H22" s="62">
        <f>D22+PG!D23*(E22+F22)+G22</f>
        <v>0</v>
      </c>
      <c r="J22" s="18" t="str">
        <f>IF(ISERROR(
PG!F23*E22),"",PG!F23*E22)</f>
        <v/>
      </c>
      <c r="K22" s="18" t="str">
        <f>IF(ISERROR(
PG!F23*F22),"",PG!F23*F22)</f>
        <v/>
      </c>
      <c r="L22" s="18">
        <f>IF(ISERROR(
PG!D23-H22),"",PG!D23-H22)</f>
        <v>0</v>
      </c>
      <c r="M22" s="33" t="str">
        <f>IF(ISERROR(
L22/PG!D23),"",L22/PG!D23)</f>
        <v/>
      </c>
      <c r="N22" s="18" t="str">
        <f>IF(ISERROR(
(O22*PG!D23)),"",(O22*PG!D23))</f>
        <v/>
      </c>
      <c r="O22" s="45" t="str">
        <f>IF(ISERROR(
PEq!$G$20*PG!G23),"",PEq!$G$20*PG!G23)</f>
        <v/>
      </c>
      <c r="P22" s="18">
        <f>IF(ISERROR(
PG!E23*G22),"",PG!E23*G22)</f>
        <v>0</v>
      </c>
      <c r="Q22" s="18">
        <f>IF(ISERROR(
PG!E23*D22),"",PG!E23*D22)</f>
        <v>0</v>
      </c>
    </row>
    <row r="23" spans="3:17" ht="30" customHeight="1" thickBot="1" x14ac:dyDescent="0.25">
      <c r="C23" s="83">
        <f>PG!C24</f>
        <v>0</v>
      </c>
      <c r="D23" s="23"/>
      <c r="E23" s="27"/>
      <c r="F23" s="27"/>
      <c r="G23" s="23"/>
      <c r="H23" s="62">
        <f>D23+PG!D24*(E23+F23)+G23</f>
        <v>0</v>
      </c>
      <c r="J23" s="18" t="str">
        <f>IF(ISERROR(
PG!F24*E23),"",PG!F24*E23)</f>
        <v/>
      </c>
      <c r="K23" s="18" t="str">
        <f>IF(ISERROR(
PG!F24*F23),"",PG!F24*F23)</f>
        <v/>
      </c>
      <c r="L23" s="18">
        <f>IF(ISERROR(
PG!D24-H23),"",PG!D24-H23)</f>
        <v>0</v>
      </c>
      <c r="M23" s="33" t="str">
        <f>IF(ISERROR(
L23/PG!D24),"",L23/PG!D24)</f>
        <v/>
      </c>
      <c r="N23" s="18" t="str">
        <f>IF(ISERROR(
(O23*PG!D24)),"",(O23*PG!D24))</f>
        <v/>
      </c>
      <c r="O23" s="45" t="str">
        <f>IF(ISERROR(
PEq!$G$20*PG!G24),"",PEq!$G$20*PG!G24)</f>
        <v/>
      </c>
      <c r="P23" s="18">
        <f>IF(ISERROR(
PG!E24*G23),"",PG!E24*G23)</f>
        <v>0</v>
      </c>
      <c r="Q23" s="18">
        <f>IF(ISERROR(
PG!E24*D23),"",PG!E24*D23)</f>
        <v>0</v>
      </c>
    </row>
    <row r="24" spans="3:17" ht="30" customHeight="1" thickBot="1" x14ac:dyDescent="0.25">
      <c r="C24" s="83">
        <f>PG!C25</f>
        <v>0</v>
      </c>
      <c r="D24" s="23"/>
      <c r="E24" s="27"/>
      <c r="F24" s="27"/>
      <c r="G24" s="23"/>
      <c r="H24" s="62">
        <f>D24+PG!D25*(E24+F24)+G24</f>
        <v>0</v>
      </c>
      <c r="J24" s="18" t="str">
        <f>IF(ISERROR(
PG!F25*E24),"",PG!F25*E24)</f>
        <v/>
      </c>
      <c r="K24" s="18" t="str">
        <f>IF(ISERROR(
PG!F25*F24),"",PG!F25*F24)</f>
        <v/>
      </c>
      <c r="L24" s="18">
        <f>IF(ISERROR(
PG!D25-H24),"",PG!D25-H24)</f>
        <v>0</v>
      </c>
      <c r="M24" s="33" t="str">
        <f>IF(ISERROR(
L24/PG!D25),"",L24/PG!D25)</f>
        <v/>
      </c>
      <c r="N24" s="18" t="str">
        <f>IF(ISERROR(
(O24*PG!D25)),"",(O24*PG!D25))</f>
        <v/>
      </c>
      <c r="O24" s="45" t="str">
        <f>IF(ISERROR(
PEq!$G$20*PG!G25),"",PEq!$G$20*PG!G25)</f>
        <v/>
      </c>
      <c r="P24" s="18">
        <f>IF(ISERROR(
PG!E25*G24),"",PG!E25*G24)</f>
        <v>0</v>
      </c>
      <c r="Q24" s="18">
        <f>IF(ISERROR(
PG!E25*D24),"",PG!E25*D24)</f>
        <v>0</v>
      </c>
    </row>
    <row r="25" spans="3:17" ht="30" customHeight="1" thickBot="1" x14ac:dyDescent="0.25">
      <c r="C25" s="83">
        <f>PG!C26</f>
        <v>0</v>
      </c>
      <c r="D25" s="23"/>
      <c r="E25" s="27"/>
      <c r="F25" s="27"/>
      <c r="G25" s="23"/>
      <c r="H25" s="62">
        <f>D25+PG!D26*(E25+F25)+G25</f>
        <v>0</v>
      </c>
      <c r="J25" s="18" t="str">
        <f>IF(ISERROR(
PG!F26*E25),"",PG!F26*E25)</f>
        <v/>
      </c>
      <c r="K25" s="18" t="str">
        <f>IF(ISERROR(
PG!F26*F25),"",PG!F26*F25)</f>
        <v/>
      </c>
      <c r="L25" s="18">
        <f>IF(ISERROR(
PG!D26-H25),"",PG!D26-H25)</f>
        <v>0</v>
      </c>
      <c r="M25" s="33" t="str">
        <f>IF(ISERROR(
L25/PG!D26),"",L25/PG!D26)</f>
        <v/>
      </c>
      <c r="N25" s="18" t="str">
        <f>IF(ISERROR(
(O25*PG!D26)),"",(O25*PG!D26))</f>
        <v/>
      </c>
      <c r="O25" s="45" t="str">
        <f>IF(ISERROR(
PEq!$G$20*PG!G26),"",PEq!$G$20*PG!G26)</f>
        <v/>
      </c>
      <c r="P25" s="18">
        <f>IF(ISERROR(
PG!E26*G25),"",PG!E26*G25)</f>
        <v>0</v>
      </c>
      <c r="Q25" s="18">
        <f>IF(ISERROR(
PG!E26*D25),"",PG!E26*D25)</f>
        <v>0</v>
      </c>
    </row>
    <row r="26" spans="3:17" ht="30" customHeight="1" thickBot="1" x14ac:dyDescent="0.25">
      <c r="C26" s="83">
        <f>PG!C27</f>
        <v>0</v>
      </c>
      <c r="D26" s="23"/>
      <c r="E26" s="27"/>
      <c r="F26" s="27"/>
      <c r="G26" s="23"/>
      <c r="H26" s="62">
        <f>D26+PG!D27*(E26+F26)+G26</f>
        <v>0</v>
      </c>
      <c r="J26" s="18" t="str">
        <f>IF(ISERROR(
PG!F27*E26),"",PG!F27*E26)</f>
        <v/>
      </c>
      <c r="K26" s="18" t="str">
        <f>IF(ISERROR(
PG!F27*F26),"",PG!F27*F26)</f>
        <v/>
      </c>
      <c r="L26" s="18">
        <f>IF(ISERROR(
PG!D27-H26),"",PG!D27-H26)</f>
        <v>0</v>
      </c>
      <c r="M26" s="33" t="str">
        <f>IF(ISERROR(
L26/PG!D27),"",L26/PG!D27)</f>
        <v/>
      </c>
      <c r="N26" s="18" t="str">
        <f>IF(ISERROR(
(O26*PG!D27)),"",(O26*PG!D27))</f>
        <v/>
      </c>
      <c r="O26" s="45" t="str">
        <f>IF(ISERROR(
PEq!$G$20*PG!G27),"",PEq!$G$20*PG!G27)</f>
        <v/>
      </c>
      <c r="P26" s="18">
        <f>IF(ISERROR(
PG!E27*G26),"",PG!E27*G26)</f>
        <v>0</v>
      </c>
      <c r="Q26" s="18">
        <f>IF(ISERROR(
PG!E27*D26),"",PG!E27*D26)</f>
        <v>0</v>
      </c>
    </row>
    <row r="27" spans="3:17" ht="30" customHeight="1" thickBot="1" x14ac:dyDescent="0.25">
      <c r="C27" s="83">
        <f>PG!C28</f>
        <v>0</v>
      </c>
      <c r="D27" s="23"/>
      <c r="E27" s="27"/>
      <c r="F27" s="27"/>
      <c r="G27" s="23"/>
      <c r="H27" s="62">
        <f>D27+PG!D28*(E27+F27)+G27</f>
        <v>0</v>
      </c>
      <c r="J27" s="18" t="str">
        <f>IF(ISERROR(
PG!F28*E27),"",PG!F28*E27)</f>
        <v/>
      </c>
      <c r="K27" s="18" t="str">
        <f>IF(ISERROR(
PG!F28*F27),"",PG!F28*F27)</f>
        <v/>
      </c>
      <c r="L27" s="18">
        <f>IF(ISERROR(
PG!D28-H27),"",PG!D28-H27)</f>
        <v>0</v>
      </c>
      <c r="M27" s="33" t="str">
        <f>IF(ISERROR(
L27/PG!D28),"",L27/PG!D28)</f>
        <v/>
      </c>
      <c r="N27" s="18" t="str">
        <f>IF(ISERROR(
(O27*PG!D28)),"",(O27*PG!D28))</f>
        <v/>
      </c>
      <c r="O27" s="45" t="str">
        <f>IF(ISERROR(
PEq!$G$20*PG!G28),"",PEq!$G$20*PG!G28)</f>
        <v/>
      </c>
      <c r="P27" s="18">
        <f>IF(ISERROR(
PG!E28*G27),"",PG!E28*G27)</f>
        <v>0</v>
      </c>
      <c r="Q27" s="18">
        <f>IF(ISERROR(
PG!E28*D27),"",PG!E28*D27)</f>
        <v>0</v>
      </c>
    </row>
    <row r="28" spans="3:17" ht="30" customHeight="1" thickBot="1" x14ac:dyDescent="0.25">
      <c r="C28" s="83">
        <f>PG!C29</f>
        <v>0</v>
      </c>
      <c r="D28" s="23"/>
      <c r="E28" s="27"/>
      <c r="F28" s="27"/>
      <c r="G28" s="23"/>
      <c r="H28" s="62">
        <f>D28+PG!D29*(E28+F28)+G28</f>
        <v>0</v>
      </c>
      <c r="J28" s="18" t="str">
        <f>IF(ISERROR(
PG!F29*E28),"",PG!F29*E28)</f>
        <v/>
      </c>
      <c r="K28" s="18" t="str">
        <f>IF(ISERROR(
PG!F29*F28),"",PG!F29*F28)</f>
        <v/>
      </c>
      <c r="L28" s="18">
        <f>IF(ISERROR(
PG!D29-H28),"",PG!D29-H28)</f>
        <v>0</v>
      </c>
      <c r="M28" s="33" t="str">
        <f>IF(ISERROR(
L28/PG!D29),"",L28/PG!D29)</f>
        <v/>
      </c>
      <c r="N28" s="18" t="str">
        <f>IF(ISERROR(
(O28*PG!D29)),"",(O28*PG!D29))</f>
        <v/>
      </c>
      <c r="O28" s="45" t="str">
        <f>IF(ISERROR(
PEq!$G$20*PG!G29),"",PEq!$G$20*PG!G29)</f>
        <v/>
      </c>
      <c r="P28" s="18">
        <f>IF(ISERROR(
PG!E29*G28),"",PG!E29*G28)</f>
        <v>0</v>
      </c>
      <c r="Q28" s="18">
        <f>IF(ISERROR(
PG!E29*D28),"",PG!E29*D28)</f>
        <v>0</v>
      </c>
    </row>
    <row r="29" spans="3:17" ht="30" customHeight="1" thickBot="1" x14ac:dyDescent="0.25">
      <c r="C29" s="83">
        <f>PG!C30</f>
        <v>0</v>
      </c>
      <c r="D29" s="23"/>
      <c r="E29" s="27"/>
      <c r="F29" s="27"/>
      <c r="G29" s="23"/>
      <c r="H29" s="62">
        <f>D29+PG!D30*(E29+F29)+G29</f>
        <v>0</v>
      </c>
      <c r="J29" s="18" t="str">
        <f>IF(ISERROR(
PG!F30*E29),"",PG!F30*E29)</f>
        <v/>
      </c>
      <c r="K29" s="18" t="str">
        <f>IF(ISERROR(
PG!F30*F29),"",PG!F30*F29)</f>
        <v/>
      </c>
      <c r="L29" s="18">
        <f>IF(ISERROR(
PG!D30-H29),"",PG!D30-H29)</f>
        <v>0</v>
      </c>
      <c r="M29" s="33" t="str">
        <f>IF(ISERROR(
L29/PG!D30),"",L29/PG!D30)</f>
        <v/>
      </c>
      <c r="N29" s="18" t="str">
        <f>IF(ISERROR(
(O29*PG!D30)),"",(O29*PG!D30))</f>
        <v/>
      </c>
      <c r="O29" s="45" t="str">
        <f>IF(ISERROR(
PEq!$G$20*PG!G30),"",PEq!$G$20*PG!G30)</f>
        <v/>
      </c>
      <c r="P29" s="18">
        <f>IF(ISERROR(
PG!E30*G29),"",PG!E30*G29)</f>
        <v>0</v>
      </c>
      <c r="Q29" s="18">
        <f>IF(ISERROR(
PG!E30*D29),"",PG!E30*D29)</f>
        <v>0</v>
      </c>
    </row>
    <row r="30" spans="3:17" ht="30" customHeight="1" thickBot="1" x14ac:dyDescent="0.25">
      <c r="C30" s="83">
        <f>PG!C31</f>
        <v>0</v>
      </c>
      <c r="D30" s="23"/>
      <c r="E30" s="27"/>
      <c r="F30" s="27"/>
      <c r="G30" s="23"/>
      <c r="H30" s="62">
        <f>D30+PG!D31*(E30+F30)+G30</f>
        <v>0</v>
      </c>
      <c r="J30" s="18" t="str">
        <f>IF(ISERROR(
PG!F31*E30),"",PG!F31*E30)</f>
        <v/>
      </c>
      <c r="K30" s="18" t="str">
        <f>IF(ISERROR(
PG!F31*F30),"",PG!F31*F30)</f>
        <v/>
      </c>
      <c r="L30" s="18">
        <f>IF(ISERROR(
PG!D31-H30),"",PG!D31-H30)</f>
        <v>0</v>
      </c>
      <c r="M30" s="33" t="str">
        <f>IF(ISERROR(
L30/PG!D31),"",L30/PG!D31)</f>
        <v/>
      </c>
      <c r="N30" s="18" t="str">
        <f>IF(ISERROR(
(O30*PG!D31)),"",(O30*PG!D31))</f>
        <v/>
      </c>
      <c r="O30" s="45" t="str">
        <f>IF(ISERROR(
PEq!$G$20*PG!G31),"",PEq!$G$20*PG!G31)</f>
        <v/>
      </c>
      <c r="P30" s="18">
        <f>IF(ISERROR(
PG!E31*G30),"",PG!E31*G30)</f>
        <v>0</v>
      </c>
      <c r="Q30" s="18">
        <f>IF(ISERROR(
PG!E31*D30),"",PG!E31*D30)</f>
        <v>0</v>
      </c>
    </row>
    <row r="31" spans="3:17" ht="30" customHeight="1" thickBot="1" x14ac:dyDescent="0.25">
      <c r="C31" s="83">
        <f>PG!C32</f>
        <v>0</v>
      </c>
      <c r="D31" s="23"/>
      <c r="E31" s="27"/>
      <c r="F31" s="27"/>
      <c r="G31" s="23"/>
      <c r="H31" s="62">
        <f>D31+PG!D32*(E31+F31)+G31</f>
        <v>0</v>
      </c>
      <c r="J31" s="18" t="str">
        <f>IF(ISERROR(
PG!F32*E31),"",PG!F32*E31)</f>
        <v/>
      </c>
      <c r="K31" s="18" t="str">
        <f>IF(ISERROR(
PG!F32*F31),"",PG!F32*F31)</f>
        <v/>
      </c>
      <c r="L31" s="18">
        <f>IF(ISERROR(
PG!D32-H31),"",PG!D32-H31)</f>
        <v>0</v>
      </c>
      <c r="M31" s="33" t="str">
        <f>IF(ISERROR(
L31/PG!D32),"",L31/PG!D32)</f>
        <v/>
      </c>
      <c r="N31" s="18" t="str">
        <f>IF(ISERROR(
(O31*PG!D32)),"",(O31*PG!D32))</f>
        <v/>
      </c>
      <c r="O31" s="45" t="str">
        <f>IF(ISERROR(
PEq!$G$20*PG!G32),"",PEq!$G$20*PG!G32)</f>
        <v/>
      </c>
      <c r="P31" s="18">
        <f>IF(ISERROR(
PG!E32*G31),"",PG!E32*G31)</f>
        <v>0</v>
      </c>
      <c r="Q31" s="18">
        <f>IF(ISERROR(
PG!E32*D31),"",PG!E32*D31)</f>
        <v>0</v>
      </c>
    </row>
    <row r="32" spans="3:17" ht="30" customHeight="1" thickBot="1" x14ac:dyDescent="0.25">
      <c r="C32" s="83">
        <f>PG!C33</f>
        <v>0</v>
      </c>
      <c r="D32" s="23"/>
      <c r="E32" s="27"/>
      <c r="F32" s="27"/>
      <c r="G32" s="23"/>
      <c r="H32" s="62">
        <f>D32+PG!D33*(E32+F32)+G32</f>
        <v>0</v>
      </c>
      <c r="J32" s="18" t="str">
        <f>IF(ISERROR(
PG!F33*E32),"",PG!F33*E32)</f>
        <v/>
      </c>
      <c r="K32" s="18" t="str">
        <f>IF(ISERROR(
PG!F33*F32),"",PG!F33*F32)</f>
        <v/>
      </c>
      <c r="L32" s="18">
        <f>IF(ISERROR(
PG!D33-H32),"",PG!D33-H32)</f>
        <v>0</v>
      </c>
      <c r="M32" s="33" t="str">
        <f>IF(ISERROR(
L32/PG!D33),"",L32/PG!D33)</f>
        <v/>
      </c>
      <c r="N32" s="18" t="str">
        <f>IF(ISERROR(
(O32*PG!D33)),"",(O32*PG!D33))</f>
        <v/>
      </c>
      <c r="O32" s="45" t="str">
        <f>IF(ISERROR(
PEq!$G$20*PG!G33),"",PEq!$G$20*PG!G33)</f>
        <v/>
      </c>
      <c r="P32" s="18">
        <f>IF(ISERROR(
PG!E33*G32),"",PG!E33*G32)</f>
        <v>0</v>
      </c>
      <c r="Q32" s="18">
        <f>IF(ISERROR(
PG!E33*D32),"",PG!E33*D32)</f>
        <v>0</v>
      </c>
    </row>
    <row r="33" spans="3:17" ht="30" customHeight="1" thickBot="1" x14ac:dyDescent="0.25">
      <c r="C33" s="83">
        <f>PG!C34</f>
        <v>0</v>
      </c>
      <c r="D33" s="23"/>
      <c r="E33" s="27"/>
      <c r="F33" s="27"/>
      <c r="G33" s="23"/>
      <c r="H33" s="62">
        <f>D33+PG!D34*(E33+F33)+G33</f>
        <v>0</v>
      </c>
      <c r="J33" s="18" t="str">
        <f>IF(ISERROR(
PG!F34*E33),"",PG!F34*E33)</f>
        <v/>
      </c>
      <c r="K33" s="18" t="str">
        <f>IF(ISERROR(
PG!F34*F33),"",PG!F34*F33)</f>
        <v/>
      </c>
      <c r="L33" s="18">
        <f>IF(ISERROR(
PG!D34-H33),"",PG!D34-H33)</f>
        <v>0</v>
      </c>
      <c r="M33" s="33" t="str">
        <f>IF(ISERROR(
L33/PG!D34),"",L33/PG!D34)</f>
        <v/>
      </c>
      <c r="N33" s="18" t="str">
        <f>IF(ISERROR(
(O33*PG!D34)),"",(O33*PG!D34))</f>
        <v/>
      </c>
      <c r="O33" s="45" t="str">
        <f>IF(ISERROR(
PEq!$G$20*PG!G34),"",PEq!$G$20*PG!G34)</f>
        <v/>
      </c>
      <c r="P33" s="18">
        <f>IF(ISERROR(
PG!E34*G33),"",PG!E34*G33)</f>
        <v>0</v>
      </c>
      <c r="Q33" s="18">
        <f>IF(ISERROR(
PG!E34*D33),"",PG!E34*D33)</f>
        <v>0</v>
      </c>
    </row>
    <row r="34" spans="3:17" ht="30" customHeight="1" thickBot="1" x14ac:dyDescent="0.25">
      <c r="C34" s="83">
        <f>PG!C35</f>
        <v>0</v>
      </c>
      <c r="D34" s="23"/>
      <c r="E34" s="27"/>
      <c r="F34" s="27"/>
      <c r="G34" s="23"/>
      <c r="H34" s="62">
        <f>D34+PG!D35*(E34+F34)+G34</f>
        <v>0</v>
      </c>
      <c r="J34" s="18" t="str">
        <f>IF(ISERROR(
PG!F35*E34),"",PG!F35*E34)</f>
        <v/>
      </c>
      <c r="K34" s="18" t="str">
        <f>IF(ISERROR(
PG!F35*F34),"",PG!F35*F34)</f>
        <v/>
      </c>
      <c r="L34" s="18">
        <f>IF(ISERROR(
PG!D35-H34),"",PG!D35-H34)</f>
        <v>0</v>
      </c>
      <c r="M34" s="33" t="str">
        <f>IF(ISERROR(
L34/PG!D35),"",L34/PG!D35)</f>
        <v/>
      </c>
      <c r="N34" s="18" t="str">
        <f>IF(ISERROR(
(O34*PG!D35)),"",(O34*PG!D35))</f>
        <v/>
      </c>
      <c r="O34" s="45" t="str">
        <f>IF(ISERROR(
PEq!$G$20*PG!G35),"",PEq!$G$20*PG!G35)</f>
        <v/>
      </c>
      <c r="P34" s="18">
        <f>IF(ISERROR(
PG!E35*G34),"",PG!E35*G34)</f>
        <v>0</v>
      </c>
      <c r="Q34" s="18">
        <f>IF(ISERROR(
PG!E35*D34),"",PG!E35*D34)</f>
        <v>0</v>
      </c>
    </row>
    <row r="35" spans="3:17" ht="30" customHeight="1" thickBot="1" x14ac:dyDescent="0.25">
      <c r="C35" s="83">
        <f>PG!C36</f>
        <v>0</v>
      </c>
      <c r="D35" s="23"/>
      <c r="E35" s="27"/>
      <c r="F35" s="27"/>
      <c r="G35" s="23"/>
      <c r="H35" s="62">
        <f>D35+PG!D36*(E35+F35)+G35</f>
        <v>0</v>
      </c>
      <c r="J35" s="18" t="str">
        <f>IF(ISERROR(
PG!F36*E35),"",PG!F36*E35)</f>
        <v/>
      </c>
      <c r="K35" s="18" t="str">
        <f>IF(ISERROR(
PG!F36*F35),"",PG!F36*F35)</f>
        <v/>
      </c>
      <c r="L35" s="18">
        <f>IF(ISERROR(
PG!D36-H35),"",PG!D36-H35)</f>
        <v>0</v>
      </c>
      <c r="M35" s="33" t="str">
        <f>IF(ISERROR(
L35/PG!D36),"",L35/PG!D36)</f>
        <v/>
      </c>
      <c r="N35" s="18" t="str">
        <f>IF(ISERROR(
(O35*PG!D36)),"",(O35*PG!D36))</f>
        <v/>
      </c>
      <c r="O35" s="45" t="str">
        <f>IF(ISERROR(
PEq!$G$20*PG!G36),"",PEq!$G$20*PG!G36)</f>
        <v/>
      </c>
      <c r="P35" s="18">
        <f>IF(ISERROR(
PG!E36*G35),"",PG!E36*G35)</f>
        <v>0</v>
      </c>
      <c r="Q35" s="18">
        <f>IF(ISERROR(
PG!E36*D35),"",PG!E36*D35)</f>
        <v>0</v>
      </c>
    </row>
    <row r="36" spans="3:17" ht="30" customHeight="1" thickBot="1" x14ac:dyDescent="0.25">
      <c r="C36" s="83">
        <f>PG!C37</f>
        <v>0</v>
      </c>
      <c r="D36" s="23"/>
      <c r="E36" s="27"/>
      <c r="F36" s="27"/>
      <c r="G36" s="23"/>
      <c r="H36" s="62">
        <f>D36+PG!D37*(E36+F36)+G36</f>
        <v>0</v>
      </c>
      <c r="J36" s="18" t="str">
        <f>IF(ISERROR(
PG!F37*E36),"",PG!F37*E36)</f>
        <v/>
      </c>
      <c r="K36" s="18" t="str">
        <f>IF(ISERROR(
PG!F37*F36),"",PG!F37*F36)</f>
        <v/>
      </c>
      <c r="L36" s="18">
        <f>IF(ISERROR(
PG!D37-H36),"",PG!D37-H36)</f>
        <v>0</v>
      </c>
      <c r="M36" s="33" t="str">
        <f>IF(ISERROR(
L36/PG!D37),"",L36/PG!D37)</f>
        <v/>
      </c>
      <c r="N36" s="18" t="str">
        <f>IF(ISERROR(
(O36*PG!D37)),"",(O36*PG!D37))</f>
        <v/>
      </c>
      <c r="O36" s="45" t="str">
        <f>IF(ISERROR(
PEq!$G$20*PG!G37),"",PEq!$G$20*PG!G37)</f>
        <v/>
      </c>
      <c r="P36" s="18">
        <f>IF(ISERROR(
PG!E37*G36),"",PG!E37*G36)</f>
        <v>0</v>
      </c>
      <c r="Q36" s="18">
        <f>IF(ISERROR(
PG!E37*D36),"",PG!E37*D36)</f>
        <v>0</v>
      </c>
    </row>
    <row r="37" spans="3:17" ht="30" customHeight="1" thickBot="1" x14ac:dyDescent="0.25">
      <c r="C37" s="83">
        <f>PG!C38</f>
        <v>0</v>
      </c>
      <c r="D37" s="23"/>
      <c r="E37" s="27"/>
      <c r="F37" s="27"/>
      <c r="G37" s="23"/>
      <c r="H37" s="62">
        <f>D37+PG!D38*(E37+F37)+G37</f>
        <v>0</v>
      </c>
      <c r="J37" s="18" t="str">
        <f>IF(ISERROR(
PG!F38*E37),"",PG!F38*E37)</f>
        <v/>
      </c>
      <c r="K37" s="18" t="str">
        <f>IF(ISERROR(
PG!F38*F37),"",PG!F38*F37)</f>
        <v/>
      </c>
      <c r="L37" s="18">
        <f>IF(ISERROR(
PG!D38-H37),"",PG!D38-H37)</f>
        <v>0</v>
      </c>
      <c r="M37" s="33" t="str">
        <f>IF(ISERROR(
L37/PG!D38),"",L37/PG!D38)</f>
        <v/>
      </c>
      <c r="N37" s="18" t="str">
        <f>IF(ISERROR(
(O37*PG!D38)),"",(O37*PG!D38))</f>
        <v/>
      </c>
      <c r="O37" s="45" t="str">
        <f>IF(ISERROR(
PEq!$G$20*PG!G38),"",PEq!$G$20*PG!G38)</f>
        <v/>
      </c>
      <c r="P37" s="18">
        <f>IF(ISERROR(
PG!E38*G37),"",PG!E38*G37)</f>
        <v>0</v>
      </c>
      <c r="Q37" s="18">
        <f>IF(ISERROR(
PG!E38*D37),"",PG!E38*D37)</f>
        <v>0</v>
      </c>
    </row>
    <row r="38" spans="3:17" ht="30" customHeight="1" thickBot="1" x14ac:dyDescent="0.25">
      <c r="C38" s="83">
        <f>PG!C39</f>
        <v>0</v>
      </c>
      <c r="D38" s="23"/>
      <c r="E38" s="27"/>
      <c r="F38" s="27"/>
      <c r="G38" s="23"/>
      <c r="H38" s="62">
        <f>D38+PG!D39*(E38+F38)+G38</f>
        <v>0</v>
      </c>
      <c r="J38" s="18" t="str">
        <f>IF(ISERROR(
PG!F39*E38),"",PG!F39*E38)</f>
        <v/>
      </c>
      <c r="K38" s="18" t="str">
        <f>IF(ISERROR(
PG!F39*F38),"",PG!F39*F38)</f>
        <v/>
      </c>
      <c r="L38" s="18">
        <f>IF(ISERROR(
PG!D39-H38),"",PG!D39-H38)</f>
        <v>0</v>
      </c>
      <c r="M38" s="33" t="str">
        <f>IF(ISERROR(
L38/PG!D39),"",L38/PG!D39)</f>
        <v/>
      </c>
      <c r="N38" s="18" t="str">
        <f>IF(ISERROR(
(O38*PG!D39)),"",(O38*PG!D39))</f>
        <v/>
      </c>
      <c r="O38" s="45" t="str">
        <f>IF(ISERROR(
PEq!$G$20*PG!G39),"",PEq!$G$20*PG!G39)</f>
        <v/>
      </c>
      <c r="P38" s="18">
        <f>IF(ISERROR(
PG!E39*G38),"",PG!E39*G38)</f>
        <v>0</v>
      </c>
      <c r="Q38" s="18">
        <f>IF(ISERROR(
PG!E39*D38),"",PG!E39*D38)</f>
        <v>0</v>
      </c>
    </row>
    <row r="39" spans="3:17" ht="30" customHeight="1" thickBot="1" x14ac:dyDescent="0.25">
      <c r="C39" s="83">
        <f>PG!C40</f>
        <v>0</v>
      </c>
      <c r="D39" s="23"/>
      <c r="E39" s="27"/>
      <c r="F39" s="27"/>
      <c r="G39" s="23"/>
      <c r="H39" s="62">
        <f>D39+PG!D40*(E39+F39)+G39</f>
        <v>0</v>
      </c>
      <c r="J39" s="18" t="str">
        <f>IF(ISERROR(
PG!F40*E39),"",PG!F40*E39)</f>
        <v/>
      </c>
      <c r="K39" s="18" t="str">
        <f>IF(ISERROR(
PG!F40*F39),"",PG!F40*F39)</f>
        <v/>
      </c>
      <c r="L39" s="18">
        <f>IF(ISERROR(
PG!D40-H39),"",PG!D40-H39)</f>
        <v>0</v>
      </c>
      <c r="M39" s="33" t="str">
        <f>IF(ISERROR(
L39/PG!D40),"",L39/PG!D40)</f>
        <v/>
      </c>
      <c r="N39" s="18" t="str">
        <f>IF(ISERROR(
(O39*PG!D40)),"",(O39*PG!D40))</f>
        <v/>
      </c>
      <c r="O39" s="45" t="str">
        <f>IF(ISERROR(
PEq!$G$20*PG!G40),"",PEq!$G$20*PG!G40)</f>
        <v/>
      </c>
      <c r="P39" s="18">
        <f>IF(ISERROR(
PG!E40*G39),"",PG!E40*G39)</f>
        <v>0</v>
      </c>
      <c r="Q39" s="18">
        <f>IF(ISERROR(
PG!E40*D39),"",PG!E40*D39)</f>
        <v>0</v>
      </c>
    </row>
    <row r="40" spans="3:17" ht="30" customHeight="1" thickBot="1" x14ac:dyDescent="0.25">
      <c r="C40" s="83">
        <f>PG!C41</f>
        <v>0</v>
      </c>
      <c r="D40" s="23"/>
      <c r="E40" s="27"/>
      <c r="F40" s="27"/>
      <c r="G40" s="23"/>
      <c r="H40" s="62">
        <f>D40+PG!D41*(E40+F40)+G40</f>
        <v>0</v>
      </c>
      <c r="J40" s="18" t="str">
        <f>IF(ISERROR(
PG!F41*E40),"",PG!F41*E40)</f>
        <v/>
      </c>
      <c r="K40" s="18" t="str">
        <f>IF(ISERROR(
PG!F41*F40),"",PG!F41*F40)</f>
        <v/>
      </c>
      <c r="L40" s="18">
        <f>IF(ISERROR(
PG!D41-H40),"",PG!D41-H40)</f>
        <v>0</v>
      </c>
      <c r="M40" s="33" t="str">
        <f>IF(ISERROR(
L40/PG!D41),"",L40/PG!D41)</f>
        <v/>
      </c>
      <c r="N40" s="18" t="str">
        <f>IF(ISERROR(
(O40*PG!D41)),"",(O40*PG!D41))</f>
        <v/>
      </c>
      <c r="O40" s="45" t="str">
        <f>IF(ISERROR(
PEq!$G$20*PG!G41),"",PEq!$G$20*PG!G41)</f>
        <v/>
      </c>
      <c r="P40" s="18">
        <f>IF(ISERROR(
PG!E41*G40),"",PG!E41*G40)</f>
        <v>0</v>
      </c>
      <c r="Q40" s="18">
        <f>IF(ISERROR(
PG!E41*D40),"",PG!E41*D40)</f>
        <v>0</v>
      </c>
    </row>
    <row r="41" spans="3:17" ht="30" customHeight="1" thickBot="1" x14ac:dyDescent="0.25">
      <c r="C41" s="83">
        <f>PG!C42</f>
        <v>0</v>
      </c>
      <c r="D41" s="23"/>
      <c r="E41" s="27"/>
      <c r="F41" s="27"/>
      <c r="G41" s="23"/>
      <c r="H41" s="62">
        <f>D41+PG!D42*(E41+F41)+G41</f>
        <v>0</v>
      </c>
      <c r="J41" s="18" t="str">
        <f>IF(ISERROR(
PG!F42*E41),"",PG!F42*E41)</f>
        <v/>
      </c>
      <c r="K41" s="18" t="str">
        <f>IF(ISERROR(
PG!F42*F41),"",PG!F42*F41)</f>
        <v/>
      </c>
      <c r="L41" s="18">
        <f>IF(ISERROR(
PG!D42-H41),"",PG!D42-H41)</f>
        <v>0</v>
      </c>
      <c r="M41" s="33" t="str">
        <f>IF(ISERROR(
L41/PG!D42),"",L41/PG!D42)</f>
        <v/>
      </c>
      <c r="N41" s="18" t="str">
        <f>IF(ISERROR(
(O41*PG!D42)),"",(O41*PG!D42))</f>
        <v/>
      </c>
      <c r="O41" s="45" t="str">
        <f>IF(ISERROR(
PEq!$G$20*PG!G42),"",PEq!$G$20*PG!G42)</f>
        <v/>
      </c>
      <c r="P41" s="18">
        <f>IF(ISERROR(
PG!E42*G41),"",PG!E42*G41)</f>
        <v>0</v>
      </c>
      <c r="Q41" s="18">
        <f>IF(ISERROR(
PG!E42*D41),"",PG!E42*D41)</f>
        <v>0</v>
      </c>
    </row>
    <row r="42" spans="3:17" ht="30" customHeight="1" thickBot="1" x14ac:dyDescent="0.25">
      <c r="C42" s="83">
        <f>PG!C43</f>
        <v>0</v>
      </c>
      <c r="D42" s="23"/>
      <c r="E42" s="27"/>
      <c r="F42" s="27"/>
      <c r="G42" s="23"/>
      <c r="H42" s="62">
        <f>D42+PG!D43*(E42+F42)+G42</f>
        <v>0</v>
      </c>
      <c r="J42" s="18" t="str">
        <f>IF(ISERROR(
PG!F43*E42),"",PG!F43*E42)</f>
        <v/>
      </c>
      <c r="K42" s="18" t="str">
        <f>IF(ISERROR(
PG!F43*F42),"",PG!F43*F42)</f>
        <v/>
      </c>
      <c r="L42" s="18">
        <f>IF(ISERROR(
PG!D43-H42),"",PG!D43-H42)</f>
        <v>0</v>
      </c>
      <c r="M42" s="33" t="str">
        <f>IF(ISERROR(
L42/PG!D43),"",L42/PG!D43)</f>
        <v/>
      </c>
      <c r="N42" s="18" t="str">
        <f>IF(ISERROR(
(O42*PG!D43)),"",(O42*PG!D43))</f>
        <v/>
      </c>
      <c r="O42" s="45" t="str">
        <f>IF(ISERROR(
PEq!$G$20*PG!G43),"",PEq!$G$20*PG!G43)</f>
        <v/>
      </c>
      <c r="P42" s="18">
        <f>IF(ISERROR(
PG!E43*G42),"",PG!E43*G42)</f>
        <v>0</v>
      </c>
      <c r="Q42" s="18">
        <f>IF(ISERROR(
PG!E43*D42),"",PG!E43*D42)</f>
        <v>0</v>
      </c>
    </row>
    <row r="43" spans="3:17" ht="30" customHeight="1" thickBot="1" x14ac:dyDescent="0.25">
      <c r="C43" s="83">
        <f>PG!C44</f>
        <v>0</v>
      </c>
      <c r="D43" s="23"/>
      <c r="E43" s="27"/>
      <c r="F43" s="27"/>
      <c r="G43" s="23"/>
      <c r="H43" s="62">
        <f>D43+PG!D44*(E43+F43)+G43</f>
        <v>0</v>
      </c>
      <c r="J43" s="18" t="str">
        <f>IF(ISERROR(
PG!F44*E43),"",PG!F44*E43)</f>
        <v/>
      </c>
      <c r="K43" s="18" t="str">
        <f>IF(ISERROR(
PG!F44*F43),"",PG!F44*F43)</f>
        <v/>
      </c>
      <c r="L43" s="18">
        <f>IF(ISERROR(
PG!D44-H43),"",PG!D44-H43)</f>
        <v>0</v>
      </c>
      <c r="M43" s="33" t="str">
        <f>IF(ISERROR(
L43/PG!D44),"",L43/PG!D44)</f>
        <v/>
      </c>
      <c r="N43" s="18" t="str">
        <f>IF(ISERROR(
(O43*PG!D44)),"",(O43*PG!D44))</f>
        <v/>
      </c>
      <c r="O43" s="45" t="str">
        <f>IF(ISERROR(
PEq!$G$20*PG!G44),"",PEq!$G$20*PG!G44)</f>
        <v/>
      </c>
      <c r="P43" s="18">
        <f>IF(ISERROR(
PG!E44*G43),"",PG!E44*G43)</f>
        <v>0</v>
      </c>
      <c r="Q43" s="18">
        <f>IF(ISERROR(
PG!E44*D43),"",PG!E44*D43)</f>
        <v>0</v>
      </c>
    </row>
    <row r="44" spans="3:17" ht="30" customHeight="1" thickBot="1" x14ac:dyDescent="0.25">
      <c r="C44" s="83">
        <f>PG!C45</f>
        <v>0</v>
      </c>
      <c r="D44" s="23"/>
      <c r="E44" s="27"/>
      <c r="F44" s="27"/>
      <c r="G44" s="23"/>
      <c r="H44" s="62">
        <f>D44+PG!D45*(E44+F44)+G44</f>
        <v>0</v>
      </c>
      <c r="J44" s="18" t="str">
        <f>IF(ISERROR(
PG!F45*E44),"",PG!F45*E44)</f>
        <v/>
      </c>
      <c r="K44" s="18" t="str">
        <f>IF(ISERROR(
PG!F45*F44),"",PG!F45*F44)</f>
        <v/>
      </c>
      <c r="L44" s="18">
        <f>IF(ISERROR(
PG!D45-H44),"",PG!D45-H44)</f>
        <v>0</v>
      </c>
      <c r="M44" s="33" t="str">
        <f>IF(ISERROR(
L44/PG!D45),"",L44/PG!D45)</f>
        <v/>
      </c>
      <c r="N44" s="18" t="str">
        <f>IF(ISERROR(
(O44*PG!D45)),"",(O44*PG!D45))</f>
        <v/>
      </c>
      <c r="O44" s="45" t="str">
        <f>IF(ISERROR(
PEq!$G$20*PG!G45),"",PEq!$G$20*PG!G45)</f>
        <v/>
      </c>
      <c r="P44" s="18">
        <f>IF(ISERROR(
PG!E45*G44),"",PG!E45*G44)</f>
        <v>0</v>
      </c>
      <c r="Q44" s="18">
        <f>IF(ISERROR(
PG!E45*D44),"",PG!E45*D44)</f>
        <v>0</v>
      </c>
    </row>
    <row r="45" spans="3:17" ht="30" customHeight="1" thickBot="1" x14ac:dyDescent="0.25">
      <c r="C45" s="83">
        <f>PG!C46</f>
        <v>0</v>
      </c>
      <c r="D45" s="23"/>
      <c r="E45" s="27"/>
      <c r="F45" s="27"/>
      <c r="G45" s="23"/>
      <c r="H45" s="62">
        <f>D45+PG!D46*(E45+F45)+G45</f>
        <v>0</v>
      </c>
      <c r="J45" s="18" t="str">
        <f>IF(ISERROR(
PG!F46*E45),"",PG!F46*E45)</f>
        <v/>
      </c>
      <c r="K45" s="18" t="str">
        <f>IF(ISERROR(
PG!F46*F45),"",PG!F46*F45)</f>
        <v/>
      </c>
      <c r="L45" s="18">
        <f>IF(ISERROR(
PG!D46-H45),"",PG!D46-H45)</f>
        <v>0</v>
      </c>
      <c r="M45" s="33" t="str">
        <f>IF(ISERROR(
L45/PG!D46),"",L45/PG!D46)</f>
        <v/>
      </c>
      <c r="N45" s="18" t="str">
        <f>IF(ISERROR(
(O45*PG!D46)),"",(O45*PG!D46))</f>
        <v/>
      </c>
      <c r="O45" s="45" t="str">
        <f>IF(ISERROR(
PEq!$G$20*PG!G46),"",PEq!$G$20*PG!G46)</f>
        <v/>
      </c>
      <c r="P45" s="18">
        <f>IF(ISERROR(
PG!E46*G45),"",PG!E46*G45)</f>
        <v>0</v>
      </c>
      <c r="Q45" s="18">
        <f>IF(ISERROR(
PG!E46*D45),"",PG!E46*D45)</f>
        <v>0</v>
      </c>
    </row>
    <row r="46" spans="3:17" ht="30" customHeight="1" thickBot="1" x14ac:dyDescent="0.25">
      <c r="C46" s="83">
        <f>PG!C47</f>
        <v>0</v>
      </c>
      <c r="D46" s="23"/>
      <c r="E46" s="27"/>
      <c r="F46" s="27"/>
      <c r="G46" s="23"/>
      <c r="H46" s="62">
        <f>D46+PG!D47*(E46+F46)+G46</f>
        <v>0</v>
      </c>
      <c r="J46" s="18" t="str">
        <f>IF(ISERROR(
PG!F47*E46),"",PG!F47*E46)</f>
        <v/>
      </c>
      <c r="K46" s="18" t="str">
        <f>IF(ISERROR(
PG!F47*F46),"",PG!F47*F46)</f>
        <v/>
      </c>
      <c r="L46" s="18">
        <f>IF(ISERROR(
PG!D47-H46),"",PG!D47-H46)</f>
        <v>0</v>
      </c>
      <c r="M46" s="33" t="str">
        <f>IF(ISERROR(
L46/PG!D47),"",L46/PG!D47)</f>
        <v/>
      </c>
      <c r="N46" s="18" t="str">
        <f>IF(ISERROR(
(O46*PG!D47)),"",(O46*PG!D47))</f>
        <v/>
      </c>
      <c r="O46" s="45" t="str">
        <f>IF(ISERROR(
PEq!$G$20*PG!G47),"",PEq!$G$20*PG!G47)</f>
        <v/>
      </c>
      <c r="P46" s="18">
        <f>IF(ISERROR(
PG!E47*G46),"",PG!E47*G46)</f>
        <v>0</v>
      </c>
      <c r="Q46" s="18">
        <f>IF(ISERROR(
PG!E47*D46),"",PG!E47*D46)</f>
        <v>0</v>
      </c>
    </row>
    <row r="47" spans="3:17" ht="30" customHeight="1" thickBot="1" x14ac:dyDescent="0.25">
      <c r="C47" s="83">
        <f>PG!C48</f>
        <v>0</v>
      </c>
      <c r="D47" s="23"/>
      <c r="E47" s="27"/>
      <c r="F47" s="27"/>
      <c r="G47" s="23"/>
      <c r="H47" s="62">
        <f>D47+PG!D48*(E47+F47)+G47</f>
        <v>0</v>
      </c>
      <c r="J47" s="18" t="str">
        <f>IF(ISERROR(
PG!F48*E47),"",PG!F48*E47)</f>
        <v/>
      </c>
      <c r="K47" s="18" t="str">
        <f>IF(ISERROR(
PG!F48*F47),"",PG!F48*F47)</f>
        <v/>
      </c>
      <c r="L47" s="18">
        <f>IF(ISERROR(
PG!D48-H47),"",PG!D48-H47)</f>
        <v>0</v>
      </c>
      <c r="M47" s="33" t="str">
        <f>IF(ISERROR(
L47/PG!D48),"",L47/PG!D48)</f>
        <v/>
      </c>
      <c r="N47" s="18" t="str">
        <f>IF(ISERROR(
(O47*PG!D48)),"",(O47*PG!D48))</f>
        <v/>
      </c>
      <c r="O47" s="45" t="str">
        <f>IF(ISERROR(
PEq!$G$20*PG!G48),"",PEq!$G$20*PG!G48)</f>
        <v/>
      </c>
      <c r="P47" s="18">
        <f>IF(ISERROR(
PG!E48*G47),"",PG!E48*G47)</f>
        <v>0</v>
      </c>
      <c r="Q47" s="18">
        <f>IF(ISERROR(
PG!E48*D47),"",PG!E48*D47)</f>
        <v>0</v>
      </c>
    </row>
    <row r="48" spans="3:17" ht="30" customHeight="1" thickBot="1" x14ac:dyDescent="0.25">
      <c r="C48" s="83">
        <f>PG!C49</f>
        <v>0</v>
      </c>
      <c r="D48" s="23"/>
      <c r="E48" s="27"/>
      <c r="F48" s="27"/>
      <c r="G48" s="23"/>
      <c r="H48" s="62">
        <f>D48+PG!D49*(E48+F48)+G48</f>
        <v>0</v>
      </c>
      <c r="J48" s="18" t="str">
        <f>IF(ISERROR(
PG!F49*E48),"",PG!F49*E48)</f>
        <v/>
      </c>
      <c r="K48" s="18" t="str">
        <f>IF(ISERROR(
PG!F49*F48),"",PG!F49*F48)</f>
        <v/>
      </c>
      <c r="L48" s="18">
        <f>IF(ISERROR(
PG!D49-H48),"",PG!D49-H48)</f>
        <v>0</v>
      </c>
      <c r="M48" s="33" t="str">
        <f>IF(ISERROR(
L48/PG!D49),"",L48/PG!D49)</f>
        <v/>
      </c>
      <c r="N48" s="18" t="str">
        <f>IF(ISERROR(
(O48*PG!D49)),"",(O48*PG!D49))</f>
        <v/>
      </c>
      <c r="O48" s="45" t="str">
        <f>IF(ISERROR(
PEq!$G$20*PG!G49),"",PEq!$G$20*PG!G49)</f>
        <v/>
      </c>
      <c r="P48" s="18">
        <f>IF(ISERROR(
PG!E49*G48),"",PG!E49*G48)</f>
        <v>0</v>
      </c>
      <c r="Q48" s="18">
        <f>IF(ISERROR(
PG!E49*D48),"",PG!E49*D48)</f>
        <v>0</v>
      </c>
    </row>
    <row r="49" spans="3:17" ht="30" customHeight="1" thickBot="1" x14ac:dyDescent="0.25">
      <c r="C49" s="83">
        <f>PG!C50</f>
        <v>0</v>
      </c>
      <c r="D49" s="23"/>
      <c r="E49" s="27"/>
      <c r="F49" s="27"/>
      <c r="G49" s="23"/>
      <c r="H49" s="62">
        <f>D49+PG!D50*(E49+F49)+G49</f>
        <v>0</v>
      </c>
      <c r="J49" s="18" t="str">
        <f>IF(ISERROR(
PG!F50*E49),"",PG!F50*E49)</f>
        <v/>
      </c>
      <c r="K49" s="18" t="str">
        <f>IF(ISERROR(
PG!F50*F49),"",PG!F50*F49)</f>
        <v/>
      </c>
      <c r="L49" s="18">
        <f>IF(ISERROR(
PG!D50-H49),"",PG!D50-H49)</f>
        <v>0</v>
      </c>
      <c r="M49" s="33" t="str">
        <f>IF(ISERROR(
L49/PG!D50),"",L49/PG!D50)</f>
        <v/>
      </c>
      <c r="N49" s="18" t="str">
        <f>IF(ISERROR(
(O49*PG!D50)),"",(O49*PG!D50))</f>
        <v/>
      </c>
      <c r="O49" s="45" t="str">
        <f>IF(ISERROR(
PEq!$G$20*PG!G50),"",PEq!$G$20*PG!G50)</f>
        <v/>
      </c>
      <c r="P49" s="18">
        <f>IF(ISERROR(
PG!E50*G49),"",PG!E50*G49)</f>
        <v>0</v>
      </c>
      <c r="Q49" s="18">
        <f>IF(ISERROR(
PG!E50*D49),"",PG!E50*D49)</f>
        <v>0</v>
      </c>
    </row>
    <row r="50" spans="3:17" ht="30" customHeight="1" thickBot="1" x14ac:dyDescent="0.25">
      <c r="C50" s="83">
        <f>PG!C51</f>
        <v>0</v>
      </c>
      <c r="D50" s="23"/>
      <c r="E50" s="27"/>
      <c r="F50" s="27"/>
      <c r="G50" s="23"/>
      <c r="H50" s="62">
        <f>D50+PG!D51*(E50+F50)+G50</f>
        <v>0</v>
      </c>
      <c r="J50" s="18" t="str">
        <f>IF(ISERROR(
PG!F51*E50),"",PG!F51*E50)</f>
        <v/>
      </c>
      <c r="K50" s="18" t="str">
        <f>IF(ISERROR(
PG!F51*F50),"",PG!F51*F50)</f>
        <v/>
      </c>
      <c r="L50" s="18">
        <f>IF(ISERROR(
PG!D51-H50),"",PG!D51-H50)</f>
        <v>0</v>
      </c>
      <c r="M50" s="33" t="str">
        <f>IF(ISERROR(
L50/PG!D51),"",L50/PG!D51)</f>
        <v/>
      </c>
      <c r="N50" s="18" t="str">
        <f>IF(ISERROR(
(O50*PG!D51)),"",(O50*PG!D51))</f>
        <v/>
      </c>
      <c r="O50" s="45" t="str">
        <f>IF(ISERROR(
PEq!$G$20*PG!G51),"",PEq!$G$20*PG!G51)</f>
        <v/>
      </c>
      <c r="P50" s="18">
        <f>IF(ISERROR(
PG!E51*G50),"",PG!E51*G50)</f>
        <v>0</v>
      </c>
      <c r="Q50" s="18">
        <f>IF(ISERROR(
PG!E51*D50),"",PG!E51*D50)</f>
        <v>0</v>
      </c>
    </row>
    <row r="51" spans="3:17" ht="30" customHeight="1" thickBot="1" x14ac:dyDescent="0.25">
      <c r="C51" s="83">
        <f>PG!C52</f>
        <v>0</v>
      </c>
      <c r="D51" s="23"/>
      <c r="E51" s="27"/>
      <c r="F51" s="27"/>
      <c r="G51" s="23"/>
      <c r="H51" s="62">
        <f>D51+PG!D52*(E51+F51)+G51</f>
        <v>0</v>
      </c>
      <c r="J51" s="18" t="str">
        <f>IF(ISERROR(
PG!F52*E51),"",PG!F52*E51)</f>
        <v/>
      </c>
      <c r="K51" s="18" t="str">
        <f>IF(ISERROR(
PG!F52*F51),"",PG!F52*F51)</f>
        <v/>
      </c>
      <c r="L51" s="18">
        <f>IF(ISERROR(
PG!D52-H51),"",PG!D52-H51)</f>
        <v>0</v>
      </c>
      <c r="M51" s="33" t="str">
        <f>IF(ISERROR(
L51/PG!D52),"",L51/PG!D52)</f>
        <v/>
      </c>
      <c r="N51" s="18" t="str">
        <f>IF(ISERROR(
(O51*PG!D52)),"",(O51*PG!D52))</f>
        <v/>
      </c>
      <c r="O51" s="45" t="str">
        <f>IF(ISERROR(
PEq!$G$20*PG!G52),"",PEq!$G$20*PG!G52)</f>
        <v/>
      </c>
      <c r="P51" s="18">
        <f>IF(ISERROR(
PG!E52*G51),"",PG!E52*G51)</f>
        <v>0</v>
      </c>
      <c r="Q51" s="18">
        <f>IF(ISERROR(
PG!E52*D51),"",PG!E52*D51)</f>
        <v>0</v>
      </c>
    </row>
    <row r="52" spans="3:17" ht="30" customHeight="1" thickBot="1" x14ac:dyDescent="0.25">
      <c r="C52" s="83">
        <f>PG!C53</f>
        <v>0</v>
      </c>
      <c r="D52" s="23"/>
      <c r="E52" s="27"/>
      <c r="F52" s="27"/>
      <c r="G52" s="23"/>
      <c r="H52" s="62">
        <f>D52+PG!D53*(E52+F52)+G52</f>
        <v>0</v>
      </c>
      <c r="J52" s="18" t="str">
        <f>IF(ISERROR(
PG!F53*E52),"",PG!F53*E52)</f>
        <v/>
      </c>
      <c r="K52" s="18" t="str">
        <f>IF(ISERROR(
PG!F53*F52),"",PG!F53*F52)</f>
        <v/>
      </c>
      <c r="L52" s="18">
        <f>IF(ISERROR(
PG!D53-H52),"",PG!D53-H52)</f>
        <v>0</v>
      </c>
      <c r="M52" s="33" t="str">
        <f>IF(ISERROR(
L52/PG!D53),"",L52/PG!D53)</f>
        <v/>
      </c>
      <c r="N52" s="18" t="str">
        <f>IF(ISERROR(
(O52*PG!D53)),"",(O52*PG!D53))</f>
        <v/>
      </c>
      <c r="O52" s="45" t="str">
        <f>IF(ISERROR(
PEq!$G$20*PG!G53),"",PEq!$G$20*PG!G53)</f>
        <v/>
      </c>
      <c r="P52" s="18">
        <f>IF(ISERROR(
PG!E53*G52),"",PG!E53*G52)</f>
        <v>0</v>
      </c>
      <c r="Q52" s="18">
        <f>IF(ISERROR(
PG!E53*D52),"",PG!E53*D52)</f>
        <v>0</v>
      </c>
    </row>
    <row r="53" spans="3:17" ht="30" customHeight="1" thickBot="1" x14ac:dyDescent="0.25">
      <c r="C53" s="83">
        <f>PG!C54</f>
        <v>0</v>
      </c>
      <c r="D53" s="23"/>
      <c r="E53" s="27"/>
      <c r="F53" s="27"/>
      <c r="G53" s="23"/>
      <c r="H53" s="62">
        <f>D53+PG!D54*(E53+F53)+G53</f>
        <v>0</v>
      </c>
      <c r="J53" s="18" t="str">
        <f>IF(ISERROR(
PG!F54*E53),"",PG!F54*E53)</f>
        <v/>
      </c>
      <c r="K53" s="18" t="str">
        <f>IF(ISERROR(
PG!F54*F53),"",PG!F54*F53)</f>
        <v/>
      </c>
      <c r="L53" s="18">
        <f>IF(ISERROR(
PG!D54-H53),"",PG!D54-H53)</f>
        <v>0</v>
      </c>
      <c r="M53" s="33" t="str">
        <f>IF(ISERROR(
L53/PG!D54),"",L53/PG!D54)</f>
        <v/>
      </c>
      <c r="N53" s="18" t="str">
        <f>IF(ISERROR(
(O53*PG!D54)),"",(O53*PG!D54))</f>
        <v/>
      </c>
      <c r="O53" s="45" t="str">
        <f>IF(ISERROR(
PEq!$G$20*PG!G54),"",PEq!$G$20*PG!G54)</f>
        <v/>
      </c>
      <c r="P53" s="18">
        <f>IF(ISERROR(
PG!E54*G53),"",PG!E54*G53)</f>
        <v>0</v>
      </c>
      <c r="Q53" s="18">
        <f>IF(ISERROR(
PG!E54*D53),"",PG!E54*D53)</f>
        <v>0</v>
      </c>
    </row>
    <row r="54" spans="3:17" ht="30" customHeight="1" thickBot="1" x14ac:dyDescent="0.25">
      <c r="C54" s="83">
        <f>PG!C55</f>
        <v>0</v>
      </c>
      <c r="D54" s="23"/>
      <c r="E54" s="27"/>
      <c r="F54" s="27"/>
      <c r="G54" s="23"/>
      <c r="H54" s="62">
        <f>D54+PG!D55*(E54+F54)+G54</f>
        <v>0</v>
      </c>
      <c r="J54" s="18" t="str">
        <f>IF(ISERROR(
PG!F55*E54),"",PG!F55*E54)</f>
        <v/>
      </c>
      <c r="K54" s="18" t="str">
        <f>IF(ISERROR(
PG!F55*F54),"",PG!F55*F54)</f>
        <v/>
      </c>
      <c r="L54" s="18">
        <f>IF(ISERROR(
PG!D55-H54),"",PG!D55-H54)</f>
        <v>0</v>
      </c>
      <c r="M54" s="33" t="str">
        <f>IF(ISERROR(
L54/PG!D55),"",L54/PG!D55)</f>
        <v/>
      </c>
      <c r="N54" s="18" t="str">
        <f>IF(ISERROR(
(O54*PG!D55)),"",(O54*PG!D55))</f>
        <v/>
      </c>
      <c r="O54" s="45" t="str">
        <f>IF(ISERROR(
PEq!$G$20*PG!G55),"",PEq!$G$20*PG!G55)</f>
        <v/>
      </c>
      <c r="P54" s="18">
        <f>IF(ISERROR(
PG!E55*G54),"",PG!E55*G54)</f>
        <v>0</v>
      </c>
      <c r="Q54" s="18">
        <f>IF(ISERROR(
PG!E55*D54),"",PG!E55*D54)</f>
        <v>0</v>
      </c>
    </row>
    <row r="55" spans="3:17" ht="30" customHeight="1" thickBot="1" x14ac:dyDescent="0.25">
      <c r="C55" s="83">
        <f>PG!C56</f>
        <v>0</v>
      </c>
      <c r="D55" s="23"/>
      <c r="E55" s="27"/>
      <c r="F55" s="27"/>
      <c r="G55" s="23"/>
      <c r="H55" s="62">
        <f>D55+PG!D56*(E55+F55)+G55</f>
        <v>0</v>
      </c>
      <c r="J55" s="18" t="str">
        <f>IF(ISERROR(
PG!F56*E55),"",PG!F56*E55)</f>
        <v/>
      </c>
      <c r="K55" s="18" t="str">
        <f>IF(ISERROR(
PG!F56*F55),"",PG!F56*F55)</f>
        <v/>
      </c>
      <c r="L55" s="18">
        <f>IF(ISERROR(
PG!D56-H55),"",PG!D56-H55)</f>
        <v>0</v>
      </c>
      <c r="M55" s="33" t="str">
        <f>IF(ISERROR(
L55/PG!D56),"",L55/PG!D56)</f>
        <v/>
      </c>
      <c r="N55" s="18" t="str">
        <f>IF(ISERROR(
(O55*PG!D56)),"",(O55*PG!D56))</f>
        <v/>
      </c>
      <c r="O55" s="45" t="str">
        <f>IF(ISERROR(
PEq!$G$20*PG!G56),"",PEq!$G$20*PG!G56)</f>
        <v/>
      </c>
      <c r="P55" s="18">
        <f>IF(ISERROR(
PG!E56*G55),"",PG!E56*G55)</f>
        <v>0</v>
      </c>
      <c r="Q55" s="18">
        <f>IF(ISERROR(
PG!E56*D55),"",PG!E56*D55)</f>
        <v>0</v>
      </c>
    </row>
    <row r="56" spans="3:17" ht="30" customHeight="1" thickBot="1" x14ac:dyDescent="0.25">
      <c r="C56" s="83">
        <f>PG!C57</f>
        <v>0</v>
      </c>
      <c r="D56" s="23"/>
      <c r="E56" s="27"/>
      <c r="F56" s="27"/>
      <c r="G56" s="23"/>
      <c r="H56" s="62">
        <f>D56+PG!D57*(E56+F56)+G56</f>
        <v>0</v>
      </c>
      <c r="J56" s="18" t="str">
        <f>IF(ISERROR(
PG!F57*E56),"",PG!F57*E56)</f>
        <v/>
      </c>
      <c r="K56" s="18" t="str">
        <f>IF(ISERROR(
PG!F57*F56),"",PG!F57*F56)</f>
        <v/>
      </c>
      <c r="L56" s="18">
        <f>IF(ISERROR(
PG!D57-H56),"",PG!D57-H56)</f>
        <v>0</v>
      </c>
      <c r="M56" s="33" t="str">
        <f>IF(ISERROR(
L56/PG!D57),"",L56/PG!D57)</f>
        <v/>
      </c>
      <c r="N56" s="18" t="str">
        <f>IF(ISERROR(
(O56*PG!D57)),"",(O56*PG!D57))</f>
        <v/>
      </c>
      <c r="O56" s="45" t="str">
        <f>IF(ISERROR(
PEq!$G$20*PG!G57),"",PEq!$G$20*PG!G57)</f>
        <v/>
      </c>
      <c r="P56" s="18">
        <f>IF(ISERROR(
PG!E57*G56),"",PG!E57*G56)</f>
        <v>0</v>
      </c>
      <c r="Q56" s="18">
        <f>IF(ISERROR(
PG!E57*D56),"",PG!E57*D56)</f>
        <v>0</v>
      </c>
    </row>
    <row r="57" spans="3:17" ht="30" customHeight="1" thickBot="1" x14ac:dyDescent="0.25">
      <c r="C57" s="83">
        <f>PG!C58</f>
        <v>0</v>
      </c>
      <c r="D57" s="23"/>
      <c r="E57" s="27"/>
      <c r="F57" s="27"/>
      <c r="G57" s="23"/>
      <c r="H57" s="62">
        <f>D57+PG!D58*(E57+F57)+G57</f>
        <v>0</v>
      </c>
      <c r="J57" s="18" t="str">
        <f>IF(ISERROR(
PG!F58*E57),"",PG!F58*E57)</f>
        <v/>
      </c>
      <c r="K57" s="18" t="str">
        <f>IF(ISERROR(
PG!F58*F57),"",PG!F58*F57)</f>
        <v/>
      </c>
      <c r="L57" s="18">
        <f>IF(ISERROR(
PG!D58-H57),"",PG!D58-H57)</f>
        <v>0</v>
      </c>
      <c r="M57" s="33" t="str">
        <f>IF(ISERROR(
L57/PG!D58),"",L57/PG!D58)</f>
        <v/>
      </c>
      <c r="N57" s="18" t="str">
        <f>IF(ISERROR(
(O57*PG!D58)),"",(O57*PG!D58))</f>
        <v/>
      </c>
      <c r="O57" s="45" t="str">
        <f>IF(ISERROR(
PEq!$G$20*PG!G58),"",PEq!$G$20*PG!G58)</f>
        <v/>
      </c>
      <c r="P57" s="18">
        <f>IF(ISERROR(
PG!E58*G57),"",PG!E58*G57)</f>
        <v>0</v>
      </c>
      <c r="Q57" s="18">
        <f>IF(ISERROR(
PG!E58*D57),"",PG!E58*D57)</f>
        <v>0</v>
      </c>
    </row>
    <row r="58" spans="3:17" ht="30" customHeight="1" thickBot="1" x14ac:dyDescent="0.25">
      <c r="C58" s="83">
        <f>PG!C59</f>
        <v>0</v>
      </c>
      <c r="D58" s="23"/>
      <c r="E58" s="27"/>
      <c r="F58" s="27"/>
      <c r="G58" s="23"/>
      <c r="H58" s="62">
        <f>D58+PG!D59*(E58+F58)+G58</f>
        <v>0</v>
      </c>
      <c r="J58" s="18" t="str">
        <f>IF(ISERROR(
PG!F59*E58),"",PG!F59*E58)</f>
        <v/>
      </c>
      <c r="K58" s="18" t="str">
        <f>IF(ISERROR(
PG!F59*F58),"",PG!F59*F58)</f>
        <v/>
      </c>
      <c r="L58" s="18">
        <f>IF(ISERROR(
PG!D59-H58),"",PG!D59-H58)</f>
        <v>0</v>
      </c>
      <c r="M58" s="33" t="str">
        <f>IF(ISERROR(
L58/PG!D59),"",L58/PG!D59)</f>
        <v/>
      </c>
      <c r="N58" s="18" t="str">
        <f>IF(ISERROR(
(O58*PG!D59)),"",(O58*PG!D59))</f>
        <v/>
      </c>
      <c r="O58" s="45" t="str">
        <f>IF(ISERROR(
PEq!$G$20*PG!G59),"",PEq!$G$20*PG!G59)</f>
        <v/>
      </c>
      <c r="P58" s="18">
        <f>IF(ISERROR(
PG!E59*G58),"",PG!E59*G58)</f>
        <v>0</v>
      </c>
      <c r="Q58" s="18">
        <f>IF(ISERROR(
PG!E59*D58),"",PG!E59*D58)</f>
        <v>0</v>
      </c>
    </row>
    <row r="59" spans="3:17" ht="30" customHeight="1" thickBot="1" x14ac:dyDescent="0.25">
      <c r="C59" s="83">
        <f>PG!C60</f>
        <v>0</v>
      </c>
      <c r="D59" s="23"/>
      <c r="E59" s="27"/>
      <c r="F59" s="27"/>
      <c r="G59" s="23"/>
      <c r="H59" s="62">
        <f>D59+PG!D60*(E59+F59)+G59</f>
        <v>0</v>
      </c>
      <c r="J59" s="18" t="str">
        <f>IF(ISERROR(
PG!F60*E59),"",PG!F60*E59)</f>
        <v/>
      </c>
      <c r="K59" s="18" t="str">
        <f>IF(ISERROR(
PG!F60*F59),"",PG!F60*F59)</f>
        <v/>
      </c>
      <c r="L59" s="18">
        <f>IF(ISERROR(
PG!D60-H59),"",PG!D60-H59)</f>
        <v>0</v>
      </c>
      <c r="M59" s="33" t="str">
        <f>IF(ISERROR(
L59/PG!D60),"",L59/PG!D60)</f>
        <v/>
      </c>
      <c r="N59" s="18" t="str">
        <f>IF(ISERROR(
(O59*PG!D60)),"",(O59*PG!D60))</f>
        <v/>
      </c>
      <c r="O59" s="45" t="str">
        <f>IF(ISERROR(
PEq!$G$20*PG!G60),"",PEq!$G$20*PG!G60)</f>
        <v/>
      </c>
      <c r="P59" s="18">
        <f>IF(ISERROR(
PG!E60*G59),"",PG!E60*G59)</f>
        <v>0</v>
      </c>
      <c r="Q59" s="18">
        <f>IF(ISERROR(
PG!E60*D59),"",PG!E60*D59)</f>
        <v>0</v>
      </c>
    </row>
    <row r="60" spans="3:17" ht="30" customHeight="1" thickBot="1" x14ac:dyDescent="0.25">
      <c r="C60" s="83">
        <f>PG!C61</f>
        <v>0</v>
      </c>
      <c r="D60" s="23"/>
      <c r="E60" s="27"/>
      <c r="F60" s="27"/>
      <c r="G60" s="23"/>
      <c r="H60" s="62">
        <f>D60+PG!D61*(E60+F60)+G60</f>
        <v>0</v>
      </c>
      <c r="J60" s="18" t="str">
        <f>IF(ISERROR(
PG!F61*E60),"",PG!F61*E60)</f>
        <v/>
      </c>
      <c r="K60" s="18" t="str">
        <f>IF(ISERROR(
PG!F61*F60),"",PG!F61*F60)</f>
        <v/>
      </c>
      <c r="L60" s="18">
        <f>IF(ISERROR(
PG!D61-H60),"",PG!D61-H60)</f>
        <v>0</v>
      </c>
      <c r="M60" s="33" t="str">
        <f>IF(ISERROR(
L60/PG!D61),"",L60/PG!D61)</f>
        <v/>
      </c>
      <c r="N60" s="18" t="str">
        <f>IF(ISERROR(
(O60*PG!D61)),"",(O60*PG!D61))</f>
        <v/>
      </c>
      <c r="O60" s="45" t="str">
        <f>IF(ISERROR(
PEq!$G$20*PG!G61),"",PEq!$G$20*PG!G61)</f>
        <v/>
      </c>
      <c r="P60" s="18">
        <f>IF(ISERROR(
PG!E61*G60),"",PG!E61*G60)</f>
        <v>0</v>
      </c>
      <c r="Q60" s="18">
        <f>IF(ISERROR(
PG!E61*D60),"",PG!E61*D60)</f>
        <v>0</v>
      </c>
    </row>
    <row r="61" spans="3:17" ht="30" customHeight="1" thickBot="1" x14ac:dyDescent="0.25">
      <c r="C61" s="83">
        <f>PG!C62</f>
        <v>0</v>
      </c>
      <c r="D61" s="23"/>
      <c r="E61" s="27"/>
      <c r="F61" s="27"/>
      <c r="G61" s="23"/>
      <c r="H61" s="62">
        <f>D61+PG!D62*(E61+F61)+G61</f>
        <v>0</v>
      </c>
      <c r="J61" s="18" t="str">
        <f>IF(ISERROR(
PG!F62*E61),"",PG!F62*E61)</f>
        <v/>
      </c>
      <c r="K61" s="18" t="str">
        <f>IF(ISERROR(
PG!F62*F61),"",PG!F62*F61)</f>
        <v/>
      </c>
      <c r="L61" s="18">
        <f>IF(ISERROR(
PG!D62-H61),"",PG!D62-H61)</f>
        <v>0</v>
      </c>
      <c r="M61" s="33" t="str">
        <f>IF(ISERROR(
L61/PG!D62),"",L61/PG!D62)</f>
        <v/>
      </c>
      <c r="N61" s="18" t="str">
        <f>IF(ISERROR(
(O61*PG!D62)),"",(O61*PG!D62))</f>
        <v/>
      </c>
      <c r="O61" s="45" t="str">
        <f>IF(ISERROR(
PEq!$G$20*PG!G62),"",PEq!$G$20*PG!G62)</f>
        <v/>
      </c>
      <c r="P61" s="18">
        <f>IF(ISERROR(
PG!E62*G61),"",PG!E62*G61)</f>
        <v>0</v>
      </c>
      <c r="Q61" s="18">
        <f>IF(ISERROR(
PG!E62*D61),"",PG!E62*D61)</f>
        <v>0</v>
      </c>
    </row>
    <row r="62" spans="3:17" ht="30" customHeight="1" thickBot="1" x14ac:dyDescent="0.25">
      <c r="C62" s="83">
        <f>PG!C63</f>
        <v>0</v>
      </c>
      <c r="D62" s="23"/>
      <c r="E62" s="27"/>
      <c r="F62" s="27"/>
      <c r="G62" s="23"/>
      <c r="H62" s="62">
        <f>D62+PG!D63*(E62+F62)+G62</f>
        <v>0</v>
      </c>
      <c r="J62" s="18" t="str">
        <f>IF(ISERROR(
PG!F63*E62),"",PG!F63*E62)</f>
        <v/>
      </c>
      <c r="K62" s="18" t="str">
        <f>IF(ISERROR(
PG!F63*F62),"",PG!F63*F62)</f>
        <v/>
      </c>
      <c r="L62" s="18">
        <f>IF(ISERROR(
PG!D63-H62),"",PG!D63-H62)</f>
        <v>0</v>
      </c>
      <c r="M62" s="33" t="str">
        <f>IF(ISERROR(
L62/PG!D63),"",L62/PG!D63)</f>
        <v/>
      </c>
      <c r="N62" s="18" t="str">
        <f>IF(ISERROR(
(O62*PG!D63)),"",(O62*PG!D63))</f>
        <v/>
      </c>
      <c r="O62" s="45" t="str">
        <f>IF(ISERROR(
PEq!$G$20*PG!G63),"",PEq!$G$20*PG!G63)</f>
        <v/>
      </c>
      <c r="P62" s="18">
        <f>IF(ISERROR(
PG!E63*G62),"",PG!E63*G62)</f>
        <v>0</v>
      </c>
      <c r="Q62" s="18">
        <f>IF(ISERROR(
PG!E63*D62),"",PG!E63*D62)</f>
        <v>0</v>
      </c>
    </row>
    <row r="63" spans="3:17" ht="30" customHeight="1" thickBot="1" x14ac:dyDescent="0.25">
      <c r="C63" s="83">
        <f>PG!C64</f>
        <v>0</v>
      </c>
      <c r="D63" s="23"/>
      <c r="E63" s="27"/>
      <c r="F63" s="27"/>
      <c r="G63" s="23"/>
      <c r="H63" s="62">
        <f>D63+PG!D64*(E63+F63)+G63</f>
        <v>0</v>
      </c>
      <c r="J63" s="18" t="str">
        <f>IF(ISERROR(
PG!F64*E63),"",PG!F64*E63)</f>
        <v/>
      </c>
      <c r="K63" s="18" t="str">
        <f>IF(ISERROR(
PG!F64*F63),"",PG!F64*F63)</f>
        <v/>
      </c>
      <c r="L63" s="18">
        <f>IF(ISERROR(
PG!D64-H63),"",PG!D64-H63)</f>
        <v>0</v>
      </c>
      <c r="M63" s="33" t="str">
        <f>IF(ISERROR(
L63/PG!D64),"",L63/PG!D64)</f>
        <v/>
      </c>
      <c r="N63" s="18" t="str">
        <f>IF(ISERROR(
(O63*PG!D64)),"",(O63*PG!D64))</f>
        <v/>
      </c>
      <c r="O63" s="45" t="str">
        <f>IF(ISERROR(
PEq!$G$20*PG!G64),"",PEq!$G$20*PG!G64)</f>
        <v/>
      </c>
      <c r="P63" s="18">
        <f>IF(ISERROR(
PG!E64*G63),"",PG!E64*G63)</f>
        <v>0</v>
      </c>
      <c r="Q63" s="18">
        <f>IF(ISERROR(
PG!E64*D63),"",PG!E64*D63)</f>
        <v>0</v>
      </c>
    </row>
    <row r="64" spans="3:17" ht="30" customHeight="1" thickBot="1" x14ac:dyDescent="0.25">
      <c r="C64" s="83">
        <f>PG!C65</f>
        <v>0</v>
      </c>
      <c r="D64" s="23"/>
      <c r="E64" s="27"/>
      <c r="F64" s="27"/>
      <c r="G64" s="23"/>
      <c r="H64" s="62">
        <f>D64+PG!D65*(E64+F64)+G64</f>
        <v>0</v>
      </c>
      <c r="J64" s="18" t="str">
        <f>IF(ISERROR(
PG!F65*E64),"",PG!F65*E64)</f>
        <v/>
      </c>
      <c r="K64" s="18" t="str">
        <f>IF(ISERROR(
PG!F65*F64),"",PG!F65*F64)</f>
        <v/>
      </c>
      <c r="L64" s="18">
        <f>IF(ISERROR(
PG!D65-H64),"",PG!D65-H64)</f>
        <v>0</v>
      </c>
      <c r="M64" s="33" t="str">
        <f>IF(ISERROR(
L64/PG!D65),"",L64/PG!D65)</f>
        <v/>
      </c>
      <c r="N64" s="18" t="str">
        <f>IF(ISERROR(
(O64*PG!D65)),"",(O64*PG!D65))</f>
        <v/>
      </c>
      <c r="O64" s="45" t="str">
        <f>IF(ISERROR(
PEq!$G$20*PG!G65),"",PEq!$G$20*PG!G65)</f>
        <v/>
      </c>
      <c r="P64" s="18">
        <f>IF(ISERROR(
PG!E65*G64),"",PG!E65*G64)</f>
        <v>0</v>
      </c>
      <c r="Q64" s="18">
        <f>IF(ISERROR(
PG!E65*D64),"",PG!E65*D64)</f>
        <v>0</v>
      </c>
    </row>
    <row r="65" spans="3:17" ht="30" customHeight="1" thickBot="1" x14ac:dyDescent="0.25">
      <c r="C65" s="83">
        <f>PG!C66</f>
        <v>0</v>
      </c>
      <c r="D65" s="23"/>
      <c r="E65" s="27"/>
      <c r="F65" s="27"/>
      <c r="G65" s="23"/>
      <c r="H65" s="62">
        <f>D65+PG!D66*(E65+F65)+G65</f>
        <v>0</v>
      </c>
      <c r="J65" s="18" t="str">
        <f>IF(ISERROR(
PG!F66*E65),"",PG!F66*E65)</f>
        <v/>
      </c>
      <c r="K65" s="18" t="str">
        <f>IF(ISERROR(
PG!F66*F65),"",PG!F66*F65)</f>
        <v/>
      </c>
      <c r="L65" s="18">
        <f>IF(ISERROR(
PG!D66-H65),"",PG!D66-H65)</f>
        <v>0</v>
      </c>
      <c r="M65" s="33" t="str">
        <f>IF(ISERROR(
L65/PG!D66),"",L65/PG!D66)</f>
        <v/>
      </c>
      <c r="N65" s="18" t="str">
        <f>IF(ISERROR(
(O65*PG!D66)),"",(O65*PG!D66))</f>
        <v/>
      </c>
      <c r="O65" s="45" t="str">
        <f>IF(ISERROR(
PEq!$G$20*PG!G66),"",PEq!$G$20*PG!G66)</f>
        <v/>
      </c>
      <c r="P65" s="18">
        <f>IF(ISERROR(
PG!E66*G65),"",PG!E66*G65)</f>
        <v>0</v>
      </c>
      <c r="Q65" s="18">
        <f>IF(ISERROR(
PG!E66*D65),"",PG!E66*D65)</f>
        <v>0</v>
      </c>
    </row>
    <row r="66" spans="3:17" ht="30" customHeight="1" thickBot="1" x14ac:dyDescent="0.25">
      <c r="C66" s="83">
        <f>PG!C67</f>
        <v>0</v>
      </c>
      <c r="D66" s="23"/>
      <c r="E66" s="27"/>
      <c r="F66" s="27"/>
      <c r="G66" s="23"/>
      <c r="H66" s="62">
        <f>D66+PG!D67*(E66+F66)+G66</f>
        <v>0</v>
      </c>
      <c r="J66" s="18" t="str">
        <f>IF(ISERROR(
PG!F67*E66),"",PG!F67*E66)</f>
        <v/>
      </c>
      <c r="K66" s="18" t="str">
        <f>IF(ISERROR(
PG!F67*F66),"",PG!F67*F66)</f>
        <v/>
      </c>
      <c r="L66" s="18">
        <f>IF(ISERROR(
PG!D67-H66),"",PG!D67-H66)</f>
        <v>0</v>
      </c>
      <c r="M66" s="33" t="str">
        <f>IF(ISERROR(
L66/PG!D67),"",L66/PG!D67)</f>
        <v/>
      </c>
      <c r="N66" s="18" t="str">
        <f>IF(ISERROR(
(O66*PG!D67)),"",(O66*PG!D67))</f>
        <v/>
      </c>
      <c r="O66" s="45" t="str">
        <f>IF(ISERROR(
PEq!$G$20*PG!G67),"",PEq!$G$20*PG!G67)</f>
        <v/>
      </c>
      <c r="P66" s="18">
        <f>IF(ISERROR(
PG!E67*G66),"",PG!E67*G66)</f>
        <v>0</v>
      </c>
      <c r="Q66" s="18">
        <f>IF(ISERROR(
PG!E67*D66),"",PG!E67*D66)</f>
        <v>0</v>
      </c>
    </row>
    <row r="67" spans="3:17" ht="30" customHeight="1" thickBot="1" x14ac:dyDescent="0.25">
      <c r="C67" s="83">
        <f>PG!C68</f>
        <v>0</v>
      </c>
      <c r="D67" s="23"/>
      <c r="E67" s="27"/>
      <c r="F67" s="27"/>
      <c r="G67" s="23"/>
      <c r="H67" s="62">
        <f>D67+PG!D68*(E67+F67)+G67</f>
        <v>0</v>
      </c>
      <c r="J67" s="18" t="str">
        <f>IF(ISERROR(
PG!F68*E67),"",PG!F68*E67)</f>
        <v/>
      </c>
      <c r="K67" s="18" t="str">
        <f>IF(ISERROR(
PG!F68*F67),"",PG!F68*F67)</f>
        <v/>
      </c>
      <c r="L67" s="18">
        <f>IF(ISERROR(
PG!D68-H67),"",PG!D68-H67)</f>
        <v>0</v>
      </c>
      <c r="M67" s="33" t="str">
        <f>IF(ISERROR(
L67/PG!D68),"",L67/PG!D68)</f>
        <v/>
      </c>
      <c r="N67" s="18" t="str">
        <f>IF(ISERROR(
(O67*PG!D68)),"",(O67*PG!D68))</f>
        <v/>
      </c>
      <c r="O67" s="45" t="str">
        <f>IF(ISERROR(
PEq!$G$20*PG!G68),"",PEq!$G$20*PG!G68)</f>
        <v/>
      </c>
      <c r="P67" s="18">
        <f>IF(ISERROR(
PG!E68*G67),"",PG!E68*G67)</f>
        <v>0</v>
      </c>
      <c r="Q67" s="18">
        <f>IF(ISERROR(
PG!E68*D67),"",PG!E68*D67)</f>
        <v>0</v>
      </c>
    </row>
    <row r="68" spans="3:17" ht="30" customHeight="1" thickBot="1" x14ac:dyDescent="0.25">
      <c r="C68" s="83">
        <f>PG!C69</f>
        <v>0</v>
      </c>
      <c r="D68" s="23"/>
      <c r="E68" s="27"/>
      <c r="F68" s="27"/>
      <c r="G68" s="23"/>
      <c r="H68" s="62">
        <f>D68+PG!D69*(E68+F68)+G68</f>
        <v>0</v>
      </c>
      <c r="J68" s="18" t="str">
        <f>IF(ISERROR(
PG!F69*E68),"",PG!F69*E68)</f>
        <v/>
      </c>
      <c r="K68" s="18" t="str">
        <f>IF(ISERROR(
PG!F69*F68),"",PG!F69*F68)</f>
        <v/>
      </c>
      <c r="L68" s="18">
        <f>IF(ISERROR(
PG!D69-H68),"",PG!D69-H68)</f>
        <v>0</v>
      </c>
      <c r="M68" s="33" t="str">
        <f>IF(ISERROR(
L68/PG!D69),"",L68/PG!D69)</f>
        <v/>
      </c>
      <c r="N68" s="18" t="str">
        <f>IF(ISERROR(
(O68*PG!D69)),"",(O68*PG!D69))</f>
        <v/>
      </c>
      <c r="O68" s="45" t="str">
        <f>IF(ISERROR(
PEq!$G$20*PG!G69),"",PEq!$G$20*PG!G69)</f>
        <v/>
      </c>
      <c r="P68" s="18">
        <f>IF(ISERROR(
PG!E69*G68),"",PG!E69*G68)</f>
        <v>0</v>
      </c>
      <c r="Q68" s="18">
        <f>IF(ISERROR(
PG!E69*D68),"",PG!E69*D68)</f>
        <v>0</v>
      </c>
    </row>
    <row r="69" spans="3:17" ht="30" customHeight="1" thickBot="1" x14ac:dyDescent="0.25">
      <c r="C69" s="83">
        <f>PG!C70</f>
        <v>0</v>
      </c>
      <c r="D69" s="23"/>
      <c r="E69" s="27"/>
      <c r="F69" s="27"/>
      <c r="G69" s="23"/>
      <c r="H69" s="62">
        <f>D69+PG!D70*(E69+F69)+G69</f>
        <v>0</v>
      </c>
      <c r="J69" s="18" t="str">
        <f>IF(ISERROR(
PG!F70*E69),"",PG!F70*E69)</f>
        <v/>
      </c>
      <c r="K69" s="18" t="str">
        <f>IF(ISERROR(
PG!F70*F69),"",PG!F70*F69)</f>
        <v/>
      </c>
      <c r="L69" s="18">
        <f>IF(ISERROR(
PG!D70-H69),"",PG!D70-H69)</f>
        <v>0</v>
      </c>
      <c r="M69" s="33" t="str">
        <f>IF(ISERROR(
L69/PG!D70),"",L69/PG!D70)</f>
        <v/>
      </c>
      <c r="N69" s="18" t="str">
        <f>IF(ISERROR(
(O69*PG!D70)),"",(O69*PG!D70))</f>
        <v/>
      </c>
      <c r="O69" s="45" t="str">
        <f>IF(ISERROR(
PEq!$G$20*PG!G70),"",PEq!$G$20*PG!G70)</f>
        <v/>
      </c>
      <c r="P69" s="18">
        <f>IF(ISERROR(
PG!E70*G69),"",PG!E70*G69)</f>
        <v>0</v>
      </c>
      <c r="Q69" s="18">
        <f>IF(ISERROR(
PG!E70*D69),"",PG!E70*D69)</f>
        <v>0</v>
      </c>
    </row>
    <row r="70" spans="3:17" ht="30" customHeight="1" thickBot="1" x14ac:dyDescent="0.25">
      <c r="C70" s="83">
        <f>PG!C71</f>
        <v>0</v>
      </c>
      <c r="D70" s="23"/>
      <c r="E70" s="27"/>
      <c r="F70" s="27"/>
      <c r="G70" s="23"/>
      <c r="H70" s="62">
        <f>D70+PG!D71*(E70+F70)+G70</f>
        <v>0</v>
      </c>
      <c r="J70" s="18" t="str">
        <f>IF(ISERROR(
PG!F71*E70),"",PG!F71*E70)</f>
        <v/>
      </c>
      <c r="K70" s="18" t="str">
        <f>IF(ISERROR(
PG!F71*F70),"",PG!F71*F70)</f>
        <v/>
      </c>
      <c r="L70" s="18">
        <f>IF(ISERROR(
PG!D71-H70),"",PG!D71-H70)</f>
        <v>0</v>
      </c>
      <c r="M70" s="33" t="str">
        <f>IF(ISERROR(
L70/PG!D71),"",L70/PG!D71)</f>
        <v/>
      </c>
      <c r="N70" s="18" t="str">
        <f>IF(ISERROR(
(O70*PG!D71)),"",(O70*PG!D71))</f>
        <v/>
      </c>
      <c r="O70" s="45" t="str">
        <f>IF(ISERROR(
PEq!$G$20*PG!G71),"",PEq!$G$20*PG!G71)</f>
        <v/>
      </c>
      <c r="P70" s="18">
        <f>IF(ISERROR(
PG!E71*G70),"",PG!E71*G70)</f>
        <v>0</v>
      </c>
      <c r="Q70" s="18">
        <f>IF(ISERROR(
PG!E71*D70),"",PG!E71*D70)</f>
        <v>0</v>
      </c>
    </row>
    <row r="71" spans="3:17" ht="30" customHeight="1" thickBot="1" x14ac:dyDescent="0.25">
      <c r="C71" s="83">
        <f>PG!C72</f>
        <v>0</v>
      </c>
      <c r="D71" s="23"/>
      <c r="E71" s="27"/>
      <c r="F71" s="27"/>
      <c r="G71" s="23"/>
      <c r="H71" s="62">
        <f>D71+PG!D72*(E71+F71)+G71</f>
        <v>0</v>
      </c>
      <c r="J71" s="18" t="str">
        <f>IF(ISERROR(
PG!F72*E71),"",PG!F72*E71)</f>
        <v/>
      </c>
      <c r="K71" s="18" t="str">
        <f>IF(ISERROR(
PG!F72*F71),"",PG!F72*F71)</f>
        <v/>
      </c>
      <c r="L71" s="18">
        <f>IF(ISERROR(
PG!D72-H71),"",PG!D72-H71)</f>
        <v>0</v>
      </c>
      <c r="M71" s="33" t="str">
        <f>IF(ISERROR(
L71/PG!D72),"",L71/PG!D72)</f>
        <v/>
      </c>
      <c r="N71" s="18" t="str">
        <f>IF(ISERROR(
(O71*PG!D72)),"",(O71*PG!D72))</f>
        <v/>
      </c>
      <c r="O71" s="45" t="str">
        <f>IF(ISERROR(
PEq!$G$20*PG!G72),"",PEq!$G$20*PG!G72)</f>
        <v/>
      </c>
      <c r="P71" s="18">
        <f>IF(ISERROR(
PG!E72*G71),"",PG!E72*G71)</f>
        <v>0</v>
      </c>
      <c r="Q71" s="18">
        <f>IF(ISERROR(
PG!E72*D71),"",PG!E72*D71)</f>
        <v>0</v>
      </c>
    </row>
    <row r="72" spans="3:17" ht="30" customHeight="1" thickBot="1" x14ac:dyDescent="0.25">
      <c r="C72" s="83">
        <f>PG!C73</f>
        <v>0</v>
      </c>
      <c r="D72" s="23"/>
      <c r="E72" s="27"/>
      <c r="F72" s="27"/>
      <c r="G72" s="23"/>
      <c r="H72" s="62">
        <f>D72+PG!D73*(E72+F72)+G72</f>
        <v>0</v>
      </c>
      <c r="J72" s="18" t="str">
        <f>IF(ISERROR(
PG!F73*E72),"",PG!F73*E72)</f>
        <v/>
      </c>
      <c r="K72" s="18" t="str">
        <f>IF(ISERROR(
PG!F73*F72),"",PG!F73*F72)</f>
        <v/>
      </c>
      <c r="L72" s="18">
        <f>IF(ISERROR(
PG!D73-H72),"",PG!D73-H72)</f>
        <v>0</v>
      </c>
      <c r="M72" s="33" t="str">
        <f>IF(ISERROR(
L72/PG!D73),"",L72/PG!D73)</f>
        <v/>
      </c>
      <c r="N72" s="18" t="str">
        <f>IF(ISERROR(
(O72*PG!D73)),"",(O72*PG!D73))</f>
        <v/>
      </c>
      <c r="O72" s="45" t="str">
        <f>IF(ISERROR(
PEq!$G$20*PG!G73),"",PEq!$G$20*PG!G73)</f>
        <v/>
      </c>
      <c r="P72" s="18">
        <f>IF(ISERROR(
PG!E73*G72),"",PG!E73*G72)</f>
        <v>0</v>
      </c>
      <c r="Q72" s="18">
        <f>IF(ISERROR(
PG!E73*D72),"",PG!E73*D72)</f>
        <v>0</v>
      </c>
    </row>
    <row r="73" spans="3:17" ht="30" customHeight="1" thickBot="1" x14ac:dyDescent="0.25">
      <c r="C73" s="83">
        <f>PG!C74</f>
        <v>0</v>
      </c>
      <c r="D73" s="23"/>
      <c r="E73" s="27"/>
      <c r="F73" s="27"/>
      <c r="G73" s="23"/>
      <c r="H73" s="62">
        <f>D73+PG!D74*(E73+F73)+G73</f>
        <v>0</v>
      </c>
      <c r="J73" s="18" t="str">
        <f>IF(ISERROR(
PG!F74*E73),"",PG!F74*E73)</f>
        <v/>
      </c>
      <c r="K73" s="18" t="str">
        <f>IF(ISERROR(
PG!F74*F73),"",PG!F74*F73)</f>
        <v/>
      </c>
      <c r="L73" s="18">
        <f>IF(ISERROR(
PG!D74-H73),"",PG!D74-H73)</f>
        <v>0</v>
      </c>
      <c r="M73" s="33" t="str">
        <f>IF(ISERROR(
L73/PG!D74),"",L73/PG!D74)</f>
        <v/>
      </c>
      <c r="N73" s="18" t="str">
        <f>IF(ISERROR(
(O73*PG!D74)),"",(O73*PG!D74))</f>
        <v/>
      </c>
      <c r="O73" s="45" t="str">
        <f>IF(ISERROR(
PEq!$G$20*PG!G74),"",PEq!$G$20*PG!G74)</f>
        <v/>
      </c>
      <c r="P73" s="18">
        <f>IF(ISERROR(
PG!E74*G73),"",PG!E74*G73)</f>
        <v>0</v>
      </c>
      <c r="Q73" s="18">
        <f>IF(ISERROR(
PG!E74*D73),"",PG!E74*D73)</f>
        <v>0</v>
      </c>
    </row>
    <row r="74" spans="3:17" ht="30" customHeight="1" thickBot="1" x14ac:dyDescent="0.25">
      <c r="C74" s="83">
        <f>PG!C75</f>
        <v>0</v>
      </c>
      <c r="D74" s="23"/>
      <c r="E74" s="27"/>
      <c r="F74" s="27"/>
      <c r="G74" s="23"/>
      <c r="H74" s="62">
        <f>D74+PG!D75*(E74+F74)+G74</f>
        <v>0</v>
      </c>
      <c r="J74" s="18" t="str">
        <f>IF(ISERROR(
PG!F75*E74),"",PG!F75*E74)</f>
        <v/>
      </c>
      <c r="K74" s="18" t="str">
        <f>IF(ISERROR(
PG!F75*F74),"",PG!F75*F74)</f>
        <v/>
      </c>
      <c r="L74" s="18">
        <f>IF(ISERROR(
PG!D75-H74),"",PG!D75-H74)</f>
        <v>0</v>
      </c>
      <c r="M74" s="33" t="str">
        <f>IF(ISERROR(
L74/PG!D75),"",L74/PG!D75)</f>
        <v/>
      </c>
      <c r="N74" s="18" t="str">
        <f>IF(ISERROR(
(O74*PG!D75)),"",(O74*PG!D75))</f>
        <v/>
      </c>
      <c r="O74" s="45" t="str">
        <f>IF(ISERROR(
PEq!$G$20*PG!G75),"",PEq!$G$20*PG!G75)</f>
        <v/>
      </c>
      <c r="P74" s="18">
        <f>IF(ISERROR(
PG!E75*G74),"",PG!E75*G74)</f>
        <v>0</v>
      </c>
      <c r="Q74" s="18">
        <f>IF(ISERROR(
PG!E75*D74),"",PG!E75*D74)</f>
        <v>0</v>
      </c>
    </row>
    <row r="75" spans="3:17" ht="30" customHeight="1" thickBot="1" x14ac:dyDescent="0.25">
      <c r="C75" s="83">
        <f>PG!C76</f>
        <v>0</v>
      </c>
      <c r="D75" s="23"/>
      <c r="E75" s="27"/>
      <c r="F75" s="27"/>
      <c r="G75" s="23"/>
      <c r="H75" s="62">
        <f>D75+PG!D76*(E75+F75)+G75</f>
        <v>0</v>
      </c>
      <c r="J75" s="18" t="str">
        <f>IF(ISERROR(
PG!F76*E75),"",PG!F76*E75)</f>
        <v/>
      </c>
      <c r="K75" s="18" t="str">
        <f>IF(ISERROR(
PG!F76*F75),"",PG!F76*F75)</f>
        <v/>
      </c>
      <c r="L75" s="18">
        <f>IF(ISERROR(
PG!D76-H75),"",PG!D76-H75)</f>
        <v>0</v>
      </c>
      <c r="M75" s="33" t="str">
        <f>IF(ISERROR(
L75/PG!D76),"",L75/PG!D76)</f>
        <v/>
      </c>
      <c r="N75" s="18" t="str">
        <f>IF(ISERROR(
(O75*PG!D76)),"",(O75*PG!D76))</f>
        <v/>
      </c>
      <c r="O75" s="45" t="str">
        <f>IF(ISERROR(
PEq!$G$20*PG!G76),"",PEq!$G$20*PG!G76)</f>
        <v/>
      </c>
      <c r="P75" s="18">
        <f>IF(ISERROR(
PG!E76*G75),"",PG!E76*G75)</f>
        <v>0</v>
      </c>
      <c r="Q75" s="18">
        <f>IF(ISERROR(
PG!E76*D75),"",PG!E76*D75)</f>
        <v>0</v>
      </c>
    </row>
    <row r="76" spans="3:17" ht="30" customHeight="1" thickBot="1" x14ac:dyDescent="0.25">
      <c r="C76" s="83">
        <f>PG!C77</f>
        <v>0</v>
      </c>
      <c r="D76" s="23"/>
      <c r="E76" s="27"/>
      <c r="F76" s="27"/>
      <c r="G76" s="23"/>
      <c r="H76" s="62">
        <f>D76+PG!D77*(E76+F76)+G76</f>
        <v>0</v>
      </c>
      <c r="J76" s="18" t="str">
        <f>IF(ISERROR(
PG!F77*E76),"",PG!F77*E76)</f>
        <v/>
      </c>
      <c r="K76" s="18" t="str">
        <f>IF(ISERROR(
PG!F77*F76),"",PG!F77*F76)</f>
        <v/>
      </c>
      <c r="L76" s="18">
        <f>IF(ISERROR(
PG!D77-H76),"",PG!D77-H76)</f>
        <v>0</v>
      </c>
      <c r="M76" s="33" t="str">
        <f>IF(ISERROR(
L76/PG!D77),"",L76/PG!D77)</f>
        <v/>
      </c>
      <c r="N76" s="18" t="str">
        <f>IF(ISERROR(
(O76*PG!D77)),"",(O76*PG!D77))</f>
        <v/>
      </c>
      <c r="O76" s="45" t="str">
        <f>IF(ISERROR(
PEq!$G$20*PG!G77),"",PEq!$G$20*PG!G77)</f>
        <v/>
      </c>
      <c r="P76" s="18">
        <f>IF(ISERROR(
PG!E77*G76),"",PG!E77*G76)</f>
        <v>0</v>
      </c>
      <c r="Q76" s="18">
        <f>IF(ISERROR(
PG!E77*D76),"",PG!E77*D76)</f>
        <v>0</v>
      </c>
    </row>
    <row r="77" spans="3:17" ht="30" customHeight="1" thickBot="1" x14ac:dyDescent="0.25">
      <c r="C77" s="83">
        <f>PG!C78</f>
        <v>0</v>
      </c>
      <c r="D77" s="23"/>
      <c r="E77" s="27"/>
      <c r="F77" s="27"/>
      <c r="G77" s="23"/>
      <c r="H77" s="62">
        <f>D77+PG!D78*(E77+F77)+G77</f>
        <v>0</v>
      </c>
      <c r="J77" s="18" t="str">
        <f>IF(ISERROR(
PG!F78*E77),"",PG!F78*E77)</f>
        <v/>
      </c>
      <c r="K77" s="18" t="str">
        <f>IF(ISERROR(
PG!F78*F77),"",PG!F78*F77)</f>
        <v/>
      </c>
      <c r="L77" s="18">
        <f>IF(ISERROR(
PG!D78-H77),"",PG!D78-H77)</f>
        <v>0</v>
      </c>
      <c r="M77" s="33" t="str">
        <f>IF(ISERROR(
L77/PG!D78),"",L77/PG!D78)</f>
        <v/>
      </c>
      <c r="N77" s="18" t="str">
        <f>IF(ISERROR(
(O77*PG!D78)),"",(O77*PG!D78))</f>
        <v/>
      </c>
      <c r="O77" s="45" t="str">
        <f>IF(ISERROR(
PEq!$G$20*PG!G78),"",PEq!$G$20*PG!G78)</f>
        <v/>
      </c>
      <c r="P77" s="18">
        <f>IF(ISERROR(
PG!E78*G77),"",PG!E78*G77)</f>
        <v>0</v>
      </c>
      <c r="Q77" s="18">
        <f>IF(ISERROR(
PG!E78*D77),"",PG!E78*D77)</f>
        <v>0</v>
      </c>
    </row>
    <row r="78" spans="3:17" ht="30" customHeight="1" thickBot="1" x14ac:dyDescent="0.25">
      <c r="C78" s="83">
        <f>PG!C79</f>
        <v>0</v>
      </c>
      <c r="D78" s="23"/>
      <c r="E78" s="27"/>
      <c r="F78" s="27"/>
      <c r="G78" s="23"/>
      <c r="H78" s="62">
        <f>D78+PG!D79*(E78+F78)+G78</f>
        <v>0</v>
      </c>
      <c r="J78" s="18" t="str">
        <f>IF(ISERROR(
PG!F79*E78),"",PG!F79*E78)</f>
        <v/>
      </c>
      <c r="K78" s="18" t="str">
        <f>IF(ISERROR(
PG!F79*F78),"",PG!F79*F78)</f>
        <v/>
      </c>
      <c r="L78" s="18">
        <f>IF(ISERROR(
PG!D79-H78),"",PG!D79-H78)</f>
        <v>0</v>
      </c>
      <c r="M78" s="33" t="str">
        <f>IF(ISERROR(
L78/PG!D79),"",L78/PG!D79)</f>
        <v/>
      </c>
      <c r="N78" s="18" t="str">
        <f>IF(ISERROR(
(O78*PG!D79)),"",(O78*PG!D79))</f>
        <v/>
      </c>
      <c r="O78" s="45" t="str">
        <f>IF(ISERROR(
PEq!$G$20*PG!G79),"",PEq!$G$20*PG!G79)</f>
        <v/>
      </c>
      <c r="P78" s="18">
        <f>IF(ISERROR(
PG!E79*G78),"",PG!E79*G78)</f>
        <v>0</v>
      </c>
      <c r="Q78" s="18">
        <f>IF(ISERROR(
PG!E79*D78),"",PG!E79*D78)</f>
        <v>0</v>
      </c>
    </row>
    <row r="79" spans="3:17" ht="30" customHeight="1" thickBot="1" x14ac:dyDescent="0.25">
      <c r="C79" s="83">
        <f>PG!C80</f>
        <v>0</v>
      </c>
      <c r="D79" s="23"/>
      <c r="E79" s="27"/>
      <c r="F79" s="27"/>
      <c r="G79" s="23"/>
      <c r="H79" s="62">
        <f>D79+PG!D80*(E79+F79)+G79</f>
        <v>0</v>
      </c>
      <c r="J79" s="18" t="str">
        <f>IF(ISERROR(
PG!F80*E79),"",PG!F80*E79)</f>
        <v/>
      </c>
      <c r="K79" s="18" t="str">
        <f>IF(ISERROR(
PG!F80*F79),"",PG!F80*F79)</f>
        <v/>
      </c>
      <c r="L79" s="18">
        <f>IF(ISERROR(
PG!D80-H79),"",PG!D80-H79)</f>
        <v>0</v>
      </c>
      <c r="M79" s="33" t="str">
        <f>IF(ISERROR(
L79/PG!D80),"",L79/PG!D80)</f>
        <v/>
      </c>
      <c r="N79" s="18" t="str">
        <f>IF(ISERROR(
(O79*PG!D80)),"",(O79*PG!D80))</f>
        <v/>
      </c>
      <c r="O79" s="45" t="str">
        <f>IF(ISERROR(
PEq!$G$20*PG!G80),"",PEq!$G$20*PG!G80)</f>
        <v/>
      </c>
      <c r="P79" s="18">
        <f>IF(ISERROR(
PG!E80*G79),"",PG!E80*G79)</f>
        <v>0</v>
      </c>
      <c r="Q79" s="18">
        <f>IF(ISERROR(
PG!E80*D79),"",PG!E80*D79)</f>
        <v>0</v>
      </c>
    </row>
    <row r="80" spans="3:17" ht="30" customHeight="1" thickBot="1" x14ac:dyDescent="0.25">
      <c r="C80" s="83">
        <f>PG!C81</f>
        <v>0</v>
      </c>
      <c r="D80" s="23"/>
      <c r="E80" s="27"/>
      <c r="F80" s="27"/>
      <c r="G80" s="23"/>
      <c r="H80" s="62">
        <f>D80+PG!D81*(E80+F80)+G80</f>
        <v>0</v>
      </c>
      <c r="J80" s="18" t="str">
        <f>IF(ISERROR(
PG!F81*E80),"",PG!F81*E80)</f>
        <v/>
      </c>
      <c r="K80" s="18" t="str">
        <f>IF(ISERROR(
PG!F81*F80),"",PG!F81*F80)</f>
        <v/>
      </c>
      <c r="L80" s="18">
        <f>IF(ISERROR(
PG!D81-H80),"",PG!D81-H80)</f>
        <v>0</v>
      </c>
      <c r="M80" s="33" t="str">
        <f>IF(ISERROR(
L80/PG!D81),"",L80/PG!D81)</f>
        <v/>
      </c>
      <c r="N80" s="18" t="str">
        <f>IF(ISERROR(
(O80*PG!D81)),"",(O80*PG!D81))</f>
        <v/>
      </c>
      <c r="O80" s="45" t="str">
        <f>IF(ISERROR(
PEq!$G$20*PG!G81),"",PEq!$G$20*PG!G81)</f>
        <v/>
      </c>
      <c r="P80" s="18">
        <f>IF(ISERROR(
PG!E81*G80),"",PG!E81*G80)</f>
        <v>0</v>
      </c>
      <c r="Q80" s="18">
        <f>IF(ISERROR(
PG!E81*D80),"",PG!E81*D80)</f>
        <v>0</v>
      </c>
    </row>
    <row r="81" spans="3:17" ht="30" customHeight="1" thickBot="1" x14ac:dyDescent="0.25">
      <c r="C81" s="83">
        <f>PG!C82</f>
        <v>0</v>
      </c>
      <c r="D81" s="23"/>
      <c r="E81" s="27"/>
      <c r="F81" s="27"/>
      <c r="G81" s="23"/>
      <c r="H81" s="62">
        <f>D81+PG!D82*(E81+F81)+G81</f>
        <v>0</v>
      </c>
      <c r="J81" s="18" t="str">
        <f>IF(ISERROR(
PG!F82*E81),"",PG!F82*E81)</f>
        <v/>
      </c>
      <c r="K81" s="18" t="str">
        <f>IF(ISERROR(
PG!F82*F81),"",PG!F82*F81)</f>
        <v/>
      </c>
      <c r="L81" s="18">
        <f>IF(ISERROR(
PG!D82-H81),"",PG!D82-H81)</f>
        <v>0</v>
      </c>
      <c r="M81" s="33" t="str">
        <f>IF(ISERROR(
L81/PG!D82),"",L81/PG!D82)</f>
        <v/>
      </c>
      <c r="N81" s="18" t="str">
        <f>IF(ISERROR(
(O81*PG!D82)),"",(O81*PG!D82))</f>
        <v/>
      </c>
      <c r="O81" s="45" t="str">
        <f>IF(ISERROR(
PEq!$G$20*PG!G82),"",PEq!$G$20*PG!G82)</f>
        <v/>
      </c>
      <c r="P81" s="18">
        <f>IF(ISERROR(
PG!E82*G81),"",PG!E82*G81)</f>
        <v>0</v>
      </c>
      <c r="Q81" s="18">
        <f>IF(ISERROR(
PG!E82*D81),"",PG!E82*D81)</f>
        <v>0</v>
      </c>
    </row>
    <row r="82" spans="3:17" ht="30" customHeight="1" thickBot="1" x14ac:dyDescent="0.25">
      <c r="C82" s="83">
        <f>PG!C83</f>
        <v>0</v>
      </c>
      <c r="D82" s="23"/>
      <c r="E82" s="27"/>
      <c r="F82" s="27"/>
      <c r="G82" s="23"/>
      <c r="H82" s="62">
        <f>D82+PG!D83*(E82+F82)+G82</f>
        <v>0</v>
      </c>
      <c r="J82" s="18" t="str">
        <f>IF(ISERROR(
PG!F83*E82),"",PG!F83*E82)</f>
        <v/>
      </c>
      <c r="K82" s="18" t="str">
        <f>IF(ISERROR(
PG!F83*F82),"",PG!F83*F82)</f>
        <v/>
      </c>
      <c r="L82" s="18">
        <f>IF(ISERROR(
PG!D83-H82),"",PG!D83-H82)</f>
        <v>0</v>
      </c>
      <c r="M82" s="33" t="str">
        <f>IF(ISERROR(
L82/PG!D83),"",L82/PG!D83)</f>
        <v/>
      </c>
      <c r="N82" s="18" t="str">
        <f>IF(ISERROR(
(O82*PG!D83)),"",(O82*PG!D83))</f>
        <v/>
      </c>
      <c r="O82" s="45" t="str">
        <f>IF(ISERROR(
PEq!$G$20*PG!G83),"",PEq!$G$20*PG!G83)</f>
        <v/>
      </c>
      <c r="P82" s="18">
        <f>IF(ISERROR(
PG!E83*G82),"",PG!E83*G82)</f>
        <v>0</v>
      </c>
      <c r="Q82" s="18">
        <f>IF(ISERROR(
PG!E83*D82),"",PG!E83*D82)</f>
        <v>0</v>
      </c>
    </row>
    <row r="83" spans="3:17" ht="30" customHeight="1" thickBot="1" x14ac:dyDescent="0.25">
      <c r="C83" s="83">
        <f>PG!C84</f>
        <v>0</v>
      </c>
      <c r="D83" s="23"/>
      <c r="E83" s="27"/>
      <c r="F83" s="27"/>
      <c r="G83" s="23"/>
      <c r="H83" s="62">
        <f>D83+PG!D84*(E83+F83)+G83</f>
        <v>0</v>
      </c>
      <c r="J83" s="18" t="str">
        <f>IF(ISERROR(
PG!F84*E83),"",PG!F84*E83)</f>
        <v/>
      </c>
      <c r="K83" s="18" t="str">
        <f>IF(ISERROR(
PG!F84*F83),"",PG!F84*F83)</f>
        <v/>
      </c>
      <c r="L83" s="18">
        <f>IF(ISERROR(
PG!D84-H83),"",PG!D84-H83)</f>
        <v>0</v>
      </c>
      <c r="M83" s="33" t="str">
        <f>IF(ISERROR(
L83/PG!D84),"",L83/PG!D84)</f>
        <v/>
      </c>
      <c r="N83" s="18" t="str">
        <f>IF(ISERROR(
(O83*PG!D84)),"",(O83*PG!D84))</f>
        <v/>
      </c>
      <c r="O83" s="45" t="str">
        <f>IF(ISERROR(
PEq!$G$20*PG!G84),"",PEq!$G$20*PG!G84)</f>
        <v/>
      </c>
      <c r="P83" s="18">
        <f>IF(ISERROR(
PG!E84*G83),"",PG!E84*G83)</f>
        <v>0</v>
      </c>
      <c r="Q83" s="18">
        <f>IF(ISERROR(
PG!E84*D83),"",PG!E84*D83)</f>
        <v>0</v>
      </c>
    </row>
    <row r="84" spans="3:17" ht="30" customHeight="1" thickBot="1" x14ac:dyDescent="0.25">
      <c r="C84" s="83">
        <f>PG!C85</f>
        <v>0</v>
      </c>
      <c r="D84" s="23"/>
      <c r="E84" s="27"/>
      <c r="F84" s="27"/>
      <c r="G84" s="23"/>
      <c r="H84" s="62">
        <f>D84+PG!D85*(E84+F84)+G84</f>
        <v>0</v>
      </c>
      <c r="J84" s="18" t="str">
        <f>IF(ISERROR(
PG!F85*E84),"",PG!F85*E84)</f>
        <v/>
      </c>
      <c r="K84" s="18" t="str">
        <f>IF(ISERROR(
PG!F85*F84),"",PG!F85*F84)</f>
        <v/>
      </c>
      <c r="L84" s="18">
        <f>IF(ISERROR(
PG!D85-H84),"",PG!D85-H84)</f>
        <v>0</v>
      </c>
      <c r="M84" s="33" t="str">
        <f>IF(ISERROR(
L84/PG!D85),"",L84/PG!D85)</f>
        <v/>
      </c>
      <c r="N84" s="18" t="str">
        <f>IF(ISERROR(
(O84*PG!D85)),"",(O84*PG!D85))</f>
        <v/>
      </c>
      <c r="O84" s="45" t="str">
        <f>IF(ISERROR(
PEq!$G$20*PG!G85),"",PEq!$G$20*PG!G85)</f>
        <v/>
      </c>
      <c r="P84" s="18">
        <f>IF(ISERROR(
PG!E85*G84),"",PG!E85*G84)</f>
        <v>0</v>
      </c>
      <c r="Q84" s="18">
        <f>IF(ISERROR(
PG!E85*D84),"",PG!E85*D84)</f>
        <v>0</v>
      </c>
    </row>
    <row r="85" spans="3:17" ht="30" customHeight="1" thickBot="1" x14ac:dyDescent="0.25">
      <c r="C85" s="83">
        <f>PG!C86</f>
        <v>0</v>
      </c>
      <c r="D85" s="23"/>
      <c r="E85" s="27"/>
      <c r="F85" s="27"/>
      <c r="G85" s="23"/>
      <c r="H85" s="62">
        <f>D85+PG!D86*(E85+F85)+G85</f>
        <v>0</v>
      </c>
      <c r="J85" s="18" t="str">
        <f>IF(ISERROR(
PG!F86*E85),"",PG!F86*E85)</f>
        <v/>
      </c>
      <c r="K85" s="18" t="str">
        <f>IF(ISERROR(
PG!F86*F85),"",PG!F86*F85)</f>
        <v/>
      </c>
      <c r="L85" s="18">
        <f>IF(ISERROR(
PG!D86-H85),"",PG!D86-H85)</f>
        <v>0</v>
      </c>
      <c r="M85" s="33" t="str">
        <f>IF(ISERROR(
L85/PG!D86),"",L85/PG!D86)</f>
        <v/>
      </c>
      <c r="N85" s="18" t="str">
        <f>IF(ISERROR(
(O85*PG!D86)),"",(O85*PG!D86))</f>
        <v/>
      </c>
      <c r="O85" s="45" t="str">
        <f>IF(ISERROR(
PEq!$G$20*PG!G86),"",PEq!$G$20*PG!G86)</f>
        <v/>
      </c>
      <c r="P85" s="18">
        <f>IF(ISERROR(
PG!E86*G85),"",PG!E86*G85)</f>
        <v>0</v>
      </c>
      <c r="Q85" s="18">
        <f>IF(ISERROR(
PG!E86*D85),"",PG!E86*D85)</f>
        <v>0</v>
      </c>
    </row>
    <row r="86" spans="3:17" ht="30" customHeight="1" thickBot="1" x14ac:dyDescent="0.25">
      <c r="C86" s="83">
        <f>PG!C87</f>
        <v>0</v>
      </c>
      <c r="D86" s="23"/>
      <c r="E86" s="27"/>
      <c r="F86" s="27"/>
      <c r="G86" s="23"/>
      <c r="H86" s="62">
        <f>D86+PG!D87*(E86+F86)+G86</f>
        <v>0</v>
      </c>
      <c r="J86" s="18" t="str">
        <f>IF(ISERROR(
PG!F87*E86),"",PG!F87*E86)</f>
        <v/>
      </c>
      <c r="K86" s="18" t="str">
        <f>IF(ISERROR(
PG!F87*F86),"",PG!F87*F86)</f>
        <v/>
      </c>
      <c r="L86" s="18">
        <f>IF(ISERROR(
PG!D87-H86),"",PG!D87-H86)</f>
        <v>0</v>
      </c>
      <c r="M86" s="33" t="str">
        <f>IF(ISERROR(
L86/PG!D87),"",L86/PG!D87)</f>
        <v/>
      </c>
      <c r="N86" s="18" t="str">
        <f>IF(ISERROR(
(O86*PG!D87)),"",(O86*PG!D87))</f>
        <v/>
      </c>
      <c r="O86" s="45" t="str">
        <f>IF(ISERROR(
PEq!$G$20*PG!G87),"",PEq!$G$20*PG!G87)</f>
        <v/>
      </c>
      <c r="P86" s="18">
        <f>IF(ISERROR(
PG!E87*G86),"",PG!E87*G86)</f>
        <v>0</v>
      </c>
      <c r="Q86" s="18">
        <f>IF(ISERROR(
PG!E87*D86),"",PG!E87*D86)</f>
        <v>0</v>
      </c>
    </row>
    <row r="87" spans="3:17" ht="30" customHeight="1" thickBot="1" x14ac:dyDescent="0.25">
      <c r="C87" s="83">
        <f>PG!C88</f>
        <v>0</v>
      </c>
      <c r="D87" s="23"/>
      <c r="E87" s="27"/>
      <c r="F87" s="27"/>
      <c r="G87" s="23"/>
      <c r="H87" s="62">
        <f>D87+PG!D88*(E87+F87)+G87</f>
        <v>0</v>
      </c>
      <c r="J87" s="18" t="str">
        <f>IF(ISERROR(
PG!F88*E87),"",PG!F88*E87)</f>
        <v/>
      </c>
      <c r="K87" s="18" t="str">
        <f>IF(ISERROR(
PG!F88*F87),"",PG!F88*F87)</f>
        <v/>
      </c>
      <c r="L87" s="18">
        <f>IF(ISERROR(
PG!D88-H87),"",PG!D88-H87)</f>
        <v>0</v>
      </c>
      <c r="M87" s="33" t="str">
        <f>IF(ISERROR(
L87/PG!D88),"",L87/PG!D88)</f>
        <v/>
      </c>
      <c r="N87" s="18" t="str">
        <f>IF(ISERROR(
(O87*PG!D88)),"",(O87*PG!D88))</f>
        <v/>
      </c>
      <c r="O87" s="45" t="str">
        <f>IF(ISERROR(
PEq!$G$20*PG!G88),"",PEq!$G$20*PG!G88)</f>
        <v/>
      </c>
      <c r="P87" s="18">
        <f>IF(ISERROR(
PG!E88*G87),"",PG!E88*G87)</f>
        <v>0</v>
      </c>
      <c r="Q87" s="18">
        <f>IF(ISERROR(
PG!E88*D87),"",PG!E88*D87)</f>
        <v>0</v>
      </c>
    </row>
    <row r="88" spans="3:17" ht="30" customHeight="1" thickBot="1" x14ac:dyDescent="0.25">
      <c r="C88" s="83">
        <f>PG!C89</f>
        <v>0</v>
      </c>
      <c r="D88" s="23"/>
      <c r="E88" s="27"/>
      <c r="F88" s="27"/>
      <c r="G88" s="23"/>
      <c r="H88" s="62">
        <f>D88+PG!D89*(E88+F88)+G88</f>
        <v>0</v>
      </c>
      <c r="J88" s="18" t="str">
        <f>IF(ISERROR(
PG!F89*E88),"",PG!F89*E88)</f>
        <v/>
      </c>
      <c r="K88" s="18" t="str">
        <f>IF(ISERROR(
PG!F89*F88),"",PG!F89*F88)</f>
        <v/>
      </c>
      <c r="L88" s="18">
        <f>IF(ISERROR(
PG!D89-H88),"",PG!D89-H88)</f>
        <v>0</v>
      </c>
      <c r="M88" s="33" t="str">
        <f>IF(ISERROR(
L88/PG!D89),"",L88/PG!D89)</f>
        <v/>
      </c>
      <c r="N88" s="18" t="str">
        <f>IF(ISERROR(
(O88*PG!D89)),"",(O88*PG!D89))</f>
        <v/>
      </c>
      <c r="O88" s="45" t="str">
        <f>IF(ISERROR(
PEq!$G$20*PG!G89),"",PEq!$G$20*PG!G89)</f>
        <v/>
      </c>
      <c r="P88" s="18">
        <f>IF(ISERROR(
PG!E89*G88),"",PG!E89*G88)</f>
        <v>0</v>
      </c>
      <c r="Q88" s="18">
        <f>IF(ISERROR(
PG!E89*D88),"",PG!E89*D88)</f>
        <v>0</v>
      </c>
    </row>
    <row r="89" spans="3:17" ht="30" customHeight="1" thickBot="1" x14ac:dyDescent="0.25">
      <c r="C89" s="83">
        <f>PG!C90</f>
        <v>0</v>
      </c>
      <c r="D89" s="23"/>
      <c r="E89" s="27"/>
      <c r="F89" s="27"/>
      <c r="G89" s="23"/>
      <c r="H89" s="62">
        <f>D89+PG!D90*(E89+F89)+G89</f>
        <v>0</v>
      </c>
      <c r="J89" s="18" t="str">
        <f>IF(ISERROR(
PG!F90*E89),"",PG!F90*E89)</f>
        <v/>
      </c>
      <c r="K89" s="18" t="str">
        <f>IF(ISERROR(
PG!F90*F89),"",PG!F90*F89)</f>
        <v/>
      </c>
      <c r="L89" s="18">
        <f>IF(ISERROR(
PG!D90-H89),"",PG!D90-H89)</f>
        <v>0</v>
      </c>
      <c r="M89" s="33" t="str">
        <f>IF(ISERROR(
L89/PG!D90),"",L89/PG!D90)</f>
        <v/>
      </c>
      <c r="N89" s="18" t="str">
        <f>IF(ISERROR(
(O89*PG!D90)),"",(O89*PG!D90))</f>
        <v/>
      </c>
      <c r="O89" s="45" t="str">
        <f>IF(ISERROR(
PEq!$G$20*PG!G90),"",PEq!$G$20*PG!G90)</f>
        <v/>
      </c>
      <c r="P89" s="18">
        <f>IF(ISERROR(
PG!E90*G89),"",PG!E90*G89)</f>
        <v>0</v>
      </c>
      <c r="Q89" s="18">
        <f>IF(ISERROR(
PG!E90*D89),"",PG!E90*D89)</f>
        <v>0</v>
      </c>
    </row>
    <row r="90" spans="3:17" ht="30" customHeight="1" thickBot="1" x14ac:dyDescent="0.25">
      <c r="C90" s="83">
        <f>PG!C91</f>
        <v>0</v>
      </c>
      <c r="D90" s="23"/>
      <c r="E90" s="27"/>
      <c r="F90" s="27"/>
      <c r="G90" s="23"/>
      <c r="H90" s="62">
        <f>D90+PG!D91*(E90+F90)+G90</f>
        <v>0</v>
      </c>
      <c r="J90" s="18" t="str">
        <f>IF(ISERROR(
PG!F91*E90),"",PG!F91*E90)</f>
        <v/>
      </c>
      <c r="K90" s="18" t="str">
        <f>IF(ISERROR(
PG!F91*F90),"",PG!F91*F90)</f>
        <v/>
      </c>
      <c r="L90" s="18">
        <f>IF(ISERROR(
PG!D91-H90),"",PG!D91-H90)</f>
        <v>0</v>
      </c>
      <c r="M90" s="33" t="str">
        <f>IF(ISERROR(
L90/PG!D91),"",L90/PG!D91)</f>
        <v/>
      </c>
      <c r="N90" s="18" t="str">
        <f>IF(ISERROR(
(O90*PG!D91)),"",(O90*PG!D91))</f>
        <v/>
      </c>
      <c r="O90" s="45" t="str">
        <f>IF(ISERROR(
PEq!$G$20*PG!G91),"",PEq!$G$20*PG!G91)</f>
        <v/>
      </c>
      <c r="P90" s="18">
        <f>IF(ISERROR(
PG!E91*G90),"",PG!E91*G90)</f>
        <v>0</v>
      </c>
      <c r="Q90" s="18">
        <f>IF(ISERROR(
PG!E91*D90),"",PG!E91*D90)</f>
        <v>0</v>
      </c>
    </row>
    <row r="91" spans="3:17" ht="30" customHeight="1" thickBot="1" x14ac:dyDescent="0.25">
      <c r="C91" s="83">
        <f>PG!C92</f>
        <v>0</v>
      </c>
      <c r="D91" s="23"/>
      <c r="E91" s="27"/>
      <c r="F91" s="27"/>
      <c r="G91" s="23"/>
      <c r="H91" s="62">
        <f>D91+PG!D92*(E91+F91)+G91</f>
        <v>0</v>
      </c>
      <c r="J91" s="18" t="str">
        <f>IF(ISERROR(
PG!F92*E91),"",PG!F92*E91)</f>
        <v/>
      </c>
      <c r="K91" s="18" t="str">
        <f>IF(ISERROR(
PG!F92*F91),"",PG!F92*F91)</f>
        <v/>
      </c>
      <c r="L91" s="18">
        <f>IF(ISERROR(
PG!D92-H91),"",PG!D92-H91)</f>
        <v>0</v>
      </c>
      <c r="M91" s="33" t="str">
        <f>IF(ISERROR(
L91/PG!D92),"",L91/PG!D92)</f>
        <v/>
      </c>
      <c r="N91" s="18" t="str">
        <f>IF(ISERROR(
(O91*PG!D92)),"",(O91*PG!D92))</f>
        <v/>
      </c>
      <c r="O91" s="45" t="str">
        <f>IF(ISERROR(
PEq!$G$20*PG!G92),"",PEq!$G$20*PG!G92)</f>
        <v/>
      </c>
      <c r="P91" s="18">
        <f>IF(ISERROR(
PG!E92*G91),"",PG!E92*G91)</f>
        <v>0</v>
      </c>
      <c r="Q91" s="18">
        <f>IF(ISERROR(
PG!E92*D91),"",PG!E92*D91)</f>
        <v>0</v>
      </c>
    </row>
    <row r="92" spans="3:17" ht="30" customHeight="1" thickBot="1" x14ac:dyDescent="0.25">
      <c r="C92" s="83">
        <f>PG!C93</f>
        <v>0</v>
      </c>
      <c r="D92" s="23"/>
      <c r="E92" s="27"/>
      <c r="F92" s="27"/>
      <c r="G92" s="23"/>
      <c r="H92" s="62">
        <f>D92+PG!D93*(E92+F92)+G92</f>
        <v>0</v>
      </c>
      <c r="J92" s="18" t="str">
        <f>IF(ISERROR(
PG!F93*E92),"",PG!F93*E92)</f>
        <v/>
      </c>
      <c r="K92" s="18" t="str">
        <f>IF(ISERROR(
PG!F93*F92),"",PG!F93*F92)</f>
        <v/>
      </c>
      <c r="L92" s="18">
        <f>IF(ISERROR(
PG!D93-H92),"",PG!D93-H92)</f>
        <v>0</v>
      </c>
      <c r="M92" s="33" t="str">
        <f>IF(ISERROR(
L92/PG!D93),"",L92/PG!D93)</f>
        <v/>
      </c>
      <c r="N92" s="18" t="str">
        <f>IF(ISERROR(
(O92*PG!D93)),"",(O92*PG!D93))</f>
        <v/>
      </c>
      <c r="O92" s="45" t="str">
        <f>IF(ISERROR(
PEq!$G$20*PG!G93),"",PEq!$G$20*PG!G93)</f>
        <v/>
      </c>
      <c r="P92" s="18">
        <f>IF(ISERROR(
PG!E93*G92),"",PG!E93*G92)</f>
        <v>0</v>
      </c>
      <c r="Q92" s="18">
        <f>IF(ISERROR(
PG!E93*D92),"",PG!E93*D92)</f>
        <v>0</v>
      </c>
    </row>
    <row r="93" spans="3:17" ht="30" customHeight="1" thickBot="1" x14ac:dyDescent="0.25">
      <c r="C93" s="83">
        <f>PG!C94</f>
        <v>0</v>
      </c>
      <c r="D93" s="23"/>
      <c r="E93" s="27"/>
      <c r="F93" s="27"/>
      <c r="G93" s="23"/>
      <c r="H93" s="62">
        <f>D93+PG!D94*(E93+F93)+G93</f>
        <v>0</v>
      </c>
      <c r="J93" s="18" t="str">
        <f>IF(ISERROR(
PG!F94*E93),"",PG!F94*E93)</f>
        <v/>
      </c>
      <c r="K93" s="18" t="str">
        <f>IF(ISERROR(
PG!F94*F93),"",PG!F94*F93)</f>
        <v/>
      </c>
      <c r="L93" s="18">
        <f>IF(ISERROR(
PG!D94-H93),"",PG!D94-H93)</f>
        <v>0</v>
      </c>
      <c r="M93" s="33" t="str">
        <f>IF(ISERROR(
L93/PG!D94),"",L93/PG!D94)</f>
        <v/>
      </c>
      <c r="N93" s="18" t="str">
        <f>IF(ISERROR(
(O93*PG!D94)),"",(O93*PG!D94))</f>
        <v/>
      </c>
      <c r="O93" s="45" t="str">
        <f>IF(ISERROR(
PEq!$G$20*PG!G94),"",PEq!$G$20*PG!G94)</f>
        <v/>
      </c>
      <c r="P93" s="18">
        <f>IF(ISERROR(
PG!E94*G93),"",PG!E94*G93)</f>
        <v>0</v>
      </c>
      <c r="Q93" s="18">
        <f>IF(ISERROR(
PG!E94*D93),"",PG!E94*D93)</f>
        <v>0</v>
      </c>
    </row>
    <row r="94" spans="3:17" ht="30" customHeight="1" thickBot="1" x14ac:dyDescent="0.25">
      <c r="C94" s="83">
        <f>PG!C95</f>
        <v>0</v>
      </c>
      <c r="D94" s="23"/>
      <c r="E94" s="27"/>
      <c r="F94" s="27"/>
      <c r="G94" s="23"/>
      <c r="H94" s="62">
        <f>D94+PG!D95*(E94+F94)+G94</f>
        <v>0</v>
      </c>
      <c r="J94" s="18" t="str">
        <f>IF(ISERROR(
PG!F95*E94),"",PG!F95*E94)</f>
        <v/>
      </c>
      <c r="K94" s="18" t="str">
        <f>IF(ISERROR(
PG!F95*F94),"",PG!F95*F94)</f>
        <v/>
      </c>
      <c r="L94" s="18">
        <f>IF(ISERROR(
PG!D95-H94),"",PG!D95-H94)</f>
        <v>0</v>
      </c>
      <c r="M94" s="33" t="str">
        <f>IF(ISERROR(
L94/PG!D95),"",L94/PG!D95)</f>
        <v/>
      </c>
      <c r="N94" s="18" t="str">
        <f>IF(ISERROR(
(O94*PG!D95)),"",(O94*PG!D95))</f>
        <v/>
      </c>
      <c r="O94" s="45" t="str">
        <f>IF(ISERROR(
PEq!$G$20*PG!G95),"",PEq!$G$20*PG!G95)</f>
        <v/>
      </c>
      <c r="P94" s="18">
        <f>IF(ISERROR(
PG!E95*G94),"",PG!E95*G94)</f>
        <v>0</v>
      </c>
      <c r="Q94" s="18">
        <f>IF(ISERROR(
PG!E95*D94),"",PG!E95*D94)</f>
        <v>0</v>
      </c>
    </row>
    <row r="95" spans="3:17" ht="30" customHeight="1" thickBot="1" x14ac:dyDescent="0.25">
      <c r="C95" s="83">
        <f>PG!C96</f>
        <v>0</v>
      </c>
      <c r="D95" s="23"/>
      <c r="E95" s="27"/>
      <c r="F95" s="27"/>
      <c r="G95" s="23"/>
      <c r="H95" s="62">
        <f>D95+PG!D96*(E95+F95)+G95</f>
        <v>0</v>
      </c>
      <c r="J95" s="18" t="str">
        <f>IF(ISERROR(
PG!F96*E95),"",PG!F96*E95)</f>
        <v/>
      </c>
      <c r="K95" s="18" t="str">
        <f>IF(ISERROR(
PG!F96*F95),"",PG!F96*F95)</f>
        <v/>
      </c>
      <c r="L95" s="18">
        <f>IF(ISERROR(
PG!D96-H95),"",PG!D96-H95)</f>
        <v>0</v>
      </c>
      <c r="M95" s="33" t="str">
        <f>IF(ISERROR(
L95/PG!D96),"",L95/PG!D96)</f>
        <v/>
      </c>
      <c r="N95" s="18" t="str">
        <f>IF(ISERROR(
(O95*PG!D96)),"",(O95*PG!D96))</f>
        <v/>
      </c>
      <c r="O95" s="45" t="str">
        <f>IF(ISERROR(
PEq!$G$20*PG!G96),"",PEq!$G$20*PG!G96)</f>
        <v/>
      </c>
      <c r="P95" s="18">
        <f>IF(ISERROR(
PG!E96*G95),"",PG!E96*G95)</f>
        <v>0</v>
      </c>
      <c r="Q95" s="18">
        <f>IF(ISERROR(
PG!E96*D95),"",PG!E96*D95)</f>
        <v>0</v>
      </c>
    </row>
    <row r="96" spans="3:17" ht="30" customHeight="1" thickBot="1" x14ac:dyDescent="0.25">
      <c r="C96" s="83">
        <f>PG!C97</f>
        <v>0</v>
      </c>
      <c r="D96" s="23"/>
      <c r="E96" s="27"/>
      <c r="F96" s="27"/>
      <c r="G96" s="23"/>
      <c r="H96" s="62">
        <f>D96+PG!D97*(E96+F96)+G96</f>
        <v>0</v>
      </c>
      <c r="J96" s="18" t="str">
        <f>IF(ISERROR(
PG!F97*E96),"",PG!F97*E96)</f>
        <v/>
      </c>
      <c r="K96" s="18" t="str">
        <f>IF(ISERROR(
PG!F97*F96),"",PG!F97*F96)</f>
        <v/>
      </c>
      <c r="L96" s="18">
        <f>IF(ISERROR(
PG!D97-H96),"",PG!D97-H96)</f>
        <v>0</v>
      </c>
      <c r="M96" s="33" t="str">
        <f>IF(ISERROR(
L96/PG!D97),"",L96/PG!D97)</f>
        <v/>
      </c>
      <c r="N96" s="18" t="str">
        <f>IF(ISERROR(
(O96*PG!D97)),"",(O96*PG!D97))</f>
        <v/>
      </c>
      <c r="O96" s="45" t="str">
        <f>IF(ISERROR(
PEq!$G$20*PG!G97),"",PEq!$G$20*PG!G97)</f>
        <v/>
      </c>
      <c r="P96" s="18">
        <f>IF(ISERROR(
PG!E97*G96),"",PG!E97*G96)</f>
        <v>0</v>
      </c>
      <c r="Q96" s="18">
        <f>IF(ISERROR(
PG!E97*D96),"",PG!E97*D96)</f>
        <v>0</v>
      </c>
    </row>
    <row r="97" spans="3:17" ht="30" customHeight="1" thickBot="1" x14ac:dyDescent="0.25">
      <c r="C97" s="83">
        <f>PG!C98</f>
        <v>0</v>
      </c>
      <c r="D97" s="23"/>
      <c r="E97" s="27"/>
      <c r="F97" s="27"/>
      <c r="G97" s="23"/>
      <c r="H97" s="62">
        <f>D97+PG!D98*(E97+F97)+G97</f>
        <v>0</v>
      </c>
      <c r="J97" s="18" t="str">
        <f>IF(ISERROR(
PG!F98*E97),"",PG!F98*E97)</f>
        <v/>
      </c>
      <c r="K97" s="18" t="str">
        <f>IF(ISERROR(
PG!F98*F97),"",PG!F98*F97)</f>
        <v/>
      </c>
      <c r="L97" s="18">
        <f>IF(ISERROR(
PG!D98-H97),"",PG!D98-H97)</f>
        <v>0</v>
      </c>
      <c r="M97" s="33" t="str">
        <f>IF(ISERROR(
L97/PG!D98),"",L97/PG!D98)</f>
        <v/>
      </c>
      <c r="N97" s="18" t="str">
        <f>IF(ISERROR(
(O97*PG!D98)),"",(O97*PG!D98))</f>
        <v/>
      </c>
      <c r="O97" s="45" t="str">
        <f>IF(ISERROR(
PEq!$G$20*PG!G98),"",PEq!$G$20*PG!G98)</f>
        <v/>
      </c>
      <c r="P97" s="18">
        <f>IF(ISERROR(
PG!E98*G97),"",PG!E98*G97)</f>
        <v>0</v>
      </c>
      <c r="Q97" s="18">
        <f>IF(ISERROR(
PG!E98*D97),"",PG!E98*D97)</f>
        <v>0</v>
      </c>
    </row>
    <row r="98" spans="3:17" ht="30" customHeight="1" thickBot="1" x14ac:dyDescent="0.25">
      <c r="C98" s="83">
        <f>PG!C99</f>
        <v>0</v>
      </c>
      <c r="D98" s="23"/>
      <c r="E98" s="27"/>
      <c r="F98" s="27"/>
      <c r="G98" s="23"/>
      <c r="H98" s="62">
        <f>D98+PG!D99*(E98+F98)+G98</f>
        <v>0</v>
      </c>
      <c r="J98" s="18" t="str">
        <f>IF(ISERROR(
PG!F99*E98),"",PG!F99*E98)</f>
        <v/>
      </c>
      <c r="K98" s="18" t="str">
        <f>IF(ISERROR(
PG!F99*F98),"",PG!F99*F98)</f>
        <v/>
      </c>
      <c r="L98" s="18">
        <f>IF(ISERROR(
PG!D99-H98),"",PG!D99-H98)</f>
        <v>0</v>
      </c>
      <c r="M98" s="33" t="str">
        <f>IF(ISERROR(
L98/PG!D99),"",L98/PG!D99)</f>
        <v/>
      </c>
      <c r="N98" s="18" t="str">
        <f>IF(ISERROR(
(O98*PG!D99)),"",(O98*PG!D99))</f>
        <v/>
      </c>
      <c r="O98" s="45" t="str">
        <f>IF(ISERROR(
PEq!$G$20*PG!G99),"",PEq!$G$20*PG!G99)</f>
        <v/>
      </c>
      <c r="P98" s="18">
        <f>IF(ISERROR(
PG!E99*G98),"",PG!E99*G98)</f>
        <v>0</v>
      </c>
      <c r="Q98" s="18">
        <f>IF(ISERROR(
PG!E99*D98),"",PG!E99*D98)</f>
        <v>0</v>
      </c>
    </row>
    <row r="99" spans="3:17" ht="30" customHeight="1" thickBot="1" x14ac:dyDescent="0.25">
      <c r="C99" s="83">
        <f>PG!C100</f>
        <v>0</v>
      </c>
      <c r="D99" s="23"/>
      <c r="E99" s="27"/>
      <c r="F99" s="27"/>
      <c r="G99" s="23"/>
      <c r="H99" s="62">
        <f>D99+PG!D100*(E99+F99)+G99</f>
        <v>0</v>
      </c>
      <c r="J99" s="18" t="str">
        <f>IF(ISERROR(
PG!F100*E99),"",PG!F100*E99)</f>
        <v/>
      </c>
      <c r="K99" s="18" t="str">
        <f>IF(ISERROR(
PG!F100*F99),"",PG!F100*F99)</f>
        <v/>
      </c>
      <c r="L99" s="18">
        <f>IF(ISERROR(
PG!D100-H99),"",PG!D100-H99)</f>
        <v>0</v>
      </c>
      <c r="M99" s="33" t="str">
        <f>IF(ISERROR(
L99/PG!D100),"",L99/PG!D100)</f>
        <v/>
      </c>
      <c r="N99" s="18" t="str">
        <f>IF(ISERROR(
(O99*PG!D100)),"",(O99*PG!D100))</f>
        <v/>
      </c>
      <c r="O99" s="45" t="str">
        <f>IF(ISERROR(
PEq!$G$20*PG!G100),"",PEq!$G$20*PG!G100)</f>
        <v/>
      </c>
      <c r="P99" s="18">
        <f>IF(ISERROR(
PG!E100*G99),"",PG!E100*G99)</f>
        <v>0</v>
      </c>
      <c r="Q99" s="18">
        <f>IF(ISERROR(
PG!E100*D99),"",PG!E100*D99)</f>
        <v>0</v>
      </c>
    </row>
    <row r="100" spans="3:17" ht="30" customHeight="1" thickBot="1" x14ac:dyDescent="0.25">
      <c r="C100" s="83">
        <f>PG!C101</f>
        <v>0</v>
      </c>
      <c r="D100" s="23"/>
      <c r="E100" s="27"/>
      <c r="F100" s="27"/>
      <c r="G100" s="23"/>
      <c r="H100" s="62">
        <f>D100+PG!D101*(E100+F100)+G100</f>
        <v>0</v>
      </c>
      <c r="J100" s="18" t="str">
        <f>IF(ISERROR(
PG!F101*E100),"",PG!F101*E100)</f>
        <v/>
      </c>
      <c r="K100" s="18" t="str">
        <f>IF(ISERROR(
PG!F101*F100),"",PG!F101*F100)</f>
        <v/>
      </c>
      <c r="L100" s="18">
        <f>IF(ISERROR(
PG!D101-H100),"",PG!D101-H100)</f>
        <v>0</v>
      </c>
      <c r="M100" s="33" t="str">
        <f>IF(ISERROR(
L100/PG!D101),"",L100/PG!D101)</f>
        <v/>
      </c>
      <c r="N100" s="18" t="str">
        <f>IF(ISERROR(
(O100*PG!D101)),"",(O100*PG!D101))</f>
        <v/>
      </c>
      <c r="O100" s="45" t="str">
        <f>IF(ISERROR(
PEq!$G$20*PG!G101),"",PEq!$G$20*PG!G101)</f>
        <v/>
      </c>
      <c r="P100" s="18">
        <f>IF(ISERROR(
PG!E101*G100),"",PG!E101*G100)</f>
        <v>0</v>
      </c>
      <c r="Q100" s="18">
        <f>IF(ISERROR(
PG!E101*D100),"",PG!E101*D100)</f>
        <v>0</v>
      </c>
    </row>
    <row r="101" spans="3:17" ht="30" customHeight="1" thickBot="1" x14ac:dyDescent="0.25">
      <c r="C101" s="83">
        <f>PG!C102</f>
        <v>0</v>
      </c>
      <c r="D101" s="23"/>
      <c r="E101" s="27"/>
      <c r="F101" s="27"/>
      <c r="G101" s="23"/>
      <c r="H101" s="62">
        <f>D101+PG!D102*(E101+F101)+G101</f>
        <v>0</v>
      </c>
      <c r="J101" s="18" t="str">
        <f>IF(ISERROR(
PG!F102*E101),"",PG!F102*E101)</f>
        <v/>
      </c>
      <c r="K101" s="18" t="str">
        <f>IF(ISERROR(
PG!F102*F101),"",PG!F102*F101)</f>
        <v/>
      </c>
      <c r="L101" s="18">
        <f>IF(ISERROR(
PG!D102-H101),"",PG!D102-H101)</f>
        <v>0</v>
      </c>
      <c r="M101" s="33" t="str">
        <f>IF(ISERROR(
L101/PG!D102),"",L101/PG!D102)</f>
        <v/>
      </c>
      <c r="N101" s="18" t="str">
        <f>IF(ISERROR(
(O101*PG!D102)),"",(O101*PG!D102))</f>
        <v/>
      </c>
      <c r="O101" s="45" t="str">
        <f>IF(ISERROR(
PEq!$G$20*PG!G102),"",PEq!$G$20*PG!G102)</f>
        <v/>
      </c>
      <c r="P101" s="18">
        <f>IF(ISERROR(
PG!E102*G101),"",PG!E102*G101)</f>
        <v>0</v>
      </c>
      <c r="Q101" s="18">
        <f>IF(ISERROR(
PG!E102*D101),"",PG!E102*D101)</f>
        <v>0</v>
      </c>
    </row>
    <row r="102" spans="3:17" ht="30" customHeight="1" thickBot="1" x14ac:dyDescent="0.25">
      <c r="C102" s="83">
        <f>PG!C103</f>
        <v>0</v>
      </c>
      <c r="D102" s="23"/>
      <c r="E102" s="27"/>
      <c r="F102" s="27"/>
      <c r="G102" s="23"/>
      <c r="H102" s="62">
        <f>D102+PG!D103*(E102+F102)+G102</f>
        <v>0</v>
      </c>
      <c r="J102" s="18" t="str">
        <f>IF(ISERROR(
PG!F103*E102),"",PG!F103*E102)</f>
        <v/>
      </c>
      <c r="K102" s="18" t="str">
        <f>IF(ISERROR(
PG!F103*F102),"",PG!F103*F102)</f>
        <v/>
      </c>
      <c r="L102" s="18">
        <f>IF(ISERROR(
PG!D103-H102),"",PG!D103-H102)</f>
        <v>0</v>
      </c>
      <c r="M102" s="33" t="str">
        <f>IF(ISERROR(
L102/PG!D103),"",L102/PG!D103)</f>
        <v/>
      </c>
      <c r="N102" s="18" t="str">
        <f>IF(ISERROR(
(O102*PG!D103)),"",(O102*PG!D103))</f>
        <v/>
      </c>
      <c r="O102" s="45" t="str">
        <f>IF(ISERROR(
PEq!$G$20*PG!G103),"",PEq!$G$20*PG!G103)</f>
        <v/>
      </c>
      <c r="P102" s="18">
        <f>IF(ISERROR(
PG!E103*G102),"",PG!E103*G102)</f>
        <v>0</v>
      </c>
      <c r="Q102" s="18">
        <f>IF(ISERROR(
PG!E103*D102),"",PG!E103*D102)</f>
        <v>0</v>
      </c>
    </row>
    <row r="103" spans="3:17" ht="30" customHeight="1" thickBot="1" x14ac:dyDescent="0.25">
      <c r="C103" s="83">
        <f>PG!C104</f>
        <v>0</v>
      </c>
      <c r="D103" s="23"/>
      <c r="E103" s="27"/>
      <c r="F103" s="27"/>
      <c r="G103" s="23"/>
      <c r="H103" s="62">
        <f>D103+PG!D104*(E103+F103)+G103</f>
        <v>0</v>
      </c>
      <c r="J103" s="18" t="str">
        <f>IF(ISERROR(
PG!F104*E103),"",PG!F104*E103)</f>
        <v/>
      </c>
      <c r="K103" s="18" t="str">
        <f>IF(ISERROR(
PG!F104*F103),"",PG!F104*F103)</f>
        <v/>
      </c>
      <c r="L103" s="18">
        <f>IF(ISERROR(
PG!D104-H103),"",PG!D104-H103)</f>
        <v>0</v>
      </c>
      <c r="M103" s="33" t="str">
        <f>IF(ISERROR(
L103/PG!D104),"",L103/PG!D104)</f>
        <v/>
      </c>
      <c r="N103" s="18" t="str">
        <f>IF(ISERROR(
(O103*PG!D104)),"",(O103*PG!D104))</f>
        <v/>
      </c>
      <c r="O103" s="45" t="str">
        <f>IF(ISERROR(
PEq!$G$20*PG!G104),"",PEq!$G$20*PG!G104)</f>
        <v/>
      </c>
      <c r="P103" s="18">
        <f>IF(ISERROR(
PG!E104*G103),"",PG!E104*G103)</f>
        <v>0</v>
      </c>
      <c r="Q103" s="18">
        <f>IF(ISERROR(
PG!E104*D103),"",PG!E104*D103)</f>
        <v>0</v>
      </c>
    </row>
    <row r="104" spans="3:17" ht="30" customHeight="1" thickBot="1" x14ac:dyDescent="0.25">
      <c r="C104" s="83">
        <f>PG!C105</f>
        <v>0</v>
      </c>
      <c r="D104" s="23"/>
      <c r="E104" s="27"/>
      <c r="F104" s="27"/>
      <c r="G104" s="23"/>
      <c r="H104" s="62">
        <f>D104+PG!D105*(E104+F104)+G104</f>
        <v>0</v>
      </c>
      <c r="J104" s="18" t="str">
        <f>IF(ISERROR(
PG!F105*E104),"",PG!F105*E104)</f>
        <v/>
      </c>
      <c r="K104" s="18" t="str">
        <f>IF(ISERROR(
PG!F105*F104),"",PG!F105*F104)</f>
        <v/>
      </c>
      <c r="L104" s="18">
        <f>IF(ISERROR(
PG!D105-H104),"",PG!D105-H104)</f>
        <v>0</v>
      </c>
      <c r="M104" s="33" t="str">
        <f>IF(ISERROR(
L104/PG!D105),"",L104/PG!D105)</f>
        <v/>
      </c>
      <c r="N104" s="18" t="str">
        <f>IF(ISERROR(
(O104*PG!D105)),"",(O104*PG!D105))</f>
        <v/>
      </c>
      <c r="O104" s="45" t="str">
        <f>IF(ISERROR(
PEq!$G$20*PG!G105),"",PEq!$G$20*PG!G105)</f>
        <v/>
      </c>
      <c r="P104" s="18">
        <f>IF(ISERROR(
PG!E105*G104),"",PG!E105*G104)</f>
        <v>0</v>
      </c>
      <c r="Q104" s="18">
        <f>IF(ISERROR(
PG!E105*D104),"",PG!E105*D104)</f>
        <v>0</v>
      </c>
    </row>
    <row r="105" spans="3:17" ht="30" customHeight="1" thickBot="1" x14ac:dyDescent="0.25">
      <c r="C105" s="83">
        <f>PG!C106</f>
        <v>0</v>
      </c>
      <c r="D105" s="23"/>
      <c r="E105" s="27"/>
      <c r="F105" s="27"/>
      <c r="G105" s="23"/>
      <c r="H105" s="62">
        <f>D105+PG!D106*(E105+F105)+G105</f>
        <v>0</v>
      </c>
      <c r="J105" s="18" t="str">
        <f>IF(ISERROR(
PG!F106*E105),"",PG!F106*E105)</f>
        <v/>
      </c>
      <c r="K105" s="18" t="str">
        <f>IF(ISERROR(
PG!F106*F105),"",PG!F106*F105)</f>
        <v/>
      </c>
      <c r="L105" s="18">
        <f>IF(ISERROR(
PG!D106-H105),"",PG!D106-H105)</f>
        <v>0</v>
      </c>
      <c r="M105" s="33" t="str">
        <f>IF(ISERROR(
L105/PG!D106),"",L105/PG!D106)</f>
        <v/>
      </c>
      <c r="N105" s="18" t="str">
        <f>IF(ISERROR(
(O105*PG!D106)),"",(O105*PG!D106))</f>
        <v/>
      </c>
      <c r="O105" s="45" t="str">
        <f>IF(ISERROR(
PEq!$G$20*PG!G106),"",PEq!$G$20*PG!G106)</f>
        <v/>
      </c>
      <c r="P105" s="18">
        <f>IF(ISERROR(
PG!E106*G105),"",PG!E106*G105)</f>
        <v>0</v>
      </c>
      <c r="Q105" s="18">
        <f>IF(ISERROR(
PG!E106*D105),"",PG!E106*D105)</f>
        <v>0</v>
      </c>
    </row>
    <row r="106" spans="3:17" ht="30" customHeight="1" thickBot="1" x14ac:dyDescent="0.25">
      <c r="C106" s="83">
        <f>PG!C107</f>
        <v>0</v>
      </c>
      <c r="D106" s="23"/>
      <c r="E106" s="27"/>
      <c r="F106" s="27"/>
      <c r="G106" s="23"/>
      <c r="H106" s="62">
        <f>D106+PG!D107*(E106+F106)+G106</f>
        <v>0</v>
      </c>
      <c r="J106" s="18" t="str">
        <f>IF(ISERROR(
PG!F107*E106),"",PG!F107*E106)</f>
        <v/>
      </c>
      <c r="K106" s="18" t="str">
        <f>IF(ISERROR(
PG!F107*F106),"",PG!F107*F106)</f>
        <v/>
      </c>
      <c r="L106" s="18">
        <f>IF(ISERROR(
PG!D107-H106),"",PG!D107-H106)</f>
        <v>0</v>
      </c>
      <c r="M106" s="33" t="str">
        <f>IF(ISERROR(
L106/PG!D107),"",L106/PG!D107)</f>
        <v/>
      </c>
      <c r="N106" s="18" t="str">
        <f>IF(ISERROR(
(O106*PG!D107)),"",(O106*PG!D107))</f>
        <v/>
      </c>
      <c r="O106" s="45" t="str">
        <f>IF(ISERROR(
PEq!$G$20*PG!G107),"",PEq!$G$20*PG!G107)</f>
        <v/>
      </c>
      <c r="P106" s="18">
        <f>IF(ISERROR(
PG!E107*G106),"",PG!E107*G106)</f>
        <v>0</v>
      </c>
      <c r="Q106" s="18">
        <f>IF(ISERROR(
PG!E107*D106),"",PG!E107*D106)</f>
        <v>0</v>
      </c>
    </row>
    <row r="107" spans="3:17" ht="30" customHeight="1" thickBot="1" x14ac:dyDescent="0.25">
      <c r="C107" s="83">
        <f>PG!C108</f>
        <v>0</v>
      </c>
      <c r="D107" s="23"/>
      <c r="E107" s="27"/>
      <c r="F107" s="27"/>
      <c r="G107" s="23"/>
      <c r="H107" s="62">
        <f>D107+PG!D108*(E107+F107)+G107</f>
        <v>0</v>
      </c>
      <c r="J107" s="18" t="str">
        <f>IF(ISERROR(
PG!F108*E107),"",PG!F108*E107)</f>
        <v/>
      </c>
      <c r="K107" s="18" t="str">
        <f>IF(ISERROR(
PG!F108*F107),"",PG!F108*F107)</f>
        <v/>
      </c>
      <c r="L107" s="18">
        <f>IF(ISERROR(
PG!D108-H107),"",PG!D108-H107)</f>
        <v>0</v>
      </c>
      <c r="M107" s="33" t="str">
        <f>IF(ISERROR(
L107/PG!D108),"",L107/PG!D108)</f>
        <v/>
      </c>
      <c r="N107" s="18" t="str">
        <f>IF(ISERROR(
(O107*PG!D108)),"",(O107*PG!D108))</f>
        <v/>
      </c>
      <c r="O107" s="45" t="str">
        <f>IF(ISERROR(
PEq!$G$20*PG!G108),"",PEq!$G$20*PG!G108)</f>
        <v/>
      </c>
      <c r="P107" s="18">
        <f>IF(ISERROR(
PG!E108*G107),"",PG!E108*G107)</f>
        <v>0</v>
      </c>
      <c r="Q107" s="18">
        <f>IF(ISERROR(
PG!E108*D107),"",PG!E108*D107)</f>
        <v>0</v>
      </c>
    </row>
    <row r="108" spans="3:17" ht="30" customHeight="1" thickBot="1" x14ac:dyDescent="0.25">
      <c r="C108" s="83">
        <f>PG!C109</f>
        <v>0</v>
      </c>
      <c r="D108" s="23"/>
      <c r="E108" s="27"/>
      <c r="F108" s="27"/>
      <c r="G108" s="23"/>
      <c r="H108" s="62">
        <f>D108+PG!D109*(E108+F108)+G108</f>
        <v>0</v>
      </c>
      <c r="J108" s="18" t="str">
        <f>IF(ISERROR(
PG!F109*E108),"",PG!F109*E108)</f>
        <v/>
      </c>
      <c r="K108" s="18" t="str">
        <f>IF(ISERROR(
PG!F109*F108),"",PG!F109*F108)</f>
        <v/>
      </c>
      <c r="L108" s="18">
        <f>IF(ISERROR(
PG!D109-H108),"",PG!D109-H108)</f>
        <v>0</v>
      </c>
      <c r="M108" s="33" t="str">
        <f>IF(ISERROR(
L108/PG!D109),"",L108/PG!D109)</f>
        <v/>
      </c>
      <c r="N108" s="18" t="str">
        <f>IF(ISERROR(
(O108*PG!D109)),"",(O108*PG!D109))</f>
        <v/>
      </c>
      <c r="O108" s="45" t="str">
        <f>IF(ISERROR(
PEq!$G$20*PG!G109),"",PEq!$G$20*PG!G109)</f>
        <v/>
      </c>
      <c r="P108" s="18">
        <f>IF(ISERROR(
PG!E109*G108),"",PG!E109*G108)</f>
        <v>0</v>
      </c>
      <c r="Q108" s="18">
        <f>IF(ISERROR(
PG!E109*D108),"",PG!E109*D108)</f>
        <v>0</v>
      </c>
    </row>
    <row r="109" spans="3:17" ht="30" customHeight="1" thickBot="1" x14ac:dyDescent="0.25">
      <c r="C109" s="83">
        <f>PG!C110</f>
        <v>0</v>
      </c>
      <c r="D109" s="23"/>
      <c r="E109" s="27"/>
      <c r="F109" s="27"/>
      <c r="G109" s="23"/>
      <c r="H109" s="62">
        <f>D109+PG!D110*(E109+F109)+G109</f>
        <v>0</v>
      </c>
      <c r="J109" s="18" t="str">
        <f>IF(ISERROR(
PG!F110*E109),"",PG!F110*E109)</f>
        <v/>
      </c>
      <c r="K109" s="18" t="str">
        <f>IF(ISERROR(
PG!F110*F109),"",PG!F110*F109)</f>
        <v/>
      </c>
      <c r="L109" s="18">
        <f>IF(ISERROR(
PG!D110-H109),"",PG!D110-H109)</f>
        <v>0</v>
      </c>
      <c r="M109" s="33" t="str">
        <f>IF(ISERROR(
L109/PG!D110),"",L109/PG!D110)</f>
        <v/>
      </c>
      <c r="N109" s="18" t="str">
        <f>IF(ISERROR(
(O109*PG!D110)),"",(O109*PG!D110))</f>
        <v/>
      </c>
      <c r="O109" s="45" t="str">
        <f>IF(ISERROR(
PEq!$G$20*PG!G110),"",PEq!$G$20*PG!G110)</f>
        <v/>
      </c>
      <c r="P109" s="18">
        <f>IF(ISERROR(
PG!E110*G109),"",PG!E110*G109)</f>
        <v>0</v>
      </c>
      <c r="Q109" s="18">
        <f>IF(ISERROR(
PG!E110*D109),"",PG!E110*D109)</f>
        <v>0</v>
      </c>
    </row>
    <row r="110" spans="3:17" ht="30" customHeight="1" thickBot="1" x14ac:dyDescent="0.25">
      <c r="C110" s="83">
        <f>PG!C111</f>
        <v>0</v>
      </c>
      <c r="D110" s="23"/>
      <c r="E110" s="27"/>
      <c r="F110" s="27"/>
      <c r="G110" s="23"/>
      <c r="H110" s="62">
        <f>D110+PG!D111*(E110+F110)+G110</f>
        <v>0</v>
      </c>
      <c r="J110" s="18" t="str">
        <f>IF(ISERROR(
PG!F111*E110),"",PG!F111*E110)</f>
        <v/>
      </c>
      <c r="K110" s="18" t="str">
        <f>IF(ISERROR(
PG!F111*F110),"",PG!F111*F110)</f>
        <v/>
      </c>
      <c r="L110" s="18">
        <f>IF(ISERROR(
PG!D111-H110),"",PG!D111-H110)</f>
        <v>0</v>
      </c>
      <c r="M110" s="33" t="str">
        <f>IF(ISERROR(
L110/PG!D111),"",L110/PG!D111)</f>
        <v/>
      </c>
      <c r="N110" s="18" t="str">
        <f>IF(ISERROR(
(O110*PG!D111)),"",(O110*PG!D111))</f>
        <v/>
      </c>
      <c r="O110" s="45" t="str">
        <f>IF(ISERROR(
PEq!$G$20*PG!G111),"",PEq!$G$20*PG!G111)</f>
        <v/>
      </c>
      <c r="P110" s="18">
        <f>IF(ISERROR(
PG!E111*G110),"",PG!E111*G110)</f>
        <v>0</v>
      </c>
      <c r="Q110" s="18">
        <f>IF(ISERROR(
PG!E111*D110),"",PG!E111*D110)</f>
        <v>0</v>
      </c>
    </row>
    <row r="111" spans="3:17" ht="30" customHeight="1" thickBot="1" x14ac:dyDescent="0.25">
      <c r="C111" s="83">
        <f>PG!C112</f>
        <v>0</v>
      </c>
      <c r="D111" s="23"/>
      <c r="E111" s="27"/>
      <c r="F111" s="27"/>
      <c r="G111" s="23"/>
      <c r="H111" s="62">
        <f>D111+PG!D112*(E111+F111)+G111</f>
        <v>0</v>
      </c>
      <c r="J111" s="18" t="str">
        <f>IF(ISERROR(
PG!F112*E111),"",PG!F112*E111)</f>
        <v/>
      </c>
      <c r="K111" s="18" t="str">
        <f>IF(ISERROR(
PG!F112*F111),"",PG!F112*F111)</f>
        <v/>
      </c>
      <c r="L111" s="18">
        <f>IF(ISERROR(
PG!D112-H111),"",PG!D112-H111)</f>
        <v>0</v>
      </c>
      <c r="M111" s="33" t="str">
        <f>IF(ISERROR(
L111/PG!D112),"",L111/PG!D112)</f>
        <v/>
      </c>
      <c r="N111" s="18" t="str">
        <f>IF(ISERROR(
(O111*PG!D112)),"",(O111*PG!D112))</f>
        <v/>
      </c>
      <c r="O111" s="45" t="str">
        <f>IF(ISERROR(
PEq!$G$20*PG!G112),"",PEq!$G$20*PG!G112)</f>
        <v/>
      </c>
      <c r="P111" s="18">
        <f>IF(ISERROR(
PG!E112*G111),"",PG!E112*G111)</f>
        <v>0</v>
      </c>
      <c r="Q111" s="18">
        <f>IF(ISERROR(
PG!E112*D111),"",PG!E112*D111)</f>
        <v>0</v>
      </c>
    </row>
    <row r="112" spans="3:17" ht="30" customHeight="1" thickBot="1" x14ac:dyDescent="0.25">
      <c r="C112" s="83">
        <f>PG!C113</f>
        <v>0</v>
      </c>
      <c r="D112" s="23"/>
      <c r="E112" s="27"/>
      <c r="F112" s="27"/>
      <c r="G112" s="23"/>
      <c r="H112" s="62">
        <f>D112+PG!D113*(E112+F112)+G112</f>
        <v>0</v>
      </c>
      <c r="J112" s="18" t="str">
        <f>IF(ISERROR(
PG!F113*E112),"",PG!F113*E112)</f>
        <v/>
      </c>
      <c r="K112" s="18" t="str">
        <f>IF(ISERROR(
PG!F113*F112),"",PG!F113*F112)</f>
        <v/>
      </c>
      <c r="L112" s="18">
        <f>IF(ISERROR(
PG!D113-H112),"",PG!D113-H112)</f>
        <v>0</v>
      </c>
      <c r="M112" s="33" t="str">
        <f>IF(ISERROR(
L112/PG!D113),"",L112/PG!D113)</f>
        <v/>
      </c>
      <c r="N112" s="18" t="str">
        <f>IF(ISERROR(
(O112*PG!D113)),"",(O112*PG!D113))</f>
        <v/>
      </c>
      <c r="O112" s="45" t="str">
        <f>IF(ISERROR(
PEq!$G$20*PG!G113),"",PEq!$G$20*PG!G113)</f>
        <v/>
      </c>
      <c r="P112" s="18">
        <f>IF(ISERROR(
PG!E113*G112),"",PG!E113*G112)</f>
        <v>0</v>
      </c>
      <c r="Q112" s="18">
        <f>IF(ISERROR(
PG!E113*D112),"",PG!E113*D112)</f>
        <v>0</v>
      </c>
    </row>
    <row r="113" spans="3:17" ht="30" customHeight="1" thickBot="1" x14ac:dyDescent="0.25">
      <c r="C113" s="83">
        <f>PG!C114</f>
        <v>0</v>
      </c>
      <c r="D113" s="23"/>
      <c r="E113" s="27"/>
      <c r="F113" s="27"/>
      <c r="G113" s="23"/>
      <c r="H113" s="62">
        <f>D113+PG!D114*(E113+F113)+G113</f>
        <v>0</v>
      </c>
      <c r="J113" s="18" t="str">
        <f>IF(ISERROR(
PG!F114*E113),"",PG!F114*E113)</f>
        <v/>
      </c>
      <c r="K113" s="18" t="str">
        <f>IF(ISERROR(
PG!F114*F113),"",PG!F114*F113)</f>
        <v/>
      </c>
      <c r="L113" s="18">
        <f>IF(ISERROR(
PG!D114-H113),"",PG!D114-H113)</f>
        <v>0</v>
      </c>
      <c r="M113" s="33" t="str">
        <f>IF(ISERROR(
L113/PG!D114),"",L113/PG!D114)</f>
        <v/>
      </c>
      <c r="N113" s="18" t="str">
        <f>IF(ISERROR(
(O113*PG!D114)),"",(O113*PG!D114))</f>
        <v/>
      </c>
      <c r="O113" s="45" t="str">
        <f>IF(ISERROR(
PEq!$G$20*PG!G114),"",PEq!$G$20*PG!G114)</f>
        <v/>
      </c>
      <c r="P113" s="18">
        <f>IF(ISERROR(
PG!E114*G113),"",PG!E114*G113)</f>
        <v>0</v>
      </c>
      <c r="Q113" s="18">
        <f>IF(ISERROR(
PG!E114*D113),"",PG!E114*D113)</f>
        <v>0</v>
      </c>
    </row>
    <row r="114" spans="3:17" ht="30" customHeight="1" thickBot="1" x14ac:dyDescent="0.25">
      <c r="C114" s="83">
        <f>PG!C115</f>
        <v>0</v>
      </c>
      <c r="D114" s="23"/>
      <c r="E114" s="27"/>
      <c r="F114" s="27"/>
      <c r="G114" s="23"/>
      <c r="H114" s="62">
        <f>D114+PG!D115*(E114+F114)+G114</f>
        <v>0</v>
      </c>
      <c r="J114" s="18" t="str">
        <f>IF(ISERROR(
PG!F115*E114),"",PG!F115*E114)</f>
        <v/>
      </c>
      <c r="K114" s="18" t="str">
        <f>IF(ISERROR(
PG!F115*F114),"",PG!F115*F114)</f>
        <v/>
      </c>
      <c r="L114" s="18">
        <f>IF(ISERROR(
PG!D115-H114),"",PG!D115-H114)</f>
        <v>0</v>
      </c>
      <c r="M114" s="33" t="str">
        <f>IF(ISERROR(
L114/PG!D115),"",L114/PG!D115)</f>
        <v/>
      </c>
      <c r="N114" s="18" t="str">
        <f>IF(ISERROR(
(O114*PG!D115)),"",(O114*PG!D115))</f>
        <v/>
      </c>
      <c r="O114" s="45" t="str">
        <f>IF(ISERROR(
PEq!$G$20*PG!G115),"",PEq!$G$20*PG!G115)</f>
        <v/>
      </c>
      <c r="P114" s="18">
        <f>IF(ISERROR(
PG!E115*G114),"",PG!E115*G114)</f>
        <v>0</v>
      </c>
      <c r="Q114" s="18">
        <f>IF(ISERROR(
PG!E115*D114),"",PG!E115*D114)</f>
        <v>0</v>
      </c>
    </row>
    <row r="115" spans="3:17" ht="30" customHeight="1" thickBot="1" x14ac:dyDescent="0.25">
      <c r="C115" s="83">
        <f>PG!C116</f>
        <v>0</v>
      </c>
      <c r="D115" s="23"/>
      <c r="E115" s="27"/>
      <c r="F115" s="27"/>
      <c r="G115" s="23"/>
      <c r="H115" s="62">
        <f>D115+PG!D116*(E115+F115)+G115</f>
        <v>0</v>
      </c>
      <c r="J115" s="18" t="str">
        <f>IF(ISERROR(
PG!F116*E115),"",PG!F116*E115)</f>
        <v/>
      </c>
      <c r="K115" s="18" t="str">
        <f>IF(ISERROR(
PG!F116*F115),"",PG!F116*F115)</f>
        <v/>
      </c>
      <c r="L115" s="18">
        <f>IF(ISERROR(
PG!D116-H115),"",PG!D116-H115)</f>
        <v>0</v>
      </c>
      <c r="M115" s="33" t="str">
        <f>IF(ISERROR(
L115/PG!D116),"",L115/PG!D116)</f>
        <v/>
      </c>
      <c r="N115" s="18" t="str">
        <f>IF(ISERROR(
(O115*PG!D116)),"",(O115*PG!D116))</f>
        <v/>
      </c>
      <c r="O115" s="45" t="str">
        <f>IF(ISERROR(
PEq!$G$20*PG!G116),"",PEq!$G$20*PG!G116)</f>
        <v/>
      </c>
      <c r="P115" s="18">
        <f>IF(ISERROR(
PG!E116*G115),"",PG!E116*G115)</f>
        <v>0</v>
      </c>
      <c r="Q115" s="18">
        <f>IF(ISERROR(
PG!E116*D115),"",PG!E116*D115)</f>
        <v>0</v>
      </c>
    </row>
    <row r="116" spans="3:17" ht="30" customHeight="1" thickBot="1" x14ac:dyDescent="0.25">
      <c r="C116" s="83">
        <f>PG!C117</f>
        <v>0</v>
      </c>
      <c r="D116" s="23"/>
      <c r="E116" s="27"/>
      <c r="F116" s="27"/>
      <c r="G116" s="23"/>
      <c r="H116" s="62">
        <f>D116+PG!D117*(E116+F116)+G116</f>
        <v>0</v>
      </c>
      <c r="J116" s="18" t="str">
        <f>IF(ISERROR(
PG!F117*E116),"",PG!F117*E116)</f>
        <v/>
      </c>
      <c r="K116" s="18" t="str">
        <f>IF(ISERROR(
PG!F117*F116),"",PG!F117*F116)</f>
        <v/>
      </c>
      <c r="L116" s="18">
        <f>IF(ISERROR(
PG!D117-H116),"",PG!D117-H116)</f>
        <v>0</v>
      </c>
      <c r="M116" s="33" t="str">
        <f>IF(ISERROR(
L116/PG!D117),"",L116/PG!D117)</f>
        <v/>
      </c>
      <c r="N116" s="18" t="str">
        <f>IF(ISERROR(
(O116*PG!D117)),"",(O116*PG!D117))</f>
        <v/>
      </c>
      <c r="O116" s="45" t="str">
        <f>IF(ISERROR(
PEq!$G$20*PG!G117),"",PEq!$G$20*PG!G117)</f>
        <v/>
      </c>
      <c r="P116" s="18">
        <f>IF(ISERROR(
PG!E117*G116),"",PG!E117*G116)</f>
        <v>0</v>
      </c>
      <c r="Q116" s="18">
        <f>IF(ISERROR(
PG!E117*D116),"",PG!E117*D116)</f>
        <v>0</v>
      </c>
    </row>
    <row r="117" spans="3:17" ht="30" customHeight="1" thickBot="1" x14ac:dyDescent="0.25">
      <c r="C117" s="83">
        <f>PG!C118</f>
        <v>0</v>
      </c>
      <c r="D117" s="23"/>
      <c r="E117" s="27"/>
      <c r="F117" s="27"/>
      <c r="G117" s="23"/>
      <c r="H117" s="62">
        <f>D117+PG!D118*(E117+F117)+G117</f>
        <v>0</v>
      </c>
      <c r="J117" s="18" t="str">
        <f>IF(ISERROR(
PG!F118*E117),"",PG!F118*E117)</f>
        <v/>
      </c>
      <c r="K117" s="18" t="str">
        <f>IF(ISERROR(
PG!F118*F117),"",PG!F118*F117)</f>
        <v/>
      </c>
      <c r="L117" s="18">
        <f>IF(ISERROR(
PG!D118-H117),"",PG!D118-H117)</f>
        <v>0</v>
      </c>
      <c r="M117" s="33" t="str">
        <f>IF(ISERROR(
L117/PG!D118),"",L117/PG!D118)</f>
        <v/>
      </c>
      <c r="N117" s="18" t="str">
        <f>IF(ISERROR(
(O117*PG!D118)),"",(O117*PG!D118))</f>
        <v/>
      </c>
      <c r="O117" s="45" t="str">
        <f>IF(ISERROR(
PEq!$G$20*PG!G118),"",PEq!$G$20*PG!G118)</f>
        <v/>
      </c>
      <c r="P117" s="18">
        <f>IF(ISERROR(
PG!E118*G117),"",PG!E118*G117)</f>
        <v>0</v>
      </c>
      <c r="Q117" s="18">
        <f>IF(ISERROR(
PG!E118*D117),"",PG!E118*D117)</f>
        <v>0</v>
      </c>
    </row>
    <row r="118" spans="3:17" ht="30" customHeight="1" thickBot="1" x14ac:dyDescent="0.25">
      <c r="C118" s="83">
        <f>PG!C119</f>
        <v>0</v>
      </c>
      <c r="D118" s="23"/>
      <c r="E118" s="27"/>
      <c r="F118" s="27"/>
      <c r="G118" s="23"/>
      <c r="H118" s="62">
        <f>D118+PG!D119*(E118+F118)+G118</f>
        <v>0</v>
      </c>
      <c r="J118" s="18" t="str">
        <f>IF(ISERROR(
PG!F119*E118),"",PG!F119*E118)</f>
        <v/>
      </c>
      <c r="K118" s="18" t="str">
        <f>IF(ISERROR(
PG!F119*F118),"",PG!F119*F118)</f>
        <v/>
      </c>
      <c r="L118" s="18">
        <f>IF(ISERROR(
PG!D119-H118),"",PG!D119-H118)</f>
        <v>0</v>
      </c>
      <c r="M118" s="33" t="str">
        <f>IF(ISERROR(
L118/PG!D119),"",L118/PG!D119)</f>
        <v/>
      </c>
      <c r="N118" s="18" t="str">
        <f>IF(ISERROR(
(O118*PG!D119)),"",(O118*PG!D119))</f>
        <v/>
      </c>
      <c r="O118" s="45" t="str">
        <f>IF(ISERROR(
PEq!$G$20*PG!G119),"",PEq!$G$20*PG!G119)</f>
        <v/>
      </c>
      <c r="P118" s="18">
        <f>IF(ISERROR(
PG!E119*G118),"",PG!E119*G118)</f>
        <v>0</v>
      </c>
      <c r="Q118" s="18">
        <f>IF(ISERROR(
PG!E119*D118),"",PG!E119*D118)</f>
        <v>0</v>
      </c>
    </row>
    <row r="119" spans="3:17" ht="30" customHeight="1" thickBot="1" x14ac:dyDescent="0.25">
      <c r="C119" s="83">
        <f>PG!C120</f>
        <v>0</v>
      </c>
      <c r="D119" s="23"/>
      <c r="E119" s="27"/>
      <c r="F119" s="27"/>
      <c r="G119" s="23"/>
      <c r="H119" s="62">
        <f>D119+PG!D120*(E119+F119)+G119</f>
        <v>0</v>
      </c>
      <c r="J119" s="18" t="str">
        <f>IF(ISERROR(
PG!F120*E119),"",PG!F120*E119)</f>
        <v/>
      </c>
      <c r="K119" s="18" t="str">
        <f>IF(ISERROR(
PG!F120*F119),"",PG!F120*F119)</f>
        <v/>
      </c>
      <c r="L119" s="18">
        <f>IF(ISERROR(
PG!D120-H119),"",PG!D120-H119)</f>
        <v>0</v>
      </c>
      <c r="M119" s="33" t="str">
        <f>IF(ISERROR(
L119/PG!D120),"",L119/PG!D120)</f>
        <v/>
      </c>
      <c r="N119" s="18" t="str">
        <f>IF(ISERROR(
(O119*PG!D120)),"",(O119*PG!D120))</f>
        <v/>
      </c>
      <c r="O119" s="45" t="str">
        <f>IF(ISERROR(
PEq!$G$20*PG!G120),"",PEq!$G$20*PG!G120)</f>
        <v/>
      </c>
      <c r="P119" s="18">
        <f>IF(ISERROR(
PG!E120*G119),"",PG!E120*G119)</f>
        <v>0</v>
      </c>
      <c r="Q119" s="18">
        <f>IF(ISERROR(
PG!E120*D119),"",PG!E120*D119)</f>
        <v>0</v>
      </c>
    </row>
    <row r="120" spans="3:17" ht="30" customHeight="1" thickBot="1" x14ac:dyDescent="0.25">
      <c r="C120" s="83">
        <f>PG!C121</f>
        <v>0</v>
      </c>
      <c r="D120" s="23"/>
      <c r="E120" s="27"/>
      <c r="F120" s="27"/>
      <c r="G120" s="23"/>
      <c r="H120" s="62">
        <f>D120+PG!D121*(E120+F120)+G120</f>
        <v>0</v>
      </c>
      <c r="J120" s="18" t="str">
        <f>IF(ISERROR(
PG!F121*E120),"",PG!F121*E120)</f>
        <v/>
      </c>
      <c r="K120" s="18" t="str">
        <f>IF(ISERROR(
PG!F121*F120),"",PG!F121*F120)</f>
        <v/>
      </c>
      <c r="L120" s="18">
        <f>IF(ISERROR(
PG!D121-H120),"",PG!D121-H120)</f>
        <v>0</v>
      </c>
      <c r="M120" s="33" t="str">
        <f>IF(ISERROR(
L120/PG!D121),"",L120/PG!D121)</f>
        <v/>
      </c>
      <c r="N120" s="18" t="str">
        <f>IF(ISERROR(
(O120*PG!D121)),"",(O120*PG!D121))</f>
        <v/>
      </c>
      <c r="O120" s="45" t="str">
        <f>IF(ISERROR(
PEq!$G$20*PG!G121),"",PEq!$G$20*PG!G121)</f>
        <v/>
      </c>
      <c r="P120" s="18">
        <f>IF(ISERROR(
PG!E121*G120),"",PG!E121*G120)</f>
        <v>0</v>
      </c>
      <c r="Q120" s="18">
        <f>IF(ISERROR(
PG!E121*D120),"",PG!E121*D120)</f>
        <v>0</v>
      </c>
    </row>
    <row r="121" spans="3:17" ht="30" customHeight="1" thickBot="1" x14ac:dyDescent="0.25">
      <c r="C121" s="83">
        <f>PG!C122</f>
        <v>0</v>
      </c>
      <c r="D121" s="23"/>
      <c r="E121" s="27"/>
      <c r="F121" s="27"/>
      <c r="G121" s="23"/>
      <c r="H121" s="62">
        <f>D121+PG!D122*(E121+F121)+G121</f>
        <v>0</v>
      </c>
      <c r="J121" s="18" t="str">
        <f>IF(ISERROR(
PG!F122*E121),"",PG!F122*E121)</f>
        <v/>
      </c>
      <c r="K121" s="18" t="str">
        <f>IF(ISERROR(
PG!F122*F121),"",PG!F122*F121)</f>
        <v/>
      </c>
      <c r="L121" s="18">
        <f>IF(ISERROR(
PG!D122-H121),"",PG!D122-H121)</f>
        <v>0</v>
      </c>
      <c r="M121" s="33" t="str">
        <f>IF(ISERROR(
L121/PG!D122),"",L121/PG!D122)</f>
        <v/>
      </c>
      <c r="N121" s="18" t="str">
        <f>IF(ISERROR(
(O121*PG!D122)),"",(O121*PG!D122))</f>
        <v/>
      </c>
      <c r="O121" s="45" t="str">
        <f>IF(ISERROR(
PEq!$G$20*PG!G122),"",PEq!$G$20*PG!G122)</f>
        <v/>
      </c>
      <c r="P121" s="18">
        <f>IF(ISERROR(
PG!E122*G121),"",PG!E122*G121)</f>
        <v>0</v>
      </c>
      <c r="Q121" s="18">
        <f>IF(ISERROR(
PG!E122*D121),"",PG!E122*D121)</f>
        <v>0</v>
      </c>
    </row>
    <row r="122" spans="3:17" ht="30" customHeight="1" thickBot="1" x14ac:dyDescent="0.25">
      <c r="C122" s="83">
        <f>PG!C123</f>
        <v>0</v>
      </c>
      <c r="D122" s="23"/>
      <c r="E122" s="27"/>
      <c r="F122" s="27"/>
      <c r="G122" s="23"/>
      <c r="H122" s="62">
        <f>D122+PG!D123*(E122+F122)+G122</f>
        <v>0</v>
      </c>
      <c r="J122" s="18" t="str">
        <f>IF(ISERROR(
PG!F123*E122),"",PG!F123*E122)</f>
        <v/>
      </c>
      <c r="K122" s="18" t="str">
        <f>IF(ISERROR(
PG!F123*F122),"",PG!F123*F122)</f>
        <v/>
      </c>
      <c r="L122" s="18">
        <f>IF(ISERROR(
PG!D123-H122),"",PG!D123-H122)</f>
        <v>0</v>
      </c>
      <c r="M122" s="33" t="str">
        <f>IF(ISERROR(
L122/PG!D123),"",L122/PG!D123)</f>
        <v/>
      </c>
      <c r="N122" s="18" t="str">
        <f>IF(ISERROR(
(O122*PG!D123)),"",(O122*PG!D123))</f>
        <v/>
      </c>
      <c r="O122" s="45" t="str">
        <f>IF(ISERROR(
PEq!$G$20*PG!G123),"",PEq!$G$20*PG!G123)</f>
        <v/>
      </c>
      <c r="P122" s="18">
        <f>IF(ISERROR(
PG!E123*G122),"",PG!E123*G122)</f>
        <v>0</v>
      </c>
      <c r="Q122" s="18">
        <f>IF(ISERROR(
PG!E123*D122),"",PG!E123*D122)</f>
        <v>0</v>
      </c>
    </row>
    <row r="123" spans="3:17" ht="30" customHeight="1" thickBot="1" x14ac:dyDescent="0.25">
      <c r="C123" s="83">
        <f>PG!C124</f>
        <v>0</v>
      </c>
      <c r="D123" s="23"/>
      <c r="E123" s="27"/>
      <c r="F123" s="27"/>
      <c r="G123" s="23"/>
      <c r="H123" s="62">
        <f>D123+PG!D124*(E123+F123)+G123</f>
        <v>0</v>
      </c>
      <c r="J123" s="18" t="str">
        <f>IF(ISERROR(
PG!F124*E123),"",PG!F124*E123)</f>
        <v/>
      </c>
      <c r="K123" s="18" t="str">
        <f>IF(ISERROR(
PG!F124*F123),"",PG!F124*F123)</f>
        <v/>
      </c>
      <c r="L123" s="18">
        <f>IF(ISERROR(
PG!D124-H123),"",PG!D124-H123)</f>
        <v>0</v>
      </c>
      <c r="M123" s="33" t="str">
        <f>IF(ISERROR(
L123/PG!D124),"",L123/PG!D124)</f>
        <v/>
      </c>
      <c r="N123" s="18" t="str">
        <f>IF(ISERROR(
(O123*PG!D124)),"",(O123*PG!D124))</f>
        <v/>
      </c>
      <c r="O123" s="45" t="str">
        <f>IF(ISERROR(
PEq!$G$20*PG!G124),"",PEq!$G$20*PG!G124)</f>
        <v/>
      </c>
      <c r="P123" s="18">
        <f>IF(ISERROR(
PG!E124*G123),"",PG!E124*G123)</f>
        <v>0</v>
      </c>
      <c r="Q123" s="18">
        <f>IF(ISERROR(
PG!E124*D123),"",PG!E124*D123)</f>
        <v>0</v>
      </c>
    </row>
    <row r="124" spans="3:17" ht="30" customHeight="1" thickBot="1" x14ac:dyDescent="0.25">
      <c r="C124" s="83">
        <f>PG!C125</f>
        <v>0</v>
      </c>
      <c r="D124" s="23"/>
      <c r="E124" s="27"/>
      <c r="F124" s="27"/>
      <c r="G124" s="23"/>
      <c r="H124" s="62">
        <f>D124+PG!D125*(E124+F124)+G124</f>
        <v>0</v>
      </c>
      <c r="J124" s="18" t="str">
        <f>IF(ISERROR(
PG!F125*E124),"",PG!F125*E124)</f>
        <v/>
      </c>
      <c r="K124" s="18" t="str">
        <f>IF(ISERROR(
PG!F125*F124),"",PG!F125*F124)</f>
        <v/>
      </c>
      <c r="L124" s="18">
        <f>IF(ISERROR(
PG!D125-H124),"",PG!D125-H124)</f>
        <v>0</v>
      </c>
      <c r="M124" s="33" t="str">
        <f>IF(ISERROR(
L124/PG!D125),"",L124/PG!D125)</f>
        <v/>
      </c>
      <c r="N124" s="18" t="str">
        <f>IF(ISERROR(
(O124*PG!D125)),"",(O124*PG!D125))</f>
        <v/>
      </c>
      <c r="O124" s="45" t="str">
        <f>IF(ISERROR(
PEq!$G$20*PG!G125),"",PEq!$G$20*PG!G125)</f>
        <v/>
      </c>
      <c r="P124" s="18">
        <f>IF(ISERROR(
PG!E125*G124),"",PG!E125*G124)</f>
        <v>0</v>
      </c>
      <c r="Q124" s="18">
        <f>IF(ISERROR(
PG!E125*D124),"",PG!E125*D124)</f>
        <v>0</v>
      </c>
    </row>
    <row r="125" spans="3:17" ht="30" customHeight="1" thickBot="1" x14ac:dyDescent="0.25">
      <c r="C125" s="83">
        <f>PG!C126</f>
        <v>0</v>
      </c>
      <c r="D125" s="23"/>
      <c r="E125" s="27"/>
      <c r="F125" s="27"/>
      <c r="G125" s="23"/>
      <c r="H125" s="62">
        <f>D125+PG!D126*(E125+F125)+G125</f>
        <v>0</v>
      </c>
      <c r="J125" s="18" t="str">
        <f>IF(ISERROR(
PG!F126*E125),"",PG!F126*E125)</f>
        <v/>
      </c>
      <c r="K125" s="18" t="str">
        <f>IF(ISERROR(
PG!F126*F125),"",PG!F126*F125)</f>
        <v/>
      </c>
      <c r="L125" s="18">
        <f>IF(ISERROR(
PG!D126-H125),"",PG!D126-H125)</f>
        <v>0</v>
      </c>
      <c r="M125" s="33" t="str">
        <f>IF(ISERROR(
L125/PG!D126),"",L125/PG!D126)</f>
        <v/>
      </c>
      <c r="N125" s="18" t="str">
        <f>IF(ISERROR(
(O125*PG!D126)),"",(O125*PG!D126))</f>
        <v/>
      </c>
      <c r="O125" s="45" t="str">
        <f>IF(ISERROR(
PEq!$G$20*PG!G126),"",PEq!$G$20*PG!G126)</f>
        <v/>
      </c>
      <c r="P125" s="18">
        <f>IF(ISERROR(
PG!E126*G125),"",PG!E126*G125)</f>
        <v>0</v>
      </c>
      <c r="Q125" s="18">
        <f>IF(ISERROR(
PG!E126*D125),"",PG!E126*D125)</f>
        <v>0</v>
      </c>
    </row>
    <row r="126" spans="3:17" ht="30" customHeight="1" thickBot="1" x14ac:dyDescent="0.25">
      <c r="C126" s="83">
        <f>PG!C127</f>
        <v>0</v>
      </c>
      <c r="D126" s="23"/>
      <c r="E126" s="27"/>
      <c r="F126" s="27"/>
      <c r="G126" s="23"/>
      <c r="H126" s="62">
        <f>D126+PG!D127*(E126+F126)+G126</f>
        <v>0</v>
      </c>
      <c r="J126" s="18" t="str">
        <f>IF(ISERROR(
PG!F127*E126),"",PG!F127*E126)</f>
        <v/>
      </c>
      <c r="K126" s="18" t="str">
        <f>IF(ISERROR(
PG!F127*F126),"",PG!F127*F126)</f>
        <v/>
      </c>
      <c r="L126" s="18">
        <f>IF(ISERROR(
PG!D127-H126),"",PG!D127-H126)</f>
        <v>0</v>
      </c>
      <c r="M126" s="33" t="str">
        <f>IF(ISERROR(
L126/PG!D127),"",L126/PG!D127)</f>
        <v/>
      </c>
      <c r="N126" s="18" t="str">
        <f>IF(ISERROR(
(O126*PG!D127)),"",(O126*PG!D127))</f>
        <v/>
      </c>
      <c r="O126" s="45" t="str">
        <f>IF(ISERROR(
PEq!$G$20*PG!G127),"",PEq!$G$20*PG!G127)</f>
        <v/>
      </c>
      <c r="P126" s="18">
        <f>IF(ISERROR(
PG!E127*G126),"",PG!E127*G126)</f>
        <v>0</v>
      </c>
      <c r="Q126" s="18">
        <f>IF(ISERROR(
PG!E127*D126),"",PG!E127*D126)</f>
        <v>0</v>
      </c>
    </row>
    <row r="127" spans="3:17" ht="30" customHeight="1" thickBot="1" x14ac:dyDescent="0.25">
      <c r="C127" s="83">
        <f>PG!C128</f>
        <v>0</v>
      </c>
      <c r="D127" s="23"/>
      <c r="E127" s="27"/>
      <c r="F127" s="27"/>
      <c r="G127" s="23"/>
      <c r="H127" s="62">
        <f>D127+PG!D128*(E127+F127)+G127</f>
        <v>0</v>
      </c>
      <c r="J127" s="18" t="str">
        <f>IF(ISERROR(
PG!F128*E127),"",PG!F128*E127)</f>
        <v/>
      </c>
      <c r="K127" s="18" t="str">
        <f>IF(ISERROR(
PG!F128*F127),"",PG!F128*F127)</f>
        <v/>
      </c>
      <c r="L127" s="18">
        <f>IF(ISERROR(
PG!D128-H127),"",PG!D128-H127)</f>
        <v>0</v>
      </c>
      <c r="M127" s="33" t="str">
        <f>IF(ISERROR(
L127/PG!D128),"",L127/PG!D128)</f>
        <v/>
      </c>
      <c r="N127" s="18" t="str">
        <f>IF(ISERROR(
(O127*PG!D128)),"",(O127*PG!D128))</f>
        <v/>
      </c>
      <c r="O127" s="45" t="str">
        <f>IF(ISERROR(
PEq!$G$20*PG!G128),"",PEq!$G$20*PG!G128)</f>
        <v/>
      </c>
      <c r="P127" s="18">
        <f>IF(ISERROR(
PG!E128*G127),"",PG!E128*G127)</f>
        <v>0</v>
      </c>
      <c r="Q127" s="18">
        <f>IF(ISERROR(
PG!E128*D127),"",PG!E128*D127)</f>
        <v>0</v>
      </c>
    </row>
    <row r="128" spans="3:17" ht="30" customHeight="1" thickBot="1" x14ac:dyDescent="0.25">
      <c r="C128" s="83">
        <f>PG!C129</f>
        <v>0</v>
      </c>
      <c r="D128" s="23"/>
      <c r="E128" s="27"/>
      <c r="F128" s="27"/>
      <c r="G128" s="23"/>
      <c r="H128" s="62">
        <f>D128+PG!D129*(E128+F128)+G128</f>
        <v>0</v>
      </c>
      <c r="J128" s="18" t="str">
        <f>IF(ISERROR(
PG!F129*E128),"",PG!F129*E128)</f>
        <v/>
      </c>
      <c r="K128" s="18" t="str">
        <f>IF(ISERROR(
PG!F129*F128),"",PG!F129*F128)</f>
        <v/>
      </c>
      <c r="L128" s="18">
        <f>IF(ISERROR(
PG!D129-H128),"",PG!D129-H128)</f>
        <v>0</v>
      </c>
      <c r="M128" s="33" t="str">
        <f>IF(ISERROR(
L128/PG!D129),"",L128/PG!D129)</f>
        <v/>
      </c>
      <c r="N128" s="18" t="str">
        <f>IF(ISERROR(
(O128*PG!D129)),"",(O128*PG!D129))</f>
        <v/>
      </c>
      <c r="O128" s="45" t="str">
        <f>IF(ISERROR(
PEq!$G$20*PG!G129),"",PEq!$G$20*PG!G129)</f>
        <v/>
      </c>
      <c r="P128" s="18">
        <f>IF(ISERROR(
PG!E129*G128),"",PG!E129*G128)</f>
        <v>0</v>
      </c>
      <c r="Q128" s="18">
        <f>IF(ISERROR(
PG!E129*D128),"",PG!E129*D128)</f>
        <v>0</v>
      </c>
    </row>
    <row r="129" spans="3:17" ht="30" customHeight="1" thickBot="1" x14ac:dyDescent="0.25">
      <c r="C129" s="83">
        <f>PG!C130</f>
        <v>0</v>
      </c>
      <c r="D129" s="23"/>
      <c r="E129" s="27"/>
      <c r="F129" s="27"/>
      <c r="G129" s="23"/>
      <c r="H129" s="62">
        <f>D129+PG!D130*(E129+F129)+G129</f>
        <v>0</v>
      </c>
      <c r="J129" s="18" t="str">
        <f>IF(ISERROR(
PG!F130*E129),"",PG!F130*E129)</f>
        <v/>
      </c>
      <c r="K129" s="18" t="str">
        <f>IF(ISERROR(
PG!F130*F129),"",PG!F130*F129)</f>
        <v/>
      </c>
      <c r="L129" s="18">
        <f>IF(ISERROR(
PG!D130-H129),"",PG!D130-H129)</f>
        <v>0</v>
      </c>
      <c r="M129" s="33" t="str">
        <f>IF(ISERROR(
L129/PG!D130),"",L129/PG!D130)</f>
        <v/>
      </c>
      <c r="N129" s="18" t="str">
        <f>IF(ISERROR(
(O129*PG!D130)),"",(O129*PG!D130))</f>
        <v/>
      </c>
      <c r="O129" s="45" t="str">
        <f>IF(ISERROR(
PEq!$G$20*PG!G130),"",PEq!$G$20*PG!G130)</f>
        <v/>
      </c>
      <c r="P129" s="18">
        <f>IF(ISERROR(
PG!E130*G129),"",PG!E130*G129)</f>
        <v>0</v>
      </c>
      <c r="Q129" s="18">
        <f>IF(ISERROR(
PG!E130*D129),"",PG!E130*D129)</f>
        <v>0</v>
      </c>
    </row>
    <row r="130" spans="3:17" ht="30" customHeight="1" thickBot="1" x14ac:dyDescent="0.25">
      <c r="C130" s="83">
        <f>PG!C131</f>
        <v>0</v>
      </c>
      <c r="D130" s="23"/>
      <c r="E130" s="27"/>
      <c r="F130" s="27"/>
      <c r="G130" s="23"/>
      <c r="H130" s="62">
        <f>D130+PG!D131*(E130+F130)+G130</f>
        <v>0</v>
      </c>
      <c r="J130" s="18" t="str">
        <f>IF(ISERROR(
PG!F131*E130),"",PG!F131*E130)</f>
        <v/>
      </c>
      <c r="K130" s="18" t="str">
        <f>IF(ISERROR(
PG!F131*F130),"",PG!F131*F130)</f>
        <v/>
      </c>
      <c r="L130" s="18">
        <f>IF(ISERROR(
PG!D131-H130),"",PG!D131-H130)</f>
        <v>0</v>
      </c>
      <c r="M130" s="33" t="str">
        <f>IF(ISERROR(
L130/PG!D131),"",L130/PG!D131)</f>
        <v/>
      </c>
      <c r="N130" s="18" t="str">
        <f>IF(ISERROR(
(O130*PG!D131)),"",(O130*PG!D131))</f>
        <v/>
      </c>
      <c r="O130" s="45" t="str">
        <f>IF(ISERROR(
PEq!$G$20*PG!G131),"",PEq!$G$20*PG!G131)</f>
        <v/>
      </c>
      <c r="P130" s="18">
        <f>IF(ISERROR(
PG!E131*G130),"",PG!E131*G130)</f>
        <v>0</v>
      </c>
      <c r="Q130" s="18">
        <f>IF(ISERROR(
PG!E131*D130),"",PG!E131*D130)</f>
        <v>0</v>
      </c>
    </row>
    <row r="131" spans="3:17" ht="30" customHeight="1" thickBot="1" x14ac:dyDescent="0.25">
      <c r="C131" s="83">
        <f>PG!C132</f>
        <v>0</v>
      </c>
      <c r="D131" s="23"/>
      <c r="E131" s="27"/>
      <c r="F131" s="27"/>
      <c r="G131" s="23"/>
      <c r="H131" s="62">
        <f>D131+PG!D132*(E131+F131)+G131</f>
        <v>0</v>
      </c>
      <c r="J131" s="18" t="str">
        <f>IF(ISERROR(
PG!F132*E131),"",PG!F132*E131)</f>
        <v/>
      </c>
      <c r="K131" s="18" t="str">
        <f>IF(ISERROR(
PG!F132*F131),"",PG!F132*F131)</f>
        <v/>
      </c>
      <c r="L131" s="18">
        <f>IF(ISERROR(
PG!D132-H131),"",PG!D132-H131)</f>
        <v>0</v>
      </c>
      <c r="M131" s="33" t="str">
        <f>IF(ISERROR(
L131/PG!D132),"",L131/PG!D132)</f>
        <v/>
      </c>
      <c r="N131" s="18" t="str">
        <f>IF(ISERROR(
(O131*PG!D132)),"",(O131*PG!D132))</f>
        <v/>
      </c>
      <c r="O131" s="45" t="str">
        <f>IF(ISERROR(
PEq!$G$20*PG!G132),"",PEq!$G$20*PG!G132)</f>
        <v/>
      </c>
      <c r="P131" s="18">
        <f>IF(ISERROR(
PG!E132*G131),"",PG!E132*G131)</f>
        <v>0</v>
      </c>
      <c r="Q131" s="18">
        <f>IF(ISERROR(
PG!E132*D131),"",PG!E132*D131)</f>
        <v>0</v>
      </c>
    </row>
    <row r="132" spans="3:17" ht="30" customHeight="1" thickBot="1" x14ac:dyDescent="0.25">
      <c r="C132" s="83">
        <f>PG!C133</f>
        <v>0</v>
      </c>
      <c r="D132" s="23"/>
      <c r="E132" s="27"/>
      <c r="F132" s="27"/>
      <c r="G132" s="23"/>
      <c r="H132" s="62">
        <f>D132+PG!D133*(E132+F132)+G132</f>
        <v>0</v>
      </c>
      <c r="J132" s="18" t="str">
        <f>IF(ISERROR(
PG!F133*E132),"",PG!F133*E132)</f>
        <v/>
      </c>
      <c r="K132" s="18" t="str">
        <f>IF(ISERROR(
PG!F133*F132),"",PG!F133*F132)</f>
        <v/>
      </c>
      <c r="L132" s="18">
        <f>IF(ISERROR(
PG!D133-H132),"",PG!D133-H132)</f>
        <v>0</v>
      </c>
      <c r="M132" s="33" t="str">
        <f>IF(ISERROR(
L132/PG!D133),"",L132/PG!D133)</f>
        <v/>
      </c>
      <c r="N132" s="18" t="str">
        <f>IF(ISERROR(
(O132*PG!D133)),"",(O132*PG!D133))</f>
        <v/>
      </c>
      <c r="O132" s="45" t="str">
        <f>IF(ISERROR(
PEq!$G$20*PG!G133),"",PEq!$G$20*PG!G133)</f>
        <v/>
      </c>
      <c r="P132" s="18">
        <f>IF(ISERROR(
PG!E133*G132),"",PG!E133*G132)</f>
        <v>0</v>
      </c>
      <c r="Q132" s="18">
        <f>IF(ISERROR(
PG!E133*D132),"",PG!E133*D132)</f>
        <v>0</v>
      </c>
    </row>
    <row r="133" spans="3:17" ht="30" customHeight="1" thickBot="1" x14ac:dyDescent="0.25">
      <c r="C133" s="83">
        <f>PG!C134</f>
        <v>0</v>
      </c>
      <c r="D133" s="23"/>
      <c r="E133" s="27"/>
      <c r="F133" s="27"/>
      <c r="G133" s="23"/>
      <c r="H133" s="62">
        <f>D133+PG!D134*(E133+F133)+G133</f>
        <v>0</v>
      </c>
      <c r="J133" s="18" t="str">
        <f>IF(ISERROR(
PG!F134*E133),"",PG!F134*E133)</f>
        <v/>
      </c>
      <c r="K133" s="18" t="str">
        <f>IF(ISERROR(
PG!F134*F133),"",PG!F134*F133)</f>
        <v/>
      </c>
      <c r="L133" s="18">
        <f>IF(ISERROR(
PG!D134-H133),"",PG!D134-H133)</f>
        <v>0</v>
      </c>
      <c r="M133" s="33" t="str">
        <f>IF(ISERROR(
L133/PG!D134),"",L133/PG!D134)</f>
        <v/>
      </c>
      <c r="N133" s="18" t="str">
        <f>IF(ISERROR(
(O133*PG!D134)),"",(O133*PG!D134))</f>
        <v/>
      </c>
      <c r="O133" s="45" t="str">
        <f>IF(ISERROR(
PEq!$G$20*PG!G134),"",PEq!$G$20*PG!G134)</f>
        <v/>
      </c>
      <c r="P133" s="18">
        <f>IF(ISERROR(
PG!E134*G133),"",PG!E134*G133)</f>
        <v>0</v>
      </c>
      <c r="Q133" s="18">
        <f>IF(ISERROR(
PG!E134*D133),"",PG!E134*D133)</f>
        <v>0</v>
      </c>
    </row>
    <row r="134" spans="3:17" ht="30" customHeight="1" thickBot="1" x14ac:dyDescent="0.25">
      <c r="C134" s="83">
        <f>PG!C135</f>
        <v>0</v>
      </c>
      <c r="D134" s="23"/>
      <c r="E134" s="27"/>
      <c r="F134" s="27"/>
      <c r="G134" s="23"/>
      <c r="H134" s="62">
        <f>D134+PG!D135*(E134+F134)+G134</f>
        <v>0</v>
      </c>
      <c r="J134" s="18" t="str">
        <f>IF(ISERROR(
PG!F135*E134),"",PG!F135*E134)</f>
        <v/>
      </c>
      <c r="K134" s="18" t="str">
        <f>IF(ISERROR(
PG!F135*F134),"",PG!F135*F134)</f>
        <v/>
      </c>
      <c r="L134" s="18">
        <f>IF(ISERROR(
PG!D135-H134),"",PG!D135-H134)</f>
        <v>0</v>
      </c>
      <c r="M134" s="33" t="str">
        <f>IF(ISERROR(
L134/PG!D135),"",L134/PG!D135)</f>
        <v/>
      </c>
      <c r="N134" s="18" t="str">
        <f>IF(ISERROR(
(O134*PG!D135)),"",(O134*PG!D135))</f>
        <v/>
      </c>
      <c r="O134" s="45" t="str">
        <f>IF(ISERROR(
PEq!$G$20*PG!G135),"",PEq!$G$20*PG!G135)</f>
        <v/>
      </c>
      <c r="P134" s="18">
        <f>IF(ISERROR(
PG!E135*G134),"",PG!E135*G134)</f>
        <v>0</v>
      </c>
      <c r="Q134" s="18">
        <f>IF(ISERROR(
PG!E135*D134),"",PG!E135*D134)</f>
        <v>0</v>
      </c>
    </row>
    <row r="135" spans="3:17" ht="30" customHeight="1" thickBot="1" x14ac:dyDescent="0.25">
      <c r="C135" s="83">
        <f>PG!C136</f>
        <v>0</v>
      </c>
      <c r="D135" s="23"/>
      <c r="E135" s="27"/>
      <c r="F135" s="27"/>
      <c r="G135" s="23"/>
      <c r="H135" s="62">
        <f>D135+PG!D136*(E135+F135)+G135</f>
        <v>0</v>
      </c>
      <c r="J135" s="18" t="str">
        <f>IF(ISERROR(
PG!F136*E135),"",PG!F136*E135)</f>
        <v/>
      </c>
      <c r="K135" s="18" t="str">
        <f>IF(ISERROR(
PG!F136*F135),"",PG!F136*F135)</f>
        <v/>
      </c>
      <c r="L135" s="18">
        <f>IF(ISERROR(
PG!D136-H135),"",PG!D136-H135)</f>
        <v>0</v>
      </c>
      <c r="M135" s="33" t="str">
        <f>IF(ISERROR(
L135/PG!D136),"",L135/PG!D136)</f>
        <v/>
      </c>
      <c r="N135" s="18" t="str">
        <f>IF(ISERROR(
(O135*PG!D136)),"",(O135*PG!D136))</f>
        <v/>
      </c>
      <c r="O135" s="45" t="str">
        <f>IF(ISERROR(
PEq!$G$20*PG!G136),"",PEq!$G$20*PG!G136)</f>
        <v/>
      </c>
      <c r="P135" s="18">
        <f>IF(ISERROR(
PG!E136*G135),"",PG!E136*G135)</f>
        <v>0</v>
      </c>
      <c r="Q135" s="18">
        <f>IF(ISERROR(
PG!E136*D135),"",PG!E136*D135)</f>
        <v>0</v>
      </c>
    </row>
    <row r="136" spans="3:17" ht="30" customHeight="1" thickBot="1" x14ac:dyDescent="0.25">
      <c r="C136" s="83">
        <f>PG!C137</f>
        <v>0</v>
      </c>
      <c r="D136" s="23"/>
      <c r="E136" s="27"/>
      <c r="F136" s="27"/>
      <c r="G136" s="23"/>
      <c r="H136" s="62">
        <f>D136+PG!D137*(E136+F136)+G136</f>
        <v>0</v>
      </c>
      <c r="J136" s="18" t="str">
        <f>IF(ISERROR(
PG!F137*E136),"",PG!F137*E136)</f>
        <v/>
      </c>
      <c r="K136" s="18" t="str">
        <f>IF(ISERROR(
PG!F137*F136),"",PG!F137*F136)</f>
        <v/>
      </c>
      <c r="L136" s="18">
        <f>IF(ISERROR(
PG!D137-H136),"",PG!D137-H136)</f>
        <v>0</v>
      </c>
      <c r="M136" s="33" t="str">
        <f>IF(ISERROR(
L136/PG!D137),"",L136/PG!D137)</f>
        <v/>
      </c>
      <c r="N136" s="18" t="str">
        <f>IF(ISERROR(
(O136*PG!D137)),"",(O136*PG!D137))</f>
        <v/>
      </c>
      <c r="O136" s="45" t="str">
        <f>IF(ISERROR(
PEq!$G$20*PG!G137),"",PEq!$G$20*PG!G137)</f>
        <v/>
      </c>
      <c r="P136" s="18">
        <f>IF(ISERROR(
PG!E137*G136),"",PG!E137*G136)</f>
        <v>0</v>
      </c>
      <c r="Q136" s="18">
        <f>IF(ISERROR(
PG!E137*D136),"",PG!E137*D136)</f>
        <v>0</v>
      </c>
    </row>
    <row r="137" spans="3:17" ht="30" customHeight="1" thickBot="1" x14ac:dyDescent="0.25">
      <c r="C137" s="83">
        <f>PG!C138</f>
        <v>0</v>
      </c>
      <c r="D137" s="23"/>
      <c r="E137" s="27"/>
      <c r="F137" s="27"/>
      <c r="G137" s="23"/>
      <c r="H137" s="62">
        <f>D137+PG!D138*(E137+F137)+G137</f>
        <v>0</v>
      </c>
      <c r="J137" s="18" t="str">
        <f>IF(ISERROR(
PG!F138*E137),"",PG!F138*E137)</f>
        <v/>
      </c>
      <c r="K137" s="18" t="str">
        <f>IF(ISERROR(
PG!F138*F137),"",PG!F138*F137)</f>
        <v/>
      </c>
      <c r="L137" s="18">
        <f>IF(ISERROR(
PG!D138-H137),"",PG!D138-H137)</f>
        <v>0</v>
      </c>
      <c r="M137" s="33" t="str">
        <f>IF(ISERROR(
L137/PG!D138),"",L137/PG!D138)</f>
        <v/>
      </c>
      <c r="N137" s="18" t="str">
        <f>IF(ISERROR(
(O137*PG!D138)),"",(O137*PG!D138))</f>
        <v/>
      </c>
      <c r="O137" s="45" t="str">
        <f>IF(ISERROR(
PEq!$G$20*PG!G138),"",PEq!$G$20*PG!G138)</f>
        <v/>
      </c>
      <c r="P137" s="18">
        <f>IF(ISERROR(
PG!E138*G137),"",PG!E138*G137)</f>
        <v>0</v>
      </c>
      <c r="Q137" s="18">
        <f>IF(ISERROR(
PG!E138*D137),"",PG!E138*D137)</f>
        <v>0</v>
      </c>
    </row>
    <row r="138" spans="3:17" ht="30" customHeight="1" thickBot="1" x14ac:dyDescent="0.25">
      <c r="C138" s="83">
        <f>PG!C139</f>
        <v>0</v>
      </c>
      <c r="D138" s="23"/>
      <c r="E138" s="27"/>
      <c r="F138" s="27"/>
      <c r="G138" s="23"/>
      <c r="H138" s="62">
        <f>D138+PG!D139*(E138+F138)+G138</f>
        <v>0</v>
      </c>
      <c r="J138" s="18" t="str">
        <f>IF(ISERROR(
PG!F139*E138),"",PG!F139*E138)</f>
        <v/>
      </c>
      <c r="K138" s="18" t="str">
        <f>IF(ISERROR(
PG!F139*F138),"",PG!F139*F138)</f>
        <v/>
      </c>
      <c r="L138" s="18">
        <f>IF(ISERROR(
PG!D139-H138),"",PG!D139-H138)</f>
        <v>0</v>
      </c>
      <c r="M138" s="33" t="str">
        <f>IF(ISERROR(
L138/PG!D139),"",L138/PG!D139)</f>
        <v/>
      </c>
      <c r="N138" s="18" t="str">
        <f>IF(ISERROR(
(O138*PG!D139)),"",(O138*PG!D139))</f>
        <v/>
      </c>
      <c r="O138" s="45" t="str">
        <f>IF(ISERROR(
PEq!$G$20*PG!G139),"",PEq!$G$20*PG!G139)</f>
        <v/>
      </c>
      <c r="P138" s="18">
        <f>IF(ISERROR(
PG!E139*G138),"",PG!E139*G138)</f>
        <v>0</v>
      </c>
      <c r="Q138" s="18">
        <f>IF(ISERROR(
PG!E139*D138),"",PG!E139*D138)</f>
        <v>0</v>
      </c>
    </row>
    <row r="139" spans="3:17" ht="30" customHeight="1" thickBot="1" x14ac:dyDescent="0.25">
      <c r="C139" s="83">
        <f>PG!C140</f>
        <v>0</v>
      </c>
      <c r="D139" s="23"/>
      <c r="E139" s="27"/>
      <c r="F139" s="27"/>
      <c r="G139" s="23"/>
      <c r="H139" s="62">
        <f>D139+PG!D140*(E139+F139)+G139</f>
        <v>0</v>
      </c>
      <c r="J139" s="18" t="str">
        <f>IF(ISERROR(
PG!F140*E139),"",PG!F140*E139)</f>
        <v/>
      </c>
      <c r="K139" s="18" t="str">
        <f>IF(ISERROR(
PG!F140*F139),"",PG!F140*F139)</f>
        <v/>
      </c>
      <c r="L139" s="18">
        <f>IF(ISERROR(
PG!D140-H139),"",PG!D140-H139)</f>
        <v>0</v>
      </c>
      <c r="M139" s="33" t="str">
        <f>IF(ISERROR(
L139/PG!D140),"",L139/PG!D140)</f>
        <v/>
      </c>
      <c r="N139" s="18" t="str">
        <f>IF(ISERROR(
(O139*PG!D140)),"",(O139*PG!D140))</f>
        <v/>
      </c>
      <c r="O139" s="45" t="str">
        <f>IF(ISERROR(
PEq!$G$20*PG!G140),"",PEq!$G$20*PG!G140)</f>
        <v/>
      </c>
      <c r="P139" s="18">
        <f>IF(ISERROR(
PG!E140*G139),"",PG!E140*G139)</f>
        <v>0</v>
      </c>
      <c r="Q139" s="18">
        <f>IF(ISERROR(
PG!E140*D139),"",PG!E140*D139)</f>
        <v>0</v>
      </c>
    </row>
    <row r="140" spans="3:17" ht="30" customHeight="1" thickBot="1" x14ac:dyDescent="0.25">
      <c r="C140" s="83">
        <f>PG!C141</f>
        <v>0</v>
      </c>
      <c r="D140" s="23"/>
      <c r="E140" s="27"/>
      <c r="F140" s="27"/>
      <c r="G140" s="23"/>
      <c r="H140" s="62">
        <f>D140+PG!D141*(E140+F140)+G140</f>
        <v>0</v>
      </c>
      <c r="J140" s="18" t="str">
        <f>IF(ISERROR(
PG!F141*E140),"",PG!F141*E140)</f>
        <v/>
      </c>
      <c r="K140" s="18" t="str">
        <f>IF(ISERROR(
PG!F141*F140),"",PG!F141*F140)</f>
        <v/>
      </c>
      <c r="L140" s="18">
        <f>IF(ISERROR(
PG!D141-H140),"",PG!D141-H140)</f>
        <v>0</v>
      </c>
      <c r="M140" s="33" t="str">
        <f>IF(ISERROR(
L140/PG!D141),"",L140/PG!D141)</f>
        <v/>
      </c>
      <c r="N140" s="18" t="str">
        <f>IF(ISERROR(
(O140*PG!D141)),"",(O140*PG!D141))</f>
        <v/>
      </c>
      <c r="O140" s="45" t="str">
        <f>IF(ISERROR(
PEq!$G$20*PG!G141),"",PEq!$G$20*PG!G141)</f>
        <v/>
      </c>
      <c r="P140" s="18">
        <f>IF(ISERROR(
PG!E141*G140),"",PG!E141*G140)</f>
        <v>0</v>
      </c>
      <c r="Q140" s="18">
        <f>IF(ISERROR(
PG!E141*D140),"",PG!E141*D140)</f>
        <v>0</v>
      </c>
    </row>
    <row r="141" spans="3:17" ht="30" customHeight="1" thickBot="1" x14ac:dyDescent="0.25">
      <c r="C141" s="83">
        <f>PG!C142</f>
        <v>0</v>
      </c>
      <c r="D141" s="23"/>
      <c r="E141" s="27"/>
      <c r="F141" s="27"/>
      <c r="G141" s="23"/>
      <c r="H141" s="62">
        <f>D141+PG!D142*(E141+F141)+G141</f>
        <v>0</v>
      </c>
      <c r="J141" s="18" t="str">
        <f>IF(ISERROR(
PG!F142*E141),"",PG!F142*E141)</f>
        <v/>
      </c>
      <c r="K141" s="18" t="str">
        <f>IF(ISERROR(
PG!F142*F141),"",PG!F142*F141)</f>
        <v/>
      </c>
      <c r="L141" s="18">
        <f>IF(ISERROR(
PG!D142-H141),"",PG!D142-H141)</f>
        <v>0</v>
      </c>
      <c r="M141" s="33" t="str">
        <f>IF(ISERROR(
L141/PG!D142),"",L141/PG!D142)</f>
        <v/>
      </c>
      <c r="N141" s="18" t="str">
        <f>IF(ISERROR(
(O141*PG!D142)),"",(O141*PG!D142))</f>
        <v/>
      </c>
      <c r="O141" s="45" t="str">
        <f>IF(ISERROR(
PEq!$G$20*PG!G142),"",PEq!$G$20*PG!G142)</f>
        <v/>
      </c>
      <c r="P141" s="18">
        <f>IF(ISERROR(
PG!E142*G141),"",PG!E142*G141)</f>
        <v>0</v>
      </c>
      <c r="Q141" s="18">
        <f>IF(ISERROR(
PG!E142*D141),"",PG!E142*D141)</f>
        <v>0</v>
      </c>
    </row>
    <row r="142" spans="3:17" ht="30" customHeight="1" thickBot="1" x14ac:dyDescent="0.25">
      <c r="C142" s="83">
        <f>PG!C143</f>
        <v>0</v>
      </c>
      <c r="D142" s="23"/>
      <c r="E142" s="27"/>
      <c r="F142" s="27"/>
      <c r="G142" s="23"/>
      <c r="H142" s="62">
        <f>D142+PG!D143*(E142+F142)+G142</f>
        <v>0</v>
      </c>
      <c r="J142" s="18" t="str">
        <f>IF(ISERROR(
PG!F143*E142),"",PG!F143*E142)</f>
        <v/>
      </c>
      <c r="K142" s="18" t="str">
        <f>IF(ISERROR(
PG!F143*F142),"",PG!F143*F142)</f>
        <v/>
      </c>
      <c r="L142" s="18">
        <f>IF(ISERROR(
PG!D143-H142),"",PG!D143-H142)</f>
        <v>0</v>
      </c>
      <c r="M142" s="33" t="str">
        <f>IF(ISERROR(
L142/PG!D143),"",L142/PG!D143)</f>
        <v/>
      </c>
      <c r="N142" s="18" t="str">
        <f>IF(ISERROR(
(O142*PG!D143)),"",(O142*PG!D143))</f>
        <v/>
      </c>
      <c r="O142" s="45" t="str">
        <f>IF(ISERROR(
PEq!$G$20*PG!G143),"",PEq!$G$20*PG!G143)</f>
        <v/>
      </c>
      <c r="P142" s="18">
        <f>IF(ISERROR(
PG!E143*G142),"",PG!E143*G142)</f>
        <v>0</v>
      </c>
      <c r="Q142" s="18">
        <f>IF(ISERROR(
PG!E143*D142),"",PG!E143*D142)</f>
        <v>0</v>
      </c>
    </row>
    <row r="143" spans="3:17" ht="30" customHeight="1" thickBot="1" x14ac:dyDescent="0.25">
      <c r="C143" s="83">
        <f>PG!C144</f>
        <v>0</v>
      </c>
      <c r="D143" s="23"/>
      <c r="E143" s="27"/>
      <c r="F143" s="27"/>
      <c r="G143" s="23"/>
      <c r="H143" s="62">
        <f>D143+PG!D144*(E143+F143)+G143</f>
        <v>0</v>
      </c>
      <c r="J143" s="18" t="str">
        <f>IF(ISERROR(
PG!F144*E143),"",PG!F144*E143)</f>
        <v/>
      </c>
      <c r="K143" s="18" t="str">
        <f>IF(ISERROR(
PG!F144*F143),"",PG!F144*F143)</f>
        <v/>
      </c>
      <c r="L143" s="18">
        <f>IF(ISERROR(
PG!D144-H143),"",PG!D144-H143)</f>
        <v>0</v>
      </c>
      <c r="M143" s="33" t="str">
        <f>IF(ISERROR(
L143/PG!D144),"",L143/PG!D144)</f>
        <v/>
      </c>
      <c r="N143" s="18" t="str">
        <f>IF(ISERROR(
(O143*PG!D144)),"",(O143*PG!D144))</f>
        <v/>
      </c>
      <c r="O143" s="45" t="str">
        <f>IF(ISERROR(
PEq!$G$20*PG!G144),"",PEq!$G$20*PG!G144)</f>
        <v/>
      </c>
      <c r="P143" s="18">
        <f>IF(ISERROR(
PG!E144*G143),"",PG!E144*G143)</f>
        <v>0</v>
      </c>
      <c r="Q143" s="18">
        <f>IF(ISERROR(
PG!E144*D143),"",PG!E144*D143)</f>
        <v>0</v>
      </c>
    </row>
    <row r="144" spans="3:17" ht="30" customHeight="1" thickBot="1" x14ac:dyDescent="0.25">
      <c r="C144" s="83">
        <f>PG!C145</f>
        <v>0</v>
      </c>
      <c r="D144" s="23"/>
      <c r="E144" s="27"/>
      <c r="F144" s="27"/>
      <c r="G144" s="23"/>
      <c r="H144" s="62">
        <f>D144+PG!D145*(E144+F144)+G144</f>
        <v>0</v>
      </c>
      <c r="J144" s="18" t="str">
        <f>IF(ISERROR(
PG!F145*E144),"",PG!F145*E144)</f>
        <v/>
      </c>
      <c r="K144" s="18" t="str">
        <f>IF(ISERROR(
PG!F145*F144),"",PG!F145*F144)</f>
        <v/>
      </c>
      <c r="L144" s="18">
        <f>IF(ISERROR(
PG!D145-H144),"",PG!D145-H144)</f>
        <v>0</v>
      </c>
      <c r="M144" s="33" t="str">
        <f>IF(ISERROR(
L144/PG!D145),"",L144/PG!D145)</f>
        <v/>
      </c>
      <c r="N144" s="18" t="str">
        <f>IF(ISERROR(
(O144*PG!D145)),"",(O144*PG!D145))</f>
        <v/>
      </c>
      <c r="O144" s="45" t="str">
        <f>IF(ISERROR(
PEq!$G$20*PG!G145),"",PEq!$G$20*PG!G145)</f>
        <v/>
      </c>
      <c r="P144" s="18">
        <f>IF(ISERROR(
PG!E145*G144),"",PG!E145*G144)</f>
        <v>0</v>
      </c>
      <c r="Q144" s="18">
        <f>IF(ISERROR(
PG!E145*D144),"",PG!E145*D144)</f>
        <v>0</v>
      </c>
    </row>
    <row r="145" spans="3:17" ht="30" customHeight="1" thickBot="1" x14ac:dyDescent="0.25">
      <c r="C145" s="83">
        <f>PG!C146</f>
        <v>0</v>
      </c>
      <c r="D145" s="23"/>
      <c r="E145" s="27"/>
      <c r="F145" s="27"/>
      <c r="G145" s="23"/>
      <c r="H145" s="62">
        <f>D145+PG!D146*(E145+F145)+G145</f>
        <v>0</v>
      </c>
      <c r="J145" s="18" t="str">
        <f>IF(ISERROR(
PG!F146*E145),"",PG!F146*E145)</f>
        <v/>
      </c>
      <c r="K145" s="18" t="str">
        <f>IF(ISERROR(
PG!F146*F145),"",PG!F146*F145)</f>
        <v/>
      </c>
      <c r="L145" s="18">
        <f>IF(ISERROR(
PG!D146-H145),"",PG!D146-H145)</f>
        <v>0</v>
      </c>
      <c r="M145" s="33" t="str">
        <f>IF(ISERROR(
L145/PG!D146),"",L145/PG!D146)</f>
        <v/>
      </c>
      <c r="N145" s="18" t="str">
        <f>IF(ISERROR(
(O145*PG!D146)),"",(O145*PG!D146))</f>
        <v/>
      </c>
      <c r="O145" s="45" t="str">
        <f>IF(ISERROR(
PEq!$G$20*PG!G146),"",PEq!$G$20*PG!G146)</f>
        <v/>
      </c>
      <c r="P145" s="18">
        <f>IF(ISERROR(
PG!E146*G145),"",PG!E146*G145)</f>
        <v>0</v>
      </c>
      <c r="Q145" s="18">
        <f>IF(ISERROR(
PG!E146*D145),"",PG!E146*D145)</f>
        <v>0</v>
      </c>
    </row>
    <row r="146" spans="3:17" ht="30" customHeight="1" thickBot="1" x14ac:dyDescent="0.25">
      <c r="C146" s="83">
        <f>PG!C147</f>
        <v>0</v>
      </c>
      <c r="D146" s="23"/>
      <c r="E146" s="27"/>
      <c r="F146" s="27"/>
      <c r="G146" s="23"/>
      <c r="H146" s="62">
        <f>D146+PG!D147*(E146+F146)+G146</f>
        <v>0</v>
      </c>
      <c r="J146" s="18" t="str">
        <f>IF(ISERROR(
PG!F147*E146),"",PG!F147*E146)</f>
        <v/>
      </c>
      <c r="K146" s="18" t="str">
        <f>IF(ISERROR(
PG!F147*F146),"",PG!F147*F146)</f>
        <v/>
      </c>
      <c r="L146" s="18">
        <f>IF(ISERROR(
PG!D147-H146),"",PG!D147-H146)</f>
        <v>0</v>
      </c>
      <c r="M146" s="33" t="str">
        <f>IF(ISERROR(
L146/PG!D147),"",L146/PG!D147)</f>
        <v/>
      </c>
      <c r="N146" s="18" t="str">
        <f>IF(ISERROR(
(O146*PG!D147)),"",(O146*PG!D147))</f>
        <v/>
      </c>
      <c r="O146" s="45" t="str">
        <f>IF(ISERROR(
PEq!$G$20*PG!G147),"",PEq!$G$20*PG!G147)</f>
        <v/>
      </c>
      <c r="P146" s="18">
        <f>IF(ISERROR(
PG!E147*G146),"",PG!E147*G146)</f>
        <v>0</v>
      </c>
      <c r="Q146" s="18">
        <f>IF(ISERROR(
PG!E147*D146),"",PG!E147*D146)</f>
        <v>0</v>
      </c>
    </row>
    <row r="147" spans="3:17" ht="30" customHeight="1" thickBot="1" x14ac:dyDescent="0.25">
      <c r="C147" s="83">
        <f>PG!C148</f>
        <v>0</v>
      </c>
      <c r="D147" s="23"/>
      <c r="E147" s="27"/>
      <c r="F147" s="27"/>
      <c r="G147" s="23"/>
      <c r="H147" s="62">
        <f>D147+PG!D148*(E147+F147)+G147</f>
        <v>0</v>
      </c>
      <c r="J147" s="18" t="str">
        <f>IF(ISERROR(
PG!F148*E147),"",PG!F148*E147)</f>
        <v/>
      </c>
      <c r="K147" s="18" t="str">
        <f>IF(ISERROR(
PG!F148*F147),"",PG!F148*F147)</f>
        <v/>
      </c>
      <c r="L147" s="18">
        <f>IF(ISERROR(
PG!D148-H147),"",PG!D148-H147)</f>
        <v>0</v>
      </c>
      <c r="M147" s="33" t="str">
        <f>IF(ISERROR(
L147/PG!D148),"",L147/PG!D148)</f>
        <v/>
      </c>
      <c r="N147" s="18" t="str">
        <f>IF(ISERROR(
(O147*PG!D148)),"",(O147*PG!D148))</f>
        <v/>
      </c>
      <c r="O147" s="45" t="str">
        <f>IF(ISERROR(
PEq!$G$20*PG!G148),"",PEq!$G$20*PG!G148)</f>
        <v/>
      </c>
      <c r="P147" s="18">
        <f>IF(ISERROR(
PG!E148*G147),"",PG!E148*G147)</f>
        <v>0</v>
      </c>
      <c r="Q147" s="18">
        <f>IF(ISERROR(
PG!E148*D147),"",PG!E148*D147)</f>
        <v>0</v>
      </c>
    </row>
    <row r="148" spans="3:17" ht="30" customHeight="1" thickBot="1" x14ac:dyDescent="0.25">
      <c r="C148" s="83">
        <f>PG!C149</f>
        <v>0</v>
      </c>
      <c r="D148" s="23"/>
      <c r="E148" s="27"/>
      <c r="F148" s="27"/>
      <c r="G148" s="23"/>
      <c r="H148" s="62">
        <f>D148+PG!D149*(E148+F148)+G148</f>
        <v>0</v>
      </c>
      <c r="J148" s="18" t="str">
        <f>IF(ISERROR(
PG!F149*E148),"",PG!F149*E148)</f>
        <v/>
      </c>
      <c r="K148" s="18" t="str">
        <f>IF(ISERROR(
PG!F149*F148),"",PG!F149*F148)</f>
        <v/>
      </c>
      <c r="L148" s="18">
        <f>IF(ISERROR(
PG!D149-H148),"",PG!D149-H148)</f>
        <v>0</v>
      </c>
      <c r="M148" s="33" t="str">
        <f>IF(ISERROR(
L148/PG!D149),"",L148/PG!D149)</f>
        <v/>
      </c>
      <c r="N148" s="18" t="str">
        <f>IF(ISERROR(
(O148*PG!D149)),"",(O148*PG!D149))</f>
        <v/>
      </c>
      <c r="O148" s="45" t="str">
        <f>IF(ISERROR(
PEq!$G$20*PG!G149),"",PEq!$G$20*PG!G149)</f>
        <v/>
      </c>
      <c r="P148" s="18">
        <f>IF(ISERROR(
PG!E149*G148),"",PG!E149*G148)</f>
        <v>0</v>
      </c>
      <c r="Q148" s="18">
        <f>IF(ISERROR(
PG!E149*D148),"",PG!E149*D148)</f>
        <v>0</v>
      </c>
    </row>
    <row r="149" spans="3:17" ht="30" customHeight="1" thickBot="1" x14ac:dyDescent="0.25">
      <c r="C149" s="83">
        <f>PG!C150</f>
        <v>0</v>
      </c>
      <c r="D149" s="23"/>
      <c r="E149" s="27"/>
      <c r="F149" s="27"/>
      <c r="G149" s="23"/>
      <c r="H149" s="62">
        <f>D149+PG!D150*(E149+F149)+G149</f>
        <v>0</v>
      </c>
      <c r="J149" s="18" t="str">
        <f>IF(ISERROR(
PG!F150*E149),"",PG!F150*E149)</f>
        <v/>
      </c>
      <c r="K149" s="18" t="str">
        <f>IF(ISERROR(
PG!F150*F149),"",PG!F150*F149)</f>
        <v/>
      </c>
      <c r="L149" s="18">
        <f>IF(ISERROR(
PG!D150-H149),"",PG!D150-H149)</f>
        <v>0</v>
      </c>
      <c r="M149" s="33" t="str">
        <f>IF(ISERROR(
L149/PG!D150),"",L149/PG!D150)</f>
        <v/>
      </c>
      <c r="N149" s="18" t="str">
        <f>IF(ISERROR(
(O149*PG!D150)),"",(O149*PG!D150))</f>
        <v/>
      </c>
      <c r="O149" s="45" t="str">
        <f>IF(ISERROR(
PEq!$G$20*PG!G150),"",PEq!$G$20*PG!G150)</f>
        <v/>
      </c>
      <c r="P149" s="18">
        <f>IF(ISERROR(
PG!E150*G149),"",PG!E150*G149)</f>
        <v>0</v>
      </c>
      <c r="Q149" s="18">
        <f>IF(ISERROR(
PG!E150*D149),"",PG!E150*D149)</f>
        <v>0</v>
      </c>
    </row>
    <row r="150" spans="3:17" ht="30" customHeight="1" thickBot="1" x14ac:dyDescent="0.25">
      <c r="C150" s="83">
        <f>PG!C151</f>
        <v>0</v>
      </c>
      <c r="D150" s="23"/>
      <c r="E150" s="27"/>
      <c r="F150" s="27"/>
      <c r="G150" s="23"/>
      <c r="H150" s="62">
        <f>D150+PG!D151*(E150+F150)+G150</f>
        <v>0</v>
      </c>
      <c r="J150" s="18" t="str">
        <f>IF(ISERROR(
PG!F151*E150),"",PG!F151*E150)</f>
        <v/>
      </c>
      <c r="K150" s="18" t="str">
        <f>IF(ISERROR(
PG!F151*F150),"",PG!F151*F150)</f>
        <v/>
      </c>
      <c r="L150" s="18">
        <f>IF(ISERROR(
PG!D151-H150),"",PG!D151-H150)</f>
        <v>0</v>
      </c>
      <c r="M150" s="33" t="str">
        <f>IF(ISERROR(
L150/PG!D151),"",L150/PG!D151)</f>
        <v/>
      </c>
      <c r="N150" s="18" t="str">
        <f>IF(ISERROR(
(O150*PG!D151)),"",(O150*PG!D151))</f>
        <v/>
      </c>
      <c r="O150" s="45" t="str">
        <f>IF(ISERROR(
PEq!$G$20*PG!G151),"",PEq!$G$20*PG!G151)</f>
        <v/>
      </c>
      <c r="P150" s="18">
        <f>IF(ISERROR(
PG!E151*G150),"",PG!E151*G150)</f>
        <v>0</v>
      </c>
      <c r="Q150" s="18">
        <f>IF(ISERROR(
PG!E151*D150),"",PG!E151*D150)</f>
        <v>0</v>
      </c>
    </row>
    <row r="151" spans="3:17" ht="30" customHeight="1" thickBot="1" x14ac:dyDescent="0.25">
      <c r="C151" s="83">
        <f>PG!C152</f>
        <v>0</v>
      </c>
      <c r="D151" s="23"/>
      <c r="E151" s="27"/>
      <c r="F151" s="27"/>
      <c r="G151" s="23"/>
      <c r="H151" s="62">
        <f>D151+PG!D152*(E151+F151)+G151</f>
        <v>0</v>
      </c>
      <c r="J151" s="18" t="str">
        <f>IF(ISERROR(
PG!F152*E151),"",PG!F152*E151)</f>
        <v/>
      </c>
      <c r="K151" s="18" t="str">
        <f>IF(ISERROR(
PG!F152*F151),"",PG!F152*F151)</f>
        <v/>
      </c>
      <c r="L151" s="18">
        <f>IF(ISERROR(
PG!D152-H151),"",PG!D152-H151)</f>
        <v>0</v>
      </c>
      <c r="M151" s="33" t="str">
        <f>IF(ISERROR(
L151/PG!D152),"",L151/PG!D152)</f>
        <v/>
      </c>
      <c r="N151" s="18" t="str">
        <f>IF(ISERROR(
(O151*PG!D152)),"",(O151*PG!D152))</f>
        <v/>
      </c>
      <c r="O151" s="45" t="str">
        <f>IF(ISERROR(
PEq!$G$20*PG!G152),"",PEq!$G$20*PG!G152)</f>
        <v/>
      </c>
      <c r="P151" s="18">
        <f>IF(ISERROR(
PG!E152*G151),"",PG!E152*G151)</f>
        <v>0</v>
      </c>
      <c r="Q151" s="18">
        <f>IF(ISERROR(
PG!E152*D151),"",PG!E152*D151)</f>
        <v>0</v>
      </c>
    </row>
    <row r="152" spans="3:17" ht="30" customHeight="1" thickBot="1" x14ac:dyDescent="0.25">
      <c r="C152" s="83">
        <f>PG!C153</f>
        <v>0</v>
      </c>
      <c r="D152" s="23"/>
      <c r="E152" s="27"/>
      <c r="F152" s="27"/>
      <c r="G152" s="23"/>
      <c r="H152" s="62">
        <f>D152+PG!D153*(E152+F152)+G152</f>
        <v>0</v>
      </c>
      <c r="J152" s="18" t="str">
        <f>IF(ISERROR(
PG!F153*E152),"",PG!F153*E152)</f>
        <v/>
      </c>
      <c r="K152" s="18" t="str">
        <f>IF(ISERROR(
PG!F153*F152),"",PG!F153*F152)</f>
        <v/>
      </c>
      <c r="L152" s="18">
        <f>IF(ISERROR(
PG!D153-H152),"",PG!D153-H152)</f>
        <v>0</v>
      </c>
      <c r="M152" s="33" t="str">
        <f>IF(ISERROR(
L152/PG!D153),"",L152/PG!D153)</f>
        <v/>
      </c>
      <c r="N152" s="18" t="str">
        <f>IF(ISERROR(
(O152*PG!D153)),"",(O152*PG!D153))</f>
        <v/>
      </c>
      <c r="O152" s="45" t="str">
        <f>IF(ISERROR(
PEq!$G$20*PG!G153),"",PEq!$G$20*PG!G153)</f>
        <v/>
      </c>
      <c r="P152" s="18">
        <f>IF(ISERROR(
PG!E153*G152),"",PG!E153*G152)</f>
        <v>0</v>
      </c>
      <c r="Q152" s="18">
        <f>IF(ISERROR(
PG!E153*D152),"",PG!E153*D152)</f>
        <v>0</v>
      </c>
    </row>
    <row r="153" spans="3:17" ht="30" customHeight="1" thickBot="1" x14ac:dyDescent="0.25">
      <c r="C153" s="83">
        <f>PG!C154</f>
        <v>0</v>
      </c>
      <c r="D153" s="23"/>
      <c r="E153" s="27"/>
      <c r="F153" s="27"/>
      <c r="G153" s="23"/>
      <c r="H153" s="62">
        <f>D153+PG!D154*(E153+F153)+G153</f>
        <v>0</v>
      </c>
      <c r="J153" s="18" t="str">
        <f>IF(ISERROR(
PG!F154*E153),"",PG!F154*E153)</f>
        <v/>
      </c>
      <c r="K153" s="18" t="str">
        <f>IF(ISERROR(
PG!F154*F153),"",PG!F154*F153)</f>
        <v/>
      </c>
      <c r="L153" s="18">
        <f>IF(ISERROR(
PG!D154-H153),"",PG!D154-H153)</f>
        <v>0</v>
      </c>
      <c r="M153" s="33" t="str">
        <f>IF(ISERROR(
L153/PG!D154),"",L153/PG!D154)</f>
        <v/>
      </c>
      <c r="N153" s="18" t="str">
        <f>IF(ISERROR(
(O153*PG!D154)),"",(O153*PG!D154))</f>
        <v/>
      </c>
      <c r="O153" s="45" t="str">
        <f>IF(ISERROR(
PEq!$G$20*PG!G154),"",PEq!$G$20*PG!G154)</f>
        <v/>
      </c>
      <c r="P153" s="18">
        <f>IF(ISERROR(
PG!E154*G153),"",PG!E154*G153)</f>
        <v>0</v>
      </c>
      <c r="Q153" s="18">
        <f>IF(ISERROR(
PG!E154*D153),"",PG!E154*D153)</f>
        <v>0</v>
      </c>
    </row>
    <row r="154" spans="3:17" ht="30" customHeight="1" thickBot="1" x14ac:dyDescent="0.25">
      <c r="C154" s="83">
        <f>PG!C155</f>
        <v>0</v>
      </c>
      <c r="D154" s="23"/>
      <c r="E154" s="27"/>
      <c r="F154" s="27"/>
      <c r="G154" s="23"/>
      <c r="H154" s="62">
        <f>D154+PG!D155*(E154+F154)+G154</f>
        <v>0</v>
      </c>
      <c r="J154" s="18" t="str">
        <f>IF(ISERROR(
PG!F155*E154),"",PG!F155*E154)</f>
        <v/>
      </c>
      <c r="K154" s="18" t="str">
        <f>IF(ISERROR(
PG!F155*F154),"",PG!F155*F154)</f>
        <v/>
      </c>
      <c r="L154" s="18">
        <f>IF(ISERROR(
PG!D155-H154),"",PG!D155-H154)</f>
        <v>0</v>
      </c>
      <c r="M154" s="33" t="str">
        <f>IF(ISERROR(
L154/PG!D155),"",L154/PG!D155)</f>
        <v/>
      </c>
      <c r="N154" s="18" t="str">
        <f>IF(ISERROR(
(O154*PG!D155)),"",(O154*PG!D155))</f>
        <v/>
      </c>
      <c r="O154" s="45" t="str">
        <f>IF(ISERROR(
PEq!$G$20*PG!G155),"",PEq!$G$20*PG!G155)</f>
        <v/>
      </c>
      <c r="P154" s="18">
        <f>IF(ISERROR(
PG!E155*G154),"",PG!E155*G154)</f>
        <v>0</v>
      </c>
      <c r="Q154" s="18">
        <f>IF(ISERROR(
PG!E155*D154),"",PG!E155*D154)</f>
        <v>0</v>
      </c>
    </row>
    <row r="155" spans="3:17" ht="30" customHeight="1" thickBot="1" x14ac:dyDescent="0.25">
      <c r="C155" s="83">
        <f>PG!C156</f>
        <v>0</v>
      </c>
      <c r="D155" s="23"/>
      <c r="E155" s="27"/>
      <c r="F155" s="27"/>
      <c r="G155" s="23"/>
      <c r="H155" s="62">
        <f>D155+PG!D156*(E155+F155)+G155</f>
        <v>0</v>
      </c>
      <c r="J155" s="18" t="str">
        <f>IF(ISERROR(
PG!F156*E155),"",PG!F156*E155)</f>
        <v/>
      </c>
      <c r="K155" s="18" t="str">
        <f>IF(ISERROR(
PG!F156*F155),"",PG!F156*F155)</f>
        <v/>
      </c>
      <c r="L155" s="18">
        <f>IF(ISERROR(
PG!D156-H155),"",PG!D156-H155)</f>
        <v>0</v>
      </c>
      <c r="M155" s="33" t="str">
        <f>IF(ISERROR(
L155/PG!D156),"",L155/PG!D156)</f>
        <v/>
      </c>
      <c r="N155" s="18" t="str">
        <f>IF(ISERROR(
(O155*PG!D156)),"",(O155*PG!D156))</f>
        <v/>
      </c>
      <c r="O155" s="45" t="str">
        <f>IF(ISERROR(
PEq!$G$20*PG!G156),"",PEq!$G$20*PG!G156)</f>
        <v/>
      </c>
      <c r="P155" s="18">
        <f>IF(ISERROR(
PG!E156*G155),"",PG!E156*G155)</f>
        <v>0</v>
      </c>
      <c r="Q155" s="18">
        <f>IF(ISERROR(
PG!E156*D155),"",PG!E156*D155)</f>
        <v>0</v>
      </c>
    </row>
    <row r="156" spans="3:17" ht="30" customHeight="1" thickBot="1" x14ac:dyDescent="0.25">
      <c r="C156" s="83">
        <f>PG!C157</f>
        <v>0</v>
      </c>
      <c r="D156" s="23"/>
      <c r="E156" s="27"/>
      <c r="F156" s="27"/>
      <c r="G156" s="23"/>
      <c r="H156" s="62">
        <f>D156+PG!D157*(E156+F156)+G156</f>
        <v>0</v>
      </c>
      <c r="J156" s="18" t="str">
        <f>IF(ISERROR(
PG!F157*E156),"",PG!F157*E156)</f>
        <v/>
      </c>
      <c r="K156" s="18" t="str">
        <f>IF(ISERROR(
PG!F157*F156),"",PG!F157*F156)</f>
        <v/>
      </c>
      <c r="L156" s="18">
        <f>IF(ISERROR(
PG!D157-H156),"",PG!D157-H156)</f>
        <v>0</v>
      </c>
      <c r="M156" s="33" t="str">
        <f>IF(ISERROR(
L156/PG!D157),"",L156/PG!D157)</f>
        <v/>
      </c>
      <c r="N156" s="18" t="str">
        <f>IF(ISERROR(
(O156*PG!D157)),"",(O156*PG!D157))</f>
        <v/>
      </c>
      <c r="O156" s="45" t="str">
        <f>IF(ISERROR(
PEq!$G$20*PG!G157),"",PEq!$G$20*PG!G157)</f>
        <v/>
      </c>
      <c r="P156" s="18">
        <f>IF(ISERROR(
PG!E157*G156),"",PG!E157*G156)</f>
        <v>0</v>
      </c>
      <c r="Q156" s="18">
        <f>IF(ISERROR(
PG!E157*D156),"",PG!E157*D156)</f>
        <v>0</v>
      </c>
    </row>
    <row r="157" spans="3:17" ht="30" customHeight="1" thickBot="1" x14ac:dyDescent="0.25">
      <c r="C157" s="83">
        <f>PG!C158</f>
        <v>0</v>
      </c>
      <c r="D157" s="23"/>
      <c r="E157" s="27"/>
      <c r="F157" s="27"/>
      <c r="G157" s="23"/>
      <c r="H157" s="62">
        <f>D157+PG!D158*(E157+F157)+G157</f>
        <v>0</v>
      </c>
      <c r="J157" s="18" t="str">
        <f>IF(ISERROR(
PG!F158*E157),"",PG!F158*E157)</f>
        <v/>
      </c>
      <c r="K157" s="18" t="str">
        <f>IF(ISERROR(
PG!F158*F157),"",PG!F158*F157)</f>
        <v/>
      </c>
      <c r="L157" s="18">
        <f>IF(ISERROR(
PG!D158-H157),"",PG!D158-H157)</f>
        <v>0</v>
      </c>
      <c r="M157" s="33" t="str">
        <f>IF(ISERROR(
L157/PG!D158),"",L157/PG!D158)</f>
        <v/>
      </c>
      <c r="N157" s="18" t="str">
        <f>IF(ISERROR(
(O157*PG!D158)),"",(O157*PG!D158))</f>
        <v/>
      </c>
      <c r="O157" s="45" t="str">
        <f>IF(ISERROR(
PEq!$G$20*PG!G158),"",PEq!$G$20*PG!G158)</f>
        <v/>
      </c>
      <c r="P157" s="18">
        <f>IF(ISERROR(
PG!E158*G157),"",PG!E158*G157)</f>
        <v>0</v>
      </c>
      <c r="Q157" s="18">
        <f>IF(ISERROR(
PG!E158*D157),"",PG!E158*D157)</f>
        <v>0</v>
      </c>
    </row>
    <row r="158" spans="3:17" ht="30" customHeight="1" thickBot="1" x14ac:dyDescent="0.25">
      <c r="C158" s="83">
        <f>PG!C159</f>
        <v>0</v>
      </c>
      <c r="D158" s="23"/>
      <c r="E158" s="27"/>
      <c r="F158" s="27"/>
      <c r="G158" s="23"/>
      <c r="H158" s="62">
        <f>D158+PG!D159*(E158+F158)+G158</f>
        <v>0</v>
      </c>
      <c r="J158" s="18" t="str">
        <f>IF(ISERROR(
PG!F159*E158),"",PG!F159*E158)</f>
        <v/>
      </c>
      <c r="K158" s="18" t="str">
        <f>IF(ISERROR(
PG!F159*F158),"",PG!F159*F158)</f>
        <v/>
      </c>
      <c r="L158" s="18">
        <f>IF(ISERROR(
PG!D159-H158),"",PG!D159-H158)</f>
        <v>0</v>
      </c>
      <c r="M158" s="33" t="str">
        <f>IF(ISERROR(
L158/PG!D159),"",L158/PG!D159)</f>
        <v/>
      </c>
      <c r="N158" s="18" t="str">
        <f>IF(ISERROR(
(O158*PG!D159)),"",(O158*PG!D159))</f>
        <v/>
      </c>
      <c r="O158" s="45" t="str">
        <f>IF(ISERROR(
PEq!$G$20*PG!G159),"",PEq!$G$20*PG!G159)</f>
        <v/>
      </c>
      <c r="P158" s="18">
        <f>IF(ISERROR(
PG!E159*G158),"",PG!E159*G158)</f>
        <v>0</v>
      </c>
      <c r="Q158" s="18">
        <f>IF(ISERROR(
PG!E159*D158),"",PG!E159*D158)</f>
        <v>0</v>
      </c>
    </row>
    <row r="159" spans="3:17" ht="30" customHeight="1" thickBot="1" x14ac:dyDescent="0.25">
      <c r="C159" s="83">
        <f>PG!C160</f>
        <v>0</v>
      </c>
      <c r="D159" s="23"/>
      <c r="E159" s="27"/>
      <c r="F159" s="27"/>
      <c r="G159" s="23"/>
      <c r="H159" s="62">
        <f>D159+PG!D160*(E159+F159)+G159</f>
        <v>0</v>
      </c>
      <c r="J159" s="18" t="str">
        <f>IF(ISERROR(
PG!F160*E159),"",PG!F160*E159)</f>
        <v/>
      </c>
      <c r="K159" s="18" t="str">
        <f>IF(ISERROR(
PG!F160*F159),"",PG!F160*F159)</f>
        <v/>
      </c>
      <c r="L159" s="18">
        <f>IF(ISERROR(
PG!D160-H159),"",PG!D160-H159)</f>
        <v>0</v>
      </c>
      <c r="M159" s="33" t="str">
        <f>IF(ISERROR(
L159/PG!D160),"",L159/PG!D160)</f>
        <v/>
      </c>
      <c r="N159" s="18" t="str">
        <f>IF(ISERROR(
(O159*PG!D160)),"",(O159*PG!D160))</f>
        <v/>
      </c>
      <c r="O159" s="45" t="str">
        <f>IF(ISERROR(
PEq!$G$20*PG!G160),"",PEq!$G$20*PG!G160)</f>
        <v/>
      </c>
      <c r="P159" s="18">
        <f>IF(ISERROR(
PG!E160*G159),"",PG!E160*G159)</f>
        <v>0</v>
      </c>
      <c r="Q159" s="18">
        <f>IF(ISERROR(
PG!E160*D159),"",PG!E160*D159)</f>
        <v>0</v>
      </c>
    </row>
    <row r="160" spans="3:17" ht="30" customHeight="1" thickBot="1" x14ac:dyDescent="0.25">
      <c r="C160" s="83">
        <f>PG!C161</f>
        <v>0</v>
      </c>
      <c r="D160" s="23"/>
      <c r="E160" s="27"/>
      <c r="F160" s="27"/>
      <c r="G160" s="23"/>
      <c r="H160" s="62">
        <f>D160+PG!D161*(E160+F160)+G160</f>
        <v>0</v>
      </c>
      <c r="J160" s="18" t="str">
        <f>IF(ISERROR(
PG!F161*E160),"",PG!F161*E160)</f>
        <v/>
      </c>
      <c r="K160" s="18" t="str">
        <f>IF(ISERROR(
PG!F161*F160),"",PG!F161*F160)</f>
        <v/>
      </c>
      <c r="L160" s="18">
        <f>IF(ISERROR(
PG!D161-H160),"",PG!D161-H160)</f>
        <v>0</v>
      </c>
      <c r="M160" s="33" t="str">
        <f>IF(ISERROR(
L160/PG!D161),"",L160/PG!D161)</f>
        <v/>
      </c>
      <c r="N160" s="18" t="str">
        <f>IF(ISERROR(
(O160*PG!D161)),"",(O160*PG!D161))</f>
        <v/>
      </c>
      <c r="O160" s="45" t="str">
        <f>IF(ISERROR(
PEq!$G$20*PG!G161),"",PEq!$G$20*PG!G161)</f>
        <v/>
      </c>
      <c r="P160" s="18">
        <f>IF(ISERROR(
PG!E161*G160),"",PG!E161*G160)</f>
        <v>0</v>
      </c>
      <c r="Q160" s="18">
        <f>IF(ISERROR(
PG!E161*D160),"",PG!E161*D160)</f>
        <v>0</v>
      </c>
    </row>
    <row r="161" spans="3:17" ht="30" customHeight="1" thickBot="1" x14ac:dyDescent="0.25">
      <c r="C161" s="83">
        <f>PG!C162</f>
        <v>0</v>
      </c>
      <c r="D161" s="23"/>
      <c r="E161" s="27"/>
      <c r="F161" s="27"/>
      <c r="G161" s="23"/>
      <c r="H161" s="62">
        <f>D161+PG!D162*(E161+F161)+G161</f>
        <v>0</v>
      </c>
      <c r="J161" s="18" t="str">
        <f>IF(ISERROR(
PG!F162*E161),"",PG!F162*E161)</f>
        <v/>
      </c>
      <c r="K161" s="18" t="str">
        <f>IF(ISERROR(
PG!F162*F161),"",PG!F162*F161)</f>
        <v/>
      </c>
      <c r="L161" s="18">
        <f>IF(ISERROR(
PG!D162-H161),"",PG!D162-H161)</f>
        <v>0</v>
      </c>
      <c r="M161" s="33" t="str">
        <f>IF(ISERROR(
L161/PG!D162),"",L161/PG!D162)</f>
        <v/>
      </c>
      <c r="N161" s="18" t="str">
        <f>IF(ISERROR(
(O161*PG!D162)),"",(O161*PG!D162))</f>
        <v/>
      </c>
      <c r="O161" s="45" t="str">
        <f>IF(ISERROR(
PEq!$G$20*PG!G162),"",PEq!$G$20*PG!G162)</f>
        <v/>
      </c>
      <c r="P161" s="18">
        <f>IF(ISERROR(
PG!E162*G161),"",PG!E162*G161)</f>
        <v>0</v>
      </c>
      <c r="Q161" s="18">
        <f>IF(ISERROR(
PG!E162*D161),"",PG!E162*D161)</f>
        <v>0</v>
      </c>
    </row>
    <row r="162" spans="3:17" ht="30" customHeight="1" thickBot="1" x14ac:dyDescent="0.25">
      <c r="C162" s="83">
        <f>PG!C163</f>
        <v>0</v>
      </c>
      <c r="D162" s="23"/>
      <c r="E162" s="27"/>
      <c r="F162" s="27"/>
      <c r="G162" s="23"/>
      <c r="H162" s="62">
        <f>D162+PG!D163*(E162+F162)+G162</f>
        <v>0</v>
      </c>
      <c r="J162" s="18" t="str">
        <f>IF(ISERROR(
PG!F163*E162),"",PG!F163*E162)</f>
        <v/>
      </c>
      <c r="K162" s="18" t="str">
        <f>IF(ISERROR(
PG!F163*F162),"",PG!F163*F162)</f>
        <v/>
      </c>
      <c r="L162" s="18">
        <f>IF(ISERROR(
PG!D163-H162),"",PG!D163-H162)</f>
        <v>0</v>
      </c>
      <c r="M162" s="33" t="str">
        <f>IF(ISERROR(
L162/PG!D163),"",L162/PG!D163)</f>
        <v/>
      </c>
      <c r="N162" s="18" t="str">
        <f>IF(ISERROR(
(O162*PG!D163)),"",(O162*PG!D163))</f>
        <v/>
      </c>
      <c r="O162" s="45" t="str">
        <f>IF(ISERROR(
PEq!$G$20*PG!G163),"",PEq!$G$20*PG!G163)</f>
        <v/>
      </c>
      <c r="P162" s="18">
        <f>IF(ISERROR(
PG!E163*G162),"",PG!E163*G162)</f>
        <v>0</v>
      </c>
      <c r="Q162" s="18">
        <f>IF(ISERROR(
PG!E163*D162),"",PG!E163*D162)</f>
        <v>0</v>
      </c>
    </row>
    <row r="163" spans="3:17" ht="30" customHeight="1" thickBot="1" x14ac:dyDescent="0.25">
      <c r="C163" s="83">
        <f>PG!C164</f>
        <v>0</v>
      </c>
      <c r="D163" s="23"/>
      <c r="E163" s="27"/>
      <c r="F163" s="27"/>
      <c r="G163" s="23"/>
      <c r="H163" s="62">
        <f>D163+PG!D164*(E163+F163)+G163</f>
        <v>0</v>
      </c>
      <c r="J163" s="18" t="str">
        <f>IF(ISERROR(
PG!F164*E163),"",PG!F164*E163)</f>
        <v/>
      </c>
      <c r="K163" s="18" t="str">
        <f>IF(ISERROR(
PG!F164*F163),"",PG!F164*F163)</f>
        <v/>
      </c>
      <c r="L163" s="18">
        <f>IF(ISERROR(
PG!D164-H163),"",PG!D164-H163)</f>
        <v>0</v>
      </c>
      <c r="M163" s="33" t="str">
        <f>IF(ISERROR(
L163/PG!D164),"",L163/PG!D164)</f>
        <v/>
      </c>
      <c r="N163" s="18" t="str">
        <f>IF(ISERROR(
(O163*PG!D164)),"",(O163*PG!D164))</f>
        <v/>
      </c>
      <c r="O163" s="45" t="str">
        <f>IF(ISERROR(
PEq!$G$20*PG!G164),"",PEq!$G$20*PG!G164)</f>
        <v/>
      </c>
      <c r="P163" s="18">
        <f>IF(ISERROR(
PG!E164*G163),"",PG!E164*G163)</f>
        <v>0</v>
      </c>
      <c r="Q163" s="18">
        <f>IF(ISERROR(
PG!E164*D163),"",PG!E164*D163)</f>
        <v>0</v>
      </c>
    </row>
    <row r="164" spans="3:17" ht="30" customHeight="1" thickBot="1" x14ac:dyDescent="0.25">
      <c r="C164" s="83">
        <f>PG!C165</f>
        <v>0</v>
      </c>
      <c r="D164" s="23"/>
      <c r="E164" s="27"/>
      <c r="F164" s="27"/>
      <c r="G164" s="23"/>
      <c r="H164" s="62">
        <f>D164+PG!D165*(E164+F164)+G164</f>
        <v>0</v>
      </c>
      <c r="J164" s="18" t="str">
        <f>IF(ISERROR(
PG!F165*E164),"",PG!F165*E164)</f>
        <v/>
      </c>
      <c r="K164" s="18" t="str">
        <f>IF(ISERROR(
PG!F165*F164),"",PG!F165*F164)</f>
        <v/>
      </c>
      <c r="L164" s="18">
        <f>IF(ISERROR(
PG!D165-H164),"",PG!D165-H164)</f>
        <v>0</v>
      </c>
      <c r="M164" s="33" t="str">
        <f>IF(ISERROR(
L164/PG!D165),"",L164/PG!D165)</f>
        <v/>
      </c>
      <c r="N164" s="18" t="str">
        <f>IF(ISERROR(
(O164*PG!D165)),"",(O164*PG!D165))</f>
        <v/>
      </c>
      <c r="O164" s="45" t="str">
        <f>IF(ISERROR(
PEq!$G$20*PG!G165),"",PEq!$G$20*PG!G165)</f>
        <v/>
      </c>
      <c r="P164" s="18">
        <f>IF(ISERROR(
PG!E165*G164),"",PG!E165*G164)</f>
        <v>0</v>
      </c>
      <c r="Q164" s="18">
        <f>IF(ISERROR(
PG!E165*D164),"",PG!E165*D164)</f>
        <v>0</v>
      </c>
    </row>
    <row r="165" spans="3:17" ht="30" customHeight="1" thickBot="1" x14ac:dyDescent="0.25">
      <c r="C165" s="83">
        <f>PG!C166</f>
        <v>0</v>
      </c>
      <c r="D165" s="23"/>
      <c r="E165" s="27"/>
      <c r="F165" s="27"/>
      <c r="G165" s="23"/>
      <c r="H165" s="62">
        <f>D165+PG!D166*(E165+F165)+G165</f>
        <v>0</v>
      </c>
      <c r="J165" s="18" t="str">
        <f>IF(ISERROR(
PG!F166*E165),"",PG!F166*E165)</f>
        <v/>
      </c>
      <c r="K165" s="18" t="str">
        <f>IF(ISERROR(
PG!F166*F165),"",PG!F166*F165)</f>
        <v/>
      </c>
      <c r="L165" s="18">
        <f>IF(ISERROR(
PG!D166-H165),"",PG!D166-H165)</f>
        <v>0</v>
      </c>
      <c r="M165" s="33" t="str">
        <f>IF(ISERROR(
L165/PG!D166),"",L165/PG!D166)</f>
        <v/>
      </c>
      <c r="N165" s="18" t="str">
        <f>IF(ISERROR(
(O165*PG!D166)),"",(O165*PG!D166))</f>
        <v/>
      </c>
      <c r="O165" s="45" t="str">
        <f>IF(ISERROR(
PEq!$G$20*PG!G166),"",PEq!$G$20*PG!G166)</f>
        <v/>
      </c>
      <c r="P165" s="18">
        <f>IF(ISERROR(
PG!E166*G165),"",PG!E166*G165)</f>
        <v>0</v>
      </c>
      <c r="Q165" s="18">
        <f>IF(ISERROR(
PG!E166*D165),"",PG!E166*D165)</f>
        <v>0</v>
      </c>
    </row>
    <row r="166" spans="3:17" ht="30" customHeight="1" thickBot="1" x14ac:dyDescent="0.25">
      <c r="C166" s="83">
        <f>PG!C167</f>
        <v>0</v>
      </c>
      <c r="D166" s="23"/>
      <c r="E166" s="27"/>
      <c r="F166" s="27"/>
      <c r="G166" s="23"/>
      <c r="H166" s="62">
        <f>D166+PG!D167*(E166+F166)+G166</f>
        <v>0</v>
      </c>
      <c r="J166" s="18" t="str">
        <f>IF(ISERROR(
PG!F167*E166),"",PG!F167*E166)</f>
        <v/>
      </c>
      <c r="K166" s="18" t="str">
        <f>IF(ISERROR(
PG!F167*F166),"",PG!F167*F166)</f>
        <v/>
      </c>
      <c r="L166" s="18">
        <f>IF(ISERROR(
PG!D167-H166),"",PG!D167-H166)</f>
        <v>0</v>
      </c>
      <c r="M166" s="33" t="str">
        <f>IF(ISERROR(
L166/PG!D167),"",L166/PG!D167)</f>
        <v/>
      </c>
      <c r="N166" s="18" t="str">
        <f>IF(ISERROR(
(O166*PG!D167)),"",(O166*PG!D167))</f>
        <v/>
      </c>
      <c r="O166" s="45" t="str">
        <f>IF(ISERROR(
PEq!$G$20*PG!G167),"",PEq!$G$20*PG!G167)</f>
        <v/>
      </c>
      <c r="P166" s="18">
        <f>IF(ISERROR(
PG!E167*G166),"",PG!E167*G166)</f>
        <v>0</v>
      </c>
      <c r="Q166" s="18">
        <f>IF(ISERROR(
PG!E167*D166),"",PG!E167*D166)</f>
        <v>0</v>
      </c>
    </row>
    <row r="167" spans="3:17" ht="30" customHeight="1" thickBot="1" x14ac:dyDescent="0.25">
      <c r="C167" s="83">
        <f>PG!C168</f>
        <v>0</v>
      </c>
      <c r="D167" s="23"/>
      <c r="E167" s="27"/>
      <c r="F167" s="27"/>
      <c r="G167" s="23"/>
      <c r="H167" s="62">
        <f>D167+PG!D168*(E167+F167)+G167</f>
        <v>0</v>
      </c>
      <c r="J167" s="18" t="str">
        <f>IF(ISERROR(
PG!F168*E167),"",PG!F168*E167)</f>
        <v/>
      </c>
      <c r="K167" s="18" t="str">
        <f>IF(ISERROR(
PG!F168*F167),"",PG!F168*F167)</f>
        <v/>
      </c>
      <c r="L167" s="18">
        <f>IF(ISERROR(
PG!D168-H167),"",PG!D168-H167)</f>
        <v>0</v>
      </c>
      <c r="M167" s="33" t="str">
        <f>IF(ISERROR(
L167/PG!D168),"",L167/PG!D168)</f>
        <v/>
      </c>
      <c r="N167" s="18" t="str">
        <f>IF(ISERROR(
(O167*PG!D168)),"",(O167*PG!D168))</f>
        <v/>
      </c>
      <c r="O167" s="45" t="str">
        <f>IF(ISERROR(
PEq!$G$20*PG!G168),"",PEq!$G$20*PG!G168)</f>
        <v/>
      </c>
      <c r="P167" s="18">
        <f>IF(ISERROR(
PG!E168*G167),"",PG!E168*G167)</f>
        <v>0</v>
      </c>
      <c r="Q167" s="18">
        <f>IF(ISERROR(
PG!E168*D167),"",PG!E168*D167)</f>
        <v>0</v>
      </c>
    </row>
    <row r="168" spans="3:17" ht="30" customHeight="1" thickBot="1" x14ac:dyDescent="0.25">
      <c r="C168" s="83">
        <f>PG!C169</f>
        <v>0</v>
      </c>
      <c r="D168" s="23"/>
      <c r="E168" s="27"/>
      <c r="F168" s="27"/>
      <c r="G168" s="23"/>
      <c r="H168" s="62">
        <f>D168+PG!D169*(E168+F168)+G168</f>
        <v>0</v>
      </c>
      <c r="J168" s="18" t="str">
        <f>IF(ISERROR(
PG!F169*E168),"",PG!F169*E168)</f>
        <v/>
      </c>
      <c r="K168" s="18" t="str">
        <f>IF(ISERROR(
PG!F169*F168),"",PG!F169*F168)</f>
        <v/>
      </c>
      <c r="L168" s="18">
        <f>IF(ISERROR(
PG!D169-H168),"",PG!D169-H168)</f>
        <v>0</v>
      </c>
      <c r="M168" s="33" t="str">
        <f>IF(ISERROR(
L168/PG!D169),"",L168/PG!D169)</f>
        <v/>
      </c>
      <c r="N168" s="18" t="str">
        <f>IF(ISERROR(
(O168*PG!D169)),"",(O168*PG!D169))</f>
        <v/>
      </c>
      <c r="O168" s="45" t="str">
        <f>IF(ISERROR(
PEq!$G$20*PG!G169),"",PEq!$G$20*PG!G169)</f>
        <v/>
      </c>
      <c r="P168" s="18">
        <f>IF(ISERROR(
PG!E169*G168),"",PG!E169*G168)</f>
        <v>0</v>
      </c>
      <c r="Q168" s="18">
        <f>IF(ISERROR(
PG!E169*D168),"",PG!E169*D168)</f>
        <v>0</v>
      </c>
    </row>
    <row r="169" spans="3:17" ht="30" customHeight="1" thickBot="1" x14ac:dyDescent="0.25">
      <c r="C169" s="83">
        <f>PG!C170</f>
        <v>0</v>
      </c>
      <c r="D169" s="23"/>
      <c r="E169" s="27"/>
      <c r="F169" s="27"/>
      <c r="G169" s="23"/>
      <c r="H169" s="62">
        <f>D169+PG!D170*(E169+F169)+G169</f>
        <v>0</v>
      </c>
      <c r="J169" s="18" t="str">
        <f>IF(ISERROR(
PG!F170*E169),"",PG!F170*E169)</f>
        <v/>
      </c>
      <c r="K169" s="18" t="str">
        <f>IF(ISERROR(
PG!F170*F169),"",PG!F170*F169)</f>
        <v/>
      </c>
      <c r="L169" s="18">
        <f>IF(ISERROR(
PG!D170-H169),"",PG!D170-H169)</f>
        <v>0</v>
      </c>
      <c r="M169" s="33" t="str">
        <f>IF(ISERROR(
L169/PG!D170),"",L169/PG!D170)</f>
        <v/>
      </c>
      <c r="N169" s="18" t="str">
        <f>IF(ISERROR(
(O169*PG!D170)),"",(O169*PG!D170))</f>
        <v/>
      </c>
      <c r="O169" s="45" t="str">
        <f>IF(ISERROR(
PEq!$G$20*PG!G170),"",PEq!$G$20*PG!G170)</f>
        <v/>
      </c>
      <c r="P169" s="18">
        <f>IF(ISERROR(
PG!E170*G169),"",PG!E170*G169)</f>
        <v>0</v>
      </c>
      <c r="Q169" s="18">
        <f>IF(ISERROR(
PG!E170*D169),"",PG!E170*D169)</f>
        <v>0</v>
      </c>
    </row>
    <row r="170" spans="3:17" ht="30" customHeight="1" thickBot="1" x14ac:dyDescent="0.25">
      <c r="C170" s="83">
        <f>PG!C171</f>
        <v>0</v>
      </c>
      <c r="D170" s="23"/>
      <c r="E170" s="27"/>
      <c r="F170" s="27"/>
      <c r="G170" s="23"/>
      <c r="H170" s="62">
        <f>D170+PG!D171*(E170+F170)+G170</f>
        <v>0</v>
      </c>
      <c r="J170" s="18" t="str">
        <f>IF(ISERROR(
PG!F171*E170),"",PG!F171*E170)</f>
        <v/>
      </c>
      <c r="K170" s="18" t="str">
        <f>IF(ISERROR(
PG!F171*F170),"",PG!F171*F170)</f>
        <v/>
      </c>
      <c r="L170" s="18">
        <f>IF(ISERROR(
PG!D171-H170),"",PG!D171-H170)</f>
        <v>0</v>
      </c>
      <c r="M170" s="33" t="str">
        <f>IF(ISERROR(
L170/PG!D171),"",L170/PG!D171)</f>
        <v/>
      </c>
      <c r="N170" s="18" t="str">
        <f>IF(ISERROR(
(O170*PG!D171)),"",(O170*PG!D171))</f>
        <v/>
      </c>
      <c r="O170" s="45" t="str">
        <f>IF(ISERROR(
PEq!$G$20*PG!G171),"",PEq!$G$20*PG!G171)</f>
        <v/>
      </c>
      <c r="P170" s="18">
        <f>IF(ISERROR(
PG!E171*G170),"",PG!E171*G170)</f>
        <v>0</v>
      </c>
      <c r="Q170" s="18">
        <f>IF(ISERROR(
PG!E171*D170),"",PG!E171*D170)</f>
        <v>0</v>
      </c>
    </row>
    <row r="171" spans="3:17" ht="30" customHeight="1" thickBot="1" x14ac:dyDescent="0.25">
      <c r="C171" s="83">
        <f>PG!C172</f>
        <v>0</v>
      </c>
      <c r="D171" s="23"/>
      <c r="E171" s="27"/>
      <c r="F171" s="27"/>
      <c r="G171" s="23"/>
      <c r="H171" s="62">
        <f>D171+PG!D172*(E171+F171)+G171</f>
        <v>0</v>
      </c>
      <c r="J171" s="18" t="str">
        <f>IF(ISERROR(
PG!F172*E171),"",PG!F172*E171)</f>
        <v/>
      </c>
      <c r="K171" s="18" t="str">
        <f>IF(ISERROR(
PG!F172*F171),"",PG!F172*F171)</f>
        <v/>
      </c>
      <c r="L171" s="18">
        <f>IF(ISERROR(
PG!D172-H171),"",PG!D172-H171)</f>
        <v>0</v>
      </c>
      <c r="M171" s="33" t="str">
        <f>IF(ISERROR(
L171/PG!D172),"",L171/PG!D172)</f>
        <v/>
      </c>
      <c r="N171" s="18" t="str">
        <f>IF(ISERROR(
(O171*PG!D172)),"",(O171*PG!D172))</f>
        <v/>
      </c>
      <c r="O171" s="45" t="str">
        <f>IF(ISERROR(
PEq!$G$20*PG!G172),"",PEq!$G$20*PG!G172)</f>
        <v/>
      </c>
      <c r="P171" s="18">
        <f>IF(ISERROR(
PG!E172*G171),"",PG!E172*G171)</f>
        <v>0</v>
      </c>
      <c r="Q171" s="18">
        <f>IF(ISERROR(
PG!E172*D171),"",PG!E172*D171)</f>
        <v>0</v>
      </c>
    </row>
    <row r="172" spans="3:17" ht="30" customHeight="1" thickBot="1" x14ac:dyDescent="0.25">
      <c r="C172" s="83">
        <f>PG!C173</f>
        <v>0</v>
      </c>
      <c r="D172" s="23"/>
      <c r="E172" s="27"/>
      <c r="F172" s="27"/>
      <c r="G172" s="23"/>
      <c r="H172" s="62">
        <f>D172+PG!D173*(E172+F172)+G172</f>
        <v>0</v>
      </c>
      <c r="J172" s="18" t="str">
        <f>IF(ISERROR(
PG!F173*E172),"",PG!F173*E172)</f>
        <v/>
      </c>
      <c r="K172" s="18" t="str">
        <f>IF(ISERROR(
PG!F173*F172),"",PG!F173*F172)</f>
        <v/>
      </c>
      <c r="L172" s="18">
        <f>IF(ISERROR(
PG!D173-H172),"",PG!D173-H172)</f>
        <v>0</v>
      </c>
      <c r="M172" s="33" t="str">
        <f>IF(ISERROR(
L172/PG!D173),"",L172/PG!D173)</f>
        <v/>
      </c>
      <c r="N172" s="18" t="str">
        <f>IF(ISERROR(
(O172*PG!D173)),"",(O172*PG!D173))</f>
        <v/>
      </c>
      <c r="O172" s="45" t="str">
        <f>IF(ISERROR(
PEq!$G$20*PG!G173),"",PEq!$G$20*PG!G173)</f>
        <v/>
      </c>
      <c r="P172" s="18">
        <f>IF(ISERROR(
PG!E173*G172),"",PG!E173*G172)</f>
        <v>0</v>
      </c>
      <c r="Q172" s="18">
        <f>IF(ISERROR(
PG!E173*D172),"",PG!E173*D172)</f>
        <v>0</v>
      </c>
    </row>
    <row r="173" spans="3:17" ht="30" customHeight="1" thickBot="1" x14ac:dyDescent="0.25">
      <c r="C173" s="83">
        <f>PG!C174</f>
        <v>0</v>
      </c>
      <c r="D173" s="23"/>
      <c r="E173" s="27"/>
      <c r="F173" s="27"/>
      <c r="G173" s="23"/>
      <c r="H173" s="62">
        <f>D173+PG!D174*(E173+F173)+G173</f>
        <v>0</v>
      </c>
      <c r="J173" s="18" t="str">
        <f>IF(ISERROR(
PG!F174*E173),"",PG!F174*E173)</f>
        <v/>
      </c>
      <c r="K173" s="18" t="str">
        <f>IF(ISERROR(
PG!F174*F173),"",PG!F174*F173)</f>
        <v/>
      </c>
      <c r="L173" s="18">
        <f>IF(ISERROR(
PG!D174-H173),"",PG!D174-H173)</f>
        <v>0</v>
      </c>
      <c r="M173" s="33" t="str">
        <f>IF(ISERROR(
L173/PG!D174),"",L173/PG!D174)</f>
        <v/>
      </c>
      <c r="N173" s="18" t="str">
        <f>IF(ISERROR(
(O173*PG!D174)),"",(O173*PG!D174))</f>
        <v/>
      </c>
      <c r="O173" s="45" t="str">
        <f>IF(ISERROR(
PEq!$G$20*PG!G174),"",PEq!$G$20*PG!G174)</f>
        <v/>
      </c>
      <c r="P173" s="18">
        <f>IF(ISERROR(
PG!E174*G173),"",PG!E174*G173)</f>
        <v>0</v>
      </c>
      <c r="Q173" s="18">
        <f>IF(ISERROR(
PG!E174*D173),"",PG!E174*D173)</f>
        <v>0</v>
      </c>
    </row>
    <row r="174" spans="3:17" ht="30" customHeight="1" thickBot="1" x14ac:dyDescent="0.25">
      <c r="C174" s="83">
        <f>PG!C175</f>
        <v>0</v>
      </c>
      <c r="D174" s="23"/>
      <c r="E174" s="27"/>
      <c r="F174" s="27"/>
      <c r="G174" s="23"/>
      <c r="H174" s="62">
        <f>D174+PG!D175*(E174+F174)+G174</f>
        <v>0</v>
      </c>
      <c r="J174" s="18" t="str">
        <f>IF(ISERROR(
PG!F175*E174),"",PG!F175*E174)</f>
        <v/>
      </c>
      <c r="K174" s="18" t="str">
        <f>IF(ISERROR(
PG!F175*F174),"",PG!F175*F174)</f>
        <v/>
      </c>
      <c r="L174" s="18">
        <f>IF(ISERROR(
PG!D175-H174),"",PG!D175-H174)</f>
        <v>0</v>
      </c>
      <c r="M174" s="33" t="str">
        <f>IF(ISERROR(
L174/PG!D175),"",L174/PG!D175)</f>
        <v/>
      </c>
      <c r="N174" s="18" t="str">
        <f>IF(ISERROR(
(O174*PG!D175)),"",(O174*PG!D175))</f>
        <v/>
      </c>
      <c r="O174" s="45" t="str">
        <f>IF(ISERROR(
PEq!$G$20*PG!G175),"",PEq!$G$20*PG!G175)</f>
        <v/>
      </c>
      <c r="P174" s="18">
        <f>IF(ISERROR(
PG!E175*G174),"",PG!E175*G174)</f>
        <v>0</v>
      </c>
      <c r="Q174" s="18">
        <f>IF(ISERROR(
PG!E175*D174),"",PG!E175*D174)</f>
        <v>0</v>
      </c>
    </row>
    <row r="175" spans="3:17" ht="30" customHeight="1" thickBot="1" x14ac:dyDescent="0.25">
      <c r="C175" s="83">
        <f>PG!C176</f>
        <v>0</v>
      </c>
      <c r="D175" s="23"/>
      <c r="E175" s="27"/>
      <c r="F175" s="27"/>
      <c r="G175" s="23"/>
      <c r="H175" s="62">
        <f>D175+PG!D176*(E175+F175)+G175</f>
        <v>0</v>
      </c>
      <c r="J175" s="18" t="str">
        <f>IF(ISERROR(
PG!F176*E175),"",PG!F176*E175)</f>
        <v/>
      </c>
      <c r="K175" s="18" t="str">
        <f>IF(ISERROR(
PG!F176*F175),"",PG!F176*F175)</f>
        <v/>
      </c>
      <c r="L175" s="18">
        <f>IF(ISERROR(
PG!D176-H175),"",PG!D176-H175)</f>
        <v>0</v>
      </c>
      <c r="M175" s="33" t="str">
        <f>IF(ISERROR(
L175/PG!D176),"",L175/PG!D176)</f>
        <v/>
      </c>
      <c r="N175" s="18" t="str">
        <f>IF(ISERROR(
(O175*PG!D176)),"",(O175*PG!D176))</f>
        <v/>
      </c>
      <c r="O175" s="45" t="str">
        <f>IF(ISERROR(
PEq!$G$20*PG!G176),"",PEq!$G$20*PG!G176)</f>
        <v/>
      </c>
      <c r="P175" s="18">
        <f>IF(ISERROR(
PG!E176*G175),"",PG!E176*G175)</f>
        <v>0</v>
      </c>
      <c r="Q175" s="18">
        <f>IF(ISERROR(
PG!E176*D175),"",PG!E176*D175)</f>
        <v>0</v>
      </c>
    </row>
    <row r="176" spans="3:17" ht="30" customHeight="1" thickBot="1" x14ac:dyDescent="0.25">
      <c r="C176" s="83">
        <f>PG!C177</f>
        <v>0</v>
      </c>
      <c r="D176" s="23"/>
      <c r="E176" s="27"/>
      <c r="F176" s="27"/>
      <c r="G176" s="23"/>
      <c r="H176" s="62">
        <f>D176+PG!D177*(E176+F176)+G176</f>
        <v>0</v>
      </c>
      <c r="J176" s="18" t="str">
        <f>IF(ISERROR(
PG!F177*E176),"",PG!F177*E176)</f>
        <v/>
      </c>
      <c r="K176" s="18" t="str">
        <f>IF(ISERROR(
PG!F177*F176),"",PG!F177*F176)</f>
        <v/>
      </c>
      <c r="L176" s="18">
        <f>IF(ISERROR(
PG!D177-H176),"",PG!D177-H176)</f>
        <v>0</v>
      </c>
      <c r="M176" s="33" t="str">
        <f>IF(ISERROR(
L176/PG!D177),"",L176/PG!D177)</f>
        <v/>
      </c>
      <c r="N176" s="18" t="str">
        <f>IF(ISERROR(
(O176*PG!D177)),"",(O176*PG!D177))</f>
        <v/>
      </c>
      <c r="O176" s="45" t="str">
        <f>IF(ISERROR(
PEq!$G$20*PG!G177),"",PEq!$G$20*PG!G177)</f>
        <v/>
      </c>
      <c r="P176" s="18">
        <f>IF(ISERROR(
PG!E177*G176),"",PG!E177*G176)</f>
        <v>0</v>
      </c>
      <c r="Q176" s="18">
        <f>IF(ISERROR(
PG!E177*D176),"",PG!E177*D176)</f>
        <v>0</v>
      </c>
    </row>
    <row r="177" spans="3:17" ht="30" customHeight="1" thickBot="1" x14ac:dyDescent="0.25">
      <c r="C177" s="83">
        <f>PG!C178</f>
        <v>0</v>
      </c>
      <c r="D177" s="23"/>
      <c r="E177" s="27"/>
      <c r="F177" s="27"/>
      <c r="G177" s="23"/>
      <c r="H177" s="62">
        <f>D177+PG!D178*(E177+F177)+G177</f>
        <v>0</v>
      </c>
      <c r="J177" s="18" t="str">
        <f>IF(ISERROR(
PG!F178*E177),"",PG!F178*E177)</f>
        <v/>
      </c>
      <c r="K177" s="18" t="str">
        <f>IF(ISERROR(
PG!F178*F177),"",PG!F178*F177)</f>
        <v/>
      </c>
      <c r="L177" s="18">
        <f>IF(ISERROR(
PG!D178-H177),"",PG!D178-H177)</f>
        <v>0</v>
      </c>
      <c r="M177" s="33" t="str">
        <f>IF(ISERROR(
L177/PG!D178),"",L177/PG!D178)</f>
        <v/>
      </c>
      <c r="N177" s="18" t="str">
        <f>IF(ISERROR(
(O177*PG!D178)),"",(O177*PG!D178))</f>
        <v/>
      </c>
      <c r="O177" s="45" t="str">
        <f>IF(ISERROR(
PEq!$G$20*PG!G178),"",PEq!$G$20*PG!G178)</f>
        <v/>
      </c>
      <c r="P177" s="18">
        <f>IF(ISERROR(
PG!E178*G177),"",PG!E178*G177)</f>
        <v>0</v>
      </c>
      <c r="Q177" s="18">
        <f>IF(ISERROR(
PG!E178*D177),"",PG!E178*D177)</f>
        <v>0</v>
      </c>
    </row>
    <row r="178" spans="3:17" ht="30" customHeight="1" thickBot="1" x14ac:dyDescent="0.25">
      <c r="C178" s="83">
        <f>PG!C179</f>
        <v>0</v>
      </c>
      <c r="D178" s="23"/>
      <c r="E178" s="27"/>
      <c r="F178" s="27"/>
      <c r="G178" s="23"/>
      <c r="H178" s="62">
        <f>D178+PG!D179*(E178+F178)+G178</f>
        <v>0</v>
      </c>
      <c r="J178" s="18" t="str">
        <f>IF(ISERROR(
PG!F179*E178),"",PG!F179*E178)</f>
        <v/>
      </c>
      <c r="K178" s="18" t="str">
        <f>IF(ISERROR(
PG!F179*F178),"",PG!F179*F178)</f>
        <v/>
      </c>
      <c r="L178" s="18">
        <f>IF(ISERROR(
PG!D179-H178),"",PG!D179-H178)</f>
        <v>0</v>
      </c>
      <c r="M178" s="33" t="str">
        <f>IF(ISERROR(
L178/PG!D179),"",L178/PG!D179)</f>
        <v/>
      </c>
      <c r="N178" s="18" t="str">
        <f>IF(ISERROR(
(O178*PG!D179)),"",(O178*PG!D179))</f>
        <v/>
      </c>
      <c r="O178" s="45" t="str">
        <f>IF(ISERROR(
PEq!$G$20*PG!G179),"",PEq!$G$20*PG!G179)</f>
        <v/>
      </c>
      <c r="P178" s="18">
        <f>IF(ISERROR(
PG!E179*G178),"",PG!E179*G178)</f>
        <v>0</v>
      </c>
      <c r="Q178" s="18">
        <f>IF(ISERROR(
PG!E179*D178),"",PG!E179*D178)</f>
        <v>0</v>
      </c>
    </row>
    <row r="179" spans="3:17" ht="30" customHeight="1" thickBot="1" x14ac:dyDescent="0.25">
      <c r="C179" s="83">
        <f>PG!C180</f>
        <v>0</v>
      </c>
      <c r="D179" s="23"/>
      <c r="E179" s="27"/>
      <c r="F179" s="27"/>
      <c r="G179" s="23"/>
      <c r="H179" s="62">
        <f>D179+PG!D180*(E179+F179)+G179</f>
        <v>0</v>
      </c>
      <c r="J179" s="18" t="str">
        <f>IF(ISERROR(
PG!F180*E179),"",PG!F180*E179)</f>
        <v/>
      </c>
      <c r="K179" s="18" t="str">
        <f>IF(ISERROR(
PG!F180*F179),"",PG!F180*F179)</f>
        <v/>
      </c>
      <c r="L179" s="18">
        <f>IF(ISERROR(
PG!D180-H179),"",PG!D180-H179)</f>
        <v>0</v>
      </c>
      <c r="M179" s="33" t="str">
        <f>IF(ISERROR(
L179/PG!D180),"",L179/PG!D180)</f>
        <v/>
      </c>
      <c r="N179" s="18" t="str">
        <f>IF(ISERROR(
(O179*PG!D180)),"",(O179*PG!D180))</f>
        <v/>
      </c>
      <c r="O179" s="45" t="str">
        <f>IF(ISERROR(
PEq!$G$20*PG!G180),"",PEq!$G$20*PG!G180)</f>
        <v/>
      </c>
      <c r="P179" s="18">
        <f>IF(ISERROR(
PG!E180*G179),"",PG!E180*G179)</f>
        <v>0</v>
      </c>
      <c r="Q179" s="18">
        <f>IF(ISERROR(
PG!E180*D179),"",PG!E180*D179)</f>
        <v>0</v>
      </c>
    </row>
    <row r="180" spans="3:17" ht="30" customHeight="1" thickBot="1" x14ac:dyDescent="0.25">
      <c r="C180" s="83">
        <f>PG!C181</f>
        <v>0</v>
      </c>
      <c r="D180" s="23"/>
      <c r="E180" s="27"/>
      <c r="F180" s="27"/>
      <c r="G180" s="23"/>
      <c r="H180" s="62">
        <f>D180+PG!D181*(E180+F180)+G180</f>
        <v>0</v>
      </c>
      <c r="J180" s="18" t="str">
        <f>IF(ISERROR(
PG!F181*E180),"",PG!F181*E180)</f>
        <v/>
      </c>
      <c r="K180" s="18" t="str">
        <f>IF(ISERROR(
PG!F181*F180),"",PG!F181*F180)</f>
        <v/>
      </c>
      <c r="L180" s="18">
        <f>IF(ISERROR(
PG!D181-H180),"",PG!D181-H180)</f>
        <v>0</v>
      </c>
      <c r="M180" s="33" t="str">
        <f>IF(ISERROR(
L180/PG!D181),"",L180/PG!D181)</f>
        <v/>
      </c>
      <c r="N180" s="18" t="str">
        <f>IF(ISERROR(
(O180*PG!D181)),"",(O180*PG!D181))</f>
        <v/>
      </c>
      <c r="O180" s="45" t="str">
        <f>IF(ISERROR(
PEq!$G$20*PG!G181),"",PEq!$G$20*PG!G181)</f>
        <v/>
      </c>
      <c r="P180" s="18">
        <f>IF(ISERROR(
PG!E181*G180),"",PG!E181*G180)</f>
        <v>0</v>
      </c>
      <c r="Q180" s="18">
        <f>IF(ISERROR(
PG!E181*D180),"",PG!E181*D180)</f>
        <v>0</v>
      </c>
    </row>
    <row r="181" spans="3:17" ht="30" customHeight="1" thickBot="1" x14ac:dyDescent="0.25">
      <c r="C181" s="83">
        <f>PG!C182</f>
        <v>0</v>
      </c>
      <c r="D181" s="23"/>
      <c r="E181" s="27"/>
      <c r="F181" s="27"/>
      <c r="G181" s="23"/>
      <c r="H181" s="62">
        <f>D181+PG!D182*(E181+F181)+G181</f>
        <v>0</v>
      </c>
      <c r="J181" s="18" t="str">
        <f>IF(ISERROR(
PG!F182*E181),"",PG!F182*E181)</f>
        <v/>
      </c>
      <c r="K181" s="18" t="str">
        <f>IF(ISERROR(
PG!F182*F181),"",PG!F182*F181)</f>
        <v/>
      </c>
      <c r="L181" s="18">
        <f>IF(ISERROR(
PG!D182-H181),"",PG!D182-H181)</f>
        <v>0</v>
      </c>
      <c r="M181" s="33" t="str">
        <f>IF(ISERROR(
L181/PG!D182),"",L181/PG!D182)</f>
        <v/>
      </c>
      <c r="N181" s="18" t="str">
        <f>IF(ISERROR(
(O181*PG!D182)),"",(O181*PG!D182))</f>
        <v/>
      </c>
      <c r="O181" s="45" t="str">
        <f>IF(ISERROR(
PEq!$G$20*PG!G182),"",PEq!$G$20*PG!G182)</f>
        <v/>
      </c>
      <c r="P181" s="18">
        <f>IF(ISERROR(
PG!E182*G181),"",PG!E182*G181)</f>
        <v>0</v>
      </c>
      <c r="Q181" s="18">
        <f>IF(ISERROR(
PG!E182*D181),"",PG!E182*D181)</f>
        <v>0</v>
      </c>
    </row>
    <row r="182" spans="3:17" ht="30" customHeight="1" thickBot="1" x14ac:dyDescent="0.25">
      <c r="C182" s="83">
        <f>PG!C183</f>
        <v>0</v>
      </c>
      <c r="D182" s="23"/>
      <c r="E182" s="27"/>
      <c r="F182" s="27"/>
      <c r="G182" s="23"/>
      <c r="H182" s="62">
        <f>D182+PG!D183*(E182+F182)+G182</f>
        <v>0</v>
      </c>
      <c r="J182" s="18" t="str">
        <f>IF(ISERROR(
PG!F183*E182),"",PG!F183*E182)</f>
        <v/>
      </c>
      <c r="K182" s="18" t="str">
        <f>IF(ISERROR(
PG!F183*F182),"",PG!F183*F182)</f>
        <v/>
      </c>
      <c r="L182" s="18">
        <f>IF(ISERROR(
PG!D183-H182),"",PG!D183-H182)</f>
        <v>0</v>
      </c>
      <c r="M182" s="33" t="str">
        <f>IF(ISERROR(
L182/PG!D183),"",L182/PG!D183)</f>
        <v/>
      </c>
      <c r="N182" s="18" t="str">
        <f>IF(ISERROR(
(O182*PG!D183)),"",(O182*PG!D183))</f>
        <v/>
      </c>
      <c r="O182" s="45" t="str">
        <f>IF(ISERROR(
PEq!$G$20*PG!G183),"",PEq!$G$20*PG!G183)</f>
        <v/>
      </c>
      <c r="P182" s="18">
        <f>IF(ISERROR(
PG!E183*G182),"",PG!E183*G182)</f>
        <v>0</v>
      </c>
      <c r="Q182" s="18">
        <f>IF(ISERROR(
PG!E183*D182),"",PG!E183*D182)</f>
        <v>0</v>
      </c>
    </row>
    <row r="183" spans="3:17" ht="30" customHeight="1" thickBot="1" x14ac:dyDescent="0.25">
      <c r="C183" s="83">
        <f>PG!C184</f>
        <v>0</v>
      </c>
      <c r="D183" s="23"/>
      <c r="E183" s="27"/>
      <c r="F183" s="27"/>
      <c r="G183" s="23"/>
      <c r="H183" s="62">
        <f>D183+PG!D184*(E183+F183)+G183</f>
        <v>0</v>
      </c>
      <c r="J183" s="18" t="str">
        <f>IF(ISERROR(
PG!F184*E183),"",PG!F184*E183)</f>
        <v/>
      </c>
      <c r="K183" s="18" t="str">
        <f>IF(ISERROR(
PG!F184*F183),"",PG!F184*F183)</f>
        <v/>
      </c>
      <c r="L183" s="18">
        <f>IF(ISERROR(
PG!D184-H183),"",PG!D184-H183)</f>
        <v>0</v>
      </c>
      <c r="M183" s="33" t="str">
        <f>IF(ISERROR(
L183/PG!D184),"",L183/PG!D184)</f>
        <v/>
      </c>
      <c r="N183" s="18" t="str">
        <f>IF(ISERROR(
(O183*PG!D184)),"",(O183*PG!D184))</f>
        <v/>
      </c>
      <c r="O183" s="45" t="str">
        <f>IF(ISERROR(
PEq!$G$20*PG!G184),"",PEq!$G$20*PG!G184)</f>
        <v/>
      </c>
      <c r="P183" s="18">
        <f>IF(ISERROR(
PG!E184*G183),"",PG!E184*G183)</f>
        <v>0</v>
      </c>
      <c r="Q183" s="18">
        <f>IF(ISERROR(
PG!E184*D183),"",PG!E184*D183)</f>
        <v>0</v>
      </c>
    </row>
    <row r="184" spans="3:17" ht="30" customHeight="1" thickBot="1" x14ac:dyDescent="0.25">
      <c r="C184" s="83">
        <f>PG!C185</f>
        <v>0</v>
      </c>
      <c r="D184" s="23"/>
      <c r="E184" s="27"/>
      <c r="F184" s="27"/>
      <c r="G184" s="23"/>
      <c r="H184" s="62">
        <f>D184+PG!D185*(E184+F184)+G184</f>
        <v>0</v>
      </c>
      <c r="J184" s="18" t="str">
        <f>IF(ISERROR(
PG!F185*E184),"",PG!F185*E184)</f>
        <v/>
      </c>
      <c r="K184" s="18" t="str">
        <f>IF(ISERROR(
PG!F185*F184),"",PG!F185*F184)</f>
        <v/>
      </c>
      <c r="L184" s="18">
        <f>IF(ISERROR(
PG!D185-H184),"",PG!D185-H184)</f>
        <v>0</v>
      </c>
      <c r="M184" s="33" t="str">
        <f>IF(ISERROR(
L184/PG!D185),"",L184/PG!D185)</f>
        <v/>
      </c>
      <c r="N184" s="18" t="str">
        <f>IF(ISERROR(
(O184*PG!D185)),"",(O184*PG!D185))</f>
        <v/>
      </c>
      <c r="O184" s="45" t="str">
        <f>IF(ISERROR(
PEq!$G$20*PG!G185),"",PEq!$G$20*PG!G185)</f>
        <v/>
      </c>
      <c r="P184" s="18">
        <f>IF(ISERROR(
PG!E185*G184),"",PG!E185*G184)</f>
        <v>0</v>
      </c>
      <c r="Q184" s="18">
        <f>IF(ISERROR(
PG!E185*D184),"",PG!E185*D184)</f>
        <v>0</v>
      </c>
    </row>
    <row r="185" spans="3:17" ht="30" customHeight="1" thickBot="1" x14ac:dyDescent="0.25">
      <c r="C185" s="83">
        <f>PG!C186</f>
        <v>0</v>
      </c>
      <c r="D185" s="23"/>
      <c r="E185" s="27"/>
      <c r="F185" s="27"/>
      <c r="G185" s="23"/>
      <c r="H185" s="62">
        <f>D185+PG!D186*(E185+F185)+G185</f>
        <v>0</v>
      </c>
      <c r="J185" s="18" t="str">
        <f>IF(ISERROR(
PG!F186*E185),"",PG!F186*E185)</f>
        <v/>
      </c>
      <c r="K185" s="18" t="str">
        <f>IF(ISERROR(
PG!F186*F185),"",PG!F186*F185)</f>
        <v/>
      </c>
      <c r="L185" s="18">
        <f>IF(ISERROR(
PG!D186-H185),"",PG!D186-H185)</f>
        <v>0</v>
      </c>
      <c r="M185" s="33" t="str">
        <f>IF(ISERROR(
L185/PG!D186),"",L185/PG!D186)</f>
        <v/>
      </c>
      <c r="N185" s="18" t="str">
        <f>IF(ISERROR(
(O185*PG!D186)),"",(O185*PG!D186))</f>
        <v/>
      </c>
      <c r="O185" s="45" t="str">
        <f>IF(ISERROR(
PEq!$G$20*PG!G186),"",PEq!$G$20*PG!G186)</f>
        <v/>
      </c>
      <c r="P185" s="18">
        <f>IF(ISERROR(
PG!E186*G185),"",PG!E186*G185)</f>
        <v>0</v>
      </c>
      <c r="Q185" s="18">
        <f>IF(ISERROR(
PG!E186*D185),"",PG!E186*D185)</f>
        <v>0</v>
      </c>
    </row>
    <row r="186" spans="3:17" ht="30" customHeight="1" thickBot="1" x14ac:dyDescent="0.25">
      <c r="C186" s="83">
        <f>PG!C187</f>
        <v>0</v>
      </c>
      <c r="D186" s="23"/>
      <c r="E186" s="27"/>
      <c r="F186" s="27"/>
      <c r="G186" s="23"/>
      <c r="H186" s="62">
        <f>D186+PG!D187*(E186+F186)+G186</f>
        <v>0</v>
      </c>
      <c r="J186" s="18" t="str">
        <f>IF(ISERROR(
PG!F187*E186),"",PG!F187*E186)</f>
        <v/>
      </c>
      <c r="K186" s="18" t="str">
        <f>IF(ISERROR(
PG!F187*F186),"",PG!F187*F186)</f>
        <v/>
      </c>
      <c r="L186" s="18">
        <f>IF(ISERROR(
PG!D187-H186),"",PG!D187-H186)</f>
        <v>0</v>
      </c>
      <c r="M186" s="33" t="str">
        <f>IF(ISERROR(
L186/PG!D187),"",L186/PG!D187)</f>
        <v/>
      </c>
      <c r="N186" s="18" t="str">
        <f>IF(ISERROR(
(O186*PG!D187)),"",(O186*PG!D187))</f>
        <v/>
      </c>
      <c r="O186" s="45" t="str">
        <f>IF(ISERROR(
PEq!$G$20*PG!G187),"",PEq!$G$20*PG!G187)</f>
        <v/>
      </c>
      <c r="P186" s="18">
        <f>IF(ISERROR(
PG!E187*G186),"",PG!E187*G186)</f>
        <v>0</v>
      </c>
      <c r="Q186" s="18">
        <f>IF(ISERROR(
PG!E187*D186),"",PG!E187*D186)</f>
        <v>0</v>
      </c>
    </row>
    <row r="187" spans="3:17" ht="30" customHeight="1" thickBot="1" x14ac:dyDescent="0.25">
      <c r="C187" s="83">
        <f>PG!C188</f>
        <v>0</v>
      </c>
      <c r="D187" s="23"/>
      <c r="E187" s="27"/>
      <c r="F187" s="27"/>
      <c r="G187" s="23"/>
      <c r="H187" s="62">
        <f>D187+PG!D188*(E187+F187)+G187</f>
        <v>0</v>
      </c>
      <c r="J187" s="18" t="str">
        <f>IF(ISERROR(
PG!F188*E187),"",PG!F188*E187)</f>
        <v/>
      </c>
      <c r="K187" s="18" t="str">
        <f>IF(ISERROR(
PG!F188*F187),"",PG!F188*F187)</f>
        <v/>
      </c>
      <c r="L187" s="18">
        <f>IF(ISERROR(
PG!D188-H187),"",PG!D188-H187)</f>
        <v>0</v>
      </c>
      <c r="M187" s="33" t="str">
        <f>IF(ISERROR(
L187/PG!D188),"",L187/PG!D188)</f>
        <v/>
      </c>
      <c r="N187" s="18" t="str">
        <f>IF(ISERROR(
(O187*PG!D188)),"",(O187*PG!D188))</f>
        <v/>
      </c>
      <c r="O187" s="45" t="str">
        <f>IF(ISERROR(
PEq!$G$20*PG!G188),"",PEq!$G$20*PG!G188)</f>
        <v/>
      </c>
      <c r="P187" s="18">
        <f>IF(ISERROR(
PG!E188*G187),"",PG!E188*G187)</f>
        <v>0</v>
      </c>
      <c r="Q187" s="18">
        <f>IF(ISERROR(
PG!E188*D187),"",PG!E188*D187)</f>
        <v>0</v>
      </c>
    </row>
    <row r="188" spans="3:17" ht="30" customHeight="1" thickBot="1" x14ac:dyDescent="0.25">
      <c r="C188" s="83">
        <f>PG!C189</f>
        <v>0</v>
      </c>
      <c r="D188" s="23"/>
      <c r="E188" s="27"/>
      <c r="F188" s="27"/>
      <c r="G188" s="23"/>
      <c r="H188" s="62">
        <f>D188+PG!D189*(E188+F188)+G188</f>
        <v>0</v>
      </c>
      <c r="J188" s="18" t="str">
        <f>IF(ISERROR(
PG!F189*E188),"",PG!F189*E188)</f>
        <v/>
      </c>
      <c r="K188" s="18" t="str">
        <f>IF(ISERROR(
PG!F189*F188),"",PG!F189*F188)</f>
        <v/>
      </c>
      <c r="L188" s="18">
        <f>IF(ISERROR(
PG!D189-H188),"",PG!D189-H188)</f>
        <v>0</v>
      </c>
      <c r="M188" s="33" t="str">
        <f>IF(ISERROR(
L188/PG!D189),"",L188/PG!D189)</f>
        <v/>
      </c>
      <c r="N188" s="18" t="str">
        <f>IF(ISERROR(
(O188*PG!D189)),"",(O188*PG!D189))</f>
        <v/>
      </c>
      <c r="O188" s="45" t="str">
        <f>IF(ISERROR(
PEq!$G$20*PG!G189),"",PEq!$G$20*PG!G189)</f>
        <v/>
      </c>
      <c r="P188" s="18">
        <f>IF(ISERROR(
PG!E189*G188),"",PG!E189*G188)</f>
        <v>0</v>
      </c>
      <c r="Q188" s="18">
        <f>IF(ISERROR(
PG!E189*D188),"",PG!E189*D188)</f>
        <v>0</v>
      </c>
    </row>
    <row r="189" spans="3:17" ht="30" customHeight="1" thickBot="1" x14ac:dyDescent="0.25">
      <c r="C189" s="83">
        <f>PG!C190</f>
        <v>0</v>
      </c>
      <c r="D189" s="23"/>
      <c r="E189" s="27"/>
      <c r="F189" s="27"/>
      <c r="G189" s="23"/>
      <c r="H189" s="62">
        <f>D189+PG!D190*(E189+F189)+G189</f>
        <v>0</v>
      </c>
      <c r="J189" s="18" t="str">
        <f>IF(ISERROR(
PG!F190*E189),"",PG!F190*E189)</f>
        <v/>
      </c>
      <c r="K189" s="18" t="str">
        <f>IF(ISERROR(
PG!F190*F189),"",PG!F190*F189)</f>
        <v/>
      </c>
      <c r="L189" s="18">
        <f>IF(ISERROR(
PG!D190-H189),"",PG!D190-H189)</f>
        <v>0</v>
      </c>
      <c r="M189" s="33" t="str">
        <f>IF(ISERROR(
L189/PG!D190),"",L189/PG!D190)</f>
        <v/>
      </c>
      <c r="N189" s="18" t="str">
        <f>IF(ISERROR(
(O189*PG!D190)),"",(O189*PG!D190))</f>
        <v/>
      </c>
      <c r="O189" s="45" t="str">
        <f>IF(ISERROR(
PEq!$G$20*PG!G190),"",PEq!$G$20*PG!G190)</f>
        <v/>
      </c>
      <c r="P189" s="18">
        <f>IF(ISERROR(
PG!E190*G189),"",PG!E190*G189)</f>
        <v>0</v>
      </c>
      <c r="Q189" s="18">
        <f>IF(ISERROR(
PG!E190*D189),"",PG!E190*D189)</f>
        <v>0</v>
      </c>
    </row>
    <row r="190" spans="3:17" ht="30" customHeight="1" thickBot="1" x14ac:dyDescent="0.25">
      <c r="C190" s="83">
        <f>PG!C191</f>
        <v>0</v>
      </c>
      <c r="D190" s="23"/>
      <c r="E190" s="27"/>
      <c r="F190" s="27"/>
      <c r="G190" s="23"/>
      <c r="H190" s="62">
        <f>D190+PG!D191*(E190+F190)+G190</f>
        <v>0</v>
      </c>
      <c r="J190" s="18" t="str">
        <f>IF(ISERROR(
PG!F191*E190),"",PG!F191*E190)</f>
        <v/>
      </c>
      <c r="K190" s="18" t="str">
        <f>IF(ISERROR(
PG!F191*F190),"",PG!F191*F190)</f>
        <v/>
      </c>
      <c r="L190" s="18">
        <f>IF(ISERROR(
PG!D191-H190),"",PG!D191-H190)</f>
        <v>0</v>
      </c>
      <c r="M190" s="33" t="str">
        <f>IF(ISERROR(
L190/PG!D191),"",L190/PG!D191)</f>
        <v/>
      </c>
      <c r="N190" s="18" t="str">
        <f>IF(ISERROR(
(O190*PG!D191)),"",(O190*PG!D191))</f>
        <v/>
      </c>
      <c r="O190" s="45" t="str">
        <f>IF(ISERROR(
PEq!$G$20*PG!G191),"",PEq!$G$20*PG!G191)</f>
        <v/>
      </c>
      <c r="P190" s="18">
        <f>IF(ISERROR(
PG!E191*G190),"",PG!E191*G190)</f>
        <v>0</v>
      </c>
      <c r="Q190" s="18">
        <f>IF(ISERROR(
PG!E191*D190),"",PG!E191*D190)</f>
        <v>0</v>
      </c>
    </row>
    <row r="191" spans="3:17" ht="30" customHeight="1" thickBot="1" x14ac:dyDescent="0.25">
      <c r="C191" s="83">
        <f>PG!C192</f>
        <v>0</v>
      </c>
      <c r="D191" s="23"/>
      <c r="E191" s="27"/>
      <c r="F191" s="27"/>
      <c r="G191" s="23"/>
      <c r="H191" s="62">
        <f>D191+PG!D192*(E191+F191)+G191</f>
        <v>0</v>
      </c>
      <c r="J191" s="18" t="str">
        <f>IF(ISERROR(
PG!F192*E191),"",PG!F192*E191)</f>
        <v/>
      </c>
      <c r="K191" s="18" t="str">
        <f>IF(ISERROR(
PG!F192*F191),"",PG!F192*F191)</f>
        <v/>
      </c>
      <c r="L191" s="18">
        <f>IF(ISERROR(
PG!D192-H191),"",PG!D192-H191)</f>
        <v>0</v>
      </c>
      <c r="M191" s="33" t="str">
        <f>IF(ISERROR(
L191/PG!D192),"",L191/PG!D192)</f>
        <v/>
      </c>
      <c r="N191" s="18" t="str">
        <f>IF(ISERROR(
(O191*PG!D192)),"",(O191*PG!D192))</f>
        <v/>
      </c>
      <c r="O191" s="45" t="str">
        <f>IF(ISERROR(
PEq!$G$20*PG!G192),"",PEq!$G$20*PG!G192)</f>
        <v/>
      </c>
      <c r="P191" s="18">
        <f>IF(ISERROR(
PG!E192*G191),"",PG!E192*G191)</f>
        <v>0</v>
      </c>
      <c r="Q191" s="18">
        <f>IF(ISERROR(
PG!E192*D191),"",PG!E192*D191)</f>
        <v>0</v>
      </c>
    </row>
    <row r="192" spans="3:17" ht="30" customHeight="1" thickBot="1" x14ac:dyDescent="0.25">
      <c r="C192" s="83">
        <f>PG!C193</f>
        <v>0</v>
      </c>
      <c r="D192" s="23"/>
      <c r="E192" s="27"/>
      <c r="F192" s="27"/>
      <c r="G192" s="23"/>
      <c r="H192" s="62">
        <f>D192+PG!D193*(E192+F192)+G192</f>
        <v>0</v>
      </c>
      <c r="J192" s="18" t="str">
        <f>IF(ISERROR(
PG!F193*E192),"",PG!F193*E192)</f>
        <v/>
      </c>
      <c r="K192" s="18" t="str">
        <f>IF(ISERROR(
PG!F193*F192),"",PG!F193*F192)</f>
        <v/>
      </c>
      <c r="L192" s="18">
        <f>IF(ISERROR(
PG!D193-H192),"",PG!D193-H192)</f>
        <v>0</v>
      </c>
      <c r="M192" s="33" t="str">
        <f>IF(ISERROR(
L192/PG!D193),"",L192/PG!D193)</f>
        <v/>
      </c>
      <c r="N192" s="18" t="str">
        <f>IF(ISERROR(
(O192*PG!D193)),"",(O192*PG!D193))</f>
        <v/>
      </c>
      <c r="O192" s="45" t="str">
        <f>IF(ISERROR(
PEq!$G$20*PG!G193),"",PEq!$G$20*PG!G193)</f>
        <v/>
      </c>
      <c r="P192" s="18">
        <f>IF(ISERROR(
PG!E193*G192),"",PG!E193*G192)</f>
        <v>0</v>
      </c>
      <c r="Q192" s="18">
        <f>IF(ISERROR(
PG!E193*D192),"",PG!E193*D192)</f>
        <v>0</v>
      </c>
    </row>
    <row r="193" spans="3:17" ht="30" customHeight="1" thickBot="1" x14ac:dyDescent="0.25">
      <c r="C193" s="83">
        <f>PG!C194</f>
        <v>0</v>
      </c>
      <c r="D193" s="23"/>
      <c r="E193" s="27"/>
      <c r="F193" s="27"/>
      <c r="G193" s="23"/>
      <c r="H193" s="62">
        <f>D193+PG!D194*(E193+F193)+G193</f>
        <v>0</v>
      </c>
      <c r="J193" s="18" t="str">
        <f>IF(ISERROR(
PG!F194*E193),"",PG!F194*E193)</f>
        <v/>
      </c>
      <c r="K193" s="18" t="str">
        <f>IF(ISERROR(
PG!F194*F193),"",PG!F194*F193)</f>
        <v/>
      </c>
      <c r="L193" s="18">
        <f>IF(ISERROR(
PG!D194-H193),"",PG!D194-H193)</f>
        <v>0</v>
      </c>
      <c r="M193" s="33" t="str">
        <f>IF(ISERROR(
L193/PG!D194),"",L193/PG!D194)</f>
        <v/>
      </c>
      <c r="N193" s="18" t="str">
        <f>IF(ISERROR(
(O193*PG!D194)),"",(O193*PG!D194))</f>
        <v/>
      </c>
      <c r="O193" s="45" t="str">
        <f>IF(ISERROR(
PEq!$G$20*PG!G194),"",PEq!$G$20*PG!G194)</f>
        <v/>
      </c>
      <c r="P193" s="18">
        <f>IF(ISERROR(
PG!E194*G193),"",PG!E194*G193)</f>
        <v>0</v>
      </c>
      <c r="Q193" s="18">
        <f>IF(ISERROR(
PG!E194*D193),"",PG!E194*D193)</f>
        <v>0</v>
      </c>
    </row>
    <row r="194" spans="3:17" ht="30" customHeight="1" thickBot="1" x14ac:dyDescent="0.25">
      <c r="C194" s="83">
        <f>PG!C195</f>
        <v>0</v>
      </c>
      <c r="D194" s="23"/>
      <c r="E194" s="27"/>
      <c r="F194" s="27"/>
      <c r="G194" s="23"/>
      <c r="H194" s="62">
        <f>D194+PG!D195*(E194+F194)+G194</f>
        <v>0</v>
      </c>
      <c r="J194" s="18" t="str">
        <f>IF(ISERROR(
PG!F195*E194),"",PG!F195*E194)</f>
        <v/>
      </c>
      <c r="K194" s="18" t="str">
        <f>IF(ISERROR(
PG!F195*F194),"",PG!F195*F194)</f>
        <v/>
      </c>
      <c r="L194" s="18">
        <f>IF(ISERROR(
PG!D195-H194),"",PG!D195-H194)</f>
        <v>0</v>
      </c>
      <c r="M194" s="33" t="str">
        <f>IF(ISERROR(
L194/PG!D195),"",L194/PG!D195)</f>
        <v/>
      </c>
      <c r="N194" s="18" t="str">
        <f>IF(ISERROR(
(O194*PG!D195)),"",(O194*PG!D195))</f>
        <v/>
      </c>
      <c r="O194" s="45" t="str">
        <f>IF(ISERROR(
PEq!$G$20*PG!G195),"",PEq!$G$20*PG!G195)</f>
        <v/>
      </c>
      <c r="P194" s="18">
        <f>IF(ISERROR(
PG!E195*G194),"",PG!E195*G194)</f>
        <v>0</v>
      </c>
      <c r="Q194" s="18">
        <f>IF(ISERROR(
PG!E195*D194),"",PG!E195*D194)</f>
        <v>0</v>
      </c>
    </row>
    <row r="195" spans="3:17" ht="30" customHeight="1" thickBot="1" x14ac:dyDescent="0.25">
      <c r="C195" s="83">
        <f>PG!C196</f>
        <v>0</v>
      </c>
      <c r="D195" s="23"/>
      <c r="E195" s="27"/>
      <c r="F195" s="27"/>
      <c r="G195" s="23"/>
      <c r="H195" s="62">
        <f>D195+PG!D196*(E195+F195)+G195</f>
        <v>0</v>
      </c>
      <c r="J195" s="18" t="str">
        <f>IF(ISERROR(
PG!F196*E195),"",PG!F196*E195)</f>
        <v/>
      </c>
      <c r="K195" s="18" t="str">
        <f>IF(ISERROR(
PG!F196*F195),"",PG!F196*F195)</f>
        <v/>
      </c>
      <c r="L195" s="18">
        <f>IF(ISERROR(
PG!D196-H195),"",PG!D196-H195)</f>
        <v>0</v>
      </c>
      <c r="M195" s="33" t="str">
        <f>IF(ISERROR(
L195/PG!D196),"",L195/PG!D196)</f>
        <v/>
      </c>
      <c r="N195" s="18" t="str">
        <f>IF(ISERROR(
(O195*PG!D196)),"",(O195*PG!D196))</f>
        <v/>
      </c>
      <c r="O195" s="45" t="str">
        <f>IF(ISERROR(
PEq!$G$20*PG!G196),"",PEq!$G$20*PG!G196)</f>
        <v/>
      </c>
      <c r="P195" s="18">
        <f>IF(ISERROR(
PG!E196*G195),"",PG!E196*G195)</f>
        <v>0</v>
      </c>
      <c r="Q195" s="18">
        <f>IF(ISERROR(
PG!E196*D195),"",PG!E196*D195)</f>
        <v>0</v>
      </c>
    </row>
    <row r="196" spans="3:17" ht="30" customHeight="1" thickBot="1" x14ac:dyDescent="0.25">
      <c r="C196" s="83">
        <f>PG!C197</f>
        <v>0</v>
      </c>
      <c r="D196" s="23"/>
      <c r="E196" s="27"/>
      <c r="F196" s="27"/>
      <c r="G196" s="23"/>
      <c r="H196" s="62">
        <f>D196+PG!D197*(E196+F196)+G196</f>
        <v>0</v>
      </c>
      <c r="J196" s="18" t="str">
        <f>IF(ISERROR(
PG!F197*E196),"",PG!F197*E196)</f>
        <v/>
      </c>
      <c r="K196" s="18" t="str">
        <f>IF(ISERROR(
PG!F197*F196),"",PG!F197*F196)</f>
        <v/>
      </c>
      <c r="L196" s="18">
        <f>IF(ISERROR(
PG!D197-H196),"",PG!D197-H196)</f>
        <v>0</v>
      </c>
      <c r="M196" s="33" t="str">
        <f>IF(ISERROR(
L196/PG!D197),"",L196/PG!D197)</f>
        <v/>
      </c>
      <c r="N196" s="18" t="str">
        <f>IF(ISERROR(
(O196*PG!D197)),"",(O196*PG!D197))</f>
        <v/>
      </c>
      <c r="O196" s="45" t="str">
        <f>IF(ISERROR(
PEq!$G$20*PG!G197),"",PEq!$G$20*PG!G197)</f>
        <v/>
      </c>
      <c r="P196" s="18">
        <f>IF(ISERROR(
PG!E197*G196),"",PG!E197*G196)</f>
        <v>0</v>
      </c>
      <c r="Q196" s="18">
        <f>IF(ISERROR(
PG!E197*D196),"",PG!E197*D196)</f>
        <v>0</v>
      </c>
    </row>
    <row r="197" spans="3:17" ht="30" customHeight="1" thickBot="1" x14ac:dyDescent="0.25">
      <c r="C197" s="83">
        <f>PG!C198</f>
        <v>0</v>
      </c>
      <c r="D197" s="23"/>
      <c r="E197" s="27"/>
      <c r="F197" s="27"/>
      <c r="G197" s="23"/>
      <c r="H197" s="62">
        <f>D197+PG!D198*(E197+F197)+G197</f>
        <v>0</v>
      </c>
      <c r="J197" s="18" t="str">
        <f>IF(ISERROR(
PG!F198*E197),"",PG!F198*E197)</f>
        <v/>
      </c>
      <c r="K197" s="18" t="str">
        <f>IF(ISERROR(
PG!F198*F197),"",PG!F198*F197)</f>
        <v/>
      </c>
      <c r="L197" s="18">
        <f>IF(ISERROR(
PG!D198-H197),"",PG!D198-H197)</f>
        <v>0</v>
      </c>
      <c r="M197" s="33" t="str">
        <f>IF(ISERROR(
L197/PG!D198),"",L197/PG!D198)</f>
        <v/>
      </c>
      <c r="N197" s="18" t="str">
        <f>IF(ISERROR(
(O197*PG!D198)),"",(O197*PG!D198))</f>
        <v/>
      </c>
      <c r="O197" s="45" t="str">
        <f>IF(ISERROR(
PEq!$G$20*PG!G198),"",PEq!$G$20*PG!G198)</f>
        <v/>
      </c>
      <c r="P197" s="18">
        <f>IF(ISERROR(
PG!E198*G197),"",PG!E198*G197)</f>
        <v>0</v>
      </c>
      <c r="Q197" s="18">
        <f>IF(ISERROR(
PG!E198*D197),"",PG!E198*D197)</f>
        <v>0</v>
      </c>
    </row>
    <row r="198" spans="3:17" ht="30" customHeight="1" thickBot="1" x14ac:dyDescent="0.25">
      <c r="C198" s="83">
        <f>PG!C199</f>
        <v>0</v>
      </c>
      <c r="D198" s="23"/>
      <c r="E198" s="27"/>
      <c r="F198" s="27"/>
      <c r="G198" s="23"/>
      <c r="H198" s="62">
        <f>D198+PG!D199*(E198+F198)+G198</f>
        <v>0</v>
      </c>
      <c r="J198" s="18" t="str">
        <f>IF(ISERROR(
PG!F199*E198),"",PG!F199*E198)</f>
        <v/>
      </c>
      <c r="K198" s="18" t="str">
        <f>IF(ISERROR(
PG!F199*F198),"",PG!F199*F198)</f>
        <v/>
      </c>
      <c r="L198" s="18">
        <f>IF(ISERROR(
PG!D199-H198),"",PG!D199-H198)</f>
        <v>0</v>
      </c>
      <c r="M198" s="33" t="str">
        <f>IF(ISERROR(
L198/PG!D199),"",L198/PG!D199)</f>
        <v/>
      </c>
      <c r="N198" s="18" t="str">
        <f>IF(ISERROR(
(O198*PG!D199)),"",(O198*PG!D199))</f>
        <v/>
      </c>
      <c r="O198" s="45" t="str">
        <f>IF(ISERROR(
PEq!$G$20*PG!G199),"",PEq!$G$20*PG!G199)</f>
        <v/>
      </c>
      <c r="P198" s="18">
        <f>IF(ISERROR(
PG!E199*G198),"",PG!E199*G198)</f>
        <v>0</v>
      </c>
      <c r="Q198" s="18">
        <f>IF(ISERROR(
PG!E199*D198),"",PG!E199*D198)</f>
        <v>0</v>
      </c>
    </row>
    <row r="199" spans="3:17" ht="30" customHeight="1" thickBot="1" x14ac:dyDescent="0.25">
      <c r="C199" s="83">
        <f>PG!C200</f>
        <v>0</v>
      </c>
      <c r="D199" s="23"/>
      <c r="E199" s="27"/>
      <c r="F199" s="27"/>
      <c r="G199" s="23"/>
      <c r="H199" s="62">
        <f>D199+PG!D200*(E199+F199)+G199</f>
        <v>0</v>
      </c>
      <c r="J199" s="18" t="str">
        <f>IF(ISERROR(
PG!F200*E199),"",PG!F200*E199)</f>
        <v/>
      </c>
      <c r="K199" s="18" t="str">
        <f>IF(ISERROR(
PG!F200*F199),"",PG!F200*F199)</f>
        <v/>
      </c>
      <c r="L199" s="18">
        <f>IF(ISERROR(
PG!D200-H199),"",PG!D200-H199)</f>
        <v>0</v>
      </c>
      <c r="M199" s="33" t="str">
        <f>IF(ISERROR(
L199/PG!D200),"",L199/PG!D200)</f>
        <v/>
      </c>
      <c r="N199" s="18" t="str">
        <f>IF(ISERROR(
(O199*PG!D200)),"",(O199*PG!D200))</f>
        <v/>
      </c>
      <c r="O199" s="45" t="str">
        <f>IF(ISERROR(
PEq!$G$20*PG!G200),"",PEq!$G$20*PG!G200)</f>
        <v/>
      </c>
      <c r="P199" s="18">
        <f>IF(ISERROR(
PG!E200*G199),"",PG!E200*G199)</f>
        <v>0</v>
      </c>
      <c r="Q199" s="18">
        <f>IF(ISERROR(
PG!E200*D199),"",PG!E200*D199)</f>
        <v>0</v>
      </c>
    </row>
    <row r="200" spans="3:17" ht="30" customHeight="1" thickBot="1" x14ac:dyDescent="0.25">
      <c r="C200" s="83">
        <f>PG!C201</f>
        <v>0</v>
      </c>
      <c r="D200" s="23"/>
      <c r="E200" s="27"/>
      <c r="F200" s="27"/>
      <c r="G200" s="23"/>
      <c r="H200" s="62">
        <f>D200+PG!D201*(E200+F200)+G200</f>
        <v>0</v>
      </c>
      <c r="J200" s="18" t="str">
        <f>IF(ISERROR(
PG!F201*E200),"",PG!F201*E200)</f>
        <v/>
      </c>
      <c r="K200" s="18" t="str">
        <f>IF(ISERROR(
PG!F201*F200),"",PG!F201*F200)</f>
        <v/>
      </c>
      <c r="L200" s="18">
        <f>IF(ISERROR(
PG!D201-H200),"",PG!D201-H200)</f>
        <v>0</v>
      </c>
      <c r="M200" s="33" t="str">
        <f>IF(ISERROR(
L200/PG!D201),"",L200/PG!D201)</f>
        <v/>
      </c>
      <c r="N200" s="18" t="str">
        <f>IF(ISERROR(
(O200*PG!D201)),"",(O200*PG!D201))</f>
        <v/>
      </c>
      <c r="O200" s="45" t="str">
        <f>IF(ISERROR(
PEq!$G$20*PG!G201),"",PEq!$G$20*PG!G201)</f>
        <v/>
      </c>
      <c r="P200" s="18">
        <f>IF(ISERROR(
PG!E201*G200),"",PG!E201*G200)</f>
        <v>0</v>
      </c>
      <c r="Q200" s="18">
        <f>IF(ISERROR(
PG!E201*D200),"",PG!E201*D200)</f>
        <v>0</v>
      </c>
    </row>
    <row r="201" spans="3:17" ht="30" customHeight="1" thickBot="1" x14ac:dyDescent="0.25">
      <c r="C201" s="83">
        <f>PG!C202</f>
        <v>0</v>
      </c>
      <c r="D201" s="23"/>
      <c r="E201" s="27"/>
      <c r="F201" s="27"/>
      <c r="G201" s="23"/>
      <c r="H201" s="62">
        <f>D201+PG!D202*(E201+F201)+G201</f>
        <v>0</v>
      </c>
      <c r="J201" s="18" t="str">
        <f>IF(ISERROR(
PG!F202*E201),"",PG!F202*E201)</f>
        <v/>
      </c>
      <c r="K201" s="18" t="str">
        <f>IF(ISERROR(
PG!F202*F201),"",PG!F202*F201)</f>
        <v/>
      </c>
      <c r="L201" s="18">
        <f>IF(ISERROR(
PG!D202-H201),"",PG!D202-H201)</f>
        <v>0</v>
      </c>
      <c r="M201" s="33" t="str">
        <f>IF(ISERROR(
L201/PG!D202),"",L201/PG!D202)</f>
        <v/>
      </c>
      <c r="N201" s="18" t="str">
        <f>IF(ISERROR(
(O201*PG!D202)),"",(O201*PG!D202))</f>
        <v/>
      </c>
      <c r="O201" s="45" t="str">
        <f>IF(ISERROR(
PEq!$G$20*PG!G202),"",PEq!$G$20*PG!G202)</f>
        <v/>
      </c>
      <c r="P201" s="18">
        <f>IF(ISERROR(
PG!E202*G201),"",PG!E202*G201)</f>
        <v>0</v>
      </c>
      <c r="Q201" s="18">
        <f>IF(ISERROR(
PG!E202*D201),"",PG!E202*D201)</f>
        <v>0</v>
      </c>
    </row>
    <row r="202" spans="3:17" ht="30" customHeight="1" thickBot="1" x14ac:dyDescent="0.25">
      <c r="C202" s="83">
        <f>PG!C203</f>
        <v>0</v>
      </c>
      <c r="D202" s="23"/>
      <c r="E202" s="27"/>
      <c r="F202" s="27"/>
      <c r="G202" s="23"/>
      <c r="H202" s="62">
        <f>D202+PG!D203*(E202+F202)+G202</f>
        <v>0</v>
      </c>
      <c r="J202" s="18" t="str">
        <f>IF(ISERROR(
PG!F203*E202),"",PG!F203*E202)</f>
        <v/>
      </c>
      <c r="K202" s="18" t="str">
        <f>IF(ISERROR(
PG!F203*F202),"",PG!F203*F202)</f>
        <v/>
      </c>
      <c r="L202" s="18">
        <f>IF(ISERROR(
PG!D203-H202),"",PG!D203-H202)</f>
        <v>0</v>
      </c>
      <c r="M202" s="33" t="str">
        <f>IF(ISERROR(
L202/PG!D203),"",L202/PG!D203)</f>
        <v/>
      </c>
      <c r="N202" s="18" t="str">
        <f>IF(ISERROR(
(O202*PG!D203)),"",(O202*PG!D203))</f>
        <v/>
      </c>
      <c r="O202" s="45" t="str">
        <f>IF(ISERROR(
PEq!$G$20*PG!G203),"",PEq!$G$20*PG!G203)</f>
        <v/>
      </c>
      <c r="P202" s="18">
        <f>IF(ISERROR(
PG!E203*G202),"",PG!E203*G202)</f>
        <v>0</v>
      </c>
      <c r="Q202" s="18">
        <f>IF(ISERROR(
PG!E203*D202),"",PG!E203*D202)</f>
        <v>0</v>
      </c>
    </row>
    <row r="203" spans="3:17" ht="30" customHeight="1" thickBot="1" x14ac:dyDescent="0.25">
      <c r="C203" s="83">
        <f>PG!C204</f>
        <v>0</v>
      </c>
      <c r="D203" s="23"/>
      <c r="E203" s="27"/>
      <c r="F203" s="27"/>
      <c r="G203" s="23"/>
      <c r="H203" s="62">
        <f>D203+PG!D204*(E203+F203)+G203</f>
        <v>0</v>
      </c>
      <c r="J203" s="18" t="str">
        <f>IF(ISERROR(
PG!F204*E203),"",PG!F204*E203)</f>
        <v/>
      </c>
      <c r="K203" s="18" t="str">
        <f>IF(ISERROR(
PG!F204*F203),"",PG!F204*F203)</f>
        <v/>
      </c>
      <c r="L203" s="18">
        <f>IF(ISERROR(
PG!D204-H203),"",PG!D204-H203)</f>
        <v>0</v>
      </c>
      <c r="M203" s="33" t="str">
        <f>IF(ISERROR(
L203/PG!D204),"",L203/PG!D204)</f>
        <v/>
      </c>
      <c r="N203" s="18" t="str">
        <f>IF(ISERROR(
(O203*PG!D204)),"",(O203*PG!D204))</f>
        <v/>
      </c>
      <c r="O203" s="45" t="str">
        <f>IF(ISERROR(
PEq!$G$20*PG!G204),"",PEq!$G$20*PG!G204)</f>
        <v/>
      </c>
      <c r="P203" s="18">
        <f>IF(ISERROR(
PG!E204*G203),"",PG!E204*G203)</f>
        <v>0</v>
      </c>
      <c r="Q203" s="18">
        <f>IF(ISERROR(
PG!E204*D203),"",PG!E204*D203)</f>
        <v>0</v>
      </c>
    </row>
    <row r="204" spans="3:17" ht="30" customHeight="1" thickBot="1" x14ac:dyDescent="0.25">
      <c r="C204" s="83">
        <f>PG!C205</f>
        <v>0</v>
      </c>
      <c r="D204" s="23"/>
      <c r="E204" s="27"/>
      <c r="F204" s="27"/>
      <c r="G204" s="23"/>
      <c r="H204" s="62">
        <f>D204+PG!D205*(E204+F204)+G204</f>
        <v>0</v>
      </c>
      <c r="J204" s="18" t="str">
        <f>IF(ISERROR(
PG!F205*E204),"",PG!F205*E204)</f>
        <v/>
      </c>
      <c r="K204" s="18" t="str">
        <f>IF(ISERROR(
PG!F205*F204),"",PG!F205*F204)</f>
        <v/>
      </c>
      <c r="L204" s="18">
        <f>IF(ISERROR(
PG!D205-H204),"",PG!D205-H204)</f>
        <v>0</v>
      </c>
      <c r="M204" s="33" t="str">
        <f>IF(ISERROR(
L204/PG!D205),"",L204/PG!D205)</f>
        <v/>
      </c>
      <c r="N204" s="18" t="str">
        <f>IF(ISERROR(
(O204*PG!D205)),"",(O204*PG!D205))</f>
        <v/>
      </c>
      <c r="O204" s="45" t="str">
        <f>IF(ISERROR(
PEq!$G$20*PG!G205),"",PEq!$G$20*PG!G205)</f>
        <v/>
      </c>
      <c r="P204" s="18">
        <f>IF(ISERROR(
PG!E205*G204),"",PG!E205*G204)</f>
        <v>0</v>
      </c>
      <c r="Q204" s="18">
        <f>IF(ISERROR(
PG!E205*D204),"",PG!E205*D204)</f>
        <v>0</v>
      </c>
    </row>
    <row r="205" spans="3:17" ht="30" customHeight="1" thickBot="1" x14ac:dyDescent="0.25">
      <c r="C205" s="83">
        <f>PG!C206</f>
        <v>0</v>
      </c>
      <c r="D205" s="23"/>
      <c r="E205" s="27"/>
      <c r="F205" s="27"/>
      <c r="G205" s="23"/>
      <c r="H205" s="62">
        <f>D205+PG!D206*(E205+F205)+G205</f>
        <v>0</v>
      </c>
      <c r="J205" s="18" t="str">
        <f>IF(ISERROR(
PG!F206*E205),"",PG!F206*E205)</f>
        <v/>
      </c>
      <c r="K205" s="18" t="str">
        <f>IF(ISERROR(
PG!F206*F205),"",PG!F206*F205)</f>
        <v/>
      </c>
      <c r="L205" s="18">
        <f>IF(ISERROR(
PG!D206-H205),"",PG!D206-H205)</f>
        <v>0</v>
      </c>
      <c r="M205" s="33" t="str">
        <f>IF(ISERROR(
L205/PG!D206),"",L205/PG!D206)</f>
        <v/>
      </c>
      <c r="N205" s="18" t="str">
        <f>IF(ISERROR(
(O205*PG!D206)),"",(O205*PG!D206))</f>
        <v/>
      </c>
      <c r="O205" s="45" t="str">
        <f>IF(ISERROR(
PEq!$G$20*PG!G206),"",PEq!$G$20*PG!G206)</f>
        <v/>
      </c>
      <c r="P205" s="18">
        <f>IF(ISERROR(
PG!E206*G205),"",PG!E206*G205)</f>
        <v>0</v>
      </c>
      <c r="Q205" s="18">
        <f>IF(ISERROR(
PG!E206*D205),"",PG!E206*D205)</f>
        <v>0</v>
      </c>
    </row>
    <row r="206" spans="3:17" ht="30" customHeight="1" thickBot="1" x14ac:dyDescent="0.25">
      <c r="C206" s="83">
        <f>PG!C207</f>
        <v>0</v>
      </c>
      <c r="D206" s="23"/>
      <c r="E206" s="27"/>
      <c r="F206" s="27"/>
      <c r="G206" s="23"/>
      <c r="H206" s="62">
        <f>D206+PG!D207*(E206+F206)+G206</f>
        <v>0</v>
      </c>
      <c r="J206" s="18" t="str">
        <f>IF(ISERROR(
PG!F207*E206),"",PG!F207*E206)</f>
        <v/>
      </c>
      <c r="K206" s="18" t="str">
        <f>IF(ISERROR(
PG!F207*F206),"",PG!F207*F206)</f>
        <v/>
      </c>
      <c r="L206" s="18">
        <f>IF(ISERROR(
PG!D207-H206),"",PG!D207-H206)</f>
        <v>0</v>
      </c>
      <c r="M206" s="33" t="str">
        <f>IF(ISERROR(
L206/PG!D207),"",L206/PG!D207)</f>
        <v/>
      </c>
      <c r="N206" s="18" t="str">
        <f>IF(ISERROR(
(O206*PG!D207)),"",(O206*PG!D207))</f>
        <v/>
      </c>
      <c r="O206" s="45" t="str">
        <f>IF(ISERROR(
PEq!$G$20*PG!G207),"",PEq!$G$20*PG!G207)</f>
        <v/>
      </c>
      <c r="P206" s="18">
        <f>IF(ISERROR(
PG!E207*G206),"",PG!E207*G206)</f>
        <v>0</v>
      </c>
      <c r="Q206" s="18">
        <f>IF(ISERROR(
PG!E207*D206),"",PG!E207*D206)</f>
        <v>0</v>
      </c>
    </row>
    <row r="207" spans="3:17" ht="30" customHeight="1" thickBot="1" x14ac:dyDescent="0.25">
      <c r="C207" s="83">
        <f>PG!C208</f>
        <v>0</v>
      </c>
      <c r="D207" s="23"/>
      <c r="E207" s="27"/>
      <c r="F207" s="27"/>
      <c r="G207" s="23"/>
      <c r="H207" s="62">
        <f>D207+PG!D208*(E207+F207)+G207</f>
        <v>0</v>
      </c>
      <c r="J207" s="18" t="str">
        <f>IF(ISERROR(
PG!F208*E207),"",PG!F208*E207)</f>
        <v/>
      </c>
      <c r="K207" s="18" t="str">
        <f>IF(ISERROR(
PG!F208*F207),"",PG!F208*F207)</f>
        <v/>
      </c>
      <c r="L207" s="18">
        <f>IF(ISERROR(
PG!D208-H207),"",PG!D208-H207)</f>
        <v>0</v>
      </c>
      <c r="M207" s="33" t="str">
        <f>IF(ISERROR(
L207/PG!D208),"",L207/PG!D208)</f>
        <v/>
      </c>
      <c r="N207" s="18" t="str">
        <f>IF(ISERROR(
(O207*PG!D208)),"",(O207*PG!D208))</f>
        <v/>
      </c>
      <c r="O207" s="45" t="str">
        <f>IF(ISERROR(
PEq!$G$20*PG!G208),"",PEq!$G$20*PG!G208)</f>
        <v/>
      </c>
      <c r="P207" s="18">
        <f>IF(ISERROR(
PG!E208*G207),"",PG!E208*G207)</f>
        <v>0</v>
      </c>
      <c r="Q207" s="18">
        <f>IF(ISERROR(
PG!E208*D207),"",PG!E208*D207)</f>
        <v>0</v>
      </c>
    </row>
    <row r="208" spans="3:17" ht="30" customHeight="1" thickBot="1" x14ac:dyDescent="0.25">
      <c r="C208" s="83">
        <f>PG!C209</f>
        <v>0</v>
      </c>
      <c r="D208" s="23"/>
      <c r="E208" s="27"/>
      <c r="F208" s="27"/>
      <c r="G208" s="23"/>
      <c r="H208" s="62">
        <f>D208+PG!D209*(E208+F208)+G208</f>
        <v>0</v>
      </c>
      <c r="J208" s="18" t="str">
        <f>IF(ISERROR(
PG!F209*E208),"",PG!F209*E208)</f>
        <v/>
      </c>
      <c r="K208" s="18" t="str">
        <f>IF(ISERROR(
PG!F209*F208),"",PG!F209*F208)</f>
        <v/>
      </c>
      <c r="L208" s="18">
        <f>IF(ISERROR(
PG!D209-H208),"",PG!D209-H208)</f>
        <v>0</v>
      </c>
      <c r="M208" s="33" t="str">
        <f>IF(ISERROR(
L208/PG!D209),"",L208/PG!D209)</f>
        <v/>
      </c>
      <c r="N208" s="18" t="str">
        <f>IF(ISERROR(
(O208*PG!D209)),"",(O208*PG!D209))</f>
        <v/>
      </c>
      <c r="O208" s="45" t="str">
        <f>IF(ISERROR(
PEq!$G$20*PG!G209),"",PEq!$G$20*PG!G209)</f>
        <v/>
      </c>
      <c r="P208" s="18">
        <f>IF(ISERROR(
PG!E209*G208),"",PG!E209*G208)</f>
        <v>0</v>
      </c>
      <c r="Q208" s="18">
        <f>IF(ISERROR(
PG!E209*D208),"",PG!E209*D208)</f>
        <v>0</v>
      </c>
    </row>
    <row r="209" spans="3:17" ht="30" customHeight="1" thickBot="1" x14ac:dyDescent="0.25">
      <c r="C209" s="83">
        <f>PG!C210</f>
        <v>0</v>
      </c>
      <c r="D209" s="23"/>
      <c r="E209" s="27"/>
      <c r="F209" s="27"/>
      <c r="G209" s="23"/>
      <c r="H209" s="62">
        <f>D209+PG!D210*(E209+F209)+G209</f>
        <v>0</v>
      </c>
      <c r="J209" s="18" t="str">
        <f>IF(ISERROR(
PG!F210*E209),"",PG!F210*E209)</f>
        <v/>
      </c>
      <c r="K209" s="18" t="str">
        <f>IF(ISERROR(
PG!F210*F209),"",PG!F210*F209)</f>
        <v/>
      </c>
      <c r="L209" s="18">
        <f>IF(ISERROR(
PG!D210-H209),"",PG!D210-H209)</f>
        <v>0</v>
      </c>
      <c r="M209" s="33" t="str">
        <f>IF(ISERROR(
L209/PG!D210),"",L209/PG!D210)</f>
        <v/>
      </c>
      <c r="N209" s="18" t="str">
        <f>IF(ISERROR(
(O209*PG!D210)),"",(O209*PG!D210))</f>
        <v/>
      </c>
      <c r="O209" s="45" t="str">
        <f>IF(ISERROR(
PEq!$G$20*PG!G210),"",PEq!$G$20*PG!G210)</f>
        <v/>
      </c>
      <c r="P209" s="18">
        <f>IF(ISERROR(
PG!E210*G209),"",PG!E210*G209)</f>
        <v>0</v>
      </c>
      <c r="Q209" s="18">
        <f>IF(ISERROR(
PG!E210*D209),"",PG!E210*D209)</f>
        <v>0</v>
      </c>
    </row>
    <row r="210" spans="3:17" ht="30" customHeight="1" thickBot="1" x14ac:dyDescent="0.25">
      <c r="C210" s="83">
        <f>PG!C211</f>
        <v>0</v>
      </c>
      <c r="D210" s="23"/>
      <c r="E210" s="27"/>
      <c r="F210" s="27"/>
      <c r="G210" s="23"/>
      <c r="H210" s="62">
        <f>D210+PG!D211*(E210+F210)+G210</f>
        <v>0</v>
      </c>
      <c r="J210" s="18" t="str">
        <f>IF(ISERROR(
PG!F211*E210),"",PG!F211*E210)</f>
        <v/>
      </c>
      <c r="K210" s="18" t="str">
        <f>IF(ISERROR(
PG!F211*F210),"",PG!F211*F210)</f>
        <v/>
      </c>
      <c r="L210" s="18">
        <f>IF(ISERROR(
PG!D211-H210),"",PG!D211-H210)</f>
        <v>0</v>
      </c>
      <c r="M210" s="33" t="str">
        <f>IF(ISERROR(
L210/PG!D211),"",L210/PG!D211)</f>
        <v/>
      </c>
      <c r="N210" s="18" t="str">
        <f>IF(ISERROR(
(O210*PG!D211)),"",(O210*PG!D211))</f>
        <v/>
      </c>
      <c r="O210" s="45" t="str">
        <f>IF(ISERROR(
PEq!$G$20*PG!G211),"",PEq!$G$20*PG!G211)</f>
        <v/>
      </c>
      <c r="P210" s="18">
        <f>IF(ISERROR(
PG!E211*G210),"",PG!E211*G210)</f>
        <v>0</v>
      </c>
      <c r="Q210" s="18">
        <f>IF(ISERROR(
PG!E211*D210),"",PG!E211*D210)</f>
        <v>0</v>
      </c>
    </row>
    <row r="211" spans="3:17" ht="30" customHeight="1" thickBot="1" x14ac:dyDescent="0.25">
      <c r="C211" s="83">
        <f>PG!C212</f>
        <v>0</v>
      </c>
      <c r="D211" s="23"/>
      <c r="E211" s="27"/>
      <c r="F211" s="27"/>
      <c r="G211" s="23"/>
      <c r="H211" s="62">
        <f>D211+PG!D212*(E211+F211)+G211</f>
        <v>0</v>
      </c>
      <c r="J211" s="18" t="str">
        <f>IF(ISERROR(
PG!F212*E211),"",PG!F212*E211)</f>
        <v/>
      </c>
      <c r="K211" s="18" t="str">
        <f>IF(ISERROR(
PG!F212*F211),"",PG!F212*F211)</f>
        <v/>
      </c>
      <c r="L211" s="18">
        <f>IF(ISERROR(
PG!D212-H211),"",PG!D212-H211)</f>
        <v>0</v>
      </c>
      <c r="M211" s="33" t="str">
        <f>IF(ISERROR(
L211/PG!D212),"",L211/PG!D212)</f>
        <v/>
      </c>
      <c r="N211" s="18" t="str">
        <f>IF(ISERROR(
(O211*PG!D212)),"",(O211*PG!D212))</f>
        <v/>
      </c>
      <c r="O211" s="45" t="str">
        <f>IF(ISERROR(
PEq!$G$20*PG!G212),"",PEq!$G$20*PG!G212)</f>
        <v/>
      </c>
      <c r="P211" s="18">
        <f>IF(ISERROR(
PG!E212*G211),"",PG!E212*G211)</f>
        <v>0</v>
      </c>
      <c r="Q211" s="18">
        <f>IF(ISERROR(
PG!E212*D211),"",PG!E212*D211)</f>
        <v>0</v>
      </c>
    </row>
    <row r="212" spans="3:17" ht="30" customHeight="1" thickBot="1" x14ac:dyDescent="0.25">
      <c r="C212" s="83">
        <f>PG!C213</f>
        <v>0</v>
      </c>
      <c r="D212" s="23"/>
      <c r="E212" s="27"/>
      <c r="F212" s="27"/>
      <c r="G212" s="23"/>
      <c r="H212" s="62">
        <f>D212+PG!D213*(E212+F212)+G212</f>
        <v>0</v>
      </c>
      <c r="J212" s="18" t="str">
        <f>IF(ISERROR(
PG!F213*E212),"",PG!F213*E212)</f>
        <v/>
      </c>
      <c r="K212" s="18" t="str">
        <f>IF(ISERROR(
PG!F213*F212),"",PG!F213*F212)</f>
        <v/>
      </c>
      <c r="L212" s="18">
        <f>IF(ISERROR(
PG!D213-H212),"",PG!D213-H212)</f>
        <v>0</v>
      </c>
      <c r="M212" s="33" t="str">
        <f>IF(ISERROR(
L212/PG!D213),"",L212/PG!D213)</f>
        <v/>
      </c>
      <c r="N212" s="18" t="str">
        <f>IF(ISERROR(
(O212*PG!D213)),"",(O212*PG!D213))</f>
        <v/>
      </c>
      <c r="O212" s="45" t="str">
        <f>IF(ISERROR(
PEq!$G$20*PG!G213),"",PEq!$G$20*PG!G213)</f>
        <v/>
      </c>
      <c r="P212" s="18">
        <f>IF(ISERROR(
PG!E213*G212),"",PG!E213*G212)</f>
        <v>0</v>
      </c>
      <c r="Q212" s="18">
        <f>IF(ISERROR(
PG!E213*D212),"",PG!E213*D212)</f>
        <v>0</v>
      </c>
    </row>
    <row r="213" spans="3:17" ht="30" customHeight="1" thickBot="1" x14ac:dyDescent="0.25">
      <c r="C213" s="83">
        <f>PG!C214</f>
        <v>0</v>
      </c>
      <c r="D213" s="23"/>
      <c r="E213" s="27"/>
      <c r="F213" s="27"/>
      <c r="G213" s="23"/>
      <c r="H213" s="62">
        <f>D213+PG!D214*(E213+F213)+G213</f>
        <v>0</v>
      </c>
      <c r="J213" s="18" t="str">
        <f>IF(ISERROR(
PG!F214*E213),"",PG!F214*E213)</f>
        <v/>
      </c>
      <c r="K213" s="18" t="str">
        <f>IF(ISERROR(
PG!F214*F213),"",PG!F214*F213)</f>
        <v/>
      </c>
      <c r="L213" s="18">
        <f>IF(ISERROR(
PG!D214-H213),"",PG!D214-H213)</f>
        <v>0</v>
      </c>
      <c r="M213" s="33" t="str">
        <f>IF(ISERROR(
L213/PG!D214),"",L213/PG!D214)</f>
        <v/>
      </c>
      <c r="N213" s="18" t="str">
        <f>IF(ISERROR(
(O213*PG!D214)),"",(O213*PG!D214))</f>
        <v/>
      </c>
      <c r="O213" s="45" t="str">
        <f>IF(ISERROR(
PEq!$G$20*PG!G214),"",PEq!$G$20*PG!G214)</f>
        <v/>
      </c>
      <c r="P213" s="18">
        <f>IF(ISERROR(
PG!E214*G213),"",PG!E214*G213)</f>
        <v>0</v>
      </c>
      <c r="Q213" s="18">
        <f>IF(ISERROR(
PG!E214*D213),"",PG!E214*D213)</f>
        <v>0</v>
      </c>
    </row>
    <row r="214" spans="3:17" ht="30" customHeight="1" thickBot="1" x14ac:dyDescent="0.25">
      <c r="C214" s="83">
        <f>PG!C215</f>
        <v>0</v>
      </c>
      <c r="D214" s="23"/>
      <c r="E214" s="27"/>
      <c r="F214" s="27"/>
      <c r="G214" s="23"/>
      <c r="H214" s="62">
        <f>D214+PG!D215*(E214+F214)+G214</f>
        <v>0</v>
      </c>
      <c r="J214" s="18" t="str">
        <f>IF(ISERROR(
PG!F215*E214),"",PG!F215*E214)</f>
        <v/>
      </c>
      <c r="K214" s="18" t="str">
        <f>IF(ISERROR(
PG!F215*F214),"",PG!F215*F214)</f>
        <v/>
      </c>
      <c r="L214" s="18">
        <f>IF(ISERROR(
PG!D215-H214),"",PG!D215-H214)</f>
        <v>0</v>
      </c>
      <c r="M214" s="33" t="str">
        <f>IF(ISERROR(
L214/PG!D215),"",L214/PG!D215)</f>
        <v/>
      </c>
      <c r="N214" s="18" t="str">
        <f>IF(ISERROR(
(O214*PG!D215)),"",(O214*PG!D215))</f>
        <v/>
      </c>
      <c r="O214" s="45" t="str">
        <f>IF(ISERROR(
PEq!$G$20*PG!G215),"",PEq!$G$20*PG!G215)</f>
        <v/>
      </c>
      <c r="P214" s="18">
        <f>IF(ISERROR(
PG!E215*G214),"",PG!E215*G214)</f>
        <v>0</v>
      </c>
      <c r="Q214" s="18">
        <f>IF(ISERROR(
PG!E215*D214),"",PG!E215*D214)</f>
        <v>0</v>
      </c>
    </row>
    <row r="215" spans="3:17" ht="30" customHeight="1" thickBot="1" x14ac:dyDescent="0.25">
      <c r="C215" s="83">
        <f>PG!C216</f>
        <v>0</v>
      </c>
      <c r="D215" s="23"/>
      <c r="E215" s="27"/>
      <c r="F215" s="27"/>
      <c r="G215" s="23"/>
      <c r="H215" s="62">
        <f>D215+PG!D216*(E215+F215)+G215</f>
        <v>0</v>
      </c>
      <c r="J215" s="18" t="str">
        <f>IF(ISERROR(
PG!F216*E215),"",PG!F216*E215)</f>
        <v/>
      </c>
      <c r="K215" s="18" t="str">
        <f>IF(ISERROR(
PG!F216*F215),"",PG!F216*F215)</f>
        <v/>
      </c>
      <c r="L215" s="18">
        <f>IF(ISERROR(
PG!D216-H215),"",PG!D216-H215)</f>
        <v>0</v>
      </c>
      <c r="M215" s="33" t="str">
        <f>IF(ISERROR(
L215/PG!D216),"",L215/PG!D216)</f>
        <v/>
      </c>
      <c r="N215" s="18" t="str">
        <f>IF(ISERROR(
(O215*PG!D216)),"",(O215*PG!D216))</f>
        <v/>
      </c>
      <c r="O215" s="45" t="str">
        <f>IF(ISERROR(
PEq!$G$20*PG!G216),"",PEq!$G$20*PG!G216)</f>
        <v/>
      </c>
      <c r="P215" s="18">
        <f>IF(ISERROR(
PG!E216*G215),"",PG!E216*G215)</f>
        <v>0</v>
      </c>
      <c r="Q215" s="18">
        <f>IF(ISERROR(
PG!E216*D215),"",PG!E216*D215)</f>
        <v>0</v>
      </c>
    </row>
    <row r="216" spans="3:17" ht="30" customHeight="1" thickBot="1" x14ac:dyDescent="0.25">
      <c r="C216" s="83">
        <f>PG!C217</f>
        <v>0</v>
      </c>
      <c r="D216" s="23"/>
      <c r="E216" s="27"/>
      <c r="F216" s="27"/>
      <c r="G216" s="23"/>
      <c r="H216" s="62">
        <f>D216+PG!D217*(E216+F216)+G216</f>
        <v>0</v>
      </c>
      <c r="J216" s="18" t="str">
        <f>IF(ISERROR(
PG!F217*E216),"",PG!F217*E216)</f>
        <v/>
      </c>
      <c r="K216" s="18" t="str">
        <f>IF(ISERROR(
PG!F217*F216),"",PG!F217*F216)</f>
        <v/>
      </c>
      <c r="L216" s="18">
        <f>IF(ISERROR(
PG!D217-H216),"",PG!D217-H216)</f>
        <v>0</v>
      </c>
      <c r="M216" s="33" t="str">
        <f>IF(ISERROR(
L216/PG!D217),"",L216/PG!D217)</f>
        <v/>
      </c>
      <c r="N216" s="18" t="str">
        <f>IF(ISERROR(
(O216*PG!D217)),"",(O216*PG!D217))</f>
        <v/>
      </c>
      <c r="O216" s="45" t="str">
        <f>IF(ISERROR(
PEq!$G$20*PG!G217),"",PEq!$G$20*PG!G217)</f>
        <v/>
      </c>
      <c r="P216" s="18">
        <f>IF(ISERROR(
PG!E217*G216),"",PG!E217*G216)</f>
        <v>0</v>
      </c>
      <c r="Q216" s="18">
        <f>IF(ISERROR(
PG!E217*D216),"",PG!E217*D216)</f>
        <v>0</v>
      </c>
    </row>
    <row r="217" spans="3:17" ht="30" customHeight="1" thickBot="1" x14ac:dyDescent="0.25">
      <c r="C217" s="83">
        <f>PG!C218</f>
        <v>0</v>
      </c>
      <c r="D217" s="23"/>
      <c r="E217" s="27"/>
      <c r="F217" s="27"/>
      <c r="G217" s="23"/>
      <c r="H217" s="62">
        <f>D217+PG!D218*(E217+F217)+G217</f>
        <v>0</v>
      </c>
      <c r="J217" s="18" t="str">
        <f>IF(ISERROR(
PG!F218*E217),"",PG!F218*E217)</f>
        <v/>
      </c>
      <c r="K217" s="18" t="str">
        <f>IF(ISERROR(
PG!F218*F217),"",PG!F218*F217)</f>
        <v/>
      </c>
      <c r="L217" s="18">
        <f>IF(ISERROR(
PG!D218-H217),"",PG!D218-H217)</f>
        <v>0</v>
      </c>
      <c r="M217" s="33" t="str">
        <f>IF(ISERROR(
L217/PG!D218),"",L217/PG!D218)</f>
        <v/>
      </c>
      <c r="N217" s="18" t="str">
        <f>IF(ISERROR(
(O217*PG!D218)),"",(O217*PG!D218))</f>
        <v/>
      </c>
      <c r="O217" s="45" t="str">
        <f>IF(ISERROR(
PEq!$G$20*PG!G218),"",PEq!$G$20*PG!G218)</f>
        <v/>
      </c>
      <c r="P217" s="18">
        <f>IF(ISERROR(
PG!E218*G217),"",PG!E218*G217)</f>
        <v>0</v>
      </c>
      <c r="Q217" s="18">
        <f>IF(ISERROR(
PG!E218*D217),"",PG!E218*D217)</f>
        <v>0</v>
      </c>
    </row>
    <row r="218" spans="3:17" ht="30" customHeight="1" thickBot="1" x14ac:dyDescent="0.25">
      <c r="C218" s="83">
        <f>PG!C219</f>
        <v>0</v>
      </c>
      <c r="D218" s="23"/>
      <c r="E218" s="27"/>
      <c r="F218" s="27"/>
      <c r="G218" s="23"/>
      <c r="H218" s="62">
        <f>D218+PG!D219*(E218+F218)+G218</f>
        <v>0</v>
      </c>
      <c r="J218" s="18" t="str">
        <f>IF(ISERROR(
PG!F219*E218),"",PG!F219*E218)</f>
        <v/>
      </c>
      <c r="K218" s="18" t="str">
        <f>IF(ISERROR(
PG!F219*F218),"",PG!F219*F218)</f>
        <v/>
      </c>
      <c r="L218" s="18">
        <f>IF(ISERROR(
PG!D219-H218),"",PG!D219-H218)</f>
        <v>0</v>
      </c>
      <c r="M218" s="33" t="str">
        <f>IF(ISERROR(
L218/PG!D219),"",L218/PG!D219)</f>
        <v/>
      </c>
      <c r="N218" s="18" t="str">
        <f>IF(ISERROR(
(O218*PG!D219)),"",(O218*PG!D219))</f>
        <v/>
      </c>
      <c r="O218" s="45" t="str">
        <f>IF(ISERROR(
PEq!$G$20*PG!G219),"",PEq!$G$20*PG!G219)</f>
        <v/>
      </c>
      <c r="P218" s="18">
        <f>IF(ISERROR(
PG!E219*G218),"",PG!E219*G218)</f>
        <v>0</v>
      </c>
      <c r="Q218" s="18">
        <f>IF(ISERROR(
PG!E219*D218),"",PG!E219*D218)</f>
        <v>0</v>
      </c>
    </row>
    <row r="219" spans="3:17" ht="30" customHeight="1" thickBot="1" x14ac:dyDescent="0.25">
      <c r="C219" s="83">
        <f>PG!C220</f>
        <v>0</v>
      </c>
      <c r="D219" s="23"/>
      <c r="E219" s="27"/>
      <c r="F219" s="27"/>
      <c r="G219" s="23"/>
      <c r="H219" s="62">
        <f>D219+PG!D220*(E219+F219)+G219</f>
        <v>0</v>
      </c>
      <c r="J219" s="18" t="str">
        <f>IF(ISERROR(
PG!F220*E219),"",PG!F220*E219)</f>
        <v/>
      </c>
      <c r="K219" s="18" t="str">
        <f>IF(ISERROR(
PG!F220*F219),"",PG!F220*F219)</f>
        <v/>
      </c>
      <c r="L219" s="18">
        <f>IF(ISERROR(
PG!D220-H219),"",PG!D220-H219)</f>
        <v>0</v>
      </c>
      <c r="M219" s="33" t="str">
        <f>IF(ISERROR(
L219/PG!D220),"",L219/PG!D220)</f>
        <v/>
      </c>
      <c r="N219" s="18" t="str">
        <f>IF(ISERROR(
(O219*PG!D220)),"",(O219*PG!D220))</f>
        <v/>
      </c>
      <c r="O219" s="45" t="str">
        <f>IF(ISERROR(
PEq!$G$20*PG!G220),"",PEq!$G$20*PG!G220)</f>
        <v/>
      </c>
      <c r="P219" s="18">
        <f>IF(ISERROR(
PG!E220*G219),"",PG!E220*G219)</f>
        <v>0</v>
      </c>
      <c r="Q219" s="18">
        <f>IF(ISERROR(
PG!E220*D219),"",PG!E220*D219)</f>
        <v>0</v>
      </c>
    </row>
    <row r="220" spans="3:17" ht="30" customHeight="1" thickBot="1" x14ac:dyDescent="0.25">
      <c r="C220" s="83">
        <f>PG!C221</f>
        <v>0</v>
      </c>
      <c r="D220" s="23"/>
      <c r="E220" s="27"/>
      <c r="F220" s="27"/>
      <c r="G220" s="23"/>
      <c r="H220" s="62">
        <f>D220+PG!D221*(E220+F220)+G220</f>
        <v>0</v>
      </c>
      <c r="J220" s="18" t="str">
        <f>IF(ISERROR(
PG!F221*E220),"",PG!F221*E220)</f>
        <v/>
      </c>
      <c r="K220" s="18" t="str">
        <f>IF(ISERROR(
PG!F221*F220),"",PG!F221*F220)</f>
        <v/>
      </c>
      <c r="L220" s="18">
        <f>IF(ISERROR(
PG!D221-H220),"",PG!D221-H220)</f>
        <v>0</v>
      </c>
      <c r="M220" s="33" t="str">
        <f>IF(ISERROR(
L220/PG!D221),"",L220/PG!D221)</f>
        <v/>
      </c>
      <c r="N220" s="18" t="str">
        <f>IF(ISERROR(
(O220*PG!D221)),"",(O220*PG!D221))</f>
        <v/>
      </c>
      <c r="O220" s="45" t="str">
        <f>IF(ISERROR(
PEq!$G$20*PG!G221),"",PEq!$G$20*PG!G221)</f>
        <v/>
      </c>
      <c r="P220" s="18">
        <f>IF(ISERROR(
PG!E221*G220),"",PG!E221*G220)</f>
        <v>0</v>
      </c>
      <c r="Q220" s="18">
        <f>IF(ISERROR(
PG!E221*D220),"",PG!E221*D220)</f>
        <v>0</v>
      </c>
    </row>
    <row r="221" spans="3:17" ht="30" customHeight="1" thickBot="1" x14ac:dyDescent="0.25">
      <c r="C221" s="83">
        <f>PG!C222</f>
        <v>0</v>
      </c>
      <c r="D221" s="23"/>
      <c r="E221" s="27"/>
      <c r="F221" s="27"/>
      <c r="G221" s="23"/>
      <c r="H221" s="62">
        <f>D221+PG!D222*(E221+F221)+G221</f>
        <v>0</v>
      </c>
      <c r="J221" s="18" t="str">
        <f>IF(ISERROR(
PG!F222*E221),"",PG!F222*E221)</f>
        <v/>
      </c>
      <c r="K221" s="18" t="str">
        <f>IF(ISERROR(
PG!F222*F221),"",PG!F222*F221)</f>
        <v/>
      </c>
      <c r="L221" s="18">
        <f>IF(ISERROR(
PG!D222-H221),"",PG!D222-H221)</f>
        <v>0</v>
      </c>
      <c r="M221" s="33" t="str">
        <f>IF(ISERROR(
L221/PG!D222),"",L221/PG!D222)</f>
        <v/>
      </c>
      <c r="N221" s="18" t="str">
        <f>IF(ISERROR(
(O221*PG!D222)),"",(O221*PG!D222))</f>
        <v/>
      </c>
      <c r="O221" s="45" t="str">
        <f>IF(ISERROR(
PEq!$G$20*PG!G222),"",PEq!$G$20*PG!G222)</f>
        <v/>
      </c>
      <c r="P221" s="18">
        <f>IF(ISERROR(
PG!E222*G221),"",PG!E222*G221)</f>
        <v>0</v>
      </c>
      <c r="Q221" s="18">
        <f>IF(ISERROR(
PG!E222*D221),"",PG!E222*D221)</f>
        <v>0</v>
      </c>
    </row>
    <row r="222" spans="3:17" ht="30" customHeight="1" thickBot="1" x14ac:dyDescent="0.25">
      <c r="C222" s="83">
        <f>PG!C223</f>
        <v>0</v>
      </c>
      <c r="D222" s="23"/>
      <c r="E222" s="27"/>
      <c r="F222" s="27"/>
      <c r="G222" s="23"/>
      <c r="H222" s="62">
        <f>D222+PG!D223*(E222+F222)+G222</f>
        <v>0</v>
      </c>
      <c r="J222" s="18" t="str">
        <f>IF(ISERROR(
PG!F223*E222),"",PG!F223*E222)</f>
        <v/>
      </c>
      <c r="K222" s="18" t="str">
        <f>IF(ISERROR(
PG!F223*F222),"",PG!F223*F222)</f>
        <v/>
      </c>
      <c r="L222" s="18">
        <f>IF(ISERROR(
PG!D223-H222),"",PG!D223-H222)</f>
        <v>0</v>
      </c>
      <c r="M222" s="33" t="str">
        <f>IF(ISERROR(
L222/PG!D223),"",L222/PG!D223)</f>
        <v/>
      </c>
      <c r="N222" s="18" t="str">
        <f>IF(ISERROR(
(O222*PG!D223)),"",(O222*PG!D223))</f>
        <v/>
      </c>
      <c r="O222" s="45" t="str">
        <f>IF(ISERROR(
PEq!$G$20*PG!G223),"",PEq!$G$20*PG!G223)</f>
        <v/>
      </c>
      <c r="P222" s="18">
        <f>IF(ISERROR(
PG!E223*G222),"",PG!E223*G222)</f>
        <v>0</v>
      </c>
      <c r="Q222" s="18">
        <f>IF(ISERROR(
PG!E223*D222),"",PG!E223*D222)</f>
        <v>0</v>
      </c>
    </row>
    <row r="223" spans="3:17" ht="30" customHeight="1" thickBot="1" x14ac:dyDescent="0.25">
      <c r="C223" s="83">
        <f>PG!C224</f>
        <v>0</v>
      </c>
      <c r="D223" s="23"/>
      <c r="E223" s="27"/>
      <c r="F223" s="27"/>
      <c r="G223" s="23"/>
      <c r="H223" s="62">
        <f>D223+PG!D224*(E223+F223)+G223</f>
        <v>0</v>
      </c>
      <c r="J223" s="18" t="str">
        <f>IF(ISERROR(
PG!F224*E223),"",PG!F224*E223)</f>
        <v/>
      </c>
      <c r="K223" s="18" t="str">
        <f>IF(ISERROR(
PG!F224*F223),"",PG!F224*F223)</f>
        <v/>
      </c>
      <c r="L223" s="18">
        <f>IF(ISERROR(
PG!D224-H223),"",PG!D224-H223)</f>
        <v>0</v>
      </c>
      <c r="M223" s="33" t="str">
        <f>IF(ISERROR(
L223/PG!D224),"",L223/PG!D224)</f>
        <v/>
      </c>
      <c r="N223" s="18" t="str">
        <f>IF(ISERROR(
(O223*PG!D224)),"",(O223*PG!D224))</f>
        <v/>
      </c>
      <c r="O223" s="45" t="str">
        <f>IF(ISERROR(
PEq!$G$20*PG!G224),"",PEq!$G$20*PG!G224)</f>
        <v/>
      </c>
      <c r="P223" s="18">
        <f>IF(ISERROR(
PG!E224*G223),"",PG!E224*G223)</f>
        <v>0</v>
      </c>
      <c r="Q223" s="18">
        <f>IF(ISERROR(
PG!E224*D223),"",PG!E224*D223)</f>
        <v>0</v>
      </c>
    </row>
    <row r="224" spans="3:17" ht="30" customHeight="1" thickBot="1" x14ac:dyDescent="0.25">
      <c r="C224" s="83">
        <f>PG!C225</f>
        <v>0</v>
      </c>
      <c r="D224" s="23"/>
      <c r="E224" s="27"/>
      <c r="F224" s="27"/>
      <c r="G224" s="23"/>
      <c r="H224" s="62">
        <f>D224+PG!D225*(E224+F224)+G224</f>
        <v>0</v>
      </c>
      <c r="J224" s="18" t="str">
        <f>IF(ISERROR(
PG!F225*E224),"",PG!F225*E224)</f>
        <v/>
      </c>
      <c r="K224" s="18" t="str">
        <f>IF(ISERROR(
PG!F225*F224),"",PG!F225*F224)</f>
        <v/>
      </c>
      <c r="L224" s="18">
        <f>IF(ISERROR(
PG!D225-H224),"",PG!D225-H224)</f>
        <v>0</v>
      </c>
      <c r="M224" s="33" t="str">
        <f>IF(ISERROR(
L224/PG!D225),"",L224/PG!D225)</f>
        <v/>
      </c>
      <c r="N224" s="18" t="str">
        <f>IF(ISERROR(
(O224*PG!D225)),"",(O224*PG!D225))</f>
        <v/>
      </c>
      <c r="O224" s="45" t="str">
        <f>IF(ISERROR(
PEq!$G$20*PG!G225),"",PEq!$G$20*PG!G225)</f>
        <v/>
      </c>
      <c r="P224" s="18">
        <f>IF(ISERROR(
PG!E225*G224),"",PG!E225*G224)</f>
        <v>0</v>
      </c>
      <c r="Q224" s="18">
        <f>IF(ISERROR(
PG!E225*D224),"",PG!E225*D224)</f>
        <v>0</v>
      </c>
    </row>
    <row r="225" spans="3:17" ht="30" customHeight="1" thickBot="1" x14ac:dyDescent="0.25">
      <c r="C225" s="83">
        <f>PG!C226</f>
        <v>0</v>
      </c>
      <c r="D225" s="23"/>
      <c r="E225" s="27"/>
      <c r="F225" s="27"/>
      <c r="G225" s="23"/>
      <c r="H225" s="62">
        <f>D225+PG!D226*(E225+F225)+G225</f>
        <v>0</v>
      </c>
      <c r="J225" s="18" t="str">
        <f>IF(ISERROR(
PG!F226*E225),"",PG!F226*E225)</f>
        <v/>
      </c>
      <c r="K225" s="18" t="str">
        <f>IF(ISERROR(
PG!F226*F225),"",PG!F226*F225)</f>
        <v/>
      </c>
      <c r="L225" s="18">
        <f>IF(ISERROR(
PG!D226-H225),"",PG!D226-H225)</f>
        <v>0</v>
      </c>
      <c r="M225" s="33" t="str">
        <f>IF(ISERROR(
L225/PG!D226),"",L225/PG!D226)</f>
        <v/>
      </c>
      <c r="N225" s="18" t="str">
        <f>IF(ISERROR(
(O225*PG!D226)),"",(O225*PG!D226))</f>
        <v/>
      </c>
      <c r="O225" s="45" t="str">
        <f>IF(ISERROR(
PEq!$G$20*PG!G226),"",PEq!$G$20*PG!G226)</f>
        <v/>
      </c>
      <c r="P225" s="18">
        <f>IF(ISERROR(
PG!E226*G225),"",PG!E226*G225)</f>
        <v>0</v>
      </c>
      <c r="Q225" s="18">
        <f>IF(ISERROR(
PG!E226*D225),"",PG!E226*D225)</f>
        <v>0</v>
      </c>
    </row>
    <row r="226" spans="3:17" ht="30" customHeight="1" thickBot="1" x14ac:dyDescent="0.25">
      <c r="C226" s="83">
        <f>PG!C227</f>
        <v>0</v>
      </c>
      <c r="D226" s="23"/>
      <c r="E226" s="27"/>
      <c r="F226" s="27"/>
      <c r="G226" s="23"/>
      <c r="H226" s="62">
        <f>D226+PG!D227*(E226+F226)+G226</f>
        <v>0</v>
      </c>
      <c r="J226" s="18" t="str">
        <f>IF(ISERROR(
PG!F227*E226),"",PG!F227*E226)</f>
        <v/>
      </c>
      <c r="K226" s="18" t="str">
        <f>IF(ISERROR(
PG!F227*F226),"",PG!F227*F226)</f>
        <v/>
      </c>
      <c r="L226" s="18">
        <f>IF(ISERROR(
PG!D227-H226),"",PG!D227-H226)</f>
        <v>0</v>
      </c>
      <c r="M226" s="33" t="str">
        <f>IF(ISERROR(
L226/PG!D227),"",L226/PG!D227)</f>
        <v/>
      </c>
      <c r="N226" s="18" t="str">
        <f>IF(ISERROR(
(O226*PG!D227)),"",(O226*PG!D227))</f>
        <v/>
      </c>
      <c r="O226" s="45" t="str">
        <f>IF(ISERROR(
PEq!$G$20*PG!G227),"",PEq!$G$20*PG!G227)</f>
        <v/>
      </c>
      <c r="P226" s="18">
        <f>IF(ISERROR(
PG!E227*G226),"",PG!E227*G226)</f>
        <v>0</v>
      </c>
      <c r="Q226" s="18">
        <f>IF(ISERROR(
PG!E227*D226),"",PG!E227*D226)</f>
        <v>0</v>
      </c>
    </row>
    <row r="227" spans="3:17" ht="30" customHeight="1" thickBot="1" x14ac:dyDescent="0.25">
      <c r="C227" s="83">
        <f>PG!C228</f>
        <v>0</v>
      </c>
      <c r="D227" s="23"/>
      <c r="E227" s="27"/>
      <c r="F227" s="27"/>
      <c r="G227" s="23"/>
      <c r="H227" s="62">
        <f>D227+PG!D228*(E227+F227)+G227</f>
        <v>0</v>
      </c>
      <c r="J227" s="18" t="str">
        <f>IF(ISERROR(
PG!F228*E227),"",PG!F228*E227)</f>
        <v/>
      </c>
      <c r="K227" s="18" t="str">
        <f>IF(ISERROR(
PG!F228*F227),"",PG!F228*F227)</f>
        <v/>
      </c>
      <c r="L227" s="18">
        <f>IF(ISERROR(
PG!D228-H227),"",PG!D228-H227)</f>
        <v>0</v>
      </c>
      <c r="M227" s="33" t="str">
        <f>IF(ISERROR(
L227/PG!D228),"",L227/PG!D228)</f>
        <v/>
      </c>
      <c r="N227" s="18" t="str">
        <f>IF(ISERROR(
(O227*PG!D228)),"",(O227*PG!D228))</f>
        <v/>
      </c>
      <c r="O227" s="45" t="str">
        <f>IF(ISERROR(
PEq!$G$20*PG!G228),"",PEq!$G$20*PG!G228)</f>
        <v/>
      </c>
      <c r="P227" s="18">
        <f>IF(ISERROR(
PG!E228*G227),"",PG!E228*G227)</f>
        <v>0</v>
      </c>
      <c r="Q227" s="18">
        <f>IF(ISERROR(
PG!E228*D227),"",PG!E228*D227)</f>
        <v>0</v>
      </c>
    </row>
    <row r="228" spans="3:17" ht="30" customHeight="1" thickBot="1" x14ac:dyDescent="0.25">
      <c r="C228" s="83">
        <f>PG!C229</f>
        <v>0</v>
      </c>
      <c r="D228" s="23"/>
      <c r="E228" s="27"/>
      <c r="F228" s="27"/>
      <c r="G228" s="23"/>
      <c r="H228" s="62">
        <f>D228+PG!D229*(E228+F228)+G228</f>
        <v>0</v>
      </c>
      <c r="J228" s="18" t="str">
        <f>IF(ISERROR(
PG!F229*E228),"",PG!F229*E228)</f>
        <v/>
      </c>
      <c r="K228" s="18" t="str">
        <f>IF(ISERROR(
PG!F229*F228),"",PG!F229*F228)</f>
        <v/>
      </c>
      <c r="L228" s="18">
        <f>IF(ISERROR(
PG!D229-H228),"",PG!D229-H228)</f>
        <v>0</v>
      </c>
      <c r="M228" s="33" t="str">
        <f>IF(ISERROR(
L228/PG!D229),"",L228/PG!D229)</f>
        <v/>
      </c>
      <c r="N228" s="18" t="str">
        <f>IF(ISERROR(
(O228*PG!D229)),"",(O228*PG!D229))</f>
        <v/>
      </c>
      <c r="O228" s="45" t="str">
        <f>IF(ISERROR(
PEq!$G$20*PG!G229),"",PEq!$G$20*PG!G229)</f>
        <v/>
      </c>
      <c r="P228" s="18">
        <f>IF(ISERROR(
PG!E229*G228),"",PG!E229*G228)</f>
        <v>0</v>
      </c>
      <c r="Q228" s="18">
        <f>IF(ISERROR(
PG!E229*D228),"",PG!E229*D228)</f>
        <v>0</v>
      </c>
    </row>
    <row r="229" spans="3:17" ht="30" customHeight="1" thickBot="1" x14ac:dyDescent="0.25">
      <c r="C229" s="83">
        <f>PG!C230</f>
        <v>0</v>
      </c>
      <c r="D229" s="23"/>
      <c r="E229" s="27"/>
      <c r="F229" s="27"/>
      <c r="G229" s="23"/>
      <c r="H229" s="62">
        <f>D229+PG!D230*(E229+F229)+G229</f>
        <v>0</v>
      </c>
      <c r="J229" s="18" t="str">
        <f>IF(ISERROR(
PG!F230*E229),"",PG!F230*E229)</f>
        <v/>
      </c>
      <c r="K229" s="18" t="str">
        <f>IF(ISERROR(
PG!F230*F229),"",PG!F230*F229)</f>
        <v/>
      </c>
      <c r="L229" s="18">
        <f>IF(ISERROR(
PG!D230-H229),"",PG!D230-H229)</f>
        <v>0</v>
      </c>
      <c r="M229" s="33" t="str">
        <f>IF(ISERROR(
L229/PG!D230),"",L229/PG!D230)</f>
        <v/>
      </c>
      <c r="N229" s="18" t="str">
        <f>IF(ISERROR(
(O229*PG!D230)),"",(O229*PG!D230))</f>
        <v/>
      </c>
      <c r="O229" s="45" t="str">
        <f>IF(ISERROR(
PEq!$G$20*PG!G230),"",PEq!$G$20*PG!G230)</f>
        <v/>
      </c>
      <c r="P229" s="18">
        <f>IF(ISERROR(
PG!E230*G229),"",PG!E230*G229)</f>
        <v>0</v>
      </c>
      <c r="Q229" s="18">
        <f>IF(ISERROR(
PG!E230*D229),"",PG!E230*D229)</f>
        <v>0</v>
      </c>
    </row>
    <row r="230" spans="3:17" ht="30" customHeight="1" thickBot="1" x14ac:dyDescent="0.25">
      <c r="C230" s="83">
        <f>PG!C231</f>
        <v>0</v>
      </c>
      <c r="D230" s="23"/>
      <c r="E230" s="27"/>
      <c r="F230" s="27"/>
      <c r="G230" s="23"/>
      <c r="H230" s="62">
        <f>D230+PG!D231*(E230+F230)+G230</f>
        <v>0</v>
      </c>
      <c r="J230" s="18" t="str">
        <f>IF(ISERROR(
PG!F231*E230),"",PG!F231*E230)</f>
        <v/>
      </c>
      <c r="K230" s="18" t="str">
        <f>IF(ISERROR(
PG!F231*F230),"",PG!F231*F230)</f>
        <v/>
      </c>
      <c r="L230" s="18">
        <f>IF(ISERROR(
PG!D231-H230),"",PG!D231-H230)</f>
        <v>0</v>
      </c>
      <c r="M230" s="33" t="str">
        <f>IF(ISERROR(
L230/PG!D231),"",L230/PG!D231)</f>
        <v/>
      </c>
      <c r="N230" s="18" t="str">
        <f>IF(ISERROR(
(O230*PG!D231)),"",(O230*PG!D231))</f>
        <v/>
      </c>
      <c r="O230" s="45" t="str">
        <f>IF(ISERROR(
PEq!$G$20*PG!G231),"",PEq!$G$20*PG!G231)</f>
        <v/>
      </c>
      <c r="P230" s="18">
        <f>IF(ISERROR(
PG!E231*G230),"",PG!E231*G230)</f>
        <v>0</v>
      </c>
      <c r="Q230" s="18">
        <f>IF(ISERROR(
PG!E231*D230),"",PG!E231*D230)</f>
        <v>0</v>
      </c>
    </row>
    <row r="231" spans="3:17" ht="30" customHeight="1" thickBot="1" x14ac:dyDescent="0.25">
      <c r="C231" s="83">
        <f>PG!C232</f>
        <v>0</v>
      </c>
      <c r="D231" s="23"/>
      <c r="E231" s="27"/>
      <c r="F231" s="27"/>
      <c r="G231" s="23"/>
      <c r="H231" s="62">
        <f>D231+PG!D232*(E231+F231)+G231</f>
        <v>0</v>
      </c>
      <c r="J231" s="18" t="str">
        <f>IF(ISERROR(
PG!F232*E231),"",PG!F232*E231)</f>
        <v/>
      </c>
      <c r="K231" s="18" t="str">
        <f>IF(ISERROR(
PG!F232*F231),"",PG!F232*F231)</f>
        <v/>
      </c>
      <c r="L231" s="18">
        <f>IF(ISERROR(
PG!D232-H231),"",PG!D232-H231)</f>
        <v>0</v>
      </c>
      <c r="M231" s="33" t="str">
        <f>IF(ISERROR(
L231/PG!D232),"",L231/PG!D232)</f>
        <v/>
      </c>
      <c r="N231" s="18" t="str">
        <f>IF(ISERROR(
(O231*PG!D232)),"",(O231*PG!D232))</f>
        <v/>
      </c>
      <c r="O231" s="45" t="str">
        <f>IF(ISERROR(
PEq!$G$20*PG!G232),"",PEq!$G$20*PG!G232)</f>
        <v/>
      </c>
      <c r="P231" s="18">
        <f>IF(ISERROR(
PG!E232*G231),"",PG!E232*G231)</f>
        <v>0</v>
      </c>
      <c r="Q231" s="18">
        <f>IF(ISERROR(
PG!E232*D231),"",PG!E232*D231)</f>
        <v>0</v>
      </c>
    </row>
    <row r="232" spans="3:17" ht="30" customHeight="1" thickBot="1" x14ac:dyDescent="0.25">
      <c r="C232" s="83">
        <f>PG!C233</f>
        <v>0</v>
      </c>
      <c r="D232" s="23"/>
      <c r="E232" s="27"/>
      <c r="F232" s="27"/>
      <c r="G232" s="23"/>
      <c r="H232" s="62">
        <f>D232+PG!D233*(E232+F232)+G232</f>
        <v>0</v>
      </c>
      <c r="J232" s="18" t="str">
        <f>IF(ISERROR(
PG!F233*E232),"",PG!F233*E232)</f>
        <v/>
      </c>
      <c r="K232" s="18" t="str">
        <f>IF(ISERROR(
PG!F233*F232),"",PG!F233*F232)</f>
        <v/>
      </c>
      <c r="L232" s="18">
        <f>IF(ISERROR(
PG!D233-H232),"",PG!D233-H232)</f>
        <v>0</v>
      </c>
      <c r="M232" s="33" t="str">
        <f>IF(ISERROR(
L232/PG!D233),"",L232/PG!D233)</f>
        <v/>
      </c>
      <c r="N232" s="18" t="str">
        <f>IF(ISERROR(
(O232*PG!D233)),"",(O232*PG!D233))</f>
        <v/>
      </c>
      <c r="O232" s="45" t="str">
        <f>IF(ISERROR(
PEq!$G$20*PG!G233),"",PEq!$G$20*PG!G233)</f>
        <v/>
      </c>
      <c r="P232" s="18">
        <f>IF(ISERROR(
PG!E233*G232),"",PG!E233*G232)</f>
        <v>0</v>
      </c>
      <c r="Q232" s="18">
        <f>IF(ISERROR(
PG!E233*D232),"",PG!E233*D232)</f>
        <v>0</v>
      </c>
    </row>
    <row r="233" spans="3:17" ht="30" customHeight="1" thickBot="1" x14ac:dyDescent="0.25">
      <c r="C233" s="83">
        <f>PG!C234</f>
        <v>0</v>
      </c>
      <c r="D233" s="23"/>
      <c r="E233" s="27"/>
      <c r="F233" s="27"/>
      <c r="G233" s="23"/>
      <c r="H233" s="62">
        <f>D233+PG!D234*(E233+F233)+G233</f>
        <v>0</v>
      </c>
      <c r="J233" s="18" t="str">
        <f>IF(ISERROR(
PG!F234*E233),"",PG!F234*E233)</f>
        <v/>
      </c>
      <c r="K233" s="18" t="str">
        <f>IF(ISERROR(
PG!F234*F233),"",PG!F234*F233)</f>
        <v/>
      </c>
      <c r="L233" s="18">
        <f>IF(ISERROR(
PG!D234-H233),"",PG!D234-H233)</f>
        <v>0</v>
      </c>
      <c r="M233" s="33" t="str">
        <f>IF(ISERROR(
L233/PG!D234),"",L233/PG!D234)</f>
        <v/>
      </c>
      <c r="N233" s="18" t="str">
        <f>IF(ISERROR(
(O233*PG!D234)),"",(O233*PG!D234))</f>
        <v/>
      </c>
      <c r="O233" s="45" t="str">
        <f>IF(ISERROR(
PEq!$G$20*PG!G234),"",PEq!$G$20*PG!G234)</f>
        <v/>
      </c>
      <c r="P233" s="18">
        <f>IF(ISERROR(
PG!E234*G233),"",PG!E234*G233)</f>
        <v>0</v>
      </c>
      <c r="Q233" s="18">
        <f>IF(ISERROR(
PG!E234*D233),"",PG!E234*D233)</f>
        <v>0</v>
      </c>
    </row>
    <row r="234" spans="3:17" ht="30" customHeight="1" thickBot="1" x14ac:dyDescent="0.25">
      <c r="C234" s="83">
        <f>PG!C235</f>
        <v>0</v>
      </c>
      <c r="D234" s="23"/>
      <c r="E234" s="27"/>
      <c r="F234" s="27"/>
      <c r="G234" s="23"/>
      <c r="H234" s="62">
        <f>D234+PG!D235*(E234+F234)+G234</f>
        <v>0</v>
      </c>
      <c r="J234" s="18" t="str">
        <f>IF(ISERROR(
PG!F235*E234),"",PG!F235*E234)</f>
        <v/>
      </c>
      <c r="K234" s="18" t="str">
        <f>IF(ISERROR(
PG!F235*F234),"",PG!F235*F234)</f>
        <v/>
      </c>
      <c r="L234" s="18">
        <f>IF(ISERROR(
PG!D235-H234),"",PG!D235-H234)</f>
        <v>0</v>
      </c>
      <c r="M234" s="33" t="str">
        <f>IF(ISERROR(
L234/PG!D235),"",L234/PG!D235)</f>
        <v/>
      </c>
      <c r="N234" s="18" t="str">
        <f>IF(ISERROR(
(O234*PG!D235)),"",(O234*PG!D235))</f>
        <v/>
      </c>
      <c r="O234" s="45" t="str">
        <f>IF(ISERROR(
PEq!$G$20*PG!G235),"",PEq!$G$20*PG!G235)</f>
        <v/>
      </c>
      <c r="P234" s="18">
        <f>IF(ISERROR(
PG!E235*G234),"",PG!E235*G234)</f>
        <v>0</v>
      </c>
      <c r="Q234" s="18">
        <f>IF(ISERROR(
PG!E235*D234),"",PG!E235*D234)</f>
        <v>0</v>
      </c>
    </row>
    <row r="235" spans="3:17" ht="30" customHeight="1" thickBot="1" x14ac:dyDescent="0.25">
      <c r="C235" s="83">
        <f>PG!C236</f>
        <v>0</v>
      </c>
      <c r="D235" s="23"/>
      <c r="E235" s="27"/>
      <c r="F235" s="27"/>
      <c r="G235" s="23"/>
      <c r="H235" s="62">
        <f>D235+PG!D236*(E235+F235)+G235</f>
        <v>0</v>
      </c>
      <c r="J235" s="18" t="str">
        <f>IF(ISERROR(
PG!F236*E235),"",PG!F236*E235)</f>
        <v/>
      </c>
      <c r="K235" s="18" t="str">
        <f>IF(ISERROR(
PG!F236*F235),"",PG!F236*F235)</f>
        <v/>
      </c>
      <c r="L235" s="18">
        <f>IF(ISERROR(
PG!D236-H235),"",PG!D236-H235)</f>
        <v>0</v>
      </c>
      <c r="M235" s="33" t="str">
        <f>IF(ISERROR(
L235/PG!D236),"",L235/PG!D236)</f>
        <v/>
      </c>
      <c r="N235" s="18" t="str">
        <f>IF(ISERROR(
(O235*PG!D236)),"",(O235*PG!D236))</f>
        <v/>
      </c>
      <c r="O235" s="45" t="str">
        <f>IF(ISERROR(
PEq!$G$20*PG!G236),"",PEq!$G$20*PG!G236)</f>
        <v/>
      </c>
      <c r="P235" s="18">
        <f>IF(ISERROR(
PG!E236*G235),"",PG!E236*G235)</f>
        <v>0</v>
      </c>
      <c r="Q235" s="18">
        <f>IF(ISERROR(
PG!E236*D235),"",PG!E236*D235)</f>
        <v>0</v>
      </c>
    </row>
    <row r="236" spans="3:17" ht="30" customHeight="1" thickBot="1" x14ac:dyDescent="0.25">
      <c r="C236" s="83">
        <f>PG!C237</f>
        <v>0</v>
      </c>
      <c r="D236" s="23"/>
      <c r="E236" s="27"/>
      <c r="F236" s="27"/>
      <c r="G236" s="23"/>
      <c r="H236" s="62">
        <f>D236+PG!D237*(E236+F236)+G236</f>
        <v>0</v>
      </c>
      <c r="J236" s="18" t="str">
        <f>IF(ISERROR(
PG!F237*E236),"",PG!F237*E236)</f>
        <v/>
      </c>
      <c r="K236" s="18" t="str">
        <f>IF(ISERROR(
PG!F237*F236),"",PG!F237*F236)</f>
        <v/>
      </c>
      <c r="L236" s="18">
        <f>IF(ISERROR(
PG!D237-H236),"",PG!D237-H236)</f>
        <v>0</v>
      </c>
      <c r="M236" s="33" t="str">
        <f>IF(ISERROR(
L236/PG!D237),"",L236/PG!D237)</f>
        <v/>
      </c>
      <c r="N236" s="18" t="str">
        <f>IF(ISERROR(
(O236*PG!D237)),"",(O236*PG!D237))</f>
        <v/>
      </c>
      <c r="O236" s="45" t="str">
        <f>IF(ISERROR(
PEq!$G$20*PG!G237),"",PEq!$G$20*PG!G237)</f>
        <v/>
      </c>
      <c r="P236" s="18">
        <f>IF(ISERROR(
PG!E237*G236),"",PG!E237*G236)</f>
        <v>0</v>
      </c>
      <c r="Q236" s="18">
        <f>IF(ISERROR(
PG!E237*D236),"",PG!E237*D236)</f>
        <v>0</v>
      </c>
    </row>
    <row r="237" spans="3:17" ht="30" customHeight="1" thickBot="1" x14ac:dyDescent="0.25">
      <c r="C237" s="83">
        <f>PG!C238</f>
        <v>0</v>
      </c>
      <c r="D237" s="23"/>
      <c r="E237" s="27"/>
      <c r="F237" s="27"/>
      <c r="G237" s="23"/>
      <c r="H237" s="62">
        <f>D237+PG!D238*(E237+F237)+G237</f>
        <v>0</v>
      </c>
      <c r="J237" s="18" t="str">
        <f>IF(ISERROR(
PG!F238*E237),"",PG!F238*E237)</f>
        <v/>
      </c>
      <c r="K237" s="18" t="str">
        <f>IF(ISERROR(
PG!F238*F237),"",PG!F238*F237)</f>
        <v/>
      </c>
      <c r="L237" s="18">
        <f>IF(ISERROR(
PG!D238-H237),"",PG!D238-H237)</f>
        <v>0</v>
      </c>
      <c r="M237" s="33" t="str">
        <f>IF(ISERROR(
L237/PG!D238),"",L237/PG!D238)</f>
        <v/>
      </c>
      <c r="N237" s="18" t="str">
        <f>IF(ISERROR(
(O237*PG!D238)),"",(O237*PG!D238))</f>
        <v/>
      </c>
      <c r="O237" s="45" t="str">
        <f>IF(ISERROR(
PEq!$G$20*PG!G238),"",PEq!$G$20*PG!G238)</f>
        <v/>
      </c>
      <c r="P237" s="18">
        <f>IF(ISERROR(
PG!E238*G237),"",PG!E238*G237)</f>
        <v>0</v>
      </c>
      <c r="Q237" s="18">
        <f>IF(ISERROR(
PG!E238*D237),"",PG!E238*D237)</f>
        <v>0</v>
      </c>
    </row>
    <row r="238" spans="3:17" ht="30" customHeight="1" thickBot="1" x14ac:dyDescent="0.25">
      <c r="C238" s="83">
        <f>PG!C239</f>
        <v>0</v>
      </c>
      <c r="D238" s="23"/>
      <c r="E238" s="27"/>
      <c r="F238" s="27"/>
      <c r="G238" s="23"/>
      <c r="H238" s="62">
        <f>D238+PG!D239*(E238+F238)+G238</f>
        <v>0</v>
      </c>
      <c r="J238" s="18" t="str">
        <f>IF(ISERROR(
PG!F239*E238),"",PG!F239*E238)</f>
        <v/>
      </c>
      <c r="K238" s="18" t="str">
        <f>IF(ISERROR(
PG!F239*F238),"",PG!F239*F238)</f>
        <v/>
      </c>
      <c r="L238" s="18">
        <f>IF(ISERROR(
PG!D239-H238),"",PG!D239-H238)</f>
        <v>0</v>
      </c>
      <c r="M238" s="33" t="str">
        <f>IF(ISERROR(
L238/PG!D239),"",L238/PG!D239)</f>
        <v/>
      </c>
      <c r="N238" s="18" t="str">
        <f>IF(ISERROR(
(O238*PG!D239)),"",(O238*PG!D239))</f>
        <v/>
      </c>
      <c r="O238" s="45" t="str">
        <f>IF(ISERROR(
PEq!$G$20*PG!G239),"",PEq!$G$20*PG!G239)</f>
        <v/>
      </c>
      <c r="P238" s="18">
        <f>IF(ISERROR(
PG!E239*G238),"",PG!E239*G238)</f>
        <v>0</v>
      </c>
      <c r="Q238" s="18">
        <f>IF(ISERROR(
PG!E239*D238),"",PG!E239*D238)</f>
        <v>0</v>
      </c>
    </row>
    <row r="239" spans="3:17" ht="30" customHeight="1" thickBot="1" x14ac:dyDescent="0.25">
      <c r="C239" s="83">
        <f>PG!C240</f>
        <v>0</v>
      </c>
      <c r="D239" s="23"/>
      <c r="E239" s="27"/>
      <c r="F239" s="27"/>
      <c r="G239" s="23"/>
      <c r="H239" s="62">
        <f>D239+PG!D240*(E239+F239)+G239</f>
        <v>0</v>
      </c>
      <c r="J239" s="18" t="str">
        <f>IF(ISERROR(
PG!F240*E239),"",PG!F240*E239)</f>
        <v/>
      </c>
      <c r="K239" s="18" t="str">
        <f>IF(ISERROR(
PG!F240*F239),"",PG!F240*F239)</f>
        <v/>
      </c>
      <c r="L239" s="18">
        <f>IF(ISERROR(
PG!D240-H239),"",PG!D240-H239)</f>
        <v>0</v>
      </c>
      <c r="M239" s="33" t="str">
        <f>IF(ISERROR(
L239/PG!D240),"",L239/PG!D240)</f>
        <v/>
      </c>
      <c r="N239" s="18" t="str">
        <f>IF(ISERROR(
(O239*PG!D240)),"",(O239*PG!D240))</f>
        <v/>
      </c>
      <c r="O239" s="45" t="str">
        <f>IF(ISERROR(
PEq!$G$20*PG!G240),"",PEq!$G$20*PG!G240)</f>
        <v/>
      </c>
      <c r="P239" s="18">
        <f>IF(ISERROR(
PG!E240*G239),"",PG!E240*G239)</f>
        <v>0</v>
      </c>
      <c r="Q239" s="18">
        <f>IF(ISERROR(
PG!E240*D239),"",PG!E240*D239)</f>
        <v>0</v>
      </c>
    </row>
    <row r="240" spans="3:17" ht="30" customHeight="1" thickBot="1" x14ac:dyDescent="0.25">
      <c r="C240" s="83">
        <f>PG!C241</f>
        <v>0</v>
      </c>
      <c r="D240" s="23"/>
      <c r="E240" s="27"/>
      <c r="F240" s="27"/>
      <c r="G240" s="23"/>
      <c r="H240" s="62">
        <f>D240+PG!D241*(E240+F240)+G240</f>
        <v>0</v>
      </c>
      <c r="J240" s="18" t="str">
        <f>IF(ISERROR(
PG!F241*E240),"",PG!F241*E240)</f>
        <v/>
      </c>
      <c r="K240" s="18" t="str">
        <f>IF(ISERROR(
PG!F241*F240),"",PG!F241*F240)</f>
        <v/>
      </c>
      <c r="L240" s="18">
        <f>IF(ISERROR(
PG!D241-H240),"",PG!D241-H240)</f>
        <v>0</v>
      </c>
      <c r="M240" s="33" t="str">
        <f>IF(ISERROR(
L240/PG!D241),"",L240/PG!D241)</f>
        <v/>
      </c>
      <c r="N240" s="18" t="str">
        <f>IF(ISERROR(
(O240*PG!D241)),"",(O240*PG!D241))</f>
        <v/>
      </c>
      <c r="O240" s="45" t="str">
        <f>IF(ISERROR(
PEq!$G$20*PG!G241),"",PEq!$G$20*PG!G241)</f>
        <v/>
      </c>
      <c r="P240" s="18">
        <f>IF(ISERROR(
PG!E241*G240),"",PG!E241*G240)</f>
        <v>0</v>
      </c>
      <c r="Q240" s="18">
        <f>IF(ISERROR(
PG!E241*D240),"",PG!E241*D240)</f>
        <v>0</v>
      </c>
    </row>
    <row r="241" spans="3:17" ht="30" customHeight="1" thickBot="1" x14ac:dyDescent="0.25">
      <c r="C241" s="83">
        <f>PG!C242</f>
        <v>0</v>
      </c>
      <c r="D241" s="23"/>
      <c r="E241" s="27"/>
      <c r="F241" s="27"/>
      <c r="G241" s="23"/>
      <c r="H241" s="62">
        <f>D241+PG!D242*(E241+F241)+G241</f>
        <v>0</v>
      </c>
      <c r="J241" s="18" t="str">
        <f>IF(ISERROR(
PG!F242*E241),"",PG!F242*E241)</f>
        <v/>
      </c>
      <c r="K241" s="18" t="str">
        <f>IF(ISERROR(
PG!F242*F241),"",PG!F242*F241)</f>
        <v/>
      </c>
      <c r="L241" s="18">
        <f>IF(ISERROR(
PG!D242-H241),"",PG!D242-H241)</f>
        <v>0</v>
      </c>
      <c r="M241" s="33" t="str">
        <f>IF(ISERROR(
L241/PG!D242),"",L241/PG!D242)</f>
        <v/>
      </c>
      <c r="N241" s="18" t="str">
        <f>IF(ISERROR(
(O241*PG!D242)),"",(O241*PG!D242))</f>
        <v/>
      </c>
      <c r="O241" s="45" t="str">
        <f>IF(ISERROR(
PEq!$G$20*PG!G242),"",PEq!$G$20*PG!G242)</f>
        <v/>
      </c>
      <c r="P241" s="18">
        <f>IF(ISERROR(
PG!E242*G241),"",PG!E242*G241)</f>
        <v>0</v>
      </c>
      <c r="Q241" s="18">
        <f>IF(ISERROR(
PG!E242*D241),"",PG!E242*D241)</f>
        <v>0</v>
      </c>
    </row>
    <row r="242" spans="3:17" ht="30" customHeight="1" thickBot="1" x14ac:dyDescent="0.25">
      <c r="C242" s="83">
        <f>PG!C243</f>
        <v>0</v>
      </c>
      <c r="D242" s="23"/>
      <c r="E242" s="27"/>
      <c r="F242" s="27"/>
      <c r="G242" s="23"/>
      <c r="H242" s="62">
        <f>D242+PG!D243*(E242+F242)+G242</f>
        <v>0</v>
      </c>
      <c r="J242" s="18" t="str">
        <f>IF(ISERROR(
PG!F243*E242),"",PG!F243*E242)</f>
        <v/>
      </c>
      <c r="K242" s="18" t="str">
        <f>IF(ISERROR(
PG!F243*F242),"",PG!F243*F242)</f>
        <v/>
      </c>
      <c r="L242" s="18">
        <f>IF(ISERROR(
PG!D243-H242),"",PG!D243-H242)</f>
        <v>0</v>
      </c>
      <c r="M242" s="33" t="str">
        <f>IF(ISERROR(
L242/PG!D243),"",L242/PG!D243)</f>
        <v/>
      </c>
      <c r="N242" s="18" t="str">
        <f>IF(ISERROR(
(O242*PG!D243)),"",(O242*PG!D243))</f>
        <v/>
      </c>
      <c r="O242" s="45" t="str">
        <f>IF(ISERROR(
PEq!$G$20*PG!G243),"",PEq!$G$20*PG!G243)</f>
        <v/>
      </c>
      <c r="P242" s="18">
        <f>IF(ISERROR(
PG!E243*G242),"",PG!E243*G242)</f>
        <v>0</v>
      </c>
      <c r="Q242" s="18">
        <f>IF(ISERROR(
PG!E243*D242),"",PG!E243*D242)</f>
        <v>0</v>
      </c>
    </row>
    <row r="243" spans="3:17" ht="30" customHeight="1" thickBot="1" x14ac:dyDescent="0.25">
      <c r="C243" s="83">
        <f>PG!C244</f>
        <v>0</v>
      </c>
      <c r="D243" s="23"/>
      <c r="E243" s="27"/>
      <c r="F243" s="27"/>
      <c r="G243" s="23"/>
      <c r="H243" s="62">
        <f>D243+PG!D244*(E243+F243)+G243</f>
        <v>0</v>
      </c>
      <c r="J243" s="18" t="str">
        <f>IF(ISERROR(
PG!F244*E243),"",PG!F244*E243)</f>
        <v/>
      </c>
      <c r="K243" s="18" t="str">
        <f>IF(ISERROR(
PG!F244*F243),"",PG!F244*F243)</f>
        <v/>
      </c>
      <c r="L243" s="18">
        <f>IF(ISERROR(
PG!D244-H243),"",PG!D244-H243)</f>
        <v>0</v>
      </c>
      <c r="M243" s="33" t="str">
        <f>IF(ISERROR(
L243/PG!D244),"",L243/PG!D244)</f>
        <v/>
      </c>
      <c r="N243" s="18" t="str">
        <f>IF(ISERROR(
(O243*PG!D244)),"",(O243*PG!D244))</f>
        <v/>
      </c>
      <c r="O243" s="45" t="str">
        <f>IF(ISERROR(
PEq!$G$20*PG!G244),"",PEq!$G$20*PG!G244)</f>
        <v/>
      </c>
      <c r="P243" s="18">
        <f>IF(ISERROR(
PG!E244*G243),"",PG!E244*G243)</f>
        <v>0</v>
      </c>
      <c r="Q243" s="18">
        <f>IF(ISERROR(
PG!E244*D243),"",PG!E244*D243)</f>
        <v>0</v>
      </c>
    </row>
    <row r="244" spans="3:17" ht="30" customHeight="1" thickBot="1" x14ac:dyDescent="0.25">
      <c r="C244" s="83">
        <f>PG!C245</f>
        <v>0</v>
      </c>
      <c r="D244" s="23"/>
      <c r="E244" s="27"/>
      <c r="F244" s="27"/>
      <c r="G244" s="23"/>
      <c r="H244" s="62">
        <f>D244+PG!D245*(E244+F244)+G244</f>
        <v>0</v>
      </c>
      <c r="J244" s="18" t="str">
        <f>IF(ISERROR(
PG!F245*E244),"",PG!F245*E244)</f>
        <v/>
      </c>
      <c r="K244" s="18" t="str">
        <f>IF(ISERROR(
PG!F245*F244),"",PG!F245*F244)</f>
        <v/>
      </c>
      <c r="L244" s="18">
        <f>IF(ISERROR(
PG!D245-H244),"",PG!D245-H244)</f>
        <v>0</v>
      </c>
      <c r="M244" s="33" t="str">
        <f>IF(ISERROR(
L244/PG!D245),"",L244/PG!D245)</f>
        <v/>
      </c>
      <c r="N244" s="18" t="str">
        <f>IF(ISERROR(
(O244*PG!D245)),"",(O244*PG!D245))</f>
        <v/>
      </c>
      <c r="O244" s="45" t="str">
        <f>IF(ISERROR(
PEq!$G$20*PG!G245),"",PEq!$G$20*PG!G245)</f>
        <v/>
      </c>
      <c r="P244" s="18">
        <f>IF(ISERROR(
PG!E245*G244),"",PG!E245*G244)</f>
        <v>0</v>
      </c>
      <c r="Q244" s="18">
        <f>IF(ISERROR(
PG!E245*D244),"",PG!E245*D244)</f>
        <v>0</v>
      </c>
    </row>
    <row r="245" spans="3:17" ht="30" customHeight="1" thickBot="1" x14ac:dyDescent="0.25">
      <c r="C245" s="83">
        <f>PG!C246</f>
        <v>0</v>
      </c>
      <c r="D245" s="23"/>
      <c r="E245" s="27"/>
      <c r="F245" s="27"/>
      <c r="G245" s="23"/>
      <c r="H245" s="62">
        <f>D245+PG!D246*(E245+F245)+G245</f>
        <v>0</v>
      </c>
      <c r="J245" s="18" t="str">
        <f>IF(ISERROR(
PG!F246*E245),"",PG!F246*E245)</f>
        <v/>
      </c>
      <c r="K245" s="18" t="str">
        <f>IF(ISERROR(
PG!F246*F245),"",PG!F246*F245)</f>
        <v/>
      </c>
      <c r="L245" s="18">
        <f>IF(ISERROR(
PG!D246-H245),"",PG!D246-H245)</f>
        <v>0</v>
      </c>
      <c r="M245" s="33" t="str">
        <f>IF(ISERROR(
L245/PG!D246),"",L245/PG!D246)</f>
        <v/>
      </c>
      <c r="N245" s="18" t="str">
        <f>IF(ISERROR(
(O245*PG!D246)),"",(O245*PG!D246))</f>
        <v/>
      </c>
      <c r="O245" s="45" t="str">
        <f>IF(ISERROR(
PEq!$G$20*PG!G246),"",PEq!$G$20*PG!G246)</f>
        <v/>
      </c>
      <c r="P245" s="18">
        <f>IF(ISERROR(
PG!E246*G245),"",PG!E246*G245)</f>
        <v>0</v>
      </c>
      <c r="Q245" s="18">
        <f>IF(ISERROR(
PG!E246*D245),"",PG!E246*D245)</f>
        <v>0</v>
      </c>
    </row>
    <row r="246" spans="3:17" ht="30" customHeight="1" thickBot="1" x14ac:dyDescent="0.25">
      <c r="C246" s="83">
        <f>PG!C247</f>
        <v>0</v>
      </c>
      <c r="D246" s="23"/>
      <c r="E246" s="27"/>
      <c r="F246" s="27"/>
      <c r="G246" s="23"/>
      <c r="H246" s="62">
        <f>D246+PG!D247*(E246+F246)+G246</f>
        <v>0</v>
      </c>
      <c r="J246" s="18" t="str">
        <f>IF(ISERROR(
PG!F247*E246),"",PG!F247*E246)</f>
        <v/>
      </c>
      <c r="K246" s="18" t="str">
        <f>IF(ISERROR(
PG!F247*F246),"",PG!F247*F246)</f>
        <v/>
      </c>
      <c r="L246" s="18">
        <f>IF(ISERROR(
PG!D247-H246),"",PG!D247-H246)</f>
        <v>0</v>
      </c>
      <c r="M246" s="33" t="str">
        <f>IF(ISERROR(
L246/PG!D247),"",L246/PG!D247)</f>
        <v/>
      </c>
      <c r="N246" s="18" t="str">
        <f>IF(ISERROR(
(O246*PG!D247)),"",(O246*PG!D247))</f>
        <v/>
      </c>
      <c r="O246" s="45" t="str">
        <f>IF(ISERROR(
PEq!$G$20*PG!G247),"",PEq!$G$20*PG!G247)</f>
        <v/>
      </c>
      <c r="P246" s="18">
        <f>IF(ISERROR(
PG!E247*G246),"",PG!E247*G246)</f>
        <v>0</v>
      </c>
      <c r="Q246" s="18">
        <f>IF(ISERROR(
PG!E247*D246),"",PG!E247*D246)</f>
        <v>0</v>
      </c>
    </row>
    <row r="247" spans="3:17" ht="30" customHeight="1" thickBot="1" x14ac:dyDescent="0.25">
      <c r="C247" s="83">
        <f>PG!C248</f>
        <v>0</v>
      </c>
      <c r="D247" s="23"/>
      <c r="E247" s="27"/>
      <c r="F247" s="27"/>
      <c r="G247" s="23"/>
      <c r="H247" s="62">
        <f>D247+PG!D248*(E247+F247)+G247</f>
        <v>0</v>
      </c>
      <c r="J247" s="18" t="str">
        <f>IF(ISERROR(
PG!F248*E247),"",PG!F248*E247)</f>
        <v/>
      </c>
      <c r="K247" s="18" t="str">
        <f>IF(ISERROR(
PG!F248*F247),"",PG!F248*F247)</f>
        <v/>
      </c>
      <c r="L247" s="18">
        <f>IF(ISERROR(
PG!D248-H247),"",PG!D248-H247)</f>
        <v>0</v>
      </c>
      <c r="M247" s="33" t="str">
        <f>IF(ISERROR(
L247/PG!D248),"",L247/PG!D248)</f>
        <v/>
      </c>
      <c r="N247" s="18" t="str">
        <f>IF(ISERROR(
(O247*PG!D248)),"",(O247*PG!D248))</f>
        <v/>
      </c>
      <c r="O247" s="45" t="str">
        <f>IF(ISERROR(
PEq!$G$20*PG!G248),"",PEq!$G$20*PG!G248)</f>
        <v/>
      </c>
      <c r="P247" s="18">
        <f>IF(ISERROR(
PG!E248*G247),"",PG!E248*G247)</f>
        <v>0</v>
      </c>
      <c r="Q247" s="18">
        <f>IF(ISERROR(
PG!E248*D247),"",PG!E248*D247)</f>
        <v>0</v>
      </c>
    </row>
    <row r="248" spans="3:17" ht="30" customHeight="1" thickBot="1" x14ac:dyDescent="0.25">
      <c r="C248" s="83">
        <f>PG!C249</f>
        <v>0</v>
      </c>
      <c r="D248" s="23"/>
      <c r="E248" s="27"/>
      <c r="F248" s="27"/>
      <c r="G248" s="23"/>
      <c r="H248" s="62">
        <f>D248+PG!D249*(E248+F248)+G248</f>
        <v>0</v>
      </c>
      <c r="J248" s="18" t="str">
        <f>IF(ISERROR(
PG!F249*E248),"",PG!F249*E248)</f>
        <v/>
      </c>
      <c r="K248" s="18" t="str">
        <f>IF(ISERROR(
PG!F249*F248),"",PG!F249*F248)</f>
        <v/>
      </c>
      <c r="L248" s="18">
        <f>IF(ISERROR(
PG!D249-H248),"",PG!D249-H248)</f>
        <v>0</v>
      </c>
      <c r="M248" s="33" t="str">
        <f>IF(ISERROR(
L248/PG!D249),"",L248/PG!D249)</f>
        <v/>
      </c>
      <c r="N248" s="18" t="str">
        <f>IF(ISERROR(
(O248*PG!D249)),"",(O248*PG!D249))</f>
        <v/>
      </c>
      <c r="O248" s="45" t="str">
        <f>IF(ISERROR(
PEq!$G$20*PG!G249),"",PEq!$G$20*PG!G249)</f>
        <v/>
      </c>
      <c r="P248" s="18">
        <f>IF(ISERROR(
PG!E249*G248),"",PG!E249*G248)</f>
        <v>0</v>
      </c>
      <c r="Q248" s="18">
        <f>IF(ISERROR(
PG!E249*D248),"",PG!E249*D248)</f>
        <v>0</v>
      </c>
    </row>
    <row r="249" spans="3:17" ht="30" customHeight="1" thickBot="1" x14ac:dyDescent="0.25">
      <c r="C249" s="83">
        <f>PG!C250</f>
        <v>0</v>
      </c>
      <c r="D249" s="23"/>
      <c r="E249" s="27"/>
      <c r="F249" s="27"/>
      <c r="G249" s="23"/>
      <c r="H249" s="62">
        <f>D249+PG!D250*(E249+F249)+G249</f>
        <v>0</v>
      </c>
      <c r="J249" s="18" t="str">
        <f>IF(ISERROR(
PG!F250*E249),"",PG!F250*E249)</f>
        <v/>
      </c>
      <c r="K249" s="18" t="str">
        <f>IF(ISERROR(
PG!F250*F249),"",PG!F250*F249)</f>
        <v/>
      </c>
      <c r="L249" s="18">
        <f>IF(ISERROR(
PG!D250-H249),"",PG!D250-H249)</f>
        <v>0</v>
      </c>
      <c r="M249" s="33" t="str">
        <f>IF(ISERROR(
L249/PG!D250),"",L249/PG!D250)</f>
        <v/>
      </c>
      <c r="N249" s="18" t="str">
        <f>IF(ISERROR(
(O249*PG!D250)),"",(O249*PG!D250))</f>
        <v/>
      </c>
      <c r="O249" s="45" t="str">
        <f>IF(ISERROR(
PEq!$G$20*PG!G250),"",PEq!$G$20*PG!G250)</f>
        <v/>
      </c>
      <c r="P249" s="18">
        <f>IF(ISERROR(
PG!E250*G249),"",PG!E250*G249)</f>
        <v>0</v>
      </c>
      <c r="Q249" s="18">
        <f>IF(ISERROR(
PG!E250*D249),"",PG!E250*D249)</f>
        <v>0</v>
      </c>
    </row>
    <row r="250" spans="3:17" ht="30" customHeight="1" thickBot="1" x14ac:dyDescent="0.25">
      <c r="C250" s="83">
        <f>PG!C251</f>
        <v>0</v>
      </c>
      <c r="D250" s="23"/>
      <c r="E250" s="27"/>
      <c r="F250" s="27"/>
      <c r="G250" s="23"/>
      <c r="H250" s="62">
        <f>D250+PG!D251*(E250+F250)+G250</f>
        <v>0</v>
      </c>
      <c r="J250" s="18" t="str">
        <f>IF(ISERROR(
PG!F251*E250),"",PG!F251*E250)</f>
        <v/>
      </c>
      <c r="K250" s="18" t="str">
        <f>IF(ISERROR(
PG!F251*F250),"",PG!F251*F250)</f>
        <v/>
      </c>
      <c r="L250" s="18">
        <f>IF(ISERROR(
PG!D251-H250),"",PG!D251-H250)</f>
        <v>0</v>
      </c>
      <c r="M250" s="33" t="str">
        <f>IF(ISERROR(
L250/PG!D251),"",L250/PG!D251)</f>
        <v/>
      </c>
      <c r="N250" s="18" t="str">
        <f>IF(ISERROR(
(O250*PG!D251)),"",(O250*PG!D251))</f>
        <v/>
      </c>
      <c r="O250" s="45" t="str">
        <f>IF(ISERROR(
PEq!$G$20*PG!G251),"",PEq!$G$20*PG!G251)</f>
        <v/>
      </c>
      <c r="P250" s="18">
        <f>IF(ISERROR(
PG!E251*G250),"",PG!E251*G250)</f>
        <v>0</v>
      </c>
      <c r="Q250" s="18">
        <f>IF(ISERROR(
PG!E251*D250),"",PG!E251*D250)</f>
        <v>0</v>
      </c>
    </row>
    <row r="251" spans="3:17" ht="30" customHeight="1" thickBot="1" x14ac:dyDescent="0.25">
      <c r="C251" s="83">
        <f>PG!C252</f>
        <v>0</v>
      </c>
      <c r="D251" s="23"/>
      <c r="E251" s="27"/>
      <c r="F251" s="27"/>
      <c r="G251" s="23"/>
      <c r="H251" s="62">
        <f>D251+PG!D252*(E251+F251)+G251</f>
        <v>0</v>
      </c>
      <c r="J251" s="18" t="str">
        <f>IF(ISERROR(
PG!F252*E251),"",PG!F252*E251)</f>
        <v/>
      </c>
      <c r="K251" s="18" t="str">
        <f>IF(ISERROR(
PG!F252*F251),"",PG!F252*F251)</f>
        <v/>
      </c>
      <c r="L251" s="18">
        <f>IF(ISERROR(
PG!D252-H251),"",PG!D252-H251)</f>
        <v>0</v>
      </c>
      <c r="M251" s="33" t="str">
        <f>IF(ISERROR(
L251/PG!D252),"",L251/PG!D252)</f>
        <v/>
      </c>
      <c r="N251" s="18" t="str">
        <f>IF(ISERROR(
(O251*PG!D252)),"",(O251*PG!D252))</f>
        <v/>
      </c>
      <c r="O251" s="45" t="str">
        <f>IF(ISERROR(
PEq!$G$20*PG!G252),"",PEq!$G$20*PG!G252)</f>
        <v/>
      </c>
      <c r="P251" s="18">
        <f>IF(ISERROR(
PG!E252*G251),"",PG!E252*G251)</f>
        <v>0</v>
      </c>
      <c r="Q251" s="18">
        <f>IF(ISERROR(
PG!E252*D251),"",PG!E252*D251)</f>
        <v>0</v>
      </c>
    </row>
    <row r="252" spans="3:17" ht="30" customHeight="1" thickBot="1" x14ac:dyDescent="0.25">
      <c r="C252" s="83">
        <f>PG!C253</f>
        <v>0</v>
      </c>
      <c r="D252" s="23"/>
      <c r="E252" s="27"/>
      <c r="F252" s="27"/>
      <c r="G252" s="23"/>
      <c r="H252" s="62">
        <f>D252+PG!D253*(E252+F252)+G252</f>
        <v>0</v>
      </c>
      <c r="J252" s="18" t="str">
        <f>IF(ISERROR(
PG!F253*E252),"",PG!F253*E252)</f>
        <v/>
      </c>
      <c r="K252" s="18" t="str">
        <f>IF(ISERROR(
PG!F253*F252),"",PG!F253*F252)</f>
        <v/>
      </c>
      <c r="L252" s="18">
        <f>IF(ISERROR(
PG!D253-H252),"",PG!D253-H252)</f>
        <v>0</v>
      </c>
      <c r="M252" s="33" t="str">
        <f>IF(ISERROR(
L252/PG!D253),"",L252/PG!D253)</f>
        <v/>
      </c>
      <c r="N252" s="18" t="str">
        <f>IF(ISERROR(
(O252*PG!D253)),"",(O252*PG!D253))</f>
        <v/>
      </c>
      <c r="O252" s="45" t="str">
        <f>IF(ISERROR(
PEq!$G$20*PG!G253),"",PEq!$G$20*PG!G253)</f>
        <v/>
      </c>
      <c r="P252" s="18">
        <f>IF(ISERROR(
PG!E253*G252),"",PG!E253*G252)</f>
        <v>0</v>
      </c>
      <c r="Q252" s="18">
        <f>IF(ISERROR(
PG!E253*D252),"",PG!E253*D252)</f>
        <v>0</v>
      </c>
    </row>
    <row r="253" spans="3:17" ht="30" customHeight="1" thickBot="1" x14ac:dyDescent="0.25">
      <c r="C253" s="83">
        <f>PG!C254</f>
        <v>0</v>
      </c>
      <c r="D253" s="23"/>
      <c r="E253" s="27"/>
      <c r="F253" s="27"/>
      <c r="G253" s="23"/>
      <c r="H253" s="62">
        <f>D253+PG!D254*(E253+F253)+G253</f>
        <v>0</v>
      </c>
      <c r="J253" s="18" t="str">
        <f>IF(ISERROR(
PG!F254*E253),"",PG!F254*E253)</f>
        <v/>
      </c>
      <c r="K253" s="18" t="str">
        <f>IF(ISERROR(
PG!F254*F253),"",PG!F254*F253)</f>
        <v/>
      </c>
      <c r="L253" s="18">
        <f>IF(ISERROR(
PG!D254-H253),"",PG!D254-H253)</f>
        <v>0</v>
      </c>
      <c r="M253" s="33" t="str">
        <f>IF(ISERROR(
L253/PG!D254),"",L253/PG!D254)</f>
        <v/>
      </c>
      <c r="N253" s="18" t="str">
        <f>IF(ISERROR(
(O253*PG!D254)),"",(O253*PG!D254))</f>
        <v/>
      </c>
      <c r="O253" s="45" t="str">
        <f>IF(ISERROR(
PEq!$G$20*PG!G254),"",PEq!$G$20*PG!G254)</f>
        <v/>
      </c>
      <c r="P253" s="18">
        <f>IF(ISERROR(
PG!E254*G253),"",PG!E254*G253)</f>
        <v>0</v>
      </c>
      <c r="Q253" s="18">
        <f>IF(ISERROR(
PG!E254*D253),"",PG!E254*D253)</f>
        <v>0</v>
      </c>
    </row>
    <row r="254" spans="3:17" ht="30" customHeight="1" thickBot="1" x14ac:dyDescent="0.25">
      <c r="C254" s="83">
        <f>PG!C255</f>
        <v>0</v>
      </c>
      <c r="D254" s="23"/>
      <c r="E254" s="27"/>
      <c r="F254" s="27"/>
      <c r="G254" s="23"/>
      <c r="H254" s="62">
        <f>D254+PG!D255*(E254+F254)+G254</f>
        <v>0</v>
      </c>
      <c r="J254" s="18" t="str">
        <f>IF(ISERROR(
PG!F255*E254),"",PG!F255*E254)</f>
        <v/>
      </c>
      <c r="K254" s="18" t="str">
        <f>IF(ISERROR(
PG!F255*F254),"",PG!F255*F254)</f>
        <v/>
      </c>
      <c r="L254" s="18">
        <f>IF(ISERROR(
PG!D255-H254),"",PG!D255-H254)</f>
        <v>0</v>
      </c>
      <c r="M254" s="33" t="str">
        <f>IF(ISERROR(
L254/PG!D255),"",L254/PG!D255)</f>
        <v/>
      </c>
      <c r="N254" s="18" t="str">
        <f>IF(ISERROR(
(O254*PG!D255)),"",(O254*PG!D255))</f>
        <v/>
      </c>
      <c r="O254" s="45" t="str">
        <f>IF(ISERROR(
PEq!$G$20*PG!G255),"",PEq!$G$20*PG!G255)</f>
        <v/>
      </c>
      <c r="P254" s="18">
        <f>IF(ISERROR(
PG!E255*G254),"",PG!E255*G254)</f>
        <v>0</v>
      </c>
      <c r="Q254" s="18">
        <f>IF(ISERROR(
PG!E255*D254),"",PG!E255*D254)</f>
        <v>0</v>
      </c>
    </row>
    <row r="255" spans="3:17" ht="30" customHeight="1" thickBot="1" x14ac:dyDescent="0.25">
      <c r="C255" s="83">
        <f>PG!C256</f>
        <v>0</v>
      </c>
      <c r="D255" s="23"/>
      <c r="E255" s="27"/>
      <c r="F255" s="27"/>
      <c r="G255" s="23"/>
      <c r="H255" s="62">
        <f>D255+PG!D256*(E255+F255)+G255</f>
        <v>0</v>
      </c>
      <c r="J255" s="18" t="str">
        <f>IF(ISERROR(
PG!F256*E255),"",PG!F256*E255)</f>
        <v/>
      </c>
      <c r="K255" s="18" t="str">
        <f>IF(ISERROR(
PG!F256*F255),"",PG!F256*F255)</f>
        <v/>
      </c>
      <c r="L255" s="18">
        <f>IF(ISERROR(
PG!D256-H255),"",PG!D256-H255)</f>
        <v>0</v>
      </c>
      <c r="M255" s="33" t="str">
        <f>IF(ISERROR(
L255/PG!D256),"",L255/PG!D256)</f>
        <v/>
      </c>
      <c r="N255" s="18" t="str">
        <f>IF(ISERROR(
(O255*PG!D256)),"",(O255*PG!D256))</f>
        <v/>
      </c>
      <c r="O255" s="45" t="str">
        <f>IF(ISERROR(
PEq!$G$20*PG!G256),"",PEq!$G$20*PG!G256)</f>
        <v/>
      </c>
      <c r="P255" s="18">
        <f>IF(ISERROR(
PG!E256*G255),"",PG!E256*G255)</f>
        <v>0</v>
      </c>
      <c r="Q255" s="18">
        <f>IF(ISERROR(
PG!E256*D255),"",PG!E256*D255)</f>
        <v>0</v>
      </c>
    </row>
    <row r="256" spans="3:17" ht="30" customHeight="1" thickBot="1" x14ac:dyDescent="0.25">
      <c r="C256" s="83">
        <f>PG!C257</f>
        <v>0</v>
      </c>
      <c r="D256" s="23"/>
      <c r="E256" s="27"/>
      <c r="F256" s="27"/>
      <c r="G256" s="23"/>
      <c r="H256" s="62">
        <f>D256+PG!D257*(E256+F256)+G256</f>
        <v>0</v>
      </c>
      <c r="J256" s="18" t="str">
        <f>IF(ISERROR(
PG!F257*E256),"",PG!F257*E256)</f>
        <v/>
      </c>
      <c r="K256" s="18" t="str">
        <f>IF(ISERROR(
PG!F257*F256),"",PG!F257*F256)</f>
        <v/>
      </c>
      <c r="L256" s="18">
        <f>IF(ISERROR(
PG!D257-H256),"",PG!D257-H256)</f>
        <v>0</v>
      </c>
      <c r="M256" s="33" t="str">
        <f>IF(ISERROR(
L256/PG!D257),"",L256/PG!D257)</f>
        <v/>
      </c>
      <c r="N256" s="18" t="str">
        <f>IF(ISERROR(
(O256*PG!D257)),"",(O256*PG!D257))</f>
        <v/>
      </c>
      <c r="O256" s="45" t="str">
        <f>IF(ISERROR(
PEq!$G$20*PG!G257),"",PEq!$G$20*PG!G257)</f>
        <v/>
      </c>
      <c r="P256" s="18">
        <f>IF(ISERROR(
PG!E257*G256),"",PG!E257*G256)</f>
        <v>0</v>
      </c>
      <c r="Q256" s="18">
        <f>IF(ISERROR(
PG!E257*D256),"",PG!E257*D256)</f>
        <v>0</v>
      </c>
    </row>
    <row r="257" spans="3:17" ht="30" customHeight="1" thickBot="1" x14ac:dyDescent="0.25">
      <c r="C257" s="83">
        <f>PG!C258</f>
        <v>0</v>
      </c>
      <c r="D257" s="23"/>
      <c r="E257" s="27"/>
      <c r="F257" s="27"/>
      <c r="G257" s="23"/>
      <c r="H257" s="62">
        <f>D257+PG!D258*(E257+F257)+G257</f>
        <v>0</v>
      </c>
      <c r="J257" s="18" t="str">
        <f>IF(ISERROR(
PG!F258*E257),"",PG!F258*E257)</f>
        <v/>
      </c>
      <c r="K257" s="18" t="str">
        <f>IF(ISERROR(
PG!F258*F257),"",PG!F258*F257)</f>
        <v/>
      </c>
      <c r="L257" s="18">
        <f>IF(ISERROR(
PG!D258-H257),"",PG!D258-H257)</f>
        <v>0</v>
      </c>
      <c r="M257" s="33" t="str">
        <f>IF(ISERROR(
L257/PG!D258),"",L257/PG!D258)</f>
        <v/>
      </c>
      <c r="N257" s="18" t="str">
        <f>IF(ISERROR(
(O257*PG!D258)),"",(O257*PG!D258))</f>
        <v/>
      </c>
      <c r="O257" s="45" t="str">
        <f>IF(ISERROR(
PEq!$G$20*PG!G258),"",PEq!$G$20*PG!G258)</f>
        <v/>
      </c>
      <c r="P257" s="18">
        <f>IF(ISERROR(
PG!E258*G257),"",PG!E258*G257)</f>
        <v>0</v>
      </c>
      <c r="Q257" s="18">
        <f>IF(ISERROR(
PG!E258*D257),"",PG!E258*D257)</f>
        <v>0</v>
      </c>
    </row>
    <row r="258" spans="3:17" ht="30" customHeight="1" thickBot="1" x14ac:dyDescent="0.25">
      <c r="C258" s="83">
        <f>PG!C259</f>
        <v>0</v>
      </c>
      <c r="D258" s="23"/>
      <c r="E258" s="27"/>
      <c r="F258" s="27"/>
      <c r="G258" s="23"/>
      <c r="H258" s="62">
        <f>D258+PG!D259*(E258+F258)+G258</f>
        <v>0</v>
      </c>
      <c r="J258" s="18" t="str">
        <f>IF(ISERROR(
PG!F259*E258),"",PG!F259*E258)</f>
        <v/>
      </c>
      <c r="K258" s="18" t="str">
        <f>IF(ISERROR(
PG!F259*F258),"",PG!F259*F258)</f>
        <v/>
      </c>
      <c r="L258" s="18">
        <f>IF(ISERROR(
PG!D259-H258),"",PG!D259-H258)</f>
        <v>0</v>
      </c>
      <c r="M258" s="33" t="str">
        <f>IF(ISERROR(
L258/PG!D259),"",L258/PG!D259)</f>
        <v/>
      </c>
      <c r="N258" s="18" t="str">
        <f>IF(ISERROR(
(O258*PG!D259)),"",(O258*PG!D259))</f>
        <v/>
      </c>
      <c r="O258" s="45" t="str">
        <f>IF(ISERROR(
PEq!$G$20*PG!G259),"",PEq!$G$20*PG!G259)</f>
        <v/>
      </c>
      <c r="P258" s="18">
        <f>IF(ISERROR(
PG!E259*G258),"",PG!E259*G258)</f>
        <v>0</v>
      </c>
      <c r="Q258" s="18">
        <f>IF(ISERROR(
PG!E259*D258),"",PG!E259*D258)</f>
        <v>0</v>
      </c>
    </row>
    <row r="259" spans="3:17" ht="30" customHeight="1" thickBot="1" x14ac:dyDescent="0.25">
      <c r="C259" s="83">
        <f>PG!C260</f>
        <v>0</v>
      </c>
      <c r="D259" s="23"/>
      <c r="E259" s="27"/>
      <c r="F259" s="27"/>
      <c r="G259" s="23"/>
      <c r="H259" s="62">
        <f>D259+PG!D260*(E259+F259)+G259</f>
        <v>0</v>
      </c>
      <c r="J259" s="18" t="str">
        <f>IF(ISERROR(
PG!F260*E259),"",PG!F260*E259)</f>
        <v/>
      </c>
      <c r="K259" s="18" t="str">
        <f>IF(ISERROR(
PG!F260*F259),"",PG!F260*F259)</f>
        <v/>
      </c>
      <c r="L259" s="18">
        <f>IF(ISERROR(
PG!D260-H259),"",PG!D260-H259)</f>
        <v>0</v>
      </c>
      <c r="M259" s="33" t="str">
        <f>IF(ISERROR(
L259/PG!D260),"",L259/PG!D260)</f>
        <v/>
      </c>
      <c r="N259" s="18" t="str">
        <f>IF(ISERROR(
(O259*PG!D260)),"",(O259*PG!D260))</f>
        <v/>
      </c>
      <c r="O259" s="45" t="str">
        <f>IF(ISERROR(
PEq!$G$20*PG!G260),"",PEq!$G$20*PG!G260)</f>
        <v/>
      </c>
      <c r="P259" s="18">
        <f>IF(ISERROR(
PG!E260*G259),"",PG!E260*G259)</f>
        <v>0</v>
      </c>
      <c r="Q259" s="18">
        <f>IF(ISERROR(
PG!E260*D259),"",PG!E260*D259)</f>
        <v>0</v>
      </c>
    </row>
    <row r="260" spans="3:17" ht="30" customHeight="1" thickBot="1" x14ac:dyDescent="0.25">
      <c r="C260" s="83">
        <f>PG!C261</f>
        <v>0</v>
      </c>
      <c r="D260" s="23"/>
      <c r="E260" s="27"/>
      <c r="F260" s="27"/>
      <c r="G260" s="23"/>
      <c r="H260" s="62">
        <f>D260+PG!D261*(E260+F260)+G260</f>
        <v>0</v>
      </c>
      <c r="J260" s="18" t="str">
        <f>IF(ISERROR(
PG!F261*E260),"",PG!F261*E260)</f>
        <v/>
      </c>
      <c r="K260" s="18" t="str">
        <f>IF(ISERROR(
PG!F261*F260),"",PG!F261*F260)</f>
        <v/>
      </c>
      <c r="L260" s="18">
        <f>IF(ISERROR(
PG!D261-H260),"",PG!D261-H260)</f>
        <v>0</v>
      </c>
      <c r="M260" s="33" t="str">
        <f>IF(ISERROR(
L260/PG!D261),"",L260/PG!D261)</f>
        <v/>
      </c>
      <c r="N260" s="18" t="str">
        <f>IF(ISERROR(
(O260*PG!D261)),"",(O260*PG!D261))</f>
        <v/>
      </c>
      <c r="O260" s="45" t="str">
        <f>IF(ISERROR(
PEq!$G$20*PG!G261),"",PEq!$G$20*PG!G261)</f>
        <v/>
      </c>
      <c r="P260" s="18">
        <f>IF(ISERROR(
PG!E261*G260),"",PG!E261*G260)</f>
        <v>0</v>
      </c>
      <c r="Q260" s="18">
        <f>IF(ISERROR(
PG!E261*D260),"",PG!E261*D260)</f>
        <v>0</v>
      </c>
    </row>
    <row r="261" spans="3:17" ht="30" customHeight="1" thickBot="1" x14ac:dyDescent="0.25">
      <c r="C261" s="83">
        <f>PG!C262</f>
        <v>0</v>
      </c>
      <c r="D261" s="23"/>
      <c r="E261" s="27"/>
      <c r="F261" s="27"/>
      <c r="G261" s="23"/>
      <c r="H261" s="62">
        <f>D261+PG!D262*(E261+F261)+G261</f>
        <v>0</v>
      </c>
      <c r="J261" s="18" t="str">
        <f>IF(ISERROR(
PG!F262*E261),"",PG!F262*E261)</f>
        <v/>
      </c>
      <c r="K261" s="18" t="str">
        <f>IF(ISERROR(
PG!F262*F261),"",PG!F262*F261)</f>
        <v/>
      </c>
      <c r="L261" s="18">
        <f>IF(ISERROR(
PG!D262-H261),"",PG!D262-H261)</f>
        <v>0</v>
      </c>
      <c r="M261" s="33" t="str">
        <f>IF(ISERROR(
L261/PG!D262),"",L261/PG!D262)</f>
        <v/>
      </c>
      <c r="N261" s="18" t="str">
        <f>IF(ISERROR(
(O261*PG!D262)),"",(O261*PG!D262))</f>
        <v/>
      </c>
      <c r="O261" s="45" t="str">
        <f>IF(ISERROR(
PEq!$G$20*PG!G262),"",PEq!$G$20*PG!G262)</f>
        <v/>
      </c>
      <c r="P261" s="18">
        <f>IF(ISERROR(
PG!E262*G261),"",PG!E262*G261)</f>
        <v>0</v>
      </c>
      <c r="Q261" s="18">
        <f>IF(ISERROR(
PG!E262*D261),"",PG!E262*D261)</f>
        <v>0</v>
      </c>
    </row>
    <row r="262" spans="3:17" ht="30" customHeight="1" thickBot="1" x14ac:dyDescent="0.25">
      <c r="C262" s="83">
        <f>PG!C263</f>
        <v>0</v>
      </c>
      <c r="D262" s="23"/>
      <c r="E262" s="27"/>
      <c r="F262" s="27"/>
      <c r="G262" s="23"/>
      <c r="H262" s="62">
        <f>D262+PG!D263*(E262+F262)+G262</f>
        <v>0</v>
      </c>
      <c r="J262" s="18" t="str">
        <f>IF(ISERROR(
PG!F263*E262),"",PG!F263*E262)</f>
        <v/>
      </c>
      <c r="K262" s="18" t="str">
        <f>IF(ISERROR(
PG!F263*F262),"",PG!F263*F262)</f>
        <v/>
      </c>
      <c r="L262" s="18">
        <f>IF(ISERROR(
PG!D263-H262),"",PG!D263-H262)</f>
        <v>0</v>
      </c>
      <c r="M262" s="33" t="str">
        <f>IF(ISERROR(
L262/PG!D263),"",L262/PG!D263)</f>
        <v/>
      </c>
      <c r="N262" s="18" t="str">
        <f>IF(ISERROR(
(O262*PG!D263)),"",(O262*PG!D263))</f>
        <v/>
      </c>
      <c r="O262" s="45" t="str">
        <f>IF(ISERROR(
PEq!$G$20*PG!G263),"",PEq!$G$20*PG!G263)</f>
        <v/>
      </c>
      <c r="P262" s="18">
        <f>IF(ISERROR(
PG!E263*G262),"",PG!E263*G262)</f>
        <v>0</v>
      </c>
      <c r="Q262" s="18">
        <f>IF(ISERROR(
PG!E263*D262),"",PG!E263*D262)</f>
        <v>0</v>
      </c>
    </row>
    <row r="263" spans="3:17" ht="30" customHeight="1" thickBot="1" x14ac:dyDescent="0.25">
      <c r="C263" s="83">
        <f>PG!C264</f>
        <v>0</v>
      </c>
      <c r="D263" s="23"/>
      <c r="E263" s="27"/>
      <c r="F263" s="27"/>
      <c r="G263" s="23"/>
      <c r="H263" s="62">
        <f>D263+PG!D264*(E263+F263)+G263</f>
        <v>0</v>
      </c>
      <c r="J263" s="18" t="str">
        <f>IF(ISERROR(
PG!F264*E263),"",PG!F264*E263)</f>
        <v/>
      </c>
      <c r="K263" s="18" t="str">
        <f>IF(ISERROR(
PG!F264*F263),"",PG!F264*F263)</f>
        <v/>
      </c>
      <c r="L263" s="18">
        <f>IF(ISERROR(
PG!D264-H263),"",PG!D264-H263)</f>
        <v>0</v>
      </c>
      <c r="M263" s="33" t="str">
        <f>IF(ISERROR(
L263/PG!D264),"",L263/PG!D264)</f>
        <v/>
      </c>
      <c r="N263" s="18" t="str">
        <f>IF(ISERROR(
(O263*PG!D264)),"",(O263*PG!D264))</f>
        <v/>
      </c>
      <c r="O263" s="45" t="str">
        <f>IF(ISERROR(
PEq!$G$20*PG!G264),"",PEq!$G$20*PG!G264)</f>
        <v/>
      </c>
      <c r="P263" s="18">
        <f>IF(ISERROR(
PG!E264*G263),"",PG!E264*G263)</f>
        <v>0</v>
      </c>
      <c r="Q263" s="18">
        <f>IF(ISERROR(
PG!E264*D263),"",PG!E264*D263)</f>
        <v>0</v>
      </c>
    </row>
    <row r="264" spans="3:17" ht="30" customHeight="1" thickBot="1" x14ac:dyDescent="0.25">
      <c r="C264" s="83">
        <f>PG!C265</f>
        <v>0</v>
      </c>
      <c r="D264" s="23"/>
      <c r="E264" s="27"/>
      <c r="F264" s="27"/>
      <c r="G264" s="23"/>
      <c r="H264" s="62">
        <f>D264+PG!D265*(E264+F264)+G264</f>
        <v>0</v>
      </c>
      <c r="J264" s="18" t="str">
        <f>IF(ISERROR(
PG!F265*E264),"",PG!F265*E264)</f>
        <v/>
      </c>
      <c r="K264" s="18" t="str">
        <f>IF(ISERROR(
PG!F265*F264),"",PG!F265*F264)</f>
        <v/>
      </c>
      <c r="L264" s="18">
        <f>IF(ISERROR(
PG!D265-H264),"",PG!D265-H264)</f>
        <v>0</v>
      </c>
      <c r="M264" s="33" t="str">
        <f>IF(ISERROR(
L264/PG!D265),"",L264/PG!D265)</f>
        <v/>
      </c>
      <c r="N264" s="18" t="str">
        <f>IF(ISERROR(
(O264*PG!D265)),"",(O264*PG!D265))</f>
        <v/>
      </c>
      <c r="O264" s="45" t="str">
        <f>IF(ISERROR(
PEq!$G$20*PG!G265),"",PEq!$G$20*PG!G265)</f>
        <v/>
      </c>
      <c r="P264" s="18">
        <f>IF(ISERROR(
PG!E265*G264),"",PG!E265*G264)</f>
        <v>0</v>
      </c>
      <c r="Q264" s="18">
        <f>IF(ISERROR(
PG!E265*D264),"",PG!E265*D264)</f>
        <v>0</v>
      </c>
    </row>
    <row r="265" spans="3:17" ht="30" customHeight="1" thickBot="1" x14ac:dyDescent="0.25">
      <c r="C265" s="83">
        <f>PG!C266</f>
        <v>0</v>
      </c>
      <c r="D265" s="23"/>
      <c r="E265" s="27"/>
      <c r="F265" s="27"/>
      <c r="G265" s="23"/>
      <c r="H265" s="62">
        <f>D265+PG!D266*(E265+F265)+G265</f>
        <v>0</v>
      </c>
      <c r="J265" s="18" t="str">
        <f>IF(ISERROR(
PG!F266*E265),"",PG!F266*E265)</f>
        <v/>
      </c>
      <c r="K265" s="18" t="str">
        <f>IF(ISERROR(
PG!F266*F265),"",PG!F266*F265)</f>
        <v/>
      </c>
      <c r="L265" s="18">
        <f>IF(ISERROR(
PG!D266-H265),"",PG!D266-H265)</f>
        <v>0</v>
      </c>
      <c r="M265" s="33" t="str">
        <f>IF(ISERROR(
L265/PG!D266),"",L265/PG!D266)</f>
        <v/>
      </c>
      <c r="N265" s="18" t="str">
        <f>IF(ISERROR(
(O265*PG!D266)),"",(O265*PG!D266))</f>
        <v/>
      </c>
      <c r="O265" s="45" t="str">
        <f>IF(ISERROR(
PEq!$G$20*PG!G266),"",PEq!$G$20*PG!G266)</f>
        <v/>
      </c>
      <c r="P265" s="18">
        <f>IF(ISERROR(
PG!E266*G265),"",PG!E266*G265)</f>
        <v>0</v>
      </c>
      <c r="Q265" s="18">
        <f>IF(ISERROR(
PG!E266*D265),"",PG!E266*D265)</f>
        <v>0</v>
      </c>
    </row>
    <row r="266" spans="3:17" ht="30" customHeight="1" thickBot="1" x14ac:dyDescent="0.25">
      <c r="C266" s="83">
        <f>PG!C267</f>
        <v>0</v>
      </c>
      <c r="D266" s="23"/>
      <c r="E266" s="27"/>
      <c r="F266" s="27"/>
      <c r="G266" s="23"/>
      <c r="H266" s="62">
        <f>D266+PG!D267*(E266+F266)+G266</f>
        <v>0</v>
      </c>
      <c r="J266" s="18" t="str">
        <f>IF(ISERROR(
PG!F267*E266),"",PG!F267*E266)</f>
        <v/>
      </c>
      <c r="K266" s="18" t="str">
        <f>IF(ISERROR(
PG!F267*F266),"",PG!F267*F266)</f>
        <v/>
      </c>
      <c r="L266" s="18">
        <f>IF(ISERROR(
PG!D267-H266),"",PG!D267-H266)</f>
        <v>0</v>
      </c>
      <c r="M266" s="33" t="str">
        <f>IF(ISERROR(
L266/PG!D267),"",L266/PG!D267)</f>
        <v/>
      </c>
      <c r="N266" s="18" t="str">
        <f>IF(ISERROR(
(O266*PG!D267)),"",(O266*PG!D267))</f>
        <v/>
      </c>
      <c r="O266" s="45" t="str">
        <f>IF(ISERROR(
PEq!$G$20*PG!G267),"",PEq!$G$20*PG!G267)</f>
        <v/>
      </c>
      <c r="P266" s="18">
        <f>IF(ISERROR(
PG!E267*G266),"",PG!E267*G266)</f>
        <v>0</v>
      </c>
      <c r="Q266" s="18">
        <f>IF(ISERROR(
PG!E267*D266),"",PG!E267*D266)</f>
        <v>0</v>
      </c>
    </row>
    <row r="267" spans="3:17" ht="30" customHeight="1" thickBot="1" x14ac:dyDescent="0.25">
      <c r="C267" s="83">
        <f>PG!C268</f>
        <v>0</v>
      </c>
      <c r="D267" s="23"/>
      <c r="E267" s="27"/>
      <c r="F267" s="27"/>
      <c r="G267" s="23"/>
      <c r="H267" s="62">
        <f>D267+PG!D268*(E267+F267)+G267</f>
        <v>0</v>
      </c>
      <c r="J267" s="18" t="str">
        <f>IF(ISERROR(
PG!F268*E267),"",PG!F268*E267)</f>
        <v/>
      </c>
      <c r="K267" s="18" t="str">
        <f>IF(ISERROR(
PG!F268*F267),"",PG!F268*F267)</f>
        <v/>
      </c>
      <c r="L267" s="18">
        <f>IF(ISERROR(
PG!D268-H267),"",PG!D268-H267)</f>
        <v>0</v>
      </c>
      <c r="M267" s="33" t="str">
        <f>IF(ISERROR(
L267/PG!D268),"",L267/PG!D268)</f>
        <v/>
      </c>
      <c r="N267" s="18" t="str">
        <f>IF(ISERROR(
(O267*PG!D268)),"",(O267*PG!D268))</f>
        <v/>
      </c>
      <c r="O267" s="45" t="str">
        <f>IF(ISERROR(
PEq!$G$20*PG!G268),"",PEq!$G$20*PG!G268)</f>
        <v/>
      </c>
      <c r="P267" s="18">
        <f>IF(ISERROR(
PG!E268*G267),"",PG!E268*G267)</f>
        <v>0</v>
      </c>
      <c r="Q267" s="18">
        <f>IF(ISERROR(
PG!E268*D267),"",PG!E268*D267)</f>
        <v>0</v>
      </c>
    </row>
    <row r="268" spans="3:17" ht="30" customHeight="1" thickBot="1" x14ac:dyDescent="0.25">
      <c r="C268" s="83">
        <f>PG!C269</f>
        <v>0</v>
      </c>
      <c r="D268" s="23"/>
      <c r="E268" s="27"/>
      <c r="F268" s="27"/>
      <c r="G268" s="23"/>
      <c r="H268" s="62">
        <f>D268+PG!D269*(E268+F268)+G268</f>
        <v>0</v>
      </c>
      <c r="J268" s="18" t="str">
        <f>IF(ISERROR(
PG!F269*E268),"",PG!F269*E268)</f>
        <v/>
      </c>
      <c r="K268" s="18" t="str">
        <f>IF(ISERROR(
PG!F269*F268),"",PG!F269*F268)</f>
        <v/>
      </c>
      <c r="L268" s="18">
        <f>IF(ISERROR(
PG!D269-H268),"",PG!D269-H268)</f>
        <v>0</v>
      </c>
      <c r="M268" s="33" t="str">
        <f>IF(ISERROR(
L268/PG!D269),"",L268/PG!D269)</f>
        <v/>
      </c>
      <c r="N268" s="18" t="str">
        <f>IF(ISERROR(
(O268*PG!D269)),"",(O268*PG!D269))</f>
        <v/>
      </c>
      <c r="O268" s="45" t="str">
        <f>IF(ISERROR(
PEq!$G$20*PG!G269),"",PEq!$G$20*PG!G269)</f>
        <v/>
      </c>
      <c r="P268" s="18">
        <f>IF(ISERROR(
PG!E269*G268),"",PG!E269*G268)</f>
        <v>0</v>
      </c>
      <c r="Q268" s="18">
        <f>IF(ISERROR(
PG!E269*D268),"",PG!E269*D268)</f>
        <v>0</v>
      </c>
    </row>
    <row r="269" spans="3:17" ht="30" customHeight="1" thickBot="1" x14ac:dyDescent="0.25">
      <c r="C269" s="83">
        <f>PG!C270</f>
        <v>0</v>
      </c>
      <c r="D269" s="23"/>
      <c r="E269" s="27"/>
      <c r="F269" s="27"/>
      <c r="G269" s="23"/>
      <c r="H269" s="62">
        <f>D269+PG!D270*(E269+F269)+G269</f>
        <v>0</v>
      </c>
      <c r="J269" s="18" t="str">
        <f>IF(ISERROR(
PG!F270*E269),"",PG!F270*E269)</f>
        <v/>
      </c>
      <c r="K269" s="18" t="str">
        <f>IF(ISERROR(
PG!F270*F269),"",PG!F270*F269)</f>
        <v/>
      </c>
      <c r="L269" s="18">
        <f>IF(ISERROR(
PG!D270-H269),"",PG!D270-H269)</f>
        <v>0</v>
      </c>
      <c r="M269" s="33" t="str">
        <f>IF(ISERROR(
L269/PG!D270),"",L269/PG!D270)</f>
        <v/>
      </c>
      <c r="N269" s="18" t="str">
        <f>IF(ISERROR(
(O269*PG!D270)),"",(O269*PG!D270))</f>
        <v/>
      </c>
      <c r="O269" s="45" t="str">
        <f>IF(ISERROR(
PEq!$G$20*PG!G270),"",PEq!$G$20*PG!G270)</f>
        <v/>
      </c>
      <c r="P269" s="18">
        <f>IF(ISERROR(
PG!E270*G269),"",PG!E270*G269)</f>
        <v>0</v>
      </c>
      <c r="Q269" s="18">
        <f>IF(ISERROR(
PG!E270*D269),"",PG!E270*D269)</f>
        <v>0</v>
      </c>
    </row>
    <row r="270" spans="3:17" ht="30" customHeight="1" thickBot="1" x14ac:dyDescent="0.25">
      <c r="C270" s="83">
        <f>PG!C271</f>
        <v>0</v>
      </c>
      <c r="D270" s="23"/>
      <c r="E270" s="27"/>
      <c r="F270" s="27"/>
      <c r="G270" s="23"/>
      <c r="H270" s="62">
        <f>D270+PG!D271*(E270+F270)+G270</f>
        <v>0</v>
      </c>
      <c r="J270" s="18" t="str">
        <f>IF(ISERROR(
PG!F271*E270),"",PG!F271*E270)</f>
        <v/>
      </c>
      <c r="K270" s="18" t="str">
        <f>IF(ISERROR(
PG!F271*F270),"",PG!F271*F270)</f>
        <v/>
      </c>
      <c r="L270" s="18">
        <f>IF(ISERROR(
PG!D271-H270),"",PG!D271-H270)</f>
        <v>0</v>
      </c>
      <c r="M270" s="33" t="str">
        <f>IF(ISERROR(
L270/PG!D271),"",L270/PG!D271)</f>
        <v/>
      </c>
      <c r="N270" s="18" t="str">
        <f>IF(ISERROR(
(O270*PG!D271)),"",(O270*PG!D271))</f>
        <v/>
      </c>
      <c r="O270" s="45" t="str">
        <f>IF(ISERROR(
PEq!$G$20*PG!G271),"",PEq!$G$20*PG!G271)</f>
        <v/>
      </c>
      <c r="P270" s="18">
        <f>IF(ISERROR(
PG!E271*G270),"",PG!E271*G270)</f>
        <v>0</v>
      </c>
      <c r="Q270" s="18">
        <f>IF(ISERROR(
PG!E271*D270),"",PG!E271*D270)</f>
        <v>0</v>
      </c>
    </row>
    <row r="271" spans="3:17" ht="30" customHeight="1" thickBot="1" x14ac:dyDescent="0.25">
      <c r="C271" s="83">
        <f>PG!C272</f>
        <v>0</v>
      </c>
      <c r="D271" s="23"/>
      <c r="E271" s="27"/>
      <c r="F271" s="27"/>
      <c r="G271" s="23"/>
      <c r="H271" s="62">
        <f>D271+PG!D272*(E271+F271)+G271</f>
        <v>0</v>
      </c>
      <c r="J271" s="18" t="str">
        <f>IF(ISERROR(
PG!F272*E271),"",PG!F272*E271)</f>
        <v/>
      </c>
      <c r="K271" s="18" t="str">
        <f>IF(ISERROR(
PG!F272*F271),"",PG!F272*F271)</f>
        <v/>
      </c>
      <c r="L271" s="18">
        <f>IF(ISERROR(
PG!D272-H271),"",PG!D272-H271)</f>
        <v>0</v>
      </c>
      <c r="M271" s="33" t="str">
        <f>IF(ISERROR(
L271/PG!D272),"",L271/PG!D272)</f>
        <v/>
      </c>
      <c r="N271" s="18" t="str">
        <f>IF(ISERROR(
(O271*PG!D272)),"",(O271*PG!D272))</f>
        <v/>
      </c>
      <c r="O271" s="45" t="str">
        <f>IF(ISERROR(
PEq!$G$20*PG!G272),"",PEq!$G$20*PG!G272)</f>
        <v/>
      </c>
      <c r="P271" s="18">
        <f>IF(ISERROR(
PG!E272*G271),"",PG!E272*G271)</f>
        <v>0</v>
      </c>
      <c r="Q271" s="18">
        <f>IF(ISERROR(
PG!E272*D271),"",PG!E272*D271)</f>
        <v>0</v>
      </c>
    </row>
    <row r="272" spans="3:17" ht="30" customHeight="1" thickBot="1" x14ac:dyDescent="0.25">
      <c r="C272" s="83">
        <f>PG!C273</f>
        <v>0</v>
      </c>
      <c r="D272" s="23"/>
      <c r="E272" s="27"/>
      <c r="F272" s="27"/>
      <c r="G272" s="23"/>
      <c r="H272" s="62">
        <f>D272+PG!D273*(E272+F272)+G272</f>
        <v>0</v>
      </c>
      <c r="J272" s="18" t="str">
        <f>IF(ISERROR(
PG!F273*E272),"",PG!F273*E272)</f>
        <v/>
      </c>
      <c r="K272" s="18" t="str">
        <f>IF(ISERROR(
PG!F273*F272),"",PG!F273*F272)</f>
        <v/>
      </c>
      <c r="L272" s="18">
        <f>IF(ISERROR(
PG!D273-H272),"",PG!D273-H272)</f>
        <v>0</v>
      </c>
      <c r="M272" s="33" t="str">
        <f>IF(ISERROR(
L272/PG!D273),"",L272/PG!D273)</f>
        <v/>
      </c>
      <c r="N272" s="18" t="str">
        <f>IF(ISERROR(
(O272*PG!D273)),"",(O272*PG!D273))</f>
        <v/>
      </c>
      <c r="O272" s="45" t="str">
        <f>IF(ISERROR(
PEq!$G$20*PG!G273),"",PEq!$G$20*PG!G273)</f>
        <v/>
      </c>
      <c r="P272" s="18">
        <f>IF(ISERROR(
PG!E273*G272),"",PG!E273*G272)</f>
        <v>0</v>
      </c>
      <c r="Q272" s="18">
        <f>IF(ISERROR(
PG!E273*D272),"",PG!E273*D272)</f>
        <v>0</v>
      </c>
    </row>
    <row r="273" spans="3:17" ht="30" customHeight="1" thickBot="1" x14ac:dyDescent="0.25">
      <c r="C273" s="83">
        <f>PG!C274</f>
        <v>0</v>
      </c>
      <c r="D273" s="23"/>
      <c r="E273" s="27"/>
      <c r="F273" s="27"/>
      <c r="G273" s="23"/>
      <c r="H273" s="62">
        <f>D273+PG!D274*(E273+F273)+G273</f>
        <v>0</v>
      </c>
      <c r="J273" s="18" t="str">
        <f>IF(ISERROR(
PG!F274*E273),"",PG!F274*E273)</f>
        <v/>
      </c>
      <c r="K273" s="18" t="str">
        <f>IF(ISERROR(
PG!F274*F273),"",PG!F274*F273)</f>
        <v/>
      </c>
      <c r="L273" s="18">
        <f>IF(ISERROR(
PG!D274-H273),"",PG!D274-H273)</f>
        <v>0</v>
      </c>
      <c r="M273" s="33" t="str">
        <f>IF(ISERROR(
L273/PG!D274),"",L273/PG!D274)</f>
        <v/>
      </c>
      <c r="N273" s="18" t="str">
        <f>IF(ISERROR(
(O273*PG!D274)),"",(O273*PG!D274))</f>
        <v/>
      </c>
      <c r="O273" s="45" t="str">
        <f>IF(ISERROR(
PEq!$G$20*PG!G274),"",PEq!$G$20*PG!G274)</f>
        <v/>
      </c>
      <c r="P273" s="18">
        <f>IF(ISERROR(
PG!E274*G273),"",PG!E274*G273)</f>
        <v>0</v>
      </c>
      <c r="Q273" s="18">
        <f>IF(ISERROR(
PG!E274*D273),"",PG!E274*D273)</f>
        <v>0</v>
      </c>
    </row>
    <row r="274" spans="3:17" ht="30" customHeight="1" thickBot="1" x14ac:dyDescent="0.25">
      <c r="C274" s="83">
        <f>PG!C275</f>
        <v>0</v>
      </c>
      <c r="D274" s="23"/>
      <c r="E274" s="27"/>
      <c r="F274" s="27"/>
      <c r="G274" s="23"/>
      <c r="H274" s="62">
        <f>D274+PG!D275*(E274+F274)+G274</f>
        <v>0</v>
      </c>
      <c r="J274" s="18" t="str">
        <f>IF(ISERROR(
PG!F275*E274),"",PG!F275*E274)</f>
        <v/>
      </c>
      <c r="K274" s="18" t="str">
        <f>IF(ISERROR(
PG!F275*F274),"",PG!F275*F274)</f>
        <v/>
      </c>
      <c r="L274" s="18">
        <f>IF(ISERROR(
PG!D275-H274),"",PG!D275-H274)</f>
        <v>0</v>
      </c>
      <c r="M274" s="33" t="str">
        <f>IF(ISERROR(
L274/PG!D275),"",L274/PG!D275)</f>
        <v/>
      </c>
      <c r="N274" s="18" t="str">
        <f>IF(ISERROR(
(O274*PG!D275)),"",(O274*PG!D275))</f>
        <v/>
      </c>
      <c r="O274" s="45" t="str">
        <f>IF(ISERROR(
PEq!$G$20*PG!G275),"",PEq!$G$20*PG!G275)</f>
        <v/>
      </c>
      <c r="P274" s="18">
        <f>IF(ISERROR(
PG!E275*G274),"",PG!E275*G274)</f>
        <v>0</v>
      </c>
      <c r="Q274" s="18">
        <f>IF(ISERROR(
PG!E275*D274),"",PG!E275*D274)</f>
        <v>0</v>
      </c>
    </row>
    <row r="275" spans="3:17" ht="30" customHeight="1" thickBot="1" x14ac:dyDescent="0.25">
      <c r="C275" s="83">
        <f>PG!C276</f>
        <v>0</v>
      </c>
      <c r="D275" s="23"/>
      <c r="E275" s="27"/>
      <c r="F275" s="27"/>
      <c r="G275" s="23"/>
      <c r="H275" s="62">
        <f>D275+PG!D276*(E275+F275)+G275</f>
        <v>0</v>
      </c>
      <c r="J275" s="18" t="str">
        <f>IF(ISERROR(
PG!F276*E275),"",PG!F276*E275)</f>
        <v/>
      </c>
      <c r="K275" s="18" t="str">
        <f>IF(ISERROR(
PG!F276*F275),"",PG!F276*F275)</f>
        <v/>
      </c>
      <c r="L275" s="18">
        <f>IF(ISERROR(
PG!D276-H275),"",PG!D276-H275)</f>
        <v>0</v>
      </c>
      <c r="M275" s="33" t="str">
        <f>IF(ISERROR(
L275/PG!D276),"",L275/PG!D276)</f>
        <v/>
      </c>
      <c r="N275" s="18" t="str">
        <f>IF(ISERROR(
(O275*PG!D276)),"",(O275*PG!D276))</f>
        <v/>
      </c>
      <c r="O275" s="45" t="str">
        <f>IF(ISERROR(
PEq!$G$20*PG!G276),"",PEq!$G$20*PG!G276)</f>
        <v/>
      </c>
      <c r="P275" s="18">
        <f>IF(ISERROR(
PG!E276*G275),"",PG!E276*G275)</f>
        <v>0</v>
      </c>
      <c r="Q275" s="18">
        <f>IF(ISERROR(
PG!E276*D275),"",PG!E276*D275)</f>
        <v>0</v>
      </c>
    </row>
    <row r="276" spans="3:17" ht="30" customHeight="1" thickBot="1" x14ac:dyDescent="0.25">
      <c r="C276" s="83">
        <f>PG!C277</f>
        <v>0</v>
      </c>
      <c r="D276" s="23"/>
      <c r="E276" s="27"/>
      <c r="F276" s="27"/>
      <c r="G276" s="23"/>
      <c r="H276" s="62">
        <f>D276+PG!D277*(E276+F276)+G276</f>
        <v>0</v>
      </c>
      <c r="J276" s="18" t="str">
        <f>IF(ISERROR(
PG!F277*E276),"",PG!F277*E276)</f>
        <v/>
      </c>
      <c r="K276" s="18" t="str">
        <f>IF(ISERROR(
PG!F277*F276),"",PG!F277*F276)</f>
        <v/>
      </c>
      <c r="L276" s="18">
        <f>IF(ISERROR(
PG!D277-H276),"",PG!D277-H276)</f>
        <v>0</v>
      </c>
      <c r="M276" s="33" t="str">
        <f>IF(ISERROR(
L276/PG!D277),"",L276/PG!D277)</f>
        <v/>
      </c>
      <c r="N276" s="18" t="str">
        <f>IF(ISERROR(
(O276*PG!D277)),"",(O276*PG!D277))</f>
        <v/>
      </c>
      <c r="O276" s="45" t="str">
        <f>IF(ISERROR(
PEq!$G$20*PG!G277),"",PEq!$G$20*PG!G277)</f>
        <v/>
      </c>
      <c r="P276" s="18">
        <f>IF(ISERROR(
PG!E277*G276),"",PG!E277*G276)</f>
        <v>0</v>
      </c>
      <c r="Q276" s="18">
        <f>IF(ISERROR(
PG!E277*D276),"",PG!E277*D276)</f>
        <v>0</v>
      </c>
    </row>
    <row r="277" spans="3:17" ht="30" customHeight="1" thickBot="1" x14ac:dyDescent="0.25">
      <c r="C277" s="83">
        <f>PG!C278</f>
        <v>0</v>
      </c>
      <c r="D277" s="23"/>
      <c r="E277" s="27"/>
      <c r="F277" s="27"/>
      <c r="G277" s="23"/>
      <c r="H277" s="62">
        <f>D277+PG!D278*(E277+F277)+G277</f>
        <v>0</v>
      </c>
      <c r="J277" s="18" t="str">
        <f>IF(ISERROR(
PG!F278*E277),"",PG!F278*E277)</f>
        <v/>
      </c>
      <c r="K277" s="18" t="str">
        <f>IF(ISERROR(
PG!F278*F277),"",PG!F278*F277)</f>
        <v/>
      </c>
      <c r="L277" s="18">
        <f>IF(ISERROR(
PG!D278-H277),"",PG!D278-H277)</f>
        <v>0</v>
      </c>
      <c r="M277" s="33" t="str">
        <f>IF(ISERROR(
L277/PG!D278),"",L277/PG!D278)</f>
        <v/>
      </c>
      <c r="N277" s="18" t="str">
        <f>IF(ISERROR(
(O277*PG!D278)),"",(O277*PG!D278))</f>
        <v/>
      </c>
      <c r="O277" s="45" t="str">
        <f>IF(ISERROR(
PEq!$G$20*PG!G278),"",PEq!$G$20*PG!G278)</f>
        <v/>
      </c>
      <c r="P277" s="18">
        <f>IF(ISERROR(
PG!E278*G277),"",PG!E278*G277)</f>
        <v>0</v>
      </c>
      <c r="Q277" s="18">
        <f>IF(ISERROR(
PG!E278*D277),"",PG!E278*D277)</f>
        <v>0</v>
      </c>
    </row>
    <row r="278" spans="3:17" ht="30" customHeight="1" thickBot="1" x14ac:dyDescent="0.25">
      <c r="C278" s="83">
        <f>PG!C279</f>
        <v>0</v>
      </c>
      <c r="D278" s="23"/>
      <c r="E278" s="27"/>
      <c r="F278" s="27"/>
      <c r="G278" s="23"/>
      <c r="H278" s="62">
        <f>D278+PG!D279*(E278+F278)+G278</f>
        <v>0</v>
      </c>
      <c r="J278" s="18" t="str">
        <f>IF(ISERROR(
PG!F279*E278),"",PG!F279*E278)</f>
        <v/>
      </c>
      <c r="K278" s="18" t="str">
        <f>IF(ISERROR(
PG!F279*F278),"",PG!F279*F278)</f>
        <v/>
      </c>
      <c r="L278" s="18">
        <f>IF(ISERROR(
PG!D279-H278),"",PG!D279-H278)</f>
        <v>0</v>
      </c>
      <c r="M278" s="33" t="str">
        <f>IF(ISERROR(
L278/PG!D279),"",L278/PG!D279)</f>
        <v/>
      </c>
      <c r="N278" s="18" t="str">
        <f>IF(ISERROR(
(O278*PG!D279)),"",(O278*PG!D279))</f>
        <v/>
      </c>
      <c r="O278" s="45" t="str">
        <f>IF(ISERROR(
PEq!$G$20*PG!G279),"",PEq!$G$20*PG!G279)</f>
        <v/>
      </c>
      <c r="P278" s="18">
        <f>IF(ISERROR(
PG!E279*G278),"",PG!E279*G278)</f>
        <v>0</v>
      </c>
      <c r="Q278" s="18">
        <f>IF(ISERROR(
PG!E279*D278),"",PG!E279*D278)</f>
        <v>0</v>
      </c>
    </row>
    <row r="279" spans="3:17" ht="30" customHeight="1" thickBot="1" x14ac:dyDescent="0.25">
      <c r="C279" s="83">
        <f>PG!C280</f>
        <v>0</v>
      </c>
      <c r="D279" s="23"/>
      <c r="E279" s="27"/>
      <c r="F279" s="27"/>
      <c r="G279" s="23"/>
      <c r="H279" s="62">
        <f>D279+PG!D280*(E279+F279)+G279</f>
        <v>0</v>
      </c>
      <c r="J279" s="18" t="str">
        <f>IF(ISERROR(
PG!F280*E279),"",PG!F280*E279)</f>
        <v/>
      </c>
      <c r="K279" s="18" t="str">
        <f>IF(ISERROR(
PG!F280*F279),"",PG!F280*F279)</f>
        <v/>
      </c>
      <c r="L279" s="18">
        <f>IF(ISERROR(
PG!D280-H279),"",PG!D280-H279)</f>
        <v>0</v>
      </c>
      <c r="M279" s="33" t="str">
        <f>IF(ISERROR(
L279/PG!D280),"",L279/PG!D280)</f>
        <v/>
      </c>
      <c r="N279" s="18" t="str">
        <f>IF(ISERROR(
(O279*PG!D280)),"",(O279*PG!D280))</f>
        <v/>
      </c>
      <c r="O279" s="45" t="str">
        <f>IF(ISERROR(
PEq!$G$20*PG!G280),"",PEq!$G$20*PG!G280)</f>
        <v/>
      </c>
      <c r="P279" s="18">
        <f>IF(ISERROR(
PG!E280*G279),"",PG!E280*G279)</f>
        <v>0</v>
      </c>
      <c r="Q279" s="18">
        <f>IF(ISERROR(
PG!E280*D279),"",PG!E280*D279)</f>
        <v>0</v>
      </c>
    </row>
    <row r="280" spans="3:17" ht="30" customHeight="1" thickBot="1" x14ac:dyDescent="0.25">
      <c r="C280" s="83">
        <f>PG!C281</f>
        <v>0</v>
      </c>
      <c r="D280" s="23"/>
      <c r="E280" s="27"/>
      <c r="F280" s="27"/>
      <c r="G280" s="23"/>
      <c r="H280" s="62">
        <f>D280+PG!D281*(E280+F280)+G280</f>
        <v>0</v>
      </c>
      <c r="J280" s="18" t="str">
        <f>IF(ISERROR(
PG!F281*E280),"",PG!F281*E280)</f>
        <v/>
      </c>
      <c r="K280" s="18" t="str">
        <f>IF(ISERROR(
PG!F281*F280),"",PG!F281*F280)</f>
        <v/>
      </c>
      <c r="L280" s="18">
        <f>IF(ISERROR(
PG!D281-H280),"",PG!D281-H280)</f>
        <v>0</v>
      </c>
      <c r="M280" s="33" t="str">
        <f>IF(ISERROR(
L280/PG!D281),"",L280/PG!D281)</f>
        <v/>
      </c>
      <c r="N280" s="18" t="str">
        <f>IF(ISERROR(
(O280*PG!D281)),"",(O280*PG!D281))</f>
        <v/>
      </c>
      <c r="O280" s="45" t="str">
        <f>IF(ISERROR(
PEq!$G$20*PG!G281),"",PEq!$G$20*PG!G281)</f>
        <v/>
      </c>
      <c r="P280" s="18">
        <f>IF(ISERROR(
PG!E281*G280),"",PG!E281*G280)</f>
        <v>0</v>
      </c>
      <c r="Q280" s="18">
        <f>IF(ISERROR(
PG!E281*D280),"",PG!E281*D280)</f>
        <v>0</v>
      </c>
    </row>
    <row r="281" spans="3:17" ht="30" customHeight="1" thickBot="1" x14ac:dyDescent="0.25">
      <c r="C281" s="83">
        <f>PG!C282</f>
        <v>0</v>
      </c>
      <c r="D281" s="23"/>
      <c r="E281" s="27"/>
      <c r="F281" s="27"/>
      <c r="G281" s="23"/>
      <c r="H281" s="62">
        <f>D281+PG!D282*(E281+F281)+G281</f>
        <v>0</v>
      </c>
      <c r="J281" s="18" t="str">
        <f>IF(ISERROR(
PG!F282*E281),"",PG!F282*E281)</f>
        <v/>
      </c>
      <c r="K281" s="18" t="str">
        <f>IF(ISERROR(
PG!F282*F281),"",PG!F282*F281)</f>
        <v/>
      </c>
      <c r="L281" s="18">
        <f>IF(ISERROR(
PG!D282-H281),"",PG!D282-H281)</f>
        <v>0</v>
      </c>
      <c r="M281" s="33" t="str">
        <f>IF(ISERROR(
L281/PG!D282),"",L281/PG!D282)</f>
        <v/>
      </c>
      <c r="N281" s="18" t="str">
        <f>IF(ISERROR(
(O281*PG!D282)),"",(O281*PG!D282))</f>
        <v/>
      </c>
      <c r="O281" s="45" t="str">
        <f>IF(ISERROR(
PEq!$G$20*PG!G282),"",PEq!$G$20*PG!G282)</f>
        <v/>
      </c>
      <c r="P281" s="18">
        <f>IF(ISERROR(
PG!E282*G281),"",PG!E282*G281)</f>
        <v>0</v>
      </c>
      <c r="Q281" s="18">
        <f>IF(ISERROR(
PG!E282*D281),"",PG!E282*D281)</f>
        <v>0</v>
      </c>
    </row>
    <row r="282" spans="3:17" ht="30" customHeight="1" thickBot="1" x14ac:dyDescent="0.25">
      <c r="C282" s="83">
        <f>PG!C283</f>
        <v>0</v>
      </c>
      <c r="D282" s="23"/>
      <c r="E282" s="27"/>
      <c r="F282" s="27"/>
      <c r="G282" s="23"/>
      <c r="H282" s="62">
        <f>D282+PG!D283*(E282+F282)+G282</f>
        <v>0</v>
      </c>
      <c r="J282" s="18" t="str">
        <f>IF(ISERROR(
PG!F283*E282),"",PG!F283*E282)</f>
        <v/>
      </c>
      <c r="K282" s="18" t="str">
        <f>IF(ISERROR(
PG!F283*F282),"",PG!F283*F282)</f>
        <v/>
      </c>
      <c r="L282" s="18">
        <f>IF(ISERROR(
PG!D283-H282),"",PG!D283-H282)</f>
        <v>0</v>
      </c>
      <c r="M282" s="33" t="str">
        <f>IF(ISERROR(
L282/PG!D283),"",L282/PG!D283)</f>
        <v/>
      </c>
      <c r="N282" s="18" t="str">
        <f>IF(ISERROR(
(O282*PG!D283)),"",(O282*PG!D283))</f>
        <v/>
      </c>
      <c r="O282" s="45" t="str">
        <f>IF(ISERROR(
PEq!$G$20*PG!G283),"",PEq!$G$20*PG!G283)</f>
        <v/>
      </c>
      <c r="P282" s="18">
        <f>IF(ISERROR(
PG!E283*G282),"",PG!E283*G282)</f>
        <v>0</v>
      </c>
      <c r="Q282" s="18">
        <f>IF(ISERROR(
PG!E283*D282),"",PG!E283*D282)</f>
        <v>0</v>
      </c>
    </row>
    <row r="283" spans="3:17" ht="30" customHeight="1" thickBot="1" x14ac:dyDescent="0.25">
      <c r="C283" s="83">
        <f>PG!C284</f>
        <v>0</v>
      </c>
      <c r="D283" s="23"/>
      <c r="E283" s="27"/>
      <c r="F283" s="27"/>
      <c r="G283" s="23"/>
      <c r="H283" s="62">
        <f>D283+PG!D284*(E283+F283)+G283</f>
        <v>0</v>
      </c>
      <c r="J283" s="18" t="str">
        <f>IF(ISERROR(
PG!F284*E283),"",PG!F284*E283)</f>
        <v/>
      </c>
      <c r="K283" s="18" t="str">
        <f>IF(ISERROR(
PG!F284*F283),"",PG!F284*F283)</f>
        <v/>
      </c>
      <c r="L283" s="18">
        <f>IF(ISERROR(
PG!D284-H283),"",PG!D284-H283)</f>
        <v>0</v>
      </c>
      <c r="M283" s="33" t="str">
        <f>IF(ISERROR(
L283/PG!D284),"",L283/PG!D284)</f>
        <v/>
      </c>
      <c r="N283" s="18" t="str">
        <f>IF(ISERROR(
(O283*PG!D284)),"",(O283*PG!D284))</f>
        <v/>
      </c>
      <c r="O283" s="45" t="str">
        <f>IF(ISERROR(
PEq!$G$20*PG!G284),"",PEq!$G$20*PG!G284)</f>
        <v/>
      </c>
      <c r="P283" s="18">
        <f>IF(ISERROR(
PG!E284*G283),"",PG!E284*G283)</f>
        <v>0</v>
      </c>
      <c r="Q283" s="18">
        <f>IF(ISERROR(
PG!E284*D283),"",PG!E284*D283)</f>
        <v>0</v>
      </c>
    </row>
    <row r="284" spans="3:17" ht="30" customHeight="1" thickBot="1" x14ac:dyDescent="0.25">
      <c r="C284" s="83">
        <f>PG!C285</f>
        <v>0</v>
      </c>
      <c r="D284" s="23"/>
      <c r="E284" s="27"/>
      <c r="F284" s="27"/>
      <c r="G284" s="23"/>
      <c r="H284" s="62">
        <f>D284+PG!D285*(E284+F284)+G284</f>
        <v>0</v>
      </c>
      <c r="J284" s="18" t="str">
        <f>IF(ISERROR(
PG!F285*E284),"",PG!F285*E284)</f>
        <v/>
      </c>
      <c r="K284" s="18" t="str">
        <f>IF(ISERROR(
PG!F285*F284),"",PG!F285*F284)</f>
        <v/>
      </c>
      <c r="L284" s="18">
        <f>IF(ISERROR(
PG!D285-H284),"",PG!D285-H284)</f>
        <v>0</v>
      </c>
      <c r="M284" s="33" t="str">
        <f>IF(ISERROR(
L284/PG!D285),"",L284/PG!D285)</f>
        <v/>
      </c>
      <c r="N284" s="18" t="str">
        <f>IF(ISERROR(
(O284*PG!D285)),"",(O284*PG!D285))</f>
        <v/>
      </c>
      <c r="O284" s="45" t="str">
        <f>IF(ISERROR(
PEq!$G$20*PG!G285),"",PEq!$G$20*PG!G285)</f>
        <v/>
      </c>
      <c r="P284" s="18">
        <f>IF(ISERROR(
PG!E285*G284),"",PG!E285*G284)</f>
        <v>0</v>
      </c>
      <c r="Q284" s="18">
        <f>IF(ISERROR(
PG!E285*D284),"",PG!E285*D284)</f>
        <v>0</v>
      </c>
    </row>
    <row r="285" spans="3:17" ht="30" customHeight="1" thickBot="1" x14ac:dyDescent="0.25">
      <c r="C285" s="83">
        <f>PG!C286</f>
        <v>0</v>
      </c>
      <c r="D285" s="23"/>
      <c r="E285" s="27"/>
      <c r="F285" s="27"/>
      <c r="G285" s="23"/>
      <c r="H285" s="62">
        <f>D285+PG!D286*(E285+F285)+G285</f>
        <v>0</v>
      </c>
      <c r="J285" s="18" t="str">
        <f>IF(ISERROR(
PG!F286*E285),"",PG!F286*E285)</f>
        <v/>
      </c>
      <c r="K285" s="18" t="str">
        <f>IF(ISERROR(
PG!F286*F285),"",PG!F286*F285)</f>
        <v/>
      </c>
      <c r="L285" s="18">
        <f>IF(ISERROR(
PG!D286-H285),"",PG!D286-H285)</f>
        <v>0</v>
      </c>
      <c r="M285" s="33" t="str">
        <f>IF(ISERROR(
L285/PG!D286),"",L285/PG!D286)</f>
        <v/>
      </c>
      <c r="N285" s="18" t="str">
        <f>IF(ISERROR(
(O285*PG!D286)),"",(O285*PG!D286))</f>
        <v/>
      </c>
      <c r="O285" s="45" t="str">
        <f>IF(ISERROR(
PEq!$G$20*PG!G286),"",PEq!$G$20*PG!G286)</f>
        <v/>
      </c>
      <c r="P285" s="18">
        <f>IF(ISERROR(
PG!E286*G285),"",PG!E286*G285)</f>
        <v>0</v>
      </c>
      <c r="Q285" s="18">
        <f>IF(ISERROR(
PG!E286*D285),"",PG!E286*D285)</f>
        <v>0</v>
      </c>
    </row>
    <row r="286" spans="3:17" ht="30" customHeight="1" thickBot="1" x14ac:dyDescent="0.25">
      <c r="C286" s="83">
        <f>PG!C287</f>
        <v>0</v>
      </c>
      <c r="D286" s="23"/>
      <c r="E286" s="27"/>
      <c r="F286" s="27"/>
      <c r="G286" s="23"/>
      <c r="H286" s="62">
        <f>D286+PG!D287*(E286+F286)+G286</f>
        <v>0</v>
      </c>
      <c r="J286" s="18" t="str">
        <f>IF(ISERROR(
PG!F287*E286),"",PG!F287*E286)</f>
        <v/>
      </c>
      <c r="K286" s="18" t="str">
        <f>IF(ISERROR(
PG!F287*F286),"",PG!F287*F286)</f>
        <v/>
      </c>
      <c r="L286" s="18">
        <f>IF(ISERROR(
PG!D287-H286),"",PG!D287-H286)</f>
        <v>0</v>
      </c>
      <c r="M286" s="33" t="str">
        <f>IF(ISERROR(
L286/PG!D287),"",L286/PG!D287)</f>
        <v/>
      </c>
      <c r="N286" s="18" t="str">
        <f>IF(ISERROR(
(O286*PG!D287)),"",(O286*PG!D287))</f>
        <v/>
      </c>
      <c r="O286" s="45" t="str">
        <f>IF(ISERROR(
PEq!$G$20*PG!G287),"",PEq!$G$20*PG!G287)</f>
        <v/>
      </c>
      <c r="P286" s="18">
        <f>IF(ISERROR(
PG!E287*G286),"",PG!E287*G286)</f>
        <v>0</v>
      </c>
      <c r="Q286" s="18">
        <f>IF(ISERROR(
PG!E287*D286),"",PG!E287*D286)</f>
        <v>0</v>
      </c>
    </row>
    <row r="287" spans="3:17" ht="30" customHeight="1" thickBot="1" x14ac:dyDescent="0.25">
      <c r="C287" s="83">
        <f>PG!C288</f>
        <v>0</v>
      </c>
      <c r="D287" s="23"/>
      <c r="E287" s="27"/>
      <c r="F287" s="27"/>
      <c r="G287" s="23"/>
      <c r="H287" s="62">
        <f>D287+PG!D288*(E287+F287)+G287</f>
        <v>0</v>
      </c>
      <c r="J287" s="18" t="str">
        <f>IF(ISERROR(
PG!F288*E287),"",PG!F288*E287)</f>
        <v/>
      </c>
      <c r="K287" s="18" t="str">
        <f>IF(ISERROR(
PG!F288*F287),"",PG!F288*F287)</f>
        <v/>
      </c>
      <c r="L287" s="18">
        <f>IF(ISERROR(
PG!D288-H287),"",PG!D288-H287)</f>
        <v>0</v>
      </c>
      <c r="M287" s="33" t="str">
        <f>IF(ISERROR(
L287/PG!D288),"",L287/PG!D288)</f>
        <v/>
      </c>
      <c r="N287" s="18" t="str">
        <f>IF(ISERROR(
(O287*PG!D288)),"",(O287*PG!D288))</f>
        <v/>
      </c>
      <c r="O287" s="45" t="str">
        <f>IF(ISERROR(
PEq!$G$20*PG!G288),"",PEq!$G$20*PG!G288)</f>
        <v/>
      </c>
      <c r="P287" s="18">
        <f>IF(ISERROR(
PG!E288*G287),"",PG!E288*G287)</f>
        <v>0</v>
      </c>
      <c r="Q287" s="18">
        <f>IF(ISERROR(
PG!E288*D287),"",PG!E288*D287)</f>
        <v>0</v>
      </c>
    </row>
    <row r="288" spans="3:17" ht="30" customHeight="1" thickBot="1" x14ac:dyDescent="0.25">
      <c r="C288" s="83">
        <f>PG!C289</f>
        <v>0</v>
      </c>
      <c r="D288" s="23"/>
      <c r="E288" s="27"/>
      <c r="F288" s="27"/>
      <c r="G288" s="23"/>
      <c r="H288" s="62">
        <f>D288+PG!D289*(E288+F288)+G288</f>
        <v>0</v>
      </c>
      <c r="J288" s="18" t="str">
        <f>IF(ISERROR(
PG!F289*E288),"",PG!F289*E288)</f>
        <v/>
      </c>
      <c r="K288" s="18" t="str">
        <f>IF(ISERROR(
PG!F289*F288),"",PG!F289*F288)</f>
        <v/>
      </c>
      <c r="L288" s="18">
        <f>IF(ISERROR(
PG!D289-H288),"",PG!D289-H288)</f>
        <v>0</v>
      </c>
      <c r="M288" s="33" t="str">
        <f>IF(ISERROR(
L288/PG!D289),"",L288/PG!D289)</f>
        <v/>
      </c>
      <c r="N288" s="18" t="str">
        <f>IF(ISERROR(
(O288*PG!D289)),"",(O288*PG!D289))</f>
        <v/>
      </c>
      <c r="O288" s="45" t="str">
        <f>IF(ISERROR(
PEq!$G$20*PG!G289),"",PEq!$G$20*PG!G289)</f>
        <v/>
      </c>
      <c r="P288" s="18">
        <f>IF(ISERROR(
PG!E289*G288),"",PG!E289*G288)</f>
        <v>0</v>
      </c>
      <c r="Q288" s="18">
        <f>IF(ISERROR(
PG!E289*D288),"",PG!E289*D288)</f>
        <v>0</v>
      </c>
    </row>
    <row r="289" spans="3:17" ht="30" customHeight="1" thickBot="1" x14ac:dyDescent="0.25">
      <c r="C289" s="83">
        <f>PG!C290</f>
        <v>0</v>
      </c>
      <c r="D289" s="23"/>
      <c r="E289" s="27"/>
      <c r="F289" s="27"/>
      <c r="G289" s="23"/>
      <c r="H289" s="62">
        <f>D289+PG!D290*(E289+F289)+G289</f>
        <v>0</v>
      </c>
      <c r="J289" s="18" t="str">
        <f>IF(ISERROR(
PG!F290*E289),"",PG!F290*E289)</f>
        <v/>
      </c>
      <c r="K289" s="18" t="str">
        <f>IF(ISERROR(
PG!F290*F289),"",PG!F290*F289)</f>
        <v/>
      </c>
      <c r="L289" s="18">
        <f>IF(ISERROR(
PG!D290-H289),"",PG!D290-H289)</f>
        <v>0</v>
      </c>
      <c r="M289" s="33" t="str">
        <f>IF(ISERROR(
L289/PG!D290),"",L289/PG!D290)</f>
        <v/>
      </c>
      <c r="N289" s="18" t="str">
        <f>IF(ISERROR(
(O289*PG!D290)),"",(O289*PG!D290))</f>
        <v/>
      </c>
      <c r="O289" s="45" t="str">
        <f>IF(ISERROR(
PEq!$G$20*PG!G290),"",PEq!$G$20*PG!G290)</f>
        <v/>
      </c>
      <c r="P289" s="18">
        <f>IF(ISERROR(
PG!E290*G289),"",PG!E290*G289)</f>
        <v>0</v>
      </c>
      <c r="Q289" s="18">
        <f>IF(ISERROR(
PG!E290*D289),"",PG!E290*D289)</f>
        <v>0</v>
      </c>
    </row>
    <row r="290" spans="3:17" ht="30" customHeight="1" thickBot="1" x14ac:dyDescent="0.25">
      <c r="C290" s="83">
        <f>PG!C291</f>
        <v>0</v>
      </c>
      <c r="D290" s="23"/>
      <c r="E290" s="27"/>
      <c r="F290" s="27"/>
      <c r="G290" s="23"/>
      <c r="H290" s="62">
        <f>D290+PG!D291*(E290+F290)+G290</f>
        <v>0</v>
      </c>
      <c r="J290" s="18" t="str">
        <f>IF(ISERROR(
PG!F291*E290),"",PG!F291*E290)</f>
        <v/>
      </c>
      <c r="K290" s="18" t="str">
        <f>IF(ISERROR(
PG!F291*F290),"",PG!F291*F290)</f>
        <v/>
      </c>
      <c r="L290" s="18">
        <f>IF(ISERROR(
PG!D291-H290),"",PG!D291-H290)</f>
        <v>0</v>
      </c>
      <c r="M290" s="33" t="str">
        <f>IF(ISERROR(
L290/PG!D291),"",L290/PG!D291)</f>
        <v/>
      </c>
      <c r="N290" s="18" t="str">
        <f>IF(ISERROR(
(O290*PG!D291)),"",(O290*PG!D291))</f>
        <v/>
      </c>
      <c r="O290" s="45" t="str">
        <f>IF(ISERROR(
PEq!$G$20*PG!G291),"",PEq!$G$20*PG!G291)</f>
        <v/>
      </c>
      <c r="P290" s="18">
        <f>IF(ISERROR(
PG!E291*G290),"",PG!E291*G290)</f>
        <v>0</v>
      </c>
      <c r="Q290" s="18">
        <f>IF(ISERROR(
PG!E291*D290),"",PG!E291*D290)</f>
        <v>0</v>
      </c>
    </row>
    <row r="291" spans="3:17" ht="30" customHeight="1" thickBot="1" x14ac:dyDescent="0.25">
      <c r="C291" s="83">
        <f>PG!C292</f>
        <v>0</v>
      </c>
      <c r="D291" s="23"/>
      <c r="E291" s="27"/>
      <c r="F291" s="27"/>
      <c r="G291" s="23"/>
      <c r="H291" s="62">
        <f>D291+PG!D292*(E291+F291)+G291</f>
        <v>0</v>
      </c>
      <c r="J291" s="18" t="str">
        <f>IF(ISERROR(
PG!F292*E291),"",PG!F292*E291)</f>
        <v/>
      </c>
      <c r="K291" s="18" t="str">
        <f>IF(ISERROR(
PG!F292*F291),"",PG!F292*F291)</f>
        <v/>
      </c>
      <c r="L291" s="18">
        <f>IF(ISERROR(
PG!D292-H291),"",PG!D292-H291)</f>
        <v>0</v>
      </c>
      <c r="M291" s="33" t="str">
        <f>IF(ISERROR(
L291/PG!D292),"",L291/PG!D292)</f>
        <v/>
      </c>
      <c r="N291" s="18" t="str">
        <f>IF(ISERROR(
(O291*PG!D292)),"",(O291*PG!D292))</f>
        <v/>
      </c>
      <c r="O291" s="45" t="str">
        <f>IF(ISERROR(
PEq!$G$20*PG!G292),"",PEq!$G$20*PG!G292)</f>
        <v/>
      </c>
      <c r="P291" s="18">
        <f>IF(ISERROR(
PG!E292*G291),"",PG!E292*G291)</f>
        <v>0</v>
      </c>
      <c r="Q291" s="18">
        <f>IF(ISERROR(
PG!E292*D291),"",PG!E292*D291)</f>
        <v>0</v>
      </c>
    </row>
    <row r="292" spans="3:17" ht="30" customHeight="1" thickBot="1" x14ac:dyDescent="0.25">
      <c r="C292" s="83">
        <f>PG!C293</f>
        <v>0</v>
      </c>
      <c r="D292" s="23"/>
      <c r="E292" s="27"/>
      <c r="F292" s="27"/>
      <c r="G292" s="23"/>
      <c r="H292" s="62">
        <f>D292+PG!D293*(E292+F292)+G292</f>
        <v>0</v>
      </c>
      <c r="J292" s="18" t="str">
        <f>IF(ISERROR(
PG!F293*E292),"",PG!F293*E292)</f>
        <v/>
      </c>
      <c r="K292" s="18" t="str">
        <f>IF(ISERROR(
PG!F293*F292),"",PG!F293*F292)</f>
        <v/>
      </c>
      <c r="L292" s="18">
        <f>IF(ISERROR(
PG!D293-H292),"",PG!D293-H292)</f>
        <v>0</v>
      </c>
      <c r="M292" s="33" t="str">
        <f>IF(ISERROR(
L292/PG!D293),"",L292/PG!D293)</f>
        <v/>
      </c>
      <c r="N292" s="18" t="str">
        <f>IF(ISERROR(
(O292*PG!D293)),"",(O292*PG!D293))</f>
        <v/>
      </c>
      <c r="O292" s="45" t="str">
        <f>IF(ISERROR(
PEq!$G$20*PG!G293),"",PEq!$G$20*PG!G293)</f>
        <v/>
      </c>
      <c r="P292" s="18">
        <f>IF(ISERROR(
PG!E293*G292),"",PG!E293*G292)</f>
        <v>0</v>
      </c>
      <c r="Q292" s="18">
        <f>IF(ISERROR(
PG!E293*D292),"",PG!E293*D292)</f>
        <v>0</v>
      </c>
    </row>
    <row r="293" spans="3:17" ht="30" customHeight="1" thickBot="1" x14ac:dyDescent="0.25">
      <c r="C293" s="83">
        <f>PG!C294</f>
        <v>0</v>
      </c>
      <c r="D293" s="23"/>
      <c r="E293" s="27"/>
      <c r="F293" s="27"/>
      <c r="G293" s="23"/>
      <c r="H293" s="62">
        <f>D293+PG!D294*(E293+F293)+G293</f>
        <v>0</v>
      </c>
      <c r="J293" s="18" t="str">
        <f>IF(ISERROR(
PG!F294*E293),"",PG!F294*E293)</f>
        <v/>
      </c>
      <c r="K293" s="18" t="str">
        <f>IF(ISERROR(
PG!F294*F293),"",PG!F294*F293)</f>
        <v/>
      </c>
      <c r="L293" s="18">
        <f>IF(ISERROR(
PG!D294-H293),"",PG!D294-H293)</f>
        <v>0</v>
      </c>
      <c r="M293" s="33" t="str">
        <f>IF(ISERROR(
L293/PG!D294),"",L293/PG!D294)</f>
        <v/>
      </c>
      <c r="N293" s="18" t="str">
        <f>IF(ISERROR(
(O293*PG!D294)),"",(O293*PG!D294))</f>
        <v/>
      </c>
      <c r="O293" s="45" t="str">
        <f>IF(ISERROR(
PEq!$G$20*PG!G294),"",PEq!$G$20*PG!G294)</f>
        <v/>
      </c>
      <c r="P293" s="18">
        <f>IF(ISERROR(
PG!E294*G293),"",PG!E294*G293)</f>
        <v>0</v>
      </c>
      <c r="Q293" s="18">
        <f>IF(ISERROR(
PG!E294*D293),"",PG!E294*D293)</f>
        <v>0</v>
      </c>
    </row>
    <row r="294" spans="3:17" ht="30" customHeight="1" thickBot="1" x14ac:dyDescent="0.25">
      <c r="C294" s="83">
        <f>PG!C295</f>
        <v>0</v>
      </c>
      <c r="D294" s="23"/>
      <c r="E294" s="27"/>
      <c r="F294" s="27"/>
      <c r="G294" s="23"/>
      <c r="H294" s="62">
        <f>D294+PG!D295*(E294+F294)+G294</f>
        <v>0</v>
      </c>
      <c r="J294" s="18" t="str">
        <f>IF(ISERROR(
PG!F295*E294),"",PG!F295*E294)</f>
        <v/>
      </c>
      <c r="K294" s="18" t="str">
        <f>IF(ISERROR(
PG!F295*F294),"",PG!F295*F294)</f>
        <v/>
      </c>
      <c r="L294" s="18">
        <f>IF(ISERROR(
PG!D295-H294),"",PG!D295-H294)</f>
        <v>0</v>
      </c>
      <c r="M294" s="33" t="str">
        <f>IF(ISERROR(
L294/PG!D295),"",L294/PG!D295)</f>
        <v/>
      </c>
      <c r="N294" s="18" t="str">
        <f>IF(ISERROR(
(O294*PG!D295)),"",(O294*PG!D295))</f>
        <v/>
      </c>
      <c r="O294" s="45" t="str">
        <f>IF(ISERROR(
PEq!$G$20*PG!G295),"",PEq!$G$20*PG!G295)</f>
        <v/>
      </c>
      <c r="P294" s="18">
        <f>IF(ISERROR(
PG!E295*G294),"",PG!E295*G294)</f>
        <v>0</v>
      </c>
      <c r="Q294" s="18">
        <f>IF(ISERROR(
PG!E295*D294),"",PG!E295*D294)</f>
        <v>0</v>
      </c>
    </row>
    <row r="295" spans="3:17" ht="30" customHeight="1" thickBot="1" x14ac:dyDescent="0.25">
      <c r="C295" s="83">
        <f>PG!C296</f>
        <v>0</v>
      </c>
      <c r="D295" s="23"/>
      <c r="E295" s="27"/>
      <c r="F295" s="27"/>
      <c r="G295" s="23"/>
      <c r="H295" s="62">
        <f>D295+PG!D296*(E295+F295)+G295</f>
        <v>0</v>
      </c>
      <c r="J295" s="18" t="str">
        <f>IF(ISERROR(
PG!F296*E295),"",PG!F296*E295)</f>
        <v/>
      </c>
      <c r="K295" s="18" t="str">
        <f>IF(ISERROR(
PG!F296*F295),"",PG!F296*F295)</f>
        <v/>
      </c>
      <c r="L295" s="18">
        <f>IF(ISERROR(
PG!D296-H295),"",PG!D296-H295)</f>
        <v>0</v>
      </c>
      <c r="M295" s="33" t="str">
        <f>IF(ISERROR(
L295/PG!D296),"",L295/PG!D296)</f>
        <v/>
      </c>
      <c r="N295" s="18" t="str">
        <f>IF(ISERROR(
(O295*PG!D296)),"",(O295*PG!D296))</f>
        <v/>
      </c>
      <c r="O295" s="45" t="str">
        <f>IF(ISERROR(
PEq!$G$20*PG!G296),"",PEq!$G$20*PG!G296)</f>
        <v/>
      </c>
      <c r="P295" s="18">
        <f>IF(ISERROR(
PG!E296*G295),"",PG!E296*G295)</f>
        <v>0</v>
      </c>
      <c r="Q295" s="18">
        <f>IF(ISERROR(
PG!E296*D295),"",PG!E296*D295)</f>
        <v>0</v>
      </c>
    </row>
    <row r="296" spans="3:17" ht="30" customHeight="1" thickBot="1" x14ac:dyDescent="0.25">
      <c r="C296" s="83">
        <f>PG!C297</f>
        <v>0</v>
      </c>
      <c r="D296" s="23"/>
      <c r="E296" s="27"/>
      <c r="F296" s="27"/>
      <c r="G296" s="23"/>
      <c r="H296" s="62">
        <f>D296+PG!D297*(E296+F296)+G296</f>
        <v>0</v>
      </c>
      <c r="J296" s="18" t="str">
        <f>IF(ISERROR(
PG!F297*E296),"",PG!F297*E296)</f>
        <v/>
      </c>
      <c r="K296" s="18" t="str">
        <f>IF(ISERROR(
PG!F297*F296),"",PG!F297*F296)</f>
        <v/>
      </c>
      <c r="L296" s="18">
        <f>IF(ISERROR(
PG!D297-H296),"",PG!D297-H296)</f>
        <v>0</v>
      </c>
      <c r="M296" s="33" t="str">
        <f>IF(ISERROR(
L296/PG!D297),"",L296/PG!D297)</f>
        <v/>
      </c>
      <c r="N296" s="18" t="str">
        <f>IF(ISERROR(
(O296*PG!D297)),"",(O296*PG!D297))</f>
        <v/>
      </c>
      <c r="O296" s="45" t="str">
        <f>IF(ISERROR(
PEq!$G$20*PG!G297),"",PEq!$G$20*PG!G297)</f>
        <v/>
      </c>
      <c r="P296" s="18">
        <f>IF(ISERROR(
PG!E297*G296),"",PG!E297*G296)</f>
        <v>0</v>
      </c>
      <c r="Q296" s="18">
        <f>IF(ISERROR(
PG!E297*D296),"",PG!E297*D296)</f>
        <v>0</v>
      </c>
    </row>
    <row r="297" spans="3:17" ht="30" customHeight="1" thickBot="1" x14ac:dyDescent="0.25">
      <c r="C297" s="83">
        <f>PG!C298</f>
        <v>0</v>
      </c>
      <c r="D297" s="23"/>
      <c r="E297" s="27"/>
      <c r="F297" s="27"/>
      <c r="G297" s="23"/>
      <c r="H297" s="62">
        <f>D297+PG!D298*(E297+F297)+G297</f>
        <v>0</v>
      </c>
      <c r="J297" s="18" t="str">
        <f>IF(ISERROR(
PG!F298*E297),"",PG!F298*E297)</f>
        <v/>
      </c>
      <c r="K297" s="18" t="str">
        <f>IF(ISERROR(
PG!F298*F297),"",PG!F298*F297)</f>
        <v/>
      </c>
      <c r="L297" s="18">
        <f>IF(ISERROR(
PG!D298-H297),"",PG!D298-H297)</f>
        <v>0</v>
      </c>
      <c r="M297" s="33" t="str">
        <f>IF(ISERROR(
L297/PG!D298),"",L297/PG!D298)</f>
        <v/>
      </c>
      <c r="N297" s="18" t="str">
        <f>IF(ISERROR(
(O297*PG!D298)),"",(O297*PG!D298))</f>
        <v/>
      </c>
      <c r="O297" s="45" t="str">
        <f>IF(ISERROR(
PEq!$G$20*PG!G298),"",PEq!$G$20*PG!G298)</f>
        <v/>
      </c>
      <c r="P297" s="18">
        <f>IF(ISERROR(
PG!E298*G297),"",PG!E298*G297)</f>
        <v>0</v>
      </c>
      <c r="Q297" s="18">
        <f>IF(ISERROR(
PG!E298*D297),"",PG!E298*D297)</f>
        <v>0</v>
      </c>
    </row>
    <row r="298" spans="3:17" ht="30" customHeight="1" thickBot="1" x14ac:dyDescent="0.25">
      <c r="C298" s="83">
        <f>PG!C299</f>
        <v>0</v>
      </c>
      <c r="D298" s="23"/>
      <c r="E298" s="27"/>
      <c r="F298" s="27"/>
      <c r="G298" s="23"/>
      <c r="H298" s="62">
        <f>D298+PG!D299*(E298+F298)+G298</f>
        <v>0</v>
      </c>
      <c r="J298" s="18" t="str">
        <f>IF(ISERROR(
PG!F299*E298),"",PG!F299*E298)</f>
        <v/>
      </c>
      <c r="K298" s="18" t="str">
        <f>IF(ISERROR(
PG!F299*F298),"",PG!F299*F298)</f>
        <v/>
      </c>
      <c r="L298" s="18">
        <f>IF(ISERROR(
PG!D299-H298),"",PG!D299-H298)</f>
        <v>0</v>
      </c>
      <c r="M298" s="33" t="str">
        <f>IF(ISERROR(
L298/PG!D299),"",L298/PG!D299)</f>
        <v/>
      </c>
      <c r="N298" s="18" t="str">
        <f>IF(ISERROR(
(O298*PG!D299)),"",(O298*PG!D299))</f>
        <v/>
      </c>
      <c r="O298" s="45" t="str">
        <f>IF(ISERROR(
PEq!$G$20*PG!G299),"",PEq!$G$20*PG!G299)</f>
        <v/>
      </c>
      <c r="P298" s="18">
        <f>IF(ISERROR(
PG!E299*G298),"",PG!E299*G298)</f>
        <v>0</v>
      </c>
      <c r="Q298" s="18">
        <f>IF(ISERROR(
PG!E299*D298),"",PG!E299*D298)</f>
        <v>0</v>
      </c>
    </row>
    <row r="299" spans="3:17" ht="30" customHeight="1" thickBot="1" x14ac:dyDescent="0.25">
      <c r="C299" s="83">
        <f>PG!C300</f>
        <v>0</v>
      </c>
      <c r="D299" s="23"/>
      <c r="E299" s="27"/>
      <c r="F299" s="27"/>
      <c r="G299" s="23"/>
      <c r="H299" s="62">
        <f>D299+PG!D300*(E299+F299)+G299</f>
        <v>0</v>
      </c>
      <c r="J299" s="18" t="str">
        <f>IF(ISERROR(
PG!F300*E299),"",PG!F300*E299)</f>
        <v/>
      </c>
      <c r="K299" s="18" t="str">
        <f>IF(ISERROR(
PG!F300*F299),"",PG!F300*F299)</f>
        <v/>
      </c>
      <c r="L299" s="18">
        <f>IF(ISERROR(
PG!D300-H299),"",PG!D300-H299)</f>
        <v>0</v>
      </c>
      <c r="M299" s="33" t="str">
        <f>IF(ISERROR(
L299/PG!D300),"",L299/PG!D300)</f>
        <v/>
      </c>
      <c r="N299" s="18" t="str">
        <f>IF(ISERROR(
(O299*PG!D300)),"",(O299*PG!D300))</f>
        <v/>
      </c>
      <c r="O299" s="45" t="str">
        <f>IF(ISERROR(
PEq!$G$20*PG!G300),"",PEq!$G$20*PG!G300)</f>
        <v/>
      </c>
      <c r="P299" s="18">
        <f>IF(ISERROR(
PG!E300*G299),"",PG!E300*G299)</f>
        <v>0</v>
      </c>
      <c r="Q299" s="18">
        <f>IF(ISERROR(
PG!E300*D299),"",PG!E300*D299)</f>
        <v>0</v>
      </c>
    </row>
    <row r="300" spans="3:17" ht="30" customHeight="1" thickBot="1" x14ac:dyDescent="0.25">
      <c r="C300" s="83">
        <f>PG!C301</f>
        <v>0</v>
      </c>
      <c r="D300" s="23"/>
      <c r="E300" s="27"/>
      <c r="F300" s="27"/>
      <c r="G300" s="23"/>
      <c r="H300" s="62">
        <f>D300+PG!D301*(E300+F300)+G300</f>
        <v>0</v>
      </c>
      <c r="J300" s="18" t="str">
        <f>IF(ISERROR(
PG!F301*E300),"",PG!F301*E300)</f>
        <v/>
      </c>
      <c r="K300" s="18" t="str">
        <f>IF(ISERROR(
PG!F301*F300),"",PG!F301*F300)</f>
        <v/>
      </c>
      <c r="L300" s="18">
        <f>IF(ISERROR(
PG!D301-H300),"",PG!D301-H300)</f>
        <v>0</v>
      </c>
      <c r="M300" s="33" t="str">
        <f>IF(ISERROR(
L300/PG!D301),"",L300/PG!D301)</f>
        <v/>
      </c>
      <c r="N300" s="18" t="str">
        <f>IF(ISERROR(
(O300*PG!D301)),"",(O300*PG!D301))</f>
        <v/>
      </c>
      <c r="O300" s="45" t="str">
        <f>IF(ISERROR(
PEq!$G$20*PG!G301),"",PEq!$G$20*PG!G301)</f>
        <v/>
      </c>
      <c r="P300" s="18">
        <f>IF(ISERROR(
PG!E301*G300),"",PG!E301*G300)</f>
        <v>0</v>
      </c>
      <c r="Q300" s="18">
        <f>IF(ISERROR(
PG!E301*D300),"",PG!E301*D300)</f>
        <v>0</v>
      </c>
    </row>
    <row r="301" spans="3:17" ht="30" customHeight="1" thickBot="1" x14ac:dyDescent="0.25">
      <c r="C301" s="83">
        <f>PG!C302</f>
        <v>0</v>
      </c>
      <c r="D301" s="23"/>
      <c r="E301" s="27"/>
      <c r="F301" s="27"/>
      <c r="G301" s="23"/>
      <c r="H301" s="62">
        <f>D301+PG!D302*(E301+F301)+G301</f>
        <v>0</v>
      </c>
      <c r="J301" s="18" t="str">
        <f>IF(ISERROR(
PG!F302*E301),"",PG!F302*E301)</f>
        <v/>
      </c>
      <c r="K301" s="18" t="str">
        <f>IF(ISERROR(
PG!F302*F301),"",PG!F302*F301)</f>
        <v/>
      </c>
      <c r="L301" s="18">
        <f>IF(ISERROR(
PG!D302-H301),"",PG!D302-H301)</f>
        <v>0</v>
      </c>
      <c r="M301" s="33" t="str">
        <f>IF(ISERROR(
L301/PG!D302),"",L301/PG!D302)</f>
        <v/>
      </c>
      <c r="N301" s="18" t="str">
        <f>IF(ISERROR(
(O301*PG!D302)),"",(O301*PG!D302))</f>
        <v/>
      </c>
      <c r="O301" s="45" t="str">
        <f>IF(ISERROR(
PEq!$G$20*PG!G302),"",PEq!$G$20*PG!G302)</f>
        <v/>
      </c>
      <c r="P301" s="18">
        <f>IF(ISERROR(
PG!E302*G301),"",PG!E302*G301)</f>
        <v>0</v>
      </c>
      <c r="Q301" s="18">
        <f>IF(ISERROR(
PG!E302*D301),"",PG!E302*D301)</f>
        <v>0</v>
      </c>
    </row>
    <row r="302" spans="3:17" ht="30" customHeight="1" thickBot="1" x14ac:dyDescent="0.25">
      <c r="C302" s="83">
        <f>PG!C303</f>
        <v>0</v>
      </c>
      <c r="D302" s="23"/>
      <c r="E302" s="27"/>
      <c r="F302" s="27"/>
      <c r="G302" s="23"/>
      <c r="H302" s="62">
        <f>D302+PG!D303*(E302+F302)+G302</f>
        <v>0</v>
      </c>
      <c r="J302" s="18" t="str">
        <f>IF(ISERROR(
PG!F303*E302),"",PG!F303*E302)</f>
        <v/>
      </c>
      <c r="K302" s="18" t="str">
        <f>IF(ISERROR(
PG!F303*F302),"",PG!F303*F302)</f>
        <v/>
      </c>
      <c r="L302" s="18">
        <f>IF(ISERROR(
PG!D303-H302),"",PG!D303-H302)</f>
        <v>0</v>
      </c>
      <c r="M302" s="33" t="str">
        <f>IF(ISERROR(
L302/PG!D303),"",L302/PG!D303)</f>
        <v/>
      </c>
      <c r="N302" s="18" t="str">
        <f>IF(ISERROR(
(O302*PG!D303)),"",(O302*PG!D303))</f>
        <v/>
      </c>
      <c r="O302" s="45" t="str">
        <f>IF(ISERROR(
PEq!$G$20*PG!G303),"",PEq!$G$20*PG!G303)</f>
        <v/>
      </c>
      <c r="P302" s="18">
        <f>IF(ISERROR(
PG!E303*G302),"",PG!E303*G302)</f>
        <v>0</v>
      </c>
      <c r="Q302" s="18">
        <f>IF(ISERROR(
PG!E303*D302),"",PG!E303*D302)</f>
        <v>0</v>
      </c>
    </row>
    <row r="303" spans="3:17" ht="30" customHeight="1" thickBot="1" x14ac:dyDescent="0.25">
      <c r="C303" s="83">
        <f>PG!C304</f>
        <v>0</v>
      </c>
      <c r="D303" s="23"/>
      <c r="E303" s="27"/>
      <c r="F303" s="27"/>
      <c r="G303" s="23"/>
      <c r="H303" s="62">
        <f>D303+PG!D304*(E303+F303)+G303</f>
        <v>0</v>
      </c>
      <c r="J303" s="18" t="str">
        <f>IF(ISERROR(
PG!F304*E303),"",PG!F304*E303)</f>
        <v/>
      </c>
      <c r="K303" s="18" t="str">
        <f>IF(ISERROR(
PG!F304*F303),"",PG!F304*F303)</f>
        <v/>
      </c>
      <c r="L303" s="18">
        <f>IF(ISERROR(
PG!D304-H303),"",PG!D304-H303)</f>
        <v>0</v>
      </c>
      <c r="M303" s="33" t="str">
        <f>IF(ISERROR(
L303/PG!D304),"",L303/PG!D304)</f>
        <v/>
      </c>
      <c r="N303" s="18" t="str">
        <f>IF(ISERROR(
(O303*PG!D304)),"",(O303*PG!D304))</f>
        <v/>
      </c>
      <c r="O303" s="45" t="str">
        <f>IF(ISERROR(
PEq!$G$20*PG!G304),"",PEq!$G$20*PG!G304)</f>
        <v/>
      </c>
      <c r="P303" s="18">
        <f>IF(ISERROR(
PG!E304*G303),"",PG!E304*G303)</f>
        <v>0</v>
      </c>
      <c r="Q303" s="18">
        <f>IF(ISERROR(
PG!E304*D303),"",PG!E304*D303)</f>
        <v>0</v>
      </c>
    </row>
    <row r="304" spans="3:17" ht="30" customHeight="1" thickBot="1" x14ac:dyDescent="0.25">
      <c r="C304" s="83">
        <f>PG!C305</f>
        <v>0</v>
      </c>
      <c r="D304" s="23"/>
      <c r="E304" s="27"/>
      <c r="F304" s="27"/>
      <c r="G304" s="23"/>
      <c r="H304" s="62">
        <f>D304+PG!D305*(E304+F304)+G304</f>
        <v>0</v>
      </c>
      <c r="J304" s="18" t="str">
        <f>IF(ISERROR(
PG!F305*E304),"",PG!F305*E304)</f>
        <v/>
      </c>
      <c r="K304" s="18" t="str">
        <f>IF(ISERROR(
PG!F305*F304),"",PG!F305*F304)</f>
        <v/>
      </c>
      <c r="L304" s="18">
        <f>IF(ISERROR(
PG!D305-H304),"",PG!D305-H304)</f>
        <v>0</v>
      </c>
      <c r="M304" s="33" t="str">
        <f>IF(ISERROR(
L304/PG!D305),"",L304/PG!D305)</f>
        <v/>
      </c>
      <c r="N304" s="18" t="str">
        <f>IF(ISERROR(
(O304*PG!D305)),"",(O304*PG!D305))</f>
        <v/>
      </c>
      <c r="O304" s="45" t="str">
        <f>IF(ISERROR(
PEq!$G$20*PG!G305),"",PEq!$G$20*PG!G305)</f>
        <v/>
      </c>
      <c r="P304" s="18">
        <f>IF(ISERROR(
PG!E305*G304),"",PG!E305*G304)</f>
        <v>0</v>
      </c>
      <c r="Q304" s="18">
        <f>IF(ISERROR(
PG!E305*D304),"",PG!E305*D304)</f>
        <v>0</v>
      </c>
    </row>
    <row r="305" spans="3:17" ht="30" customHeight="1" thickBot="1" x14ac:dyDescent="0.25">
      <c r="C305" s="83">
        <f>PG!C306</f>
        <v>0</v>
      </c>
      <c r="D305" s="23"/>
      <c r="E305" s="27"/>
      <c r="F305" s="27"/>
      <c r="G305" s="23"/>
      <c r="H305" s="62">
        <f>D305+PG!D306*(E305+F305)+G305</f>
        <v>0</v>
      </c>
      <c r="J305" s="18" t="str">
        <f>IF(ISERROR(
PG!F306*E305),"",PG!F306*E305)</f>
        <v/>
      </c>
      <c r="K305" s="18" t="str">
        <f>IF(ISERROR(
PG!F306*F305),"",PG!F306*F305)</f>
        <v/>
      </c>
      <c r="L305" s="18">
        <f>IF(ISERROR(
PG!D306-H305),"",PG!D306-H305)</f>
        <v>0</v>
      </c>
      <c r="M305" s="33" t="str">
        <f>IF(ISERROR(
L305/PG!D306),"",L305/PG!D306)</f>
        <v/>
      </c>
      <c r="N305" s="18" t="str">
        <f>IF(ISERROR(
(O305*PG!D306)),"",(O305*PG!D306))</f>
        <v/>
      </c>
      <c r="O305" s="45" t="str">
        <f>IF(ISERROR(
PEq!$G$20*PG!G306),"",PEq!$G$20*PG!G306)</f>
        <v/>
      </c>
      <c r="P305" s="18">
        <f>IF(ISERROR(
PG!E306*G305),"",PG!E306*G305)</f>
        <v>0</v>
      </c>
      <c r="Q305" s="18">
        <f>IF(ISERROR(
PG!E306*D305),"",PG!E306*D305)</f>
        <v>0</v>
      </c>
    </row>
    <row r="306" spans="3:17" ht="30" customHeight="1" thickBot="1" x14ac:dyDescent="0.25">
      <c r="C306" s="83">
        <f>PG!C307</f>
        <v>0</v>
      </c>
      <c r="D306" s="23"/>
      <c r="E306" s="27"/>
      <c r="F306" s="27"/>
      <c r="G306" s="23"/>
      <c r="H306" s="62">
        <f>D306+PG!D307*(E306+F306)+G306</f>
        <v>0</v>
      </c>
      <c r="J306" s="18" t="str">
        <f>IF(ISERROR(
PG!F307*E306),"",PG!F307*E306)</f>
        <v/>
      </c>
      <c r="K306" s="18" t="str">
        <f>IF(ISERROR(
PG!F307*F306),"",PG!F307*F306)</f>
        <v/>
      </c>
      <c r="L306" s="18">
        <f>IF(ISERROR(
PG!D307-H306),"",PG!D307-H306)</f>
        <v>0</v>
      </c>
      <c r="M306" s="33" t="str">
        <f>IF(ISERROR(
L306/PG!D307),"",L306/PG!D307)</f>
        <v/>
      </c>
      <c r="N306" s="18" t="str">
        <f>IF(ISERROR(
(O306*PG!D307)),"",(O306*PG!D307))</f>
        <v/>
      </c>
      <c r="O306" s="45" t="str">
        <f>IF(ISERROR(
PEq!$G$20*PG!G307),"",PEq!$G$20*PG!G307)</f>
        <v/>
      </c>
      <c r="P306" s="18">
        <f>IF(ISERROR(
PG!E307*G306),"",PG!E307*G306)</f>
        <v>0</v>
      </c>
      <c r="Q306" s="18">
        <f>IF(ISERROR(
PG!E307*D306),"",PG!E307*D306)</f>
        <v>0</v>
      </c>
    </row>
    <row r="307" spans="3:17" ht="30" customHeight="1" thickBot="1" x14ac:dyDescent="0.25">
      <c r="C307" s="83">
        <f>PG!C308</f>
        <v>0</v>
      </c>
      <c r="D307" s="23"/>
      <c r="E307" s="27"/>
      <c r="F307" s="27"/>
      <c r="G307" s="23"/>
      <c r="H307" s="62">
        <f>D307+PG!D308*(E307+F307)+G307</f>
        <v>0</v>
      </c>
      <c r="J307" s="18" t="str">
        <f>IF(ISERROR(
PG!F308*E307),"",PG!F308*E307)</f>
        <v/>
      </c>
      <c r="K307" s="18" t="str">
        <f>IF(ISERROR(
PG!F308*F307),"",PG!F308*F307)</f>
        <v/>
      </c>
      <c r="L307" s="18">
        <f>IF(ISERROR(
PG!D308-H307),"",PG!D308-H307)</f>
        <v>0</v>
      </c>
      <c r="M307" s="33" t="str">
        <f>IF(ISERROR(
L307/PG!D308),"",L307/PG!D308)</f>
        <v/>
      </c>
      <c r="N307" s="18" t="str">
        <f>IF(ISERROR(
(O307*PG!D308)),"",(O307*PG!D308))</f>
        <v/>
      </c>
      <c r="O307" s="45" t="str">
        <f>IF(ISERROR(
PEq!$G$20*PG!G308),"",PEq!$G$20*PG!G308)</f>
        <v/>
      </c>
      <c r="P307" s="18">
        <f>IF(ISERROR(
PG!E308*G307),"",PG!E308*G307)</f>
        <v>0</v>
      </c>
      <c r="Q307" s="18">
        <f>IF(ISERROR(
PG!E308*D307),"",PG!E308*D307)</f>
        <v>0</v>
      </c>
    </row>
    <row r="308" spans="3:17" ht="30" customHeight="1" thickBot="1" x14ac:dyDescent="0.25">
      <c r="C308" s="83">
        <f>PG!C309</f>
        <v>0</v>
      </c>
      <c r="D308" s="23"/>
      <c r="E308" s="27"/>
      <c r="F308" s="27"/>
      <c r="G308" s="23"/>
      <c r="H308" s="62">
        <f>D308+PG!D309*(E308+F308)+G308</f>
        <v>0</v>
      </c>
      <c r="J308" s="18" t="str">
        <f>IF(ISERROR(
PG!F309*E308),"",PG!F309*E308)</f>
        <v/>
      </c>
      <c r="K308" s="18" t="str">
        <f>IF(ISERROR(
PG!F309*F308),"",PG!F309*F308)</f>
        <v/>
      </c>
      <c r="L308" s="18">
        <f>IF(ISERROR(
PG!D309-H308),"",PG!D309-H308)</f>
        <v>0</v>
      </c>
      <c r="M308" s="33" t="str">
        <f>IF(ISERROR(
L308/PG!D309),"",L308/PG!D309)</f>
        <v/>
      </c>
      <c r="N308" s="18" t="str">
        <f>IF(ISERROR(
(O308*PG!D309)),"",(O308*PG!D309))</f>
        <v/>
      </c>
      <c r="O308" s="45" t="str">
        <f>IF(ISERROR(
PEq!$G$20*PG!G309),"",PEq!$G$20*PG!G309)</f>
        <v/>
      </c>
      <c r="P308" s="18">
        <f>IF(ISERROR(
PG!E309*G308),"",PG!E309*G308)</f>
        <v>0</v>
      </c>
      <c r="Q308" s="18">
        <f>IF(ISERROR(
PG!E309*D308),"",PG!E309*D308)</f>
        <v>0</v>
      </c>
    </row>
    <row r="309" spans="3:17" ht="30" customHeight="1" thickBot="1" x14ac:dyDescent="0.25">
      <c r="C309" s="83">
        <f>PG!C310</f>
        <v>0</v>
      </c>
      <c r="D309" s="23"/>
      <c r="E309" s="27"/>
      <c r="F309" s="27"/>
      <c r="G309" s="23"/>
      <c r="H309" s="62">
        <f>D309+PG!D310*(E309+F309)+G309</f>
        <v>0</v>
      </c>
      <c r="J309" s="18" t="str">
        <f>IF(ISERROR(
PG!F310*E309),"",PG!F310*E309)</f>
        <v/>
      </c>
      <c r="K309" s="18" t="str">
        <f>IF(ISERROR(
PG!F310*F309),"",PG!F310*F309)</f>
        <v/>
      </c>
      <c r="L309" s="18">
        <f>IF(ISERROR(
PG!D310-H309),"",PG!D310-H309)</f>
        <v>0</v>
      </c>
      <c r="M309" s="33" t="str">
        <f>IF(ISERROR(
L309/PG!D310),"",L309/PG!D310)</f>
        <v/>
      </c>
      <c r="N309" s="18" t="str">
        <f>IF(ISERROR(
(O309*PG!D310)),"",(O309*PG!D310))</f>
        <v/>
      </c>
      <c r="O309" s="45" t="str">
        <f>IF(ISERROR(
PEq!$G$20*PG!G310),"",PEq!$G$20*PG!G310)</f>
        <v/>
      </c>
      <c r="P309" s="18">
        <f>IF(ISERROR(
PG!E310*G309),"",PG!E310*G309)</f>
        <v>0</v>
      </c>
      <c r="Q309" s="18">
        <f>IF(ISERROR(
PG!E310*D309),"",PG!E310*D309)</f>
        <v>0</v>
      </c>
    </row>
    <row r="310" spans="3:17" ht="30" customHeight="1" thickBot="1" x14ac:dyDescent="0.25">
      <c r="C310" s="83">
        <f>PG!C311</f>
        <v>0</v>
      </c>
      <c r="D310" s="23"/>
      <c r="E310" s="27"/>
      <c r="F310" s="27"/>
      <c r="G310" s="23"/>
      <c r="H310" s="62">
        <f>D310+PG!D311*(E310+F310)+G310</f>
        <v>0</v>
      </c>
      <c r="J310" s="18" t="str">
        <f>IF(ISERROR(
PG!F311*E310),"",PG!F311*E310)</f>
        <v/>
      </c>
      <c r="K310" s="18" t="str">
        <f>IF(ISERROR(
PG!F311*F310),"",PG!F311*F310)</f>
        <v/>
      </c>
      <c r="L310" s="18">
        <f>IF(ISERROR(
PG!D311-H310),"",PG!D311-H310)</f>
        <v>0</v>
      </c>
      <c r="M310" s="33" t="str">
        <f>IF(ISERROR(
L310/PG!D311),"",L310/PG!D311)</f>
        <v/>
      </c>
      <c r="N310" s="18" t="str">
        <f>IF(ISERROR(
(O310*PG!D311)),"",(O310*PG!D311))</f>
        <v/>
      </c>
      <c r="O310" s="45" t="str">
        <f>IF(ISERROR(
PEq!$G$20*PG!G311),"",PEq!$G$20*PG!G311)</f>
        <v/>
      </c>
      <c r="P310" s="18">
        <f>IF(ISERROR(
PG!E311*G310),"",PG!E311*G310)</f>
        <v>0</v>
      </c>
      <c r="Q310" s="18">
        <f>IF(ISERROR(
PG!E311*D310),"",PG!E311*D310)</f>
        <v>0</v>
      </c>
    </row>
    <row r="311" spans="3:17" ht="30" customHeight="1" thickBot="1" x14ac:dyDescent="0.25">
      <c r="C311" s="83">
        <f>PG!C312</f>
        <v>0</v>
      </c>
      <c r="D311" s="23"/>
      <c r="E311" s="27"/>
      <c r="F311" s="27"/>
      <c r="G311" s="23"/>
      <c r="H311" s="62">
        <f>D311+PG!D312*(E311+F311)+G311</f>
        <v>0</v>
      </c>
      <c r="J311" s="18" t="str">
        <f>IF(ISERROR(
PG!F312*E311),"",PG!F312*E311)</f>
        <v/>
      </c>
      <c r="K311" s="18" t="str">
        <f>IF(ISERROR(
PG!F312*F311),"",PG!F312*F311)</f>
        <v/>
      </c>
      <c r="L311" s="18">
        <f>IF(ISERROR(
PG!D312-H311),"",PG!D312-H311)</f>
        <v>0</v>
      </c>
      <c r="M311" s="33" t="str">
        <f>IF(ISERROR(
L311/PG!D312),"",L311/PG!D312)</f>
        <v/>
      </c>
      <c r="N311" s="18" t="str">
        <f>IF(ISERROR(
(O311*PG!D312)),"",(O311*PG!D312))</f>
        <v/>
      </c>
      <c r="O311" s="45" t="str">
        <f>IF(ISERROR(
PEq!$G$20*PG!G312),"",PEq!$G$20*PG!G312)</f>
        <v/>
      </c>
      <c r="P311" s="18">
        <f>IF(ISERROR(
PG!E312*G311),"",PG!E312*G311)</f>
        <v>0</v>
      </c>
      <c r="Q311" s="18">
        <f>IF(ISERROR(
PG!E312*D311),"",PG!E312*D311)</f>
        <v>0</v>
      </c>
    </row>
    <row r="312" spans="3:17" ht="30" customHeight="1" thickBot="1" x14ac:dyDescent="0.25">
      <c r="C312" s="83">
        <f>PG!C313</f>
        <v>0</v>
      </c>
      <c r="D312" s="23"/>
      <c r="E312" s="27"/>
      <c r="F312" s="27"/>
      <c r="G312" s="23"/>
      <c r="H312" s="62">
        <f>D312+PG!D313*(E312+F312)+G312</f>
        <v>0</v>
      </c>
      <c r="J312" s="18" t="str">
        <f>IF(ISERROR(
PG!F313*E312),"",PG!F313*E312)</f>
        <v/>
      </c>
      <c r="K312" s="18" t="str">
        <f>IF(ISERROR(
PG!F313*F312),"",PG!F313*F312)</f>
        <v/>
      </c>
      <c r="L312" s="18">
        <f>IF(ISERROR(
PG!D313-H312),"",PG!D313-H312)</f>
        <v>0</v>
      </c>
      <c r="M312" s="33" t="str">
        <f>IF(ISERROR(
L312/PG!D313),"",L312/PG!D313)</f>
        <v/>
      </c>
      <c r="N312" s="18" t="str">
        <f>IF(ISERROR(
(O312*PG!D313)),"",(O312*PG!D313))</f>
        <v/>
      </c>
      <c r="O312" s="45" t="str">
        <f>IF(ISERROR(
PEq!$G$20*PG!G313),"",PEq!$G$20*PG!G313)</f>
        <v/>
      </c>
      <c r="P312" s="18">
        <f>IF(ISERROR(
PG!E313*G312),"",PG!E313*G312)</f>
        <v>0</v>
      </c>
      <c r="Q312" s="18">
        <f>IF(ISERROR(
PG!E313*D312),"",PG!E313*D312)</f>
        <v>0</v>
      </c>
    </row>
    <row r="313" spans="3:17" ht="30" customHeight="1" thickBot="1" x14ac:dyDescent="0.25">
      <c r="C313" s="83">
        <f>PG!C314</f>
        <v>0</v>
      </c>
      <c r="D313" s="23"/>
      <c r="E313" s="27"/>
      <c r="F313" s="27"/>
      <c r="G313" s="23"/>
      <c r="H313" s="62">
        <f>D313+PG!D314*(E313+F313)+G313</f>
        <v>0</v>
      </c>
      <c r="J313" s="18" t="str">
        <f>IF(ISERROR(
PG!F314*E313),"",PG!F314*E313)</f>
        <v/>
      </c>
      <c r="K313" s="18" t="str">
        <f>IF(ISERROR(
PG!F314*F313),"",PG!F314*F313)</f>
        <v/>
      </c>
      <c r="L313" s="18">
        <f>IF(ISERROR(
PG!D314-H313),"",PG!D314-H313)</f>
        <v>0</v>
      </c>
      <c r="M313" s="33" t="str">
        <f>IF(ISERROR(
L313/PG!D314),"",L313/PG!D314)</f>
        <v/>
      </c>
      <c r="N313" s="18" t="str">
        <f>IF(ISERROR(
(O313*PG!D314)),"",(O313*PG!D314))</f>
        <v/>
      </c>
      <c r="O313" s="45" t="str">
        <f>IF(ISERROR(
PEq!$G$20*PG!G314),"",PEq!$G$20*PG!G314)</f>
        <v/>
      </c>
      <c r="P313" s="18">
        <f>IF(ISERROR(
PG!E314*G313),"",PG!E314*G313)</f>
        <v>0</v>
      </c>
      <c r="Q313" s="18">
        <f>IF(ISERROR(
PG!E314*D313),"",PG!E314*D313)</f>
        <v>0</v>
      </c>
    </row>
    <row r="314" spans="3:17" ht="30" customHeight="1" thickBot="1" x14ac:dyDescent="0.25">
      <c r="C314" s="83">
        <f>PG!C315</f>
        <v>0</v>
      </c>
      <c r="D314" s="23"/>
      <c r="E314" s="27"/>
      <c r="F314" s="27"/>
      <c r="G314" s="23"/>
      <c r="H314" s="62">
        <f>D314+PG!D315*(E314+F314)+G314</f>
        <v>0</v>
      </c>
      <c r="J314" s="18" t="str">
        <f>IF(ISERROR(
PG!F315*E314),"",PG!F315*E314)</f>
        <v/>
      </c>
      <c r="K314" s="18" t="str">
        <f>IF(ISERROR(
PG!F315*F314),"",PG!F315*F314)</f>
        <v/>
      </c>
      <c r="L314" s="18">
        <f>IF(ISERROR(
PG!D315-H314),"",PG!D315-H314)</f>
        <v>0</v>
      </c>
      <c r="M314" s="33" t="str">
        <f>IF(ISERROR(
L314/PG!D315),"",L314/PG!D315)</f>
        <v/>
      </c>
      <c r="N314" s="18" t="str">
        <f>IF(ISERROR(
(O314*PG!D315)),"",(O314*PG!D315))</f>
        <v/>
      </c>
      <c r="O314" s="45" t="str">
        <f>IF(ISERROR(
PEq!$G$20*PG!G315),"",PEq!$G$20*PG!G315)</f>
        <v/>
      </c>
      <c r="P314" s="18">
        <f>IF(ISERROR(
PG!E315*G314),"",PG!E315*G314)</f>
        <v>0</v>
      </c>
      <c r="Q314" s="18">
        <f>IF(ISERROR(
PG!E315*D314),"",PG!E315*D314)</f>
        <v>0</v>
      </c>
    </row>
    <row r="315" spans="3:17" ht="30" customHeight="1" thickBot="1" x14ac:dyDescent="0.25">
      <c r="C315" s="83">
        <f>PG!C316</f>
        <v>0</v>
      </c>
      <c r="D315" s="23"/>
      <c r="E315" s="27"/>
      <c r="F315" s="27"/>
      <c r="G315" s="23"/>
      <c r="H315" s="62">
        <f>D315+PG!D316*(E315+F315)+G315</f>
        <v>0</v>
      </c>
      <c r="J315" s="18" t="str">
        <f>IF(ISERROR(
PG!F316*E315),"",PG!F316*E315)</f>
        <v/>
      </c>
      <c r="K315" s="18" t="str">
        <f>IF(ISERROR(
PG!F316*F315),"",PG!F316*F315)</f>
        <v/>
      </c>
      <c r="L315" s="18">
        <f>IF(ISERROR(
PG!D316-H315),"",PG!D316-H315)</f>
        <v>0</v>
      </c>
      <c r="M315" s="33" t="str">
        <f>IF(ISERROR(
L315/PG!D316),"",L315/PG!D316)</f>
        <v/>
      </c>
      <c r="N315" s="18" t="str">
        <f>IF(ISERROR(
(O315*PG!D316)),"",(O315*PG!D316))</f>
        <v/>
      </c>
      <c r="O315" s="45" t="str">
        <f>IF(ISERROR(
PEq!$G$20*PG!G316),"",PEq!$G$20*PG!G316)</f>
        <v/>
      </c>
      <c r="P315" s="18">
        <f>IF(ISERROR(
PG!E316*G315),"",PG!E316*G315)</f>
        <v>0</v>
      </c>
      <c r="Q315" s="18">
        <f>IF(ISERROR(
PG!E316*D315),"",PG!E316*D315)</f>
        <v>0</v>
      </c>
    </row>
    <row r="316" spans="3:17" ht="30" customHeight="1" thickBot="1" x14ac:dyDescent="0.25">
      <c r="C316" s="83">
        <f>PG!C317</f>
        <v>0</v>
      </c>
      <c r="D316" s="23"/>
      <c r="E316" s="27"/>
      <c r="F316" s="27"/>
      <c r="G316" s="23"/>
      <c r="H316" s="62">
        <f>D316+PG!D317*(E316+F316)+G316</f>
        <v>0</v>
      </c>
      <c r="J316" s="18" t="str">
        <f>IF(ISERROR(
PG!F317*E316),"",PG!F317*E316)</f>
        <v/>
      </c>
      <c r="K316" s="18" t="str">
        <f>IF(ISERROR(
PG!F317*F316),"",PG!F317*F316)</f>
        <v/>
      </c>
      <c r="L316" s="18">
        <f>IF(ISERROR(
PG!D317-H316),"",PG!D317-H316)</f>
        <v>0</v>
      </c>
      <c r="M316" s="33" t="str">
        <f>IF(ISERROR(
L316/PG!D317),"",L316/PG!D317)</f>
        <v/>
      </c>
      <c r="N316" s="18" t="str">
        <f>IF(ISERROR(
(O316*PG!D317)),"",(O316*PG!D317))</f>
        <v/>
      </c>
      <c r="O316" s="45" t="str">
        <f>IF(ISERROR(
PEq!$G$20*PG!G317),"",PEq!$G$20*PG!G317)</f>
        <v/>
      </c>
      <c r="P316" s="18">
        <f>IF(ISERROR(
PG!E317*G316),"",PG!E317*G316)</f>
        <v>0</v>
      </c>
      <c r="Q316" s="18">
        <f>IF(ISERROR(
PG!E317*D316),"",PG!E317*D316)</f>
        <v>0</v>
      </c>
    </row>
    <row r="317" spans="3:17" ht="30" customHeight="1" thickBot="1" x14ac:dyDescent="0.25">
      <c r="C317" s="83">
        <f>PG!C318</f>
        <v>0</v>
      </c>
      <c r="D317" s="23"/>
      <c r="E317" s="27"/>
      <c r="F317" s="27"/>
      <c r="G317" s="23"/>
      <c r="H317" s="62">
        <f>D317+PG!D318*(E317+F317)+G317</f>
        <v>0</v>
      </c>
      <c r="J317" s="18" t="str">
        <f>IF(ISERROR(
PG!F318*E317),"",PG!F318*E317)</f>
        <v/>
      </c>
      <c r="K317" s="18" t="str">
        <f>IF(ISERROR(
PG!F318*F317),"",PG!F318*F317)</f>
        <v/>
      </c>
      <c r="L317" s="18">
        <f>IF(ISERROR(
PG!D318-H317),"",PG!D318-H317)</f>
        <v>0</v>
      </c>
      <c r="M317" s="33" t="str">
        <f>IF(ISERROR(
L317/PG!D318),"",L317/PG!D318)</f>
        <v/>
      </c>
      <c r="N317" s="18" t="str">
        <f>IF(ISERROR(
(O317*PG!D318)),"",(O317*PG!D318))</f>
        <v/>
      </c>
      <c r="O317" s="45" t="str">
        <f>IF(ISERROR(
PEq!$G$20*PG!G318),"",PEq!$G$20*PG!G318)</f>
        <v/>
      </c>
      <c r="P317" s="18">
        <f>IF(ISERROR(
PG!E318*G317),"",PG!E318*G317)</f>
        <v>0</v>
      </c>
      <c r="Q317" s="18">
        <f>IF(ISERROR(
PG!E318*D317),"",PG!E318*D317)</f>
        <v>0</v>
      </c>
    </row>
    <row r="318" spans="3:17" ht="30" customHeight="1" thickBot="1" x14ac:dyDescent="0.25">
      <c r="C318" s="83">
        <f>PG!C319</f>
        <v>0</v>
      </c>
      <c r="D318" s="23"/>
      <c r="E318" s="27"/>
      <c r="F318" s="27"/>
      <c r="G318" s="23"/>
      <c r="H318" s="62">
        <f>D318+PG!D319*(E318+F318)+G318</f>
        <v>0</v>
      </c>
      <c r="J318" s="18" t="str">
        <f>IF(ISERROR(
PG!F319*E318),"",PG!F319*E318)</f>
        <v/>
      </c>
      <c r="K318" s="18" t="str">
        <f>IF(ISERROR(
PG!F319*F318),"",PG!F319*F318)</f>
        <v/>
      </c>
      <c r="L318" s="18">
        <f>IF(ISERROR(
PG!D319-H318),"",PG!D319-H318)</f>
        <v>0</v>
      </c>
      <c r="M318" s="33" t="str">
        <f>IF(ISERROR(
L318/PG!D319),"",L318/PG!D319)</f>
        <v/>
      </c>
      <c r="N318" s="18" t="str">
        <f>IF(ISERROR(
(O318*PG!D319)),"",(O318*PG!D319))</f>
        <v/>
      </c>
      <c r="O318" s="45" t="str">
        <f>IF(ISERROR(
PEq!$G$20*PG!G319),"",PEq!$G$20*PG!G319)</f>
        <v/>
      </c>
      <c r="P318" s="18">
        <f>IF(ISERROR(
PG!E319*G318),"",PG!E319*G318)</f>
        <v>0</v>
      </c>
      <c r="Q318" s="18">
        <f>IF(ISERROR(
PG!E319*D318),"",PG!E319*D318)</f>
        <v>0</v>
      </c>
    </row>
    <row r="319" spans="3:17" ht="30" customHeight="1" thickBot="1" x14ac:dyDescent="0.25">
      <c r="C319" s="83">
        <f>PG!C320</f>
        <v>0</v>
      </c>
      <c r="D319" s="23"/>
      <c r="E319" s="27"/>
      <c r="F319" s="27"/>
      <c r="G319" s="23"/>
      <c r="H319" s="62">
        <f>D319+PG!D320*(E319+F319)+G319</f>
        <v>0</v>
      </c>
      <c r="J319" s="18" t="str">
        <f>IF(ISERROR(
PG!F320*E319),"",PG!F320*E319)</f>
        <v/>
      </c>
      <c r="K319" s="18" t="str">
        <f>IF(ISERROR(
PG!F320*F319),"",PG!F320*F319)</f>
        <v/>
      </c>
      <c r="L319" s="18">
        <f>IF(ISERROR(
PG!D320-H319),"",PG!D320-H319)</f>
        <v>0</v>
      </c>
      <c r="M319" s="33" t="str">
        <f>IF(ISERROR(
L319/PG!D320),"",L319/PG!D320)</f>
        <v/>
      </c>
      <c r="N319" s="18" t="str">
        <f>IF(ISERROR(
(O319*PG!D320)),"",(O319*PG!D320))</f>
        <v/>
      </c>
      <c r="O319" s="45" t="str">
        <f>IF(ISERROR(
PEq!$G$20*PG!G320),"",PEq!$G$20*PG!G320)</f>
        <v/>
      </c>
      <c r="P319" s="18">
        <f>IF(ISERROR(
PG!E320*G319),"",PG!E320*G319)</f>
        <v>0</v>
      </c>
      <c r="Q319" s="18">
        <f>IF(ISERROR(
PG!E320*D319),"",PG!E320*D319)</f>
        <v>0</v>
      </c>
    </row>
    <row r="320" spans="3:17" ht="30" customHeight="1" thickBot="1" x14ac:dyDescent="0.25">
      <c r="C320" s="83">
        <f>PG!C321</f>
        <v>0</v>
      </c>
      <c r="D320" s="23"/>
      <c r="E320" s="27"/>
      <c r="F320" s="27"/>
      <c r="G320" s="23"/>
      <c r="H320" s="62">
        <f>D320+PG!D321*(E320+F320)+G320</f>
        <v>0</v>
      </c>
      <c r="J320" s="18" t="str">
        <f>IF(ISERROR(
PG!F321*E320),"",PG!F321*E320)</f>
        <v/>
      </c>
      <c r="K320" s="18" t="str">
        <f>IF(ISERROR(
PG!F321*F320),"",PG!F321*F320)</f>
        <v/>
      </c>
      <c r="L320" s="18">
        <f>IF(ISERROR(
PG!D321-H320),"",PG!D321-H320)</f>
        <v>0</v>
      </c>
      <c r="M320" s="33" t="str">
        <f>IF(ISERROR(
L320/PG!D321),"",L320/PG!D321)</f>
        <v/>
      </c>
      <c r="N320" s="18" t="str">
        <f>IF(ISERROR(
(O320*PG!D321)),"",(O320*PG!D321))</f>
        <v/>
      </c>
      <c r="O320" s="45" t="str">
        <f>IF(ISERROR(
PEq!$G$20*PG!G321),"",PEq!$G$20*PG!G321)</f>
        <v/>
      </c>
      <c r="P320" s="18">
        <f>IF(ISERROR(
PG!E321*G320),"",PG!E321*G320)</f>
        <v>0</v>
      </c>
      <c r="Q320" s="18">
        <f>IF(ISERROR(
PG!E321*D320),"",PG!E321*D320)</f>
        <v>0</v>
      </c>
    </row>
    <row r="321" spans="3:17" ht="30" customHeight="1" thickBot="1" x14ac:dyDescent="0.25">
      <c r="C321" s="83">
        <f>PG!C322</f>
        <v>0</v>
      </c>
      <c r="D321" s="23"/>
      <c r="E321" s="27"/>
      <c r="F321" s="27"/>
      <c r="G321" s="23"/>
      <c r="H321" s="62">
        <f>D321+PG!D322*(E321+F321)+G321</f>
        <v>0</v>
      </c>
      <c r="J321" s="18" t="str">
        <f>IF(ISERROR(
PG!F322*E321),"",PG!F322*E321)</f>
        <v/>
      </c>
      <c r="K321" s="18" t="str">
        <f>IF(ISERROR(
PG!F322*F321),"",PG!F322*F321)</f>
        <v/>
      </c>
      <c r="L321" s="18">
        <f>IF(ISERROR(
PG!D322-H321),"",PG!D322-H321)</f>
        <v>0</v>
      </c>
      <c r="M321" s="33" t="str">
        <f>IF(ISERROR(
L321/PG!D322),"",L321/PG!D322)</f>
        <v/>
      </c>
      <c r="N321" s="18" t="str">
        <f>IF(ISERROR(
(O321*PG!D322)),"",(O321*PG!D322))</f>
        <v/>
      </c>
      <c r="O321" s="45" t="str">
        <f>IF(ISERROR(
PEq!$G$20*PG!G322),"",PEq!$G$20*PG!G322)</f>
        <v/>
      </c>
      <c r="P321" s="18">
        <f>IF(ISERROR(
PG!E322*G321),"",PG!E322*G321)</f>
        <v>0</v>
      </c>
      <c r="Q321" s="18">
        <f>IF(ISERROR(
PG!E322*D321),"",PG!E322*D321)</f>
        <v>0</v>
      </c>
    </row>
    <row r="322" spans="3:17" ht="30" customHeight="1" thickBot="1" x14ac:dyDescent="0.25">
      <c r="C322" s="83">
        <f>PG!C323</f>
        <v>0</v>
      </c>
      <c r="D322" s="23"/>
      <c r="E322" s="27"/>
      <c r="F322" s="27"/>
      <c r="G322" s="23"/>
      <c r="H322" s="62">
        <f>D322+PG!D323*(E322+F322)+G322</f>
        <v>0</v>
      </c>
      <c r="J322" s="18" t="str">
        <f>IF(ISERROR(
PG!F323*E322),"",PG!F323*E322)</f>
        <v/>
      </c>
      <c r="K322" s="18" t="str">
        <f>IF(ISERROR(
PG!F323*F322),"",PG!F323*F322)</f>
        <v/>
      </c>
      <c r="L322" s="18">
        <f>IF(ISERROR(
PG!D323-H322),"",PG!D323-H322)</f>
        <v>0</v>
      </c>
      <c r="M322" s="33" t="str">
        <f>IF(ISERROR(
L322/PG!D323),"",L322/PG!D323)</f>
        <v/>
      </c>
      <c r="N322" s="18" t="str">
        <f>IF(ISERROR(
(O322*PG!D323)),"",(O322*PG!D323))</f>
        <v/>
      </c>
      <c r="O322" s="45" t="str">
        <f>IF(ISERROR(
PEq!$G$20*PG!G323),"",PEq!$G$20*PG!G323)</f>
        <v/>
      </c>
      <c r="P322" s="18">
        <f>IF(ISERROR(
PG!E323*G322),"",PG!E323*G322)</f>
        <v>0</v>
      </c>
      <c r="Q322" s="18">
        <f>IF(ISERROR(
PG!E323*D322),"",PG!E323*D322)</f>
        <v>0</v>
      </c>
    </row>
    <row r="323" spans="3:17" ht="30" customHeight="1" thickBot="1" x14ac:dyDescent="0.25">
      <c r="C323" s="83">
        <f>PG!C324</f>
        <v>0</v>
      </c>
      <c r="D323" s="23"/>
      <c r="E323" s="27"/>
      <c r="F323" s="27"/>
      <c r="G323" s="23"/>
      <c r="H323" s="62">
        <f>D323+PG!D324*(E323+F323)+G323</f>
        <v>0</v>
      </c>
      <c r="J323" s="18" t="str">
        <f>IF(ISERROR(
PG!F324*E323),"",PG!F324*E323)</f>
        <v/>
      </c>
      <c r="K323" s="18" t="str">
        <f>IF(ISERROR(
PG!F324*F323),"",PG!F324*F323)</f>
        <v/>
      </c>
      <c r="L323" s="18">
        <f>IF(ISERROR(
PG!D324-H323),"",PG!D324-H323)</f>
        <v>0</v>
      </c>
      <c r="M323" s="33" t="str">
        <f>IF(ISERROR(
L323/PG!D324),"",L323/PG!D324)</f>
        <v/>
      </c>
      <c r="N323" s="18" t="str">
        <f>IF(ISERROR(
(O323*PG!D324)),"",(O323*PG!D324))</f>
        <v/>
      </c>
      <c r="O323" s="45" t="str">
        <f>IF(ISERROR(
PEq!$G$20*PG!G324),"",PEq!$G$20*PG!G324)</f>
        <v/>
      </c>
      <c r="P323" s="18">
        <f>IF(ISERROR(
PG!E324*G323),"",PG!E324*G323)</f>
        <v>0</v>
      </c>
      <c r="Q323" s="18">
        <f>IF(ISERROR(
PG!E324*D323),"",PG!E324*D323)</f>
        <v>0</v>
      </c>
    </row>
    <row r="324" spans="3:17" ht="30" customHeight="1" thickBot="1" x14ac:dyDescent="0.25">
      <c r="C324" s="83">
        <f>PG!C325</f>
        <v>0</v>
      </c>
      <c r="D324" s="23"/>
      <c r="E324" s="27"/>
      <c r="F324" s="27"/>
      <c r="G324" s="23"/>
      <c r="H324" s="62">
        <f>D324+PG!D325*(E324+F324)+G324</f>
        <v>0</v>
      </c>
      <c r="J324" s="18" t="str">
        <f>IF(ISERROR(
PG!F325*E324),"",PG!F325*E324)</f>
        <v/>
      </c>
      <c r="K324" s="18" t="str">
        <f>IF(ISERROR(
PG!F325*F324),"",PG!F325*F324)</f>
        <v/>
      </c>
      <c r="L324" s="18">
        <f>IF(ISERROR(
PG!D325-H324),"",PG!D325-H324)</f>
        <v>0</v>
      </c>
      <c r="M324" s="33" t="str">
        <f>IF(ISERROR(
L324/PG!D325),"",L324/PG!D325)</f>
        <v/>
      </c>
      <c r="N324" s="18" t="str">
        <f>IF(ISERROR(
(O324*PG!D325)),"",(O324*PG!D325))</f>
        <v/>
      </c>
      <c r="O324" s="45" t="str">
        <f>IF(ISERROR(
PEq!$G$20*PG!G325),"",PEq!$G$20*PG!G325)</f>
        <v/>
      </c>
      <c r="P324" s="18">
        <f>IF(ISERROR(
PG!E325*G324),"",PG!E325*G324)</f>
        <v>0</v>
      </c>
      <c r="Q324" s="18">
        <f>IF(ISERROR(
PG!E325*D324),"",PG!E325*D324)</f>
        <v>0</v>
      </c>
    </row>
    <row r="325" spans="3:17" ht="30" customHeight="1" thickBot="1" x14ac:dyDescent="0.25">
      <c r="C325" s="83">
        <f>PG!C326</f>
        <v>0</v>
      </c>
      <c r="D325" s="23"/>
      <c r="E325" s="27"/>
      <c r="F325" s="27"/>
      <c r="G325" s="23"/>
      <c r="H325" s="62">
        <f>D325+PG!D326*(E325+F325)+G325</f>
        <v>0</v>
      </c>
      <c r="J325" s="18" t="str">
        <f>IF(ISERROR(
PG!F326*E325),"",PG!F326*E325)</f>
        <v/>
      </c>
      <c r="K325" s="18" t="str">
        <f>IF(ISERROR(
PG!F326*F325),"",PG!F326*F325)</f>
        <v/>
      </c>
      <c r="L325" s="18">
        <f>IF(ISERROR(
PG!D326-H325),"",PG!D326-H325)</f>
        <v>0</v>
      </c>
      <c r="M325" s="33" t="str">
        <f>IF(ISERROR(
L325/PG!D326),"",L325/PG!D326)</f>
        <v/>
      </c>
      <c r="N325" s="18" t="str">
        <f>IF(ISERROR(
(O325*PG!D326)),"",(O325*PG!D326))</f>
        <v/>
      </c>
      <c r="O325" s="45" t="str">
        <f>IF(ISERROR(
PEq!$G$20*PG!G326),"",PEq!$G$20*PG!G326)</f>
        <v/>
      </c>
      <c r="P325" s="18">
        <f>IF(ISERROR(
PG!E326*G325),"",PG!E326*G325)</f>
        <v>0</v>
      </c>
      <c r="Q325" s="18">
        <f>IF(ISERROR(
PG!E326*D325),"",PG!E326*D325)</f>
        <v>0</v>
      </c>
    </row>
    <row r="326" spans="3:17" ht="30" customHeight="1" thickBot="1" x14ac:dyDescent="0.25">
      <c r="C326" s="83">
        <f>PG!C327</f>
        <v>0</v>
      </c>
      <c r="D326" s="23"/>
      <c r="E326" s="27"/>
      <c r="F326" s="27"/>
      <c r="G326" s="23"/>
      <c r="H326" s="62">
        <f>D326+PG!D327*(E326+F326)+G326</f>
        <v>0</v>
      </c>
      <c r="J326" s="18" t="str">
        <f>IF(ISERROR(
PG!F327*E326),"",PG!F327*E326)</f>
        <v/>
      </c>
      <c r="K326" s="18" t="str">
        <f>IF(ISERROR(
PG!F327*F326),"",PG!F327*F326)</f>
        <v/>
      </c>
      <c r="L326" s="18">
        <f>IF(ISERROR(
PG!D327-H326),"",PG!D327-H326)</f>
        <v>0</v>
      </c>
      <c r="M326" s="33" t="str">
        <f>IF(ISERROR(
L326/PG!D327),"",L326/PG!D327)</f>
        <v/>
      </c>
      <c r="N326" s="18" t="str">
        <f>IF(ISERROR(
(O326*PG!D327)),"",(O326*PG!D327))</f>
        <v/>
      </c>
      <c r="O326" s="45" t="str">
        <f>IF(ISERROR(
PEq!$G$20*PG!G327),"",PEq!$G$20*PG!G327)</f>
        <v/>
      </c>
      <c r="P326" s="18">
        <f>IF(ISERROR(
PG!E327*G326),"",PG!E327*G326)</f>
        <v>0</v>
      </c>
      <c r="Q326" s="18">
        <f>IF(ISERROR(
PG!E327*D326),"",PG!E327*D326)</f>
        <v>0</v>
      </c>
    </row>
    <row r="327" spans="3:17" ht="30" customHeight="1" thickBot="1" x14ac:dyDescent="0.25">
      <c r="C327" s="83">
        <f>PG!C328</f>
        <v>0</v>
      </c>
      <c r="D327" s="23"/>
      <c r="E327" s="27"/>
      <c r="F327" s="27"/>
      <c r="G327" s="23"/>
      <c r="H327" s="62">
        <f>D327+PG!D328*(E327+F327)+G327</f>
        <v>0</v>
      </c>
      <c r="J327" s="18" t="str">
        <f>IF(ISERROR(
PG!F328*E327),"",PG!F328*E327)</f>
        <v/>
      </c>
      <c r="K327" s="18" t="str">
        <f>IF(ISERROR(
PG!F328*F327),"",PG!F328*F327)</f>
        <v/>
      </c>
      <c r="L327" s="18">
        <f>IF(ISERROR(
PG!D328-H327),"",PG!D328-H327)</f>
        <v>0</v>
      </c>
      <c r="M327" s="33" t="str">
        <f>IF(ISERROR(
L327/PG!D328),"",L327/PG!D328)</f>
        <v/>
      </c>
      <c r="N327" s="18" t="str">
        <f>IF(ISERROR(
(O327*PG!D328)),"",(O327*PG!D328))</f>
        <v/>
      </c>
      <c r="O327" s="45" t="str">
        <f>IF(ISERROR(
PEq!$G$20*PG!G328),"",PEq!$G$20*PG!G328)</f>
        <v/>
      </c>
      <c r="P327" s="18">
        <f>IF(ISERROR(
PG!E328*G327),"",PG!E328*G327)</f>
        <v>0</v>
      </c>
      <c r="Q327" s="18">
        <f>IF(ISERROR(
PG!E328*D327),"",PG!E328*D327)</f>
        <v>0</v>
      </c>
    </row>
    <row r="328" spans="3:17" ht="30" customHeight="1" thickBot="1" x14ac:dyDescent="0.25">
      <c r="C328" s="83">
        <f>PG!C329</f>
        <v>0</v>
      </c>
      <c r="D328" s="23"/>
      <c r="E328" s="27"/>
      <c r="F328" s="27"/>
      <c r="G328" s="23"/>
      <c r="H328" s="62">
        <f>D328+PG!D329*(E328+F328)+G328</f>
        <v>0</v>
      </c>
      <c r="J328" s="18" t="str">
        <f>IF(ISERROR(
PG!F329*E328),"",PG!F329*E328)</f>
        <v/>
      </c>
      <c r="K328" s="18" t="str">
        <f>IF(ISERROR(
PG!F329*F328),"",PG!F329*F328)</f>
        <v/>
      </c>
      <c r="L328" s="18">
        <f>IF(ISERROR(
PG!D329-H328),"",PG!D329-H328)</f>
        <v>0</v>
      </c>
      <c r="M328" s="33" t="str">
        <f>IF(ISERROR(
L328/PG!D329),"",L328/PG!D329)</f>
        <v/>
      </c>
      <c r="N328" s="18" t="str">
        <f>IF(ISERROR(
(O328*PG!D329)),"",(O328*PG!D329))</f>
        <v/>
      </c>
      <c r="O328" s="45" t="str">
        <f>IF(ISERROR(
PEq!$G$20*PG!G329),"",PEq!$G$20*PG!G329)</f>
        <v/>
      </c>
      <c r="P328" s="18">
        <f>IF(ISERROR(
PG!E329*G328),"",PG!E329*G328)</f>
        <v>0</v>
      </c>
      <c r="Q328" s="18">
        <f>IF(ISERROR(
PG!E329*D328),"",PG!E329*D328)</f>
        <v>0</v>
      </c>
    </row>
    <row r="329" spans="3:17" ht="30" customHeight="1" thickBot="1" x14ac:dyDescent="0.25">
      <c r="C329" s="83">
        <f>PG!C330</f>
        <v>0</v>
      </c>
      <c r="D329" s="23"/>
      <c r="E329" s="27"/>
      <c r="F329" s="27"/>
      <c r="G329" s="23"/>
      <c r="H329" s="62">
        <f>D329+PG!D330*(E329+F329)+G329</f>
        <v>0</v>
      </c>
      <c r="J329" s="18" t="str">
        <f>IF(ISERROR(
PG!F330*E329),"",PG!F330*E329)</f>
        <v/>
      </c>
      <c r="K329" s="18" t="str">
        <f>IF(ISERROR(
PG!F330*F329),"",PG!F330*F329)</f>
        <v/>
      </c>
      <c r="L329" s="18">
        <f>IF(ISERROR(
PG!D330-H329),"",PG!D330-H329)</f>
        <v>0</v>
      </c>
      <c r="M329" s="33" t="str">
        <f>IF(ISERROR(
L329/PG!D330),"",L329/PG!D330)</f>
        <v/>
      </c>
      <c r="N329" s="18" t="str">
        <f>IF(ISERROR(
(O329*PG!D330)),"",(O329*PG!D330))</f>
        <v/>
      </c>
      <c r="O329" s="45" t="str">
        <f>IF(ISERROR(
PEq!$G$20*PG!G330),"",PEq!$G$20*PG!G330)</f>
        <v/>
      </c>
      <c r="P329" s="18">
        <f>IF(ISERROR(
PG!E330*G329),"",PG!E330*G329)</f>
        <v>0</v>
      </c>
      <c r="Q329" s="18">
        <f>IF(ISERROR(
PG!E330*D329),"",PG!E330*D329)</f>
        <v>0</v>
      </c>
    </row>
    <row r="330" spans="3:17" ht="30" customHeight="1" thickBot="1" x14ac:dyDescent="0.25">
      <c r="C330" s="83">
        <f>PG!C331</f>
        <v>0</v>
      </c>
      <c r="D330" s="23"/>
      <c r="E330" s="27"/>
      <c r="F330" s="27"/>
      <c r="G330" s="23"/>
      <c r="H330" s="62">
        <f>D330+PG!D331*(E330+F330)+G330</f>
        <v>0</v>
      </c>
      <c r="J330" s="18" t="str">
        <f>IF(ISERROR(
PG!F331*E330),"",PG!F331*E330)</f>
        <v/>
      </c>
      <c r="K330" s="18" t="str">
        <f>IF(ISERROR(
PG!F331*F330),"",PG!F331*F330)</f>
        <v/>
      </c>
      <c r="L330" s="18">
        <f>IF(ISERROR(
PG!D331-H330),"",PG!D331-H330)</f>
        <v>0</v>
      </c>
      <c r="M330" s="33" t="str">
        <f>IF(ISERROR(
L330/PG!D331),"",L330/PG!D331)</f>
        <v/>
      </c>
      <c r="N330" s="18" t="str">
        <f>IF(ISERROR(
(O330*PG!D331)),"",(O330*PG!D331))</f>
        <v/>
      </c>
      <c r="O330" s="45" t="str">
        <f>IF(ISERROR(
PEq!$G$20*PG!G331),"",PEq!$G$20*PG!G331)</f>
        <v/>
      </c>
      <c r="P330" s="18">
        <f>IF(ISERROR(
PG!E331*G330),"",PG!E331*G330)</f>
        <v>0</v>
      </c>
      <c r="Q330" s="18">
        <f>IF(ISERROR(
PG!E331*D330),"",PG!E331*D330)</f>
        <v>0</v>
      </c>
    </row>
    <row r="331" spans="3:17" ht="30" customHeight="1" thickBot="1" x14ac:dyDescent="0.25">
      <c r="C331" s="83">
        <f>PG!C332</f>
        <v>0</v>
      </c>
      <c r="D331" s="23"/>
      <c r="E331" s="27"/>
      <c r="F331" s="27"/>
      <c r="G331" s="23"/>
      <c r="H331" s="62">
        <f>D331+PG!D332*(E331+F331)+G331</f>
        <v>0</v>
      </c>
      <c r="J331" s="18" t="str">
        <f>IF(ISERROR(
PG!F332*E331),"",PG!F332*E331)</f>
        <v/>
      </c>
      <c r="K331" s="18" t="str">
        <f>IF(ISERROR(
PG!F332*F331),"",PG!F332*F331)</f>
        <v/>
      </c>
      <c r="L331" s="18">
        <f>IF(ISERROR(
PG!D332-H331),"",PG!D332-H331)</f>
        <v>0</v>
      </c>
      <c r="M331" s="33" t="str">
        <f>IF(ISERROR(
L331/PG!D332),"",L331/PG!D332)</f>
        <v/>
      </c>
      <c r="N331" s="18" t="str">
        <f>IF(ISERROR(
(O331*PG!D332)),"",(O331*PG!D332))</f>
        <v/>
      </c>
      <c r="O331" s="45" t="str">
        <f>IF(ISERROR(
PEq!$G$20*PG!G332),"",PEq!$G$20*PG!G332)</f>
        <v/>
      </c>
      <c r="P331" s="18">
        <f>IF(ISERROR(
PG!E332*G331),"",PG!E332*G331)</f>
        <v>0</v>
      </c>
      <c r="Q331" s="18">
        <f>IF(ISERROR(
PG!E332*D331),"",PG!E332*D331)</f>
        <v>0</v>
      </c>
    </row>
    <row r="332" spans="3:17" ht="30" customHeight="1" thickBot="1" x14ac:dyDescent="0.25">
      <c r="C332" s="83">
        <f>PG!C333</f>
        <v>0</v>
      </c>
      <c r="D332" s="23"/>
      <c r="E332" s="27"/>
      <c r="F332" s="27"/>
      <c r="G332" s="23"/>
      <c r="H332" s="62">
        <f>D332+PG!D333*(E332+F332)+G332</f>
        <v>0</v>
      </c>
      <c r="J332" s="18" t="str">
        <f>IF(ISERROR(
PG!F333*E332),"",PG!F333*E332)</f>
        <v/>
      </c>
      <c r="K332" s="18" t="str">
        <f>IF(ISERROR(
PG!F333*F332),"",PG!F333*F332)</f>
        <v/>
      </c>
      <c r="L332" s="18">
        <f>IF(ISERROR(
PG!D333-H332),"",PG!D333-H332)</f>
        <v>0</v>
      </c>
      <c r="M332" s="33" t="str">
        <f>IF(ISERROR(
L332/PG!D333),"",L332/PG!D333)</f>
        <v/>
      </c>
      <c r="N332" s="18" t="str">
        <f>IF(ISERROR(
(O332*PG!D333)),"",(O332*PG!D333))</f>
        <v/>
      </c>
      <c r="O332" s="45" t="str">
        <f>IF(ISERROR(
PEq!$G$20*PG!G333),"",PEq!$G$20*PG!G333)</f>
        <v/>
      </c>
      <c r="P332" s="18">
        <f>IF(ISERROR(
PG!E333*G332),"",PG!E333*G332)</f>
        <v>0</v>
      </c>
      <c r="Q332" s="18">
        <f>IF(ISERROR(
PG!E333*D332),"",PG!E333*D332)</f>
        <v>0</v>
      </c>
    </row>
    <row r="333" spans="3:17" ht="30" customHeight="1" thickBot="1" x14ac:dyDescent="0.25">
      <c r="C333" s="83">
        <f>PG!C334</f>
        <v>0</v>
      </c>
      <c r="D333" s="23"/>
      <c r="E333" s="27"/>
      <c r="F333" s="27"/>
      <c r="G333" s="23"/>
      <c r="H333" s="62">
        <f>D333+PG!D334*(E333+F333)+G333</f>
        <v>0</v>
      </c>
      <c r="J333" s="18" t="str">
        <f>IF(ISERROR(
PG!F334*E333),"",PG!F334*E333)</f>
        <v/>
      </c>
      <c r="K333" s="18" t="str">
        <f>IF(ISERROR(
PG!F334*F333),"",PG!F334*F333)</f>
        <v/>
      </c>
      <c r="L333" s="18">
        <f>IF(ISERROR(
PG!D334-H333),"",PG!D334-H333)</f>
        <v>0</v>
      </c>
      <c r="M333" s="33" t="str">
        <f>IF(ISERROR(
L333/PG!D334),"",L333/PG!D334)</f>
        <v/>
      </c>
      <c r="N333" s="18" t="str">
        <f>IF(ISERROR(
(O333*PG!D334)),"",(O333*PG!D334))</f>
        <v/>
      </c>
      <c r="O333" s="45" t="str">
        <f>IF(ISERROR(
PEq!$G$20*PG!G334),"",PEq!$G$20*PG!G334)</f>
        <v/>
      </c>
      <c r="P333" s="18">
        <f>IF(ISERROR(
PG!E334*G333),"",PG!E334*G333)</f>
        <v>0</v>
      </c>
      <c r="Q333" s="18">
        <f>IF(ISERROR(
PG!E334*D333),"",PG!E334*D333)</f>
        <v>0</v>
      </c>
    </row>
    <row r="334" spans="3:17" ht="30" customHeight="1" thickBot="1" x14ac:dyDescent="0.25">
      <c r="C334" s="83">
        <f>PG!C335</f>
        <v>0</v>
      </c>
      <c r="D334" s="23"/>
      <c r="E334" s="27"/>
      <c r="F334" s="27"/>
      <c r="G334" s="23"/>
      <c r="H334" s="62">
        <f>D334+PG!D335*(E334+F334)+G334</f>
        <v>0</v>
      </c>
      <c r="J334" s="18" t="str">
        <f>IF(ISERROR(
PG!F335*E334),"",PG!F335*E334)</f>
        <v/>
      </c>
      <c r="K334" s="18" t="str">
        <f>IF(ISERROR(
PG!F335*F334),"",PG!F335*F334)</f>
        <v/>
      </c>
      <c r="L334" s="18">
        <f>IF(ISERROR(
PG!D335-H334),"",PG!D335-H334)</f>
        <v>0</v>
      </c>
      <c r="M334" s="33" t="str">
        <f>IF(ISERROR(
L334/PG!D335),"",L334/PG!D335)</f>
        <v/>
      </c>
      <c r="N334" s="18" t="str">
        <f>IF(ISERROR(
(O334*PG!D335)),"",(O334*PG!D335))</f>
        <v/>
      </c>
      <c r="O334" s="45" t="str">
        <f>IF(ISERROR(
PEq!$G$20*PG!G335),"",PEq!$G$20*PG!G335)</f>
        <v/>
      </c>
      <c r="P334" s="18">
        <f>IF(ISERROR(
PG!E335*G334),"",PG!E335*G334)</f>
        <v>0</v>
      </c>
      <c r="Q334" s="18">
        <f>IF(ISERROR(
PG!E335*D334),"",PG!E335*D334)</f>
        <v>0</v>
      </c>
    </row>
    <row r="335" spans="3:17" ht="30" customHeight="1" thickBot="1" x14ac:dyDescent="0.25">
      <c r="C335" s="83">
        <f>PG!C336</f>
        <v>0</v>
      </c>
      <c r="D335" s="23"/>
      <c r="E335" s="27"/>
      <c r="F335" s="27"/>
      <c r="G335" s="23"/>
      <c r="H335" s="62">
        <f>D335+PG!D336*(E335+F335)+G335</f>
        <v>0</v>
      </c>
      <c r="J335" s="18" t="str">
        <f>IF(ISERROR(
PG!F336*E335),"",PG!F336*E335)</f>
        <v/>
      </c>
      <c r="K335" s="18" t="str">
        <f>IF(ISERROR(
PG!F336*F335),"",PG!F336*F335)</f>
        <v/>
      </c>
      <c r="L335" s="18">
        <f>IF(ISERROR(
PG!D336-H335),"",PG!D336-H335)</f>
        <v>0</v>
      </c>
      <c r="M335" s="33" t="str">
        <f>IF(ISERROR(
L335/PG!D336),"",L335/PG!D336)</f>
        <v/>
      </c>
      <c r="N335" s="18" t="str">
        <f>IF(ISERROR(
(O335*PG!D336)),"",(O335*PG!D336))</f>
        <v/>
      </c>
      <c r="O335" s="45" t="str">
        <f>IF(ISERROR(
PEq!$G$20*PG!G336),"",PEq!$G$20*PG!G336)</f>
        <v/>
      </c>
      <c r="P335" s="18">
        <f>IF(ISERROR(
PG!E336*G335),"",PG!E336*G335)</f>
        <v>0</v>
      </c>
      <c r="Q335" s="18">
        <f>IF(ISERROR(
PG!E336*D335),"",PG!E336*D335)</f>
        <v>0</v>
      </c>
    </row>
    <row r="336" spans="3:17" ht="30" customHeight="1" thickBot="1" x14ac:dyDescent="0.25">
      <c r="C336" s="83">
        <f>PG!C337</f>
        <v>0</v>
      </c>
      <c r="D336" s="23"/>
      <c r="E336" s="27"/>
      <c r="F336" s="27"/>
      <c r="G336" s="23"/>
      <c r="H336" s="62">
        <f>D336+PG!D337*(E336+F336)+G336</f>
        <v>0</v>
      </c>
      <c r="J336" s="18" t="str">
        <f>IF(ISERROR(
PG!F337*E336),"",PG!F337*E336)</f>
        <v/>
      </c>
      <c r="K336" s="18" t="str">
        <f>IF(ISERROR(
PG!F337*F336),"",PG!F337*F336)</f>
        <v/>
      </c>
      <c r="L336" s="18">
        <f>IF(ISERROR(
PG!D337-H336),"",PG!D337-H336)</f>
        <v>0</v>
      </c>
      <c r="M336" s="33" t="str">
        <f>IF(ISERROR(
L336/PG!D337),"",L336/PG!D337)</f>
        <v/>
      </c>
      <c r="N336" s="18" t="str">
        <f>IF(ISERROR(
(O336*PG!D337)),"",(O336*PG!D337))</f>
        <v/>
      </c>
      <c r="O336" s="45" t="str">
        <f>IF(ISERROR(
PEq!$G$20*PG!G337),"",PEq!$G$20*PG!G337)</f>
        <v/>
      </c>
      <c r="P336" s="18">
        <f>IF(ISERROR(
PG!E337*G336),"",PG!E337*G336)</f>
        <v>0</v>
      </c>
      <c r="Q336" s="18">
        <f>IF(ISERROR(
PG!E337*D336),"",PG!E337*D336)</f>
        <v>0</v>
      </c>
    </row>
    <row r="337" spans="3:17" ht="30" customHeight="1" thickBot="1" x14ac:dyDescent="0.25">
      <c r="C337" s="83">
        <f>PG!C338</f>
        <v>0</v>
      </c>
      <c r="D337" s="23"/>
      <c r="E337" s="27"/>
      <c r="F337" s="27"/>
      <c r="G337" s="23"/>
      <c r="H337" s="62">
        <f>D337+PG!D338*(E337+F337)+G337</f>
        <v>0</v>
      </c>
      <c r="J337" s="18" t="str">
        <f>IF(ISERROR(
PG!F338*E337),"",PG!F338*E337)</f>
        <v/>
      </c>
      <c r="K337" s="18" t="str">
        <f>IF(ISERROR(
PG!F338*F337),"",PG!F338*F337)</f>
        <v/>
      </c>
      <c r="L337" s="18">
        <f>IF(ISERROR(
PG!D338-H337),"",PG!D338-H337)</f>
        <v>0</v>
      </c>
      <c r="M337" s="33" t="str">
        <f>IF(ISERROR(
L337/PG!D338),"",L337/PG!D338)</f>
        <v/>
      </c>
      <c r="N337" s="18" t="str">
        <f>IF(ISERROR(
(O337*PG!D338)),"",(O337*PG!D338))</f>
        <v/>
      </c>
      <c r="O337" s="45" t="str">
        <f>IF(ISERROR(
PEq!$G$20*PG!G338),"",PEq!$G$20*PG!G338)</f>
        <v/>
      </c>
      <c r="P337" s="18">
        <f>IF(ISERROR(
PG!E338*G337),"",PG!E338*G337)</f>
        <v>0</v>
      </c>
      <c r="Q337" s="18">
        <f>IF(ISERROR(
PG!E338*D337),"",PG!E338*D337)</f>
        <v>0</v>
      </c>
    </row>
    <row r="338" spans="3:17" ht="30" customHeight="1" thickBot="1" x14ac:dyDescent="0.25">
      <c r="C338" s="83">
        <f>PG!C339</f>
        <v>0</v>
      </c>
      <c r="D338" s="23"/>
      <c r="E338" s="27"/>
      <c r="F338" s="27"/>
      <c r="G338" s="23"/>
      <c r="H338" s="62">
        <f>D338+PG!D339*(E338+F338)+G338</f>
        <v>0</v>
      </c>
      <c r="J338" s="18" t="str">
        <f>IF(ISERROR(
PG!F339*E338),"",PG!F339*E338)</f>
        <v/>
      </c>
      <c r="K338" s="18" t="str">
        <f>IF(ISERROR(
PG!F339*F338),"",PG!F339*F338)</f>
        <v/>
      </c>
      <c r="L338" s="18">
        <f>IF(ISERROR(
PG!D339-H338),"",PG!D339-H338)</f>
        <v>0</v>
      </c>
      <c r="M338" s="33" t="str">
        <f>IF(ISERROR(
L338/PG!D339),"",L338/PG!D339)</f>
        <v/>
      </c>
      <c r="N338" s="18" t="str">
        <f>IF(ISERROR(
(O338*PG!D339)),"",(O338*PG!D339))</f>
        <v/>
      </c>
      <c r="O338" s="45" t="str">
        <f>IF(ISERROR(
PEq!$G$20*PG!G339),"",PEq!$G$20*PG!G339)</f>
        <v/>
      </c>
      <c r="P338" s="18">
        <f>IF(ISERROR(
PG!E339*G338),"",PG!E339*G338)</f>
        <v>0</v>
      </c>
      <c r="Q338" s="18">
        <f>IF(ISERROR(
PG!E339*D338),"",PG!E339*D338)</f>
        <v>0</v>
      </c>
    </row>
    <row r="339" spans="3:17" ht="30" customHeight="1" thickBot="1" x14ac:dyDescent="0.25">
      <c r="C339" s="83">
        <f>PG!C340</f>
        <v>0</v>
      </c>
      <c r="D339" s="23"/>
      <c r="E339" s="27"/>
      <c r="F339" s="27"/>
      <c r="G339" s="23"/>
      <c r="H339" s="62">
        <f>D339+PG!D340*(E339+F339)+G339</f>
        <v>0</v>
      </c>
      <c r="J339" s="18" t="str">
        <f>IF(ISERROR(
PG!F340*E339),"",PG!F340*E339)</f>
        <v/>
      </c>
      <c r="K339" s="18" t="str">
        <f>IF(ISERROR(
PG!F340*F339),"",PG!F340*F339)</f>
        <v/>
      </c>
      <c r="L339" s="18">
        <f>IF(ISERROR(
PG!D340-H339),"",PG!D340-H339)</f>
        <v>0</v>
      </c>
      <c r="M339" s="33" t="str">
        <f>IF(ISERROR(
L339/PG!D340),"",L339/PG!D340)</f>
        <v/>
      </c>
      <c r="N339" s="18" t="str">
        <f>IF(ISERROR(
(O339*PG!D340)),"",(O339*PG!D340))</f>
        <v/>
      </c>
      <c r="O339" s="45" t="str">
        <f>IF(ISERROR(
PEq!$G$20*PG!G340),"",PEq!$G$20*PG!G340)</f>
        <v/>
      </c>
      <c r="P339" s="18">
        <f>IF(ISERROR(
PG!E340*G339),"",PG!E340*G339)</f>
        <v>0</v>
      </c>
      <c r="Q339" s="18">
        <f>IF(ISERROR(
PG!E340*D339),"",PG!E340*D339)</f>
        <v>0</v>
      </c>
    </row>
    <row r="340" spans="3:17" ht="30" customHeight="1" thickBot="1" x14ac:dyDescent="0.25">
      <c r="C340" s="83">
        <f>PG!C341</f>
        <v>0</v>
      </c>
      <c r="D340" s="23"/>
      <c r="E340" s="27"/>
      <c r="F340" s="27"/>
      <c r="G340" s="23"/>
      <c r="H340" s="62">
        <f>D340+PG!D341*(E340+F340)+G340</f>
        <v>0</v>
      </c>
      <c r="J340" s="18" t="str">
        <f>IF(ISERROR(
PG!F341*E340),"",PG!F341*E340)</f>
        <v/>
      </c>
      <c r="K340" s="18" t="str">
        <f>IF(ISERROR(
PG!F341*F340),"",PG!F341*F340)</f>
        <v/>
      </c>
      <c r="L340" s="18">
        <f>IF(ISERROR(
PG!D341-H340),"",PG!D341-H340)</f>
        <v>0</v>
      </c>
      <c r="M340" s="33" t="str">
        <f>IF(ISERROR(
L340/PG!D341),"",L340/PG!D341)</f>
        <v/>
      </c>
      <c r="N340" s="18" t="str">
        <f>IF(ISERROR(
(O340*PG!D341)),"",(O340*PG!D341))</f>
        <v/>
      </c>
      <c r="O340" s="45" t="str">
        <f>IF(ISERROR(
PEq!$G$20*PG!G341),"",PEq!$G$20*PG!G341)</f>
        <v/>
      </c>
      <c r="P340" s="18">
        <f>IF(ISERROR(
PG!E341*G340),"",PG!E341*G340)</f>
        <v>0</v>
      </c>
      <c r="Q340" s="18">
        <f>IF(ISERROR(
PG!E341*D340),"",PG!E341*D340)</f>
        <v>0</v>
      </c>
    </row>
    <row r="341" spans="3:17" ht="30" customHeight="1" thickBot="1" x14ac:dyDescent="0.25">
      <c r="C341" s="83">
        <f>PG!C342</f>
        <v>0</v>
      </c>
      <c r="D341" s="23"/>
      <c r="E341" s="27"/>
      <c r="F341" s="27"/>
      <c r="G341" s="23"/>
      <c r="H341" s="62">
        <f>D341+PG!D342*(E341+F341)+G341</f>
        <v>0</v>
      </c>
      <c r="J341" s="18" t="str">
        <f>IF(ISERROR(
PG!F342*E341),"",PG!F342*E341)</f>
        <v/>
      </c>
      <c r="K341" s="18" t="str">
        <f>IF(ISERROR(
PG!F342*F341),"",PG!F342*F341)</f>
        <v/>
      </c>
      <c r="L341" s="18">
        <f>IF(ISERROR(
PG!D342-H341),"",PG!D342-H341)</f>
        <v>0</v>
      </c>
      <c r="M341" s="33" t="str">
        <f>IF(ISERROR(
L341/PG!D342),"",L341/PG!D342)</f>
        <v/>
      </c>
      <c r="N341" s="18" t="str">
        <f>IF(ISERROR(
(O341*PG!D342)),"",(O341*PG!D342))</f>
        <v/>
      </c>
      <c r="O341" s="45" t="str">
        <f>IF(ISERROR(
PEq!$G$20*PG!G342),"",PEq!$G$20*PG!G342)</f>
        <v/>
      </c>
      <c r="P341" s="18">
        <f>IF(ISERROR(
PG!E342*G341),"",PG!E342*G341)</f>
        <v>0</v>
      </c>
      <c r="Q341" s="18">
        <f>IF(ISERROR(
PG!E342*D341),"",PG!E342*D341)</f>
        <v>0</v>
      </c>
    </row>
    <row r="342" spans="3:17" ht="30" customHeight="1" thickBot="1" x14ac:dyDescent="0.25">
      <c r="C342" s="83">
        <f>PG!C343</f>
        <v>0</v>
      </c>
      <c r="D342" s="23"/>
      <c r="E342" s="27"/>
      <c r="F342" s="27"/>
      <c r="G342" s="23"/>
      <c r="H342" s="62">
        <f>D342+PG!D343*(E342+F342)+G342</f>
        <v>0</v>
      </c>
      <c r="J342" s="18" t="str">
        <f>IF(ISERROR(
PG!F343*E342),"",PG!F343*E342)</f>
        <v/>
      </c>
      <c r="K342" s="18" t="str">
        <f>IF(ISERROR(
PG!F343*F342),"",PG!F343*F342)</f>
        <v/>
      </c>
      <c r="L342" s="18">
        <f>IF(ISERROR(
PG!D343-H342),"",PG!D343-H342)</f>
        <v>0</v>
      </c>
      <c r="M342" s="33" t="str">
        <f>IF(ISERROR(
L342/PG!D343),"",L342/PG!D343)</f>
        <v/>
      </c>
      <c r="N342" s="18" t="str">
        <f>IF(ISERROR(
(O342*PG!D343)),"",(O342*PG!D343))</f>
        <v/>
      </c>
      <c r="O342" s="45" t="str">
        <f>IF(ISERROR(
PEq!$G$20*PG!G343),"",PEq!$G$20*PG!G343)</f>
        <v/>
      </c>
      <c r="P342" s="18">
        <f>IF(ISERROR(
PG!E343*G342),"",PG!E343*G342)</f>
        <v>0</v>
      </c>
      <c r="Q342" s="18">
        <f>IF(ISERROR(
PG!E343*D342),"",PG!E343*D342)</f>
        <v>0</v>
      </c>
    </row>
    <row r="343" spans="3:17" ht="30" customHeight="1" thickBot="1" x14ac:dyDescent="0.25">
      <c r="C343" s="83">
        <f>PG!C344</f>
        <v>0</v>
      </c>
      <c r="D343" s="23"/>
      <c r="E343" s="27"/>
      <c r="F343" s="27"/>
      <c r="G343" s="23"/>
      <c r="H343" s="62">
        <f>D343+PG!D344*(E343+F343)+G343</f>
        <v>0</v>
      </c>
      <c r="J343" s="18" t="str">
        <f>IF(ISERROR(
PG!F344*E343),"",PG!F344*E343)</f>
        <v/>
      </c>
      <c r="K343" s="18" t="str">
        <f>IF(ISERROR(
PG!F344*F343),"",PG!F344*F343)</f>
        <v/>
      </c>
      <c r="L343" s="18">
        <f>IF(ISERROR(
PG!D344-H343),"",PG!D344-H343)</f>
        <v>0</v>
      </c>
      <c r="M343" s="33" t="str">
        <f>IF(ISERROR(
L343/PG!D344),"",L343/PG!D344)</f>
        <v/>
      </c>
      <c r="N343" s="18" t="str">
        <f>IF(ISERROR(
(O343*PG!D344)),"",(O343*PG!D344))</f>
        <v/>
      </c>
      <c r="O343" s="45" t="str">
        <f>IF(ISERROR(
PEq!$G$20*PG!G344),"",PEq!$G$20*PG!G344)</f>
        <v/>
      </c>
      <c r="P343" s="18">
        <f>IF(ISERROR(
PG!E344*G343),"",PG!E344*G343)</f>
        <v>0</v>
      </c>
      <c r="Q343" s="18">
        <f>IF(ISERROR(
PG!E344*D343),"",PG!E344*D343)</f>
        <v>0</v>
      </c>
    </row>
    <row r="344" spans="3:17" ht="30" customHeight="1" thickBot="1" x14ac:dyDescent="0.25">
      <c r="C344" s="83">
        <f>PG!C345</f>
        <v>0</v>
      </c>
      <c r="D344" s="23"/>
      <c r="E344" s="27"/>
      <c r="F344" s="27"/>
      <c r="G344" s="23"/>
      <c r="H344" s="62">
        <f>D344+PG!D345*(E344+F344)+G344</f>
        <v>0</v>
      </c>
      <c r="J344" s="18" t="str">
        <f>IF(ISERROR(
PG!F345*E344),"",PG!F345*E344)</f>
        <v/>
      </c>
      <c r="K344" s="18" t="str">
        <f>IF(ISERROR(
PG!F345*F344),"",PG!F345*F344)</f>
        <v/>
      </c>
      <c r="L344" s="18">
        <f>IF(ISERROR(
PG!D345-H344),"",PG!D345-H344)</f>
        <v>0</v>
      </c>
      <c r="M344" s="33" t="str">
        <f>IF(ISERROR(
L344/PG!D345),"",L344/PG!D345)</f>
        <v/>
      </c>
      <c r="N344" s="18" t="str">
        <f>IF(ISERROR(
(O344*PG!D345)),"",(O344*PG!D345))</f>
        <v/>
      </c>
      <c r="O344" s="45" t="str">
        <f>IF(ISERROR(
PEq!$G$20*PG!G345),"",PEq!$G$20*PG!G345)</f>
        <v/>
      </c>
      <c r="P344" s="18">
        <f>IF(ISERROR(
PG!E345*G344),"",PG!E345*G344)</f>
        <v>0</v>
      </c>
      <c r="Q344" s="18">
        <f>IF(ISERROR(
PG!E345*D344),"",PG!E345*D344)</f>
        <v>0</v>
      </c>
    </row>
    <row r="345" spans="3:17" ht="30" customHeight="1" thickBot="1" x14ac:dyDescent="0.25">
      <c r="C345" s="83">
        <f>PG!C346</f>
        <v>0</v>
      </c>
      <c r="D345" s="23"/>
      <c r="E345" s="27"/>
      <c r="F345" s="27"/>
      <c r="G345" s="23"/>
      <c r="H345" s="62">
        <f>D345+PG!D346*(E345+F345)+G345</f>
        <v>0</v>
      </c>
      <c r="J345" s="18" t="str">
        <f>IF(ISERROR(
PG!F346*E345),"",PG!F346*E345)</f>
        <v/>
      </c>
      <c r="K345" s="18" t="str">
        <f>IF(ISERROR(
PG!F346*F345),"",PG!F346*F345)</f>
        <v/>
      </c>
      <c r="L345" s="18">
        <f>IF(ISERROR(
PG!D346-H345),"",PG!D346-H345)</f>
        <v>0</v>
      </c>
      <c r="M345" s="33" t="str">
        <f>IF(ISERROR(
L345/PG!D346),"",L345/PG!D346)</f>
        <v/>
      </c>
      <c r="N345" s="18" t="str">
        <f>IF(ISERROR(
(O345*PG!D346)),"",(O345*PG!D346))</f>
        <v/>
      </c>
      <c r="O345" s="45" t="str">
        <f>IF(ISERROR(
PEq!$G$20*PG!G346),"",PEq!$G$20*PG!G346)</f>
        <v/>
      </c>
      <c r="P345" s="18">
        <f>IF(ISERROR(
PG!E346*G345),"",PG!E346*G345)</f>
        <v>0</v>
      </c>
      <c r="Q345" s="18">
        <f>IF(ISERROR(
PG!E346*D345),"",PG!E346*D345)</f>
        <v>0</v>
      </c>
    </row>
    <row r="346" spans="3:17" ht="30" customHeight="1" thickBot="1" x14ac:dyDescent="0.25">
      <c r="C346" s="83">
        <f>PG!C347</f>
        <v>0</v>
      </c>
      <c r="D346" s="23"/>
      <c r="E346" s="27"/>
      <c r="F346" s="27"/>
      <c r="G346" s="23"/>
      <c r="H346" s="62">
        <f>D346+PG!D347*(E346+F346)+G346</f>
        <v>0</v>
      </c>
      <c r="J346" s="18" t="str">
        <f>IF(ISERROR(
PG!F347*E346),"",PG!F347*E346)</f>
        <v/>
      </c>
      <c r="K346" s="18" t="str">
        <f>IF(ISERROR(
PG!F347*F346),"",PG!F347*F346)</f>
        <v/>
      </c>
      <c r="L346" s="18">
        <f>IF(ISERROR(
PG!D347-H346),"",PG!D347-H346)</f>
        <v>0</v>
      </c>
      <c r="M346" s="33" t="str">
        <f>IF(ISERROR(
L346/PG!D347),"",L346/PG!D347)</f>
        <v/>
      </c>
      <c r="N346" s="18" t="str">
        <f>IF(ISERROR(
(O346*PG!D347)),"",(O346*PG!D347))</f>
        <v/>
      </c>
      <c r="O346" s="45" t="str">
        <f>IF(ISERROR(
PEq!$G$20*PG!G347),"",PEq!$G$20*PG!G347)</f>
        <v/>
      </c>
      <c r="P346" s="18">
        <f>IF(ISERROR(
PG!E347*G346),"",PG!E347*G346)</f>
        <v>0</v>
      </c>
      <c r="Q346" s="18">
        <f>IF(ISERROR(
PG!E347*D346),"",PG!E347*D346)</f>
        <v>0</v>
      </c>
    </row>
    <row r="347" spans="3:17" ht="30" customHeight="1" thickBot="1" x14ac:dyDescent="0.25">
      <c r="C347" s="83">
        <f>PG!C348</f>
        <v>0</v>
      </c>
      <c r="D347" s="23"/>
      <c r="E347" s="27"/>
      <c r="F347" s="27"/>
      <c r="G347" s="23"/>
      <c r="H347" s="62">
        <f>D347+PG!D348*(E347+F347)+G347</f>
        <v>0</v>
      </c>
      <c r="J347" s="18" t="str">
        <f>IF(ISERROR(
PG!F348*E347),"",PG!F348*E347)</f>
        <v/>
      </c>
      <c r="K347" s="18" t="str">
        <f>IF(ISERROR(
PG!F348*F347),"",PG!F348*F347)</f>
        <v/>
      </c>
      <c r="L347" s="18">
        <f>IF(ISERROR(
PG!D348-H347),"",PG!D348-H347)</f>
        <v>0</v>
      </c>
      <c r="M347" s="33" t="str">
        <f>IF(ISERROR(
L347/PG!D348),"",L347/PG!D348)</f>
        <v/>
      </c>
      <c r="N347" s="18" t="str">
        <f>IF(ISERROR(
(O347*PG!D348)),"",(O347*PG!D348))</f>
        <v/>
      </c>
      <c r="O347" s="45" t="str">
        <f>IF(ISERROR(
PEq!$G$20*PG!G348),"",PEq!$G$20*PG!G348)</f>
        <v/>
      </c>
      <c r="P347" s="18">
        <f>IF(ISERROR(
PG!E348*G347),"",PG!E348*G347)</f>
        <v>0</v>
      </c>
      <c r="Q347" s="18">
        <f>IF(ISERROR(
PG!E348*D347),"",PG!E348*D347)</f>
        <v>0</v>
      </c>
    </row>
    <row r="348" spans="3:17" ht="30" customHeight="1" thickBot="1" x14ac:dyDescent="0.25">
      <c r="C348" s="83">
        <f>PG!C349</f>
        <v>0</v>
      </c>
      <c r="D348" s="23"/>
      <c r="E348" s="27"/>
      <c r="F348" s="27"/>
      <c r="G348" s="23"/>
      <c r="H348" s="62">
        <f>D348+PG!D349*(E348+F348)+G348</f>
        <v>0</v>
      </c>
      <c r="J348" s="18" t="str">
        <f>IF(ISERROR(
PG!F349*E348),"",PG!F349*E348)</f>
        <v/>
      </c>
      <c r="K348" s="18" t="str">
        <f>IF(ISERROR(
PG!F349*F348),"",PG!F349*F348)</f>
        <v/>
      </c>
      <c r="L348" s="18">
        <f>IF(ISERROR(
PG!D349-H348),"",PG!D349-H348)</f>
        <v>0</v>
      </c>
      <c r="M348" s="33" t="str">
        <f>IF(ISERROR(
L348/PG!D349),"",L348/PG!D349)</f>
        <v/>
      </c>
      <c r="N348" s="18" t="str">
        <f>IF(ISERROR(
(O348*PG!D349)),"",(O348*PG!D349))</f>
        <v/>
      </c>
      <c r="O348" s="45" t="str">
        <f>IF(ISERROR(
PEq!$G$20*PG!G349),"",PEq!$G$20*PG!G349)</f>
        <v/>
      </c>
      <c r="P348" s="18">
        <f>IF(ISERROR(
PG!E349*G348),"",PG!E349*G348)</f>
        <v>0</v>
      </c>
      <c r="Q348" s="18">
        <f>IF(ISERROR(
PG!E349*D348),"",PG!E349*D348)</f>
        <v>0</v>
      </c>
    </row>
    <row r="349" spans="3:17" ht="30" customHeight="1" thickBot="1" x14ac:dyDescent="0.25">
      <c r="C349" s="83">
        <f>PG!C350</f>
        <v>0</v>
      </c>
      <c r="D349" s="23"/>
      <c r="E349" s="27"/>
      <c r="F349" s="27"/>
      <c r="G349" s="23"/>
      <c r="H349" s="62">
        <f>D349+PG!D350*(E349+F349)+G349</f>
        <v>0</v>
      </c>
      <c r="J349" s="18" t="str">
        <f>IF(ISERROR(
PG!F350*E349),"",PG!F350*E349)</f>
        <v/>
      </c>
      <c r="K349" s="18" t="str">
        <f>IF(ISERROR(
PG!F350*F349),"",PG!F350*F349)</f>
        <v/>
      </c>
      <c r="L349" s="18">
        <f>IF(ISERROR(
PG!D350-H349),"",PG!D350-H349)</f>
        <v>0</v>
      </c>
      <c r="M349" s="33" t="str">
        <f>IF(ISERROR(
L349/PG!D350),"",L349/PG!D350)</f>
        <v/>
      </c>
      <c r="N349" s="18" t="str">
        <f>IF(ISERROR(
(O349*PG!D350)),"",(O349*PG!D350))</f>
        <v/>
      </c>
      <c r="O349" s="45" t="str">
        <f>IF(ISERROR(
PEq!$G$20*PG!G350),"",PEq!$G$20*PG!G350)</f>
        <v/>
      </c>
      <c r="P349" s="18">
        <f>IF(ISERROR(
PG!E350*G349),"",PG!E350*G349)</f>
        <v>0</v>
      </c>
      <c r="Q349" s="18">
        <f>IF(ISERROR(
PG!E350*D349),"",PG!E350*D349)</f>
        <v>0</v>
      </c>
    </row>
    <row r="350" spans="3:17" ht="30" customHeight="1" thickBot="1" x14ac:dyDescent="0.25">
      <c r="C350" s="83">
        <f>PG!C351</f>
        <v>0</v>
      </c>
      <c r="D350" s="23"/>
      <c r="E350" s="27"/>
      <c r="F350" s="27"/>
      <c r="G350" s="23"/>
      <c r="H350" s="62">
        <f>D350+PG!D351*(E350+F350)+G350</f>
        <v>0</v>
      </c>
      <c r="J350" s="18" t="str">
        <f>IF(ISERROR(
PG!F351*E350),"",PG!F351*E350)</f>
        <v/>
      </c>
      <c r="K350" s="18" t="str">
        <f>IF(ISERROR(
PG!F351*F350),"",PG!F351*F350)</f>
        <v/>
      </c>
      <c r="L350" s="18">
        <f>IF(ISERROR(
PG!D351-H350),"",PG!D351-H350)</f>
        <v>0</v>
      </c>
      <c r="M350" s="33" t="str">
        <f>IF(ISERROR(
L350/PG!D351),"",L350/PG!D351)</f>
        <v/>
      </c>
      <c r="N350" s="18" t="str">
        <f>IF(ISERROR(
(O350*PG!D351)),"",(O350*PG!D351))</f>
        <v/>
      </c>
      <c r="O350" s="45" t="str">
        <f>IF(ISERROR(
PEq!$G$20*PG!G351),"",PEq!$G$20*PG!G351)</f>
        <v/>
      </c>
      <c r="P350" s="18">
        <f>IF(ISERROR(
PG!E351*G350),"",PG!E351*G350)</f>
        <v>0</v>
      </c>
      <c r="Q350" s="18">
        <f>IF(ISERROR(
PG!E351*D350),"",PG!E351*D350)</f>
        <v>0</v>
      </c>
    </row>
    <row r="351" spans="3:17" ht="30" customHeight="1" thickBot="1" x14ac:dyDescent="0.25">
      <c r="C351" s="83">
        <f>PG!C352</f>
        <v>0</v>
      </c>
      <c r="D351" s="23"/>
      <c r="E351" s="27"/>
      <c r="F351" s="27"/>
      <c r="G351" s="23"/>
      <c r="H351" s="62">
        <f>D351+PG!D352*(E351+F351)+G351</f>
        <v>0</v>
      </c>
      <c r="J351" s="18" t="str">
        <f>IF(ISERROR(
PG!F352*E351),"",PG!F352*E351)</f>
        <v/>
      </c>
      <c r="K351" s="18" t="str">
        <f>IF(ISERROR(
PG!F352*F351),"",PG!F352*F351)</f>
        <v/>
      </c>
      <c r="L351" s="18">
        <f>IF(ISERROR(
PG!D352-H351),"",PG!D352-H351)</f>
        <v>0</v>
      </c>
      <c r="M351" s="33" t="str">
        <f>IF(ISERROR(
L351/PG!D352),"",L351/PG!D352)</f>
        <v/>
      </c>
      <c r="N351" s="18" t="str">
        <f>IF(ISERROR(
(O351*PG!D352)),"",(O351*PG!D352))</f>
        <v/>
      </c>
      <c r="O351" s="45" t="str">
        <f>IF(ISERROR(
PEq!$G$20*PG!G352),"",PEq!$G$20*PG!G352)</f>
        <v/>
      </c>
      <c r="P351" s="18">
        <f>IF(ISERROR(
PG!E352*G351),"",PG!E352*G351)</f>
        <v>0</v>
      </c>
      <c r="Q351" s="18">
        <f>IF(ISERROR(
PG!E352*D351),"",PG!E352*D351)</f>
        <v>0</v>
      </c>
    </row>
    <row r="352" spans="3:17" ht="30" customHeight="1" thickBot="1" x14ac:dyDescent="0.25">
      <c r="C352" s="83">
        <f>PG!C353</f>
        <v>0</v>
      </c>
      <c r="D352" s="23"/>
      <c r="E352" s="27"/>
      <c r="F352" s="27"/>
      <c r="G352" s="23"/>
      <c r="H352" s="62">
        <f>D352+PG!D353*(E352+F352)+G352</f>
        <v>0</v>
      </c>
      <c r="J352" s="18" t="str">
        <f>IF(ISERROR(
PG!F353*E352),"",PG!F353*E352)</f>
        <v/>
      </c>
      <c r="K352" s="18" t="str">
        <f>IF(ISERROR(
PG!F353*F352),"",PG!F353*F352)</f>
        <v/>
      </c>
      <c r="L352" s="18">
        <f>IF(ISERROR(
PG!D353-H352),"",PG!D353-H352)</f>
        <v>0</v>
      </c>
      <c r="M352" s="33" t="str">
        <f>IF(ISERROR(
L352/PG!D353),"",L352/PG!D353)</f>
        <v/>
      </c>
      <c r="N352" s="18" t="str">
        <f>IF(ISERROR(
(O352*PG!D353)),"",(O352*PG!D353))</f>
        <v/>
      </c>
      <c r="O352" s="45" t="str">
        <f>IF(ISERROR(
PEq!$G$20*PG!G353),"",PEq!$G$20*PG!G353)</f>
        <v/>
      </c>
      <c r="P352" s="18">
        <f>IF(ISERROR(
PG!E353*G352),"",PG!E353*G352)</f>
        <v>0</v>
      </c>
      <c r="Q352" s="18">
        <f>IF(ISERROR(
PG!E353*D352),"",PG!E353*D352)</f>
        <v>0</v>
      </c>
    </row>
    <row r="353" spans="3:17" ht="30" customHeight="1" thickBot="1" x14ac:dyDescent="0.25">
      <c r="C353" s="83">
        <f>PG!C354</f>
        <v>0</v>
      </c>
      <c r="D353" s="23"/>
      <c r="E353" s="27"/>
      <c r="F353" s="27"/>
      <c r="G353" s="23"/>
      <c r="H353" s="62">
        <f>D353+PG!D354*(E353+F353)+G353</f>
        <v>0</v>
      </c>
      <c r="J353" s="18" t="str">
        <f>IF(ISERROR(
PG!F354*E353),"",PG!F354*E353)</f>
        <v/>
      </c>
      <c r="K353" s="18" t="str">
        <f>IF(ISERROR(
PG!F354*F353),"",PG!F354*F353)</f>
        <v/>
      </c>
      <c r="L353" s="18">
        <f>IF(ISERROR(
PG!D354-H353),"",PG!D354-H353)</f>
        <v>0</v>
      </c>
      <c r="M353" s="33" t="str">
        <f>IF(ISERROR(
L353/PG!D354),"",L353/PG!D354)</f>
        <v/>
      </c>
      <c r="N353" s="18" t="str">
        <f>IF(ISERROR(
(O353*PG!D354)),"",(O353*PG!D354))</f>
        <v/>
      </c>
      <c r="O353" s="45" t="str">
        <f>IF(ISERROR(
PEq!$G$20*PG!G354),"",PEq!$G$20*PG!G354)</f>
        <v/>
      </c>
      <c r="P353" s="18">
        <f>IF(ISERROR(
PG!E354*G353),"",PG!E354*G353)</f>
        <v>0</v>
      </c>
      <c r="Q353" s="18">
        <f>IF(ISERROR(
PG!E354*D353),"",PG!E354*D353)</f>
        <v>0</v>
      </c>
    </row>
    <row r="354" spans="3:17" ht="30" customHeight="1" thickBot="1" x14ac:dyDescent="0.25">
      <c r="C354" s="83">
        <f>PG!C355</f>
        <v>0</v>
      </c>
      <c r="D354" s="23"/>
      <c r="E354" s="27"/>
      <c r="F354" s="27"/>
      <c r="G354" s="23"/>
      <c r="H354" s="62">
        <f>D354+PG!D355*(E354+F354)+G354</f>
        <v>0</v>
      </c>
      <c r="J354" s="18" t="str">
        <f>IF(ISERROR(
PG!F355*E354),"",PG!F355*E354)</f>
        <v/>
      </c>
      <c r="K354" s="18" t="str">
        <f>IF(ISERROR(
PG!F355*F354),"",PG!F355*F354)</f>
        <v/>
      </c>
      <c r="L354" s="18">
        <f>IF(ISERROR(
PG!D355-H354),"",PG!D355-H354)</f>
        <v>0</v>
      </c>
      <c r="M354" s="33" t="str">
        <f>IF(ISERROR(
L354/PG!D355),"",L354/PG!D355)</f>
        <v/>
      </c>
      <c r="N354" s="18" t="str">
        <f>IF(ISERROR(
(O354*PG!D355)),"",(O354*PG!D355))</f>
        <v/>
      </c>
      <c r="O354" s="45" t="str">
        <f>IF(ISERROR(
PEq!$G$20*PG!G355),"",PEq!$G$20*PG!G355)</f>
        <v/>
      </c>
      <c r="P354" s="18">
        <f>IF(ISERROR(
PG!E355*G354),"",PG!E355*G354)</f>
        <v>0</v>
      </c>
      <c r="Q354" s="18">
        <f>IF(ISERROR(
PG!E355*D354),"",PG!E355*D354)</f>
        <v>0</v>
      </c>
    </row>
    <row r="355" spans="3:17" ht="30" customHeight="1" thickBot="1" x14ac:dyDescent="0.25">
      <c r="C355" s="83">
        <f>PG!C356</f>
        <v>0</v>
      </c>
      <c r="D355" s="23"/>
      <c r="E355" s="27"/>
      <c r="F355" s="27"/>
      <c r="G355" s="23"/>
      <c r="H355" s="62">
        <f>D355+PG!D356*(E355+F355)+G355</f>
        <v>0</v>
      </c>
      <c r="J355" s="18" t="str">
        <f>IF(ISERROR(
PG!F356*E355),"",PG!F356*E355)</f>
        <v/>
      </c>
      <c r="K355" s="18" t="str">
        <f>IF(ISERROR(
PG!F356*F355),"",PG!F356*F355)</f>
        <v/>
      </c>
      <c r="L355" s="18">
        <f>IF(ISERROR(
PG!D356-H355),"",PG!D356-H355)</f>
        <v>0</v>
      </c>
      <c r="M355" s="33" t="str">
        <f>IF(ISERROR(
L355/PG!D356),"",L355/PG!D356)</f>
        <v/>
      </c>
      <c r="N355" s="18" t="str">
        <f>IF(ISERROR(
(O355*PG!D356)),"",(O355*PG!D356))</f>
        <v/>
      </c>
      <c r="O355" s="45" t="str">
        <f>IF(ISERROR(
PEq!$G$20*PG!G356),"",PEq!$G$20*PG!G356)</f>
        <v/>
      </c>
      <c r="P355" s="18">
        <f>IF(ISERROR(
PG!E356*G355),"",PG!E356*G355)</f>
        <v>0</v>
      </c>
      <c r="Q355" s="18">
        <f>IF(ISERROR(
PG!E356*D355),"",PG!E356*D355)</f>
        <v>0</v>
      </c>
    </row>
    <row r="356" spans="3:17" ht="30" customHeight="1" thickBot="1" x14ac:dyDescent="0.25">
      <c r="C356" s="83">
        <f>PG!C357</f>
        <v>0</v>
      </c>
      <c r="D356" s="23"/>
      <c r="E356" s="27"/>
      <c r="F356" s="27"/>
      <c r="G356" s="23"/>
      <c r="H356" s="62">
        <f>D356+PG!D357*(E356+F356)+G356</f>
        <v>0</v>
      </c>
      <c r="J356" s="18" t="str">
        <f>IF(ISERROR(
PG!F357*E356),"",PG!F357*E356)</f>
        <v/>
      </c>
      <c r="K356" s="18" t="str">
        <f>IF(ISERROR(
PG!F357*F356),"",PG!F357*F356)</f>
        <v/>
      </c>
      <c r="L356" s="18">
        <f>IF(ISERROR(
PG!D357-H356),"",PG!D357-H356)</f>
        <v>0</v>
      </c>
      <c r="M356" s="33" t="str">
        <f>IF(ISERROR(
L356/PG!D357),"",L356/PG!D357)</f>
        <v/>
      </c>
      <c r="N356" s="18" t="str">
        <f>IF(ISERROR(
(O356*PG!D357)),"",(O356*PG!D357))</f>
        <v/>
      </c>
      <c r="O356" s="45" t="str">
        <f>IF(ISERROR(
PEq!$G$20*PG!G357),"",PEq!$G$20*PG!G357)</f>
        <v/>
      </c>
      <c r="P356" s="18">
        <f>IF(ISERROR(
PG!E357*G356),"",PG!E357*G356)</f>
        <v>0</v>
      </c>
      <c r="Q356" s="18">
        <f>IF(ISERROR(
PG!E357*D356),"",PG!E357*D356)</f>
        <v>0</v>
      </c>
    </row>
    <row r="357" spans="3:17" ht="30" customHeight="1" thickBot="1" x14ac:dyDescent="0.25">
      <c r="C357" s="83">
        <f>PG!C358</f>
        <v>0</v>
      </c>
      <c r="D357" s="23"/>
      <c r="E357" s="27"/>
      <c r="F357" s="27"/>
      <c r="G357" s="23"/>
      <c r="H357" s="62">
        <f>D357+PG!D358*(E357+F357)+G357</f>
        <v>0</v>
      </c>
      <c r="J357" s="18" t="str">
        <f>IF(ISERROR(
PG!F358*E357),"",PG!F358*E357)</f>
        <v/>
      </c>
      <c r="K357" s="18" t="str">
        <f>IF(ISERROR(
PG!F358*F357),"",PG!F358*F357)</f>
        <v/>
      </c>
      <c r="L357" s="18">
        <f>IF(ISERROR(
PG!D358-H357),"",PG!D358-H357)</f>
        <v>0</v>
      </c>
      <c r="M357" s="33" t="str">
        <f>IF(ISERROR(
L357/PG!D358),"",L357/PG!D358)</f>
        <v/>
      </c>
      <c r="N357" s="18" t="str">
        <f>IF(ISERROR(
(O357*PG!D358)),"",(O357*PG!D358))</f>
        <v/>
      </c>
      <c r="O357" s="45" t="str">
        <f>IF(ISERROR(
PEq!$G$20*PG!G358),"",PEq!$G$20*PG!G358)</f>
        <v/>
      </c>
      <c r="P357" s="18">
        <f>IF(ISERROR(
PG!E358*G357),"",PG!E358*G357)</f>
        <v>0</v>
      </c>
      <c r="Q357" s="18">
        <f>IF(ISERROR(
PG!E358*D357),"",PG!E358*D357)</f>
        <v>0</v>
      </c>
    </row>
    <row r="358" spans="3:17" ht="30" customHeight="1" thickBot="1" x14ac:dyDescent="0.25">
      <c r="C358" s="83">
        <f>PG!C359</f>
        <v>0</v>
      </c>
      <c r="D358" s="23"/>
      <c r="E358" s="27"/>
      <c r="F358" s="27"/>
      <c r="G358" s="23"/>
      <c r="H358" s="62">
        <f>D358+PG!D359*(E358+F358)+G358</f>
        <v>0</v>
      </c>
      <c r="J358" s="18" t="str">
        <f>IF(ISERROR(
PG!F359*E358),"",PG!F359*E358)</f>
        <v/>
      </c>
      <c r="K358" s="18" t="str">
        <f>IF(ISERROR(
PG!F359*F358),"",PG!F359*F358)</f>
        <v/>
      </c>
      <c r="L358" s="18">
        <f>IF(ISERROR(
PG!D359-H358),"",PG!D359-H358)</f>
        <v>0</v>
      </c>
      <c r="M358" s="33" t="str">
        <f>IF(ISERROR(
L358/PG!D359),"",L358/PG!D359)</f>
        <v/>
      </c>
      <c r="N358" s="18" t="str">
        <f>IF(ISERROR(
(O358*PG!D359)),"",(O358*PG!D359))</f>
        <v/>
      </c>
      <c r="O358" s="45" t="str">
        <f>IF(ISERROR(
PEq!$G$20*PG!G359),"",PEq!$G$20*PG!G359)</f>
        <v/>
      </c>
      <c r="P358" s="18">
        <f>IF(ISERROR(
PG!E359*G358),"",PG!E359*G358)</f>
        <v>0</v>
      </c>
      <c r="Q358" s="18">
        <f>IF(ISERROR(
PG!E359*D358),"",PG!E359*D358)</f>
        <v>0</v>
      </c>
    </row>
    <row r="359" spans="3:17" ht="30" customHeight="1" thickBot="1" x14ac:dyDescent="0.25">
      <c r="C359" s="83">
        <f>PG!C360</f>
        <v>0</v>
      </c>
      <c r="D359" s="23"/>
      <c r="E359" s="27"/>
      <c r="F359" s="27"/>
      <c r="G359" s="23"/>
      <c r="H359" s="62">
        <f>D359+PG!D360*(E359+F359)+G359</f>
        <v>0</v>
      </c>
      <c r="J359" s="18" t="str">
        <f>IF(ISERROR(
PG!F360*E359),"",PG!F360*E359)</f>
        <v/>
      </c>
      <c r="K359" s="18" t="str">
        <f>IF(ISERROR(
PG!F360*F359),"",PG!F360*F359)</f>
        <v/>
      </c>
      <c r="L359" s="18">
        <f>IF(ISERROR(
PG!D360-H359),"",PG!D360-H359)</f>
        <v>0</v>
      </c>
      <c r="M359" s="33" t="str">
        <f>IF(ISERROR(
L359/PG!D360),"",L359/PG!D360)</f>
        <v/>
      </c>
      <c r="N359" s="18" t="str">
        <f>IF(ISERROR(
(O359*PG!D360)),"",(O359*PG!D360))</f>
        <v/>
      </c>
      <c r="O359" s="45" t="str">
        <f>IF(ISERROR(
PEq!$G$20*PG!G360),"",PEq!$G$20*PG!G360)</f>
        <v/>
      </c>
      <c r="P359" s="18">
        <f>IF(ISERROR(
PG!E360*G359),"",PG!E360*G359)</f>
        <v>0</v>
      </c>
      <c r="Q359" s="18">
        <f>IF(ISERROR(
PG!E360*D359),"",PG!E360*D359)</f>
        <v>0</v>
      </c>
    </row>
    <row r="360" spans="3:17" ht="30" customHeight="1" thickBot="1" x14ac:dyDescent="0.25">
      <c r="C360" s="83">
        <f>PG!C361</f>
        <v>0</v>
      </c>
      <c r="D360" s="23"/>
      <c r="E360" s="27"/>
      <c r="F360" s="27"/>
      <c r="G360" s="23"/>
      <c r="H360" s="62">
        <f>D360+PG!D361*(E360+F360)+G360</f>
        <v>0</v>
      </c>
      <c r="J360" s="18" t="str">
        <f>IF(ISERROR(
PG!F361*E360),"",PG!F361*E360)</f>
        <v/>
      </c>
      <c r="K360" s="18" t="str">
        <f>IF(ISERROR(
PG!F361*F360),"",PG!F361*F360)</f>
        <v/>
      </c>
      <c r="L360" s="18">
        <f>IF(ISERROR(
PG!D361-H360),"",PG!D361-H360)</f>
        <v>0</v>
      </c>
      <c r="M360" s="33" t="str">
        <f>IF(ISERROR(
L360/PG!D361),"",L360/PG!D361)</f>
        <v/>
      </c>
      <c r="N360" s="18" t="str">
        <f>IF(ISERROR(
(O360*PG!D361)),"",(O360*PG!D361))</f>
        <v/>
      </c>
      <c r="O360" s="45" t="str">
        <f>IF(ISERROR(
PEq!$G$20*PG!G361),"",PEq!$G$20*PG!G361)</f>
        <v/>
      </c>
      <c r="P360" s="18">
        <f>IF(ISERROR(
PG!E361*G360),"",PG!E361*G360)</f>
        <v>0</v>
      </c>
      <c r="Q360" s="18">
        <f>IF(ISERROR(
PG!E361*D360),"",PG!E361*D360)</f>
        <v>0</v>
      </c>
    </row>
    <row r="361" spans="3:17" ht="30" customHeight="1" thickBot="1" x14ac:dyDescent="0.25">
      <c r="C361" s="83">
        <f>PG!C362</f>
        <v>0</v>
      </c>
      <c r="D361" s="23"/>
      <c r="E361" s="27"/>
      <c r="F361" s="27"/>
      <c r="G361" s="23"/>
      <c r="H361" s="62">
        <f>D361+PG!D362*(E361+F361)+G361</f>
        <v>0</v>
      </c>
      <c r="J361" s="18" t="str">
        <f>IF(ISERROR(
PG!F362*E361),"",PG!F362*E361)</f>
        <v/>
      </c>
      <c r="K361" s="18" t="str">
        <f>IF(ISERROR(
PG!F362*F361),"",PG!F362*F361)</f>
        <v/>
      </c>
      <c r="L361" s="18">
        <f>IF(ISERROR(
PG!D362-H361),"",PG!D362-H361)</f>
        <v>0</v>
      </c>
      <c r="M361" s="33" t="str">
        <f>IF(ISERROR(
L361/PG!D362),"",L361/PG!D362)</f>
        <v/>
      </c>
      <c r="N361" s="18" t="str">
        <f>IF(ISERROR(
(O361*PG!D362)),"",(O361*PG!D362))</f>
        <v/>
      </c>
      <c r="O361" s="45" t="str">
        <f>IF(ISERROR(
PEq!$G$20*PG!G362),"",PEq!$G$20*PG!G362)</f>
        <v/>
      </c>
      <c r="P361" s="18">
        <f>IF(ISERROR(
PG!E362*G361),"",PG!E362*G361)</f>
        <v>0</v>
      </c>
      <c r="Q361" s="18">
        <f>IF(ISERROR(
PG!E362*D361),"",PG!E362*D361)</f>
        <v>0</v>
      </c>
    </row>
    <row r="362" spans="3:17" ht="30" customHeight="1" thickBot="1" x14ac:dyDescent="0.25">
      <c r="C362" s="83">
        <f>PG!C363</f>
        <v>0</v>
      </c>
      <c r="D362" s="23"/>
      <c r="E362" s="27"/>
      <c r="F362" s="27"/>
      <c r="G362" s="23"/>
      <c r="H362" s="62">
        <f>D362+PG!D363*(E362+F362)+G362</f>
        <v>0</v>
      </c>
      <c r="J362" s="18" t="str">
        <f>IF(ISERROR(
PG!F363*E362),"",PG!F363*E362)</f>
        <v/>
      </c>
      <c r="K362" s="18" t="str">
        <f>IF(ISERROR(
PG!F363*F362),"",PG!F363*F362)</f>
        <v/>
      </c>
      <c r="L362" s="18">
        <f>IF(ISERROR(
PG!D363-H362),"",PG!D363-H362)</f>
        <v>0</v>
      </c>
      <c r="M362" s="33" t="str">
        <f>IF(ISERROR(
L362/PG!D363),"",L362/PG!D363)</f>
        <v/>
      </c>
      <c r="N362" s="18" t="str">
        <f>IF(ISERROR(
(O362*PG!D363)),"",(O362*PG!D363))</f>
        <v/>
      </c>
      <c r="O362" s="45" t="str">
        <f>IF(ISERROR(
PEq!$G$20*PG!G363),"",PEq!$G$20*PG!G363)</f>
        <v/>
      </c>
      <c r="P362" s="18">
        <f>IF(ISERROR(
PG!E363*G362),"",PG!E363*G362)</f>
        <v>0</v>
      </c>
      <c r="Q362" s="18">
        <f>IF(ISERROR(
PG!E363*D362),"",PG!E363*D362)</f>
        <v>0</v>
      </c>
    </row>
    <row r="363" spans="3:17" ht="30" customHeight="1" thickBot="1" x14ac:dyDescent="0.25">
      <c r="C363" s="83">
        <f>PG!C364</f>
        <v>0</v>
      </c>
      <c r="D363" s="23"/>
      <c r="E363" s="27"/>
      <c r="F363" s="27"/>
      <c r="G363" s="23"/>
      <c r="H363" s="62">
        <f>D363+PG!D364*(E363+F363)+G363</f>
        <v>0</v>
      </c>
      <c r="J363" s="18" t="str">
        <f>IF(ISERROR(
PG!F364*E363),"",PG!F364*E363)</f>
        <v/>
      </c>
      <c r="K363" s="18" t="str">
        <f>IF(ISERROR(
PG!F364*F363),"",PG!F364*F363)</f>
        <v/>
      </c>
      <c r="L363" s="18">
        <f>IF(ISERROR(
PG!D364-H363),"",PG!D364-H363)</f>
        <v>0</v>
      </c>
      <c r="M363" s="33" t="str">
        <f>IF(ISERROR(
L363/PG!D364),"",L363/PG!D364)</f>
        <v/>
      </c>
      <c r="N363" s="18" t="str">
        <f>IF(ISERROR(
(O363*PG!D364)),"",(O363*PG!D364))</f>
        <v/>
      </c>
      <c r="O363" s="45" t="str">
        <f>IF(ISERROR(
PEq!$G$20*PG!G364),"",PEq!$G$20*PG!G364)</f>
        <v/>
      </c>
      <c r="P363" s="18">
        <f>IF(ISERROR(
PG!E364*G363),"",PG!E364*G363)</f>
        <v>0</v>
      </c>
      <c r="Q363" s="18">
        <f>IF(ISERROR(
PG!E364*D363),"",PG!E364*D363)</f>
        <v>0</v>
      </c>
    </row>
    <row r="364" spans="3:17" ht="30" customHeight="1" thickBot="1" x14ac:dyDescent="0.25">
      <c r="C364" s="83">
        <f>PG!C365</f>
        <v>0</v>
      </c>
      <c r="D364" s="23"/>
      <c r="E364" s="27"/>
      <c r="F364" s="27"/>
      <c r="G364" s="23"/>
      <c r="H364" s="62">
        <f>D364+PG!D365*(E364+F364)+G364</f>
        <v>0</v>
      </c>
      <c r="J364" s="18" t="str">
        <f>IF(ISERROR(
PG!F365*E364),"",PG!F365*E364)</f>
        <v/>
      </c>
      <c r="K364" s="18" t="str">
        <f>IF(ISERROR(
PG!F365*F364),"",PG!F365*F364)</f>
        <v/>
      </c>
      <c r="L364" s="18">
        <f>IF(ISERROR(
PG!D365-H364),"",PG!D365-H364)</f>
        <v>0</v>
      </c>
      <c r="M364" s="33" t="str">
        <f>IF(ISERROR(
L364/PG!D365),"",L364/PG!D365)</f>
        <v/>
      </c>
      <c r="N364" s="18" t="str">
        <f>IF(ISERROR(
(O364*PG!D365)),"",(O364*PG!D365))</f>
        <v/>
      </c>
      <c r="O364" s="45" t="str">
        <f>IF(ISERROR(
PEq!$G$20*PG!G365),"",PEq!$G$20*PG!G365)</f>
        <v/>
      </c>
      <c r="P364" s="18">
        <f>IF(ISERROR(
PG!E365*G364),"",PG!E365*G364)</f>
        <v>0</v>
      </c>
      <c r="Q364" s="18">
        <f>IF(ISERROR(
PG!E365*D364),"",PG!E365*D364)</f>
        <v>0</v>
      </c>
    </row>
    <row r="365" spans="3:17" ht="30" customHeight="1" thickBot="1" x14ac:dyDescent="0.25">
      <c r="C365" s="83">
        <f>PG!C366</f>
        <v>0</v>
      </c>
      <c r="D365" s="23"/>
      <c r="E365" s="27"/>
      <c r="F365" s="27"/>
      <c r="G365" s="23"/>
      <c r="H365" s="62">
        <f>D365+PG!D366*(E365+F365)+G365</f>
        <v>0</v>
      </c>
      <c r="J365" s="18" t="str">
        <f>IF(ISERROR(
PG!F366*E365),"",PG!F366*E365)</f>
        <v/>
      </c>
      <c r="K365" s="18" t="str">
        <f>IF(ISERROR(
PG!F366*F365),"",PG!F366*F365)</f>
        <v/>
      </c>
      <c r="L365" s="18">
        <f>IF(ISERROR(
PG!D366-H365),"",PG!D366-H365)</f>
        <v>0</v>
      </c>
      <c r="M365" s="33" t="str">
        <f>IF(ISERROR(
L365/PG!D366),"",L365/PG!D366)</f>
        <v/>
      </c>
      <c r="N365" s="18" t="str">
        <f>IF(ISERROR(
(O365*PG!D366)),"",(O365*PG!D366))</f>
        <v/>
      </c>
      <c r="O365" s="45" t="str">
        <f>IF(ISERROR(
PEq!$G$20*PG!G366),"",PEq!$G$20*PG!G366)</f>
        <v/>
      </c>
      <c r="P365" s="18">
        <f>IF(ISERROR(
PG!E366*G365),"",PG!E366*G365)</f>
        <v>0</v>
      </c>
      <c r="Q365" s="18">
        <f>IF(ISERROR(
PG!E366*D365),"",PG!E366*D365)</f>
        <v>0</v>
      </c>
    </row>
    <row r="366" spans="3:17" ht="30" customHeight="1" thickBot="1" x14ac:dyDescent="0.25">
      <c r="C366" s="83">
        <f>PG!C367</f>
        <v>0</v>
      </c>
      <c r="D366" s="23"/>
      <c r="E366" s="27"/>
      <c r="F366" s="27"/>
      <c r="G366" s="23"/>
      <c r="H366" s="62">
        <f>D366+PG!D367*(E366+F366)+G366</f>
        <v>0</v>
      </c>
      <c r="J366" s="18" t="str">
        <f>IF(ISERROR(
PG!F367*E366),"",PG!F367*E366)</f>
        <v/>
      </c>
      <c r="K366" s="18" t="str">
        <f>IF(ISERROR(
PG!F367*F366),"",PG!F367*F366)</f>
        <v/>
      </c>
      <c r="L366" s="18">
        <f>IF(ISERROR(
PG!D367-H366),"",PG!D367-H366)</f>
        <v>0</v>
      </c>
      <c r="M366" s="33" t="str">
        <f>IF(ISERROR(
L366/PG!D367),"",L366/PG!D367)</f>
        <v/>
      </c>
      <c r="N366" s="18" t="str">
        <f>IF(ISERROR(
(O366*PG!D367)),"",(O366*PG!D367))</f>
        <v/>
      </c>
      <c r="O366" s="45" t="str">
        <f>IF(ISERROR(
PEq!$G$20*PG!G367),"",PEq!$G$20*PG!G367)</f>
        <v/>
      </c>
      <c r="P366" s="18">
        <f>IF(ISERROR(
PG!E367*G366),"",PG!E367*G366)</f>
        <v>0</v>
      </c>
      <c r="Q366" s="18">
        <f>IF(ISERROR(
PG!E367*D366),"",PG!E367*D366)</f>
        <v>0</v>
      </c>
    </row>
    <row r="367" spans="3:17" ht="30" customHeight="1" thickBot="1" x14ac:dyDescent="0.25">
      <c r="C367" s="83">
        <f>PG!C368</f>
        <v>0</v>
      </c>
      <c r="D367" s="23"/>
      <c r="E367" s="27"/>
      <c r="F367" s="27"/>
      <c r="G367" s="23"/>
      <c r="H367" s="62">
        <f>D367+PG!D368*(E367+F367)+G367</f>
        <v>0</v>
      </c>
      <c r="J367" s="18" t="str">
        <f>IF(ISERROR(
PG!F368*E367),"",PG!F368*E367)</f>
        <v/>
      </c>
      <c r="K367" s="18" t="str">
        <f>IF(ISERROR(
PG!F368*F367),"",PG!F368*F367)</f>
        <v/>
      </c>
      <c r="L367" s="18">
        <f>IF(ISERROR(
PG!D368-H367),"",PG!D368-H367)</f>
        <v>0</v>
      </c>
      <c r="M367" s="33" t="str">
        <f>IF(ISERROR(
L367/PG!D368),"",L367/PG!D368)</f>
        <v/>
      </c>
      <c r="N367" s="18" t="str">
        <f>IF(ISERROR(
(O367*PG!D368)),"",(O367*PG!D368))</f>
        <v/>
      </c>
      <c r="O367" s="45" t="str">
        <f>IF(ISERROR(
PEq!$G$20*PG!G368),"",PEq!$G$20*PG!G368)</f>
        <v/>
      </c>
      <c r="P367" s="18">
        <f>IF(ISERROR(
PG!E368*G367),"",PG!E368*G367)</f>
        <v>0</v>
      </c>
      <c r="Q367" s="18">
        <f>IF(ISERROR(
PG!E368*D367),"",PG!E368*D367)</f>
        <v>0</v>
      </c>
    </row>
    <row r="368" spans="3:17" ht="30" customHeight="1" thickBot="1" x14ac:dyDescent="0.25">
      <c r="C368" s="83">
        <f>PG!C369</f>
        <v>0</v>
      </c>
      <c r="D368" s="23"/>
      <c r="E368" s="27"/>
      <c r="F368" s="27"/>
      <c r="G368" s="23"/>
      <c r="H368" s="62">
        <f>D368+PG!D369*(E368+F368)+G368</f>
        <v>0</v>
      </c>
      <c r="J368" s="18" t="str">
        <f>IF(ISERROR(
PG!F369*E368),"",PG!F369*E368)</f>
        <v/>
      </c>
      <c r="K368" s="18" t="str">
        <f>IF(ISERROR(
PG!F369*F368),"",PG!F369*F368)</f>
        <v/>
      </c>
      <c r="L368" s="18">
        <f>IF(ISERROR(
PG!D369-H368),"",PG!D369-H368)</f>
        <v>0</v>
      </c>
      <c r="M368" s="33" t="str">
        <f>IF(ISERROR(
L368/PG!D369),"",L368/PG!D369)</f>
        <v/>
      </c>
      <c r="N368" s="18" t="str">
        <f>IF(ISERROR(
(O368*PG!D369)),"",(O368*PG!D369))</f>
        <v/>
      </c>
      <c r="O368" s="45" t="str">
        <f>IF(ISERROR(
PEq!$G$20*PG!G369),"",PEq!$G$20*PG!G369)</f>
        <v/>
      </c>
      <c r="P368" s="18">
        <f>IF(ISERROR(
PG!E369*G368),"",PG!E369*G368)</f>
        <v>0</v>
      </c>
      <c r="Q368" s="18">
        <f>IF(ISERROR(
PG!E369*D368),"",PG!E369*D368)</f>
        <v>0</v>
      </c>
    </row>
    <row r="369" spans="3:17" ht="30" customHeight="1" thickBot="1" x14ac:dyDescent="0.25">
      <c r="C369" s="83">
        <f>PG!C370</f>
        <v>0</v>
      </c>
      <c r="D369" s="23"/>
      <c r="E369" s="27"/>
      <c r="F369" s="27"/>
      <c r="G369" s="23"/>
      <c r="H369" s="62">
        <f>D369+PG!D370*(E369+F369)+G369</f>
        <v>0</v>
      </c>
      <c r="J369" s="18" t="str">
        <f>IF(ISERROR(
PG!F370*E369),"",PG!F370*E369)</f>
        <v/>
      </c>
      <c r="K369" s="18" t="str">
        <f>IF(ISERROR(
PG!F370*F369),"",PG!F370*F369)</f>
        <v/>
      </c>
      <c r="L369" s="18">
        <f>IF(ISERROR(
PG!D370-H369),"",PG!D370-H369)</f>
        <v>0</v>
      </c>
      <c r="M369" s="33" t="str">
        <f>IF(ISERROR(
L369/PG!D370),"",L369/PG!D370)</f>
        <v/>
      </c>
      <c r="N369" s="18" t="str">
        <f>IF(ISERROR(
(O369*PG!D370)),"",(O369*PG!D370))</f>
        <v/>
      </c>
      <c r="O369" s="45" t="str">
        <f>IF(ISERROR(
PEq!$G$20*PG!G370),"",PEq!$G$20*PG!G370)</f>
        <v/>
      </c>
      <c r="P369" s="18">
        <f>IF(ISERROR(
PG!E370*G369),"",PG!E370*G369)</f>
        <v>0</v>
      </c>
      <c r="Q369" s="18">
        <f>IF(ISERROR(
PG!E370*D369),"",PG!E370*D369)</f>
        <v>0</v>
      </c>
    </row>
    <row r="370" spans="3:17" ht="30" customHeight="1" thickBot="1" x14ac:dyDescent="0.25">
      <c r="C370" s="83">
        <f>PG!C371</f>
        <v>0</v>
      </c>
      <c r="D370" s="23"/>
      <c r="E370" s="27"/>
      <c r="F370" s="27"/>
      <c r="G370" s="23"/>
      <c r="H370" s="62">
        <f>D370+PG!D371*(E370+F370)+G370</f>
        <v>0</v>
      </c>
      <c r="J370" s="18" t="str">
        <f>IF(ISERROR(
PG!F371*E370),"",PG!F371*E370)</f>
        <v/>
      </c>
      <c r="K370" s="18" t="str">
        <f>IF(ISERROR(
PG!F371*F370),"",PG!F371*F370)</f>
        <v/>
      </c>
      <c r="L370" s="18">
        <f>IF(ISERROR(
PG!D371-H370),"",PG!D371-H370)</f>
        <v>0</v>
      </c>
      <c r="M370" s="33" t="str">
        <f>IF(ISERROR(
L370/PG!D371),"",L370/PG!D371)</f>
        <v/>
      </c>
      <c r="N370" s="18" t="str">
        <f>IF(ISERROR(
(O370*PG!D371)),"",(O370*PG!D371))</f>
        <v/>
      </c>
      <c r="O370" s="45" t="str">
        <f>IF(ISERROR(
PEq!$G$20*PG!G371),"",PEq!$G$20*PG!G371)</f>
        <v/>
      </c>
      <c r="P370" s="18">
        <f>IF(ISERROR(
PG!E371*G370),"",PG!E371*G370)</f>
        <v>0</v>
      </c>
      <c r="Q370" s="18">
        <f>IF(ISERROR(
PG!E371*D370),"",PG!E371*D370)</f>
        <v>0</v>
      </c>
    </row>
    <row r="371" spans="3:17" ht="30" customHeight="1" thickBot="1" x14ac:dyDescent="0.25">
      <c r="C371" s="83">
        <f>PG!C372</f>
        <v>0</v>
      </c>
      <c r="D371" s="23"/>
      <c r="E371" s="27"/>
      <c r="F371" s="27"/>
      <c r="G371" s="23"/>
      <c r="H371" s="62">
        <f>D371+PG!D372*(E371+F371)+G371</f>
        <v>0</v>
      </c>
      <c r="J371" s="18" t="str">
        <f>IF(ISERROR(
PG!F372*E371),"",PG!F372*E371)</f>
        <v/>
      </c>
      <c r="K371" s="18" t="str">
        <f>IF(ISERROR(
PG!F372*F371),"",PG!F372*F371)</f>
        <v/>
      </c>
      <c r="L371" s="18">
        <f>IF(ISERROR(
PG!D372-H371),"",PG!D372-H371)</f>
        <v>0</v>
      </c>
      <c r="M371" s="33" t="str">
        <f>IF(ISERROR(
L371/PG!D372),"",L371/PG!D372)</f>
        <v/>
      </c>
      <c r="N371" s="18" t="str">
        <f>IF(ISERROR(
(O371*PG!D372)),"",(O371*PG!D372))</f>
        <v/>
      </c>
      <c r="O371" s="45" t="str">
        <f>IF(ISERROR(
PEq!$G$20*PG!G372),"",PEq!$G$20*PG!G372)</f>
        <v/>
      </c>
      <c r="P371" s="18">
        <f>IF(ISERROR(
PG!E372*G371),"",PG!E372*G371)</f>
        <v>0</v>
      </c>
      <c r="Q371" s="18">
        <f>IF(ISERROR(
PG!E372*D371),"",PG!E372*D371)</f>
        <v>0</v>
      </c>
    </row>
    <row r="372" spans="3:17" ht="30" customHeight="1" thickBot="1" x14ac:dyDescent="0.25">
      <c r="C372" s="83">
        <f>PG!C373</f>
        <v>0</v>
      </c>
      <c r="D372" s="23"/>
      <c r="E372" s="27"/>
      <c r="F372" s="27"/>
      <c r="G372" s="23"/>
      <c r="H372" s="62">
        <f>D372+PG!D373*(E372+F372)+G372</f>
        <v>0</v>
      </c>
      <c r="J372" s="18" t="str">
        <f>IF(ISERROR(
PG!F373*E372),"",PG!F373*E372)</f>
        <v/>
      </c>
      <c r="K372" s="18" t="str">
        <f>IF(ISERROR(
PG!F373*F372),"",PG!F373*F372)</f>
        <v/>
      </c>
      <c r="L372" s="18">
        <f>IF(ISERROR(
PG!D373-H372),"",PG!D373-H372)</f>
        <v>0</v>
      </c>
      <c r="M372" s="33" t="str">
        <f>IF(ISERROR(
L372/PG!D373),"",L372/PG!D373)</f>
        <v/>
      </c>
      <c r="N372" s="18" t="str">
        <f>IF(ISERROR(
(O372*PG!D373)),"",(O372*PG!D373))</f>
        <v/>
      </c>
      <c r="O372" s="45" t="str">
        <f>IF(ISERROR(
PEq!$G$20*PG!G373),"",PEq!$G$20*PG!G373)</f>
        <v/>
      </c>
      <c r="P372" s="18">
        <f>IF(ISERROR(
PG!E373*G372),"",PG!E373*G372)</f>
        <v>0</v>
      </c>
      <c r="Q372" s="18">
        <f>IF(ISERROR(
PG!E373*D372),"",PG!E373*D372)</f>
        <v>0</v>
      </c>
    </row>
    <row r="373" spans="3:17" ht="30" customHeight="1" thickBot="1" x14ac:dyDescent="0.25">
      <c r="C373" s="83">
        <f>PG!C374</f>
        <v>0</v>
      </c>
      <c r="D373" s="23"/>
      <c r="E373" s="27"/>
      <c r="F373" s="27"/>
      <c r="G373" s="23"/>
      <c r="H373" s="62">
        <f>D373+PG!D374*(E373+F373)+G373</f>
        <v>0</v>
      </c>
      <c r="J373" s="18" t="str">
        <f>IF(ISERROR(
PG!F374*E373),"",PG!F374*E373)</f>
        <v/>
      </c>
      <c r="K373" s="18" t="str">
        <f>IF(ISERROR(
PG!F374*F373),"",PG!F374*F373)</f>
        <v/>
      </c>
      <c r="L373" s="18">
        <f>IF(ISERROR(
PG!D374-H373),"",PG!D374-H373)</f>
        <v>0</v>
      </c>
      <c r="M373" s="33" t="str">
        <f>IF(ISERROR(
L373/PG!D374),"",L373/PG!D374)</f>
        <v/>
      </c>
      <c r="N373" s="18" t="str">
        <f>IF(ISERROR(
(O373*PG!D374)),"",(O373*PG!D374))</f>
        <v/>
      </c>
      <c r="O373" s="45" t="str">
        <f>IF(ISERROR(
PEq!$G$20*PG!G374),"",PEq!$G$20*PG!G374)</f>
        <v/>
      </c>
      <c r="P373" s="18">
        <f>IF(ISERROR(
PG!E374*G373),"",PG!E374*G373)</f>
        <v>0</v>
      </c>
      <c r="Q373" s="18">
        <f>IF(ISERROR(
PG!E374*D373),"",PG!E374*D373)</f>
        <v>0</v>
      </c>
    </row>
    <row r="374" spans="3:17" ht="30" customHeight="1" thickBot="1" x14ac:dyDescent="0.25">
      <c r="C374" s="83">
        <f>PG!C375</f>
        <v>0</v>
      </c>
      <c r="D374" s="23"/>
      <c r="E374" s="27"/>
      <c r="F374" s="27"/>
      <c r="G374" s="23"/>
      <c r="H374" s="62">
        <f>D374+PG!D375*(E374+F374)+G374</f>
        <v>0</v>
      </c>
      <c r="J374" s="18" t="str">
        <f>IF(ISERROR(
PG!F375*E374),"",PG!F375*E374)</f>
        <v/>
      </c>
      <c r="K374" s="18" t="str">
        <f>IF(ISERROR(
PG!F375*F374),"",PG!F375*F374)</f>
        <v/>
      </c>
      <c r="L374" s="18">
        <f>IF(ISERROR(
PG!D375-H374),"",PG!D375-H374)</f>
        <v>0</v>
      </c>
      <c r="M374" s="33" t="str">
        <f>IF(ISERROR(
L374/PG!D375),"",L374/PG!D375)</f>
        <v/>
      </c>
      <c r="N374" s="18" t="str">
        <f>IF(ISERROR(
(O374*PG!D375)),"",(O374*PG!D375))</f>
        <v/>
      </c>
      <c r="O374" s="45" t="str">
        <f>IF(ISERROR(
PEq!$G$20*PG!G375),"",PEq!$G$20*PG!G375)</f>
        <v/>
      </c>
      <c r="P374" s="18">
        <f>IF(ISERROR(
PG!E375*G374),"",PG!E375*G374)</f>
        <v>0</v>
      </c>
      <c r="Q374" s="18">
        <f>IF(ISERROR(
PG!E375*D374),"",PG!E375*D374)</f>
        <v>0</v>
      </c>
    </row>
    <row r="375" spans="3:17" ht="30" customHeight="1" thickBot="1" x14ac:dyDescent="0.25">
      <c r="C375" s="83">
        <f>PG!C376</f>
        <v>0</v>
      </c>
      <c r="D375" s="23"/>
      <c r="E375" s="27"/>
      <c r="F375" s="27"/>
      <c r="G375" s="23"/>
      <c r="H375" s="62">
        <f>D375+PG!D376*(E375+F375)+G375</f>
        <v>0</v>
      </c>
      <c r="J375" s="18" t="str">
        <f>IF(ISERROR(
PG!F376*E375),"",PG!F376*E375)</f>
        <v/>
      </c>
      <c r="K375" s="18" t="str">
        <f>IF(ISERROR(
PG!F376*F375),"",PG!F376*F375)</f>
        <v/>
      </c>
      <c r="L375" s="18">
        <f>IF(ISERROR(
PG!D376-H375),"",PG!D376-H375)</f>
        <v>0</v>
      </c>
      <c r="M375" s="33" t="str">
        <f>IF(ISERROR(
L375/PG!D376),"",L375/PG!D376)</f>
        <v/>
      </c>
      <c r="N375" s="18" t="str">
        <f>IF(ISERROR(
(O375*PG!D376)),"",(O375*PG!D376))</f>
        <v/>
      </c>
      <c r="O375" s="45" t="str">
        <f>IF(ISERROR(
PEq!$G$20*PG!G376),"",PEq!$G$20*PG!G376)</f>
        <v/>
      </c>
      <c r="P375" s="18">
        <f>IF(ISERROR(
PG!E376*G375),"",PG!E376*G375)</f>
        <v>0</v>
      </c>
      <c r="Q375" s="18">
        <f>IF(ISERROR(
PG!E376*D375),"",PG!E376*D375)</f>
        <v>0</v>
      </c>
    </row>
    <row r="376" spans="3:17" ht="30" customHeight="1" thickBot="1" x14ac:dyDescent="0.25">
      <c r="C376" s="83">
        <f>PG!C377</f>
        <v>0</v>
      </c>
      <c r="D376" s="23"/>
      <c r="E376" s="27"/>
      <c r="F376" s="27"/>
      <c r="G376" s="23"/>
      <c r="H376" s="62">
        <f>D376+PG!D377*(E376+F376)+G376</f>
        <v>0</v>
      </c>
      <c r="J376" s="18" t="str">
        <f>IF(ISERROR(
PG!F377*E376),"",PG!F377*E376)</f>
        <v/>
      </c>
      <c r="K376" s="18" t="str">
        <f>IF(ISERROR(
PG!F377*F376),"",PG!F377*F376)</f>
        <v/>
      </c>
      <c r="L376" s="18">
        <f>IF(ISERROR(
PG!D377-H376),"",PG!D377-H376)</f>
        <v>0</v>
      </c>
      <c r="M376" s="33" t="str">
        <f>IF(ISERROR(
L376/PG!D377),"",L376/PG!D377)</f>
        <v/>
      </c>
      <c r="N376" s="18" t="str">
        <f>IF(ISERROR(
(O376*PG!D377)),"",(O376*PG!D377))</f>
        <v/>
      </c>
      <c r="O376" s="45" t="str">
        <f>IF(ISERROR(
PEq!$G$20*PG!G377),"",PEq!$G$20*PG!G377)</f>
        <v/>
      </c>
      <c r="P376" s="18">
        <f>IF(ISERROR(
PG!E377*G376),"",PG!E377*G376)</f>
        <v>0</v>
      </c>
      <c r="Q376" s="18">
        <f>IF(ISERROR(
PG!E377*D376),"",PG!E377*D376)</f>
        <v>0</v>
      </c>
    </row>
    <row r="377" spans="3:17" ht="30" customHeight="1" thickBot="1" x14ac:dyDescent="0.25">
      <c r="C377" s="83">
        <f>PG!C378</f>
        <v>0</v>
      </c>
      <c r="D377" s="23"/>
      <c r="E377" s="27"/>
      <c r="F377" s="27"/>
      <c r="G377" s="23"/>
      <c r="H377" s="62">
        <f>D377+PG!D378*(E377+F377)+G377</f>
        <v>0</v>
      </c>
      <c r="J377" s="18" t="str">
        <f>IF(ISERROR(
PG!F378*E377),"",PG!F378*E377)</f>
        <v/>
      </c>
      <c r="K377" s="18" t="str">
        <f>IF(ISERROR(
PG!F378*F377),"",PG!F378*F377)</f>
        <v/>
      </c>
      <c r="L377" s="18">
        <f>IF(ISERROR(
PG!D378-H377),"",PG!D378-H377)</f>
        <v>0</v>
      </c>
      <c r="M377" s="33" t="str">
        <f>IF(ISERROR(
L377/PG!D378),"",L377/PG!D378)</f>
        <v/>
      </c>
      <c r="N377" s="18" t="str">
        <f>IF(ISERROR(
(O377*PG!D378)),"",(O377*PG!D378))</f>
        <v/>
      </c>
      <c r="O377" s="45" t="str">
        <f>IF(ISERROR(
PEq!$G$20*PG!G378),"",PEq!$G$20*PG!G378)</f>
        <v/>
      </c>
      <c r="P377" s="18">
        <f>IF(ISERROR(
PG!E378*G377),"",PG!E378*G377)</f>
        <v>0</v>
      </c>
      <c r="Q377" s="18">
        <f>IF(ISERROR(
PG!E378*D377),"",PG!E378*D377)</f>
        <v>0</v>
      </c>
    </row>
    <row r="378" spans="3:17" ht="30" customHeight="1" thickBot="1" x14ac:dyDescent="0.25">
      <c r="C378" s="83">
        <f>PG!C379</f>
        <v>0</v>
      </c>
      <c r="D378" s="23"/>
      <c r="E378" s="27"/>
      <c r="F378" s="27"/>
      <c r="G378" s="23"/>
      <c r="H378" s="62">
        <f>D378+PG!D379*(E378+F378)+G378</f>
        <v>0</v>
      </c>
      <c r="J378" s="18" t="str">
        <f>IF(ISERROR(
PG!F379*E378),"",PG!F379*E378)</f>
        <v/>
      </c>
      <c r="K378" s="18" t="str">
        <f>IF(ISERROR(
PG!F379*F378),"",PG!F379*F378)</f>
        <v/>
      </c>
      <c r="L378" s="18">
        <f>IF(ISERROR(
PG!D379-H378),"",PG!D379-H378)</f>
        <v>0</v>
      </c>
      <c r="M378" s="33" t="str">
        <f>IF(ISERROR(
L378/PG!D379),"",L378/PG!D379)</f>
        <v/>
      </c>
      <c r="N378" s="18" t="str">
        <f>IF(ISERROR(
(O378*PG!D379)),"",(O378*PG!D379))</f>
        <v/>
      </c>
      <c r="O378" s="45" t="str">
        <f>IF(ISERROR(
PEq!$G$20*PG!G379),"",PEq!$G$20*PG!G379)</f>
        <v/>
      </c>
      <c r="P378" s="18">
        <f>IF(ISERROR(
PG!E379*G378),"",PG!E379*G378)</f>
        <v>0</v>
      </c>
      <c r="Q378" s="18">
        <f>IF(ISERROR(
PG!E379*D378),"",PG!E379*D378)</f>
        <v>0</v>
      </c>
    </row>
    <row r="379" spans="3:17" ht="30" customHeight="1" thickBot="1" x14ac:dyDescent="0.25">
      <c r="C379" s="83">
        <f>PG!C380</f>
        <v>0</v>
      </c>
      <c r="D379" s="23"/>
      <c r="E379" s="27"/>
      <c r="F379" s="27"/>
      <c r="G379" s="23"/>
      <c r="H379" s="62">
        <f>D379+PG!D380*(E379+F379)+G379</f>
        <v>0</v>
      </c>
      <c r="J379" s="18" t="str">
        <f>IF(ISERROR(
PG!F380*E379),"",PG!F380*E379)</f>
        <v/>
      </c>
      <c r="K379" s="18" t="str">
        <f>IF(ISERROR(
PG!F380*F379),"",PG!F380*F379)</f>
        <v/>
      </c>
      <c r="L379" s="18">
        <f>IF(ISERROR(
PG!D380-H379),"",PG!D380-H379)</f>
        <v>0</v>
      </c>
      <c r="M379" s="33" t="str">
        <f>IF(ISERROR(
L379/PG!D380),"",L379/PG!D380)</f>
        <v/>
      </c>
      <c r="N379" s="18" t="str">
        <f>IF(ISERROR(
(O379*PG!D380)),"",(O379*PG!D380))</f>
        <v/>
      </c>
      <c r="O379" s="45" t="str">
        <f>IF(ISERROR(
PEq!$G$20*PG!G380),"",PEq!$G$20*PG!G380)</f>
        <v/>
      </c>
      <c r="P379" s="18">
        <f>IF(ISERROR(
PG!E380*G379),"",PG!E380*G379)</f>
        <v>0</v>
      </c>
      <c r="Q379" s="18">
        <f>IF(ISERROR(
PG!E380*D379),"",PG!E380*D379)</f>
        <v>0</v>
      </c>
    </row>
    <row r="380" spans="3:17" ht="30" customHeight="1" thickBot="1" x14ac:dyDescent="0.25">
      <c r="C380" s="83">
        <f>PG!C381</f>
        <v>0</v>
      </c>
      <c r="D380" s="23"/>
      <c r="E380" s="27"/>
      <c r="F380" s="27"/>
      <c r="G380" s="23"/>
      <c r="H380" s="62">
        <f>D380+PG!D381*(E380+F380)+G380</f>
        <v>0</v>
      </c>
      <c r="J380" s="18" t="str">
        <f>IF(ISERROR(
PG!F381*E380),"",PG!F381*E380)</f>
        <v/>
      </c>
      <c r="K380" s="18" t="str">
        <f>IF(ISERROR(
PG!F381*F380),"",PG!F381*F380)</f>
        <v/>
      </c>
      <c r="L380" s="18">
        <f>IF(ISERROR(
PG!D381-H380),"",PG!D381-H380)</f>
        <v>0</v>
      </c>
      <c r="M380" s="33" t="str">
        <f>IF(ISERROR(
L380/PG!D381),"",L380/PG!D381)</f>
        <v/>
      </c>
      <c r="N380" s="18" t="str">
        <f>IF(ISERROR(
(O380*PG!D381)),"",(O380*PG!D381))</f>
        <v/>
      </c>
      <c r="O380" s="45" t="str">
        <f>IF(ISERROR(
PEq!$G$20*PG!G381),"",PEq!$G$20*PG!G381)</f>
        <v/>
      </c>
      <c r="P380" s="18">
        <f>IF(ISERROR(
PG!E381*G380),"",PG!E381*G380)</f>
        <v>0</v>
      </c>
      <c r="Q380" s="18">
        <f>IF(ISERROR(
PG!E381*D380),"",PG!E381*D380)</f>
        <v>0</v>
      </c>
    </row>
    <row r="381" spans="3:17" ht="30" customHeight="1" thickBot="1" x14ac:dyDescent="0.25">
      <c r="C381" s="83">
        <f>PG!C382</f>
        <v>0</v>
      </c>
      <c r="D381" s="23"/>
      <c r="E381" s="27"/>
      <c r="F381" s="27"/>
      <c r="G381" s="23"/>
      <c r="H381" s="62">
        <f>D381+PG!D382*(E381+F381)+G381</f>
        <v>0</v>
      </c>
      <c r="J381" s="18" t="str">
        <f>IF(ISERROR(
PG!F382*E381),"",PG!F382*E381)</f>
        <v/>
      </c>
      <c r="K381" s="18" t="str">
        <f>IF(ISERROR(
PG!F382*F381),"",PG!F382*F381)</f>
        <v/>
      </c>
      <c r="L381" s="18">
        <f>IF(ISERROR(
PG!D382-H381),"",PG!D382-H381)</f>
        <v>0</v>
      </c>
      <c r="M381" s="33" t="str">
        <f>IF(ISERROR(
L381/PG!D382),"",L381/PG!D382)</f>
        <v/>
      </c>
      <c r="N381" s="18" t="str">
        <f>IF(ISERROR(
(O381*PG!D382)),"",(O381*PG!D382))</f>
        <v/>
      </c>
      <c r="O381" s="45" t="str">
        <f>IF(ISERROR(
PEq!$G$20*PG!G382),"",PEq!$G$20*PG!G382)</f>
        <v/>
      </c>
      <c r="P381" s="18">
        <f>IF(ISERROR(
PG!E382*G381),"",PG!E382*G381)</f>
        <v>0</v>
      </c>
      <c r="Q381" s="18">
        <f>IF(ISERROR(
PG!E382*D381),"",PG!E382*D381)</f>
        <v>0</v>
      </c>
    </row>
    <row r="382" spans="3:17" ht="30" customHeight="1" thickBot="1" x14ac:dyDescent="0.25">
      <c r="C382" s="83">
        <f>PG!C383</f>
        <v>0</v>
      </c>
      <c r="D382" s="23"/>
      <c r="E382" s="27"/>
      <c r="F382" s="27"/>
      <c r="G382" s="23"/>
      <c r="H382" s="62">
        <f>D382+PG!D383*(E382+F382)+G382</f>
        <v>0</v>
      </c>
      <c r="J382" s="18" t="str">
        <f>IF(ISERROR(
PG!F383*E382),"",PG!F383*E382)</f>
        <v/>
      </c>
      <c r="K382" s="18" t="str">
        <f>IF(ISERROR(
PG!F383*F382),"",PG!F383*F382)</f>
        <v/>
      </c>
      <c r="L382" s="18">
        <f>IF(ISERROR(
PG!D383-H382),"",PG!D383-H382)</f>
        <v>0</v>
      </c>
      <c r="M382" s="33" t="str">
        <f>IF(ISERROR(
L382/PG!D383),"",L382/PG!D383)</f>
        <v/>
      </c>
      <c r="N382" s="18" t="str">
        <f>IF(ISERROR(
(O382*PG!D383)),"",(O382*PG!D383))</f>
        <v/>
      </c>
      <c r="O382" s="45" t="str">
        <f>IF(ISERROR(
PEq!$G$20*PG!G383),"",PEq!$G$20*PG!G383)</f>
        <v/>
      </c>
      <c r="P382" s="18">
        <f>IF(ISERROR(
PG!E383*G382),"",PG!E383*G382)</f>
        <v>0</v>
      </c>
      <c r="Q382" s="18">
        <f>IF(ISERROR(
PG!E383*D382),"",PG!E383*D382)</f>
        <v>0</v>
      </c>
    </row>
    <row r="383" spans="3:17" ht="30" customHeight="1" thickBot="1" x14ac:dyDescent="0.25">
      <c r="C383" s="83">
        <f>PG!C384</f>
        <v>0</v>
      </c>
      <c r="D383" s="23"/>
      <c r="E383" s="27"/>
      <c r="F383" s="27"/>
      <c r="G383" s="23"/>
      <c r="H383" s="62">
        <f>D383+PG!D384*(E383+F383)+G383</f>
        <v>0</v>
      </c>
      <c r="J383" s="18" t="str">
        <f>IF(ISERROR(
PG!F384*E383),"",PG!F384*E383)</f>
        <v/>
      </c>
      <c r="K383" s="18" t="str">
        <f>IF(ISERROR(
PG!F384*F383),"",PG!F384*F383)</f>
        <v/>
      </c>
      <c r="L383" s="18">
        <f>IF(ISERROR(
PG!D384-H383),"",PG!D384-H383)</f>
        <v>0</v>
      </c>
      <c r="M383" s="33" t="str">
        <f>IF(ISERROR(
L383/PG!D384),"",L383/PG!D384)</f>
        <v/>
      </c>
      <c r="N383" s="18" t="str">
        <f>IF(ISERROR(
(O383*PG!D384)),"",(O383*PG!D384))</f>
        <v/>
      </c>
      <c r="O383" s="45" t="str">
        <f>IF(ISERROR(
PEq!$G$20*PG!G384),"",PEq!$G$20*PG!G384)</f>
        <v/>
      </c>
      <c r="P383" s="18">
        <f>IF(ISERROR(
PG!E384*G383),"",PG!E384*G383)</f>
        <v>0</v>
      </c>
      <c r="Q383" s="18">
        <f>IF(ISERROR(
PG!E384*D383),"",PG!E384*D383)</f>
        <v>0</v>
      </c>
    </row>
    <row r="384" spans="3:17" ht="30" customHeight="1" thickBot="1" x14ac:dyDescent="0.25">
      <c r="C384" s="83">
        <f>PG!C385</f>
        <v>0</v>
      </c>
      <c r="D384" s="23"/>
      <c r="E384" s="27"/>
      <c r="F384" s="27"/>
      <c r="G384" s="23"/>
      <c r="H384" s="62">
        <f>D384+PG!D385*(E384+F384)+G384</f>
        <v>0</v>
      </c>
      <c r="J384" s="18" t="str">
        <f>IF(ISERROR(
PG!F385*E384),"",PG!F385*E384)</f>
        <v/>
      </c>
      <c r="K384" s="18" t="str">
        <f>IF(ISERROR(
PG!F385*F384),"",PG!F385*F384)</f>
        <v/>
      </c>
      <c r="L384" s="18">
        <f>IF(ISERROR(
PG!D385-H384),"",PG!D385-H384)</f>
        <v>0</v>
      </c>
      <c r="M384" s="33" t="str">
        <f>IF(ISERROR(
L384/PG!D385),"",L384/PG!D385)</f>
        <v/>
      </c>
      <c r="N384" s="18" t="str">
        <f>IF(ISERROR(
(O384*PG!D385)),"",(O384*PG!D385))</f>
        <v/>
      </c>
      <c r="O384" s="45" t="str">
        <f>IF(ISERROR(
PEq!$G$20*PG!G385),"",PEq!$G$20*PG!G385)</f>
        <v/>
      </c>
      <c r="P384" s="18">
        <f>IF(ISERROR(
PG!E385*G384),"",PG!E385*G384)</f>
        <v>0</v>
      </c>
      <c r="Q384" s="18">
        <f>IF(ISERROR(
PG!E385*D384),"",PG!E385*D384)</f>
        <v>0</v>
      </c>
    </row>
    <row r="385" spans="3:17" ht="30" customHeight="1" thickBot="1" x14ac:dyDescent="0.25">
      <c r="C385" s="83">
        <f>PG!C386</f>
        <v>0</v>
      </c>
      <c r="D385" s="23"/>
      <c r="E385" s="27"/>
      <c r="F385" s="27"/>
      <c r="G385" s="23"/>
      <c r="H385" s="62">
        <f>D385+PG!D386*(E385+F385)+G385</f>
        <v>0</v>
      </c>
      <c r="J385" s="18" t="str">
        <f>IF(ISERROR(
PG!F386*E385),"",PG!F386*E385)</f>
        <v/>
      </c>
      <c r="K385" s="18" t="str">
        <f>IF(ISERROR(
PG!F386*F385),"",PG!F386*F385)</f>
        <v/>
      </c>
      <c r="L385" s="18">
        <f>IF(ISERROR(
PG!D386-H385),"",PG!D386-H385)</f>
        <v>0</v>
      </c>
      <c r="M385" s="33" t="str">
        <f>IF(ISERROR(
L385/PG!D386),"",L385/PG!D386)</f>
        <v/>
      </c>
      <c r="N385" s="18" t="str">
        <f>IF(ISERROR(
(O385*PG!D386)),"",(O385*PG!D386))</f>
        <v/>
      </c>
      <c r="O385" s="45" t="str">
        <f>IF(ISERROR(
PEq!$G$20*PG!G386),"",PEq!$G$20*PG!G386)</f>
        <v/>
      </c>
      <c r="P385" s="18">
        <f>IF(ISERROR(
PG!E386*G385),"",PG!E386*G385)</f>
        <v>0</v>
      </c>
      <c r="Q385" s="18">
        <f>IF(ISERROR(
PG!E386*D385),"",PG!E386*D385)</f>
        <v>0</v>
      </c>
    </row>
    <row r="386" spans="3:17" ht="30" customHeight="1" thickBot="1" x14ac:dyDescent="0.25">
      <c r="C386" s="83">
        <f>PG!C387</f>
        <v>0</v>
      </c>
      <c r="D386" s="23"/>
      <c r="E386" s="27"/>
      <c r="F386" s="27"/>
      <c r="G386" s="23"/>
      <c r="H386" s="62">
        <f>D386+PG!D387*(E386+F386)+G386</f>
        <v>0</v>
      </c>
      <c r="J386" s="18" t="str">
        <f>IF(ISERROR(
PG!F387*E386),"",PG!F387*E386)</f>
        <v/>
      </c>
      <c r="K386" s="18" t="str">
        <f>IF(ISERROR(
PG!F387*F386),"",PG!F387*F386)</f>
        <v/>
      </c>
      <c r="L386" s="18">
        <f>IF(ISERROR(
PG!D387-H386),"",PG!D387-H386)</f>
        <v>0</v>
      </c>
      <c r="M386" s="33" t="str">
        <f>IF(ISERROR(
L386/PG!D387),"",L386/PG!D387)</f>
        <v/>
      </c>
      <c r="N386" s="18" t="str">
        <f>IF(ISERROR(
(O386*PG!D387)),"",(O386*PG!D387))</f>
        <v/>
      </c>
      <c r="O386" s="45" t="str">
        <f>IF(ISERROR(
PEq!$G$20*PG!G387),"",PEq!$G$20*PG!G387)</f>
        <v/>
      </c>
      <c r="P386" s="18">
        <f>IF(ISERROR(
PG!E387*G386),"",PG!E387*G386)</f>
        <v>0</v>
      </c>
      <c r="Q386" s="18">
        <f>IF(ISERROR(
PG!E387*D386),"",PG!E387*D386)</f>
        <v>0</v>
      </c>
    </row>
    <row r="387" spans="3:17" ht="30" customHeight="1" thickBot="1" x14ac:dyDescent="0.25">
      <c r="C387" s="83">
        <f>PG!C388</f>
        <v>0</v>
      </c>
      <c r="D387" s="23"/>
      <c r="E387" s="27"/>
      <c r="F387" s="27"/>
      <c r="G387" s="23"/>
      <c r="H387" s="62">
        <f>D387+PG!D388*(E387+F387)+G387</f>
        <v>0</v>
      </c>
      <c r="J387" s="18" t="str">
        <f>IF(ISERROR(
PG!F388*E387),"",PG!F388*E387)</f>
        <v/>
      </c>
      <c r="K387" s="18" t="str">
        <f>IF(ISERROR(
PG!F388*F387),"",PG!F388*F387)</f>
        <v/>
      </c>
      <c r="L387" s="18">
        <f>IF(ISERROR(
PG!D388-H387),"",PG!D388-H387)</f>
        <v>0</v>
      </c>
      <c r="M387" s="33" t="str">
        <f>IF(ISERROR(
L387/PG!D388),"",L387/PG!D388)</f>
        <v/>
      </c>
      <c r="N387" s="18" t="str">
        <f>IF(ISERROR(
(O387*PG!D388)),"",(O387*PG!D388))</f>
        <v/>
      </c>
      <c r="O387" s="45" t="str">
        <f>IF(ISERROR(
PEq!$G$20*PG!G388),"",PEq!$G$20*PG!G388)</f>
        <v/>
      </c>
      <c r="P387" s="18">
        <f>IF(ISERROR(
PG!E388*G387),"",PG!E388*G387)</f>
        <v>0</v>
      </c>
      <c r="Q387" s="18">
        <f>IF(ISERROR(
PG!E388*D387),"",PG!E388*D387)</f>
        <v>0</v>
      </c>
    </row>
    <row r="388" spans="3:17" ht="30" customHeight="1" thickBot="1" x14ac:dyDescent="0.25">
      <c r="C388" s="83">
        <f>PG!C389</f>
        <v>0</v>
      </c>
      <c r="D388" s="23"/>
      <c r="E388" s="27"/>
      <c r="F388" s="27"/>
      <c r="G388" s="23"/>
      <c r="H388" s="62">
        <f>D388+PG!D389*(E388+F388)+G388</f>
        <v>0</v>
      </c>
      <c r="J388" s="18" t="str">
        <f>IF(ISERROR(
PG!F389*E388),"",PG!F389*E388)</f>
        <v/>
      </c>
      <c r="K388" s="18" t="str">
        <f>IF(ISERROR(
PG!F389*F388),"",PG!F389*F388)</f>
        <v/>
      </c>
      <c r="L388" s="18">
        <f>IF(ISERROR(
PG!D389-H388),"",PG!D389-H388)</f>
        <v>0</v>
      </c>
      <c r="M388" s="33" t="str">
        <f>IF(ISERROR(
L388/PG!D389),"",L388/PG!D389)</f>
        <v/>
      </c>
      <c r="N388" s="18" t="str">
        <f>IF(ISERROR(
(O388*PG!D389)),"",(O388*PG!D389))</f>
        <v/>
      </c>
      <c r="O388" s="45" t="str">
        <f>IF(ISERROR(
PEq!$G$20*PG!G389),"",PEq!$G$20*PG!G389)</f>
        <v/>
      </c>
      <c r="P388" s="18">
        <f>IF(ISERROR(
PG!E389*G388),"",PG!E389*G388)</f>
        <v>0</v>
      </c>
      <c r="Q388" s="18">
        <f>IF(ISERROR(
PG!E389*D388),"",PG!E389*D388)</f>
        <v>0</v>
      </c>
    </row>
    <row r="389" spans="3:17" ht="30" customHeight="1" thickBot="1" x14ac:dyDescent="0.25">
      <c r="C389" s="83">
        <f>PG!C390</f>
        <v>0</v>
      </c>
      <c r="D389" s="23"/>
      <c r="E389" s="27"/>
      <c r="F389" s="27"/>
      <c r="G389" s="23"/>
      <c r="H389" s="62">
        <f>D389+PG!D390*(E389+F389)+G389</f>
        <v>0</v>
      </c>
      <c r="J389" s="18" t="str">
        <f>IF(ISERROR(
PG!F390*E389),"",PG!F390*E389)</f>
        <v/>
      </c>
      <c r="K389" s="18" t="str">
        <f>IF(ISERROR(
PG!F390*F389),"",PG!F390*F389)</f>
        <v/>
      </c>
      <c r="L389" s="18">
        <f>IF(ISERROR(
PG!D390-H389),"",PG!D390-H389)</f>
        <v>0</v>
      </c>
      <c r="M389" s="33" t="str">
        <f>IF(ISERROR(
L389/PG!D390),"",L389/PG!D390)</f>
        <v/>
      </c>
      <c r="N389" s="18" t="str">
        <f>IF(ISERROR(
(O389*PG!D390)),"",(O389*PG!D390))</f>
        <v/>
      </c>
      <c r="O389" s="45" t="str">
        <f>IF(ISERROR(
PEq!$G$20*PG!G390),"",PEq!$G$20*PG!G390)</f>
        <v/>
      </c>
      <c r="P389" s="18">
        <f>IF(ISERROR(
PG!E390*G389),"",PG!E390*G389)</f>
        <v>0</v>
      </c>
      <c r="Q389" s="18">
        <f>IF(ISERROR(
PG!E390*D389),"",PG!E390*D389)</f>
        <v>0</v>
      </c>
    </row>
    <row r="390" spans="3:17" ht="30" customHeight="1" thickBot="1" x14ac:dyDescent="0.25">
      <c r="C390" s="83">
        <f>PG!C391</f>
        <v>0</v>
      </c>
      <c r="D390" s="23"/>
      <c r="E390" s="27"/>
      <c r="F390" s="27"/>
      <c r="G390" s="23"/>
      <c r="H390" s="62">
        <f>D390+PG!D391*(E390+F390)+G390</f>
        <v>0</v>
      </c>
      <c r="J390" s="18" t="str">
        <f>IF(ISERROR(
PG!F391*E390),"",PG!F391*E390)</f>
        <v/>
      </c>
      <c r="K390" s="18" t="str">
        <f>IF(ISERROR(
PG!F391*F390),"",PG!F391*F390)</f>
        <v/>
      </c>
      <c r="L390" s="18">
        <f>IF(ISERROR(
PG!D391-H390),"",PG!D391-H390)</f>
        <v>0</v>
      </c>
      <c r="M390" s="33" t="str">
        <f>IF(ISERROR(
L390/PG!D391),"",L390/PG!D391)</f>
        <v/>
      </c>
      <c r="N390" s="18" t="str">
        <f>IF(ISERROR(
(O390*PG!D391)),"",(O390*PG!D391))</f>
        <v/>
      </c>
      <c r="O390" s="45" t="str">
        <f>IF(ISERROR(
PEq!$G$20*PG!G391),"",PEq!$G$20*PG!G391)</f>
        <v/>
      </c>
      <c r="P390" s="18">
        <f>IF(ISERROR(
PG!E391*G390),"",PG!E391*G390)</f>
        <v>0</v>
      </c>
      <c r="Q390" s="18">
        <f>IF(ISERROR(
PG!E391*D390),"",PG!E391*D390)</f>
        <v>0</v>
      </c>
    </row>
    <row r="391" spans="3:17" ht="30" customHeight="1" thickBot="1" x14ac:dyDescent="0.25">
      <c r="C391" s="83">
        <f>PG!C392</f>
        <v>0</v>
      </c>
      <c r="D391" s="23"/>
      <c r="E391" s="27"/>
      <c r="F391" s="27"/>
      <c r="G391" s="23"/>
      <c r="H391" s="62">
        <f>D391+PG!D392*(E391+F391)+G391</f>
        <v>0</v>
      </c>
      <c r="J391" s="18" t="str">
        <f>IF(ISERROR(
PG!F392*E391),"",PG!F392*E391)</f>
        <v/>
      </c>
      <c r="K391" s="18" t="str">
        <f>IF(ISERROR(
PG!F392*F391),"",PG!F392*F391)</f>
        <v/>
      </c>
      <c r="L391" s="18">
        <f>IF(ISERROR(
PG!D392-H391),"",PG!D392-H391)</f>
        <v>0</v>
      </c>
      <c r="M391" s="33" t="str">
        <f>IF(ISERROR(
L391/PG!D392),"",L391/PG!D392)</f>
        <v/>
      </c>
      <c r="N391" s="18" t="str">
        <f>IF(ISERROR(
(O391*PG!D392)),"",(O391*PG!D392))</f>
        <v/>
      </c>
      <c r="O391" s="45" t="str">
        <f>IF(ISERROR(
PEq!$G$20*PG!G392),"",PEq!$G$20*PG!G392)</f>
        <v/>
      </c>
      <c r="P391" s="18">
        <f>IF(ISERROR(
PG!E392*G391),"",PG!E392*G391)</f>
        <v>0</v>
      </c>
      <c r="Q391" s="18">
        <f>IF(ISERROR(
PG!E392*D391),"",PG!E392*D391)</f>
        <v>0</v>
      </c>
    </row>
    <row r="392" spans="3:17" ht="30" customHeight="1" thickBot="1" x14ac:dyDescent="0.25">
      <c r="C392" s="83">
        <f>PG!C393</f>
        <v>0</v>
      </c>
      <c r="D392" s="23"/>
      <c r="E392" s="27"/>
      <c r="F392" s="27"/>
      <c r="G392" s="23"/>
      <c r="H392" s="62">
        <f>D392+PG!D393*(E392+F392)+G392</f>
        <v>0</v>
      </c>
      <c r="J392" s="18" t="str">
        <f>IF(ISERROR(
PG!F393*E392),"",PG!F393*E392)</f>
        <v/>
      </c>
      <c r="K392" s="18" t="str">
        <f>IF(ISERROR(
PG!F393*F392),"",PG!F393*F392)</f>
        <v/>
      </c>
      <c r="L392" s="18">
        <f>IF(ISERROR(
PG!D393-H392),"",PG!D393-H392)</f>
        <v>0</v>
      </c>
      <c r="M392" s="33" t="str">
        <f>IF(ISERROR(
L392/PG!D393),"",L392/PG!D393)</f>
        <v/>
      </c>
      <c r="N392" s="18" t="str">
        <f>IF(ISERROR(
(O392*PG!D393)),"",(O392*PG!D393))</f>
        <v/>
      </c>
      <c r="O392" s="45" t="str">
        <f>IF(ISERROR(
PEq!$G$20*PG!G393),"",PEq!$G$20*PG!G393)</f>
        <v/>
      </c>
      <c r="P392" s="18">
        <f>IF(ISERROR(
PG!E393*G392),"",PG!E393*G392)</f>
        <v>0</v>
      </c>
      <c r="Q392" s="18">
        <f>IF(ISERROR(
PG!E393*D392),"",PG!E393*D392)</f>
        <v>0</v>
      </c>
    </row>
    <row r="393" spans="3:17" ht="30" customHeight="1" thickBot="1" x14ac:dyDescent="0.25">
      <c r="C393" s="83">
        <f>PG!C394</f>
        <v>0</v>
      </c>
      <c r="D393" s="23"/>
      <c r="E393" s="27"/>
      <c r="F393" s="27"/>
      <c r="G393" s="23"/>
      <c r="H393" s="62">
        <f>D393+PG!D394*(E393+F393)+G393</f>
        <v>0</v>
      </c>
      <c r="J393" s="18" t="str">
        <f>IF(ISERROR(
PG!F394*E393),"",PG!F394*E393)</f>
        <v/>
      </c>
      <c r="K393" s="18" t="str">
        <f>IF(ISERROR(
PG!F394*F393),"",PG!F394*F393)</f>
        <v/>
      </c>
      <c r="L393" s="18">
        <f>IF(ISERROR(
PG!D394-H393),"",PG!D394-H393)</f>
        <v>0</v>
      </c>
      <c r="M393" s="33" t="str">
        <f>IF(ISERROR(
L393/PG!D394),"",L393/PG!D394)</f>
        <v/>
      </c>
      <c r="N393" s="18" t="str">
        <f>IF(ISERROR(
(O393*PG!D394)),"",(O393*PG!D394))</f>
        <v/>
      </c>
      <c r="O393" s="45" t="str">
        <f>IF(ISERROR(
PEq!$G$20*PG!G394),"",PEq!$G$20*PG!G394)</f>
        <v/>
      </c>
      <c r="P393" s="18">
        <f>IF(ISERROR(
PG!E394*G393),"",PG!E394*G393)</f>
        <v>0</v>
      </c>
      <c r="Q393" s="18">
        <f>IF(ISERROR(
PG!E394*D393),"",PG!E394*D393)</f>
        <v>0</v>
      </c>
    </row>
    <row r="394" spans="3:17" ht="30" customHeight="1" thickBot="1" x14ac:dyDescent="0.25">
      <c r="C394" s="83">
        <f>PG!C395</f>
        <v>0</v>
      </c>
      <c r="D394" s="23"/>
      <c r="E394" s="27"/>
      <c r="F394" s="27"/>
      <c r="G394" s="23"/>
      <c r="H394" s="62">
        <f>D394+PG!D395*(E394+F394)+G394</f>
        <v>0</v>
      </c>
      <c r="J394" s="18" t="str">
        <f>IF(ISERROR(
PG!F395*E394),"",PG!F395*E394)</f>
        <v/>
      </c>
      <c r="K394" s="18" t="str">
        <f>IF(ISERROR(
PG!F395*F394),"",PG!F395*F394)</f>
        <v/>
      </c>
      <c r="L394" s="18">
        <f>IF(ISERROR(
PG!D395-H394),"",PG!D395-H394)</f>
        <v>0</v>
      </c>
      <c r="M394" s="33" t="str">
        <f>IF(ISERROR(
L394/PG!D395),"",L394/PG!D395)</f>
        <v/>
      </c>
      <c r="N394" s="18" t="str">
        <f>IF(ISERROR(
(O394*PG!D395)),"",(O394*PG!D395))</f>
        <v/>
      </c>
      <c r="O394" s="45" t="str">
        <f>IF(ISERROR(
PEq!$G$20*PG!G395),"",PEq!$G$20*PG!G395)</f>
        <v/>
      </c>
      <c r="P394" s="18">
        <f>IF(ISERROR(
PG!E395*G394),"",PG!E395*G394)</f>
        <v>0</v>
      </c>
      <c r="Q394" s="18">
        <f>IF(ISERROR(
PG!E395*D394),"",PG!E395*D394)</f>
        <v>0</v>
      </c>
    </row>
    <row r="395" spans="3:17" ht="30" customHeight="1" thickBot="1" x14ac:dyDescent="0.25">
      <c r="C395" s="83">
        <f>PG!C396</f>
        <v>0</v>
      </c>
      <c r="D395" s="23"/>
      <c r="E395" s="27"/>
      <c r="F395" s="27"/>
      <c r="G395" s="23"/>
      <c r="H395" s="62">
        <f>D395+PG!D396*(E395+F395)+G395</f>
        <v>0</v>
      </c>
      <c r="J395" s="18" t="str">
        <f>IF(ISERROR(
PG!F396*E395),"",PG!F396*E395)</f>
        <v/>
      </c>
      <c r="K395" s="18" t="str">
        <f>IF(ISERROR(
PG!F396*F395),"",PG!F396*F395)</f>
        <v/>
      </c>
      <c r="L395" s="18">
        <f>IF(ISERROR(
PG!D396-H395),"",PG!D396-H395)</f>
        <v>0</v>
      </c>
      <c r="M395" s="33" t="str">
        <f>IF(ISERROR(
L395/PG!D396),"",L395/PG!D396)</f>
        <v/>
      </c>
      <c r="N395" s="18" t="str">
        <f>IF(ISERROR(
(O395*PG!D396)),"",(O395*PG!D396))</f>
        <v/>
      </c>
      <c r="O395" s="45" t="str">
        <f>IF(ISERROR(
PEq!$G$20*PG!G396),"",PEq!$G$20*PG!G396)</f>
        <v/>
      </c>
      <c r="P395" s="18">
        <f>IF(ISERROR(
PG!E396*G395),"",PG!E396*G395)</f>
        <v>0</v>
      </c>
      <c r="Q395" s="18">
        <f>IF(ISERROR(
PG!E396*D395),"",PG!E396*D395)</f>
        <v>0</v>
      </c>
    </row>
    <row r="396" spans="3:17" ht="30" customHeight="1" thickBot="1" x14ac:dyDescent="0.25">
      <c r="C396" s="83">
        <f>PG!C397</f>
        <v>0</v>
      </c>
      <c r="D396" s="23"/>
      <c r="E396" s="27"/>
      <c r="F396" s="27"/>
      <c r="G396" s="23"/>
      <c r="H396" s="62">
        <f>D396+PG!D397*(E396+F396)+G396</f>
        <v>0</v>
      </c>
      <c r="J396" s="18" t="str">
        <f>IF(ISERROR(
PG!F397*E396),"",PG!F397*E396)</f>
        <v/>
      </c>
      <c r="K396" s="18" t="str">
        <f>IF(ISERROR(
PG!F397*F396),"",PG!F397*F396)</f>
        <v/>
      </c>
      <c r="L396" s="18">
        <f>IF(ISERROR(
PG!D397-H396),"",PG!D397-H396)</f>
        <v>0</v>
      </c>
      <c r="M396" s="33" t="str">
        <f>IF(ISERROR(
L396/PG!D397),"",L396/PG!D397)</f>
        <v/>
      </c>
      <c r="N396" s="18" t="str">
        <f>IF(ISERROR(
(O396*PG!D397)),"",(O396*PG!D397))</f>
        <v/>
      </c>
      <c r="O396" s="45" t="str">
        <f>IF(ISERROR(
PEq!$G$20*PG!G397),"",PEq!$G$20*PG!G397)</f>
        <v/>
      </c>
      <c r="P396" s="18">
        <f>IF(ISERROR(
PG!E397*G396),"",PG!E397*G396)</f>
        <v>0</v>
      </c>
      <c r="Q396" s="18">
        <f>IF(ISERROR(
PG!E397*D396),"",PG!E397*D396)</f>
        <v>0</v>
      </c>
    </row>
    <row r="397" spans="3:17" ht="30" customHeight="1" thickBot="1" x14ac:dyDescent="0.25">
      <c r="C397" s="83">
        <f>PG!C398</f>
        <v>0</v>
      </c>
      <c r="D397" s="23"/>
      <c r="E397" s="27"/>
      <c r="F397" s="27"/>
      <c r="G397" s="23"/>
      <c r="H397" s="62">
        <f>D397+PG!D398*(E397+F397)+G397</f>
        <v>0</v>
      </c>
      <c r="J397" s="18" t="str">
        <f>IF(ISERROR(
PG!F398*E397),"",PG!F398*E397)</f>
        <v/>
      </c>
      <c r="K397" s="18" t="str">
        <f>IF(ISERROR(
PG!F398*F397),"",PG!F398*F397)</f>
        <v/>
      </c>
      <c r="L397" s="18">
        <f>IF(ISERROR(
PG!D398-H397),"",PG!D398-H397)</f>
        <v>0</v>
      </c>
      <c r="M397" s="33" t="str">
        <f>IF(ISERROR(
L397/PG!D398),"",L397/PG!D398)</f>
        <v/>
      </c>
      <c r="N397" s="18" t="str">
        <f>IF(ISERROR(
(O397*PG!D398)),"",(O397*PG!D398))</f>
        <v/>
      </c>
      <c r="O397" s="45" t="str">
        <f>IF(ISERROR(
PEq!$G$20*PG!G398),"",PEq!$G$20*PG!G398)</f>
        <v/>
      </c>
      <c r="P397" s="18">
        <f>IF(ISERROR(
PG!E398*G397),"",PG!E398*G397)</f>
        <v>0</v>
      </c>
      <c r="Q397" s="18">
        <f>IF(ISERROR(
PG!E398*D397),"",PG!E398*D397)</f>
        <v>0</v>
      </c>
    </row>
    <row r="398" spans="3:17" ht="30" customHeight="1" thickBot="1" x14ac:dyDescent="0.25">
      <c r="C398" s="83">
        <f>PG!C399</f>
        <v>0</v>
      </c>
      <c r="D398" s="23"/>
      <c r="E398" s="27"/>
      <c r="F398" s="27"/>
      <c r="G398" s="23"/>
      <c r="H398" s="62">
        <f>D398+PG!D399*(E398+F398)+G398</f>
        <v>0</v>
      </c>
      <c r="J398" s="18" t="str">
        <f>IF(ISERROR(
PG!F399*E398),"",PG!F399*E398)</f>
        <v/>
      </c>
      <c r="K398" s="18" t="str">
        <f>IF(ISERROR(
PG!F399*F398),"",PG!F399*F398)</f>
        <v/>
      </c>
      <c r="L398" s="18">
        <f>IF(ISERROR(
PG!D399-H398),"",PG!D399-H398)</f>
        <v>0</v>
      </c>
      <c r="M398" s="33" t="str">
        <f>IF(ISERROR(
L398/PG!D399),"",L398/PG!D399)</f>
        <v/>
      </c>
      <c r="N398" s="18" t="str">
        <f>IF(ISERROR(
(O398*PG!D399)),"",(O398*PG!D399))</f>
        <v/>
      </c>
      <c r="O398" s="45" t="str">
        <f>IF(ISERROR(
PEq!$G$20*PG!G399),"",PEq!$G$20*PG!G399)</f>
        <v/>
      </c>
      <c r="P398" s="18">
        <f>IF(ISERROR(
PG!E399*G398),"",PG!E399*G398)</f>
        <v>0</v>
      </c>
      <c r="Q398" s="18">
        <f>IF(ISERROR(
PG!E399*D398),"",PG!E399*D398)</f>
        <v>0</v>
      </c>
    </row>
    <row r="399" spans="3:17" ht="30" customHeight="1" thickBot="1" x14ac:dyDescent="0.25">
      <c r="C399" s="83">
        <f>PG!C400</f>
        <v>0</v>
      </c>
      <c r="D399" s="23"/>
      <c r="E399" s="27"/>
      <c r="F399" s="27"/>
      <c r="G399" s="23"/>
      <c r="H399" s="62">
        <f>D399+PG!D400*(E399+F399)+G399</f>
        <v>0</v>
      </c>
      <c r="J399" s="18" t="str">
        <f>IF(ISERROR(
PG!F400*E399),"",PG!F400*E399)</f>
        <v/>
      </c>
      <c r="K399" s="18" t="str">
        <f>IF(ISERROR(
PG!F400*F399),"",PG!F400*F399)</f>
        <v/>
      </c>
      <c r="L399" s="18">
        <f>IF(ISERROR(
PG!D400-H399),"",PG!D400-H399)</f>
        <v>0</v>
      </c>
      <c r="M399" s="33" t="str">
        <f>IF(ISERROR(
L399/PG!D400),"",L399/PG!D400)</f>
        <v/>
      </c>
      <c r="N399" s="18" t="str">
        <f>IF(ISERROR(
(O399*PG!D400)),"",(O399*PG!D400))</f>
        <v/>
      </c>
      <c r="O399" s="45" t="str">
        <f>IF(ISERROR(
PEq!$G$20*PG!G400),"",PEq!$G$20*PG!G400)</f>
        <v/>
      </c>
      <c r="P399" s="18">
        <f>IF(ISERROR(
PG!E400*G399),"",PG!E400*G399)</f>
        <v>0</v>
      </c>
      <c r="Q399" s="18">
        <f>IF(ISERROR(
PG!E400*D399),"",PG!E400*D399)</f>
        <v>0</v>
      </c>
    </row>
    <row r="400" spans="3:17" ht="30" customHeight="1" thickBot="1" x14ac:dyDescent="0.25">
      <c r="C400" s="83">
        <f>PG!C401</f>
        <v>0</v>
      </c>
      <c r="D400" s="23"/>
      <c r="E400" s="27"/>
      <c r="F400" s="27"/>
      <c r="G400" s="23"/>
      <c r="H400" s="62">
        <f>D400+PG!D401*(E400+F400)+G400</f>
        <v>0</v>
      </c>
      <c r="J400" s="18" t="str">
        <f>IF(ISERROR(
PG!F401*E400),"",PG!F401*E400)</f>
        <v/>
      </c>
      <c r="K400" s="18" t="str">
        <f>IF(ISERROR(
PG!F401*F400),"",PG!F401*F400)</f>
        <v/>
      </c>
      <c r="L400" s="18">
        <f>IF(ISERROR(
PG!D401-H400),"",PG!D401-H400)</f>
        <v>0</v>
      </c>
      <c r="M400" s="33" t="str">
        <f>IF(ISERROR(
L400/PG!D401),"",L400/PG!D401)</f>
        <v/>
      </c>
      <c r="N400" s="18" t="str">
        <f>IF(ISERROR(
(O400*PG!D401)),"",(O400*PG!D401))</f>
        <v/>
      </c>
      <c r="O400" s="45" t="str">
        <f>IF(ISERROR(
PEq!$G$20*PG!G401),"",PEq!$G$20*PG!G401)</f>
        <v/>
      </c>
      <c r="P400" s="18">
        <f>IF(ISERROR(
PG!E401*G400),"",PG!E401*G400)</f>
        <v>0</v>
      </c>
      <c r="Q400" s="18">
        <f>IF(ISERROR(
PG!E401*D400),"",PG!E401*D400)</f>
        <v>0</v>
      </c>
    </row>
    <row r="401" spans="3:17" ht="30" customHeight="1" thickBot="1" x14ac:dyDescent="0.25">
      <c r="C401" s="83">
        <f>PG!C402</f>
        <v>0</v>
      </c>
      <c r="D401" s="23"/>
      <c r="E401" s="27"/>
      <c r="F401" s="27"/>
      <c r="G401" s="23"/>
      <c r="H401" s="62">
        <f>D401+PG!D402*(E401+F401)+G401</f>
        <v>0</v>
      </c>
      <c r="J401" s="18" t="str">
        <f>IF(ISERROR(
PG!F402*E401),"",PG!F402*E401)</f>
        <v/>
      </c>
      <c r="K401" s="18" t="str">
        <f>IF(ISERROR(
PG!F402*F401),"",PG!F402*F401)</f>
        <v/>
      </c>
      <c r="L401" s="18">
        <f>IF(ISERROR(
PG!D402-H401),"",PG!D402-H401)</f>
        <v>0</v>
      </c>
      <c r="M401" s="33" t="str">
        <f>IF(ISERROR(
L401/PG!D402),"",L401/PG!D402)</f>
        <v/>
      </c>
      <c r="N401" s="18" t="str">
        <f>IF(ISERROR(
(O401*PG!D402)),"",(O401*PG!D402))</f>
        <v/>
      </c>
      <c r="O401" s="45" t="str">
        <f>IF(ISERROR(
PEq!$G$20*PG!G402),"",PEq!$G$20*PG!G402)</f>
        <v/>
      </c>
      <c r="P401" s="18">
        <f>IF(ISERROR(
PG!E402*G401),"",PG!E402*G401)</f>
        <v>0</v>
      </c>
      <c r="Q401" s="18">
        <f>IF(ISERROR(
PG!E402*D401),"",PG!E402*D401)</f>
        <v>0</v>
      </c>
    </row>
    <row r="402" spans="3:17" ht="30" customHeight="1" thickBot="1" x14ac:dyDescent="0.25">
      <c r="C402" s="83">
        <f>PG!C403</f>
        <v>0</v>
      </c>
      <c r="D402" s="23"/>
      <c r="E402" s="27"/>
      <c r="F402" s="27"/>
      <c r="G402" s="23"/>
      <c r="H402" s="62">
        <f>D402+PG!D403*(E402+F402)+G402</f>
        <v>0</v>
      </c>
      <c r="J402" s="18" t="str">
        <f>IF(ISERROR(
PG!F403*E402),"",PG!F403*E402)</f>
        <v/>
      </c>
      <c r="K402" s="18" t="str">
        <f>IF(ISERROR(
PG!F403*F402),"",PG!F403*F402)</f>
        <v/>
      </c>
      <c r="L402" s="18">
        <f>IF(ISERROR(
PG!D403-H402),"",PG!D403-H402)</f>
        <v>0</v>
      </c>
      <c r="M402" s="33" t="str">
        <f>IF(ISERROR(
L402/PG!D403),"",L402/PG!D403)</f>
        <v/>
      </c>
      <c r="N402" s="18" t="str">
        <f>IF(ISERROR(
(O402*PG!D403)),"",(O402*PG!D403))</f>
        <v/>
      </c>
      <c r="O402" s="45" t="str">
        <f>IF(ISERROR(
PEq!$G$20*PG!G403),"",PEq!$G$20*PG!G403)</f>
        <v/>
      </c>
      <c r="P402" s="18">
        <f>IF(ISERROR(
PG!E403*G402),"",PG!E403*G402)</f>
        <v>0</v>
      </c>
      <c r="Q402" s="18">
        <f>IF(ISERROR(
PG!E403*D402),"",PG!E403*D402)</f>
        <v>0</v>
      </c>
    </row>
    <row r="403" spans="3:17" ht="30" customHeight="1" thickBot="1" x14ac:dyDescent="0.25">
      <c r="C403" s="83">
        <f>PG!C404</f>
        <v>0</v>
      </c>
      <c r="D403" s="23"/>
      <c r="E403" s="27"/>
      <c r="F403" s="27"/>
      <c r="G403" s="23"/>
      <c r="H403" s="62">
        <f>D403+PG!D404*(E403+F403)+G403</f>
        <v>0</v>
      </c>
      <c r="J403" s="18" t="str">
        <f>IF(ISERROR(
PG!F404*E403),"",PG!F404*E403)</f>
        <v/>
      </c>
      <c r="K403" s="18" t="str">
        <f>IF(ISERROR(
PG!F404*F403),"",PG!F404*F403)</f>
        <v/>
      </c>
      <c r="L403" s="18">
        <f>IF(ISERROR(
PG!D404-H403),"",PG!D404-H403)</f>
        <v>0</v>
      </c>
      <c r="M403" s="33" t="str">
        <f>IF(ISERROR(
L403/PG!D404),"",L403/PG!D404)</f>
        <v/>
      </c>
      <c r="N403" s="18" t="str">
        <f>IF(ISERROR(
(O403*PG!D404)),"",(O403*PG!D404))</f>
        <v/>
      </c>
      <c r="O403" s="45" t="str">
        <f>IF(ISERROR(
PEq!$G$20*PG!G404),"",PEq!$G$20*PG!G404)</f>
        <v/>
      </c>
      <c r="P403" s="18">
        <f>IF(ISERROR(
PG!E404*G403),"",PG!E404*G403)</f>
        <v>0</v>
      </c>
      <c r="Q403" s="18">
        <f>IF(ISERROR(
PG!E404*D403),"",PG!E404*D403)</f>
        <v>0</v>
      </c>
    </row>
    <row r="404" spans="3:17" ht="30" customHeight="1" thickBot="1" x14ac:dyDescent="0.25">
      <c r="C404" s="83">
        <f>PG!C405</f>
        <v>0</v>
      </c>
      <c r="D404" s="23"/>
      <c r="E404" s="27"/>
      <c r="F404" s="27"/>
      <c r="G404" s="23"/>
      <c r="H404" s="62">
        <f>D404+PG!D405*(E404+F404)+G404</f>
        <v>0</v>
      </c>
      <c r="J404" s="18" t="str">
        <f>IF(ISERROR(
PG!F405*E404),"",PG!F405*E404)</f>
        <v/>
      </c>
      <c r="K404" s="18" t="str">
        <f>IF(ISERROR(
PG!F405*F404),"",PG!F405*F404)</f>
        <v/>
      </c>
      <c r="L404" s="18">
        <f>IF(ISERROR(
PG!D405-H404),"",PG!D405-H404)</f>
        <v>0</v>
      </c>
      <c r="M404" s="33" t="str">
        <f>IF(ISERROR(
L404/PG!D405),"",L404/PG!D405)</f>
        <v/>
      </c>
      <c r="N404" s="18" t="str">
        <f>IF(ISERROR(
(O404*PG!D405)),"",(O404*PG!D405))</f>
        <v/>
      </c>
      <c r="O404" s="45" t="str">
        <f>IF(ISERROR(
PEq!$G$20*PG!G405),"",PEq!$G$20*PG!G405)</f>
        <v/>
      </c>
      <c r="P404" s="18">
        <f>IF(ISERROR(
PG!E405*G404),"",PG!E405*G404)</f>
        <v>0</v>
      </c>
      <c r="Q404" s="18">
        <f>IF(ISERROR(
PG!E405*D404),"",PG!E405*D404)</f>
        <v>0</v>
      </c>
    </row>
    <row r="405" spans="3:17" ht="30" customHeight="1" thickBot="1" x14ac:dyDescent="0.25">
      <c r="C405" s="83">
        <f>PG!C406</f>
        <v>0</v>
      </c>
      <c r="D405" s="23"/>
      <c r="E405" s="27"/>
      <c r="F405" s="27"/>
      <c r="G405" s="23"/>
      <c r="H405" s="62">
        <f>D405+PG!D406*(E405+F405)+G405</f>
        <v>0</v>
      </c>
      <c r="J405" s="18" t="str">
        <f>IF(ISERROR(
PG!F406*E405),"",PG!F406*E405)</f>
        <v/>
      </c>
      <c r="K405" s="18" t="str">
        <f>IF(ISERROR(
PG!F406*F405),"",PG!F406*F405)</f>
        <v/>
      </c>
      <c r="L405" s="18">
        <f>IF(ISERROR(
PG!D406-H405),"",PG!D406-H405)</f>
        <v>0</v>
      </c>
      <c r="M405" s="33" t="str">
        <f>IF(ISERROR(
L405/PG!D406),"",L405/PG!D406)</f>
        <v/>
      </c>
      <c r="N405" s="18" t="str">
        <f>IF(ISERROR(
(O405*PG!D406)),"",(O405*PG!D406))</f>
        <v/>
      </c>
      <c r="O405" s="45" t="str">
        <f>IF(ISERROR(
PEq!$G$20*PG!G406),"",PEq!$G$20*PG!G406)</f>
        <v/>
      </c>
      <c r="P405" s="18">
        <f>IF(ISERROR(
PG!E406*G405),"",PG!E406*G405)</f>
        <v>0</v>
      </c>
      <c r="Q405" s="18">
        <f>IF(ISERROR(
PG!E406*D405),"",PG!E406*D405)</f>
        <v>0</v>
      </c>
    </row>
    <row r="406" spans="3:17" ht="30" customHeight="1" thickBot="1" x14ac:dyDescent="0.25">
      <c r="C406" s="83">
        <f>PG!C407</f>
        <v>0</v>
      </c>
      <c r="D406" s="23"/>
      <c r="E406" s="27"/>
      <c r="F406" s="27"/>
      <c r="G406" s="23"/>
      <c r="H406" s="62">
        <f>D406+PG!D407*(E406+F406)+G406</f>
        <v>0</v>
      </c>
      <c r="J406" s="18" t="str">
        <f>IF(ISERROR(
PG!F407*E406),"",PG!F407*E406)</f>
        <v/>
      </c>
      <c r="K406" s="18" t="str">
        <f>IF(ISERROR(
PG!F407*F406),"",PG!F407*F406)</f>
        <v/>
      </c>
      <c r="L406" s="18">
        <f>IF(ISERROR(
PG!D407-H406),"",PG!D407-H406)</f>
        <v>0</v>
      </c>
      <c r="M406" s="33" t="str">
        <f>IF(ISERROR(
L406/PG!D407),"",L406/PG!D407)</f>
        <v/>
      </c>
      <c r="N406" s="18" t="str">
        <f>IF(ISERROR(
(O406*PG!D407)),"",(O406*PG!D407))</f>
        <v/>
      </c>
      <c r="O406" s="45" t="str">
        <f>IF(ISERROR(
PEq!$G$20*PG!G407),"",PEq!$G$20*PG!G407)</f>
        <v/>
      </c>
      <c r="P406" s="18">
        <f>IF(ISERROR(
PG!E407*G406),"",PG!E407*G406)</f>
        <v>0</v>
      </c>
      <c r="Q406" s="18">
        <f>IF(ISERROR(
PG!E407*D406),"",PG!E407*D406)</f>
        <v>0</v>
      </c>
    </row>
    <row r="407" spans="3:17" ht="30" customHeight="1" thickBot="1" x14ac:dyDescent="0.25">
      <c r="C407" s="83">
        <f>PG!C408</f>
        <v>0</v>
      </c>
      <c r="D407" s="23"/>
      <c r="E407" s="27"/>
      <c r="F407" s="27"/>
      <c r="G407" s="23"/>
      <c r="H407" s="62">
        <f>D407+PG!D408*(E407+F407)+G407</f>
        <v>0</v>
      </c>
      <c r="J407" s="18" t="str">
        <f>IF(ISERROR(
PG!F408*E407),"",PG!F408*E407)</f>
        <v/>
      </c>
      <c r="K407" s="18" t="str">
        <f>IF(ISERROR(
PG!F408*F407),"",PG!F408*F407)</f>
        <v/>
      </c>
      <c r="L407" s="18">
        <f>IF(ISERROR(
PG!D408-H407),"",PG!D408-H407)</f>
        <v>0</v>
      </c>
      <c r="M407" s="33" t="str">
        <f>IF(ISERROR(
L407/PG!D408),"",L407/PG!D408)</f>
        <v/>
      </c>
      <c r="N407" s="18" t="str">
        <f>IF(ISERROR(
(O407*PG!D408)),"",(O407*PG!D408))</f>
        <v/>
      </c>
      <c r="O407" s="45" t="str">
        <f>IF(ISERROR(
PEq!$G$20*PG!G408),"",PEq!$G$20*PG!G408)</f>
        <v/>
      </c>
      <c r="P407" s="18">
        <f>IF(ISERROR(
PG!E408*G407),"",PG!E408*G407)</f>
        <v>0</v>
      </c>
      <c r="Q407" s="18">
        <f>IF(ISERROR(
PG!E408*D407),"",PG!E408*D407)</f>
        <v>0</v>
      </c>
    </row>
    <row r="408" spans="3:17" ht="30" customHeight="1" thickBot="1" x14ac:dyDescent="0.25">
      <c r="C408" s="83">
        <f>PG!C409</f>
        <v>0</v>
      </c>
      <c r="D408" s="23"/>
      <c r="E408" s="27"/>
      <c r="F408" s="27"/>
      <c r="G408" s="23"/>
      <c r="H408" s="62">
        <f>D408+PG!D409*(E408+F408)+G408</f>
        <v>0</v>
      </c>
      <c r="J408" s="18" t="str">
        <f>IF(ISERROR(
PG!F409*E408),"",PG!F409*E408)</f>
        <v/>
      </c>
      <c r="K408" s="18" t="str">
        <f>IF(ISERROR(
PG!F409*F408),"",PG!F409*F408)</f>
        <v/>
      </c>
      <c r="L408" s="18">
        <f>IF(ISERROR(
PG!D409-H408),"",PG!D409-H408)</f>
        <v>0</v>
      </c>
      <c r="M408" s="33" t="str">
        <f>IF(ISERROR(
L408/PG!D409),"",L408/PG!D409)</f>
        <v/>
      </c>
      <c r="N408" s="18" t="str">
        <f>IF(ISERROR(
(O408*PG!D409)),"",(O408*PG!D409))</f>
        <v/>
      </c>
      <c r="O408" s="45" t="str">
        <f>IF(ISERROR(
PEq!$G$20*PG!G409),"",PEq!$G$20*PG!G409)</f>
        <v/>
      </c>
      <c r="P408" s="18">
        <f>IF(ISERROR(
PG!E409*G408),"",PG!E409*G408)</f>
        <v>0</v>
      </c>
      <c r="Q408" s="18">
        <f>IF(ISERROR(
PG!E409*D408),"",PG!E409*D408)</f>
        <v>0</v>
      </c>
    </row>
    <row r="409" spans="3:17" ht="30" customHeight="1" thickBot="1" x14ac:dyDescent="0.25">
      <c r="C409" s="83">
        <f>PG!C410</f>
        <v>0</v>
      </c>
      <c r="D409" s="23"/>
      <c r="E409" s="27"/>
      <c r="F409" s="27"/>
      <c r="G409" s="23"/>
      <c r="H409" s="62">
        <f>D409+PG!D410*(E409+F409)+G409</f>
        <v>0</v>
      </c>
      <c r="J409" s="18" t="str">
        <f>IF(ISERROR(
PG!F410*E409),"",PG!F410*E409)</f>
        <v/>
      </c>
      <c r="K409" s="18" t="str">
        <f>IF(ISERROR(
PG!F410*F409),"",PG!F410*F409)</f>
        <v/>
      </c>
      <c r="L409" s="18">
        <f>IF(ISERROR(
PG!D410-H409),"",PG!D410-H409)</f>
        <v>0</v>
      </c>
      <c r="M409" s="33" t="str">
        <f>IF(ISERROR(
L409/PG!D410),"",L409/PG!D410)</f>
        <v/>
      </c>
      <c r="N409" s="18" t="str">
        <f>IF(ISERROR(
(O409*PG!D410)),"",(O409*PG!D410))</f>
        <v/>
      </c>
      <c r="O409" s="45" t="str">
        <f>IF(ISERROR(
PEq!$G$20*PG!G410),"",PEq!$G$20*PG!G410)</f>
        <v/>
      </c>
      <c r="P409" s="18">
        <f>IF(ISERROR(
PG!E410*G409),"",PG!E410*G409)</f>
        <v>0</v>
      </c>
      <c r="Q409" s="18">
        <f>IF(ISERROR(
PG!E410*D409),"",PG!E410*D409)</f>
        <v>0</v>
      </c>
    </row>
    <row r="410" spans="3:17" ht="30" customHeight="1" thickBot="1" x14ac:dyDescent="0.25">
      <c r="C410" s="83">
        <f>PG!C411</f>
        <v>0</v>
      </c>
      <c r="D410" s="23"/>
      <c r="E410" s="27"/>
      <c r="F410" s="27"/>
      <c r="G410" s="23"/>
      <c r="H410" s="62">
        <f>D410+PG!D411*(E410+F410)+G410</f>
        <v>0</v>
      </c>
      <c r="J410" s="18" t="str">
        <f>IF(ISERROR(
PG!F411*E410),"",PG!F411*E410)</f>
        <v/>
      </c>
      <c r="K410" s="18" t="str">
        <f>IF(ISERROR(
PG!F411*F410),"",PG!F411*F410)</f>
        <v/>
      </c>
      <c r="L410" s="18">
        <f>IF(ISERROR(
PG!D411-H410),"",PG!D411-H410)</f>
        <v>0</v>
      </c>
      <c r="M410" s="33" t="str">
        <f>IF(ISERROR(
L410/PG!D411),"",L410/PG!D411)</f>
        <v/>
      </c>
      <c r="N410" s="18" t="str">
        <f>IF(ISERROR(
(O410*PG!D411)),"",(O410*PG!D411))</f>
        <v/>
      </c>
      <c r="O410" s="45" t="str">
        <f>IF(ISERROR(
PEq!$G$20*PG!G411),"",PEq!$G$20*PG!G411)</f>
        <v/>
      </c>
      <c r="P410" s="18">
        <f>IF(ISERROR(
PG!E411*G410),"",PG!E411*G410)</f>
        <v>0</v>
      </c>
      <c r="Q410" s="18">
        <f>IF(ISERROR(
PG!E411*D410),"",PG!E411*D410)</f>
        <v>0</v>
      </c>
    </row>
    <row r="411" spans="3:17" ht="30" customHeight="1" thickBot="1" x14ac:dyDescent="0.25">
      <c r="C411" s="83">
        <f>PG!C412</f>
        <v>0</v>
      </c>
      <c r="D411" s="23"/>
      <c r="E411" s="27"/>
      <c r="F411" s="27"/>
      <c r="G411" s="23"/>
      <c r="H411" s="62">
        <f>D411+PG!D412*(E411+F411)+G411</f>
        <v>0</v>
      </c>
      <c r="J411" s="18" t="str">
        <f>IF(ISERROR(
PG!F412*E411),"",PG!F412*E411)</f>
        <v/>
      </c>
      <c r="K411" s="18" t="str">
        <f>IF(ISERROR(
PG!F412*F411),"",PG!F412*F411)</f>
        <v/>
      </c>
      <c r="L411" s="18">
        <f>IF(ISERROR(
PG!D412-H411),"",PG!D412-H411)</f>
        <v>0</v>
      </c>
      <c r="M411" s="33" t="str">
        <f>IF(ISERROR(
L411/PG!D412),"",L411/PG!D412)</f>
        <v/>
      </c>
      <c r="N411" s="18" t="str">
        <f>IF(ISERROR(
(O411*PG!D412)),"",(O411*PG!D412))</f>
        <v/>
      </c>
      <c r="O411" s="45" t="str">
        <f>IF(ISERROR(
PEq!$G$20*PG!G412),"",PEq!$G$20*PG!G412)</f>
        <v/>
      </c>
      <c r="P411" s="18">
        <f>IF(ISERROR(
PG!E412*G411),"",PG!E412*G411)</f>
        <v>0</v>
      </c>
      <c r="Q411" s="18">
        <f>IF(ISERROR(
PG!E412*D411),"",PG!E412*D411)</f>
        <v>0</v>
      </c>
    </row>
    <row r="412" spans="3:17" ht="30" customHeight="1" thickBot="1" x14ac:dyDescent="0.25">
      <c r="C412" s="83">
        <f>PG!C413</f>
        <v>0</v>
      </c>
      <c r="D412" s="23"/>
      <c r="E412" s="27"/>
      <c r="F412" s="27"/>
      <c r="G412" s="23"/>
      <c r="H412" s="62">
        <f>D412+PG!D413*(E412+F412)+G412</f>
        <v>0</v>
      </c>
      <c r="J412" s="18" t="str">
        <f>IF(ISERROR(
PG!F413*E412),"",PG!F413*E412)</f>
        <v/>
      </c>
      <c r="K412" s="18" t="str">
        <f>IF(ISERROR(
PG!F413*F412),"",PG!F413*F412)</f>
        <v/>
      </c>
      <c r="L412" s="18">
        <f>IF(ISERROR(
PG!D413-H412),"",PG!D413-H412)</f>
        <v>0</v>
      </c>
      <c r="M412" s="33" t="str">
        <f>IF(ISERROR(
L412/PG!D413),"",L412/PG!D413)</f>
        <v/>
      </c>
      <c r="N412" s="18" t="str">
        <f>IF(ISERROR(
(O412*PG!D413)),"",(O412*PG!D413))</f>
        <v/>
      </c>
      <c r="O412" s="45" t="str">
        <f>IF(ISERROR(
PEq!$G$20*PG!G413),"",PEq!$G$20*PG!G413)</f>
        <v/>
      </c>
      <c r="P412" s="18">
        <f>IF(ISERROR(
PG!E413*G412),"",PG!E413*G412)</f>
        <v>0</v>
      </c>
      <c r="Q412" s="18">
        <f>IF(ISERROR(
PG!E413*D412),"",PG!E413*D412)</f>
        <v>0</v>
      </c>
    </row>
    <row r="413" spans="3:17" ht="30" customHeight="1" thickBot="1" x14ac:dyDescent="0.25">
      <c r="C413" s="83">
        <f>PG!C414</f>
        <v>0</v>
      </c>
      <c r="D413" s="23"/>
      <c r="E413" s="27"/>
      <c r="F413" s="27"/>
      <c r="G413" s="23"/>
      <c r="H413" s="62">
        <f>D413+PG!D414*(E413+F413)+G413</f>
        <v>0</v>
      </c>
      <c r="J413" s="18" t="str">
        <f>IF(ISERROR(
PG!F414*E413),"",PG!F414*E413)</f>
        <v/>
      </c>
      <c r="K413" s="18" t="str">
        <f>IF(ISERROR(
PG!F414*F413),"",PG!F414*F413)</f>
        <v/>
      </c>
      <c r="L413" s="18">
        <f>IF(ISERROR(
PG!D414-H413),"",PG!D414-H413)</f>
        <v>0</v>
      </c>
      <c r="M413" s="33" t="str">
        <f>IF(ISERROR(
L413/PG!D414),"",L413/PG!D414)</f>
        <v/>
      </c>
      <c r="N413" s="18" t="str">
        <f>IF(ISERROR(
(O413*PG!D414)),"",(O413*PG!D414))</f>
        <v/>
      </c>
      <c r="O413" s="45" t="str">
        <f>IF(ISERROR(
PEq!$G$20*PG!G414),"",PEq!$G$20*PG!G414)</f>
        <v/>
      </c>
      <c r="P413" s="18">
        <f>IF(ISERROR(
PG!E414*G413),"",PG!E414*G413)</f>
        <v>0</v>
      </c>
      <c r="Q413" s="18">
        <f>IF(ISERROR(
PG!E414*D413),"",PG!E414*D413)</f>
        <v>0</v>
      </c>
    </row>
    <row r="414" spans="3:17" ht="30" customHeight="1" thickBot="1" x14ac:dyDescent="0.25">
      <c r="C414" s="83">
        <f>PG!C415</f>
        <v>0</v>
      </c>
      <c r="D414" s="23"/>
      <c r="E414" s="27"/>
      <c r="F414" s="27"/>
      <c r="G414" s="23"/>
      <c r="H414" s="62">
        <f>D414+PG!D415*(E414+F414)+G414</f>
        <v>0</v>
      </c>
      <c r="J414" s="18" t="str">
        <f>IF(ISERROR(
PG!F415*E414),"",PG!F415*E414)</f>
        <v/>
      </c>
      <c r="K414" s="18" t="str">
        <f>IF(ISERROR(
PG!F415*F414),"",PG!F415*F414)</f>
        <v/>
      </c>
      <c r="L414" s="18">
        <f>IF(ISERROR(
PG!D415-H414),"",PG!D415-H414)</f>
        <v>0</v>
      </c>
      <c r="M414" s="33" t="str">
        <f>IF(ISERROR(
L414/PG!D415),"",L414/PG!D415)</f>
        <v/>
      </c>
      <c r="N414" s="18" t="str">
        <f>IF(ISERROR(
(O414*PG!D415)),"",(O414*PG!D415))</f>
        <v/>
      </c>
      <c r="O414" s="45" t="str">
        <f>IF(ISERROR(
PEq!$G$20*PG!G415),"",PEq!$G$20*PG!G415)</f>
        <v/>
      </c>
      <c r="P414" s="18">
        <f>IF(ISERROR(
PG!E415*G414),"",PG!E415*G414)</f>
        <v>0</v>
      </c>
      <c r="Q414" s="18">
        <f>IF(ISERROR(
PG!E415*D414),"",PG!E415*D414)</f>
        <v>0</v>
      </c>
    </row>
    <row r="415" spans="3:17" ht="30" customHeight="1" thickBot="1" x14ac:dyDescent="0.25">
      <c r="C415" s="83">
        <f>PG!C416</f>
        <v>0</v>
      </c>
      <c r="D415" s="23"/>
      <c r="E415" s="27"/>
      <c r="F415" s="27"/>
      <c r="G415" s="23"/>
      <c r="H415" s="62">
        <f>D415+PG!D416*(E415+F415)+G415</f>
        <v>0</v>
      </c>
      <c r="J415" s="18" t="str">
        <f>IF(ISERROR(
PG!F416*E415),"",PG!F416*E415)</f>
        <v/>
      </c>
      <c r="K415" s="18" t="str">
        <f>IF(ISERROR(
PG!F416*F415),"",PG!F416*F415)</f>
        <v/>
      </c>
      <c r="L415" s="18">
        <f>IF(ISERROR(
PG!D416-H415),"",PG!D416-H415)</f>
        <v>0</v>
      </c>
      <c r="M415" s="33" t="str">
        <f>IF(ISERROR(
L415/PG!D416),"",L415/PG!D416)</f>
        <v/>
      </c>
      <c r="N415" s="18" t="str">
        <f>IF(ISERROR(
(O415*PG!D416)),"",(O415*PG!D416))</f>
        <v/>
      </c>
      <c r="O415" s="45" t="str">
        <f>IF(ISERROR(
PEq!$G$20*PG!G416),"",PEq!$G$20*PG!G416)</f>
        <v/>
      </c>
      <c r="P415" s="18">
        <f>IF(ISERROR(
PG!E416*G415),"",PG!E416*G415)</f>
        <v>0</v>
      </c>
      <c r="Q415" s="18">
        <f>IF(ISERROR(
PG!E416*D415),"",PG!E416*D415)</f>
        <v>0</v>
      </c>
    </row>
    <row r="416" spans="3:17" ht="30" customHeight="1" thickBot="1" x14ac:dyDescent="0.25">
      <c r="C416" s="83">
        <f>PG!C417</f>
        <v>0</v>
      </c>
      <c r="D416" s="23"/>
      <c r="E416" s="27"/>
      <c r="F416" s="27"/>
      <c r="G416" s="23"/>
      <c r="H416" s="62">
        <f>D416+PG!D417*(E416+F416)+G416</f>
        <v>0</v>
      </c>
      <c r="J416" s="18" t="str">
        <f>IF(ISERROR(
PG!F417*E416),"",PG!F417*E416)</f>
        <v/>
      </c>
      <c r="K416" s="18" t="str">
        <f>IF(ISERROR(
PG!F417*F416),"",PG!F417*F416)</f>
        <v/>
      </c>
      <c r="L416" s="18">
        <f>IF(ISERROR(
PG!D417-H416),"",PG!D417-H416)</f>
        <v>0</v>
      </c>
      <c r="M416" s="33" t="str">
        <f>IF(ISERROR(
L416/PG!D417),"",L416/PG!D417)</f>
        <v/>
      </c>
      <c r="N416" s="18" t="str">
        <f>IF(ISERROR(
(O416*PG!D417)),"",(O416*PG!D417))</f>
        <v/>
      </c>
      <c r="O416" s="45" t="str">
        <f>IF(ISERROR(
PEq!$G$20*PG!G417),"",PEq!$G$20*PG!G417)</f>
        <v/>
      </c>
      <c r="P416" s="18">
        <f>IF(ISERROR(
PG!E417*G416),"",PG!E417*G416)</f>
        <v>0</v>
      </c>
      <c r="Q416" s="18">
        <f>IF(ISERROR(
PG!E417*D416),"",PG!E417*D416)</f>
        <v>0</v>
      </c>
    </row>
    <row r="417" spans="3:17" ht="30" customHeight="1" thickBot="1" x14ac:dyDescent="0.25">
      <c r="C417" s="83">
        <f>PG!C418</f>
        <v>0</v>
      </c>
      <c r="D417" s="23"/>
      <c r="E417" s="27"/>
      <c r="F417" s="27"/>
      <c r="G417" s="23"/>
      <c r="H417" s="62">
        <f>D417+PG!D418*(E417+F417)+G417</f>
        <v>0</v>
      </c>
      <c r="J417" s="18" t="str">
        <f>IF(ISERROR(
PG!F418*E417),"",PG!F418*E417)</f>
        <v/>
      </c>
      <c r="K417" s="18" t="str">
        <f>IF(ISERROR(
PG!F418*F417),"",PG!F418*F417)</f>
        <v/>
      </c>
      <c r="L417" s="18">
        <f>IF(ISERROR(
PG!D418-H417),"",PG!D418-H417)</f>
        <v>0</v>
      </c>
      <c r="M417" s="33" t="str">
        <f>IF(ISERROR(
L417/PG!D418),"",L417/PG!D418)</f>
        <v/>
      </c>
      <c r="N417" s="18" t="str">
        <f>IF(ISERROR(
(O417*PG!D418)),"",(O417*PG!D418))</f>
        <v/>
      </c>
      <c r="O417" s="45" t="str">
        <f>IF(ISERROR(
PEq!$G$20*PG!G418),"",PEq!$G$20*PG!G418)</f>
        <v/>
      </c>
      <c r="P417" s="18">
        <f>IF(ISERROR(
PG!E418*G417),"",PG!E418*G417)</f>
        <v>0</v>
      </c>
      <c r="Q417" s="18">
        <f>IF(ISERROR(
PG!E418*D417),"",PG!E418*D417)</f>
        <v>0</v>
      </c>
    </row>
    <row r="418" spans="3:17" ht="30" customHeight="1" thickBot="1" x14ac:dyDescent="0.25">
      <c r="C418" s="83">
        <f>PG!C419</f>
        <v>0</v>
      </c>
      <c r="D418" s="23"/>
      <c r="E418" s="27"/>
      <c r="F418" s="27"/>
      <c r="G418" s="23"/>
      <c r="H418" s="62">
        <f>D418+PG!D419*(E418+F418)+G418</f>
        <v>0</v>
      </c>
      <c r="J418" s="18" t="str">
        <f>IF(ISERROR(
PG!F419*E418),"",PG!F419*E418)</f>
        <v/>
      </c>
      <c r="K418" s="18" t="str">
        <f>IF(ISERROR(
PG!F419*F418),"",PG!F419*F418)</f>
        <v/>
      </c>
      <c r="L418" s="18">
        <f>IF(ISERROR(
PG!D419-H418),"",PG!D419-H418)</f>
        <v>0</v>
      </c>
      <c r="M418" s="33" t="str">
        <f>IF(ISERROR(
L418/PG!D419),"",L418/PG!D419)</f>
        <v/>
      </c>
      <c r="N418" s="18" t="str">
        <f>IF(ISERROR(
(O418*PG!D419)),"",(O418*PG!D419))</f>
        <v/>
      </c>
      <c r="O418" s="45" t="str">
        <f>IF(ISERROR(
PEq!$G$20*PG!G419),"",PEq!$G$20*PG!G419)</f>
        <v/>
      </c>
      <c r="P418" s="18">
        <f>IF(ISERROR(
PG!E419*G418),"",PG!E419*G418)</f>
        <v>0</v>
      </c>
      <c r="Q418" s="18">
        <f>IF(ISERROR(
PG!E419*D418),"",PG!E419*D418)</f>
        <v>0</v>
      </c>
    </row>
    <row r="419" spans="3:17" ht="30" customHeight="1" thickBot="1" x14ac:dyDescent="0.25">
      <c r="C419" s="83">
        <f>PG!C420</f>
        <v>0</v>
      </c>
      <c r="D419" s="23"/>
      <c r="E419" s="27"/>
      <c r="F419" s="27"/>
      <c r="G419" s="23"/>
      <c r="H419" s="62">
        <f>D419+PG!D420*(E419+F419)+G419</f>
        <v>0</v>
      </c>
      <c r="J419" s="18" t="str">
        <f>IF(ISERROR(
PG!F420*E419),"",PG!F420*E419)</f>
        <v/>
      </c>
      <c r="K419" s="18" t="str">
        <f>IF(ISERROR(
PG!F420*F419),"",PG!F420*F419)</f>
        <v/>
      </c>
      <c r="L419" s="18">
        <f>IF(ISERROR(
PG!D420-H419),"",PG!D420-H419)</f>
        <v>0</v>
      </c>
      <c r="M419" s="33" t="str">
        <f>IF(ISERROR(
L419/PG!D420),"",L419/PG!D420)</f>
        <v/>
      </c>
      <c r="N419" s="18" t="str">
        <f>IF(ISERROR(
(O419*PG!D420)),"",(O419*PG!D420))</f>
        <v/>
      </c>
      <c r="O419" s="45" t="str">
        <f>IF(ISERROR(
PEq!$G$20*PG!G420),"",PEq!$G$20*PG!G420)</f>
        <v/>
      </c>
      <c r="P419" s="18">
        <f>IF(ISERROR(
PG!E420*G419),"",PG!E420*G419)</f>
        <v>0</v>
      </c>
      <c r="Q419" s="18">
        <f>IF(ISERROR(
PG!E420*D419),"",PG!E420*D419)</f>
        <v>0</v>
      </c>
    </row>
    <row r="420" spans="3:17" ht="30" customHeight="1" thickBot="1" x14ac:dyDescent="0.25">
      <c r="C420" s="83">
        <f>PG!C421</f>
        <v>0</v>
      </c>
      <c r="D420" s="23"/>
      <c r="E420" s="27"/>
      <c r="F420" s="27"/>
      <c r="G420" s="23"/>
      <c r="H420" s="62">
        <f>D420+PG!D421*(E420+F420)+G420</f>
        <v>0</v>
      </c>
      <c r="J420" s="18" t="str">
        <f>IF(ISERROR(
PG!F421*E420),"",PG!F421*E420)</f>
        <v/>
      </c>
      <c r="K420" s="18" t="str">
        <f>IF(ISERROR(
PG!F421*F420),"",PG!F421*F420)</f>
        <v/>
      </c>
      <c r="L420" s="18">
        <f>IF(ISERROR(
PG!D421-H420),"",PG!D421-H420)</f>
        <v>0</v>
      </c>
      <c r="M420" s="33" t="str">
        <f>IF(ISERROR(
L420/PG!D421),"",L420/PG!D421)</f>
        <v/>
      </c>
      <c r="N420" s="18" t="str">
        <f>IF(ISERROR(
(O420*PG!D421)),"",(O420*PG!D421))</f>
        <v/>
      </c>
      <c r="O420" s="45" t="str">
        <f>IF(ISERROR(
PEq!$G$20*PG!G421),"",PEq!$G$20*PG!G421)</f>
        <v/>
      </c>
      <c r="P420" s="18">
        <f>IF(ISERROR(
PG!E421*G420),"",PG!E421*G420)</f>
        <v>0</v>
      </c>
      <c r="Q420" s="18">
        <f>IF(ISERROR(
PG!E421*D420),"",PG!E421*D420)</f>
        <v>0</v>
      </c>
    </row>
    <row r="421" spans="3:17" ht="30" customHeight="1" thickBot="1" x14ac:dyDescent="0.25">
      <c r="C421" s="83">
        <f>PG!C422</f>
        <v>0</v>
      </c>
      <c r="D421" s="23"/>
      <c r="E421" s="27"/>
      <c r="F421" s="27"/>
      <c r="G421" s="23"/>
      <c r="H421" s="62">
        <f>D421+PG!D422*(E421+F421)+G421</f>
        <v>0</v>
      </c>
      <c r="J421" s="18" t="str">
        <f>IF(ISERROR(
PG!F422*E421),"",PG!F422*E421)</f>
        <v/>
      </c>
      <c r="K421" s="18" t="str">
        <f>IF(ISERROR(
PG!F422*F421),"",PG!F422*F421)</f>
        <v/>
      </c>
      <c r="L421" s="18">
        <f>IF(ISERROR(
PG!D422-H421),"",PG!D422-H421)</f>
        <v>0</v>
      </c>
      <c r="M421" s="33" t="str">
        <f>IF(ISERROR(
L421/PG!D422),"",L421/PG!D422)</f>
        <v/>
      </c>
      <c r="N421" s="18" t="str">
        <f>IF(ISERROR(
(O421*PG!D422)),"",(O421*PG!D422))</f>
        <v/>
      </c>
      <c r="O421" s="45" t="str">
        <f>IF(ISERROR(
PEq!$G$20*PG!G422),"",PEq!$G$20*PG!G422)</f>
        <v/>
      </c>
      <c r="P421" s="18">
        <f>IF(ISERROR(
PG!E422*G421),"",PG!E422*G421)</f>
        <v>0</v>
      </c>
      <c r="Q421" s="18">
        <f>IF(ISERROR(
PG!E422*D421),"",PG!E422*D421)</f>
        <v>0</v>
      </c>
    </row>
    <row r="422" spans="3:17" ht="30" customHeight="1" thickBot="1" x14ac:dyDescent="0.25">
      <c r="C422" s="83">
        <f>PG!C423</f>
        <v>0</v>
      </c>
      <c r="D422" s="23"/>
      <c r="E422" s="27"/>
      <c r="F422" s="27"/>
      <c r="G422" s="23"/>
      <c r="H422" s="62">
        <f>D422+PG!D423*(E422+F422)+G422</f>
        <v>0</v>
      </c>
      <c r="J422" s="18" t="str">
        <f>IF(ISERROR(
PG!F423*E422),"",PG!F423*E422)</f>
        <v/>
      </c>
      <c r="K422" s="18" t="str">
        <f>IF(ISERROR(
PG!F423*F422),"",PG!F423*F422)</f>
        <v/>
      </c>
      <c r="L422" s="18">
        <f>IF(ISERROR(
PG!D423-H422),"",PG!D423-H422)</f>
        <v>0</v>
      </c>
      <c r="M422" s="33" t="str">
        <f>IF(ISERROR(
L422/PG!D423),"",L422/PG!D423)</f>
        <v/>
      </c>
      <c r="N422" s="18" t="str">
        <f>IF(ISERROR(
(O422*PG!D423)),"",(O422*PG!D423))</f>
        <v/>
      </c>
      <c r="O422" s="45" t="str">
        <f>IF(ISERROR(
PEq!$G$20*PG!G423),"",PEq!$G$20*PG!G423)</f>
        <v/>
      </c>
      <c r="P422" s="18">
        <f>IF(ISERROR(
PG!E423*G422),"",PG!E423*G422)</f>
        <v>0</v>
      </c>
      <c r="Q422" s="18">
        <f>IF(ISERROR(
PG!E423*D422),"",PG!E423*D422)</f>
        <v>0</v>
      </c>
    </row>
    <row r="423" spans="3:17" ht="30" customHeight="1" thickBot="1" x14ac:dyDescent="0.25">
      <c r="C423" s="83">
        <f>PG!C424</f>
        <v>0</v>
      </c>
      <c r="D423" s="23"/>
      <c r="E423" s="27"/>
      <c r="F423" s="27"/>
      <c r="G423" s="23"/>
      <c r="H423" s="62">
        <f>D423+PG!D424*(E423+F423)+G423</f>
        <v>0</v>
      </c>
      <c r="J423" s="18" t="str">
        <f>IF(ISERROR(
PG!F424*E423),"",PG!F424*E423)</f>
        <v/>
      </c>
      <c r="K423" s="18" t="str">
        <f>IF(ISERROR(
PG!F424*F423),"",PG!F424*F423)</f>
        <v/>
      </c>
      <c r="L423" s="18">
        <f>IF(ISERROR(
PG!D424-H423),"",PG!D424-H423)</f>
        <v>0</v>
      </c>
      <c r="M423" s="33" t="str">
        <f>IF(ISERROR(
L423/PG!D424),"",L423/PG!D424)</f>
        <v/>
      </c>
      <c r="N423" s="18" t="str">
        <f>IF(ISERROR(
(O423*PG!D424)),"",(O423*PG!D424))</f>
        <v/>
      </c>
      <c r="O423" s="45" t="str">
        <f>IF(ISERROR(
PEq!$G$20*PG!G424),"",PEq!$G$20*PG!G424)</f>
        <v/>
      </c>
      <c r="P423" s="18">
        <f>IF(ISERROR(
PG!E424*G423),"",PG!E424*G423)</f>
        <v>0</v>
      </c>
      <c r="Q423" s="18">
        <f>IF(ISERROR(
PG!E424*D423),"",PG!E424*D423)</f>
        <v>0</v>
      </c>
    </row>
    <row r="424" spans="3:17" ht="30" customHeight="1" thickBot="1" x14ac:dyDescent="0.25">
      <c r="C424" s="83">
        <f>PG!C425</f>
        <v>0</v>
      </c>
      <c r="D424" s="23"/>
      <c r="E424" s="27"/>
      <c r="F424" s="27"/>
      <c r="G424" s="23"/>
      <c r="H424" s="62">
        <f>D424+PG!D425*(E424+F424)+G424</f>
        <v>0</v>
      </c>
      <c r="J424" s="18" t="str">
        <f>IF(ISERROR(
PG!F425*E424),"",PG!F425*E424)</f>
        <v/>
      </c>
      <c r="K424" s="18" t="str">
        <f>IF(ISERROR(
PG!F425*F424),"",PG!F425*F424)</f>
        <v/>
      </c>
      <c r="L424" s="18">
        <f>IF(ISERROR(
PG!D425-H424),"",PG!D425-H424)</f>
        <v>0</v>
      </c>
      <c r="M424" s="33" t="str">
        <f>IF(ISERROR(
L424/PG!D425),"",L424/PG!D425)</f>
        <v/>
      </c>
      <c r="N424" s="18" t="str">
        <f>IF(ISERROR(
(O424*PG!D425)),"",(O424*PG!D425))</f>
        <v/>
      </c>
      <c r="O424" s="45" t="str">
        <f>IF(ISERROR(
PEq!$G$20*PG!G425),"",PEq!$G$20*PG!G425)</f>
        <v/>
      </c>
      <c r="P424" s="18">
        <f>IF(ISERROR(
PG!E425*G424),"",PG!E425*G424)</f>
        <v>0</v>
      </c>
      <c r="Q424" s="18">
        <f>IF(ISERROR(
PG!E425*D424),"",PG!E425*D424)</f>
        <v>0</v>
      </c>
    </row>
    <row r="425" spans="3:17" ht="30" customHeight="1" thickBot="1" x14ac:dyDescent="0.25">
      <c r="C425" s="83">
        <f>PG!C426</f>
        <v>0</v>
      </c>
      <c r="D425" s="23"/>
      <c r="E425" s="27"/>
      <c r="F425" s="27"/>
      <c r="G425" s="23"/>
      <c r="H425" s="62">
        <f>D425+PG!D426*(E425+F425)+G425</f>
        <v>0</v>
      </c>
      <c r="J425" s="18" t="str">
        <f>IF(ISERROR(
PG!F426*E425),"",PG!F426*E425)</f>
        <v/>
      </c>
      <c r="K425" s="18" t="str">
        <f>IF(ISERROR(
PG!F426*F425),"",PG!F426*F425)</f>
        <v/>
      </c>
      <c r="L425" s="18">
        <f>IF(ISERROR(
PG!D426-H425),"",PG!D426-H425)</f>
        <v>0</v>
      </c>
      <c r="M425" s="33" t="str">
        <f>IF(ISERROR(
L425/PG!D426),"",L425/PG!D426)</f>
        <v/>
      </c>
      <c r="N425" s="18" t="str">
        <f>IF(ISERROR(
(O425*PG!D426)),"",(O425*PG!D426))</f>
        <v/>
      </c>
      <c r="O425" s="45" t="str">
        <f>IF(ISERROR(
PEq!$G$20*PG!G426),"",PEq!$G$20*PG!G426)</f>
        <v/>
      </c>
      <c r="P425" s="18">
        <f>IF(ISERROR(
PG!E426*G425),"",PG!E426*G425)</f>
        <v>0</v>
      </c>
      <c r="Q425" s="18">
        <f>IF(ISERROR(
PG!E426*D425),"",PG!E426*D425)</f>
        <v>0</v>
      </c>
    </row>
    <row r="426" spans="3:17" ht="30" customHeight="1" thickBot="1" x14ac:dyDescent="0.25">
      <c r="C426" s="83">
        <f>PG!C427</f>
        <v>0</v>
      </c>
      <c r="D426" s="23"/>
      <c r="E426" s="27"/>
      <c r="F426" s="27"/>
      <c r="G426" s="23"/>
      <c r="H426" s="62">
        <f>D426+PG!D427*(E426+F426)+G426</f>
        <v>0</v>
      </c>
      <c r="J426" s="18" t="str">
        <f>IF(ISERROR(
PG!F427*E426),"",PG!F427*E426)</f>
        <v/>
      </c>
      <c r="K426" s="18" t="str">
        <f>IF(ISERROR(
PG!F427*F426),"",PG!F427*F426)</f>
        <v/>
      </c>
      <c r="L426" s="18">
        <f>IF(ISERROR(
PG!D427-H426),"",PG!D427-H426)</f>
        <v>0</v>
      </c>
      <c r="M426" s="33" t="str">
        <f>IF(ISERROR(
L426/PG!D427),"",L426/PG!D427)</f>
        <v/>
      </c>
      <c r="N426" s="18" t="str">
        <f>IF(ISERROR(
(O426*PG!D427)),"",(O426*PG!D427))</f>
        <v/>
      </c>
      <c r="O426" s="45" t="str">
        <f>IF(ISERROR(
PEq!$G$20*PG!G427),"",PEq!$G$20*PG!G427)</f>
        <v/>
      </c>
      <c r="P426" s="18">
        <f>IF(ISERROR(
PG!E427*G426),"",PG!E427*G426)</f>
        <v>0</v>
      </c>
      <c r="Q426" s="18">
        <f>IF(ISERROR(
PG!E427*D426),"",PG!E427*D426)</f>
        <v>0</v>
      </c>
    </row>
    <row r="427" spans="3:17" ht="30" customHeight="1" thickBot="1" x14ac:dyDescent="0.25">
      <c r="C427" s="83">
        <f>PG!C428</f>
        <v>0</v>
      </c>
      <c r="D427" s="23"/>
      <c r="E427" s="27"/>
      <c r="F427" s="27"/>
      <c r="G427" s="23"/>
      <c r="H427" s="62">
        <f>D427+PG!D428*(E427+F427)+G427</f>
        <v>0</v>
      </c>
      <c r="J427" s="18" t="str">
        <f>IF(ISERROR(
PG!F428*E427),"",PG!F428*E427)</f>
        <v/>
      </c>
      <c r="K427" s="18" t="str">
        <f>IF(ISERROR(
PG!F428*F427),"",PG!F428*F427)</f>
        <v/>
      </c>
      <c r="L427" s="18">
        <f>IF(ISERROR(
PG!D428-H427),"",PG!D428-H427)</f>
        <v>0</v>
      </c>
      <c r="M427" s="33" t="str">
        <f>IF(ISERROR(
L427/PG!D428),"",L427/PG!D428)</f>
        <v/>
      </c>
      <c r="N427" s="18" t="str">
        <f>IF(ISERROR(
(O427*PG!D428)),"",(O427*PG!D428))</f>
        <v/>
      </c>
      <c r="O427" s="45" t="str">
        <f>IF(ISERROR(
PEq!$G$20*PG!G428),"",PEq!$G$20*PG!G428)</f>
        <v/>
      </c>
      <c r="P427" s="18">
        <f>IF(ISERROR(
PG!E428*G427),"",PG!E428*G427)</f>
        <v>0</v>
      </c>
      <c r="Q427" s="18">
        <f>IF(ISERROR(
PG!E428*D427),"",PG!E428*D427)</f>
        <v>0</v>
      </c>
    </row>
    <row r="428" spans="3:17" ht="30" customHeight="1" thickBot="1" x14ac:dyDescent="0.25">
      <c r="C428" s="83">
        <f>PG!C429</f>
        <v>0</v>
      </c>
      <c r="D428" s="23"/>
      <c r="E428" s="27"/>
      <c r="F428" s="27"/>
      <c r="G428" s="23"/>
      <c r="H428" s="62">
        <f>D428+PG!D429*(E428+F428)+G428</f>
        <v>0</v>
      </c>
      <c r="J428" s="18" t="str">
        <f>IF(ISERROR(
PG!F429*E428),"",PG!F429*E428)</f>
        <v/>
      </c>
      <c r="K428" s="18" t="str">
        <f>IF(ISERROR(
PG!F429*F428),"",PG!F429*F428)</f>
        <v/>
      </c>
      <c r="L428" s="18">
        <f>IF(ISERROR(
PG!D429-H428),"",PG!D429-H428)</f>
        <v>0</v>
      </c>
      <c r="M428" s="33" t="str">
        <f>IF(ISERROR(
L428/PG!D429),"",L428/PG!D429)</f>
        <v/>
      </c>
      <c r="N428" s="18" t="str">
        <f>IF(ISERROR(
(O428*PG!D429)),"",(O428*PG!D429))</f>
        <v/>
      </c>
      <c r="O428" s="45" t="str">
        <f>IF(ISERROR(
PEq!$G$20*PG!G429),"",PEq!$G$20*PG!G429)</f>
        <v/>
      </c>
      <c r="P428" s="18">
        <f>IF(ISERROR(
PG!E429*G428),"",PG!E429*G428)</f>
        <v>0</v>
      </c>
      <c r="Q428" s="18">
        <f>IF(ISERROR(
PG!E429*D428),"",PG!E429*D428)</f>
        <v>0</v>
      </c>
    </row>
    <row r="429" spans="3:17" ht="30" customHeight="1" thickBot="1" x14ac:dyDescent="0.25">
      <c r="C429" s="83">
        <f>PG!C430</f>
        <v>0</v>
      </c>
      <c r="D429" s="23"/>
      <c r="E429" s="27"/>
      <c r="F429" s="27"/>
      <c r="G429" s="23"/>
      <c r="H429" s="62">
        <f>D429+PG!D430*(E429+F429)+G429</f>
        <v>0</v>
      </c>
      <c r="J429" s="18" t="str">
        <f>IF(ISERROR(
PG!F430*E429),"",PG!F430*E429)</f>
        <v/>
      </c>
      <c r="K429" s="18" t="str">
        <f>IF(ISERROR(
PG!F430*F429),"",PG!F430*F429)</f>
        <v/>
      </c>
      <c r="L429" s="18">
        <f>IF(ISERROR(
PG!D430-H429),"",PG!D430-H429)</f>
        <v>0</v>
      </c>
      <c r="M429" s="33" t="str">
        <f>IF(ISERROR(
L429/PG!D430),"",L429/PG!D430)</f>
        <v/>
      </c>
      <c r="N429" s="18" t="str">
        <f>IF(ISERROR(
(O429*PG!D430)),"",(O429*PG!D430))</f>
        <v/>
      </c>
      <c r="O429" s="45" t="str">
        <f>IF(ISERROR(
PEq!$G$20*PG!G430),"",PEq!$G$20*PG!G430)</f>
        <v/>
      </c>
      <c r="P429" s="18">
        <f>IF(ISERROR(
PG!E430*G429),"",PG!E430*G429)</f>
        <v>0</v>
      </c>
      <c r="Q429" s="18">
        <f>IF(ISERROR(
PG!E430*D429),"",PG!E430*D429)</f>
        <v>0</v>
      </c>
    </row>
    <row r="430" spans="3:17" ht="30" customHeight="1" thickBot="1" x14ac:dyDescent="0.25">
      <c r="C430" s="83">
        <f>PG!C431</f>
        <v>0</v>
      </c>
      <c r="D430" s="23"/>
      <c r="E430" s="27"/>
      <c r="F430" s="27"/>
      <c r="G430" s="23"/>
      <c r="H430" s="62">
        <f>D430+PG!D431*(E430+F430)+G430</f>
        <v>0</v>
      </c>
      <c r="J430" s="18" t="str">
        <f>IF(ISERROR(
PG!F431*E430),"",PG!F431*E430)</f>
        <v/>
      </c>
      <c r="K430" s="18" t="str">
        <f>IF(ISERROR(
PG!F431*F430),"",PG!F431*F430)</f>
        <v/>
      </c>
      <c r="L430" s="18">
        <f>IF(ISERROR(
PG!D431-H430),"",PG!D431-H430)</f>
        <v>0</v>
      </c>
      <c r="M430" s="33" t="str">
        <f>IF(ISERROR(
L430/PG!D431),"",L430/PG!D431)</f>
        <v/>
      </c>
      <c r="N430" s="18" t="str">
        <f>IF(ISERROR(
(O430*PG!D431)),"",(O430*PG!D431))</f>
        <v/>
      </c>
      <c r="O430" s="45" t="str">
        <f>IF(ISERROR(
PEq!$G$20*PG!G431),"",PEq!$G$20*PG!G431)</f>
        <v/>
      </c>
      <c r="P430" s="18">
        <f>IF(ISERROR(
PG!E431*G430),"",PG!E431*G430)</f>
        <v>0</v>
      </c>
      <c r="Q430" s="18">
        <f>IF(ISERROR(
PG!E431*D430),"",PG!E431*D430)</f>
        <v>0</v>
      </c>
    </row>
    <row r="431" spans="3:17" ht="30" customHeight="1" thickBot="1" x14ac:dyDescent="0.25">
      <c r="C431" s="83">
        <f>PG!C432</f>
        <v>0</v>
      </c>
      <c r="D431" s="23"/>
      <c r="E431" s="27"/>
      <c r="F431" s="27"/>
      <c r="G431" s="23"/>
      <c r="H431" s="62">
        <f>D431+PG!D432*(E431+F431)+G431</f>
        <v>0</v>
      </c>
      <c r="J431" s="18" t="str">
        <f>IF(ISERROR(
PG!F432*E431),"",PG!F432*E431)</f>
        <v/>
      </c>
      <c r="K431" s="18" t="str">
        <f>IF(ISERROR(
PG!F432*F431),"",PG!F432*F431)</f>
        <v/>
      </c>
      <c r="L431" s="18">
        <f>IF(ISERROR(
PG!D432-H431),"",PG!D432-H431)</f>
        <v>0</v>
      </c>
      <c r="M431" s="33" t="str">
        <f>IF(ISERROR(
L431/PG!D432),"",L431/PG!D432)</f>
        <v/>
      </c>
      <c r="N431" s="18" t="str">
        <f>IF(ISERROR(
(O431*PG!D432)),"",(O431*PG!D432))</f>
        <v/>
      </c>
      <c r="O431" s="45" t="str">
        <f>IF(ISERROR(
PEq!$G$20*PG!G432),"",PEq!$G$20*PG!G432)</f>
        <v/>
      </c>
      <c r="P431" s="18">
        <f>IF(ISERROR(
PG!E432*G431),"",PG!E432*G431)</f>
        <v>0</v>
      </c>
      <c r="Q431" s="18">
        <f>IF(ISERROR(
PG!E432*D431),"",PG!E432*D431)</f>
        <v>0</v>
      </c>
    </row>
    <row r="432" spans="3:17" ht="30" customHeight="1" thickBot="1" x14ac:dyDescent="0.25">
      <c r="C432" s="83">
        <f>PG!C433</f>
        <v>0</v>
      </c>
      <c r="D432" s="23"/>
      <c r="E432" s="27"/>
      <c r="F432" s="27"/>
      <c r="G432" s="23"/>
      <c r="H432" s="62">
        <f>D432+PG!D433*(E432+F432)+G432</f>
        <v>0</v>
      </c>
      <c r="J432" s="18" t="str">
        <f>IF(ISERROR(
PG!F433*E432),"",PG!F433*E432)</f>
        <v/>
      </c>
      <c r="K432" s="18" t="str">
        <f>IF(ISERROR(
PG!F433*F432),"",PG!F433*F432)</f>
        <v/>
      </c>
      <c r="L432" s="18">
        <f>IF(ISERROR(
PG!D433-H432),"",PG!D433-H432)</f>
        <v>0</v>
      </c>
      <c r="M432" s="33" t="str">
        <f>IF(ISERROR(
L432/PG!D433),"",L432/PG!D433)</f>
        <v/>
      </c>
      <c r="N432" s="18" t="str">
        <f>IF(ISERROR(
(O432*PG!D433)),"",(O432*PG!D433))</f>
        <v/>
      </c>
      <c r="O432" s="45" t="str">
        <f>IF(ISERROR(
PEq!$G$20*PG!G433),"",PEq!$G$20*PG!G433)</f>
        <v/>
      </c>
      <c r="P432" s="18">
        <f>IF(ISERROR(
PG!E433*G432),"",PG!E433*G432)</f>
        <v>0</v>
      </c>
      <c r="Q432" s="18">
        <f>IF(ISERROR(
PG!E433*D432),"",PG!E433*D432)</f>
        <v>0</v>
      </c>
    </row>
    <row r="433" spans="3:17" ht="30" customHeight="1" thickBot="1" x14ac:dyDescent="0.25">
      <c r="C433" s="83">
        <f>PG!C434</f>
        <v>0</v>
      </c>
      <c r="D433" s="23"/>
      <c r="E433" s="27"/>
      <c r="F433" s="27"/>
      <c r="G433" s="23"/>
      <c r="H433" s="62">
        <f>D433+PG!D434*(E433+F433)+G433</f>
        <v>0</v>
      </c>
      <c r="J433" s="18" t="str">
        <f>IF(ISERROR(
PG!F434*E433),"",PG!F434*E433)</f>
        <v/>
      </c>
      <c r="K433" s="18" t="str">
        <f>IF(ISERROR(
PG!F434*F433),"",PG!F434*F433)</f>
        <v/>
      </c>
      <c r="L433" s="18">
        <f>IF(ISERROR(
PG!D434-H433),"",PG!D434-H433)</f>
        <v>0</v>
      </c>
      <c r="M433" s="33" t="str">
        <f>IF(ISERROR(
L433/PG!D434),"",L433/PG!D434)</f>
        <v/>
      </c>
      <c r="N433" s="18" t="str">
        <f>IF(ISERROR(
(O433*PG!D434)),"",(O433*PG!D434))</f>
        <v/>
      </c>
      <c r="O433" s="45" t="str">
        <f>IF(ISERROR(
PEq!$G$20*PG!G434),"",PEq!$G$20*PG!G434)</f>
        <v/>
      </c>
      <c r="P433" s="18">
        <f>IF(ISERROR(
PG!E434*G433),"",PG!E434*G433)</f>
        <v>0</v>
      </c>
      <c r="Q433" s="18">
        <f>IF(ISERROR(
PG!E434*D433),"",PG!E434*D433)</f>
        <v>0</v>
      </c>
    </row>
    <row r="434" spans="3:17" ht="30" customHeight="1" thickBot="1" x14ac:dyDescent="0.25">
      <c r="C434" s="83">
        <f>PG!C435</f>
        <v>0</v>
      </c>
      <c r="D434" s="23"/>
      <c r="E434" s="27"/>
      <c r="F434" s="27"/>
      <c r="G434" s="23"/>
      <c r="H434" s="62">
        <f>D434+PG!D435*(E434+F434)+G434</f>
        <v>0</v>
      </c>
      <c r="J434" s="18" t="str">
        <f>IF(ISERROR(
PG!F435*E434),"",PG!F435*E434)</f>
        <v/>
      </c>
      <c r="K434" s="18" t="str">
        <f>IF(ISERROR(
PG!F435*F434),"",PG!F435*F434)</f>
        <v/>
      </c>
      <c r="L434" s="18">
        <f>IF(ISERROR(
PG!D435-H434),"",PG!D435-H434)</f>
        <v>0</v>
      </c>
      <c r="M434" s="33" t="str">
        <f>IF(ISERROR(
L434/PG!D435),"",L434/PG!D435)</f>
        <v/>
      </c>
      <c r="N434" s="18" t="str">
        <f>IF(ISERROR(
(O434*PG!D435)),"",(O434*PG!D435))</f>
        <v/>
      </c>
      <c r="O434" s="45" t="str">
        <f>IF(ISERROR(
PEq!$G$20*PG!G435),"",PEq!$G$20*PG!G435)</f>
        <v/>
      </c>
      <c r="P434" s="18">
        <f>IF(ISERROR(
PG!E435*G434),"",PG!E435*G434)</f>
        <v>0</v>
      </c>
      <c r="Q434" s="18">
        <f>IF(ISERROR(
PG!E435*D434),"",PG!E435*D434)</f>
        <v>0</v>
      </c>
    </row>
    <row r="435" spans="3:17" ht="30" customHeight="1" thickBot="1" x14ac:dyDescent="0.25">
      <c r="C435" s="83">
        <f>PG!C436</f>
        <v>0</v>
      </c>
      <c r="D435" s="23"/>
      <c r="E435" s="27"/>
      <c r="F435" s="27"/>
      <c r="G435" s="23"/>
      <c r="H435" s="62">
        <f>D435+PG!D436*(E435+F435)+G435</f>
        <v>0</v>
      </c>
      <c r="J435" s="18" t="str">
        <f>IF(ISERROR(
PG!F436*E435),"",PG!F436*E435)</f>
        <v/>
      </c>
      <c r="K435" s="18" t="str">
        <f>IF(ISERROR(
PG!F436*F435),"",PG!F436*F435)</f>
        <v/>
      </c>
      <c r="L435" s="18">
        <f>IF(ISERROR(
PG!D436-H435),"",PG!D436-H435)</f>
        <v>0</v>
      </c>
      <c r="M435" s="33" t="str">
        <f>IF(ISERROR(
L435/PG!D436),"",L435/PG!D436)</f>
        <v/>
      </c>
      <c r="N435" s="18" t="str">
        <f>IF(ISERROR(
(O435*PG!D436)),"",(O435*PG!D436))</f>
        <v/>
      </c>
      <c r="O435" s="45" t="str">
        <f>IF(ISERROR(
PEq!$G$20*PG!G436),"",PEq!$G$20*PG!G436)</f>
        <v/>
      </c>
      <c r="P435" s="18">
        <f>IF(ISERROR(
PG!E436*G435),"",PG!E436*G435)</f>
        <v>0</v>
      </c>
      <c r="Q435" s="18">
        <f>IF(ISERROR(
PG!E436*D435),"",PG!E436*D435)</f>
        <v>0</v>
      </c>
    </row>
    <row r="436" spans="3:17" ht="30" customHeight="1" thickBot="1" x14ac:dyDescent="0.25">
      <c r="C436" s="83">
        <f>PG!C437</f>
        <v>0</v>
      </c>
      <c r="D436" s="23"/>
      <c r="E436" s="27"/>
      <c r="F436" s="27"/>
      <c r="G436" s="23"/>
      <c r="H436" s="62">
        <f>D436+PG!D437*(E436+F436)+G436</f>
        <v>0</v>
      </c>
      <c r="J436" s="18" t="str">
        <f>IF(ISERROR(
PG!F437*E436),"",PG!F437*E436)</f>
        <v/>
      </c>
      <c r="K436" s="18" t="str">
        <f>IF(ISERROR(
PG!F437*F436),"",PG!F437*F436)</f>
        <v/>
      </c>
      <c r="L436" s="18">
        <f>IF(ISERROR(
PG!D437-H436),"",PG!D437-H436)</f>
        <v>0</v>
      </c>
      <c r="M436" s="33" t="str">
        <f>IF(ISERROR(
L436/PG!D437),"",L436/PG!D437)</f>
        <v/>
      </c>
      <c r="N436" s="18" t="str">
        <f>IF(ISERROR(
(O436*PG!D437)),"",(O436*PG!D437))</f>
        <v/>
      </c>
      <c r="O436" s="45" t="str">
        <f>IF(ISERROR(
PEq!$G$20*PG!G437),"",PEq!$G$20*PG!G437)</f>
        <v/>
      </c>
      <c r="P436" s="18">
        <f>IF(ISERROR(
PG!E437*G436),"",PG!E437*G436)</f>
        <v>0</v>
      </c>
      <c r="Q436" s="18">
        <f>IF(ISERROR(
PG!E437*D436),"",PG!E437*D436)</f>
        <v>0</v>
      </c>
    </row>
    <row r="437" spans="3:17" ht="30" customHeight="1" thickBot="1" x14ac:dyDescent="0.25">
      <c r="C437" s="83">
        <f>PG!C438</f>
        <v>0</v>
      </c>
      <c r="D437" s="23"/>
      <c r="E437" s="27"/>
      <c r="F437" s="27"/>
      <c r="G437" s="23"/>
      <c r="H437" s="62">
        <f>D437+PG!D438*(E437+F437)+G437</f>
        <v>0</v>
      </c>
      <c r="J437" s="18" t="str">
        <f>IF(ISERROR(
PG!F438*E437),"",PG!F438*E437)</f>
        <v/>
      </c>
      <c r="K437" s="18" t="str">
        <f>IF(ISERROR(
PG!F438*F437),"",PG!F438*F437)</f>
        <v/>
      </c>
      <c r="L437" s="18">
        <f>IF(ISERROR(
PG!D438-H437),"",PG!D438-H437)</f>
        <v>0</v>
      </c>
      <c r="M437" s="33" t="str">
        <f>IF(ISERROR(
L437/PG!D438),"",L437/PG!D438)</f>
        <v/>
      </c>
      <c r="N437" s="18" t="str">
        <f>IF(ISERROR(
(O437*PG!D438)),"",(O437*PG!D438))</f>
        <v/>
      </c>
      <c r="O437" s="45" t="str">
        <f>IF(ISERROR(
PEq!$G$20*PG!G438),"",PEq!$G$20*PG!G438)</f>
        <v/>
      </c>
      <c r="P437" s="18">
        <f>IF(ISERROR(
PG!E438*G437),"",PG!E438*G437)</f>
        <v>0</v>
      </c>
      <c r="Q437" s="18">
        <f>IF(ISERROR(
PG!E438*D437),"",PG!E438*D437)</f>
        <v>0</v>
      </c>
    </row>
    <row r="438" spans="3:17" ht="30" customHeight="1" thickBot="1" x14ac:dyDescent="0.25">
      <c r="C438" s="83">
        <f>PG!C439</f>
        <v>0</v>
      </c>
      <c r="D438" s="23"/>
      <c r="E438" s="27"/>
      <c r="F438" s="27"/>
      <c r="G438" s="23"/>
      <c r="H438" s="62">
        <f>D438+PG!D439*(E438+F438)+G438</f>
        <v>0</v>
      </c>
      <c r="J438" s="18" t="str">
        <f>IF(ISERROR(
PG!F439*E438),"",PG!F439*E438)</f>
        <v/>
      </c>
      <c r="K438" s="18" t="str">
        <f>IF(ISERROR(
PG!F439*F438),"",PG!F439*F438)</f>
        <v/>
      </c>
      <c r="L438" s="18">
        <f>IF(ISERROR(
PG!D439-H438),"",PG!D439-H438)</f>
        <v>0</v>
      </c>
      <c r="M438" s="33" t="str">
        <f>IF(ISERROR(
L438/PG!D439),"",L438/PG!D439)</f>
        <v/>
      </c>
      <c r="N438" s="18" t="str">
        <f>IF(ISERROR(
(O438*PG!D439)),"",(O438*PG!D439))</f>
        <v/>
      </c>
      <c r="O438" s="45" t="str">
        <f>IF(ISERROR(
PEq!$G$20*PG!G439),"",PEq!$G$20*PG!G439)</f>
        <v/>
      </c>
      <c r="P438" s="18">
        <f>IF(ISERROR(
PG!E439*G438),"",PG!E439*G438)</f>
        <v>0</v>
      </c>
      <c r="Q438" s="18">
        <f>IF(ISERROR(
PG!E439*D438),"",PG!E439*D438)</f>
        <v>0</v>
      </c>
    </row>
    <row r="439" spans="3:17" ht="30" customHeight="1" thickBot="1" x14ac:dyDescent="0.25">
      <c r="C439" s="83">
        <f>PG!C440</f>
        <v>0</v>
      </c>
      <c r="D439" s="23"/>
      <c r="E439" s="27"/>
      <c r="F439" s="27"/>
      <c r="G439" s="23"/>
      <c r="H439" s="62">
        <f>D439+PG!D440*(E439+F439)+G439</f>
        <v>0</v>
      </c>
      <c r="J439" s="18" t="str">
        <f>IF(ISERROR(
PG!F440*E439),"",PG!F440*E439)</f>
        <v/>
      </c>
      <c r="K439" s="18" t="str">
        <f>IF(ISERROR(
PG!F440*F439),"",PG!F440*F439)</f>
        <v/>
      </c>
      <c r="L439" s="18">
        <f>IF(ISERROR(
PG!D440-H439),"",PG!D440-H439)</f>
        <v>0</v>
      </c>
      <c r="M439" s="33" t="str">
        <f>IF(ISERROR(
L439/PG!D440),"",L439/PG!D440)</f>
        <v/>
      </c>
      <c r="N439" s="18" t="str">
        <f>IF(ISERROR(
(O439*PG!D440)),"",(O439*PG!D440))</f>
        <v/>
      </c>
      <c r="O439" s="45" t="str">
        <f>IF(ISERROR(
PEq!$G$20*PG!G440),"",PEq!$G$20*PG!G440)</f>
        <v/>
      </c>
      <c r="P439" s="18">
        <f>IF(ISERROR(
PG!E440*G439),"",PG!E440*G439)</f>
        <v>0</v>
      </c>
      <c r="Q439" s="18">
        <f>IF(ISERROR(
PG!E440*D439),"",PG!E440*D439)</f>
        <v>0</v>
      </c>
    </row>
    <row r="440" spans="3:17" ht="30" customHeight="1" thickBot="1" x14ac:dyDescent="0.25">
      <c r="C440" s="83">
        <f>PG!C441</f>
        <v>0</v>
      </c>
      <c r="D440" s="23"/>
      <c r="E440" s="27"/>
      <c r="F440" s="27"/>
      <c r="G440" s="23"/>
      <c r="H440" s="62">
        <f>D440+PG!D441*(E440+F440)+G440</f>
        <v>0</v>
      </c>
      <c r="J440" s="18" t="str">
        <f>IF(ISERROR(
PG!F441*E440),"",PG!F441*E440)</f>
        <v/>
      </c>
      <c r="K440" s="18" t="str">
        <f>IF(ISERROR(
PG!F441*F440),"",PG!F441*F440)</f>
        <v/>
      </c>
      <c r="L440" s="18">
        <f>IF(ISERROR(
PG!D441-H440),"",PG!D441-H440)</f>
        <v>0</v>
      </c>
      <c r="M440" s="33" t="str">
        <f>IF(ISERROR(
L440/PG!D441),"",L440/PG!D441)</f>
        <v/>
      </c>
      <c r="N440" s="18" t="str">
        <f>IF(ISERROR(
(O440*PG!D441)),"",(O440*PG!D441))</f>
        <v/>
      </c>
      <c r="O440" s="45" t="str">
        <f>IF(ISERROR(
PEq!$G$20*PG!G441),"",PEq!$G$20*PG!G441)</f>
        <v/>
      </c>
      <c r="P440" s="18">
        <f>IF(ISERROR(
PG!E441*G440),"",PG!E441*G440)</f>
        <v>0</v>
      </c>
      <c r="Q440" s="18">
        <f>IF(ISERROR(
PG!E441*D440),"",PG!E441*D440)</f>
        <v>0</v>
      </c>
    </row>
    <row r="441" spans="3:17" ht="30" customHeight="1" thickBot="1" x14ac:dyDescent="0.25">
      <c r="C441" s="83">
        <f>PG!C442</f>
        <v>0</v>
      </c>
      <c r="D441" s="23"/>
      <c r="E441" s="27"/>
      <c r="F441" s="27"/>
      <c r="G441" s="23"/>
      <c r="H441" s="62">
        <f>D441+PG!D442*(E441+F441)+G441</f>
        <v>0</v>
      </c>
      <c r="J441" s="18" t="str">
        <f>IF(ISERROR(
PG!F442*E441),"",PG!F442*E441)</f>
        <v/>
      </c>
      <c r="K441" s="18" t="str">
        <f>IF(ISERROR(
PG!F442*F441),"",PG!F442*F441)</f>
        <v/>
      </c>
      <c r="L441" s="18">
        <f>IF(ISERROR(
PG!D442-H441),"",PG!D442-H441)</f>
        <v>0</v>
      </c>
      <c r="M441" s="33" t="str">
        <f>IF(ISERROR(
L441/PG!D442),"",L441/PG!D442)</f>
        <v/>
      </c>
      <c r="N441" s="18" t="str">
        <f>IF(ISERROR(
(O441*PG!D442)),"",(O441*PG!D442))</f>
        <v/>
      </c>
      <c r="O441" s="45" t="str">
        <f>IF(ISERROR(
PEq!$G$20*PG!G442),"",PEq!$G$20*PG!G442)</f>
        <v/>
      </c>
      <c r="P441" s="18">
        <f>IF(ISERROR(
PG!E442*G441),"",PG!E442*G441)</f>
        <v>0</v>
      </c>
      <c r="Q441" s="18">
        <f>IF(ISERROR(
PG!E442*D441),"",PG!E442*D441)</f>
        <v>0</v>
      </c>
    </row>
    <row r="442" spans="3:17" ht="30" customHeight="1" thickBot="1" x14ac:dyDescent="0.25">
      <c r="C442" s="83">
        <f>PG!C443</f>
        <v>0</v>
      </c>
      <c r="D442" s="23"/>
      <c r="E442" s="27"/>
      <c r="F442" s="27"/>
      <c r="G442" s="23"/>
      <c r="H442" s="62">
        <f>D442+PG!D443*(E442+F442)+G442</f>
        <v>0</v>
      </c>
      <c r="J442" s="18" t="str">
        <f>IF(ISERROR(
PG!F443*E442),"",PG!F443*E442)</f>
        <v/>
      </c>
      <c r="K442" s="18" t="str">
        <f>IF(ISERROR(
PG!F443*F442),"",PG!F443*F442)</f>
        <v/>
      </c>
      <c r="L442" s="18">
        <f>IF(ISERROR(
PG!D443-H442),"",PG!D443-H442)</f>
        <v>0</v>
      </c>
      <c r="M442" s="33" t="str">
        <f>IF(ISERROR(
L442/PG!D443),"",L442/PG!D443)</f>
        <v/>
      </c>
      <c r="N442" s="18" t="str">
        <f>IF(ISERROR(
(O442*PG!D443)),"",(O442*PG!D443))</f>
        <v/>
      </c>
      <c r="O442" s="45" t="str">
        <f>IF(ISERROR(
PEq!$G$20*PG!G443),"",PEq!$G$20*PG!G443)</f>
        <v/>
      </c>
      <c r="P442" s="18">
        <f>IF(ISERROR(
PG!E443*G442),"",PG!E443*G442)</f>
        <v>0</v>
      </c>
      <c r="Q442" s="18">
        <f>IF(ISERROR(
PG!E443*D442),"",PG!E443*D442)</f>
        <v>0</v>
      </c>
    </row>
    <row r="443" spans="3:17" ht="30" customHeight="1" thickBot="1" x14ac:dyDescent="0.25">
      <c r="C443" s="83">
        <f>PG!C444</f>
        <v>0</v>
      </c>
      <c r="D443" s="23"/>
      <c r="E443" s="27"/>
      <c r="F443" s="27"/>
      <c r="G443" s="23"/>
      <c r="H443" s="62">
        <f>D443+PG!D444*(E443+F443)+G443</f>
        <v>0</v>
      </c>
      <c r="J443" s="18" t="str">
        <f>IF(ISERROR(
PG!F444*E443),"",PG!F444*E443)</f>
        <v/>
      </c>
      <c r="K443" s="18" t="str">
        <f>IF(ISERROR(
PG!F444*F443),"",PG!F444*F443)</f>
        <v/>
      </c>
      <c r="L443" s="18">
        <f>IF(ISERROR(
PG!D444-H443),"",PG!D444-H443)</f>
        <v>0</v>
      </c>
      <c r="M443" s="33" t="str">
        <f>IF(ISERROR(
L443/PG!D444),"",L443/PG!D444)</f>
        <v/>
      </c>
      <c r="N443" s="18" t="str">
        <f>IF(ISERROR(
(O443*PG!D444)),"",(O443*PG!D444))</f>
        <v/>
      </c>
      <c r="O443" s="45" t="str">
        <f>IF(ISERROR(
PEq!$G$20*PG!G444),"",PEq!$G$20*PG!G444)</f>
        <v/>
      </c>
      <c r="P443" s="18">
        <f>IF(ISERROR(
PG!E444*G443),"",PG!E444*G443)</f>
        <v>0</v>
      </c>
      <c r="Q443" s="18">
        <f>IF(ISERROR(
PG!E444*D443),"",PG!E444*D443)</f>
        <v>0</v>
      </c>
    </row>
    <row r="444" spans="3:17" ht="30" customHeight="1" thickBot="1" x14ac:dyDescent="0.25">
      <c r="C444" s="83">
        <f>PG!C445</f>
        <v>0</v>
      </c>
      <c r="D444" s="23"/>
      <c r="E444" s="27"/>
      <c r="F444" s="27"/>
      <c r="G444" s="23"/>
      <c r="H444" s="62">
        <f>D444+PG!D445*(E444+F444)+G444</f>
        <v>0</v>
      </c>
      <c r="J444" s="18" t="str">
        <f>IF(ISERROR(
PG!F445*E444),"",PG!F445*E444)</f>
        <v/>
      </c>
      <c r="K444" s="18" t="str">
        <f>IF(ISERROR(
PG!F445*F444),"",PG!F445*F444)</f>
        <v/>
      </c>
      <c r="L444" s="18">
        <f>IF(ISERROR(
PG!D445-H444),"",PG!D445-H444)</f>
        <v>0</v>
      </c>
      <c r="M444" s="33" t="str">
        <f>IF(ISERROR(
L444/PG!D445),"",L444/PG!D445)</f>
        <v/>
      </c>
      <c r="N444" s="18" t="str">
        <f>IF(ISERROR(
(O444*PG!D445)),"",(O444*PG!D445))</f>
        <v/>
      </c>
      <c r="O444" s="45" t="str">
        <f>IF(ISERROR(
PEq!$G$20*PG!G445),"",PEq!$G$20*PG!G445)</f>
        <v/>
      </c>
      <c r="P444" s="18">
        <f>IF(ISERROR(
PG!E445*G444),"",PG!E445*G444)</f>
        <v>0</v>
      </c>
      <c r="Q444" s="18">
        <f>IF(ISERROR(
PG!E445*D444),"",PG!E445*D444)</f>
        <v>0</v>
      </c>
    </row>
    <row r="445" spans="3:17" ht="30" customHeight="1" thickBot="1" x14ac:dyDescent="0.25">
      <c r="C445" s="83">
        <f>PG!C446</f>
        <v>0</v>
      </c>
      <c r="D445" s="23"/>
      <c r="E445" s="27"/>
      <c r="F445" s="27"/>
      <c r="G445" s="23"/>
      <c r="H445" s="62">
        <f>D445+PG!D446*(E445+F445)+G445</f>
        <v>0</v>
      </c>
      <c r="J445" s="18" t="str">
        <f>IF(ISERROR(
PG!F446*E445),"",PG!F446*E445)</f>
        <v/>
      </c>
      <c r="K445" s="18" t="str">
        <f>IF(ISERROR(
PG!F446*F445),"",PG!F446*F445)</f>
        <v/>
      </c>
      <c r="L445" s="18">
        <f>IF(ISERROR(
PG!D446-H445),"",PG!D446-H445)</f>
        <v>0</v>
      </c>
      <c r="M445" s="33" t="str">
        <f>IF(ISERROR(
L445/PG!D446),"",L445/PG!D446)</f>
        <v/>
      </c>
      <c r="N445" s="18" t="str">
        <f>IF(ISERROR(
(O445*PG!D446)),"",(O445*PG!D446))</f>
        <v/>
      </c>
      <c r="O445" s="45" t="str">
        <f>IF(ISERROR(
PEq!$G$20*PG!G446),"",PEq!$G$20*PG!G446)</f>
        <v/>
      </c>
      <c r="P445" s="18">
        <f>IF(ISERROR(
PG!E446*G445),"",PG!E446*G445)</f>
        <v>0</v>
      </c>
      <c r="Q445" s="18">
        <f>IF(ISERROR(
PG!E446*D445),"",PG!E446*D445)</f>
        <v>0</v>
      </c>
    </row>
    <row r="446" spans="3:17" ht="30" customHeight="1" thickBot="1" x14ac:dyDescent="0.25">
      <c r="C446" s="83">
        <f>PG!C447</f>
        <v>0</v>
      </c>
      <c r="D446" s="23"/>
      <c r="E446" s="27"/>
      <c r="F446" s="27"/>
      <c r="G446" s="23"/>
      <c r="H446" s="62">
        <f>D446+PG!D447*(E446+F446)+G446</f>
        <v>0</v>
      </c>
      <c r="J446" s="18" t="str">
        <f>IF(ISERROR(
PG!F447*E446),"",PG!F447*E446)</f>
        <v/>
      </c>
      <c r="K446" s="18" t="str">
        <f>IF(ISERROR(
PG!F447*F446),"",PG!F447*F446)</f>
        <v/>
      </c>
      <c r="L446" s="18">
        <f>IF(ISERROR(
PG!D447-H446),"",PG!D447-H446)</f>
        <v>0</v>
      </c>
      <c r="M446" s="33" t="str">
        <f>IF(ISERROR(
L446/PG!D447),"",L446/PG!D447)</f>
        <v/>
      </c>
      <c r="N446" s="18" t="str">
        <f>IF(ISERROR(
(O446*PG!D447)),"",(O446*PG!D447))</f>
        <v/>
      </c>
      <c r="O446" s="45" t="str">
        <f>IF(ISERROR(
PEq!$G$20*PG!G447),"",PEq!$G$20*PG!G447)</f>
        <v/>
      </c>
      <c r="P446" s="18">
        <f>IF(ISERROR(
PG!E447*G446),"",PG!E447*G446)</f>
        <v>0</v>
      </c>
      <c r="Q446" s="18">
        <f>IF(ISERROR(
PG!E447*D446),"",PG!E447*D446)</f>
        <v>0</v>
      </c>
    </row>
    <row r="447" spans="3:17" ht="30" customHeight="1" thickBot="1" x14ac:dyDescent="0.25">
      <c r="C447" s="83">
        <f>PG!C448</f>
        <v>0</v>
      </c>
      <c r="D447" s="23"/>
      <c r="E447" s="27"/>
      <c r="F447" s="27"/>
      <c r="G447" s="23"/>
      <c r="H447" s="62">
        <f>D447+PG!D448*(E447+F447)+G447</f>
        <v>0</v>
      </c>
      <c r="J447" s="18" t="str">
        <f>IF(ISERROR(
PG!F448*E447),"",PG!F448*E447)</f>
        <v/>
      </c>
      <c r="K447" s="18" t="str">
        <f>IF(ISERROR(
PG!F448*F447),"",PG!F448*F447)</f>
        <v/>
      </c>
      <c r="L447" s="18">
        <f>IF(ISERROR(
PG!D448-H447),"",PG!D448-H447)</f>
        <v>0</v>
      </c>
      <c r="M447" s="33" t="str">
        <f>IF(ISERROR(
L447/PG!D448),"",L447/PG!D448)</f>
        <v/>
      </c>
      <c r="N447" s="18" t="str">
        <f>IF(ISERROR(
(O447*PG!D448)),"",(O447*PG!D448))</f>
        <v/>
      </c>
      <c r="O447" s="45" t="str">
        <f>IF(ISERROR(
PEq!$G$20*PG!G448),"",PEq!$G$20*PG!G448)</f>
        <v/>
      </c>
      <c r="P447" s="18">
        <f>IF(ISERROR(
PG!E448*G447),"",PG!E448*G447)</f>
        <v>0</v>
      </c>
      <c r="Q447" s="18">
        <f>IF(ISERROR(
PG!E448*D447),"",PG!E448*D447)</f>
        <v>0</v>
      </c>
    </row>
    <row r="448" spans="3:17" ht="30" customHeight="1" thickBot="1" x14ac:dyDescent="0.25">
      <c r="C448" s="83">
        <f>PG!C449</f>
        <v>0</v>
      </c>
      <c r="D448" s="23"/>
      <c r="E448" s="27"/>
      <c r="F448" s="27"/>
      <c r="G448" s="23"/>
      <c r="H448" s="62">
        <f>D448+PG!D449*(E448+F448)+G448</f>
        <v>0</v>
      </c>
      <c r="J448" s="18" t="str">
        <f>IF(ISERROR(
PG!F449*E448),"",PG!F449*E448)</f>
        <v/>
      </c>
      <c r="K448" s="18" t="str">
        <f>IF(ISERROR(
PG!F449*F448),"",PG!F449*F448)</f>
        <v/>
      </c>
      <c r="L448" s="18">
        <f>IF(ISERROR(
PG!D449-H448),"",PG!D449-H448)</f>
        <v>0</v>
      </c>
      <c r="M448" s="33" t="str">
        <f>IF(ISERROR(
L448/PG!D449),"",L448/PG!D449)</f>
        <v/>
      </c>
      <c r="N448" s="18" t="str">
        <f>IF(ISERROR(
(O448*PG!D449)),"",(O448*PG!D449))</f>
        <v/>
      </c>
      <c r="O448" s="45" t="str">
        <f>IF(ISERROR(
PEq!$G$20*PG!G449),"",PEq!$G$20*PG!G449)</f>
        <v/>
      </c>
      <c r="P448" s="18">
        <f>IF(ISERROR(
PG!E449*G448),"",PG!E449*G448)</f>
        <v>0</v>
      </c>
      <c r="Q448" s="18">
        <f>IF(ISERROR(
PG!E449*D448),"",PG!E449*D448)</f>
        <v>0</v>
      </c>
    </row>
    <row r="449" spans="3:17" ht="30" customHeight="1" thickBot="1" x14ac:dyDescent="0.25">
      <c r="C449" s="83">
        <f>PG!C450</f>
        <v>0</v>
      </c>
      <c r="D449" s="23"/>
      <c r="E449" s="27"/>
      <c r="F449" s="27"/>
      <c r="G449" s="23"/>
      <c r="H449" s="62">
        <f>D449+PG!D450*(E449+F449)+G449</f>
        <v>0</v>
      </c>
      <c r="J449" s="18" t="str">
        <f>IF(ISERROR(
PG!F450*E449),"",PG!F450*E449)</f>
        <v/>
      </c>
      <c r="K449" s="18" t="str">
        <f>IF(ISERROR(
PG!F450*F449),"",PG!F450*F449)</f>
        <v/>
      </c>
      <c r="L449" s="18">
        <f>IF(ISERROR(
PG!D450-H449),"",PG!D450-H449)</f>
        <v>0</v>
      </c>
      <c r="M449" s="33" t="str">
        <f>IF(ISERROR(
L449/PG!D450),"",L449/PG!D450)</f>
        <v/>
      </c>
      <c r="N449" s="18" t="str">
        <f>IF(ISERROR(
(O449*PG!D450)),"",(O449*PG!D450))</f>
        <v/>
      </c>
      <c r="O449" s="45" t="str">
        <f>IF(ISERROR(
PEq!$G$20*PG!G450),"",PEq!$G$20*PG!G450)</f>
        <v/>
      </c>
      <c r="P449" s="18">
        <f>IF(ISERROR(
PG!E450*G449),"",PG!E450*G449)</f>
        <v>0</v>
      </c>
      <c r="Q449" s="18">
        <f>IF(ISERROR(
PG!E450*D449),"",PG!E450*D449)</f>
        <v>0</v>
      </c>
    </row>
    <row r="450" spans="3:17" ht="30" customHeight="1" thickBot="1" x14ac:dyDescent="0.25">
      <c r="C450" s="83">
        <f>PG!C451</f>
        <v>0</v>
      </c>
      <c r="D450" s="23"/>
      <c r="E450" s="27"/>
      <c r="F450" s="27"/>
      <c r="G450" s="23"/>
      <c r="H450" s="62">
        <f>D450+PG!D451*(E450+F450)+G450</f>
        <v>0</v>
      </c>
      <c r="J450" s="18" t="str">
        <f>IF(ISERROR(
PG!F451*E450),"",PG!F451*E450)</f>
        <v/>
      </c>
      <c r="K450" s="18" t="str">
        <f>IF(ISERROR(
PG!F451*F450),"",PG!F451*F450)</f>
        <v/>
      </c>
      <c r="L450" s="18">
        <f>IF(ISERROR(
PG!D451-H450),"",PG!D451-H450)</f>
        <v>0</v>
      </c>
      <c r="M450" s="33" t="str">
        <f>IF(ISERROR(
L450/PG!D451),"",L450/PG!D451)</f>
        <v/>
      </c>
      <c r="N450" s="18" t="str">
        <f>IF(ISERROR(
(O450*PG!D451)),"",(O450*PG!D451))</f>
        <v/>
      </c>
      <c r="O450" s="45" t="str">
        <f>IF(ISERROR(
PEq!$G$20*PG!G451),"",PEq!$G$20*PG!G451)</f>
        <v/>
      </c>
      <c r="P450" s="18">
        <f>IF(ISERROR(
PG!E451*G450),"",PG!E451*G450)</f>
        <v>0</v>
      </c>
      <c r="Q450" s="18">
        <f>IF(ISERROR(
PG!E451*D450),"",PG!E451*D450)</f>
        <v>0</v>
      </c>
    </row>
    <row r="451" spans="3:17" ht="30" customHeight="1" thickBot="1" x14ac:dyDescent="0.25">
      <c r="C451" s="83">
        <f>PG!C452</f>
        <v>0</v>
      </c>
      <c r="D451" s="23"/>
      <c r="E451" s="27"/>
      <c r="F451" s="27"/>
      <c r="G451" s="23"/>
      <c r="H451" s="62">
        <f>D451+PG!D452*(E451+F451)+G451</f>
        <v>0</v>
      </c>
      <c r="J451" s="18" t="str">
        <f>IF(ISERROR(
PG!F452*E451),"",PG!F452*E451)</f>
        <v/>
      </c>
      <c r="K451" s="18" t="str">
        <f>IF(ISERROR(
PG!F452*F451),"",PG!F452*F451)</f>
        <v/>
      </c>
      <c r="L451" s="18">
        <f>IF(ISERROR(
PG!D452-H451),"",PG!D452-H451)</f>
        <v>0</v>
      </c>
      <c r="M451" s="33" t="str">
        <f>IF(ISERROR(
L451/PG!D452),"",L451/PG!D452)</f>
        <v/>
      </c>
      <c r="N451" s="18" t="str">
        <f>IF(ISERROR(
(O451*PG!D452)),"",(O451*PG!D452))</f>
        <v/>
      </c>
      <c r="O451" s="45" t="str">
        <f>IF(ISERROR(
PEq!$G$20*PG!G452),"",PEq!$G$20*PG!G452)</f>
        <v/>
      </c>
      <c r="P451" s="18">
        <f>IF(ISERROR(
PG!E452*G451),"",PG!E452*G451)</f>
        <v>0</v>
      </c>
      <c r="Q451" s="18">
        <f>IF(ISERROR(
PG!E452*D451),"",PG!E452*D451)</f>
        <v>0</v>
      </c>
    </row>
    <row r="452" spans="3:17" ht="30" customHeight="1" thickBot="1" x14ac:dyDescent="0.25">
      <c r="C452" s="83">
        <f>PG!C453</f>
        <v>0</v>
      </c>
      <c r="D452" s="23"/>
      <c r="E452" s="27"/>
      <c r="F452" s="27"/>
      <c r="G452" s="23"/>
      <c r="H452" s="62">
        <f>D452+PG!D453*(E452+F452)+G452</f>
        <v>0</v>
      </c>
      <c r="J452" s="18" t="str">
        <f>IF(ISERROR(
PG!F453*E452),"",PG!F453*E452)</f>
        <v/>
      </c>
      <c r="K452" s="18" t="str">
        <f>IF(ISERROR(
PG!F453*F452),"",PG!F453*F452)</f>
        <v/>
      </c>
      <c r="L452" s="18">
        <f>IF(ISERROR(
PG!D453-H452),"",PG!D453-H452)</f>
        <v>0</v>
      </c>
      <c r="M452" s="33" t="str">
        <f>IF(ISERROR(
L452/PG!D453),"",L452/PG!D453)</f>
        <v/>
      </c>
      <c r="N452" s="18" t="str">
        <f>IF(ISERROR(
(O452*PG!D453)),"",(O452*PG!D453))</f>
        <v/>
      </c>
      <c r="O452" s="45" t="str">
        <f>IF(ISERROR(
PEq!$G$20*PG!G453),"",PEq!$G$20*PG!G453)</f>
        <v/>
      </c>
      <c r="P452" s="18">
        <f>IF(ISERROR(
PG!E453*G452),"",PG!E453*G452)</f>
        <v>0</v>
      </c>
      <c r="Q452" s="18">
        <f>IF(ISERROR(
PG!E453*D452),"",PG!E453*D452)</f>
        <v>0</v>
      </c>
    </row>
    <row r="453" spans="3:17" ht="30" customHeight="1" thickBot="1" x14ac:dyDescent="0.25">
      <c r="C453" s="83">
        <f>PG!C454</f>
        <v>0</v>
      </c>
      <c r="D453" s="23"/>
      <c r="E453" s="27"/>
      <c r="F453" s="27"/>
      <c r="G453" s="23"/>
      <c r="H453" s="62">
        <f>D453+PG!D454*(E453+F453)+G453</f>
        <v>0</v>
      </c>
      <c r="J453" s="18" t="str">
        <f>IF(ISERROR(
PG!F454*E453),"",PG!F454*E453)</f>
        <v/>
      </c>
      <c r="K453" s="18" t="str">
        <f>IF(ISERROR(
PG!F454*F453),"",PG!F454*F453)</f>
        <v/>
      </c>
      <c r="L453" s="18">
        <f>IF(ISERROR(
PG!D454-H453),"",PG!D454-H453)</f>
        <v>0</v>
      </c>
      <c r="M453" s="33" t="str">
        <f>IF(ISERROR(
L453/PG!D454),"",L453/PG!D454)</f>
        <v/>
      </c>
      <c r="N453" s="18" t="str">
        <f>IF(ISERROR(
(O453*PG!D454)),"",(O453*PG!D454))</f>
        <v/>
      </c>
      <c r="O453" s="45" t="str">
        <f>IF(ISERROR(
PEq!$G$20*PG!G454),"",PEq!$G$20*PG!G454)</f>
        <v/>
      </c>
      <c r="P453" s="18">
        <f>IF(ISERROR(
PG!E454*G453),"",PG!E454*G453)</f>
        <v>0</v>
      </c>
      <c r="Q453" s="18">
        <f>IF(ISERROR(
PG!E454*D453),"",PG!E454*D453)</f>
        <v>0</v>
      </c>
    </row>
    <row r="454" spans="3:17" ht="30" customHeight="1" thickBot="1" x14ac:dyDescent="0.25">
      <c r="C454" s="83">
        <f>PG!C455</f>
        <v>0</v>
      </c>
      <c r="D454" s="23"/>
      <c r="E454" s="27"/>
      <c r="F454" s="27"/>
      <c r="G454" s="23"/>
      <c r="H454" s="62">
        <f>D454+PG!D455*(E454+F454)+G454</f>
        <v>0</v>
      </c>
      <c r="J454" s="18" t="str">
        <f>IF(ISERROR(
PG!F455*E454),"",PG!F455*E454)</f>
        <v/>
      </c>
      <c r="K454" s="18" t="str">
        <f>IF(ISERROR(
PG!F455*F454),"",PG!F455*F454)</f>
        <v/>
      </c>
      <c r="L454" s="18">
        <f>IF(ISERROR(
PG!D455-H454),"",PG!D455-H454)</f>
        <v>0</v>
      </c>
      <c r="M454" s="33" t="str">
        <f>IF(ISERROR(
L454/PG!D455),"",L454/PG!D455)</f>
        <v/>
      </c>
      <c r="N454" s="18" t="str">
        <f>IF(ISERROR(
(O454*PG!D455)),"",(O454*PG!D455))</f>
        <v/>
      </c>
      <c r="O454" s="45" t="str">
        <f>IF(ISERROR(
PEq!$G$20*PG!G455),"",PEq!$G$20*PG!G455)</f>
        <v/>
      </c>
      <c r="P454" s="18">
        <f>IF(ISERROR(
PG!E455*G454),"",PG!E455*G454)</f>
        <v>0</v>
      </c>
      <c r="Q454" s="18">
        <f>IF(ISERROR(
PG!E455*D454),"",PG!E455*D454)</f>
        <v>0</v>
      </c>
    </row>
    <row r="455" spans="3:17" ht="30" customHeight="1" thickBot="1" x14ac:dyDescent="0.25">
      <c r="C455" s="83">
        <f>PG!C456</f>
        <v>0</v>
      </c>
      <c r="D455" s="23"/>
      <c r="E455" s="27"/>
      <c r="F455" s="27"/>
      <c r="G455" s="23"/>
      <c r="H455" s="62">
        <f>D455+PG!D456*(E455+F455)+G455</f>
        <v>0</v>
      </c>
      <c r="J455" s="18" t="str">
        <f>IF(ISERROR(
PG!F456*E455),"",PG!F456*E455)</f>
        <v/>
      </c>
      <c r="K455" s="18" t="str">
        <f>IF(ISERROR(
PG!F456*F455),"",PG!F456*F455)</f>
        <v/>
      </c>
      <c r="L455" s="18">
        <f>IF(ISERROR(
PG!D456-H455),"",PG!D456-H455)</f>
        <v>0</v>
      </c>
      <c r="M455" s="33" t="str">
        <f>IF(ISERROR(
L455/PG!D456),"",L455/PG!D456)</f>
        <v/>
      </c>
      <c r="N455" s="18" t="str">
        <f>IF(ISERROR(
(O455*PG!D456)),"",(O455*PG!D456))</f>
        <v/>
      </c>
      <c r="O455" s="45" t="str">
        <f>IF(ISERROR(
PEq!$G$20*PG!G456),"",PEq!$G$20*PG!G456)</f>
        <v/>
      </c>
      <c r="P455" s="18">
        <f>IF(ISERROR(
PG!E456*G455),"",PG!E456*G455)</f>
        <v>0</v>
      </c>
      <c r="Q455" s="18">
        <f>IF(ISERROR(
PG!E456*D455),"",PG!E456*D455)</f>
        <v>0</v>
      </c>
    </row>
    <row r="456" spans="3:17" ht="30" customHeight="1" thickBot="1" x14ac:dyDescent="0.25">
      <c r="C456" s="83">
        <f>PG!C457</f>
        <v>0</v>
      </c>
      <c r="D456" s="23"/>
      <c r="E456" s="27"/>
      <c r="F456" s="27"/>
      <c r="G456" s="23"/>
      <c r="H456" s="62">
        <f>D456+PG!D457*(E456+F456)+G456</f>
        <v>0</v>
      </c>
      <c r="J456" s="18" t="str">
        <f>IF(ISERROR(
PG!F457*E456),"",PG!F457*E456)</f>
        <v/>
      </c>
      <c r="K456" s="18" t="str">
        <f>IF(ISERROR(
PG!F457*F456),"",PG!F457*F456)</f>
        <v/>
      </c>
      <c r="L456" s="18">
        <f>IF(ISERROR(
PG!D457-H456),"",PG!D457-H456)</f>
        <v>0</v>
      </c>
      <c r="M456" s="33" t="str">
        <f>IF(ISERROR(
L456/PG!D457),"",L456/PG!D457)</f>
        <v/>
      </c>
      <c r="N456" s="18" t="str">
        <f>IF(ISERROR(
(O456*PG!D457)),"",(O456*PG!D457))</f>
        <v/>
      </c>
      <c r="O456" s="45" t="str">
        <f>IF(ISERROR(
PEq!$G$20*PG!G457),"",PEq!$G$20*PG!G457)</f>
        <v/>
      </c>
      <c r="P456" s="18">
        <f>IF(ISERROR(
PG!E457*G456),"",PG!E457*G456)</f>
        <v>0</v>
      </c>
      <c r="Q456" s="18">
        <f>IF(ISERROR(
PG!E457*D456),"",PG!E457*D456)</f>
        <v>0</v>
      </c>
    </row>
    <row r="457" spans="3:17" ht="30" customHeight="1" thickBot="1" x14ac:dyDescent="0.25">
      <c r="C457" s="83">
        <f>PG!C458</f>
        <v>0</v>
      </c>
      <c r="D457" s="23"/>
      <c r="E457" s="27"/>
      <c r="F457" s="27"/>
      <c r="G457" s="23"/>
      <c r="H457" s="62">
        <f>D457+PG!D458*(E457+F457)+G457</f>
        <v>0</v>
      </c>
      <c r="J457" s="18" t="str">
        <f>IF(ISERROR(
PG!F458*E457),"",PG!F458*E457)</f>
        <v/>
      </c>
      <c r="K457" s="18" t="str">
        <f>IF(ISERROR(
PG!F458*F457),"",PG!F458*F457)</f>
        <v/>
      </c>
      <c r="L457" s="18">
        <f>IF(ISERROR(
PG!D458-H457),"",PG!D458-H457)</f>
        <v>0</v>
      </c>
      <c r="M457" s="33" t="str">
        <f>IF(ISERROR(
L457/PG!D458),"",L457/PG!D458)</f>
        <v/>
      </c>
      <c r="N457" s="18" t="str">
        <f>IF(ISERROR(
(O457*PG!D458)),"",(O457*PG!D458))</f>
        <v/>
      </c>
      <c r="O457" s="45" t="str">
        <f>IF(ISERROR(
PEq!$G$20*PG!G458),"",PEq!$G$20*PG!G458)</f>
        <v/>
      </c>
      <c r="P457" s="18">
        <f>IF(ISERROR(
PG!E458*G457),"",PG!E458*G457)</f>
        <v>0</v>
      </c>
      <c r="Q457" s="18">
        <f>IF(ISERROR(
PG!E458*D457),"",PG!E458*D457)</f>
        <v>0</v>
      </c>
    </row>
    <row r="458" spans="3:17" ht="30" customHeight="1" thickBot="1" x14ac:dyDescent="0.25">
      <c r="C458" s="83">
        <f>PG!C459</f>
        <v>0</v>
      </c>
      <c r="D458" s="23"/>
      <c r="E458" s="27"/>
      <c r="F458" s="27"/>
      <c r="G458" s="23"/>
      <c r="H458" s="62">
        <f>D458+PG!D459*(E458+F458)+G458</f>
        <v>0</v>
      </c>
      <c r="J458" s="18" t="str">
        <f>IF(ISERROR(
PG!F459*E458),"",PG!F459*E458)</f>
        <v/>
      </c>
      <c r="K458" s="18" t="str">
        <f>IF(ISERROR(
PG!F459*F458),"",PG!F459*F458)</f>
        <v/>
      </c>
      <c r="L458" s="18">
        <f>IF(ISERROR(
PG!D459-H458),"",PG!D459-H458)</f>
        <v>0</v>
      </c>
      <c r="M458" s="33" t="str">
        <f>IF(ISERROR(
L458/PG!D459),"",L458/PG!D459)</f>
        <v/>
      </c>
      <c r="N458" s="18" t="str">
        <f>IF(ISERROR(
(O458*PG!D459)),"",(O458*PG!D459))</f>
        <v/>
      </c>
      <c r="O458" s="45" t="str">
        <f>IF(ISERROR(
PEq!$G$20*PG!G459),"",PEq!$G$20*PG!G459)</f>
        <v/>
      </c>
      <c r="P458" s="18">
        <f>IF(ISERROR(
PG!E459*G458),"",PG!E459*G458)</f>
        <v>0</v>
      </c>
      <c r="Q458" s="18">
        <f>IF(ISERROR(
PG!E459*D458),"",PG!E459*D458)</f>
        <v>0</v>
      </c>
    </row>
    <row r="459" spans="3:17" ht="30" customHeight="1" thickBot="1" x14ac:dyDescent="0.25">
      <c r="C459" s="83">
        <f>PG!C460</f>
        <v>0</v>
      </c>
      <c r="D459" s="23"/>
      <c r="E459" s="27"/>
      <c r="F459" s="27"/>
      <c r="G459" s="23"/>
      <c r="H459" s="62">
        <f>D459+PG!D460*(E459+F459)+G459</f>
        <v>0</v>
      </c>
      <c r="J459" s="18" t="str">
        <f>IF(ISERROR(
PG!F460*E459),"",PG!F460*E459)</f>
        <v/>
      </c>
      <c r="K459" s="18" t="str">
        <f>IF(ISERROR(
PG!F460*F459),"",PG!F460*F459)</f>
        <v/>
      </c>
      <c r="L459" s="18">
        <f>IF(ISERROR(
PG!D460-H459),"",PG!D460-H459)</f>
        <v>0</v>
      </c>
      <c r="M459" s="33" t="str">
        <f>IF(ISERROR(
L459/PG!D460),"",L459/PG!D460)</f>
        <v/>
      </c>
      <c r="N459" s="18" t="str">
        <f>IF(ISERROR(
(O459*PG!D460)),"",(O459*PG!D460))</f>
        <v/>
      </c>
      <c r="O459" s="45" t="str">
        <f>IF(ISERROR(
PEq!$G$20*PG!G460),"",PEq!$G$20*PG!G460)</f>
        <v/>
      </c>
      <c r="P459" s="18">
        <f>IF(ISERROR(
PG!E460*G459),"",PG!E460*G459)</f>
        <v>0</v>
      </c>
      <c r="Q459" s="18">
        <f>IF(ISERROR(
PG!E460*D459),"",PG!E460*D459)</f>
        <v>0</v>
      </c>
    </row>
    <row r="460" spans="3:17" ht="30" customHeight="1" thickBot="1" x14ac:dyDescent="0.25">
      <c r="C460" s="83">
        <f>PG!C461</f>
        <v>0</v>
      </c>
      <c r="D460" s="23"/>
      <c r="E460" s="27"/>
      <c r="F460" s="27"/>
      <c r="G460" s="23"/>
      <c r="H460" s="62">
        <f>D460+PG!D461*(E460+F460)+G460</f>
        <v>0</v>
      </c>
      <c r="J460" s="18" t="str">
        <f>IF(ISERROR(
PG!F461*E460),"",PG!F461*E460)</f>
        <v/>
      </c>
      <c r="K460" s="18" t="str">
        <f>IF(ISERROR(
PG!F461*F460),"",PG!F461*F460)</f>
        <v/>
      </c>
      <c r="L460" s="18">
        <f>IF(ISERROR(
PG!D461-H460),"",PG!D461-H460)</f>
        <v>0</v>
      </c>
      <c r="M460" s="33" t="str">
        <f>IF(ISERROR(
L460/PG!D461),"",L460/PG!D461)</f>
        <v/>
      </c>
      <c r="N460" s="18" t="str">
        <f>IF(ISERROR(
(O460*PG!D461)),"",(O460*PG!D461))</f>
        <v/>
      </c>
      <c r="O460" s="45" t="str">
        <f>IF(ISERROR(
PEq!$G$20*PG!G461),"",PEq!$G$20*PG!G461)</f>
        <v/>
      </c>
      <c r="P460" s="18">
        <f>IF(ISERROR(
PG!E461*G460),"",PG!E461*G460)</f>
        <v>0</v>
      </c>
      <c r="Q460" s="18">
        <f>IF(ISERROR(
PG!E461*D460),"",PG!E461*D460)</f>
        <v>0</v>
      </c>
    </row>
    <row r="461" spans="3:17" ht="30" customHeight="1" thickBot="1" x14ac:dyDescent="0.25">
      <c r="C461" s="83">
        <f>PG!C462</f>
        <v>0</v>
      </c>
      <c r="D461" s="23"/>
      <c r="E461" s="27"/>
      <c r="F461" s="27"/>
      <c r="G461" s="23"/>
      <c r="H461" s="62">
        <f>D461+PG!D462*(E461+F461)+G461</f>
        <v>0</v>
      </c>
      <c r="J461" s="18" t="str">
        <f>IF(ISERROR(
PG!F462*E461),"",PG!F462*E461)</f>
        <v/>
      </c>
      <c r="K461" s="18" t="str">
        <f>IF(ISERROR(
PG!F462*F461),"",PG!F462*F461)</f>
        <v/>
      </c>
      <c r="L461" s="18">
        <f>IF(ISERROR(
PG!D462-H461),"",PG!D462-H461)</f>
        <v>0</v>
      </c>
      <c r="M461" s="33" t="str">
        <f>IF(ISERROR(
L461/PG!D462),"",L461/PG!D462)</f>
        <v/>
      </c>
      <c r="N461" s="18" t="str">
        <f>IF(ISERROR(
(O461*PG!D462)),"",(O461*PG!D462))</f>
        <v/>
      </c>
      <c r="O461" s="45" t="str">
        <f>IF(ISERROR(
PEq!$G$20*PG!G462),"",PEq!$G$20*PG!G462)</f>
        <v/>
      </c>
      <c r="P461" s="18">
        <f>IF(ISERROR(
PG!E462*G461),"",PG!E462*G461)</f>
        <v>0</v>
      </c>
      <c r="Q461" s="18">
        <f>IF(ISERROR(
PG!E462*D461),"",PG!E462*D461)</f>
        <v>0</v>
      </c>
    </row>
    <row r="462" spans="3:17" ht="30" customHeight="1" thickBot="1" x14ac:dyDescent="0.25">
      <c r="C462" s="83">
        <f>PG!C463</f>
        <v>0</v>
      </c>
      <c r="D462" s="23"/>
      <c r="E462" s="27"/>
      <c r="F462" s="27"/>
      <c r="G462" s="23"/>
      <c r="H462" s="62">
        <f>D462+PG!D463*(E462+F462)+G462</f>
        <v>0</v>
      </c>
      <c r="J462" s="18" t="str">
        <f>IF(ISERROR(
PG!F463*E462),"",PG!F463*E462)</f>
        <v/>
      </c>
      <c r="K462" s="18" t="str">
        <f>IF(ISERROR(
PG!F463*F462),"",PG!F463*F462)</f>
        <v/>
      </c>
      <c r="L462" s="18">
        <f>IF(ISERROR(
PG!D463-H462),"",PG!D463-H462)</f>
        <v>0</v>
      </c>
      <c r="M462" s="33" t="str">
        <f>IF(ISERROR(
L462/PG!D463),"",L462/PG!D463)</f>
        <v/>
      </c>
      <c r="N462" s="18" t="str">
        <f>IF(ISERROR(
(O462*PG!D463)),"",(O462*PG!D463))</f>
        <v/>
      </c>
      <c r="O462" s="45" t="str">
        <f>IF(ISERROR(
PEq!$G$20*PG!G463),"",PEq!$G$20*PG!G463)</f>
        <v/>
      </c>
      <c r="P462" s="18">
        <f>IF(ISERROR(
PG!E463*G462),"",PG!E463*G462)</f>
        <v>0</v>
      </c>
      <c r="Q462" s="18">
        <f>IF(ISERROR(
PG!E463*D462),"",PG!E463*D462)</f>
        <v>0</v>
      </c>
    </row>
    <row r="463" spans="3:17" ht="30" customHeight="1" thickBot="1" x14ac:dyDescent="0.25">
      <c r="C463" s="83">
        <f>PG!C464</f>
        <v>0</v>
      </c>
      <c r="D463" s="23"/>
      <c r="E463" s="27"/>
      <c r="F463" s="27"/>
      <c r="G463" s="23"/>
      <c r="H463" s="62">
        <f>D463+PG!D464*(E463+F463)+G463</f>
        <v>0</v>
      </c>
      <c r="J463" s="18" t="str">
        <f>IF(ISERROR(
PG!F464*E463),"",PG!F464*E463)</f>
        <v/>
      </c>
      <c r="K463" s="18" t="str">
        <f>IF(ISERROR(
PG!F464*F463),"",PG!F464*F463)</f>
        <v/>
      </c>
      <c r="L463" s="18">
        <f>IF(ISERROR(
PG!D464-H463),"",PG!D464-H463)</f>
        <v>0</v>
      </c>
      <c r="M463" s="33" t="str">
        <f>IF(ISERROR(
L463/PG!D464),"",L463/PG!D464)</f>
        <v/>
      </c>
      <c r="N463" s="18" t="str">
        <f>IF(ISERROR(
(O463*PG!D464)),"",(O463*PG!D464))</f>
        <v/>
      </c>
      <c r="O463" s="45" t="str">
        <f>IF(ISERROR(
PEq!$G$20*PG!G464),"",PEq!$G$20*PG!G464)</f>
        <v/>
      </c>
      <c r="P463" s="18">
        <f>IF(ISERROR(
PG!E464*G463),"",PG!E464*G463)</f>
        <v>0</v>
      </c>
      <c r="Q463" s="18">
        <f>IF(ISERROR(
PG!E464*D463),"",PG!E464*D463)</f>
        <v>0</v>
      </c>
    </row>
    <row r="464" spans="3:17" ht="30" customHeight="1" thickBot="1" x14ac:dyDescent="0.25">
      <c r="C464" s="83">
        <f>PG!C465</f>
        <v>0</v>
      </c>
      <c r="D464" s="23"/>
      <c r="E464" s="27"/>
      <c r="F464" s="27"/>
      <c r="G464" s="23"/>
      <c r="H464" s="62">
        <f>D464+PG!D465*(E464+F464)+G464</f>
        <v>0</v>
      </c>
      <c r="J464" s="18" t="str">
        <f>IF(ISERROR(
PG!F465*E464),"",PG!F465*E464)</f>
        <v/>
      </c>
      <c r="K464" s="18" t="str">
        <f>IF(ISERROR(
PG!F465*F464),"",PG!F465*F464)</f>
        <v/>
      </c>
      <c r="L464" s="18">
        <f>IF(ISERROR(
PG!D465-H464),"",PG!D465-H464)</f>
        <v>0</v>
      </c>
      <c r="M464" s="33" t="str">
        <f>IF(ISERROR(
L464/PG!D465),"",L464/PG!D465)</f>
        <v/>
      </c>
      <c r="N464" s="18" t="str">
        <f>IF(ISERROR(
(O464*PG!D465)),"",(O464*PG!D465))</f>
        <v/>
      </c>
      <c r="O464" s="45" t="str">
        <f>IF(ISERROR(
PEq!$G$20*PG!G465),"",PEq!$G$20*PG!G465)</f>
        <v/>
      </c>
      <c r="P464" s="18">
        <f>IF(ISERROR(
PG!E465*G464),"",PG!E465*G464)</f>
        <v>0</v>
      </c>
      <c r="Q464" s="18">
        <f>IF(ISERROR(
PG!E465*D464),"",PG!E465*D464)</f>
        <v>0</v>
      </c>
    </row>
    <row r="465" spans="3:17" ht="30" customHeight="1" thickBot="1" x14ac:dyDescent="0.25">
      <c r="C465" s="83">
        <f>PG!C466</f>
        <v>0</v>
      </c>
      <c r="D465" s="23"/>
      <c r="E465" s="27"/>
      <c r="F465" s="27"/>
      <c r="G465" s="23"/>
      <c r="H465" s="62">
        <f>D465+PG!D466*(E465+F465)+G465</f>
        <v>0</v>
      </c>
      <c r="J465" s="18" t="str">
        <f>IF(ISERROR(
PG!F466*E465),"",PG!F466*E465)</f>
        <v/>
      </c>
      <c r="K465" s="18" t="str">
        <f>IF(ISERROR(
PG!F466*F465),"",PG!F466*F465)</f>
        <v/>
      </c>
      <c r="L465" s="18">
        <f>IF(ISERROR(
PG!D466-H465),"",PG!D466-H465)</f>
        <v>0</v>
      </c>
      <c r="M465" s="33" t="str">
        <f>IF(ISERROR(
L465/PG!D466),"",L465/PG!D466)</f>
        <v/>
      </c>
      <c r="N465" s="18" t="str">
        <f>IF(ISERROR(
(O465*PG!D466)),"",(O465*PG!D466))</f>
        <v/>
      </c>
      <c r="O465" s="45" t="str">
        <f>IF(ISERROR(
PEq!$G$20*PG!G466),"",PEq!$G$20*PG!G466)</f>
        <v/>
      </c>
      <c r="P465" s="18">
        <f>IF(ISERROR(
PG!E466*G465),"",PG!E466*G465)</f>
        <v>0</v>
      </c>
      <c r="Q465" s="18">
        <f>IF(ISERROR(
PG!E466*D465),"",PG!E466*D465)</f>
        <v>0</v>
      </c>
    </row>
    <row r="466" spans="3:17" ht="30" customHeight="1" thickBot="1" x14ac:dyDescent="0.25">
      <c r="C466" s="83">
        <f>PG!C467</f>
        <v>0</v>
      </c>
      <c r="D466" s="23"/>
      <c r="E466" s="27"/>
      <c r="F466" s="27"/>
      <c r="G466" s="23"/>
      <c r="H466" s="62">
        <f>D466+PG!D467*(E466+F466)+G466</f>
        <v>0</v>
      </c>
      <c r="J466" s="18" t="str">
        <f>IF(ISERROR(
PG!F467*E466),"",PG!F467*E466)</f>
        <v/>
      </c>
      <c r="K466" s="18" t="str">
        <f>IF(ISERROR(
PG!F467*F466),"",PG!F467*F466)</f>
        <v/>
      </c>
      <c r="L466" s="18">
        <f>IF(ISERROR(
PG!D467-H466),"",PG!D467-H466)</f>
        <v>0</v>
      </c>
      <c r="M466" s="33" t="str">
        <f>IF(ISERROR(
L466/PG!D467),"",L466/PG!D467)</f>
        <v/>
      </c>
      <c r="N466" s="18" t="str">
        <f>IF(ISERROR(
(O466*PG!D467)),"",(O466*PG!D467))</f>
        <v/>
      </c>
      <c r="O466" s="45" t="str">
        <f>IF(ISERROR(
PEq!$G$20*PG!G467),"",PEq!$G$20*PG!G467)</f>
        <v/>
      </c>
      <c r="P466" s="18">
        <f>IF(ISERROR(
PG!E467*G466),"",PG!E467*G466)</f>
        <v>0</v>
      </c>
      <c r="Q466" s="18">
        <f>IF(ISERROR(
PG!E467*D466),"",PG!E467*D466)</f>
        <v>0</v>
      </c>
    </row>
    <row r="467" spans="3:17" ht="30" customHeight="1" thickBot="1" x14ac:dyDescent="0.25">
      <c r="C467" s="83">
        <f>PG!C468</f>
        <v>0</v>
      </c>
      <c r="D467" s="23"/>
      <c r="E467" s="27"/>
      <c r="F467" s="27"/>
      <c r="G467" s="23"/>
      <c r="H467" s="62">
        <f>D467+PG!D468*(E467+F467)+G467</f>
        <v>0</v>
      </c>
      <c r="J467" s="18" t="str">
        <f>IF(ISERROR(
PG!F468*E467),"",PG!F468*E467)</f>
        <v/>
      </c>
      <c r="K467" s="18" t="str">
        <f>IF(ISERROR(
PG!F468*F467),"",PG!F468*F467)</f>
        <v/>
      </c>
      <c r="L467" s="18">
        <f>IF(ISERROR(
PG!D468-H467),"",PG!D468-H467)</f>
        <v>0</v>
      </c>
      <c r="M467" s="33" t="str">
        <f>IF(ISERROR(
L467/PG!D468),"",L467/PG!D468)</f>
        <v/>
      </c>
      <c r="N467" s="18" t="str">
        <f>IF(ISERROR(
(O467*PG!D468)),"",(O467*PG!D468))</f>
        <v/>
      </c>
      <c r="O467" s="45" t="str">
        <f>IF(ISERROR(
PEq!$G$20*PG!G468),"",PEq!$G$20*PG!G468)</f>
        <v/>
      </c>
      <c r="P467" s="18">
        <f>IF(ISERROR(
PG!E468*G467),"",PG!E468*G467)</f>
        <v>0</v>
      </c>
      <c r="Q467" s="18">
        <f>IF(ISERROR(
PG!E468*D467),"",PG!E468*D467)</f>
        <v>0</v>
      </c>
    </row>
    <row r="468" spans="3:17" ht="30" customHeight="1" thickBot="1" x14ac:dyDescent="0.25">
      <c r="C468" s="83">
        <f>PG!C469</f>
        <v>0</v>
      </c>
      <c r="D468" s="23"/>
      <c r="E468" s="27"/>
      <c r="F468" s="27"/>
      <c r="G468" s="23"/>
      <c r="H468" s="62">
        <f>D468+PG!D469*(E468+F468)+G468</f>
        <v>0</v>
      </c>
      <c r="J468" s="18" t="str">
        <f>IF(ISERROR(
PG!F469*E468),"",PG!F469*E468)</f>
        <v/>
      </c>
      <c r="K468" s="18" t="str">
        <f>IF(ISERROR(
PG!F469*F468),"",PG!F469*F468)</f>
        <v/>
      </c>
      <c r="L468" s="18">
        <f>IF(ISERROR(
PG!D469-H468),"",PG!D469-H468)</f>
        <v>0</v>
      </c>
      <c r="M468" s="33" t="str">
        <f>IF(ISERROR(
L468/PG!D469),"",L468/PG!D469)</f>
        <v/>
      </c>
      <c r="N468" s="18" t="str">
        <f>IF(ISERROR(
(O468*PG!D469)),"",(O468*PG!D469))</f>
        <v/>
      </c>
      <c r="O468" s="45" t="str">
        <f>IF(ISERROR(
PEq!$G$20*PG!G469),"",PEq!$G$20*PG!G469)</f>
        <v/>
      </c>
      <c r="P468" s="18">
        <f>IF(ISERROR(
PG!E469*G468),"",PG!E469*G468)</f>
        <v>0</v>
      </c>
      <c r="Q468" s="18">
        <f>IF(ISERROR(
PG!E469*D468),"",PG!E469*D468)</f>
        <v>0</v>
      </c>
    </row>
    <row r="469" spans="3:17" ht="30" customHeight="1" thickBot="1" x14ac:dyDescent="0.25">
      <c r="C469" s="83">
        <f>PG!C470</f>
        <v>0</v>
      </c>
      <c r="D469" s="23"/>
      <c r="E469" s="27"/>
      <c r="F469" s="27"/>
      <c r="G469" s="23"/>
      <c r="H469" s="62">
        <f>D469+PG!D470*(E469+F469)+G469</f>
        <v>0</v>
      </c>
      <c r="J469" s="18" t="str">
        <f>IF(ISERROR(
PG!F470*E469),"",PG!F470*E469)</f>
        <v/>
      </c>
      <c r="K469" s="18" t="str">
        <f>IF(ISERROR(
PG!F470*F469),"",PG!F470*F469)</f>
        <v/>
      </c>
      <c r="L469" s="18">
        <f>IF(ISERROR(
PG!D470-H469),"",PG!D470-H469)</f>
        <v>0</v>
      </c>
      <c r="M469" s="33" t="str">
        <f>IF(ISERROR(
L469/PG!D470),"",L469/PG!D470)</f>
        <v/>
      </c>
      <c r="N469" s="18" t="str">
        <f>IF(ISERROR(
(O469*PG!D470)),"",(O469*PG!D470))</f>
        <v/>
      </c>
      <c r="O469" s="45" t="str">
        <f>IF(ISERROR(
PEq!$G$20*PG!G470),"",PEq!$G$20*PG!G470)</f>
        <v/>
      </c>
      <c r="P469" s="18">
        <f>IF(ISERROR(
PG!E470*G469),"",PG!E470*G469)</f>
        <v>0</v>
      </c>
      <c r="Q469" s="18">
        <f>IF(ISERROR(
PG!E470*D469),"",PG!E470*D469)</f>
        <v>0</v>
      </c>
    </row>
    <row r="470" spans="3:17" ht="30" customHeight="1" thickBot="1" x14ac:dyDescent="0.25">
      <c r="C470" s="83">
        <f>PG!C471</f>
        <v>0</v>
      </c>
      <c r="D470" s="23"/>
      <c r="E470" s="27"/>
      <c r="F470" s="27"/>
      <c r="G470" s="23"/>
      <c r="H470" s="62">
        <f>D470+PG!D471*(E470+F470)+G470</f>
        <v>0</v>
      </c>
      <c r="J470" s="18" t="str">
        <f>IF(ISERROR(
PG!F471*E470),"",PG!F471*E470)</f>
        <v/>
      </c>
      <c r="K470" s="18" t="str">
        <f>IF(ISERROR(
PG!F471*F470),"",PG!F471*F470)</f>
        <v/>
      </c>
      <c r="L470" s="18">
        <f>IF(ISERROR(
PG!D471-H470),"",PG!D471-H470)</f>
        <v>0</v>
      </c>
      <c r="M470" s="33" t="str">
        <f>IF(ISERROR(
L470/PG!D471),"",L470/PG!D471)</f>
        <v/>
      </c>
      <c r="N470" s="18" t="str">
        <f>IF(ISERROR(
(O470*PG!D471)),"",(O470*PG!D471))</f>
        <v/>
      </c>
      <c r="O470" s="45" t="str">
        <f>IF(ISERROR(
PEq!$G$20*PG!G471),"",PEq!$G$20*PG!G471)</f>
        <v/>
      </c>
      <c r="P470" s="18">
        <f>IF(ISERROR(
PG!E471*G470),"",PG!E471*G470)</f>
        <v>0</v>
      </c>
      <c r="Q470" s="18">
        <f>IF(ISERROR(
PG!E471*D470),"",PG!E471*D470)</f>
        <v>0</v>
      </c>
    </row>
    <row r="471" spans="3:17" ht="30" customHeight="1" thickBot="1" x14ac:dyDescent="0.25">
      <c r="C471" s="83">
        <f>PG!C472</f>
        <v>0</v>
      </c>
      <c r="D471" s="23"/>
      <c r="E471" s="27"/>
      <c r="F471" s="27"/>
      <c r="G471" s="23"/>
      <c r="H471" s="62">
        <f>D471+PG!D472*(E471+F471)+G471</f>
        <v>0</v>
      </c>
      <c r="J471" s="18" t="str">
        <f>IF(ISERROR(
PG!F472*E471),"",PG!F472*E471)</f>
        <v/>
      </c>
      <c r="K471" s="18" t="str">
        <f>IF(ISERROR(
PG!F472*F471),"",PG!F472*F471)</f>
        <v/>
      </c>
      <c r="L471" s="18">
        <f>IF(ISERROR(
PG!D472-H471),"",PG!D472-H471)</f>
        <v>0</v>
      </c>
      <c r="M471" s="33" t="str">
        <f>IF(ISERROR(
L471/PG!D472),"",L471/PG!D472)</f>
        <v/>
      </c>
      <c r="N471" s="18" t="str">
        <f>IF(ISERROR(
(O471*PG!D472)),"",(O471*PG!D472))</f>
        <v/>
      </c>
      <c r="O471" s="45" t="str">
        <f>IF(ISERROR(
PEq!$G$20*PG!G472),"",PEq!$G$20*PG!G472)</f>
        <v/>
      </c>
      <c r="P471" s="18">
        <f>IF(ISERROR(
PG!E472*G471),"",PG!E472*G471)</f>
        <v>0</v>
      </c>
      <c r="Q471" s="18">
        <f>IF(ISERROR(
PG!E472*D471),"",PG!E472*D471)</f>
        <v>0</v>
      </c>
    </row>
    <row r="472" spans="3:17" ht="30" customHeight="1" thickBot="1" x14ac:dyDescent="0.25">
      <c r="C472" s="83">
        <f>PG!C473</f>
        <v>0</v>
      </c>
      <c r="D472" s="23"/>
      <c r="E472" s="27"/>
      <c r="F472" s="27"/>
      <c r="G472" s="23"/>
      <c r="H472" s="62">
        <f>D472+PG!D473*(E472+F472)+G472</f>
        <v>0</v>
      </c>
      <c r="J472" s="18" t="str">
        <f>IF(ISERROR(
PG!F473*E472),"",PG!F473*E472)</f>
        <v/>
      </c>
      <c r="K472" s="18" t="str">
        <f>IF(ISERROR(
PG!F473*F472),"",PG!F473*F472)</f>
        <v/>
      </c>
      <c r="L472" s="18">
        <f>IF(ISERROR(
PG!D473-H472),"",PG!D473-H472)</f>
        <v>0</v>
      </c>
      <c r="M472" s="33" t="str">
        <f>IF(ISERROR(
L472/PG!D473),"",L472/PG!D473)</f>
        <v/>
      </c>
      <c r="N472" s="18" t="str">
        <f>IF(ISERROR(
(O472*PG!D473)),"",(O472*PG!D473))</f>
        <v/>
      </c>
      <c r="O472" s="45" t="str">
        <f>IF(ISERROR(
PEq!$G$20*PG!G473),"",PEq!$G$20*PG!G473)</f>
        <v/>
      </c>
      <c r="P472" s="18">
        <f>IF(ISERROR(
PG!E473*G472),"",PG!E473*G472)</f>
        <v>0</v>
      </c>
      <c r="Q472" s="18">
        <f>IF(ISERROR(
PG!E473*D472),"",PG!E473*D472)</f>
        <v>0</v>
      </c>
    </row>
    <row r="473" spans="3:17" ht="30" customHeight="1" thickBot="1" x14ac:dyDescent="0.25">
      <c r="C473" s="83">
        <f>PG!C474</f>
        <v>0</v>
      </c>
      <c r="D473" s="23"/>
      <c r="E473" s="27"/>
      <c r="F473" s="27"/>
      <c r="G473" s="23"/>
      <c r="H473" s="62">
        <f>D473+PG!D474*(E473+F473)+G473</f>
        <v>0</v>
      </c>
      <c r="J473" s="18" t="str">
        <f>IF(ISERROR(
PG!F474*E473),"",PG!F474*E473)</f>
        <v/>
      </c>
      <c r="K473" s="18" t="str">
        <f>IF(ISERROR(
PG!F474*F473),"",PG!F474*F473)</f>
        <v/>
      </c>
      <c r="L473" s="18">
        <f>IF(ISERROR(
PG!D474-H473),"",PG!D474-H473)</f>
        <v>0</v>
      </c>
      <c r="M473" s="33" t="str">
        <f>IF(ISERROR(
L473/PG!D474),"",L473/PG!D474)</f>
        <v/>
      </c>
      <c r="N473" s="18" t="str">
        <f>IF(ISERROR(
(O473*PG!D474)),"",(O473*PG!D474))</f>
        <v/>
      </c>
      <c r="O473" s="45" t="str">
        <f>IF(ISERROR(
PEq!$G$20*PG!G474),"",PEq!$G$20*PG!G474)</f>
        <v/>
      </c>
      <c r="P473" s="18">
        <f>IF(ISERROR(
PG!E474*G473),"",PG!E474*G473)</f>
        <v>0</v>
      </c>
      <c r="Q473" s="18">
        <f>IF(ISERROR(
PG!E474*D473),"",PG!E474*D473)</f>
        <v>0</v>
      </c>
    </row>
    <row r="474" spans="3:17" ht="30" customHeight="1" thickBot="1" x14ac:dyDescent="0.25">
      <c r="C474" s="83">
        <f>PG!C475</f>
        <v>0</v>
      </c>
      <c r="D474" s="23"/>
      <c r="E474" s="27"/>
      <c r="F474" s="27"/>
      <c r="G474" s="23"/>
      <c r="H474" s="62">
        <f>D474+PG!D475*(E474+F474)+G474</f>
        <v>0</v>
      </c>
      <c r="J474" s="18" t="str">
        <f>IF(ISERROR(
PG!F475*E474),"",PG!F475*E474)</f>
        <v/>
      </c>
      <c r="K474" s="18" t="str">
        <f>IF(ISERROR(
PG!F475*F474),"",PG!F475*F474)</f>
        <v/>
      </c>
      <c r="L474" s="18">
        <f>IF(ISERROR(
PG!D475-H474),"",PG!D475-H474)</f>
        <v>0</v>
      </c>
      <c r="M474" s="33" t="str">
        <f>IF(ISERROR(
L474/PG!D475),"",L474/PG!D475)</f>
        <v/>
      </c>
      <c r="N474" s="18" t="str">
        <f>IF(ISERROR(
(O474*PG!D475)),"",(O474*PG!D475))</f>
        <v/>
      </c>
      <c r="O474" s="45" t="str">
        <f>IF(ISERROR(
PEq!$G$20*PG!G475),"",PEq!$G$20*PG!G475)</f>
        <v/>
      </c>
      <c r="P474" s="18">
        <f>IF(ISERROR(
PG!E475*G474),"",PG!E475*G474)</f>
        <v>0</v>
      </c>
      <c r="Q474" s="18">
        <f>IF(ISERROR(
PG!E475*D474),"",PG!E475*D474)</f>
        <v>0</v>
      </c>
    </row>
    <row r="475" spans="3:17" ht="30" customHeight="1" thickBot="1" x14ac:dyDescent="0.25">
      <c r="C475" s="83">
        <f>PG!C476</f>
        <v>0</v>
      </c>
      <c r="D475" s="23"/>
      <c r="E475" s="27"/>
      <c r="F475" s="27"/>
      <c r="G475" s="23"/>
      <c r="H475" s="62">
        <f>D475+PG!D476*(E475+F475)+G475</f>
        <v>0</v>
      </c>
      <c r="J475" s="18" t="str">
        <f>IF(ISERROR(
PG!F476*E475),"",PG!F476*E475)</f>
        <v/>
      </c>
      <c r="K475" s="18" t="str">
        <f>IF(ISERROR(
PG!F476*F475),"",PG!F476*F475)</f>
        <v/>
      </c>
      <c r="L475" s="18">
        <f>IF(ISERROR(
PG!D476-H475),"",PG!D476-H475)</f>
        <v>0</v>
      </c>
      <c r="M475" s="33" t="str">
        <f>IF(ISERROR(
L475/PG!D476),"",L475/PG!D476)</f>
        <v/>
      </c>
      <c r="N475" s="18" t="str">
        <f>IF(ISERROR(
(O475*PG!D476)),"",(O475*PG!D476))</f>
        <v/>
      </c>
      <c r="O475" s="45" t="str">
        <f>IF(ISERROR(
PEq!$G$20*PG!G476),"",PEq!$G$20*PG!G476)</f>
        <v/>
      </c>
      <c r="P475" s="18">
        <f>IF(ISERROR(
PG!E476*G475),"",PG!E476*G475)</f>
        <v>0</v>
      </c>
      <c r="Q475" s="18">
        <f>IF(ISERROR(
PG!E476*D475),"",PG!E476*D475)</f>
        <v>0</v>
      </c>
    </row>
    <row r="476" spans="3:17" ht="30" customHeight="1" thickBot="1" x14ac:dyDescent="0.25">
      <c r="C476" s="83">
        <f>PG!C477</f>
        <v>0</v>
      </c>
      <c r="D476" s="23"/>
      <c r="E476" s="27"/>
      <c r="F476" s="27"/>
      <c r="G476" s="23"/>
      <c r="H476" s="62">
        <f>D476+PG!D477*(E476+F476)+G476</f>
        <v>0</v>
      </c>
      <c r="J476" s="18" t="str">
        <f>IF(ISERROR(
PG!F477*E476),"",PG!F477*E476)</f>
        <v/>
      </c>
      <c r="K476" s="18" t="str">
        <f>IF(ISERROR(
PG!F477*F476),"",PG!F477*F476)</f>
        <v/>
      </c>
      <c r="L476" s="18">
        <f>IF(ISERROR(
PG!D477-H476),"",PG!D477-H476)</f>
        <v>0</v>
      </c>
      <c r="M476" s="33" t="str">
        <f>IF(ISERROR(
L476/PG!D477),"",L476/PG!D477)</f>
        <v/>
      </c>
      <c r="N476" s="18" t="str">
        <f>IF(ISERROR(
(O476*PG!D477)),"",(O476*PG!D477))</f>
        <v/>
      </c>
      <c r="O476" s="45" t="str">
        <f>IF(ISERROR(
PEq!$G$20*PG!G477),"",PEq!$G$20*PG!G477)</f>
        <v/>
      </c>
      <c r="P476" s="18">
        <f>IF(ISERROR(
PG!E477*G476),"",PG!E477*G476)</f>
        <v>0</v>
      </c>
      <c r="Q476" s="18">
        <f>IF(ISERROR(
PG!E477*D476),"",PG!E477*D476)</f>
        <v>0</v>
      </c>
    </row>
    <row r="477" spans="3:17" ht="30" customHeight="1" thickBot="1" x14ac:dyDescent="0.25">
      <c r="C477" s="83">
        <f>PG!C478</f>
        <v>0</v>
      </c>
      <c r="D477" s="23"/>
      <c r="E477" s="27"/>
      <c r="F477" s="27"/>
      <c r="G477" s="23"/>
      <c r="H477" s="62">
        <f>D477+PG!D478*(E477+F477)+G477</f>
        <v>0</v>
      </c>
      <c r="J477" s="18" t="str">
        <f>IF(ISERROR(
PG!F478*E477),"",PG!F478*E477)</f>
        <v/>
      </c>
      <c r="K477" s="18" t="str">
        <f>IF(ISERROR(
PG!F478*F477),"",PG!F478*F477)</f>
        <v/>
      </c>
      <c r="L477" s="18">
        <f>IF(ISERROR(
PG!D478-H477),"",PG!D478-H477)</f>
        <v>0</v>
      </c>
      <c r="M477" s="33" t="str">
        <f>IF(ISERROR(
L477/PG!D478),"",L477/PG!D478)</f>
        <v/>
      </c>
      <c r="N477" s="18" t="str">
        <f>IF(ISERROR(
(O477*PG!D478)),"",(O477*PG!D478))</f>
        <v/>
      </c>
      <c r="O477" s="45" t="str">
        <f>IF(ISERROR(
PEq!$G$20*PG!G478),"",PEq!$G$20*PG!G478)</f>
        <v/>
      </c>
      <c r="P477" s="18">
        <f>IF(ISERROR(
PG!E478*G477),"",PG!E478*G477)</f>
        <v>0</v>
      </c>
      <c r="Q477" s="18">
        <f>IF(ISERROR(
PG!E478*D477),"",PG!E478*D477)</f>
        <v>0</v>
      </c>
    </row>
    <row r="478" spans="3:17" ht="30" customHeight="1" thickBot="1" x14ac:dyDescent="0.25">
      <c r="C478" s="83">
        <f>PG!C479</f>
        <v>0</v>
      </c>
      <c r="D478" s="23"/>
      <c r="E478" s="27"/>
      <c r="F478" s="27"/>
      <c r="G478" s="23"/>
      <c r="H478" s="62">
        <f>D478+PG!D479*(E478+F478)+G478</f>
        <v>0</v>
      </c>
      <c r="J478" s="18" t="str">
        <f>IF(ISERROR(
PG!F479*E478),"",PG!F479*E478)</f>
        <v/>
      </c>
      <c r="K478" s="18" t="str">
        <f>IF(ISERROR(
PG!F479*F478),"",PG!F479*F478)</f>
        <v/>
      </c>
      <c r="L478" s="18">
        <f>IF(ISERROR(
PG!D479-H478),"",PG!D479-H478)</f>
        <v>0</v>
      </c>
      <c r="M478" s="33" t="str">
        <f>IF(ISERROR(
L478/PG!D479),"",L478/PG!D479)</f>
        <v/>
      </c>
      <c r="N478" s="18" t="str">
        <f>IF(ISERROR(
(O478*PG!D479)),"",(O478*PG!D479))</f>
        <v/>
      </c>
      <c r="O478" s="45" t="str">
        <f>IF(ISERROR(
PEq!$G$20*PG!G479),"",PEq!$G$20*PG!G479)</f>
        <v/>
      </c>
      <c r="P478" s="18">
        <f>IF(ISERROR(
PG!E479*G478),"",PG!E479*G478)</f>
        <v>0</v>
      </c>
      <c r="Q478" s="18">
        <f>IF(ISERROR(
PG!E479*D478),"",PG!E479*D478)</f>
        <v>0</v>
      </c>
    </row>
    <row r="479" spans="3:17" ht="30" customHeight="1" thickBot="1" x14ac:dyDescent="0.25">
      <c r="C479" s="83">
        <f>PG!C480</f>
        <v>0</v>
      </c>
      <c r="D479" s="23"/>
      <c r="E479" s="27"/>
      <c r="F479" s="27"/>
      <c r="G479" s="23"/>
      <c r="H479" s="62">
        <f>D479+PG!D480*(E479+F479)+G479</f>
        <v>0</v>
      </c>
      <c r="J479" s="18" t="str">
        <f>IF(ISERROR(
PG!F480*E479),"",PG!F480*E479)</f>
        <v/>
      </c>
      <c r="K479" s="18" t="str">
        <f>IF(ISERROR(
PG!F480*F479),"",PG!F480*F479)</f>
        <v/>
      </c>
      <c r="L479" s="18">
        <f>IF(ISERROR(
PG!D480-H479),"",PG!D480-H479)</f>
        <v>0</v>
      </c>
      <c r="M479" s="33" t="str">
        <f>IF(ISERROR(
L479/PG!D480),"",L479/PG!D480)</f>
        <v/>
      </c>
      <c r="N479" s="18" t="str">
        <f>IF(ISERROR(
(O479*PG!D480)),"",(O479*PG!D480))</f>
        <v/>
      </c>
      <c r="O479" s="45" t="str">
        <f>IF(ISERROR(
PEq!$G$20*PG!G480),"",PEq!$G$20*PG!G480)</f>
        <v/>
      </c>
      <c r="P479" s="18">
        <f>IF(ISERROR(
PG!E480*G479),"",PG!E480*G479)</f>
        <v>0</v>
      </c>
      <c r="Q479" s="18">
        <f>IF(ISERROR(
PG!E480*D479),"",PG!E480*D479)</f>
        <v>0</v>
      </c>
    </row>
    <row r="480" spans="3:17" ht="30" customHeight="1" thickBot="1" x14ac:dyDescent="0.25">
      <c r="C480" s="83">
        <f>PG!C481</f>
        <v>0</v>
      </c>
      <c r="D480" s="23"/>
      <c r="E480" s="27"/>
      <c r="F480" s="27"/>
      <c r="G480" s="23"/>
      <c r="H480" s="62">
        <f>D480+PG!D481*(E480+F480)+G480</f>
        <v>0</v>
      </c>
      <c r="J480" s="18" t="str">
        <f>IF(ISERROR(
PG!F481*E480),"",PG!F481*E480)</f>
        <v/>
      </c>
      <c r="K480" s="18" t="str">
        <f>IF(ISERROR(
PG!F481*F480),"",PG!F481*F480)</f>
        <v/>
      </c>
      <c r="L480" s="18">
        <f>IF(ISERROR(
PG!D481-H480),"",PG!D481-H480)</f>
        <v>0</v>
      </c>
      <c r="M480" s="33" t="str">
        <f>IF(ISERROR(
L480/PG!D481),"",L480/PG!D481)</f>
        <v/>
      </c>
      <c r="N480" s="18" t="str">
        <f>IF(ISERROR(
(O480*PG!D481)),"",(O480*PG!D481))</f>
        <v/>
      </c>
      <c r="O480" s="45" t="str">
        <f>IF(ISERROR(
PEq!$G$20*PG!G481),"",PEq!$G$20*PG!G481)</f>
        <v/>
      </c>
      <c r="P480" s="18">
        <f>IF(ISERROR(
PG!E481*G480),"",PG!E481*G480)</f>
        <v>0</v>
      </c>
      <c r="Q480" s="18">
        <f>IF(ISERROR(
PG!E481*D480),"",PG!E481*D480)</f>
        <v>0</v>
      </c>
    </row>
    <row r="481" spans="3:17" ht="30" customHeight="1" thickBot="1" x14ac:dyDescent="0.25">
      <c r="C481" s="83">
        <f>PG!C482</f>
        <v>0</v>
      </c>
      <c r="D481" s="23"/>
      <c r="E481" s="27"/>
      <c r="F481" s="27"/>
      <c r="G481" s="23"/>
      <c r="H481" s="62">
        <f>D481+PG!D482*(E481+F481)+G481</f>
        <v>0</v>
      </c>
      <c r="J481" s="18" t="str">
        <f>IF(ISERROR(
PG!F482*E481),"",PG!F482*E481)</f>
        <v/>
      </c>
      <c r="K481" s="18" t="str">
        <f>IF(ISERROR(
PG!F482*F481),"",PG!F482*F481)</f>
        <v/>
      </c>
      <c r="L481" s="18">
        <f>IF(ISERROR(
PG!D482-H481),"",PG!D482-H481)</f>
        <v>0</v>
      </c>
      <c r="M481" s="33" t="str">
        <f>IF(ISERROR(
L481/PG!D482),"",L481/PG!D482)</f>
        <v/>
      </c>
      <c r="N481" s="18" t="str">
        <f>IF(ISERROR(
(O481*PG!D482)),"",(O481*PG!D482))</f>
        <v/>
      </c>
      <c r="O481" s="45" t="str">
        <f>IF(ISERROR(
PEq!$G$20*PG!G482),"",PEq!$G$20*PG!G482)</f>
        <v/>
      </c>
      <c r="P481" s="18">
        <f>IF(ISERROR(
PG!E482*G481),"",PG!E482*G481)</f>
        <v>0</v>
      </c>
      <c r="Q481" s="18">
        <f>IF(ISERROR(
PG!E482*D481),"",PG!E482*D481)</f>
        <v>0</v>
      </c>
    </row>
    <row r="482" spans="3:17" ht="30" customHeight="1" thickBot="1" x14ac:dyDescent="0.25">
      <c r="C482" s="83">
        <f>PG!C483</f>
        <v>0</v>
      </c>
      <c r="D482" s="23"/>
      <c r="E482" s="27"/>
      <c r="F482" s="27"/>
      <c r="G482" s="23"/>
      <c r="H482" s="62">
        <f>D482+PG!D483*(E482+F482)+G482</f>
        <v>0</v>
      </c>
      <c r="J482" s="18" t="str">
        <f>IF(ISERROR(
PG!F483*E482),"",PG!F483*E482)</f>
        <v/>
      </c>
      <c r="K482" s="18" t="str">
        <f>IF(ISERROR(
PG!F483*F482),"",PG!F483*F482)</f>
        <v/>
      </c>
      <c r="L482" s="18">
        <f>IF(ISERROR(
PG!D483-H482),"",PG!D483-H482)</f>
        <v>0</v>
      </c>
      <c r="M482" s="33" t="str">
        <f>IF(ISERROR(
L482/PG!D483),"",L482/PG!D483)</f>
        <v/>
      </c>
      <c r="N482" s="18" t="str">
        <f>IF(ISERROR(
(O482*PG!D483)),"",(O482*PG!D483))</f>
        <v/>
      </c>
      <c r="O482" s="45" t="str">
        <f>IF(ISERROR(
PEq!$G$20*PG!G483),"",PEq!$G$20*PG!G483)</f>
        <v/>
      </c>
      <c r="P482" s="18">
        <f>IF(ISERROR(
PG!E483*G482),"",PG!E483*G482)</f>
        <v>0</v>
      </c>
      <c r="Q482" s="18">
        <f>IF(ISERROR(
PG!E483*D482),"",PG!E483*D482)</f>
        <v>0</v>
      </c>
    </row>
    <row r="483" spans="3:17" ht="30" customHeight="1" thickBot="1" x14ac:dyDescent="0.25">
      <c r="C483" s="83">
        <f>PG!C484</f>
        <v>0</v>
      </c>
      <c r="D483" s="23"/>
      <c r="E483" s="27"/>
      <c r="F483" s="27"/>
      <c r="G483" s="23"/>
      <c r="H483" s="62">
        <f>D483+PG!D484*(E483+F483)+G483</f>
        <v>0</v>
      </c>
      <c r="J483" s="18" t="str">
        <f>IF(ISERROR(
PG!F484*E483),"",PG!F484*E483)</f>
        <v/>
      </c>
      <c r="K483" s="18" t="str">
        <f>IF(ISERROR(
PG!F484*F483),"",PG!F484*F483)</f>
        <v/>
      </c>
      <c r="L483" s="18">
        <f>IF(ISERROR(
PG!D484-H483),"",PG!D484-H483)</f>
        <v>0</v>
      </c>
      <c r="M483" s="33" t="str">
        <f>IF(ISERROR(
L483/PG!D484),"",L483/PG!D484)</f>
        <v/>
      </c>
      <c r="N483" s="18" t="str">
        <f>IF(ISERROR(
(O483*PG!D484)),"",(O483*PG!D484))</f>
        <v/>
      </c>
      <c r="O483" s="45" t="str">
        <f>IF(ISERROR(
PEq!$G$20*PG!G484),"",PEq!$G$20*PG!G484)</f>
        <v/>
      </c>
      <c r="P483" s="18">
        <f>IF(ISERROR(
PG!E484*G483),"",PG!E484*G483)</f>
        <v>0</v>
      </c>
      <c r="Q483" s="18">
        <f>IF(ISERROR(
PG!E484*D483),"",PG!E484*D483)</f>
        <v>0</v>
      </c>
    </row>
    <row r="484" spans="3:17" ht="30" customHeight="1" thickBot="1" x14ac:dyDescent="0.25">
      <c r="C484" s="83">
        <f>PG!C485</f>
        <v>0</v>
      </c>
      <c r="D484" s="23"/>
      <c r="E484" s="27"/>
      <c r="F484" s="27"/>
      <c r="G484" s="23"/>
      <c r="H484" s="62">
        <f>D484+PG!D485*(E484+F484)+G484</f>
        <v>0</v>
      </c>
      <c r="J484" s="18" t="str">
        <f>IF(ISERROR(
PG!F485*E484),"",PG!F485*E484)</f>
        <v/>
      </c>
      <c r="K484" s="18" t="str">
        <f>IF(ISERROR(
PG!F485*F484),"",PG!F485*F484)</f>
        <v/>
      </c>
      <c r="L484" s="18">
        <f>IF(ISERROR(
PG!D485-H484),"",PG!D485-H484)</f>
        <v>0</v>
      </c>
      <c r="M484" s="33" t="str">
        <f>IF(ISERROR(
L484/PG!D485),"",L484/PG!D485)</f>
        <v/>
      </c>
      <c r="N484" s="18" t="str">
        <f>IF(ISERROR(
(O484*PG!D485)),"",(O484*PG!D485))</f>
        <v/>
      </c>
      <c r="O484" s="45" t="str">
        <f>IF(ISERROR(
PEq!$G$20*PG!G485),"",PEq!$G$20*PG!G485)</f>
        <v/>
      </c>
      <c r="P484" s="18">
        <f>IF(ISERROR(
PG!E485*G484),"",PG!E485*G484)</f>
        <v>0</v>
      </c>
      <c r="Q484" s="18">
        <f>IF(ISERROR(
PG!E485*D484),"",PG!E485*D484)</f>
        <v>0</v>
      </c>
    </row>
    <row r="485" spans="3:17" ht="30" customHeight="1" thickBot="1" x14ac:dyDescent="0.25">
      <c r="C485" s="83">
        <f>PG!C486</f>
        <v>0</v>
      </c>
      <c r="D485" s="23"/>
      <c r="E485" s="27"/>
      <c r="F485" s="27"/>
      <c r="G485" s="23"/>
      <c r="H485" s="62">
        <f>D485+PG!D486*(E485+F485)+G485</f>
        <v>0</v>
      </c>
      <c r="J485" s="18" t="str">
        <f>IF(ISERROR(
PG!F486*E485),"",PG!F486*E485)</f>
        <v/>
      </c>
      <c r="K485" s="18" t="str">
        <f>IF(ISERROR(
PG!F486*F485),"",PG!F486*F485)</f>
        <v/>
      </c>
      <c r="L485" s="18">
        <f>IF(ISERROR(
PG!D486-H485),"",PG!D486-H485)</f>
        <v>0</v>
      </c>
      <c r="M485" s="33" t="str">
        <f>IF(ISERROR(
L485/PG!D486),"",L485/PG!D486)</f>
        <v/>
      </c>
      <c r="N485" s="18" t="str">
        <f>IF(ISERROR(
(O485*PG!D486)),"",(O485*PG!D486))</f>
        <v/>
      </c>
      <c r="O485" s="45" t="str">
        <f>IF(ISERROR(
PEq!$G$20*PG!G486),"",PEq!$G$20*PG!G486)</f>
        <v/>
      </c>
      <c r="P485" s="18">
        <f>IF(ISERROR(
PG!E486*G485),"",PG!E486*G485)</f>
        <v>0</v>
      </c>
      <c r="Q485" s="18">
        <f>IF(ISERROR(
PG!E486*D485),"",PG!E486*D485)</f>
        <v>0</v>
      </c>
    </row>
    <row r="486" spans="3:17" ht="30" customHeight="1" thickBot="1" x14ac:dyDescent="0.25">
      <c r="C486" s="83">
        <f>PG!C487</f>
        <v>0</v>
      </c>
      <c r="D486" s="23"/>
      <c r="E486" s="27"/>
      <c r="F486" s="27"/>
      <c r="G486" s="23"/>
      <c r="H486" s="62">
        <f>D486+PG!D487*(E486+F486)+G486</f>
        <v>0</v>
      </c>
      <c r="J486" s="18" t="str">
        <f>IF(ISERROR(
PG!F487*E486),"",PG!F487*E486)</f>
        <v/>
      </c>
      <c r="K486" s="18" t="str">
        <f>IF(ISERROR(
PG!F487*F486),"",PG!F487*F486)</f>
        <v/>
      </c>
      <c r="L486" s="18">
        <f>IF(ISERROR(
PG!D487-H486),"",PG!D487-H486)</f>
        <v>0</v>
      </c>
      <c r="M486" s="33" t="str">
        <f>IF(ISERROR(
L486/PG!D487),"",L486/PG!D487)</f>
        <v/>
      </c>
      <c r="N486" s="18" t="str">
        <f>IF(ISERROR(
(O486*PG!D487)),"",(O486*PG!D487))</f>
        <v/>
      </c>
      <c r="O486" s="45" t="str">
        <f>IF(ISERROR(
PEq!$G$20*PG!G487),"",PEq!$G$20*PG!G487)</f>
        <v/>
      </c>
      <c r="P486" s="18">
        <f>IF(ISERROR(
PG!E487*G486),"",PG!E487*G486)</f>
        <v>0</v>
      </c>
      <c r="Q486" s="18">
        <f>IF(ISERROR(
PG!E487*D486),"",PG!E487*D486)</f>
        <v>0</v>
      </c>
    </row>
    <row r="487" spans="3:17" ht="30" customHeight="1" thickBot="1" x14ac:dyDescent="0.25">
      <c r="C487" s="83">
        <f>PG!C488</f>
        <v>0</v>
      </c>
      <c r="D487" s="23"/>
      <c r="E487" s="27"/>
      <c r="F487" s="27"/>
      <c r="G487" s="23"/>
      <c r="H487" s="62">
        <f>D487+PG!D488*(E487+F487)+G487</f>
        <v>0</v>
      </c>
      <c r="J487" s="18" t="str">
        <f>IF(ISERROR(
PG!F488*E487),"",PG!F488*E487)</f>
        <v/>
      </c>
      <c r="K487" s="18" t="str">
        <f>IF(ISERROR(
PG!F488*F487),"",PG!F488*F487)</f>
        <v/>
      </c>
      <c r="L487" s="18">
        <f>IF(ISERROR(
PG!D488-H487),"",PG!D488-H487)</f>
        <v>0</v>
      </c>
      <c r="M487" s="33" t="str">
        <f>IF(ISERROR(
L487/PG!D488),"",L487/PG!D488)</f>
        <v/>
      </c>
      <c r="N487" s="18" t="str">
        <f>IF(ISERROR(
(O487*PG!D488)),"",(O487*PG!D488))</f>
        <v/>
      </c>
      <c r="O487" s="45" t="str">
        <f>IF(ISERROR(
PEq!$G$20*PG!G488),"",PEq!$G$20*PG!G488)</f>
        <v/>
      </c>
      <c r="P487" s="18">
        <f>IF(ISERROR(
PG!E488*G487),"",PG!E488*G487)</f>
        <v>0</v>
      </c>
      <c r="Q487" s="18">
        <f>IF(ISERROR(
PG!E488*D487),"",PG!E488*D487)</f>
        <v>0</v>
      </c>
    </row>
    <row r="488" spans="3:17" ht="30" customHeight="1" thickBot="1" x14ac:dyDescent="0.25">
      <c r="C488" s="83">
        <f>PG!C489</f>
        <v>0</v>
      </c>
      <c r="D488" s="23"/>
      <c r="E488" s="27"/>
      <c r="F488" s="27"/>
      <c r="G488" s="23"/>
      <c r="H488" s="62">
        <f>D488+PG!D489*(E488+F488)+G488</f>
        <v>0</v>
      </c>
      <c r="J488" s="18" t="str">
        <f>IF(ISERROR(
PG!F489*E488),"",PG!F489*E488)</f>
        <v/>
      </c>
      <c r="K488" s="18" t="str">
        <f>IF(ISERROR(
PG!F489*F488),"",PG!F489*F488)</f>
        <v/>
      </c>
      <c r="L488" s="18">
        <f>IF(ISERROR(
PG!D489-H488),"",PG!D489-H488)</f>
        <v>0</v>
      </c>
      <c r="M488" s="33" t="str">
        <f>IF(ISERROR(
L488/PG!D489),"",L488/PG!D489)</f>
        <v/>
      </c>
      <c r="N488" s="18" t="str">
        <f>IF(ISERROR(
(O488*PG!D489)),"",(O488*PG!D489))</f>
        <v/>
      </c>
      <c r="O488" s="45" t="str">
        <f>IF(ISERROR(
PEq!$G$20*PG!G489),"",PEq!$G$20*PG!G489)</f>
        <v/>
      </c>
      <c r="P488" s="18">
        <f>IF(ISERROR(
PG!E489*G488),"",PG!E489*G488)</f>
        <v>0</v>
      </c>
      <c r="Q488" s="18">
        <f>IF(ISERROR(
PG!E489*D488),"",PG!E489*D488)</f>
        <v>0</v>
      </c>
    </row>
    <row r="489" spans="3:17" ht="30" customHeight="1" thickBot="1" x14ac:dyDescent="0.25">
      <c r="C489" s="83">
        <f>PG!C490</f>
        <v>0</v>
      </c>
      <c r="D489" s="23"/>
      <c r="E489" s="27"/>
      <c r="F489" s="27"/>
      <c r="G489" s="23"/>
      <c r="H489" s="62">
        <f>D489+PG!D490*(E489+F489)+G489</f>
        <v>0</v>
      </c>
      <c r="J489" s="18" t="str">
        <f>IF(ISERROR(
PG!F490*E489),"",PG!F490*E489)</f>
        <v/>
      </c>
      <c r="K489" s="18" t="str">
        <f>IF(ISERROR(
PG!F490*F489),"",PG!F490*F489)</f>
        <v/>
      </c>
      <c r="L489" s="18">
        <f>IF(ISERROR(
PG!D490-H489),"",PG!D490-H489)</f>
        <v>0</v>
      </c>
      <c r="M489" s="33" t="str">
        <f>IF(ISERROR(
L489/PG!D490),"",L489/PG!D490)</f>
        <v/>
      </c>
      <c r="N489" s="18" t="str">
        <f>IF(ISERROR(
(O489*PG!D490)),"",(O489*PG!D490))</f>
        <v/>
      </c>
      <c r="O489" s="45" t="str">
        <f>IF(ISERROR(
PEq!$G$20*PG!G490),"",PEq!$G$20*PG!G490)</f>
        <v/>
      </c>
      <c r="P489" s="18">
        <f>IF(ISERROR(
PG!E490*G489),"",PG!E490*G489)</f>
        <v>0</v>
      </c>
      <c r="Q489" s="18">
        <f>IF(ISERROR(
PG!E490*D489),"",PG!E490*D489)</f>
        <v>0</v>
      </c>
    </row>
    <row r="490" spans="3:17" ht="30" customHeight="1" thickBot="1" x14ac:dyDescent="0.25">
      <c r="C490" s="83">
        <f>PG!C491</f>
        <v>0</v>
      </c>
      <c r="D490" s="23"/>
      <c r="E490" s="27"/>
      <c r="F490" s="27"/>
      <c r="G490" s="23"/>
      <c r="H490" s="62">
        <f>D490+PG!D491*(E490+F490)+G490</f>
        <v>0</v>
      </c>
      <c r="J490" s="18" t="str">
        <f>IF(ISERROR(
PG!F491*E490),"",PG!F491*E490)</f>
        <v/>
      </c>
      <c r="K490" s="18" t="str">
        <f>IF(ISERROR(
PG!F491*F490),"",PG!F491*F490)</f>
        <v/>
      </c>
      <c r="L490" s="18">
        <f>IF(ISERROR(
PG!D491-H490),"",PG!D491-H490)</f>
        <v>0</v>
      </c>
      <c r="M490" s="33" t="str">
        <f>IF(ISERROR(
L490/PG!D491),"",L490/PG!D491)</f>
        <v/>
      </c>
      <c r="N490" s="18" t="str">
        <f>IF(ISERROR(
(O490*PG!D491)),"",(O490*PG!D491))</f>
        <v/>
      </c>
      <c r="O490" s="45" t="str">
        <f>IF(ISERROR(
PEq!$G$20*PG!G491),"",PEq!$G$20*PG!G491)</f>
        <v/>
      </c>
      <c r="P490" s="18">
        <f>IF(ISERROR(
PG!E491*G490),"",PG!E491*G490)</f>
        <v>0</v>
      </c>
      <c r="Q490" s="18">
        <f>IF(ISERROR(
PG!E491*D490),"",PG!E491*D490)</f>
        <v>0</v>
      </c>
    </row>
    <row r="491" spans="3:17" ht="30" customHeight="1" thickBot="1" x14ac:dyDescent="0.25">
      <c r="C491" s="83">
        <f>PG!C492</f>
        <v>0</v>
      </c>
      <c r="D491" s="23"/>
      <c r="E491" s="27"/>
      <c r="F491" s="27"/>
      <c r="G491" s="23"/>
      <c r="H491" s="62">
        <f>D491+PG!D492*(E491+F491)+G491</f>
        <v>0</v>
      </c>
      <c r="J491" s="18" t="str">
        <f>IF(ISERROR(
PG!F492*E491),"",PG!F492*E491)</f>
        <v/>
      </c>
      <c r="K491" s="18" t="str">
        <f>IF(ISERROR(
PG!F492*F491),"",PG!F492*F491)</f>
        <v/>
      </c>
      <c r="L491" s="18">
        <f>IF(ISERROR(
PG!D492-H491),"",PG!D492-H491)</f>
        <v>0</v>
      </c>
      <c r="M491" s="33" t="str">
        <f>IF(ISERROR(
L491/PG!D492),"",L491/PG!D492)</f>
        <v/>
      </c>
      <c r="N491" s="18" t="str">
        <f>IF(ISERROR(
(O491*PG!D492)),"",(O491*PG!D492))</f>
        <v/>
      </c>
      <c r="O491" s="45" t="str">
        <f>IF(ISERROR(
PEq!$G$20*PG!G492),"",PEq!$G$20*PG!G492)</f>
        <v/>
      </c>
      <c r="P491" s="18">
        <f>IF(ISERROR(
PG!E492*G491),"",PG!E492*G491)</f>
        <v>0</v>
      </c>
      <c r="Q491" s="18">
        <f>IF(ISERROR(
PG!E492*D491),"",PG!E492*D491)</f>
        <v>0</v>
      </c>
    </row>
    <row r="492" spans="3:17" ht="30" customHeight="1" thickBot="1" x14ac:dyDescent="0.25">
      <c r="C492" s="83">
        <f>PG!C493</f>
        <v>0</v>
      </c>
      <c r="D492" s="23"/>
      <c r="E492" s="27"/>
      <c r="F492" s="27"/>
      <c r="G492" s="23"/>
      <c r="H492" s="62">
        <f>D492+PG!D493*(E492+F492)+G492</f>
        <v>0</v>
      </c>
      <c r="J492" s="18" t="str">
        <f>IF(ISERROR(
PG!F493*E492),"",PG!F493*E492)</f>
        <v/>
      </c>
      <c r="K492" s="18" t="str">
        <f>IF(ISERROR(
PG!F493*F492),"",PG!F493*F492)</f>
        <v/>
      </c>
      <c r="L492" s="18">
        <f>IF(ISERROR(
PG!D493-H492),"",PG!D493-H492)</f>
        <v>0</v>
      </c>
      <c r="M492" s="33" t="str">
        <f>IF(ISERROR(
L492/PG!D493),"",L492/PG!D493)</f>
        <v/>
      </c>
      <c r="N492" s="18" t="str">
        <f>IF(ISERROR(
(O492*PG!D493)),"",(O492*PG!D493))</f>
        <v/>
      </c>
      <c r="O492" s="45" t="str">
        <f>IF(ISERROR(
PEq!$G$20*PG!G493),"",PEq!$G$20*PG!G493)</f>
        <v/>
      </c>
      <c r="P492" s="18">
        <f>IF(ISERROR(
PG!E493*G492),"",PG!E493*G492)</f>
        <v>0</v>
      </c>
      <c r="Q492" s="18">
        <f>IF(ISERROR(
PG!E493*D492),"",PG!E493*D492)</f>
        <v>0</v>
      </c>
    </row>
    <row r="493" spans="3:17" ht="30" customHeight="1" thickBot="1" x14ac:dyDescent="0.25">
      <c r="C493" s="83">
        <f>PG!C494</f>
        <v>0</v>
      </c>
      <c r="D493" s="23"/>
      <c r="E493" s="27"/>
      <c r="F493" s="27"/>
      <c r="G493" s="23"/>
      <c r="H493" s="62">
        <f>D493+PG!D494*(E493+F493)+G493</f>
        <v>0</v>
      </c>
      <c r="J493" s="18" t="str">
        <f>IF(ISERROR(
PG!F494*E493),"",PG!F494*E493)</f>
        <v/>
      </c>
      <c r="K493" s="18" t="str">
        <f>IF(ISERROR(
PG!F494*F493),"",PG!F494*F493)</f>
        <v/>
      </c>
      <c r="L493" s="18">
        <f>IF(ISERROR(
PG!D494-H493),"",PG!D494-H493)</f>
        <v>0</v>
      </c>
      <c r="M493" s="33" t="str">
        <f>IF(ISERROR(
L493/PG!D494),"",L493/PG!D494)</f>
        <v/>
      </c>
      <c r="N493" s="18" t="str">
        <f>IF(ISERROR(
(O493*PG!D494)),"",(O493*PG!D494))</f>
        <v/>
      </c>
      <c r="O493" s="45" t="str">
        <f>IF(ISERROR(
PEq!$G$20*PG!G494),"",PEq!$G$20*PG!G494)</f>
        <v/>
      </c>
      <c r="P493" s="18">
        <f>IF(ISERROR(
PG!E494*G493),"",PG!E494*G493)</f>
        <v>0</v>
      </c>
      <c r="Q493" s="18">
        <f>IF(ISERROR(
PG!E494*D493),"",PG!E494*D493)</f>
        <v>0</v>
      </c>
    </row>
    <row r="494" spans="3:17" ht="30" customHeight="1" thickBot="1" x14ac:dyDescent="0.25">
      <c r="C494" s="83">
        <f>PG!C495</f>
        <v>0</v>
      </c>
      <c r="D494" s="23"/>
      <c r="E494" s="27"/>
      <c r="F494" s="27"/>
      <c r="G494" s="23"/>
      <c r="H494" s="62">
        <f>D494+PG!D495*(E494+F494)+G494</f>
        <v>0</v>
      </c>
      <c r="J494" s="18" t="str">
        <f>IF(ISERROR(
PG!F495*E494),"",PG!F495*E494)</f>
        <v/>
      </c>
      <c r="K494" s="18" t="str">
        <f>IF(ISERROR(
PG!F495*F494),"",PG!F495*F494)</f>
        <v/>
      </c>
      <c r="L494" s="18">
        <f>IF(ISERROR(
PG!D495-H494),"",PG!D495-H494)</f>
        <v>0</v>
      </c>
      <c r="M494" s="33" t="str">
        <f>IF(ISERROR(
L494/PG!D495),"",L494/PG!D495)</f>
        <v/>
      </c>
      <c r="N494" s="18" t="str">
        <f>IF(ISERROR(
(O494*PG!D495)),"",(O494*PG!D495))</f>
        <v/>
      </c>
      <c r="O494" s="45" t="str">
        <f>IF(ISERROR(
PEq!$G$20*PG!G495),"",PEq!$G$20*PG!G495)</f>
        <v/>
      </c>
      <c r="P494" s="18">
        <f>IF(ISERROR(
PG!E495*G494),"",PG!E495*G494)</f>
        <v>0</v>
      </c>
      <c r="Q494" s="18">
        <f>IF(ISERROR(
PG!E495*D494),"",PG!E495*D494)</f>
        <v>0</v>
      </c>
    </row>
    <row r="495" spans="3:17" ht="30" customHeight="1" thickBot="1" x14ac:dyDescent="0.25">
      <c r="C495" s="83">
        <f>PG!C496</f>
        <v>0</v>
      </c>
      <c r="D495" s="23"/>
      <c r="E495" s="27"/>
      <c r="F495" s="27"/>
      <c r="G495" s="23"/>
      <c r="H495" s="62">
        <f>D495+PG!D496*(E495+F495)+G495</f>
        <v>0</v>
      </c>
      <c r="J495" s="18" t="str">
        <f>IF(ISERROR(
PG!F496*E495),"",PG!F496*E495)</f>
        <v/>
      </c>
      <c r="K495" s="18" t="str">
        <f>IF(ISERROR(
PG!F496*F495),"",PG!F496*F495)</f>
        <v/>
      </c>
      <c r="L495" s="18">
        <f>IF(ISERROR(
PG!D496-H495),"",PG!D496-H495)</f>
        <v>0</v>
      </c>
      <c r="M495" s="33" t="str">
        <f>IF(ISERROR(
L495/PG!D496),"",L495/PG!D496)</f>
        <v/>
      </c>
      <c r="N495" s="18" t="str">
        <f>IF(ISERROR(
(O495*PG!D496)),"",(O495*PG!D496))</f>
        <v/>
      </c>
      <c r="O495" s="45" t="str">
        <f>IF(ISERROR(
PEq!$G$20*PG!G496),"",PEq!$G$20*PG!G496)</f>
        <v/>
      </c>
      <c r="P495" s="18">
        <f>IF(ISERROR(
PG!E496*G495),"",PG!E496*G495)</f>
        <v>0</v>
      </c>
      <c r="Q495" s="18">
        <f>IF(ISERROR(
PG!E496*D495),"",PG!E496*D495)</f>
        <v>0</v>
      </c>
    </row>
    <row r="496" spans="3:17" ht="30" customHeight="1" thickBot="1" x14ac:dyDescent="0.25">
      <c r="C496" s="83">
        <f>PG!C497</f>
        <v>0</v>
      </c>
      <c r="D496" s="23"/>
      <c r="E496" s="27"/>
      <c r="F496" s="27"/>
      <c r="G496" s="23"/>
      <c r="H496" s="62">
        <f>D496+PG!D497*(E496+F496)+G496</f>
        <v>0</v>
      </c>
      <c r="J496" s="18" t="str">
        <f>IF(ISERROR(
PG!F497*E496),"",PG!F497*E496)</f>
        <v/>
      </c>
      <c r="K496" s="18" t="str">
        <f>IF(ISERROR(
PG!F497*F496),"",PG!F497*F496)</f>
        <v/>
      </c>
      <c r="L496" s="18">
        <f>IF(ISERROR(
PG!D497-H496),"",PG!D497-H496)</f>
        <v>0</v>
      </c>
      <c r="M496" s="33" t="str">
        <f>IF(ISERROR(
L496/PG!D497),"",L496/PG!D497)</f>
        <v/>
      </c>
      <c r="N496" s="18" t="str">
        <f>IF(ISERROR(
(O496*PG!D497)),"",(O496*PG!D497))</f>
        <v/>
      </c>
      <c r="O496" s="45" t="str">
        <f>IF(ISERROR(
PEq!$G$20*PG!G497),"",PEq!$G$20*PG!G497)</f>
        <v/>
      </c>
      <c r="P496" s="18">
        <f>IF(ISERROR(
PG!E497*G496),"",PG!E497*G496)</f>
        <v>0</v>
      </c>
      <c r="Q496" s="18">
        <f>IF(ISERROR(
PG!E497*D496),"",PG!E497*D496)</f>
        <v>0</v>
      </c>
    </row>
    <row r="497" spans="3:17" ht="30" customHeight="1" thickBot="1" x14ac:dyDescent="0.25">
      <c r="C497" s="83">
        <f>PG!C498</f>
        <v>0</v>
      </c>
      <c r="D497" s="23"/>
      <c r="E497" s="27"/>
      <c r="F497" s="27"/>
      <c r="G497" s="23"/>
      <c r="H497" s="62">
        <f>D497+PG!D498*(E497+F497)+G497</f>
        <v>0</v>
      </c>
      <c r="J497" s="18" t="str">
        <f>IF(ISERROR(
PG!F498*E497),"",PG!F498*E497)</f>
        <v/>
      </c>
      <c r="K497" s="18" t="str">
        <f>IF(ISERROR(
PG!F498*F497),"",PG!F498*F497)</f>
        <v/>
      </c>
      <c r="L497" s="18">
        <f>IF(ISERROR(
PG!D498-H497),"",PG!D498-H497)</f>
        <v>0</v>
      </c>
      <c r="M497" s="33" t="str">
        <f>IF(ISERROR(
L497/PG!D498),"",L497/PG!D498)</f>
        <v/>
      </c>
      <c r="N497" s="18" t="str">
        <f>IF(ISERROR(
(O497*PG!D498)),"",(O497*PG!D498))</f>
        <v/>
      </c>
      <c r="O497" s="45" t="str">
        <f>IF(ISERROR(
PEq!$G$20*PG!G498),"",PEq!$G$20*PG!G498)</f>
        <v/>
      </c>
      <c r="P497" s="18">
        <f>IF(ISERROR(
PG!E498*G497),"",PG!E498*G497)</f>
        <v>0</v>
      </c>
      <c r="Q497" s="18">
        <f>IF(ISERROR(
PG!E498*D497),"",PG!E498*D497)</f>
        <v>0</v>
      </c>
    </row>
    <row r="498" spans="3:17" ht="30" customHeight="1" thickBot="1" x14ac:dyDescent="0.25">
      <c r="C498" s="83">
        <f>PG!C499</f>
        <v>0</v>
      </c>
      <c r="D498" s="23"/>
      <c r="E498" s="27"/>
      <c r="F498" s="27"/>
      <c r="G498" s="23"/>
      <c r="H498" s="62">
        <f>D498+PG!D499*(E498+F498)+G498</f>
        <v>0</v>
      </c>
      <c r="J498" s="18" t="str">
        <f>IF(ISERROR(
PG!F499*E498),"",PG!F499*E498)</f>
        <v/>
      </c>
      <c r="K498" s="18" t="str">
        <f>IF(ISERROR(
PG!F499*F498),"",PG!F499*F498)</f>
        <v/>
      </c>
      <c r="L498" s="18">
        <f>IF(ISERROR(
PG!D499-H498),"",PG!D499-H498)</f>
        <v>0</v>
      </c>
      <c r="M498" s="33" t="str">
        <f>IF(ISERROR(
L498/PG!D499),"",L498/PG!D499)</f>
        <v/>
      </c>
      <c r="N498" s="18" t="str">
        <f>IF(ISERROR(
(O498*PG!D499)),"",(O498*PG!D499))</f>
        <v/>
      </c>
      <c r="O498" s="45" t="str">
        <f>IF(ISERROR(
PEq!$G$20*PG!G499),"",PEq!$G$20*PG!G499)</f>
        <v/>
      </c>
      <c r="P498" s="18">
        <f>IF(ISERROR(
PG!E499*G498),"",PG!E499*G498)</f>
        <v>0</v>
      </c>
      <c r="Q498" s="18">
        <f>IF(ISERROR(
PG!E499*D498),"",PG!E499*D498)</f>
        <v>0</v>
      </c>
    </row>
    <row r="499" spans="3:17" ht="30" customHeight="1" thickBot="1" x14ac:dyDescent="0.25">
      <c r="C499" s="83">
        <f>PG!C500</f>
        <v>0</v>
      </c>
      <c r="D499" s="23"/>
      <c r="E499" s="27"/>
      <c r="F499" s="27"/>
      <c r="G499" s="23"/>
      <c r="H499" s="62">
        <f>D499+PG!D500*(E499+F499)+G499</f>
        <v>0</v>
      </c>
      <c r="J499" s="18" t="str">
        <f>IF(ISERROR(
PG!F500*E499),"",PG!F500*E499)</f>
        <v/>
      </c>
      <c r="K499" s="18" t="str">
        <f>IF(ISERROR(
PG!F500*F499),"",PG!F500*F499)</f>
        <v/>
      </c>
      <c r="L499" s="18">
        <f>IF(ISERROR(
PG!D500-H499),"",PG!D500-H499)</f>
        <v>0</v>
      </c>
      <c r="M499" s="33" t="str">
        <f>IF(ISERROR(
L499/PG!D500),"",L499/PG!D500)</f>
        <v/>
      </c>
      <c r="N499" s="18" t="str">
        <f>IF(ISERROR(
(O499*PG!D500)),"",(O499*PG!D500))</f>
        <v/>
      </c>
      <c r="O499" s="45" t="str">
        <f>IF(ISERROR(
PEq!$G$20*PG!G500),"",PEq!$G$20*PG!G500)</f>
        <v/>
      </c>
      <c r="P499" s="18">
        <f>IF(ISERROR(
PG!E500*G499),"",PG!E500*G499)</f>
        <v>0</v>
      </c>
      <c r="Q499" s="18">
        <f>IF(ISERROR(
PG!E500*D499),"",PG!E500*D499)</f>
        <v>0</v>
      </c>
    </row>
    <row r="500" spans="3:17" ht="30" customHeight="1" thickBot="1" x14ac:dyDescent="0.25">
      <c r="C500" s="83">
        <f>PG!C501</f>
        <v>0</v>
      </c>
      <c r="D500" s="23"/>
      <c r="E500" s="27"/>
      <c r="F500" s="27"/>
      <c r="G500" s="23"/>
      <c r="H500" s="62">
        <f>D500+PG!D501*(E500+F500)+G500</f>
        <v>0</v>
      </c>
      <c r="J500" s="18" t="str">
        <f>IF(ISERROR(
PG!F501*E500),"",PG!F501*E500)</f>
        <v/>
      </c>
      <c r="K500" s="18" t="str">
        <f>IF(ISERROR(
PG!F501*F500),"",PG!F501*F500)</f>
        <v/>
      </c>
      <c r="L500" s="18">
        <f>IF(ISERROR(
PG!D501-H500),"",PG!D501-H500)</f>
        <v>0</v>
      </c>
      <c r="M500" s="33" t="str">
        <f>IF(ISERROR(
L500/PG!D501),"",L500/PG!D501)</f>
        <v/>
      </c>
      <c r="N500" s="18" t="str">
        <f>IF(ISERROR(
(O500*PG!D501)),"",(O500*PG!D501))</f>
        <v/>
      </c>
      <c r="O500" s="45" t="str">
        <f>IF(ISERROR(
PEq!$G$20*PG!G501),"",PEq!$G$20*PG!G501)</f>
        <v/>
      </c>
      <c r="P500" s="18">
        <f>IF(ISERROR(
PG!E501*G500),"",PG!E501*G500)</f>
        <v>0</v>
      </c>
      <c r="Q500" s="18">
        <f>IF(ISERROR(
PG!E501*D500),"",PG!E501*D500)</f>
        <v>0</v>
      </c>
    </row>
    <row r="501" spans="3:17" ht="30" customHeight="1" thickBot="1" x14ac:dyDescent="0.25">
      <c r="C501" s="83">
        <f>PG!C502</f>
        <v>0</v>
      </c>
      <c r="D501" s="23"/>
      <c r="E501" s="27"/>
      <c r="F501" s="27"/>
      <c r="G501" s="23"/>
      <c r="H501" s="62">
        <f>D501+PG!D502*(E501+F501)+G501</f>
        <v>0</v>
      </c>
      <c r="J501" s="18" t="str">
        <f>IF(ISERROR(
PG!F502*E501),"",PG!F502*E501)</f>
        <v/>
      </c>
      <c r="K501" s="18" t="str">
        <f>IF(ISERROR(
PG!F502*F501),"",PG!F502*F501)</f>
        <v/>
      </c>
      <c r="L501" s="18">
        <f>IF(ISERROR(
PG!D502-H501),"",PG!D502-H501)</f>
        <v>0</v>
      </c>
      <c r="M501" s="33" t="str">
        <f>IF(ISERROR(
L501/PG!D502),"",L501/PG!D502)</f>
        <v/>
      </c>
      <c r="N501" s="18" t="str">
        <f>IF(ISERROR(
(O501*PG!D502)),"",(O501*PG!D502))</f>
        <v/>
      </c>
      <c r="O501" s="45" t="str">
        <f>IF(ISERROR(
PEq!$G$20*PG!G502),"",PEq!$G$20*PG!G502)</f>
        <v/>
      </c>
      <c r="P501" s="18">
        <f>IF(ISERROR(
PG!E502*G501),"",PG!E502*G501)</f>
        <v>0</v>
      </c>
      <c r="Q501" s="18">
        <f>IF(ISERROR(
PG!E502*D501),"",PG!E502*D501)</f>
        <v>0</v>
      </c>
    </row>
    <row r="502" spans="3:17" ht="30" customHeight="1" thickBot="1" x14ac:dyDescent="0.25">
      <c r="C502" s="83">
        <f>PG!C503</f>
        <v>0</v>
      </c>
      <c r="D502" s="23"/>
      <c r="E502" s="27"/>
      <c r="F502" s="27"/>
      <c r="G502" s="23"/>
      <c r="H502" s="62">
        <f>D502+PG!D503*(E502+F502)+G502</f>
        <v>0</v>
      </c>
      <c r="J502" s="18" t="str">
        <f>IF(ISERROR(
PG!F503*E502),"",PG!F503*E502)</f>
        <v/>
      </c>
      <c r="K502" s="18" t="str">
        <f>IF(ISERROR(
PG!F503*F502),"",PG!F503*F502)</f>
        <v/>
      </c>
      <c r="L502" s="18">
        <f>IF(ISERROR(
PG!D503-H502),"",PG!D503-H502)</f>
        <v>0</v>
      </c>
      <c r="M502" s="33" t="str">
        <f>IF(ISERROR(
L502/PG!D503),"",L502/PG!D503)</f>
        <v/>
      </c>
      <c r="N502" s="18" t="str">
        <f>IF(ISERROR(
(O502*PG!D503)),"",(O502*PG!D503))</f>
        <v/>
      </c>
      <c r="O502" s="45" t="str">
        <f>IF(ISERROR(
PEq!$G$20*PG!G503),"",PEq!$G$20*PG!G503)</f>
        <v/>
      </c>
      <c r="P502" s="18">
        <f>IF(ISERROR(
PG!E503*G502),"",PG!E503*G502)</f>
        <v>0</v>
      </c>
      <c r="Q502" s="18">
        <f>IF(ISERROR(
PG!E503*D502),"",PG!E503*D502)</f>
        <v>0</v>
      </c>
    </row>
    <row r="503" spans="3:17" ht="30" customHeight="1" thickBot="1" x14ac:dyDescent="0.25">
      <c r="C503" s="83">
        <f>PG!C504</f>
        <v>0</v>
      </c>
      <c r="D503" s="23"/>
      <c r="E503" s="27"/>
      <c r="F503" s="27"/>
      <c r="G503" s="23"/>
      <c r="H503" s="62">
        <f>D503+PG!D504*(E503+F503)+G503</f>
        <v>0</v>
      </c>
      <c r="J503" s="18" t="str">
        <f>IF(ISERROR(
PG!F504*E503),"",PG!F504*E503)</f>
        <v/>
      </c>
      <c r="K503" s="18" t="str">
        <f>IF(ISERROR(
PG!F504*F503),"",PG!F504*F503)</f>
        <v/>
      </c>
      <c r="L503" s="18">
        <f>IF(ISERROR(
PG!D504-H503),"",PG!D504-H503)</f>
        <v>0</v>
      </c>
      <c r="M503" s="33" t="str">
        <f>IF(ISERROR(
L503/PG!D504),"",L503/PG!D504)</f>
        <v/>
      </c>
      <c r="N503" s="18" t="str">
        <f>IF(ISERROR(
(O503*PG!D504)),"",(O503*PG!D504))</f>
        <v/>
      </c>
      <c r="O503" s="45" t="str">
        <f>IF(ISERROR(
PEq!$G$20*PG!G504),"",PEq!$G$20*PG!G504)</f>
        <v/>
      </c>
      <c r="P503" s="18">
        <f>IF(ISERROR(
PG!E504*G503),"",PG!E504*G503)</f>
        <v>0</v>
      </c>
      <c r="Q503" s="18">
        <f>IF(ISERROR(
PG!E504*D503),"",PG!E504*D503)</f>
        <v>0</v>
      </c>
    </row>
    <row r="504" spans="3:17" ht="30" customHeight="1" thickBot="1" x14ac:dyDescent="0.25">
      <c r="C504" s="83">
        <f>PG!C505</f>
        <v>0</v>
      </c>
      <c r="D504" s="23"/>
      <c r="E504" s="27"/>
      <c r="F504" s="27"/>
      <c r="G504" s="23"/>
      <c r="H504" s="62">
        <f>D504+PG!D505*(E504+F504)+G504</f>
        <v>0</v>
      </c>
      <c r="J504" s="18" t="str">
        <f>IF(ISERROR(
PG!F505*E504),"",PG!F505*E504)</f>
        <v/>
      </c>
      <c r="K504" s="18" t="str">
        <f>IF(ISERROR(
PG!F505*F504),"",PG!F505*F504)</f>
        <v/>
      </c>
      <c r="L504" s="18">
        <f>IF(ISERROR(
PG!D505-H504),"",PG!D505-H504)</f>
        <v>0</v>
      </c>
      <c r="M504" s="33" t="str">
        <f>IF(ISERROR(
L504/PG!D505),"",L504/PG!D505)</f>
        <v/>
      </c>
      <c r="N504" s="18" t="str">
        <f>IF(ISERROR(
(O504*PG!D505)),"",(O504*PG!D505))</f>
        <v/>
      </c>
      <c r="O504" s="45" t="str">
        <f>IF(ISERROR(
PEq!$G$20*PG!G505),"",PEq!$G$20*PG!G505)</f>
        <v/>
      </c>
      <c r="P504" s="18">
        <f>IF(ISERROR(
PG!E505*G504),"",PG!E505*G504)</f>
        <v>0</v>
      </c>
      <c r="Q504" s="18">
        <f>IF(ISERROR(
PG!E505*D504),"",PG!E505*D504)</f>
        <v>0</v>
      </c>
    </row>
    <row r="505" spans="3:17" ht="30" customHeight="1" thickBot="1" x14ac:dyDescent="0.25">
      <c r="C505" s="83">
        <f>PG!C506</f>
        <v>0</v>
      </c>
      <c r="D505" s="23"/>
      <c r="E505" s="27"/>
      <c r="F505" s="27"/>
      <c r="G505" s="23"/>
      <c r="H505" s="62">
        <f>D505+PG!D506*(E505+F505)+G505</f>
        <v>0</v>
      </c>
      <c r="J505" s="18" t="str">
        <f>IF(ISERROR(
PG!F506*E505),"",PG!F506*E505)</f>
        <v/>
      </c>
      <c r="K505" s="18" t="str">
        <f>IF(ISERROR(
PG!F506*F505),"",PG!F506*F505)</f>
        <v/>
      </c>
      <c r="L505" s="18">
        <f>IF(ISERROR(
PG!D506-H505),"",PG!D506-H505)</f>
        <v>0</v>
      </c>
      <c r="M505" s="33" t="str">
        <f>IF(ISERROR(
L505/PG!D506),"",L505/PG!D506)</f>
        <v/>
      </c>
      <c r="N505" s="18" t="str">
        <f>IF(ISERROR(
(O505*PG!D506)),"",(O505*PG!D506))</f>
        <v/>
      </c>
      <c r="O505" s="45" t="str">
        <f>IF(ISERROR(
PEq!$G$20*PG!G506),"",PEq!$G$20*PG!G506)</f>
        <v/>
      </c>
      <c r="P505" s="18">
        <f>IF(ISERROR(
PG!E506*G505),"",PG!E506*G505)</f>
        <v>0</v>
      </c>
      <c r="Q505" s="18">
        <f>IF(ISERROR(
PG!E506*D505),"",PG!E506*D505)</f>
        <v>0</v>
      </c>
    </row>
    <row r="506" spans="3:17" ht="30" customHeight="1" thickBot="1" x14ac:dyDescent="0.25">
      <c r="C506" s="83">
        <f>PG!C507</f>
        <v>0</v>
      </c>
      <c r="D506" s="23"/>
      <c r="E506" s="27"/>
      <c r="F506" s="27"/>
      <c r="G506" s="23"/>
      <c r="H506" s="62">
        <f>D506+PG!D507*(E506+F506)+G506</f>
        <v>0</v>
      </c>
      <c r="J506" s="18" t="str">
        <f>IF(ISERROR(
PG!F507*E506),"",PG!F507*E506)</f>
        <v/>
      </c>
      <c r="K506" s="18" t="str">
        <f>IF(ISERROR(
PG!F507*F506),"",PG!F507*F506)</f>
        <v/>
      </c>
      <c r="L506" s="18">
        <f>IF(ISERROR(
PG!D507-H506),"",PG!D507-H506)</f>
        <v>0</v>
      </c>
      <c r="M506" s="33" t="str">
        <f>IF(ISERROR(
L506/PG!D507),"",L506/PG!D507)</f>
        <v/>
      </c>
      <c r="N506" s="18" t="str">
        <f>IF(ISERROR(
(O506*PG!D507)),"",(O506*PG!D507))</f>
        <v/>
      </c>
      <c r="O506" s="45" t="str">
        <f>IF(ISERROR(
PEq!$G$20*PG!G507),"",PEq!$G$20*PG!G507)</f>
        <v/>
      </c>
      <c r="P506" s="18">
        <f>IF(ISERROR(
PG!E507*G506),"",PG!E507*G506)</f>
        <v>0</v>
      </c>
      <c r="Q506" s="18">
        <f>IF(ISERROR(
PG!E507*D506),"",PG!E507*D506)</f>
        <v>0</v>
      </c>
    </row>
    <row r="507" spans="3:17" ht="30" customHeight="1" thickBot="1" x14ac:dyDescent="0.25">
      <c r="C507" s="83">
        <f>PG!C508</f>
        <v>0</v>
      </c>
      <c r="D507" s="23"/>
      <c r="E507" s="27"/>
      <c r="F507" s="27"/>
      <c r="G507" s="23"/>
      <c r="H507" s="62">
        <f>D507+PG!D508*(E507+F507)+G507</f>
        <v>0</v>
      </c>
      <c r="J507" s="18">
        <f>IF(ISERROR(
PG!F508*E507),"",PG!F508*E507)</f>
        <v>0</v>
      </c>
      <c r="K507" s="18">
        <f>IF(ISERROR(
PG!F508*F507),"",PG!F508*F507)</f>
        <v>0</v>
      </c>
      <c r="L507" s="18">
        <f>IF(ISERROR(
PG!D508-H507),"",PG!D508-H507)</f>
        <v>0</v>
      </c>
      <c r="M507" s="33" t="str">
        <f>IF(ISERROR(
L507/PG!D508),"",L507/PG!D508)</f>
        <v/>
      </c>
      <c r="N507" s="18" t="str">
        <f>IF(ISERROR(
(O507*PG!D508)),"",(O507*PG!D508))</f>
        <v/>
      </c>
      <c r="O507" s="45" t="str">
        <f>IF(ISERROR(
PEq!$G$20*PG!G508),"",PEq!$G$20*PG!G508)</f>
        <v/>
      </c>
      <c r="P507" s="18">
        <f>IF(ISERROR(
PG!E508*G507),"",PG!E508*G507)</f>
        <v>0</v>
      </c>
      <c r="Q507" s="18">
        <f>IF(ISERROR(
PG!E508*D507),"",PG!E508*D507)</f>
        <v>0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C4A6ACDF-4E78-4C3B-A503-1E3C90A3E352}">
            <xm:f>PG!$C7=""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C6:H507 J6:Q507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2" enableFormatConditionsCalculation="0"/>
  <dimension ref="A1:T504"/>
  <sheetViews>
    <sheetView showGridLines="0" zoomScale="90" zoomScaleNormal="90" zoomScalePageLayoutView="90" workbookViewId="0">
      <pane ySplit="3" topLeftCell="A4" activePane="bottomLeft" state="frozen"/>
      <selection pane="bottomLeft" activeCell="D5" sqref="D5"/>
    </sheetView>
  </sheetViews>
  <sheetFormatPr baseColWidth="10" defaultColWidth="8.83203125" defaultRowHeight="15" customHeight="1" zeroHeight="1" x14ac:dyDescent="0.2"/>
  <cols>
    <col min="1" max="1" width="27.6640625" style="1" customWidth="1"/>
    <col min="2" max="2" width="3.83203125" customWidth="1"/>
    <col min="3" max="3" width="35.1640625" customWidth="1"/>
    <col min="4" max="4" width="27.83203125" customWidth="1"/>
    <col min="18" max="22" width="0" hidden="1" customWidth="1"/>
  </cols>
  <sheetData>
    <row r="1" spans="1:20" s="4" customFormat="1" ht="34" customHeight="1" x14ac:dyDescent="0.3">
      <c r="A1" s="77" t="s">
        <v>163</v>
      </c>
      <c r="C1" s="5" t="s">
        <v>27</v>
      </c>
    </row>
    <row r="2" spans="1:20" s="4" customFormat="1" ht="21.5" customHeight="1" x14ac:dyDescent="0.2">
      <c r="A2" s="1"/>
    </row>
    <row r="3" spans="1:20" s="4" customFormat="1" ht="21.5" customHeight="1" x14ac:dyDescent="0.2">
      <c r="A3" s="1"/>
      <c r="T3" s="4" t="s">
        <v>56</v>
      </c>
    </row>
    <row r="4" spans="1:20" ht="14" customHeight="1" thickBot="1" x14ac:dyDescent="0.25">
      <c r="T4" t="str">
        <f>IF(ISERR(
IF(PG!C7="","",PG!C7)),"",IF(PG!C7="","",PG!C7))</f>
        <v/>
      </c>
    </row>
    <row r="5" spans="1:20" ht="30" customHeight="1" thickBot="1" x14ac:dyDescent="0.25">
      <c r="C5" s="34" t="s">
        <v>91</v>
      </c>
      <c r="D5" s="39"/>
      <c r="T5" t="str">
        <f>IF(ISERR(
IF(PG!C8="","",PG!C8)),"",IF(PG!C8="","",PG!C8))</f>
        <v/>
      </c>
    </row>
    <row r="6" spans="1:20" ht="14" customHeight="1" thickBot="1" x14ac:dyDescent="0.25">
      <c r="T6" t="str">
        <f>IF(ISERR(
IF(PG!C9="","",PG!C9)),"",IF(PG!C9="","",PG!C9))</f>
        <v/>
      </c>
    </row>
    <row r="7" spans="1:20" ht="30" customHeight="1" thickBot="1" x14ac:dyDescent="0.25">
      <c r="C7" s="32" t="str">
        <f>"Receita do(a) "&amp;D5&amp;"
no Ponto de Equilíbrio"</f>
        <v>Receita do(a) _x000D_no Ponto de Equilíbrio</v>
      </c>
      <c r="D7" s="67" t="str">
        <f>IF(ISERROR(
IFERROR(VLOOKUP($D$5,PG_CD!$C$6:$O$507,12,0),"")),"",IFERROR(VLOOKUP($D$5,PG_CD!$C$6:$O$507,12,0),""))</f>
        <v/>
      </c>
      <c r="T7" t="str">
        <f>IF(ISERR(
IF(PG!C10="","",PG!C10)),"",IF(PG!C10="","",PG!C10))</f>
        <v/>
      </c>
    </row>
    <row r="8" spans="1:20" ht="30" customHeight="1" thickBot="1" x14ac:dyDescent="0.25">
      <c r="C8" s="32" t="s">
        <v>92</v>
      </c>
      <c r="D8" s="68" t="str">
        <f>IF(ISERROR(
IFERROR(VLOOKUP($D$5,PG_CD!$C$6:$O$507,13,0),"")),"",IFERROR(VLOOKUP($D$5,PG_CD!$C$6:$O$507,13,0),""))</f>
        <v/>
      </c>
      <c r="T8" t="str">
        <f>IF(ISERR(
IF(PG!C11="","",PG!C11)),"",IF(PG!C11="","",PG!C11))</f>
        <v/>
      </c>
    </row>
    <row r="9" spans="1:20" ht="30" customHeight="1" thickBot="1" x14ac:dyDescent="0.25">
      <c r="C9" s="32" t="s">
        <v>93</v>
      </c>
      <c r="D9" s="67" t="str">
        <f>IF(ISERROR(
VLOOKUP($D$5,PG_CD!$C$6:$M$507,6,0)*D8),"",VLOOKUP($D$5,PG_CD!$C$6:$M$507,6,0)*D8)</f>
        <v/>
      </c>
      <c r="T9" t="str">
        <f>IF(ISERR(
IF(PG!C12="","",PG!C12)),"",IF(PG!C12="","",PG!C12))</f>
        <v/>
      </c>
    </row>
    <row r="10" spans="1:20" ht="30" customHeight="1" thickBot="1" x14ac:dyDescent="0.25">
      <c r="C10" s="32" t="s">
        <v>94</v>
      </c>
      <c r="D10" s="67">
        <f>IF(ISERROR(
VLOOKUP($D$5,PG_CD!$C$6:$L$507,10,0)),"",VLOOKUP($D$5,PG_CD!$C$6:$L$507,10,0))</f>
        <v>0</v>
      </c>
      <c r="F10" s="25"/>
      <c r="T10" t="str">
        <f>IF(ISERR(
IF(PG!C13="","",PG!C13)),"",IF(PG!C13="","",PG!C13))</f>
        <v/>
      </c>
    </row>
    <row r="11" spans="1:20" ht="30" customHeight="1" thickBot="1" x14ac:dyDescent="0.25">
      <c r="C11" s="32" t="s">
        <v>95</v>
      </c>
      <c r="D11" s="67" t="str">
        <f>IF(ISERROR(
D10*VLOOKUP($D$5,PG!$C$7:$G$507,5,0)),"",D10*VLOOKUP($D$5,PG!$C$7:$G$507,5,0))</f>
        <v/>
      </c>
      <c r="F11" s="25"/>
      <c r="T11" t="str">
        <f>IF(ISERR(
IF(PG!C14="","",PG!C14)),"",IF(PG!C14="","",PG!C14))</f>
        <v/>
      </c>
    </row>
    <row r="12" spans="1:20" ht="30" customHeight="1" x14ac:dyDescent="0.2">
      <c r="T12" t="str">
        <f>IF(ISERR(
IF(PG!C15="","",PG!C15)),"",IF(PG!C15="","",PG!C15))</f>
        <v/>
      </c>
    </row>
    <row r="13" spans="1:20" ht="30" customHeight="1" x14ac:dyDescent="0.2">
      <c r="T13" t="str">
        <f>IF(ISERR(
IF(PG!C16="","",PG!C16)),"",IF(PG!C16="","",PG!C16))</f>
        <v/>
      </c>
    </row>
    <row r="14" spans="1:20" ht="30" customHeight="1" x14ac:dyDescent="0.2">
      <c r="T14" t="str">
        <f>IF(ISERR(
IF(PG!C17="","",PG!C17)),"",IF(PG!C17="","",PG!C17))</f>
        <v/>
      </c>
    </row>
    <row r="15" spans="1:20" ht="30" customHeight="1" x14ac:dyDescent="0.2">
      <c r="T15" t="str">
        <f>IF(ISERR(
IF(PG!C18="","",PG!C18)),"",IF(PG!C18="","",PG!C18))</f>
        <v/>
      </c>
    </row>
    <row r="16" spans="1:20" ht="30" hidden="1" customHeight="1" x14ac:dyDescent="0.2">
      <c r="T16" t="str">
        <f>IF(ISERR(
IF(PG!C19="","",PG!C19)),"",IF(PG!C19="","",PG!C19))</f>
        <v/>
      </c>
    </row>
    <row r="17" spans="20:20" ht="30" hidden="1" customHeight="1" x14ac:dyDescent="0.2">
      <c r="T17" t="str">
        <f>IF(ISERR(
IF(PG!C20="","",PG!C20)),"",IF(PG!C20="","",PG!C20))</f>
        <v/>
      </c>
    </row>
    <row r="18" spans="20:20" ht="30" hidden="1" customHeight="1" x14ac:dyDescent="0.2">
      <c r="T18" t="str">
        <f>IF(ISERR(
IF(PG!C21="","",PG!C21)),"",IF(PG!C21="","",PG!C21))</f>
        <v/>
      </c>
    </row>
    <row r="19" spans="20:20" ht="30" hidden="1" customHeight="1" x14ac:dyDescent="0.2">
      <c r="T19" t="str">
        <f>IF(ISERR(
IF(PG!C22="","",PG!C22)),"",IF(PG!C22="","",PG!C22))</f>
        <v/>
      </c>
    </row>
    <row r="20" spans="20:20" ht="30" hidden="1" customHeight="1" x14ac:dyDescent="0.2">
      <c r="T20" t="str">
        <f>IF(ISERR(
IF(PG!C23="","",PG!C23)),"",IF(PG!C23="","",PG!C23))</f>
        <v/>
      </c>
    </row>
    <row r="21" spans="20:20" ht="30" hidden="1" customHeight="1" x14ac:dyDescent="0.2">
      <c r="T21" t="str">
        <f>IF(ISERR(
IF(PG!C24="","",PG!C24)),"",IF(PG!C24="","",PG!C24))</f>
        <v/>
      </c>
    </row>
    <row r="22" spans="20:20" ht="30" hidden="1" customHeight="1" x14ac:dyDescent="0.2">
      <c r="T22" t="str">
        <f>IF(ISERR(
IF(PG!C25="","",PG!C25)),"",IF(PG!C25="","",PG!C25))</f>
        <v/>
      </c>
    </row>
    <row r="23" spans="20:20" ht="30" hidden="1" customHeight="1" x14ac:dyDescent="0.2">
      <c r="T23" t="str">
        <f>IF(ISERR(
IF(PG!C26="","",PG!C26)),"",IF(PG!C26="","",PG!C26))</f>
        <v/>
      </c>
    </row>
    <row r="24" spans="20:20" ht="30" hidden="1" customHeight="1" x14ac:dyDescent="0.2">
      <c r="T24" t="str">
        <f>IF(ISERR(
IF(PG!C27="","",PG!C27)),"",IF(PG!C27="","",PG!C27))</f>
        <v/>
      </c>
    </row>
    <row r="25" spans="20:20" ht="30" hidden="1" customHeight="1" x14ac:dyDescent="0.2">
      <c r="T25" t="str">
        <f>IF(ISERR(
IF(PG!C28="","",PG!C28)),"",IF(PG!C28="","",PG!C28))</f>
        <v/>
      </c>
    </row>
    <row r="26" spans="20:20" ht="30" hidden="1" customHeight="1" x14ac:dyDescent="0.2">
      <c r="T26" t="str">
        <f>IF(ISERR(
IF(PG!C29="","",PG!C29)),"",IF(PG!C29="","",PG!C29))</f>
        <v/>
      </c>
    </row>
    <row r="27" spans="20:20" ht="30" hidden="1" customHeight="1" x14ac:dyDescent="0.2">
      <c r="T27" t="str">
        <f>IF(ISERR(
IF(PG!C30="","",PG!C30)),"",IF(PG!C30="","",PG!C30))</f>
        <v/>
      </c>
    </row>
    <row r="28" spans="20:20" ht="30" hidden="1" customHeight="1" x14ac:dyDescent="0.2">
      <c r="T28" t="str">
        <f>IF(ISERR(
IF(PG!C31="","",PG!C31)),"",IF(PG!C31="","",PG!C31))</f>
        <v/>
      </c>
    </row>
    <row r="29" spans="20:20" ht="30" hidden="1" customHeight="1" x14ac:dyDescent="0.2">
      <c r="T29" t="str">
        <f>IF(ISERR(
IF(PG!C32="","",PG!C32)),"",IF(PG!C32="","",PG!C32))</f>
        <v/>
      </c>
    </row>
    <row r="30" spans="20:20" ht="30" hidden="1" customHeight="1" x14ac:dyDescent="0.2">
      <c r="T30" t="str">
        <f>IF(ISERR(
IF(PG!C33="","",PG!C33)),"",IF(PG!C33="","",PG!C33))</f>
        <v/>
      </c>
    </row>
    <row r="31" spans="20:20" ht="30" hidden="1" customHeight="1" x14ac:dyDescent="0.2">
      <c r="T31" t="str">
        <f>IF(ISERR(
IF(PG!C34="","",PG!C34)),"",IF(PG!C34="","",PG!C34))</f>
        <v/>
      </c>
    </row>
    <row r="32" spans="20:20" ht="30" hidden="1" customHeight="1" x14ac:dyDescent="0.2">
      <c r="T32" t="str">
        <f>IF(ISERR(
IF(PG!C35="","",PG!C35)),"",IF(PG!C35="","",PG!C35))</f>
        <v/>
      </c>
    </row>
    <row r="33" spans="20:20" ht="30" hidden="1" customHeight="1" x14ac:dyDescent="0.2">
      <c r="T33" t="str">
        <f>IF(ISERR(
IF(PG!C36="","",PG!C36)),"",IF(PG!C36="","",PG!C36))</f>
        <v/>
      </c>
    </row>
    <row r="34" spans="20:20" ht="30" hidden="1" customHeight="1" x14ac:dyDescent="0.2">
      <c r="T34" t="str">
        <f>IF(ISERR(
IF(PG!C37="","",PG!C37)),"",IF(PG!C37="","",PG!C37))</f>
        <v/>
      </c>
    </row>
    <row r="35" spans="20:20" ht="30" hidden="1" customHeight="1" x14ac:dyDescent="0.2">
      <c r="T35" t="str">
        <f>IF(ISERR(
IF(PG!C38="","",PG!C38)),"",IF(PG!C38="","",PG!C38))</f>
        <v/>
      </c>
    </row>
    <row r="36" spans="20:20" ht="30" hidden="1" customHeight="1" x14ac:dyDescent="0.2">
      <c r="T36" t="str">
        <f>IF(ISERR(
IF(PG!C39="","",PG!C39)),"",IF(PG!C39="","",PG!C39))</f>
        <v/>
      </c>
    </row>
    <row r="37" spans="20:20" ht="30" hidden="1" customHeight="1" x14ac:dyDescent="0.2">
      <c r="T37" t="str">
        <f>IF(ISERR(
IF(PG!C40="","",PG!C40)),"",IF(PG!C40="","",PG!C40))</f>
        <v/>
      </c>
    </row>
    <row r="38" spans="20:20" ht="30" hidden="1" customHeight="1" x14ac:dyDescent="0.2">
      <c r="T38" t="str">
        <f>IF(ISERR(
IF(PG!C41="","",PG!C41)),"",IF(PG!C41="","",PG!C41))</f>
        <v/>
      </c>
    </row>
    <row r="39" spans="20:20" ht="30" hidden="1" customHeight="1" x14ac:dyDescent="0.2">
      <c r="T39" t="str">
        <f>IF(ISERR(
IF(PG!C42="","",PG!C42)),"",IF(PG!C42="","",PG!C42))</f>
        <v/>
      </c>
    </row>
    <row r="40" spans="20:20" ht="30" hidden="1" customHeight="1" x14ac:dyDescent="0.2">
      <c r="T40" t="str">
        <f>IF(ISERR(
IF(PG!C43="","",PG!C43)),"",IF(PG!C43="","",PG!C43))</f>
        <v/>
      </c>
    </row>
    <row r="41" spans="20:20" ht="30" hidden="1" customHeight="1" x14ac:dyDescent="0.2">
      <c r="T41" t="str">
        <f>IF(ISERR(
IF(PG!C44="","",PG!C44)),"",IF(PG!C44="","",PG!C44))</f>
        <v/>
      </c>
    </row>
    <row r="42" spans="20:20" ht="30" hidden="1" customHeight="1" x14ac:dyDescent="0.2">
      <c r="T42" t="str">
        <f>IF(ISERR(
IF(PG!C45="","",PG!C45)),"",IF(PG!C45="","",PG!C45))</f>
        <v/>
      </c>
    </row>
    <row r="43" spans="20:20" ht="30" hidden="1" customHeight="1" x14ac:dyDescent="0.2">
      <c r="T43" t="str">
        <f>IF(ISERR(
IF(PG!C46="","",PG!C46)),"",IF(PG!C46="","",PG!C46))</f>
        <v/>
      </c>
    </row>
    <row r="44" spans="20:20" ht="30" hidden="1" customHeight="1" x14ac:dyDescent="0.2">
      <c r="T44" t="str">
        <f>IF(ISERR(
IF(PG!C47="","",PG!C47)),"",IF(PG!C47="","",PG!C47))</f>
        <v/>
      </c>
    </row>
    <row r="45" spans="20:20" ht="30" hidden="1" customHeight="1" x14ac:dyDescent="0.2">
      <c r="T45" t="str">
        <f>IF(ISERR(
IF(PG!C48="","",PG!C48)),"",IF(PG!C48="","",PG!C48))</f>
        <v/>
      </c>
    </row>
    <row r="46" spans="20:20" ht="30" hidden="1" customHeight="1" x14ac:dyDescent="0.2">
      <c r="T46" t="str">
        <f>IF(ISERR(
IF(PG!C49="","",PG!C49)),"",IF(PG!C49="","",PG!C49))</f>
        <v/>
      </c>
    </row>
    <row r="47" spans="20:20" ht="30" hidden="1" customHeight="1" x14ac:dyDescent="0.2">
      <c r="T47" t="str">
        <f>IF(ISERR(
IF(PG!C50="","",PG!C50)),"",IF(PG!C50="","",PG!C50))</f>
        <v/>
      </c>
    </row>
    <row r="48" spans="20:20" ht="30" hidden="1" customHeight="1" x14ac:dyDescent="0.2">
      <c r="T48" t="str">
        <f>IF(ISERR(
IF(PG!C51="","",PG!C51)),"",IF(PG!C51="","",PG!C51))</f>
        <v/>
      </c>
    </row>
    <row r="49" spans="20:20" ht="30" hidden="1" customHeight="1" x14ac:dyDescent="0.2">
      <c r="T49" t="str">
        <f>IF(ISERR(
IF(PG!C52="","",PG!C52)),"",IF(PG!C52="","",PG!C52))</f>
        <v/>
      </c>
    </row>
    <row r="50" spans="20:20" ht="30" hidden="1" customHeight="1" x14ac:dyDescent="0.2">
      <c r="T50" t="str">
        <f>IF(ISERR(
IF(PG!C53="","",PG!C53)),"",IF(PG!C53="","",PG!C53))</f>
        <v/>
      </c>
    </row>
    <row r="51" spans="20:20" ht="30" hidden="1" customHeight="1" x14ac:dyDescent="0.2">
      <c r="T51" t="str">
        <f>IF(ISERR(
IF(PG!C54="","",PG!C54)),"",IF(PG!C54="","",PG!C54))</f>
        <v/>
      </c>
    </row>
    <row r="52" spans="20:20" ht="30" hidden="1" customHeight="1" x14ac:dyDescent="0.2">
      <c r="T52" t="str">
        <f>IF(ISERR(
IF(PG!C55="","",PG!C55)),"",IF(PG!C55="","",PG!C55))</f>
        <v/>
      </c>
    </row>
    <row r="53" spans="20:20" ht="30" hidden="1" customHeight="1" x14ac:dyDescent="0.2">
      <c r="T53" t="str">
        <f>IF(ISERR(
IF(PG!C56="","",PG!C56)),"",IF(PG!C56="","",PG!C56))</f>
        <v/>
      </c>
    </row>
    <row r="54" spans="20:20" ht="30" hidden="1" customHeight="1" x14ac:dyDescent="0.2">
      <c r="T54" t="str">
        <f>IF(ISERR(
IF(PG!C57="","",PG!C57)),"",IF(PG!C57="","",PG!C57))</f>
        <v/>
      </c>
    </row>
    <row r="55" spans="20:20" ht="30" hidden="1" customHeight="1" x14ac:dyDescent="0.2">
      <c r="T55" t="str">
        <f>IF(ISERR(
IF(PG!C58="","",PG!C58)),"",IF(PG!C58="","",PG!C58))</f>
        <v/>
      </c>
    </row>
    <row r="56" spans="20:20" ht="30" hidden="1" customHeight="1" x14ac:dyDescent="0.2">
      <c r="T56" t="str">
        <f>IF(ISERR(
IF(PG!C59="","",PG!C59)),"",IF(PG!C59="","",PG!C59))</f>
        <v/>
      </c>
    </row>
    <row r="57" spans="20:20" ht="30" hidden="1" customHeight="1" x14ac:dyDescent="0.2">
      <c r="T57" t="str">
        <f>IF(ISERR(
IF(PG!C60="","",PG!C60)),"",IF(PG!C60="","",PG!C60))</f>
        <v/>
      </c>
    </row>
    <row r="58" spans="20:20" ht="30" hidden="1" customHeight="1" x14ac:dyDescent="0.2">
      <c r="T58" t="str">
        <f>IF(ISERR(
IF(PG!C61="","",PG!C61)),"",IF(PG!C61="","",PG!C61))</f>
        <v/>
      </c>
    </row>
    <row r="59" spans="20:20" ht="30" hidden="1" customHeight="1" x14ac:dyDescent="0.2">
      <c r="T59" t="str">
        <f>IF(ISERR(
IF(PG!C62="","",PG!C62)),"",IF(PG!C62="","",PG!C62))</f>
        <v/>
      </c>
    </row>
    <row r="60" spans="20:20" ht="30" hidden="1" customHeight="1" x14ac:dyDescent="0.2">
      <c r="T60" t="str">
        <f>IF(ISERR(
IF(PG!C63="","",PG!C63)),"",IF(PG!C63="","",PG!C63))</f>
        <v/>
      </c>
    </row>
    <row r="61" spans="20:20" ht="30" hidden="1" customHeight="1" x14ac:dyDescent="0.2">
      <c r="T61" t="str">
        <f>IF(ISERR(
IF(PG!C64="","",PG!C64)),"",IF(PG!C64="","",PG!C64))</f>
        <v/>
      </c>
    </row>
    <row r="62" spans="20:20" ht="30" hidden="1" customHeight="1" x14ac:dyDescent="0.2">
      <c r="T62" t="str">
        <f>IF(ISERR(
IF(PG!C65="","",PG!C65)),"",IF(PG!C65="","",PG!C65))</f>
        <v/>
      </c>
    </row>
    <row r="63" spans="20:20" ht="30" hidden="1" customHeight="1" x14ac:dyDescent="0.2">
      <c r="T63" t="str">
        <f>IF(ISERR(
IF(PG!C66="","",PG!C66)),"",IF(PG!C66="","",PG!C66))</f>
        <v/>
      </c>
    </row>
    <row r="64" spans="20:20" ht="30" hidden="1" customHeight="1" x14ac:dyDescent="0.2">
      <c r="T64" t="str">
        <f>IF(ISERR(
IF(PG!C67="","",PG!C67)),"",IF(PG!C67="","",PG!C67))</f>
        <v/>
      </c>
    </row>
    <row r="65" spans="20:20" ht="30" hidden="1" customHeight="1" x14ac:dyDescent="0.2">
      <c r="T65" t="str">
        <f>IF(ISERR(
IF(PG!C68="","",PG!C68)),"",IF(PG!C68="","",PG!C68))</f>
        <v/>
      </c>
    </row>
    <row r="66" spans="20:20" ht="30" hidden="1" customHeight="1" x14ac:dyDescent="0.2">
      <c r="T66" t="str">
        <f>IF(ISERR(
IF(PG!C69="","",PG!C69)),"",IF(PG!C69="","",PG!C69))</f>
        <v/>
      </c>
    </row>
    <row r="67" spans="20:20" ht="30" hidden="1" customHeight="1" x14ac:dyDescent="0.2">
      <c r="T67" t="str">
        <f>IF(ISERR(
IF(PG!C70="","",PG!C70)),"",IF(PG!C70="","",PG!C70))</f>
        <v/>
      </c>
    </row>
    <row r="68" spans="20:20" ht="30" hidden="1" customHeight="1" x14ac:dyDescent="0.2">
      <c r="T68" t="str">
        <f>IF(ISERR(
IF(PG!C71="","",PG!C71)),"",IF(PG!C71="","",PG!C71))</f>
        <v/>
      </c>
    </row>
    <row r="69" spans="20:20" ht="30" hidden="1" customHeight="1" x14ac:dyDescent="0.2">
      <c r="T69" t="str">
        <f>IF(ISERR(
IF(PG!C72="","",PG!C72)),"",IF(PG!C72="","",PG!C72))</f>
        <v/>
      </c>
    </row>
    <row r="70" spans="20:20" ht="30" hidden="1" customHeight="1" x14ac:dyDescent="0.2">
      <c r="T70" t="str">
        <f>IF(ISERR(
IF(PG!C73="","",PG!C73)),"",IF(PG!C73="","",PG!C73))</f>
        <v/>
      </c>
    </row>
    <row r="71" spans="20:20" ht="30" hidden="1" customHeight="1" x14ac:dyDescent="0.2">
      <c r="T71" t="str">
        <f>IF(ISERR(
IF(PG!C74="","",PG!C74)),"",IF(PG!C74="","",PG!C74))</f>
        <v/>
      </c>
    </row>
    <row r="72" spans="20:20" ht="30" hidden="1" customHeight="1" x14ac:dyDescent="0.2">
      <c r="T72" t="str">
        <f>IF(ISERR(
IF(PG!C75="","",PG!C75)),"",IF(PG!C75="","",PG!C75))</f>
        <v/>
      </c>
    </row>
    <row r="73" spans="20:20" ht="30" hidden="1" customHeight="1" x14ac:dyDescent="0.2">
      <c r="T73" t="str">
        <f>IF(ISERR(
IF(PG!C76="","",PG!C76)),"",IF(PG!C76="","",PG!C76))</f>
        <v/>
      </c>
    </row>
    <row r="74" spans="20:20" ht="30" hidden="1" customHeight="1" x14ac:dyDescent="0.2">
      <c r="T74" t="str">
        <f>IF(ISERR(
IF(PG!C77="","",PG!C77)),"",IF(PG!C77="","",PG!C77))</f>
        <v/>
      </c>
    </row>
    <row r="75" spans="20:20" ht="30" hidden="1" customHeight="1" x14ac:dyDescent="0.2">
      <c r="T75" t="str">
        <f>IF(ISERR(
IF(PG!C78="","",PG!C78)),"",IF(PG!C78="","",PG!C78))</f>
        <v/>
      </c>
    </row>
    <row r="76" spans="20:20" ht="30" hidden="1" customHeight="1" x14ac:dyDescent="0.2">
      <c r="T76" t="str">
        <f>IF(ISERR(
IF(PG!C79="","",PG!C79)),"",IF(PG!C79="","",PG!C79))</f>
        <v/>
      </c>
    </row>
    <row r="77" spans="20:20" ht="30" hidden="1" customHeight="1" x14ac:dyDescent="0.2">
      <c r="T77" t="str">
        <f>IF(ISERR(
IF(PG!C80="","",PG!C80)),"",IF(PG!C80="","",PG!C80))</f>
        <v/>
      </c>
    </row>
    <row r="78" spans="20:20" ht="30" hidden="1" customHeight="1" x14ac:dyDescent="0.2">
      <c r="T78" t="str">
        <f>IF(ISERR(
IF(PG!C81="","",PG!C81)),"",IF(PG!C81="","",PG!C81))</f>
        <v/>
      </c>
    </row>
    <row r="79" spans="20:20" ht="30" hidden="1" customHeight="1" x14ac:dyDescent="0.2">
      <c r="T79" t="str">
        <f>IF(ISERR(
IF(PG!C82="","",PG!C82)),"",IF(PG!C82="","",PG!C82))</f>
        <v/>
      </c>
    </row>
    <row r="80" spans="20:20" ht="30" hidden="1" customHeight="1" x14ac:dyDescent="0.2">
      <c r="T80" t="str">
        <f>IF(ISERR(
IF(PG!C83="","",PG!C83)),"",IF(PG!C83="","",PG!C83))</f>
        <v/>
      </c>
    </row>
    <row r="81" spans="20:20" ht="30" hidden="1" customHeight="1" x14ac:dyDescent="0.2">
      <c r="T81" t="str">
        <f>IF(ISERR(
IF(PG!C84="","",PG!C84)),"",IF(PG!C84="","",PG!C84))</f>
        <v/>
      </c>
    </row>
    <row r="82" spans="20:20" ht="30" hidden="1" customHeight="1" x14ac:dyDescent="0.2">
      <c r="T82" t="str">
        <f>IF(ISERR(
IF(PG!C85="","",PG!C85)),"",IF(PG!C85="","",PG!C85))</f>
        <v/>
      </c>
    </row>
    <row r="83" spans="20:20" ht="30" hidden="1" customHeight="1" x14ac:dyDescent="0.2">
      <c r="T83" t="str">
        <f>IF(ISERR(
IF(PG!C86="","",PG!C86)),"",IF(PG!C86="","",PG!C86))</f>
        <v/>
      </c>
    </row>
    <row r="84" spans="20:20" ht="30" hidden="1" customHeight="1" x14ac:dyDescent="0.2">
      <c r="T84" t="str">
        <f>IF(ISERR(
IF(PG!C87="","",PG!C87)),"",IF(PG!C87="","",PG!C87))</f>
        <v/>
      </c>
    </row>
    <row r="85" spans="20:20" ht="30" hidden="1" customHeight="1" x14ac:dyDescent="0.2">
      <c r="T85" t="str">
        <f>IF(ISERR(
IF(PG!C88="","",PG!C88)),"",IF(PG!C88="","",PG!C88))</f>
        <v/>
      </c>
    </row>
    <row r="86" spans="20:20" ht="30" hidden="1" customHeight="1" x14ac:dyDescent="0.2">
      <c r="T86" t="str">
        <f>IF(ISERR(
IF(PG!C89="","",PG!C89)),"",IF(PG!C89="","",PG!C89))</f>
        <v/>
      </c>
    </row>
    <row r="87" spans="20:20" ht="30" hidden="1" customHeight="1" x14ac:dyDescent="0.2">
      <c r="T87" t="str">
        <f>IF(ISERR(
IF(PG!C90="","",PG!C90)),"",IF(PG!C90="","",PG!C90))</f>
        <v/>
      </c>
    </row>
    <row r="88" spans="20:20" ht="30" hidden="1" customHeight="1" x14ac:dyDescent="0.2">
      <c r="T88" t="str">
        <f>IF(ISERR(
IF(PG!C91="","",PG!C91)),"",IF(PG!C91="","",PG!C91))</f>
        <v/>
      </c>
    </row>
    <row r="89" spans="20:20" ht="30" hidden="1" customHeight="1" x14ac:dyDescent="0.2">
      <c r="T89" t="str">
        <f>IF(ISERR(
IF(PG!C92="","",PG!C92)),"",IF(PG!C92="","",PG!C92))</f>
        <v/>
      </c>
    </row>
    <row r="90" spans="20:20" ht="30" hidden="1" customHeight="1" x14ac:dyDescent="0.2">
      <c r="T90" t="str">
        <f>IF(ISERR(
IF(PG!C93="","",PG!C93)),"",IF(PG!C93="","",PG!C93))</f>
        <v/>
      </c>
    </row>
    <row r="91" spans="20:20" ht="30" hidden="1" customHeight="1" x14ac:dyDescent="0.2">
      <c r="T91" t="str">
        <f>IF(ISERR(
IF(PG!C94="","",PG!C94)),"",IF(PG!C94="","",PG!C94))</f>
        <v/>
      </c>
    </row>
    <row r="92" spans="20:20" ht="30" hidden="1" customHeight="1" x14ac:dyDescent="0.2">
      <c r="T92" t="str">
        <f>IF(ISERR(
IF(PG!C95="","",PG!C95)),"",IF(PG!C95="","",PG!C95))</f>
        <v/>
      </c>
    </row>
    <row r="93" spans="20:20" ht="30" hidden="1" customHeight="1" x14ac:dyDescent="0.2">
      <c r="T93" t="str">
        <f>IF(ISERR(
IF(PG!C96="","",PG!C96)),"",IF(PG!C96="","",PG!C96))</f>
        <v/>
      </c>
    </row>
    <row r="94" spans="20:20" ht="30" hidden="1" customHeight="1" x14ac:dyDescent="0.2">
      <c r="T94" t="str">
        <f>IF(ISERR(
IF(PG!C97="","",PG!C97)),"",IF(PG!C97="","",PG!C97))</f>
        <v/>
      </c>
    </row>
    <row r="95" spans="20:20" ht="30" hidden="1" customHeight="1" x14ac:dyDescent="0.2">
      <c r="T95" t="str">
        <f>IF(ISERR(
IF(PG!C98="","",PG!C98)),"",IF(PG!C98="","",PG!C98))</f>
        <v/>
      </c>
    </row>
    <row r="96" spans="20:20" ht="30" hidden="1" customHeight="1" x14ac:dyDescent="0.2">
      <c r="T96" t="str">
        <f>IF(ISERR(
IF(PG!C99="","",PG!C99)),"",IF(PG!C99="","",PG!C99))</f>
        <v/>
      </c>
    </row>
    <row r="97" spans="20:20" ht="30" hidden="1" customHeight="1" x14ac:dyDescent="0.2">
      <c r="T97" t="str">
        <f>IF(ISERR(
IF(PG!C100="","",PG!C100)),"",IF(PG!C100="","",PG!C100))</f>
        <v/>
      </c>
    </row>
    <row r="98" spans="20:20" ht="30" hidden="1" customHeight="1" x14ac:dyDescent="0.2">
      <c r="T98" t="str">
        <f>IF(ISERR(
IF(PG!C101="","",PG!C101)),"",IF(PG!C101="","",PG!C101))</f>
        <v/>
      </c>
    </row>
    <row r="99" spans="20:20" ht="30" hidden="1" customHeight="1" x14ac:dyDescent="0.2">
      <c r="T99" t="str">
        <f>IF(ISERR(
IF(PG!C102="","",PG!C102)),"",IF(PG!C102="","",PG!C102))</f>
        <v/>
      </c>
    </row>
    <row r="100" spans="20:20" ht="30" hidden="1" customHeight="1" x14ac:dyDescent="0.2">
      <c r="T100" t="str">
        <f>IF(ISERR(
IF(PG!C103="","",PG!C103)),"",IF(PG!C103="","",PG!C103))</f>
        <v/>
      </c>
    </row>
    <row r="101" spans="20:20" ht="15" hidden="1" customHeight="1" x14ac:dyDescent="0.2">
      <c r="T101" t="str">
        <f>IF(ISERR(
IF(PG!C104="","",PG!C104)),"",IF(PG!C104="","",PG!C104))</f>
        <v/>
      </c>
    </row>
    <row r="102" spans="20:20" ht="15" hidden="1" customHeight="1" x14ac:dyDescent="0.2">
      <c r="T102" t="str">
        <f>IF(ISERR(
IF(PG!C105="","",PG!C105)),"",IF(PG!C105="","",PG!C105))</f>
        <v/>
      </c>
    </row>
    <row r="103" spans="20:20" ht="15" hidden="1" customHeight="1" x14ac:dyDescent="0.2">
      <c r="T103" t="str">
        <f>IF(ISERR(
IF(PG!C106="","",PG!C106)),"",IF(PG!C106="","",PG!C106))</f>
        <v/>
      </c>
    </row>
    <row r="104" spans="20:20" ht="15" hidden="1" customHeight="1" x14ac:dyDescent="0.2">
      <c r="T104" t="str">
        <f>IF(ISERR(
IF(PG!C107="","",PG!C107)),"",IF(PG!C107="","",PG!C107))</f>
        <v/>
      </c>
    </row>
    <row r="105" spans="20:20" ht="15" hidden="1" customHeight="1" x14ac:dyDescent="0.2">
      <c r="T105" t="str">
        <f>IF(ISERR(
IF(PG!C108="","",PG!C108)),"",IF(PG!C108="","",PG!C108))</f>
        <v/>
      </c>
    </row>
    <row r="106" spans="20:20" ht="15" hidden="1" customHeight="1" x14ac:dyDescent="0.2">
      <c r="T106" t="str">
        <f>IF(ISERR(
IF(PG!C109="","",PG!C109)),"",IF(PG!C109="","",PG!C109))</f>
        <v/>
      </c>
    </row>
    <row r="107" spans="20:20" ht="15" hidden="1" customHeight="1" x14ac:dyDescent="0.2">
      <c r="T107" t="str">
        <f>IF(ISERR(
IF(PG!C110="","",PG!C110)),"",IF(PG!C110="","",PG!C110))</f>
        <v/>
      </c>
    </row>
    <row r="108" spans="20:20" ht="15" hidden="1" customHeight="1" x14ac:dyDescent="0.2">
      <c r="T108" t="str">
        <f>IF(ISERR(
IF(PG!C111="","",PG!C111)),"",IF(PG!C111="","",PG!C111))</f>
        <v/>
      </c>
    </row>
    <row r="109" spans="20:20" ht="15" hidden="1" customHeight="1" x14ac:dyDescent="0.2">
      <c r="T109" t="str">
        <f>IF(ISERR(
IF(PG!C112="","",PG!C112)),"",IF(PG!C112="","",PG!C112))</f>
        <v/>
      </c>
    </row>
    <row r="110" spans="20:20" ht="15" hidden="1" customHeight="1" x14ac:dyDescent="0.2">
      <c r="T110" t="str">
        <f>IF(ISERR(
IF(PG!C113="","",PG!C113)),"",IF(PG!C113="","",PG!C113))</f>
        <v/>
      </c>
    </row>
    <row r="111" spans="20:20" ht="15" hidden="1" customHeight="1" x14ac:dyDescent="0.2">
      <c r="T111" t="str">
        <f>IF(ISERR(
IF(PG!C114="","",PG!C114)),"",IF(PG!C114="","",PG!C114))</f>
        <v/>
      </c>
    </row>
    <row r="112" spans="20:20" ht="15" hidden="1" customHeight="1" x14ac:dyDescent="0.2">
      <c r="T112" t="str">
        <f>IF(ISERR(
IF(PG!C115="","",PG!C115)),"",IF(PG!C115="","",PG!C115))</f>
        <v/>
      </c>
    </row>
    <row r="113" spans="20:20" ht="15" hidden="1" customHeight="1" x14ac:dyDescent="0.2">
      <c r="T113" t="str">
        <f>IF(ISERR(
IF(PG!C116="","",PG!C116)),"",IF(PG!C116="","",PG!C116))</f>
        <v/>
      </c>
    </row>
    <row r="114" spans="20:20" ht="15" hidden="1" customHeight="1" x14ac:dyDescent="0.2">
      <c r="T114" t="str">
        <f>IF(ISERR(
IF(PG!C117="","",PG!C117)),"",IF(PG!C117="","",PG!C117))</f>
        <v/>
      </c>
    </row>
    <row r="115" spans="20:20" ht="15" hidden="1" customHeight="1" x14ac:dyDescent="0.2">
      <c r="T115" t="str">
        <f>IF(ISERR(
IF(PG!C118="","",PG!C118)),"",IF(PG!C118="","",PG!C118))</f>
        <v/>
      </c>
    </row>
    <row r="116" spans="20:20" ht="15" hidden="1" customHeight="1" x14ac:dyDescent="0.2">
      <c r="T116" t="str">
        <f>IF(ISERR(
IF(PG!C119="","",PG!C119)),"",IF(PG!C119="","",PG!C119))</f>
        <v/>
      </c>
    </row>
    <row r="117" spans="20:20" ht="15" hidden="1" customHeight="1" x14ac:dyDescent="0.2">
      <c r="T117" t="str">
        <f>IF(ISERR(
IF(PG!C120="","",PG!C120)),"",IF(PG!C120="","",PG!C120))</f>
        <v/>
      </c>
    </row>
    <row r="118" spans="20:20" ht="15" hidden="1" customHeight="1" x14ac:dyDescent="0.2">
      <c r="T118" t="str">
        <f>IF(ISERR(
IF(PG!C121="","",PG!C121)),"",IF(PG!C121="","",PG!C121))</f>
        <v/>
      </c>
    </row>
    <row r="119" spans="20:20" ht="15" hidden="1" customHeight="1" x14ac:dyDescent="0.2">
      <c r="T119" t="str">
        <f>IF(ISERR(
IF(PG!C122="","",PG!C122)),"",IF(PG!C122="","",PG!C122))</f>
        <v/>
      </c>
    </row>
    <row r="120" spans="20:20" ht="15" hidden="1" customHeight="1" x14ac:dyDescent="0.2">
      <c r="T120" t="str">
        <f>IF(ISERR(
IF(PG!C123="","",PG!C123)),"",IF(PG!C123="","",PG!C123))</f>
        <v/>
      </c>
    </row>
    <row r="121" spans="20:20" ht="15" hidden="1" customHeight="1" x14ac:dyDescent="0.2">
      <c r="T121" t="str">
        <f>IF(ISERR(
IF(PG!C124="","",PG!C124)),"",IF(PG!C124="","",PG!C124))</f>
        <v/>
      </c>
    </row>
    <row r="122" spans="20:20" ht="15" hidden="1" customHeight="1" x14ac:dyDescent="0.2">
      <c r="T122" t="str">
        <f>IF(ISERR(
IF(PG!C125="","",PG!C125)),"",IF(PG!C125="","",PG!C125))</f>
        <v/>
      </c>
    </row>
    <row r="123" spans="20:20" ht="15" hidden="1" customHeight="1" x14ac:dyDescent="0.2">
      <c r="T123" t="str">
        <f>IF(ISERR(
IF(PG!C126="","",PG!C126)),"",IF(PG!C126="","",PG!C126))</f>
        <v/>
      </c>
    </row>
    <row r="124" spans="20:20" ht="15" hidden="1" customHeight="1" x14ac:dyDescent="0.2">
      <c r="T124" t="str">
        <f>IF(ISERR(
IF(PG!C127="","",PG!C127)),"",IF(PG!C127="","",PG!C127))</f>
        <v/>
      </c>
    </row>
    <row r="125" spans="20:20" ht="15" hidden="1" customHeight="1" x14ac:dyDescent="0.2">
      <c r="T125" t="str">
        <f>IF(ISERR(
IF(PG!C128="","",PG!C128)),"",IF(PG!C128="","",PG!C128))</f>
        <v/>
      </c>
    </row>
    <row r="126" spans="20:20" ht="15" hidden="1" customHeight="1" x14ac:dyDescent="0.2">
      <c r="T126" t="str">
        <f>IF(ISERR(
IF(PG!C129="","",PG!C129)),"",IF(PG!C129="","",PG!C129))</f>
        <v/>
      </c>
    </row>
    <row r="127" spans="20:20" ht="15" hidden="1" customHeight="1" x14ac:dyDescent="0.2">
      <c r="T127" t="str">
        <f>IF(ISERR(
IF(PG!C130="","",PG!C130)),"",IF(PG!C130="","",PG!C130))</f>
        <v/>
      </c>
    </row>
    <row r="128" spans="20:20" ht="15" hidden="1" customHeight="1" x14ac:dyDescent="0.2">
      <c r="T128" t="str">
        <f>IF(ISERR(
IF(PG!C131="","",PG!C131)),"",IF(PG!C131="","",PG!C131))</f>
        <v/>
      </c>
    </row>
    <row r="129" spans="20:20" ht="15" hidden="1" customHeight="1" x14ac:dyDescent="0.2">
      <c r="T129" t="str">
        <f>IF(ISERR(
IF(PG!C132="","",PG!C132)),"",IF(PG!C132="","",PG!C132))</f>
        <v/>
      </c>
    </row>
    <row r="130" spans="20:20" ht="15" hidden="1" customHeight="1" x14ac:dyDescent="0.2">
      <c r="T130" t="str">
        <f>IF(ISERR(
IF(PG!C133="","",PG!C133)),"",IF(PG!C133="","",PG!C133))</f>
        <v/>
      </c>
    </row>
    <row r="131" spans="20:20" ht="15" hidden="1" customHeight="1" x14ac:dyDescent="0.2">
      <c r="T131" t="str">
        <f>IF(ISERR(
IF(PG!C134="","",PG!C134)),"",IF(PG!C134="","",PG!C134))</f>
        <v/>
      </c>
    </row>
    <row r="132" spans="20:20" ht="15" hidden="1" customHeight="1" x14ac:dyDescent="0.2">
      <c r="T132" t="str">
        <f>IF(ISERR(
IF(PG!C135="","",PG!C135)),"",IF(PG!C135="","",PG!C135))</f>
        <v/>
      </c>
    </row>
    <row r="133" spans="20:20" ht="15" hidden="1" customHeight="1" x14ac:dyDescent="0.2">
      <c r="T133" t="str">
        <f>IF(ISERR(
IF(PG!C136="","",PG!C136)),"",IF(PG!C136="","",PG!C136))</f>
        <v/>
      </c>
    </row>
    <row r="134" spans="20:20" ht="15" hidden="1" customHeight="1" x14ac:dyDescent="0.2">
      <c r="T134" t="str">
        <f>IF(ISERR(
IF(PG!C137="","",PG!C137)),"",IF(PG!C137="","",PG!C137))</f>
        <v/>
      </c>
    </row>
    <row r="135" spans="20:20" ht="15" hidden="1" customHeight="1" x14ac:dyDescent="0.2">
      <c r="T135" t="str">
        <f>IF(ISERR(
IF(PG!C138="","",PG!C138)),"",IF(PG!C138="","",PG!C138))</f>
        <v/>
      </c>
    </row>
    <row r="136" spans="20:20" ht="15" hidden="1" customHeight="1" x14ac:dyDescent="0.2">
      <c r="T136" t="str">
        <f>IF(ISERR(
IF(PG!C139="","",PG!C139)),"",IF(PG!C139="","",PG!C139))</f>
        <v/>
      </c>
    </row>
    <row r="137" spans="20:20" ht="15" hidden="1" customHeight="1" x14ac:dyDescent="0.2">
      <c r="T137" t="str">
        <f>IF(ISERR(
IF(PG!C140="","",PG!C140)),"",IF(PG!C140="","",PG!C140))</f>
        <v/>
      </c>
    </row>
    <row r="138" spans="20:20" ht="15" hidden="1" customHeight="1" x14ac:dyDescent="0.2">
      <c r="T138" t="str">
        <f>IF(ISERR(
IF(PG!C141="","",PG!C141)),"",IF(PG!C141="","",PG!C141))</f>
        <v/>
      </c>
    </row>
    <row r="139" spans="20:20" ht="15" hidden="1" customHeight="1" x14ac:dyDescent="0.2">
      <c r="T139" t="str">
        <f>IF(ISERR(
IF(PG!C142="","",PG!C142)),"",IF(PG!C142="","",PG!C142))</f>
        <v/>
      </c>
    </row>
    <row r="140" spans="20:20" ht="15" hidden="1" customHeight="1" x14ac:dyDescent="0.2">
      <c r="T140" t="str">
        <f>IF(ISERR(
IF(PG!C143="","",PG!C143)),"",IF(PG!C143="","",PG!C143))</f>
        <v/>
      </c>
    </row>
    <row r="141" spans="20:20" ht="15" hidden="1" customHeight="1" x14ac:dyDescent="0.2">
      <c r="T141" t="str">
        <f>IF(ISERR(
IF(PG!C144="","",PG!C144)),"",IF(PG!C144="","",PG!C144))</f>
        <v/>
      </c>
    </row>
    <row r="142" spans="20:20" ht="15" hidden="1" customHeight="1" x14ac:dyDescent="0.2">
      <c r="T142" t="str">
        <f>IF(ISERR(
IF(PG!C145="","",PG!C145)),"",IF(PG!C145="","",PG!C145))</f>
        <v/>
      </c>
    </row>
    <row r="143" spans="20:20" ht="15" hidden="1" customHeight="1" x14ac:dyDescent="0.2">
      <c r="T143" t="str">
        <f>IF(ISERR(
IF(PG!C146="","",PG!C146)),"",IF(PG!C146="","",PG!C146))</f>
        <v/>
      </c>
    </row>
    <row r="144" spans="20:20" ht="15" hidden="1" customHeight="1" x14ac:dyDescent="0.2">
      <c r="T144" t="str">
        <f>IF(ISERR(
IF(PG!C147="","",PG!C147)),"",IF(PG!C147="","",PG!C147))</f>
        <v/>
      </c>
    </row>
    <row r="145" spans="20:20" ht="15" hidden="1" customHeight="1" x14ac:dyDescent="0.2">
      <c r="T145" t="str">
        <f>IF(ISERR(
IF(PG!C148="","",PG!C148)),"",IF(PG!C148="","",PG!C148))</f>
        <v/>
      </c>
    </row>
    <row r="146" spans="20:20" ht="15" hidden="1" customHeight="1" x14ac:dyDescent="0.2">
      <c r="T146" t="str">
        <f>IF(ISERR(
IF(PG!C149="","",PG!C149)),"",IF(PG!C149="","",PG!C149))</f>
        <v/>
      </c>
    </row>
    <row r="147" spans="20:20" ht="15" hidden="1" customHeight="1" x14ac:dyDescent="0.2">
      <c r="T147" t="str">
        <f>IF(ISERR(
IF(PG!C150="","",PG!C150)),"",IF(PG!C150="","",PG!C150))</f>
        <v/>
      </c>
    </row>
    <row r="148" spans="20:20" ht="15" hidden="1" customHeight="1" x14ac:dyDescent="0.2">
      <c r="T148" t="str">
        <f>IF(ISERR(
IF(PG!C151="","",PG!C151)),"",IF(PG!C151="","",PG!C151))</f>
        <v/>
      </c>
    </row>
    <row r="149" spans="20:20" ht="15" hidden="1" customHeight="1" x14ac:dyDescent="0.2">
      <c r="T149" t="str">
        <f>IF(ISERR(
IF(PG!C152="","",PG!C152)),"",IF(PG!C152="","",PG!C152))</f>
        <v/>
      </c>
    </row>
    <row r="150" spans="20:20" ht="15" hidden="1" customHeight="1" x14ac:dyDescent="0.2">
      <c r="T150" t="str">
        <f>IF(ISERR(
IF(PG!C153="","",PG!C153)),"",IF(PG!C153="","",PG!C153))</f>
        <v/>
      </c>
    </row>
    <row r="151" spans="20:20" ht="15" hidden="1" customHeight="1" x14ac:dyDescent="0.2">
      <c r="T151" t="str">
        <f>IF(ISERR(
IF(PG!C154="","",PG!C154)),"",IF(PG!C154="","",PG!C154))</f>
        <v/>
      </c>
    </row>
    <row r="152" spans="20:20" ht="15" hidden="1" customHeight="1" x14ac:dyDescent="0.2">
      <c r="T152" t="str">
        <f>IF(ISERR(
IF(PG!C155="","",PG!C155)),"",IF(PG!C155="","",PG!C155))</f>
        <v/>
      </c>
    </row>
    <row r="153" spans="20:20" ht="15" hidden="1" customHeight="1" x14ac:dyDescent="0.2">
      <c r="T153" t="str">
        <f>IF(ISERR(
IF(PG!C156="","",PG!C156)),"",IF(PG!C156="","",PG!C156))</f>
        <v/>
      </c>
    </row>
    <row r="154" spans="20:20" ht="15" hidden="1" customHeight="1" x14ac:dyDescent="0.2">
      <c r="T154" t="str">
        <f>IF(ISERR(
IF(PG!C157="","",PG!C157)),"",IF(PG!C157="","",PG!C157))</f>
        <v/>
      </c>
    </row>
    <row r="155" spans="20:20" ht="15" hidden="1" customHeight="1" x14ac:dyDescent="0.2">
      <c r="T155" t="str">
        <f>IF(ISERR(
IF(PG!C158="","",PG!C158)),"",IF(PG!C158="","",PG!C158))</f>
        <v/>
      </c>
    </row>
    <row r="156" spans="20:20" ht="15" hidden="1" customHeight="1" x14ac:dyDescent="0.2">
      <c r="T156" t="str">
        <f>IF(ISERR(
IF(PG!C159="","",PG!C159)),"",IF(PG!C159="","",PG!C159))</f>
        <v/>
      </c>
    </row>
    <row r="157" spans="20:20" ht="15" hidden="1" customHeight="1" x14ac:dyDescent="0.2">
      <c r="T157" t="str">
        <f>IF(ISERR(
IF(PG!C160="","",PG!C160)),"",IF(PG!C160="","",PG!C160))</f>
        <v/>
      </c>
    </row>
    <row r="158" spans="20:20" ht="15" hidden="1" customHeight="1" x14ac:dyDescent="0.2">
      <c r="T158" t="str">
        <f>IF(ISERR(
IF(PG!C161="","",PG!C161)),"",IF(PG!C161="","",PG!C161))</f>
        <v/>
      </c>
    </row>
    <row r="159" spans="20:20" ht="15" hidden="1" customHeight="1" x14ac:dyDescent="0.2">
      <c r="T159" t="str">
        <f>IF(ISERR(
IF(PG!C162="","",PG!C162)),"",IF(PG!C162="","",PG!C162))</f>
        <v/>
      </c>
    </row>
    <row r="160" spans="20:20" ht="15" hidden="1" customHeight="1" x14ac:dyDescent="0.2">
      <c r="T160" t="str">
        <f>IF(ISERR(
IF(PG!C163="","",PG!C163)),"",IF(PG!C163="","",PG!C163))</f>
        <v/>
      </c>
    </row>
    <row r="161" spans="20:20" ht="15" hidden="1" customHeight="1" x14ac:dyDescent="0.2">
      <c r="T161" t="str">
        <f>IF(ISERR(
IF(PG!C164="","",PG!C164)),"",IF(PG!C164="","",PG!C164))</f>
        <v/>
      </c>
    </row>
    <row r="162" spans="20:20" ht="15" hidden="1" customHeight="1" x14ac:dyDescent="0.2">
      <c r="T162" t="str">
        <f>IF(ISERR(
IF(PG!C165="","",PG!C165)),"",IF(PG!C165="","",PG!C165))</f>
        <v/>
      </c>
    </row>
    <row r="163" spans="20:20" ht="15" hidden="1" customHeight="1" x14ac:dyDescent="0.2">
      <c r="T163" t="str">
        <f>IF(ISERR(
IF(PG!C166="","",PG!C166)),"",IF(PG!C166="","",PG!C166))</f>
        <v/>
      </c>
    </row>
    <row r="164" spans="20:20" ht="15" hidden="1" customHeight="1" x14ac:dyDescent="0.2">
      <c r="T164" t="str">
        <f>IF(ISERR(
IF(PG!C167="","",PG!C167)),"",IF(PG!C167="","",PG!C167))</f>
        <v/>
      </c>
    </row>
    <row r="165" spans="20:20" ht="15" hidden="1" customHeight="1" x14ac:dyDescent="0.2">
      <c r="T165" t="str">
        <f>IF(ISERR(
IF(PG!C168="","",PG!C168)),"",IF(PG!C168="","",PG!C168))</f>
        <v/>
      </c>
    </row>
    <row r="166" spans="20:20" ht="15" hidden="1" customHeight="1" x14ac:dyDescent="0.2">
      <c r="T166" t="str">
        <f>IF(ISERR(
IF(PG!C169="","",PG!C169)),"",IF(PG!C169="","",PG!C169))</f>
        <v/>
      </c>
    </row>
    <row r="167" spans="20:20" ht="15" hidden="1" customHeight="1" x14ac:dyDescent="0.2">
      <c r="T167" t="str">
        <f>IF(ISERR(
IF(PG!C170="","",PG!C170)),"",IF(PG!C170="","",PG!C170))</f>
        <v/>
      </c>
    </row>
    <row r="168" spans="20:20" ht="15" hidden="1" customHeight="1" x14ac:dyDescent="0.2">
      <c r="T168" t="str">
        <f>IF(ISERR(
IF(PG!C171="","",PG!C171)),"",IF(PG!C171="","",PG!C171))</f>
        <v/>
      </c>
    </row>
    <row r="169" spans="20:20" ht="15" hidden="1" customHeight="1" x14ac:dyDescent="0.2">
      <c r="T169" t="str">
        <f>IF(ISERR(
IF(PG!C172="","",PG!C172)),"",IF(PG!C172="","",PG!C172))</f>
        <v/>
      </c>
    </row>
    <row r="170" spans="20:20" ht="15" hidden="1" customHeight="1" x14ac:dyDescent="0.2">
      <c r="T170" t="str">
        <f>IF(ISERR(
IF(PG!C173="","",PG!C173)),"",IF(PG!C173="","",PG!C173))</f>
        <v/>
      </c>
    </row>
    <row r="171" spans="20:20" ht="15" hidden="1" customHeight="1" x14ac:dyDescent="0.2">
      <c r="T171" t="str">
        <f>IF(ISERR(
IF(PG!C174="","",PG!C174)),"",IF(PG!C174="","",PG!C174))</f>
        <v/>
      </c>
    </row>
    <row r="172" spans="20:20" ht="15" hidden="1" customHeight="1" x14ac:dyDescent="0.2">
      <c r="T172" t="str">
        <f>IF(ISERR(
IF(PG!C175="","",PG!C175)),"",IF(PG!C175="","",PG!C175))</f>
        <v/>
      </c>
    </row>
    <row r="173" spans="20:20" ht="15" hidden="1" customHeight="1" x14ac:dyDescent="0.2">
      <c r="T173" t="str">
        <f>IF(ISERR(
IF(PG!C176="","",PG!C176)),"",IF(PG!C176="","",PG!C176))</f>
        <v/>
      </c>
    </row>
    <row r="174" spans="20:20" ht="15" hidden="1" customHeight="1" x14ac:dyDescent="0.2">
      <c r="T174" t="str">
        <f>IF(ISERR(
IF(PG!C177="","",PG!C177)),"",IF(PG!C177="","",PG!C177))</f>
        <v/>
      </c>
    </row>
    <row r="175" spans="20:20" ht="15" hidden="1" customHeight="1" x14ac:dyDescent="0.2">
      <c r="T175" t="str">
        <f>IF(ISERR(
IF(PG!C178="","",PG!C178)),"",IF(PG!C178="","",PG!C178))</f>
        <v/>
      </c>
    </row>
    <row r="176" spans="20:20" ht="15" hidden="1" customHeight="1" x14ac:dyDescent="0.2">
      <c r="T176" t="str">
        <f>IF(ISERR(
IF(PG!C179="","",PG!C179)),"",IF(PG!C179="","",PG!C179))</f>
        <v/>
      </c>
    </row>
    <row r="177" spans="20:20" ht="15" hidden="1" customHeight="1" x14ac:dyDescent="0.2">
      <c r="T177" t="str">
        <f>IF(ISERR(
IF(PG!C180="","",PG!C180)),"",IF(PG!C180="","",PG!C180))</f>
        <v/>
      </c>
    </row>
    <row r="178" spans="20:20" ht="15" hidden="1" customHeight="1" x14ac:dyDescent="0.2">
      <c r="T178" t="str">
        <f>IF(ISERR(
IF(PG!C181="","",PG!C181)),"",IF(PG!C181="","",PG!C181))</f>
        <v/>
      </c>
    </row>
    <row r="179" spans="20:20" ht="15" hidden="1" customHeight="1" x14ac:dyDescent="0.2">
      <c r="T179" t="str">
        <f>IF(ISERR(
IF(PG!C182="","",PG!C182)),"",IF(PG!C182="","",PG!C182))</f>
        <v/>
      </c>
    </row>
    <row r="180" spans="20:20" ht="15" hidden="1" customHeight="1" x14ac:dyDescent="0.2">
      <c r="T180" t="str">
        <f>IF(ISERR(
IF(PG!C183="","",PG!C183)),"",IF(PG!C183="","",PG!C183))</f>
        <v/>
      </c>
    </row>
    <row r="181" spans="20:20" ht="15" hidden="1" customHeight="1" x14ac:dyDescent="0.2">
      <c r="T181" t="str">
        <f>IF(ISERR(
IF(PG!C184="","",PG!C184)),"",IF(PG!C184="","",PG!C184))</f>
        <v/>
      </c>
    </row>
    <row r="182" spans="20:20" ht="15" hidden="1" customHeight="1" x14ac:dyDescent="0.2">
      <c r="T182" t="str">
        <f>IF(ISERR(
IF(PG!C185="","",PG!C185)),"",IF(PG!C185="","",PG!C185))</f>
        <v/>
      </c>
    </row>
    <row r="183" spans="20:20" ht="15" hidden="1" customHeight="1" x14ac:dyDescent="0.2">
      <c r="T183" t="str">
        <f>IF(ISERR(
IF(PG!C186="","",PG!C186)),"",IF(PG!C186="","",PG!C186))</f>
        <v/>
      </c>
    </row>
    <row r="184" spans="20:20" ht="15" hidden="1" customHeight="1" x14ac:dyDescent="0.2">
      <c r="T184" t="str">
        <f>IF(ISERR(
IF(PG!C187="","",PG!C187)),"",IF(PG!C187="","",PG!C187))</f>
        <v/>
      </c>
    </row>
    <row r="185" spans="20:20" ht="15" hidden="1" customHeight="1" x14ac:dyDescent="0.2">
      <c r="T185" t="str">
        <f>IF(ISERR(
IF(PG!C188="","",PG!C188)),"",IF(PG!C188="","",PG!C188))</f>
        <v/>
      </c>
    </row>
    <row r="186" spans="20:20" ht="15" hidden="1" customHeight="1" x14ac:dyDescent="0.2">
      <c r="T186" t="str">
        <f>IF(ISERR(
IF(PG!C189="","",PG!C189)),"",IF(PG!C189="","",PG!C189))</f>
        <v/>
      </c>
    </row>
    <row r="187" spans="20:20" ht="15" hidden="1" customHeight="1" x14ac:dyDescent="0.2">
      <c r="T187" t="str">
        <f>IF(ISERR(
IF(PG!C190="","",PG!C190)),"",IF(PG!C190="","",PG!C190))</f>
        <v/>
      </c>
    </row>
    <row r="188" spans="20:20" ht="15" hidden="1" customHeight="1" x14ac:dyDescent="0.2">
      <c r="T188" t="str">
        <f>IF(ISERR(
IF(PG!C191="","",PG!C191)),"",IF(PG!C191="","",PG!C191))</f>
        <v/>
      </c>
    </row>
    <row r="189" spans="20:20" ht="15" hidden="1" customHeight="1" x14ac:dyDescent="0.2">
      <c r="T189" t="str">
        <f>IF(ISERR(
IF(PG!C192="","",PG!C192)),"",IF(PG!C192="","",PG!C192))</f>
        <v/>
      </c>
    </row>
    <row r="190" spans="20:20" ht="15" hidden="1" customHeight="1" x14ac:dyDescent="0.2">
      <c r="T190" t="str">
        <f>IF(ISERR(
IF(PG!C193="","",PG!C193)),"",IF(PG!C193="","",PG!C193))</f>
        <v/>
      </c>
    </row>
    <row r="191" spans="20:20" ht="15" hidden="1" customHeight="1" x14ac:dyDescent="0.2">
      <c r="T191" t="str">
        <f>IF(ISERR(
IF(PG!C194="","",PG!C194)),"",IF(PG!C194="","",PG!C194))</f>
        <v/>
      </c>
    </row>
    <row r="192" spans="20:20" ht="15" hidden="1" customHeight="1" x14ac:dyDescent="0.2">
      <c r="T192" t="str">
        <f>IF(ISERR(
IF(PG!C195="","",PG!C195)),"",IF(PG!C195="","",PG!C195))</f>
        <v/>
      </c>
    </row>
    <row r="193" spans="20:20" ht="15" hidden="1" customHeight="1" x14ac:dyDescent="0.2">
      <c r="T193" t="str">
        <f>IF(ISERR(
IF(PG!C196="","",PG!C196)),"",IF(PG!C196="","",PG!C196))</f>
        <v/>
      </c>
    </row>
    <row r="194" spans="20:20" ht="15" hidden="1" customHeight="1" x14ac:dyDescent="0.2">
      <c r="T194" t="str">
        <f>IF(ISERR(
IF(PG!C197="","",PG!C197)),"",IF(PG!C197="","",PG!C197))</f>
        <v/>
      </c>
    </row>
    <row r="195" spans="20:20" ht="15" hidden="1" customHeight="1" x14ac:dyDescent="0.2">
      <c r="T195" t="str">
        <f>IF(ISERR(
IF(PG!C198="","",PG!C198)),"",IF(PG!C198="","",PG!C198))</f>
        <v/>
      </c>
    </row>
    <row r="196" spans="20:20" ht="15" hidden="1" customHeight="1" x14ac:dyDescent="0.2">
      <c r="T196" t="str">
        <f>IF(ISERR(
IF(PG!C199="","",PG!C199)),"",IF(PG!C199="","",PG!C199))</f>
        <v/>
      </c>
    </row>
    <row r="197" spans="20:20" ht="15" hidden="1" customHeight="1" x14ac:dyDescent="0.2">
      <c r="T197" t="str">
        <f>IF(ISERR(
IF(PG!C200="","",PG!C200)),"",IF(PG!C200="","",PG!C200))</f>
        <v/>
      </c>
    </row>
    <row r="198" spans="20:20" ht="15" hidden="1" customHeight="1" x14ac:dyDescent="0.2">
      <c r="T198" t="str">
        <f>IF(ISERR(
IF(PG!C201="","",PG!C201)),"",IF(PG!C201="","",PG!C201))</f>
        <v/>
      </c>
    </row>
    <row r="199" spans="20:20" ht="15" hidden="1" customHeight="1" x14ac:dyDescent="0.2">
      <c r="T199" t="str">
        <f>IF(ISERR(
IF(PG!C202="","",PG!C202)),"",IF(PG!C202="","",PG!C202))</f>
        <v/>
      </c>
    </row>
    <row r="200" spans="20:20" ht="15" hidden="1" customHeight="1" x14ac:dyDescent="0.2">
      <c r="T200" t="str">
        <f>IF(ISERR(
IF(PG!C203="","",PG!C203)),"",IF(PG!C203="","",PG!C203))</f>
        <v/>
      </c>
    </row>
    <row r="201" spans="20:20" ht="15" hidden="1" customHeight="1" x14ac:dyDescent="0.2">
      <c r="T201" t="str">
        <f>IF(ISERR(
IF(PG!C204="","",PG!C204)),"",IF(PG!C204="","",PG!C204))</f>
        <v/>
      </c>
    </row>
    <row r="202" spans="20:20" ht="15" hidden="1" customHeight="1" x14ac:dyDescent="0.2">
      <c r="T202" t="str">
        <f>IF(ISERR(
IF(PG!C205="","",PG!C205)),"",IF(PG!C205="","",PG!C205))</f>
        <v/>
      </c>
    </row>
    <row r="203" spans="20:20" ht="15" hidden="1" customHeight="1" x14ac:dyDescent="0.2">
      <c r="T203" t="str">
        <f>IF(ISERR(
IF(PG!C206="","",PG!C206)),"",IF(PG!C206="","",PG!C206))</f>
        <v/>
      </c>
    </row>
    <row r="204" spans="20:20" ht="15" hidden="1" customHeight="1" x14ac:dyDescent="0.2">
      <c r="T204" t="str">
        <f>IF(ISERR(
IF(PG!C207="","",PG!C207)),"",IF(PG!C207="","",PG!C207))</f>
        <v/>
      </c>
    </row>
    <row r="205" spans="20:20" ht="15" hidden="1" customHeight="1" x14ac:dyDescent="0.2">
      <c r="T205" t="str">
        <f>IF(ISERR(
IF(PG!C208="","",PG!C208)),"",IF(PG!C208="","",PG!C208))</f>
        <v/>
      </c>
    </row>
    <row r="206" spans="20:20" ht="15" hidden="1" customHeight="1" x14ac:dyDescent="0.2">
      <c r="T206" t="str">
        <f>IF(ISERR(
IF(PG!C209="","",PG!C209)),"",IF(PG!C209="","",PG!C209))</f>
        <v/>
      </c>
    </row>
    <row r="207" spans="20:20" ht="15" hidden="1" customHeight="1" x14ac:dyDescent="0.2">
      <c r="T207" t="str">
        <f>IF(ISERR(
IF(PG!C210="","",PG!C210)),"",IF(PG!C210="","",PG!C210))</f>
        <v/>
      </c>
    </row>
    <row r="208" spans="20:20" ht="15" hidden="1" customHeight="1" x14ac:dyDescent="0.2">
      <c r="T208" t="str">
        <f>IF(ISERR(
IF(PG!C211="","",PG!C211)),"",IF(PG!C211="","",PG!C211))</f>
        <v/>
      </c>
    </row>
    <row r="209" spans="20:20" ht="15" hidden="1" customHeight="1" x14ac:dyDescent="0.2">
      <c r="T209" t="str">
        <f>IF(ISERR(
IF(PG!C212="","",PG!C212)),"",IF(PG!C212="","",PG!C212))</f>
        <v/>
      </c>
    </row>
    <row r="210" spans="20:20" ht="15" hidden="1" customHeight="1" x14ac:dyDescent="0.2">
      <c r="T210" t="str">
        <f>IF(ISERR(
IF(PG!C213="","",PG!C213)),"",IF(PG!C213="","",PG!C213))</f>
        <v/>
      </c>
    </row>
    <row r="211" spans="20:20" ht="15" hidden="1" customHeight="1" x14ac:dyDescent="0.2">
      <c r="T211" t="str">
        <f>IF(ISERR(
IF(PG!C214="","",PG!C214)),"",IF(PG!C214="","",PG!C214))</f>
        <v/>
      </c>
    </row>
    <row r="212" spans="20:20" ht="15" hidden="1" customHeight="1" x14ac:dyDescent="0.2">
      <c r="T212" t="str">
        <f>IF(ISERR(
IF(PG!C215="","",PG!C215)),"",IF(PG!C215="","",PG!C215))</f>
        <v/>
      </c>
    </row>
    <row r="213" spans="20:20" ht="15" hidden="1" customHeight="1" x14ac:dyDescent="0.2">
      <c r="T213" t="str">
        <f>IF(ISERR(
IF(PG!C216="","",PG!C216)),"",IF(PG!C216="","",PG!C216))</f>
        <v/>
      </c>
    </row>
    <row r="214" spans="20:20" ht="15" hidden="1" customHeight="1" x14ac:dyDescent="0.2">
      <c r="T214" t="str">
        <f>IF(ISERR(
IF(PG!C217="","",PG!C217)),"",IF(PG!C217="","",PG!C217))</f>
        <v/>
      </c>
    </row>
    <row r="215" spans="20:20" ht="15" hidden="1" customHeight="1" x14ac:dyDescent="0.2">
      <c r="T215" t="str">
        <f>IF(ISERR(
IF(PG!C218="","",PG!C218)),"",IF(PG!C218="","",PG!C218))</f>
        <v/>
      </c>
    </row>
    <row r="216" spans="20:20" ht="15" hidden="1" customHeight="1" x14ac:dyDescent="0.2">
      <c r="T216" t="str">
        <f>IF(ISERR(
IF(PG!C219="","",PG!C219)),"",IF(PG!C219="","",PG!C219))</f>
        <v/>
      </c>
    </row>
    <row r="217" spans="20:20" ht="15" hidden="1" customHeight="1" x14ac:dyDescent="0.2">
      <c r="T217" t="str">
        <f>IF(ISERR(
IF(PG!C220="","",PG!C220)),"",IF(PG!C220="","",PG!C220))</f>
        <v/>
      </c>
    </row>
    <row r="218" spans="20:20" ht="15" hidden="1" customHeight="1" x14ac:dyDescent="0.2">
      <c r="T218" t="str">
        <f>IF(ISERR(
IF(PG!C221="","",PG!C221)),"",IF(PG!C221="","",PG!C221))</f>
        <v/>
      </c>
    </row>
    <row r="219" spans="20:20" ht="15" hidden="1" customHeight="1" x14ac:dyDescent="0.2">
      <c r="T219" t="str">
        <f>IF(ISERR(
IF(PG!C222="","",PG!C222)),"",IF(PG!C222="","",PG!C222))</f>
        <v/>
      </c>
    </row>
    <row r="220" spans="20:20" ht="15" hidden="1" customHeight="1" x14ac:dyDescent="0.2">
      <c r="T220" t="str">
        <f>IF(ISERR(
IF(PG!C223="","",PG!C223)),"",IF(PG!C223="","",PG!C223))</f>
        <v/>
      </c>
    </row>
    <row r="221" spans="20:20" ht="15" hidden="1" customHeight="1" x14ac:dyDescent="0.2">
      <c r="T221" t="str">
        <f>IF(ISERR(
IF(PG!C224="","",PG!C224)),"",IF(PG!C224="","",PG!C224))</f>
        <v/>
      </c>
    </row>
    <row r="222" spans="20:20" ht="15" hidden="1" customHeight="1" x14ac:dyDescent="0.2">
      <c r="T222" t="str">
        <f>IF(ISERR(
IF(PG!C225="","",PG!C225)),"",IF(PG!C225="","",PG!C225))</f>
        <v/>
      </c>
    </row>
    <row r="223" spans="20:20" ht="15" hidden="1" customHeight="1" x14ac:dyDescent="0.2">
      <c r="T223" t="str">
        <f>IF(ISERR(
IF(PG!C226="","",PG!C226)),"",IF(PG!C226="","",PG!C226))</f>
        <v/>
      </c>
    </row>
    <row r="224" spans="20:20" ht="15" hidden="1" customHeight="1" x14ac:dyDescent="0.2">
      <c r="T224" t="str">
        <f>IF(ISERR(
IF(PG!C227="","",PG!C227)),"",IF(PG!C227="","",PG!C227))</f>
        <v/>
      </c>
    </row>
    <row r="225" spans="20:20" ht="15" hidden="1" customHeight="1" x14ac:dyDescent="0.2">
      <c r="T225" t="str">
        <f>IF(ISERR(
IF(PG!C228="","",PG!C228)),"",IF(PG!C228="","",PG!C228))</f>
        <v/>
      </c>
    </row>
    <row r="226" spans="20:20" ht="15" hidden="1" customHeight="1" x14ac:dyDescent="0.2">
      <c r="T226" t="str">
        <f>IF(ISERR(
IF(PG!C229="","",PG!C229)),"",IF(PG!C229="","",PG!C229))</f>
        <v/>
      </c>
    </row>
    <row r="227" spans="20:20" ht="15" hidden="1" customHeight="1" x14ac:dyDescent="0.2">
      <c r="T227" t="str">
        <f>IF(ISERR(
IF(PG!C230="","",PG!C230)),"",IF(PG!C230="","",PG!C230))</f>
        <v/>
      </c>
    </row>
    <row r="228" spans="20:20" ht="15" hidden="1" customHeight="1" x14ac:dyDescent="0.2">
      <c r="T228" t="str">
        <f>IF(ISERR(
IF(PG!C231="","",PG!C231)),"",IF(PG!C231="","",PG!C231))</f>
        <v/>
      </c>
    </row>
    <row r="229" spans="20:20" ht="15" hidden="1" customHeight="1" x14ac:dyDescent="0.2">
      <c r="T229" t="str">
        <f>IF(ISERR(
IF(PG!C232="","",PG!C232)),"",IF(PG!C232="","",PG!C232))</f>
        <v/>
      </c>
    </row>
    <row r="230" spans="20:20" ht="15" hidden="1" customHeight="1" x14ac:dyDescent="0.2">
      <c r="T230" t="str">
        <f>IF(ISERR(
IF(PG!C233="","",PG!C233)),"",IF(PG!C233="","",PG!C233))</f>
        <v/>
      </c>
    </row>
    <row r="231" spans="20:20" ht="15" hidden="1" customHeight="1" x14ac:dyDescent="0.2">
      <c r="T231" t="str">
        <f>IF(ISERR(
IF(PG!C234="","",PG!C234)),"",IF(PG!C234="","",PG!C234))</f>
        <v/>
      </c>
    </row>
    <row r="232" spans="20:20" ht="15" hidden="1" customHeight="1" x14ac:dyDescent="0.2">
      <c r="T232" t="str">
        <f>IF(ISERR(
IF(PG!C235="","",PG!C235)),"",IF(PG!C235="","",PG!C235))</f>
        <v/>
      </c>
    </row>
    <row r="233" spans="20:20" ht="15" hidden="1" customHeight="1" x14ac:dyDescent="0.2">
      <c r="T233" t="str">
        <f>IF(ISERR(
IF(PG!C236="","",PG!C236)),"",IF(PG!C236="","",PG!C236))</f>
        <v/>
      </c>
    </row>
    <row r="234" spans="20:20" ht="15" hidden="1" customHeight="1" x14ac:dyDescent="0.2">
      <c r="T234" t="str">
        <f>IF(ISERR(
IF(PG!C237="","",PG!C237)),"",IF(PG!C237="","",PG!C237))</f>
        <v/>
      </c>
    </row>
    <row r="235" spans="20:20" ht="15" hidden="1" customHeight="1" x14ac:dyDescent="0.2">
      <c r="T235" t="str">
        <f>IF(ISERR(
IF(PG!C238="","",PG!C238)),"",IF(PG!C238="","",PG!C238))</f>
        <v/>
      </c>
    </row>
    <row r="236" spans="20:20" ht="15" hidden="1" customHeight="1" x14ac:dyDescent="0.2">
      <c r="T236" t="str">
        <f>IF(ISERR(
IF(PG!C239="","",PG!C239)),"",IF(PG!C239="","",PG!C239))</f>
        <v/>
      </c>
    </row>
    <row r="237" spans="20:20" ht="15" hidden="1" customHeight="1" x14ac:dyDescent="0.2">
      <c r="T237" t="str">
        <f>IF(ISERR(
IF(PG!C240="","",PG!C240)),"",IF(PG!C240="","",PG!C240))</f>
        <v/>
      </c>
    </row>
    <row r="238" spans="20:20" ht="15" hidden="1" customHeight="1" x14ac:dyDescent="0.2">
      <c r="T238" t="str">
        <f>IF(ISERR(
IF(PG!C241="","",PG!C241)),"",IF(PG!C241="","",PG!C241))</f>
        <v/>
      </c>
    </row>
    <row r="239" spans="20:20" ht="15" hidden="1" customHeight="1" x14ac:dyDescent="0.2">
      <c r="T239" t="str">
        <f>IF(ISERR(
IF(PG!C242="","",PG!C242)),"",IF(PG!C242="","",PG!C242))</f>
        <v/>
      </c>
    </row>
    <row r="240" spans="20:20" ht="15" hidden="1" customHeight="1" x14ac:dyDescent="0.2">
      <c r="T240" t="str">
        <f>IF(ISERR(
IF(PG!C243="","",PG!C243)),"",IF(PG!C243="","",PG!C243))</f>
        <v/>
      </c>
    </row>
    <row r="241" spans="20:20" ht="15" hidden="1" customHeight="1" x14ac:dyDescent="0.2">
      <c r="T241" t="str">
        <f>IF(ISERR(
IF(PG!C244="","",PG!C244)),"",IF(PG!C244="","",PG!C244))</f>
        <v/>
      </c>
    </row>
    <row r="242" spans="20:20" ht="15" hidden="1" customHeight="1" x14ac:dyDescent="0.2">
      <c r="T242" t="str">
        <f>IF(ISERR(
IF(PG!C245="","",PG!C245)),"",IF(PG!C245="","",PG!C245))</f>
        <v/>
      </c>
    </row>
    <row r="243" spans="20:20" ht="15" hidden="1" customHeight="1" x14ac:dyDescent="0.2">
      <c r="T243" t="str">
        <f>IF(ISERR(
IF(PG!C246="","",PG!C246)),"",IF(PG!C246="","",PG!C246))</f>
        <v/>
      </c>
    </row>
    <row r="244" spans="20:20" ht="15" hidden="1" customHeight="1" x14ac:dyDescent="0.2">
      <c r="T244" t="str">
        <f>IF(ISERR(
IF(PG!C247="","",PG!C247)),"",IF(PG!C247="","",PG!C247))</f>
        <v/>
      </c>
    </row>
    <row r="245" spans="20:20" ht="15" hidden="1" customHeight="1" x14ac:dyDescent="0.2">
      <c r="T245" t="str">
        <f>IF(ISERR(
IF(PG!C248="","",PG!C248)),"",IF(PG!C248="","",PG!C248))</f>
        <v/>
      </c>
    </row>
    <row r="246" spans="20:20" ht="15" hidden="1" customHeight="1" x14ac:dyDescent="0.2">
      <c r="T246" t="str">
        <f>IF(ISERR(
IF(PG!C249="","",PG!C249)),"",IF(PG!C249="","",PG!C249))</f>
        <v/>
      </c>
    </row>
    <row r="247" spans="20:20" ht="15" hidden="1" customHeight="1" x14ac:dyDescent="0.2">
      <c r="T247" t="str">
        <f>IF(ISERR(
IF(PG!C250="","",PG!C250)),"",IF(PG!C250="","",PG!C250))</f>
        <v/>
      </c>
    </row>
    <row r="248" spans="20:20" ht="15" hidden="1" customHeight="1" x14ac:dyDescent="0.2">
      <c r="T248" t="str">
        <f>IF(ISERR(
IF(PG!C251="","",PG!C251)),"",IF(PG!C251="","",PG!C251))</f>
        <v/>
      </c>
    </row>
    <row r="249" spans="20:20" ht="15" hidden="1" customHeight="1" x14ac:dyDescent="0.2">
      <c r="T249" t="str">
        <f>IF(ISERR(
IF(PG!C252="","",PG!C252)),"",IF(PG!C252="","",PG!C252))</f>
        <v/>
      </c>
    </row>
    <row r="250" spans="20:20" ht="15" hidden="1" customHeight="1" x14ac:dyDescent="0.2">
      <c r="T250" t="str">
        <f>IF(ISERR(
IF(PG!C253="","",PG!C253)),"",IF(PG!C253="","",PG!C253))</f>
        <v/>
      </c>
    </row>
    <row r="251" spans="20:20" ht="15" hidden="1" customHeight="1" x14ac:dyDescent="0.2">
      <c r="T251" t="str">
        <f>IF(ISERR(
IF(PG!C254="","",PG!C254)),"",IF(PG!C254="","",PG!C254))</f>
        <v/>
      </c>
    </row>
    <row r="252" spans="20:20" ht="15" hidden="1" customHeight="1" x14ac:dyDescent="0.2">
      <c r="T252" t="str">
        <f>IF(ISERR(
IF(PG!C255="","",PG!C255)),"",IF(PG!C255="","",PG!C255))</f>
        <v/>
      </c>
    </row>
    <row r="253" spans="20:20" ht="15" hidden="1" customHeight="1" x14ac:dyDescent="0.2">
      <c r="T253" t="str">
        <f>IF(ISERR(
IF(PG!C256="","",PG!C256)),"",IF(PG!C256="","",PG!C256))</f>
        <v/>
      </c>
    </row>
    <row r="254" spans="20:20" ht="15" hidden="1" customHeight="1" x14ac:dyDescent="0.2">
      <c r="T254" t="str">
        <f>IF(ISERR(
IF(PG!C257="","",PG!C257)),"",IF(PG!C257="","",PG!C257))</f>
        <v/>
      </c>
    </row>
    <row r="255" spans="20:20" ht="15" hidden="1" customHeight="1" x14ac:dyDescent="0.2">
      <c r="T255" t="str">
        <f>IF(ISERR(
IF(PG!C258="","",PG!C258)),"",IF(PG!C258="","",PG!C258))</f>
        <v/>
      </c>
    </row>
    <row r="256" spans="20:20" ht="15" hidden="1" customHeight="1" x14ac:dyDescent="0.2">
      <c r="T256" t="str">
        <f>IF(ISERR(
IF(PG!C259="","",PG!C259)),"",IF(PG!C259="","",PG!C259))</f>
        <v/>
      </c>
    </row>
    <row r="257" spans="20:20" ht="15" hidden="1" customHeight="1" x14ac:dyDescent="0.2">
      <c r="T257" t="str">
        <f>IF(ISERR(
IF(PG!C260="","",PG!C260)),"",IF(PG!C260="","",PG!C260))</f>
        <v/>
      </c>
    </row>
    <row r="258" spans="20:20" ht="15" hidden="1" customHeight="1" x14ac:dyDescent="0.2">
      <c r="T258" t="str">
        <f>IF(ISERR(
IF(PG!C261="","",PG!C261)),"",IF(PG!C261="","",PG!C261))</f>
        <v/>
      </c>
    </row>
    <row r="259" spans="20:20" ht="15" hidden="1" customHeight="1" x14ac:dyDescent="0.2">
      <c r="T259" t="str">
        <f>IF(ISERR(
IF(PG!C262="","",PG!C262)),"",IF(PG!C262="","",PG!C262))</f>
        <v/>
      </c>
    </row>
    <row r="260" spans="20:20" ht="15" hidden="1" customHeight="1" x14ac:dyDescent="0.2">
      <c r="T260" t="str">
        <f>IF(ISERR(
IF(PG!C263="","",PG!C263)),"",IF(PG!C263="","",PG!C263))</f>
        <v/>
      </c>
    </row>
    <row r="261" spans="20:20" ht="15" hidden="1" customHeight="1" x14ac:dyDescent="0.2">
      <c r="T261" t="str">
        <f>IF(ISERR(
IF(PG!C264="","",PG!C264)),"",IF(PG!C264="","",PG!C264))</f>
        <v/>
      </c>
    </row>
    <row r="262" spans="20:20" ht="15" hidden="1" customHeight="1" x14ac:dyDescent="0.2">
      <c r="T262" t="str">
        <f>IF(ISERR(
IF(PG!C265="","",PG!C265)),"",IF(PG!C265="","",PG!C265))</f>
        <v/>
      </c>
    </row>
    <row r="263" spans="20:20" ht="15" hidden="1" customHeight="1" x14ac:dyDescent="0.2">
      <c r="T263" t="str">
        <f>IF(ISERR(
IF(PG!C266="","",PG!C266)),"",IF(PG!C266="","",PG!C266))</f>
        <v/>
      </c>
    </row>
    <row r="264" spans="20:20" ht="15" hidden="1" customHeight="1" x14ac:dyDescent="0.2">
      <c r="T264" t="str">
        <f>IF(ISERR(
IF(PG!C267="","",PG!C267)),"",IF(PG!C267="","",PG!C267))</f>
        <v/>
      </c>
    </row>
    <row r="265" spans="20:20" ht="15" hidden="1" customHeight="1" x14ac:dyDescent="0.2">
      <c r="T265" t="str">
        <f>IF(ISERR(
IF(PG!C268="","",PG!C268)),"",IF(PG!C268="","",PG!C268))</f>
        <v/>
      </c>
    </row>
    <row r="266" spans="20:20" ht="15" hidden="1" customHeight="1" x14ac:dyDescent="0.2">
      <c r="T266" t="str">
        <f>IF(ISERR(
IF(PG!C269="","",PG!C269)),"",IF(PG!C269="","",PG!C269))</f>
        <v/>
      </c>
    </row>
    <row r="267" spans="20:20" ht="15" hidden="1" customHeight="1" x14ac:dyDescent="0.2">
      <c r="T267" t="str">
        <f>IF(ISERR(
IF(PG!C270="","",PG!C270)),"",IF(PG!C270="","",PG!C270))</f>
        <v/>
      </c>
    </row>
    <row r="268" spans="20:20" ht="15" hidden="1" customHeight="1" x14ac:dyDescent="0.2">
      <c r="T268" t="str">
        <f>IF(ISERR(
IF(PG!C271="","",PG!C271)),"",IF(PG!C271="","",PG!C271))</f>
        <v/>
      </c>
    </row>
    <row r="269" spans="20:20" ht="15" hidden="1" customHeight="1" x14ac:dyDescent="0.2">
      <c r="T269" t="str">
        <f>IF(ISERR(
IF(PG!C272="","",PG!C272)),"",IF(PG!C272="","",PG!C272))</f>
        <v/>
      </c>
    </row>
    <row r="270" spans="20:20" ht="15" hidden="1" customHeight="1" x14ac:dyDescent="0.2">
      <c r="T270" t="str">
        <f>IF(ISERR(
IF(PG!C273="","",PG!C273)),"",IF(PG!C273="","",PG!C273))</f>
        <v/>
      </c>
    </row>
    <row r="271" spans="20:20" ht="15" hidden="1" customHeight="1" x14ac:dyDescent="0.2">
      <c r="T271" t="str">
        <f>IF(ISERR(
IF(PG!C274="","",PG!C274)),"",IF(PG!C274="","",PG!C274))</f>
        <v/>
      </c>
    </row>
    <row r="272" spans="20:20" ht="15" hidden="1" customHeight="1" x14ac:dyDescent="0.2">
      <c r="T272" t="str">
        <f>IF(ISERR(
IF(PG!C275="","",PG!C275)),"",IF(PG!C275="","",PG!C275))</f>
        <v/>
      </c>
    </row>
    <row r="273" spans="20:20" ht="15" hidden="1" customHeight="1" x14ac:dyDescent="0.2">
      <c r="T273" t="str">
        <f>IF(ISERR(
IF(PG!C276="","",PG!C276)),"",IF(PG!C276="","",PG!C276))</f>
        <v/>
      </c>
    </row>
    <row r="274" spans="20:20" ht="15" hidden="1" customHeight="1" x14ac:dyDescent="0.2">
      <c r="T274" t="str">
        <f>IF(ISERR(
IF(PG!C277="","",PG!C277)),"",IF(PG!C277="","",PG!C277))</f>
        <v/>
      </c>
    </row>
    <row r="275" spans="20:20" ht="15" hidden="1" customHeight="1" x14ac:dyDescent="0.2">
      <c r="T275" t="str">
        <f>IF(ISERR(
IF(PG!C278="","",PG!C278)),"",IF(PG!C278="","",PG!C278))</f>
        <v/>
      </c>
    </row>
    <row r="276" spans="20:20" ht="15" hidden="1" customHeight="1" x14ac:dyDescent="0.2">
      <c r="T276" t="str">
        <f>IF(ISERR(
IF(PG!C279="","",PG!C279)),"",IF(PG!C279="","",PG!C279))</f>
        <v/>
      </c>
    </row>
    <row r="277" spans="20:20" ht="15" hidden="1" customHeight="1" x14ac:dyDescent="0.2">
      <c r="T277" t="str">
        <f>IF(ISERR(
IF(PG!C280="","",PG!C280)),"",IF(PG!C280="","",PG!C280))</f>
        <v/>
      </c>
    </row>
    <row r="278" spans="20:20" ht="15" hidden="1" customHeight="1" x14ac:dyDescent="0.2">
      <c r="T278" t="str">
        <f>IF(ISERR(
IF(PG!C281="","",PG!C281)),"",IF(PG!C281="","",PG!C281))</f>
        <v/>
      </c>
    </row>
    <row r="279" spans="20:20" ht="15" hidden="1" customHeight="1" x14ac:dyDescent="0.2">
      <c r="T279" t="str">
        <f>IF(ISERR(
IF(PG!C282="","",PG!C282)),"",IF(PG!C282="","",PG!C282))</f>
        <v/>
      </c>
    </row>
    <row r="280" spans="20:20" ht="15" hidden="1" customHeight="1" x14ac:dyDescent="0.2">
      <c r="T280" t="str">
        <f>IF(ISERR(
IF(PG!C283="","",PG!C283)),"",IF(PG!C283="","",PG!C283))</f>
        <v/>
      </c>
    </row>
    <row r="281" spans="20:20" ht="15" hidden="1" customHeight="1" x14ac:dyDescent="0.2">
      <c r="T281" t="str">
        <f>IF(ISERR(
IF(PG!C284="","",PG!C284)),"",IF(PG!C284="","",PG!C284))</f>
        <v/>
      </c>
    </row>
    <row r="282" spans="20:20" ht="15" hidden="1" customHeight="1" x14ac:dyDescent="0.2">
      <c r="T282" t="str">
        <f>IF(ISERR(
IF(PG!C285="","",PG!C285)),"",IF(PG!C285="","",PG!C285))</f>
        <v/>
      </c>
    </row>
    <row r="283" spans="20:20" ht="15" hidden="1" customHeight="1" x14ac:dyDescent="0.2">
      <c r="T283" t="str">
        <f>IF(ISERR(
IF(PG!C286="","",PG!C286)),"",IF(PG!C286="","",PG!C286))</f>
        <v/>
      </c>
    </row>
    <row r="284" spans="20:20" ht="15" hidden="1" customHeight="1" x14ac:dyDescent="0.2">
      <c r="T284" t="str">
        <f>IF(ISERR(
IF(PG!C287="","",PG!C287)),"",IF(PG!C287="","",PG!C287))</f>
        <v/>
      </c>
    </row>
    <row r="285" spans="20:20" ht="15" hidden="1" customHeight="1" x14ac:dyDescent="0.2">
      <c r="T285" t="str">
        <f>IF(ISERR(
IF(PG!C288="","",PG!C288)),"",IF(PG!C288="","",PG!C288))</f>
        <v/>
      </c>
    </row>
    <row r="286" spans="20:20" ht="15" hidden="1" customHeight="1" x14ac:dyDescent="0.2">
      <c r="T286" t="str">
        <f>IF(ISERR(
IF(PG!C289="","",PG!C289)),"",IF(PG!C289="","",PG!C289))</f>
        <v/>
      </c>
    </row>
    <row r="287" spans="20:20" ht="15" hidden="1" customHeight="1" x14ac:dyDescent="0.2">
      <c r="T287" t="str">
        <f>IF(ISERR(
IF(PG!C290="","",PG!C290)),"",IF(PG!C290="","",PG!C290))</f>
        <v/>
      </c>
    </row>
    <row r="288" spans="20:20" ht="15" hidden="1" customHeight="1" x14ac:dyDescent="0.2">
      <c r="T288" t="str">
        <f>IF(ISERR(
IF(PG!C291="","",PG!C291)),"",IF(PG!C291="","",PG!C291))</f>
        <v/>
      </c>
    </row>
    <row r="289" spans="20:20" ht="15" hidden="1" customHeight="1" x14ac:dyDescent="0.2">
      <c r="T289" t="str">
        <f>IF(ISERR(
IF(PG!C292="","",PG!C292)),"",IF(PG!C292="","",PG!C292))</f>
        <v/>
      </c>
    </row>
    <row r="290" spans="20:20" ht="15" hidden="1" customHeight="1" x14ac:dyDescent="0.2">
      <c r="T290" t="str">
        <f>IF(ISERR(
IF(PG!C293="","",PG!C293)),"",IF(PG!C293="","",PG!C293))</f>
        <v/>
      </c>
    </row>
    <row r="291" spans="20:20" ht="15" hidden="1" customHeight="1" x14ac:dyDescent="0.2">
      <c r="T291" t="str">
        <f>IF(ISERR(
IF(PG!C294="","",PG!C294)),"",IF(PG!C294="","",PG!C294))</f>
        <v/>
      </c>
    </row>
    <row r="292" spans="20:20" ht="15" hidden="1" customHeight="1" x14ac:dyDescent="0.2">
      <c r="T292" t="str">
        <f>IF(ISERR(
IF(PG!C295="","",PG!C295)),"",IF(PG!C295="","",PG!C295))</f>
        <v/>
      </c>
    </row>
    <row r="293" spans="20:20" ht="15" hidden="1" customHeight="1" x14ac:dyDescent="0.2">
      <c r="T293" t="str">
        <f>IF(ISERR(
IF(PG!C296="","",PG!C296)),"",IF(PG!C296="","",PG!C296))</f>
        <v/>
      </c>
    </row>
    <row r="294" spans="20:20" ht="15" hidden="1" customHeight="1" x14ac:dyDescent="0.2">
      <c r="T294" t="str">
        <f>IF(ISERR(
IF(PG!C297="","",PG!C297)),"",IF(PG!C297="","",PG!C297))</f>
        <v/>
      </c>
    </row>
    <row r="295" spans="20:20" ht="15" hidden="1" customHeight="1" x14ac:dyDescent="0.2">
      <c r="T295" t="str">
        <f>IF(ISERR(
IF(PG!C298="","",PG!C298)),"",IF(PG!C298="","",PG!C298))</f>
        <v/>
      </c>
    </row>
    <row r="296" spans="20:20" ht="15" hidden="1" customHeight="1" x14ac:dyDescent="0.2">
      <c r="T296" t="str">
        <f>IF(ISERR(
IF(PG!C299="","",PG!C299)),"",IF(PG!C299="","",PG!C299))</f>
        <v/>
      </c>
    </row>
    <row r="297" spans="20:20" ht="15" hidden="1" customHeight="1" x14ac:dyDescent="0.2">
      <c r="T297" t="str">
        <f>IF(ISERR(
IF(PG!C300="","",PG!C300)),"",IF(PG!C300="","",PG!C300))</f>
        <v/>
      </c>
    </row>
    <row r="298" spans="20:20" ht="15" hidden="1" customHeight="1" x14ac:dyDescent="0.2">
      <c r="T298" t="str">
        <f>IF(ISERR(
IF(PG!C301="","",PG!C301)),"",IF(PG!C301="","",PG!C301))</f>
        <v/>
      </c>
    </row>
    <row r="299" spans="20:20" ht="15" hidden="1" customHeight="1" x14ac:dyDescent="0.2">
      <c r="T299" t="str">
        <f>IF(ISERR(
IF(PG!C302="","",PG!C302)),"",IF(PG!C302="","",PG!C302))</f>
        <v/>
      </c>
    </row>
    <row r="300" spans="20:20" ht="15" hidden="1" customHeight="1" x14ac:dyDescent="0.2">
      <c r="T300" t="str">
        <f>IF(ISERR(
IF(PG!C303="","",PG!C303)),"",IF(PG!C303="","",PG!C303))</f>
        <v/>
      </c>
    </row>
    <row r="301" spans="20:20" ht="15" hidden="1" customHeight="1" x14ac:dyDescent="0.2">
      <c r="T301" t="str">
        <f>IF(ISERR(
IF(PG!C304="","",PG!C304)),"",IF(PG!C304="","",PG!C304))</f>
        <v/>
      </c>
    </row>
    <row r="302" spans="20:20" ht="15" hidden="1" customHeight="1" x14ac:dyDescent="0.2">
      <c r="T302" t="str">
        <f>IF(ISERR(
IF(PG!C305="","",PG!C305)),"",IF(PG!C305="","",PG!C305))</f>
        <v/>
      </c>
    </row>
    <row r="303" spans="20:20" ht="15" hidden="1" customHeight="1" x14ac:dyDescent="0.2">
      <c r="T303" t="str">
        <f>IF(ISERR(
IF(PG!C306="","",PG!C306)),"",IF(PG!C306="","",PG!C306))</f>
        <v/>
      </c>
    </row>
    <row r="304" spans="20:20" ht="15" hidden="1" customHeight="1" x14ac:dyDescent="0.2">
      <c r="T304" t="str">
        <f>IF(ISERR(
IF(PG!C307="","",PG!C307)),"",IF(PG!C307="","",PG!C307))</f>
        <v/>
      </c>
    </row>
    <row r="305" spans="20:20" ht="15" hidden="1" customHeight="1" x14ac:dyDescent="0.2">
      <c r="T305" t="str">
        <f>IF(ISERR(
IF(PG!C308="","",PG!C308)),"",IF(PG!C308="","",PG!C308))</f>
        <v/>
      </c>
    </row>
    <row r="306" spans="20:20" ht="15" hidden="1" customHeight="1" x14ac:dyDescent="0.2">
      <c r="T306" t="str">
        <f>IF(ISERR(
IF(PG!C309="","",PG!C309)),"",IF(PG!C309="","",PG!C309))</f>
        <v/>
      </c>
    </row>
    <row r="307" spans="20:20" ht="15" hidden="1" customHeight="1" x14ac:dyDescent="0.2">
      <c r="T307" t="str">
        <f>IF(ISERR(
IF(PG!C310="","",PG!C310)),"",IF(PG!C310="","",PG!C310))</f>
        <v/>
      </c>
    </row>
    <row r="308" spans="20:20" ht="15" hidden="1" customHeight="1" x14ac:dyDescent="0.2">
      <c r="T308" t="str">
        <f>IF(ISERR(
IF(PG!C311="","",PG!C311)),"",IF(PG!C311="","",PG!C311))</f>
        <v/>
      </c>
    </row>
    <row r="309" spans="20:20" ht="15" hidden="1" customHeight="1" x14ac:dyDescent="0.2">
      <c r="T309" t="str">
        <f>IF(ISERR(
IF(PG!C312="","",PG!C312)),"",IF(PG!C312="","",PG!C312))</f>
        <v/>
      </c>
    </row>
    <row r="310" spans="20:20" ht="15" hidden="1" customHeight="1" x14ac:dyDescent="0.2">
      <c r="T310" t="str">
        <f>IF(ISERR(
IF(PG!C313="","",PG!C313)),"",IF(PG!C313="","",PG!C313))</f>
        <v/>
      </c>
    </row>
    <row r="311" spans="20:20" ht="15" hidden="1" customHeight="1" x14ac:dyDescent="0.2">
      <c r="T311" t="str">
        <f>IF(ISERR(
IF(PG!C314="","",PG!C314)),"",IF(PG!C314="","",PG!C314))</f>
        <v/>
      </c>
    </row>
    <row r="312" spans="20:20" ht="15" hidden="1" customHeight="1" x14ac:dyDescent="0.2">
      <c r="T312" t="str">
        <f>IF(ISERR(
IF(PG!C315="","",PG!C315)),"",IF(PG!C315="","",PG!C315))</f>
        <v/>
      </c>
    </row>
    <row r="313" spans="20:20" ht="15" hidden="1" customHeight="1" x14ac:dyDescent="0.2">
      <c r="T313" t="str">
        <f>IF(ISERR(
IF(PG!C316="","",PG!C316)),"",IF(PG!C316="","",PG!C316))</f>
        <v/>
      </c>
    </row>
    <row r="314" spans="20:20" ht="15" hidden="1" customHeight="1" x14ac:dyDescent="0.2">
      <c r="T314" t="str">
        <f>IF(ISERR(
IF(PG!C317="","",PG!C317)),"",IF(PG!C317="","",PG!C317))</f>
        <v/>
      </c>
    </row>
    <row r="315" spans="20:20" ht="15" hidden="1" customHeight="1" x14ac:dyDescent="0.2">
      <c r="T315" t="str">
        <f>IF(ISERR(
IF(PG!C318="","",PG!C318)),"",IF(PG!C318="","",PG!C318))</f>
        <v/>
      </c>
    </row>
    <row r="316" spans="20:20" ht="15" hidden="1" customHeight="1" x14ac:dyDescent="0.2">
      <c r="T316" t="str">
        <f>IF(ISERR(
IF(PG!C319="","",PG!C319)),"",IF(PG!C319="","",PG!C319))</f>
        <v/>
      </c>
    </row>
    <row r="317" spans="20:20" ht="15" hidden="1" customHeight="1" x14ac:dyDescent="0.2">
      <c r="T317" t="str">
        <f>IF(ISERR(
IF(PG!C320="","",PG!C320)),"",IF(PG!C320="","",PG!C320))</f>
        <v/>
      </c>
    </row>
    <row r="318" spans="20:20" ht="15" hidden="1" customHeight="1" x14ac:dyDescent="0.2">
      <c r="T318" t="str">
        <f>IF(ISERR(
IF(PG!C321="","",PG!C321)),"",IF(PG!C321="","",PG!C321))</f>
        <v/>
      </c>
    </row>
    <row r="319" spans="20:20" ht="15" hidden="1" customHeight="1" x14ac:dyDescent="0.2">
      <c r="T319" t="str">
        <f>IF(ISERR(
IF(PG!C322="","",PG!C322)),"",IF(PG!C322="","",PG!C322))</f>
        <v/>
      </c>
    </row>
    <row r="320" spans="20:20" ht="15" hidden="1" customHeight="1" x14ac:dyDescent="0.2">
      <c r="T320" t="str">
        <f>IF(ISERR(
IF(PG!C323="","",PG!C323)),"",IF(PG!C323="","",PG!C323))</f>
        <v/>
      </c>
    </row>
    <row r="321" spans="20:20" ht="15" hidden="1" customHeight="1" x14ac:dyDescent="0.2">
      <c r="T321" t="str">
        <f>IF(ISERR(
IF(PG!C324="","",PG!C324)),"",IF(PG!C324="","",PG!C324))</f>
        <v/>
      </c>
    </row>
    <row r="322" spans="20:20" ht="15" hidden="1" customHeight="1" x14ac:dyDescent="0.2">
      <c r="T322" t="str">
        <f>IF(ISERR(
IF(PG!C325="","",PG!C325)),"",IF(PG!C325="","",PG!C325))</f>
        <v/>
      </c>
    </row>
    <row r="323" spans="20:20" ht="15" hidden="1" customHeight="1" x14ac:dyDescent="0.2">
      <c r="T323" t="str">
        <f>IF(ISERR(
IF(PG!C326="","",PG!C326)),"",IF(PG!C326="","",PG!C326))</f>
        <v/>
      </c>
    </row>
    <row r="324" spans="20:20" ht="15" hidden="1" customHeight="1" x14ac:dyDescent="0.2">
      <c r="T324" t="str">
        <f>IF(ISERR(
IF(PG!C327="","",PG!C327)),"",IF(PG!C327="","",PG!C327))</f>
        <v/>
      </c>
    </row>
    <row r="325" spans="20:20" ht="15" hidden="1" customHeight="1" x14ac:dyDescent="0.2">
      <c r="T325" t="str">
        <f>IF(ISERR(
IF(PG!C328="","",PG!C328)),"",IF(PG!C328="","",PG!C328))</f>
        <v/>
      </c>
    </row>
    <row r="326" spans="20:20" ht="15" hidden="1" customHeight="1" x14ac:dyDescent="0.2">
      <c r="T326" t="str">
        <f>IF(ISERR(
IF(PG!C329="","",PG!C329)),"",IF(PG!C329="","",PG!C329))</f>
        <v/>
      </c>
    </row>
    <row r="327" spans="20:20" ht="15" hidden="1" customHeight="1" x14ac:dyDescent="0.2">
      <c r="T327" t="str">
        <f>IF(ISERR(
IF(PG!C330="","",PG!C330)),"",IF(PG!C330="","",PG!C330))</f>
        <v/>
      </c>
    </row>
    <row r="328" spans="20:20" ht="15" hidden="1" customHeight="1" x14ac:dyDescent="0.2">
      <c r="T328" t="str">
        <f>IF(ISERR(
IF(PG!C331="","",PG!C331)),"",IF(PG!C331="","",PG!C331))</f>
        <v/>
      </c>
    </row>
    <row r="329" spans="20:20" ht="15" hidden="1" customHeight="1" x14ac:dyDescent="0.2">
      <c r="T329" t="str">
        <f>IF(ISERR(
IF(PG!C332="","",PG!C332)),"",IF(PG!C332="","",PG!C332))</f>
        <v/>
      </c>
    </row>
    <row r="330" spans="20:20" ht="15" hidden="1" customHeight="1" x14ac:dyDescent="0.2">
      <c r="T330" t="str">
        <f>IF(ISERR(
IF(PG!C333="","",PG!C333)),"",IF(PG!C333="","",PG!C333))</f>
        <v/>
      </c>
    </row>
    <row r="331" spans="20:20" ht="15" hidden="1" customHeight="1" x14ac:dyDescent="0.2">
      <c r="T331" t="str">
        <f>IF(ISERR(
IF(PG!C334="","",PG!C334)),"",IF(PG!C334="","",PG!C334))</f>
        <v/>
      </c>
    </row>
    <row r="332" spans="20:20" ht="15" hidden="1" customHeight="1" x14ac:dyDescent="0.2">
      <c r="T332" t="str">
        <f>IF(ISERR(
IF(PG!C335="","",PG!C335)),"",IF(PG!C335="","",PG!C335))</f>
        <v/>
      </c>
    </row>
    <row r="333" spans="20:20" ht="15" hidden="1" customHeight="1" x14ac:dyDescent="0.2">
      <c r="T333" t="str">
        <f>IF(ISERR(
IF(PG!C336="","",PG!C336)),"",IF(PG!C336="","",PG!C336))</f>
        <v/>
      </c>
    </row>
    <row r="334" spans="20:20" ht="15" hidden="1" customHeight="1" x14ac:dyDescent="0.2">
      <c r="T334" t="str">
        <f>IF(ISERR(
IF(PG!C337="","",PG!C337)),"",IF(PG!C337="","",PG!C337))</f>
        <v/>
      </c>
    </row>
    <row r="335" spans="20:20" ht="15" hidden="1" customHeight="1" x14ac:dyDescent="0.2">
      <c r="T335" t="str">
        <f>IF(ISERR(
IF(PG!C338="","",PG!C338)),"",IF(PG!C338="","",PG!C338))</f>
        <v/>
      </c>
    </row>
    <row r="336" spans="20:20" ht="15" hidden="1" customHeight="1" x14ac:dyDescent="0.2">
      <c r="T336" t="str">
        <f>IF(ISERR(
IF(PG!C339="","",PG!C339)),"",IF(PG!C339="","",PG!C339))</f>
        <v/>
      </c>
    </row>
    <row r="337" spans="20:20" ht="15" hidden="1" customHeight="1" x14ac:dyDescent="0.2">
      <c r="T337" t="str">
        <f>IF(ISERR(
IF(PG!C340="","",PG!C340)),"",IF(PG!C340="","",PG!C340))</f>
        <v/>
      </c>
    </row>
    <row r="338" spans="20:20" ht="15" hidden="1" customHeight="1" x14ac:dyDescent="0.2">
      <c r="T338" t="str">
        <f>IF(ISERR(
IF(PG!C341="","",PG!C341)),"",IF(PG!C341="","",PG!C341))</f>
        <v/>
      </c>
    </row>
    <row r="339" spans="20:20" ht="15" hidden="1" customHeight="1" x14ac:dyDescent="0.2">
      <c r="T339" t="str">
        <f>IF(ISERR(
IF(PG!C342="","",PG!C342)),"",IF(PG!C342="","",PG!C342))</f>
        <v/>
      </c>
    </row>
    <row r="340" spans="20:20" ht="15" hidden="1" customHeight="1" x14ac:dyDescent="0.2">
      <c r="T340" t="str">
        <f>IF(ISERR(
IF(PG!C343="","",PG!C343)),"",IF(PG!C343="","",PG!C343))</f>
        <v/>
      </c>
    </row>
    <row r="341" spans="20:20" ht="15" hidden="1" customHeight="1" x14ac:dyDescent="0.2">
      <c r="T341" t="str">
        <f>IF(ISERR(
IF(PG!C344="","",PG!C344)),"",IF(PG!C344="","",PG!C344))</f>
        <v/>
      </c>
    </row>
    <row r="342" spans="20:20" ht="15" hidden="1" customHeight="1" x14ac:dyDescent="0.2">
      <c r="T342" t="str">
        <f>IF(ISERR(
IF(PG!C345="","",PG!C345)),"",IF(PG!C345="","",PG!C345))</f>
        <v/>
      </c>
    </row>
    <row r="343" spans="20:20" ht="15" hidden="1" customHeight="1" x14ac:dyDescent="0.2">
      <c r="T343" t="str">
        <f>IF(ISERR(
IF(PG!C346="","",PG!C346)),"",IF(PG!C346="","",PG!C346))</f>
        <v/>
      </c>
    </row>
    <row r="344" spans="20:20" ht="15" hidden="1" customHeight="1" x14ac:dyDescent="0.2">
      <c r="T344" t="str">
        <f>IF(ISERR(
IF(PG!C347="","",PG!C347)),"",IF(PG!C347="","",PG!C347))</f>
        <v/>
      </c>
    </row>
    <row r="345" spans="20:20" ht="15" hidden="1" customHeight="1" x14ac:dyDescent="0.2">
      <c r="T345" t="str">
        <f>IF(ISERR(
IF(PG!C348="","",PG!C348)),"",IF(PG!C348="","",PG!C348))</f>
        <v/>
      </c>
    </row>
    <row r="346" spans="20:20" ht="15" hidden="1" customHeight="1" x14ac:dyDescent="0.2">
      <c r="T346" t="str">
        <f>IF(ISERR(
IF(PG!C349="","",PG!C349)),"",IF(PG!C349="","",PG!C349))</f>
        <v/>
      </c>
    </row>
    <row r="347" spans="20:20" ht="15" hidden="1" customHeight="1" x14ac:dyDescent="0.2">
      <c r="T347" t="str">
        <f>IF(ISERR(
IF(PG!C350="","",PG!C350)),"",IF(PG!C350="","",PG!C350))</f>
        <v/>
      </c>
    </row>
    <row r="348" spans="20:20" ht="15" hidden="1" customHeight="1" x14ac:dyDescent="0.2">
      <c r="T348" t="str">
        <f>IF(ISERR(
IF(PG!C351="","",PG!C351)),"",IF(PG!C351="","",PG!C351))</f>
        <v/>
      </c>
    </row>
    <row r="349" spans="20:20" ht="15" hidden="1" customHeight="1" x14ac:dyDescent="0.2">
      <c r="T349" t="str">
        <f>IF(ISERR(
IF(PG!C352="","",PG!C352)),"",IF(PG!C352="","",PG!C352))</f>
        <v/>
      </c>
    </row>
    <row r="350" spans="20:20" ht="15" hidden="1" customHeight="1" x14ac:dyDescent="0.2">
      <c r="T350" t="str">
        <f>IF(ISERR(
IF(PG!C353="","",PG!C353)),"",IF(PG!C353="","",PG!C353))</f>
        <v/>
      </c>
    </row>
    <row r="351" spans="20:20" ht="15" hidden="1" customHeight="1" x14ac:dyDescent="0.2">
      <c r="T351" t="str">
        <f>IF(ISERR(
IF(PG!C354="","",PG!C354)),"",IF(PG!C354="","",PG!C354))</f>
        <v/>
      </c>
    </row>
    <row r="352" spans="20:20" ht="15" hidden="1" customHeight="1" x14ac:dyDescent="0.2">
      <c r="T352" t="str">
        <f>IF(ISERR(
IF(PG!C355="","",PG!C355)),"",IF(PG!C355="","",PG!C355))</f>
        <v/>
      </c>
    </row>
    <row r="353" spans="20:20" ht="15" hidden="1" customHeight="1" x14ac:dyDescent="0.2">
      <c r="T353" t="str">
        <f>IF(ISERR(
IF(PG!C356="","",PG!C356)),"",IF(PG!C356="","",PG!C356))</f>
        <v/>
      </c>
    </row>
    <row r="354" spans="20:20" ht="15" hidden="1" customHeight="1" x14ac:dyDescent="0.2">
      <c r="T354" t="str">
        <f>IF(ISERR(
IF(PG!C357="","",PG!C357)),"",IF(PG!C357="","",PG!C357))</f>
        <v/>
      </c>
    </row>
    <row r="355" spans="20:20" ht="15" hidden="1" customHeight="1" x14ac:dyDescent="0.2">
      <c r="T355" t="str">
        <f>IF(ISERR(
IF(PG!C358="","",PG!C358)),"",IF(PG!C358="","",PG!C358))</f>
        <v/>
      </c>
    </row>
    <row r="356" spans="20:20" ht="15" hidden="1" customHeight="1" x14ac:dyDescent="0.2">
      <c r="T356" t="str">
        <f>IF(ISERR(
IF(PG!C359="","",PG!C359)),"",IF(PG!C359="","",PG!C359))</f>
        <v/>
      </c>
    </row>
    <row r="357" spans="20:20" ht="15" hidden="1" customHeight="1" x14ac:dyDescent="0.2">
      <c r="T357" t="str">
        <f>IF(ISERR(
IF(PG!C360="","",PG!C360)),"",IF(PG!C360="","",PG!C360))</f>
        <v/>
      </c>
    </row>
    <row r="358" spans="20:20" ht="15" hidden="1" customHeight="1" x14ac:dyDescent="0.2">
      <c r="T358" t="str">
        <f>IF(ISERR(
IF(PG!C361="","",PG!C361)),"",IF(PG!C361="","",PG!C361))</f>
        <v/>
      </c>
    </row>
    <row r="359" spans="20:20" ht="15" hidden="1" customHeight="1" x14ac:dyDescent="0.2">
      <c r="T359" t="str">
        <f>IF(ISERR(
IF(PG!C362="","",PG!C362)),"",IF(PG!C362="","",PG!C362))</f>
        <v/>
      </c>
    </row>
    <row r="360" spans="20:20" ht="15" hidden="1" customHeight="1" x14ac:dyDescent="0.2">
      <c r="T360" t="str">
        <f>IF(ISERR(
IF(PG!C363="","",PG!C363)),"",IF(PG!C363="","",PG!C363))</f>
        <v/>
      </c>
    </row>
    <row r="361" spans="20:20" ht="15" hidden="1" customHeight="1" x14ac:dyDescent="0.2">
      <c r="T361" t="str">
        <f>IF(ISERR(
IF(PG!C364="","",PG!C364)),"",IF(PG!C364="","",PG!C364))</f>
        <v/>
      </c>
    </row>
    <row r="362" spans="20:20" ht="15" hidden="1" customHeight="1" x14ac:dyDescent="0.2">
      <c r="T362" t="str">
        <f>IF(ISERR(
IF(PG!C365="","",PG!C365)),"",IF(PG!C365="","",PG!C365))</f>
        <v/>
      </c>
    </row>
    <row r="363" spans="20:20" ht="15" hidden="1" customHeight="1" x14ac:dyDescent="0.2">
      <c r="T363" t="str">
        <f>IF(ISERR(
IF(PG!C366="","",PG!C366)),"",IF(PG!C366="","",PG!C366))</f>
        <v/>
      </c>
    </row>
    <row r="364" spans="20:20" ht="15" hidden="1" customHeight="1" x14ac:dyDescent="0.2">
      <c r="T364" t="str">
        <f>IF(ISERR(
IF(PG!C367="","",PG!C367)),"",IF(PG!C367="","",PG!C367))</f>
        <v/>
      </c>
    </row>
    <row r="365" spans="20:20" ht="15" hidden="1" customHeight="1" x14ac:dyDescent="0.2">
      <c r="T365" t="str">
        <f>IF(ISERR(
IF(PG!C368="","",PG!C368)),"",IF(PG!C368="","",PG!C368))</f>
        <v/>
      </c>
    </row>
    <row r="366" spans="20:20" ht="15" hidden="1" customHeight="1" x14ac:dyDescent="0.2">
      <c r="T366" t="str">
        <f>IF(ISERR(
IF(PG!C369="","",PG!C369)),"",IF(PG!C369="","",PG!C369))</f>
        <v/>
      </c>
    </row>
    <row r="367" spans="20:20" ht="15" hidden="1" customHeight="1" x14ac:dyDescent="0.2">
      <c r="T367" t="str">
        <f>IF(ISERR(
IF(PG!C370="","",PG!C370)),"",IF(PG!C370="","",PG!C370))</f>
        <v/>
      </c>
    </row>
    <row r="368" spans="20:20" ht="15" hidden="1" customHeight="1" x14ac:dyDescent="0.2">
      <c r="T368" t="str">
        <f>IF(ISERR(
IF(PG!C371="","",PG!C371)),"",IF(PG!C371="","",PG!C371))</f>
        <v/>
      </c>
    </row>
    <row r="369" spans="20:20" ht="15" hidden="1" customHeight="1" x14ac:dyDescent="0.2">
      <c r="T369" t="str">
        <f>IF(ISERR(
IF(PG!C372="","",PG!C372)),"",IF(PG!C372="","",PG!C372))</f>
        <v/>
      </c>
    </row>
    <row r="370" spans="20:20" ht="15" hidden="1" customHeight="1" x14ac:dyDescent="0.2">
      <c r="T370" t="str">
        <f>IF(ISERR(
IF(PG!C373="","",PG!C373)),"",IF(PG!C373="","",PG!C373))</f>
        <v/>
      </c>
    </row>
    <row r="371" spans="20:20" ht="15" hidden="1" customHeight="1" x14ac:dyDescent="0.2">
      <c r="T371" t="str">
        <f>IF(ISERR(
IF(PG!C374="","",PG!C374)),"",IF(PG!C374="","",PG!C374))</f>
        <v/>
      </c>
    </row>
    <row r="372" spans="20:20" ht="15" hidden="1" customHeight="1" x14ac:dyDescent="0.2">
      <c r="T372" t="str">
        <f>IF(ISERR(
IF(PG!C375="","",PG!C375)),"",IF(PG!C375="","",PG!C375))</f>
        <v/>
      </c>
    </row>
    <row r="373" spans="20:20" ht="15" hidden="1" customHeight="1" x14ac:dyDescent="0.2">
      <c r="T373" t="str">
        <f>IF(ISERR(
IF(PG!C376="","",PG!C376)),"",IF(PG!C376="","",PG!C376))</f>
        <v/>
      </c>
    </row>
    <row r="374" spans="20:20" ht="15" hidden="1" customHeight="1" x14ac:dyDescent="0.2">
      <c r="T374" t="str">
        <f>IF(ISERR(
IF(PG!C377="","",PG!C377)),"",IF(PG!C377="","",PG!C377))</f>
        <v/>
      </c>
    </row>
    <row r="375" spans="20:20" ht="15" hidden="1" customHeight="1" x14ac:dyDescent="0.2">
      <c r="T375" t="str">
        <f>IF(ISERR(
IF(PG!C378="","",PG!C378)),"",IF(PG!C378="","",PG!C378))</f>
        <v/>
      </c>
    </row>
    <row r="376" spans="20:20" ht="15" hidden="1" customHeight="1" x14ac:dyDescent="0.2">
      <c r="T376" t="str">
        <f>IF(ISERR(
IF(PG!C379="","",PG!C379)),"",IF(PG!C379="","",PG!C379))</f>
        <v/>
      </c>
    </row>
    <row r="377" spans="20:20" ht="15" hidden="1" customHeight="1" x14ac:dyDescent="0.2">
      <c r="T377" t="str">
        <f>IF(ISERR(
IF(PG!C380="","",PG!C380)),"",IF(PG!C380="","",PG!C380))</f>
        <v/>
      </c>
    </row>
    <row r="378" spans="20:20" ht="15" hidden="1" customHeight="1" x14ac:dyDescent="0.2">
      <c r="T378" t="str">
        <f>IF(ISERR(
IF(PG!C381="","",PG!C381)),"",IF(PG!C381="","",PG!C381))</f>
        <v/>
      </c>
    </row>
    <row r="379" spans="20:20" ht="15" hidden="1" customHeight="1" x14ac:dyDescent="0.2">
      <c r="T379" t="str">
        <f>IF(ISERR(
IF(PG!C382="","",PG!C382)),"",IF(PG!C382="","",PG!C382))</f>
        <v/>
      </c>
    </row>
    <row r="380" spans="20:20" ht="15" hidden="1" customHeight="1" x14ac:dyDescent="0.2">
      <c r="T380" t="str">
        <f>IF(ISERR(
IF(PG!C383="","",PG!C383)),"",IF(PG!C383="","",PG!C383))</f>
        <v/>
      </c>
    </row>
    <row r="381" spans="20:20" ht="15" hidden="1" customHeight="1" x14ac:dyDescent="0.2">
      <c r="T381" t="str">
        <f>IF(ISERR(
IF(PG!C384="","",PG!C384)),"",IF(PG!C384="","",PG!C384))</f>
        <v/>
      </c>
    </row>
    <row r="382" spans="20:20" ht="15" hidden="1" customHeight="1" x14ac:dyDescent="0.2">
      <c r="T382" t="str">
        <f>IF(ISERR(
IF(PG!C385="","",PG!C385)),"",IF(PG!C385="","",PG!C385))</f>
        <v/>
      </c>
    </row>
    <row r="383" spans="20:20" ht="15" hidden="1" customHeight="1" x14ac:dyDescent="0.2">
      <c r="T383" t="str">
        <f>IF(ISERR(
IF(PG!C386="","",PG!C386)),"",IF(PG!C386="","",PG!C386))</f>
        <v/>
      </c>
    </row>
    <row r="384" spans="20:20" ht="15" hidden="1" customHeight="1" x14ac:dyDescent="0.2">
      <c r="T384" t="str">
        <f>IF(ISERR(
IF(PG!C387="","",PG!C387)),"",IF(PG!C387="","",PG!C387))</f>
        <v/>
      </c>
    </row>
    <row r="385" spans="20:20" ht="15" hidden="1" customHeight="1" x14ac:dyDescent="0.2">
      <c r="T385" t="str">
        <f>IF(ISERR(
IF(PG!C388="","",PG!C388)),"",IF(PG!C388="","",PG!C388))</f>
        <v/>
      </c>
    </row>
    <row r="386" spans="20:20" ht="15" hidden="1" customHeight="1" x14ac:dyDescent="0.2">
      <c r="T386" t="str">
        <f>IF(ISERR(
IF(PG!C389="","",PG!C389)),"",IF(PG!C389="","",PG!C389))</f>
        <v/>
      </c>
    </row>
    <row r="387" spans="20:20" ht="15" hidden="1" customHeight="1" x14ac:dyDescent="0.2">
      <c r="T387" t="str">
        <f>IF(ISERR(
IF(PG!C390="","",PG!C390)),"",IF(PG!C390="","",PG!C390))</f>
        <v/>
      </c>
    </row>
    <row r="388" spans="20:20" ht="15" hidden="1" customHeight="1" x14ac:dyDescent="0.2">
      <c r="T388" t="str">
        <f>IF(ISERR(
IF(PG!C391="","",PG!C391)),"",IF(PG!C391="","",PG!C391))</f>
        <v/>
      </c>
    </row>
    <row r="389" spans="20:20" ht="15" hidden="1" customHeight="1" x14ac:dyDescent="0.2">
      <c r="T389" t="str">
        <f>IF(ISERR(
IF(PG!C392="","",PG!C392)),"",IF(PG!C392="","",PG!C392))</f>
        <v/>
      </c>
    </row>
    <row r="390" spans="20:20" ht="15" hidden="1" customHeight="1" x14ac:dyDescent="0.2">
      <c r="T390" t="str">
        <f>IF(ISERR(
IF(PG!C393="","",PG!C393)),"",IF(PG!C393="","",PG!C393))</f>
        <v/>
      </c>
    </row>
    <row r="391" spans="20:20" ht="15" hidden="1" customHeight="1" x14ac:dyDescent="0.2">
      <c r="T391" t="str">
        <f>IF(ISERR(
IF(PG!C394="","",PG!C394)),"",IF(PG!C394="","",PG!C394))</f>
        <v/>
      </c>
    </row>
    <row r="392" spans="20:20" ht="15" hidden="1" customHeight="1" x14ac:dyDescent="0.2">
      <c r="T392" t="str">
        <f>IF(ISERR(
IF(PG!C395="","",PG!C395)),"",IF(PG!C395="","",PG!C395))</f>
        <v/>
      </c>
    </row>
    <row r="393" spans="20:20" ht="15" hidden="1" customHeight="1" x14ac:dyDescent="0.2">
      <c r="T393" t="str">
        <f>IF(ISERR(
IF(PG!C396="","",PG!C396)),"",IF(PG!C396="","",PG!C396))</f>
        <v/>
      </c>
    </row>
    <row r="394" spans="20:20" ht="15" hidden="1" customHeight="1" x14ac:dyDescent="0.2">
      <c r="T394" t="str">
        <f>IF(ISERR(
IF(PG!C397="","",PG!C397)),"",IF(PG!C397="","",PG!C397))</f>
        <v/>
      </c>
    </row>
    <row r="395" spans="20:20" ht="15" hidden="1" customHeight="1" x14ac:dyDescent="0.2">
      <c r="T395" t="str">
        <f>IF(ISERR(
IF(PG!C398="","",PG!C398)),"",IF(PG!C398="","",PG!C398))</f>
        <v/>
      </c>
    </row>
    <row r="396" spans="20:20" ht="15" hidden="1" customHeight="1" x14ac:dyDescent="0.2">
      <c r="T396" t="str">
        <f>IF(ISERR(
IF(PG!C399="","",PG!C399)),"",IF(PG!C399="","",PG!C399))</f>
        <v/>
      </c>
    </row>
    <row r="397" spans="20:20" ht="15" hidden="1" customHeight="1" x14ac:dyDescent="0.2">
      <c r="T397" t="str">
        <f>IF(ISERR(
IF(PG!C400="","",PG!C400)),"",IF(PG!C400="","",PG!C400))</f>
        <v/>
      </c>
    </row>
    <row r="398" spans="20:20" ht="15" hidden="1" customHeight="1" x14ac:dyDescent="0.2">
      <c r="T398" t="str">
        <f>IF(ISERR(
IF(PG!C401="","",PG!C401)),"",IF(PG!C401="","",PG!C401))</f>
        <v/>
      </c>
    </row>
    <row r="399" spans="20:20" ht="15" hidden="1" customHeight="1" x14ac:dyDescent="0.2">
      <c r="T399" t="str">
        <f>IF(ISERR(
IF(PG!C402="","",PG!C402)),"",IF(PG!C402="","",PG!C402))</f>
        <v/>
      </c>
    </row>
    <row r="400" spans="20:20" ht="15" hidden="1" customHeight="1" x14ac:dyDescent="0.2">
      <c r="T400" t="str">
        <f>IF(ISERR(
IF(PG!C403="","",PG!C403)),"",IF(PG!C403="","",PG!C403))</f>
        <v/>
      </c>
    </row>
    <row r="401" spans="20:20" ht="15" hidden="1" customHeight="1" x14ac:dyDescent="0.2">
      <c r="T401" t="str">
        <f>IF(ISERR(
IF(PG!C404="","",PG!C404)),"",IF(PG!C404="","",PG!C404))</f>
        <v/>
      </c>
    </row>
    <row r="402" spans="20:20" ht="15" hidden="1" customHeight="1" x14ac:dyDescent="0.2">
      <c r="T402" t="str">
        <f>IF(ISERR(
IF(PG!C405="","",PG!C405)),"",IF(PG!C405="","",PG!C405))</f>
        <v/>
      </c>
    </row>
    <row r="403" spans="20:20" ht="15" hidden="1" customHeight="1" x14ac:dyDescent="0.2">
      <c r="T403" t="str">
        <f>IF(ISERR(
IF(PG!C406="","",PG!C406)),"",IF(PG!C406="","",PG!C406))</f>
        <v/>
      </c>
    </row>
    <row r="404" spans="20:20" ht="15" hidden="1" customHeight="1" x14ac:dyDescent="0.2">
      <c r="T404" t="str">
        <f>IF(ISERR(
IF(PG!C407="","",PG!C407)),"",IF(PG!C407="","",PG!C407))</f>
        <v/>
      </c>
    </row>
    <row r="405" spans="20:20" ht="15" hidden="1" customHeight="1" x14ac:dyDescent="0.2">
      <c r="T405" t="str">
        <f>IF(ISERR(
IF(PG!C408="","",PG!C408)),"",IF(PG!C408="","",PG!C408))</f>
        <v/>
      </c>
    </row>
    <row r="406" spans="20:20" ht="15" hidden="1" customHeight="1" x14ac:dyDescent="0.2">
      <c r="T406" t="str">
        <f>IF(ISERR(
IF(PG!C409="","",PG!C409)),"",IF(PG!C409="","",PG!C409))</f>
        <v/>
      </c>
    </row>
    <row r="407" spans="20:20" ht="15" hidden="1" customHeight="1" x14ac:dyDescent="0.2">
      <c r="T407" t="str">
        <f>IF(ISERR(
IF(PG!C410="","",PG!C410)),"",IF(PG!C410="","",PG!C410))</f>
        <v/>
      </c>
    </row>
    <row r="408" spans="20:20" ht="15" hidden="1" customHeight="1" x14ac:dyDescent="0.2">
      <c r="T408" t="str">
        <f>IF(ISERR(
IF(PG!C411="","",PG!C411)),"",IF(PG!C411="","",PG!C411))</f>
        <v/>
      </c>
    </row>
    <row r="409" spans="20:20" ht="15" hidden="1" customHeight="1" x14ac:dyDescent="0.2">
      <c r="T409" t="str">
        <f>IF(ISERR(
IF(PG!C412="","",PG!C412)),"",IF(PG!C412="","",PG!C412))</f>
        <v/>
      </c>
    </row>
    <row r="410" spans="20:20" ht="15" hidden="1" customHeight="1" x14ac:dyDescent="0.2">
      <c r="T410" t="str">
        <f>IF(ISERR(
IF(PG!C413="","",PG!C413)),"",IF(PG!C413="","",PG!C413))</f>
        <v/>
      </c>
    </row>
    <row r="411" spans="20:20" ht="15" hidden="1" customHeight="1" x14ac:dyDescent="0.2">
      <c r="T411" t="str">
        <f>IF(ISERR(
IF(PG!C414="","",PG!C414)),"",IF(PG!C414="","",PG!C414))</f>
        <v/>
      </c>
    </row>
    <row r="412" spans="20:20" ht="15" hidden="1" customHeight="1" x14ac:dyDescent="0.2">
      <c r="T412" t="str">
        <f>IF(ISERR(
IF(PG!C415="","",PG!C415)),"",IF(PG!C415="","",PG!C415))</f>
        <v/>
      </c>
    </row>
    <row r="413" spans="20:20" ht="15" hidden="1" customHeight="1" x14ac:dyDescent="0.2">
      <c r="T413" t="str">
        <f>IF(ISERR(
IF(PG!C416="","",PG!C416)),"",IF(PG!C416="","",PG!C416))</f>
        <v/>
      </c>
    </row>
    <row r="414" spans="20:20" ht="15" hidden="1" customHeight="1" x14ac:dyDescent="0.2">
      <c r="T414" t="str">
        <f>IF(ISERR(
IF(PG!C417="","",PG!C417)),"",IF(PG!C417="","",PG!C417))</f>
        <v/>
      </c>
    </row>
    <row r="415" spans="20:20" ht="15" hidden="1" customHeight="1" x14ac:dyDescent="0.2">
      <c r="T415" t="str">
        <f>IF(ISERR(
IF(PG!C418="","",PG!C418)),"",IF(PG!C418="","",PG!C418))</f>
        <v/>
      </c>
    </row>
    <row r="416" spans="20:20" ht="15" hidden="1" customHeight="1" x14ac:dyDescent="0.2">
      <c r="T416" t="str">
        <f>IF(ISERR(
IF(PG!C419="","",PG!C419)),"",IF(PG!C419="","",PG!C419))</f>
        <v/>
      </c>
    </row>
    <row r="417" spans="20:20" ht="15" hidden="1" customHeight="1" x14ac:dyDescent="0.2">
      <c r="T417" t="str">
        <f>IF(ISERR(
IF(PG!C420="","",PG!C420)),"",IF(PG!C420="","",PG!C420))</f>
        <v/>
      </c>
    </row>
    <row r="418" spans="20:20" ht="15" hidden="1" customHeight="1" x14ac:dyDescent="0.2">
      <c r="T418" t="str">
        <f>IF(ISERR(
IF(PG!C421="","",PG!C421)),"",IF(PG!C421="","",PG!C421))</f>
        <v/>
      </c>
    </row>
    <row r="419" spans="20:20" ht="15" hidden="1" customHeight="1" x14ac:dyDescent="0.2">
      <c r="T419" t="str">
        <f>IF(ISERR(
IF(PG!C422="","",PG!C422)),"",IF(PG!C422="","",PG!C422))</f>
        <v/>
      </c>
    </row>
    <row r="420" spans="20:20" ht="15" hidden="1" customHeight="1" x14ac:dyDescent="0.2">
      <c r="T420" t="str">
        <f>IF(ISERR(
IF(PG!C423="","",PG!C423)),"",IF(PG!C423="","",PG!C423))</f>
        <v/>
      </c>
    </row>
    <row r="421" spans="20:20" ht="15" hidden="1" customHeight="1" x14ac:dyDescent="0.2">
      <c r="T421" t="str">
        <f>IF(ISERR(
IF(PG!C424="","",PG!C424)),"",IF(PG!C424="","",PG!C424))</f>
        <v/>
      </c>
    </row>
    <row r="422" spans="20:20" ht="15" hidden="1" customHeight="1" x14ac:dyDescent="0.2">
      <c r="T422" t="str">
        <f>IF(ISERR(
IF(PG!C425="","",PG!C425)),"",IF(PG!C425="","",PG!C425))</f>
        <v/>
      </c>
    </row>
    <row r="423" spans="20:20" ht="15" hidden="1" customHeight="1" x14ac:dyDescent="0.2">
      <c r="T423" t="str">
        <f>IF(ISERR(
IF(PG!C426="","",PG!C426)),"",IF(PG!C426="","",PG!C426))</f>
        <v/>
      </c>
    </row>
    <row r="424" spans="20:20" ht="15" hidden="1" customHeight="1" x14ac:dyDescent="0.2">
      <c r="T424" t="str">
        <f>IF(ISERR(
IF(PG!C427="","",PG!C427)),"",IF(PG!C427="","",PG!C427))</f>
        <v/>
      </c>
    </row>
    <row r="425" spans="20:20" ht="15" hidden="1" customHeight="1" x14ac:dyDescent="0.2">
      <c r="T425" t="str">
        <f>IF(ISERR(
IF(PG!C428="","",PG!C428)),"",IF(PG!C428="","",PG!C428))</f>
        <v/>
      </c>
    </row>
    <row r="426" spans="20:20" ht="15" hidden="1" customHeight="1" x14ac:dyDescent="0.2">
      <c r="T426" t="str">
        <f>IF(ISERR(
IF(PG!C429="","",PG!C429)),"",IF(PG!C429="","",PG!C429))</f>
        <v/>
      </c>
    </row>
    <row r="427" spans="20:20" ht="15" hidden="1" customHeight="1" x14ac:dyDescent="0.2">
      <c r="T427" t="str">
        <f>IF(ISERR(
IF(PG!C430="","",PG!C430)),"",IF(PG!C430="","",PG!C430))</f>
        <v/>
      </c>
    </row>
    <row r="428" spans="20:20" ht="15" hidden="1" customHeight="1" x14ac:dyDescent="0.2">
      <c r="T428" t="str">
        <f>IF(ISERR(
IF(PG!C431="","",PG!C431)),"",IF(PG!C431="","",PG!C431))</f>
        <v/>
      </c>
    </row>
    <row r="429" spans="20:20" ht="15" hidden="1" customHeight="1" x14ac:dyDescent="0.2">
      <c r="T429" t="str">
        <f>IF(ISERR(
IF(PG!C432="","",PG!C432)),"",IF(PG!C432="","",PG!C432))</f>
        <v/>
      </c>
    </row>
    <row r="430" spans="20:20" ht="15" hidden="1" customHeight="1" x14ac:dyDescent="0.2">
      <c r="T430" t="str">
        <f>IF(ISERR(
IF(PG!C433="","",PG!C433)),"",IF(PG!C433="","",PG!C433))</f>
        <v/>
      </c>
    </row>
    <row r="431" spans="20:20" ht="15" hidden="1" customHeight="1" x14ac:dyDescent="0.2">
      <c r="T431" t="str">
        <f>IF(ISERR(
IF(PG!C434="","",PG!C434)),"",IF(PG!C434="","",PG!C434))</f>
        <v/>
      </c>
    </row>
    <row r="432" spans="20:20" ht="15" hidden="1" customHeight="1" x14ac:dyDescent="0.2">
      <c r="T432" t="str">
        <f>IF(ISERR(
IF(PG!C435="","",PG!C435)),"",IF(PG!C435="","",PG!C435))</f>
        <v/>
      </c>
    </row>
    <row r="433" spans="20:20" ht="15" hidden="1" customHeight="1" x14ac:dyDescent="0.2">
      <c r="T433" t="str">
        <f>IF(ISERR(
IF(PG!C436="","",PG!C436)),"",IF(PG!C436="","",PG!C436))</f>
        <v/>
      </c>
    </row>
    <row r="434" spans="20:20" ht="15" hidden="1" customHeight="1" x14ac:dyDescent="0.2">
      <c r="T434" t="str">
        <f>IF(ISERR(
IF(PG!C437="","",PG!C437)),"",IF(PG!C437="","",PG!C437))</f>
        <v/>
      </c>
    </row>
    <row r="435" spans="20:20" ht="15" hidden="1" customHeight="1" x14ac:dyDescent="0.2">
      <c r="T435" t="str">
        <f>IF(ISERR(
IF(PG!C438="","",PG!C438)),"",IF(PG!C438="","",PG!C438))</f>
        <v/>
      </c>
    </row>
    <row r="436" spans="20:20" ht="15" hidden="1" customHeight="1" x14ac:dyDescent="0.2">
      <c r="T436" t="str">
        <f>IF(ISERR(
IF(PG!C439="","",PG!C439)),"",IF(PG!C439="","",PG!C439))</f>
        <v/>
      </c>
    </row>
    <row r="437" spans="20:20" ht="15" hidden="1" customHeight="1" x14ac:dyDescent="0.2">
      <c r="T437" t="str">
        <f>IF(ISERR(
IF(PG!C440="","",PG!C440)),"",IF(PG!C440="","",PG!C440))</f>
        <v/>
      </c>
    </row>
    <row r="438" spans="20:20" ht="15" hidden="1" customHeight="1" x14ac:dyDescent="0.2">
      <c r="T438" t="str">
        <f>IF(ISERR(
IF(PG!C441="","",PG!C441)),"",IF(PG!C441="","",PG!C441))</f>
        <v/>
      </c>
    </row>
    <row r="439" spans="20:20" ht="15" hidden="1" customHeight="1" x14ac:dyDescent="0.2">
      <c r="T439" t="str">
        <f>IF(ISERR(
IF(PG!C442="","",PG!C442)),"",IF(PG!C442="","",PG!C442))</f>
        <v/>
      </c>
    </row>
    <row r="440" spans="20:20" ht="15" hidden="1" customHeight="1" x14ac:dyDescent="0.2">
      <c r="T440" t="str">
        <f>IF(ISERR(
IF(PG!C443="","",PG!C443)),"",IF(PG!C443="","",PG!C443))</f>
        <v/>
      </c>
    </row>
    <row r="441" spans="20:20" ht="15" hidden="1" customHeight="1" x14ac:dyDescent="0.2">
      <c r="T441" t="str">
        <f>IF(ISERR(
IF(PG!C444="","",PG!C444)),"",IF(PG!C444="","",PG!C444))</f>
        <v/>
      </c>
    </row>
    <row r="442" spans="20:20" ht="15" hidden="1" customHeight="1" x14ac:dyDescent="0.2">
      <c r="T442" t="str">
        <f>IF(ISERR(
IF(PG!C445="","",PG!C445)),"",IF(PG!C445="","",PG!C445))</f>
        <v/>
      </c>
    </row>
    <row r="443" spans="20:20" ht="15" hidden="1" customHeight="1" x14ac:dyDescent="0.2">
      <c r="T443" t="str">
        <f>IF(ISERR(
IF(PG!C446="","",PG!C446)),"",IF(PG!C446="","",PG!C446))</f>
        <v/>
      </c>
    </row>
    <row r="444" spans="20:20" ht="15" hidden="1" customHeight="1" x14ac:dyDescent="0.2">
      <c r="T444" t="str">
        <f>IF(ISERR(
IF(PG!C447="","",PG!C447)),"",IF(PG!C447="","",PG!C447))</f>
        <v/>
      </c>
    </row>
    <row r="445" spans="20:20" ht="15" hidden="1" customHeight="1" x14ac:dyDescent="0.2">
      <c r="T445" t="str">
        <f>IF(ISERR(
IF(PG!C448="","",PG!C448)),"",IF(PG!C448="","",PG!C448))</f>
        <v/>
      </c>
    </row>
    <row r="446" spans="20:20" ht="15" hidden="1" customHeight="1" x14ac:dyDescent="0.2">
      <c r="T446" t="str">
        <f>IF(ISERR(
IF(PG!C449="","",PG!C449)),"",IF(PG!C449="","",PG!C449))</f>
        <v/>
      </c>
    </row>
    <row r="447" spans="20:20" ht="15" hidden="1" customHeight="1" x14ac:dyDescent="0.2">
      <c r="T447" t="str">
        <f>IF(ISERR(
IF(PG!C450="","",PG!C450)),"",IF(PG!C450="","",PG!C450))</f>
        <v/>
      </c>
    </row>
    <row r="448" spans="20:20" ht="15" hidden="1" customHeight="1" x14ac:dyDescent="0.2">
      <c r="T448" t="str">
        <f>IF(ISERR(
IF(PG!C451="","",PG!C451)),"",IF(PG!C451="","",PG!C451))</f>
        <v/>
      </c>
    </row>
    <row r="449" spans="20:20" ht="15" hidden="1" customHeight="1" x14ac:dyDescent="0.2">
      <c r="T449" t="str">
        <f>IF(ISERR(
IF(PG!C452="","",PG!C452)),"",IF(PG!C452="","",PG!C452))</f>
        <v/>
      </c>
    </row>
    <row r="450" spans="20:20" ht="15" hidden="1" customHeight="1" x14ac:dyDescent="0.2">
      <c r="T450" t="str">
        <f>IF(ISERR(
IF(PG!C453="","",PG!C453)),"",IF(PG!C453="","",PG!C453))</f>
        <v/>
      </c>
    </row>
    <row r="451" spans="20:20" ht="15" hidden="1" customHeight="1" x14ac:dyDescent="0.2">
      <c r="T451" t="str">
        <f>IF(ISERR(
IF(PG!C454="","",PG!C454)),"",IF(PG!C454="","",PG!C454))</f>
        <v/>
      </c>
    </row>
    <row r="452" spans="20:20" ht="15" hidden="1" customHeight="1" x14ac:dyDescent="0.2">
      <c r="T452" t="str">
        <f>IF(ISERR(
IF(PG!C455="","",PG!C455)),"",IF(PG!C455="","",PG!C455))</f>
        <v/>
      </c>
    </row>
    <row r="453" spans="20:20" ht="15" hidden="1" customHeight="1" x14ac:dyDescent="0.2">
      <c r="T453" t="str">
        <f>IF(ISERR(
IF(PG!C456="","",PG!C456)),"",IF(PG!C456="","",PG!C456))</f>
        <v/>
      </c>
    </row>
    <row r="454" spans="20:20" ht="15" hidden="1" customHeight="1" x14ac:dyDescent="0.2">
      <c r="T454" t="str">
        <f>IF(ISERR(
IF(PG!C457="","",PG!C457)),"",IF(PG!C457="","",PG!C457))</f>
        <v/>
      </c>
    </row>
    <row r="455" spans="20:20" ht="15" hidden="1" customHeight="1" x14ac:dyDescent="0.2">
      <c r="T455" t="str">
        <f>IF(ISERR(
IF(PG!C458="","",PG!C458)),"",IF(PG!C458="","",PG!C458))</f>
        <v/>
      </c>
    </row>
    <row r="456" spans="20:20" ht="15" hidden="1" customHeight="1" x14ac:dyDescent="0.2">
      <c r="T456" t="str">
        <f>IF(ISERR(
IF(PG!C459="","",PG!C459)),"",IF(PG!C459="","",PG!C459))</f>
        <v/>
      </c>
    </row>
    <row r="457" spans="20:20" ht="15" hidden="1" customHeight="1" x14ac:dyDescent="0.2">
      <c r="T457" t="str">
        <f>IF(ISERR(
IF(PG!C460="","",PG!C460)),"",IF(PG!C460="","",PG!C460))</f>
        <v/>
      </c>
    </row>
    <row r="458" spans="20:20" ht="15" hidden="1" customHeight="1" x14ac:dyDescent="0.2">
      <c r="T458" t="str">
        <f>IF(ISERR(
IF(PG!C461="","",PG!C461)),"",IF(PG!C461="","",PG!C461))</f>
        <v/>
      </c>
    </row>
    <row r="459" spans="20:20" ht="15" hidden="1" customHeight="1" x14ac:dyDescent="0.2">
      <c r="T459" t="str">
        <f>IF(ISERR(
IF(PG!C462="","",PG!C462)),"",IF(PG!C462="","",PG!C462))</f>
        <v/>
      </c>
    </row>
    <row r="460" spans="20:20" ht="15" hidden="1" customHeight="1" x14ac:dyDescent="0.2">
      <c r="T460" t="str">
        <f>IF(ISERR(
IF(PG!C463="","",PG!C463)),"",IF(PG!C463="","",PG!C463))</f>
        <v/>
      </c>
    </row>
    <row r="461" spans="20:20" ht="15" hidden="1" customHeight="1" x14ac:dyDescent="0.2">
      <c r="T461" t="str">
        <f>IF(ISERR(
IF(PG!C464="","",PG!C464)),"",IF(PG!C464="","",PG!C464))</f>
        <v/>
      </c>
    </row>
    <row r="462" spans="20:20" ht="15" hidden="1" customHeight="1" x14ac:dyDescent="0.2">
      <c r="T462" t="str">
        <f>IF(ISERR(
IF(PG!C465="","",PG!C465)),"",IF(PG!C465="","",PG!C465))</f>
        <v/>
      </c>
    </row>
    <row r="463" spans="20:20" ht="15" hidden="1" customHeight="1" x14ac:dyDescent="0.2">
      <c r="T463" t="str">
        <f>IF(ISERR(
IF(PG!C466="","",PG!C466)),"",IF(PG!C466="","",PG!C466))</f>
        <v/>
      </c>
    </row>
    <row r="464" spans="20:20" ht="15" hidden="1" customHeight="1" x14ac:dyDescent="0.2">
      <c r="T464" t="str">
        <f>IF(ISERR(
IF(PG!C467="","",PG!C467)),"",IF(PG!C467="","",PG!C467))</f>
        <v/>
      </c>
    </row>
    <row r="465" spans="20:20" ht="15" hidden="1" customHeight="1" x14ac:dyDescent="0.2">
      <c r="T465" t="str">
        <f>IF(ISERR(
IF(PG!C468="","",PG!C468)),"",IF(PG!C468="","",PG!C468))</f>
        <v/>
      </c>
    </row>
    <row r="466" spans="20:20" ht="15" hidden="1" customHeight="1" x14ac:dyDescent="0.2">
      <c r="T466" t="str">
        <f>IF(ISERR(
IF(PG!C469="","",PG!C469)),"",IF(PG!C469="","",PG!C469))</f>
        <v/>
      </c>
    </row>
    <row r="467" spans="20:20" ht="15" hidden="1" customHeight="1" x14ac:dyDescent="0.2">
      <c r="T467" t="str">
        <f>IF(ISERR(
IF(PG!C470="","",PG!C470)),"",IF(PG!C470="","",PG!C470))</f>
        <v/>
      </c>
    </row>
    <row r="468" spans="20:20" ht="15" hidden="1" customHeight="1" x14ac:dyDescent="0.2">
      <c r="T468" t="str">
        <f>IF(ISERR(
IF(PG!C471="","",PG!C471)),"",IF(PG!C471="","",PG!C471))</f>
        <v/>
      </c>
    </row>
    <row r="469" spans="20:20" ht="15" hidden="1" customHeight="1" x14ac:dyDescent="0.2">
      <c r="T469" t="str">
        <f>IF(ISERR(
IF(PG!C472="","",PG!C472)),"",IF(PG!C472="","",PG!C472))</f>
        <v/>
      </c>
    </row>
    <row r="470" spans="20:20" ht="15" hidden="1" customHeight="1" x14ac:dyDescent="0.2">
      <c r="T470" t="str">
        <f>IF(ISERR(
IF(PG!C473="","",PG!C473)),"",IF(PG!C473="","",PG!C473))</f>
        <v/>
      </c>
    </row>
    <row r="471" spans="20:20" ht="15" hidden="1" customHeight="1" x14ac:dyDescent="0.2">
      <c r="T471" t="str">
        <f>IF(ISERR(
IF(PG!C474="","",PG!C474)),"",IF(PG!C474="","",PG!C474))</f>
        <v/>
      </c>
    </row>
    <row r="472" spans="20:20" ht="15" hidden="1" customHeight="1" x14ac:dyDescent="0.2">
      <c r="T472" t="str">
        <f>IF(ISERR(
IF(PG!C475="","",PG!C475)),"",IF(PG!C475="","",PG!C475))</f>
        <v/>
      </c>
    </row>
    <row r="473" spans="20:20" ht="15" hidden="1" customHeight="1" x14ac:dyDescent="0.2">
      <c r="T473" t="str">
        <f>IF(ISERR(
IF(PG!C476="","",PG!C476)),"",IF(PG!C476="","",PG!C476))</f>
        <v/>
      </c>
    </row>
    <row r="474" spans="20:20" ht="15" hidden="1" customHeight="1" x14ac:dyDescent="0.2">
      <c r="T474" t="str">
        <f>IF(ISERR(
IF(PG!C477="","",PG!C477)),"",IF(PG!C477="","",PG!C477))</f>
        <v/>
      </c>
    </row>
    <row r="475" spans="20:20" ht="15" hidden="1" customHeight="1" x14ac:dyDescent="0.2">
      <c r="T475" t="str">
        <f>IF(ISERR(
IF(PG!C478="","",PG!C478)),"",IF(PG!C478="","",PG!C478))</f>
        <v/>
      </c>
    </row>
    <row r="476" spans="20:20" ht="15" hidden="1" customHeight="1" x14ac:dyDescent="0.2">
      <c r="T476" t="str">
        <f>IF(ISERR(
IF(PG!C479="","",PG!C479)),"",IF(PG!C479="","",PG!C479))</f>
        <v/>
      </c>
    </row>
    <row r="477" spans="20:20" ht="15" hidden="1" customHeight="1" x14ac:dyDescent="0.2">
      <c r="T477" t="str">
        <f>IF(ISERR(
IF(PG!C480="","",PG!C480)),"",IF(PG!C480="","",PG!C480))</f>
        <v/>
      </c>
    </row>
    <row r="478" spans="20:20" ht="15" hidden="1" customHeight="1" x14ac:dyDescent="0.2">
      <c r="T478" t="str">
        <f>IF(ISERR(
IF(PG!C481="","",PG!C481)),"",IF(PG!C481="","",PG!C481))</f>
        <v/>
      </c>
    </row>
    <row r="479" spans="20:20" ht="15" hidden="1" customHeight="1" x14ac:dyDescent="0.2">
      <c r="T479" t="str">
        <f>IF(ISERR(
IF(PG!C482="","",PG!C482)),"",IF(PG!C482="","",PG!C482))</f>
        <v/>
      </c>
    </row>
    <row r="480" spans="20:20" ht="15" hidden="1" customHeight="1" x14ac:dyDescent="0.2">
      <c r="T480" t="str">
        <f>IF(ISERR(
IF(PG!C483="","",PG!C483)),"",IF(PG!C483="","",PG!C483))</f>
        <v/>
      </c>
    </row>
    <row r="481" spans="20:20" ht="15" hidden="1" customHeight="1" x14ac:dyDescent="0.2">
      <c r="T481" t="str">
        <f>IF(ISERR(
IF(PG!C484="","",PG!C484)),"",IF(PG!C484="","",PG!C484))</f>
        <v/>
      </c>
    </row>
    <row r="482" spans="20:20" ht="15" hidden="1" customHeight="1" x14ac:dyDescent="0.2">
      <c r="T482" t="str">
        <f>IF(ISERR(
IF(PG!C485="","",PG!C485)),"",IF(PG!C485="","",PG!C485))</f>
        <v/>
      </c>
    </row>
    <row r="483" spans="20:20" ht="15" hidden="1" customHeight="1" x14ac:dyDescent="0.2">
      <c r="T483" t="str">
        <f>IF(ISERR(
IF(PG!C486="","",PG!C486)),"",IF(PG!C486="","",PG!C486))</f>
        <v/>
      </c>
    </row>
    <row r="484" spans="20:20" ht="15" hidden="1" customHeight="1" x14ac:dyDescent="0.2">
      <c r="T484" t="str">
        <f>IF(ISERR(
IF(PG!C487="","",PG!C487)),"",IF(PG!C487="","",PG!C487))</f>
        <v/>
      </c>
    </row>
    <row r="485" spans="20:20" ht="15" hidden="1" customHeight="1" x14ac:dyDescent="0.2">
      <c r="T485" t="str">
        <f>IF(ISERR(
IF(PG!C488="","",PG!C488)),"",IF(PG!C488="","",PG!C488))</f>
        <v/>
      </c>
    </row>
    <row r="486" spans="20:20" ht="15" hidden="1" customHeight="1" x14ac:dyDescent="0.2">
      <c r="T486" t="str">
        <f>IF(ISERR(
IF(PG!C489="","",PG!C489)),"",IF(PG!C489="","",PG!C489))</f>
        <v/>
      </c>
    </row>
    <row r="487" spans="20:20" ht="15" hidden="1" customHeight="1" x14ac:dyDescent="0.2">
      <c r="T487" t="str">
        <f>IF(ISERR(
IF(PG!C490="","",PG!C490)),"",IF(PG!C490="","",PG!C490))</f>
        <v/>
      </c>
    </row>
    <row r="488" spans="20:20" ht="15" hidden="1" customHeight="1" x14ac:dyDescent="0.2">
      <c r="T488" t="str">
        <f>IF(ISERR(
IF(PG!C491="","",PG!C491)),"",IF(PG!C491="","",PG!C491))</f>
        <v/>
      </c>
    </row>
    <row r="489" spans="20:20" ht="15" hidden="1" customHeight="1" x14ac:dyDescent="0.2">
      <c r="T489" t="str">
        <f>IF(ISERR(
IF(PG!C492="","",PG!C492)),"",IF(PG!C492="","",PG!C492))</f>
        <v/>
      </c>
    </row>
    <row r="490" spans="20:20" ht="15" hidden="1" customHeight="1" x14ac:dyDescent="0.2">
      <c r="T490" t="str">
        <f>IF(ISERR(
IF(PG!C493="","",PG!C493)),"",IF(PG!C493="","",PG!C493))</f>
        <v/>
      </c>
    </row>
    <row r="491" spans="20:20" ht="15" hidden="1" customHeight="1" x14ac:dyDescent="0.2">
      <c r="T491" t="str">
        <f>IF(ISERR(
IF(PG!C494="","",PG!C494)),"",IF(PG!C494="","",PG!C494))</f>
        <v/>
      </c>
    </row>
    <row r="492" spans="20:20" ht="15" hidden="1" customHeight="1" x14ac:dyDescent="0.2">
      <c r="T492" t="str">
        <f>IF(ISERR(
IF(PG!C495="","",PG!C495)),"",IF(PG!C495="","",PG!C495))</f>
        <v/>
      </c>
    </row>
    <row r="493" spans="20:20" ht="15" hidden="1" customHeight="1" x14ac:dyDescent="0.2">
      <c r="T493" t="str">
        <f>IF(ISERR(
IF(PG!C496="","",PG!C496)),"",IF(PG!C496="","",PG!C496))</f>
        <v/>
      </c>
    </row>
    <row r="494" spans="20:20" ht="15" hidden="1" customHeight="1" x14ac:dyDescent="0.2">
      <c r="T494" t="str">
        <f>IF(ISERR(
IF(PG!C497="","",PG!C497)),"",IF(PG!C497="","",PG!C497))</f>
        <v/>
      </c>
    </row>
    <row r="495" spans="20:20" ht="15" hidden="1" customHeight="1" x14ac:dyDescent="0.2">
      <c r="T495" t="str">
        <f>IF(ISERR(
IF(PG!C498="","",PG!C498)),"",IF(PG!C498="","",PG!C498))</f>
        <v/>
      </c>
    </row>
    <row r="496" spans="20:20" ht="15" hidden="1" customHeight="1" x14ac:dyDescent="0.2">
      <c r="T496" t="str">
        <f>IF(ISERR(
IF(PG!C499="","",PG!C499)),"",IF(PG!C499="","",PG!C499))</f>
        <v/>
      </c>
    </row>
    <row r="497" spans="20:20" ht="15" hidden="1" customHeight="1" x14ac:dyDescent="0.2">
      <c r="T497" t="str">
        <f>IF(ISERR(
IF(PG!C500="","",PG!C500)),"",IF(PG!C500="","",PG!C500))</f>
        <v/>
      </c>
    </row>
    <row r="498" spans="20:20" ht="15" hidden="1" customHeight="1" x14ac:dyDescent="0.2">
      <c r="T498" t="str">
        <f>IF(ISERR(
IF(PG!C501="","",PG!C501)),"",IF(PG!C501="","",PG!C501))</f>
        <v/>
      </c>
    </row>
    <row r="499" spans="20:20" ht="15" hidden="1" customHeight="1" x14ac:dyDescent="0.2">
      <c r="T499" t="str">
        <f>IF(ISERR(
IF(PG!C502="","",PG!C502)),"",IF(PG!C502="","",PG!C502))</f>
        <v/>
      </c>
    </row>
    <row r="500" spans="20:20" ht="15" hidden="1" customHeight="1" x14ac:dyDescent="0.2">
      <c r="T500" t="str">
        <f>IF(ISERR(
IF(PG!C503="","",PG!C503)),"",IF(PG!C503="","",PG!C503))</f>
        <v/>
      </c>
    </row>
    <row r="501" spans="20:20" ht="15" hidden="1" customHeight="1" x14ac:dyDescent="0.2">
      <c r="T501" t="str">
        <f>IF(ISERR(
IF(PG!C504="","",PG!C504)),"",IF(PG!C504="","",PG!C504))</f>
        <v/>
      </c>
    </row>
    <row r="502" spans="20:20" ht="15" hidden="1" customHeight="1" x14ac:dyDescent="0.2">
      <c r="T502" t="str">
        <f>IF(ISERR(
IF(PG!C505="","",PG!C505)),"",IF(PG!C505="","",PG!C505))</f>
        <v/>
      </c>
    </row>
    <row r="503" spans="20:20" ht="15" hidden="1" customHeight="1" x14ac:dyDescent="0.2">
      <c r="T503" t="str">
        <f>IF(ISERR(
IF(PG!C506="","",PG!C506)),"",IF(PG!C506="","",PG!C506))</f>
        <v/>
      </c>
    </row>
    <row r="504" spans="20:20" ht="15" hidden="1" customHeight="1" x14ac:dyDescent="0.2">
      <c r="T504" t="str">
        <f>IF(ISERR(
IF(PG!C507="","",PG!C507)),"",IF(PG!C507="","",PG!C507))</f>
        <v/>
      </c>
    </row>
  </sheetData>
  <sheetProtection sheet="1" objects="1" scenarios="1"/>
  <dataValidations count="1">
    <dataValidation type="list" allowBlank="1" showInputMessage="1" showErrorMessage="1" sqref="D5">
      <formula1>$T$4:$T$504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 enableFormatConditionsCalculation="0"/>
  <dimension ref="A1:Q501"/>
  <sheetViews>
    <sheetView showGridLines="0" zoomScale="90" zoomScaleNormal="90" zoomScalePageLayoutView="90" workbookViewId="0">
      <pane ySplit="8" topLeftCell="A9" activePane="bottomLeft" state="frozen"/>
      <selection pane="bottomLeft" activeCell="C9" sqref="C9:F15"/>
    </sheetView>
  </sheetViews>
  <sheetFormatPr baseColWidth="10" defaultColWidth="8.83203125" defaultRowHeight="15" zeroHeight="1" x14ac:dyDescent="0.2"/>
  <cols>
    <col min="1" max="1" width="27.6640625" style="1" customWidth="1"/>
    <col min="2" max="2" width="3.83203125" customWidth="1"/>
    <col min="3" max="3" width="37.5" customWidth="1"/>
    <col min="4" max="4" width="25.5" customWidth="1"/>
    <col min="5" max="5" width="26.1640625" customWidth="1"/>
    <col min="6" max="7" width="14.83203125" customWidth="1"/>
    <col min="8" max="8" width="61.83203125" customWidth="1"/>
    <col min="15" max="15" width="0" hidden="1" customWidth="1"/>
    <col min="16" max="16" width="20.1640625" hidden="1" customWidth="1"/>
    <col min="17" max="18" width="0" hidden="1" customWidth="1"/>
  </cols>
  <sheetData>
    <row r="1" spans="1:17" s="4" customFormat="1" ht="34" customHeight="1" x14ac:dyDescent="0.3">
      <c r="A1" s="77" t="s">
        <v>163</v>
      </c>
      <c r="C1" s="5" t="s">
        <v>28</v>
      </c>
      <c r="P1" s="4" t="s">
        <v>103</v>
      </c>
      <c r="Q1" s="4" t="str">
        <f>IF(ISERR(
IF(PG!C7="","",PG!C7)),"",IF(PG!C7="","",PG!C7))</f>
        <v/>
      </c>
    </row>
    <row r="2" spans="1:17" s="4" customFormat="1" ht="21.5" customHeight="1" x14ac:dyDescent="0.2">
      <c r="A2" s="1"/>
      <c r="P2" s="4" t="s">
        <v>104</v>
      </c>
      <c r="Q2" s="4" t="str">
        <f>IF(ISERR(
IF(PG!C8="","",PG!C8)),"",IF(PG!C8="","",PG!C8))</f>
        <v/>
      </c>
    </row>
    <row r="3" spans="1:17" s="4" customFormat="1" ht="21.5" customHeight="1" x14ac:dyDescent="0.2">
      <c r="A3" s="1"/>
      <c r="P3" s="4" t="s">
        <v>105</v>
      </c>
      <c r="Q3" s="4" t="str">
        <f>IF(ISERR(
IF(PG!C9="","",PG!C9)),"",IF(PG!C9="","",PG!C9))</f>
        <v/>
      </c>
    </row>
    <row r="4" spans="1:17" ht="14" customHeight="1" x14ac:dyDescent="0.2">
      <c r="P4" t="s">
        <v>143</v>
      </c>
      <c r="Q4" t="str">
        <f>IF(ISERR(
IF(PG!C10="","",PG!C10)),"",IF(PG!C10="","",PG!C10))</f>
        <v/>
      </c>
    </row>
    <row r="5" spans="1:17" ht="14" customHeight="1" x14ac:dyDescent="0.2">
      <c r="C5" s="37" t="s">
        <v>98</v>
      </c>
      <c r="Q5" t="str">
        <f>IF(ISERR(
IF(PG!C11="","",PG!C11)),"",IF(PG!C11="","",PG!C11))</f>
        <v/>
      </c>
    </row>
    <row r="6" spans="1:17" ht="14" customHeight="1" x14ac:dyDescent="0.2">
      <c r="Q6" t="str">
        <f>IF(ISERR(
IF(PG!C12="","",PG!C12)),"",IF(PG!C12="","",PG!C12))</f>
        <v/>
      </c>
    </row>
    <row r="7" spans="1:17" ht="30" customHeight="1" thickBot="1" x14ac:dyDescent="0.25">
      <c r="C7" s="87" t="s">
        <v>99</v>
      </c>
      <c r="D7" s="88"/>
      <c r="E7" s="88"/>
      <c r="F7" s="88"/>
      <c r="G7" s="88"/>
      <c r="H7" s="88"/>
      <c r="Q7" t="str">
        <f>IF(ISERR(
IF(PG!C13="","",PG!C13)),"",IF(PG!C13="","",PG!C13))</f>
        <v/>
      </c>
    </row>
    <row r="8" spans="1:17" ht="30" customHeight="1" thickBot="1" x14ac:dyDescent="0.25">
      <c r="C8" s="29" t="s">
        <v>100</v>
      </c>
      <c r="D8" s="29" t="s">
        <v>101</v>
      </c>
      <c r="E8" s="29" t="s">
        <v>56</v>
      </c>
      <c r="F8" s="41" t="s">
        <v>137</v>
      </c>
      <c r="G8" s="41" t="s">
        <v>138</v>
      </c>
      <c r="H8" s="38" t="s">
        <v>102</v>
      </c>
      <c r="Q8" t="str">
        <f>IF(ISERR(
IF(PG!C14="","",PG!C14)),"",IF(PG!C14="","",PG!C14))</f>
        <v/>
      </c>
    </row>
    <row r="9" spans="1:17" ht="60" customHeight="1" thickBot="1" x14ac:dyDescent="0.25">
      <c r="C9" s="40"/>
      <c r="D9" s="40"/>
      <c r="E9" s="40"/>
      <c r="F9" s="20"/>
      <c r="G9" s="62" t="str">
        <f>IF(ISERROR(
IF(C9="","",IFERROR(VLOOKUP(E9,PG!$C$7:$D$507,2,0),""))),"",IF(C9="","",IFERROR(VLOOKUP(E9,PG!$C$7:$D$507,2,0),"")))</f>
        <v/>
      </c>
      <c r="H9" s="42" t="str">
        <f>IF(ISERROR(
IF(C9="","",
IF(F9&lt;G9,"Seu preço está acima de um dos seus concorrentes. Você precisa encontrar meios como qualidade, localização, etc, para justificar esta diferença.",IF(F9&gt;G9,"Seu preço está abaixo de um dos seus concorrentes. Mas ele se posiciona pelo(a) "&amp;D9&amp;". Fique atento sobre este detalhe, pois preço baixo não é garantia de sucesso.","Seu preço está igual a de um dos seus concorrentes. Mas ele se posiciona pela "&amp;D9&amp;". Se você conseguir este mesmo benefício, poderá estar em vantagem.")))),"",
IF(C9="","",
IF(F9&lt;G9,"Seu preço está acima de um dos seus concorrentes. Você precisa encontrar meios como qualidade, localização, etc, para justificar esta diferença.",IF(F9&gt;G9,"Seu preço está abaixo de um dos seus concorrentes. Mas ele se posiciona pelo(a) "&amp;D9&amp;". Fique atento sobre este detalhe, pois preço baixo não é garantia de sucesso.","Seu preço está igual a de um dos seus concorrentes. Mas ele se posiciona pela "&amp;D9&amp;". Se você conseguir este mesmo benefício, poderá estar em vantagem."))))</f>
        <v/>
      </c>
      <c r="Q9" t="str">
        <f>IF(ISERR(
IF(PG!C15="","",PG!C15)),"",IF(PG!C15="","",PG!C15))</f>
        <v/>
      </c>
    </row>
    <row r="10" spans="1:17" ht="60" customHeight="1" thickBot="1" x14ac:dyDescent="0.25">
      <c r="C10" s="40"/>
      <c r="D10" s="40"/>
      <c r="E10" s="40"/>
      <c r="F10" s="20"/>
      <c r="G10" s="62" t="str">
        <f>IF(ISERROR(
IF(C10="","",IFERROR(VLOOKUP(E10,PG!$C$7:$D$507,2,0),""))),"",IF(C10="","",IFERROR(VLOOKUP(E10,PG!$C$7:$D$507,2,0),"")))</f>
        <v/>
      </c>
      <c r="H10" s="42" t="str">
        <f t="shared" ref="H10:H28" si="0">IF(ISERROR(
IF(C10="","",
IF(F10&lt;G10,"Seu preço está acima de um dos seus concorrentes. Você precisa encontrar meios como qualidade, localização, etc, para justificar esta diferença.",IF(F10&gt;G10,"Seu preço está abaixo de um dos seus concorrentes. Mas ele se posiciona pelo(a) "&amp;D10&amp;". Fique atento sobre este detalhe, pois preço baixo não é garantia de sucesso.","Seu preço está igual a de um dos seus concorrentes. Mas ele se posiciona pela "&amp;D10&amp;". Se você conseguir este mesmo benefício, poderá estar em vantagem.")))),"",
IF(C10="","",
IF(F10&lt;G10,"Seu preço está acima de um dos seus concorrentes. Você precisa encontrar meios como qualidade, localização, etc, para justificar esta diferença.",IF(F10&gt;G10,"Seu preço está abaixo de um dos seus concorrentes. Mas ele se posiciona pelo(a) "&amp;D10&amp;". Fique atento sobre este detalhe, pois preço baixo não é garantia de sucesso.","Seu preço está igual a de um dos seus concorrentes. Mas ele se posiciona pela "&amp;D10&amp;". Se você conseguir este mesmo benefício, poderá estar em vantagem."))))</f>
        <v/>
      </c>
      <c r="Q10" t="str">
        <f>IF(ISERR(
IF(PG!C16="","",PG!C16)),"",IF(PG!C16="","",PG!C16))</f>
        <v/>
      </c>
    </row>
    <row r="11" spans="1:17" ht="60" customHeight="1" thickBot="1" x14ac:dyDescent="0.25">
      <c r="C11" s="40"/>
      <c r="D11" s="40"/>
      <c r="E11" s="40"/>
      <c r="F11" s="20"/>
      <c r="G11" s="62" t="str">
        <f>IF(ISERROR(
IF(C11="","",IFERROR(VLOOKUP(E11,PG!$C$7:$D$507,2,0),""))),"",IF(C11="","",IFERROR(VLOOKUP(E11,PG!$C$7:$D$507,2,0),"")))</f>
        <v/>
      </c>
      <c r="H11" s="42" t="str">
        <f t="shared" si="0"/>
        <v/>
      </c>
      <c r="Q11" t="str">
        <f>IF(ISERR(
IF(PG!C17="","",PG!C17)),"",IF(PG!C17="","",PG!C17))</f>
        <v/>
      </c>
    </row>
    <row r="12" spans="1:17" ht="60" customHeight="1" thickBot="1" x14ac:dyDescent="0.25">
      <c r="C12" s="40"/>
      <c r="D12" s="40"/>
      <c r="E12" s="40"/>
      <c r="F12" s="20"/>
      <c r="G12" s="62" t="str">
        <f>IF(ISERROR(
IF(C12="","",IFERROR(VLOOKUP(E12,PG!$C$7:$D$507,2,0),""))),"",IF(C12="","",IFERROR(VLOOKUP(E12,PG!$C$7:$D$507,2,0),"")))</f>
        <v/>
      </c>
      <c r="H12" s="42" t="str">
        <f t="shared" si="0"/>
        <v/>
      </c>
      <c r="Q12" t="str">
        <f>IF(ISERR(
IF(PG!C18="","",PG!C18)),"",IF(PG!C18="","",PG!C18))</f>
        <v/>
      </c>
    </row>
    <row r="13" spans="1:17" ht="60" customHeight="1" thickBot="1" x14ac:dyDescent="0.25">
      <c r="C13" s="40"/>
      <c r="D13" s="40"/>
      <c r="E13" s="40"/>
      <c r="F13" s="20"/>
      <c r="G13" s="62" t="str">
        <f>IF(ISERROR(
IF(C13="","",IFERROR(VLOOKUP(E13,PG!$C$7:$D$507,2,0),""))),"",IF(C13="","",IFERROR(VLOOKUP(E13,PG!$C$7:$D$507,2,0),"")))</f>
        <v/>
      </c>
      <c r="H13" s="42" t="str">
        <f t="shared" si="0"/>
        <v/>
      </c>
      <c r="Q13" t="str">
        <f>IF(ISERR(
IF(PG!C19="","",PG!C19)),"",IF(PG!C19="","",PG!C19))</f>
        <v/>
      </c>
    </row>
    <row r="14" spans="1:17" ht="60" customHeight="1" thickBot="1" x14ac:dyDescent="0.25">
      <c r="C14" s="40"/>
      <c r="D14" s="40"/>
      <c r="E14" s="40"/>
      <c r="F14" s="20"/>
      <c r="G14" s="62" t="str">
        <f>IF(ISERROR(
IF(C14="","",IFERROR(VLOOKUP(E14,PG!$C$7:$D$507,2,0),""))),"",IF(C14="","",IFERROR(VLOOKUP(E14,PG!$C$7:$D$507,2,0),"")))</f>
        <v/>
      </c>
      <c r="H14" s="42" t="str">
        <f t="shared" si="0"/>
        <v/>
      </c>
      <c r="Q14" t="str">
        <f>IF(ISERR(
IF(PG!C20="","",PG!C20)),"",IF(PG!C20="","",PG!C20))</f>
        <v/>
      </c>
    </row>
    <row r="15" spans="1:17" ht="60" customHeight="1" thickBot="1" x14ac:dyDescent="0.25">
      <c r="C15" s="40"/>
      <c r="D15" s="40"/>
      <c r="E15" s="40"/>
      <c r="F15" s="20"/>
      <c r="G15" s="62" t="str">
        <f>IF(ISERROR(
IF(C15="","",IFERROR(VLOOKUP(E15,PG!$C$7:$D$507,2,0),""))),"",IF(C15="","",IFERROR(VLOOKUP(E15,PG!$C$7:$D$507,2,0),"")))</f>
        <v/>
      </c>
      <c r="H15" s="42" t="str">
        <f t="shared" si="0"/>
        <v/>
      </c>
      <c r="Q15" t="str">
        <f>IF(ISERR(
IF(PG!C21="","",PG!C21)),"",IF(PG!C21="","",PG!C21))</f>
        <v/>
      </c>
    </row>
    <row r="16" spans="1:17" ht="60" customHeight="1" thickBot="1" x14ac:dyDescent="0.25">
      <c r="C16" s="40"/>
      <c r="D16" s="40"/>
      <c r="E16" s="40"/>
      <c r="F16" s="20"/>
      <c r="G16" s="62" t="str">
        <f>IF(ISERROR(
IF(C16="","",IFERROR(VLOOKUP(E16,PG!$C$7:$D$507,2,0),""))),"",IF(C16="","",IFERROR(VLOOKUP(E16,PG!$C$7:$D$507,2,0),"")))</f>
        <v/>
      </c>
      <c r="H16" s="42" t="str">
        <f t="shared" si="0"/>
        <v/>
      </c>
      <c r="Q16" t="str">
        <f>IF(ISERR(
IF(PG!C22="","",PG!C22)),"",IF(PG!C22="","",PG!C22))</f>
        <v/>
      </c>
    </row>
    <row r="17" spans="3:17" ht="60" customHeight="1" thickBot="1" x14ac:dyDescent="0.25">
      <c r="C17" s="40"/>
      <c r="D17" s="40"/>
      <c r="E17" s="40"/>
      <c r="F17" s="20"/>
      <c r="G17" s="62" t="str">
        <f>IF(ISERROR(
IF(C17="","",IFERROR(VLOOKUP(E17,PG!$C$7:$D$507,2,0),""))),"",IF(C17="","",IFERROR(VLOOKUP(E17,PG!$C$7:$D$507,2,0),"")))</f>
        <v/>
      </c>
      <c r="H17" s="42" t="str">
        <f t="shared" si="0"/>
        <v/>
      </c>
      <c r="Q17" t="str">
        <f>IF(ISERR(
IF(PG!C23="","",PG!C23)),"",IF(PG!C23="","",PG!C23))</f>
        <v/>
      </c>
    </row>
    <row r="18" spans="3:17" ht="60" customHeight="1" thickBot="1" x14ac:dyDescent="0.25">
      <c r="C18" s="40"/>
      <c r="D18" s="40"/>
      <c r="E18" s="40"/>
      <c r="F18" s="20"/>
      <c r="G18" s="62" t="str">
        <f>IF(ISERROR(
IF(C18="","",IFERROR(VLOOKUP(E18,PG!$C$7:$D$507,2,0),""))),"",IF(C18="","",IFERROR(VLOOKUP(E18,PG!$C$7:$D$507,2,0),"")))</f>
        <v/>
      </c>
      <c r="H18" s="42" t="str">
        <f t="shared" si="0"/>
        <v/>
      </c>
      <c r="Q18" t="str">
        <f>IF(ISERR(
IF(PG!C24="","",PG!C24)),"",IF(PG!C24="","",PG!C24))</f>
        <v/>
      </c>
    </row>
    <row r="19" spans="3:17" ht="60" customHeight="1" thickBot="1" x14ac:dyDescent="0.25">
      <c r="C19" s="40"/>
      <c r="D19" s="40"/>
      <c r="E19" s="40"/>
      <c r="F19" s="20"/>
      <c r="G19" s="62" t="str">
        <f>IF(ISERROR(
IF(C19="","",IFERROR(VLOOKUP(E19,PG!$C$7:$D$507,2,0),""))),"",IF(C19="","",IFERROR(VLOOKUP(E19,PG!$C$7:$D$507,2,0),"")))</f>
        <v/>
      </c>
      <c r="H19" s="42" t="str">
        <f t="shared" si="0"/>
        <v/>
      </c>
      <c r="Q19" t="str">
        <f>IF(ISERR(
IF(PG!C25="","",PG!C25)),"",IF(PG!C25="","",PG!C25))</f>
        <v/>
      </c>
    </row>
    <row r="20" spans="3:17" ht="60" customHeight="1" thickBot="1" x14ac:dyDescent="0.25">
      <c r="C20" s="40"/>
      <c r="D20" s="40"/>
      <c r="E20" s="40"/>
      <c r="F20" s="20"/>
      <c r="G20" s="62" t="str">
        <f>IF(ISERROR(
IF(C20="","",IFERROR(VLOOKUP(E20,PG!$C$7:$D$507,2,0),""))),"",IF(C20="","",IFERROR(VLOOKUP(E20,PG!$C$7:$D$507,2,0),"")))</f>
        <v/>
      </c>
      <c r="H20" s="42" t="str">
        <f t="shared" si="0"/>
        <v/>
      </c>
      <c r="Q20" t="str">
        <f>IF(ISERR(
IF(PG!C26="","",PG!C26)),"",IF(PG!C26="","",PG!C26))</f>
        <v/>
      </c>
    </row>
    <row r="21" spans="3:17" ht="60" customHeight="1" thickBot="1" x14ac:dyDescent="0.25">
      <c r="C21" s="40"/>
      <c r="D21" s="40"/>
      <c r="E21" s="40"/>
      <c r="F21" s="20"/>
      <c r="G21" s="62" t="str">
        <f>IF(ISERROR(
IF(C21="","",IFERROR(VLOOKUP(E21,PG!$C$7:$D$507,2,0),""))),"",IF(C21="","",IFERROR(VLOOKUP(E21,PG!$C$7:$D$507,2,0),"")))</f>
        <v/>
      </c>
      <c r="H21" s="42" t="str">
        <f t="shared" si="0"/>
        <v/>
      </c>
      <c r="Q21" t="str">
        <f>IF(ISERR(
IF(PG!C27="","",PG!C27)),"",IF(PG!C27="","",PG!C27))</f>
        <v/>
      </c>
    </row>
    <row r="22" spans="3:17" ht="60" customHeight="1" thickBot="1" x14ac:dyDescent="0.25">
      <c r="C22" s="40"/>
      <c r="D22" s="40"/>
      <c r="E22" s="40"/>
      <c r="F22" s="20"/>
      <c r="G22" s="62" t="str">
        <f>IF(ISERROR(
IF(C22="","",IFERROR(VLOOKUP(E22,PG!$C$7:$D$507,2,0),""))),"",IF(C22="","",IFERROR(VLOOKUP(E22,PG!$C$7:$D$507,2,0),"")))</f>
        <v/>
      </c>
      <c r="H22" s="42" t="str">
        <f t="shared" si="0"/>
        <v/>
      </c>
      <c r="Q22" t="str">
        <f>IF(ISERR(
IF(PG!C28="","",PG!C28)),"",IF(PG!C28="","",PG!C28))</f>
        <v/>
      </c>
    </row>
    <row r="23" spans="3:17" ht="60" customHeight="1" thickBot="1" x14ac:dyDescent="0.25">
      <c r="C23" s="40"/>
      <c r="D23" s="40"/>
      <c r="E23" s="40"/>
      <c r="F23" s="20"/>
      <c r="G23" s="62" t="str">
        <f>IF(ISERROR(
IF(C23="","",IFERROR(VLOOKUP(E23,PG!$C$7:$D$507,2,0),""))),"",IF(C23="","",IFERROR(VLOOKUP(E23,PG!$C$7:$D$507,2,0),"")))</f>
        <v/>
      </c>
      <c r="H23" s="42" t="str">
        <f t="shared" si="0"/>
        <v/>
      </c>
      <c r="Q23" t="str">
        <f>IF(ISERR(
IF(PG!C29="","",PG!C29)),"",IF(PG!C29="","",PG!C29))</f>
        <v/>
      </c>
    </row>
    <row r="24" spans="3:17" ht="60" customHeight="1" thickBot="1" x14ac:dyDescent="0.25">
      <c r="C24" s="40"/>
      <c r="D24" s="40"/>
      <c r="E24" s="40"/>
      <c r="F24" s="20"/>
      <c r="G24" s="62" t="str">
        <f>IF(ISERROR(
IF(C24="","",IFERROR(VLOOKUP(E24,PG!$C$7:$D$507,2,0),""))),"",IF(C24="","",IFERROR(VLOOKUP(E24,PG!$C$7:$D$507,2,0),"")))</f>
        <v/>
      </c>
      <c r="H24" s="42" t="str">
        <f t="shared" si="0"/>
        <v/>
      </c>
      <c r="Q24" t="str">
        <f>IF(ISERR(
IF(PG!C30="","",PG!C30)),"",IF(PG!C30="","",PG!C30))</f>
        <v/>
      </c>
    </row>
    <row r="25" spans="3:17" ht="60" customHeight="1" thickBot="1" x14ac:dyDescent="0.25">
      <c r="C25" s="40"/>
      <c r="D25" s="40"/>
      <c r="E25" s="40"/>
      <c r="F25" s="20"/>
      <c r="G25" s="62" t="str">
        <f>IF(ISERROR(
IF(C25="","",IFERROR(VLOOKUP(E25,PG!$C$7:$D$507,2,0),""))),"",IF(C25="","",IFERROR(VLOOKUP(E25,PG!$C$7:$D$507,2,0),"")))</f>
        <v/>
      </c>
      <c r="H25" s="42" t="str">
        <f t="shared" si="0"/>
        <v/>
      </c>
      <c r="Q25" t="str">
        <f>IF(ISERR(
IF(PG!C31="","",PG!C31)),"",IF(PG!C31="","",PG!C31))</f>
        <v/>
      </c>
    </row>
    <row r="26" spans="3:17" ht="60" customHeight="1" thickBot="1" x14ac:dyDescent="0.25">
      <c r="C26" s="40"/>
      <c r="D26" s="40"/>
      <c r="E26" s="40"/>
      <c r="F26" s="20"/>
      <c r="G26" s="62" t="str">
        <f>IF(ISERROR(
IF(C26="","",IFERROR(VLOOKUP(E26,PG!$C$7:$D$507,2,0),""))),"",IF(C26="","",IFERROR(VLOOKUP(E26,PG!$C$7:$D$507,2,0),"")))</f>
        <v/>
      </c>
      <c r="H26" s="42" t="str">
        <f t="shared" si="0"/>
        <v/>
      </c>
      <c r="Q26" t="str">
        <f>IF(ISERR(
IF(PG!C32="","",PG!C32)),"",IF(PG!C32="","",PG!C32))</f>
        <v/>
      </c>
    </row>
    <row r="27" spans="3:17" ht="60" customHeight="1" thickBot="1" x14ac:dyDescent="0.25">
      <c r="C27" s="40"/>
      <c r="D27" s="40"/>
      <c r="E27" s="40"/>
      <c r="F27" s="20"/>
      <c r="G27" s="62" t="str">
        <f>IF(ISERROR(
IF(C27="","",IFERROR(VLOOKUP(E27,PG!$C$7:$D$507,2,0),""))),"",IF(C27="","",IFERROR(VLOOKUP(E27,PG!$C$7:$D$507,2,0),"")))</f>
        <v/>
      </c>
      <c r="H27" s="42" t="str">
        <f t="shared" si="0"/>
        <v/>
      </c>
      <c r="Q27" t="str">
        <f>IF(ISERR(
IF(PG!C33="","",PG!C33)),"",IF(PG!C33="","",PG!C33))</f>
        <v/>
      </c>
    </row>
    <row r="28" spans="3:17" ht="60" customHeight="1" thickBot="1" x14ac:dyDescent="0.25">
      <c r="C28" s="40"/>
      <c r="D28" s="40"/>
      <c r="E28" s="40"/>
      <c r="F28" s="20"/>
      <c r="G28" s="62" t="str">
        <f>IF(ISERROR(
IF(C28="","",IFERROR(VLOOKUP(E28,PG!$C$7:$D$507,2,0),""))),"",IF(C28="","",IFERROR(VLOOKUP(E28,PG!$C$7:$D$507,2,0),"")))</f>
        <v/>
      </c>
      <c r="H28" s="42" t="str">
        <f t="shared" si="0"/>
        <v/>
      </c>
      <c r="Q28" t="str">
        <f>IF(ISERR(
IF(PG!C34="","",PG!C34)),"",IF(PG!C34="","",PG!C34))</f>
        <v/>
      </c>
    </row>
    <row r="29" spans="3:17" ht="30" hidden="1" customHeight="1" x14ac:dyDescent="0.2">
      <c r="Q29" t="str">
        <f>IF(ISERR(
IF(PG!C35="","",PG!C35)),"",IF(PG!C35="","",PG!C35))</f>
        <v/>
      </c>
    </row>
    <row r="30" spans="3:17" ht="30" hidden="1" customHeight="1" x14ac:dyDescent="0.2">
      <c r="Q30" t="str">
        <f>IF(ISERR(
IF(PG!C36="","",PG!C36)),"",IF(PG!C36="","",PG!C36))</f>
        <v/>
      </c>
    </row>
    <row r="31" spans="3:17" ht="30" hidden="1" customHeight="1" x14ac:dyDescent="0.2">
      <c r="Q31" t="str">
        <f>IF(ISERR(
IF(PG!C37="","",PG!C37)),"",IF(PG!C37="","",PG!C37))</f>
        <v/>
      </c>
    </row>
    <row r="32" spans="3:17" ht="30" hidden="1" customHeight="1" x14ac:dyDescent="0.2">
      <c r="Q32" t="str">
        <f>IF(ISERR(
IF(PG!C38="","",PG!C38)),"",IF(PG!C38="","",PG!C38))</f>
        <v/>
      </c>
    </row>
    <row r="33" spans="17:17" ht="30" hidden="1" customHeight="1" x14ac:dyDescent="0.2">
      <c r="Q33" t="str">
        <f>IF(ISERR(
IF(PG!C39="","",PG!C39)),"",IF(PG!C39="","",PG!C39))</f>
        <v/>
      </c>
    </row>
    <row r="34" spans="17:17" ht="30" hidden="1" customHeight="1" x14ac:dyDescent="0.2">
      <c r="Q34" t="str">
        <f>IF(ISERR(
IF(PG!C40="","",PG!C40)),"",IF(PG!C40="","",PG!C40))</f>
        <v/>
      </c>
    </row>
    <row r="35" spans="17:17" ht="30" hidden="1" customHeight="1" x14ac:dyDescent="0.2">
      <c r="Q35" t="str">
        <f>IF(ISERR(
IF(PG!C41="","",PG!C41)),"",IF(PG!C41="","",PG!C41))</f>
        <v/>
      </c>
    </row>
    <row r="36" spans="17:17" ht="30" hidden="1" customHeight="1" x14ac:dyDescent="0.2">
      <c r="Q36" t="str">
        <f>IF(ISERR(
IF(PG!C42="","",PG!C42)),"",IF(PG!C42="","",PG!C42))</f>
        <v/>
      </c>
    </row>
    <row r="37" spans="17:17" ht="30" hidden="1" customHeight="1" x14ac:dyDescent="0.2">
      <c r="Q37" t="str">
        <f>IF(ISERR(
IF(PG!C43="","",PG!C43)),"",IF(PG!C43="","",PG!C43))</f>
        <v/>
      </c>
    </row>
    <row r="38" spans="17:17" ht="30" hidden="1" customHeight="1" x14ac:dyDescent="0.2">
      <c r="Q38" t="str">
        <f>IF(ISERR(
IF(PG!C44="","",PG!C44)),"",IF(PG!C44="","",PG!C44))</f>
        <v/>
      </c>
    </row>
    <row r="39" spans="17:17" ht="30" hidden="1" customHeight="1" x14ac:dyDescent="0.2">
      <c r="Q39" t="str">
        <f>IF(ISERR(
IF(PG!C45="","",PG!C45)),"",IF(PG!C45="","",PG!C45))</f>
        <v/>
      </c>
    </row>
    <row r="40" spans="17:17" ht="30" hidden="1" customHeight="1" x14ac:dyDescent="0.2">
      <c r="Q40" t="str">
        <f>IF(ISERR(
IF(PG!C46="","",PG!C46)),"",IF(PG!C46="","",PG!C46))</f>
        <v/>
      </c>
    </row>
    <row r="41" spans="17:17" ht="30" hidden="1" customHeight="1" x14ac:dyDescent="0.2">
      <c r="Q41" t="str">
        <f>IF(ISERR(
IF(PG!C47="","",PG!C47)),"",IF(PG!C47="","",PG!C47))</f>
        <v/>
      </c>
    </row>
    <row r="42" spans="17:17" ht="30" hidden="1" customHeight="1" x14ac:dyDescent="0.2">
      <c r="Q42" t="str">
        <f>IF(ISERR(
IF(PG!C48="","",PG!C48)),"",IF(PG!C48="","",PG!C48))</f>
        <v/>
      </c>
    </row>
    <row r="43" spans="17:17" ht="30" hidden="1" customHeight="1" x14ac:dyDescent="0.2">
      <c r="Q43" t="str">
        <f>IF(ISERR(
IF(PG!C49="","",PG!C49)),"",IF(PG!C49="","",PG!C49))</f>
        <v/>
      </c>
    </row>
    <row r="44" spans="17:17" ht="30" hidden="1" customHeight="1" x14ac:dyDescent="0.2">
      <c r="Q44" t="str">
        <f>IF(ISERR(
IF(PG!C50="","",PG!C50)),"",IF(PG!C50="","",PG!C50))</f>
        <v/>
      </c>
    </row>
    <row r="45" spans="17:17" ht="30" hidden="1" customHeight="1" x14ac:dyDescent="0.2">
      <c r="Q45" t="str">
        <f>IF(ISERR(
IF(PG!C51="","",PG!C51)),"",IF(PG!C51="","",PG!C51))</f>
        <v/>
      </c>
    </row>
    <row r="46" spans="17:17" ht="30" hidden="1" customHeight="1" x14ac:dyDescent="0.2">
      <c r="Q46" t="str">
        <f>IF(ISERR(
IF(PG!C52="","",PG!C52)),"",IF(PG!C52="","",PG!C52))</f>
        <v/>
      </c>
    </row>
    <row r="47" spans="17:17" ht="30" hidden="1" customHeight="1" x14ac:dyDescent="0.2">
      <c r="Q47" t="str">
        <f>IF(ISERR(
IF(PG!C53="","",PG!C53)),"",IF(PG!C53="","",PG!C53))</f>
        <v/>
      </c>
    </row>
    <row r="48" spans="17:17" ht="30" hidden="1" customHeight="1" x14ac:dyDescent="0.2">
      <c r="Q48" t="str">
        <f>IF(ISERR(
IF(PG!C54="","",PG!C54)),"",IF(PG!C54="","",PG!C54))</f>
        <v/>
      </c>
    </row>
    <row r="49" spans="17:17" ht="30" hidden="1" customHeight="1" x14ac:dyDescent="0.2">
      <c r="Q49" t="str">
        <f>IF(ISERR(
IF(PG!C55="","",PG!C55)),"",IF(PG!C55="","",PG!C55))</f>
        <v/>
      </c>
    </row>
    <row r="50" spans="17:17" ht="30" hidden="1" customHeight="1" x14ac:dyDescent="0.2">
      <c r="Q50" t="str">
        <f>IF(ISERR(
IF(PG!C56="","",PG!C56)),"",IF(PG!C56="","",PG!C56))</f>
        <v/>
      </c>
    </row>
    <row r="51" spans="17:17" ht="30" hidden="1" customHeight="1" x14ac:dyDescent="0.2">
      <c r="Q51" t="str">
        <f>IF(ISERR(
IF(PG!C57="","",PG!C57)),"",IF(PG!C57="","",PG!C57))</f>
        <v/>
      </c>
    </row>
    <row r="52" spans="17:17" ht="30" hidden="1" customHeight="1" x14ac:dyDescent="0.2">
      <c r="Q52" t="str">
        <f>IF(ISERR(
IF(PG!C58="","",PG!C58)),"",IF(PG!C58="","",PG!C58))</f>
        <v/>
      </c>
    </row>
    <row r="53" spans="17:17" ht="30" hidden="1" customHeight="1" x14ac:dyDescent="0.2">
      <c r="Q53" t="str">
        <f>IF(ISERR(
IF(PG!C59="","",PG!C59)),"",IF(PG!C59="","",PG!C59))</f>
        <v/>
      </c>
    </row>
    <row r="54" spans="17:17" ht="30" hidden="1" customHeight="1" x14ac:dyDescent="0.2">
      <c r="Q54" t="str">
        <f>IF(ISERR(
IF(PG!C60="","",PG!C60)),"",IF(PG!C60="","",PG!C60))</f>
        <v/>
      </c>
    </row>
    <row r="55" spans="17:17" ht="30" hidden="1" customHeight="1" x14ac:dyDescent="0.2">
      <c r="Q55" t="str">
        <f>IF(ISERR(
IF(PG!C61="","",PG!C61)),"",IF(PG!C61="","",PG!C61))</f>
        <v/>
      </c>
    </row>
    <row r="56" spans="17:17" ht="30" hidden="1" customHeight="1" x14ac:dyDescent="0.2">
      <c r="Q56" t="str">
        <f>IF(ISERR(
IF(PG!C62="","",PG!C62)),"",IF(PG!C62="","",PG!C62))</f>
        <v/>
      </c>
    </row>
    <row r="57" spans="17:17" ht="30" hidden="1" customHeight="1" x14ac:dyDescent="0.2">
      <c r="Q57" t="str">
        <f>IF(ISERR(
IF(PG!C63="","",PG!C63)),"",IF(PG!C63="","",PG!C63))</f>
        <v/>
      </c>
    </row>
    <row r="58" spans="17:17" ht="30" hidden="1" customHeight="1" x14ac:dyDescent="0.2">
      <c r="Q58" t="str">
        <f>IF(ISERR(
IF(PG!C64="","",PG!C64)),"",IF(PG!C64="","",PG!C64))</f>
        <v/>
      </c>
    </row>
    <row r="59" spans="17:17" ht="30" hidden="1" customHeight="1" x14ac:dyDescent="0.2">
      <c r="Q59" t="str">
        <f>IF(ISERR(
IF(PG!C65="","",PG!C65)),"",IF(PG!C65="","",PG!C65))</f>
        <v/>
      </c>
    </row>
    <row r="60" spans="17:17" ht="30" hidden="1" customHeight="1" x14ac:dyDescent="0.2">
      <c r="Q60" t="str">
        <f>IF(ISERR(
IF(PG!C66="","",PG!C66)),"",IF(PG!C66="","",PG!C66))</f>
        <v/>
      </c>
    </row>
    <row r="61" spans="17:17" ht="30" hidden="1" customHeight="1" x14ac:dyDescent="0.2">
      <c r="Q61" t="str">
        <f>IF(ISERR(
IF(PG!C67="","",PG!C67)),"",IF(PG!C67="","",PG!C67))</f>
        <v/>
      </c>
    </row>
    <row r="62" spans="17:17" ht="30" hidden="1" customHeight="1" x14ac:dyDescent="0.2">
      <c r="Q62" t="str">
        <f>IF(ISERR(
IF(PG!C68="","",PG!C68)),"",IF(PG!C68="","",PG!C68))</f>
        <v/>
      </c>
    </row>
    <row r="63" spans="17:17" ht="30" hidden="1" customHeight="1" x14ac:dyDescent="0.2">
      <c r="Q63" t="str">
        <f>IF(ISERR(
IF(PG!C69="","",PG!C69)),"",IF(PG!C69="","",PG!C69))</f>
        <v/>
      </c>
    </row>
    <row r="64" spans="17:17" ht="30" hidden="1" customHeight="1" x14ac:dyDescent="0.2">
      <c r="Q64" t="str">
        <f>IF(ISERR(
IF(PG!C70="","",PG!C70)),"",IF(PG!C70="","",PG!C70))</f>
        <v/>
      </c>
    </row>
    <row r="65" spans="17:17" ht="30" hidden="1" customHeight="1" x14ac:dyDescent="0.2">
      <c r="Q65" t="str">
        <f>IF(ISERR(
IF(PG!C71="","",PG!C71)),"",IF(PG!C71="","",PG!C71))</f>
        <v/>
      </c>
    </row>
    <row r="66" spans="17:17" ht="30" hidden="1" customHeight="1" x14ac:dyDescent="0.2">
      <c r="Q66" t="str">
        <f>IF(ISERR(
IF(PG!C72="","",PG!C72)),"",IF(PG!C72="","",PG!C72))</f>
        <v/>
      </c>
    </row>
    <row r="67" spans="17:17" ht="30" hidden="1" customHeight="1" x14ac:dyDescent="0.2">
      <c r="Q67" t="str">
        <f>IF(ISERR(
IF(PG!C73="","",PG!C73)),"",IF(PG!C73="","",PG!C73))</f>
        <v/>
      </c>
    </row>
    <row r="68" spans="17:17" ht="30" hidden="1" customHeight="1" x14ac:dyDescent="0.2">
      <c r="Q68" t="str">
        <f>IF(ISERR(
IF(PG!C74="","",PG!C74)),"",IF(PG!C74="","",PG!C74))</f>
        <v/>
      </c>
    </row>
    <row r="69" spans="17:17" ht="30" hidden="1" customHeight="1" x14ac:dyDescent="0.2">
      <c r="Q69" t="str">
        <f>IF(ISERR(
IF(PG!C75="","",PG!C75)),"",IF(PG!C75="","",PG!C75))</f>
        <v/>
      </c>
    </row>
    <row r="70" spans="17:17" ht="30" hidden="1" customHeight="1" x14ac:dyDescent="0.2">
      <c r="Q70" t="str">
        <f>IF(ISERR(
IF(PG!C76="","",PG!C76)),"",IF(PG!C76="","",PG!C76))</f>
        <v/>
      </c>
    </row>
    <row r="71" spans="17:17" ht="30" hidden="1" customHeight="1" x14ac:dyDescent="0.2">
      <c r="Q71" t="str">
        <f>IF(ISERR(
IF(PG!C77="","",PG!C77)),"",IF(PG!C77="","",PG!C77))</f>
        <v/>
      </c>
    </row>
    <row r="72" spans="17:17" ht="30" hidden="1" customHeight="1" x14ac:dyDescent="0.2">
      <c r="Q72" t="str">
        <f>IF(ISERR(
IF(PG!C78="","",PG!C78)),"",IF(PG!C78="","",PG!C78))</f>
        <v/>
      </c>
    </row>
    <row r="73" spans="17:17" ht="30" hidden="1" customHeight="1" x14ac:dyDescent="0.2">
      <c r="Q73" t="str">
        <f>IF(ISERR(
IF(PG!C79="","",PG!C79)),"",IF(PG!C79="","",PG!C79))</f>
        <v/>
      </c>
    </row>
    <row r="74" spans="17:17" ht="30" hidden="1" customHeight="1" x14ac:dyDescent="0.2">
      <c r="Q74" t="str">
        <f>IF(ISERR(
IF(PG!C80="","",PG!C80)),"",IF(PG!C80="","",PG!C80))</f>
        <v/>
      </c>
    </row>
    <row r="75" spans="17:17" ht="30" hidden="1" customHeight="1" x14ac:dyDescent="0.2">
      <c r="Q75" t="str">
        <f>IF(ISERR(
IF(PG!C81="","",PG!C81)),"",IF(PG!C81="","",PG!C81))</f>
        <v/>
      </c>
    </row>
    <row r="76" spans="17:17" ht="30" hidden="1" customHeight="1" x14ac:dyDescent="0.2">
      <c r="Q76" t="str">
        <f>IF(ISERR(
IF(PG!C82="","",PG!C82)),"",IF(PG!C82="","",PG!C82))</f>
        <v/>
      </c>
    </row>
    <row r="77" spans="17:17" ht="30" hidden="1" customHeight="1" x14ac:dyDescent="0.2">
      <c r="Q77" t="str">
        <f>IF(ISERR(
IF(PG!C83="","",PG!C83)),"",IF(PG!C83="","",PG!C83))</f>
        <v/>
      </c>
    </row>
    <row r="78" spans="17:17" ht="30" hidden="1" customHeight="1" x14ac:dyDescent="0.2">
      <c r="Q78" t="str">
        <f>IF(ISERR(
IF(PG!C84="","",PG!C84)),"",IF(PG!C84="","",PG!C84))</f>
        <v/>
      </c>
    </row>
    <row r="79" spans="17:17" ht="30" hidden="1" customHeight="1" x14ac:dyDescent="0.2">
      <c r="Q79" t="str">
        <f>IF(ISERR(
IF(PG!C85="","",PG!C85)),"",IF(PG!C85="","",PG!C85))</f>
        <v/>
      </c>
    </row>
    <row r="80" spans="17:17" ht="30" hidden="1" customHeight="1" x14ac:dyDescent="0.2">
      <c r="Q80" t="str">
        <f>IF(ISERR(
IF(PG!C86="","",PG!C86)),"",IF(PG!C86="","",PG!C86))</f>
        <v/>
      </c>
    </row>
    <row r="81" spans="17:17" ht="30" hidden="1" customHeight="1" x14ac:dyDescent="0.2">
      <c r="Q81" t="str">
        <f>IF(ISERR(
IF(PG!C87="","",PG!C87)),"",IF(PG!C87="","",PG!C87))</f>
        <v/>
      </c>
    </row>
    <row r="82" spans="17:17" ht="30" hidden="1" customHeight="1" x14ac:dyDescent="0.2">
      <c r="Q82" t="str">
        <f>IF(ISERR(
IF(PG!C88="","",PG!C88)),"",IF(PG!C88="","",PG!C88))</f>
        <v/>
      </c>
    </row>
    <row r="83" spans="17:17" ht="30" hidden="1" customHeight="1" x14ac:dyDescent="0.2">
      <c r="Q83" t="str">
        <f>IF(ISERR(
IF(PG!C89="","",PG!C89)),"",IF(PG!C89="","",PG!C89))</f>
        <v/>
      </c>
    </row>
    <row r="84" spans="17:17" ht="30" hidden="1" customHeight="1" x14ac:dyDescent="0.2">
      <c r="Q84" t="str">
        <f>IF(ISERR(
IF(PG!C90="","",PG!C90)),"",IF(PG!C90="","",PG!C90))</f>
        <v/>
      </c>
    </row>
    <row r="85" spans="17:17" ht="30" hidden="1" customHeight="1" x14ac:dyDescent="0.2">
      <c r="Q85" t="str">
        <f>IF(ISERR(
IF(PG!C91="","",PG!C91)),"",IF(PG!C91="","",PG!C91))</f>
        <v/>
      </c>
    </row>
    <row r="86" spans="17:17" ht="30" hidden="1" customHeight="1" x14ac:dyDescent="0.2">
      <c r="Q86" t="str">
        <f>IF(ISERR(
IF(PG!C92="","",PG!C92)),"",IF(PG!C92="","",PG!C92))</f>
        <v/>
      </c>
    </row>
    <row r="87" spans="17:17" ht="30" hidden="1" customHeight="1" x14ac:dyDescent="0.2">
      <c r="Q87" t="str">
        <f>IF(ISERR(
IF(PG!C93="","",PG!C93)),"",IF(PG!C93="","",PG!C93))</f>
        <v/>
      </c>
    </row>
    <row r="88" spans="17:17" ht="30" hidden="1" customHeight="1" x14ac:dyDescent="0.2">
      <c r="Q88" t="str">
        <f>IF(ISERR(
IF(PG!C94="","",PG!C94)),"",IF(PG!C94="","",PG!C94))</f>
        <v/>
      </c>
    </row>
    <row r="89" spans="17:17" ht="30" hidden="1" customHeight="1" x14ac:dyDescent="0.2">
      <c r="Q89" t="str">
        <f>IF(ISERR(
IF(PG!C95="","",PG!C95)),"",IF(PG!C95="","",PG!C95))</f>
        <v/>
      </c>
    </row>
    <row r="90" spans="17:17" ht="30" hidden="1" customHeight="1" x14ac:dyDescent="0.2">
      <c r="Q90" t="str">
        <f>IF(ISERR(
IF(PG!C96="","",PG!C96)),"",IF(PG!C96="","",PG!C96))</f>
        <v/>
      </c>
    </row>
    <row r="91" spans="17:17" ht="30" hidden="1" customHeight="1" x14ac:dyDescent="0.2">
      <c r="Q91" t="str">
        <f>IF(ISERR(
IF(PG!C97="","",PG!C97)),"",IF(PG!C97="","",PG!C97))</f>
        <v/>
      </c>
    </row>
    <row r="92" spans="17:17" ht="30" hidden="1" customHeight="1" x14ac:dyDescent="0.2">
      <c r="Q92" t="str">
        <f>IF(ISERR(
IF(PG!C98="","",PG!C98)),"",IF(PG!C98="","",PG!C98))</f>
        <v/>
      </c>
    </row>
    <row r="93" spans="17:17" ht="30" hidden="1" customHeight="1" x14ac:dyDescent="0.2">
      <c r="Q93" t="str">
        <f>IF(ISERR(
IF(PG!C99="","",PG!C99)),"",IF(PG!C99="","",PG!C99))</f>
        <v/>
      </c>
    </row>
    <row r="94" spans="17:17" ht="30" hidden="1" customHeight="1" x14ac:dyDescent="0.2">
      <c r="Q94" t="str">
        <f>IF(ISERR(
IF(PG!C100="","",PG!C100)),"",IF(PG!C100="","",PG!C100))</f>
        <v/>
      </c>
    </row>
    <row r="95" spans="17:17" ht="30" hidden="1" customHeight="1" x14ac:dyDescent="0.2">
      <c r="Q95" t="str">
        <f>IF(ISERR(
IF(PG!C101="","",PG!C101)),"",IF(PG!C101="","",PG!C101))</f>
        <v/>
      </c>
    </row>
    <row r="96" spans="17:17" ht="30" hidden="1" customHeight="1" x14ac:dyDescent="0.2">
      <c r="Q96" t="str">
        <f>IF(ISERR(
IF(PG!C102="","",PG!C102)),"",IF(PG!C102="","",PG!C102))</f>
        <v/>
      </c>
    </row>
    <row r="97" spans="17:17" ht="30" hidden="1" customHeight="1" x14ac:dyDescent="0.2">
      <c r="Q97" t="str">
        <f>IF(ISERR(
IF(PG!C103="","",PG!C103)),"",IF(PG!C103="","",PG!C103))</f>
        <v/>
      </c>
    </row>
    <row r="98" spans="17:17" ht="30" hidden="1" customHeight="1" x14ac:dyDescent="0.2">
      <c r="Q98" t="str">
        <f>IF(ISERR(
IF(PG!C104="","",PG!C104)),"",IF(PG!C104="","",PG!C104))</f>
        <v/>
      </c>
    </row>
    <row r="99" spans="17:17" ht="30" hidden="1" customHeight="1" x14ac:dyDescent="0.2">
      <c r="Q99" t="str">
        <f>IF(ISERR(
IF(PG!C105="","",PG!C105)),"",IF(PG!C105="","",PG!C105))</f>
        <v/>
      </c>
    </row>
    <row r="100" spans="17:17" ht="30" hidden="1" customHeight="1" x14ac:dyDescent="0.2">
      <c r="Q100" t="str">
        <f>IF(ISERR(
IF(PG!C106="","",PG!C106)),"",IF(PG!C106="","",PG!C106))</f>
        <v/>
      </c>
    </row>
    <row r="101" spans="17:17" hidden="1" x14ac:dyDescent="0.2">
      <c r="Q101" t="str">
        <f>IF(ISERR(
IF(PG!C107="","",PG!C107)),"",IF(PG!C107="","",PG!C107))</f>
        <v/>
      </c>
    </row>
    <row r="102" spans="17:17" hidden="1" x14ac:dyDescent="0.2">
      <c r="Q102" t="str">
        <f>IF(ISERR(
IF(PG!C108="","",PG!C108)),"",IF(PG!C108="","",PG!C108))</f>
        <v/>
      </c>
    </row>
    <row r="103" spans="17:17" hidden="1" x14ac:dyDescent="0.2">
      <c r="Q103" t="str">
        <f>IF(ISERR(
IF(PG!C109="","",PG!C109)),"",IF(PG!C109="","",PG!C109))</f>
        <v/>
      </c>
    </row>
    <row r="104" spans="17:17" hidden="1" x14ac:dyDescent="0.2">
      <c r="Q104" t="str">
        <f>IF(ISERR(
IF(PG!C110="","",PG!C110)),"",IF(PG!C110="","",PG!C110))</f>
        <v/>
      </c>
    </row>
    <row r="105" spans="17:17" hidden="1" x14ac:dyDescent="0.2">
      <c r="Q105" t="str">
        <f>IF(ISERR(
IF(PG!C111="","",PG!C111)),"",IF(PG!C111="","",PG!C111))</f>
        <v/>
      </c>
    </row>
    <row r="106" spans="17:17" hidden="1" x14ac:dyDescent="0.2">
      <c r="Q106" t="str">
        <f>IF(ISERR(
IF(PG!C112="","",PG!C112)),"",IF(PG!C112="","",PG!C112))</f>
        <v/>
      </c>
    </row>
    <row r="107" spans="17:17" hidden="1" x14ac:dyDescent="0.2">
      <c r="Q107" t="str">
        <f>IF(ISERR(
IF(PG!C113="","",PG!C113)),"",IF(PG!C113="","",PG!C113))</f>
        <v/>
      </c>
    </row>
    <row r="108" spans="17:17" hidden="1" x14ac:dyDescent="0.2">
      <c r="Q108" t="str">
        <f>IF(ISERR(
IF(PG!C114="","",PG!C114)),"",IF(PG!C114="","",PG!C114))</f>
        <v/>
      </c>
    </row>
    <row r="109" spans="17:17" hidden="1" x14ac:dyDescent="0.2">
      <c r="Q109" t="str">
        <f>IF(ISERR(
IF(PG!C115="","",PG!C115)),"",IF(PG!C115="","",PG!C115))</f>
        <v/>
      </c>
    </row>
    <row r="110" spans="17:17" hidden="1" x14ac:dyDescent="0.2">
      <c r="Q110" t="str">
        <f>IF(ISERR(
IF(PG!C116="","",PG!C116)),"",IF(PG!C116="","",PG!C116))</f>
        <v/>
      </c>
    </row>
    <row r="111" spans="17:17" hidden="1" x14ac:dyDescent="0.2">
      <c r="Q111" t="str">
        <f>IF(ISERR(
IF(PG!C117="","",PG!C117)),"",IF(PG!C117="","",PG!C117))</f>
        <v/>
      </c>
    </row>
    <row r="112" spans="17:17" hidden="1" x14ac:dyDescent="0.2">
      <c r="Q112" t="str">
        <f>IF(ISERR(
IF(PG!C118="","",PG!C118)),"",IF(PG!C118="","",PG!C118))</f>
        <v/>
      </c>
    </row>
    <row r="113" spans="17:17" hidden="1" x14ac:dyDescent="0.2">
      <c r="Q113" t="str">
        <f>IF(ISERR(
IF(PG!C119="","",PG!C119)),"",IF(PG!C119="","",PG!C119))</f>
        <v/>
      </c>
    </row>
    <row r="114" spans="17:17" hidden="1" x14ac:dyDescent="0.2">
      <c r="Q114" t="str">
        <f>IF(ISERR(
IF(PG!C120="","",PG!C120)),"",IF(PG!C120="","",PG!C120))</f>
        <v/>
      </c>
    </row>
    <row r="115" spans="17:17" hidden="1" x14ac:dyDescent="0.2">
      <c r="Q115" t="str">
        <f>IF(ISERR(
IF(PG!C121="","",PG!C121)),"",IF(PG!C121="","",PG!C121))</f>
        <v/>
      </c>
    </row>
    <row r="116" spans="17:17" hidden="1" x14ac:dyDescent="0.2">
      <c r="Q116" t="str">
        <f>IF(ISERR(
IF(PG!C122="","",PG!C122)),"",IF(PG!C122="","",PG!C122))</f>
        <v/>
      </c>
    </row>
    <row r="117" spans="17:17" hidden="1" x14ac:dyDescent="0.2">
      <c r="Q117" t="str">
        <f>IF(ISERR(
IF(PG!C123="","",PG!C123)),"",IF(PG!C123="","",PG!C123))</f>
        <v/>
      </c>
    </row>
    <row r="118" spans="17:17" hidden="1" x14ac:dyDescent="0.2">
      <c r="Q118" t="str">
        <f>IF(ISERR(
IF(PG!C124="","",PG!C124)),"",IF(PG!C124="","",PG!C124))</f>
        <v/>
      </c>
    </row>
    <row r="119" spans="17:17" hidden="1" x14ac:dyDescent="0.2">
      <c r="Q119" t="str">
        <f>IF(ISERR(
IF(PG!C125="","",PG!C125)),"",IF(PG!C125="","",PG!C125))</f>
        <v/>
      </c>
    </row>
    <row r="120" spans="17:17" hidden="1" x14ac:dyDescent="0.2">
      <c r="Q120" t="str">
        <f>IF(ISERR(
IF(PG!C126="","",PG!C126)),"",IF(PG!C126="","",PG!C126))</f>
        <v/>
      </c>
    </row>
    <row r="121" spans="17:17" hidden="1" x14ac:dyDescent="0.2">
      <c r="Q121" t="str">
        <f>IF(ISERR(
IF(PG!C127="","",PG!C127)),"",IF(PG!C127="","",PG!C127))</f>
        <v/>
      </c>
    </row>
    <row r="122" spans="17:17" hidden="1" x14ac:dyDescent="0.2">
      <c r="Q122" t="str">
        <f>IF(ISERR(
IF(PG!C128="","",PG!C128)),"",IF(PG!C128="","",PG!C128))</f>
        <v/>
      </c>
    </row>
    <row r="123" spans="17:17" hidden="1" x14ac:dyDescent="0.2">
      <c r="Q123" t="str">
        <f>IF(ISERR(
IF(PG!C129="","",PG!C129)),"",IF(PG!C129="","",PG!C129))</f>
        <v/>
      </c>
    </row>
    <row r="124" spans="17:17" hidden="1" x14ac:dyDescent="0.2">
      <c r="Q124" t="str">
        <f>IF(ISERR(
IF(PG!C130="","",PG!C130)),"",IF(PG!C130="","",PG!C130))</f>
        <v/>
      </c>
    </row>
    <row r="125" spans="17:17" hidden="1" x14ac:dyDescent="0.2">
      <c r="Q125" t="str">
        <f>IF(ISERR(
IF(PG!C131="","",PG!C131)),"",IF(PG!C131="","",PG!C131))</f>
        <v/>
      </c>
    </row>
    <row r="126" spans="17:17" hidden="1" x14ac:dyDescent="0.2">
      <c r="Q126" t="str">
        <f>IF(ISERR(
IF(PG!C132="","",PG!C132)),"",IF(PG!C132="","",PG!C132))</f>
        <v/>
      </c>
    </row>
    <row r="127" spans="17:17" hidden="1" x14ac:dyDescent="0.2">
      <c r="Q127" t="str">
        <f>IF(ISERR(
IF(PG!C133="","",PG!C133)),"",IF(PG!C133="","",PG!C133))</f>
        <v/>
      </c>
    </row>
    <row r="128" spans="17:17" hidden="1" x14ac:dyDescent="0.2">
      <c r="Q128" t="str">
        <f>IF(ISERR(
IF(PG!C134="","",PG!C134)),"",IF(PG!C134="","",PG!C134))</f>
        <v/>
      </c>
    </row>
    <row r="129" spans="17:17" hidden="1" x14ac:dyDescent="0.2">
      <c r="Q129" t="str">
        <f>IF(ISERR(
IF(PG!C135="","",PG!C135)),"",IF(PG!C135="","",PG!C135))</f>
        <v/>
      </c>
    </row>
    <row r="130" spans="17:17" hidden="1" x14ac:dyDescent="0.2">
      <c r="Q130" t="str">
        <f>IF(ISERR(
IF(PG!C136="","",PG!C136)),"",IF(PG!C136="","",PG!C136))</f>
        <v/>
      </c>
    </row>
    <row r="131" spans="17:17" hidden="1" x14ac:dyDescent="0.2">
      <c r="Q131" t="str">
        <f>IF(ISERR(
IF(PG!C137="","",PG!C137)),"",IF(PG!C137="","",PG!C137))</f>
        <v/>
      </c>
    </row>
    <row r="132" spans="17:17" hidden="1" x14ac:dyDescent="0.2">
      <c r="Q132" t="str">
        <f>IF(ISERR(
IF(PG!C138="","",PG!C138)),"",IF(PG!C138="","",PG!C138))</f>
        <v/>
      </c>
    </row>
    <row r="133" spans="17:17" hidden="1" x14ac:dyDescent="0.2">
      <c r="Q133" t="str">
        <f>IF(ISERR(
IF(PG!C139="","",PG!C139)),"",IF(PG!C139="","",PG!C139))</f>
        <v/>
      </c>
    </row>
    <row r="134" spans="17:17" hidden="1" x14ac:dyDescent="0.2">
      <c r="Q134" t="str">
        <f>IF(ISERR(
IF(PG!C140="","",PG!C140)),"",IF(PG!C140="","",PG!C140))</f>
        <v/>
      </c>
    </row>
    <row r="135" spans="17:17" hidden="1" x14ac:dyDescent="0.2">
      <c r="Q135" t="str">
        <f>IF(ISERR(
IF(PG!C141="","",PG!C141)),"",IF(PG!C141="","",PG!C141))</f>
        <v/>
      </c>
    </row>
    <row r="136" spans="17:17" hidden="1" x14ac:dyDescent="0.2">
      <c r="Q136" t="str">
        <f>IF(ISERR(
IF(PG!C142="","",PG!C142)),"",IF(PG!C142="","",PG!C142))</f>
        <v/>
      </c>
    </row>
    <row r="137" spans="17:17" hidden="1" x14ac:dyDescent="0.2">
      <c r="Q137" t="str">
        <f>IF(ISERR(
IF(PG!C143="","",PG!C143)),"",IF(PG!C143="","",PG!C143))</f>
        <v/>
      </c>
    </row>
    <row r="138" spans="17:17" hidden="1" x14ac:dyDescent="0.2">
      <c r="Q138" t="str">
        <f>IF(ISERR(
IF(PG!C144="","",PG!C144)),"",IF(PG!C144="","",PG!C144))</f>
        <v/>
      </c>
    </row>
    <row r="139" spans="17:17" hidden="1" x14ac:dyDescent="0.2">
      <c r="Q139" t="str">
        <f>IF(ISERR(
IF(PG!C145="","",PG!C145)),"",IF(PG!C145="","",PG!C145))</f>
        <v/>
      </c>
    </row>
    <row r="140" spans="17:17" hidden="1" x14ac:dyDescent="0.2">
      <c r="Q140" t="str">
        <f>IF(ISERR(
IF(PG!C146="","",PG!C146)),"",IF(PG!C146="","",PG!C146))</f>
        <v/>
      </c>
    </row>
    <row r="141" spans="17:17" hidden="1" x14ac:dyDescent="0.2">
      <c r="Q141" t="str">
        <f>IF(ISERR(
IF(PG!C147="","",PG!C147)),"",IF(PG!C147="","",PG!C147))</f>
        <v/>
      </c>
    </row>
    <row r="142" spans="17:17" hidden="1" x14ac:dyDescent="0.2">
      <c r="Q142" t="str">
        <f>IF(ISERR(
IF(PG!C148="","",PG!C148)),"",IF(PG!C148="","",PG!C148))</f>
        <v/>
      </c>
    </row>
    <row r="143" spans="17:17" hidden="1" x14ac:dyDescent="0.2">
      <c r="Q143" t="str">
        <f>IF(ISERR(
IF(PG!C149="","",PG!C149)),"",IF(PG!C149="","",PG!C149))</f>
        <v/>
      </c>
    </row>
    <row r="144" spans="17:17" hidden="1" x14ac:dyDescent="0.2">
      <c r="Q144" t="str">
        <f>IF(ISERR(
IF(PG!C150="","",PG!C150)),"",IF(PG!C150="","",PG!C150))</f>
        <v/>
      </c>
    </row>
    <row r="145" spans="17:17" hidden="1" x14ac:dyDescent="0.2">
      <c r="Q145" t="str">
        <f>IF(ISERR(
IF(PG!C151="","",PG!C151)),"",IF(PG!C151="","",PG!C151))</f>
        <v/>
      </c>
    </row>
    <row r="146" spans="17:17" hidden="1" x14ac:dyDescent="0.2">
      <c r="Q146" t="str">
        <f>IF(ISERR(
IF(PG!C152="","",PG!C152)),"",IF(PG!C152="","",PG!C152))</f>
        <v/>
      </c>
    </row>
    <row r="147" spans="17:17" hidden="1" x14ac:dyDescent="0.2">
      <c r="Q147" t="str">
        <f>IF(ISERR(
IF(PG!C153="","",PG!C153)),"",IF(PG!C153="","",PG!C153))</f>
        <v/>
      </c>
    </row>
    <row r="148" spans="17:17" hidden="1" x14ac:dyDescent="0.2">
      <c r="Q148" t="str">
        <f>IF(ISERR(
IF(PG!C154="","",PG!C154)),"",IF(PG!C154="","",PG!C154))</f>
        <v/>
      </c>
    </row>
    <row r="149" spans="17:17" hidden="1" x14ac:dyDescent="0.2">
      <c r="Q149" t="str">
        <f>IF(ISERR(
IF(PG!C155="","",PG!C155)),"",IF(PG!C155="","",PG!C155))</f>
        <v/>
      </c>
    </row>
    <row r="150" spans="17:17" hidden="1" x14ac:dyDescent="0.2">
      <c r="Q150" t="str">
        <f>IF(ISERR(
IF(PG!C156="","",PG!C156)),"",IF(PG!C156="","",PG!C156))</f>
        <v/>
      </c>
    </row>
    <row r="151" spans="17:17" hidden="1" x14ac:dyDescent="0.2">
      <c r="Q151" t="str">
        <f>IF(ISERR(
IF(PG!C157="","",PG!C157)),"",IF(PG!C157="","",PG!C157))</f>
        <v/>
      </c>
    </row>
    <row r="152" spans="17:17" hidden="1" x14ac:dyDescent="0.2">
      <c r="Q152" t="str">
        <f>IF(ISERR(
IF(PG!C158="","",PG!C158)),"",IF(PG!C158="","",PG!C158))</f>
        <v/>
      </c>
    </row>
    <row r="153" spans="17:17" hidden="1" x14ac:dyDescent="0.2">
      <c r="Q153" t="str">
        <f>IF(ISERR(
IF(PG!C159="","",PG!C159)),"",IF(PG!C159="","",PG!C159))</f>
        <v/>
      </c>
    </row>
    <row r="154" spans="17:17" hidden="1" x14ac:dyDescent="0.2">
      <c r="Q154" t="str">
        <f>IF(ISERR(
IF(PG!C160="","",PG!C160)),"",IF(PG!C160="","",PG!C160))</f>
        <v/>
      </c>
    </row>
    <row r="155" spans="17:17" hidden="1" x14ac:dyDescent="0.2">
      <c r="Q155" t="str">
        <f>IF(ISERR(
IF(PG!C161="","",PG!C161)),"",IF(PG!C161="","",PG!C161))</f>
        <v/>
      </c>
    </row>
    <row r="156" spans="17:17" hidden="1" x14ac:dyDescent="0.2">
      <c r="Q156" t="str">
        <f>IF(ISERR(
IF(PG!C162="","",PG!C162)),"",IF(PG!C162="","",PG!C162))</f>
        <v/>
      </c>
    </row>
    <row r="157" spans="17:17" hidden="1" x14ac:dyDescent="0.2">
      <c r="Q157" t="str">
        <f>IF(ISERR(
IF(PG!C163="","",PG!C163)),"",IF(PG!C163="","",PG!C163))</f>
        <v/>
      </c>
    </row>
    <row r="158" spans="17:17" hidden="1" x14ac:dyDescent="0.2">
      <c r="Q158" t="str">
        <f>IF(ISERR(
IF(PG!C164="","",PG!C164)),"",IF(PG!C164="","",PG!C164))</f>
        <v/>
      </c>
    </row>
    <row r="159" spans="17:17" hidden="1" x14ac:dyDescent="0.2">
      <c r="Q159" t="str">
        <f>IF(ISERR(
IF(PG!C165="","",PG!C165)),"",IF(PG!C165="","",PG!C165))</f>
        <v/>
      </c>
    </row>
    <row r="160" spans="17:17" hidden="1" x14ac:dyDescent="0.2">
      <c r="Q160" t="str">
        <f>IF(ISERR(
IF(PG!C166="","",PG!C166)),"",IF(PG!C166="","",PG!C166))</f>
        <v/>
      </c>
    </row>
    <row r="161" spans="17:17" hidden="1" x14ac:dyDescent="0.2">
      <c r="Q161" t="str">
        <f>IF(ISERR(
IF(PG!C167="","",PG!C167)),"",IF(PG!C167="","",PG!C167))</f>
        <v/>
      </c>
    </row>
    <row r="162" spans="17:17" hidden="1" x14ac:dyDescent="0.2">
      <c r="Q162" t="str">
        <f>IF(ISERR(
IF(PG!C168="","",PG!C168)),"",IF(PG!C168="","",PG!C168))</f>
        <v/>
      </c>
    </row>
    <row r="163" spans="17:17" hidden="1" x14ac:dyDescent="0.2">
      <c r="Q163" t="str">
        <f>IF(ISERR(
IF(PG!C169="","",PG!C169)),"",IF(PG!C169="","",PG!C169))</f>
        <v/>
      </c>
    </row>
    <row r="164" spans="17:17" hidden="1" x14ac:dyDescent="0.2">
      <c r="Q164" t="str">
        <f>IF(ISERR(
IF(PG!C170="","",PG!C170)),"",IF(PG!C170="","",PG!C170))</f>
        <v/>
      </c>
    </row>
    <row r="165" spans="17:17" hidden="1" x14ac:dyDescent="0.2">
      <c r="Q165" t="str">
        <f>IF(ISERR(
IF(PG!C171="","",PG!C171)),"",IF(PG!C171="","",PG!C171))</f>
        <v/>
      </c>
    </row>
    <row r="166" spans="17:17" hidden="1" x14ac:dyDescent="0.2">
      <c r="Q166" t="str">
        <f>IF(ISERR(
IF(PG!C172="","",PG!C172)),"",IF(PG!C172="","",PG!C172))</f>
        <v/>
      </c>
    </row>
    <row r="167" spans="17:17" hidden="1" x14ac:dyDescent="0.2">
      <c r="Q167" t="str">
        <f>IF(ISERR(
IF(PG!C173="","",PG!C173)),"",IF(PG!C173="","",PG!C173))</f>
        <v/>
      </c>
    </row>
    <row r="168" spans="17:17" hidden="1" x14ac:dyDescent="0.2">
      <c r="Q168" t="str">
        <f>IF(ISERR(
IF(PG!C174="","",PG!C174)),"",IF(PG!C174="","",PG!C174))</f>
        <v/>
      </c>
    </row>
    <row r="169" spans="17:17" hidden="1" x14ac:dyDescent="0.2">
      <c r="Q169" t="str">
        <f>IF(ISERR(
IF(PG!C175="","",PG!C175)),"",IF(PG!C175="","",PG!C175))</f>
        <v/>
      </c>
    </row>
    <row r="170" spans="17:17" hidden="1" x14ac:dyDescent="0.2">
      <c r="Q170" t="str">
        <f>IF(ISERR(
IF(PG!C176="","",PG!C176)),"",IF(PG!C176="","",PG!C176))</f>
        <v/>
      </c>
    </row>
    <row r="171" spans="17:17" hidden="1" x14ac:dyDescent="0.2">
      <c r="Q171" t="str">
        <f>IF(ISERR(
IF(PG!C177="","",PG!C177)),"",IF(PG!C177="","",PG!C177))</f>
        <v/>
      </c>
    </row>
    <row r="172" spans="17:17" hidden="1" x14ac:dyDescent="0.2">
      <c r="Q172" t="str">
        <f>IF(ISERR(
IF(PG!C178="","",PG!C178)),"",IF(PG!C178="","",PG!C178))</f>
        <v/>
      </c>
    </row>
    <row r="173" spans="17:17" hidden="1" x14ac:dyDescent="0.2">
      <c r="Q173" t="str">
        <f>IF(ISERR(
IF(PG!C179="","",PG!C179)),"",IF(PG!C179="","",PG!C179))</f>
        <v/>
      </c>
    </row>
    <row r="174" spans="17:17" hidden="1" x14ac:dyDescent="0.2">
      <c r="Q174" t="str">
        <f>IF(ISERR(
IF(PG!C180="","",PG!C180)),"",IF(PG!C180="","",PG!C180))</f>
        <v/>
      </c>
    </row>
    <row r="175" spans="17:17" hidden="1" x14ac:dyDescent="0.2">
      <c r="Q175" t="str">
        <f>IF(ISERR(
IF(PG!C181="","",PG!C181)),"",IF(PG!C181="","",PG!C181))</f>
        <v/>
      </c>
    </row>
    <row r="176" spans="17:17" hidden="1" x14ac:dyDescent="0.2">
      <c r="Q176" t="str">
        <f>IF(ISERR(
IF(PG!C182="","",PG!C182)),"",IF(PG!C182="","",PG!C182))</f>
        <v/>
      </c>
    </row>
    <row r="177" spans="17:17" hidden="1" x14ac:dyDescent="0.2">
      <c r="Q177" t="str">
        <f>IF(ISERR(
IF(PG!C183="","",PG!C183)),"",IF(PG!C183="","",PG!C183))</f>
        <v/>
      </c>
    </row>
    <row r="178" spans="17:17" hidden="1" x14ac:dyDescent="0.2">
      <c r="Q178" t="str">
        <f>IF(ISERR(
IF(PG!C184="","",PG!C184)),"",IF(PG!C184="","",PG!C184))</f>
        <v/>
      </c>
    </row>
    <row r="179" spans="17:17" hidden="1" x14ac:dyDescent="0.2">
      <c r="Q179" t="str">
        <f>IF(ISERR(
IF(PG!C185="","",PG!C185)),"",IF(PG!C185="","",PG!C185))</f>
        <v/>
      </c>
    </row>
    <row r="180" spans="17:17" hidden="1" x14ac:dyDescent="0.2">
      <c r="Q180" t="str">
        <f>IF(ISERR(
IF(PG!C186="","",PG!C186)),"",IF(PG!C186="","",PG!C186))</f>
        <v/>
      </c>
    </row>
    <row r="181" spans="17:17" hidden="1" x14ac:dyDescent="0.2">
      <c r="Q181" t="str">
        <f>IF(ISERR(
IF(PG!C187="","",PG!C187)),"",IF(PG!C187="","",PG!C187))</f>
        <v/>
      </c>
    </row>
    <row r="182" spans="17:17" hidden="1" x14ac:dyDescent="0.2">
      <c r="Q182" t="str">
        <f>IF(ISERR(
IF(PG!C188="","",PG!C188)),"",IF(PG!C188="","",PG!C188))</f>
        <v/>
      </c>
    </row>
    <row r="183" spans="17:17" hidden="1" x14ac:dyDescent="0.2">
      <c r="Q183" t="str">
        <f>IF(ISERR(
IF(PG!C189="","",PG!C189)),"",IF(PG!C189="","",PG!C189))</f>
        <v/>
      </c>
    </row>
    <row r="184" spans="17:17" hidden="1" x14ac:dyDescent="0.2">
      <c r="Q184" t="str">
        <f>IF(ISERR(
IF(PG!C190="","",PG!C190)),"",IF(PG!C190="","",PG!C190))</f>
        <v/>
      </c>
    </row>
    <row r="185" spans="17:17" hidden="1" x14ac:dyDescent="0.2">
      <c r="Q185" t="str">
        <f>IF(ISERR(
IF(PG!C191="","",PG!C191)),"",IF(PG!C191="","",PG!C191))</f>
        <v/>
      </c>
    </row>
    <row r="186" spans="17:17" hidden="1" x14ac:dyDescent="0.2">
      <c r="Q186" t="str">
        <f>IF(ISERR(
IF(PG!C192="","",PG!C192)),"",IF(PG!C192="","",PG!C192))</f>
        <v/>
      </c>
    </row>
    <row r="187" spans="17:17" hidden="1" x14ac:dyDescent="0.2">
      <c r="Q187" t="str">
        <f>IF(ISERR(
IF(PG!C193="","",PG!C193)),"",IF(PG!C193="","",PG!C193))</f>
        <v/>
      </c>
    </row>
    <row r="188" spans="17:17" hidden="1" x14ac:dyDescent="0.2">
      <c r="Q188" t="str">
        <f>IF(ISERR(
IF(PG!C194="","",PG!C194)),"",IF(PG!C194="","",PG!C194))</f>
        <v/>
      </c>
    </row>
    <row r="189" spans="17:17" hidden="1" x14ac:dyDescent="0.2">
      <c r="Q189" t="str">
        <f>IF(ISERR(
IF(PG!C195="","",PG!C195)),"",IF(PG!C195="","",PG!C195))</f>
        <v/>
      </c>
    </row>
    <row r="190" spans="17:17" hidden="1" x14ac:dyDescent="0.2">
      <c r="Q190" t="str">
        <f>IF(ISERR(
IF(PG!C196="","",PG!C196)),"",IF(PG!C196="","",PG!C196))</f>
        <v/>
      </c>
    </row>
    <row r="191" spans="17:17" hidden="1" x14ac:dyDescent="0.2">
      <c r="Q191" t="str">
        <f>IF(ISERR(
IF(PG!C197="","",PG!C197)),"",IF(PG!C197="","",PG!C197))</f>
        <v/>
      </c>
    </row>
    <row r="192" spans="17:17" hidden="1" x14ac:dyDescent="0.2">
      <c r="Q192" t="str">
        <f>IF(ISERR(
IF(PG!C198="","",PG!C198)),"",IF(PG!C198="","",PG!C198))</f>
        <v/>
      </c>
    </row>
    <row r="193" spans="17:17" hidden="1" x14ac:dyDescent="0.2">
      <c r="Q193" t="str">
        <f>IF(ISERR(
IF(PG!C199="","",PG!C199)),"",IF(PG!C199="","",PG!C199))</f>
        <v/>
      </c>
    </row>
    <row r="194" spans="17:17" hidden="1" x14ac:dyDescent="0.2">
      <c r="Q194" t="str">
        <f>IF(ISERR(
IF(PG!C200="","",PG!C200)),"",IF(PG!C200="","",PG!C200))</f>
        <v/>
      </c>
    </row>
    <row r="195" spans="17:17" hidden="1" x14ac:dyDescent="0.2">
      <c r="Q195" t="str">
        <f>IF(ISERR(
IF(PG!C201="","",PG!C201)),"",IF(PG!C201="","",PG!C201))</f>
        <v/>
      </c>
    </row>
    <row r="196" spans="17:17" hidden="1" x14ac:dyDescent="0.2">
      <c r="Q196" t="str">
        <f>IF(ISERR(
IF(PG!C202="","",PG!C202)),"",IF(PG!C202="","",PG!C202))</f>
        <v/>
      </c>
    </row>
    <row r="197" spans="17:17" hidden="1" x14ac:dyDescent="0.2">
      <c r="Q197" t="str">
        <f>IF(ISERR(
IF(PG!C203="","",PG!C203)),"",IF(PG!C203="","",PG!C203))</f>
        <v/>
      </c>
    </row>
    <row r="198" spans="17:17" hidden="1" x14ac:dyDescent="0.2">
      <c r="Q198" t="str">
        <f>IF(ISERR(
IF(PG!C204="","",PG!C204)),"",IF(PG!C204="","",PG!C204))</f>
        <v/>
      </c>
    </row>
    <row r="199" spans="17:17" hidden="1" x14ac:dyDescent="0.2">
      <c r="Q199" t="str">
        <f>IF(ISERR(
IF(PG!C205="","",PG!C205)),"",IF(PG!C205="","",PG!C205))</f>
        <v/>
      </c>
    </row>
    <row r="200" spans="17:17" hidden="1" x14ac:dyDescent="0.2">
      <c r="Q200" t="str">
        <f>IF(ISERR(
IF(PG!C206="","",PG!C206)),"",IF(PG!C206="","",PG!C206))</f>
        <v/>
      </c>
    </row>
    <row r="201" spans="17:17" hidden="1" x14ac:dyDescent="0.2">
      <c r="Q201" t="str">
        <f>IF(ISERR(
IF(PG!C207="","",PG!C207)),"",IF(PG!C207="","",PG!C207))</f>
        <v/>
      </c>
    </row>
    <row r="202" spans="17:17" hidden="1" x14ac:dyDescent="0.2">
      <c r="Q202" t="str">
        <f>IF(ISERR(
IF(PG!C208="","",PG!C208)),"",IF(PG!C208="","",PG!C208))</f>
        <v/>
      </c>
    </row>
    <row r="203" spans="17:17" hidden="1" x14ac:dyDescent="0.2">
      <c r="Q203" t="str">
        <f>IF(ISERR(
IF(PG!C209="","",PG!C209)),"",IF(PG!C209="","",PG!C209))</f>
        <v/>
      </c>
    </row>
    <row r="204" spans="17:17" hidden="1" x14ac:dyDescent="0.2">
      <c r="Q204" t="str">
        <f>IF(ISERR(
IF(PG!C210="","",PG!C210)),"",IF(PG!C210="","",PG!C210))</f>
        <v/>
      </c>
    </row>
    <row r="205" spans="17:17" hidden="1" x14ac:dyDescent="0.2">
      <c r="Q205" t="str">
        <f>IF(ISERR(
IF(PG!C211="","",PG!C211)),"",IF(PG!C211="","",PG!C211))</f>
        <v/>
      </c>
    </row>
    <row r="206" spans="17:17" hidden="1" x14ac:dyDescent="0.2">
      <c r="Q206" t="str">
        <f>IF(ISERR(
IF(PG!C212="","",PG!C212)),"",IF(PG!C212="","",PG!C212))</f>
        <v/>
      </c>
    </row>
    <row r="207" spans="17:17" hidden="1" x14ac:dyDescent="0.2">
      <c r="Q207" t="str">
        <f>IF(ISERR(
IF(PG!C213="","",PG!C213)),"",IF(PG!C213="","",PG!C213))</f>
        <v/>
      </c>
    </row>
    <row r="208" spans="17:17" hidden="1" x14ac:dyDescent="0.2">
      <c r="Q208" t="str">
        <f>IF(ISERR(
IF(PG!C214="","",PG!C214)),"",IF(PG!C214="","",PG!C214))</f>
        <v/>
      </c>
    </row>
    <row r="209" spans="17:17" hidden="1" x14ac:dyDescent="0.2">
      <c r="Q209" t="str">
        <f>IF(ISERR(
IF(PG!C215="","",PG!C215)),"",IF(PG!C215="","",PG!C215))</f>
        <v/>
      </c>
    </row>
    <row r="210" spans="17:17" hidden="1" x14ac:dyDescent="0.2">
      <c r="Q210" t="str">
        <f>IF(ISERR(
IF(PG!C216="","",PG!C216)),"",IF(PG!C216="","",PG!C216))</f>
        <v/>
      </c>
    </row>
    <row r="211" spans="17:17" hidden="1" x14ac:dyDescent="0.2">
      <c r="Q211" t="str">
        <f>IF(ISERR(
IF(PG!C217="","",PG!C217)),"",IF(PG!C217="","",PG!C217))</f>
        <v/>
      </c>
    </row>
    <row r="212" spans="17:17" hidden="1" x14ac:dyDescent="0.2">
      <c r="Q212" t="str">
        <f>IF(ISERR(
IF(PG!C218="","",PG!C218)),"",IF(PG!C218="","",PG!C218))</f>
        <v/>
      </c>
    </row>
    <row r="213" spans="17:17" hidden="1" x14ac:dyDescent="0.2">
      <c r="Q213" t="str">
        <f>IF(ISERR(
IF(PG!C219="","",PG!C219)),"",IF(PG!C219="","",PG!C219))</f>
        <v/>
      </c>
    </row>
    <row r="214" spans="17:17" hidden="1" x14ac:dyDescent="0.2">
      <c r="Q214" t="str">
        <f>IF(ISERR(
IF(PG!C220="","",PG!C220)),"",IF(PG!C220="","",PG!C220))</f>
        <v/>
      </c>
    </row>
    <row r="215" spans="17:17" hidden="1" x14ac:dyDescent="0.2">
      <c r="Q215" t="str">
        <f>IF(ISERR(
IF(PG!C221="","",PG!C221)),"",IF(PG!C221="","",PG!C221))</f>
        <v/>
      </c>
    </row>
    <row r="216" spans="17:17" hidden="1" x14ac:dyDescent="0.2">
      <c r="Q216" t="str">
        <f>IF(ISERR(
IF(PG!C222="","",PG!C222)),"",IF(PG!C222="","",PG!C222))</f>
        <v/>
      </c>
    </row>
    <row r="217" spans="17:17" hidden="1" x14ac:dyDescent="0.2">
      <c r="Q217" t="str">
        <f>IF(ISERR(
IF(PG!C223="","",PG!C223)),"",IF(PG!C223="","",PG!C223))</f>
        <v/>
      </c>
    </row>
    <row r="218" spans="17:17" hidden="1" x14ac:dyDescent="0.2">
      <c r="Q218" t="str">
        <f>IF(ISERR(
IF(PG!C224="","",PG!C224)),"",IF(PG!C224="","",PG!C224))</f>
        <v/>
      </c>
    </row>
    <row r="219" spans="17:17" hidden="1" x14ac:dyDescent="0.2">
      <c r="Q219" t="str">
        <f>IF(ISERR(
IF(PG!C225="","",PG!C225)),"",IF(PG!C225="","",PG!C225))</f>
        <v/>
      </c>
    </row>
    <row r="220" spans="17:17" hidden="1" x14ac:dyDescent="0.2">
      <c r="Q220" t="str">
        <f>IF(ISERR(
IF(PG!C226="","",PG!C226)),"",IF(PG!C226="","",PG!C226))</f>
        <v/>
      </c>
    </row>
    <row r="221" spans="17:17" hidden="1" x14ac:dyDescent="0.2">
      <c r="Q221" t="str">
        <f>IF(ISERR(
IF(PG!C227="","",PG!C227)),"",IF(PG!C227="","",PG!C227))</f>
        <v/>
      </c>
    </row>
    <row r="222" spans="17:17" hidden="1" x14ac:dyDescent="0.2">
      <c r="Q222" t="str">
        <f>IF(ISERR(
IF(PG!C228="","",PG!C228)),"",IF(PG!C228="","",PG!C228))</f>
        <v/>
      </c>
    </row>
    <row r="223" spans="17:17" hidden="1" x14ac:dyDescent="0.2">
      <c r="Q223" t="str">
        <f>IF(ISERR(
IF(PG!C229="","",PG!C229)),"",IF(PG!C229="","",PG!C229))</f>
        <v/>
      </c>
    </row>
    <row r="224" spans="17:17" hidden="1" x14ac:dyDescent="0.2">
      <c r="Q224" t="str">
        <f>IF(ISERR(
IF(PG!C230="","",PG!C230)),"",IF(PG!C230="","",PG!C230))</f>
        <v/>
      </c>
    </row>
    <row r="225" spans="17:17" hidden="1" x14ac:dyDescent="0.2">
      <c r="Q225" t="str">
        <f>IF(ISERR(
IF(PG!C231="","",PG!C231)),"",IF(PG!C231="","",PG!C231))</f>
        <v/>
      </c>
    </row>
    <row r="226" spans="17:17" hidden="1" x14ac:dyDescent="0.2">
      <c r="Q226" t="str">
        <f>IF(ISERR(
IF(PG!C232="","",PG!C232)),"",IF(PG!C232="","",PG!C232))</f>
        <v/>
      </c>
    </row>
    <row r="227" spans="17:17" hidden="1" x14ac:dyDescent="0.2">
      <c r="Q227" t="str">
        <f>IF(ISERR(
IF(PG!C233="","",PG!C233)),"",IF(PG!C233="","",PG!C233))</f>
        <v/>
      </c>
    </row>
    <row r="228" spans="17:17" hidden="1" x14ac:dyDescent="0.2">
      <c r="Q228" t="str">
        <f>IF(ISERR(
IF(PG!C234="","",PG!C234)),"",IF(PG!C234="","",PG!C234))</f>
        <v/>
      </c>
    </row>
    <row r="229" spans="17:17" hidden="1" x14ac:dyDescent="0.2">
      <c r="Q229" t="str">
        <f>IF(ISERR(
IF(PG!C235="","",PG!C235)),"",IF(PG!C235="","",PG!C235))</f>
        <v/>
      </c>
    </row>
    <row r="230" spans="17:17" hidden="1" x14ac:dyDescent="0.2">
      <c r="Q230" t="str">
        <f>IF(ISERR(
IF(PG!C236="","",PG!C236)),"",IF(PG!C236="","",PG!C236))</f>
        <v/>
      </c>
    </row>
    <row r="231" spans="17:17" hidden="1" x14ac:dyDescent="0.2">
      <c r="Q231" t="str">
        <f>IF(ISERR(
IF(PG!C237="","",PG!C237)),"",IF(PG!C237="","",PG!C237))</f>
        <v/>
      </c>
    </row>
    <row r="232" spans="17:17" hidden="1" x14ac:dyDescent="0.2">
      <c r="Q232" t="str">
        <f>IF(ISERR(
IF(PG!C238="","",PG!C238)),"",IF(PG!C238="","",PG!C238))</f>
        <v/>
      </c>
    </row>
    <row r="233" spans="17:17" hidden="1" x14ac:dyDescent="0.2">
      <c r="Q233" t="str">
        <f>IF(ISERR(
IF(PG!C239="","",PG!C239)),"",IF(PG!C239="","",PG!C239))</f>
        <v/>
      </c>
    </row>
    <row r="234" spans="17:17" hidden="1" x14ac:dyDescent="0.2">
      <c r="Q234" t="str">
        <f>IF(ISERR(
IF(PG!C240="","",PG!C240)),"",IF(PG!C240="","",PG!C240))</f>
        <v/>
      </c>
    </row>
    <row r="235" spans="17:17" hidden="1" x14ac:dyDescent="0.2">
      <c r="Q235" t="str">
        <f>IF(ISERR(
IF(PG!C241="","",PG!C241)),"",IF(PG!C241="","",PG!C241))</f>
        <v/>
      </c>
    </row>
    <row r="236" spans="17:17" hidden="1" x14ac:dyDescent="0.2">
      <c r="Q236" t="str">
        <f>IF(ISERR(
IF(PG!C242="","",PG!C242)),"",IF(PG!C242="","",PG!C242))</f>
        <v/>
      </c>
    </row>
    <row r="237" spans="17:17" hidden="1" x14ac:dyDescent="0.2">
      <c r="Q237" t="str">
        <f>IF(ISERR(
IF(PG!C243="","",PG!C243)),"",IF(PG!C243="","",PG!C243))</f>
        <v/>
      </c>
    </row>
    <row r="238" spans="17:17" hidden="1" x14ac:dyDescent="0.2">
      <c r="Q238" t="str">
        <f>IF(ISERR(
IF(PG!C244="","",PG!C244)),"",IF(PG!C244="","",PG!C244))</f>
        <v/>
      </c>
    </row>
    <row r="239" spans="17:17" hidden="1" x14ac:dyDescent="0.2">
      <c r="Q239" t="str">
        <f>IF(ISERR(
IF(PG!C245="","",PG!C245)),"",IF(PG!C245="","",PG!C245))</f>
        <v/>
      </c>
    </row>
    <row r="240" spans="17:17" hidden="1" x14ac:dyDescent="0.2">
      <c r="Q240" t="str">
        <f>IF(ISERR(
IF(PG!C246="","",PG!C246)),"",IF(PG!C246="","",PG!C246))</f>
        <v/>
      </c>
    </row>
    <row r="241" spans="17:17" hidden="1" x14ac:dyDescent="0.2">
      <c r="Q241" t="str">
        <f>IF(ISERR(
IF(PG!C247="","",PG!C247)),"",IF(PG!C247="","",PG!C247))</f>
        <v/>
      </c>
    </row>
    <row r="242" spans="17:17" hidden="1" x14ac:dyDescent="0.2">
      <c r="Q242" t="str">
        <f>IF(ISERR(
IF(PG!C248="","",PG!C248)),"",IF(PG!C248="","",PG!C248))</f>
        <v/>
      </c>
    </row>
    <row r="243" spans="17:17" hidden="1" x14ac:dyDescent="0.2">
      <c r="Q243" t="str">
        <f>IF(ISERR(
IF(PG!C249="","",PG!C249)),"",IF(PG!C249="","",PG!C249))</f>
        <v/>
      </c>
    </row>
    <row r="244" spans="17:17" hidden="1" x14ac:dyDescent="0.2">
      <c r="Q244" t="str">
        <f>IF(ISERR(
IF(PG!C250="","",PG!C250)),"",IF(PG!C250="","",PG!C250))</f>
        <v/>
      </c>
    </row>
    <row r="245" spans="17:17" hidden="1" x14ac:dyDescent="0.2">
      <c r="Q245" t="str">
        <f>IF(ISERR(
IF(PG!C251="","",PG!C251)),"",IF(PG!C251="","",PG!C251))</f>
        <v/>
      </c>
    </row>
    <row r="246" spans="17:17" hidden="1" x14ac:dyDescent="0.2">
      <c r="Q246" t="str">
        <f>IF(ISERR(
IF(PG!C252="","",PG!C252)),"",IF(PG!C252="","",PG!C252))</f>
        <v/>
      </c>
    </row>
    <row r="247" spans="17:17" hidden="1" x14ac:dyDescent="0.2">
      <c r="Q247" t="str">
        <f>IF(ISERR(
IF(PG!C253="","",PG!C253)),"",IF(PG!C253="","",PG!C253))</f>
        <v/>
      </c>
    </row>
    <row r="248" spans="17:17" hidden="1" x14ac:dyDescent="0.2">
      <c r="Q248" t="str">
        <f>IF(ISERR(
IF(PG!C254="","",PG!C254)),"",IF(PG!C254="","",PG!C254))</f>
        <v/>
      </c>
    </row>
    <row r="249" spans="17:17" hidden="1" x14ac:dyDescent="0.2">
      <c r="Q249" t="str">
        <f>IF(ISERR(
IF(PG!C255="","",PG!C255)),"",IF(PG!C255="","",PG!C255))</f>
        <v/>
      </c>
    </row>
    <row r="250" spans="17:17" hidden="1" x14ac:dyDescent="0.2">
      <c r="Q250" t="str">
        <f>IF(ISERR(
IF(PG!C256="","",PG!C256)),"",IF(PG!C256="","",PG!C256))</f>
        <v/>
      </c>
    </row>
    <row r="251" spans="17:17" hidden="1" x14ac:dyDescent="0.2">
      <c r="Q251" t="str">
        <f>IF(ISERR(
IF(PG!C257="","",PG!C257)),"",IF(PG!C257="","",PG!C257))</f>
        <v/>
      </c>
    </row>
    <row r="252" spans="17:17" hidden="1" x14ac:dyDescent="0.2">
      <c r="Q252" t="str">
        <f>IF(ISERR(
IF(PG!C258="","",PG!C258)),"",IF(PG!C258="","",PG!C258))</f>
        <v/>
      </c>
    </row>
    <row r="253" spans="17:17" hidden="1" x14ac:dyDescent="0.2">
      <c r="Q253" t="str">
        <f>IF(ISERR(
IF(PG!C259="","",PG!C259)),"",IF(PG!C259="","",PG!C259))</f>
        <v/>
      </c>
    </row>
    <row r="254" spans="17:17" hidden="1" x14ac:dyDescent="0.2">
      <c r="Q254" t="str">
        <f>IF(ISERR(
IF(PG!C260="","",PG!C260)),"",IF(PG!C260="","",PG!C260))</f>
        <v/>
      </c>
    </row>
    <row r="255" spans="17:17" hidden="1" x14ac:dyDescent="0.2">
      <c r="Q255" t="str">
        <f>IF(ISERR(
IF(PG!C261="","",PG!C261)),"",IF(PG!C261="","",PG!C261))</f>
        <v/>
      </c>
    </row>
    <row r="256" spans="17:17" hidden="1" x14ac:dyDescent="0.2">
      <c r="Q256" t="str">
        <f>IF(ISERR(
IF(PG!C262="","",PG!C262)),"",IF(PG!C262="","",PG!C262))</f>
        <v/>
      </c>
    </row>
    <row r="257" spans="17:17" hidden="1" x14ac:dyDescent="0.2">
      <c r="Q257" t="str">
        <f>IF(ISERR(
IF(PG!C263="","",PG!C263)),"",IF(PG!C263="","",PG!C263))</f>
        <v/>
      </c>
    </row>
    <row r="258" spans="17:17" hidden="1" x14ac:dyDescent="0.2">
      <c r="Q258" t="str">
        <f>IF(ISERR(
IF(PG!C264="","",PG!C264)),"",IF(PG!C264="","",PG!C264))</f>
        <v/>
      </c>
    </row>
    <row r="259" spans="17:17" hidden="1" x14ac:dyDescent="0.2">
      <c r="Q259" t="str">
        <f>IF(ISERR(
IF(PG!C265="","",PG!C265)),"",IF(PG!C265="","",PG!C265))</f>
        <v/>
      </c>
    </row>
    <row r="260" spans="17:17" hidden="1" x14ac:dyDescent="0.2">
      <c r="Q260" t="str">
        <f>IF(ISERR(
IF(PG!C266="","",PG!C266)),"",IF(PG!C266="","",PG!C266))</f>
        <v/>
      </c>
    </row>
    <row r="261" spans="17:17" hidden="1" x14ac:dyDescent="0.2">
      <c r="Q261" t="str">
        <f>IF(ISERR(
IF(PG!C267="","",PG!C267)),"",IF(PG!C267="","",PG!C267))</f>
        <v/>
      </c>
    </row>
    <row r="262" spans="17:17" hidden="1" x14ac:dyDescent="0.2">
      <c r="Q262" t="str">
        <f>IF(ISERR(
IF(PG!C268="","",PG!C268)),"",IF(PG!C268="","",PG!C268))</f>
        <v/>
      </c>
    </row>
    <row r="263" spans="17:17" hidden="1" x14ac:dyDescent="0.2">
      <c r="Q263" t="str">
        <f>IF(ISERR(
IF(PG!C269="","",PG!C269)),"",IF(PG!C269="","",PG!C269))</f>
        <v/>
      </c>
    </row>
    <row r="264" spans="17:17" hidden="1" x14ac:dyDescent="0.2">
      <c r="Q264" t="str">
        <f>IF(ISERR(
IF(PG!C270="","",PG!C270)),"",IF(PG!C270="","",PG!C270))</f>
        <v/>
      </c>
    </row>
    <row r="265" spans="17:17" hidden="1" x14ac:dyDescent="0.2">
      <c r="Q265" t="str">
        <f>IF(ISERR(
IF(PG!C271="","",PG!C271)),"",IF(PG!C271="","",PG!C271))</f>
        <v/>
      </c>
    </row>
    <row r="266" spans="17:17" hidden="1" x14ac:dyDescent="0.2">
      <c r="Q266" t="str">
        <f>IF(ISERR(
IF(PG!C272="","",PG!C272)),"",IF(PG!C272="","",PG!C272))</f>
        <v/>
      </c>
    </row>
    <row r="267" spans="17:17" hidden="1" x14ac:dyDescent="0.2">
      <c r="Q267" t="str">
        <f>IF(ISERR(
IF(PG!C273="","",PG!C273)),"",IF(PG!C273="","",PG!C273))</f>
        <v/>
      </c>
    </row>
    <row r="268" spans="17:17" hidden="1" x14ac:dyDescent="0.2">
      <c r="Q268" t="str">
        <f>IF(ISERR(
IF(PG!C274="","",PG!C274)),"",IF(PG!C274="","",PG!C274))</f>
        <v/>
      </c>
    </row>
    <row r="269" spans="17:17" hidden="1" x14ac:dyDescent="0.2">
      <c r="Q269" t="str">
        <f>IF(ISERR(
IF(PG!C275="","",PG!C275)),"",IF(PG!C275="","",PG!C275))</f>
        <v/>
      </c>
    </row>
    <row r="270" spans="17:17" hidden="1" x14ac:dyDescent="0.2">
      <c r="Q270" t="str">
        <f>IF(ISERR(
IF(PG!C276="","",PG!C276)),"",IF(PG!C276="","",PG!C276))</f>
        <v/>
      </c>
    </row>
    <row r="271" spans="17:17" hidden="1" x14ac:dyDescent="0.2">
      <c r="Q271" t="str">
        <f>IF(ISERR(
IF(PG!C277="","",PG!C277)),"",IF(PG!C277="","",PG!C277))</f>
        <v/>
      </c>
    </row>
    <row r="272" spans="17:17" hidden="1" x14ac:dyDescent="0.2">
      <c r="Q272" t="str">
        <f>IF(ISERR(
IF(PG!C278="","",PG!C278)),"",IF(PG!C278="","",PG!C278))</f>
        <v/>
      </c>
    </row>
    <row r="273" spans="17:17" hidden="1" x14ac:dyDescent="0.2">
      <c r="Q273" t="str">
        <f>IF(ISERR(
IF(PG!C279="","",PG!C279)),"",IF(PG!C279="","",PG!C279))</f>
        <v/>
      </c>
    </row>
    <row r="274" spans="17:17" hidden="1" x14ac:dyDescent="0.2">
      <c r="Q274" t="str">
        <f>IF(ISERR(
IF(PG!C280="","",PG!C280)),"",IF(PG!C280="","",PG!C280))</f>
        <v/>
      </c>
    </row>
    <row r="275" spans="17:17" hidden="1" x14ac:dyDescent="0.2">
      <c r="Q275" t="str">
        <f>IF(ISERR(
IF(PG!C281="","",PG!C281)),"",IF(PG!C281="","",PG!C281))</f>
        <v/>
      </c>
    </row>
    <row r="276" spans="17:17" hidden="1" x14ac:dyDescent="0.2">
      <c r="Q276" t="str">
        <f>IF(ISERR(
IF(PG!C282="","",PG!C282)),"",IF(PG!C282="","",PG!C282))</f>
        <v/>
      </c>
    </row>
    <row r="277" spans="17:17" hidden="1" x14ac:dyDescent="0.2">
      <c r="Q277" t="str">
        <f>IF(ISERR(
IF(PG!C283="","",PG!C283)),"",IF(PG!C283="","",PG!C283))</f>
        <v/>
      </c>
    </row>
    <row r="278" spans="17:17" hidden="1" x14ac:dyDescent="0.2">
      <c r="Q278" t="str">
        <f>IF(ISERR(
IF(PG!C284="","",PG!C284)),"",IF(PG!C284="","",PG!C284))</f>
        <v/>
      </c>
    </row>
    <row r="279" spans="17:17" hidden="1" x14ac:dyDescent="0.2">
      <c r="Q279" t="str">
        <f>IF(ISERR(
IF(PG!C285="","",PG!C285)),"",IF(PG!C285="","",PG!C285))</f>
        <v/>
      </c>
    </row>
    <row r="280" spans="17:17" hidden="1" x14ac:dyDescent="0.2">
      <c r="Q280" t="str">
        <f>IF(ISERR(
IF(PG!C286="","",PG!C286)),"",IF(PG!C286="","",PG!C286))</f>
        <v/>
      </c>
    </row>
    <row r="281" spans="17:17" hidden="1" x14ac:dyDescent="0.2">
      <c r="Q281" t="str">
        <f>IF(ISERR(
IF(PG!C287="","",PG!C287)),"",IF(PG!C287="","",PG!C287))</f>
        <v/>
      </c>
    </row>
    <row r="282" spans="17:17" hidden="1" x14ac:dyDescent="0.2">
      <c r="Q282" t="str">
        <f>IF(ISERR(
IF(PG!C288="","",PG!C288)),"",IF(PG!C288="","",PG!C288))</f>
        <v/>
      </c>
    </row>
    <row r="283" spans="17:17" hidden="1" x14ac:dyDescent="0.2">
      <c r="Q283" t="str">
        <f>IF(ISERR(
IF(PG!C289="","",PG!C289)),"",IF(PG!C289="","",PG!C289))</f>
        <v/>
      </c>
    </row>
    <row r="284" spans="17:17" hidden="1" x14ac:dyDescent="0.2">
      <c r="Q284" t="str">
        <f>IF(ISERR(
IF(PG!C290="","",PG!C290)),"",IF(PG!C290="","",PG!C290))</f>
        <v/>
      </c>
    </row>
    <row r="285" spans="17:17" hidden="1" x14ac:dyDescent="0.2">
      <c r="Q285" t="str">
        <f>IF(ISERR(
IF(PG!C291="","",PG!C291)),"",IF(PG!C291="","",PG!C291))</f>
        <v/>
      </c>
    </row>
    <row r="286" spans="17:17" hidden="1" x14ac:dyDescent="0.2">
      <c r="Q286" t="str">
        <f>IF(ISERR(
IF(PG!C292="","",PG!C292)),"",IF(PG!C292="","",PG!C292))</f>
        <v/>
      </c>
    </row>
    <row r="287" spans="17:17" hidden="1" x14ac:dyDescent="0.2">
      <c r="Q287" t="str">
        <f>IF(ISERR(
IF(PG!C293="","",PG!C293)),"",IF(PG!C293="","",PG!C293))</f>
        <v/>
      </c>
    </row>
    <row r="288" spans="17:17" hidden="1" x14ac:dyDescent="0.2">
      <c r="Q288" t="str">
        <f>IF(ISERR(
IF(PG!C294="","",PG!C294)),"",IF(PG!C294="","",PG!C294))</f>
        <v/>
      </c>
    </row>
    <row r="289" spans="17:17" hidden="1" x14ac:dyDescent="0.2">
      <c r="Q289" t="str">
        <f>IF(ISERR(
IF(PG!C295="","",PG!C295)),"",IF(PG!C295="","",PG!C295))</f>
        <v/>
      </c>
    </row>
    <row r="290" spans="17:17" hidden="1" x14ac:dyDescent="0.2">
      <c r="Q290" t="str">
        <f>IF(ISERR(
IF(PG!C296="","",PG!C296)),"",IF(PG!C296="","",PG!C296))</f>
        <v/>
      </c>
    </row>
    <row r="291" spans="17:17" hidden="1" x14ac:dyDescent="0.2">
      <c r="Q291" t="str">
        <f>IF(ISERR(
IF(PG!C297="","",PG!C297)),"",IF(PG!C297="","",PG!C297))</f>
        <v/>
      </c>
    </row>
    <row r="292" spans="17:17" hidden="1" x14ac:dyDescent="0.2">
      <c r="Q292" t="str">
        <f>IF(ISERR(
IF(PG!C298="","",PG!C298)),"",IF(PG!C298="","",PG!C298))</f>
        <v/>
      </c>
    </row>
    <row r="293" spans="17:17" hidden="1" x14ac:dyDescent="0.2">
      <c r="Q293" t="str">
        <f>IF(ISERR(
IF(PG!C299="","",PG!C299)),"",IF(PG!C299="","",PG!C299))</f>
        <v/>
      </c>
    </row>
    <row r="294" spans="17:17" hidden="1" x14ac:dyDescent="0.2">
      <c r="Q294" t="str">
        <f>IF(ISERR(
IF(PG!C300="","",PG!C300)),"",IF(PG!C300="","",PG!C300))</f>
        <v/>
      </c>
    </row>
    <row r="295" spans="17:17" hidden="1" x14ac:dyDescent="0.2">
      <c r="Q295" t="str">
        <f>IF(ISERR(
IF(PG!C301="","",PG!C301)),"",IF(PG!C301="","",PG!C301))</f>
        <v/>
      </c>
    </row>
    <row r="296" spans="17:17" hidden="1" x14ac:dyDescent="0.2">
      <c r="Q296" t="str">
        <f>IF(ISERR(
IF(PG!C302="","",PG!C302)),"",IF(PG!C302="","",PG!C302))</f>
        <v/>
      </c>
    </row>
    <row r="297" spans="17:17" hidden="1" x14ac:dyDescent="0.2">
      <c r="Q297" t="str">
        <f>IF(ISERR(
IF(PG!C303="","",PG!C303)),"",IF(PG!C303="","",PG!C303))</f>
        <v/>
      </c>
    </row>
    <row r="298" spans="17:17" hidden="1" x14ac:dyDescent="0.2">
      <c r="Q298" t="str">
        <f>IF(ISERR(
IF(PG!C304="","",PG!C304)),"",IF(PG!C304="","",PG!C304))</f>
        <v/>
      </c>
    </row>
    <row r="299" spans="17:17" hidden="1" x14ac:dyDescent="0.2">
      <c r="Q299" t="str">
        <f>IF(ISERR(
IF(PG!C305="","",PG!C305)),"",IF(PG!C305="","",PG!C305))</f>
        <v/>
      </c>
    </row>
    <row r="300" spans="17:17" hidden="1" x14ac:dyDescent="0.2">
      <c r="Q300" t="str">
        <f>IF(ISERR(
IF(PG!C306="","",PG!C306)),"",IF(PG!C306="","",PG!C306))</f>
        <v/>
      </c>
    </row>
    <row r="301" spans="17:17" hidden="1" x14ac:dyDescent="0.2">
      <c r="Q301" t="str">
        <f>IF(ISERR(
IF(PG!C307="","",PG!C307)),"",IF(PG!C307="","",PG!C307))</f>
        <v/>
      </c>
    </row>
    <row r="302" spans="17:17" hidden="1" x14ac:dyDescent="0.2">
      <c r="Q302" t="str">
        <f>IF(ISERR(
IF(PG!C308="","",PG!C308)),"",IF(PG!C308="","",PG!C308))</f>
        <v/>
      </c>
    </row>
    <row r="303" spans="17:17" hidden="1" x14ac:dyDescent="0.2">
      <c r="Q303" t="str">
        <f>IF(ISERR(
IF(PG!C309="","",PG!C309)),"",IF(PG!C309="","",PG!C309))</f>
        <v/>
      </c>
    </row>
    <row r="304" spans="17:17" hidden="1" x14ac:dyDescent="0.2">
      <c r="Q304" t="str">
        <f>IF(ISERR(
IF(PG!C310="","",PG!C310)),"",IF(PG!C310="","",PG!C310))</f>
        <v/>
      </c>
    </row>
    <row r="305" spans="17:17" hidden="1" x14ac:dyDescent="0.2">
      <c r="Q305" t="str">
        <f>IF(ISERR(
IF(PG!C311="","",PG!C311)),"",IF(PG!C311="","",PG!C311))</f>
        <v/>
      </c>
    </row>
    <row r="306" spans="17:17" hidden="1" x14ac:dyDescent="0.2">
      <c r="Q306" t="str">
        <f>IF(ISERR(
IF(PG!C312="","",PG!C312)),"",IF(PG!C312="","",PG!C312))</f>
        <v/>
      </c>
    </row>
    <row r="307" spans="17:17" hidden="1" x14ac:dyDescent="0.2">
      <c r="Q307" t="str">
        <f>IF(ISERR(
IF(PG!C313="","",PG!C313)),"",IF(PG!C313="","",PG!C313))</f>
        <v/>
      </c>
    </row>
    <row r="308" spans="17:17" hidden="1" x14ac:dyDescent="0.2">
      <c r="Q308" t="str">
        <f>IF(ISERR(
IF(PG!C314="","",PG!C314)),"",IF(PG!C314="","",PG!C314))</f>
        <v/>
      </c>
    </row>
    <row r="309" spans="17:17" hidden="1" x14ac:dyDescent="0.2">
      <c r="Q309" t="str">
        <f>IF(ISERR(
IF(PG!C315="","",PG!C315)),"",IF(PG!C315="","",PG!C315))</f>
        <v/>
      </c>
    </row>
    <row r="310" spans="17:17" hidden="1" x14ac:dyDescent="0.2">
      <c r="Q310" t="str">
        <f>IF(ISERR(
IF(PG!C316="","",PG!C316)),"",IF(PG!C316="","",PG!C316))</f>
        <v/>
      </c>
    </row>
    <row r="311" spans="17:17" hidden="1" x14ac:dyDescent="0.2">
      <c r="Q311" t="str">
        <f>IF(ISERR(
IF(PG!C317="","",PG!C317)),"",IF(PG!C317="","",PG!C317))</f>
        <v/>
      </c>
    </row>
    <row r="312" spans="17:17" hidden="1" x14ac:dyDescent="0.2">
      <c r="Q312" t="str">
        <f>IF(ISERR(
IF(PG!C318="","",PG!C318)),"",IF(PG!C318="","",PG!C318))</f>
        <v/>
      </c>
    </row>
    <row r="313" spans="17:17" hidden="1" x14ac:dyDescent="0.2">
      <c r="Q313" t="str">
        <f>IF(ISERR(
IF(PG!C319="","",PG!C319)),"",IF(PG!C319="","",PG!C319))</f>
        <v/>
      </c>
    </row>
    <row r="314" spans="17:17" hidden="1" x14ac:dyDescent="0.2">
      <c r="Q314" t="str">
        <f>IF(ISERR(
IF(PG!C320="","",PG!C320)),"",IF(PG!C320="","",PG!C320))</f>
        <v/>
      </c>
    </row>
    <row r="315" spans="17:17" hidden="1" x14ac:dyDescent="0.2">
      <c r="Q315" t="str">
        <f>IF(ISERR(
IF(PG!C321="","",PG!C321)),"",IF(PG!C321="","",PG!C321))</f>
        <v/>
      </c>
    </row>
    <row r="316" spans="17:17" hidden="1" x14ac:dyDescent="0.2">
      <c r="Q316" t="str">
        <f>IF(ISERR(
IF(PG!C322="","",PG!C322)),"",IF(PG!C322="","",PG!C322))</f>
        <v/>
      </c>
    </row>
    <row r="317" spans="17:17" hidden="1" x14ac:dyDescent="0.2">
      <c r="Q317" t="str">
        <f>IF(ISERR(
IF(PG!C323="","",PG!C323)),"",IF(PG!C323="","",PG!C323))</f>
        <v/>
      </c>
    </row>
    <row r="318" spans="17:17" hidden="1" x14ac:dyDescent="0.2">
      <c r="Q318" t="str">
        <f>IF(ISERR(
IF(PG!C324="","",PG!C324)),"",IF(PG!C324="","",PG!C324))</f>
        <v/>
      </c>
    </row>
    <row r="319" spans="17:17" hidden="1" x14ac:dyDescent="0.2">
      <c r="Q319" t="str">
        <f>IF(ISERR(
IF(PG!C325="","",PG!C325)),"",IF(PG!C325="","",PG!C325))</f>
        <v/>
      </c>
    </row>
    <row r="320" spans="17:17" hidden="1" x14ac:dyDescent="0.2">
      <c r="Q320" t="str">
        <f>IF(ISERR(
IF(PG!C326="","",PG!C326)),"",IF(PG!C326="","",PG!C326))</f>
        <v/>
      </c>
    </row>
    <row r="321" spans="17:17" hidden="1" x14ac:dyDescent="0.2">
      <c r="Q321" t="str">
        <f>IF(ISERR(
IF(PG!C327="","",PG!C327)),"",IF(PG!C327="","",PG!C327))</f>
        <v/>
      </c>
    </row>
    <row r="322" spans="17:17" hidden="1" x14ac:dyDescent="0.2">
      <c r="Q322" t="str">
        <f>IF(ISERR(
IF(PG!C328="","",PG!C328)),"",IF(PG!C328="","",PG!C328))</f>
        <v/>
      </c>
    </row>
    <row r="323" spans="17:17" hidden="1" x14ac:dyDescent="0.2">
      <c r="Q323" t="str">
        <f>IF(ISERR(
IF(PG!C329="","",PG!C329)),"",IF(PG!C329="","",PG!C329))</f>
        <v/>
      </c>
    </row>
    <row r="324" spans="17:17" hidden="1" x14ac:dyDescent="0.2">
      <c r="Q324" t="str">
        <f>IF(ISERR(
IF(PG!C330="","",PG!C330)),"",IF(PG!C330="","",PG!C330))</f>
        <v/>
      </c>
    </row>
    <row r="325" spans="17:17" hidden="1" x14ac:dyDescent="0.2">
      <c r="Q325" t="str">
        <f>IF(ISERR(
IF(PG!C331="","",PG!C331)),"",IF(PG!C331="","",PG!C331))</f>
        <v/>
      </c>
    </row>
    <row r="326" spans="17:17" hidden="1" x14ac:dyDescent="0.2">
      <c r="Q326" t="str">
        <f>IF(ISERR(
IF(PG!C332="","",PG!C332)),"",IF(PG!C332="","",PG!C332))</f>
        <v/>
      </c>
    </row>
    <row r="327" spans="17:17" hidden="1" x14ac:dyDescent="0.2">
      <c r="Q327" t="str">
        <f>IF(ISERR(
IF(PG!C333="","",PG!C333)),"",IF(PG!C333="","",PG!C333))</f>
        <v/>
      </c>
    </row>
    <row r="328" spans="17:17" hidden="1" x14ac:dyDescent="0.2">
      <c r="Q328" t="str">
        <f>IF(ISERR(
IF(PG!C334="","",PG!C334)),"",IF(PG!C334="","",PG!C334))</f>
        <v/>
      </c>
    </row>
    <row r="329" spans="17:17" hidden="1" x14ac:dyDescent="0.2">
      <c r="Q329" t="str">
        <f>IF(ISERR(
IF(PG!C335="","",PG!C335)),"",IF(PG!C335="","",PG!C335))</f>
        <v/>
      </c>
    </row>
    <row r="330" spans="17:17" hidden="1" x14ac:dyDescent="0.2">
      <c r="Q330" t="str">
        <f>IF(ISERR(
IF(PG!C336="","",PG!C336)),"",IF(PG!C336="","",PG!C336))</f>
        <v/>
      </c>
    </row>
    <row r="331" spans="17:17" hidden="1" x14ac:dyDescent="0.2">
      <c r="Q331" t="str">
        <f>IF(ISERR(
IF(PG!C337="","",PG!C337)),"",IF(PG!C337="","",PG!C337))</f>
        <v/>
      </c>
    </row>
    <row r="332" spans="17:17" hidden="1" x14ac:dyDescent="0.2">
      <c r="Q332" t="str">
        <f>IF(ISERR(
IF(PG!C338="","",PG!C338)),"",IF(PG!C338="","",PG!C338))</f>
        <v/>
      </c>
    </row>
    <row r="333" spans="17:17" hidden="1" x14ac:dyDescent="0.2">
      <c r="Q333" t="str">
        <f>IF(ISERR(
IF(PG!C339="","",PG!C339)),"",IF(PG!C339="","",PG!C339))</f>
        <v/>
      </c>
    </row>
    <row r="334" spans="17:17" hidden="1" x14ac:dyDescent="0.2">
      <c r="Q334" t="str">
        <f>IF(ISERR(
IF(PG!C340="","",PG!C340)),"",IF(PG!C340="","",PG!C340))</f>
        <v/>
      </c>
    </row>
    <row r="335" spans="17:17" hidden="1" x14ac:dyDescent="0.2">
      <c r="Q335" t="str">
        <f>IF(ISERR(
IF(PG!C341="","",PG!C341)),"",IF(PG!C341="","",PG!C341))</f>
        <v/>
      </c>
    </row>
    <row r="336" spans="17:17" hidden="1" x14ac:dyDescent="0.2">
      <c r="Q336" t="str">
        <f>IF(ISERR(
IF(PG!C342="","",PG!C342)),"",IF(PG!C342="","",PG!C342))</f>
        <v/>
      </c>
    </row>
    <row r="337" spans="17:17" hidden="1" x14ac:dyDescent="0.2">
      <c r="Q337" t="str">
        <f>IF(ISERR(
IF(PG!C343="","",PG!C343)),"",IF(PG!C343="","",PG!C343))</f>
        <v/>
      </c>
    </row>
    <row r="338" spans="17:17" hidden="1" x14ac:dyDescent="0.2">
      <c r="Q338" t="str">
        <f>IF(ISERR(
IF(PG!C344="","",PG!C344)),"",IF(PG!C344="","",PG!C344))</f>
        <v/>
      </c>
    </row>
    <row r="339" spans="17:17" hidden="1" x14ac:dyDescent="0.2">
      <c r="Q339" t="str">
        <f>IF(ISERR(
IF(PG!C345="","",PG!C345)),"",IF(PG!C345="","",PG!C345))</f>
        <v/>
      </c>
    </row>
    <row r="340" spans="17:17" hidden="1" x14ac:dyDescent="0.2">
      <c r="Q340" t="str">
        <f>IF(ISERR(
IF(PG!C346="","",PG!C346)),"",IF(PG!C346="","",PG!C346))</f>
        <v/>
      </c>
    </row>
    <row r="341" spans="17:17" hidden="1" x14ac:dyDescent="0.2">
      <c r="Q341" t="str">
        <f>IF(ISERR(
IF(PG!C347="","",PG!C347)),"",IF(PG!C347="","",PG!C347))</f>
        <v/>
      </c>
    </row>
    <row r="342" spans="17:17" hidden="1" x14ac:dyDescent="0.2">
      <c r="Q342" t="str">
        <f>IF(ISERR(
IF(PG!C348="","",PG!C348)),"",IF(PG!C348="","",PG!C348))</f>
        <v/>
      </c>
    </row>
    <row r="343" spans="17:17" hidden="1" x14ac:dyDescent="0.2">
      <c r="Q343" t="str">
        <f>IF(ISERR(
IF(PG!C349="","",PG!C349)),"",IF(PG!C349="","",PG!C349))</f>
        <v/>
      </c>
    </row>
    <row r="344" spans="17:17" hidden="1" x14ac:dyDescent="0.2">
      <c r="Q344" t="str">
        <f>IF(ISERR(
IF(PG!C350="","",PG!C350)),"",IF(PG!C350="","",PG!C350))</f>
        <v/>
      </c>
    </row>
    <row r="345" spans="17:17" hidden="1" x14ac:dyDescent="0.2">
      <c r="Q345" t="str">
        <f>IF(ISERR(
IF(PG!C351="","",PG!C351)),"",IF(PG!C351="","",PG!C351))</f>
        <v/>
      </c>
    </row>
    <row r="346" spans="17:17" hidden="1" x14ac:dyDescent="0.2">
      <c r="Q346" t="str">
        <f>IF(ISERR(
IF(PG!C352="","",PG!C352)),"",IF(PG!C352="","",PG!C352))</f>
        <v/>
      </c>
    </row>
    <row r="347" spans="17:17" hidden="1" x14ac:dyDescent="0.2">
      <c r="Q347" t="str">
        <f>IF(ISERR(
IF(PG!C353="","",PG!C353)),"",IF(PG!C353="","",PG!C353))</f>
        <v/>
      </c>
    </row>
    <row r="348" spans="17:17" hidden="1" x14ac:dyDescent="0.2">
      <c r="Q348" t="str">
        <f>IF(ISERR(
IF(PG!C354="","",PG!C354)),"",IF(PG!C354="","",PG!C354))</f>
        <v/>
      </c>
    </row>
    <row r="349" spans="17:17" hidden="1" x14ac:dyDescent="0.2">
      <c r="Q349" t="str">
        <f>IF(ISERR(
IF(PG!C355="","",PG!C355)),"",IF(PG!C355="","",PG!C355))</f>
        <v/>
      </c>
    </row>
    <row r="350" spans="17:17" hidden="1" x14ac:dyDescent="0.2">
      <c r="Q350" t="str">
        <f>IF(ISERR(
IF(PG!C356="","",PG!C356)),"",IF(PG!C356="","",PG!C356))</f>
        <v/>
      </c>
    </row>
    <row r="351" spans="17:17" hidden="1" x14ac:dyDescent="0.2">
      <c r="Q351" t="str">
        <f>IF(ISERR(
IF(PG!C357="","",PG!C357)),"",IF(PG!C357="","",PG!C357))</f>
        <v/>
      </c>
    </row>
    <row r="352" spans="17:17" hidden="1" x14ac:dyDescent="0.2">
      <c r="Q352" t="str">
        <f>IF(ISERR(
IF(PG!C358="","",PG!C358)),"",IF(PG!C358="","",PG!C358))</f>
        <v/>
      </c>
    </row>
    <row r="353" spans="17:17" hidden="1" x14ac:dyDescent="0.2">
      <c r="Q353" t="str">
        <f>IF(ISERR(
IF(PG!C359="","",PG!C359)),"",IF(PG!C359="","",PG!C359))</f>
        <v/>
      </c>
    </row>
    <row r="354" spans="17:17" hidden="1" x14ac:dyDescent="0.2">
      <c r="Q354" t="str">
        <f>IF(ISERR(
IF(PG!C360="","",PG!C360)),"",IF(PG!C360="","",PG!C360))</f>
        <v/>
      </c>
    </row>
    <row r="355" spans="17:17" hidden="1" x14ac:dyDescent="0.2">
      <c r="Q355" t="str">
        <f>IF(ISERR(
IF(PG!C361="","",PG!C361)),"",IF(PG!C361="","",PG!C361))</f>
        <v/>
      </c>
    </row>
    <row r="356" spans="17:17" hidden="1" x14ac:dyDescent="0.2">
      <c r="Q356" t="str">
        <f>IF(ISERR(
IF(PG!C362="","",PG!C362)),"",IF(PG!C362="","",PG!C362))</f>
        <v/>
      </c>
    </row>
    <row r="357" spans="17:17" hidden="1" x14ac:dyDescent="0.2">
      <c r="Q357" t="str">
        <f>IF(ISERR(
IF(PG!C363="","",PG!C363)),"",IF(PG!C363="","",PG!C363))</f>
        <v/>
      </c>
    </row>
    <row r="358" spans="17:17" hidden="1" x14ac:dyDescent="0.2">
      <c r="Q358" t="str">
        <f>IF(ISERR(
IF(PG!C364="","",PG!C364)),"",IF(PG!C364="","",PG!C364))</f>
        <v/>
      </c>
    </row>
    <row r="359" spans="17:17" hidden="1" x14ac:dyDescent="0.2">
      <c r="Q359" t="str">
        <f>IF(ISERR(
IF(PG!C365="","",PG!C365)),"",IF(PG!C365="","",PG!C365))</f>
        <v/>
      </c>
    </row>
    <row r="360" spans="17:17" hidden="1" x14ac:dyDescent="0.2">
      <c r="Q360" t="str">
        <f>IF(ISERR(
IF(PG!C366="","",PG!C366)),"",IF(PG!C366="","",PG!C366))</f>
        <v/>
      </c>
    </row>
    <row r="361" spans="17:17" hidden="1" x14ac:dyDescent="0.2">
      <c r="Q361" t="str">
        <f>IF(ISERR(
IF(PG!C367="","",PG!C367)),"",IF(PG!C367="","",PG!C367))</f>
        <v/>
      </c>
    </row>
    <row r="362" spans="17:17" hidden="1" x14ac:dyDescent="0.2">
      <c r="Q362" t="str">
        <f>IF(ISERR(
IF(PG!C368="","",PG!C368)),"",IF(PG!C368="","",PG!C368))</f>
        <v/>
      </c>
    </row>
    <row r="363" spans="17:17" hidden="1" x14ac:dyDescent="0.2">
      <c r="Q363" t="str">
        <f>IF(ISERR(
IF(PG!C369="","",PG!C369)),"",IF(PG!C369="","",PG!C369))</f>
        <v/>
      </c>
    </row>
    <row r="364" spans="17:17" hidden="1" x14ac:dyDescent="0.2">
      <c r="Q364" t="str">
        <f>IF(ISERR(
IF(PG!C370="","",PG!C370)),"",IF(PG!C370="","",PG!C370))</f>
        <v/>
      </c>
    </row>
    <row r="365" spans="17:17" hidden="1" x14ac:dyDescent="0.2">
      <c r="Q365" t="str">
        <f>IF(ISERR(
IF(PG!C371="","",PG!C371)),"",IF(PG!C371="","",PG!C371))</f>
        <v/>
      </c>
    </row>
    <row r="366" spans="17:17" hidden="1" x14ac:dyDescent="0.2">
      <c r="Q366" t="str">
        <f>IF(ISERR(
IF(PG!C372="","",PG!C372)),"",IF(PG!C372="","",PG!C372))</f>
        <v/>
      </c>
    </row>
    <row r="367" spans="17:17" hidden="1" x14ac:dyDescent="0.2">
      <c r="Q367" t="str">
        <f>IF(ISERR(
IF(PG!C373="","",PG!C373)),"",IF(PG!C373="","",PG!C373))</f>
        <v/>
      </c>
    </row>
    <row r="368" spans="17:17" hidden="1" x14ac:dyDescent="0.2">
      <c r="Q368" t="str">
        <f>IF(ISERR(
IF(PG!C374="","",PG!C374)),"",IF(PG!C374="","",PG!C374))</f>
        <v/>
      </c>
    </row>
    <row r="369" spans="17:17" hidden="1" x14ac:dyDescent="0.2">
      <c r="Q369" t="str">
        <f>IF(ISERR(
IF(PG!C375="","",PG!C375)),"",IF(PG!C375="","",PG!C375))</f>
        <v/>
      </c>
    </row>
    <row r="370" spans="17:17" hidden="1" x14ac:dyDescent="0.2">
      <c r="Q370" t="str">
        <f>IF(ISERR(
IF(PG!C376="","",PG!C376)),"",IF(PG!C376="","",PG!C376))</f>
        <v/>
      </c>
    </row>
    <row r="371" spans="17:17" hidden="1" x14ac:dyDescent="0.2">
      <c r="Q371" t="str">
        <f>IF(ISERR(
IF(PG!C377="","",PG!C377)),"",IF(PG!C377="","",PG!C377))</f>
        <v/>
      </c>
    </row>
    <row r="372" spans="17:17" hidden="1" x14ac:dyDescent="0.2">
      <c r="Q372" t="str">
        <f>IF(ISERR(
IF(PG!C378="","",PG!C378)),"",IF(PG!C378="","",PG!C378))</f>
        <v/>
      </c>
    </row>
    <row r="373" spans="17:17" hidden="1" x14ac:dyDescent="0.2">
      <c r="Q373" t="str">
        <f>IF(ISERR(
IF(PG!C379="","",PG!C379)),"",IF(PG!C379="","",PG!C379))</f>
        <v/>
      </c>
    </row>
    <row r="374" spans="17:17" hidden="1" x14ac:dyDescent="0.2">
      <c r="Q374" t="str">
        <f>IF(ISERR(
IF(PG!C380="","",PG!C380)),"",IF(PG!C380="","",PG!C380))</f>
        <v/>
      </c>
    </row>
    <row r="375" spans="17:17" hidden="1" x14ac:dyDescent="0.2">
      <c r="Q375" t="str">
        <f>IF(ISERR(
IF(PG!C381="","",PG!C381)),"",IF(PG!C381="","",PG!C381))</f>
        <v/>
      </c>
    </row>
    <row r="376" spans="17:17" hidden="1" x14ac:dyDescent="0.2">
      <c r="Q376" t="str">
        <f>IF(ISERR(
IF(PG!C382="","",PG!C382)),"",IF(PG!C382="","",PG!C382))</f>
        <v/>
      </c>
    </row>
    <row r="377" spans="17:17" hidden="1" x14ac:dyDescent="0.2">
      <c r="Q377" t="str">
        <f>IF(ISERR(
IF(PG!C383="","",PG!C383)),"",IF(PG!C383="","",PG!C383))</f>
        <v/>
      </c>
    </row>
    <row r="378" spans="17:17" hidden="1" x14ac:dyDescent="0.2">
      <c r="Q378" t="str">
        <f>IF(ISERR(
IF(PG!C384="","",PG!C384)),"",IF(PG!C384="","",PG!C384))</f>
        <v/>
      </c>
    </row>
    <row r="379" spans="17:17" hidden="1" x14ac:dyDescent="0.2">
      <c r="Q379" t="str">
        <f>IF(ISERR(
IF(PG!C385="","",PG!C385)),"",IF(PG!C385="","",PG!C385))</f>
        <v/>
      </c>
    </row>
    <row r="380" spans="17:17" hidden="1" x14ac:dyDescent="0.2">
      <c r="Q380" t="str">
        <f>IF(ISERR(
IF(PG!C386="","",PG!C386)),"",IF(PG!C386="","",PG!C386))</f>
        <v/>
      </c>
    </row>
    <row r="381" spans="17:17" hidden="1" x14ac:dyDescent="0.2">
      <c r="Q381" t="str">
        <f>IF(ISERR(
IF(PG!C387="","",PG!C387)),"",IF(PG!C387="","",PG!C387))</f>
        <v/>
      </c>
    </row>
    <row r="382" spans="17:17" hidden="1" x14ac:dyDescent="0.2">
      <c r="Q382" t="str">
        <f>IF(ISERR(
IF(PG!C388="","",PG!C388)),"",IF(PG!C388="","",PG!C388))</f>
        <v/>
      </c>
    </row>
    <row r="383" spans="17:17" hidden="1" x14ac:dyDescent="0.2">
      <c r="Q383" t="str">
        <f>IF(ISERR(
IF(PG!C389="","",PG!C389)),"",IF(PG!C389="","",PG!C389))</f>
        <v/>
      </c>
    </row>
    <row r="384" spans="17:17" hidden="1" x14ac:dyDescent="0.2">
      <c r="Q384" t="str">
        <f>IF(ISERR(
IF(PG!C390="","",PG!C390)),"",IF(PG!C390="","",PG!C390))</f>
        <v/>
      </c>
    </row>
    <row r="385" spans="17:17" hidden="1" x14ac:dyDescent="0.2">
      <c r="Q385" t="str">
        <f>IF(ISERR(
IF(PG!C391="","",PG!C391)),"",IF(PG!C391="","",PG!C391))</f>
        <v/>
      </c>
    </row>
    <row r="386" spans="17:17" hidden="1" x14ac:dyDescent="0.2">
      <c r="Q386" t="str">
        <f>IF(ISERR(
IF(PG!C392="","",PG!C392)),"",IF(PG!C392="","",PG!C392))</f>
        <v/>
      </c>
    </row>
    <row r="387" spans="17:17" hidden="1" x14ac:dyDescent="0.2">
      <c r="Q387" t="str">
        <f>IF(ISERR(
IF(PG!C393="","",PG!C393)),"",IF(PG!C393="","",PG!C393))</f>
        <v/>
      </c>
    </row>
    <row r="388" spans="17:17" hidden="1" x14ac:dyDescent="0.2">
      <c r="Q388" t="str">
        <f>IF(ISERR(
IF(PG!C394="","",PG!C394)),"",IF(PG!C394="","",PG!C394))</f>
        <v/>
      </c>
    </row>
    <row r="389" spans="17:17" hidden="1" x14ac:dyDescent="0.2">
      <c r="Q389" t="str">
        <f>IF(ISERR(
IF(PG!C395="","",PG!C395)),"",IF(PG!C395="","",PG!C395))</f>
        <v/>
      </c>
    </row>
    <row r="390" spans="17:17" hidden="1" x14ac:dyDescent="0.2">
      <c r="Q390" t="str">
        <f>IF(ISERR(
IF(PG!C396="","",PG!C396)),"",IF(PG!C396="","",PG!C396))</f>
        <v/>
      </c>
    </row>
    <row r="391" spans="17:17" hidden="1" x14ac:dyDescent="0.2">
      <c r="Q391" t="str">
        <f>IF(ISERR(
IF(PG!C397="","",PG!C397)),"",IF(PG!C397="","",PG!C397))</f>
        <v/>
      </c>
    </row>
    <row r="392" spans="17:17" hidden="1" x14ac:dyDescent="0.2">
      <c r="Q392" t="str">
        <f>IF(ISERR(
IF(PG!C398="","",PG!C398)),"",IF(PG!C398="","",PG!C398))</f>
        <v/>
      </c>
    </row>
    <row r="393" spans="17:17" hidden="1" x14ac:dyDescent="0.2">
      <c r="Q393" t="str">
        <f>IF(ISERR(
IF(PG!C399="","",PG!C399)),"",IF(PG!C399="","",PG!C399))</f>
        <v/>
      </c>
    </row>
    <row r="394" spans="17:17" hidden="1" x14ac:dyDescent="0.2">
      <c r="Q394" t="str">
        <f>IF(ISERR(
IF(PG!C400="","",PG!C400)),"",IF(PG!C400="","",PG!C400))</f>
        <v/>
      </c>
    </row>
    <row r="395" spans="17:17" hidden="1" x14ac:dyDescent="0.2">
      <c r="Q395" t="str">
        <f>IF(ISERR(
IF(PG!C401="","",PG!C401)),"",IF(PG!C401="","",PG!C401))</f>
        <v/>
      </c>
    </row>
    <row r="396" spans="17:17" hidden="1" x14ac:dyDescent="0.2">
      <c r="Q396" t="str">
        <f>IF(ISERR(
IF(PG!C402="","",PG!C402)),"",IF(PG!C402="","",PG!C402))</f>
        <v/>
      </c>
    </row>
    <row r="397" spans="17:17" hidden="1" x14ac:dyDescent="0.2">
      <c r="Q397" t="str">
        <f>IF(ISERR(
IF(PG!C403="","",PG!C403)),"",IF(PG!C403="","",PG!C403))</f>
        <v/>
      </c>
    </row>
    <row r="398" spans="17:17" hidden="1" x14ac:dyDescent="0.2">
      <c r="Q398" t="str">
        <f>IF(ISERR(
IF(PG!C404="","",PG!C404)),"",IF(PG!C404="","",PG!C404))</f>
        <v/>
      </c>
    </row>
    <row r="399" spans="17:17" hidden="1" x14ac:dyDescent="0.2">
      <c r="Q399" t="str">
        <f>IF(ISERR(
IF(PG!C405="","",PG!C405)),"",IF(PG!C405="","",PG!C405))</f>
        <v/>
      </c>
    </row>
    <row r="400" spans="17:17" hidden="1" x14ac:dyDescent="0.2">
      <c r="Q400" t="str">
        <f>IF(ISERR(
IF(PG!C406="","",PG!C406)),"",IF(PG!C406="","",PG!C406))</f>
        <v/>
      </c>
    </row>
    <row r="401" spans="17:17" hidden="1" x14ac:dyDescent="0.2">
      <c r="Q401" t="str">
        <f>IF(ISERR(
IF(PG!C407="","",PG!C407)),"",IF(PG!C407="","",PG!C407))</f>
        <v/>
      </c>
    </row>
    <row r="402" spans="17:17" hidden="1" x14ac:dyDescent="0.2">
      <c r="Q402" t="str">
        <f>IF(ISERR(
IF(PG!C408="","",PG!C408)),"",IF(PG!C408="","",PG!C408))</f>
        <v/>
      </c>
    </row>
    <row r="403" spans="17:17" hidden="1" x14ac:dyDescent="0.2">
      <c r="Q403" t="str">
        <f>IF(ISERR(
IF(PG!C409="","",PG!C409)),"",IF(PG!C409="","",PG!C409))</f>
        <v/>
      </c>
    </row>
    <row r="404" spans="17:17" hidden="1" x14ac:dyDescent="0.2">
      <c r="Q404" t="str">
        <f>IF(ISERR(
IF(PG!C410="","",PG!C410)),"",IF(PG!C410="","",PG!C410))</f>
        <v/>
      </c>
    </row>
    <row r="405" spans="17:17" hidden="1" x14ac:dyDescent="0.2">
      <c r="Q405" t="str">
        <f>IF(ISERR(
IF(PG!C411="","",PG!C411)),"",IF(PG!C411="","",PG!C411))</f>
        <v/>
      </c>
    </row>
    <row r="406" spans="17:17" hidden="1" x14ac:dyDescent="0.2">
      <c r="Q406" t="str">
        <f>IF(ISERR(
IF(PG!C412="","",PG!C412)),"",IF(PG!C412="","",PG!C412))</f>
        <v/>
      </c>
    </row>
    <row r="407" spans="17:17" hidden="1" x14ac:dyDescent="0.2">
      <c r="Q407" t="str">
        <f>IF(ISERR(
IF(PG!C413="","",PG!C413)),"",IF(PG!C413="","",PG!C413))</f>
        <v/>
      </c>
    </row>
    <row r="408" spans="17:17" hidden="1" x14ac:dyDescent="0.2">
      <c r="Q408" t="str">
        <f>IF(ISERR(
IF(PG!C414="","",PG!C414)),"",IF(PG!C414="","",PG!C414))</f>
        <v/>
      </c>
    </row>
    <row r="409" spans="17:17" hidden="1" x14ac:dyDescent="0.2">
      <c r="Q409" t="str">
        <f>IF(ISERR(
IF(PG!C415="","",PG!C415)),"",IF(PG!C415="","",PG!C415))</f>
        <v/>
      </c>
    </row>
    <row r="410" spans="17:17" hidden="1" x14ac:dyDescent="0.2">
      <c r="Q410" t="str">
        <f>IF(ISERR(
IF(PG!C416="","",PG!C416)),"",IF(PG!C416="","",PG!C416))</f>
        <v/>
      </c>
    </row>
    <row r="411" spans="17:17" hidden="1" x14ac:dyDescent="0.2">
      <c r="Q411" t="str">
        <f>IF(ISERR(
IF(PG!C417="","",PG!C417)),"",IF(PG!C417="","",PG!C417))</f>
        <v/>
      </c>
    </row>
    <row r="412" spans="17:17" hidden="1" x14ac:dyDescent="0.2">
      <c r="Q412" t="str">
        <f>IF(ISERR(
IF(PG!C418="","",PG!C418)),"",IF(PG!C418="","",PG!C418))</f>
        <v/>
      </c>
    </row>
    <row r="413" spans="17:17" hidden="1" x14ac:dyDescent="0.2">
      <c r="Q413" t="str">
        <f>IF(ISERR(
IF(PG!C419="","",PG!C419)),"",IF(PG!C419="","",PG!C419))</f>
        <v/>
      </c>
    </row>
    <row r="414" spans="17:17" hidden="1" x14ac:dyDescent="0.2">
      <c r="Q414" t="str">
        <f>IF(ISERR(
IF(PG!C420="","",PG!C420)),"",IF(PG!C420="","",PG!C420))</f>
        <v/>
      </c>
    </row>
    <row r="415" spans="17:17" hidden="1" x14ac:dyDescent="0.2">
      <c r="Q415" t="str">
        <f>IF(ISERR(
IF(PG!C421="","",PG!C421)),"",IF(PG!C421="","",PG!C421))</f>
        <v/>
      </c>
    </row>
    <row r="416" spans="17:17" hidden="1" x14ac:dyDescent="0.2">
      <c r="Q416" t="str">
        <f>IF(ISERR(
IF(PG!C422="","",PG!C422)),"",IF(PG!C422="","",PG!C422))</f>
        <v/>
      </c>
    </row>
    <row r="417" spans="17:17" hidden="1" x14ac:dyDescent="0.2">
      <c r="Q417" t="str">
        <f>IF(ISERR(
IF(PG!C423="","",PG!C423)),"",IF(PG!C423="","",PG!C423))</f>
        <v/>
      </c>
    </row>
    <row r="418" spans="17:17" hidden="1" x14ac:dyDescent="0.2">
      <c r="Q418" t="str">
        <f>IF(ISERR(
IF(PG!C424="","",PG!C424)),"",IF(PG!C424="","",PG!C424))</f>
        <v/>
      </c>
    </row>
    <row r="419" spans="17:17" hidden="1" x14ac:dyDescent="0.2">
      <c r="Q419" t="str">
        <f>IF(ISERR(
IF(PG!C425="","",PG!C425)),"",IF(PG!C425="","",PG!C425))</f>
        <v/>
      </c>
    </row>
    <row r="420" spans="17:17" hidden="1" x14ac:dyDescent="0.2">
      <c r="Q420" t="str">
        <f>IF(ISERR(
IF(PG!C426="","",PG!C426)),"",IF(PG!C426="","",PG!C426))</f>
        <v/>
      </c>
    </row>
    <row r="421" spans="17:17" hidden="1" x14ac:dyDescent="0.2">
      <c r="Q421" t="str">
        <f>IF(ISERR(
IF(PG!C427="","",PG!C427)),"",IF(PG!C427="","",PG!C427))</f>
        <v/>
      </c>
    </row>
    <row r="422" spans="17:17" hidden="1" x14ac:dyDescent="0.2">
      <c r="Q422" t="str">
        <f>IF(ISERR(
IF(PG!C428="","",PG!C428)),"",IF(PG!C428="","",PG!C428))</f>
        <v/>
      </c>
    </row>
    <row r="423" spans="17:17" hidden="1" x14ac:dyDescent="0.2">
      <c r="Q423" t="str">
        <f>IF(ISERR(
IF(PG!C429="","",PG!C429)),"",IF(PG!C429="","",PG!C429))</f>
        <v/>
      </c>
    </row>
    <row r="424" spans="17:17" hidden="1" x14ac:dyDescent="0.2">
      <c r="Q424" t="str">
        <f>IF(ISERR(
IF(PG!C430="","",PG!C430)),"",IF(PG!C430="","",PG!C430))</f>
        <v/>
      </c>
    </row>
    <row r="425" spans="17:17" hidden="1" x14ac:dyDescent="0.2">
      <c r="Q425" t="str">
        <f>IF(ISERR(
IF(PG!C431="","",PG!C431)),"",IF(PG!C431="","",PG!C431))</f>
        <v/>
      </c>
    </row>
    <row r="426" spans="17:17" hidden="1" x14ac:dyDescent="0.2">
      <c r="Q426" t="str">
        <f>IF(ISERR(
IF(PG!C432="","",PG!C432)),"",IF(PG!C432="","",PG!C432))</f>
        <v/>
      </c>
    </row>
    <row r="427" spans="17:17" hidden="1" x14ac:dyDescent="0.2">
      <c r="Q427" t="str">
        <f>IF(ISERR(
IF(PG!C433="","",PG!C433)),"",IF(PG!C433="","",PG!C433))</f>
        <v/>
      </c>
    </row>
    <row r="428" spans="17:17" hidden="1" x14ac:dyDescent="0.2">
      <c r="Q428" t="str">
        <f>IF(ISERR(
IF(PG!C434="","",PG!C434)),"",IF(PG!C434="","",PG!C434))</f>
        <v/>
      </c>
    </row>
    <row r="429" spans="17:17" hidden="1" x14ac:dyDescent="0.2">
      <c r="Q429" t="str">
        <f>IF(ISERR(
IF(PG!C435="","",PG!C435)),"",IF(PG!C435="","",PG!C435))</f>
        <v/>
      </c>
    </row>
    <row r="430" spans="17:17" hidden="1" x14ac:dyDescent="0.2">
      <c r="Q430" t="str">
        <f>IF(ISERR(
IF(PG!C436="","",PG!C436)),"",IF(PG!C436="","",PG!C436))</f>
        <v/>
      </c>
    </row>
    <row r="431" spans="17:17" hidden="1" x14ac:dyDescent="0.2">
      <c r="Q431" t="str">
        <f>IF(ISERR(
IF(PG!C437="","",PG!C437)),"",IF(PG!C437="","",PG!C437))</f>
        <v/>
      </c>
    </row>
    <row r="432" spans="17:17" hidden="1" x14ac:dyDescent="0.2">
      <c r="Q432" t="str">
        <f>IF(ISERR(
IF(PG!C438="","",PG!C438)),"",IF(PG!C438="","",PG!C438))</f>
        <v/>
      </c>
    </row>
    <row r="433" spans="17:17" hidden="1" x14ac:dyDescent="0.2">
      <c r="Q433" t="str">
        <f>IF(ISERR(
IF(PG!C439="","",PG!C439)),"",IF(PG!C439="","",PG!C439))</f>
        <v/>
      </c>
    </row>
    <row r="434" spans="17:17" hidden="1" x14ac:dyDescent="0.2">
      <c r="Q434" t="str">
        <f>IF(ISERR(
IF(PG!C440="","",PG!C440)),"",IF(PG!C440="","",PG!C440))</f>
        <v/>
      </c>
    </row>
    <row r="435" spans="17:17" hidden="1" x14ac:dyDescent="0.2">
      <c r="Q435" t="str">
        <f>IF(ISERR(
IF(PG!C441="","",PG!C441)),"",IF(PG!C441="","",PG!C441))</f>
        <v/>
      </c>
    </row>
    <row r="436" spans="17:17" hidden="1" x14ac:dyDescent="0.2">
      <c r="Q436" t="str">
        <f>IF(ISERR(
IF(PG!C442="","",PG!C442)),"",IF(PG!C442="","",PG!C442))</f>
        <v/>
      </c>
    </row>
    <row r="437" spans="17:17" hidden="1" x14ac:dyDescent="0.2">
      <c r="Q437" t="str">
        <f>IF(ISERR(
IF(PG!C443="","",PG!C443)),"",IF(PG!C443="","",PG!C443))</f>
        <v/>
      </c>
    </row>
    <row r="438" spans="17:17" hidden="1" x14ac:dyDescent="0.2">
      <c r="Q438" t="str">
        <f>IF(ISERR(
IF(PG!C444="","",PG!C444)),"",IF(PG!C444="","",PG!C444))</f>
        <v/>
      </c>
    </row>
    <row r="439" spans="17:17" hidden="1" x14ac:dyDescent="0.2">
      <c r="Q439" t="str">
        <f>IF(ISERR(
IF(PG!C445="","",PG!C445)),"",IF(PG!C445="","",PG!C445))</f>
        <v/>
      </c>
    </row>
    <row r="440" spans="17:17" hidden="1" x14ac:dyDescent="0.2">
      <c r="Q440" t="str">
        <f>IF(ISERR(
IF(PG!C446="","",PG!C446)),"",IF(PG!C446="","",PG!C446))</f>
        <v/>
      </c>
    </row>
    <row r="441" spans="17:17" hidden="1" x14ac:dyDescent="0.2">
      <c r="Q441" t="str">
        <f>IF(ISERR(
IF(PG!C447="","",PG!C447)),"",IF(PG!C447="","",PG!C447))</f>
        <v/>
      </c>
    </row>
    <row r="442" spans="17:17" hidden="1" x14ac:dyDescent="0.2">
      <c r="Q442" t="str">
        <f>IF(ISERR(
IF(PG!C448="","",PG!C448)),"",IF(PG!C448="","",PG!C448))</f>
        <v/>
      </c>
    </row>
    <row r="443" spans="17:17" hidden="1" x14ac:dyDescent="0.2">
      <c r="Q443" t="str">
        <f>IF(ISERR(
IF(PG!C449="","",PG!C449)),"",IF(PG!C449="","",PG!C449))</f>
        <v/>
      </c>
    </row>
    <row r="444" spans="17:17" hidden="1" x14ac:dyDescent="0.2">
      <c r="Q444" t="str">
        <f>IF(ISERR(
IF(PG!C450="","",PG!C450)),"",IF(PG!C450="","",PG!C450))</f>
        <v/>
      </c>
    </row>
    <row r="445" spans="17:17" hidden="1" x14ac:dyDescent="0.2">
      <c r="Q445" t="str">
        <f>IF(ISERR(
IF(PG!C451="","",PG!C451)),"",IF(PG!C451="","",PG!C451))</f>
        <v/>
      </c>
    </row>
    <row r="446" spans="17:17" hidden="1" x14ac:dyDescent="0.2">
      <c r="Q446" t="str">
        <f>IF(ISERR(
IF(PG!C452="","",PG!C452)),"",IF(PG!C452="","",PG!C452))</f>
        <v/>
      </c>
    </row>
    <row r="447" spans="17:17" hidden="1" x14ac:dyDescent="0.2">
      <c r="Q447" t="str">
        <f>IF(ISERR(
IF(PG!C453="","",PG!C453)),"",IF(PG!C453="","",PG!C453))</f>
        <v/>
      </c>
    </row>
    <row r="448" spans="17:17" hidden="1" x14ac:dyDescent="0.2">
      <c r="Q448" t="str">
        <f>IF(ISERR(
IF(PG!C454="","",PG!C454)),"",IF(PG!C454="","",PG!C454))</f>
        <v/>
      </c>
    </row>
    <row r="449" spans="17:17" hidden="1" x14ac:dyDescent="0.2">
      <c r="Q449" t="str">
        <f>IF(ISERR(
IF(PG!C455="","",PG!C455)),"",IF(PG!C455="","",PG!C455))</f>
        <v/>
      </c>
    </row>
    <row r="450" spans="17:17" hidden="1" x14ac:dyDescent="0.2">
      <c r="Q450" t="str">
        <f>IF(ISERR(
IF(PG!C456="","",PG!C456)),"",IF(PG!C456="","",PG!C456))</f>
        <v/>
      </c>
    </row>
    <row r="451" spans="17:17" hidden="1" x14ac:dyDescent="0.2">
      <c r="Q451" t="str">
        <f>IF(ISERR(
IF(PG!C457="","",PG!C457)),"",IF(PG!C457="","",PG!C457))</f>
        <v/>
      </c>
    </row>
    <row r="452" spans="17:17" hidden="1" x14ac:dyDescent="0.2">
      <c r="Q452" t="str">
        <f>IF(ISERR(
IF(PG!C458="","",PG!C458)),"",IF(PG!C458="","",PG!C458))</f>
        <v/>
      </c>
    </row>
    <row r="453" spans="17:17" hidden="1" x14ac:dyDescent="0.2">
      <c r="Q453" t="str">
        <f>IF(ISERR(
IF(PG!C459="","",PG!C459)),"",IF(PG!C459="","",PG!C459))</f>
        <v/>
      </c>
    </row>
    <row r="454" spans="17:17" hidden="1" x14ac:dyDescent="0.2">
      <c r="Q454" t="str">
        <f>IF(ISERR(
IF(PG!C460="","",PG!C460)),"",IF(PG!C460="","",PG!C460))</f>
        <v/>
      </c>
    </row>
    <row r="455" spans="17:17" hidden="1" x14ac:dyDescent="0.2">
      <c r="Q455" t="str">
        <f>IF(ISERR(
IF(PG!C461="","",PG!C461)),"",IF(PG!C461="","",PG!C461))</f>
        <v/>
      </c>
    </row>
    <row r="456" spans="17:17" hidden="1" x14ac:dyDescent="0.2">
      <c r="Q456" t="str">
        <f>IF(ISERR(
IF(PG!C462="","",PG!C462)),"",IF(PG!C462="","",PG!C462))</f>
        <v/>
      </c>
    </row>
    <row r="457" spans="17:17" hidden="1" x14ac:dyDescent="0.2">
      <c r="Q457" t="str">
        <f>IF(ISERR(
IF(PG!C463="","",PG!C463)),"",IF(PG!C463="","",PG!C463))</f>
        <v/>
      </c>
    </row>
    <row r="458" spans="17:17" hidden="1" x14ac:dyDescent="0.2">
      <c r="Q458" t="str">
        <f>IF(ISERR(
IF(PG!C464="","",PG!C464)),"",IF(PG!C464="","",PG!C464))</f>
        <v/>
      </c>
    </row>
    <row r="459" spans="17:17" hidden="1" x14ac:dyDescent="0.2">
      <c r="Q459" t="str">
        <f>IF(ISERR(
IF(PG!C465="","",PG!C465)),"",IF(PG!C465="","",PG!C465))</f>
        <v/>
      </c>
    </row>
    <row r="460" spans="17:17" hidden="1" x14ac:dyDescent="0.2">
      <c r="Q460" t="str">
        <f>IF(ISERR(
IF(PG!C466="","",PG!C466)),"",IF(PG!C466="","",PG!C466))</f>
        <v/>
      </c>
    </row>
    <row r="461" spans="17:17" hidden="1" x14ac:dyDescent="0.2">
      <c r="Q461" t="str">
        <f>IF(ISERR(
IF(PG!C467="","",PG!C467)),"",IF(PG!C467="","",PG!C467))</f>
        <v/>
      </c>
    </row>
    <row r="462" spans="17:17" hidden="1" x14ac:dyDescent="0.2">
      <c r="Q462" t="str">
        <f>IF(ISERR(
IF(PG!C468="","",PG!C468)),"",IF(PG!C468="","",PG!C468))</f>
        <v/>
      </c>
    </row>
    <row r="463" spans="17:17" hidden="1" x14ac:dyDescent="0.2">
      <c r="Q463" t="str">
        <f>IF(ISERR(
IF(PG!C469="","",PG!C469)),"",IF(PG!C469="","",PG!C469))</f>
        <v/>
      </c>
    </row>
    <row r="464" spans="17:17" hidden="1" x14ac:dyDescent="0.2">
      <c r="Q464" t="str">
        <f>IF(ISERR(
IF(PG!C470="","",PG!C470)),"",IF(PG!C470="","",PG!C470))</f>
        <v/>
      </c>
    </row>
    <row r="465" spans="17:17" hidden="1" x14ac:dyDescent="0.2">
      <c r="Q465" t="str">
        <f>IF(ISERR(
IF(PG!C471="","",PG!C471)),"",IF(PG!C471="","",PG!C471))</f>
        <v/>
      </c>
    </row>
    <row r="466" spans="17:17" hidden="1" x14ac:dyDescent="0.2">
      <c r="Q466" t="str">
        <f>IF(ISERR(
IF(PG!C472="","",PG!C472)),"",IF(PG!C472="","",PG!C472))</f>
        <v/>
      </c>
    </row>
    <row r="467" spans="17:17" hidden="1" x14ac:dyDescent="0.2">
      <c r="Q467" t="str">
        <f>IF(ISERR(
IF(PG!C473="","",PG!C473)),"",IF(PG!C473="","",PG!C473))</f>
        <v/>
      </c>
    </row>
    <row r="468" spans="17:17" hidden="1" x14ac:dyDescent="0.2">
      <c r="Q468" t="str">
        <f>IF(ISERR(
IF(PG!C474="","",PG!C474)),"",IF(PG!C474="","",PG!C474))</f>
        <v/>
      </c>
    </row>
    <row r="469" spans="17:17" hidden="1" x14ac:dyDescent="0.2">
      <c r="Q469" t="str">
        <f>IF(ISERR(
IF(PG!C475="","",PG!C475)),"",IF(PG!C475="","",PG!C475))</f>
        <v/>
      </c>
    </row>
    <row r="470" spans="17:17" hidden="1" x14ac:dyDescent="0.2">
      <c r="Q470" t="str">
        <f>IF(ISERR(
IF(PG!C476="","",PG!C476)),"",IF(PG!C476="","",PG!C476))</f>
        <v/>
      </c>
    </row>
    <row r="471" spans="17:17" hidden="1" x14ac:dyDescent="0.2">
      <c r="Q471" t="str">
        <f>IF(ISERR(
IF(PG!C477="","",PG!C477)),"",IF(PG!C477="","",PG!C477))</f>
        <v/>
      </c>
    </row>
    <row r="472" spans="17:17" hidden="1" x14ac:dyDescent="0.2">
      <c r="Q472" t="str">
        <f>IF(ISERR(
IF(PG!C478="","",PG!C478)),"",IF(PG!C478="","",PG!C478))</f>
        <v/>
      </c>
    </row>
    <row r="473" spans="17:17" hidden="1" x14ac:dyDescent="0.2">
      <c r="Q473" t="str">
        <f>IF(ISERR(
IF(PG!C479="","",PG!C479)),"",IF(PG!C479="","",PG!C479))</f>
        <v/>
      </c>
    </row>
    <row r="474" spans="17:17" hidden="1" x14ac:dyDescent="0.2">
      <c r="Q474" t="str">
        <f>IF(ISERR(
IF(PG!C480="","",PG!C480)),"",IF(PG!C480="","",PG!C480))</f>
        <v/>
      </c>
    </row>
    <row r="475" spans="17:17" hidden="1" x14ac:dyDescent="0.2">
      <c r="Q475" t="str">
        <f>IF(ISERR(
IF(PG!C481="","",PG!C481)),"",IF(PG!C481="","",PG!C481))</f>
        <v/>
      </c>
    </row>
    <row r="476" spans="17:17" hidden="1" x14ac:dyDescent="0.2">
      <c r="Q476" t="str">
        <f>IF(ISERR(
IF(PG!C482="","",PG!C482)),"",IF(PG!C482="","",PG!C482))</f>
        <v/>
      </c>
    </row>
    <row r="477" spans="17:17" hidden="1" x14ac:dyDescent="0.2">
      <c r="Q477" t="str">
        <f>IF(ISERR(
IF(PG!C483="","",PG!C483)),"",IF(PG!C483="","",PG!C483))</f>
        <v/>
      </c>
    </row>
    <row r="478" spans="17:17" hidden="1" x14ac:dyDescent="0.2">
      <c r="Q478" t="str">
        <f>IF(ISERR(
IF(PG!C484="","",PG!C484)),"",IF(PG!C484="","",PG!C484))</f>
        <v/>
      </c>
    </row>
    <row r="479" spans="17:17" hidden="1" x14ac:dyDescent="0.2">
      <c r="Q479" t="str">
        <f>IF(ISERR(
IF(PG!C485="","",PG!C485)),"",IF(PG!C485="","",PG!C485))</f>
        <v/>
      </c>
    </row>
    <row r="480" spans="17:17" hidden="1" x14ac:dyDescent="0.2">
      <c r="Q480" t="str">
        <f>IF(ISERR(
IF(PG!C486="","",PG!C486)),"",IF(PG!C486="","",PG!C486))</f>
        <v/>
      </c>
    </row>
    <row r="481" spans="17:17" hidden="1" x14ac:dyDescent="0.2">
      <c r="Q481" t="str">
        <f>IF(ISERR(
IF(PG!C487="","",PG!C487)),"",IF(PG!C487="","",PG!C487))</f>
        <v/>
      </c>
    </row>
    <row r="482" spans="17:17" hidden="1" x14ac:dyDescent="0.2">
      <c r="Q482" t="str">
        <f>IF(ISERR(
IF(PG!C488="","",PG!C488)),"",IF(PG!C488="","",PG!C488))</f>
        <v/>
      </c>
    </row>
    <row r="483" spans="17:17" hidden="1" x14ac:dyDescent="0.2">
      <c r="Q483" t="str">
        <f>IF(ISERR(
IF(PG!C489="","",PG!C489)),"",IF(PG!C489="","",PG!C489))</f>
        <v/>
      </c>
    </row>
    <row r="484" spans="17:17" hidden="1" x14ac:dyDescent="0.2">
      <c r="Q484" t="str">
        <f>IF(ISERR(
IF(PG!C490="","",PG!C490)),"",IF(PG!C490="","",PG!C490))</f>
        <v/>
      </c>
    </row>
    <row r="485" spans="17:17" hidden="1" x14ac:dyDescent="0.2">
      <c r="Q485" t="str">
        <f>IF(ISERR(
IF(PG!C491="","",PG!C491)),"",IF(PG!C491="","",PG!C491))</f>
        <v/>
      </c>
    </row>
    <row r="486" spans="17:17" hidden="1" x14ac:dyDescent="0.2">
      <c r="Q486" t="str">
        <f>IF(ISERR(
IF(PG!C492="","",PG!C492)),"",IF(PG!C492="","",PG!C492))</f>
        <v/>
      </c>
    </row>
    <row r="487" spans="17:17" hidden="1" x14ac:dyDescent="0.2">
      <c r="Q487" t="str">
        <f>IF(ISERR(
IF(PG!C493="","",PG!C493)),"",IF(PG!C493="","",PG!C493))</f>
        <v/>
      </c>
    </row>
    <row r="488" spans="17:17" hidden="1" x14ac:dyDescent="0.2">
      <c r="Q488" t="str">
        <f>IF(ISERR(
IF(PG!C494="","",PG!C494)),"",IF(PG!C494="","",PG!C494))</f>
        <v/>
      </c>
    </row>
    <row r="489" spans="17:17" hidden="1" x14ac:dyDescent="0.2">
      <c r="Q489" t="str">
        <f>IF(ISERR(
IF(PG!C495="","",PG!C495)),"",IF(PG!C495="","",PG!C495))</f>
        <v/>
      </c>
    </row>
    <row r="490" spans="17:17" hidden="1" x14ac:dyDescent="0.2">
      <c r="Q490" t="str">
        <f>IF(ISERR(
IF(PG!C496="","",PG!C496)),"",IF(PG!C496="","",PG!C496))</f>
        <v/>
      </c>
    </row>
    <row r="491" spans="17:17" hidden="1" x14ac:dyDescent="0.2">
      <c r="Q491" t="str">
        <f>IF(ISERR(
IF(PG!C497="","",PG!C497)),"",IF(PG!C497="","",PG!C497))</f>
        <v/>
      </c>
    </row>
    <row r="492" spans="17:17" hidden="1" x14ac:dyDescent="0.2">
      <c r="Q492" t="str">
        <f>IF(ISERR(
IF(PG!C498="","",PG!C498)),"",IF(PG!C498="","",PG!C498))</f>
        <v/>
      </c>
    </row>
    <row r="493" spans="17:17" hidden="1" x14ac:dyDescent="0.2">
      <c r="Q493" t="str">
        <f>IF(ISERR(
IF(PG!C499="","",PG!C499)),"",IF(PG!C499="","",PG!C499))</f>
        <v/>
      </c>
    </row>
    <row r="494" spans="17:17" hidden="1" x14ac:dyDescent="0.2">
      <c r="Q494" t="str">
        <f>IF(ISERR(
IF(PG!C500="","",PG!C500)),"",IF(PG!C500="","",PG!C500))</f>
        <v/>
      </c>
    </row>
    <row r="495" spans="17:17" hidden="1" x14ac:dyDescent="0.2">
      <c r="Q495" t="str">
        <f>IF(ISERR(
IF(PG!C501="","",PG!C501)),"",IF(PG!C501="","",PG!C501))</f>
        <v/>
      </c>
    </row>
    <row r="496" spans="17:17" hidden="1" x14ac:dyDescent="0.2">
      <c r="Q496" t="str">
        <f>IF(ISERR(
IF(PG!C502="","",PG!C502)),"",IF(PG!C502="","",PG!C502))</f>
        <v/>
      </c>
    </row>
    <row r="497" spans="17:17" hidden="1" x14ac:dyDescent="0.2">
      <c r="Q497" t="str">
        <f>IF(ISERR(
IF(PG!C503="","",PG!C503)),"",IF(PG!C503="","",PG!C503))</f>
        <v/>
      </c>
    </row>
    <row r="498" spans="17:17" hidden="1" x14ac:dyDescent="0.2">
      <c r="Q498" t="str">
        <f>IF(ISERR(
IF(PG!C504="","",PG!C504)),"",IF(PG!C504="","",PG!C504))</f>
        <v/>
      </c>
    </row>
    <row r="499" spans="17:17" hidden="1" x14ac:dyDescent="0.2">
      <c r="Q499" t="str">
        <f>IF(ISERR(
IF(PG!C505="","",PG!C505)),"",IF(PG!C505="","",PG!C505))</f>
        <v/>
      </c>
    </row>
    <row r="500" spans="17:17" hidden="1" x14ac:dyDescent="0.2">
      <c r="Q500" t="str">
        <f>IF(ISERR(
IF(PG!C506="","",PG!C506)),"",IF(PG!C506="","",PG!C506))</f>
        <v/>
      </c>
    </row>
    <row r="501" spans="17:17" hidden="1" x14ac:dyDescent="0.2">
      <c r="Q501" t="str">
        <f>IF(ISERR(
IF(PG!C507="","",PG!C507)),"",IF(PG!C507="","",PG!C507))</f>
        <v/>
      </c>
    </row>
  </sheetData>
  <sheetProtection sheet="1" objects="1" scenarios="1"/>
  <mergeCells count="1">
    <mergeCell ref="C7:H7"/>
  </mergeCells>
  <conditionalFormatting sqref="H9:H28">
    <cfRule type="expression" dxfId="11" priority="2">
      <formula>$G9&lt;=$F9</formula>
    </cfRule>
    <cfRule type="expression" dxfId="10" priority="3">
      <formula>$G9&gt;$F9</formula>
    </cfRule>
  </conditionalFormatting>
  <conditionalFormatting sqref="H9:H28">
    <cfRule type="expression" dxfId="9" priority="1">
      <formula>$F9=""</formula>
    </cfRule>
  </conditionalFormatting>
  <dataValidations count="2">
    <dataValidation type="list" allowBlank="1" showInputMessage="1" showErrorMessage="1" sqref="E9:E28">
      <formula1>$Q$1:$Q$501</formula1>
    </dataValidation>
    <dataValidation type="list" allowBlank="1" showInputMessage="1" showErrorMessage="1" sqref="D9:D28">
      <formula1>$P$1:$P$4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enableFormatConditionsCalculation="0"/>
  <dimension ref="A1:I529"/>
  <sheetViews>
    <sheetView showGridLines="0" zoomScale="90" zoomScaleNormal="90" zoomScalePageLayoutView="90" workbookViewId="0">
      <pane ySplit="3" topLeftCell="A4" activePane="bottomLeft" state="frozen"/>
      <selection pane="bottomLeft" activeCell="B1" sqref="B1"/>
    </sheetView>
  </sheetViews>
  <sheetFormatPr baseColWidth="10" defaultColWidth="8.83203125" defaultRowHeight="15" zeroHeight="1" x14ac:dyDescent="0.2"/>
  <cols>
    <col min="1" max="1" width="27.6640625" style="1" customWidth="1"/>
    <col min="2" max="2" width="3.83203125" customWidth="1"/>
    <col min="3" max="6" width="27" customWidth="1"/>
    <col min="7" max="7" width="53.5" customWidth="1"/>
    <col min="8" max="9" width="8.6640625" hidden="1" customWidth="1"/>
    <col min="10" max="11" width="16.5" customWidth="1"/>
    <col min="12" max="13" width="26.5" customWidth="1"/>
  </cols>
  <sheetData>
    <row r="1" spans="1:6" s="4" customFormat="1" ht="34" customHeight="1" x14ac:dyDescent="0.3">
      <c r="A1" s="77" t="s">
        <v>163</v>
      </c>
      <c r="C1" s="5" t="s">
        <v>29</v>
      </c>
    </row>
    <row r="2" spans="1:6" s="4" customFormat="1" ht="21.5" customHeight="1" x14ac:dyDescent="0.2">
      <c r="A2" s="1"/>
    </row>
    <row r="3" spans="1:6" s="4" customFormat="1" ht="21.5" customHeight="1" x14ac:dyDescent="0.2">
      <c r="A3" s="1"/>
    </row>
    <row r="4" spans="1:6" ht="14" customHeight="1" x14ac:dyDescent="0.2"/>
    <row r="5" spans="1:6" ht="30" customHeight="1" thickBot="1" x14ac:dyDescent="0.25">
      <c r="C5" s="87" t="s">
        <v>106</v>
      </c>
      <c r="D5" s="88"/>
      <c r="E5" s="88"/>
      <c r="F5" s="88"/>
    </row>
    <row r="6" spans="1:6" ht="30" customHeight="1" thickBot="1" x14ac:dyDescent="0.25">
      <c r="C6" s="101" t="s">
        <v>107</v>
      </c>
      <c r="D6" s="101"/>
      <c r="E6" s="100">
        <f>IF(ISERROR(
SUM(PG_CD!$Q$6:$Q$507)),"",SUM(PG_CD!$Q$6:$Q$507))</f>
        <v>0</v>
      </c>
      <c r="F6" s="100"/>
    </row>
    <row r="7" spans="1:6" ht="30" customHeight="1" thickBot="1" x14ac:dyDescent="0.25">
      <c r="C7" s="101" t="s">
        <v>108</v>
      </c>
      <c r="D7" s="101"/>
      <c r="E7" s="100">
        <f>IF(ISERROR(
SUM(PG_CD!$K$6:$K$507)),"",SUM(PG_CD!$K$6:$K$507))</f>
        <v>0</v>
      </c>
      <c r="F7" s="100"/>
    </row>
    <row r="8" spans="1:6" ht="30" customHeight="1" thickBot="1" x14ac:dyDescent="0.25">
      <c r="C8" s="101" t="s">
        <v>109</v>
      </c>
      <c r="D8" s="101"/>
      <c r="E8" s="100">
        <f>IF(ISERROR(
SUM(PG_CD!$J$6:$J$507)),"",SUM(PG_CD!$J$6:$J$507))</f>
        <v>0</v>
      </c>
      <c r="F8" s="100"/>
    </row>
    <row r="9" spans="1:6" ht="30" customHeight="1" thickBot="1" x14ac:dyDescent="0.25">
      <c r="C9" s="101" t="s">
        <v>68</v>
      </c>
      <c r="D9" s="101"/>
      <c r="E9" s="100">
        <f>IF(ISERROR(
SUM(PG_CD!$P$6:$P$507)),"",SUM(PG_CD!$P$6:$P$507))</f>
        <v>0</v>
      </c>
      <c r="F9" s="100"/>
    </row>
    <row r="10" spans="1:6" ht="30" customHeight="1" thickBot="1" x14ac:dyDescent="0.25">
      <c r="C10" s="99" t="s">
        <v>110</v>
      </c>
      <c r="D10" s="99"/>
      <c r="E10" s="100">
        <f>SUM(E6:F9)</f>
        <v>0</v>
      </c>
      <c r="F10" s="100"/>
    </row>
    <row r="11" spans="1:6" ht="14" customHeight="1" x14ac:dyDescent="0.2"/>
    <row r="12" spans="1:6" ht="30" customHeight="1" thickBot="1" x14ac:dyDescent="0.25">
      <c r="C12" s="87" t="s">
        <v>111</v>
      </c>
      <c r="D12" s="88"/>
      <c r="E12" s="88"/>
      <c r="F12" s="88"/>
    </row>
    <row r="13" spans="1:6" ht="30" customHeight="1" thickBot="1" x14ac:dyDescent="0.25">
      <c r="C13" s="97" t="e">
        <f ca="1">IF(ISERR(
IF(E13=E12,INDEX(OFFSET(PEq!$C$6:$C$50,MATCH('RC'!E13,PEq!$D$6:$D$50,0),0),MATCH('RC'!E13,OFFSET(PEq!$D$6:$D$50,MATCH('RC'!E13,PEq!$D$6:$D$50,0),0),0),1),INDEX(PEq!$C$6:$C$50,MATCH('RC'!E13,PEq!$D$6:$D$50,0),1))),"",
IF(E13=E12,INDEX(OFFSET(PEq!$C$6:$C$50,MATCH('RC'!E13,PEq!$D$6:$D$50,0),0),MATCH('RC'!E13,OFFSET(PEq!$D$6:$D$50,MATCH('RC'!E13,PEq!$D$6:$D$50,0),0),0),1),INDEX(PEq!$C$6:$C$50,MATCH('RC'!E13,PEq!$D$6:$D$50,0),1)))</f>
        <v>#N/A</v>
      </c>
      <c r="D13" s="98"/>
      <c r="E13" s="100" t="str">
        <f>IF(ISERROR(
LARGE(PEq!$D$6:$D$50,1)),"",LARGE(PEq!$D$6:$D$50,1))</f>
        <v/>
      </c>
      <c r="F13" s="100"/>
    </row>
    <row r="14" spans="1:6" ht="30" customHeight="1" thickBot="1" x14ac:dyDescent="0.25">
      <c r="C14" s="97" t="e">
        <f ca="1">IF(ISERR(
IF(E14=E13,INDEX(OFFSET(PEq!$C$6:$C$50,MATCH('RC'!E14,PEq!$D$6:$D$50,0),0),MATCH('RC'!E14,OFFSET(PEq!$D$6:$D$50,MATCH('RC'!E14,PEq!$D$6:$D$50,0),0),0),1),INDEX(PEq!$C$6:$C$50,MATCH('RC'!E14,PEq!$D$6:$D$50,0),1))),"",
IF(E14=E13,INDEX(OFFSET(PEq!$C$6:$C$50,MATCH('RC'!E14,PEq!$D$6:$D$50,0),0),MATCH('RC'!E14,OFFSET(PEq!$D$6:$D$50,MATCH('RC'!E14,PEq!$D$6:$D$50,0),0),0),1),INDEX(PEq!$C$6:$C$50,MATCH('RC'!E14,PEq!$D$6:$D$50,0),1)))</f>
        <v>#N/A</v>
      </c>
      <c r="D14" s="98"/>
      <c r="E14" s="100" t="str">
        <f>IF(ISERROR(
LARGE(PEq!$D$6:$D$50,2)),"",LARGE(PEq!$D$6:$D$50,2))</f>
        <v/>
      </c>
      <c r="F14" s="100"/>
    </row>
    <row r="15" spans="1:6" ht="30" customHeight="1" thickBot="1" x14ac:dyDescent="0.25">
      <c r="C15" s="97" t="e">
        <f ca="1">IF(ISERR(
IF(E15=E14,INDEX(OFFSET(PEq!$C$6:$C$50,MATCH('RC'!E15,PEq!$D$6:$D$50,0),0),MATCH('RC'!E15,OFFSET(PEq!$D$6:$D$50,MATCH('RC'!E15,PEq!$D$6:$D$50,0),0),0),1),INDEX(PEq!$C$6:$C$50,MATCH('RC'!E15,PEq!$D$6:$D$50,0),1))),"",
IF(E15=E14,INDEX(OFFSET(PEq!$C$6:$C$50,MATCH('RC'!E15,PEq!$D$6:$D$50,0),0),MATCH('RC'!E15,OFFSET(PEq!$D$6:$D$50,MATCH('RC'!E15,PEq!$D$6:$D$50,0),0),0),1),INDEX(PEq!$C$6:$C$50,MATCH('RC'!E15,PEq!$D$6:$D$50,0),1)))</f>
        <v>#N/A</v>
      </c>
      <c r="D15" s="98"/>
      <c r="E15" s="100" t="str">
        <f>IF(ISERROR(
LARGE(PEq!$D$6:$D$50,3)),"",LARGE(PEq!$D$6:$D$50,3))</f>
        <v/>
      </c>
      <c r="F15" s="100"/>
    </row>
    <row r="16" spans="1:6" ht="30" customHeight="1" thickBot="1" x14ac:dyDescent="0.25">
      <c r="C16" s="97" t="e">
        <f ca="1">IF(ISERR(
IF(E16=E15,INDEX(OFFSET(PEq!$C$6:$C$50,MATCH('RC'!E16,PEq!$D$6:$D$50,0),0),MATCH('RC'!E16,OFFSET(PEq!$D$6:$D$50,MATCH('RC'!E16,PEq!$D$6:$D$50,0),0),0),1),INDEX(PEq!$C$6:$C$50,MATCH('RC'!E16,PEq!$D$6:$D$50,0),1))),"",
IF(E16=E15,INDEX(OFFSET(PEq!$C$6:$C$50,MATCH('RC'!E16,PEq!$D$6:$D$50,0),0),MATCH('RC'!E16,OFFSET(PEq!$D$6:$D$50,MATCH('RC'!E16,PEq!$D$6:$D$50,0),0),0),1),INDEX(PEq!$C$6:$C$50,MATCH('RC'!E16,PEq!$D$6:$D$50,0),1)))</f>
        <v>#N/A</v>
      </c>
      <c r="D16" s="98"/>
      <c r="E16" s="100" t="str">
        <f>IF(ISERROR(
LARGE(PEq!$D$6:$D$50,4)),"",LARGE(PEq!$D$6:$D$50,4))</f>
        <v/>
      </c>
      <c r="F16" s="100"/>
    </row>
    <row r="17" spans="3:9" ht="30" customHeight="1" thickBot="1" x14ac:dyDescent="0.25">
      <c r="C17" s="97" t="e">
        <f ca="1">IF(ISERR(
IF(E17=E16,INDEX(OFFSET(PEq!$C$6:$C$50,MATCH('RC'!E17,PEq!$D$6:$D$50,0),0),MATCH('RC'!E17,OFFSET(PEq!$D$6:$D$50,MATCH('RC'!E17,PEq!$D$6:$D$50,0),0),0),1),INDEX(PEq!$C$6:$C$50,MATCH('RC'!E17,PEq!$D$6:$D$50,0),1))),"",
IF(E17=E16,INDEX(OFFSET(PEq!$C$6:$C$50,MATCH('RC'!E17,PEq!$D$6:$D$50,0),0),MATCH('RC'!E17,OFFSET(PEq!$D$6:$D$50,MATCH('RC'!E17,PEq!$D$6:$D$50,0),0),0),1),INDEX(PEq!$C$6:$C$50,MATCH('RC'!E17,PEq!$D$6:$D$50,0),1)))</f>
        <v>#N/A</v>
      </c>
      <c r="D17" s="98"/>
      <c r="E17" s="100" t="str">
        <f>IF(ISERROR(
LARGE(PEq!$D$6:$D$50,5)),"",LARGE(PEq!$D$6:$D$50,5))</f>
        <v/>
      </c>
      <c r="F17" s="100"/>
    </row>
    <row r="18" spans="3:9" ht="30" customHeight="1" thickBot="1" x14ac:dyDescent="0.25">
      <c r="C18" s="99" t="s">
        <v>112</v>
      </c>
      <c r="D18" s="99"/>
      <c r="E18" s="100">
        <f>IF(ISERROR(
SUM(PEq!$D$6:$D$50)),"",SUM(PEq!$D$6:$D$50))</f>
        <v>0</v>
      </c>
      <c r="F18" s="100"/>
    </row>
    <row r="19" spans="3:9" ht="14" customHeight="1" x14ac:dyDescent="0.2"/>
    <row r="20" spans="3:9" ht="30" customHeight="1" thickBot="1" x14ac:dyDescent="0.25">
      <c r="C20" s="87" t="s">
        <v>113</v>
      </c>
      <c r="D20" s="88"/>
      <c r="E20" s="88"/>
      <c r="F20" s="88"/>
      <c r="G20" s="88"/>
    </row>
    <row r="21" spans="3:9" ht="30" customHeight="1" thickBot="1" x14ac:dyDescent="0.25">
      <c r="C21" s="44" t="s">
        <v>118</v>
      </c>
      <c r="D21" s="44" t="s">
        <v>114</v>
      </c>
      <c r="E21" s="44" t="s">
        <v>115</v>
      </c>
      <c r="F21" s="44" t="s">
        <v>116</v>
      </c>
      <c r="G21" s="44" t="s">
        <v>117</v>
      </c>
    </row>
    <row r="22" spans="3:9" ht="30" customHeight="1" thickBot="1" x14ac:dyDescent="0.25">
      <c r="C22" s="64" t="str">
        <f ca="1">IF(ISERROR(
IF(E22="","",IF(E22=E21,INDEX(OFFSET(AC!$E$9:$E$28,MATCH('RC'!E22,AC!$G$9:$G$28,0),0),MATCH('RC'!E22,OFFSET(AC!$G$9:$G$28,MATCH('RC'!E22,AC!$G$9:$G$28,0),0),0),1),INDEX(AC!$E$9:$E$28,MATCH('RC'!E22,AC!$G$9:$G$28,0),1)))),"",
IF(E22="","",IF(E22=E21,INDEX(OFFSET(AC!$E$9:$E$28,MATCH('RC'!E22,AC!$G$9:$G$28,0),0),MATCH('RC'!E22,OFFSET(AC!$G$9:$G$28,MATCH('RC'!E22,AC!$G$9:$G$28,0),0),0),1),INDEX(AC!$E$9:$E$28,MATCH('RC'!E22,AC!$G$9:$G$28,0),1))))</f>
        <v/>
      </c>
      <c r="D22" s="69" t="str">
        <f ca="1">IF(ISERROR(
IFERROR(VLOOKUP(C22,AC!$E$9:$F$28,2,0),"")),"",IFERROR(VLOOKUP(C22,AC!$E$9:$F$28,2,0),""))</f>
        <v/>
      </c>
      <c r="E22" s="69" t="str">
        <f>IF(ISERROR(
LARGE(AC!$G$9:$G$28,1)),"",LARGE(AC!$G$9:$G$28,1))</f>
        <v/>
      </c>
      <c r="F22" s="69" t="str">
        <f ca="1">IF(ISERROR(
IF(C22="","",E22-D22)),"",IF(C22="","",E22-D22))</f>
        <v/>
      </c>
      <c r="G22" s="64" t="str">
        <f ca="1">IF(ISERROR(
IF(F22&lt;0,"Seu preço está  "&amp;-H22*100&amp;" % mais barato. Vale aumentar?",IF(F22&gt;0,"Seu preço está "&amp;H22*100&amp;"% mais caro. Diminuir preço?","Seu preço está igual ao de mercado. Manter o preço?"))),"",IF(F22&lt;0,"Seu preço está  "&amp;-H22*100&amp;" % mais barato. Vale aumentar?",IF(F22&gt;0,"Seu preço está "&amp;H22*100&amp;"% mais caro. Diminuir preço?","Seu preço está igual ao de mercado. Manter o preço?")))</f>
        <v/>
      </c>
      <c r="H22" s="25" t="str">
        <f ca="1">IF(ISERR(
IFERROR(ROUND(E22/D22-1,2),"")),"",IFERROR(ROUND(E22/D22-1,2),""))</f>
        <v/>
      </c>
      <c r="I22" s="31"/>
    </row>
    <row r="23" spans="3:9" ht="30" customHeight="1" thickBot="1" x14ac:dyDescent="0.25">
      <c r="C23" s="64" t="str">
        <f ca="1">IF(ISERROR(
IF(E23="","",IF(E23=E22,INDEX(OFFSET(AC!$E$9:$E$28,MATCH('RC'!E23,AC!$G$9:$G$28,0),0),MATCH('RC'!E23,OFFSET(AC!$G$9:$G$28,MATCH('RC'!E23,AC!$G$9:$G$28,0),0),0),1),INDEX(AC!$E$9:$E$28,MATCH('RC'!E23,AC!$G$9:$G$28,0),1)))),"",
IF(E23="","",IF(E23=E22,INDEX(OFFSET(AC!$E$9:$E$28,MATCH('RC'!E23,AC!$G$9:$G$28,0),0),MATCH('RC'!E23,OFFSET(AC!$G$9:$G$28,MATCH('RC'!E23,AC!$G$9:$G$28,0),0),0),1),INDEX(AC!$E$9:$E$28,MATCH('RC'!E23,AC!$G$9:$G$28,0),1))))</f>
        <v/>
      </c>
      <c r="D23" s="69" t="str">
        <f ca="1">IF(ISERROR(
IFERROR(VLOOKUP(C23,AC!$E$9:$F$28,2,0),"")),"",IFERROR(VLOOKUP(C23,AC!$E$9:$F$28,2,0),""))</f>
        <v/>
      </c>
      <c r="E23" s="69" t="str">
        <f>IF(ISERROR(
LARGE(AC!$G$9:$G$28,2)),"",LARGE(AC!$G$9:$G$28,2))</f>
        <v/>
      </c>
      <c r="F23" s="69" t="str">
        <f ca="1">IF(ISERROR(
IF(C23="","",E23-D23)),"",IF(C23="","",E23-D23))</f>
        <v/>
      </c>
      <c r="G23" s="64" t="str">
        <f ca="1">IF(ISERROR(
IF(F23&lt;0,"Seu preço está  "&amp;-H23*100&amp;" % mais barato. Vale aumentar?",IF(F23&gt;0,"Seu preço está "&amp;H23*100&amp;"% mais caro. Diminuir preço?","Seu preço está igual ao de mercado. Manter o preço?"))),"",IF(F23&lt;0,"Seu preço está  "&amp;-H23*100&amp;" % mais barato. Vale aumentar?",IF(F23&gt;0,"Seu preço está "&amp;H23*100&amp;"% mais caro. Diminuir preço?","Seu preço está igual ao de mercado. Manter o preço?")))</f>
        <v/>
      </c>
      <c r="H23" s="25" t="str">
        <f t="shared" ref="H23:H26" ca="1" si="0">IF(ISERR(
IFERROR(ROUND(E23/D23-1,2),"")),"",IFERROR(ROUND(E23/D23-1,2),""))</f>
        <v/>
      </c>
    </row>
    <row r="24" spans="3:9" ht="30" customHeight="1" thickBot="1" x14ac:dyDescent="0.25">
      <c r="C24" s="64" t="str">
        <f ca="1">IF(ISERROR(
IF(E24="","",IF(E24=E23,INDEX(OFFSET(AC!$E$9:$E$28,MATCH('RC'!E24,AC!$G$9:$G$28,0),0),MATCH('RC'!E24,OFFSET(AC!$G$9:$G$28,MATCH('RC'!E24,AC!$G$9:$G$28,0),0),0),1),INDEX(AC!$E$9:$E$28,MATCH('RC'!E24,AC!$G$9:$G$28,0),1)))),"",
IF(E24="","",IF(E24=E23,INDEX(OFFSET(AC!$E$9:$E$28,MATCH('RC'!E24,AC!$G$9:$G$28,0),0),MATCH('RC'!E24,OFFSET(AC!$G$9:$G$28,MATCH('RC'!E24,AC!$G$9:$G$28,0),0),0),1),INDEX(AC!$E$9:$E$28,MATCH('RC'!E24,AC!$G$9:$G$28,0),1))))</f>
        <v/>
      </c>
      <c r="D24" s="69" t="str">
        <f ca="1">IF(ISERROR(
IFERROR(VLOOKUP(C24,AC!$E$9:$F$28,2,0),"")),"",IFERROR(VLOOKUP(C24,AC!$E$9:$F$28,2,0),""))</f>
        <v/>
      </c>
      <c r="E24" s="69" t="str">
        <f>IF(ISERROR(
LARGE(AC!$G$9:$G$28,3)),"",LARGE(AC!$G$9:$G$28,3))</f>
        <v/>
      </c>
      <c r="F24" s="69" t="str">
        <f ca="1">IF(ISERROR(
IF(C24="","",E24-D24)),"",IF(C24="","",E24-D24))</f>
        <v/>
      </c>
      <c r="G24" s="64" t="str">
        <f ca="1">IF(ISERROR(
IF(F24&lt;0,"Seu preço está  "&amp;-H24*100&amp;" % mais barato. Vale aumentar?",IF(F24&gt;0,"Seu preço está "&amp;H24*100&amp;"% mais caro. Diminuir preço?","Seu preço está igual ao de mercado. Manter o preço?"))),"",IF(F24&lt;0,"Seu preço está  "&amp;-H24*100&amp;" % mais barato. Vale aumentar?",IF(F24&gt;0,"Seu preço está "&amp;H24*100&amp;"% mais caro. Diminuir preço?","Seu preço está igual ao de mercado. Manter o preço?")))</f>
        <v/>
      </c>
      <c r="H24" s="25" t="str">
        <f t="shared" ca="1" si="0"/>
        <v/>
      </c>
    </row>
    <row r="25" spans="3:9" ht="30" customHeight="1" thickBot="1" x14ac:dyDescent="0.25">
      <c r="C25" s="64" t="str">
        <f ca="1">IF(ISERROR(
IF(E25="","",IF(E25=E24,INDEX(OFFSET(AC!$E$9:$E$28,MATCH('RC'!E25,AC!$G$9:$G$28,0),0),MATCH('RC'!E25,OFFSET(AC!$G$9:$G$28,MATCH('RC'!E25,AC!$G$9:$G$28,0),0),0),1),INDEX(AC!$E$9:$E$28,MATCH('RC'!E25,AC!$G$9:$G$28,0),1)))),"",
IF(E25="","",IF(E25=E24,INDEX(OFFSET(AC!$E$9:$E$28,MATCH('RC'!E25,AC!$G$9:$G$28,0),0),MATCH('RC'!E25,OFFSET(AC!$G$9:$G$28,MATCH('RC'!E25,AC!$G$9:$G$28,0),0),0),1),INDEX(AC!$E$9:$E$28,MATCH('RC'!E25,AC!$G$9:$G$28,0),1))))</f>
        <v/>
      </c>
      <c r="D25" s="69" t="str">
        <f ca="1">IF(ISERROR(
IFERROR(VLOOKUP(C25,AC!$E$9:$F$28,2,0),"")),"",IFERROR(VLOOKUP(C25,AC!$E$9:$F$28,2,0),""))</f>
        <v/>
      </c>
      <c r="E25" s="69" t="str">
        <f>IF(ISERROR(
LARGE(AC!$G$9:$G$28,4)),"",LARGE(AC!$G$9:$G$28,4))</f>
        <v/>
      </c>
      <c r="F25" s="69" t="str">
        <f ca="1">IF(ISERROR(
IF(C25="","",E25-D25)),"",IF(C25="","",E25-D25))</f>
        <v/>
      </c>
      <c r="G25" s="64" t="str">
        <f ca="1">IF(ISERROR(
IF(F25&lt;0,"Seu preço está  "&amp;-H25*100&amp;" % mais barato. Vale aumentar?",IF(F25&gt;0,"Seu preço está "&amp;H25*100&amp;"% mais caro. Diminuir preço?","Seu preço está igual ao de mercado. Manter o preço?"))),"",IF(F25&lt;0,"Seu preço está  "&amp;-H25*100&amp;" % mais barato. Vale aumentar?",IF(F25&gt;0,"Seu preço está "&amp;H25*100&amp;"% mais caro. Diminuir preço?","Seu preço está igual ao de mercado. Manter o preço?")))</f>
        <v/>
      </c>
      <c r="H25" s="25" t="str">
        <f t="shared" ca="1" si="0"/>
        <v/>
      </c>
    </row>
    <row r="26" spans="3:9" ht="30" customHeight="1" thickBot="1" x14ac:dyDescent="0.25">
      <c r="C26" s="64" t="str">
        <f ca="1">IF(ISERROR(
IF(E26="","",IF(E26=E25,INDEX(OFFSET(AC!$E$9:$E$28,MATCH('RC'!E26,AC!$G$9:$G$28,0),0),MATCH('RC'!E26,OFFSET(AC!$G$9:$G$28,MATCH('RC'!E26,AC!$G$9:$G$28,0),0),0),1),INDEX(AC!$E$9:$E$28,MATCH('RC'!E26,AC!$G$9:$G$28,0),1)))),"",
IF(E26="","",IF(E26=E25,INDEX(OFFSET(AC!$E$9:$E$28,MATCH('RC'!E26,AC!$G$9:$G$28,0),0),MATCH('RC'!E26,OFFSET(AC!$G$9:$G$28,MATCH('RC'!E26,AC!$G$9:$G$28,0),0),0),1),INDEX(AC!$E$9:$E$28,MATCH('RC'!E26,AC!$G$9:$G$28,0),1))))</f>
        <v/>
      </c>
      <c r="D26" s="69" t="str">
        <f ca="1">IF(ISERROR(
IFERROR(VLOOKUP(C26,AC!$E$9:$F$28,2,0),"")),"",IFERROR(VLOOKUP(C26,AC!$E$9:$F$28,2,0),""))</f>
        <v/>
      </c>
      <c r="E26" s="69" t="str">
        <f>IF(ISERROR(
LARGE(AC!$G$9:$G$28,5)),"",LARGE(AC!$G$9:$G$28,5))</f>
        <v/>
      </c>
      <c r="F26" s="69" t="str">
        <f ca="1">IF(ISERROR(
IF(C26="","",E26-D26)),"",IF(C26="","",E26-D26))</f>
        <v/>
      </c>
      <c r="G26" s="64" t="str">
        <f ca="1">IF(ISERROR(
IF(F26&lt;0,"Seu preço está  "&amp;-H26*100&amp;" % mais barato. Vale aumentar?",IF(F26&gt;0,"Seu preço está "&amp;H26*100&amp;"% mais caro. Diminuir preço?","Seu preço está igual ao de mercado. Manter o preço?"))),"",IF(F26&lt;0,"Seu preço está  "&amp;-H26*100&amp;" % mais barato. Vale aumentar?",IF(F26&gt;0,"Seu preço está "&amp;H26*100&amp;"% mais caro. Diminuir preço?","Seu preço está igual ao de mercado. Manter o preço?")))</f>
        <v/>
      </c>
      <c r="H26" s="25" t="str">
        <f t="shared" ca="1" si="0"/>
        <v/>
      </c>
    </row>
    <row r="27" spans="3:9" ht="14" customHeight="1" x14ac:dyDescent="0.2"/>
    <row r="28" spans="3:9" ht="30" customHeight="1" thickBot="1" x14ac:dyDescent="0.25">
      <c r="C28" s="87" t="s">
        <v>124</v>
      </c>
      <c r="D28" s="88"/>
      <c r="E28" s="88"/>
      <c r="F28" s="88"/>
    </row>
    <row r="29" spans="3:9" ht="30" customHeight="1" thickBot="1" x14ac:dyDescent="0.25">
      <c r="C29" s="97" t="s">
        <v>118</v>
      </c>
      <c r="D29" s="98"/>
      <c r="E29" s="44" t="s">
        <v>119</v>
      </c>
      <c r="F29" s="44" t="s">
        <v>120</v>
      </c>
    </row>
    <row r="30" spans="3:9" ht="30" customHeight="1" thickBot="1" x14ac:dyDescent="0.25">
      <c r="C30" s="95" t="str">
        <f ca="1">IF(ISERROR(
IF(F30="","",IF(F30=F29,INDEX(OFFSET(PG_CD!$C$6:$C$507,MATCH('RC'!F30,PG_CD!$N$6:$N$507,0),0),MATCH('RC'!F30,OFFSET(PG_CD!$N$6:$N$507,MATCH('RC'!F30,PG_CD!$N$6:$N$507,0),0),0),1),INDEX(PG_CD!$C$6:$C$507,MATCH('RC'!F30,PG_CD!$N$6:$N$507,0),1)))),"",
IF(F30="","",IF(F30=F29,INDEX(OFFSET(PG_CD!$C$6:$C$507,MATCH('RC'!F30,PG_CD!$N$6:$N$507,0),0),MATCH('RC'!F30,OFFSET(PG_CD!$N$6:$N$507,MATCH('RC'!F30,PG_CD!$N$6:$N$507,0),0),0),1),INDEX(PG_CD!$C$6:$C$507,MATCH('RC'!F30,PG_CD!$N$6:$N$507,0),1))))</f>
        <v/>
      </c>
      <c r="D30" s="96"/>
      <c r="E30" s="70" t="str">
        <f ca="1">IF(ISERROR(
IF(F30="","",IF(F30=F29,INDEX(OFFSET(PG_CD!$O$6:$O$507,MATCH('RC'!F30,PG_CD!$N$6:$N$507,0),0),MATCH('RC'!F30,OFFSET(PG_CD!$N$6:$N$507,MATCH('RC'!F30,PG_CD!$N$6:$N$507,0),0),0),1),INDEX(PG_CD!$O$6:$O$507,MATCH('RC'!F30,PG_CD!$N$6:$N$507,0),1)))),"",
IF(F30="","",IF(F30=F29,INDEX(OFFSET(PG_CD!$O$6:$O$507,MATCH('RC'!F30,PG_CD!$N$6:$N$507,0),0),MATCH('RC'!F30,OFFSET(PG_CD!$N$6:$N$507,MATCH('RC'!F30,PG_CD!$N$6:$N$507,0),0),0),1),INDEX(PG_CD!$O$6:$O$507,MATCH('RC'!F30,PG_CD!$N$6:$N$507,0),1))))</f>
        <v/>
      </c>
      <c r="F30" s="69" t="str">
        <f>IF(ISERROR(
IF(LARGE(PG_CD!$N$6:$N$507,H30)=0,"",LARGE(PG_CD!$N$6:$N$507,H30))),"",IF(LARGE(PG_CD!$N$6:$N$507,H30)=0,"",LARGE(PG_CD!$N$6:$N$507,H30)))</f>
        <v/>
      </c>
      <c r="H30">
        <v>1</v>
      </c>
    </row>
    <row r="31" spans="3:9" ht="30" customHeight="1" thickBot="1" x14ac:dyDescent="0.25">
      <c r="C31" s="95" t="str">
        <f ca="1">IF(ISERROR(
IF(F31="","",IF(F31=F30,INDEX(OFFSET(PG_CD!$C$6:$C$507,MATCH('RC'!F31,PG_CD!$N$6:$N$507,0),0),MATCH('RC'!F31,OFFSET(PG_CD!$N$6:$N$507,MATCH('RC'!F31,PG_CD!$N$6:$N$507,0),0),0),1),INDEX(PG_CD!$C$6:$C$507,MATCH('RC'!F31,PG_CD!$N$6:$N$507,0),1)))),"",
IF(F31="","",IF(F31=F30,INDEX(OFFSET(PG_CD!$C$6:$C$507,MATCH('RC'!F31,PG_CD!$N$6:$N$507,0),0),MATCH('RC'!F31,OFFSET(PG_CD!$N$6:$N$507,MATCH('RC'!F31,PG_CD!$N$6:$N$507,0),0),0),1),INDEX(PG_CD!$C$6:$C$507,MATCH('RC'!F31,PG_CD!$N$6:$N$507,0),1))))</f>
        <v/>
      </c>
      <c r="D31" s="96"/>
      <c r="E31" s="70" t="str">
        <f ca="1">IF(ISERROR(
IF(F31="","",IF(F31=F30,INDEX(OFFSET(PG_CD!$O$6:$O$507,MATCH('RC'!F31,PG_CD!$N$6:$N$507,0),0),MATCH('RC'!F31,OFFSET(PG_CD!$N$6:$N$507,MATCH('RC'!F31,PG_CD!$N$6:$N$507,0),0),0),1),INDEX(PG_CD!$O$6:$O$507,MATCH('RC'!F31,PG_CD!$N$6:$N$507,0),1)))),"",
IF(F31="","",IF(F31=F30,INDEX(OFFSET(PG_CD!$O$6:$O$507,MATCH('RC'!F31,PG_CD!$N$6:$N$507,0),0),MATCH('RC'!F31,OFFSET(PG_CD!$N$6:$N$507,MATCH('RC'!F31,PG_CD!$N$6:$N$507,0),0),0),1),INDEX(PG_CD!$O$6:$O$507,MATCH('RC'!F31,PG_CD!$N$6:$N$507,0),1))))</f>
        <v/>
      </c>
      <c r="F31" s="69" t="str">
        <f>IF(ISERROR(
IF(LARGE(PG_CD!$N$6:$N$507,H31)=0,"",LARGE(PG_CD!$N$6:$N$507,H31))),"",IF(LARGE(PG_CD!$N$6:$N$507,H31)=0,"",LARGE(PG_CD!$N$6:$N$507,H31)))</f>
        <v/>
      </c>
      <c r="H31">
        <v>2</v>
      </c>
    </row>
    <row r="32" spans="3:9" ht="30" customHeight="1" thickBot="1" x14ac:dyDescent="0.25">
      <c r="C32" s="95" t="str">
        <f ca="1">IF(ISERROR(
IF(F32="","",IF(F32=F31,INDEX(OFFSET(PG_CD!$C$6:$C$507,MATCH('RC'!F32,PG_CD!$N$6:$N$507,0),0),MATCH('RC'!F32,OFFSET(PG_CD!$N$6:$N$507,MATCH('RC'!F32,PG_CD!$N$6:$N$507,0),0),0),1),INDEX(PG_CD!$C$6:$C$507,MATCH('RC'!F32,PG_CD!$N$6:$N$507,0),1)))),"",
IF(F32="","",IF(F32=F31,INDEX(OFFSET(PG_CD!$C$6:$C$507,MATCH('RC'!F32,PG_CD!$N$6:$N$507,0),0),MATCH('RC'!F32,OFFSET(PG_CD!$N$6:$N$507,MATCH('RC'!F32,PG_CD!$N$6:$N$507,0),0),0),1),INDEX(PG_CD!$C$6:$C$507,MATCH('RC'!F32,PG_CD!$N$6:$N$507,0),1))))</f>
        <v/>
      </c>
      <c r="D32" s="96"/>
      <c r="E32" s="70" t="str">
        <f ca="1">IF(ISERROR(
IF(F32="","",IF(F32=F31,INDEX(OFFSET(PG_CD!$O$6:$O$507,MATCH('RC'!F32,PG_CD!$N$6:$N$507,0),0),MATCH('RC'!F32,OFFSET(PG_CD!$N$6:$N$507,MATCH('RC'!F32,PG_CD!$N$6:$N$507,0),0),0),1),INDEX(PG_CD!$O$6:$O$507,MATCH('RC'!F32,PG_CD!$N$6:$N$507,0),1)))),"",
IF(F32="","",IF(F32=F31,INDEX(OFFSET(PG_CD!$O$6:$O$507,MATCH('RC'!F32,PG_CD!$N$6:$N$507,0),0),MATCH('RC'!F32,OFFSET(PG_CD!$N$6:$N$507,MATCH('RC'!F32,PG_CD!$N$6:$N$507,0),0),0),1),INDEX(PG_CD!$O$6:$O$507,MATCH('RC'!F32,PG_CD!$N$6:$N$507,0),1))))</f>
        <v/>
      </c>
      <c r="F32" s="69" t="str">
        <f>IF(ISERROR(
IF(LARGE(PG_CD!$N$6:$N$507,H32)=0,"",LARGE(PG_CD!$N$6:$N$507,H32))),"",IF(LARGE(PG_CD!$N$6:$N$507,H32)=0,"",LARGE(PG_CD!$N$6:$N$507,H32)))</f>
        <v/>
      </c>
      <c r="H32">
        <v>3</v>
      </c>
    </row>
    <row r="33" spans="3:8" ht="30" customHeight="1" thickBot="1" x14ac:dyDescent="0.25">
      <c r="C33" s="95" t="str">
        <f ca="1">IF(ISERROR(
IF(F33="","",IF(F33=F32,INDEX(OFFSET(PG_CD!$C$6:$C$507,MATCH('RC'!F33,PG_CD!$N$6:$N$507,0),0),MATCH('RC'!F33,OFFSET(PG_CD!$N$6:$N$507,MATCH('RC'!F33,PG_CD!$N$6:$N$507,0),0),0),1),INDEX(PG_CD!$C$6:$C$507,MATCH('RC'!F33,PG_CD!$N$6:$N$507,0),1)))),"",
IF(F33="","",IF(F33=F32,INDEX(OFFSET(PG_CD!$C$6:$C$507,MATCH('RC'!F33,PG_CD!$N$6:$N$507,0),0),MATCH('RC'!F33,OFFSET(PG_CD!$N$6:$N$507,MATCH('RC'!F33,PG_CD!$N$6:$N$507,0),0),0),1),INDEX(PG_CD!$C$6:$C$507,MATCH('RC'!F33,PG_CD!$N$6:$N$507,0),1))))</f>
        <v/>
      </c>
      <c r="D33" s="96"/>
      <c r="E33" s="70" t="str">
        <f ca="1">IF(ISERROR(
IF(F33="","",IF(F33=F32,INDEX(OFFSET(PG_CD!$O$6:$O$507,MATCH('RC'!F33,PG_CD!$N$6:$N$507,0),0),MATCH('RC'!F33,OFFSET(PG_CD!$N$6:$N$507,MATCH('RC'!F33,PG_CD!$N$6:$N$507,0),0),0),1),INDEX(PG_CD!$O$6:$O$507,MATCH('RC'!F33,PG_CD!$N$6:$N$507,0),1)))),"",
IF(F33="","",IF(F33=F32,INDEX(OFFSET(PG_CD!$O$6:$O$507,MATCH('RC'!F33,PG_CD!$N$6:$N$507,0),0),MATCH('RC'!F33,OFFSET(PG_CD!$N$6:$N$507,MATCH('RC'!F33,PG_CD!$N$6:$N$507,0),0),0),1),INDEX(PG_CD!$O$6:$O$507,MATCH('RC'!F33,PG_CD!$N$6:$N$507,0),1))))</f>
        <v/>
      </c>
      <c r="F33" s="69" t="str">
        <f>IF(ISERROR(
IF(LARGE(PG_CD!$N$6:$N$507,H33)=0,"",LARGE(PG_CD!$N$6:$N$507,H33))),"",IF(LARGE(PG_CD!$N$6:$N$507,H33)=0,"",LARGE(PG_CD!$N$6:$N$507,H33)))</f>
        <v/>
      </c>
      <c r="H33">
        <v>4</v>
      </c>
    </row>
    <row r="34" spans="3:8" ht="30" customHeight="1" thickBot="1" x14ac:dyDescent="0.25">
      <c r="C34" s="95" t="str">
        <f ca="1">IF(ISERROR(
IF(F34="","",IF(F34=F33,INDEX(OFFSET(PG_CD!$C$6:$C$507,MATCH('RC'!F34,PG_CD!$N$6:$N$507,0),0),MATCH('RC'!F34,OFFSET(PG_CD!$N$6:$N$507,MATCH('RC'!F34,PG_CD!$N$6:$N$507,0),0),0),1),INDEX(PG_CD!$C$6:$C$507,MATCH('RC'!F34,PG_CD!$N$6:$N$507,0),1)))),"",
IF(F34="","",IF(F34=F33,INDEX(OFFSET(PG_CD!$C$6:$C$507,MATCH('RC'!F34,PG_CD!$N$6:$N$507,0),0),MATCH('RC'!F34,OFFSET(PG_CD!$N$6:$N$507,MATCH('RC'!F34,PG_CD!$N$6:$N$507,0),0),0),1),INDEX(PG_CD!$C$6:$C$507,MATCH('RC'!F34,PG_CD!$N$6:$N$507,0),1))))</f>
        <v/>
      </c>
      <c r="D34" s="96"/>
      <c r="E34" s="70" t="str">
        <f ca="1">IF(ISERROR(
IF(F34="","",IF(F34=F33,INDEX(OFFSET(PG_CD!$O$6:$O$507,MATCH('RC'!F34,PG_CD!$N$6:$N$507,0),0),MATCH('RC'!F34,OFFSET(PG_CD!$N$6:$N$507,MATCH('RC'!F34,PG_CD!$N$6:$N$507,0),0),0),1),INDEX(PG_CD!$O$6:$O$507,MATCH('RC'!F34,PG_CD!$N$6:$N$507,0),1)))),"",
IF(F34="","",IF(F34=F33,INDEX(OFFSET(PG_CD!$O$6:$O$507,MATCH('RC'!F34,PG_CD!$N$6:$N$507,0),0),MATCH('RC'!F34,OFFSET(PG_CD!$N$6:$N$507,MATCH('RC'!F34,PG_CD!$N$6:$N$507,0),0),0),1),INDEX(PG_CD!$O$6:$O$507,MATCH('RC'!F34,PG_CD!$N$6:$N$507,0),1))))</f>
        <v/>
      </c>
      <c r="F34" s="69" t="str">
        <f>IF(ISERROR(
IF(LARGE(PG_CD!$N$6:$N$507,H34)=0,"",LARGE(PG_CD!$N$6:$N$507,H34))),"",IF(LARGE(PG_CD!$N$6:$N$507,H34)=0,"",LARGE(PG_CD!$N$6:$N$507,H34)))</f>
        <v/>
      </c>
      <c r="H34">
        <v>5</v>
      </c>
    </row>
    <row r="35" spans="3:8" ht="30" customHeight="1" thickBot="1" x14ac:dyDescent="0.25">
      <c r="C35" s="95" t="str">
        <f ca="1">IF(ISERROR(
IF(F35="","",IF(F35=F34,INDEX(OFFSET(PG_CD!$C$6:$C$507,MATCH('RC'!F35,PG_CD!$N$6:$N$507,0),0),MATCH('RC'!F35,OFFSET(PG_CD!$N$6:$N$507,MATCH('RC'!F35,PG_CD!$N$6:$N$507,0),0),0),1),INDEX(PG_CD!$C$6:$C$507,MATCH('RC'!F35,PG_CD!$N$6:$N$507,0),1)))),"",
IF(F35="","",IF(F35=F34,INDEX(OFFSET(PG_CD!$C$6:$C$507,MATCH('RC'!F35,PG_CD!$N$6:$N$507,0),0),MATCH('RC'!F35,OFFSET(PG_CD!$N$6:$N$507,MATCH('RC'!F35,PG_CD!$N$6:$N$507,0),0),0),1),INDEX(PG_CD!$C$6:$C$507,MATCH('RC'!F35,PG_CD!$N$6:$N$507,0),1))))</f>
        <v/>
      </c>
      <c r="D35" s="96"/>
      <c r="E35" s="70" t="str">
        <f ca="1">IF(ISERROR(
IF(F35="","",IF(F35=F34,INDEX(OFFSET(PG_CD!$O$6:$O$507,MATCH('RC'!F35,PG_CD!$N$6:$N$507,0),0),MATCH('RC'!F35,OFFSET(PG_CD!$N$6:$N$507,MATCH('RC'!F35,PG_CD!$N$6:$N$507,0),0),0),1),INDEX(PG_CD!$O$6:$O$507,MATCH('RC'!F35,PG_CD!$N$6:$N$507,0),1)))),"",
IF(F35="","",IF(F35=F34,INDEX(OFFSET(PG_CD!$O$6:$O$507,MATCH('RC'!F35,PG_CD!$N$6:$N$507,0),0),MATCH('RC'!F35,OFFSET(PG_CD!$N$6:$N$507,MATCH('RC'!F35,PG_CD!$N$6:$N$507,0),0),0),1),INDEX(PG_CD!$O$6:$O$507,MATCH('RC'!F35,PG_CD!$N$6:$N$507,0),1))))</f>
        <v/>
      </c>
      <c r="F35" s="69" t="str">
        <f>IF(ISERROR(
IF(LARGE(PG_CD!$N$6:$N$507,H35)=0,"",LARGE(PG_CD!$N$6:$N$507,H35))),"",IF(LARGE(PG_CD!$N$6:$N$507,H35)=0,"",LARGE(PG_CD!$N$6:$N$507,H35)))</f>
        <v/>
      </c>
      <c r="H35">
        <v>6</v>
      </c>
    </row>
    <row r="36" spans="3:8" ht="30" customHeight="1" thickBot="1" x14ac:dyDescent="0.25">
      <c r="C36" s="95" t="str">
        <f ca="1">IF(ISERROR(
IF(F36="","",IF(F36=F35,INDEX(OFFSET(PG_CD!$C$6:$C$507,MATCH('RC'!F36,PG_CD!$N$6:$N$507,0),0),MATCH('RC'!F36,OFFSET(PG_CD!$N$6:$N$507,MATCH('RC'!F36,PG_CD!$N$6:$N$507,0),0),0),1),INDEX(PG_CD!$C$6:$C$507,MATCH('RC'!F36,PG_CD!$N$6:$N$507,0),1)))),"",
IF(F36="","",IF(F36=F35,INDEX(OFFSET(PG_CD!$C$6:$C$507,MATCH('RC'!F36,PG_CD!$N$6:$N$507,0),0),MATCH('RC'!F36,OFFSET(PG_CD!$N$6:$N$507,MATCH('RC'!F36,PG_CD!$N$6:$N$507,0),0),0),1),INDEX(PG_CD!$C$6:$C$507,MATCH('RC'!F36,PG_CD!$N$6:$N$507,0),1))))</f>
        <v/>
      </c>
      <c r="D36" s="96"/>
      <c r="E36" s="70" t="str">
        <f ca="1">IF(ISERROR(
IF(F36="","",IF(F36=F35,INDEX(OFFSET(PG_CD!$O$6:$O$507,MATCH('RC'!F36,PG_CD!$N$6:$N$507,0),0),MATCH('RC'!F36,OFFSET(PG_CD!$N$6:$N$507,MATCH('RC'!F36,PG_CD!$N$6:$N$507,0),0),0),1),INDEX(PG_CD!$O$6:$O$507,MATCH('RC'!F36,PG_CD!$N$6:$N$507,0),1)))),"",
IF(F36="","",IF(F36=F35,INDEX(OFFSET(PG_CD!$O$6:$O$507,MATCH('RC'!F36,PG_CD!$N$6:$N$507,0),0),MATCH('RC'!F36,OFFSET(PG_CD!$N$6:$N$507,MATCH('RC'!F36,PG_CD!$N$6:$N$507,0),0),0),1),INDEX(PG_CD!$O$6:$O$507,MATCH('RC'!F36,PG_CD!$N$6:$N$507,0),1))))</f>
        <v/>
      </c>
      <c r="F36" s="69" t="str">
        <f>IF(ISERROR(
IF(LARGE(PG_CD!$N$6:$N$507,H36)=0,"",LARGE(PG_CD!$N$6:$N$507,H36))),"",IF(LARGE(PG_CD!$N$6:$N$507,H36)=0,"",LARGE(PG_CD!$N$6:$N$507,H36)))</f>
        <v/>
      </c>
      <c r="H36">
        <v>7</v>
      </c>
    </row>
    <row r="37" spans="3:8" ht="30" customHeight="1" thickBot="1" x14ac:dyDescent="0.25">
      <c r="C37" s="93" t="str">
        <f ca="1">IF(ISERR(
IF(F37="","",IF(F37=F36,INDEX(OFFSET(PG_CD!$C$6:$C$507,MATCH('RC'!F37,PG_CD!$N$6:$N$507,0),0),MATCH('RC'!F37,OFFSET(PG_CD!$N$6:$N$507,MATCH('RC'!F37,PG_CD!$N$6:$N$507,0),0),0),1),INDEX(PG_CD!$C$6:$C$507,MATCH('RC'!F37,PG_CD!$N$6:$N$507,0),1)))),"",
IF(F37="","",IF(F37=F36,INDEX(OFFSET(PG_CD!$C$6:$C$507,MATCH('RC'!F37,PG_CD!$N$6:$N$507,0),0),MATCH('RC'!F37,OFFSET(PG_CD!$N$6:$N$507,MATCH('RC'!F37,PG_CD!$N$6:$N$507,0),0),0),1),INDEX(PG_CD!$C$6:$C$507,MATCH('RC'!F37,PG_CD!$N$6:$N$507,0),1))))</f>
        <v/>
      </c>
      <c r="D37" s="94"/>
      <c r="E37" s="46" t="str">
        <f ca="1">IF(ISERR(
IF(F37="","",IF(F37=F36,INDEX(OFFSET(PG_CD!$O$6:$O$507,MATCH('RC'!F37,PG_CD!$N$6:$N$507,0),0),MATCH('RC'!F37,OFFSET(PG_CD!$N$6:$N$507,MATCH('RC'!F37,PG_CD!$N$6:$N$507,0),0),0),1),INDEX(PG_CD!$O$6:$O$507,MATCH('RC'!F37,PG_CD!$N$6:$N$507,0),1)))),"",
IF(F37="","",IF(F37=F36,INDEX(OFFSET(PG_CD!$O$6:$O$507,MATCH('RC'!F37,PG_CD!$N$6:$N$507,0),0),MATCH('RC'!F37,OFFSET(PG_CD!$N$6:$N$507,MATCH('RC'!F37,PG_CD!$N$6:$N$507,0),0),0),1),INDEX(PG_CD!$O$6:$O$507,MATCH('RC'!F37,PG_CD!$N$6:$N$507,0),1))))</f>
        <v/>
      </c>
      <c r="F37" s="43" t="str">
        <f>IF(ISERR(
IF(LARGE(PG_CD!$N$6:$N$507,H37)=0,"",LARGE(PG_CD!$N$6:$N$507,H37))),"",IF(LARGE(PG_CD!$N$6:$N$507,H37)=0,"",LARGE(PG_CD!$N$6:$N$507,H37)))</f>
        <v/>
      </c>
      <c r="H37">
        <v>8</v>
      </c>
    </row>
    <row r="38" spans="3:8" ht="30" customHeight="1" thickBot="1" x14ac:dyDescent="0.25">
      <c r="C38" s="93" t="str">
        <f ca="1">IF(ISERR(
IF(F38="","",IF(F38=F37,INDEX(OFFSET(PG_CD!$C$6:$C$507,MATCH('RC'!F38,PG_CD!$N$6:$N$507,0),0),MATCH('RC'!F38,OFFSET(PG_CD!$N$6:$N$507,MATCH('RC'!F38,PG_CD!$N$6:$N$507,0),0),0),1),INDEX(PG_CD!$C$6:$C$507,MATCH('RC'!F38,PG_CD!$N$6:$N$507,0),1)))),"",
IF(F38="","",IF(F38=F37,INDEX(OFFSET(PG_CD!$C$6:$C$507,MATCH('RC'!F38,PG_CD!$N$6:$N$507,0),0),MATCH('RC'!F38,OFFSET(PG_CD!$N$6:$N$507,MATCH('RC'!F38,PG_CD!$N$6:$N$507,0),0),0),1),INDEX(PG_CD!$C$6:$C$507,MATCH('RC'!F38,PG_CD!$N$6:$N$507,0),1))))</f>
        <v/>
      </c>
      <c r="D38" s="94"/>
      <c r="E38" s="46" t="str">
        <f ca="1">IF(ISERR(
IF(F38="","",IF(F38=F37,INDEX(OFFSET(PG_CD!$O$6:$O$507,MATCH('RC'!F38,PG_CD!$N$6:$N$507,0),0),MATCH('RC'!F38,OFFSET(PG_CD!$N$6:$N$507,MATCH('RC'!F38,PG_CD!$N$6:$N$507,0),0),0),1),INDEX(PG_CD!$O$6:$O$507,MATCH('RC'!F38,PG_CD!$N$6:$N$507,0),1)))),"",
IF(F38="","",IF(F38=F37,INDEX(OFFSET(PG_CD!$O$6:$O$507,MATCH('RC'!F38,PG_CD!$N$6:$N$507,0),0),MATCH('RC'!F38,OFFSET(PG_CD!$N$6:$N$507,MATCH('RC'!F38,PG_CD!$N$6:$N$507,0),0),0),1),INDEX(PG_CD!$O$6:$O$507,MATCH('RC'!F38,PG_CD!$N$6:$N$507,0),1))))</f>
        <v/>
      </c>
      <c r="F38" s="43" t="str">
        <f>IF(ISERR(
IF(LARGE(PG_CD!$N$6:$N$507,H38)=0,"",LARGE(PG_CD!$N$6:$N$507,H38))),"",IF(LARGE(PG_CD!$N$6:$N$507,H38)=0,"",LARGE(PG_CD!$N$6:$N$507,H38)))</f>
        <v/>
      </c>
      <c r="H38">
        <v>9</v>
      </c>
    </row>
    <row r="39" spans="3:8" ht="30" customHeight="1" thickBot="1" x14ac:dyDescent="0.25">
      <c r="C39" s="93" t="str">
        <f ca="1">IF(ISERR(
IF(F39="","",IF(F39=F38,INDEX(OFFSET(PG_CD!$C$6:$C$507,MATCH('RC'!F39,PG_CD!$N$6:$N$507,0),0),MATCH('RC'!F39,OFFSET(PG_CD!$N$6:$N$507,MATCH('RC'!F39,PG_CD!$N$6:$N$507,0),0),0),1),INDEX(PG_CD!$C$6:$C$507,MATCH('RC'!F39,PG_CD!$N$6:$N$507,0),1)))),"",
IF(F39="","",IF(F39=F38,INDEX(OFFSET(PG_CD!$C$6:$C$507,MATCH('RC'!F39,PG_CD!$N$6:$N$507,0),0),MATCH('RC'!F39,OFFSET(PG_CD!$N$6:$N$507,MATCH('RC'!F39,PG_CD!$N$6:$N$507,0),0),0),1),INDEX(PG_CD!$C$6:$C$507,MATCH('RC'!F39,PG_CD!$N$6:$N$507,0),1))))</f>
        <v/>
      </c>
      <c r="D39" s="94"/>
      <c r="E39" s="46" t="str">
        <f ca="1">IF(ISERR(
IF(F39="","",IF(F39=F38,INDEX(OFFSET(PG_CD!$O$6:$O$507,MATCH('RC'!F39,PG_CD!$N$6:$N$507,0),0),MATCH('RC'!F39,OFFSET(PG_CD!$N$6:$N$507,MATCH('RC'!F39,PG_CD!$N$6:$N$507,0),0),0),1),INDEX(PG_CD!$O$6:$O$507,MATCH('RC'!F39,PG_CD!$N$6:$N$507,0),1)))),"",
IF(F39="","",IF(F39=F38,INDEX(OFFSET(PG_CD!$O$6:$O$507,MATCH('RC'!F39,PG_CD!$N$6:$N$507,0),0),MATCH('RC'!F39,OFFSET(PG_CD!$N$6:$N$507,MATCH('RC'!F39,PG_CD!$N$6:$N$507,0),0),0),1),INDEX(PG_CD!$O$6:$O$507,MATCH('RC'!F39,PG_CD!$N$6:$N$507,0),1))))</f>
        <v/>
      </c>
      <c r="F39" s="43" t="str">
        <f>IF(ISERR(
IF(LARGE(PG_CD!$N$6:$N$507,H39)=0,"",LARGE(PG_CD!$N$6:$N$507,H39))),"",IF(LARGE(PG_CD!$N$6:$N$507,H39)=0,"",LARGE(PG_CD!$N$6:$N$507,H39)))</f>
        <v/>
      </c>
      <c r="H39">
        <v>10</v>
      </c>
    </row>
    <row r="40" spans="3:8" hidden="1" x14ac:dyDescent="0.2"/>
    <row r="41" spans="3:8" hidden="1" x14ac:dyDescent="0.2"/>
    <row r="42" spans="3:8" hidden="1" x14ac:dyDescent="0.2"/>
    <row r="43" spans="3:8" hidden="1" x14ac:dyDescent="0.2"/>
    <row r="44" spans="3:8" hidden="1" x14ac:dyDescent="0.2"/>
    <row r="45" spans="3:8" hidden="1" x14ac:dyDescent="0.2"/>
    <row r="46" spans="3:8" hidden="1" x14ac:dyDescent="0.2"/>
    <row r="47" spans="3:8" hidden="1" x14ac:dyDescent="0.2"/>
    <row r="48" spans="3: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</sheetData>
  <sheetProtection sheet="1" objects="1" scenarios="1"/>
  <mergeCells count="37">
    <mergeCell ref="E9:F9"/>
    <mergeCell ref="E10:F10"/>
    <mergeCell ref="C5:F5"/>
    <mergeCell ref="C12:F12"/>
    <mergeCell ref="C13:D13"/>
    <mergeCell ref="E13:F13"/>
    <mergeCell ref="C6:D6"/>
    <mergeCell ref="C7:D7"/>
    <mergeCell ref="C8:D8"/>
    <mergeCell ref="C9:D9"/>
    <mergeCell ref="C10:D10"/>
    <mergeCell ref="E6:F6"/>
    <mergeCell ref="E7:F7"/>
    <mergeCell ref="E8:F8"/>
    <mergeCell ref="C14:D14"/>
    <mergeCell ref="E14:F14"/>
    <mergeCell ref="C15:D15"/>
    <mergeCell ref="E15:F15"/>
    <mergeCell ref="C16:D16"/>
    <mergeCell ref="E16:F16"/>
    <mergeCell ref="C18:D18"/>
    <mergeCell ref="E18:F18"/>
    <mergeCell ref="C17:D17"/>
    <mergeCell ref="E17:F17"/>
    <mergeCell ref="C20:G20"/>
    <mergeCell ref="C28:F28"/>
    <mergeCell ref="C29:D29"/>
    <mergeCell ref="C30:D30"/>
    <mergeCell ref="C31:D31"/>
    <mergeCell ref="C32:D32"/>
    <mergeCell ref="C39:D39"/>
    <mergeCell ref="C33:D33"/>
    <mergeCell ref="C34:D34"/>
    <mergeCell ref="C35:D35"/>
    <mergeCell ref="C36:D36"/>
    <mergeCell ref="C37:D37"/>
    <mergeCell ref="C38:D38"/>
  </mergeCells>
  <conditionalFormatting sqref="F22:F26">
    <cfRule type="cellIs" dxfId="8" priority="7" operator="equal">
      <formula>""</formula>
    </cfRule>
    <cfRule type="cellIs" dxfId="7" priority="8" operator="equal">
      <formula>0</formula>
    </cfRule>
    <cfRule type="cellIs" dxfId="6" priority="9" operator="lessThan">
      <formula>0</formula>
    </cfRule>
    <cfRule type="cellIs" dxfId="5" priority="10" operator="greaterThan">
      <formula>0</formula>
    </cfRule>
  </conditionalFormatting>
  <conditionalFormatting sqref="E30:F39 C30:C39">
    <cfRule type="expression" dxfId="4" priority="6">
      <formula>$C30=""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 enableFormatConditionsCalculation="0"/>
  <dimension ref="A1:AE100"/>
  <sheetViews>
    <sheetView showGridLines="0" zoomScale="90" zoomScaleNormal="90" zoomScalePageLayoutView="90" workbookViewId="0">
      <selection activeCell="B1" sqref="B1"/>
    </sheetView>
  </sheetViews>
  <sheetFormatPr baseColWidth="10" defaultColWidth="8.83203125" defaultRowHeight="15" zeroHeight="1" x14ac:dyDescent="0.2"/>
  <cols>
    <col min="1" max="1" width="27.6640625" style="1" customWidth="1"/>
    <col min="2" max="2" width="3.83203125" customWidth="1"/>
    <col min="3" max="4" width="76.83203125" customWidth="1"/>
    <col min="5" max="6" width="8.83203125" style="78"/>
    <col min="7" max="8" width="11.83203125" style="78" bestFit="1" customWidth="1"/>
    <col min="9" max="22" width="8.83203125" style="78"/>
  </cols>
  <sheetData>
    <row r="1" spans="1:31" s="4" customFormat="1" ht="34" customHeight="1" x14ac:dyDescent="0.3">
      <c r="A1" s="76" t="s">
        <v>163</v>
      </c>
      <c r="C1" s="5" t="s">
        <v>30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31" s="4" customFormat="1" ht="21.5" customHeight="1" x14ac:dyDescent="0.2">
      <c r="A2" s="1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31" s="4" customFormat="1" ht="21.5" customHeight="1" x14ac:dyDescent="0.2">
      <c r="A3" s="1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spans="1:31" ht="14" customHeight="1" x14ac:dyDescent="0.2"/>
    <row r="5" spans="1:31" ht="14" customHeight="1" x14ac:dyDescent="0.2">
      <c r="C5" s="47" t="s">
        <v>122</v>
      </c>
    </row>
    <row r="6" spans="1:31" ht="14" customHeight="1" x14ac:dyDescent="0.2"/>
    <row r="7" spans="1:31" ht="30" customHeight="1" x14ac:dyDescent="0.2">
      <c r="C7" s="108" t="s">
        <v>123</v>
      </c>
      <c r="D7" s="109"/>
      <c r="W7" s="78"/>
      <c r="X7" s="78"/>
      <c r="Y7" s="78"/>
      <c r="Z7" s="78"/>
      <c r="AA7" s="78"/>
      <c r="AB7" s="78"/>
      <c r="AC7" s="78"/>
      <c r="AD7" s="78"/>
      <c r="AE7" s="78"/>
    </row>
    <row r="8" spans="1:31" ht="30" customHeight="1" x14ac:dyDescent="0.2">
      <c r="D8" s="105" t="str">
        <f ca="1">"O produto que mais gerou receita para atingir o ponto de equilíbrio foi: "&amp;"
"&amp;'RC'!C30</f>
        <v>O produto que mais gerou receita para atingir o ponto de equilíbrio foi: _x000D_</v>
      </c>
      <c r="W8" s="78"/>
      <c r="X8" s="78"/>
      <c r="Y8" s="78"/>
      <c r="Z8" s="78"/>
      <c r="AA8" s="78"/>
      <c r="AB8" s="78"/>
      <c r="AC8" s="78"/>
      <c r="AD8" s="78"/>
      <c r="AE8" s="78"/>
    </row>
    <row r="9" spans="1:31" ht="30" customHeight="1" x14ac:dyDescent="0.2">
      <c r="D9" s="106"/>
      <c r="W9" s="78"/>
      <c r="X9" s="78"/>
      <c r="Y9" s="78"/>
      <c r="Z9" s="78"/>
      <c r="AA9" s="78"/>
      <c r="AB9" s="78"/>
      <c r="AC9" s="78"/>
      <c r="AD9" s="78"/>
      <c r="AE9" s="78"/>
    </row>
    <row r="10" spans="1:31" ht="30" customHeight="1" x14ac:dyDescent="0.2">
      <c r="D10" s="106"/>
      <c r="W10" s="78"/>
      <c r="X10" s="78"/>
      <c r="Y10" s="78"/>
      <c r="Z10" s="78"/>
      <c r="AA10" s="78"/>
      <c r="AB10" s="78"/>
      <c r="AC10" s="78"/>
      <c r="AD10" s="78"/>
      <c r="AE10" s="78"/>
    </row>
    <row r="11" spans="1:31" ht="30" customHeight="1" x14ac:dyDescent="0.2">
      <c r="D11" s="106"/>
      <c r="W11" s="78"/>
      <c r="X11" s="78"/>
      <c r="Y11" s="78"/>
      <c r="Z11" s="78"/>
      <c r="AA11" s="78"/>
      <c r="AB11" s="78"/>
      <c r="AC11" s="78"/>
      <c r="AD11" s="78"/>
      <c r="AE11" s="78"/>
    </row>
    <row r="12" spans="1:31" ht="30" customHeight="1" x14ac:dyDescent="0.2">
      <c r="D12" s="106"/>
      <c r="W12" s="78"/>
      <c r="X12" s="78"/>
      <c r="Y12" s="78"/>
      <c r="Z12" s="78"/>
      <c r="AA12" s="78"/>
      <c r="AB12" s="78"/>
      <c r="AC12" s="78"/>
      <c r="AD12" s="78"/>
      <c r="AE12" s="78"/>
    </row>
    <row r="13" spans="1:31" ht="30" customHeight="1" x14ac:dyDescent="0.2">
      <c r="D13" s="106"/>
      <c r="W13" s="78"/>
      <c r="X13" s="78"/>
      <c r="Y13" s="78"/>
      <c r="Z13" s="78"/>
      <c r="AA13" s="78"/>
      <c r="AB13" s="78"/>
      <c r="AC13" s="78"/>
      <c r="AD13" s="78"/>
      <c r="AE13" s="78"/>
    </row>
    <row r="14" spans="1:31" ht="30" customHeight="1" x14ac:dyDescent="0.2">
      <c r="D14" s="107"/>
      <c r="W14" s="78"/>
      <c r="X14" s="78"/>
      <c r="Y14" s="78"/>
      <c r="Z14" s="78"/>
      <c r="AA14" s="78"/>
      <c r="AB14" s="78"/>
      <c r="AC14" s="78"/>
      <c r="AD14" s="78"/>
      <c r="AE14" s="78"/>
    </row>
    <row r="15" spans="1:31" ht="30" customHeight="1" x14ac:dyDescent="0.2">
      <c r="W15" s="78"/>
      <c r="X15" s="78"/>
      <c r="Y15" s="78"/>
      <c r="Z15" s="78"/>
      <c r="AA15" s="78"/>
      <c r="AB15" s="78"/>
      <c r="AC15" s="78"/>
      <c r="AD15" s="78"/>
      <c r="AE15" s="78"/>
    </row>
    <row r="16" spans="1:31" ht="30" customHeight="1" x14ac:dyDescent="0.2">
      <c r="C16" s="108" t="s">
        <v>126</v>
      </c>
      <c r="D16" s="109"/>
    </row>
    <row r="17" spans="3:4" ht="30" customHeight="1" x14ac:dyDescent="0.2">
      <c r="D17" s="105" t="str">
        <f ca="1">"O produto que tem mais participação no ponto de equilíbrio é "&amp;Graf_Sup!A3&amp;"."&amp;"
"&amp;" A quantidade vendida de "&amp;Graf_Sup!A3&amp;" é de "&amp;Graf_Sup!E3&amp;" unidades."</f>
        <v>O produto que tem mais participação no ponto de equilíbrio é ._x000D_ A quantidade vendida de  é de  unidades.</v>
      </c>
    </row>
    <row r="18" spans="3:4" ht="30" customHeight="1" x14ac:dyDescent="0.2">
      <c r="D18" s="106"/>
    </row>
    <row r="19" spans="3:4" ht="30" customHeight="1" x14ac:dyDescent="0.2">
      <c r="D19" s="106"/>
    </row>
    <row r="20" spans="3:4" ht="30" customHeight="1" x14ac:dyDescent="0.2">
      <c r="D20" s="106"/>
    </row>
    <row r="21" spans="3:4" ht="30" customHeight="1" x14ac:dyDescent="0.2">
      <c r="D21" s="106"/>
    </row>
    <row r="22" spans="3:4" ht="30" customHeight="1" x14ac:dyDescent="0.2">
      <c r="D22" s="106"/>
    </row>
    <row r="23" spans="3:4" ht="30" customHeight="1" x14ac:dyDescent="0.2">
      <c r="D23" s="107"/>
    </row>
    <row r="24" spans="3:4" ht="30" customHeight="1" x14ac:dyDescent="0.2"/>
    <row r="25" spans="3:4" ht="30" customHeight="1" x14ac:dyDescent="0.2">
      <c r="C25" s="108" t="s">
        <v>127</v>
      </c>
      <c r="D25" s="109"/>
    </row>
    <row r="26" spans="3:4" ht="30" customHeight="1" x14ac:dyDescent="0.2">
      <c r="D26" s="105" t="e">
        <f ca="1">"O produto que tem o maior índice de margem de contribuição é "&amp;Graf_Sup!A16&amp;"."&amp;"
"&amp;" O IMC de "&amp;Graf_Sup!A16&amp;" é de "&amp;Graf_Sup!C16*100&amp;" %."</f>
        <v>#VALUE!</v>
      </c>
    </row>
    <row r="27" spans="3:4" ht="30" customHeight="1" x14ac:dyDescent="0.2">
      <c r="D27" s="106"/>
    </row>
    <row r="28" spans="3:4" ht="30" customHeight="1" x14ac:dyDescent="0.2">
      <c r="D28" s="106"/>
    </row>
    <row r="29" spans="3:4" ht="30" customHeight="1" x14ac:dyDescent="0.2">
      <c r="D29" s="106"/>
    </row>
    <row r="30" spans="3:4" ht="30" customHeight="1" x14ac:dyDescent="0.2">
      <c r="D30" s="106"/>
    </row>
    <row r="31" spans="3:4" ht="30" customHeight="1" x14ac:dyDescent="0.2">
      <c r="D31" s="106"/>
    </row>
    <row r="32" spans="3:4" ht="30" customHeight="1" x14ac:dyDescent="0.2">
      <c r="D32" s="107"/>
    </row>
    <row r="33" spans="3:11" ht="30" customHeight="1" x14ac:dyDescent="0.2"/>
    <row r="34" spans="3:11" ht="30" customHeight="1" x14ac:dyDescent="0.2">
      <c r="C34" s="108" t="s">
        <v>130</v>
      </c>
      <c r="D34" s="109"/>
    </row>
    <row r="35" spans="3:11" ht="30" customHeight="1" x14ac:dyDescent="0.2">
      <c r="D35" s="102" t="str">
        <f>IF(G36&gt;H36,J36,K36)</f>
        <v>Parabéns! Seu lucro é maior que os seus custos fixos. Mantenha esse processo para não deixar que seus custos ultrapassem o seu lucro.</v>
      </c>
      <c r="G35" s="73" t="s">
        <v>129</v>
      </c>
      <c r="H35" s="73" t="s">
        <v>158</v>
      </c>
      <c r="I35" s="2"/>
      <c r="J35" s="2" t="s">
        <v>159</v>
      </c>
      <c r="K35" s="2" t="s">
        <v>160</v>
      </c>
    </row>
    <row r="36" spans="3:11" ht="30" customHeight="1" x14ac:dyDescent="0.2">
      <c r="D36" s="103"/>
      <c r="G36" s="74">
        <f>PEq!G18</f>
        <v>0</v>
      </c>
      <c r="H36" s="74">
        <f>SUM(PG!F7:F507)-'RC'!E10+'RC'!E18</f>
        <v>0</v>
      </c>
      <c r="I36" s="2"/>
      <c r="J36" s="75" t="s">
        <v>161</v>
      </c>
      <c r="K36" s="75" t="s">
        <v>162</v>
      </c>
    </row>
    <row r="37" spans="3:11" ht="30" customHeight="1" x14ac:dyDescent="0.2">
      <c r="D37" s="103"/>
    </row>
    <row r="38" spans="3:11" ht="30" customHeight="1" x14ac:dyDescent="0.2">
      <c r="D38" s="103"/>
    </row>
    <row r="39" spans="3:11" ht="30" customHeight="1" x14ac:dyDescent="0.2">
      <c r="D39" s="103"/>
    </row>
    <row r="40" spans="3:11" ht="30" customHeight="1" x14ac:dyDescent="0.2">
      <c r="D40" s="103"/>
    </row>
    <row r="41" spans="3:11" ht="30" customHeight="1" x14ac:dyDescent="0.2">
      <c r="D41" s="104"/>
    </row>
    <row r="42" spans="3:11" ht="30" customHeight="1" x14ac:dyDescent="0.2"/>
    <row r="43" spans="3:11" ht="30" customHeight="1" x14ac:dyDescent="0.2">
      <c r="C43" s="108" t="s">
        <v>132</v>
      </c>
      <c r="D43" s="109"/>
    </row>
    <row r="44" spans="3:11" ht="30" customHeight="1" x14ac:dyDescent="0.2">
      <c r="D44" s="102" t="e">
        <f>"Os custos diretos são aqueles que variam de acordo com o volume de vendas. Sua média de custos diretos é de R$ "&amp;Graf_Sup!C44&amp;" e o seu custo mais elevado está "&amp;Graf_Sup!D48*100&amp;"% acima da média."&amp;"
"&amp;"Dica:"&amp;"
"&amp;"É muito comum esquecer de alguns itens dessa parte de custos diretos. Por isso, faça uma avaliação mais criteriosa para entender quais são os itens que ainda podem estar sendo esquecidos."</f>
        <v>#DIV/0!</v>
      </c>
    </row>
    <row r="45" spans="3:11" ht="30" customHeight="1" x14ac:dyDescent="0.2">
      <c r="D45" s="103"/>
    </row>
    <row r="46" spans="3:11" ht="30" customHeight="1" x14ac:dyDescent="0.2">
      <c r="D46" s="103"/>
    </row>
    <row r="47" spans="3:11" ht="30" customHeight="1" x14ac:dyDescent="0.2">
      <c r="D47" s="103"/>
    </row>
    <row r="48" spans="3:11" ht="30" customHeight="1" x14ac:dyDescent="0.2">
      <c r="D48" s="103"/>
    </row>
    <row r="49" spans="3:4" ht="30" customHeight="1" x14ac:dyDescent="0.2">
      <c r="D49" s="103"/>
    </row>
    <row r="50" spans="3:4" ht="30" customHeight="1" x14ac:dyDescent="0.2">
      <c r="D50" s="104"/>
    </row>
    <row r="51" spans="3:4" ht="30" customHeight="1" x14ac:dyDescent="0.2"/>
    <row r="52" spans="3:4" ht="30" customHeight="1" x14ac:dyDescent="0.2">
      <c r="C52" s="108" t="s">
        <v>136</v>
      </c>
      <c r="D52" s="109"/>
    </row>
    <row r="53" spans="3:4" ht="30" customHeight="1" x14ac:dyDescent="0.2">
      <c r="D53" s="102" t="str">
        <f>"Você tem "&amp;Graf_Sup!C52&amp;" concorrentes analisados e seu preço médio está inferior à média de mercado. Isso pode ser um bom sinal, mas não é algo para se animar muito."&amp;"
"&amp;"Dica:"&amp;"
"&amp;"Existem muitas formas de se diferenciar em um negócio. Fatores como qualidade, posicionamento, localização geográfica (e outros fatores) são tão importantes quanto o preço. Faça uma avaliação para saber se o preço é a única diferenciação que você precisa."</f>
        <v>Você tem 0 concorrentes analisados e seu preço médio está inferior à média de mercado. Isso pode ser um bom sinal, mas não é algo para se animar muito._x000D__x000D_Dica:_x000D__x000D_Existem muitas formas de se diferenciar em um negócio. Fatores como qualidade, posicionamento, localização geográfica (e outros fatores) são tão importantes quanto o preço. Faça uma avaliação para saber se o preço é a única diferenciação que você precisa.</v>
      </c>
    </row>
    <row r="54" spans="3:4" ht="30" customHeight="1" x14ac:dyDescent="0.2">
      <c r="D54" s="103"/>
    </row>
    <row r="55" spans="3:4" ht="30" customHeight="1" x14ac:dyDescent="0.2">
      <c r="D55" s="103"/>
    </row>
    <row r="56" spans="3:4" ht="30" customHeight="1" x14ac:dyDescent="0.2">
      <c r="D56" s="103"/>
    </row>
    <row r="57" spans="3:4" ht="30" customHeight="1" x14ac:dyDescent="0.2">
      <c r="D57" s="103"/>
    </row>
    <row r="58" spans="3:4" ht="30" customHeight="1" x14ac:dyDescent="0.2">
      <c r="D58" s="103"/>
    </row>
    <row r="59" spans="3:4" ht="30" customHeight="1" x14ac:dyDescent="0.2">
      <c r="D59" s="104"/>
    </row>
    <row r="60" spans="3:4" ht="30" customHeight="1" x14ac:dyDescent="0.2"/>
    <row r="61" spans="3:4" ht="30" hidden="1" customHeight="1" x14ac:dyDescent="0.2"/>
    <row r="62" spans="3:4" ht="30" hidden="1" customHeight="1" x14ac:dyDescent="0.2"/>
    <row r="63" spans="3:4" ht="30" hidden="1" customHeight="1" x14ac:dyDescent="0.2"/>
    <row r="64" spans="3:4" ht="30" hidden="1" customHeight="1" x14ac:dyDescent="0.2"/>
    <row r="65" ht="30" hidden="1" customHeight="1" x14ac:dyDescent="0.2"/>
    <row r="66" ht="30" hidden="1" customHeight="1" x14ac:dyDescent="0.2"/>
    <row r="67" ht="30" hidden="1" customHeight="1" x14ac:dyDescent="0.2"/>
    <row r="68" ht="30" hidden="1" customHeight="1" x14ac:dyDescent="0.2"/>
    <row r="69" ht="30" hidden="1" customHeight="1" x14ac:dyDescent="0.2"/>
    <row r="70" ht="30" hidden="1" customHeight="1" x14ac:dyDescent="0.2"/>
    <row r="71" ht="30" hidden="1" customHeight="1" x14ac:dyDescent="0.2"/>
    <row r="72" ht="30" hidden="1" customHeight="1" x14ac:dyDescent="0.2"/>
    <row r="73" ht="30" hidden="1" customHeight="1" x14ac:dyDescent="0.2"/>
    <row r="74" ht="30" hidden="1" customHeight="1" x14ac:dyDescent="0.2"/>
    <row r="75" ht="30" hidden="1" customHeight="1" x14ac:dyDescent="0.2"/>
    <row r="76" ht="30" hidden="1" customHeight="1" x14ac:dyDescent="0.2"/>
    <row r="77" ht="30" hidden="1" customHeight="1" x14ac:dyDescent="0.2"/>
    <row r="78" ht="30" hidden="1" customHeight="1" x14ac:dyDescent="0.2"/>
    <row r="79" ht="30" hidden="1" customHeight="1" x14ac:dyDescent="0.2"/>
    <row r="8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30" hidden="1" customHeight="1" x14ac:dyDescent="0.2"/>
  </sheetData>
  <sheetProtection sheet="1" objects="1" scenarios="1"/>
  <mergeCells count="12">
    <mergeCell ref="C7:D7"/>
    <mergeCell ref="D8:D14"/>
    <mergeCell ref="C16:D16"/>
    <mergeCell ref="D17:D23"/>
    <mergeCell ref="C25:D25"/>
    <mergeCell ref="D53:D59"/>
    <mergeCell ref="D26:D32"/>
    <mergeCell ref="C34:D34"/>
    <mergeCell ref="D35:D41"/>
    <mergeCell ref="C43:D43"/>
    <mergeCell ref="D44:D50"/>
    <mergeCell ref="C52:D52"/>
  </mergeCells>
  <pageMargins left="0.511811024" right="0.511811024" top="0.78740157499999996" bottom="0.78740157499999996" header="0.31496062000000002" footer="0.31496062000000002"/>
  <pageSetup paperSize="9" orientation="portrait" horizontalDpi="4294967292" verticalDpi="429496729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 enableFormatConditionsCalculation="0"/>
  <dimension ref="A1:G107"/>
  <sheetViews>
    <sheetView showGridLines="0" zoomScale="90" zoomScaleNormal="90" zoomScalePageLayoutView="90" workbookViewId="0"/>
  </sheetViews>
  <sheetFormatPr baseColWidth="10" defaultColWidth="8.83203125" defaultRowHeight="15" x14ac:dyDescent="0.2"/>
  <cols>
    <col min="1" max="1" width="27.6640625" style="1" customWidth="1"/>
    <col min="2" max="2" width="3.83203125" customWidth="1"/>
    <col min="3" max="6" width="26" customWidth="1"/>
    <col min="7" max="7" width="52.1640625" customWidth="1"/>
    <col min="8" max="8" width="1.83203125" customWidth="1"/>
  </cols>
  <sheetData>
    <row r="1" spans="1:6" s="4" customFormat="1" ht="34" customHeight="1" x14ac:dyDescent="0.3">
      <c r="A1" s="77" t="s">
        <v>163</v>
      </c>
      <c r="C1" s="5" t="s">
        <v>31</v>
      </c>
    </row>
    <row r="2" spans="1:6" s="4" customFormat="1" ht="21.5" customHeight="1" x14ac:dyDescent="0.2">
      <c r="A2" s="1"/>
    </row>
    <row r="3" spans="1:6" s="4" customFormat="1" ht="21.5" customHeight="1" x14ac:dyDescent="0.2">
      <c r="A3" s="1"/>
    </row>
    <row r="4" spans="1:6" ht="14" customHeight="1" x14ac:dyDescent="0.2"/>
    <row r="5" spans="1:6" ht="30" customHeight="1" x14ac:dyDescent="0.35">
      <c r="C5" s="55" t="s">
        <v>157</v>
      </c>
    </row>
    <row r="6" spans="1:6" ht="30" customHeight="1" x14ac:dyDescent="0.45">
      <c r="C6" s="56" t="s">
        <v>156</v>
      </c>
    </row>
    <row r="7" spans="1:6" ht="30" customHeight="1" x14ac:dyDescent="0.2"/>
    <row r="8" spans="1:6" ht="30" customHeight="1" x14ac:dyDescent="0.3">
      <c r="C8" s="57" t="s">
        <v>153</v>
      </c>
    </row>
    <row r="9" spans="1:6" ht="30" customHeight="1" x14ac:dyDescent="0.3">
      <c r="C9" s="57" t="s">
        <v>154</v>
      </c>
    </row>
    <row r="10" spans="1:6" ht="30" customHeight="1" x14ac:dyDescent="0.3">
      <c r="C10" s="57" t="s">
        <v>155</v>
      </c>
    </row>
    <row r="11" spans="1:6" ht="30" customHeight="1" x14ac:dyDescent="0.3">
      <c r="C11" s="57"/>
    </row>
    <row r="12" spans="1:6" ht="30" customHeight="1" x14ac:dyDescent="0.3">
      <c r="C12" s="57" t="s">
        <v>153</v>
      </c>
    </row>
    <row r="13" spans="1:6" ht="30" customHeight="1" x14ac:dyDescent="0.2">
      <c r="C13" s="121" t="s">
        <v>80</v>
      </c>
      <c r="D13" s="122"/>
      <c r="E13" s="122"/>
      <c r="F13" s="122"/>
    </row>
    <row r="14" spans="1:6" ht="30" customHeight="1" thickBot="1" x14ac:dyDescent="0.25">
      <c r="C14" s="123" t="s">
        <v>81</v>
      </c>
      <c r="D14" s="124"/>
      <c r="E14" s="123" t="s">
        <v>72</v>
      </c>
      <c r="F14" s="128"/>
    </row>
    <row r="15" spans="1:6" ht="30" customHeight="1" x14ac:dyDescent="0.2">
      <c r="C15" s="125" t="s">
        <v>83</v>
      </c>
      <c r="D15" s="125"/>
      <c r="E15" s="129" t="str">
        <f>PEq!G7</f>
        <v/>
      </c>
      <c r="F15" s="129"/>
    </row>
    <row r="16" spans="1:6" ht="30" customHeight="1" x14ac:dyDescent="0.2">
      <c r="C16" s="126"/>
      <c r="D16" s="126"/>
      <c r="E16" s="130"/>
      <c r="F16" s="130"/>
    </row>
    <row r="17" spans="3:6" ht="30" customHeight="1" thickBot="1" x14ac:dyDescent="0.25">
      <c r="C17" s="127"/>
      <c r="D17" s="127"/>
      <c r="E17" s="131"/>
      <c r="F17" s="131"/>
    </row>
    <row r="18" spans="3:6" ht="30" customHeight="1" x14ac:dyDescent="0.2">
      <c r="C18" s="125" t="s">
        <v>84</v>
      </c>
      <c r="D18" s="125"/>
      <c r="E18" s="129" t="str">
        <f>PEq!G10</f>
        <v/>
      </c>
      <c r="F18" s="129"/>
    </row>
    <row r="19" spans="3:6" ht="30" customHeight="1" x14ac:dyDescent="0.2">
      <c r="C19" s="126"/>
      <c r="D19" s="126"/>
      <c r="E19" s="130"/>
      <c r="F19" s="130"/>
    </row>
    <row r="20" spans="3:6" ht="30" customHeight="1" thickBot="1" x14ac:dyDescent="0.25">
      <c r="C20" s="127"/>
      <c r="D20" s="127"/>
      <c r="E20" s="131"/>
      <c r="F20" s="131"/>
    </row>
    <row r="21" spans="3:6" ht="30" customHeight="1" thickBot="1" x14ac:dyDescent="0.25">
      <c r="C21" s="101" t="s">
        <v>85</v>
      </c>
      <c r="D21" s="101"/>
      <c r="E21" s="119">
        <f>PEq!G13</f>
        <v>0</v>
      </c>
      <c r="F21" s="119"/>
    </row>
    <row r="22" spans="3:6" ht="30" customHeight="1" thickBot="1" x14ac:dyDescent="0.25">
      <c r="C22" s="101" t="s">
        <v>86</v>
      </c>
      <c r="D22" s="101"/>
      <c r="E22" s="119" t="e">
        <f>PEq!G14</f>
        <v>#DIV/0!</v>
      </c>
      <c r="F22" s="119"/>
    </row>
    <row r="23" spans="3:6" ht="14" customHeight="1" x14ac:dyDescent="0.2"/>
    <row r="24" spans="3:6" ht="30" customHeight="1" thickBot="1" x14ac:dyDescent="0.25">
      <c r="C24" s="121" t="s">
        <v>87</v>
      </c>
      <c r="D24" s="122"/>
      <c r="E24" s="122"/>
      <c r="F24" s="122"/>
    </row>
    <row r="25" spans="3:6" ht="30" customHeight="1" thickBot="1" x14ac:dyDescent="0.25">
      <c r="C25" s="101" t="s">
        <v>81</v>
      </c>
      <c r="D25" s="101"/>
      <c r="E25" s="101" t="s">
        <v>72</v>
      </c>
      <c r="F25" s="101"/>
    </row>
    <row r="26" spans="3:6" ht="30" customHeight="1" thickBot="1" x14ac:dyDescent="0.25">
      <c r="C26" s="101" t="s">
        <v>88</v>
      </c>
      <c r="D26" s="101"/>
      <c r="E26" s="119">
        <f>PEq!G18</f>
        <v>0</v>
      </c>
      <c r="F26" s="119"/>
    </row>
    <row r="27" spans="3:6" ht="30" customHeight="1" thickBot="1" x14ac:dyDescent="0.25">
      <c r="C27" s="101" t="s">
        <v>89</v>
      </c>
      <c r="D27" s="101"/>
      <c r="E27" s="119" t="str">
        <f>PEq!G19</f>
        <v/>
      </c>
      <c r="F27" s="119"/>
    </row>
    <row r="28" spans="3:6" ht="30" customHeight="1" thickBot="1" x14ac:dyDescent="0.25">
      <c r="C28" s="101" t="s">
        <v>90</v>
      </c>
      <c r="D28" s="101"/>
      <c r="E28" s="120" t="str">
        <f>PEq!G20</f>
        <v/>
      </c>
      <c r="F28" s="120"/>
    </row>
    <row r="29" spans="3:6" ht="30" customHeight="1" x14ac:dyDescent="0.2"/>
    <row r="30" spans="3:6" ht="30" customHeight="1" x14ac:dyDescent="0.3">
      <c r="C30" s="57" t="s">
        <v>154</v>
      </c>
    </row>
    <row r="31" spans="3:6" ht="30" customHeight="1" thickBot="1" x14ac:dyDescent="0.25">
      <c r="C31" s="87" t="s">
        <v>106</v>
      </c>
      <c r="D31" s="88"/>
      <c r="E31" s="88"/>
      <c r="F31" s="88"/>
    </row>
    <row r="32" spans="3:6" ht="30" customHeight="1" thickBot="1" x14ac:dyDescent="0.25">
      <c r="C32" s="101" t="s">
        <v>107</v>
      </c>
      <c r="D32" s="101"/>
      <c r="E32" s="100">
        <f>'RC'!E6</f>
        <v>0</v>
      </c>
      <c r="F32" s="100"/>
    </row>
    <row r="33" spans="3:7" ht="30" customHeight="1" thickBot="1" x14ac:dyDescent="0.25">
      <c r="C33" s="101" t="s">
        <v>108</v>
      </c>
      <c r="D33" s="101"/>
      <c r="E33" s="100">
        <f>'RC'!E7</f>
        <v>0</v>
      </c>
      <c r="F33" s="100"/>
    </row>
    <row r="34" spans="3:7" ht="30" customHeight="1" thickBot="1" x14ac:dyDescent="0.25">
      <c r="C34" s="101" t="s">
        <v>109</v>
      </c>
      <c r="D34" s="101"/>
      <c r="E34" s="100">
        <f>'RC'!E8</f>
        <v>0</v>
      </c>
      <c r="F34" s="100"/>
    </row>
    <row r="35" spans="3:7" ht="30" customHeight="1" thickBot="1" x14ac:dyDescent="0.25">
      <c r="C35" s="101" t="s">
        <v>68</v>
      </c>
      <c r="D35" s="101"/>
      <c r="E35" s="100">
        <f>'RC'!E9</f>
        <v>0</v>
      </c>
      <c r="F35" s="100"/>
    </row>
    <row r="36" spans="3:7" ht="30" customHeight="1" thickBot="1" x14ac:dyDescent="0.25">
      <c r="C36" s="99" t="s">
        <v>110</v>
      </c>
      <c r="D36" s="99"/>
      <c r="E36" s="100">
        <f>SUM(E32:F35)</f>
        <v>0</v>
      </c>
      <c r="F36" s="100"/>
    </row>
    <row r="37" spans="3:7" ht="14" customHeight="1" x14ac:dyDescent="0.2"/>
    <row r="38" spans="3:7" ht="30" customHeight="1" thickBot="1" x14ac:dyDescent="0.25">
      <c r="C38" s="87" t="s">
        <v>111</v>
      </c>
      <c r="D38" s="88"/>
      <c r="E38" s="88"/>
      <c r="F38" s="88"/>
    </row>
    <row r="39" spans="3:7" ht="30" customHeight="1" thickBot="1" x14ac:dyDescent="0.25">
      <c r="C39" s="97" t="e">
        <f ca="1">'RC'!C13</f>
        <v>#N/A</v>
      </c>
      <c r="D39" s="98"/>
      <c r="E39" s="115" t="str">
        <f>'RC'!E13</f>
        <v/>
      </c>
      <c r="F39" s="116"/>
    </row>
    <row r="40" spans="3:7" ht="30" customHeight="1" thickBot="1" x14ac:dyDescent="0.25">
      <c r="C40" s="97" t="e">
        <f ca="1">'RC'!C14</f>
        <v>#N/A</v>
      </c>
      <c r="D40" s="98"/>
      <c r="E40" s="115" t="str">
        <f>'RC'!E14</f>
        <v/>
      </c>
      <c r="F40" s="116"/>
    </row>
    <row r="41" spans="3:7" ht="30" customHeight="1" thickBot="1" x14ac:dyDescent="0.25">
      <c r="C41" s="97" t="e">
        <f ca="1">'RC'!C15</f>
        <v>#N/A</v>
      </c>
      <c r="D41" s="98"/>
      <c r="E41" s="115" t="str">
        <f>'RC'!E15</f>
        <v/>
      </c>
      <c r="F41" s="116"/>
    </row>
    <row r="42" spans="3:7" ht="30" customHeight="1" thickBot="1" x14ac:dyDescent="0.25">
      <c r="C42" s="97" t="e">
        <f ca="1">'RC'!C16</f>
        <v>#N/A</v>
      </c>
      <c r="D42" s="98"/>
      <c r="E42" s="115" t="str">
        <f>'RC'!E16</f>
        <v/>
      </c>
      <c r="F42" s="116"/>
    </row>
    <row r="43" spans="3:7" ht="30" customHeight="1" thickBot="1" x14ac:dyDescent="0.25">
      <c r="C43" s="97" t="e">
        <f ca="1">'RC'!C17</f>
        <v>#N/A</v>
      </c>
      <c r="D43" s="98"/>
      <c r="E43" s="115" t="str">
        <f>'RC'!E17</f>
        <v/>
      </c>
      <c r="F43" s="116"/>
    </row>
    <row r="44" spans="3:7" ht="30" customHeight="1" thickBot="1" x14ac:dyDescent="0.25">
      <c r="C44" s="99" t="s">
        <v>112</v>
      </c>
      <c r="D44" s="99"/>
      <c r="E44" s="115">
        <f>'RC'!E18</f>
        <v>0</v>
      </c>
      <c r="F44" s="116"/>
    </row>
    <row r="45" spans="3:7" ht="14" customHeight="1" x14ac:dyDescent="0.2"/>
    <row r="46" spans="3:7" ht="30" customHeight="1" thickBot="1" x14ac:dyDescent="0.25">
      <c r="C46" s="87" t="s">
        <v>113</v>
      </c>
      <c r="D46" s="88"/>
      <c r="E46" s="88"/>
      <c r="F46" s="88"/>
      <c r="G46" s="88"/>
    </row>
    <row r="47" spans="3:7" ht="30" customHeight="1" thickBot="1" x14ac:dyDescent="0.25">
      <c r="C47" s="44" t="s">
        <v>118</v>
      </c>
      <c r="D47" s="44" t="s">
        <v>114</v>
      </c>
      <c r="E47" s="44" t="s">
        <v>115</v>
      </c>
      <c r="F47" s="44" t="s">
        <v>116</v>
      </c>
      <c r="G47" s="44" t="s">
        <v>117</v>
      </c>
    </row>
    <row r="48" spans="3:7" ht="30" customHeight="1" thickBot="1" x14ac:dyDescent="0.25">
      <c r="C48" s="64" t="str">
        <f ca="1">'RC'!C22</f>
        <v/>
      </c>
      <c r="D48" s="69" t="str">
        <f ca="1">'RC'!D22</f>
        <v/>
      </c>
      <c r="E48" s="69" t="str">
        <f>'RC'!E22</f>
        <v/>
      </c>
      <c r="F48" s="69" t="str">
        <f ca="1">IF(ISERR(
IF(C48="","",E48-D48)),"",IF(C48="","",E48-D48))</f>
        <v/>
      </c>
      <c r="G48" s="64" t="str">
        <f t="shared" ref="G48:G51" ca="1" si="0">IF(ISERR(
IF(F48&lt;0,"Seu preço está  "&amp;-H48*100&amp;" % mais barato. Vale aumentar?",IF(F48&gt;0,"Seu preço está "&amp;H48*100&amp;"% mais caro. Diminuir preço?","Seu preço está igual ao de mercado. Manter o preço?"))),"",IF(F48&lt;0,"Seu preço está  "&amp;-H48*100&amp;" % mais barato. Vale aumentar?",IF(F48&gt;0,"Seu preço está "&amp;H48*100&amp;"% mais caro. Diminuir preço?","Seu preço está igual ao de mercado. Manter o preço?")))</f>
        <v>Seu preço está 0% mais caro. Diminuir preço?</v>
      </c>
    </row>
    <row r="49" spans="3:7" ht="30" customHeight="1" thickBot="1" x14ac:dyDescent="0.25">
      <c r="C49" s="64" t="str">
        <f ca="1">'RC'!C23</f>
        <v/>
      </c>
      <c r="D49" s="69" t="str">
        <f ca="1">'RC'!D23</f>
        <v/>
      </c>
      <c r="E49" s="69" t="str">
        <f>'RC'!E23</f>
        <v/>
      </c>
      <c r="F49" s="69" t="str">
        <f t="shared" ref="F49:F52" ca="1" si="1">IF(ISERR(
IF(C49="","",E49-D49)),"",IF(C49="","",E49-D49))</f>
        <v/>
      </c>
      <c r="G49" s="64" t="str">
        <f t="shared" ca="1" si="0"/>
        <v>Seu preço está 0% mais caro. Diminuir preço?</v>
      </c>
    </row>
    <row r="50" spans="3:7" ht="30" customHeight="1" thickBot="1" x14ac:dyDescent="0.25">
      <c r="C50" s="64" t="str">
        <f ca="1">'RC'!C24</f>
        <v/>
      </c>
      <c r="D50" s="69" t="str">
        <f ca="1">'RC'!D24</f>
        <v/>
      </c>
      <c r="E50" s="69" t="str">
        <f>'RC'!E24</f>
        <v/>
      </c>
      <c r="F50" s="69" t="str">
        <f t="shared" ca="1" si="1"/>
        <v/>
      </c>
      <c r="G50" s="64" t="str">
        <f t="shared" ca="1" si="0"/>
        <v>Seu preço está 0% mais caro. Diminuir preço?</v>
      </c>
    </row>
    <row r="51" spans="3:7" ht="30" customHeight="1" thickBot="1" x14ac:dyDescent="0.25">
      <c r="C51" s="64" t="str">
        <f ca="1">'RC'!C25</f>
        <v/>
      </c>
      <c r="D51" s="69" t="str">
        <f ca="1">'RC'!D25</f>
        <v/>
      </c>
      <c r="E51" s="69" t="str">
        <f>'RC'!E25</f>
        <v/>
      </c>
      <c r="F51" s="69" t="str">
        <f t="shared" ca="1" si="1"/>
        <v/>
      </c>
      <c r="G51" s="64" t="str">
        <f t="shared" ca="1" si="0"/>
        <v>Seu preço está 0% mais caro. Diminuir preço?</v>
      </c>
    </row>
    <row r="52" spans="3:7" ht="30" customHeight="1" thickBot="1" x14ac:dyDescent="0.25">
      <c r="C52" s="64" t="str">
        <f ca="1">'RC'!C26</f>
        <v/>
      </c>
      <c r="D52" s="69" t="str">
        <f ca="1">'RC'!D26</f>
        <v/>
      </c>
      <c r="E52" s="69" t="str">
        <f>'RC'!E26</f>
        <v/>
      </c>
      <c r="F52" s="69" t="str">
        <f t="shared" ca="1" si="1"/>
        <v/>
      </c>
      <c r="G52" s="64" t="str">
        <f ca="1">IF(ISERR(
IF(F52&lt;0,"Seu preço está  "&amp;-H52*100&amp;" % mais barato. Vale aumentar?",IF(F52&gt;0,"Seu preço está "&amp;H52*100&amp;"% mais caro. Diminuir preço?","Seu preço está igual ao de mercado. Manter o preço?"))),"",IF(F52&lt;0,"Seu preço está  "&amp;-H52*100&amp;" % mais barato. Vale aumentar?",IF(F52&gt;0,"Seu preço está "&amp;H52*100&amp;"% mais caro. Diminuir preço?","Seu preço está igual ao de mercado. Manter o preço?")))</f>
        <v>Seu preço está 0% mais caro. Diminuir preço?</v>
      </c>
    </row>
    <row r="53" spans="3:7" ht="30" customHeight="1" x14ac:dyDescent="0.2"/>
    <row r="54" spans="3:7" ht="30" customHeight="1" x14ac:dyDescent="0.3">
      <c r="C54" s="57" t="s">
        <v>155</v>
      </c>
    </row>
    <row r="55" spans="3:7" ht="30" customHeight="1" x14ac:dyDescent="0.2">
      <c r="C55" s="112" t="s">
        <v>123</v>
      </c>
      <c r="D55" s="113"/>
      <c r="E55" s="113"/>
      <c r="F55" s="113"/>
      <c r="G55" s="114"/>
    </row>
    <row r="56" spans="3:7" ht="30" customHeight="1" x14ac:dyDescent="0.2">
      <c r="F56" s="117" t="str">
        <f ca="1">Graf!D8</f>
        <v>O produto que mais gerou receita para atingir o ponto de equilíbrio foi: _x000D_</v>
      </c>
      <c r="G56" s="118"/>
    </row>
    <row r="57" spans="3:7" ht="30" customHeight="1" x14ac:dyDescent="0.2">
      <c r="F57" s="117"/>
      <c r="G57" s="118"/>
    </row>
    <row r="58" spans="3:7" ht="30" customHeight="1" x14ac:dyDescent="0.2">
      <c r="F58" s="117"/>
      <c r="G58" s="118"/>
    </row>
    <row r="59" spans="3:7" ht="30" customHeight="1" x14ac:dyDescent="0.2">
      <c r="F59" s="117"/>
      <c r="G59" s="118"/>
    </row>
    <row r="60" spans="3:7" ht="30" customHeight="1" x14ac:dyDescent="0.2">
      <c r="F60" s="117"/>
      <c r="G60" s="118"/>
    </row>
    <row r="61" spans="3:7" ht="30" customHeight="1" x14ac:dyDescent="0.2">
      <c r="F61" s="117"/>
      <c r="G61" s="118"/>
    </row>
    <row r="62" spans="3:7" ht="30" customHeight="1" x14ac:dyDescent="0.2">
      <c r="F62" s="117"/>
      <c r="G62" s="118"/>
    </row>
    <row r="63" spans="3:7" ht="30" customHeight="1" x14ac:dyDescent="0.2"/>
    <row r="64" spans="3:7" ht="30" customHeight="1" x14ac:dyDescent="0.2">
      <c r="C64" s="112" t="s">
        <v>126</v>
      </c>
      <c r="D64" s="113"/>
      <c r="E64" s="113"/>
      <c r="F64" s="113"/>
      <c r="G64" s="114"/>
    </row>
    <row r="65" spans="3:7" ht="30" customHeight="1" x14ac:dyDescent="0.2">
      <c r="F65" s="117" t="str">
        <f ca="1">Graf!D17</f>
        <v>O produto que tem mais participação no ponto de equilíbrio é ._x000D_ A quantidade vendida de  é de  unidades.</v>
      </c>
      <c r="G65" s="118"/>
    </row>
    <row r="66" spans="3:7" ht="30" customHeight="1" x14ac:dyDescent="0.2">
      <c r="F66" s="117"/>
      <c r="G66" s="118"/>
    </row>
    <row r="67" spans="3:7" ht="30" customHeight="1" x14ac:dyDescent="0.2">
      <c r="F67" s="117"/>
      <c r="G67" s="118"/>
    </row>
    <row r="68" spans="3:7" ht="30" customHeight="1" x14ac:dyDescent="0.2">
      <c r="F68" s="117"/>
      <c r="G68" s="118"/>
    </row>
    <row r="69" spans="3:7" ht="30" customHeight="1" x14ac:dyDescent="0.2">
      <c r="F69" s="117"/>
      <c r="G69" s="118"/>
    </row>
    <row r="70" spans="3:7" ht="30" customHeight="1" x14ac:dyDescent="0.2">
      <c r="F70" s="117"/>
      <c r="G70" s="118"/>
    </row>
    <row r="71" spans="3:7" ht="30" customHeight="1" x14ac:dyDescent="0.2">
      <c r="F71" s="117"/>
      <c r="G71" s="118"/>
    </row>
    <row r="72" spans="3:7" ht="14" customHeight="1" x14ac:dyDescent="0.2"/>
    <row r="73" spans="3:7" ht="30" customHeight="1" x14ac:dyDescent="0.2">
      <c r="C73" s="112" t="s">
        <v>127</v>
      </c>
      <c r="D73" s="113"/>
      <c r="E73" s="113"/>
      <c r="F73" s="113"/>
      <c r="G73" s="114"/>
    </row>
    <row r="74" spans="3:7" ht="30" customHeight="1" x14ac:dyDescent="0.2">
      <c r="F74" s="117" t="e">
        <f ca="1">Graf!D26</f>
        <v>#VALUE!</v>
      </c>
      <c r="G74" s="118"/>
    </row>
    <row r="75" spans="3:7" ht="30" customHeight="1" x14ac:dyDescent="0.2">
      <c r="F75" s="117"/>
      <c r="G75" s="118"/>
    </row>
    <row r="76" spans="3:7" ht="30" customHeight="1" x14ac:dyDescent="0.2">
      <c r="F76" s="117"/>
      <c r="G76" s="118"/>
    </row>
    <row r="77" spans="3:7" ht="30" customHeight="1" x14ac:dyDescent="0.2">
      <c r="F77" s="117"/>
      <c r="G77" s="118"/>
    </row>
    <row r="78" spans="3:7" ht="30" customHeight="1" x14ac:dyDescent="0.2">
      <c r="F78" s="117"/>
      <c r="G78" s="118"/>
    </row>
    <row r="79" spans="3:7" ht="30" customHeight="1" x14ac:dyDescent="0.2">
      <c r="F79" s="117"/>
      <c r="G79" s="118"/>
    </row>
    <row r="80" spans="3:7" ht="30" customHeight="1" x14ac:dyDescent="0.2">
      <c r="F80" s="117"/>
      <c r="G80" s="118"/>
    </row>
    <row r="81" spans="3:7" ht="30" customHeight="1" x14ac:dyDescent="0.2"/>
    <row r="82" spans="3:7" ht="30" customHeight="1" x14ac:dyDescent="0.2">
      <c r="C82" s="112" t="s">
        <v>130</v>
      </c>
      <c r="D82" s="113"/>
      <c r="E82" s="113"/>
      <c r="F82" s="113"/>
      <c r="G82" s="114"/>
    </row>
    <row r="83" spans="3:7" ht="30" customHeight="1" x14ac:dyDescent="0.2">
      <c r="F83" s="110" t="str">
        <f>Graf!D35</f>
        <v>Parabéns! Seu lucro é maior que os seus custos fixos. Mantenha esse processo para não deixar que seus custos ultrapassem o seu lucro.</v>
      </c>
      <c r="G83" s="111"/>
    </row>
    <row r="84" spans="3:7" ht="30" customHeight="1" x14ac:dyDescent="0.2">
      <c r="F84" s="110"/>
      <c r="G84" s="111"/>
    </row>
    <row r="85" spans="3:7" ht="30" customHeight="1" x14ac:dyDescent="0.2">
      <c r="F85" s="110"/>
      <c r="G85" s="111"/>
    </row>
    <row r="86" spans="3:7" ht="30" customHeight="1" x14ac:dyDescent="0.2">
      <c r="F86" s="110"/>
      <c r="G86" s="111"/>
    </row>
    <row r="87" spans="3:7" ht="30" customHeight="1" x14ac:dyDescent="0.2">
      <c r="F87" s="110"/>
      <c r="G87" s="111"/>
    </row>
    <row r="88" spans="3:7" ht="30" customHeight="1" x14ac:dyDescent="0.2">
      <c r="F88" s="110"/>
      <c r="G88" s="111"/>
    </row>
    <row r="89" spans="3:7" ht="30" customHeight="1" x14ac:dyDescent="0.2">
      <c r="F89" s="110"/>
      <c r="G89" s="111"/>
    </row>
    <row r="90" spans="3:7" ht="14" customHeight="1" x14ac:dyDescent="0.2"/>
    <row r="91" spans="3:7" ht="30" customHeight="1" x14ac:dyDescent="0.2">
      <c r="C91" s="112" t="s">
        <v>132</v>
      </c>
      <c r="D91" s="113"/>
      <c r="E91" s="113"/>
      <c r="F91" s="113"/>
      <c r="G91" s="114"/>
    </row>
    <row r="92" spans="3:7" ht="30" customHeight="1" x14ac:dyDescent="0.2">
      <c r="F92" s="110" t="e">
        <f>"Os custos diretos são aqueles que variam de acordo com o volume de vendas. Sua média de custos diretos é de R$ "&amp;Graf_Sup!C44&amp;" e o seu custo mais elevado está "&amp;Graf_Sup!D48*100&amp;"% acima da média."&amp;"
"&amp;"Dica:"&amp;"
"&amp;"É muito comum esquecer de alguns itens dessa parte de custos diretos. Por isso, faça uma avaliação mais criteriosa para entender quais são os itens que ainda podem estar sendo esquecidos."</f>
        <v>#DIV/0!</v>
      </c>
      <c r="G92" s="111"/>
    </row>
    <row r="93" spans="3:7" ht="30" customHeight="1" x14ac:dyDescent="0.2">
      <c r="F93" s="110"/>
      <c r="G93" s="111"/>
    </row>
    <row r="94" spans="3:7" ht="30" customHeight="1" x14ac:dyDescent="0.2">
      <c r="F94" s="110"/>
      <c r="G94" s="111"/>
    </row>
    <row r="95" spans="3:7" ht="30" customHeight="1" x14ac:dyDescent="0.2">
      <c r="F95" s="110"/>
      <c r="G95" s="111"/>
    </row>
    <row r="96" spans="3:7" ht="30" customHeight="1" x14ac:dyDescent="0.2">
      <c r="F96" s="110"/>
      <c r="G96" s="111"/>
    </row>
    <row r="97" spans="3:7" ht="30" customHeight="1" x14ac:dyDescent="0.2">
      <c r="F97" s="110"/>
      <c r="G97" s="111"/>
    </row>
    <row r="98" spans="3:7" ht="30" customHeight="1" x14ac:dyDescent="0.2">
      <c r="F98" s="110"/>
      <c r="G98" s="111"/>
    </row>
    <row r="99" spans="3:7" ht="30" customHeight="1" x14ac:dyDescent="0.2"/>
    <row r="100" spans="3:7" ht="30" customHeight="1" x14ac:dyDescent="0.2">
      <c r="C100" s="112" t="s">
        <v>136</v>
      </c>
      <c r="D100" s="113"/>
      <c r="E100" s="113"/>
      <c r="F100" s="113"/>
      <c r="G100" s="114"/>
    </row>
    <row r="101" spans="3:7" ht="30" customHeight="1" x14ac:dyDescent="0.2">
      <c r="F101" s="110" t="str">
        <f>"Você tem "&amp;Graf_Sup!C52&amp;" concorrentes analisados e seu preço médio está inferior à média de mercado. Isso pode ser um bom sinal, mas não é algo para se animar muito."&amp;"
"&amp;"Dica:"&amp;"
"&amp;"Existem muitas formas de se diferenciar em um negócio. Fatores como qualidade, posicionamento, localização geográfica (e outros fatores) são tão importantes quanto o preço. Faça uma avaliação para saber se o preço é a única diferenciação que você precisa."</f>
        <v>Você tem 0 concorrentes analisados e seu preço médio está inferior à média de mercado. Isso pode ser um bom sinal, mas não é algo para se animar muito._x000D__x000D_Dica:_x000D__x000D_Existem muitas formas de se diferenciar em um negócio. Fatores como qualidade, posicionamento, localização geográfica (e outros fatores) são tão importantes quanto o preço. Faça uma avaliação para saber se o preço é a única diferenciação que você precisa.</v>
      </c>
      <c r="G101" s="111"/>
    </row>
    <row r="102" spans="3:7" ht="30" customHeight="1" x14ac:dyDescent="0.2">
      <c r="F102" s="110"/>
      <c r="G102" s="111"/>
    </row>
    <row r="103" spans="3:7" ht="30" customHeight="1" x14ac:dyDescent="0.2">
      <c r="F103" s="110"/>
      <c r="G103" s="111"/>
    </row>
    <row r="104" spans="3:7" ht="30" customHeight="1" x14ac:dyDescent="0.2">
      <c r="F104" s="110"/>
      <c r="G104" s="111"/>
    </row>
    <row r="105" spans="3:7" ht="30" customHeight="1" x14ac:dyDescent="0.2">
      <c r="F105" s="110"/>
      <c r="G105" s="111"/>
    </row>
    <row r="106" spans="3:7" ht="30" customHeight="1" x14ac:dyDescent="0.2">
      <c r="F106" s="110"/>
      <c r="G106" s="111"/>
    </row>
    <row r="107" spans="3:7" ht="30" customHeight="1" x14ac:dyDescent="0.2">
      <c r="F107" s="110"/>
      <c r="G107" s="111"/>
    </row>
  </sheetData>
  <sheetProtection sheet="1" objects="1" scenarios="1"/>
  <mergeCells count="57">
    <mergeCell ref="C13:F13"/>
    <mergeCell ref="C14:D14"/>
    <mergeCell ref="C15:D17"/>
    <mergeCell ref="C18:D20"/>
    <mergeCell ref="E14:F14"/>
    <mergeCell ref="E15:F17"/>
    <mergeCell ref="E18:F20"/>
    <mergeCell ref="C21:D21"/>
    <mergeCell ref="C22:D22"/>
    <mergeCell ref="E21:F21"/>
    <mergeCell ref="E22:F22"/>
    <mergeCell ref="C24:F24"/>
    <mergeCell ref="E25:F25"/>
    <mergeCell ref="E26:F26"/>
    <mergeCell ref="E27:F27"/>
    <mergeCell ref="E28:F28"/>
    <mergeCell ref="C25:D25"/>
    <mergeCell ref="C26:D26"/>
    <mergeCell ref="C27:D27"/>
    <mergeCell ref="C28:D28"/>
    <mergeCell ref="C39:D39"/>
    <mergeCell ref="E39:F39"/>
    <mergeCell ref="C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8:F38"/>
    <mergeCell ref="C40:D40"/>
    <mergeCell ref="E40:F40"/>
    <mergeCell ref="C41:D41"/>
    <mergeCell ref="E41:F41"/>
    <mergeCell ref="C42:D42"/>
    <mergeCell ref="E42:F42"/>
    <mergeCell ref="C82:G82"/>
    <mergeCell ref="C43:D43"/>
    <mergeCell ref="E43:F43"/>
    <mergeCell ref="C44:D44"/>
    <mergeCell ref="E44:F44"/>
    <mergeCell ref="C46:G46"/>
    <mergeCell ref="C55:G55"/>
    <mergeCell ref="F56:G62"/>
    <mergeCell ref="C64:G64"/>
    <mergeCell ref="F65:G71"/>
    <mergeCell ref="C73:G73"/>
    <mergeCell ref="F74:G80"/>
    <mergeCell ref="F83:G89"/>
    <mergeCell ref="C91:G91"/>
    <mergeCell ref="F92:G98"/>
    <mergeCell ref="C100:G100"/>
    <mergeCell ref="F101:G107"/>
  </mergeCells>
  <conditionalFormatting sqref="F48:F52">
    <cfRule type="cellIs" dxfId="3" priority="1" operator="equal">
      <formula>""</formula>
    </cfRule>
    <cfRule type="cellIs" dxfId="2" priority="2" operator="equal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362204722" right="0.51181102362204722" top="0.78740157480314965" bottom="0.39370078740157483" header="0.31496062992125984" footer="0.31496062992125984"/>
  <pageSetup paperSize="9" scale="74" fitToHeight="6" orientation="landscape"/>
  <rowBreaks count="5" manualBreakCount="5">
    <brk id="11" min="1" max="7" man="1"/>
    <brk id="29" min="1" max="7" man="1"/>
    <brk id="53" min="1" max="7" man="1"/>
    <brk id="72" min="1" max="7" man="1"/>
    <brk id="90" min="1" max="7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/>
  <dimension ref="A1:K100"/>
  <sheetViews>
    <sheetView showGridLines="0" zoomScale="90" zoomScaleNormal="90" zoomScalePageLayoutView="90" workbookViewId="0"/>
  </sheetViews>
  <sheetFormatPr baseColWidth="10" defaultColWidth="9.1640625" defaultRowHeight="15" zeroHeight="1" x14ac:dyDescent="0.2"/>
  <cols>
    <col min="1" max="1" width="27.6640625" style="10" customWidth="1"/>
    <col min="2" max="2" width="3.83203125" style="2" customWidth="1"/>
    <col min="3" max="16384" width="9.1640625" style="2"/>
  </cols>
  <sheetData>
    <row r="1" spans="1:11" s="4" customFormat="1" ht="34" customHeight="1" x14ac:dyDescent="0.3">
      <c r="A1" s="77" t="s">
        <v>163</v>
      </c>
      <c r="C1" s="5" t="s">
        <v>32</v>
      </c>
    </row>
    <row r="2" spans="1:11" s="4" customFormat="1" ht="21.5" customHeight="1" x14ac:dyDescent="0.2">
      <c r="A2" s="1"/>
    </row>
    <row r="3" spans="1:11" s="4" customFormat="1" ht="21.5" customHeight="1" x14ac:dyDescent="0.2">
      <c r="A3" s="1"/>
    </row>
    <row r="4" spans="1:11" customFormat="1" ht="30" customHeight="1" x14ac:dyDescent="0.2">
      <c r="A4" s="1"/>
      <c r="C4" s="136" t="s">
        <v>38</v>
      </c>
      <c r="D4" s="136"/>
      <c r="E4" s="136"/>
      <c r="F4" s="136"/>
      <c r="G4" s="136"/>
      <c r="H4" s="136"/>
      <c r="I4" s="136"/>
      <c r="J4" s="136"/>
      <c r="K4" s="136"/>
    </row>
    <row r="5" spans="1:11" customFormat="1" ht="30" customHeight="1" x14ac:dyDescent="0.2">
      <c r="A5" s="1"/>
      <c r="C5" s="132" t="s">
        <v>40</v>
      </c>
      <c r="D5" s="133"/>
      <c r="E5" s="133"/>
      <c r="F5" s="133"/>
      <c r="G5" s="133"/>
      <c r="H5" s="133"/>
      <c r="I5" s="133"/>
      <c r="J5" s="133"/>
      <c r="K5" s="134"/>
    </row>
    <row r="6" spans="1:11" customFormat="1" ht="30" customHeight="1" x14ac:dyDescent="0.2">
      <c r="A6" s="1"/>
      <c r="C6" s="137" t="s">
        <v>39</v>
      </c>
      <c r="D6" s="137"/>
      <c r="E6" s="137"/>
      <c r="F6" s="137"/>
      <c r="G6" s="137"/>
      <c r="H6" s="137"/>
      <c r="I6" s="137"/>
      <c r="J6" s="137"/>
      <c r="K6" s="137"/>
    </row>
    <row r="7" spans="1:11" customFormat="1" ht="30" customHeight="1" x14ac:dyDescent="0.2">
      <c r="A7" s="1"/>
      <c r="C7" s="135" t="str">
        <f>IFERROR(VLOOKUP(C5,C59:J73,8,FALSE),"")</f>
        <v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v>
      </c>
      <c r="D7" s="135"/>
      <c r="E7" s="135"/>
      <c r="F7" s="135"/>
      <c r="G7" s="135"/>
      <c r="H7" s="135"/>
      <c r="I7" s="135"/>
      <c r="J7" s="135"/>
      <c r="K7" s="135"/>
    </row>
    <row r="8" spans="1:11" customFormat="1" ht="30" customHeight="1" x14ac:dyDescent="0.2">
      <c r="A8" s="1"/>
      <c r="C8" s="135"/>
      <c r="D8" s="135"/>
      <c r="E8" s="135"/>
      <c r="F8" s="135"/>
      <c r="G8" s="135"/>
      <c r="H8" s="135"/>
      <c r="I8" s="135"/>
      <c r="J8" s="135"/>
      <c r="K8" s="135"/>
    </row>
    <row r="9" spans="1:11" customFormat="1" ht="30" customHeight="1" x14ac:dyDescent="0.2">
      <c r="A9" s="1"/>
      <c r="C9" s="135"/>
      <c r="D9" s="135"/>
      <c r="E9" s="135"/>
      <c r="F9" s="135"/>
      <c r="G9" s="135"/>
      <c r="H9" s="135"/>
      <c r="I9" s="135"/>
      <c r="J9" s="135"/>
      <c r="K9" s="135"/>
    </row>
    <row r="10" spans="1:11" customFormat="1" ht="30" customHeight="1" x14ac:dyDescent="0.2">
      <c r="A10" s="1"/>
      <c r="C10" s="135"/>
      <c r="D10" s="135"/>
      <c r="E10" s="135"/>
      <c r="F10" s="135"/>
      <c r="G10" s="135"/>
      <c r="H10" s="135"/>
      <c r="I10" s="135"/>
      <c r="J10" s="135"/>
      <c r="K10" s="135"/>
    </row>
    <row r="11" spans="1:11" customFormat="1" ht="30" customHeight="1" x14ac:dyDescent="0.2">
      <c r="A11" s="1"/>
      <c r="C11" s="135"/>
      <c r="D11" s="135"/>
      <c r="E11" s="135"/>
      <c r="F11" s="135"/>
      <c r="G11" s="135"/>
      <c r="H11" s="135"/>
      <c r="I11" s="135"/>
      <c r="J11" s="135"/>
      <c r="K11" s="135"/>
    </row>
    <row r="12" spans="1:11" customFormat="1" ht="30" customHeight="1" x14ac:dyDescent="0.2">
      <c r="A12" s="1"/>
    </row>
    <row r="13" spans="1:11" customFormat="1" ht="30" customHeight="1" x14ac:dyDescent="0.2">
      <c r="A13" s="1"/>
    </row>
    <row r="14" spans="1:11" customFormat="1" ht="30" customHeight="1" x14ac:dyDescent="0.2">
      <c r="A14" s="1"/>
    </row>
    <row r="15" spans="1:11" customFormat="1" ht="30" customHeight="1" x14ac:dyDescent="0.2">
      <c r="A15" s="1"/>
    </row>
    <row r="16" spans="1:11" customFormat="1" ht="30" customHeight="1" x14ac:dyDescent="0.2">
      <c r="A16" s="1"/>
    </row>
    <row r="17" spans="1:1" customFormat="1" ht="30" customHeight="1" x14ac:dyDescent="0.2">
      <c r="A17" s="1"/>
    </row>
    <row r="18" spans="1:1" customFormat="1" ht="30" customHeight="1" x14ac:dyDescent="0.2">
      <c r="A18" s="1"/>
    </row>
    <row r="19" spans="1:1" customFormat="1" ht="30" customHeight="1" x14ac:dyDescent="0.2">
      <c r="A19" s="1"/>
    </row>
    <row r="20" spans="1:1" customFormat="1" ht="30" customHeight="1" x14ac:dyDescent="0.2">
      <c r="A20" s="1"/>
    </row>
    <row r="21" spans="1:1" customFormat="1" ht="30" customHeight="1" x14ac:dyDescent="0.2">
      <c r="A21" s="1"/>
    </row>
    <row r="22" spans="1:1" customFormat="1" ht="30" customHeight="1" x14ac:dyDescent="0.2">
      <c r="A22" s="1"/>
    </row>
    <row r="23" spans="1:1" customFormat="1" ht="30" customHeight="1" x14ac:dyDescent="0.2">
      <c r="A23" s="1"/>
    </row>
    <row r="24" spans="1:1" customFormat="1" ht="30" customHeight="1" x14ac:dyDescent="0.2">
      <c r="A24" s="1"/>
    </row>
    <row r="25" spans="1:1" customFormat="1" ht="30" customHeight="1" x14ac:dyDescent="0.2">
      <c r="A25" s="1"/>
    </row>
    <row r="26" spans="1:1" customFormat="1" ht="30" customHeight="1" x14ac:dyDescent="0.2">
      <c r="A26" s="1"/>
    </row>
    <row r="27" spans="1:1" customFormat="1" ht="30" customHeight="1" x14ac:dyDescent="0.2">
      <c r="A27" s="1"/>
    </row>
    <row r="28" spans="1:1" customFormat="1" ht="30" customHeight="1" x14ac:dyDescent="0.2">
      <c r="A28" s="1"/>
    </row>
    <row r="29" spans="1:1" customFormat="1" ht="30" customHeight="1" x14ac:dyDescent="0.2">
      <c r="A29" s="1"/>
    </row>
    <row r="30" spans="1:1" customFormat="1" ht="30" customHeight="1" x14ac:dyDescent="0.2">
      <c r="A30" s="1"/>
    </row>
    <row r="31" spans="1:1" customFormat="1" ht="30" customHeight="1" x14ac:dyDescent="0.2">
      <c r="A31" s="1"/>
    </row>
    <row r="32" spans="1:1" customFormat="1" ht="30" customHeight="1" x14ac:dyDescent="0.2">
      <c r="A32" s="1"/>
    </row>
    <row r="33" spans="1:1" customFormat="1" ht="30" customHeight="1" x14ac:dyDescent="0.2">
      <c r="A33" s="1"/>
    </row>
    <row r="34" spans="1:1" customFormat="1" ht="30" customHeight="1" x14ac:dyDescent="0.2">
      <c r="A34" s="1"/>
    </row>
    <row r="35" spans="1:1" customFormat="1" ht="30" customHeight="1" x14ac:dyDescent="0.2">
      <c r="A35" s="1"/>
    </row>
    <row r="36" spans="1:1" customFormat="1" ht="30" customHeight="1" x14ac:dyDescent="0.2">
      <c r="A36" s="1"/>
    </row>
    <row r="37" spans="1:1" customFormat="1" ht="30" customHeight="1" x14ac:dyDescent="0.2">
      <c r="A37" s="1"/>
    </row>
    <row r="38" spans="1:1" customFormat="1" ht="30" customHeight="1" x14ac:dyDescent="0.2">
      <c r="A38" s="1"/>
    </row>
    <row r="39" spans="1:1" customFormat="1" ht="30" customHeight="1" x14ac:dyDescent="0.2">
      <c r="A39" s="1"/>
    </row>
    <row r="40" spans="1:1" customFormat="1" ht="30" customHeight="1" x14ac:dyDescent="0.2">
      <c r="A40" s="1"/>
    </row>
    <row r="41" spans="1:1" customFormat="1" ht="30" customHeight="1" x14ac:dyDescent="0.2">
      <c r="A41" s="1"/>
    </row>
    <row r="42" spans="1:1" customFormat="1" ht="30" customHeight="1" x14ac:dyDescent="0.2">
      <c r="A42" s="1"/>
    </row>
    <row r="43" spans="1:1" customFormat="1" ht="30" customHeight="1" x14ac:dyDescent="0.2">
      <c r="A43" s="1"/>
    </row>
    <row r="44" spans="1:1" customFormat="1" ht="30" customHeight="1" x14ac:dyDescent="0.2">
      <c r="A44" s="1"/>
    </row>
    <row r="45" spans="1:1" customFormat="1" ht="30" customHeight="1" x14ac:dyDescent="0.2">
      <c r="A45" s="1"/>
    </row>
    <row r="46" spans="1:1" customFormat="1" ht="30" customHeight="1" x14ac:dyDescent="0.2">
      <c r="A46" s="1"/>
    </row>
    <row r="47" spans="1:1" customFormat="1" ht="30" customHeight="1" x14ac:dyDescent="0.2">
      <c r="A47" s="1"/>
    </row>
    <row r="48" spans="1:1" customFormat="1" ht="30" customHeight="1" x14ac:dyDescent="0.2">
      <c r="A48" s="1"/>
    </row>
    <row r="49" spans="1:10" customFormat="1" ht="30" customHeight="1" x14ac:dyDescent="0.2">
      <c r="A49" s="1"/>
    </row>
    <row r="50" spans="1:10" customFormat="1" ht="30" customHeight="1" x14ac:dyDescent="0.2">
      <c r="A50" s="1"/>
    </row>
    <row r="51" spans="1:10" customFormat="1" ht="30" customHeight="1" x14ac:dyDescent="0.2">
      <c r="A51" s="1"/>
    </row>
    <row r="52" spans="1:10" customFormat="1" ht="30" customHeight="1" x14ac:dyDescent="0.2">
      <c r="A52" s="1"/>
    </row>
    <row r="53" spans="1:10" customFormat="1" ht="30" customHeight="1" x14ac:dyDescent="0.2">
      <c r="A53" s="1"/>
    </row>
    <row r="54" spans="1:10" customFormat="1" ht="30" customHeight="1" x14ac:dyDescent="0.2">
      <c r="A54" s="1"/>
    </row>
    <row r="55" spans="1:10" customFormat="1" ht="30" customHeight="1" x14ac:dyDescent="0.2">
      <c r="A55" s="1"/>
    </row>
    <row r="56" spans="1:10" customFormat="1" ht="30" customHeight="1" x14ac:dyDescent="0.2">
      <c r="A56" s="1"/>
    </row>
    <row r="57" spans="1:10" customFormat="1" ht="30" customHeight="1" x14ac:dyDescent="0.2">
      <c r="A57" s="1"/>
    </row>
    <row r="58" spans="1:10" ht="30" hidden="1" customHeight="1" x14ac:dyDescent="0.2"/>
    <row r="59" spans="1:10" ht="30" hidden="1" customHeight="1" x14ac:dyDescent="0.2">
      <c r="C59" s="2" t="str">
        <f>IF(E59="","",D59&amp;". "&amp;E59)</f>
        <v>1. Posso adicionar mais linhas e colunas na planilha?</v>
      </c>
      <c r="D59" s="2">
        <v>1</v>
      </c>
      <c r="E59" s="2" t="s">
        <v>1</v>
      </c>
      <c r="J59" s="2" t="s">
        <v>2</v>
      </c>
    </row>
    <row r="60" spans="1:10" ht="30" hidden="1" customHeight="1" x14ac:dyDescent="0.2">
      <c r="C60" s="2" t="str">
        <f t="shared" ref="C60:C73" si="0">IF(E60="","",D60&amp;". "&amp;E60)</f>
        <v>2. Posso remover linhas?</v>
      </c>
      <c r="D60" s="2">
        <v>2</v>
      </c>
      <c r="E60" s="2" t="s">
        <v>3</v>
      </c>
      <c r="J60" s="2" t="s">
        <v>2</v>
      </c>
    </row>
    <row r="61" spans="1:10" ht="30" hidden="1" customHeight="1" x14ac:dyDescent="0.2">
      <c r="C61" s="2" t="str">
        <f t="shared" si="0"/>
        <v>3. Para que servem os alertas?</v>
      </c>
      <c r="D61" s="2">
        <v>3</v>
      </c>
      <c r="E61" s="2" t="s">
        <v>5</v>
      </c>
      <c r="J61" s="2" t="s">
        <v>4</v>
      </c>
    </row>
    <row r="62" spans="1:10" ht="30" hidden="1" customHeight="1" x14ac:dyDescent="0.2">
      <c r="C62" s="2" t="str">
        <f t="shared" si="0"/>
        <v>4. Essa planilha pode ser apresentada para instituições financeiras?</v>
      </c>
      <c r="D62" s="2">
        <v>4</v>
      </c>
      <c r="E62" s="2" t="s">
        <v>8</v>
      </c>
      <c r="J62" s="2" t="s">
        <v>9</v>
      </c>
    </row>
    <row r="63" spans="1:10" ht="30" hidden="1" customHeight="1" x14ac:dyDescent="0.2">
      <c r="C63" s="2" t="str">
        <f t="shared" si="0"/>
        <v>5. Como desbloquear a planilha?</v>
      </c>
      <c r="D63" s="2">
        <v>5</v>
      </c>
      <c r="E63" s="2" t="s">
        <v>6</v>
      </c>
      <c r="J63" s="2" t="s">
        <v>7</v>
      </c>
    </row>
    <row r="64" spans="1:10" ht="30" hidden="1" customHeight="1" x14ac:dyDescent="0.2">
      <c r="C64" s="2" t="str">
        <f t="shared" si="0"/>
        <v>6. Como redimensiono uma coluna ou linha da planilha?</v>
      </c>
      <c r="D64" s="2">
        <v>6</v>
      </c>
      <c r="E64" s="2" t="s">
        <v>10</v>
      </c>
      <c r="J64" s="2" t="s">
        <v>11</v>
      </c>
    </row>
    <row r="65" spans="3:10" ht="30" hidden="1" customHeight="1" x14ac:dyDescent="0.2">
      <c r="C65" s="2" t="str">
        <f t="shared" si="0"/>
        <v>7. Como faço para imprimir uma planilha?</v>
      </c>
      <c r="D65" s="2">
        <v>7</v>
      </c>
      <c r="E65" s="2" t="s">
        <v>12</v>
      </c>
      <c r="J65" s="2" t="s">
        <v>14</v>
      </c>
    </row>
    <row r="66" spans="3:10" ht="30" hidden="1" customHeight="1" x14ac:dyDescent="0.2">
      <c r="C66" s="2" t="str">
        <f t="shared" si="0"/>
        <v>8. Como mudo a moeda da planilha?</v>
      </c>
      <c r="D66" s="2">
        <v>8</v>
      </c>
      <c r="E66" s="2" t="s">
        <v>13</v>
      </c>
      <c r="J66" s="2" t="s">
        <v>15</v>
      </c>
    </row>
    <row r="67" spans="3:10" ht="30" hidden="1" customHeight="1" x14ac:dyDescent="0.2">
      <c r="C67" s="2" t="str">
        <f t="shared" si="0"/>
        <v/>
      </c>
      <c r="D67" s="2">
        <v>9</v>
      </c>
    </row>
    <row r="68" spans="3:10" ht="30" hidden="1" customHeight="1" x14ac:dyDescent="0.2">
      <c r="C68" s="2" t="str">
        <f t="shared" si="0"/>
        <v/>
      </c>
      <c r="D68" s="2">
        <v>10</v>
      </c>
    </row>
    <row r="69" spans="3:10" ht="30" hidden="1" customHeight="1" x14ac:dyDescent="0.2">
      <c r="C69" s="2" t="str">
        <f t="shared" si="0"/>
        <v/>
      </c>
      <c r="D69" s="2">
        <v>11</v>
      </c>
    </row>
    <row r="70" spans="3:10" ht="30" hidden="1" customHeight="1" x14ac:dyDescent="0.2">
      <c r="C70" s="2" t="str">
        <f t="shared" si="0"/>
        <v/>
      </c>
      <c r="D70" s="2">
        <v>12</v>
      </c>
    </row>
    <row r="71" spans="3:10" ht="30" hidden="1" customHeight="1" x14ac:dyDescent="0.2">
      <c r="C71" s="2" t="str">
        <f t="shared" si="0"/>
        <v/>
      </c>
      <c r="D71" s="2">
        <v>13</v>
      </c>
    </row>
    <row r="72" spans="3:10" ht="30" hidden="1" customHeight="1" x14ac:dyDescent="0.2">
      <c r="C72" s="2" t="str">
        <f t="shared" si="0"/>
        <v/>
      </c>
      <c r="D72" s="2">
        <v>14</v>
      </c>
    </row>
    <row r="73" spans="3:10" ht="30" hidden="1" customHeight="1" x14ac:dyDescent="0.2">
      <c r="C73" s="2" t="str">
        <f t="shared" si="0"/>
        <v/>
      </c>
      <c r="D73" s="2">
        <v>15</v>
      </c>
    </row>
    <row r="74" spans="3:10" ht="30" hidden="1" customHeight="1" x14ac:dyDescent="0.2"/>
    <row r="75" spans="3:10" ht="30" hidden="1" customHeight="1" x14ac:dyDescent="0.2"/>
    <row r="76" spans="3:10" ht="30" hidden="1" customHeight="1" x14ac:dyDescent="0.2"/>
    <row r="77" spans="3:10" ht="30" hidden="1" customHeight="1" x14ac:dyDescent="0.2"/>
    <row r="78" spans="3:10" ht="30" hidden="1" customHeight="1" x14ac:dyDescent="0.2"/>
    <row r="79" spans="3:10" ht="30" hidden="1" customHeight="1" x14ac:dyDescent="0.2"/>
    <row r="80" spans="3:1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x14ac:dyDescent="0.2"/>
  </sheetData>
  <sheetProtection sheet="1" objects="1" scenarios="1" selectLockedCells="1"/>
  <mergeCells count="4">
    <mergeCell ref="C5:K5"/>
    <mergeCell ref="C7:K11"/>
    <mergeCell ref="C4:K4"/>
    <mergeCell ref="C6:K6"/>
  </mergeCells>
  <dataValidations count="1">
    <dataValidation type="list" allowBlank="1" showInputMessage="1" showErrorMessage="1" sqref="C5:K5">
      <formula1>$C$59:$C$73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 enableFormatConditionsCalculation="0"/>
  <dimension ref="A1:X98"/>
  <sheetViews>
    <sheetView showGridLines="0" zoomScale="90" zoomScaleNormal="90" zoomScalePageLayoutView="90" workbookViewId="0"/>
  </sheetViews>
  <sheetFormatPr baseColWidth="10" defaultColWidth="8.83203125" defaultRowHeight="15" x14ac:dyDescent="0.2"/>
  <cols>
    <col min="1" max="1" width="27.6640625" style="1" customWidth="1"/>
    <col min="2" max="2" width="3.83203125" customWidth="1"/>
    <col min="3" max="3" width="8.6640625" customWidth="1"/>
    <col min="4" max="4" width="61.5" customWidth="1"/>
    <col min="5" max="5" width="7.6640625" customWidth="1"/>
    <col min="6" max="6" width="8.6640625" customWidth="1"/>
    <col min="7" max="7" width="61.5" customWidth="1"/>
  </cols>
  <sheetData>
    <row r="1" spans="1:7" s="4" customFormat="1" ht="34" customHeight="1" x14ac:dyDescent="0.3">
      <c r="A1" s="77" t="s">
        <v>163</v>
      </c>
      <c r="C1" s="5" t="s">
        <v>33</v>
      </c>
    </row>
    <row r="2" spans="1:7" s="4" customFormat="1" ht="21.5" customHeight="1" x14ac:dyDescent="0.2">
      <c r="A2" s="1"/>
    </row>
    <row r="3" spans="1:7" s="4" customFormat="1" ht="21.5" customHeight="1" x14ac:dyDescent="0.2">
      <c r="A3" s="1"/>
      <c r="C3" s="9" t="s">
        <v>37</v>
      </c>
    </row>
    <row r="4" spans="1:7" ht="15" customHeight="1" x14ac:dyDescent="0.2"/>
    <row r="5" spans="1:7" ht="18" customHeight="1" x14ac:dyDescent="0.2">
      <c r="F5" s="138">
        <v>1</v>
      </c>
      <c r="G5" s="7" t="s">
        <v>17</v>
      </c>
    </row>
    <row r="6" spans="1:7" ht="30" customHeight="1" x14ac:dyDescent="0.2">
      <c r="F6" s="138"/>
      <c r="G6" s="6" t="s">
        <v>16</v>
      </c>
    </row>
    <row r="7" spans="1:7" ht="18" customHeight="1" x14ac:dyDescent="0.2">
      <c r="F7" s="138"/>
      <c r="G7" s="8" t="s">
        <v>35</v>
      </c>
    </row>
    <row r="8" spans="1:7" ht="15" customHeight="1" x14ac:dyDescent="0.2"/>
    <row r="9" spans="1:7" ht="18" customHeight="1" x14ac:dyDescent="0.2">
      <c r="F9" s="138">
        <v>2</v>
      </c>
      <c r="G9" s="7" t="s">
        <v>18</v>
      </c>
    </row>
    <row r="10" spans="1:7" ht="40" customHeight="1" x14ac:dyDescent="0.2">
      <c r="F10" s="138"/>
      <c r="G10" s="6" t="s">
        <v>19</v>
      </c>
    </row>
    <row r="11" spans="1:7" ht="18" customHeight="1" x14ac:dyDescent="0.2">
      <c r="F11" s="138"/>
      <c r="G11" s="8" t="s">
        <v>35</v>
      </c>
    </row>
    <row r="12" spans="1:7" ht="15" customHeight="1" x14ac:dyDescent="0.2"/>
    <row r="13" spans="1:7" ht="18" customHeight="1" x14ac:dyDescent="0.2">
      <c r="F13" s="138">
        <v>3</v>
      </c>
      <c r="G13" s="7" t="s">
        <v>20</v>
      </c>
    </row>
    <row r="14" spans="1:7" ht="30" customHeight="1" x14ac:dyDescent="0.2">
      <c r="F14" s="138"/>
      <c r="G14" s="6" t="s">
        <v>21</v>
      </c>
    </row>
    <row r="15" spans="1:7" ht="18" customHeight="1" x14ac:dyDescent="0.2">
      <c r="F15" s="138"/>
      <c r="G15" s="8" t="s">
        <v>35</v>
      </c>
    </row>
    <row r="16" spans="1:7" ht="15" customHeight="1" x14ac:dyDescent="0.2"/>
    <row r="17" spans="6:7" ht="18" customHeight="1" x14ac:dyDescent="0.2">
      <c r="F17" s="138">
        <v>4</v>
      </c>
      <c r="G17" s="7" t="s">
        <v>24</v>
      </c>
    </row>
    <row r="18" spans="6:7" ht="30" customHeight="1" x14ac:dyDescent="0.2">
      <c r="F18" s="138"/>
      <c r="G18" s="6" t="s">
        <v>25</v>
      </c>
    </row>
    <row r="19" spans="6:7" ht="18" customHeight="1" x14ac:dyDescent="0.2">
      <c r="F19" s="138"/>
      <c r="G19" s="8" t="s">
        <v>35</v>
      </c>
    </row>
    <row r="20" spans="6:7" ht="15" customHeight="1" x14ac:dyDescent="0.2"/>
    <row r="21" spans="6:7" ht="18" customHeight="1" x14ac:dyDescent="0.2">
      <c r="F21" s="138">
        <v>5</v>
      </c>
      <c r="G21" s="7" t="s">
        <v>22</v>
      </c>
    </row>
    <row r="22" spans="6:7" ht="30" customHeight="1" x14ac:dyDescent="0.2">
      <c r="F22" s="138"/>
      <c r="G22" s="6" t="s">
        <v>0</v>
      </c>
    </row>
    <row r="23" spans="6:7" ht="18" customHeight="1" x14ac:dyDescent="0.2">
      <c r="F23" s="138"/>
      <c r="G23" s="8" t="s">
        <v>35</v>
      </c>
    </row>
    <row r="24" spans="6:7" ht="30" customHeight="1" x14ac:dyDescent="0.2"/>
    <row r="25" spans="6:7" ht="30" customHeight="1" x14ac:dyDescent="0.2"/>
    <row r="26" spans="6:7" ht="30" customHeight="1" x14ac:dyDescent="0.2"/>
    <row r="27" spans="6:7" ht="30" customHeight="1" x14ac:dyDescent="0.2"/>
    <row r="28" spans="6:7" ht="30" customHeight="1" x14ac:dyDescent="0.2"/>
    <row r="29" spans="6:7" ht="30" customHeight="1" x14ac:dyDescent="0.2"/>
    <row r="30" spans="6:7" ht="30" customHeight="1" x14ac:dyDescent="0.2"/>
    <row r="31" spans="6:7" ht="30" customHeight="1" x14ac:dyDescent="0.2"/>
    <row r="32" spans="6:7" ht="30" customHeight="1" x14ac:dyDescent="0.2"/>
    <row r="33" spans="1:24" s="2" customFormat="1" ht="30" customHeight="1" x14ac:dyDescent="0.2">
      <c r="A33" s="10"/>
      <c r="C33" s="2">
        <v>5</v>
      </c>
      <c r="D33" s="2" t="s">
        <v>22</v>
      </c>
      <c r="I33" s="2" t="s">
        <v>0</v>
      </c>
      <c r="O33" s="2" t="s">
        <v>23</v>
      </c>
      <c r="X33" s="2" t="s">
        <v>36</v>
      </c>
    </row>
    <row r="34" spans="1:24" ht="30" customHeight="1" x14ac:dyDescent="0.2"/>
    <row r="35" spans="1:24" ht="30" customHeight="1" x14ac:dyDescent="0.2"/>
    <row r="36" spans="1:24" ht="30" customHeight="1" x14ac:dyDescent="0.2"/>
    <row r="37" spans="1:24" ht="30" customHeight="1" x14ac:dyDescent="0.2"/>
    <row r="38" spans="1:24" ht="30" customHeight="1" x14ac:dyDescent="0.2"/>
    <row r="39" spans="1:24" ht="30" customHeight="1" x14ac:dyDescent="0.2"/>
    <row r="40" spans="1:24" ht="30" customHeight="1" x14ac:dyDescent="0.2"/>
    <row r="41" spans="1:24" ht="30" customHeight="1" x14ac:dyDescent="0.2"/>
    <row r="42" spans="1:24" ht="30" customHeight="1" x14ac:dyDescent="0.2"/>
    <row r="43" spans="1:24" ht="30" customHeight="1" x14ac:dyDescent="0.2"/>
    <row r="44" spans="1:24" ht="30" customHeight="1" x14ac:dyDescent="0.2"/>
    <row r="45" spans="1:24" ht="30" customHeight="1" x14ac:dyDescent="0.2"/>
    <row r="46" spans="1:24" ht="30" customHeight="1" x14ac:dyDescent="0.2"/>
    <row r="47" spans="1:24" ht="30" customHeight="1" x14ac:dyDescent="0.2"/>
    <row r="48" spans="1:24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</sheetData>
  <sheetProtection sheet="1" objects="1" scenarios="1"/>
  <mergeCells count="5">
    <mergeCell ref="F5:F7"/>
    <mergeCell ref="F9:F11"/>
    <mergeCell ref="F13:F15"/>
    <mergeCell ref="F17:F19"/>
    <mergeCell ref="F21:F23"/>
  </mergeCells>
  <hyperlinks>
    <hyperlink ref="G7" r:id="rId1"/>
    <hyperlink ref="G9" r:id="rId2"/>
    <hyperlink ref="G11" r:id="rId3"/>
    <hyperlink ref="G13" r:id="rId4"/>
    <hyperlink ref="G15" r:id="rId5"/>
    <hyperlink ref="G17" r:id="rId6"/>
    <hyperlink ref="G19" r:id="rId7"/>
    <hyperlink ref="G21" r:id="rId8"/>
    <hyperlink ref="G23" r:id="rId9"/>
    <hyperlink ref="G5" r:id="rId10"/>
  </hyperlinks>
  <pageMargins left="0.511811024" right="0.511811024" top="0.78740157499999996" bottom="0.78740157499999996" header="0.31496062000000002" footer="0.31496062000000002"/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 enableFormatConditionsCalculation="0"/>
  <dimension ref="A1:C100"/>
  <sheetViews>
    <sheetView showGridLines="0" zoomScale="90" zoomScaleNormal="90" zoomScalePageLayoutView="90" workbookViewId="0"/>
  </sheetViews>
  <sheetFormatPr baseColWidth="10" defaultColWidth="8.83203125" defaultRowHeight="15" x14ac:dyDescent="0.2"/>
  <cols>
    <col min="1" max="1" width="27.6640625" style="1" customWidth="1"/>
    <col min="2" max="2" width="3.83203125" customWidth="1"/>
  </cols>
  <sheetData>
    <row r="1" spans="1:3" s="4" customFormat="1" ht="34" customHeight="1" x14ac:dyDescent="0.3">
      <c r="A1" s="77" t="s">
        <v>163</v>
      </c>
      <c r="C1" s="5" t="s">
        <v>34</v>
      </c>
    </row>
    <row r="2" spans="1:3" s="4" customFormat="1" ht="21.5" customHeight="1" x14ac:dyDescent="0.2">
      <c r="A2" s="1"/>
    </row>
    <row r="3" spans="1:3" s="4" customFormat="1" ht="21.5" customHeight="1" x14ac:dyDescent="0.2">
      <c r="A3" s="1"/>
    </row>
    <row r="4" spans="1:3" ht="30" customHeight="1" x14ac:dyDescent="0.2"/>
    <row r="5" spans="1:3" ht="30" customHeight="1" x14ac:dyDescent="0.2"/>
    <row r="6" spans="1:3" ht="30" customHeight="1" x14ac:dyDescent="0.2"/>
    <row r="7" spans="1:3" ht="30" customHeight="1" x14ac:dyDescent="0.2"/>
    <row r="8" spans="1:3" ht="30" customHeight="1" x14ac:dyDescent="0.2"/>
    <row r="9" spans="1:3" ht="30" customHeight="1" x14ac:dyDescent="0.2"/>
    <row r="10" spans="1:3" ht="30" customHeight="1" x14ac:dyDescent="0.2"/>
    <row r="11" spans="1:3" ht="30" customHeight="1" x14ac:dyDescent="0.2"/>
    <row r="12" spans="1:3" ht="30" customHeight="1" x14ac:dyDescent="0.2"/>
    <row r="13" spans="1:3" ht="30" customHeight="1" x14ac:dyDescent="0.2"/>
    <row r="14" spans="1:3" ht="30" customHeight="1" x14ac:dyDescent="0.2"/>
    <row r="15" spans="1:3" ht="30" customHeight="1" x14ac:dyDescent="0.2"/>
    <row r="16" spans="1:3" ht="30" customHeight="1" x14ac:dyDescent="0.2"/>
    <row r="17" ht="30" customHeight="1" x14ac:dyDescent="0.2"/>
    <row r="18" ht="30" customHeight="1" x14ac:dyDescent="0.2"/>
    <row r="19" ht="30" customHeight="1" x14ac:dyDescent="0.2"/>
    <row r="20" ht="30" customHeight="1" x14ac:dyDescent="0.2"/>
    <row r="21" ht="30" customHeight="1" x14ac:dyDescent="0.2"/>
    <row r="22" ht="30" customHeight="1" x14ac:dyDescent="0.2"/>
    <row r="23" ht="30" customHeight="1" x14ac:dyDescent="0.2"/>
    <row r="24" ht="30" customHeight="1" x14ac:dyDescent="0.2"/>
    <row r="25" ht="30" customHeight="1" x14ac:dyDescent="0.2"/>
    <row r="26" ht="30" customHeight="1" x14ac:dyDescent="0.2"/>
    <row r="27" ht="30" customHeight="1" x14ac:dyDescent="0.2"/>
    <row r="28" ht="30" customHeight="1" x14ac:dyDescent="0.2"/>
    <row r="29" ht="30" customHeight="1" x14ac:dyDescent="0.2"/>
    <row r="30" ht="30" customHeight="1" x14ac:dyDescent="0.2"/>
    <row r="31" ht="30" customHeight="1" x14ac:dyDescent="0.2"/>
    <row r="32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</sheetData>
  <sheetProtection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 enableFormatConditionsCalculation="0"/>
  <dimension ref="A1:E52"/>
  <sheetViews>
    <sheetView showGridLines="0" workbookViewId="0">
      <selection activeCell="A16" sqref="A16:B25"/>
    </sheetView>
  </sheetViews>
  <sheetFormatPr baseColWidth="10" defaultColWidth="8.83203125" defaultRowHeight="15" x14ac:dyDescent="0.2"/>
  <cols>
    <col min="1" max="2" width="19.83203125" customWidth="1"/>
    <col min="3" max="3" width="25.5" customWidth="1"/>
    <col min="4" max="4" width="20.6640625" customWidth="1"/>
  </cols>
  <sheetData>
    <row r="1" spans="1:5" ht="17" thickBot="1" x14ac:dyDescent="0.25">
      <c r="A1" s="87" t="s">
        <v>125</v>
      </c>
      <c r="B1" s="88"/>
      <c r="C1" s="88"/>
      <c r="D1" s="88"/>
    </row>
    <row r="2" spans="1:5" ht="16" x14ac:dyDescent="0.2">
      <c r="A2" s="140" t="s">
        <v>118</v>
      </c>
      <c r="B2" s="141"/>
      <c r="C2" s="48" t="s">
        <v>119</v>
      </c>
      <c r="D2" s="49" t="s">
        <v>120</v>
      </c>
    </row>
    <row r="3" spans="1:5" ht="16" x14ac:dyDescent="0.2">
      <c r="A3" s="139" t="str">
        <f ca="1">IF(ISERR(
IF(C3="","",IF(C3=C2,INDEX(OFFSET(PG_CD!$C$6:$C$50,MATCH(Graf_Sup!C3,PG_CD!$O$6:$O$507,0),0),MATCH(Graf_Sup!C3,OFFSET(PG_CD!$O$6:$O$507,MATCH(Graf_Sup!C3,PG_CD!$O$6:$O$507,0),0),0),1),INDEX(PG_CD!$C$6:$C$50,MATCH(Graf_Sup!C3,PG_CD!$O$6:$O$507,0),1)))),"",
IF(C3="","",IF(C3=C2,INDEX(OFFSET(PG_CD!$C$6:$C$50,MATCH(Graf_Sup!C3,PG_CD!$O$6:$O$507,0),0),MATCH(Graf_Sup!C3,OFFSET(PG_CD!$O$6:$O$507,MATCH(Graf_Sup!C3,PG_CD!$O$6:$O$507,0),0),0),1),INDEX(PG_CD!$C$6:$C$50,MATCH(Graf_Sup!C3,PG_CD!$O$6:$O$507,0),1))))</f>
        <v/>
      </c>
      <c r="B3" s="139"/>
      <c r="C3" s="50" t="str">
        <f>IF(ISERR(
IF(LARGE(PG_CD!$O$6:$O$507,'RC'!H30)=0,"",LARGE(PG_CD!$O$6:$O$507,'RC'!H30))),"",IF(LARGE(PG_CD!$O$6:$O$507,'RC'!H30)=0,"",LARGE(PG_CD!$O$6:$O$507,'RC'!H30)))</f>
        <v/>
      </c>
      <c r="D3" s="51" t="str">
        <f ca="1">IF(ISERR(
IF(C3="","",IF(C3=C2,INDEX(OFFSET(PG_CD!$N$6:$N$507,MATCH(Graf_Sup!C3,PG_CD!$O$6:$O$507,0),0),MATCH(Graf_Sup!C3,OFFSET(PG_CD!$O$6:$O$507,MATCH(Graf_Sup!C3,PG_CD!$O$6:$O$507,0),0),0),1),INDEX(PG_CD!$N$6:$N$507,MATCH(Graf_Sup!C3,PG_CD!$O$6:$O$507,0),1)))),"",
IF(C3="","",IF(C3=C2,INDEX(OFFSET(PG_CD!$N$6:$N$507,MATCH(Graf_Sup!C3,PG_CD!$O$6:$O$507,0),0),MATCH(Graf_Sup!C3,OFFSET(PG_CD!$O$6:$O$507,MATCH(Graf_Sup!C3,PG_CD!$O$6:$O$507,0),0),0),1),INDEX(PG_CD!$N$6:$N$507,MATCH(Graf_Sup!C3,PG_CD!$O$6:$O$507,0),1))))</f>
        <v/>
      </c>
      <c r="E3" s="52" t="str">
        <f>IF(ISERR(ROUND(C3,0)),"",ROUND(C3,0))</f>
        <v/>
      </c>
    </row>
    <row r="4" spans="1:5" ht="16" x14ac:dyDescent="0.2">
      <c r="A4" s="139" t="str">
        <f ca="1">IF(ISERR(
IF(C4="","",IF(C4=C3,INDEX(OFFSET(PG_CD!$C$6:$C$50,MATCH(Graf_Sup!C4,PG_CD!$O$6:$O$507,0),0),MATCH(Graf_Sup!C4,OFFSET(PG_CD!$O$6:$O$507,MATCH(Graf_Sup!C4,PG_CD!$O$6:$O$507,0),0),0),1),INDEX(PG_CD!$C$6:$C$50,MATCH(Graf_Sup!C4,PG_CD!$O$6:$O$507,0),1)))),"",
IF(C4="","",IF(C4=C3,INDEX(OFFSET(PG_CD!$C$6:$C$50,MATCH(Graf_Sup!C4,PG_CD!$O$6:$O$507,0),0),MATCH(Graf_Sup!C4,OFFSET(PG_CD!$O$6:$O$507,MATCH(Graf_Sup!C4,PG_CD!$O$6:$O$507,0),0),0),1),INDEX(PG_CD!$C$6:$C$50,MATCH(Graf_Sup!C4,PG_CD!$O$6:$O$507,0),1))))</f>
        <v/>
      </c>
      <c r="B4" s="139"/>
      <c r="C4" s="50" t="str">
        <f>IF(ISERR(
IF(LARGE(PG_CD!$O$6:$O$507,'RC'!H31)=0,"",LARGE(PG_CD!$O$6:$O$507,'RC'!H31))),"",IF(LARGE(PG_CD!$O$6:$O$507,'RC'!H31)=0,"",LARGE(PG_CD!$O$6:$O$507,'RC'!H31)))</f>
        <v/>
      </c>
      <c r="D4" s="51" t="str">
        <f ca="1">IF(ISERR(
IF(C4="","",IF(C4=C3,INDEX(OFFSET(PG_CD!$N$6:$N$507,MATCH(Graf_Sup!C4,PG_CD!$O$6:$O$507,0),0),MATCH(Graf_Sup!C4,OFFSET(PG_CD!$O$6:$O$507,MATCH(Graf_Sup!C4,PG_CD!$O$6:$O$507,0),0),0),1),INDEX(PG_CD!$N$6:$N$507,MATCH(Graf_Sup!C4,PG_CD!$O$6:$O$507,0),1)))),"",
IF(C4="","",IF(C4=C3,INDEX(OFFSET(PG_CD!$N$6:$N$507,MATCH(Graf_Sup!C4,PG_CD!$O$6:$O$507,0),0),MATCH(Graf_Sup!C4,OFFSET(PG_CD!$O$6:$O$507,MATCH(Graf_Sup!C4,PG_CD!$O$6:$O$507,0),0),0),1),INDEX(PG_CD!$N$6:$N$507,MATCH(Graf_Sup!C4,PG_CD!$O$6:$O$507,0),1))))</f>
        <v/>
      </c>
      <c r="E4" s="52" t="str">
        <f t="shared" ref="E4:E12" si="0">IF(ISERR(ROUND(C4,0)),"",ROUND(C4,0))</f>
        <v/>
      </c>
    </row>
    <row r="5" spans="1:5" ht="16" x14ac:dyDescent="0.2">
      <c r="A5" s="139" t="str">
        <f ca="1">IF(ISERR(
IF(C5="","",IF(C5=C4,INDEX(OFFSET(PG_CD!$C$6:$C$50,MATCH(Graf_Sup!C5,PG_CD!$O$6:$O$507,0),0),MATCH(Graf_Sup!C5,OFFSET(PG_CD!$O$6:$O$507,MATCH(Graf_Sup!C5,PG_CD!$O$6:$O$507,0),0),0),1),INDEX(PG_CD!$C$6:$C$50,MATCH(Graf_Sup!C5,PG_CD!$O$6:$O$507,0),1)))),"",
IF(C5="","",IF(C5=C4,INDEX(OFFSET(PG_CD!$C$6:$C$50,MATCH(Graf_Sup!C5,PG_CD!$O$6:$O$507,0),0),MATCH(Graf_Sup!C5,OFFSET(PG_CD!$O$6:$O$507,MATCH(Graf_Sup!C5,PG_CD!$O$6:$O$507,0),0),0),1),INDEX(PG_CD!$C$6:$C$50,MATCH(Graf_Sup!C5,PG_CD!$O$6:$O$507,0),1))))</f>
        <v/>
      </c>
      <c r="B5" s="139"/>
      <c r="C5" s="50" t="str">
        <f>IF(ISERR(
IF(LARGE(PG_CD!$O$6:$O$507,'RC'!H32)=0,"",LARGE(PG_CD!$O$6:$O$507,'RC'!H32))),"",IF(LARGE(PG_CD!$O$6:$O$507,'RC'!H32)=0,"",LARGE(PG_CD!$O$6:$O$507,'RC'!H32)))</f>
        <v/>
      </c>
      <c r="D5" s="51" t="str">
        <f ca="1">IF(ISERR(
IF(C5="","",IF(C5=C4,INDEX(OFFSET(PG_CD!$N$6:$N$507,MATCH(Graf_Sup!C5,PG_CD!$O$6:$O$507,0),0),MATCH(Graf_Sup!C5,OFFSET(PG_CD!$O$6:$O$507,MATCH(Graf_Sup!C5,PG_CD!$O$6:$O$507,0),0),0),1),INDEX(PG_CD!$N$6:$N$507,MATCH(Graf_Sup!C5,PG_CD!$O$6:$O$507,0),1)))),"",
IF(C5="","",IF(C5=C4,INDEX(OFFSET(PG_CD!$N$6:$N$507,MATCH(Graf_Sup!C5,PG_CD!$O$6:$O$507,0),0),MATCH(Graf_Sup!C5,OFFSET(PG_CD!$O$6:$O$507,MATCH(Graf_Sup!C5,PG_CD!$O$6:$O$507,0),0),0),1),INDEX(PG_CD!$N$6:$N$507,MATCH(Graf_Sup!C5,PG_CD!$O$6:$O$507,0),1))))</f>
        <v/>
      </c>
      <c r="E5" s="52" t="str">
        <f t="shared" si="0"/>
        <v/>
      </c>
    </row>
    <row r="6" spans="1:5" ht="16" x14ac:dyDescent="0.2">
      <c r="A6" s="139" t="str">
        <f ca="1">IF(ISERR(
IF(C6="","",IF(C6=C5,INDEX(OFFSET(PG_CD!$C$6:$C$50,MATCH(Graf_Sup!C6,PG_CD!$O$6:$O$507,0),0),MATCH(Graf_Sup!C6,OFFSET(PG_CD!$O$6:$O$507,MATCH(Graf_Sup!C6,PG_CD!$O$6:$O$507,0),0),0),1),INDEX(PG_CD!$C$6:$C$50,MATCH(Graf_Sup!C6,PG_CD!$O$6:$O$507,0),1)))),"",
IF(C6="","",IF(C6=C5,INDEX(OFFSET(PG_CD!$C$6:$C$50,MATCH(Graf_Sup!C6,PG_CD!$O$6:$O$507,0),0),MATCH(Graf_Sup!C6,OFFSET(PG_CD!$O$6:$O$507,MATCH(Graf_Sup!C6,PG_CD!$O$6:$O$507,0),0),0),1),INDEX(PG_CD!$C$6:$C$50,MATCH(Graf_Sup!C6,PG_CD!$O$6:$O$507,0),1))))</f>
        <v/>
      </c>
      <c r="B6" s="139"/>
      <c r="C6" s="50" t="str">
        <f>IF(ISERR(
IF(LARGE(PG_CD!$O$6:$O$507,'RC'!H33)=0,"",LARGE(PG_CD!$O$6:$O$507,'RC'!H33))),"",IF(LARGE(PG_CD!$O$6:$O$507,'RC'!H33)=0,"",LARGE(PG_CD!$O$6:$O$507,'RC'!H33)))</f>
        <v/>
      </c>
      <c r="D6" s="51" t="str">
        <f ca="1">IF(ISERR(
IF(C6="","",IF(C6=C5,INDEX(OFFSET(PG_CD!$N$6:$N$507,MATCH(Graf_Sup!C6,PG_CD!$O$6:$O$507,0),0),MATCH(Graf_Sup!C6,OFFSET(PG_CD!$O$6:$O$507,MATCH(Graf_Sup!C6,PG_CD!$O$6:$O$507,0),0),0),1),INDEX(PG_CD!$N$6:$N$507,MATCH(Graf_Sup!C6,PG_CD!$O$6:$O$507,0),1)))),"",
IF(C6="","",IF(C6=C5,INDEX(OFFSET(PG_CD!$N$6:$N$507,MATCH(Graf_Sup!C6,PG_CD!$O$6:$O$507,0),0),MATCH(Graf_Sup!C6,OFFSET(PG_CD!$O$6:$O$507,MATCH(Graf_Sup!C6,PG_CD!$O$6:$O$507,0),0),0),1),INDEX(PG_CD!$N$6:$N$507,MATCH(Graf_Sup!C6,PG_CD!$O$6:$O$507,0),1))))</f>
        <v/>
      </c>
      <c r="E6" s="52" t="str">
        <f t="shared" si="0"/>
        <v/>
      </c>
    </row>
    <row r="7" spans="1:5" ht="16" x14ac:dyDescent="0.2">
      <c r="A7" s="139" t="str">
        <f ca="1">IF(ISERR(
IF(C7="","",IF(C7=C6,INDEX(OFFSET(PG_CD!$C$6:$C$50,MATCH(Graf_Sup!C7,PG_CD!$O$6:$O$507,0),0),MATCH(Graf_Sup!C7,OFFSET(PG_CD!$O$6:$O$507,MATCH(Graf_Sup!C7,PG_CD!$O$6:$O$507,0),0),0),1),INDEX(PG_CD!$C$6:$C$50,MATCH(Graf_Sup!C7,PG_CD!$O$6:$O$507,0),1)))),"",
IF(C7="","",IF(C7=C6,INDEX(OFFSET(PG_CD!$C$6:$C$50,MATCH(Graf_Sup!C7,PG_CD!$O$6:$O$507,0),0),MATCH(Graf_Sup!C7,OFFSET(PG_CD!$O$6:$O$507,MATCH(Graf_Sup!C7,PG_CD!$O$6:$O$507,0),0),0),1),INDEX(PG_CD!$C$6:$C$50,MATCH(Graf_Sup!C7,PG_CD!$O$6:$O$507,0),1))))</f>
        <v/>
      </c>
      <c r="B7" s="139"/>
      <c r="C7" s="50" t="str">
        <f>IF(ISERR(
IF(LARGE(PG_CD!$O$6:$O$507,'RC'!H34)=0,"",LARGE(PG_CD!$O$6:$O$507,'RC'!H34))),"",IF(LARGE(PG_CD!$O$6:$O$507,'RC'!H34)=0,"",LARGE(PG_CD!$O$6:$O$507,'RC'!H34)))</f>
        <v/>
      </c>
      <c r="D7" s="51" t="str">
        <f ca="1">IF(ISERR(
IF(C7="","",IF(C7=C6,INDEX(OFFSET(PG_CD!$N$6:$N$507,MATCH(Graf_Sup!C7,PG_CD!$O$6:$O$507,0),0),MATCH(Graf_Sup!C7,OFFSET(PG_CD!$O$6:$O$507,MATCH(Graf_Sup!C7,PG_CD!$O$6:$O$507,0),0),0),1),INDEX(PG_CD!$N$6:$N$507,MATCH(Graf_Sup!C7,PG_CD!$O$6:$O$507,0),1)))),"",
IF(C7="","",IF(C7=C6,INDEX(OFFSET(PG_CD!$N$6:$N$507,MATCH(Graf_Sup!C7,PG_CD!$O$6:$O$507,0),0),MATCH(Graf_Sup!C7,OFFSET(PG_CD!$O$6:$O$507,MATCH(Graf_Sup!C7,PG_CD!$O$6:$O$507,0),0),0),1),INDEX(PG_CD!$N$6:$N$507,MATCH(Graf_Sup!C7,PG_CD!$O$6:$O$507,0),1))))</f>
        <v/>
      </c>
      <c r="E7" s="52" t="str">
        <f t="shared" si="0"/>
        <v/>
      </c>
    </row>
    <row r="8" spans="1:5" ht="16" x14ac:dyDescent="0.2">
      <c r="A8" s="139" t="str">
        <f ca="1">IF(ISERR(
IF(C8="","",IF(C8=C7,INDEX(OFFSET(PG_CD!$C$6:$C$50,MATCH(Graf_Sup!C8,PG_CD!$O$6:$O$507,0),0),MATCH(Graf_Sup!C8,OFFSET(PG_CD!$O$6:$O$507,MATCH(Graf_Sup!C8,PG_CD!$O$6:$O$507,0),0),0),1),INDEX(PG_CD!$C$6:$C$50,MATCH(Graf_Sup!C8,PG_CD!$O$6:$O$507,0),1)))),"",
IF(C8="","",IF(C8=C7,INDEX(OFFSET(PG_CD!$C$6:$C$50,MATCH(Graf_Sup!C8,PG_CD!$O$6:$O$507,0),0),MATCH(Graf_Sup!C8,OFFSET(PG_CD!$O$6:$O$507,MATCH(Graf_Sup!C8,PG_CD!$O$6:$O$507,0),0),0),1),INDEX(PG_CD!$C$6:$C$50,MATCH(Graf_Sup!C8,PG_CD!$O$6:$O$507,0),1))))</f>
        <v/>
      </c>
      <c r="B8" s="139"/>
      <c r="C8" s="50" t="str">
        <f>IF(ISERR(
IF(LARGE(PG_CD!$O$6:$O$507,'RC'!H35)=0,"",LARGE(PG_CD!$O$6:$O$507,'RC'!H35))),"",IF(LARGE(PG_CD!$O$6:$O$507,'RC'!H35)=0,"",LARGE(PG_CD!$O$6:$O$507,'RC'!H35)))</f>
        <v/>
      </c>
      <c r="D8" s="51" t="str">
        <f ca="1">IF(ISERR(
IF(C8="","",IF(C8=C7,INDEX(OFFSET(PG_CD!$N$6:$N$507,MATCH(Graf_Sup!C8,PG_CD!$O$6:$O$507,0),0),MATCH(Graf_Sup!C8,OFFSET(PG_CD!$O$6:$O$507,MATCH(Graf_Sup!C8,PG_CD!$O$6:$O$507,0),0),0),1),INDEX(PG_CD!$N$6:$N$507,MATCH(Graf_Sup!C8,PG_CD!$O$6:$O$507,0),1)))),"",
IF(C8="","",IF(C8=C7,INDEX(OFFSET(PG_CD!$N$6:$N$507,MATCH(Graf_Sup!C8,PG_CD!$O$6:$O$507,0),0),MATCH(Graf_Sup!C8,OFFSET(PG_CD!$O$6:$O$507,MATCH(Graf_Sup!C8,PG_CD!$O$6:$O$507,0),0),0),1),INDEX(PG_CD!$N$6:$N$507,MATCH(Graf_Sup!C8,PG_CD!$O$6:$O$507,0),1))))</f>
        <v/>
      </c>
      <c r="E8" s="52" t="str">
        <f t="shared" si="0"/>
        <v/>
      </c>
    </row>
    <row r="9" spans="1:5" ht="16" x14ac:dyDescent="0.2">
      <c r="A9" s="139" t="str">
        <f ca="1">IF(ISERR(
IF(C9="","",IF(C9=C8,INDEX(OFFSET(PG_CD!$C$6:$C$50,MATCH(Graf_Sup!C9,PG_CD!$O$6:$O$507,0),0),MATCH(Graf_Sup!C9,OFFSET(PG_CD!$O$6:$O$507,MATCH(Graf_Sup!C9,PG_CD!$O$6:$O$507,0),0),0),1),INDEX(PG_CD!$C$6:$C$50,MATCH(Graf_Sup!C9,PG_CD!$O$6:$O$507,0),1)))),"",
IF(C9="","",IF(C9=C8,INDEX(OFFSET(PG_CD!$C$6:$C$50,MATCH(Graf_Sup!C9,PG_CD!$O$6:$O$507,0),0),MATCH(Graf_Sup!C9,OFFSET(PG_CD!$O$6:$O$507,MATCH(Graf_Sup!C9,PG_CD!$O$6:$O$507,0),0),0),1),INDEX(PG_CD!$C$6:$C$50,MATCH(Graf_Sup!C9,PG_CD!$O$6:$O$507,0),1))))</f>
        <v/>
      </c>
      <c r="B9" s="139"/>
      <c r="C9" s="50" t="str">
        <f>IF(ISERR(
IF(LARGE(PG_CD!$O$6:$O$507,'RC'!H36)=0,"",LARGE(PG_CD!$O$6:$O$507,'RC'!H36))),"",IF(LARGE(PG_CD!$O$6:$O$507,'RC'!H36)=0,"",LARGE(PG_CD!$O$6:$O$507,'RC'!H36)))</f>
        <v/>
      </c>
      <c r="D9" s="51" t="str">
        <f ca="1">IF(ISERR(
IF(C9="","",IF(C9=C8,INDEX(OFFSET(PG_CD!$N$6:$N$507,MATCH(Graf_Sup!C9,PG_CD!$O$6:$O$507,0),0),MATCH(Graf_Sup!C9,OFFSET(PG_CD!$O$6:$O$507,MATCH(Graf_Sup!C9,PG_CD!$O$6:$O$507,0),0),0),1),INDEX(PG_CD!$N$6:$N$507,MATCH(Graf_Sup!C9,PG_CD!$O$6:$O$507,0),1)))),"",
IF(C9="","",IF(C9=C8,INDEX(OFFSET(PG_CD!$N$6:$N$507,MATCH(Graf_Sup!C9,PG_CD!$O$6:$O$507,0),0),MATCH(Graf_Sup!C9,OFFSET(PG_CD!$O$6:$O$507,MATCH(Graf_Sup!C9,PG_CD!$O$6:$O$507,0),0),0),1),INDEX(PG_CD!$N$6:$N$507,MATCH(Graf_Sup!C9,PG_CD!$O$6:$O$507,0),1))))</f>
        <v/>
      </c>
      <c r="E9" s="52" t="str">
        <f t="shared" si="0"/>
        <v/>
      </c>
    </row>
    <row r="10" spans="1:5" ht="16" x14ac:dyDescent="0.2">
      <c r="A10" s="139" t="str">
        <f ca="1">IF(ISERR(
IF(C10="","",IF(C10=C9,INDEX(OFFSET(PG_CD!$C$6:$C$50,MATCH(Graf_Sup!C10,PG_CD!$O$6:$O$507,0),0),MATCH(Graf_Sup!C10,OFFSET(PG_CD!$O$6:$O$507,MATCH(Graf_Sup!C10,PG_CD!$O$6:$O$507,0),0),0),1),INDEX(PG_CD!$C$6:$C$50,MATCH(Graf_Sup!C10,PG_CD!$O$6:$O$507,0),1)))),"",
IF(C10="","",IF(C10=C9,INDEX(OFFSET(PG_CD!$C$6:$C$50,MATCH(Graf_Sup!C10,PG_CD!$O$6:$O$507,0),0),MATCH(Graf_Sup!C10,OFFSET(PG_CD!$O$6:$O$507,MATCH(Graf_Sup!C10,PG_CD!$O$6:$O$507,0),0),0),1),INDEX(PG_CD!$C$6:$C$50,MATCH(Graf_Sup!C10,PG_CD!$O$6:$O$507,0),1))))</f>
        <v/>
      </c>
      <c r="B10" s="139"/>
      <c r="C10" s="50" t="str">
        <f>IF(ISERR(
IF(LARGE(PG_CD!$O$6:$O$507,'RC'!H37)=0,"",LARGE(PG_CD!$O$6:$O$507,'RC'!H37))),"",IF(LARGE(PG_CD!$O$6:$O$507,'RC'!H37)=0,"",LARGE(PG_CD!$O$6:$O$507,'RC'!H37)))</f>
        <v/>
      </c>
      <c r="D10" s="51" t="str">
        <f ca="1">IF(ISERR(
IF(C10="","",IF(C10=C9,INDEX(OFFSET(PG_CD!$N$6:$N$507,MATCH(Graf_Sup!C10,PG_CD!$O$6:$O$507,0),0),MATCH(Graf_Sup!C10,OFFSET(PG_CD!$O$6:$O$507,MATCH(Graf_Sup!C10,PG_CD!$O$6:$O$507,0),0),0),1),INDEX(PG_CD!$N$6:$N$507,MATCH(Graf_Sup!C10,PG_CD!$O$6:$O$507,0),1)))),"",
IF(C10="","",IF(C10=C9,INDEX(OFFSET(PG_CD!$N$6:$N$507,MATCH(Graf_Sup!C10,PG_CD!$O$6:$O$507,0),0),MATCH(Graf_Sup!C10,OFFSET(PG_CD!$O$6:$O$507,MATCH(Graf_Sup!C10,PG_CD!$O$6:$O$507,0),0),0),1),INDEX(PG_CD!$N$6:$N$507,MATCH(Graf_Sup!C10,PG_CD!$O$6:$O$507,0),1))))</f>
        <v/>
      </c>
      <c r="E10" s="52" t="str">
        <f t="shared" si="0"/>
        <v/>
      </c>
    </row>
    <row r="11" spans="1:5" ht="16" x14ac:dyDescent="0.2">
      <c r="A11" s="139" t="str">
        <f ca="1">IF(ISERR(
IF(C11="","",IF(C11=C10,INDEX(OFFSET(PG_CD!$C$6:$C$50,MATCH(Graf_Sup!C11,PG_CD!$O$6:$O$507,0),0),MATCH(Graf_Sup!C11,OFFSET(PG_CD!$O$6:$O$507,MATCH(Graf_Sup!C11,PG_CD!$O$6:$O$507,0),0),0),1),INDEX(PG_CD!$C$6:$C$50,MATCH(Graf_Sup!C11,PG_CD!$O$6:$O$507,0),1)))),"",
IF(C11="","",IF(C11=C10,INDEX(OFFSET(PG_CD!$C$6:$C$50,MATCH(Graf_Sup!C11,PG_CD!$O$6:$O$507,0),0),MATCH(Graf_Sup!C11,OFFSET(PG_CD!$O$6:$O$507,MATCH(Graf_Sup!C11,PG_CD!$O$6:$O$507,0),0),0),1),INDEX(PG_CD!$C$6:$C$50,MATCH(Graf_Sup!C11,PG_CD!$O$6:$O$507,0),1))))</f>
        <v/>
      </c>
      <c r="B11" s="139"/>
      <c r="C11" s="50" t="str">
        <f>IF(ISERR(
IF(LARGE(PG_CD!$O$6:$O$507,'RC'!H38)=0,"",LARGE(PG_CD!$O$6:$O$507,'RC'!H38))),"",IF(LARGE(PG_CD!$O$6:$O$507,'RC'!H38)=0,"",LARGE(PG_CD!$O$6:$O$507,'RC'!H38)))</f>
        <v/>
      </c>
      <c r="D11" s="51" t="str">
        <f ca="1">IF(ISERR(
IF(C11="","",IF(C11=C10,INDEX(OFFSET(PG_CD!$N$6:$N$507,MATCH(Graf_Sup!C11,PG_CD!$O$6:$O$507,0),0),MATCH(Graf_Sup!C11,OFFSET(PG_CD!$O$6:$O$507,MATCH(Graf_Sup!C11,PG_CD!$O$6:$O$507,0),0),0),1),INDEX(PG_CD!$N$6:$N$507,MATCH(Graf_Sup!C11,PG_CD!$O$6:$O$507,0),1)))),"",
IF(C11="","",IF(C11=C10,INDEX(OFFSET(PG_CD!$N$6:$N$507,MATCH(Graf_Sup!C11,PG_CD!$O$6:$O$507,0),0),MATCH(Graf_Sup!C11,OFFSET(PG_CD!$O$6:$O$507,MATCH(Graf_Sup!C11,PG_CD!$O$6:$O$507,0),0),0),1),INDEX(PG_CD!$N$6:$N$507,MATCH(Graf_Sup!C11,PG_CD!$O$6:$O$507,0),1))))</f>
        <v/>
      </c>
      <c r="E11" s="52" t="str">
        <f t="shared" si="0"/>
        <v/>
      </c>
    </row>
    <row r="12" spans="1:5" ht="16" x14ac:dyDescent="0.2">
      <c r="A12" s="139" t="str">
        <f ca="1">IF(ISERR(
IF(C12="","",IF(C12=C11,INDEX(OFFSET(PG_CD!$C$6:$C$50,MATCH(Graf_Sup!C12,PG_CD!$O$6:$O$507,0),0),MATCH(Graf_Sup!C12,OFFSET(PG_CD!$O$6:$O$507,MATCH(Graf_Sup!C12,PG_CD!$O$6:$O$507,0),0),0),1),INDEX(PG_CD!$C$6:$C$50,MATCH(Graf_Sup!C12,PG_CD!$O$6:$O$507,0),1)))),"",
IF(C12="","",IF(C12=C11,INDEX(OFFSET(PG_CD!$C$6:$C$50,MATCH(Graf_Sup!C12,PG_CD!$O$6:$O$507,0),0),MATCH(Graf_Sup!C12,OFFSET(PG_CD!$O$6:$O$507,MATCH(Graf_Sup!C12,PG_CD!$O$6:$O$507,0),0),0),1),INDEX(PG_CD!$C$6:$C$50,MATCH(Graf_Sup!C12,PG_CD!$O$6:$O$507,0),1))))</f>
        <v/>
      </c>
      <c r="B12" s="139"/>
      <c r="C12" s="50" t="str">
        <f>IF(ISERR(
IF(LARGE(PG_CD!$O$6:$O$507,'RC'!H39)=0,"",LARGE(PG_CD!$O$6:$O$507,'RC'!H39))),"",IF(LARGE(PG_CD!$O$6:$O$507,'RC'!H39)=0,"",LARGE(PG_CD!$O$6:$O$507,'RC'!H39)))</f>
        <v/>
      </c>
      <c r="D12" s="51" t="str">
        <f ca="1">IF(ISERR(
IF(C12="","",IF(C12=C11,INDEX(OFFSET(PG_CD!$N$6:$N$507,MATCH(Graf_Sup!C12,PG_CD!$O$6:$O$507,0),0),MATCH(Graf_Sup!C12,OFFSET(PG_CD!$O$6:$O$507,MATCH(Graf_Sup!C12,PG_CD!$O$6:$O$507,0),0),0),1),INDEX(PG_CD!$N$6:$N$507,MATCH(Graf_Sup!C12,PG_CD!$O$6:$O$507,0),1)))),"",
IF(C12="","",IF(C12=C11,INDEX(OFFSET(PG_CD!$N$6:$N$507,MATCH(Graf_Sup!C12,PG_CD!$O$6:$O$507,0),0),MATCH(Graf_Sup!C12,OFFSET(PG_CD!$O$6:$O$507,MATCH(Graf_Sup!C12,PG_CD!$O$6:$O$507,0),0),0),1),INDEX(PG_CD!$N$6:$N$507,MATCH(Graf_Sup!C12,PG_CD!$O$6:$O$507,0),1))))</f>
        <v/>
      </c>
      <c r="E12" s="52" t="str">
        <f t="shared" si="0"/>
        <v/>
      </c>
    </row>
    <row r="14" spans="1:5" ht="16" thickBot="1" x14ac:dyDescent="0.25"/>
    <row r="15" spans="1:5" ht="16" x14ac:dyDescent="0.2">
      <c r="A15" s="140" t="s">
        <v>118</v>
      </c>
      <c r="B15" s="141"/>
      <c r="C15" s="48" t="s">
        <v>128</v>
      </c>
    </row>
    <row r="16" spans="1:5" ht="16" x14ac:dyDescent="0.2">
      <c r="A16" s="139" t="str">
        <f ca="1">IF(ISERROR(
IF(C16="","",IF(C16=C15,INDEX(OFFSET(PG_CD!$C$6:$C$50,MATCH(Graf_Sup!C16,PG_CD!$M$6:$M$50,0),0),MATCH(Graf_Sup!C16,OFFSET(PG_CD!$M$6:$M$50,MATCH(Graf_Sup!C16,PG_CD!$M$6:$M$50,0),0),0),1),INDEX(PG_CD!$C$6:$C$50,MATCH(Graf_Sup!C16,PG_CD!$M$6:$M$50,0),1)))),"",
IF(C16="","",IF(C16=C15,INDEX(OFFSET(PG_CD!$C$6:$C$50,MATCH(Graf_Sup!C16,PG_CD!$M$6:$M$50,0),0),MATCH(Graf_Sup!C16,OFFSET(PG_CD!$M$6:$M$50,MATCH(Graf_Sup!C16,PG_CD!$M$6:$M$50,0),0),0),1),INDEX(PG_CD!$C$6:$C$50,MATCH(Graf_Sup!C16,PG_CD!$M$6:$M$50,0),1))))</f>
        <v/>
      </c>
      <c r="B16" s="139"/>
      <c r="C16" s="53" t="str">
        <f>IF(ISERR(
LARGE(PG_CD!$M$6:$M$50,D16)),"",LARGE(PG_CD!$M$6:$M$50,D16))</f>
        <v/>
      </c>
      <c r="D16">
        <v>1</v>
      </c>
      <c r="E16" s="52"/>
    </row>
    <row r="17" spans="1:5" ht="16" x14ac:dyDescent="0.2">
      <c r="A17" s="139" t="str">
        <f ca="1">IF(ISERROR(
IF(C17="","",IF(C17=C16,INDEX(OFFSET(PG_CD!$C$6:$C$50,MATCH(Graf_Sup!C17,PG_CD!$M$6:$M$50,0),0),MATCH(Graf_Sup!C17,OFFSET(PG_CD!$M$6:$M$50,MATCH(Graf_Sup!C17,PG_CD!$M$6:$M$50,0),0),0),1),INDEX(PG_CD!$C$6:$C$50,MATCH(Graf_Sup!C17,PG_CD!$M$6:$M$50,0),1)))),"",
IF(C17="","",IF(C17=C16,INDEX(OFFSET(PG_CD!$C$6:$C$50,MATCH(Graf_Sup!C17,PG_CD!$M$6:$M$50,0),0),MATCH(Graf_Sup!C17,OFFSET(PG_CD!$M$6:$M$50,MATCH(Graf_Sup!C17,PG_CD!$M$6:$M$50,0),0),0),1),INDEX(PG_CD!$C$6:$C$50,MATCH(Graf_Sup!C17,PG_CD!$M$6:$M$50,0),1))))</f>
        <v/>
      </c>
      <c r="B17" s="139"/>
      <c r="C17" s="53" t="str">
        <f>IF(ISERR(
LARGE(PG_CD!$M$6:$M$50,D17)),"",LARGE(PG_CD!$M$6:$M$50,D17))</f>
        <v/>
      </c>
      <c r="D17">
        <v>2</v>
      </c>
      <c r="E17" s="52"/>
    </row>
    <row r="18" spans="1:5" ht="16" x14ac:dyDescent="0.2">
      <c r="A18" s="139" t="str">
        <f ca="1">IF(ISERROR(
IF(C18="","",IF(C18=C17,INDEX(OFFSET(PG_CD!$C$6:$C$50,MATCH(Graf_Sup!C18,PG_CD!$M$6:$M$50,0),0),MATCH(Graf_Sup!C18,OFFSET(PG_CD!$M$6:$M$50,MATCH(Graf_Sup!C18,PG_CD!$M$6:$M$50,0),0),0),1),INDEX(PG_CD!$C$6:$C$50,MATCH(Graf_Sup!C18,PG_CD!$M$6:$M$50,0),1)))),"",
IF(C18="","",IF(C18=C17,INDEX(OFFSET(PG_CD!$C$6:$C$50,MATCH(Graf_Sup!C18,PG_CD!$M$6:$M$50,0),0),MATCH(Graf_Sup!C18,OFFSET(PG_CD!$M$6:$M$50,MATCH(Graf_Sup!C18,PG_CD!$M$6:$M$50,0),0),0),1),INDEX(PG_CD!$C$6:$C$50,MATCH(Graf_Sup!C18,PG_CD!$M$6:$M$50,0),1))))</f>
        <v/>
      </c>
      <c r="B18" s="139"/>
      <c r="C18" s="53" t="str">
        <f>IF(ISERR(
LARGE(PG_CD!$M$6:$M$50,D18)),"",LARGE(PG_CD!$M$6:$M$50,D18))</f>
        <v/>
      </c>
      <c r="D18">
        <v>3</v>
      </c>
      <c r="E18" s="52"/>
    </row>
    <row r="19" spans="1:5" ht="16" x14ac:dyDescent="0.2">
      <c r="A19" s="139" t="str">
        <f ca="1">IF(ISERROR(
IF(C19="","",IF(C19=C18,INDEX(OFFSET(PG_CD!$C$6:$C$50,MATCH(Graf_Sup!C19,PG_CD!$M$6:$M$50,0),0),MATCH(Graf_Sup!C19,OFFSET(PG_CD!$M$6:$M$50,MATCH(Graf_Sup!C19,PG_CD!$M$6:$M$50,0),0),0),1),INDEX(PG_CD!$C$6:$C$50,MATCH(Graf_Sup!C19,PG_CD!$M$6:$M$50,0),1)))),"",
IF(C19="","",IF(C19=C18,INDEX(OFFSET(PG_CD!$C$6:$C$50,MATCH(Graf_Sup!C19,PG_CD!$M$6:$M$50,0),0),MATCH(Graf_Sup!C19,OFFSET(PG_CD!$M$6:$M$50,MATCH(Graf_Sup!C19,PG_CD!$M$6:$M$50,0),0),0),1),INDEX(PG_CD!$C$6:$C$50,MATCH(Graf_Sup!C19,PG_CD!$M$6:$M$50,0),1))))</f>
        <v/>
      </c>
      <c r="B19" s="139"/>
      <c r="C19" s="53" t="str">
        <f>IF(ISERR(
LARGE(PG_CD!$M$6:$M$50,D19)),"",LARGE(PG_CD!$M$6:$M$50,D19))</f>
        <v/>
      </c>
      <c r="D19">
        <v>4</v>
      </c>
      <c r="E19" s="52"/>
    </row>
    <row r="20" spans="1:5" ht="16" x14ac:dyDescent="0.2">
      <c r="A20" s="139" t="str">
        <f ca="1">IF(ISERROR(
IF(C20="","",IF(C20=C19,INDEX(OFFSET(PG_CD!$C$6:$C$50,MATCH(Graf_Sup!C20,PG_CD!$M$6:$M$50,0),0),MATCH(Graf_Sup!C20,OFFSET(PG_CD!$M$6:$M$50,MATCH(Graf_Sup!C20,PG_CD!$M$6:$M$50,0),0),0),1),INDEX(PG_CD!$C$6:$C$50,MATCH(Graf_Sup!C20,PG_CD!$M$6:$M$50,0),1)))),"",
IF(C20="","",IF(C20=C19,INDEX(OFFSET(PG_CD!$C$6:$C$50,MATCH(Graf_Sup!C20,PG_CD!$M$6:$M$50,0),0),MATCH(Graf_Sup!C20,OFFSET(PG_CD!$M$6:$M$50,MATCH(Graf_Sup!C20,PG_CD!$M$6:$M$50,0),0),0),1),INDEX(PG_CD!$C$6:$C$50,MATCH(Graf_Sup!C20,PG_CD!$M$6:$M$50,0),1))))</f>
        <v/>
      </c>
      <c r="B20" s="139"/>
      <c r="C20" s="53" t="str">
        <f>IF(ISERR(
LARGE(PG_CD!$M$6:$M$50,D20)),"",LARGE(PG_CD!$M$6:$M$50,D20))</f>
        <v/>
      </c>
      <c r="D20">
        <v>5</v>
      </c>
      <c r="E20" s="52"/>
    </row>
    <row r="21" spans="1:5" ht="16" x14ac:dyDescent="0.2">
      <c r="A21" s="139" t="str">
        <f ca="1">IF(ISERROR(
IF(C21="","",IF(C21=C20,INDEX(OFFSET(PG_CD!$C$6:$C$50,MATCH(Graf_Sup!C21,PG_CD!$M$6:$M$50,0),0),MATCH(Graf_Sup!C21,OFFSET(PG_CD!$M$6:$M$50,MATCH(Graf_Sup!C21,PG_CD!$M$6:$M$50,0),0),0),1),INDEX(PG_CD!$C$6:$C$50,MATCH(Graf_Sup!C21,PG_CD!$M$6:$M$50,0),1)))),"",
IF(C21="","",IF(C21=C20,INDEX(OFFSET(PG_CD!$C$6:$C$50,MATCH(Graf_Sup!C21,PG_CD!$M$6:$M$50,0),0),MATCH(Graf_Sup!C21,OFFSET(PG_CD!$M$6:$M$50,MATCH(Graf_Sup!C21,PG_CD!$M$6:$M$50,0),0),0),1),INDEX(PG_CD!$C$6:$C$50,MATCH(Graf_Sup!C21,PG_CD!$M$6:$M$50,0),1))))</f>
        <v/>
      </c>
      <c r="B21" s="139"/>
      <c r="C21" s="53" t="str">
        <f>IF(ISERR(
LARGE(PG_CD!$M$6:$M$50,D21)),"",LARGE(PG_CD!$M$6:$M$50,D21))</f>
        <v/>
      </c>
      <c r="D21">
        <v>6</v>
      </c>
      <c r="E21" s="52"/>
    </row>
    <row r="22" spans="1:5" ht="16" x14ac:dyDescent="0.2">
      <c r="A22" s="139" t="str">
        <f ca="1">IF(ISERROR(
IF(C22="","",IF(C22=C21,INDEX(OFFSET(PG_CD!$C$6:$C$50,MATCH(Graf_Sup!C22,PG_CD!$M$6:$M$50,0),0),MATCH(Graf_Sup!C22,OFFSET(PG_CD!$M$6:$M$50,MATCH(Graf_Sup!C22,PG_CD!$M$6:$M$50,0),0),0),1),INDEX(PG_CD!$C$6:$C$50,MATCH(Graf_Sup!C22,PG_CD!$M$6:$M$50,0),1)))),"",
IF(C22="","",IF(C22=C21,INDEX(OFFSET(PG_CD!$C$6:$C$50,MATCH(Graf_Sup!C22,PG_CD!$M$6:$M$50,0),0),MATCH(Graf_Sup!C22,OFFSET(PG_CD!$M$6:$M$50,MATCH(Graf_Sup!C22,PG_CD!$M$6:$M$50,0),0),0),1),INDEX(PG_CD!$C$6:$C$50,MATCH(Graf_Sup!C22,PG_CD!$M$6:$M$50,0),1))))</f>
        <v/>
      </c>
      <c r="B22" s="139"/>
      <c r="C22" s="53" t="str">
        <f>IF(ISERR(
LARGE(PG_CD!$M$6:$M$50,D22)),"",LARGE(PG_CD!$M$6:$M$50,D22))</f>
        <v/>
      </c>
      <c r="D22">
        <v>7</v>
      </c>
      <c r="E22" s="52"/>
    </row>
    <row r="23" spans="1:5" ht="16" x14ac:dyDescent="0.2">
      <c r="A23" s="139" t="str">
        <f ca="1">IF(ISERROR(
IF(C23="","",IF(C23=C22,INDEX(OFFSET(PG_CD!$C$6:$C$50,MATCH(Graf_Sup!C23,PG_CD!$M$6:$M$50,0),0),MATCH(Graf_Sup!C23,OFFSET(PG_CD!$M$6:$M$50,MATCH(Graf_Sup!C23,PG_CD!$M$6:$M$50,0),0),0),1),INDEX(PG_CD!$C$6:$C$50,MATCH(Graf_Sup!C23,PG_CD!$M$6:$M$50,0),1)))),"",
IF(C23="","",IF(C23=C22,INDEX(OFFSET(PG_CD!$C$6:$C$50,MATCH(Graf_Sup!C23,PG_CD!$M$6:$M$50,0),0),MATCH(Graf_Sup!C23,OFFSET(PG_CD!$M$6:$M$50,MATCH(Graf_Sup!C23,PG_CD!$M$6:$M$50,0),0),0),1),INDEX(PG_CD!$C$6:$C$50,MATCH(Graf_Sup!C23,PG_CD!$M$6:$M$50,0),1))))</f>
        <v/>
      </c>
      <c r="B23" s="139"/>
      <c r="C23" s="53" t="str">
        <f>IF(ISERR(
LARGE(PG_CD!$M$6:$M$50,D23)),"",LARGE(PG_CD!$M$6:$M$50,D23))</f>
        <v/>
      </c>
      <c r="D23">
        <v>8</v>
      </c>
      <c r="E23" s="52"/>
    </row>
    <row r="24" spans="1:5" ht="16" x14ac:dyDescent="0.2">
      <c r="A24" s="139" t="str">
        <f ca="1">IF(ISERROR(
IF(C24="","",IF(C24=C23,INDEX(OFFSET(PG_CD!$C$6:$C$50,MATCH(Graf_Sup!C24,PG_CD!$M$6:$M$50,0),0),MATCH(Graf_Sup!C24,OFFSET(PG_CD!$M$6:$M$50,MATCH(Graf_Sup!C24,PG_CD!$M$6:$M$50,0),0),0),1),INDEX(PG_CD!$C$6:$C$50,MATCH(Graf_Sup!C24,PG_CD!$M$6:$M$50,0),1)))),"",
IF(C24="","",IF(C24=C23,INDEX(OFFSET(PG_CD!$C$6:$C$50,MATCH(Graf_Sup!C24,PG_CD!$M$6:$M$50,0),0),MATCH(Graf_Sup!C24,OFFSET(PG_CD!$M$6:$M$50,MATCH(Graf_Sup!C24,PG_CD!$M$6:$M$50,0),0),0),1),INDEX(PG_CD!$C$6:$C$50,MATCH(Graf_Sup!C24,PG_CD!$M$6:$M$50,0),1))))</f>
        <v/>
      </c>
      <c r="B24" s="139"/>
      <c r="C24" s="53" t="str">
        <f>IF(ISERR(
LARGE(PG_CD!$M$6:$M$50,D24)),"",LARGE(PG_CD!$M$6:$M$50,D24))</f>
        <v/>
      </c>
      <c r="D24">
        <v>9</v>
      </c>
      <c r="E24" s="52"/>
    </row>
    <row r="25" spans="1:5" ht="16" x14ac:dyDescent="0.2">
      <c r="A25" s="139" t="str">
        <f ca="1">IF(ISERROR(
IF(C25="","",IF(C25=C24,INDEX(OFFSET(PG_CD!$C$6:$C$50,MATCH(Graf_Sup!C25,PG_CD!$M$6:$M$50,0),0),MATCH(Graf_Sup!C25,OFFSET(PG_CD!$M$6:$M$50,MATCH(Graf_Sup!C25,PG_CD!$M$6:$M$50,0),0),0),1),INDEX(PG_CD!$C$6:$C$50,MATCH(Graf_Sup!C25,PG_CD!$M$6:$M$50,0),1)))),"",
IF(C25="","",IF(C25=C24,INDEX(OFFSET(PG_CD!$C$6:$C$50,MATCH(Graf_Sup!C25,PG_CD!$M$6:$M$50,0),0),MATCH(Graf_Sup!C25,OFFSET(PG_CD!$M$6:$M$50,MATCH(Graf_Sup!C25,PG_CD!$M$6:$M$50,0),0),0),1),INDEX(PG_CD!$C$6:$C$50,MATCH(Graf_Sup!C25,PG_CD!$M$6:$M$50,0),1))))</f>
        <v/>
      </c>
      <c r="B25" s="139"/>
      <c r="C25" s="53" t="str">
        <f>IF(ISERR(
LARGE(PG_CD!$M$6:$M$50,D25)),"",LARGE(PG_CD!$M$6:$M$50,D25))</f>
        <v/>
      </c>
      <c r="D25">
        <v>10</v>
      </c>
      <c r="E25" s="52"/>
    </row>
    <row r="28" spans="1:5" ht="16" thickBot="1" x14ac:dyDescent="0.25"/>
    <row r="29" spans="1:5" ht="16" x14ac:dyDescent="0.2">
      <c r="A29" s="140" t="s">
        <v>129</v>
      </c>
      <c r="B29" s="141"/>
      <c r="C29" s="48" t="s">
        <v>131</v>
      </c>
    </row>
    <row r="30" spans="1:5" ht="16" x14ac:dyDescent="0.2">
      <c r="A30" s="139" t="str">
        <f ca="1">IF(ISERR(
IF(C30="","",IF(C30=C29,INDEX(OFFSET(PEq!$C$6:$C$50,MATCH(Graf_Sup!C30,PEq!$D$6:$D$50,0),0),MATCH(Graf_Sup!C30,OFFSET(PEq!$D$6:$D$50,MATCH(Graf_Sup!C30,PEq!$D$6:$D$50,0),0),0),1),INDEX(PEq!$C$6:$C$50,MATCH(Graf_Sup!C30,PEq!$D$6:$D$50,0),1)))),"",
IF(C30="","",IF(C30=C29,INDEX(OFFSET(PEq!$C$6:$C$50,MATCH(Graf_Sup!C30,PEq!$D$6:$D$50,0),0),MATCH(Graf_Sup!C30,OFFSET(PEq!$D$6:$D$50,MATCH(Graf_Sup!C30,PEq!$D$6:$D$50,0),0),0),1),INDEX(PEq!$C$6:$C$50,MATCH(Graf_Sup!C30,PEq!$D$6:$D$50,0),1))))</f>
        <v/>
      </c>
      <c r="B30" s="139"/>
      <c r="C30" s="54" t="str">
        <f>IF(ISERR(
LARGE(PEq!$D$6:$D$50,D30)),"",LARGE(PEq!$D$6:$D$50,D30))</f>
        <v/>
      </c>
      <c r="D30">
        <v>1</v>
      </c>
      <c r="E30" s="52"/>
    </row>
    <row r="31" spans="1:5" ht="16" x14ac:dyDescent="0.2">
      <c r="A31" s="139" t="str">
        <f ca="1">IF(ISERR(
IF(C31="","",IF(C31=C30,INDEX(OFFSET(PEq!$C$6:$C$50,MATCH(Graf_Sup!C31,PEq!$D$6:$D$50,0),0),MATCH(Graf_Sup!C31,OFFSET(PEq!$D$6:$D$50,MATCH(Graf_Sup!C31,PEq!$D$6:$D$50,0),0),0),1),INDEX(PEq!$C$6:$C$50,MATCH(Graf_Sup!C31,PEq!$D$6:$D$50,0),1)))),"",
IF(C31="","",IF(C31=C30,INDEX(OFFSET(PEq!$C$6:$C$50,MATCH(Graf_Sup!C31,PEq!$D$6:$D$50,0),0),MATCH(Graf_Sup!C31,OFFSET(PEq!$D$6:$D$50,MATCH(Graf_Sup!C31,PEq!$D$6:$D$50,0),0),0),1),INDEX(PEq!$C$6:$C$50,MATCH(Graf_Sup!C31,PEq!$D$6:$D$50,0),1))))</f>
        <v/>
      </c>
      <c r="B31" s="139"/>
      <c r="C31" s="54" t="str">
        <f>IF(ISERR(
LARGE(PEq!$D$6:$D$50,D31)),"",LARGE(PEq!$D$6:$D$50,D31))</f>
        <v/>
      </c>
      <c r="D31">
        <v>2</v>
      </c>
      <c r="E31" s="52"/>
    </row>
    <row r="32" spans="1:5" ht="16" x14ac:dyDescent="0.2">
      <c r="A32" s="139" t="str">
        <f ca="1">IF(ISERR(
IF(C32="","",IF(C32=C31,INDEX(OFFSET(PEq!$C$6:$C$50,MATCH(Graf_Sup!C32,PEq!$D$6:$D$50,0),0),MATCH(Graf_Sup!C32,OFFSET(PEq!$D$6:$D$50,MATCH(Graf_Sup!C32,PEq!$D$6:$D$50,0),0),0),1),INDEX(PEq!$C$6:$C$50,MATCH(Graf_Sup!C32,PEq!$D$6:$D$50,0),1)))),"",
IF(C32="","",IF(C32=C31,INDEX(OFFSET(PEq!$C$6:$C$50,MATCH(Graf_Sup!C32,PEq!$D$6:$D$50,0),0),MATCH(Graf_Sup!C32,OFFSET(PEq!$D$6:$D$50,MATCH(Graf_Sup!C32,PEq!$D$6:$D$50,0),0),0),1),INDEX(PEq!$C$6:$C$50,MATCH(Graf_Sup!C32,PEq!$D$6:$D$50,0),1))))</f>
        <v/>
      </c>
      <c r="B32" s="139"/>
      <c r="C32" s="54" t="str">
        <f>IF(ISERR(
LARGE(PEq!$D$6:$D$50,D32)),"",LARGE(PEq!$D$6:$D$50,D32))</f>
        <v/>
      </c>
      <c r="D32">
        <v>3</v>
      </c>
      <c r="E32" s="52"/>
    </row>
    <row r="33" spans="1:5" ht="16" x14ac:dyDescent="0.2">
      <c r="A33" s="139" t="str">
        <f ca="1">IF(ISERR(
IF(C33="","",IF(C33=C32,INDEX(OFFSET(PEq!$C$6:$C$50,MATCH(Graf_Sup!C33,PEq!$D$6:$D$50,0),0),MATCH(Graf_Sup!C33,OFFSET(PEq!$D$6:$D$50,MATCH(Graf_Sup!C33,PEq!$D$6:$D$50,0),0),0),1),INDEX(PEq!$C$6:$C$50,MATCH(Graf_Sup!C33,PEq!$D$6:$D$50,0),1)))),"",
IF(C33="","",IF(C33=C32,INDEX(OFFSET(PEq!$C$6:$C$50,MATCH(Graf_Sup!C33,PEq!$D$6:$D$50,0),0),MATCH(Graf_Sup!C33,OFFSET(PEq!$D$6:$D$50,MATCH(Graf_Sup!C33,PEq!$D$6:$D$50,0),0),0),1),INDEX(PEq!$C$6:$C$50,MATCH(Graf_Sup!C33,PEq!$D$6:$D$50,0),1))))</f>
        <v/>
      </c>
      <c r="B33" s="139"/>
      <c r="C33" s="54" t="str">
        <f>IF(ISERR(
LARGE(PEq!$D$6:$D$50,D33)),"",LARGE(PEq!$D$6:$D$50,D33))</f>
        <v/>
      </c>
      <c r="D33">
        <v>4</v>
      </c>
      <c r="E33" s="52"/>
    </row>
    <row r="34" spans="1:5" ht="16" x14ac:dyDescent="0.2">
      <c r="A34" s="139" t="str">
        <f ca="1">IF(ISERR(
IF(C34="","",IF(C34=C33,INDEX(OFFSET(PEq!$C$6:$C$50,MATCH(Graf_Sup!C34,PEq!$D$6:$D$50,0),0),MATCH(Graf_Sup!C34,OFFSET(PEq!$D$6:$D$50,MATCH(Graf_Sup!C34,PEq!$D$6:$D$50,0),0),0),1),INDEX(PEq!$C$6:$C$50,MATCH(Graf_Sup!C34,PEq!$D$6:$D$50,0),1)))),"",
IF(C34="","",IF(C34=C33,INDEX(OFFSET(PEq!$C$6:$C$50,MATCH(Graf_Sup!C34,PEq!$D$6:$D$50,0),0),MATCH(Graf_Sup!C34,OFFSET(PEq!$D$6:$D$50,MATCH(Graf_Sup!C34,PEq!$D$6:$D$50,0),0),0),1),INDEX(PEq!$C$6:$C$50,MATCH(Graf_Sup!C34,PEq!$D$6:$D$50,0),1))))</f>
        <v/>
      </c>
      <c r="B34" s="139"/>
      <c r="C34" s="54" t="str">
        <f>IF(ISERR(
LARGE(PEq!$D$6:$D$50,D34)),"",LARGE(PEq!$D$6:$D$50,D34))</f>
        <v/>
      </c>
      <c r="D34">
        <v>5</v>
      </c>
      <c r="E34" s="52"/>
    </row>
    <row r="35" spans="1:5" ht="16" x14ac:dyDescent="0.2">
      <c r="A35" s="139" t="str">
        <f ca="1">IF(ISERR(
IF(C35="","",IF(C35=C34,INDEX(OFFSET(PEq!$C$6:$C$50,MATCH(Graf_Sup!C35,PEq!$D$6:$D$50,0),0),MATCH(Graf_Sup!C35,OFFSET(PEq!$D$6:$D$50,MATCH(Graf_Sup!C35,PEq!$D$6:$D$50,0),0),0),1),INDEX(PEq!$C$6:$C$50,MATCH(Graf_Sup!C35,PEq!$D$6:$D$50,0),1)))),"",
IF(C35="","",IF(C35=C34,INDEX(OFFSET(PEq!$C$6:$C$50,MATCH(Graf_Sup!C35,PEq!$D$6:$D$50,0),0),MATCH(Graf_Sup!C35,OFFSET(PEq!$D$6:$D$50,MATCH(Graf_Sup!C35,PEq!$D$6:$D$50,0),0),0),1),INDEX(PEq!$C$6:$C$50,MATCH(Graf_Sup!C35,PEq!$D$6:$D$50,0),1))))</f>
        <v/>
      </c>
      <c r="B35" s="139"/>
      <c r="C35" s="54" t="str">
        <f>IF(ISERR(
LARGE(PEq!$D$6:$D$50,D35)),"",LARGE(PEq!$D$6:$D$50,D35))</f>
        <v/>
      </c>
      <c r="D35">
        <v>6</v>
      </c>
      <c r="E35" s="52"/>
    </row>
    <row r="36" spans="1:5" ht="16" x14ac:dyDescent="0.2">
      <c r="A36" s="139" t="str">
        <f ca="1">IF(ISERR(
IF(C36="","",IF(C36=C35,INDEX(OFFSET(PEq!$C$6:$C$50,MATCH(Graf_Sup!C36,PEq!$D$6:$D$50,0),0),MATCH(Graf_Sup!C36,OFFSET(PEq!$D$6:$D$50,MATCH(Graf_Sup!C36,PEq!$D$6:$D$50,0),0),0),1),INDEX(PEq!$C$6:$C$50,MATCH(Graf_Sup!C36,PEq!$D$6:$D$50,0),1)))),"",
IF(C36="","",IF(C36=C35,INDEX(OFFSET(PEq!$C$6:$C$50,MATCH(Graf_Sup!C36,PEq!$D$6:$D$50,0),0),MATCH(Graf_Sup!C36,OFFSET(PEq!$D$6:$D$50,MATCH(Graf_Sup!C36,PEq!$D$6:$D$50,0),0),0),1),INDEX(PEq!$C$6:$C$50,MATCH(Graf_Sup!C36,PEq!$D$6:$D$50,0),1))))</f>
        <v/>
      </c>
      <c r="B36" s="139"/>
      <c r="C36" s="54" t="str">
        <f>IF(ISERR(
LARGE(PEq!$D$6:$D$50,D36)),"",LARGE(PEq!$D$6:$D$50,D36))</f>
        <v/>
      </c>
      <c r="D36">
        <v>7</v>
      </c>
      <c r="E36" s="52"/>
    </row>
    <row r="37" spans="1:5" ht="16" x14ac:dyDescent="0.2">
      <c r="A37" s="139" t="str">
        <f ca="1">IF(ISERR(
IF(C37="","",IF(C37=C36,INDEX(OFFSET(PEq!$C$6:$C$50,MATCH(Graf_Sup!C37,PEq!$D$6:$D$50,0),0),MATCH(Graf_Sup!C37,OFFSET(PEq!$D$6:$D$50,MATCH(Graf_Sup!C37,PEq!$D$6:$D$50,0),0),0),1),INDEX(PEq!$C$6:$C$50,MATCH(Graf_Sup!C37,PEq!$D$6:$D$50,0),1)))),"",
IF(C37="","",IF(C37=C36,INDEX(OFFSET(PEq!$C$6:$C$50,MATCH(Graf_Sup!C37,PEq!$D$6:$D$50,0),0),MATCH(Graf_Sup!C37,OFFSET(PEq!$D$6:$D$50,MATCH(Graf_Sup!C37,PEq!$D$6:$D$50,0),0),0),1),INDEX(PEq!$C$6:$C$50,MATCH(Graf_Sup!C37,PEq!$D$6:$D$50,0),1))))</f>
        <v/>
      </c>
      <c r="B37" s="139"/>
      <c r="C37" s="54" t="str">
        <f>IF(ISERR(
LARGE(PEq!$D$6:$D$50,D37)),"",LARGE(PEq!$D$6:$D$50,D37))</f>
        <v/>
      </c>
      <c r="D37">
        <v>8</v>
      </c>
      <c r="E37" s="52"/>
    </row>
    <row r="38" spans="1:5" ht="16" x14ac:dyDescent="0.2">
      <c r="A38" s="139" t="str">
        <f ca="1">IF(ISERR(
IF(C38="","",IF(C38=C37,INDEX(OFFSET(PEq!$C$6:$C$50,MATCH(Graf_Sup!C38,PEq!$D$6:$D$50,0),0),MATCH(Graf_Sup!C38,OFFSET(PEq!$D$6:$D$50,MATCH(Graf_Sup!C38,PEq!$D$6:$D$50,0),0),0),1),INDEX(PEq!$C$6:$C$50,MATCH(Graf_Sup!C38,PEq!$D$6:$D$50,0),1)))),"",
IF(C38="","",IF(C38=C37,INDEX(OFFSET(PEq!$C$6:$C$50,MATCH(Graf_Sup!C38,PEq!$D$6:$D$50,0),0),MATCH(Graf_Sup!C38,OFFSET(PEq!$D$6:$D$50,MATCH(Graf_Sup!C38,PEq!$D$6:$D$50,0),0),0),1),INDEX(PEq!$C$6:$C$50,MATCH(Graf_Sup!C38,PEq!$D$6:$D$50,0),1))))</f>
        <v/>
      </c>
      <c r="B38" s="139"/>
      <c r="C38" s="54" t="str">
        <f>IF(ISERR(
LARGE(PEq!$D$6:$D$50,D38)),"",LARGE(PEq!$D$6:$D$50,D38))</f>
        <v/>
      </c>
      <c r="D38">
        <v>9</v>
      </c>
      <c r="E38" s="52"/>
    </row>
    <row r="39" spans="1:5" ht="16" x14ac:dyDescent="0.2">
      <c r="A39" s="139" t="str">
        <f ca="1">IF(ISERR(
IF(C39="","",IF(C39=C38,INDEX(OFFSET(PEq!$C$6:$C$50,MATCH(Graf_Sup!C39,PEq!$D$6:$D$50,0),0),MATCH(Graf_Sup!C39,OFFSET(PEq!$D$6:$D$50,MATCH(Graf_Sup!C39,PEq!$D$6:$D$50,0),0),0),1),INDEX(PEq!$C$6:$C$50,MATCH(Graf_Sup!C39,PEq!$D$6:$D$50,0),1)))),"",
IF(C39="","",IF(C39=C38,INDEX(OFFSET(PEq!$C$6:$C$50,MATCH(Graf_Sup!C39,PEq!$D$6:$D$50,0),0),MATCH(Graf_Sup!C39,OFFSET(PEq!$D$6:$D$50,MATCH(Graf_Sup!C39,PEq!$D$6:$D$50,0),0),0),1),INDEX(PEq!$C$6:$C$50,MATCH(Graf_Sup!C39,PEq!$D$6:$D$50,0),1))))</f>
        <v/>
      </c>
      <c r="B39" s="139"/>
      <c r="C39" s="54" t="str">
        <f>IF(ISERR(
LARGE(PEq!$D$6:$D$50,D39)),"",LARGE(PEq!$D$6:$D$50,D39))</f>
        <v/>
      </c>
      <c r="D39">
        <v>10</v>
      </c>
      <c r="E39" s="52"/>
    </row>
    <row r="42" spans="1:5" ht="16" thickBot="1" x14ac:dyDescent="0.25"/>
    <row r="43" spans="1:5" ht="16" x14ac:dyDescent="0.2">
      <c r="A43" s="140" t="s">
        <v>133</v>
      </c>
      <c r="B43" s="141"/>
      <c r="C43" s="48" t="s">
        <v>131</v>
      </c>
    </row>
    <row r="44" spans="1:5" ht="16" x14ac:dyDescent="0.2">
      <c r="A44" s="139" t="str">
        <f ca="1">IF(ISERR(
IF(C44="","",IF(C44=C43,INDEX(OFFSET('RC'!$C$6:$C$9,MATCH(Graf_Sup!C44,'RC'!$E$6:$E$9,0),0),MATCH(Graf_Sup!C44,OFFSET('RC'!$E$6:$E$9,MATCH(Graf_Sup!C44,'RC'!$E$6:$E$9,0),0),0),1),INDEX('RC'!$C$6:$C$9,MATCH(Graf_Sup!C44,'RC'!$E$6:$E$9,0),1)))),"",
IF(C44="","",IF(C44=C43,INDEX(OFFSET('RC'!$C$6:$C$9,MATCH(Graf_Sup!C44,'RC'!$E$6:$E$9,0),0),MATCH(Graf_Sup!C44,OFFSET('RC'!$E$6:$E$9,MATCH(Graf_Sup!C44,'RC'!$E$6:$E$9,0),0),0),1),INDEX('RC'!$C$6:$C$9,MATCH(Graf_Sup!C44,'RC'!$E$6:$E$9,0),1))))</f>
        <v>Matéria - prima</v>
      </c>
      <c r="B44" s="139"/>
      <c r="C44" s="54">
        <f>IF(ISERR(
LARGE('RC'!$E$6:$F$9,D44)),"",LARGE('RC'!$E$6:$F$9,D44))</f>
        <v>0</v>
      </c>
      <c r="D44">
        <v>1</v>
      </c>
      <c r="E44" s="52"/>
    </row>
    <row r="45" spans="1:5" ht="16" x14ac:dyDescent="0.2">
      <c r="A45" s="139" t="str">
        <f ca="1">IF(ISERR(
IF(C45="","",IF(C45=C44,INDEX(OFFSET('RC'!$C$6:$C$9,MATCH(Graf_Sup!C45,'RC'!$E$6:$E$9,0),0),MATCH(Graf_Sup!C45,OFFSET('RC'!$E$6:$E$9,MATCH(Graf_Sup!C45,'RC'!$E$6:$E$9,0),0),0),1),INDEX('RC'!$C$6:$C$9,MATCH(Graf_Sup!C45,'RC'!$E$6:$E$9,0),1)))),"",
IF(C45="","",IF(C45=C44,INDEX(OFFSET('RC'!$C$6:$C$9,MATCH(Graf_Sup!C45,'RC'!$E$6:$E$9,0),0),MATCH(Graf_Sup!C45,OFFSET('RC'!$E$6:$E$9,MATCH(Graf_Sup!C45,'RC'!$E$6:$E$9,0),0),0),1),INDEX('RC'!$C$6:$C$9,MATCH(Graf_Sup!C45,'RC'!$E$6:$E$9,0),1))))</f>
        <v>Impostos</v>
      </c>
      <c r="B45" s="139"/>
      <c r="C45" s="54">
        <f>IF(ISERR(
LARGE('RC'!$E$6:$F$9,D45)),"",LARGE('RC'!$E$6:$F$9,D45))</f>
        <v>0</v>
      </c>
      <c r="D45">
        <v>2</v>
      </c>
      <c r="E45" s="52"/>
    </row>
    <row r="46" spans="1:5" ht="16" x14ac:dyDescent="0.2">
      <c r="A46" s="139" t="str">
        <f ca="1">IF(ISERR(
IF(C46="","",IF(C46=C45,INDEX(OFFSET('RC'!$C$6:$C$9,MATCH(Graf_Sup!C46,'RC'!$E$6:$E$9,0),0),MATCH(Graf_Sup!C46,OFFSET('RC'!$E$6:$E$9,MATCH(Graf_Sup!C46,'RC'!$E$6:$E$9,0),0),0),1),INDEX('RC'!$C$6:$C$9,MATCH(Graf_Sup!C46,'RC'!$E$6:$E$9,0),1)))),"",
IF(C46="","",IF(C46=C45,INDEX(OFFSET('RC'!$C$6:$C$9,MATCH(Graf_Sup!C46,'RC'!$E$6:$E$9,0),0),MATCH(Graf_Sup!C46,OFFSET('RC'!$E$6:$E$9,MATCH(Graf_Sup!C46,'RC'!$E$6:$E$9,0),0),0),1),INDEX('RC'!$C$6:$C$9,MATCH(Graf_Sup!C46,'RC'!$E$6:$E$9,0),1))))</f>
        <v>Impostos</v>
      </c>
      <c r="B46" s="139"/>
      <c r="C46" s="54">
        <f>IF(ISERR(
LARGE('RC'!$E$6:$F$9,D46)),"",LARGE('RC'!$E$6:$F$9,D46))</f>
        <v>0</v>
      </c>
      <c r="D46">
        <v>3</v>
      </c>
      <c r="E46" s="52"/>
    </row>
    <row r="47" spans="1:5" ht="16" x14ac:dyDescent="0.2">
      <c r="A47" s="139" t="str">
        <f ca="1">IF(ISERR(
IF(C47="","",IF(C47=C46,INDEX(OFFSET('RC'!$C$6:$C$9,MATCH(Graf_Sup!C47,'RC'!$E$6:$E$9,0),0),MATCH(Graf_Sup!C47,OFFSET('RC'!$E$6:$E$9,MATCH(Graf_Sup!C47,'RC'!$E$6:$E$9,0),0),0),1),INDEX('RC'!$C$6:$C$9,MATCH(Graf_Sup!C47,'RC'!$E$6:$E$9,0),1)))),"",
IF(C47="","",IF(C47=C46,INDEX(OFFSET('RC'!$C$6:$C$9,MATCH(Graf_Sup!C47,'RC'!$E$6:$E$9,0),0),MATCH(Graf_Sup!C47,OFFSET('RC'!$E$6:$E$9,MATCH(Graf_Sup!C47,'RC'!$E$6:$E$9,0),0),0),1),INDEX('RC'!$C$6:$C$9,MATCH(Graf_Sup!C47,'RC'!$E$6:$E$9,0),1))))</f>
        <v>Impostos</v>
      </c>
      <c r="B47" s="139"/>
      <c r="C47" s="54">
        <f>IF(ISERR(
LARGE('RC'!$E$6:$F$9,D47)),"",LARGE('RC'!$E$6:$F$9,D47))</f>
        <v>0</v>
      </c>
      <c r="D47">
        <v>4</v>
      </c>
      <c r="E47" s="52"/>
    </row>
    <row r="48" spans="1:5" ht="16" x14ac:dyDescent="0.2">
      <c r="C48" s="54">
        <f>AVERAGE(C44:C47)</f>
        <v>0</v>
      </c>
      <c r="D48" s="25" t="e">
        <f>ROUND(C44/C48-1,2)</f>
        <v>#DIV/0!</v>
      </c>
    </row>
    <row r="51" spans="1:3" ht="16" thickBot="1" x14ac:dyDescent="0.25"/>
    <row r="52" spans="1:3" ht="16" x14ac:dyDescent="0.2">
      <c r="A52" s="140" t="s">
        <v>139</v>
      </c>
      <c r="B52" s="141"/>
      <c r="C52">
        <f>COUNTA(AC!$C$9:$C$28)</f>
        <v>0</v>
      </c>
    </row>
  </sheetData>
  <sheetProtection sheet="1" objects="1" scenarios="1"/>
  <mergeCells count="40">
    <mergeCell ref="A44:B44"/>
    <mergeCell ref="A45:B45"/>
    <mergeCell ref="A46:B46"/>
    <mergeCell ref="A47:B47"/>
    <mergeCell ref="A52:B52"/>
    <mergeCell ref="A36:B36"/>
    <mergeCell ref="A37:B37"/>
    <mergeCell ref="A38:B38"/>
    <mergeCell ref="A39:B39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9:B29"/>
    <mergeCell ref="A30:B30"/>
    <mergeCell ref="A18:B18"/>
    <mergeCell ref="A19:B19"/>
    <mergeCell ref="A20:B20"/>
    <mergeCell ref="A21:B21"/>
    <mergeCell ref="A22:B22"/>
    <mergeCell ref="A16:B16"/>
    <mergeCell ref="A17:B17"/>
    <mergeCell ref="A1:D1"/>
    <mergeCell ref="A2:B2"/>
    <mergeCell ref="A3:B3"/>
    <mergeCell ref="A4:B4"/>
    <mergeCell ref="A5:B5"/>
    <mergeCell ref="A15:B1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Ini</vt:lpstr>
      <vt:lpstr>PG</vt:lpstr>
      <vt:lpstr>PEq</vt:lpstr>
      <vt:lpstr>PG_CD</vt:lpstr>
      <vt:lpstr>Peq_Pro</vt:lpstr>
      <vt:lpstr>AC</vt:lpstr>
      <vt:lpstr>RC</vt:lpstr>
      <vt:lpstr>Graf</vt:lpstr>
      <vt:lpstr>RI</vt:lpstr>
      <vt:lpstr>Dúvidas</vt:lpstr>
      <vt:lpstr>Sugestões</vt:lpstr>
      <vt:lpstr>Sobre a LUZ</vt:lpstr>
      <vt:lpstr>Graf_Sup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Fernand6</dc:creator>
  <cp:lastModifiedBy>Usuário do Microsoft Office</cp:lastModifiedBy>
  <cp:lastPrinted>2015-02-14T20:29:57Z</cp:lastPrinted>
  <dcterms:created xsi:type="dcterms:W3CDTF">2014-08-23T07:21:08Z</dcterms:created>
  <dcterms:modified xsi:type="dcterms:W3CDTF">2016-05-30T19:24:24Z</dcterms:modified>
</cp:coreProperties>
</file>