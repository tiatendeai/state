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\OneDrive\Treinamentos\Lucro_Real\BBC\"/>
    </mc:Choice>
  </mc:AlternateContent>
  <bookViews>
    <workbookView xWindow="240" yWindow="30" windowWidth="19920" windowHeight="8010" tabRatio="1000" firstSheet="4" activeTab="10"/>
  </bookViews>
  <sheets>
    <sheet name="Mod - Est Susp.Reduc 01" sheetId="11" r:id="rId1"/>
    <sheet name="Mod - Est Susp.Reduc 02" sheetId="12" r:id="rId2"/>
    <sheet name="Mod - Alíquota IRPJ" sheetId="1" r:id="rId3"/>
    <sheet name="Mod - Alíquota CSLL" sheetId="2" r:id="rId4"/>
    <sheet name="Mod - Ded e Comp" sheetId="4" r:id="rId5"/>
    <sheet name="Mod - Pgto Anual" sheetId="3" r:id="rId6"/>
    <sheet name="Mod - Pgto Trim" sheetId="5" r:id="rId7"/>
    <sheet name="Mod - Prej.Fiscal" sheetId="6" r:id="rId8"/>
    <sheet name="Mod - Prej.Fiscal - Controle" sheetId="7" r:id="rId9"/>
    <sheet name="Mod - Con.Long_Prazo" sheetId="8" r:id="rId10"/>
    <sheet name="Mod - Perdas - Dados" sheetId="9" r:id="rId11"/>
    <sheet name="Plan1" sheetId="13" r:id="rId12"/>
    <sheet name="Plan2" sheetId="14" r:id="rId13"/>
    <sheet name="Mod - Perdas - Apuração" sheetId="10" r:id="rId14"/>
  </sheets>
  <externalReferences>
    <externalReference r:id="rId15"/>
    <externalReference r:id="rId16"/>
  </externalReferences>
  <definedNames>
    <definedName name="_xlnm.Print_Area" localSheetId="9">'Mod - Con.Long_Prazo'!$A$1:$D$9</definedName>
    <definedName name="_xlnm.Print_Area" localSheetId="4">'Mod - Ded e Comp'!$A$1:$D$26</definedName>
    <definedName name="_xlnm.Print_Area" localSheetId="13">'Mod - Perdas - Apuração'!$A$1:$B$9</definedName>
    <definedName name="_xlnm.Print_Area" localSheetId="10">'Mod - Perdas - Dados'!#REF!</definedName>
    <definedName name="_xlnm.Print_Titles" localSheetId="9">'Mod - Con.Long_Prazo'!$A:$B,'Mod - Con.Long_Prazo'!$1:$4</definedName>
    <definedName name="_xlnm.Print_Titles" localSheetId="4">'Mod - Ded e Comp'!$A:$B,'Mod - Ded e Comp'!$1:$5</definedName>
    <definedName name="_xlnm.Print_Titles" localSheetId="13">'Mod - Perdas - Apuração'!$A:$B,'Mod - Perdas - Apuração'!$1:$4</definedName>
    <definedName name="_xlnm.Print_Titles" localSheetId="10">'Mod - Perdas - Dados'!#REF!,'Mod - Perdas - Dados'!#REF!</definedName>
    <definedName name="Z_EDBADF90_D1A7_4F77_B1F7_D9EA59C00A7C_.wvu.Rows" localSheetId="9" hidden="1">'Mod - Con.Long_Prazo'!#REF!,'Mod - Con.Long_Prazo'!#REF!,'Mod - Con.Long_Prazo'!#REF!,'Mod - Con.Long_Prazo'!#REF!,'Mod - Con.Long_Prazo'!#REF!,'Mod - Con.Long_Prazo'!#REF!</definedName>
    <definedName name="Z_EDBADF90_D1A7_4F77_B1F7_D9EA59C00A7C_.wvu.Rows" localSheetId="4" hidden="1">'Mod - Ded e Comp'!#REF!,'Mod - Ded e Comp'!#REF!,'Mod - Ded e Comp'!#REF!,'Mod - Ded e Comp'!#REF!,'Mod - Ded e Comp'!#REF!,'Mod - Ded e Comp'!#REF!</definedName>
    <definedName name="Z_EDBADF90_D1A7_4F77_B1F7_D9EA59C00A7C_.wvu.Rows" localSheetId="13" hidden="1">'Mod - Perdas - Apuração'!#REF!,'Mod - Perdas - Apuração'!#REF!,'Mod - Perdas - Apuração'!#REF!,'Mod - Perdas - Apuração'!#REF!,'Mod - Perdas - Apuração'!#REF!,'Mod - Perdas - Apuração'!#REF!</definedName>
    <definedName name="Z_EDBADF90_D1A7_4F77_B1F7_D9EA59C00A7C_.wvu.Rows" localSheetId="10" hidden="1">'Mod - Perdas - Dados'!#REF!,'Mod - Perdas - Dados'!#REF!,'Mod - Perdas - Dados'!#REF!,'Mod - Perdas - Dados'!#REF!,'Mod - Perdas - Dados'!#REF!,'Mod - Perdas - Dados'!#REF!</definedName>
  </definedNames>
  <calcPr calcId="152511"/>
</workbook>
</file>

<file path=xl/calcChain.xml><?xml version="1.0" encoding="utf-8"?>
<calcChain xmlns="http://schemas.openxmlformats.org/spreadsheetml/2006/main">
  <c r="D14" i="9" l="1"/>
  <c r="F19" i="4"/>
  <c r="I11" i="6" l="1"/>
  <c r="D36" i="5"/>
  <c r="N8" i="12" l="1"/>
  <c r="M8" i="12"/>
  <c r="L8" i="12"/>
  <c r="K8" i="12"/>
  <c r="J8" i="12"/>
  <c r="I8" i="12"/>
  <c r="H8" i="12"/>
  <c r="G8" i="12"/>
  <c r="F8" i="12"/>
  <c r="C8" i="12"/>
  <c r="C12" i="12" s="1"/>
  <c r="D11" i="12" s="1"/>
  <c r="E11" i="12" s="1"/>
  <c r="F11" i="12" s="1"/>
  <c r="F12" i="12" l="1"/>
  <c r="G11" i="12" s="1"/>
  <c r="H11" i="12" s="1"/>
  <c r="N14" i="11"/>
  <c r="M14" i="11"/>
  <c r="L14" i="11"/>
  <c r="K14" i="11"/>
  <c r="J14" i="11"/>
  <c r="I14" i="11"/>
  <c r="H14" i="11"/>
  <c r="G14" i="11"/>
  <c r="F14" i="11"/>
  <c r="C14" i="11"/>
  <c r="N6" i="11"/>
  <c r="N12" i="11" s="1"/>
  <c r="N16" i="11" s="1"/>
  <c r="M6" i="11"/>
  <c r="M12" i="11" s="1"/>
  <c r="M16" i="11" s="1"/>
  <c r="L6" i="11"/>
  <c r="L12" i="11" s="1"/>
  <c r="L16" i="11" s="1"/>
  <c r="K6" i="11"/>
  <c r="K12" i="11" s="1"/>
  <c r="K16" i="11" s="1"/>
  <c r="J6" i="11"/>
  <c r="J12" i="11" s="1"/>
  <c r="J16" i="11" s="1"/>
  <c r="I6" i="11"/>
  <c r="I12" i="11" s="1"/>
  <c r="I16" i="11" s="1"/>
  <c r="H6" i="11"/>
  <c r="H12" i="11" s="1"/>
  <c r="H16" i="11" s="1"/>
  <c r="G6" i="11"/>
  <c r="G12" i="11" s="1"/>
  <c r="G16" i="11" s="1"/>
  <c r="F6" i="11"/>
  <c r="F12" i="11" s="1"/>
  <c r="F16" i="11" s="1"/>
  <c r="E6" i="11"/>
  <c r="E12" i="11" s="1"/>
  <c r="E16" i="11" s="1"/>
  <c r="D6" i="11"/>
  <c r="D12" i="11" s="1"/>
  <c r="D16" i="11" s="1"/>
  <c r="C6" i="11"/>
  <c r="C12" i="11" s="1"/>
  <c r="C16" i="11" s="1"/>
  <c r="C5" i="10"/>
  <c r="D5" i="10" s="1"/>
  <c r="B14" i="9"/>
  <c r="C9" i="10" s="1"/>
  <c r="B8" i="9"/>
  <c r="C7" i="10" s="1"/>
  <c r="D7" i="10" s="1"/>
  <c r="E10" i="8"/>
  <c r="C10" i="8"/>
  <c r="F7" i="8"/>
  <c r="F10" i="8" s="1"/>
  <c r="D9" i="8"/>
  <c r="D10" i="8" s="1"/>
  <c r="H12" i="12" l="1"/>
  <c r="I11" i="12" s="1"/>
  <c r="J11" i="12" s="1"/>
  <c r="D9" i="10"/>
  <c r="F9" i="10"/>
  <c r="C10" i="10"/>
  <c r="C12" i="10" s="1"/>
  <c r="D10" i="10"/>
  <c r="D12" i="10" s="1"/>
  <c r="D14" i="10" s="1"/>
  <c r="J12" i="12" l="1"/>
  <c r="K11" i="12" s="1"/>
  <c r="C13" i="10"/>
  <c r="C14" i="10" s="1"/>
  <c r="C13" i="8"/>
  <c r="C12" i="8"/>
  <c r="D12" i="8"/>
  <c r="D14" i="8" s="1"/>
  <c r="K12" i="12" l="1"/>
  <c r="L11" i="12"/>
  <c r="C14" i="8"/>
  <c r="E13" i="8"/>
  <c r="E12" i="8"/>
  <c r="F12" i="8"/>
  <c r="F14" i="8" s="1"/>
  <c r="L12" i="12" l="1"/>
  <c r="M11" i="12" s="1"/>
  <c r="E14" i="8"/>
  <c r="M12" i="12" l="1"/>
  <c r="N11" i="12"/>
  <c r="N12" i="12" s="1"/>
  <c r="D18" i="7"/>
  <c r="D17" i="7"/>
  <c r="G6" i="6"/>
  <c r="G8" i="6" s="1"/>
  <c r="E6" i="6"/>
  <c r="E8" i="6" s="1"/>
  <c r="C16" i="7"/>
  <c r="C69" i="7"/>
  <c r="C67" i="7"/>
  <c r="C65" i="7"/>
  <c r="C63" i="7"/>
  <c r="E61" i="7"/>
  <c r="F61" i="7" s="1"/>
  <c r="A52" i="7"/>
  <c r="D12" i="7"/>
  <c r="K11" i="7"/>
  <c r="J11" i="7"/>
  <c r="K10" i="7"/>
  <c r="J10" i="7"/>
  <c r="K9" i="7"/>
  <c r="J9" i="7"/>
  <c r="C7" i="7"/>
  <c r="K7" i="7" s="1"/>
  <c r="J5" i="6"/>
  <c r="H5" i="6"/>
  <c r="H6" i="6" s="1"/>
  <c r="F5" i="6"/>
  <c r="C8" i="6"/>
  <c r="D5" i="6"/>
  <c r="E63" i="7" l="1"/>
  <c r="E65" i="7" s="1"/>
  <c r="F65" i="7" s="1"/>
  <c r="E7" i="7"/>
  <c r="F7" i="7" s="1"/>
  <c r="J7" i="7"/>
  <c r="F6" i="6"/>
  <c r="F8" i="6" s="1"/>
  <c r="H8" i="6"/>
  <c r="D8" i="7"/>
  <c r="D8" i="6"/>
  <c r="E67" i="7" l="1"/>
  <c r="F67" i="7" s="1"/>
  <c r="F63" i="7"/>
  <c r="G7" i="7"/>
  <c r="H7" i="7"/>
  <c r="E8" i="7"/>
  <c r="G8" i="7" s="1"/>
  <c r="J8" i="7"/>
  <c r="J12" i="7" s="1"/>
  <c r="K8" i="7"/>
  <c r="K12" i="7" s="1"/>
  <c r="E69" i="7" l="1"/>
  <c r="F69" i="7" s="1"/>
  <c r="H8" i="7"/>
  <c r="F8" i="7"/>
  <c r="E9" i="7"/>
  <c r="F9" i="7" s="1"/>
  <c r="G9" i="7" l="1"/>
  <c r="H9" i="7"/>
  <c r="E10" i="7"/>
  <c r="G10" i="7" s="1"/>
  <c r="F10" i="7" l="1"/>
  <c r="H10" i="7"/>
  <c r="E11" i="7"/>
  <c r="E12" i="7" s="1"/>
  <c r="H11" i="7" l="1"/>
  <c r="F11" i="7"/>
  <c r="G11" i="7"/>
  <c r="F12" i="7"/>
  <c r="G12" i="7"/>
  <c r="E13" i="7"/>
  <c r="H12" i="7"/>
  <c r="H13" i="7" l="1"/>
  <c r="E14" i="7"/>
  <c r="F13" i="7"/>
  <c r="G13" i="7"/>
  <c r="H14" i="7" l="1"/>
  <c r="D15" i="7"/>
  <c r="E15" i="7" s="1"/>
  <c r="F14" i="7"/>
  <c r="G14" i="7"/>
  <c r="G15" i="7" l="1"/>
  <c r="H15" i="7"/>
  <c r="E16" i="7"/>
  <c r="E7" i="6" s="1"/>
  <c r="F7" i="6" s="1"/>
  <c r="F15" i="7"/>
  <c r="G16" i="7" l="1"/>
  <c r="H16" i="7"/>
  <c r="E17" i="7"/>
  <c r="F16" i="7"/>
  <c r="H7" i="6" l="1"/>
  <c r="G7" i="6"/>
  <c r="F17" i="7"/>
  <c r="G17" i="7"/>
  <c r="H17" i="7"/>
  <c r="E18" i="7"/>
  <c r="I7" i="6" l="1"/>
  <c r="J7" i="6"/>
  <c r="J6" i="6" s="1"/>
  <c r="J8" i="6" s="1"/>
  <c r="F18" i="7"/>
  <c r="G18" i="7"/>
  <c r="H18" i="7"/>
  <c r="D19" i="7" l="1"/>
  <c r="E19" i="7" s="1"/>
  <c r="F19" i="7" s="1"/>
  <c r="I6" i="6"/>
  <c r="I8" i="6" s="1"/>
  <c r="G19" i="7" l="1"/>
  <c r="H19" i="7"/>
  <c r="B32" i="5"/>
  <c r="B33" i="5" s="1"/>
  <c r="B27" i="5"/>
  <c r="B28" i="5" s="1"/>
  <c r="B22" i="5"/>
  <c r="B24" i="5" s="1"/>
  <c r="B19" i="5"/>
  <c r="B19" i="3"/>
  <c r="B21" i="3" s="1"/>
  <c r="B23" i="3" s="1"/>
  <c r="D8" i="4"/>
  <c r="D6" i="4"/>
  <c r="C7" i="4"/>
  <c r="D7" i="4" s="1"/>
  <c r="B34" i="5" l="1"/>
  <c r="B29" i="5"/>
  <c r="C18" i="4"/>
  <c r="D34" i="5" l="1"/>
  <c r="D38" i="5" s="1"/>
  <c r="C9" i="4"/>
  <c r="C11" i="4" l="1"/>
  <c r="C12" i="4"/>
  <c r="D9" i="4"/>
  <c r="D11" i="4" s="1"/>
  <c r="D13" i="4" s="1"/>
  <c r="D19" i="4" s="1"/>
  <c r="D26" i="4" s="1"/>
  <c r="C13" i="4" l="1"/>
  <c r="C19" i="4" l="1"/>
  <c r="C26" i="4" s="1"/>
  <c r="F26" i="4" s="1"/>
  <c r="F13" i="4"/>
  <c r="E14" i="2"/>
  <c r="D14" i="2"/>
  <c r="C14" i="2"/>
  <c r="B14" i="2"/>
  <c r="E27" i="1"/>
  <c r="E28" i="1" s="1"/>
  <c r="D27" i="1"/>
  <c r="D28" i="1" s="1"/>
  <c r="C27" i="1"/>
  <c r="C28" i="1" s="1"/>
  <c r="B27" i="1"/>
  <c r="B28" i="1" s="1"/>
  <c r="E24" i="1"/>
  <c r="E34" i="1" s="1"/>
  <c r="D24" i="1"/>
  <c r="C24" i="1"/>
  <c r="B24" i="1"/>
  <c r="M6" i="2"/>
  <c r="L6" i="2"/>
  <c r="K6" i="2"/>
  <c r="J6" i="2"/>
  <c r="I6" i="2"/>
  <c r="H6" i="2"/>
  <c r="G6" i="2"/>
  <c r="F6" i="2"/>
  <c r="E6" i="2"/>
  <c r="D6" i="2"/>
  <c r="C6" i="2"/>
  <c r="B6" i="2"/>
  <c r="B10" i="1"/>
  <c r="B12" i="1" s="1"/>
  <c r="M6" i="1"/>
  <c r="M16" i="1" s="1"/>
  <c r="L6" i="1"/>
  <c r="K6" i="1"/>
  <c r="J6" i="1"/>
  <c r="I6" i="1"/>
  <c r="H6" i="1"/>
  <c r="H16" i="1" s="1"/>
  <c r="G6" i="1"/>
  <c r="G16" i="1" s="1"/>
  <c r="F6" i="1"/>
  <c r="E6" i="1"/>
  <c r="D6" i="1"/>
  <c r="D16" i="1" s="1"/>
  <c r="C6" i="1"/>
  <c r="B6" i="1"/>
  <c r="B16" i="1" s="1"/>
  <c r="F28" i="4" l="1"/>
  <c r="C10" i="1"/>
  <c r="B30" i="1"/>
  <c r="B32" i="1" s="1"/>
  <c r="B34" i="1" s="1"/>
  <c r="C12" i="1" l="1"/>
  <c r="C14" i="1" s="1"/>
  <c r="C16" i="1" s="1"/>
  <c r="D10" i="1"/>
  <c r="D30" i="1"/>
  <c r="D32" i="1" s="1"/>
  <c r="D34" i="1" s="1"/>
  <c r="E30" i="1"/>
  <c r="C30" i="1"/>
  <c r="C34" i="1" s="1"/>
  <c r="E10" i="1" l="1"/>
  <c r="D12" i="1"/>
  <c r="E12" i="1" l="1"/>
  <c r="E14" i="1" s="1"/>
  <c r="E16" i="1" s="1"/>
  <c r="F10" i="1"/>
  <c r="G10" i="1" l="1"/>
  <c r="F12" i="1"/>
  <c r="F14" i="1" s="1"/>
  <c r="F16" i="1" s="1"/>
  <c r="H10" i="1" l="1"/>
  <c r="G12" i="1"/>
  <c r="I10" i="1" l="1"/>
  <c r="H12" i="1"/>
  <c r="I12" i="1" l="1"/>
  <c r="I14" i="1" s="1"/>
  <c r="I16" i="1" s="1"/>
  <c r="J10" i="1"/>
  <c r="J12" i="1" l="1"/>
  <c r="J14" i="1" s="1"/>
  <c r="J16" i="1" s="1"/>
  <c r="K10" i="1"/>
  <c r="K12" i="1" l="1"/>
  <c r="K14" i="1" s="1"/>
  <c r="K16" i="1" s="1"/>
  <c r="L10" i="1"/>
  <c r="M10" i="1" l="1"/>
  <c r="M12" i="1" s="1"/>
  <c r="L12" i="1"/>
  <c r="L14" i="1" s="1"/>
  <c r="L16" i="1" s="1"/>
</calcChain>
</file>

<file path=xl/sharedStrings.xml><?xml version="1.0" encoding="utf-8"?>
<sst xmlns="http://schemas.openxmlformats.org/spreadsheetml/2006/main" count="308" uniqueCount="158">
  <si>
    <t>Base de Cálculo IRPJ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</si>
  <si>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</si>
  <si>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</si>
  <si>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</si>
  <si>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</si>
  <si>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</si>
  <si>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</si>
  <si>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</si>
  <si>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</si>
  <si>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</si>
  <si>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</si>
  <si>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</si>
  <si>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</si>
  <si>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Descrição</t>
  </si>
  <si>
    <t>IRPJ 15%</t>
  </si>
  <si>
    <t>Adicional</t>
  </si>
  <si>
    <t>Limite Adicional</t>
  </si>
  <si>
    <t>Adicional IRPJ</t>
  </si>
  <si>
    <t>Limite Mês</t>
  </si>
  <si>
    <t>Base Adicional</t>
  </si>
  <si>
    <t>IRPJ Adicional 10%</t>
  </si>
  <si>
    <t>Total IRPJ Recolher</t>
  </si>
  <si>
    <t>CSLL 9%</t>
  </si>
  <si>
    <t>ANUAL</t>
  </si>
  <si>
    <t>TRIMESTRAL</t>
  </si>
  <si>
    <t>1ºTrim</t>
  </si>
  <si>
    <t>2ºTrim</t>
  </si>
  <si>
    <t>3ºTrim</t>
  </si>
  <si>
    <t>4ºTrim</t>
  </si>
  <si>
    <t>Limite Trimestre</t>
  </si>
  <si>
    <t xml:space="preserve">CÁLCULO DO IRPJ E DA CSLL </t>
  </si>
  <si>
    <t>ELENCO DE RUBRICAS</t>
  </si>
  <si>
    <t>IV TRIMESTRE</t>
  </si>
  <si>
    <t>IRPJ</t>
  </si>
  <si>
    <t>CSLL</t>
  </si>
  <si>
    <t>LUCRO LÍQUIDO ANTES DO IRPJ (RESULTADO CONTÁBIL)</t>
  </si>
  <si>
    <t>ADIÇÕES</t>
  </si>
  <si>
    <t>2.3.04.01.0002</t>
  </si>
  <si>
    <t>EXCLUSÕES</t>
  </si>
  <si>
    <t>3.2.01.03.0001</t>
  </si>
  <si>
    <t>LUCRO REAL ANTES DO PREJUÍZO FISCAL</t>
  </si>
  <si>
    <t>Saldo Prejuízo Fiscal/Base Cálculo Negativa CSLL</t>
  </si>
  <si>
    <t>Compensação do Prejuízo Fiscal/Base Negativa</t>
  </si>
  <si>
    <t>LUCRO REAL TRIBUTÁVEL (BASE PARA O IRPJ/CSLL)</t>
  </si>
  <si>
    <t>IRPJ (15%)  /  CSLL (9%)</t>
  </si>
  <si>
    <t>IRPJ (adicional - 10%)</t>
  </si>
  <si>
    <t>TOTAL GERADO DE IRPJ/CSLL</t>
  </si>
  <si>
    <t>DEDUÇÕES</t>
  </si>
  <si>
    <t>1.1.02.04.0003</t>
  </si>
  <si>
    <t>( - ) Imposto de Renda Retido na Fonte</t>
  </si>
  <si>
    <t>( - ) PAT</t>
  </si>
  <si>
    <t>TOTAL DAS DEDUÇÕES</t>
  </si>
  <si>
    <t>IRPJ / CSLL A PAGAR</t>
  </si>
  <si>
    <t>DCOMP - PIS</t>
  </si>
  <si>
    <t>1º Trim</t>
  </si>
  <si>
    <t>2º Trim</t>
  </si>
  <si>
    <t>3º Trim</t>
  </si>
  <si>
    <t>4º Trim</t>
  </si>
  <si>
    <t>DCOMP - COFINS</t>
  </si>
  <si>
    <t>Valor a ser pago por DARF</t>
  </si>
  <si>
    <t>EMPRESA XYZ</t>
  </si>
  <si>
    <t>DCOMP - Saldo Negativo - 3º Trim</t>
  </si>
  <si>
    <t>Mês</t>
  </si>
  <si>
    <t>Data Vencimento</t>
  </si>
  <si>
    <t>último dia útil fev</t>
  </si>
  <si>
    <t>último dia útil mar</t>
  </si>
  <si>
    <t>último dia útil abr</t>
  </si>
  <si>
    <t>último dia útil mai</t>
  </si>
  <si>
    <t>último dia útil jun</t>
  </si>
  <si>
    <t>último dia útil jul</t>
  </si>
  <si>
    <t>último dia útil ago</t>
  </si>
  <si>
    <t>último dia útil set</t>
  </si>
  <si>
    <t>último dia útil out</t>
  </si>
  <si>
    <t>último dia útil nov</t>
  </si>
  <si>
    <t>último dia útil dez</t>
  </si>
  <si>
    <t>último dia útil jan</t>
  </si>
  <si>
    <t>ESTIMATIVA MENSAL / BALANÇO REDUÇÃO OU SUSPENSÃO</t>
  </si>
  <si>
    <t>APURAÇÃO ANUAL</t>
  </si>
  <si>
    <t>Valor IRPJ</t>
  </si>
  <si>
    <t>Pagamento em Quota Única em Março.</t>
  </si>
  <si>
    <t>fev</t>
  </si>
  <si>
    <t>Taxa</t>
  </si>
  <si>
    <t>SELIC - 2015</t>
  </si>
  <si>
    <t>mar</t>
  </si>
  <si>
    <t>Período</t>
  </si>
  <si>
    <t>Total Encargos</t>
  </si>
  <si>
    <t>Total Juros</t>
  </si>
  <si>
    <t>IRPJ a Recolher</t>
  </si>
  <si>
    <t>APURAÇÃO TRIMESTRAL - PAGAMENTO COTA ÚNICA</t>
  </si>
  <si>
    <t>APURAÇÃO TRIMESTRAL - PAGAMENTO PARCELADO</t>
  </si>
  <si>
    <t>Parcela 01</t>
  </si>
  <si>
    <t>Principal</t>
  </si>
  <si>
    <t>Juros</t>
  </si>
  <si>
    <t>Total a Pagar</t>
  </si>
  <si>
    <t>Parcela 02</t>
  </si>
  <si>
    <t>Parcela 03</t>
  </si>
  <si>
    <t>1ºTrimestre</t>
  </si>
  <si>
    <t>2ºTrimestre</t>
  </si>
  <si>
    <t>3ºTrimestre</t>
  </si>
  <si>
    <t>4ºTrimestre</t>
  </si>
  <si>
    <t>Controle dos Saldos de Prejuízos Fiscais.</t>
  </si>
  <si>
    <t>Data</t>
  </si>
  <si>
    <t>Histórico</t>
  </si>
  <si>
    <t>CONTROLE DE VALORES</t>
  </si>
  <si>
    <t>SALDOS TRIB DIF</t>
  </si>
  <si>
    <t>Aumento</t>
  </si>
  <si>
    <t>Redução</t>
  </si>
  <si>
    <t>Saldo</t>
  </si>
  <si>
    <t>R$</t>
  </si>
  <si>
    <t>D/C</t>
  </si>
  <si>
    <t>Prejuízo Fiscal - 4º Trimestre de 2012</t>
  </si>
  <si>
    <t>Compensação Prejuízo Fiscal</t>
  </si>
  <si>
    <t>Prejuízo Fiscal - 2º Trimestre de 2013</t>
  </si>
  <si>
    <t>Prejuízo Fiscal - 4º Trimestre de 2013</t>
  </si>
  <si>
    <t>Prejuízo Fiscal - 1º Trimestre de 2015</t>
  </si>
  <si>
    <t>PARTE B - CONTROLE DE VALORES QUE CONSTITUIRÃO AJUSTE DO LUCRO LÍQUIDO DE EXERCÍCIOS FUTUROS</t>
  </si>
  <si>
    <t>CONTA:</t>
  </si>
  <si>
    <t>2 CRÉDITOS DE PIS/COFINS SOBRE TRANSFERÊNCIAS</t>
  </si>
  <si>
    <t>Data do Lançamento</t>
  </si>
  <si>
    <t>Saldo Inicial</t>
  </si>
  <si>
    <t>Créditos de PIS/COFINS sobre transferências</t>
  </si>
  <si>
    <t>Empresa XYZ</t>
  </si>
  <si>
    <t>Saldo Prejuízo Fiscal</t>
  </si>
  <si>
    <t>EMPRESA XYZ.</t>
  </si>
  <si>
    <t>CONTRATOS DE LONGO PRAZO</t>
  </si>
  <si>
    <t>Perdas no Recebimento de Créditos</t>
  </si>
  <si>
    <t>Lucro antes do IRPJ/CSLL</t>
  </si>
  <si>
    <t>Saldo de Clientes</t>
  </si>
  <si>
    <t>Histórico de Perdas Contabilizado</t>
  </si>
  <si>
    <t xml:space="preserve"> - 5% do Saldo de Contas a Receber</t>
  </si>
  <si>
    <t>Perdas Conforme RIR e IN 1.515/14</t>
  </si>
  <si>
    <t>Até 07/10/2014</t>
  </si>
  <si>
    <t>A partir de 08/10/2014</t>
  </si>
  <si>
    <t>Total Perdas Conforme RIR e IN 1.515/14</t>
  </si>
  <si>
    <t>PERDAS NO RECEBIMENTO DE CRÉDITOS</t>
  </si>
  <si>
    <t>jan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</si>
  <si>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</si>
  <si>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</si>
  <si>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</si>
  <si>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</si>
  <si>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</si>
  <si>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</si>
  <si>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</si>
  <si>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</si>
  <si>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</si>
  <si>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RECEITA BRUTA</t>
  </si>
  <si>
    <t>BASE DE CÁLCULO ESTIMATIVA RECEITA (8%)</t>
  </si>
  <si>
    <t>LUCRO REAL</t>
  </si>
  <si>
    <t>ESTIMATIVA</t>
  </si>
  <si>
    <t>REDUÇÃO / SUSPENSÃO</t>
  </si>
  <si>
    <t>Check</t>
  </si>
  <si>
    <t>SALDO A PAGAR</t>
  </si>
  <si>
    <t>ACUMULADOO</t>
  </si>
  <si>
    <t>IRPJ A PAGAR NO MÊS</t>
  </si>
  <si>
    <t>Base de Cálculo CSLL</t>
  </si>
  <si>
    <t>REDUÇÃO</t>
  </si>
  <si>
    <t>&gt;&gt;&gt; ENCARGOS SOBRE A ATUALIZAÇÃO</t>
  </si>
  <si>
    <t>&gt;&gt;&gt; REDUÇÃO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</si>
</sst>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[$€-2]* #,##0.00_);_([$€-2]* \(#,##0.00\);_([$€-2]* &quot;-&quot;??_)"/>
    <numFmt numFmtId="166" formatCode="[$-416]mmm\-yy;@"/>
    <numFmt numFmtId="167" formatCode="_(&quot;R$ &quot;* #,##0.00_);_(&quot;R$ &quot;* \(#,##0.00\);_(&quot;R$ &quot;* &quot;-&quot;??_);_(@_)"/>
    <numFmt numFmtId="168" formatCode="_(&quot;R$&quot;* #,##0.00_);_(&quot;R$&quot;* \(#,##0.00\);_(&quot;R$&quot;* &quot;-&quot;??_);_(@_)"/>
    <numFmt numFmtId="169" formatCode="General_)"/>
    <numFmt numFmtId="170" formatCode="#,##0.00_ ;[Red]\-#,##0.00\ "/>
  </numFmts>
  <fonts count="8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0"/>
      <name val="Courier New"/>
      <family val="3"/>
    </font>
    <font>
      <sz val="8"/>
      <name val="Courier New"/>
      <family val="3"/>
    </font>
    <font>
      <b/>
      <sz val="8"/>
      <name val="Arial"/>
      <family val="2"/>
    </font>
    <font>
      <sz val="8"/>
      <color indexed="9"/>
      <name val="Arial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20"/>
      <name val="Arial"/>
      <family val="2"/>
    </font>
    <font>
      <sz val="11"/>
      <color indexed="17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sz val="11"/>
      <color indexed="62"/>
      <name val="Calibri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u/>
      <sz val="11"/>
      <color indexed="12"/>
      <name val="Calibri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0"/>
      <color indexed="8"/>
      <name val="Comic Sans MS"/>
      <family val="2"/>
    </font>
    <font>
      <sz val="8"/>
      <name val="Tahoma"/>
      <family val="2"/>
    </font>
    <font>
      <sz val="10"/>
      <name val="Courier New"/>
      <family val="3"/>
    </font>
    <font>
      <sz val="12"/>
      <color indexed="8"/>
      <name val="Calibri"/>
      <family val="2"/>
    </font>
    <font>
      <sz val="10"/>
      <name val="MS Sans Serif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2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b/>
      <sz val="11"/>
      <color indexed="8"/>
      <name val="Calibri"/>
      <family val="2"/>
    </font>
    <font>
      <sz val="10"/>
      <color indexed="1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Calibri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8.8000000000000007"/>
      <color theme="10"/>
      <name val="Calibri"/>
      <family val="2"/>
    </font>
    <font>
      <sz val="12"/>
      <name val="Helv"/>
    </font>
    <font>
      <sz val="10"/>
      <color theme="1"/>
      <name val="Comic Sans MS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.35"/>
      <color theme="10"/>
      <name val="Calibri"/>
      <family val="2"/>
    </font>
  </fonts>
  <fills count="6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6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15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164" fontId="6" fillId="0" borderId="0" applyFon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  <xf numFmtId="0" fontId="6" fillId="0" borderId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4" fillId="26" borderId="0" applyNumberFormat="0" applyBorder="0" applyAlignment="0" applyProtection="0"/>
    <xf numFmtId="0" fontId="14" fillId="25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5" fillId="2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5" fillId="2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5" fillId="2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5" fillId="2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5" fillId="2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5" fillId="2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5" fillId="3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5" fillId="30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5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5" fillId="2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5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5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4" fillId="31" borderId="0" applyNumberFormat="0" applyBorder="0" applyAlignment="0" applyProtection="0"/>
    <xf numFmtId="0" fontId="14" fillId="24" borderId="0" applyNumberFormat="0" applyBorder="0" applyAlignment="0" applyProtection="0"/>
    <xf numFmtId="0" fontId="14" fillId="32" borderId="0" applyNumberFormat="0" applyBorder="0" applyAlignment="0" applyProtection="0"/>
    <xf numFmtId="0" fontId="14" fillId="31" borderId="0" applyNumberFormat="0" applyBorder="0" applyAlignment="0" applyProtection="0"/>
    <xf numFmtId="0" fontId="14" fillId="33" borderId="0" applyNumberFormat="0" applyBorder="0" applyAlignment="0" applyProtection="0"/>
    <xf numFmtId="0" fontId="14" fillId="3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5" fillId="3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5" fillId="3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5" fillId="2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5" fillId="2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5" fillId="3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5" fillId="3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5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5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5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5" fillId="33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5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5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3" fillId="36" borderId="0" applyNumberFormat="0" applyBorder="0" applyAlignment="0" applyProtection="0"/>
    <xf numFmtId="0" fontId="13" fillId="24" borderId="0" applyNumberFormat="0" applyBorder="0" applyAlignment="0" applyProtection="0"/>
    <xf numFmtId="0" fontId="13" fillId="32" borderId="0" applyNumberFormat="0" applyBorder="0" applyAlignment="0" applyProtection="0"/>
    <xf numFmtId="0" fontId="13" fillId="31" borderId="0" applyNumberFormat="0" applyBorder="0" applyAlignment="0" applyProtection="0"/>
    <xf numFmtId="0" fontId="13" fillId="36" borderId="0" applyNumberFormat="0" applyBorder="0" applyAlignment="0" applyProtection="0"/>
    <xf numFmtId="0" fontId="13" fillId="24" borderId="0" applyNumberFormat="0" applyBorder="0" applyAlignment="0" applyProtection="0"/>
    <xf numFmtId="0" fontId="16" fillId="37" borderId="0" applyNumberFormat="0" applyBorder="0" applyAlignment="0" applyProtection="0"/>
    <xf numFmtId="0" fontId="16" fillId="37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34" borderId="0" applyNumberFormat="0" applyBorder="0" applyAlignment="0" applyProtection="0"/>
    <xf numFmtId="0" fontId="16" fillId="34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39" borderId="0" applyNumberFormat="0" applyBorder="0" applyAlignment="0" applyProtection="0"/>
    <xf numFmtId="0" fontId="16" fillId="39" borderId="0" applyNumberFormat="0" applyBorder="0" applyAlignment="0" applyProtection="0"/>
    <xf numFmtId="0" fontId="13" fillId="36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36" borderId="0" applyNumberFormat="0" applyBorder="0" applyAlignment="0" applyProtection="0"/>
    <xf numFmtId="0" fontId="13" fillId="43" borderId="0" applyNumberFormat="0" applyBorder="0" applyAlignment="0" applyProtection="0"/>
    <xf numFmtId="0" fontId="17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9" fillId="44" borderId="24" applyNumberFormat="0" applyAlignment="0" applyProtection="0"/>
    <xf numFmtId="0" fontId="20" fillId="31" borderId="24" applyNumberFormat="0" applyAlignment="0" applyProtection="0"/>
    <xf numFmtId="0" fontId="20" fillId="31" borderId="24" applyNumberFormat="0" applyAlignment="0" applyProtection="0"/>
    <xf numFmtId="0" fontId="21" fillId="45" borderId="25" applyNumberFormat="0" applyAlignment="0" applyProtection="0"/>
    <xf numFmtId="0" fontId="21" fillId="45" borderId="25" applyNumberFormat="0" applyAlignment="0" applyProtection="0"/>
    <xf numFmtId="0" fontId="22" fillId="0" borderId="26" applyNumberFormat="0" applyFill="0" applyAlignment="0" applyProtection="0"/>
    <xf numFmtId="0" fontId="22" fillId="0" borderId="26" applyNumberFormat="0" applyFill="0" applyAlignment="0" applyProtection="0"/>
    <xf numFmtId="0" fontId="23" fillId="45" borderId="25" applyNumberFormat="0" applyAlignment="0" applyProtection="0"/>
    <xf numFmtId="0" fontId="16" fillId="46" borderId="0" applyNumberFormat="0" applyBorder="0" applyAlignment="0" applyProtection="0"/>
    <xf numFmtId="0" fontId="16" fillId="46" borderId="0" applyNumberFormat="0" applyBorder="0" applyAlignment="0" applyProtection="0"/>
    <xf numFmtId="0" fontId="16" fillId="40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16" fillId="41" borderId="0" applyNumberFormat="0" applyBorder="0" applyAlignment="0" applyProtection="0"/>
    <xf numFmtId="0" fontId="16" fillId="38" borderId="0" applyNumberFormat="0" applyBorder="0" applyAlignment="0" applyProtection="0"/>
    <xf numFmtId="0" fontId="16" fillId="38" borderId="0" applyNumberFormat="0" applyBorder="0" applyAlignment="0" applyProtection="0"/>
    <xf numFmtId="0" fontId="16" fillId="36" borderId="0" applyNumberFormat="0" applyBorder="0" applyAlignment="0" applyProtection="0"/>
    <xf numFmtId="0" fontId="16" fillId="36" borderId="0" applyNumberFormat="0" applyBorder="0" applyAlignment="0" applyProtection="0"/>
    <xf numFmtId="0" fontId="16" fillId="43" borderId="0" applyNumberFormat="0" applyBorder="0" applyAlignment="0" applyProtection="0"/>
    <xf numFmtId="0" fontId="16" fillId="43" borderId="0" applyNumberFormat="0" applyBorder="0" applyAlignment="0" applyProtection="0"/>
    <xf numFmtId="0" fontId="24" fillId="23" borderId="24" applyNumberFormat="0" applyAlignment="0" applyProtection="0"/>
    <xf numFmtId="0" fontId="24" fillId="23" borderId="24" applyNumberFormat="0" applyAlignment="0" applyProtection="0"/>
    <xf numFmtId="165" fontId="6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29" borderId="0" applyNumberFormat="0" applyBorder="0" applyAlignment="0" applyProtection="0"/>
    <xf numFmtId="0" fontId="27" fillId="0" borderId="27" applyNumberFormat="0" applyFill="0" applyAlignment="0" applyProtection="0"/>
    <xf numFmtId="0" fontId="28" fillId="0" borderId="28" applyNumberFormat="0" applyFill="0" applyAlignment="0" applyProtection="0"/>
    <xf numFmtId="0" fontId="29" fillId="0" borderId="29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28" borderId="0" applyNumberFormat="0" applyBorder="0" applyAlignment="0" applyProtection="0"/>
    <xf numFmtId="0" fontId="32" fillId="28" borderId="0" applyNumberFormat="0" applyBorder="0" applyAlignment="0" applyProtection="0"/>
    <xf numFmtId="0" fontId="33" fillId="32" borderId="24" applyNumberFormat="0" applyAlignment="0" applyProtection="0"/>
    <xf numFmtId="0" fontId="34" fillId="0" borderId="26" applyNumberFormat="0" applyFill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6" fillId="32" borderId="0" applyNumberFormat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  <xf numFmtId="0" fontId="37" fillId="0" borderId="0"/>
    <xf numFmtId="0" fontId="14" fillId="0" borderId="0"/>
    <xf numFmtId="0" fontId="37" fillId="0" borderId="0"/>
    <xf numFmtId="0" fontId="37" fillId="0" borderId="0"/>
    <xf numFmtId="0" fontId="37" fillId="0" borderId="0"/>
    <xf numFmtId="0" fontId="6" fillId="0" borderId="0"/>
    <xf numFmtId="0" fontId="3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6" fillId="0" borderId="0"/>
    <xf numFmtId="0" fontId="1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0" fillId="0" borderId="0"/>
    <xf numFmtId="0" fontId="6" fillId="0" borderId="0"/>
    <xf numFmtId="0" fontId="15" fillId="0" borderId="0"/>
    <xf numFmtId="0" fontId="10" fillId="0" borderId="0" applyNumberFormat="0" applyFill="0" applyBorder="0" applyAlignment="0" applyProtection="0"/>
    <xf numFmtId="0" fontId="15" fillId="0" borderId="0"/>
    <xf numFmtId="0" fontId="15" fillId="0" borderId="0"/>
    <xf numFmtId="0" fontId="10" fillId="0" borderId="0" applyNumberFormat="0" applyFill="0" applyBorder="0" applyAlignment="0" applyProtection="0"/>
    <xf numFmtId="0" fontId="41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41" fillId="0" borderId="0"/>
    <xf numFmtId="0" fontId="1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4" fillId="0" borderId="0">
      <alignment vertical="top"/>
    </xf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6" fillId="0" borderId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7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6" fillId="25" borderId="30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6" fillId="25" borderId="30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6" fillId="25" borderId="30" applyNumberFormat="0" applyFont="0" applyAlignment="0" applyProtection="0"/>
    <xf numFmtId="0" fontId="42" fillId="44" borderId="31" applyNumberFormat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3" fillId="31" borderId="31" applyNumberFormat="0" applyAlignment="0" applyProtection="0"/>
    <xf numFmtId="0" fontId="43" fillId="31" borderId="3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0" fontId="4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4" fillId="0" borderId="0" applyFont="0" applyFill="0" applyBorder="0" applyAlignment="0" applyProtection="0">
      <alignment vertical="top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32" applyNumberFormat="0" applyFill="0" applyAlignment="0" applyProtection="0"/>
    <xf numFmtId="0" fontId="47" fillId="0" borderId="32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2" fillId="0" borderId="35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2" fillId="0" borderId="35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48" applyNumberFormat="0" applyFill="0" applyAlignment="0" applyProtection="0"/>
    <xf numFmtId="0" fontId="62" fillId="0" borderId="49" applyNumberFormat="0" applyFill="0" applyAlignment="0" applyProtection="0"/>
    <xf numFmtId="0" fontId="63" fillId="0" borderId="50" applyNumberFormat="0" applyFill="0" applyAlignment="0" applyProtection="0"/>
    <xf numFmtId="0" fontId="63" fillId="0" borderId="0" applyNumberFormat="0" applyFill="0" applyBorder="0" applyAlignment="0" applyProtection="0"/>
    <xf numFmtId="0" fontId="64" fillId="47" borderId="0" applyNumberFormat="0" applyBorder="0" applyAlignment="0" applyProtection="0"/>
    <xf numFmtId="0" fontId="65" fillId="48" borderId="0" applyNumberFormat="0" applyBorder="0" applyAlignment="0" applyProtection="0"/>
    <xf numFmtId="0" fontId="66" fillId="49" borderId="0" applyNumberFormat="0" applyBorder="0" applyAlignment="0" applyProtection="0"/>
    <xf numFmtId="0" fontId="67" fillId="50" borderId="51" applyNumberFormat="0" applyAlignment="0" applyProtection="0"/>
    <xf numFmtId="0" fontId="68" fillId="51" borderId="52" applyNumberFormat="0" applyAlignment="0" applyProtection="0"/>
    <xf numFmtId="0" fontId="69" fillId="51" borderId="51" applyNumberFormat="0" applyAlignment="0" applyProtection="0"/>
    <xf numFmtId="0" fontId="70" fillId="0" borderId="53" applyNumberFormat="0" applyFill="0" applyAlignment="0" applyProtection="0"/>
    <xf numFmtId="0" fontId="71" fillId="52" borderId="54" applyNumberFormat="0" applyAlignment="0" applyProtection="0"/>
    <xf numFmtId="0" fontId="72" fillId="0" borderId="0" applyNumberFormat="0" applyFill="0" applyBorder="0" applyAlignment="0" applyProtection="0"/>
    <xf numFmtId="0" fontId="1" fillId="2" borderId="1" applyNumberFormat="0" applyFont="0" applyAlignment="0" applyProtection="0"/>
    <xf numFmtId="0" fontId="73" fillId="0" borderId="0" applyNumberFormat="0" applyFill="0" applyBorder="0" applyAlignment="0" applyProtection="0"/>
    <xf numFmtId="0" fontId="2" fillId="0" borderId="55" applyNumberFormat="0" applyFill="0" applyAlignment="0" applyProtection="0"/>
    <xf numFmtId="0" fontId="74" fillId="5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74" fillId="54" borderId="0" applyNumberFormat="0" applyBorder="0" applyAlignment="0" applyProtection="0"/>
    <xf numFmtId="0" fontId="74" fillId="5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74" fillId="56" borderId="0" applyNumberFormat="0" applyBorder="0" applyAlignment="0" applyProtection="0"/>
    <xf numFmtId="0" fontId="74" fillId="5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74" fillId="58" borderId="0" applyNumberFormat="0" applyBorder="0" applyAlignment="0" applyProtection="0"/>
    <xf numFmtId="0" fontId="74" fillId="5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74" fillId="60" borderId="0" applyNumberFormat="0" applyBorder="0" applyAlignment="0" applyProtection="0"/>
    <xf numFmtId="0" fontId="74" fillId="6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74" fillId="62" borderId="0" applyNumberFormat="0" applyBorder="0" applyAlignment="0" applyProtection="0"/>
    <xf numFmtId="0" fontId="74" fillId="6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74" fillId="64" borderId="0" applyNumberFormat="0" applyBorder="0" applyAlignment="0" applyProtection="0"/>
    <xf numFmtId="43" fontId="1" fillId="0" borderId="0" applyFont="0" applyFill="0" applyBorder="0" applyAlignment="0" applyProtection="0"/>
    <xf numFmtId="0" fontId="14" fillId="0" borderId="0">
      <alignment vertical="top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167" fontId="6" fillId="0" borderId="0" applyFont="0" applyFill="0" applyBorder="0" applyAlignment="0" applyProtection="0"/>
    <xf numFmtId="168" fontId="15" fillId="0" borderId="0" applyFont="0" applyFill="0" applyBorder="0" applyAlignment="0" applyProtection="0"/>
    <xf numFmtId="168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0" fontId="6" fillId="0" borderId="0"/>
    <xf numFmtId="169" fontId="78" fillId="0" borderId="0"/>
    <xf numFmtId="0" fontId="79" fillId="0" borderId="0"/>
    <xf numFmtId="0" fontId="79" fillId="0" borderId="0"/>
    <xf numFmtId="0" fontId="80" fillId="0" borderId="0"/>
    <xf numFmtId="0" fontId="79" fillId="0" borderId="0"/>
    <xf numFmtId="0" fontId="6" fillId="0" borderId="0"/>
    <xf numFmtId="0" fontId="15" fillId="0" borderId="0"/>
    <xf numFmtId="0" fontId="1" fillId="0" borderId="0"/>
    <xf numFmtId="0" fontId="6" fillId="0" borderId="0"/>
    <xf numFmtId="0" fontId="39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4" fillId="0" borderId="0">
      <alignment vertical="top"/>
    </xf>
    <xf numFmtId="0" fontId="79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" fillId="0" borderId="0" applyFont="0" applyFill="0" applyBorder="0" applyAlignment="0" applyProtection="0"/>
    <xf numFmtId="40" fontId="4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164" fontId="14" fillId="0" borderId="0" applyFont="0" applyFill="0" applyBorder="0" applyAlignment="0" applyProtection="0">
      <alignment vertical="top"/>
    </xf>
    <xf numFmtId="0" fontId="14" fillId="0" borderId="0">
      <alignment vertical="top"/>
    </xf>
    <xf numFmtId="0" fontId="14" fillId="0" borderId="0">
      <alignment vertical="top"/>
    </xf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8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0" fillId="0" borderId="0"/>
    <xf numFmtId="0" fontId="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4" fontId="81" fillId="0" borderId="0" applyFont="0" applyFill="0" applyBorder="0" applyAlignment="0" applyProtection="0"/>
    <xf numFmtId="164" fontId="14" fillId="0" borderId="0" applyFont="0" applyFill="0" applyBorder="0" applyAlignment="0" applyProtection="0">
      <alignment vertical="top"/>
    </xf>
    <xf numFmtId="0" fontId="6" fillId="0" borderId="0"/>
    <xf numFmtId="0" fontId="1" fillId="0" borderId="0"/>
    <xf numFmtId="0" fontId="6" fillId="0" borderId="0"/>
    <xf numFmtId="0" fontId="75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41" fillId="0" borderId="0" applyFont="0" applyFill="0" applyBorder="0" applyAlignment="0" applyProtection="0"/>
    <xf numFmtId="0" fontId="1" fillId="0" borderId="0"/>
    <xf numFmtId="0" fontId="1" fillId="0" borderId="0"/>
    <xf numFmtId="0" fontId="7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8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4" fontId="81" fillId="0" borderId="0" applyFont="0" applyFill="0" applyBorder="0" applyAlignment="0" applyProtection="0"/>
    <xf numFmtId="164" fontId="14" fillId="0" borderId="0" applyFont="0" applyFill="0" applyBorder="0" applyAlignment="0" applyProtection="0">
      <alignment vertical="top"/>
    </xf>
    <xf numFmtId="0" fontId="6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/>
    <xf numFmtId="164" fontId="14" fillId="0" borderId="0" applyFont="0" applyFill="0" applyBorder="0" applyAlignment="0" applyProtection="0">
      <alignment vertical="top"/>
    </xf>
    <xf numFmtId="164" fontId="8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8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41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80" fillId="0" borderId="0"/>
    <xf numFmtId="0" fontId="82" fillId="0" borderId="0" applyNumberFormat="0" applyFill="0" applyBorder="0" applyAlignment="0" applyProtection="0"/>
    <xf numFmtId="0" fontId="6" fillId="0" borderId="0"/>
    <xf numFmtId="0" fontId="77" fillId="0" borderId="0" applyNumberFormat="0" applyFill="0" applyBorder="0" applyAlignment="0" applyProtection="0">
      <alignment vertical="top"/>
      <protection locked="0"/>
    </xf>
    <xf numFmtId="0" fontId="6" fillId="0" borderId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4" fontId="1" fillId="0" borderId="0" applyFont="0" applyFill="0" applyBorder="0" applyAlignment="0" applyProtection="0"/>
    <xf numFmtId="0" fontId="6" fillId="0" borderId="0"/>
    <xf numFmtId="164" fontId="14" fillId="0" borderId="0" applyFont="0" applyFill="0" applyBorder="0" applyAlignment="0" applyProtection="0">
      <alignment vertical="top"/>
    </xf>
    <xf numFmtId="164" fontId="8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80" fillId="0" borderId="0"/>
    <xf numFmtId="164" fontId="4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4" fillId="0" borderId="0">
      <alignment vertical="top"/>
    </xf>
    <xf numFmtId="0" fontId="80" fillId="0" borderId="0"/>
    <xf numFmtId="0" fontId="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4" fontId="81" fillId="0" borderId="0" applyFont="0" applyFill="0" applyBorder="0" applyAlignment="0" applyProtection="0"/>
    <xf numFmtId="164" fontId="14" fillId="0" borderId="0" applyFont="0" applyFill="0" applyBorder="0" applyAlignment="0" applyProtection="0">
      <alignment vertical="top"/>
    </xf>
    <xf numFmtId="0" fontId="6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14" fillId="0" borderId="0">
      <alignment vertical="top"/>
    </xf>
    <xf numFmtId="43" fontId="1" fillId="0" borderId="0" applyFont="0" applyFill="0" applyBorder="0" applyAlignment="0" applyProtection="0"/>
    <xf numFmtId="0" fontId="6" fillId="0" borderId="0"/>
    <xf numFmtId="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0" fontId="1" fillId="0" borderId="0"/>
    <xf numFmtId="0" fontId="6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 applyFont="0" applyFill="0" applyBorder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0" fontId="8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0" fontId="8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0" fillId="0" borderId="0"/>
    <xf numFmtId="0" fontId="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4" fontId="81" fillId="0" borderId="0" applyFont="0" applyFill="0" applyBorder="0" applyAlignment="0" applyProtection="0"/>
    <xf numFmtId="164" fontId="14" fillId="0" borderId="0" applyFont="0" applyFill="0" applyBorder="0" applyAlignment="0" applyProtection="0">
      <alignment vertical="top"/>
    </xf>
    <xf numFmtId="0" fontId="6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0" fillId="0" borderId="0"/>
    <xf numFmtId="0" fontId="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4" fontId="81" fillId="0" borderId="0" applyFont="0" applyFill="0" applyBorder="0" applyAlignment="0" applyProtection="0"/>
    <xf numFmtId="164" fontId="14" fillId="0" borderId="0" applyFont="0" applyFill="0" applyBorder="0" applyAlignment="0" applyProtection="0">
      <alignment vertical="top"/>
    </xf>
    <xf numFmtId="0" fontId="6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/>
    <xf numFmtId="164" fontId="14" fillId="0" borderId="0" applyFont="0" applyFill="0" applyBorder="0" applyAlignment="0" applyProtection="0">
      <alignment vertical="top"/>
    </xf>
    <xf numFmtId="164" fontId="8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8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1" fillId="0" borderId="0" applyFont="0" applyFill="0" applyBorder="0" applyAlignment="0" applyProtection="0"/>
    <xf numFmtId="0" fontId="6" fillId="0" borderId="0"/>
    <xf numFmtId="164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0" fontId="8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0" fillId="0" borderId="0"/>
    <xf numFmtId="0" fontId="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4" fontId="81" fillId="0" borderId="0" applyFont="0" applyFill="0" applyBorder="0" applyAlignment="0" applyProtection="0"/>
    <xf numFmtId="164" fontId="14" fillId="0" borderId="0" applyFont="0" applyFill="0" applyBorder="0" applyAlignment="0" applyProtection="0">
      <alignment vertical="top"/>
    </xf>
    <xf numFmtId="0" fontId="6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16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0" fillId="0" borderId="0"/>
    <xf numFmtId="0" fontId="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4" fontId="81" fillId="0" borderId="0" applyFont="0" applyFill="0" applyBorder="0" applyAlignment="0" applyProtection="0"/>
    <xf numFmtId="164" fontId="14" fillId="0" borderId="0" applyFont="0" applyFill="0" applyBorder="0" applyAlignment="0" applyProtection="0">
      <alignment vertical="top"/>
    </xf>
    <xf numFmtId="0" fontId="6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4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80" fillId="0" borderId="0"/>
    <xf numFmtId="0" fontId="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4" fontId="81" fillId="0" borderId="0" applyFont="0" applyFill="0" applyBorder="0" applyAlignment="0" applyProtection="0"/>
    <xf numFmtId="164" fontId="14" fillId="0" borderId="0" applyFont="0" applyFill="0" applyBorder="0" applyAlignment="0" applyProtection="0">
      <alignment vertical="top"/>
    </xf>
    <xf numFmtId="0" fontId="6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/>
    <xf numFmtId="164" fontId="14" fillId="0" borderId="0" applyFont="0" applyFill="0" applyBorder="0" applyAlignment="0" applyProtection="0">
      <alignment vertical="top"/>
    </xf>
    <xf numFmtId="164" fontId="8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8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1" fillId="0" borderId="0" applyFont="0" applyFill="0" applyBorder="0" applyAlignment="0" applyProtection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4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0" fillId="0" borderId="0"/>
    <xf numFmtId="0" fontId="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4" fontId="81" fillId="0" borderId="0" applyFont="0" applyFill="0" applyBorder="0" applyAlignment="0" applyProtection="0"/>
    <xf numFmtId="164" fontId="14" fillId="0" borderId="0" applyFont="0" applyFill="0" applyBorder="0" applyAlignment="0" applyProtection="0">
      <alignment vertical="top"/>
    </xf>
    <xf numFmtId="0" fontId="6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43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1" fillId="0" borderId="0"/>
    <xf numFmtId="164" fontId="4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80" fillId="0" borderId="0"/>
    <xf numFmtId="0" fontId="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4" fontId="81" fillId="0" borderId="0" applyFont="0" applyFill="0" applyBorder="0" applyAlignment="0" applyProtection="0"/>
    <xf numFmtId="164" fontId="14" fillId="0" borderId="0" applyFont="0" applyFill="0" applyBorder="0" applyAlignment="0" applyProtection="0">
      <alignment vertical="top"/>
    </xf>
    <xf numFmtId="0" fontId="6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168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6" fillId="0" borderId="0"/>
    <xf numFmtId="164" fontId="14" fillId="0" borderId="0" applyFont="0" applyFill="0" applyBorder="0" applyAlignment="0" applyProtection="0">
      <alignment vertical="top"/>
    </xf>
    <xf numFmtId="164" fontId="81" fillId="0" borderId="0" applyFont="0" applyFill="0" applyBorder="0" applyAlignment="0" applyProtection="0"/>
    <xf numFmtId="0" fontId="14" fillId="0" borderId="0">
      <alignment vertical="top"/>
    </xf>
    <xf numFmtId="0" fontId="14" fillId="0" borderId="0">
      <alignment vertical="top"/>
    </xf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8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1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6" fillId="0" borderId="0"/>
    <xf numFmtId="0" fontId="6" fillId="0" borderId="0"/>
    <xf numFmtId="164" fontId="1" fillId="0" borderId="0" applyFont="0" applyFill="0" applyBorder="0" applyAlignment="0" applyProtection="0"/>
    <xf numFmtId="0" fontId="14" fillId="0" borderId="0">
      <alignment vertical="top"/>
    </xf>
    <xf numFmtId="0" fontId="77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5" fillId="0" borderId="0" applyFont="0" applyFill="0" applyBorder="0" applyAlignment="0" applyProtection="0"/>
    <xf numFmtId="168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6" fillId="0" borderId="0"/>
    <xf numFmtId="0" fontId="1" fillId="0" borderId="0"/>
    <xf numFmtId="0" fontId="79" fillId="0" borderId="0"/>
    <xf numFmtId="0" fontId="80" fillId="0" borderId="0"/>
    <xf numFmtId="0" fontId="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" fillId="0" borderId="0"/>
    <xf numFmtId="0" fontId="79" fillId="0" borderId="0"/>
    <xf numFmtId="0" fontId="6" fillId="0" borderId="0"/>
    <xf numFmtId="0" fontId="1" fillId="0" borderId="0"/>
    <xf numFmtId="0" fontId="7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>
      <alignment vertical="top"/>
    </xf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4" fillId="0" borderId="0"/>
    <xf numFmtId="0" fontId="3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>
      <alignment vertical="top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1" fillId="2" borderId="1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6" fillId="25" borderId="30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81" fillId="0" borderId="0" applyFont="0" applyFill="0" applyBorder="0" applyAlignment="0" applyProtection="0"/>
    <xf numFmtId="40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6" fillId="0" borderId="0" applyFont="0" applyFill="0" applyBorder="0" applyAlignment="0" applyProtection="0"/>
    <xf numFmtId="40" fontId="4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4" fillId="0" borderId="0" applyFont="0" applyFill="0" applyBorder="0" applyAlignment="0" applyProtection="0">
      <alignment vertical="top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7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15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0" fontId="1" fillId="0" borderId="0"/>
    <xf numFmtId="0" fontId="79" fillId="0" borderId="0"/>
    <xf numFmtId="0" fontId="80" fillId="0" borderId="0"/>
    <xf numFmtId="0" fontId="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1" fillId="0" borderId="0"/>
    <xf numFmtId="0" fontId="79" fillId="0" borderId="0"/>
    <xf numFmtId="0" fontId="6" fillId="0" borderId="0"/>
    <xf numFmtId="0" fontId="1" fillId="0" borderId="0"/>
    <xf numFmtId="0" fontId="7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>
      <alignment vertical="top"/>
    </xf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4" fillId="0" borderId="0"/>
    <xf numFmtId="0" fontId="39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4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top"/>
    </xf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>
      <alignment vertical="top"/>
    </xf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81" fillId="0" borderId="0" applyFont="0" applyFill="0" applyBorder="0" applyAlignment="0" applyProtection="0"/>
    <xf numFmtId="40" fontId="41" fillId="0" borderId="0" applyFont="0" applyFill="0" applyBorder="0" applyAlignment="0" applyProtection="0"/>
    <xf numFmtId="40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6" fillId="0" borderId="0" applyFont="0" applyFill="0" applyBorder="0" applyAlignment="0" applyProtection="0"/>
    <xf numFmtId="40" fontId="4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4" fillId="0" borderId="0" applyFont="0" applyFill="0" applyBorder="0" applyAlignment="0" applyProtection="0">
      <alignment vertical="top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7" fillId="0" borderId="0" applyNumberFormat="0" applyFill="0" applyBorder="0" applyAlignment="0" applyProtection="0">
      <alignment vertical="top"/>
      <protection locked="0"/>
    </xf>
    <xf numFmtId="167" fontId="1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/>
    <xf numFmtId="0" fontId="80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41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2" fillId="0" borderId="0" xfId="0" applyFont="1"/>
    <xf numFmtId="164" fontId="0" fillId="0" borderId="0" xfId="1" applyFont="1"/>
    <xf numFmtId="164" fontId="0" fillId="0" borderId="2" xfId="1" applyFont="1" applyBorder="1"/>
    <xf numFmtId="164" fontId="2" fillId="0" borderId="2" xfId="1" applyFont="1" applyBorder="1"/>
    <xf numFmtId="164" fontId="2" fillId="0" borderId="2" xfId="1" applyFont="1" applyBorder="1" applyAlignment="1">
      <alignment horizontal="center"/>
    </xf>
    <xf numFmtId="0" fontId="2" fillId="0" borderId="3" xfId="0" applyFont="1" applyBorder="1"/>
    <xf numFmtId="164" fontId="0" fillId="0" borderId="3" xfId="1" applyFont="1" applyBorder="1"/>
    <xf numFmtId="0" fontId="2" fillId="0" borderId="2" xfId="0" applyFont="1" applyBorder="1"/>
    <xf numFmtId="0" fontId="0" fillId="0" borderId="3" xfId="0" applyBorder="1"/>
    <xf numFmtId="0" fontId="3" fillId="0" borderId="0" xfId="0" applyFont="1"/>
    <xf numFmtId="164" fontId="3" fillId="0" borderId="0" xfId="1" applyFont="1"/>
    <xf numFmtId="40" fontId="3" fillId="0" borderId="0" xfId="0" applyNumberFormat="1" applyFont="1"/>
    <xf numFmtId="40" fontId="3" fillId="0" borderId="0" xfId="1" applyNumberFormat="1" applyFont="1"/>
    <xf numFmtId="164" fontId="2" fillId="0" borderId="0" xfId="1" applyFont="1"/>
    <xf numFmtId="0" fontId="0" fillId="0" borderId="0" xfId="0" applyFont="1"/>
    <xf numFmtId="164" fontId="1" fillId="0" borderId="0" xfId="1" applyFont="1"/>
    <xf numFmtId="164" fontId="2" fillId="15" borderId="0" xfId="1" applyFont="1" applyFill="1"/>
    <xf numFmtId="164" fontId="2" fillId="0" borderId="3" xfId="1" applyFont="1" applyBorder="1"/>
    <xf numFmtId="0" fontId="2" fillId="16" borderId="0" xfId="0" applyFont="1" applyFill="1"/>
    <xf numFmtId="164" fontId="0" fillId="16" borderId="0" xfId="1" applyFont="1" applyFill="1"/>
    <xf numFmtId="0" fontId="2" fillId="17" borderId="0" xfId="0" applyFont="1" applyFill="1"/>
    <xf numFmtId="164" fontId="0" fillId="17" borderId="0" xfId="1" applyFont="1" applyFill="1"/>
    <xf numFmtId="0" fontId="5" fillId="0" borderId="4" xfId="2" applyFont="1" applyBorder="1" applyAlignment="1"/>
    <xf numFmtId="0" fontId="5" fillId="0" borderId="5" xfId="2" applyFont="1" applyBorder="1" applyAlignment="1"/>
    <xf numFmtId="0" fontId="6" fillId="0" borderId="4" xfId="2" applyFont="1" applyBorder="1"/>
    <xf numFmtId="0" fontId="6" fillId="0" borderId="6" xfId="2" applyFont="1" applyBorder="1"/>
    <xf numFmtId="0" fontId="6" fillId="0" borderId="0" xfId="2" applyFont="1"/>
    <xf numFmtId="0" fontId="7" fillId="0" borderId="7" xfId="2" applyFont="1" applyBorder="1" applyAlignment="1">
      <alignment vertical="center"/>
    </xf>
    <xf numFmtId="0" fontId="7" fillId="0" borderId="8" xfId="2" applyFont="1" applyBorder="1" applyAlignment="1">
      <alignment vertical="center"/>
    </xf>
    <xf numFmtId="0" fontId="6" fillId="0" borderId="9" xfId="2" applyFont="1" applyBorder="1"/>
    <xf numFmtId="0" fontId="6" fillId="0" borderId="10" xfId="2" applyFont="1" applyBorder="1"/>
    <xf numFmtId="0" fontId="6" fillId="18" borderId="11" xfId="2" applyFont="1" applyFill="1" applyBorder="1"/>
    <xf numFmtId="0" fontId="8" fillId="18" borderId="12" xfId="2" applyFont="1" applyFill="1" applyBorder="1"/>
    <xf numFmtId="0" fontId="6" fillId="18" borderId="13" xfId="2" applyFont="1" applyFill="1" applyBorder="1"/>
    <xf numFmtId="0" fontId="6" fillId="18" borderId="14" xfId="2" applyFont="1" applyFill="1" applyBorder="1"/>
    <xf numFmtId="0" fontId="7" fillId="0" borderId="15" xfId="2" applyFont="1" applyFill="1" applyBorder="1" applyAlignment="1">
      <alignment horizontal="center"/>
    </xf>
    <xf numFmtId="0" fontId="7" fillId="0" borderId="16" xfId="2" applyFont="1" applyFill="1" applyBorder="1" applyAlignment="1">
      <alignment horizontal="center"/>
    </xf>
    <xf numFmtId="40" fontId="6" fillId="0" borderId="15" xfId="3" applyNumberFormat="1" applyFont="1" applyFill="1" applyBorder="1"/>
    <xf numFmtId="0" fontId="0" fillId="0" borderId="0" xfId="2" applyFont="1"/>
    <xf numFmtId="40" fontId="6" fillId="0" borderId="0" xfId="2" applyNumberFormat="1" applyFont="1"/>
    <xf numFmtId="0" fontId="7" fillId="19" borderId="15" xfId="2" applyFont="1" applyFill="1" applyBorder="1"/>
    <xf numFmtId="0" fontId="11" fillId="19" borderId="17" xfId="2" applyFont="1" applyFill="1" applyBorder="1"/>
    <xf numFmtId="40" fontId="7" fillId="19" borderId="15" xfId="3" applyNumberFormat="1" applyFont="1" applyFill="1" applyBorder="1"/>
    <xf numFmtId="0" fontId="7" fillId="0" borderId="0" xfId="2" applyFont="1" applyFill="1"/>
    <xf numFmtId="4" fontId="7" fillId="0" borderId="0" xfId="2" applyNumberFormat="1" applyFont="1" applyFill="1"/>
    <xf numFmtId="0" fontId="7" fillId="20" borderId="9" xfId="2" applyFont="1" applyFill="1" applyBorder="1"/>
    <xf numFmtId="0" fontId="11" fillId="20" borderId="17" xfId="2" applyFont="1" applyFill="1" applyBorder="1"/>
    <xf numFmtId="0" fontId="9" fillId="0" borderId="9" xfId="5" applyFont="1" applyBorder="1" applyAlignment="1">
      <alignment horizontal="left"/>
    </xf>
    <xf numFmtId="0" fontId="11" fillId="0" borderId="17" xfId="2" applyFont="1" applyFill="1" applyBorder="1"/>
    <xf numFmtId="0" fontId="7" fillId="0" borderId="15" xfId="2" applyFont="1" applyBorder="1"/>
    <xf numFmtId="0" fontId="11" fillId="0" borderId="17" xfId="2" applyFont="1" applyBorder="1"/>
    <xf numFmtId="164" fontId="7" fillId="0" borderId="15" xfId="3" applyFont="1" applyBorder="1"/>
    <xf numFmtId="164" fontId="6" fillId="0" borderId="15" xfId="3" applyFont="1" applyBorder="1"/>
    <xf numFmtId="164" fontId="6" fillId="0" borderId="16" xfId="3" applyFont="1" applyBorder="1"/>
    <xf numFmtId="0" fontId="7" fillId="0" borderId="0" xfId="2" applyFont="1"/>
    <xf numFmtId="0" fontId="11" fillId="0" borderId="18" xfId="6" applyFont="1" applyBorder="1" applyAlignment="1"/>
    <xf numFmtId="164" fontId="7" fillId="0" borderId="0" xfId="2" applyNumberFormat="1" applyFont="1"/>
    <xf numFmtId="164" fontId="7" fillId="0" borderId="19" xfId="3" applyFont="1" applyBorder="1"/>
    <xf numFmtId="164" fontId="7" fillId="0" borderId="0" xfId="3" applyFont="1"/>
    <xf numFmtId="0" fontId="6" fillId="0" borderId="15" xfId="2" applyFont="1" applyBorder="1"/>
    <xf numFmtId="0" fontId="12" fillId="0" borderId="17" xfId="2" applyFont="1" applyBorder="1"/>
    <xf numFmtId="164" fontId="13" fillId="0" borderId="15" xfId="3" applyFont="1" applyBorder="1"/>
    <xf numFmtId="164" fontId="13" fillId="0" borderId="16" xfId="3" applyFont="1" applyBorder="1"/>
    <xf numFmtId="0" fontId="8" fillId="0" borderId="17" xfId="2" applyFont="1" applyBorder="1"/>
    <xf numFmtId="164" fontId="6" fillId="21" borderId="16" xfId="3" applyFont="1" applyFill="1" applyBorder="1"/>
    <xf numFmtId="164" fontId="6" fillId="19" borderId="15" xfId="3" applyFont="1" applyFill="1" applyBorder="1"/>
    <xf numFmtId="164" fontId="6" fillId="19" borderId="16" xfId="3" applyFont="1" applyFill="1" applyBorder="1"/>
    <xf numFmtId="0" fontId="6" fillId="0" borderId="0" xfId="2" applyFont="1" applyFill="1"/>
    <xf numFmtId="40" fontId="8" fillId="22" borderId="16" xfId="4" applyNumberFormat="1" applyFont="1" applyFill="1" applyBorder="1"/>
    <xf numFmtId="40" fontId="6" fillId="0" borderId="15" xfId="4" applyNumberFormat="1" applyFont="1" applyBorder="1"/>
    <xf numFmtId="0" fontId="10" fillId="0" borderId="9" xfId="5" applyFont="1" applyBorder="1" applyAlignment="1">
      <alignment horizontal="left"/>
    </xf>
    <xf numFmtId="40" fontId="8" fillId="22" borderId="20" xfId="4" applyNumberFormat="1" applyFont="1" applyFill="1" applyBorder="1"/>
    <xf numFmtId="40" fontId="6" fillId="19" borderId="15" xfId="2" applyNumberFormat="1" applyFont="1" applyFill="1" applyBorder="1"/>
    <xf numFmtId="40" fontId="11" fillId="19" borderId="17" xfId="2" applyNumberFormat="1" applyFont="1" applyFill="1" applyBorder="1"/>
    <xf numFmtId="40" fontId="6" fillId="19" borderId="15" xfId="3" applyNumberFormat="1" applyFont="1" applyFill="1" applyBorder="1"/>
    <xf numFmtId="40" fontId="7" fillId="0" borderId="15" xfId="2" applyNumberFormat="1" applyFont="1" applyBorder="1"/>
    <xf numFmtId="40" fontId="11" fillId="0" borderId="17" xfId="2" applyNumberFormat="1" applyFont="1" applyBorder="1"/>
    <xf numFmtId="40" fontId="7" fillId="0" borderId="15" xfId="3" applyNumberFormat="1" applyFont="1" applyBorder="1"/>
    <xf numFmtId="40" fontId="7" fillId="0" borderId="21" xfId="3" applyNumberFormat="1" applyFont="1" applyBorder="1"/>
    <xf numFmtId="40" fontId="6" fillId="0" borderId="9" xfId="2" applyNumberFormat="1" applyFont="1" applyBorder="1"/>
    <xf numFmtId="40" fontId="11" fillId="0" borderId="0" xfId="2" applyNumberFormat="1" applyFont="1" applyBorder="1"/>
    <xf numFmtId="40" fontId="6" fillId="0" borderId="9" xfId="3" applyNumberFormat="1" applyFont="1" applyFill="1" applyBorder="1"/>
    <xf numFmtId="40" fontId="6" fillId="0" borderId="10" xfId="3" applyNumberFormat="1" applyFont="1" applyFill="1" applyBorder="1"/>
    <xf numFmtId="40" fontId="11" fillId="0" borderId="0" xfId="2" applyNumberFormat="1" applyFont="1" applyBorder="1" applyAlignment="1">
      <alignment horizontal="left" indent="2"/>
    </xf>
    <xf numFmtId="164" fontId="6" fillId="0" borderId="0" xfId="2" applyNumberFormat="1" applyFont="1"/>
    <xf numFmtId="40" fontId="6" fillId="0" borderId="9" xfId="3" applyNumberFormat="1" applyFont="1" applyBorder="1"/>
    <xf numFmtId="40" fontId="6" fillId="0" borderId="10" xfId="3" applyNumberFormat="1" applyFont="1" applyBorder="1"/>
    <xf numFmtId="40" fontId="6" fillId="0" borderId="22" xfId="2" applyNumberFormat="1" applyFont="1" applyBorder="1"/>
    <xf numFmtId="40" fontId="11" fillId="0" borderId="2" xfId="2" applyNumberFormat="1" applyFont="1" applyBorder="1"/>
    <xf numFmtId="40" fontId="7" fillId="0" borderId="22" xfId="2" applyNumberFormat="1" applyFont="1" applyBorder="1"/>
    <xf numFmtId="40" fontId="7" fillId="0" borderId="23" xfId="2" applyNumberFormat="1" applyFont="1" applyBorder="1"/>
    <xf numFmtId="40" fontId="11" fillId="0" borderId="0" xfId="2" applyNumberFormat="1" applyFont="1"/>
    <xf numFmtId="40" fontId="7" fillId="0" borderId="0" xfId="2" applyNumberFormat="1" applyFont="1" applyBorder="1"/>
    <xf numFmtId="40" fontId="8" fillId="0" borderId="0" xfId="2" applyNumberFormat="1" applyFont="1"/>
    <xf numFmtId="0" fontId="8" fillId="0" borderId="0" xfId="2" applyFont="1"/>
    <xf numFmtId="0" fontId="0" fillId="0" borderId="2" xfId="0" applyBorder="1"/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wrapText="1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0" fillId="0" borderId="9" xfId="0" applyBorder="1"/>
    <xf numFmtId="10" fontId="0" fillId="0" borderId="10" xfId="0" applyNumberFormat="1" applyBorder="1"/>
    <xf numFmtId="0" fontId="0" fillId="0" borderId="22" xfId="0" applyBorder="1"/>
    <xf numFmtId="10" fontId="0" fillId="0" borderId="23" xfId="0" applyNumberFormat="1" applyBorder="1"/>
    <xf numFmtId="0" fontId="2" fillId="0" borderId="36" xfId="0" applyFont="1" applyBorder="1"/>
    <xf numFmtId="10" fontId="2" fillId="0" borderId="37" xfId="0" applyNumberFormat="1" applyFont="1" applyBorder="1"/>
    <xf numFmtId="164" fontId="0" fillId="0" borderId="0" xfId="0" applyNumberFormat="1"/>
    <xf numFmtId="164" fontId="2" fillId="0" borderId="0" xfId="0" applyNumberFormat="1" applyFont="1"/>
    <xf numFmtId="164" fontId="2" fillId="0" borderId="2" xfId="0" applyNumberFormat="1" applyFont="1" applyBorder="1"/>
    <xf numFmtId="0" fontId="0" fillId="0" borderId="2" xfId="0" applyFont="1" applyFill="1" applyBorder="1"/>
    <xf numFmtId="164" fontId="1" fillId="0" borderId="2" xfId="1" applyFont="1" applyBorder="1"/>
    <xf numFmtId="0" fontId="55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54" fillId="0" borderId="9" xfId="0" applyFont="1" applyBorder="1" applyAlignment="1">
      <alignment vertical="center"/>
    </xf>
    <xf numFmtId="0" fontId="54" fillId="0" borderId="0" xfId="0" applyFont="1" applyBorder="1" applyAlignment="1">
      <alignment vertical="center" wrapText="1"/>
    </xf>
    <xf numFmtId="0" fontId="54" fillId="0" borderId="10" xfId="0" applyFont="1" applyBorder="1" applyAlignment="1">
      <alignment vertical="center" wrapText="1"/>
    </xf>
    <xf numFmtId="0" fontId="0" fillId="0" borderId="23" xfId="0" applyBorder="1"/>
    <xf numFmtId="0" fontId="56" fillId="0" borderId="44" xfId="0" applyFont="1" applyBorder="1" applyAlignment="1">
      <alignment horizontal="center" vertical="center"/>
    </xf>
    <xf numFmtId="0" fontId="56" fillId="0" borderId="47" xfId="0" applyFont="1" applyBorder="1" applyAlignment="1">
      <alignment horizontal="center" vertical="center"/>
    </xf>
    <xf numFmtId="0" fontId="56" fillId="0" borderId="22" xfId="0" applyFont="1" applyBorder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14" fontId="57" fillId="0" borderId="36" xfId="0" applyNumberFormat="1" applyFont="1" applyBorder="1" applyAlignment="1">
      <alignment horizontal="center" vertical="center"/>
    </xf>
    <xf numFmtId="0" fontId="57" fillId="0" borderId="3" xfId="0" applyFont="1" applyBorder="1" applyAlignment="1">
      <alignment horizontal="left" vertical="center" wrapText="1"/>
    </xf>
    <xf numFmtId="164" fontId="57" fillId="0" borderId="3" xfId="3" applyFont="1" applyBorder="1" applyAlignment="1">
      <alignment vertical="center"/>
    </xf>
    <xf numFmtId="164" fontId="57" fillId="0" borderId="3" xfId="3" applyFont="1" applyBorder="1" applyAlignment="1">
      <alignment horizontal="center" vertical="center"/>
    </xf>
    <xf numFmtId="164" fontId="58" fillId="0" borderId="36" xfId="3" applyFont="1" applyBorder="1" applyAlignment="1">
      <alignment horizontal="center" vertical="center"/>
    </xf>
    <xf numFmtId="164" fontId="58" fillId="0" borderId="37" xfId="3" applyFont="1" applyBorder="1" applyAlignment="1">
      <alignment horizontal="center" vertical="center"/>
    </xf>
    <xf numFmtId="164" fontId="58" fillId="0" borderId="36" xfId="0" applyNumberFormat="1" applyFont="1" applyBorder="1" applyAlignment="1">
      <alignment vertical="center"/>
    </xf>
    <xf numFmtId="164" fontId="58" fillId="0" borderId="37" xfId="0" applyNumberFormat="1" applyFont="1" applyBorder="1" applyAlignment="1">
      <alignment vertical="center"/>
    </xf>
    <xf numFmtId="0" fontId="57" fillId="0" borderId="0" xfId="0" applyFont="1" applyAlignment="1">
      <alignment vertical="center"/>
    </xf>
    <xf numFmtId="164" fontId="57" fillId="0" borderId="0" xfId="0" applyNumberFormat="1" applyFont="1" applyAlignment="1">
      <alignment vertical="center"/>
    </xf>
    <xf numFmtId="0" fontId="6" fillId="0" borderId="3" xfId="0" applyFont="1" applyBorder="1" applyAlignment="1">
      <alignment horizontal="left" vertical="center" wrapText="1"/>
    </xf>
    <xf numFmtId="164" fontId="7" fillId="0" borderId="36" xfId="3" applyFont="1" applyBorder="1" applyAlignment="1">
      <alignment horizontal="center" vertical="center"/>
    </xf>
    <xf numFmtId="164" fontId="57" fillId="0" borderId="37" xfId="3" applyFont="1" applyBorder="1" applyAlignment="1">
      <alignment vertical="center"/>
    </xf>
    <xf numFmtId="164" fontId="57" fillId="0" borderId="37" xfId="3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4" fontId="0" fillId="0" borderId="0" xfId="0" applyNumberFormat="1" applyBorder="1" applyAlignment="1">
      <alignment horizontal="center" vertical="top"/>
    </xf>
    <xf numFmtId="0" fontId="0" fillId="0" borderId="0" xfId="0" applyBorder="1" applyAlignment="1">
      <alignment horizontal="left" vertical="center" wrapText="1"/>
    </xf>
    <xf numFmtId="164" fontId="0" fillId="0" borderId="0" xfId="3" applyFont="1" applyBorder="1"/>
    <xf numFmtId="164" fontId="0" fillId="0" borderId="0" xfId="3" applyFont="1" applyBorder="1" applyAlignment="1">
      <alignment horizontal="center"/>
    </xf>
    <xf numFmtId="0" fontId="0" fillId="0" borderId="0" xfId="0" applyBorder="1"/>
    <xf numFmtId="0" fontId="7" fillId="0" borderId="0" xfId="0" applyFont="1" applyBorder="1"/>
    <xf numFmtId="0" fontId="6" fillId="0" borderId="0" xfId="0" applyFont="1" applyBorder="1"/>
    <xf numFmtId="0" fontId="0" fillId="0" borderId="42" xfId="0" applyBorder="1" applyAlignment="1">
      <alignment horizontal="center"/>
    </xf>
    <xf numFmtId="14" fontId="0" fillId="0" borderId="0" xfId="0" applyNumberFormat="1" applyBorder="1" applyAlignment="1">
      <alignment horizontal="center" vertical="center"/>
    </xf>
    <xf numFmtId="164" fontId="0" fillId="0" borderId="0" xfId="3" applyFont="1" applyBorder="1" applyAlignment="1">
      <alignment horizontal="center" vertical="center"/>
    </xf>
    <xf numFmtId="164" fontId="6" fillId="0" borderId="0" xfId="3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6" fillId="0" borderId="6" xfId="1221" applyFont="1" applyBorder="1"/>
    <xf numFmtId="164" fontId="6" fillId="0" borderId="10" xfId="1221" applyFont="1" applyBorder="1"/>
    <xf numFmtId="40" fontId="6" fillId="0" borderId="15" xfId="1221" applyNumberFormat="1" applyFont="1" applyFill="1" applyBorder="1"/>
    <xf numFmtId="40" fontId="6" fillId="0" borderId="16" xfId="1221" applyNumberFormat="1" applyFont="1" applyFill="1" applyBorder="1"/>
    <xf numFmtId="40" fontId="7" fillId="19" borderId="15" xfId="1221" applyNumberFormat="1" applyFont="1" applyFill="1" applyBorder="1"/>
    <xf numFmtId="40" fontId="7" fillId="19" borderId="16" xfId="1221" applyNumberFormat="1" applyFont="1" applyFill="1" applyBorder="1"/>
    <xf numFmtId="40" fontId="7" fillId="0" borderId="15" xfId="1221" applyNumberFormat="1" applyFont="1" applyFill="1" applyBorder="1"/>
    <xf numFmtId="40" fontId="7" fillId="0" borderId="16" xfId="1221" applyNumberFormat="1" applyFont="1" applyFill="1" applyBorder="1"/>
    <xf numFmtId="164" fontId="6" fillId="0" borderId="15" xfId="1221" applyFont="1" applyBorder="1"/>
    <xf numFmtId="164" fontId="6" fillId="0" borderId="16" xfId="1221" applyFont="1" applyBorder="1"/>
    <xf numFmtId="164" fontId="13" fillId="0" borderId="15" xfId="1221" applyFont="1" applyBorder="1"/>
    <xf numFmtId="164" fontId="13" fillId="0" borderId="16" xfId="1221" applyFont="1" applyBorder="1"/>
    <xf numFmtId="164" fontId="6" fillId="21" borderId="16" xfId="1221" applyFont="1" applyFill="1" applyBorder="1"/>
    <xf numFmtId="164" fontId="6" fillId="19" borderId="15" xfId="1221" applyFont="1" applyFill="1" applyBorder="1"/>
    <xf numFmtId="164" fontId="6" fillId="19" borderId="16" xfId="1221" applyFont="1" applyFill="1" applyBorder="1"/>
    <xf numFmtId="164" fontId="6" fillId="0" borderId="0" xfId="1221" applyFont="1"/>
    <xf numFmtId="0" fontId="7" fillId="0" borderId="2" xfId="2" applyFont="1" applyBorder="1"/>
    <xf numFmtId="0" fontId="6" fillId="0" borderId="0" xfId="2" applyFont="1" applyAlignment="1">
      <alignment horizontal="left" indent="2"/>
    </xf>
    <xf numFmtId="0" fontId="6" fillId="0" borderId="2" xfId="2" applyFont="1" applyBorder="1" applyAlignment="1">
      <alignment horizontal="left" indent="2"/>
    </xf>
    <xf numFmtId="40" fontId="8" fillId="0" borderId="0" xfId="1" applyNumberFormat="1" applyFont="1"/>
    <xf numFmtId="40" fontId="11" fillId="0" borderId="2" xfId="1" applyNumberFormat="1" applyFont="1" applyBorder="1"/>
    <xf numFmtId="40" fontId="8" fillId="0" borderId="2" xfId="1" applyNumberFormat="1" applyFont="1" applyBorder="1"/>
    <xf numFmtId="40" fontId="11" fillId="0" borderId="0" xfId="1" applyNumberFormat="1" applyFont="1"/>
    <xf numFmtId="0" fontId="5" fillId="0" borderId="0" xfId="2" applyFont="1" applyBorder="1" applyAlignment="1"/>
    <xf numFmtId="0" fontId="6" fillId="0" borderId="0" xfId="2" applyFont="1" applyBorder="1"/>
    <xf numFmtId="0" fontId="7" fillId="0" borderId="0" xfId="2" applyFont="1" applyBorder="1" applyAlignment="1">
      <alignment vertical="center"/>
    </xf>
    <xf numFmtId="0" fontId="7" fillId="0" borderId="57" xfId="2" applyFont="1" applyBorder="1" applyAlignment="1">
      <alignment horizontal="center"/>
    </xf>
    <xf numFmtId="0" fontId="7" fillId="0" borderId="58" xfId="2" applyFont="1" applyBorder="1" applyAlignment="1">
      <alignment horizontal="center"/>
    </xf>
    <xf numFmtId="40" fontId="6" fillId="0" borderId="19" xfId="3" applyNumberFormat="1" applyFont="1" applyFill="1" applyBorder="1"/>
    <xf numFmtId="0" fontId="7" fillId="0" borderId="15" xfId="2" applyFont="1" applyFill="1" applyBorder="1"/>
    <xf numFmtId="40" fontId="7" fillId="0" borderId="15" xfId="3" applyNumberFormat="1" applyFont="1" applyFill="1" applyBorder="1"/>
    <xf numFmtId="40" fontId="7" fillId="0" borderId="19" xfId="3" applyNumberFormat="1" applyFont="1" applyFill="1" applyBorder="1"/>
    <xf numFmtId="0" fontId="7" fillId="0" borderId="56" xfId="2" applyFont="1" applyBorder="1" applyAlignment="1"/>
    <xf numFmtId="0" fontId="7" fillId="0" borderId="59" xfId="2" applyFont="1" applyBorder="1" applyAlignment="1"/>
    <xf numFmtId="0" fontId="6" fillId="0" borderId="38" xfId="2" applyFont="1" applyFill="1" applyBorder="1"/>
    <xf numFmtId="0" fontId="8" fillId="0" borderId="60" xfId="2" applyFont="1" applyFill="1" applyBorder="1"/>
    <xf numFmtId="40" fontId="6" fillId="0" borderId="38" xfId="3" applyNumberFormat="1" applyFont="1" applyFill="1" applyBorder="1"/>
    <xf numFmtId="40" fontId="6" fillId="0" borderId="61" xfId="3" applyNumberFormat="1" applyFont="1" applyFill="1" applyBorder="1"/>
    <xf numFmtId="0" fontId="7" fillId="0" borderId="44" xfId="2" applyFont="1" applyFill="1" applyBorder="1"/>
    <xf numFmtId="0" fontId="11" fillId="0" borderId="46" xfId="2" applyFont="1" applyFill="1" applyBorder="1"/>
    <xf numFmtId="40" fontId="7" fillId="0" borderId="44" xfId="3" applyNumberFormat="1" applyFont="1" applyFill="1" applyBorder="1"/>
    <xf numFmtId="40" fontId="7" fillId="0" borderId="62" xfId="3" applyNumberFormat="1" applyFont="1" applyFill="1" applyBorder="1"/>
    <xf numFmtId="0" fontId="7" fillId="0" borderId="4" xfId="2" applyFont="1" applyBorder="1"/>
    <xf numFmtId="0" fontId="11" fillId="0" borderId="5" xfId="2" applyFont="1" applyBorder="1"/>
    <xf numFmtId="0" fontId="7" fillId="0" borderId="5" xfId="2" applyFont="1" applyBorder="1"/>
    <xf numFmtId="0" fontId="7" fillId="0" borderId="6" xfId="2" applyFont="1" applyBorder="1"/>
    <xf numFmtId="0" fontId="7" fillId="0" borderId="9" xfId="2" applyFont="1" applyBorder="1"/>
    <xf numFmtId="0" fontId="11" fillId="0" borderId="0" xfId="2" applyFont="1" applyBorder="1"/>
    <xf numFmtId="164" fontId="7" fillId="0" borderId="0" xfId="1" applyFont="1" applyBorder="1"/>
    <xf numFmtId="164" fontId="7" fillId="0" borderId="10" xfId="1" applyFont="1" applyBorder="1"/>
    <xf numFmtId="0" fontId="7" fillId="0" borderId="22" xfId="2" applyFont="1" applyBorder="1"/>
    <xf numFmtId="164" fontId="7" fillId="0" borderId="2" xfId="1" applyFont="1" applyBorder="1"/>
    <xf numFmtId="164" fontId="7" fillId="0" borderId="23" xfId="1" applyFont="1" applyBorder="1"/>
    <xf numFmtId="40" fontId="7" fillId="0" borderId="36" xfId="2" applyNumberFormat="1" applyFont="1" applyBorder="1"/>
    <xf numFmtId="40" fontId="7" fillId="0" borderId="3" xfId="2" applyNumberFormat="1" applyFont="1" applyBorder="1"/>
    <xf numFmtId="40" fontId="7" fillId="0" borderId="37" xfId="2" applyNumberFormat="1" applyFont="1" applyBorder="1"/>
    <xf numFmtId="164" fontId="7" fillId="15" borderId="2" xfId="1" applyFont="1" applyFill="1" applyBorder="1"/>
    <xf numFmtId="164" fontId="7" fillId="0" borderId="10" xfId="2" applyNumberFormat="1" applyFont="1" applyBorder="1"/>
    <xf numFmtId="164" fontId="7" fillId="0" borderId="0" xfId="2" applyNumberFormat="1" applyFont="1" applyBorder="1"/>
    <xf numFmtId="164" fontId="7" fillId="16" borderId="2" xfId="1" applyFont="1" applyFill="1" applyBorder="1"/>
    <xf numFmtId="164" fontId="7" fillId="16" borderId="23" xfId="1" applyFont="1" applyFill="1" applyBorder="1"/>
    <xf numFmtId="164" fontId="6" fillId="0" borderId="0" xfId="2" applyNumberFormat="1" applyFont="1" applyFill="1"/>
    <xf numFmtId="40" fontId="7" fillId="0" borderId="0" xfId="2" applyNumberFormat="1" applyFont="1"/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0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15" xfId="2" applyFont="1" applyBorder="1" applyAlignment="1">
      <alignment horizontal="center"/>
    </xf>
    <xf numFmtId="0" fontId="7" fillId="0" borderId="16" xfId="2" applyFont="1" applyBorder="1" applyAlignment="1">
      <alignment horizontal="center"/>
    </xf>
    <xf numFmtId="0" fontId="59" fillId="0" borderId="0" xfId="0" applyFont="1" applyBorder="1" applyAlignment="1">
      <alignment horizontal="center"/>
    </xf>
    <xf numFmtId="0" fontId="59" fillId="0" borderId="0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54" fillId="0" borderId="4" xfId="0" applyFont="1" applyBorder="1" applyAlignment="1">
      <alignment horizontal="left" vertical="center" wrapText="1"/>
    </xf>
    <xf numFmtId="0" fontId="54" fillId="0" borderId="5" xfId="0" applyFont="1" applyBorder="1" applyAlignment="1">
      <alignment horizontal="left" vertical="center" wrapText="1"/>
    </xf>
    <xf numFmtId="0" fontId="56" fillId="0" borderId="38" xfId="0" applyFont="1" applyBorder="1" applyAlignment="1">
      <alignment horizontal="center" vertical="center" wrapText="1"/>
    </xf>
    <xf numFmtId="0" fontId="56" fillId="0" borderId="15" xfId="0" applyFont="1" applyBorder="1" applyAlignment="1">
      <alignment horizontal="center" vertical="center" wrapText="1"/>
    </xf>
    <xf numFmtId="0" fontId="56" fillId="0" borderId="44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56" fillId="0" borderId="42" xfId="0" applyFont="1" applyBorder="1" applyAlignment="1">
      <alignment horizontal="center" vertical="center" wrapText="1"/>
    </xf>
    <xf numFmtId="0" fontId="56" fillId="0" borderId="45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/>
    </xf>
    <xf numFmtId="0" fontId="56" fillId="0" borderId="40" xfId="0" applyFont="1" applyBorder="1" applyAlignment="1">
      <alignment horizontal="center" vertical="center"/>
    </xf>
    <xf numFmtId="0" fontId="56" fillId="0" borderId="41" xfId="0" applyFont="1" applyBorder="1" applyAlignment="1">
      <alignment horizontal="center" vertical="center"/>
    </xf>
    <xf numFmtId="0" fontId="56" fillId="0" borderId="4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/>
    </xf>
    <xf numFmtId="0" fontId="56" fillId="0" borderId="9" xfId="0" applyFont="1" applyBorder="1" applyAlignment="1">
      <alignment horizontal="center" vertical="center"/>
    </xf>
    <xf numFmtId="0" fontId="56" fillId="0" borderId="10" xfId="0" applyFont="1" applyBorder="1" applyAlignment="1">
      <alignment horizontal="center" vertical="center"/>
    </xf>
    <xf numFmtId="0" fontId="56" fillId="0" borderId="17" xfId="0" applyFont="1" applyBorder="1" applyAlignment="1">
      <alignment horizontal="center" vertical="center" wrapText="1"/>
    </xf>
    <xf numFmtId="0" fontId="56" fillId="0" borderId="46" xfId="0" applyFont="1" applyBorder="1" applyAlignment="1">
      <alignment horizontal="center" vertical="center" wrapText="1"/>
    </xf>
    <xf numFmtId="0" fontId="56" fillId="0" borderId="38" xfId="0" applyFont="1" applyBorder="1" applyAlignment="1">
      <alignment horizontal="center" vertical="center"/>
    </xf>
    <xf numFmtId="0" fontId="56" fillId="0" borderId="43" xfId="0" applyFont="1" applyBorder="1" applyAlignment="1">
      <alignment horizontal="center" vertical="center"/>
    </xf>
    <xf numFmtId="170" fontId="6" fillId="0" borderId="0" xfId="2" applyNumberFormat="1" applyFont="1"/>
  </cellXfs>
  <cellStyles count="4154">
    <cellStyle name="20% - Accent1" xfId="7"/>
    <cellStyle name="20% - Accent2" xfId="8"/>
    <cellStyle name="20% - Accent3" xfId="9"/>
    <cellStyle name="20% - Accent4" xfId="10"/>
    <cellStyle name="20% - Accent5" xfId="11"/>
    <cellStyle name="20% - Accent6" xfId="12"/>
    <cellStyle name="20% - Ênfase1" xfId="1352" builtinId="30" customBuiltin="1"/>
    <cellStyle name="20% - Ênfase1 10" xfId="13"/>
    <cellStyle name="20% - Ênfase1 10 2" xfId="14"/>
    <cellStyle name="20% - Ênfase1 10 2 2" xfId="15"/>
    <cellStyle name="20% - Ênfase1 10 3" xfId="16"/>
    <cellStyle name="20% - Ênfase1 11" xfId="17"/>
    <cellStyle name="20% - Ênfase1 11 2" xfId="18"/>
    <cellStyle name="20% - Ênfase1 11 2 2" xfId="19"/>
    <cellStyle name="20% - Ênfase1 11 3" xfId="20"/>
    <cellStyle name="20% - Ênfase1 12" xfId="21"/>
    <cellStyle name="20% - Ênfase1 12 2" xfId="22"/>
    <cellStyle name="20% - Ênfase1 13" xfId="23"/>
    <cellStyle name="20% - Ênfase1 13 2" xfId="24"/>
    <cellStyle name="20% - Ênfase1 14" xfId="25"/>
    <cellStyle name="20% - Ênfase1 14 2" xfId="26"/>
    <cellStyle name="20% - Ênfase1 15" xfId="27"/>
    <cellStyle name="20% - Ênfase1 15 2" xfId="28"/>
    <cellStyle name="20% - Ênfase1 16" xfId="29"/>
    <cellStyle name="20% - Ênfase1 17" xfId="30"/>
    <cellStyle name="20% - Ênfase1 18" xfId="31"/>
    <cellStyle name="20% - Ênfase1 19" xfId="32"/>
    <cellStyle name="20% - Ênfase1 2" xfId="33"/>
    <cellStyle name="20% - Ênfase1 2 2" xfId="34"/>
    <cellStyle name="20% - Ênfase1 2 2 2" xfId="35"/>
    <cellStyle name="20% - Ênfase1 2 3" xfId="36"/>
    <cellStyle name="20% - Ênfase1 2 4" xfId="37"/>
    <cellStyle name="20% - Ênfase1 20" xfId="38"/>
    <cellStyle name="20% - Ênfase1 21" xfId="39"/>
    <cellStyle name="20% - Ênfase1 22" xfId="40"/>
    <cellStyle name="20% - Ênfase1 23" xfId="41"/>
    <cellStyle name="20% - Ênfase1 24" xfId="42"/>
    <cellStyle name="20% - Ênfase1 25" xfId="43"/>
    <cellStyle name="20% - Ênfase1 26" xfId="44"/>
    <cellStyle name="20% - Ênfase1 27" xfId="45"/>
    <cellStyle name="20% - Ênfase1 28" xfId="46"/>
    <cellStyle name="20% - Ênfase1 29" xfId="47"/>
    <cellStyle name="20% - Ênfase1 3" xfId="48"/>
    <cellStyle name="20% - Ênfase1 3 2" xfId="49"/>
    <cellStyle name="20% - Ênfase1 3 2 2" xfId="50"/>
    <cellStyle name="20% - Ênfase1 3 3" xfId="51"/>
    <cellStyle name="20% - Ênfase1 3 4" xfId="52"/>
    <cellStyle name="20% - Ênfase1 30" xfId="53"/>
    <cellStyle name="20% - Ênfase1 31" xfId="54"/>
    <cellStyle name="20% - Ênfase1 32" xfId="55"/>
    <cellStyle name="20% - Ênfase1 33" xfId="56"/>
    <cellStyle name="20% - Ênfase1 34" xfId="57"/>
    <cellStyle name="20% - Ênfase1 35" xfId="58"/>
    <cellStyle name="20% - Ênfase1 36" xfId="59"/>
    <cellStyle name="20% - Ênfase1 37" xfId="60"/>
    <cellStyle name="20% - Ênfase1 38" xfId="61"/>
    <cellStyle name="20% - Ênfase1 39" xfId="62"/>
    <cellStyle name="20% - Ênfase1 4" xfId="63"/>
    <cellStyle name="20% - Ênfase1 4 2" xfId="64"/>
    <cellStyle name="20% - Ênfase1 4 2 2" xfId="65"/>
    <cellStyle name="20% - Ênfase1 4 3" xfId="66"/>
    <cellStyle name="20% - Ênfase1 40" xfId="67"/>
    <cellStyle name="20% - Ênfase1 41" xfId="68"/>
    <cellStyle name="20% - Ênfase1 42" xfId="69"/>
    <cellStyle name="20% - Ênfase1 5" xfId="70"/>
    <cellStyle name="20% - Ênfase1 5 2" xfId="71"/>
    <cellStyle name="20% - Ênfase1 5 2 2" xfId="72"/>
    <cellStyle name="20% - Ênfase1 5 3" xfId="73"/>
    <cellStyle name="20% - Ênfase1 6" xfId="74"/>
    <cellStyle name="20% - Ênfase1 6 2" xfId="75"/>
    <cellStyle name="20% - Ênfase1 6 2 2" xfId="76"/>
    <cellStyle name="20% - Ênfase1 6 3" xfId="77"/>
    <cellStyle name="20% - Ênfase1 7" xfId="78"/>
    <cellStyle name="20% - Ênfase1 7 2" xfId="79"/>
    <cellStyle name="20% - Ênfase1 7 2 2" xfId="80"/>
    <cellStyle name="20% - Ênfase1 7 3" xfId="81"/>
    <cellStyle name="20% - Ênfase1 8" xfId="82"/>
    <cellStyle name="20% - Ênfase1 8 2" xfId="83"/>
    <cellStyle name="20% - Ênfase1 8 2 2" xfId="84"/>
    <cellStyle name="20% - Ênfase1 8 3" xfId="85"/>
    <cellStyle name="20% - Ênfase1 9" xfId="86"/>
    <cellStyle name="20% - Ênfase1 9 2" xfId="87"/>
    <cellStyle name="20% - Ênfase1 9 2 2" xfId="88"/>
    <cellStyle name="20% - Ênfase1 9 3" xfId="89"/>
    <cellStyle name="20% - Ênfase2" xfId="1356" builtinId="34" customBuiltin="1"/>
    <cellStyle name="20% - Ênfase2 10" xfId="90"/>
    <cellStyle name="20% - Ênfase2 10 2" xfId="91"/>
    <cellStyle name="20% - Ênfase2 10 2 2" xfId="92"/>
    <cellStyle name="20% - Ênfase2 10 3" xfId="93"/>
    <cellStyle name="20% - Ênfase2 11" xfId="94"/>
    <cellStyle name="20% - Ênfase2 11 2" xfId="95"/>
    <cellStyle name="20% - Ênfase2 11 2 2" xfId="96"/>
    <cellStyle name="20% - Ênfase2 11 3" xfId="97"/>
    <cellStyle name="20% - Ênfase2 12" xfId="98"/>
    <cellStyle name="20% - Ênfase2 12 2" xfId="99"/>
    <cellStyle name="20% - Ênfase2 13" xfId="100"/>
    <cellStyle name="20% - Ênfase2 13 2" xfId="101"/>
    <cellStyle name="20% - Ênfase2 14" xfId="102"/>
    <cellStyle name="20% - Ênfase2 14 2" xfId="103"/>
    <cellStyle name="20% - Ênfase2 15" xfId="104"/>
    <cellStyle name="20% - Ênfase2 15 2" xfId="105"/>
    <cellStyle name="20% - Ênfase2 16" xfId="106"/>
    <cellStyle name="20% - Ênfase2 17" xfId="107"/>
    <cellStyle name="20% - Ênfase2 18" xfId="108"/>
    <cellStyle name="20% - Ênfase2 19" xfId="109"/>
    <cellStyle name="20% - Ênfase2 2" xfId="110"/>
    <cellStyle name="20% - Ênfase2 2 2" xfId="111"/>
    <cellStyle name="20% - Ênfase2 2 2 2" xfId="112"/>
    <cellStyle name="20% - Ênfase2 2 3" xfId="113"/>
    <cellStyle name="20% - Ênfase2 2 4" xfId="114"/>
    <cellStyle name="20% - Ênfase2 20" xfId="115"/>
    <cellStyle name="20% - Ênfase2 21" xfId="116"/>
    <cellStyle name="20% - Ênfase2 22" xfId="117"/>
    <cellStyle name="20% - Ênfase2 23" xfId="118"/>
    <cellStyle name="20% - Ênfase2 24" xfId="119"/>
    <cellStyle name="20% - Ênfase2 25" xfId="120"/>
    <cellStyle name="20% - Ênfase2 26" xfId="121"/>
    <cellStyle name="20% - Ênfase2 27" xfId="122"/>
    <cellStyle name="20% - Ênfase2 28" xfId="123"/>
    <cellStyle name="20% - Ênfase2 29" xfId="124"/>
    <cellStyle name="20% - Ênfase2 3" xfId="125"/>
    <cellStyle name="20% - Ênfase2 3 2" xfId="126"/>
    <cellStyle name="20% - Ênfase2 3 2 2" xfId="127"/>
    <cellStyle name="20% - Ênfase2 3 3" xfId="128"/>
    <cellStyle name="20% - Ênfase2 3 4" xfId="129"/>
    <cellStyle name="20% - Ênfase2 30" xfId="130"/>
    <cellStyle name="20% - Ênfase2 31" xfId="131"/>
    <cellStyle name="20% - Ênfase2 32" xfId="132"/>
    <cellStyle name="20% - Ênfase2 33" xfId="133"/>
    <cellStyle name="20% - Ênfase2 34" xfId="134"/>
    <cellStyle name="20% - Ênfase2 35" xfId="135"/>
    <cellStyle name="20% - Ênfase2 36" xfId="136"/>
    <cellStyle name="20% - Ênfase2 37" xfId="137"/>
    <cellStyle name="20% - Ênfase2 38" xfId="138"/>
    <cellStyle name="20% - Ênfase2 39" xfId="139"/>
    <cellStyle name="20% - Ênfase2 4" xfId="140"/>
    <cellStyle name="20% - Ênfase2 4 2" xfId="141"/>
    <cellStyle name="20% - Ênfase2 4 2 2" xfId="142"/>
    <cellStyle name="20% - Ênfase2 4 3" xfId="143"/>
    <cellStyle name="20% - Ênfase2 40" xfId="144"/>
    <cellStyle name="20% - Ênfase2 41" xfId="145"/>
    <cellStyle name="20% - Ênfase2 42" xfId="146"/>
    <cellStyle name="20% - Ênfase2 5" xfId="147"/>
    <cellStyle name="20% - Ênfase2 5 2" xfId="148"/>
    <cellStyle name="20% - Ênfase2 5 2 2" xfId="149"/>
    <cellStyle name="20% - Ênfase2 5 3" xfId="150"/>
    <cellStyle name="20% - Ênfase2 6" xfId="151"/>
    <cellStyle name="20% - Ênfase2 6 2" xfId="152"/>
    <cellStyle name="20% - Ênfase2 6 2 2" xfId="153"/>
    <cellStyle name="20% - Ênfase2 6 3" xfId="154"/>
    <cellStyle name="20% - Ênfase2 7" xfId="155"/>
    <cellStyle name="20% - Ênfase2 7 2" xfId="156"/>
    <cellStyle name="20% - Ênfase2 7 2 2" xfId="157"/>
    <cellStyle name="20% - Ênfase2 7 3" xfId="158"/>
    <cellStyle name="20% - Ênfase2 8" xfId="159"/>
    <cellStyle name="20% - Ênfase2 8 2" xfId="160"/>
    <cellStyle name="20% - Ênfase2 8 2 2" xfId="161"/>
    <cellStyle name="20% - Ênfase2 8 3" xfId="162"/>
    <cellStyle name="20% - Ênfase2 9" xfId="163"/>
    <cellStyle name="20% - Ênfase2 9 2" xfId="164"/>
    <cellStyle name="20% - Ênfase2 9 2 2" xfId="165"/>
    <cellStyle name="20% - Ênfase2 9 3" xfId="166"/>
    <cellStyle name="20% - Ênfase3" xfId="1360" builtinId="38" customBuiltin="1"/>
    <cellStyle name="20% - Ênfase3 10" xfId="167"/>
    <cellStyle name="20% - Ênfase3 10 2" xfId="168"/>
    <cellStyle name="20% - Ênfase3 10 2 2" xfId="169"/>
    <cellStyle name="20% - Ênfase3 10 3" xfId="170"/>
    <cellStyle name="20% - Ênfase3 11" xfId="171"/>
    <cellStyle name="20% - Ênfase3 11 2" xfId="172"/>
    <cellStyle name="20% - Ênfase3 11 2 2" xfId="173"/>
    <cellStyle name="20% - Ênfase3 11 3" xfId="174"/>
    <cellStyle name="20% - Ênfase3 12" xfId="175"/>
    <cellStyle name="20% - Ênfase3 12 2" xfId="176"/>
    <cellStyle name="20% - Ênfase3 13" xfId="177"/>
    <cellStyle name="20% - Ênfase3 13 2" xfId="178"/>
    <cellStyle name="20% - Ênfase3 14" xfId="179"/>
    <cellStyle name="20% - Ênfase3 14 2" xfId="180"/>
    <cellStyle name="20% - Ênfase3 15" xfId="181"/>
    <cellStyle name="20% - Ênfase3 15 2" xfId="182"/>
    <cellStyle name="20% - Ênfase3 16" xfId="183"/>
    <cellStyle name="20% - Ênfase3 17" xfId="184"/>
    <cellStyle name="20% - Ênfase3 18" xfId="185"/>
    <cellStyle name="20% - Ênfase3 19" xfId="186"/>
    <cellStyle name="20% - Ênfase3 2" xfId="187"/>
    <cellStyle name="20% - Ênfase3 2 2" xfId="188"/>
    <cellStyle name="20% - Ênfase3 2 2 2" xfId="189"/>
    <cellStyle name="20% - Ênfase3 2 3" xfId="190"/>
    <cellStyle name="20% - Ênfase3 2 4" xfId="191"/>
    <cellStyle name="20% - Ênfase3 20" xfId="192"/>
    <cellStyle name="20% - Ênfase3 21" xfId="193"/>
    <cellStyle name="20% - Ênfase3 22" xfId="194"/>
    <cellStyle name="20% - Ênfase3 23" xfId="195"/>
    <cellStyle name="20% - Ênfase3 24" xfId="196"/>
    <cellStyle name="20% - Ênfase3 25" xfId="197"/>
    <cellStyle name="20% - Ênfase3 26" xfId="198"/>
    <cellStyle name="20% - Ênfase3 27" xfId="199"/>
    <cellStyle name="20% - Ênfase3 28" xfId="200"/>
    <cellStyle name="20% - Ênfase3 29" xfId="201"/>
    <cellStyle name="20% - Ênfase3 3" xfId="202"/>
    <cellStyle name="20% - Ênfase3 3 2" xfId="203"/>
    <cellStyle name="20% - Ênfase3 3 2 2" xfId="204"/>
    <cellStyle name="20% - Ênfase3 3 3" xfId="205"/>
    <cellStyle name="20% - Ênfase3 3 4" xfId="206"/>
    <cellStyle name="20% - Ênfase3 30" xfId="207"/>
    <cellStyle name="20% - Ênfase3 31" xfId="208"/>
    <cellStyle name="20% - Ênfase3 32" xfId="209"/>
    <cellStyle name="20% - Ênfase3 33" xfId="210"/>
    <cellStyle name="20% - Ênfase3 34" xfId="211"/>
    <cellStyle name="20% - Ênfase3 35" xfId="212"/>
    <cellStyle name="20% - Ênfase3 36" xfId="213"/>
    <cellStyle name="20% - Ênfase3 37" xfId="214"/>
    <cellStyle name="20% - Ênfase3 38" xfId="215"/>
    <cellStyle name="20% - Ênfase3 39" xfId="216"/>
    <cellStyle name="20% - Ênfase3 4" xfId="217"/>
    <cellStyle name="20% - Ênfase3 4 2" xfId="218"/>
    <cellStyle name="20% - Ênfase3 4 2 2" xfId="219"/>
    <cellStyle name="20% - Ênfase3 4 3" xfId="220"/>
    <cellStyle name="20% - Ênfase3 40" xfId="221"/>
    <cellStyle name="20% - Ênfase3 41" xfId="222"/>
    <cellStyle name="20% - Ênfase3 42" xfId="223"/>
    <cellStyle name="20% - Ênfase3 5" xfId="224"/>
    <cellStyle name="20% - Ênfase3 5 2" xfId="225"/>
    <cellStyle name="20% - Ênfase3 5 2 2" xfId="226"/>
    <cellStyle name="20% - Ênfase3 5 3" xfId="227"/>
    <cellStyle name="20% - Ênfase3 6" xfId="228"/>
    <cellStyle name="20% - Ênfase3 6 2" xfId="229"/>
    <cellStyle name="20% - Ênfase3 6 2 2" xfId="230"/>
    <cellStyle name="20% - Ênfase3 6 3" xfId="231"/>
    <cellStyle name="20% - Ênfase3 7" xfId="232"/>
    <cellStyle name="20% - Ênfase3 7 2" xfId="233"/>
    <cellStyle name="20% - Ênfase3 7 2 2" xfId="234"/>
    <cellStyle name="20% - Ênfase3 7 3" xfId="235"/>
    <cellStyle name="20% - Ênfase3 8" xfId="236"/>
    <cellStyle name="20% - Ênfase3 8 2" xfId="237"/>
    <cellStyle name="20% - Ênfase3 8 2 2" xfId="238"/>
    <cellStyle name="20% - Ênfase3 8 3" xfId="239"/>
    <cellStyle name="20% - Ênfase3 9" xfId="240"/>
    <cellStyle name="20% - Ênfase3 9 2" xfId="241"/>
    <cellStyle name="20% - Ênfase3 9 2 2" xfId="242"/>
    <cellStyle name="20% - Ênfase3 9 3" xfId="243"/>
    <cellStyle name="20% - Ênfase4" xfId="1364" builtinId="42" customBuiltin="1"/>
    <cellStyle name="20% - Ênfase4 10" xfId="244"/>
    <cellStyle name="20% - Ênfase4 10 2" xfId="245"/>
    <cellStyle name="20% - Ênfase4 10 2 2" xfId="246"/>
    <cellStyle name="20% - Ênfase4 10 3" xfId="247"/>
    <cellStyle name="20% - Ênfase4 11" xfId="248"/>
    <cellStyle name="20% - Ênfase4 11 2" xfId="249"/>
    <cellStyle name="20% - Ênfase4 11 2 2" xfId="250"/>
    <cellStyle name="20% - Ênfase4 11 3" xfId="251"/>
    <cellStyle name="20% - Ênfase4 12" xfId="252"/>
    <cellStyle name="20% - Ênfase4 12 2" xfId="253"/>
    <cellStyle name="20% - Ênfase4 13" xfId="254"/>
    <cellStyle name="20% - Ênfase4 13 2" xfId="255"/>
    <cellStyle name="20% - Ênfase4 14" xfId="256"/>
    <cellStyle name="20% - Ênfase4 14 2" xfId="257"/>
    <cellStyle name="20% - Ênfase4 15" xfId="258"/>
    <cellStyle name="20% - Ênfase4 15 2" xfId="259"/>
    <cellStyle name="20% - Ênfase4 16" xfId="260"/>
    <cellStyle name="20% - Ênfase4 17" xfId="261"/>
    <cellStyle name="20% - Ênfase4 18" xfId="262"/>
    <cellStyle name="20% - Ênfase4 19" xfId="263"/>
    <cellStyle name="20% - Ênfase4 2" xfId="264"/>
    <cellStyle name="20% - Ênfase4 2 2" xfId="265"/>
    <cellStyle name="20% - Ênfase4 2 2 2" xfId="266"/>
    <cellStyle name="20% - Ênfase4 2 3" xfId="267"/>
    <cellStyle name="20% - Ênfase4 2 4" xfId="268"/>
    <cellStyle name="20% - Ênfase4 20" xfId="269"/>
    <cellStyle name="20% - Ênfase4 21" xfId="270"/>
    <cellStyle name="20% - Ênfase4 22" xfId="271"/>
    <cellStyle name="20% - Ênfase4 23" xfId="272"/>
    <cellStyle name="20% - Ênfase4 24" xfId="273"/>
    <cellStyle name="20% - Ênfase4 25" xfId="274"/>
    <cellStyle name="20% - Ênfase4 26" xfId="275"/>
    <cellStyle name="20% - Ênfase4 27" xfId="276"/>
    <cellStyle name="20% - Ênfase4 28" xfId="277"/>
    <cellStyle name="20% - Ênfase4 29" xfId="278"/>
    <cellStyle name="20% - Ênfase4 3" xfId="279"/>
    <cellStyle name="20% - Ênfase4 3 2" xfId="280"/>
    <cellStyle name="20% - Ênfase4 3 2 2" xfId="281"/>
    <cellStyle name="20% - Ênfase4 3 3" xfId="282"/>
    <cellStyle name="20% - Ênfase4 3 4" xfId="283"/>
    <cellStyle name="20% - Ênfase4 30" xfId="284"/>
    <cellStyle name="20% - Ênfase4 31" xfId="285"/>
    <cellStyle name="20% - Ênfase4 32" xfId="286"/>
    <cellStyle name="20% - Ênfase4 33" xfId="287"/>
    <cellStyle name="20% - Ênfase4 34" xfId="288"/>
    <cellStyle name="20% - Ênfase4 35" xfId="289"/>
    <cellStyle name="20% - Ênfase4 36" xfId="290"/>
    <cellStyle name="20% - Ênfase4 37" xfId="291"/>
    <cellStyle name="20% - Ênfase4 38" xfId="292"/>
    <cellStyle name="20% - Ênfase4 39" xfId="293"/>
    <cellStyle name="20% - Ênfase4 4" xfId="294"/>
    <cellStyle name="20% - Ênfase4 4 2" xfId="295"/>
    <cellStyle name="20% - Ênfase4 4 2 2" xfId="296"/>
    <cellStyle name="20% - Ênfase4 4 3" xfId="297"/>
    <cellStyle name="20% - Ênfase4 40" xfId="298"/>
    <cellStyle name="20% - Ênfase4 41" xfId="299"/>
    <cellStyle name="20% - Ênfase4 42" xfId="300"/>
    <cellStyle name="20% - Ênfase4 5" xfId="301"/>
    <cellStyle name="20% - Ênfase4 5 2" xfId="302"/>
    <cellStyle name="20% - Ênfase4 5 2 2" xfId="303"/>
    <cellStyle name="20% - Ênfase4 5 3" xfId="304"/>
    <cellStyle name="20% - Ênfase4 6" xfId="305"/>
    <cellStyle name="20% - Ênfase4 6 2" xfId="306"/>
    <cellStyle name="20% - Ênfase4 6 2 2" xfId="307"/>
    <cellStyle name="20% - Ênfase4 6 3" xfId="308"/>
    <cellStyle name="20% - Ênfase4 7" xfId="309"/>
    <cellStyle name="20% - Ênfase4 7 2" xfId="310"/>
    <cellStyle name="20% - Ênfase4 7 2 2" xfId="311"/>
    <cellStyle name="20% - Ênfase4 7 3" xfId="312"/>
    <cellStyle name="20% - Ênfase4 8" xfId="313"/>
    <cellStyle name="20% - Ênfase4 8 2" xfId="314"/>
    <cellStyle name="20% - Ênfase4 8 2 2" xfId="315"/>
    <cellStyle name="20% - Ênfase4 8 3" xfId="316"/>
    <cellStyle name="20% - Ênfase4 9" xfId="317"/>
    <cellStyle name="20% - Ênfase4 9 2" xfId="318"/>
    <cellStyle name="20% - Ênfase4 9 2 2" xfId="319"/>
    <cellStyle name="20% - Ênfase4 9 3" xfId="320"/>
    <cellStyle name="20% - Ênfase5" xfId="1368" builtinId="46" customBuiltin="1"/>
    <cellStyle name="20% - Ênfase5 10" xfId="321"/>
    <cellStyle name="20% - Ênfase5 10 2" xfId="322"/>
    <cellStyle name="20% - Ênfase5 10 2 2" xfId="323"/>
    <cellStyle name="20% - Ênfase5 10 3" xfId="324"/>
    <cellStyle name="20% - Ênfase5 11" xfId="325"/>
    <cellStyle name="20% - Ênfase5 11 2" xfId="326"/>
    <cellStyle name="20% - Ênfase5 11 2 2" xfId="327"/>
    <cellStyle name="20% - Ênfase5 11 3" xfId="328"/>
    <cellStyle name="20% - Ênfase5 12" xfId="329"/>
    <cellStyle name="20% - Ênfase5 12 2" xfId="330"/>
    <cellStyle name="20% - Ênfase5 13" xfId="331"/>
    <cellStyle name="20% - Ênfase5 13 2" xfId="332"/>
    <cellStyle name="20% - Ênfase5 14" xfId="333"/>
    <cellStyle name="20% - Ênfase5 14 2" xfId="334"/>
    <cellStyle name="20% - Ênfase5 15" xfId="335"/>
    <cellStyle name="20% - Ênfase5 15 2" xfId="336"/>
    <cellStyle name="20% - Ênfase5 16" xfId="337"/>
    <cellStyle name="20% - Ênfase5 17" xfId="338"/>
    <cellStyle name="20% - Ênfase5 18" xfId="339"/>
    <cellStyle name="20% - Ênfase5 19" xfId="340"/>
    <cellStyle name="20% - Ênfase5 2" xfId="341"/>
    <cellStyle name="20% - Ênfase5 2 2" xfId="342"/>
    <cellStyle name="20% - Ênfase5 2 2 2" xfId="343"/>
    <cellStyle name="20% - Ênfase5 2 3" xfId="344"/>
    <cellStyle name="20% - Ênfase5 2 4" xfId="345"/>
    <cellStyle name="20% - Ênfase5 20" xfId="346"/>
    <cellStyle name="20% - Ênfase5 21" xfId="347"/>
    <cellStyle name="20% - Ênfase5 22" xfId="348"/>
    <cellStyle name="20% - Ênfase5 23" xfId="349"/>
    <cellStyle name="20% - Ênfase5 24" xfId="350"/>
    <cellStyle name="20% - Ênfase5 25" xfId="351"/>
    <cellStyle name="20% - Ênfase5 26" xfId="352"/>
    <cellStyle name="20% - Ênfase5 27" xfId="353"/>
    <cellStyle name="20% - Ênfase5 28" xfId="354"/>
    <cellStyle name="20% - Ênfase5 29" xfId="355"/>
    <cellStyle name="20% - Ênfase5 3" xfId="356"/>
    <cellStyle name="20% - Ênfase5 3 2" xfId="357"/>
    <cellStyle name="20% - Ênfase5 3 2 2" xfId="358"/>
    <cellStyle name="20% - Ênfase5 3 3" xfId="359"/>
    <cellStyle name="20% - Ênfase5 3 4" xfId="360"/>
    <cellStyle name="20% - Ênfase5 30" xfId="361"/>
    <cellStyle name="20% - Ênfase5 31" xfId="362"/>
    <cellStyle name="20% - Ênfase5 32" xfId="363"/>
    <cellStyle name="20% - Ênfase5 33" xfId="364"/>
    <cellStyle name="20% - Ênfase5 34" xfId="365"/>
    <cellStyle name="20% - Ênfase5 35" xfId="366"/>
    <cellStyle name="20% - Ênfase5 36" xfId="367"/>
    <cellStyle name="20% - Ênfase5 37" xfId="368"/>
    <cellStyle name="20% - Ênfase5 38" xfId="369"/>
    <cellStyle name="20% - Ênfase5 39" xfId="370"/>
    <cellStyle name="20% - Ênfase5 4" xfId="371"/>
    <cellStyle name="20% - Ênfase5 4 2" xfId="372"/>
    <cellStyle name="20% - Ênfase5 4 2 2" xfId="373"/>
    <cellStyle name="20% - Ênfase5 4 3" xfId="374"/>
    <cellStyle name="20% - Ênfase5 40" xfId="375"/>
    <cellStyle name="20% - Ênfase5 41" xfId="376"/>
    <cellStyle name="20% - Ênfase5 42" xfId="377"/>
    <cellStyle name="20% - Ênfase5 5" xfId="378"/>
    <cellStyle name="20% - Ênfase5 5 2" xfId="379"/>
    <cellStyle name="20% - Ênfase5 5 2 2" xfId="380"/>
    <cellStyle name="20% - Ênfase5 5 3" xfId="381"/>
    <cellStyle name="20% - Ênfase5 6" xfId="382"/>
    <cellStyle name="20% - Ênfase5 6 2" xfId="383"/>
    <cellStyle name="20% - Ênfase5 6 2 2" xfId="384"/>
    <cellStyle name="20% - Ênfase5 6 3" xfId="385"/>
    <cellStyle name="20% - Ênfase5 7" xfId="386"/>
    <cellStyle name="20% - Ênfase5 7 2" xfId="387"/>
    <cellStyle name="20% - Ênfase5 7 2 2" xfId="388"/>
    <cellStyle name="20% - Ênfase5 7 3" xfId="389"/>
    <cellStyle name="20% - Ênfase5 8" xfId="390"/>
    <cellStyle name="20% - Ênfase5 8 2" xfId="391"/>
    <cellStyle name="20% - Ênfase5 8 2 2" xfId="392"/>
    <cellStyle name="20% - Ênfase5 8 3" xfId="393"/>
    <cellStyle name="20% - Ênfase5 9" xfId="394"/>
    <cellStyle name="20% - Ênfase5 9 2" xfId="395"/>
    <cellStyle name="20% - Ênfase5 9 2 2" xfId="396"/>
    <cellStyle name="20% - Ênfase5 9 3" xfId="397"/>
    <cellStyle name="20% - Ênfase6" xfId="1372" builtinId="50" customBuiltin="1"/>
    <cellStyle name="20% - Ênfase6 10" xfId="398"/>
    <cellStyle name="20% - Ênfase6 10 2" xfId="399"/>
    <cellStyle name="20% - Ênfase6 10 2 2" xfId="400"/>
    <cellStyle name="20% - Ênfase6 10 3" xfId="401"/>
    <cellStyle name="20% - Ênfase6 11" xfId="402"/>
    <cellStyle name="20% - Ênfase6 11 2" xfId="403"/>
    <cellStyle name="20% - Ênfase6 11 2 2" xfId="404"/>
    <cellStyle name="20% - Ênfase6 11 3" xfId="405"/>
    <cellStyle name="20% - Ênfase6 12" xfId="406"/>
    <cellStyle name="20% - Ênfase6 12 2" xfId="407"/>
    <cellStyle name="20% - Ênfase6 13" xfId="408"/>
    <cellStyle name="20% - Ênfase6 13 2" xfId="409"/>
    <cellStyle name="20% - Ênfase6 14" xfId="410"/>
    <cellStyle name="20% - Ênfase6 14 2" xfId="411"/>
    <cellStyle name="20% - Ênfase6 15" xfId="412"/>
    <cellStyle name="20% - Ênfase6 15 2" xfId="413"/>
    <cellStyle name="20% - Ênfase6 16" xfId="414"/>
    <cellStyle name="20% - Ênfase6 17" xfId="415"/>
    <cellStyle name="20% - Ênfase6 18" xfId="416"/>
    <cellStyle name="20% - Ênfase6 19" xfId="417"/>
    <cellStyle name="20% - Ênfase6 2" xfId="418"/>
    <cellStyle name="20% - Ênfase6 2 2" xfId="419"/>
    <cellStyle name="20% - Ênfase6 2 2 2" xfId="420"/>
    <cellStyle name="20% - Ênfase6 2 3" xfId="421"/>
    <cellStyle name="20% - Ênfase6 2 4" xfId="422"/>
    <cellStyle name="20% - Ênfase6 20" xfId="423"/>
    <cellStyle name="20% - Ênfase6 21" xfId="424"/>
    <cellStyle name="20% - Ênfase6 22" xfId="425"/>
    <cellStyle name="20% - Ênfase6 23" xfId="426"/>
    <cellStyle name="20% - Ênfase6 24" xfId="427"/>
    <cellStyle name="20% - Ênfase6 25" xfId="428"/>
    <cellStyle name="20% - Ênfase6 26" xfId="429"/>
    <cellStyle name="20% - Ênfase6 27" xfId="430"/>
    <cellStyle name="20% - Ênfase6 28" xfId="431"/>
    <cellStyle name="20% - Ênfase6 29" xfId="432"/>
    <cellStyle name="20% - Ênfase6 3" xfId="433"/>
    <cellStyle name="20% - Ênfase6 3 2" xfId="434"/>
    <cellStyle name="20% - Ênfase6 3 2 2" xfId="435"/>
    <cellStyle name="20% - Ênfase6 3 3" xfId="436"/>
    <cellStyle name="20% - Ênfase6 3 4" xfId="437"/>
    <cellStyle name="20% - Ênfase6 30" xfId="438"/>
    <cellStyle name="20% - Ênfase6 31" xfId="439"/>
    <cellStyle name="20% - Ênfase6 32" xfId="440"/>
    <cellStyle name="20% - Ênfase6 33" xfId="441"/>
    <cellStyle name="20% - Ênfase6 34" xfId="442"/>
    <cellStyle name="20% - Ênfase6 35" xfId="443"/>
    <cellStyle name="20% - Ênfase6 36" xfId="444"/>
    <cellStyle name="20% - Ênfase6 37" xfId="445"/>
    <cellStyle name="20% - Ênfase6 38" xfId="446"/>
    <cellStyle name="20% - Ênfase6 39" xfId="447"/>
    <cellStyle name="20% - Ênfase6 4" xfId="448"/>
    <cellStyle name="20% - Ênfase6 4 2" xfId="449"/>
    <cellStyle name="20% - Ênfase6 4 2 2" xfId="450"/>
    <cellStyle name="20% - Ênfase6 4 3" xfId="451"/>
    <cellStyle name="20% - Ênfase6 40" xfId="452"/>
    <cellStyle name="20% - Ênfase6 41" xfId="453"/>
    <cellStyle name="20% - Ênfase6 42" xfId="454"/>
    <cellStyle name="20% - Ênfase6 5" xfId="455"/>
    <cellStyle name="20% - Ênfase6 5 2" xfId="456"/>
    <cellStyle name="20% - Ênfase6 5 2 2" xfId="457"/>
    <cellStyle name="20% - Ênfase6 5 3" xfId="458"/>
    <cellStyle name="20% - Ênfase6 6" xfId="459"/>
    <cellStyle name="20% - Ênfase6 6 2" xfId="460"/>
    <cellStyle name="20% - Ênfase6 6 2 2" xfId="461"/>
    <cellStyle name="20% - Ênfase6 6 3" xfId="462"/>
    <cellStyle name="20% - Ênfase6 7" xfId="463"/>
    <cellStyle name="20% - Ênfase6 7 2" xfId="464"/>
    <cellStyle name="20% - Ênfase6 7 2 2" xfId="465"/>
    <cellStyle name="20% - Ênfase6 7 3" xfId="466"/>
    <cellStyle name="20% - Ênfase6 8" xfId="467"/>
    <cellStyle name="20% - Ênfase6 8 2" xfId="468"/>
    <cellStyle name="20% - Ênfase6 8 2 2" xfId="469"/>
    <cellStyle name="20% - Ênfase6 8 3" xfId="470"/>
    <cellStyle name="20% - Ênfase6 9" xfId="471"/>
    <cellStyle name="20% - Ênfase6 9 2" xfId="472"/>
    <cellStyle name="20% - Ênfase6 9 2 2" xfId="473"/>
    <cellStyle name="20% - Ênfase6 9 3" xfId="474"/>
    <cellStyle name="40% - Accent1" xfId="475"/>
    <cellStyle name="40% - Accent2" xfId="476"/>
    <cellStyle name="40% - Accent3" xfId="477"/>
    <cellStyle name="40% - Accent4" xfId="478"/>
    <cellStyle name="40% - Accent5" xfId="479"/>
    <cellStyle name="40% - Accent6" xfId="480"/>
    <cellStyle name="40% - Ênfase1" xfId="1353" builtinId="31" customBuiltin="1"/>
    <cellStyle name="40% - Ênfase1 10" xfId="481"/>
    <cellStyle name="40% - Ênfase1 10 2" xfId="482"/>
    <cellStyle name="40% - Ênfase1 10 2 2" xfId="483"/>
    <cellStyle name="40% - Ênfase1 10 3" xfId="484"/>
    <cellStyle name="40% - Ênfase1 11" xfId="485"/>
    <cellStyle name="40% - Ênfase1 11 2" xfId="486"/>
    <cellStyle name="40% - Ênfase1 11 2 2" xfId="487"/>
    <cellStyle name="40% - Ênfase1 11 3" xfId="488"/>
    <cellStyle name="40% - Ênfase1 12" xfId="489"/>
    <cellStyle name="40% - Ênfase1 12 2" xfId="490"/>
    <cellStyle name="40% - Ênfase1 13" xfId="491"/>
    <cellStyle name="40% - Ênfase1 13 2" xfId="492"/>
    <cellStyle name="40% - Ênfase1 14" xfId="493"/>
    <cellStyle name="40% - Ênfase1 14 2" xfId="494"/>
    <cellStyle name="40% - Ênfase1 15" xfId="495"/>
    <cellStyle name="40% - Ênfase1 15 2" xfId="496"/>
    <cellStyle name="40% - Ênfase1 16" xfId="497"/>
    <cellStyle name="40% - Ênfase1 17" xfId="498"/>
    <cellStyle name="40% - Ênfase1 18" xfId="499"/>
    <cellStyle name="40% - Ênfase1 19" xfId="500"/>
    <cellStyle name="40% - Ênfase1 2" xfId="501"/>
    <cellStyle name="40% - Ênfase1 2 2" xfId="502"/>
    <cellStyle name="40% - Ênfase1 2 2 2" xfId="503"/>
    <cellStyle name="40% - Ênfase1 2 3" xfId="504"/>
    <cellStyle name="40% - Ênfase1 2 4" xfId="505"/>
    <cellStyle name="40% - Ênfase1 20" xfId="506"/>
    <cellStyle name="40% - Ênfase1 21" xfId="507"/>
    <cellStyle name="40% - Ênfase1 22" xfId="508"/>
    <cellStyle name="40% - Ênfase1 23" xfId="509"/>
    <cellStyle name="40% - Ênfase1 24" xfId="510"/>
    <cellStyle name="40% - Ênfase1 25" xfId="511"/>
    <cellStyle name="40% - Ênfase1 26" xfId="512"/>
    <cellStyle name="40% - Ênfase1 27" xfId="513"/>
    <cellStyle name="40% - Ênfase1 28" xfId="514"/>
    <cellStyle name="40% - Ênfase1 29" xfId="515"/>
    <cellStyle name="40% - Ênfase1 3" xfId="516"/>
    <cellStyle name="40% - Ênfase1 3 2" xfId="517"/>
    <cellStyle name="40% - Ênfase1 3 2 2" xfId="518"/>
    <cellStyle name="40% - Ênfase1 3 3" xfId="519"/>
    <cellStyle name="40% - Ênfase1 3 4" xfId="520"/>
    <cellStyle name="40% - Ênfase1 30" xfId="521"/>
    <cellStyle name="40% - Ênfase1 31" xfId="522"/>
    <cellStyle name="40% - Ênfase1 32" xfId="523"/>
    <cellStyle name="40% - Ênfase1 33" xfId="524"/>
    <cellStyle name="40% - Ênfase1 34" xfId="525"/>
    <cellStyle name="40% - Ênfase1 35" xfId="526"/>
    <cellStyle name="40% - Ênfase1 36" xfId="527"/>
    <cellStyle name="40% - Ênfase1 37" xfId="528"/>
    <cellStyle name="40% - Ênfase1 38" xfId="529"/>
    <cellStyle name="40% - Ênfase1 39" xfId="530"/>
    <cellStyle name="40% - Ênfase1 4" xfId="531"/>
    <cellStyle name="40% - Ênfase1 4 2" xfId="532"/>
    <cellStyle name="40% - Ênfase1 4 2 2" xfId="533"/>
    <cellStyle name="40% - Ênfase1 4 3" xfId="534"/>
    <cellStyle name="40% - Ênfase1 40" xfId="535"/>
    <cellStyle name="40% - Ênfase1 41" xfId="536"/>
    <cellStyle name="40% - Ênfase1 42" xfId="537"/>
    <cellStyle name="40% - Ênfase1 5" xfId="538"/>
    <cellStyle name="40% - Ênfase1 5 2" xfId="539"/>
    <cellStyle name="40% - Ênfase1 5 2 2" xfId="540"/>
    <cellStyle name="40% - Ênfase1 5 3" xfId="541"/>
    <cellStyle name="40% - Ênfase1 6" xfId="542"/>
    <cellStyle name="40% - Ênfase1 6 2" xfId="543"/>
    <cellStyle name="40% - Ênfase1 6 2 2" xfId="544"/>
    <cellStyle name="40% - Ênfase1 6 3" xfId="545"/>
    <cellStyle name="40% - Ênfase1 7" xfId="546"/>
    <cellStyle name="40% - Ênfase1 7 2" xfId="547"/>
    <cellStyle name="40% - Ênfase1 7 2 2" xfId="548"/>
    <cellStyle name="40% - Ênfase1 7 3" xfId="549"/>
    <cellStyle name="40% - Ênfase1 8" xfId="550"/>
    <cellStyle name="40% - Ênfase1 8 2" xfId="551"/>
    <cellStyle name="40% - Ênfase1 8 2 2" xfId="552"/>
    <cellStyle name="40% - Ênfase1 8 3" xfId="553"/>
    <cellStyle name="40% - Ênfase1 9" xfId="554"/>
    <cellStyle name="40% - Ênfase1 9 2" xfId="555"/>
    <cellStyle name="40% - Ênfase1 9 2 2" xfId="556"/>
    <cellStyle name="40% - Ênfase1 9 3" xfId="557"/>
    <cellStyle name="40% - Ênfase2" xfId="1357" builtinId="35" customBuiltin="1"/>
    <cellStyle name="40% - Ênfase2 10" xfId="558"/>
    <cellStyle name="40% - Ênfase2 10 2" xfId="559"/>
    <cellStyle name="40% - Ênfase2 10 2 2" xfId="560"/>
    <cellStyle name="40% - Ênfase2 10 3" xfId="561"/>
    <cellStyle name="40% - Ênfase2 11" xfId="562"/>
    <cellStyle name="40% - Ênfase2 11 2" xfId="563"/>
    <cellStyle name="40% - Ênfase2 11 2 2" xfId="564"/>
    <cellStyle name="40% - Ênfase2 11 3" xfId="565"/>
    <cellStyle name="40% - Ênfase2 12" xfId="566"/>
    <cellStyle name="40% - Ênfase2 12 2" xfId="567"/>
    <cellStyle name="40% - Ênfase2 13" xfId="568"/>
    <cellStyle name="40% - Ênfase2 13 2" xfId="569"/>
    <cellStyle name="40% - Ênfase2 14" xfId="570"/>
    <cellStyle name="40% - Ênfase2 14 2" xfId="571"/>
    <cellStyle name="40% - Ênfase2 15" xfId="572"/>
    <cellStyle name="40% - Ênfase2 15 2" xfId="573"/>
    <cellStyle name="40% - Ênfase2 16" xfId="574"/>
    <cellStyle name="40% - Ênfase2 17" xfId="575"/>
    <cellStyle name="40% - Ênfase2 18" xfId="576"/>
    <cellStyle name="40% - Ênfase2 19" xfId="577"/>
    <cellStyle name="40% - Ênfase2 2" xfId="578"/>
    <cellStyle name="40% - Ênfase2 2 2" xfId="579"/>
    <cellStyle name="40% - Ênfase2 2 2 2" xfId="580"/>
    <cellStyle name="40% - Ênfase2 2 3" xfId="581"/>
    <cellStyle name="40% - Ênfase2 2 4" xfId="582"/>
    <cellStyle name="40% - Ênfase2 20" xfId="583"/>
    <cellStyle name="40% - Ênfase2 21" xfId="584"/>
    <cellStyle name="40% - Ênfase2 22" xfId="585"/>
    <cellStyle name="40% - Ênfase2 23" xfId="586"/>
    <cellStyle name="40% - Ênfase2 24" xfId="587"/>
    <cellStyle name="40% - Ênfase2 25" xfId="588"/>
    <cellStyle name="40% - Ênfase2 26" xfId="589"/>
    <cellStyle name="40% - Ênfase2 27" xfId="590"/>
    <cellStyle name="40% - Ênfase2 28" xfId="591"/>
    <cellStyle name="40% - Ênfase2 29" xfId="592"/>
    <cellStyle name="40% - Ênfase2 3" xfId="593"/>
    <cellStyle name="40% - Ênfase2 3 2" xfId="594"/>
    <cellStyle name="40% - Ênfase2 3 2 2" xfId="595"/>
    <cellStyle name="40% - Ênfase2 3 3" xfId="596"/>
    <cellStyle name="40% - Ênfase2 3 4" xfId="597"/>
    <cellStyle name="40% - Ênfase2 30" xfId="598"/>
    <cellStyle name="40% - Ênfase2 31" xfId="599"/>
    <cellStyle name="40% - Ênfase2 32" xfId="600"/>
    <cellStyle name="40% - Ênfase2 33" xfId="601"/>
    <cellStyle name="40% - Ênfase2 34" xfId="602"/>
    <cellStyle name="40% - Ênfase2 35" xfId="603"/>
    <cellStyle name="40% - Ênfase2 36" xfId="604"/>
    <cellStyle name="40% - Ênfase2 37" xfId="605"/>
    <cellStyle name="40% - Ênfase2 38" xfId="606"/>
    <cellStyle name="40% - Ênfase2 39" xfId="607"/>
    <cellStyle name="40% - Ênfase2 4" xfId="608"/>
    <cellStyle name="40% - Ênfase2 4 2" xfId="609"/>
    <cellStyle name="40% - Ênfase2 4 2 2" xfId="610"/>
    <cellStyle name="40% - Ênfase2 4 3" xfId="611"/>
    <cellStyle name="40% - Ênfase2 40" xfId="612"/>
    <cellStyle name="40% - Ênfase2 41" xfId="613"/>
    <cellStyle name="40% - Ênfase2 42" xfId="614"/>
    <cellStyle name="40% - Ênfase2 5" xfId="615"/>
    <cellStyle name="40% - Ênfase2 5 2" xfId="616"/>
    <cellStyle name="40% - Ênfase2 5 2 2" xfId="617"/>
    <cellStyle name="40% - Ênfase2 5 3" xfId="618"/>
    <cellStyle name="40% - Ênfase2 6" xfId="619"/>
    <cellStyle name="40% - Ênfase2 6 2" xfId="620"/>
    <cellStyle name="40% - Ênfase2 6 2 2" xfId="621"/>
    <cellStyle name="40% - Ênfase2 6 3" xfId="622"/>
    <cellStyle name="40% - Ênfase2 7" xfId="623"/>
    <cellStyle name="40% - Ênfase2 7 2" xfId="624"/>
    <cellStyle name="40% - Ênfase2 7 2 2" xfId="625"/>
    <cellStyle name="40% - Ênfase2 7 3" xfId="626"/>
    <cellStyle name="40% - Ênfase2 8" xfId="627"/>
    <cellStyle name="40% - Ênfase2 8 2" xfId="628"/>
    <cellStyle name="40% - Ênfase2 8 2 2" xfId="629"/>
    <cellStyle name="40% - Ênfase2 8 3" xfId="630"/>
    <cellStyle name="40% - Ênfase2 9" xfId="631"/>
    <cellStyle name="40% - Ênfase2 9 2" xfId="632"/>
    <cellStyle name="40% - Ênfase2 9 2 2" xfId="633"/>
    <cellStyle name="40% - Ênfase2 9 3" xfId="634"/>
    <cellStyle name="40% - Ênfase3" xfId="1361" builtinId="39" customBuiltin="1"/>
    <cellStyle name="40% - Ênfase3 10" xfId="635"/>
    <cellStyle name="40% - Ênfase3 10 2" xfId="636"/>
    <cellStyle name="40% - Ênfase3 10 2 2" xfId="637"/>
    <cellStyle name="40% - Ênfase3 10 3" xfId="638"/>
    <cellStyle name="40% - Ênfase3 11" xfId="639"/>
    <cellStyle name="40% - Ênfase3 11 2" xfId="640"/>
    <cellStyle name="40% - Ênfase3 11 2 2" xfId="641"/>
    <cellStyle name="40% - Ênfase3 11 3" xfId="642"/>
    <cellStyle name="40% - Ênfase3 12" xfId="643"/>
    <cellStyle name="40% - Ênfase3 12 2" xfId="644"/>
    <cellStyle name="40% - Ênfase3 13" xfId="645"/>
    <cellStyle name="40% - Ênfase3 13 2" xfId="646"/>
    <cellStyle name="40% - Ênfase3 14" xfId="647"/>
    <cellStyle name="40% - Ênfase3 14 2" xfId="648"/>
    <cellStyle name="40% - Ênfase3 15" xfId="649"/>
    <cellStyle name="40% - Ênfase3 15 2" xfId="650"/>
    <cellStyle name="40% - Ênfase3 16" xfId="651"/>
    <cellStyle name="40% - Ênfase3 17" xfId="652"/>
    <cellStyle name="40% - Ênfase3 18" xfId="653"/>
    <cellStyle name="40% - Ênfase3 19" xfId="654"/>
    <cellStyle name="40% - Ênfase3 2" xfId="655"/>
    <cellStyle name="40% - Ênfase3 2 2" xfId="656"/>
    <cellStyle name="40% - Ênfase3 2 2 2" xfId="657"/>
    <cellStyle name="40% - Ênfase3 2 3" xfId="658"/>
    <cellStyle name="40% - Ênfase3 2 4" xfId="659"/>
    <cellStyle name="40% - Ênfase3 20" xfId="660"/>
    <cellStyle name="40% - Ênfase3 21" xfId="661"/>
    <cellStyle name="40% - Ênfase3 22" xfId="662"/>
    <cellStyle name="40% - Ênfase3 23" xfId="663"/>
    <cellStyle name="40% - Ênfase3 24" xfId="664"/>
    <cellStyle name="40% - Ênfase3 25" xfId="665"/>
    <cellStyle name="40% - Ênfase3 26" xfId="666"/>
    <cellStyle name="40% - Ênfase3 27" xfId="667"/>
    <cellStyle name="40% - Ênfase3 28" xfId="668"/>
    <cellStyle name="40% - Ênfase3 29" xfId="669"/>
    <cellStyle name="40% - Ênfase3 3" xfId="670"/>
    <cellStyle name="40% - Ênfase3 3 2" xfId="671"/>
    <cellStyle name="40% - Ênfase3 3 2 2" xfId="672"/>
    <cellStyle name="40% - Ênfase3 3 3" xfId="673"/>
    <cellStyle name="40% - Ênfase3 3 4" xfId="674"/>
    <cellStyle name="40% - Ênfase3 30" xfId="675"/>
    <cellStyle name="40% - Ênfase3 31" xfId="676"/>
    <cellStyle name="40% - Ênfase3 32" xfId="677"/>
    <cellStyle name="40% - Ênfase3 33" xfId="678"/>
    <cellStyle name="40% - Ênfase3 34" xfId="679"/>
    <cellStyle name="40% - Ênfase3 35" xfId="680"/>
    <cellStyle name="40% - Ênfase3 36" xfId="681"/>
    <cellStyle name="40% - Ênfase3 37" xfId="682"/>
    <cellStyle name="40% - Ênfase3 38" xfId="683"/>
    <cellStyle name="40% - Ênfase3 39" xfId="684"/>
    <cellStyle name="40% - Ênfase3 4" xfId="685"/>
    <cellStyle name="40% - Ênfase3 4 2" xfId="686"/>
    <cellStyle name="40% - Ênfase3 4 2 2" xfId="687"/>
    <cellStyle name="40% - Ênfase3 4 3" xfId="688"/>
    <cellStyle name="40% - Ênfase3 40" xfId="689"/>
    <cellStyle name="40% - Ênfase3 41" xfId="690"/>
    <cellStyle name="40% - Ênfase3 42" xfId="691"/>
    <cellStyle name="40% - Ênfase3 5" xfId="692"/>
    <cellStyle name="40% - Ênfase3 5 2" xfId="693"/>
    <cellStyle name="40% - Ênfase3 5 2 2" xfId="694"/>
    <cellStyle name="40% - Ênfase3 5 3" xfId="695"/>
    <cellStyle name="40% - Ênfase3 6" xfId="696"/>
    <cellStyle name="40% - Ênfase3 6 2" xfId="697"/>
    <cellStyle name="40% - Ênfase3 6 2 2" xfId="698"/>
    <cellStyle name="40% - Ênfase3 6 3" xfId="699"/>
    <cellStyle name="40% - Ênfase3 7" xfId="700"/>
    <cellStyle name="40% - Ênfase3 7 2" xfId="701"/>
    <cellStyle name="40% - Ênfase3 7 2 2" xfId="702"/>
    <cellStyle name="40% - Ênfase3 7 3" xfId="703"/>
    <cellStyle name="40% - Ênfase3 8" xfId="704"/>
    <cellStyle name="40% - Ênfase3 8 2" xfId="705"/>
    <cellStyle name="40% - Ênfase3 8 2 2" xfId="706"/>
    <cellStyle name="40% - Ênfase3 8 3" xfId="707"/>
    <cellStyle name="40% - Ênfase3 9" xfId="708"/>
    <cellStyle name="40% - Ênfase3 9 2" xfId="709"/>
    <cellStyle name="40% - Ênfase3 9 2 2" xfId="710"/>
    <cellStyle name="40% - Ênfase3 9 3" xfId="711"/>
    <cellStyle name="40% - Ênfase4" xfId="1365" builtinId="43" customBuiltin="1"/>
    <cellStyle name="40% - Ênfase4 10" xfId="712"/>
    <cellStyle name="40% - Ênfase4 10 2" xfId="713"/>
    <cellStyle name="40% - Ênfase4 10 2 2" xfId="714"/>
    <cellStyle name="40% - Ênfase4 10 3" xfId="715"/>
    <cellStyle name="40% - Ênfase4 11" xfId="716"/>
    <cellStyle name="40% - Ênfase4 11 2" xfId="717"/>
    <cellStyle name="40% - Ênfase4 11 2 2" xfId="718"/>
    <cellStyle name="40% - Ênfase4 11 3" xfId="719"/>
    <cellStyle name="40% - Ênfase4 12" xfId="720"/>
    <cellStyle name="40% - Ênfase4 12 2" xfId="721"/>
    <cellStyle name="40% - Ênfase4 13" xfId="722"/>
    <cellStyle name="40% - Ênfase4 13 2" xfId="723"/>
    <cellStyle name="40% - Ênfase4 14" xfId="724"/>
    <cellStyle name="40% - Ênfase4 14 2" xfId="725"/>
    <cellStyle name="40% - Ênfase4 15" xfId="726"/>
    <cellStyle name="40% - Ênfase4 15 2" xfId="727"/>
    <cellStyle name="40% - Ênfase4 16" xfId="728"/>
    <cellStyle name="40% - Ênfase4 17" xfId="729"/>
    <cellStyle name="40% - Ênfase4 18" xfId="730"/>
    <cellStyle name="40% - Ênfase4 19" xfId="731"/>
    <cellStyle name="40% - Ênfase4 2" xfId="732"/>
    <cellStyle name="40% - Ênfase4 2 2" xfId="733"/>
    <cellStyle name="40% - Ênfase4 2 2 2" xfId="734"/>
    <cellStyle name="40% - Ênfase4 2 3" xfId="735"/>
    <cellStyle name="40% - Ênfase4 2 4" xfId="736"/>
    <cellStyle name="40% - Ênfase4 20" xfId="737"/>
    <cellStyle name="40% - Ênfase4 21" xfId="738"/>
    <cellStyle name="40% - Ênfase4 22" xfId="739"/>
    <cellStyle name="40% - Ênfase4 23" xfId="740"/>
    <cellStyle name="40% - Ênfase4 24" xfId="741"/>
    <cellStyle name="40% - Ênfase4 25" xfId="742"/>
    <cellStyle name="40% - Ênfase4 26" xfId="743"/>
    <cellStyle name="40% - Ênfase4 27" xfId="744"/>
    <cellStyle name="40% - Ênfase4 28" xfId="745"/>
    <cellStyle name="40% - Ênfase4 29" xfId="746"/>
    <cellStyle name="40% - Ênfase4 3" xfId="747"/>
    <cellStyle name="40% - Ênfase4 3 2" xfId="748"/>
    <cellStyle name="40% - Ênfase4 3 2 2" xfId="749"/>
    <cellStyle name="40% - Ênfase4 3 3" xfId="750"/>
    <cellStyle name="40% - Ênfase4 3 4" xfId="751"/>
    <cellStyle name="40% - Ênfase4 30" xfId="752"/>
    <cellStyle name="40% - Ênfase4 31" xfId="753"/>
    <cellStyle name="40% - Ênfase4 32" xfId="754"/>
    <cellStyle name="40% - Ênfase4 33" xfId="755"/>
    <cellStyle name="40% - Ênfase4 34" xfId="756"/>
    <cellStyle name="40% - Ênfase4 35" xfId="757"/>
    <cellStyle name="40% - Ênfase4 36" xfId="758"/>
    <cellStyle name="40% - Ênfase4 37" xfId="759"/>
    <cellStyle name="40% - Ênfase4 38" xfId="760"/>
    <cellStyle name="40% - Ênfase4 39" xfId="761"/>
    <cellStyle name="40% - Ênfase4 4" xfId="762"/>
    <cellStyle name="40% - Ênfase4 4 2" xfId="763"/>
    <cellStyle name="40% - Ênfase4 4 2 2" xfId="764"/>
    <cellStyle name="40% - Ênfase4 4 3" xfId="765"/>
    <cellStyle name="40% - Ênfase4 40" xfId="766"/>
    <cellStyle name="40% - Ênfase4 41" xfId="767"/>
    <cellStyle name="40% - Ênfase4 42" xfId="768"/>
    <cellStyle name="40% - Ênfase4 5" xfId="769"/>
    <cellStyle name="40% - Ênfase4 5 2" xfId="770"/>
    <cellStyle name="40% - Ênfase4 5 2 2" xfId="771"/>
    <cellStyle name="40% - Ênfase4 5 3" xfId="772"/>
    <cellStyle name="40% - Ênfase4 6" xfId="773"/>
    <cellStyle name="40% - Ênfase4 6 2" xfId="774"/>
    <cellStyle name="40% - Ênfase4 6 2 2" xfId="775"/>
    <cellStyle name="40% - Ênfase4 6 3" xfId="776"/>
    <cellStyle name="40% - Ênfase4 7" xfId="777"/>
    <cellStyle name="40% - Ênfase4 7 2" xfId="778"/>
    <cellStyle name="40% - Ênfase4 7 2 2" xfId="779"/>
    <cellStyle name="40% - Ênfase4 7 3" xfId="780"/>
    <cellStyle name="40% - Ênfase4 8" xfId="781"/>
    <cellStyle name="40% - Ênfase4 8 2" xfId="782"/>
    <cellStyle name="40% - Ênfase4 8 2 2" xfId="783"/>
    <cellStyle name="40% - Ênfase4 8 3" xfId="784"/>
    <cellStyle name="40% - Ênfase4 9" xfId="785"/>
    <cellStyle name="40% - Ênfase4 9 2" xfId="786"/>
    <cellStyle name="40% - Ênfase4 9 2 2" xfId="787"/>
    <cellStyle name="40% - Ênfase4 9 3" xfId="788"/>
    <cellStyle name="40% - Ênfase5" xfId="1369" builtinId="47" customBuiltin="1"/>
    <cellStyle name="40% - Ênfase5 10" xfId="789"/>
    <cellStyle name="40% - Ênfase5 10 2" xfId="790"/>
    <cellStyle name="40% - Ênfase5 10 2 2" xfId="791"/>
    <cellStyle name="40% - Ênfase5 10 3" xfId="792"/>
    <cellStyle name="40% - Ênfase5 11" xfId="793"/>
    <cellStyle name="40% - Ênfase5 11 2" xfId="794"/>
    <cellStyle name="40% - Ênfase5 11 2 2" xfId="795"/>
    <cellStyle name="40% - Ênfase5 11 3" xfId="796"/>
    <cellStyle name="40% - Ênfase5 12" xfId="797"/>
    <cellStyle name="40% - Ênfase5 12 2" xfId="798"/>
    <cellStyle name="40% - Ênfase5 13" xfId="799"/>
    <cellStyle name="40% - Ênfase5 13 2" xfId="800"/>
    <cellStyle name="40% - Ênfase5 14" xfId="801"/>
    <cellStyle name="40% - Ênfase5 14 2" xfId="802"/>
    <cellStyle name="40% - Ênfase5 15" xfId="803"/>
    <cellStyle name="40% - Ênfase5 15 2" xfId="804"/>
    <cellStyle name="40% - Ênfase5 16" xfId="805"/>
    <cellStyle name="40% - Ênfase5 17" xfId="806"/>
    <cellStyle name="40% - Ênfase5 18" xfId="807"/>
    <cellStyle name="40% - Ênfase5 19" xfId="808"/>
    <cellStyle name="40% - Ênfase5 2" xfId="809"/>
    <cellStyle name="40% - Ênfase5 2 2" xfId="810"/>
    <cellStyle name="40% - Ênfase5 2 2 2" xfId="811"/>
    <cellStyle name="40% - Ênfase5 2 3" xfId="812"/>
    <cellStyle name="40% - Ênfase5 2 4" xfId="813"/>
    <cellStyle name="40% - Ênfase5 20" xfId="814"/>
    <cellStyle name="40% - Ênfase5 21" xfId="815"/>
    <cellStyle name="40% - Ênfase5 22" xfId="816"/>
    <cellStyle name="40% - Ênfase5 23" xfId="817"/>
    <cellStyle name="40% - Ênfase5 24" xfId="818"/>
    <cellStyle name="40% - Ênfase5 25" xfId="819"/>
    <cellStyle name="40% - Ênfase5 26" xfId="820"/>
    <cellStyle name="40% - Ênfase5 27" xfId="821"/>
    <cellStyle name="40% - Ênfase5 28" xfId="822"/>
    <cellStyle name="40% - Ênfase5 29" xfId="823"/>
    <cellStyle name="40% - Ênfase5 3" xfId="824"/>
    <cellStyle name="40% - Ênfase5 3 2" xfId="825"/>
    <cellStyle name="40% - Ênfase5 3 2 2" xfId="826"/>
    <cellStyle name="40% - Ênfase5 3 3" xfId="827"/>
    <cellStyle name="40% - Ênfase5 3 4" xfId="828"/>
    <cellStyle name="40% - Ênfase5 30" xfId="829"/>
    <cellStyle name="40% - Ênfase5 31" xfId="830"/>
    <cellStyle name="40% - Ênfase5 32" xfId="831"/>
    <cellStyle name="40% - Ênfase5 33" xfId="832"/>
    <cellStyle name="40% - Ênfase5 34" xfId="833"/>
    <cellStyle name="40% - Ênfase5 35" xfId="834"/>
    <cellStyle name="40% - Ênfase5 36" xfId="835"/>
    <cellStyle name="40% - Ênfase5 37" xfId="836"/>
    <cellStyle name="40% - Ênfase5 38" xfId="837"/>
    <cellStyle name="40% - Ênfase5 39" xfId="838"/>
    <cellStyle name="40% - Ênfase5 4" xfId="839"/>
    <cellStyle name="40% - Ênfase5 4 2" xfId="840"/>
    <cellStyle name="40% - Ênfase5 4 2 2" xfId="841"/>
    <cellStyle name="40% - Ênfase5 4 3" xfId="842"/>
    <cellStyle name="40% - Ênfase5 40" xfId="843"/>
    <cellStyle name="40% - Ênfase5 41" xfId="844"/>
    <cellStyle name="40% - Ênfase5 42" xfId="845"/>
    <cellStyle name="40% - Ênfase5 5" xfId="846"/>
    <cellStyle name="40% - Ênfase5 5 2" xfId="847"/>
    <cellStyle name="40% - Ênfase5 5 2 2" xfId="848"/>
    <cellStyle name="40% - Ênfase5 5 3" xfId="849"/>
    <cellStyle name="40% - Ênfase5 6" xfId="850"/>
    <cellStyle name="40% - Ênfase5 6 2" xfId="851"/>
    <cellStyle name="40% - Ênfase5 6 2 2" xfId="852"/>
    <cellStyle name="40% - Ênfase5 6 3" xfId="853"/>
    <cellStyle name="40% - Ênfase5 7" xfId="854"/>
    <cellStyle name="40% - Ênfase5 7 2" xfId="855"/>
    <cellStyle name="40% - Ênfase5 7 2 2" xfId="856"/>
    <cellStyle name="40% - Ênfase5 7 3" xfId="857"/>
    <cellStyle name="40% - Ênfase5 8" xfId="858"/>
    <cellStyle name="40% - Ênfase5 8 2" xfId="859"/>
    <cellStyle name="40% - Ênfase5 8 2 2" xfId="860"/>
    <cellStyle name="40% - Ênfase5 8 3" xfId="861"/>
    <cellStyle name="40% - Ênfase5 9" xfId="862"/>
    <cellStyle name="40% - Ênfase5 9 2" xfId="863"/>
    <cellStyle name="40% - Ênfase5 9 2 2" xfId="864"/>
    <cellStyle name="40% - Ênfase5 9 3" xfId="865"/>
    <cellStyle name="40% - Ênfase6" xfId="1373" builtinId="51" customBuiltin="1"/>
    <cellStyle name="40% - Ênfase6 10" xfId="866"/>
    <cellStyle name="40% - Ênfase6 10 2" xfId="867"/>
    <cellStyle name="40% - Ênfase6 10 2 2" xfId="868"/>
    <cellStyle name="40% - Ênfase6 10 3" xfId="869"/>
    <cellStyle name="40% - Ênfase6 11" xfId="870"/>
    <cellStyle name="40% - Ênfase6 11 2" xfId="871"/>
    <cellStyle name="40% - Ênfase6 11 2 2" xfId="872"/>
    <cellStyle name="40% - Ênfase6 11 3" xfId="873"/>
    <cellStyle name="40% - Ênfase6 12" xfId="874"/>
    <cellStyle name="40% - Ênfase6 12 2" xfId="875"/>
    <cellStyle name="40% - Ênfase6 13" xfId="876"/>
    <cellStyle name="40% - Ênfase6 13 2" xfId="877"/>
    <cellStyle name="40% - Ênfase6 14" xfId="878"/>
    <cellStyle name="40% - Ênfase6 14 2" xfId="879"/>
    <cellStyle name="40% - Ênfase6 15" xfId="880"/>
    <cellStyle name="40% - Ênfase6 15 2" xfId="881"/>
    <cellStyle name="40% - Ênfase6 16" xfId="882"/>
    <cellStyle name="40% - Ênfase6 17" xfId="883"/>
    <cellStyle name="40% - Ênfase6 18" xfId="884"/>
    <cellStyle name="40% - Ênfase6 19" xfId="885"/>
    <cellStyle name="40% - Ênfase6 2" xfId="886"/>
    <cellStyle name="40% - Ênfase6 2 2" xfId="887"/>
    <cellStyle name="40% - Ênfase6 2 2 2" xfId="888"/>
    <cellStyle name="40% - Ênfase6 2 3" xfId="889"/>
    <cellStyle name="40% - Ênfase6 2 4" xfId="890"/>
    <cellStyle name="40% - Ênfase6 20" xfId="891"/>
    <cellStyle name="40% - Ênfase6 21" xfId="892"/>
    <cellStyle name="40% - Ênfase6 22" xfId="893"/>
    <cellStyle name="40% - Ênfase6 23" xfId="894"/>
    <cellStyle name="40% - Ênfase6 24" xfId="895"/>
    <cellStyle name="40% - Ênfase6 25" xfId="896"/>
    <cellStyle name="40% - Ênfase6 26" xfId="897"/>
    <cellStyle name="40% - Ênfase6 27" xfId="898"/>
    <cellStyle name="40% - Ênfase6 28" xfId="899"/>
    <cellStyle name="40% - Ênfase6 29" xfId="900"/>
    <cellStyle name="40% - Ênfase6 3" xfId="901"/>
    <cellStyle name="40% - Ênfase6 3 2" xfId="902"/>
    <cellStyle name="40% - Ênfase6 3 2 2" xfId="903"/>
    <cellStyle name="40% - Ênfase6 3 3" xfId="904"/>
    <cellStyle name="40% - Ênfase6 3 4" xfId="905"/>
    <cellStyle name="40% - Ênfase6 30" xfId="906"/>
    <cellStyle name="40% - Ênfase6 31" xfId="907"/>
    <cellStyle name="40% - Ênfase6 32" xfId="908"/>
    <cellStyle name="40% - Ênfase6 33" xfId="909"/>
    <cellStyle name="40% - Ênfase6 34" xfId="910"/>
    <cellStyle name="40% - Ênfase6 35" xfId="911"/>
    <cellStyle name="40% - Ênfase6 36" xfId="912"/>
    <cellStyle name="40% - Ênfase6 37" xfId="913"/>
    <cellStyle name="40% - Ênfase6 38" xfId="914"/>
    <cellStyle name="40% - Ênfase6 39" xfId="915"/>
    <cellStyle name="40% - Ênfase6 4" xfId="916"/>
    <cellStyle name="40% - Ênfase6 4 2" xfId="917"/>
    <cellStyle name="40% - Ênfase6 4 2 2" xfId="918"/>
    <cellStyle name="40% - Ênfase6 4 3" xfId="919"/>
    <cellStyle name="40% - Ênfase6 40" xfId="920"/>
    <cellStyle name="40% - Ênfase6 41" xfId="921"/>
    <cellStyle name="40% - Ênfase6 42" xfId="922"/>
    <cellStyle name="40% - Ênfase6 5" xfId="923"/>
    <cellStyle name="40% - Ênfase6 5 2" xfId="924"/>
    <cellStyle name="40% - Ênfase6 5 2 2" xfId="925"/>
    <cellStyle name="40% - Ênfase6 5 3" xfId="926"/>
    <cellStyle name="40% - Ênfase6 6" xfId="927"/>
    <cellStyle name="40% - Ênfase6 6 2" xfId="928"/>
    <cellStyle name="40% - Ênfase6 6 2 2" xfId="929"/>
    <cellStyle name="40% - Ênfase6 6 3" xfId="930"/>
    <cellStyle name="40% - Ênfase6 7" xfId="931"/>
    <cellStyle name="40% - Ênfase6 7 2" xfId="932"/>
    <cellStyle name="40% - Ênfase6 7 2 2" xfId="933"/>
    <cellStyle name="40% - Ênfase6 7 3" xfId="934"/>
    <cellStyle name="40% - Ênfase6 8" xfId="935"/>
    <cellStyle name="40% - Ênfase6 8 2" xfId="936"/>
    <cellStyle name="40% - Ênfase6 8 2 2" xfId="937"/>
    <cellStyle name="40% - Ênfase6 8 3" xfId="938"/>
    <cellStyle name="40% - Ênfase6 9" xfId="939"/>
    <cellStyle name="40% - Ênfase6 9 2" xfId="940"/>
    <cellStyle name="40% - Ênfase6 9 2 2" xfId="941"/>
    <cellStyle name="40% - Ênfase6 9 3" xfId="942"/>
    <cellStyle name="60% - Accent1" xfId="943"/>
    <cellStyle name="60% - Accent2" xfId="944"/>
    <cellStyle name="60% - Accent3" xfId="945"/>
    <cellStyle name="60% - Accent4" xfId="946"/>
    <cellStyle name="60% - Accent5" xfId="947"/>
    <cellStyle name="60% - Accent6" xfId="948"/>
    <cellStyle name="60% - Ênfase1" xfId="1354" builtinId="32" customBuiltin="1"/>
    <cellStyle name="60% - Ênfase1 2" xfId="949"/>
    <cellStyle name="60% - Ênfase1 3" xfId="950"/>
    <cellStyle name="60% - Ênfase2" xfId="1358" builtinId="36" customBuiltin="1"/>
    <cellStyle name="60% - Ênfase2 2" xfId="951"/>
    <cellStyle name="60% - Ênfase2 3" xfId="952"/>
    <cellStyle name="60% - Ênfase3" xfId="1362" builtinId="40" customBuiltin="1"/>
    <cellStyle name="60% - Ênfase3 2" xfId="953"/>
    <cellStyle name="60% - Ênfase3 3" xfId="954"/>
    <cellStyle name="60% - Ênfase4" xfId="1366" builtinId="44" customBuiltin="1"/>
    <cellStyle name="60% - Ênfase4 2" xfId="955"/>
    <cellStyle name="60% - Ênfase4 3" xfId="956"/>
    <cellStyle name="60% - Ênfase5" xfId="1370" builtinId="48" customBuiltin="1"/>
    <cellStyle name="60% - Ênfase5 2" xfId="957"/>
    <cellStyle name="60% - Ênfase5 3" xfId="958"/>
    <cellStyle name="60% - Ênfase6" xfId="1374" builtinId="52" customBuiltin="1"/>
    <cellStyle name="60% - Ênfase6 2" xfId="959"/>
    <cellStyle name="60% - Ênfase6 3" xfId="960"/>
    <cellStyle name="Accent1" xfId="961"/>
    <cellStyle name="Accent2" xfId="962"/>
    <cellStyle name="Accent3" xfId="963"/>
    <cellStyle name="Accent4" xfId="964"/>
    <cellStyle name="Accent5" xfId="965"/>
    <cellStyle name="Accent6" xfId="966"/>
    <cellStyle name="Bad" xfId="967"/>
    <cellStyle name="Bom" xfId="1339" builtinId="26" customBuiltin="1"/>
    <cellStyle name="Bom 2" xfId="968"/>
    <cellStyle name="Bom 3" xfId="969"/>
    <cellStyle name="Calculation" xfId="970"/>
    <cellStyle name="Cálculo" xfId="1344" builtinId="22" customBuiltin="1"/>
    <cellStyle name="Cálculo 2" xfId="971"/>
    <cellStyle name="Cálculo 3" xfId="972"/>
    <cellStyle name="Célula de Verificação" xfId="1346" builtinId="23" customBuiltin="1"/>
    <cellStyle name="Célula de Verificação 2" xfId="973"/>
    <cellStyle name="Célula de Verificação 3" xfId="974"/>
    <cellStyle name="Célula Vinculada" xfId="1345" builtinId="24" customBuiltin="1"/>
    <cellStyle name="Célula Vinculada 2" xfId="975"/>
    <cellStyle name="Célula Vinculada 3" xfId="976"/>
    <cellStyle name="Check Cell" xfId="977"/>
    <cellStyle name="Ênfase1" xfId="1351" builtinId="29" customBuiltin="1"/>
    <cellStyle name="Ênfase1 2" xfId="978"/>
    <cellStyle name="Ênfase1 3" xfId="979"/>
    <cellStyle name="Ênfase2" xfId="1355" builtinId="33" customBuiltin="1"/>
    <cellStyle name="Ênfase2 2" xfId="980"/>
    <cellStyle name="Ênfase2 3" xfId="981"/>
    <cellStyle name="Ênfase3" xfId="1359" builtinId="37" customBuiltin="1"/>
    <cellStyle name="Ênfase3 2" xfId="982"/>
    <cellStyle name="Ênfase3 3" xfId="983"/>
    <cellStyle name="Ênfase4" xfId="1363" builtinId="41" customBuiltin="1"/>
    <cellStyle name="Ênfase4 2" xfId="984"/>
    <cellStyle name="Ênfase4 3" xfId="985"/>
    <cellStyle name="Ênfase5" xfId="1367" builtinId="45" customBuiltin="1"/>
    <cellStyle name="Ênfase5 2" xfId="986"/>
    <cellStyle name="Ênfase5 3" xfId="987"/>
    <cellStyle name="Ênfase6" xfId="1371" builtinId="49" customBuiltin="1"/>
    <cellStyle name="Ênfase6 2" xfId="988"/>
    <cellStyle name="Ênfase6 3" xfId="989"/>
    <cellStyle name="Entrada" xfId="1342" builtinId="20" customBuiltin="1"/>
    <cellStyle name="Entrada 2" xfId="990"/>
    <cellStyle name="Entrada 3" xfId="991"/>
    <cellStyle name="Estilo 1" xfId="1376"/>
    <cellStyle name="Estilo 1 2" xfId="3710"/>
    <cellStyle name="Euro" xfId="992"/>
    <cellStyle name="Explanatory Text" xfId="993"/>
    <cellStyle name="Good" xfId="994"/>
    <cellStyle name="Heading 1" xfId="995"/>
    <cellStyle name="Heading 2" xfId="996"/>
    <cellStyle name="Heading 3" xfId="997"/>
    <cellStyle name="Heading 4" xfId="998"/>
    <cellStyle name="Hiperlink 2" xfId="4153"/>
    <cellStyle name="Hyperlink 2" xfId="999"/>
    <cellStyle name="Hyperlink 2 2" xfId="1377"/>
    <cellStyle name="Hyperlink 3" xfId="1000"/>
    <cellStyle name="Hyperlink 3 10" xfId="3231"/>
    <cellStyle name="Hyperlink 3 11" xfId="3253"/>
    <cellStyle name="Hyperlink 3 12" xfId="3339"/>
    <cellStyle name="Hyperlink 3 13" xfId="3281"/>
    <cellStyle name="Hyperlink 3 14" xfId="3373"/>
    <cellStyle name="Hyperlink 3 15" xfId="3394"/>
    <cellStyle name="Hyperlink 3 16" xfId="3456"/>
    <cellStyle name="Hyperlink 3 17" xfId="3500"/>
    <cellStyle name="Hyperlink 3 18" xfId="3552"/>
    <cellStyle name="Hyperlink 3 19" xfId="3587"/>
    <cellStyle name="Hyperlink 3 2" xfId="1379"/>
    <cellStyle name="Hyperlink 3 2 2" xfId="3712"/>
    <cellStyle name="Hyperlink 3 2 2 2" xfId="3713"/>
    <cellStyle name="Hyperlink 3 2 2 3" xfId="4013"/>
    <cellStyle name="Hyperlink 3 2 3" xfId="4012"/>
    <cellStyle name="Hyperlink 3 20" xfId="3678"/>
    <cellStyle name="Hyperlink 3 21" xfId="3618"/>
    <cellStyle name="Hyperlink 3 22" xfId="3711"/>
    <cellStyle name="Hyperlink 3 23" xfId="4011"/>
    <cellStyle name="Hyperlink 3 24" xfId="4141"/>
    <cellStyle name="Hyperlink 3 25" xfId="1378"/>
    <cellStyle name="Hyperlink 3 3" xfId="1441"/>
    <cellStyle name="Hyperlink 3 4" xfId="1423"/>
    <cellStyle name="Hyperlink 3 5" xfId="3037"/>
    <cellStyle name="Hyperlink 3 6" xfId="3074"/>
    <cellStyle name="Hyperlink 3 7" xfId="3110"/>
    <cellStyle name="Hyperlink 3 8" xfId="3098"/>
    <cellStyle name="Hyperlink 3 9" xfId="3219"/>
    <cellStyle name="Hyperlink 4" xfId="1452"/>
    <cellStyle name="Hyperlink 4 10" xfId="3368"/>
    <cellStyle name="Hyperlink 4 11" xfId="3426"/>
    <cellStyle name="Hyperlink 4 12" xfId="3486"/>
    <cellStyle name="Hyperlink 4 13" xfId="3568"/>
    <cellStyle name="Hyperlink 4 14" xfId="3573"/>
    <cellStyle name="Hyperlink 4 15" xfId="3698"/>
    <cellStyle name="Hyperlink 4 16" xfId="3702"/>
    <cellStyle name="Hyperlink 4 17" xfId="3706"/>
    <cellStyle name="Hyperlink 4 18" xfId="3714"/>
    <cellStyle name="Hyperlink 4 19" xfId="4014"/>
    <cellStyle name="Hyperlink 4 2" xfId="2962"/>
    <cellStyle name="Hyperlink 4 2 2" xfId="3715"/>
    <cellStyle name="Hyperlink 4 2 3" xfId="4015"/>
    <cellStyle name="Hyperlink 4 3" xfId="3072"/>
    <cellStyle name="Hyperlink 4 4" xfId="3077"/>
    <cellStyle name="Hyperlink 4 5" xfId="3082"/>
    <cellStyle name="Hyperlink 4 6" xfId="3189"/>
    <cellStyle name="Hyperlink 4 7" xfId="3209"/>
    <cellStyle name="Hyperlink 4 8" xfId="3358"/>
    <cellStyle name="Hyperlink 4 9" xfId="3363"/>
    <cellStyle name="Hyperlink 5" xfId="2758"/>
    <cellStyle name="Hyperlink 5 2" xfId="3716"/>
    <cellStyle name="Hyperlink 5 3" xfId="4016"/>
    <cellStyle name="Incorreto" xfId="1340" builtinId="27" customBuiltin="1"/>
    <cellStyle name="Incorreto 2" xfId="1001"/>
    <cellStyle name="Incorreto 3" xfId="1002"/>
    <cellStyle name="Input" xfId="1003"/>
    <cellStyle name="Linked Cell" xfId="1004"/>
    <cellStyle name="Moeda 2" xfId="1005"/>
    <cellStyle name="Moeda 2 10" xfId="3435"/>
    <cellStyle name="Moeda 2 11" xfId="3440"/>
    <cellStyle name="Moeda 2 2" xfId="1006"/>
    <cellStyle name="Moeda 2 2 2" xfId="1007"/>
    <cellStyle name="Moeda 2 2 3" xfId="1454"/>
    <cellStyle name="Moeda 2 3" xfId="1008"/>
    <cellStyle name="Moeda 2 3 2" xfId="3169"/>
    <cellStyle name="Moeda 2 4" xfId="1009"/>
    <cellStyle name="Moeda 2 4 2" xfId="3151"/>
    <cellStyle name="Moeda 2 5" xfId="3176"/>
    <cellStyle name="Moeda 2 6" xfId="3131"/>
    <cellStyle name="Moeda 2 7" xfId="3206"/>
    <cellStyle name="Moeda 2 8" xfId="3214"/>
    <cellStyle name="Moeda 2 9" xfId="3430"/>
    <cellStyle name="Moeda 3" xfId="1010"/>
    <cellStyle name="Moeda 4" xfId="1380"/>
    <cellStyle name="Moeda 4 10" xfId="3254"/>
    <cellStyle name="Moeda 4 11" xfId="3338"/>
    <cellStyle name="Moeda 4 12" xfId="3282"/>
    <cellStyle name="Moeda 4 13" xfId="3374"/>
    <cellStyle name="Moeda 4 14" xfId="3395"/>
    <cellStyle name="Moeda 4 15" xfId="3457"/>
    <cellStyle name="Moeda 4 16" xfId="3501"/>
    <cellStyle name="Moeda 4 17" xfId="3551"/>
    <cellStyle name="Moeda 4 18" xfId="3588"/>
    <cellStyle name="Moeda 4 19" xfId="3677"/>
    <cellStyle name="Moeda 4 2" xfId="1442"/>
    <cellStyle name="Moeda 4 2 2" xfId="3718"/>
    <cellStyle name="Moeda 4 2 3" xfId="4018"/>
    <cellStyle name="Moeda 4 20" xfId="3619"/>
    <cellStyle name="Moeda 4 21" xfId="3717"/>
    <cellStyle name="Moeda 4 22" xfId="4017"/>
    <cellStyle name="Moeda 4 23" xfId="4142"/>
    <cellStyle name="Moeda 4 3" xfId="2761"/>
    <cellStyle name="Moeda 4 4" xfId="3036"/>
    <cellStyle name="Moeda 4 5" xfId="2981"/>
    <cellStyle name="Moeda 4 6" xfId="3111"/>
    <cellStyle name="Moeda 4 7" xfId="3142"/>
    <cellStyle name="Moeda 4 8" xfId="3220"/>
    <cellStyle name="Moeda 4 9" xfId="3232"/>
    <cellStyle name="Moeda 5" xfId="1381"/>
    <cellStyle name="Moeda 5 10" xfId="2806"/>
    <cellStyle name="Moeda 5 11" xfId="2827"/>
    <cellStyle name="Moeda 5 12" xfId="2854"/>
    <cellStyle name="Moeda 5 13" xfId="2836"/>
    <cellStyle name="Moeda 5 14" xfId="2841"/>
    <cellStyle name="Moeda 5 15" xfId="2801"/>
    <cellStyle name="Moeda 5 16" xfId="2802"/>
    <cellStyle name="Moeda 5 17" xfId="2817"/>
    <cellStyle name="Moeda 5 18" xfId="2868"/>
    <cellStyle name="Moeda 5 19" xfId="2872"/>
    <cellStyle name="Moeda 5 2" xfId="1444"/>
    <cellStyle name="Moeda 5 2 10" xfId="3324"/>
    <cellStyle name="Moeda 5 2 11" xfId="3422"/>
    <cellStyle name="Moeda 5 2 12" xfId="3482"/>
    <cellStyle name="Moeda 5 2 13" xfId="3563"/>
    <cellStyle name="Moeda 5 2 14" xfId="3515"/>
    <cellStyle name="Moeda 5 2 15" xfId="3692"/>
    <cellStyle name="Moeda 5 2 16" xfId="3602"/>
    <cellStyle name="Moeda 5 2 17" xfId="3663"/>
    <cellStyle name="Moeda 5 2 18" xfId="3720"/>
    <cellStyle name="Moeda 5 2 19" xfId="4020"/>
    <cellStyle name="Moeda 5 2 2" xfId="2774"/>
    <cellStyle name="Moeda 5 2 3" xfId="3054"/>
    <cellStyle name="Moeda 5 2 4" xfId="3070"/>
    <cellStyle name="Moeda 5 2 5" xfId="3023"/>
    <cellStyle name="Moeda 5 2 6" xfId="3177"/>
    <cellStyle name="Moeda 5 2 7" xfId="3202"/>
    <cellStyle name="Moeda 5 2 8" xfId="3351"/>
    <cellStyle name="Moeda 5 2 9" xfId="3268"/>
    <cellStyle name="Moeda 5 20" xfId="2875"/>
    <cellStyle name="Moeda 5 21" xfId="2878"/>
    <cellStyle name="Moeda 5 22" xfId="2882"/>
    <cellStyle name="Moeda 5 23" xfId="2890"/>
    <cellStyle name="Moeda 5 24" xfId="2898"/>
    <cellStyle name="Moeda 5 25" xfId="2897"/>
    <cellStyle name="Moeda 5 26" xfId="2905"/>
    <cellStyle name="Moeda 5 27" xfId="2910"/>
    <cellStyle name="Moeda 5 28" xfId="2918"/>
    <cellStyle name="Moeda 5 29" xfId="2917"/>
    <cellStyle name="Moeda 5 3" xfId="2773"/>
    <cellStyle name="Moeda 5 30" xfId="2925"/>
    <cellStyle name="Moeda 5 31" xfId="2935"/>
    <cellStyle name="Moeda 5 32" xfId="2934"/>
    <cellStyle name="Moeda 5 33" xfId="2930"/>
    <cellStyle name="Moeda 5 34" xfId="2950"/>
    <cellStyle name="Moeda 5 35" xfId="2949"/>
    <cellStyle name="Moeda 5 36" xfId="2957"/>
    <cellStyle name="Moeda 5 37" xfId="1421"/>
    <cellStyle name="Moeda 5 37 2" xfId="3721"/>
    <cellStyle name="Moeda 5 37 3" xfId="4021"/>
    <cellStyle name="Moeda 5 38" xfId="3034"/>
    <cellStyle name="Moeda 5 38 2" xfId="3722"/>
    <cellStyle name="Moeda 5 38 3" xfId="4022"/>
    <cellStyle name="Moeda 5 39" xfId="2983"/>
    <cellStyle name="Moeda 5 39 2" xfId="3723"/>
    <cellStyle name="Moeda 5 39 3" xfId="4023"/>
    <cellStyle name="Moeda 5 4" xfId="2805"/>
    <cellStyle name="Moeda 5 40" xfId="3113"/>
    <cellStyle name="Moeda 5 41" xfId="3096"/>
    <cellStyle name="Moeda 5 42" xfId="3221"/>
    <cellStyle name="Moeda 5 43" xfId="3233"/>
    <cellStyle name="Moeda 5 44" xfId="3256"/>
    <cellStyle name="Moeda 5 45" xfId="3336"/>
    <cellStyle name="Moeda 5 46" xfId="3284"/>
    <cellStyle name="Moeda 5 47" xfId="3375"/>
    <cellStyle name="Moeda 5 48" xfId="3397"/>
    <cellStyle name="Moeda 5 49" xfId="3459"/>
    <cellStyle name="Moeda 5 5" xfId="2803"/>
    <cellStyle name="Moeda 5 50" xfId="3503"/>
    <cellStyle name="Moeda 5 51" xfId="3549"/>
    <cellStyle name="Moeda 5 52" xfId="3590"/>
    <cellStyle name="Moeda 5 53" xfId="3675"/>
    <cellStyle name="Moeda 5 54" xfId="3621"/>
    <cellStyle name="Moeda 5 55" xfId="3719"/>
    <cellStyle name="Moeda 5 56" xfId="4019"/>
    <cellStyle name="Moeda 5 57" xfId="4143"/>
    <cellStyle name="Moeda 5 6" xfId="2830"/>
    <cellStyle name="Moeda 5 7" xfId="2804"/>
    <cellStyle name="Moeda 5 8" xfId="2807"/>
    <cellStyle name="Moeda 5 9" xfId="2844"/>
    <cellStyle name="Moeda 6" xfId="1382"/>
    <cellStyle name="Moeda 7" xfId="1383"/>
    <cellStyle name="Moeda 7 2" xfId="3724"/>
    <cellStyle name="Moeda 8" xfId="1384"/>
    <cellStyle name="Moeda 8 2" xfId="3725"/>
    <cellStyle name="Neutra" xfId="1341" builtinId="28" customBuiltin="1"/>
    <cellStyle name="Neutra 2" xfId="1011"/>
    <cellStyle name="Neutra 3" xfId="1012"/>
    <cellStyle name="Neutral" xfId="1013"/>
    <cellStyle name="Normal" xfId="0" builtinId="0"/>
    <cellStyle name="Normal 10" xfId="1014"/>
    <cellStyle name="Normal 10 10" xfId="1455"/>
    <cellStyle name="Normal 10 11" xfId="1456"/>
    <cellStyle name="Normal 10 12" xfId="1457"/>
    <cellStyle name="Normal 10 13" xfId="1458"/>
    <cellStyle name="Normal 10 14" xfId="1459"/>
    <cellStyle name="Normal 10 15" xfId="1460"/>
    <cellStyle name="Normal 10 16" xfId="1461"/>
    <cellStyle name="Normal 10 17" xfId="1462"/>
    <cellStyle name="Normal 10 18" xfId="1463"/>
    <cellStyle name="Normal 10 19" xfId="1464"/>
    <cellStyle name="Normal 10 2" xfId="6"/>
    <cellStyle name="Normal 10 2 2" xfId="1465"/>
    <cellStyle name="Normal 10 20" xfId="1466"/>
    <cellStyle name="Normal 10 21" xfId="1467"/>
    <cellStyle name="Normal 10 22" xfId="1468"/>
    <cellStyle name="Normal 10 23" xfId="1469"/>
    <cellStyle name="Normal 10 24" xfId="1470"/>
    <cellStyle name="Normal 10 25" xfId="1471"/>
    <cellStyle name="Normal 10 26" xfId="1472"/>
    <cellStyle name="Normal 10 27" xfId="1473"/>
    <cellStyle name="Normal 10 28" xfId="1474"/>
    <cellStyle name="Normal 10 29" xfId="1475"/>
    <cellStyle name="Normal 10 3" xfId="1476"/>
    <cellStyle name="Normal 10 30" xfId="1477"/>
    <cellStyle name="Normal 10 31" xfId="1478"/>
    <cellStyle name="Normal 10 4" xfId="1479"/>
    <cellStyle name="Normal 10 5" xfId="1480"/>
    <cellStyle name="Normal 10 6" xfId="1481"/>
    <cellStyle name="Normal 10 7" xfId="1482"/>
    <cellStyle name="Normal 10 8" xfId="1483"/>
    <cellStyle name="Normal 10 9" xfId="1484"/>
    <cellStyle name="Normal 11" xfId="1015"/>
    <cellStyle name="Normal 11 10" xfId="1485"/>
    <cellStyle name="Normal 11 11" xfId="1486"/>
    <cellStyle name="Normal 11 12" xfId="1487"/>
    <cellStyle name="Normal 11 13" xfId="1488"/>
    <cellStyle name="Normal 11 14" xfId="1489"/>
    <cellStyle name="Normal 11 15" xfId="1490"/>
    <cellStyle name="Normal 11 16" xfId="1491"/>
    <cellStyle name="Normal 11 17" xfId="1492"/>
    <cellStyle name="Normal 11 18" xfId="1493"/>
    <cellStyle name="Normal 11 19" xfId="1494"/>
    <cellStyle name="Normal 11 2" xfId="1016"/>
    <cellStyle name="Normal 11 2 2" xfId="1495"/>
    <cellStyle name="Normal 11 20" xfId="1496"/>
    <cellStyle name="Normal 11 21" xfId="1497"/>
    <cellStyle name="Normal 11 22" xfId="1498"/>
    <cellStyle name="Normal 11 23" xfId="1499"/>
    <cellStyle name="Normal 11 24" xfId="1500"/>
    <cellStyle name="Normal 11 25" xfId="1501"/>
    <cellStyle name="Normal 11 26" xfId="1502"/>
    <cellStyle name="Normal 11 27" xfId="1503"/>
    <cellStyle name="Normal 11 28" xfId="1504"/>
    <cellStyle name="Normal 11 29" xfId="1505"/>
    <cellStyle name="Normal 11 3" xfId="1506"/>
    <cellStyle name="Normal 11 30" xfId="1507"/>
    <cellStyle name="Normal 11 31" xfId="1508"/>
    <cellStyle name="Normal 11 4" xfId="1509"/>
    <cellStyle name="Normal 11 5" xfId="1510"/>
    <cellStyle name="Normal 11 6" xfId="1511"/>
    <cellStyle name="Normal 11 7" xfId="1512"/>
    <cellStyle name="Normal 11 8" xfId="1513"/>
    <cellStyle name="Normal 11 9" xfId="1514"/>
    <cellStyle name="Normal 12" xfId="1017"/>
    <cellStyle name="Normal 12 2" xfId="1018"/>
    <cellStyle name="Normal 13" xfId="1019"/>
    <cellStyle name="Normal 13 2" xfId="1020"/>
    <cellStyle name="Normal 13 2 2" xfId="1386"/>
    <cellStyle name="Normal 13 3" xfId="1385"/>
    <cellStyle name="Normal 14" xfId="1021"/>
    <cellStyle name="Normal 14 10" xfId="1515"/>
    <cellStyle name="Normal 14 11" xfId="1516"/>
    <cellStyle name="Normal 14 12" xfId="1517"/>
    <cellStyle name="Normal 14 13" xfId="1518"/>
    <cellStyle name="Normal 14 14" xfId="1519"/>
    <cellStyle name="Normal 14 15" xfId="1520"/>
    <cellStyle name="Normal 14 16" xfId="1521"/>
    <cellStyle name="Normal 14 17" xfId="1522"/>
    <cellStyle name="Normal 14 18" xfId="1523"/>
    <cellStyle name="Normal 14 19" xfId="1524"/>
    <cellStyle name="Normal 14 2" xfId="1525"/>
    <cellStyle name="Normal 14 20" xfId="1526"/>
    <cellStyle name="Normal 14 21" xfId="1527"/>
    <cellStyle name="Normal 14 22" xfId="1528"/>
    <cellStyle name="Normal 14 23" xfId="1529"/>
    <cellStyle name="Normal 14 24" xfId="1530"/>
    <cellStyle name="Normal 14 25" xfId="1531"/>
    <cellStyle name="Normal 14 26" xfId="1532"/>
    <cellStyle name="Normal 14 27" xfId="1533"/>
    <cellStyle name="Normal 14 28" xfId="1534"/>
    <cellStyle name="Normal 14 29" xfId="1535"/>
    <cellStyle name="Normal 14 3" xfId="1536"/>
    <cellStyle name="Normal 14 30" xfId="1537"/>
    <cellStyle name="Normal 14 31" xfId="1538"/>
    <cellStyle name="Normal 14 32" xfId="1387"/>
    <cellStyle name="Normal 14 4" xfId="1539"/>
    <cellStyle name="Normal 14 5" xfId="1540"/>
    <cellStyle name="Normal 14 6" xfId="1541"/>
    <cellStyle name="Normal 14 7" xfId="1542"/>
    <cellStyle name="Normal 14 8" xfId="1543"/>
    <cellStyle name="Normal 14 9" xfId="1544"/>
    <cellStyle name="Normal 15" xfId="1022"/>
    <cellStyle name="Normal 15 10" xfId="1545"/>
    <cellStyle name="Normal 15 11" xfId="1546"/>
    <cellStyle name="Normal 15 12" xfId="1547"/>
    <cellStyle name="Normal 15 13" xfId="1548"/>
    <cellStyle name="Normal 15 14" xfId="1549"/>
    <cellStyle name="Normal 15 15" xfId="1550"/>
    <cellStyle name="Normal 15 16" xfId="1551"/>
    <cellStyle name="Normal 15 17" xfId="1552"/>
    <cellStyle name="Normal 15 18" xfId="1553"/>
    <cellStyle name="Normal 15 19" xfId="1554"/>
    <cellStyle name="Normal 15 2" xfId="1439"/>
    <cellStyle name="Normal 15 2 10" xfId="3251"/>
    <cellStyle name="Normal 15 2 11" xfId="3407"/>
    <cellStyle name="Normal 15 2 12" xfId="3469"/>
    <cellStyle name="Normal 15 2 13" xfId="3517"/>
    <cellStyle name="Normal 15 2 14" xfId="3538"/>
    <cellStyle name="Normal 15 2 15" xfId="3606"/>
    <cellStyle name="Normal 15 2 16" xfId="3658"/>
    <cellStyle name="Normal 15 2 17" xfId="3585"/>
    <cellStyle name="Normal 15 2 18" xfId="3727"/>
    <cellStyle name="Normal 15 2 19" xfId="4025"/>
    <cellStyle name="Normal 15 2 2" xfId="1555"/>
    <cellStyle name="Normal 15 2 3" xfId="2979"/>
    <cellStyle name="Normal 15 2 4" xfId="3020"/>
    <cellStyle name="Normal 15 2 5" xfId="3058"/>
    <cellStyle name="Normal 15 2 6" xfId="3125"/>
    <cellStyle name="Normal 15 2 7" xfId="3141"/>
    <cellStyle name="Normal 15 2 8" xfId="3270"/>
    <cellStyle name="Normal 15 2 9" xfId="3321"/>
    <cellStyle name="Normal 15 20" xfId="1556"/>
    <cellStyle name="Normal 15 21" xfId="1557"/>
    <cellStyle name="Normal 15 22" xfId="1558"/>
    <cellStyle name="Normal 15 23" xfId="1559"/>
    <cellStyle name="Normal 15 24" xfId="1560"/>
    <cellStyle name="Normal 15 25" xfId="1561"/>
    <cellStyle name="Normal 15 26" xfId="1562"/>
    <cellStyle name="Normal 15 27" xfId="1563"/>
    <cellStyle name="Normal 15 28" xfId="1564"/>
    <cellStyle name="Normal 15 29" xfId="1565"/>
    <cellStyle name="Normal 15 3" xfId="1566"/>
    <cellStyle name="Normal 15 30" xfId="1567"/>
    <cellStyle name="Normal 15 31" xfId="1568"/>
    <cellStyle name="Normal 15 32" xfId="2762"/>
    <cellStyle name="Normal 15 33" xfId="2765"/>
    <cellStyle name="Normal 15 34" xfId="2775"/>
    <cellStyle name="Normal 15 35" xfId="2772"/>
    <cellStyle name="Normal 15 36" xfId="2811"/>
    <cellStyle name="Normal 15 37" xfId="2798"/>
    <cellStyle name="Normal 15 38" xfId="2810"/>
    <cellStyle name="Normal 15 39" xfId="2800"/>
    <cellStyle name="Normal 15 4" xfId="1569"/>
    <cellStyle name="Normal 15 40" xfId="2825"/>
    <cellStyle name="Normal 15 41" xfId="2829"/>
    <cellStyle name="Normal 15 42" xfId="2808"/>
    <cellStyle name="Normal 15 43" xfId="2839"/>
    <cellStyle name="Normal 15 44" xfId="2843"/>
    <cellStyle name="Normal 15 45" xfId="2826"/>
    <cellStyle name="Normal 15 46" xfId="2850"/>
    <cellStyle name="Normal 15 47" xfId="2818"/>
    <cellStyle name="Normal 15 48" xfId="2852"/>
    <cellStyle name="Normal 15 49" xfId="2797"/>
    <cellStyle name="Normal 15 5" xfId="1570"/>
    <cellStyle name="Normal 15 50" xfId="2858"/>
    <cellStyle name="Normal 15 51" xfId="2856"/>
    <cellStyle name="Normal 15 52" xfId="2835"/>
    <cellStyle name="Normal 15 53" xfId="2819"/>
    <cellStyle name="Normal 15 54" xfId="2851"/>
    <cellStyle name="Normal 15 55" xfId="2881"/>
    <cellStyle name="Normal 15 56" xfId="2899"/>
    <cellStyle name="Normal 15 57" xfId="2896"/>
    <cellStyle name="Normal 15 58" xfId="2906"/>
    <cellStyle name="Normal 15 59" xfId="2911"/>
    <cellStyle name="Normal 15 6" xfId="1571"/>
    <cellStyle name="Normal 15 60" xfId="2919"/>
    <cellStyle name="Normal 15 61" xfId="2916"/>
    <cellStyle name="Normal 15 62" xfId="2926"/>
    <cellStyle name="Normal 15 63" xfId="2936"/>
    <cellStyle name="Normal 15 64" xfId="2933"/>
    <cellStyle name="Normal 15 65" xfId="2938"/>
    <cellStyle name="Normal 15 66" xfId="2951"/>
    <cellStyle name="Normal 15 67" xfId="2948"/>
    <cellStyle name="Normal 15 68" xfId="2958"/>
    <cellStyle name="Normal 15 69" xfId="2969"/>
    <cellStyle name="Normal 15 7" xfId="1572"/>
    <cellStyle name="Normal 15 70" xfId="1425"/>
    <cellStyle name="Normal 15 71" xfId="3039"/>
    <cellStyle name="Normal 15 72" xfId="3068"/>
    <cellStyle name="Normal 15 72 2" xfId="3728"/>
    <cellStyle name="Normal 15 72 3" xfId="4026"/>
    <cellStyle name="Normal 15 73" xfId="3107"/>
    <cellStyle name="Normal 15 74" xfId="3143"/>
    <cellStyle name="Normal 15 75" xfId="3222"/>
    <cellStyle name="Normal 15 76" xfId="3234"/>
    <cellStyle name="Normal 15 77" xfId="3250"/>
    <cellStyle name="Normal 15 78" xfId="3341"/>
    <cellStyle name="Normal 15 79" xfId="3278"/>
    <cellStyle name="Normal 15 8" xfId="1573"/>
    <cellStyle name="Normal 15 80" xfId="3376"/>
    <cellStyle name="Normal 15 81" xfId="3392"/>
    <cellStyle name="Normal 15 82" xfId="3454"/>
    <cellStyle name="Normal 15 83" xfId="3498"/>
    <cellStyle name="Normal 15 84" xfId="3554"/>
    <cellStyle name="Normal 15 85" xfId="3584"/>
    <cellStyle name="Normal 15 86" xfId="3680"/>
    <cellStyle name="Normal 15 87" xfId="3615"/>
    <cellStyle name="Normal 15 88" xfId="3726"/>
    <cellStyle name="Normal 15 89" xfId="4024"/>
    <cellStyle name="Normal 15 9" xfId="1574"/>
    <cellStyle name="Normal 15 90" xfId="4144"/>
    <cellStyle name="Normal 15 91" xfId="1388"/>
    <cellStyle name="Normal 16" xfId="1023"/>
    <cellStyle name="Normal 16 10" xfId="1575"/>
    <cellStyle name="Normal 16 11" xfId="1576"/>
    <cellStyle name="Normal 16 12" xfId="1577"/>
    <cellStyle name="Normal 16 13" xfId="1578"/>
    <cellStyle name="Normal 16 14" xfId="1579"/>
    <cellStyle name="Normal 16 15" xfId="1580"/>
    <cellStyle name="Normal 16 16" xfId="1581"/>
    <cellStyle name="Normal 16 17" xfId="1582"/>
    <cellStyle name="Normal 16 18" xfId="1583"/>
    <cellStyle name="Normal 16 19" xfId="1584"/>
    <cellStyle name="Normal 16 2" xfId="1390"/>
    <cellStyle name="Normal 16 2 10" xfId="3295"/>
    <cellStyle name="Normal 16 2 11" xfId="3408"/>
    <cellStyle name="Normal 16 2 12" xfId="3470"/>
    <cellStyle name="Normal 16 2 13" xfId="3518"/>
    <cellStyle name="Normal 16 2 14" xfId="3537"/>
    <cellStyle name="Normal 16 2 15" xfId="3609"/>
    <cellStyle name="Normal 16 2 16" xfId="3657"/>
    <cellStyle name="Normal 16 2 17" xfId="3632"/>
    <cellStyle name="Normal 16 2 18" xfId="3730"/>
    <cellStyle name="Normal 16 2 19" xfId="4028"/>
    <cellStyle name="Normal 16 2 2" xfId="1585"/>
    <cellStyle name="Normal 16 2 2 2" xfId="3731"/>
    <cellStyle name="Normal 16 2 2 3" xfId="4029"/>
    <cellStyle name="Normal 16 2 3" xfId="2992"/>
    <cellStyle name="Normal 16 2 3 2" xfId="3732"/>
    <cellStyle name="Normal 16 2 3 3" xfId="4030"/>
    <cellStyle name="Normal 16 2 4" xfId="3019"/>
    <cellStyle name="Normal 16 2 4 2" xfId="3733"/>
    <cellStyle name="Normal 16 2 4 3" xfId="4031"/>
    <cellStyle name="Normal 16 2 5" xfId="2996"/>
    <cellStyle name="Normal 16 2 5 2" xfId="3734"/>
    <cellStyle name="Normal 16 2 5 3" xfId="4032"/>
    <cellStyle name="Normal 16 2 6" xfId="3127"/>
    <cellStyle name="Normal 16 2 7" xfId="3140"/>
    <cellStyle name="Normal 16 2 8" xfId="3271"/>
    <cellStyle name="Normal 16 2 9" xfId="3320"/>
    <cellStyle name="Normal 16 20" xfId="1586"/>
    <cellStyle name="Normal 16 21" xfId="1587"/>
    <cellStyle name="Normal 16 22" xfId="1588"/>
    <cellStyle name="Normal 16 23" xfId="1589"/>
    <cellStyle name="Normal 16 24" xfId="1590"/>
    <cellStyle name="Normal 16 25" xfId="1591"/>
    <cellStyle name="Normal 16 26" xfId="1592"/>
    <cellStyle name="Normal 16 27" xfId="1593"/>
    <cellStyle name="Normal 16 28" xfId="1594"/>
    <cellStyle name="Normal 16 29" xfId="1595"/>
    <cellStyle name="Normal 16 3" xfId="1440"/>
    <cellStyle name="Normal 16 3 10" xfId="3296"/>
    <cellStyle name="Normal 16 3 11" xfId="3409"/>
    <cellStyle name="Normal 16 3 12" xfId="3471"/>
    <cellStyle name="Normal 16 3 13" xfId="3519"/>
    <cellStyle name="Normal 16 3 14" xfId="3536"/>
    <cellStyle name="Normal 16 3 15" xfId="3616"/>
    <cellStyle name="Normal 16 3 16" xfId="3656"/>
    <cellStyle name="Normal 16 3 17" xfId="3633"/>
    <cellStyle name="Normal 16 3 18" xfId="3735"/>
    <cellStyle name="Normal 16 3 19" xfId="4033"/>
    <cellStyle name="Normal 16 3 2" xfId="1596"/>
    <cellStyle name="Normal 16 3 3" xfId="2994"/>
    <cellStyle name="Normal 16 3 4" xfId="3018"/>
    <cellStyle name="Normal 16 3 5" xfId="2997"/>
    <cellStyle name="Normal 16 3 6" xfId="3128"/>
    <cellStyle name="Normal 16 3 7" xfId="3139"/>
    <cellStyle name="Normal 16 3 8" xfId="3279"/>
    <cellStyle name="Normal 16 3 9" xfId="3319"/>
    <cellStyle name="Normal 16 30" xfId="1597"/>
    <cellStyle name="Normal 16 31" xfId="1598"/>
    <cellStyle name="Normal 16 32" xfId="1424"/>
    <cellStyle name="Normal 16 32 2" xfId="3736"/>
    <cellStyle name="Normal 16 32 3" xfId="4034"/>
    <cellStyle name="Normal 16 33" xfId="3038"/>
    <cellStyle name="Normal 16 34" xfId="3071"/>
    <cellStyle name="Normal 16 35" xfId="3109"/>
    <cellStyle name="Normal 16 36" xfId="3099"/>
    <cellStyle name="Normal 16 37" xfId="3223"/>
    <cellStyle name="Normal 16 38" xfId="3235"/>
    <cellStyle name="Normal 16 39" xfId="3252"/>
    <cellStyle name="Normal 16 4" xfId="1599"/>
    <cellStyle name="Normal 16 40" xfId="3340"/>
    <cellStyle name="Normal 16 41" xfId="3280"/>
    <cellStyle name="Normal 16 42" xfId="3377"/>
    <cellStyle name="Normal 16 43" xfId="3393"/>
    <cellStyle name="Normal 16 44" xfId="3455"/>
    <cellStyle name="Normal 16 45" xfId="3499"/>
    <cellStyle name="Normal 16 46" xfId="3553"/>
    <cellStyle name="Normal 16 47" xfId="3586"/>
    <cellStyle name="Normal 16 48" xfId="3679"/>
    <cellStyle name="Normal 16 49" xfId="3617"/>
    <cellStyle name="Normal 16 5" xfId="1600"/>
    <cellStyle name="Normal 16 50" xfId="3729"/>
    <cellStyle name="Normal 16 51" xfId="4027"/>
    <cellStyle name="Normal 16 52" xfId="4145"/>
    <cellStyle name="Normal 16 53" xfId="1389"/>
    <cellStyle name="Normal 16 6" xfId="1601"/>
    <cellStyle name="Normal 16 7" xfId="1602"/>
    <cellStyle name="Normal 16 8" xfId="1603"/>
    <cellStyle name="Normal 16 9" xfId="1604"/>
    <cellStyle name="Normal 17" xfId="1024"/>
    <cellStyle name="Normal 17 10" xfId="1605"/>
    <cellStyle name="Normal 17 11" xfId="1606"/>
    <cellStyle name="Normal 17 12" xfId="1607"/>
    <cellStyle name="Normal 17 13" xfId="1608"/>
    <cellStyle name="Normal 17 14" xfId="1609"/>
    <cellStyle name="Normal 17 15" xfId="1610"/>
    <cellStyle name="Normal 17 16" xfId="1611"/>
    <cellStyle name="Normal 17 17" xfId="1612"/>
    <cellStyle name="Normal 17 18" xfId="1613"/>
    <cellStyle name="Normal 17 19" xfId="1614"/>
    <cellStyle name="Normal 17 2" xfId="1451"/>
    <cellStyle name="Normal 17 2 10" xfId="3297"/>
    <cellStyle name="Normal 17 2 11" xfId="3410"/>
    <cellStyle name="Normal 17 2 12" xfId="3472"/>
    <cellStyle name="Normal 17 2 13" xfId="3520"/>
    <cellStyle name="Normal 17 2 14" xfId="3535"/>
    <cellStyle name="Normal 17 2 15" xfId="3631"/>
    <cellStyle name="Normal 17 2 16" xfId="3655"/>
    <cellStyle name="Normal 17 2 17" xfId="3634"/>
    <cellStyle name="Normal 17 2 18" xfId="3738"/>
    <cellStyle name="Normal 17 2 19" xfId="4036"/>
    <cellStyle name="Normal 17 2 2" xfId="1615"/>
    <cellStyle name="Normal 17 2 3" xfId="2995"/>
    <cellStyle name="Normal 17 2 4" xfId="3017"/>
    <cellStyle name="Normal 17 2 5" xfId="2998"/>
    <cellStyle name="Normal 17 2 6" xfId="3129"/>
    <cellStyle name="Normal 17 2 7" xfId="3138"/>
    <cellStyle name="Normal 17 2 8" xfId="3294"/>
    <cellStyle name="Normal 17 2 9" xfId="3318"/>
    <cellStyle name="Normal 17 20" xfId="1616"/>
    <cellStyle name="Normal 17 21" xfId="1617"/>
    <cellStyle name="Normal 17 22" xfId="1618"/>
    <cellStyle name="Normal 17 23" xfId="1619"/>
    <cellStyle name="Normal 17 24" xfId="1620"/>
    <cellStyle name="Normal 17 25" xfId="1621"/>
    <cellStyle name="Normal 17 26" xfId="1622"/>
    <cellStyle name="Normal 17 27" xfId="1623"/>
    <cellStyle name="Normal 17 28" xfId="1624"/>
    <cellStyle name="Normal 17 29" xfId="1625"/>
    <cellStyle name="Normal 17 3" xfId="1626"/>
    <cellStyle name="Normal 17 30" xfId="1627"/>
    <cellStyle name="Normal 17 31" xfId="1628"/>
    <cellStyle name="Normal 17 32" xfId="2763"/>
    <cellStyle name="Normal 17 33" xfId="2764"/>
    <cellStyle name="Normal 17 34" xfId="2776"/>
    <cellStyle name="Normal 17 35" xfId="2771"/>
    <cellStyle name="Normal 17 36" xfId="2813"/>
    <cellStyle name="Normal 17 37" xfId="2796"/>
    <cellStyle name="Normal 17 38" xfId="2790"/>
    <cellStyle name="Normal 17 39" xfId="2788"/>
    <cellStyle name="Normal 17 4" xfId="1629"/>
    <cellStyle name="Normal 17 40" xfId="2812"/>
    <cellStyle name="Normal 17 41" xfId="2822"/>
    <cellStyle name="Normal 17 42" xfId="2833"/>
    <cellStyle name="Normal 17 43" xfId="2799"/>
    <cellStyle name="Normal 17 44" xfId="2792"/>
    <cellStyle name="Normal 17 45" xfId="2847"/>
    <cellStyle name="Normal 17 46" xfId="2809"/>
    <cellStyle name="Normal 17 47" xfId="2820"/>
    <cellStyle name="Normal 17 48" xfId="2859"/>
    <cellStyle name="Normal 17 49" xfId="2795"/>
    <cellStyle name="Normal 17 5" xfId="1630"/>
    <cellStyle name="Normal 17 50" xfId="2864"/>
    <cellStyle name="Normal 17 51" xfId="2823"/>
    <cellStyle name="Normal 17 52" xfId="2793"/>
    <cellStyle name="Normal 17 53" xfId="2867"/>
    <cellStyle name="Normal 17 54" xfId="2871"/>
    <cellStyle name="Normal 17 55" xfId="2815"/>
    <cellStyle name="Normal 17 56" xfId="2900"/>
    <cellStyle name="Normal 17 57" xfId="2895"/>
    <cellStyle name="Normal 17 58" xfId="2907"/>
    <cellStyle name="Normal 17 59" xfId="2912"/>
    <cellStyle name="Normal 17 6" xfId="1631"/>
    <cellStyle name="Normal 17 60" xfId="2920"/>
    <cellStyle name="Normal 17 61" xfId="2915"/>
    <cellStyle name="Normal 17 62" xfId="2927"/>
    <cellStyle name="Normal 17 63" xfId="2937"/>
    <cellStyle name="Normal 17 64" xfId="2932"/>
    <cellStyle name="Normal 17 65" xfId="2939"/>
    <cellStyle name="Normal 17 66" xfId="2952"/>
    <cellStyle name="Normal 17 67" xfId="2947"/>
    <cellStyle name="Normal 17 68" xfId="2959"/>
    <cellStyle name="Normal 17 69" xfId="2970"/>
    <cellStyle name="Normal 17 7" xfId="1632"/>
    <cellStyle name="Normal 17 70" xfId="1415"/>
    <cellStyle name="Normal 17 71" xfId="3026"/>
    <cellStyle name="Normal 17 72" xfId="2991"/>
    <cellStyle name="Normal 17 72 2" xfId="3739"/>
    <cellStyle name="Normal 17 72 3" xfId="4037"/>
    <cellStyle name="Normal 17 73" xfId="3121"/>
    <cellStyle name="Normal 17 74" xfId="3091"/>
    <cellStyle name="Normal 17 75" xfId="3224"/>
    <cellStyle name="Normal 17 76" xfId="3236"/>
    <cellStyle name="Normal 17 77" xfId="3264"/>
    <cellStyle name="Normal 17 78" xfId="3328"/>
    <cellStyle name="Normal 17 79" xfId="3292"/>
    <cellStyle name="Normal 17 8" xfId="1633"/>
    <cellStyle name="Normal 17 80" xfId="3378"/>
    <cellStyle name="Normal 17 81" xfId="3405"/>
    <cellStyle name="Normal 17 82" xfId="3467"/>
    <cellStyle name="Normal 17 83" xfId="3511"/>
    <cellStyle name="Normal 17 84" xfId="3541"/>
    <cellStyle name="Normal 17 85" xfId="3598"/>
    <cellStyle name="Normal 17 86" xfId="3667"/>
    <cellStyle name="Normal 17 87" xfId="3629"/>
    <cellStyle name="Normal 17 88" xfId="3737"/>
    <cellStyle name="Normal 17 89" xfId="4035"/>
    <cellStyle name="Normal 17 9" xfId="1634"/>
    <cellStyle name="Normal 17 90" xfId="4146"/>
    <cellStyle name="Normal 17 91" xfId="1391"/>
    <cellStyle name="Normal 18" xfId="1025"/>
    <cellStyle name="Normal 18 10" xfId="3605"/>
    <cellStyle name="Normal 18 10 2" xfId="3741"/>
    <cellStyle name="Normal 18 10 3" xfId="4039"/>
    <cellStyle name="Normal 18 11" xfId="3659"/>
    <cellStyle name="Normal 18 11 2" xfId="3742"/>
    <cellStyle name="Normal 18 11 3" xfId="4040"/>
    <cellStyle name="Normal 18 12" xfId="3740"/>
    <cellStyle name="Normal 18 12 2" xfId="3743"/>
    <cellStyle name="Normal 18 12 3" xfId="4041"/>
    <cellStyle name="Normal 18 13" xfId="3744"/>
    <cellStyle name="Normal 18 14" xfId="3745"/>
    <cellStyle name="Normal 18 15" xfId="3746"/>
    <cellStyle name="Normal 18 16" xfId="4038"/>
    <cellStyle name="Normal 18 2" xfId="2753"/>
    <cellStyle name="Normal 18 2 10" xfId="3323"/>
    <cellStyle name="Normal 18 2 11" xfId="3421"/>
    <cellStyle name="Normal 18 2 12" xfId="3481"/>
    <cellStyle name="Normal 18 2 13" xfId="3562"/>
    <cellStyle name="Normal 18 2 14" xfId="3516"/>
    <cellStyle name="Normal 18 2 15" xfId="3690"/>
    <cellStyle name="Normal 18 2 16" xfId="3603"/>
    <cellStyle name="Normal 18 2 17" xfId="3662"/>
    <cellStyle name="Normal 18 2 18" xfId="3747"/>
    <cellStyle name="Normal 18 2 19" xfId="4042"/>
    <cellStyle name="Normal 18 2 2" xfId="2766"/>
    <cellStyle name="Normal 18 2 3" xfId="3053"/>
    <cellStyle name="Normal 18 2 4" xfId="3052"/>
    <cellStyle name="Normal 18 2 5" xfId="3022"/>
    <cellStyle name="Normal 18 2 6" xfId="3175"/>
    <cellStyle name="Normal 18 2 7" xfId="3200"/>
    <cellStyle name="Normal 18 2 8" xfId="3349"/>
    <cellStyle name="Normal 18 2 9" xfId="3269"/>
    <cellStyle name="Normal 18 3" xfId="2768"/>
    <cellStyle name="Normal 18 4" xfId="2971"/>
    <cellStyle name="Normal 18 5" xfId="3050"/>
    <cellStyle name="Normal 18 5 2" xfId="3748"/>
    <cellStyle name="Normal 18 5 3" xfId="4043"/>
    <cellStyle name="Normal 18 6" xfId="3171"/>
    <cellStyle name="Normal 18 6 2" xfId="3749"/>
    <cellStyle name="Normal 18 6 3" xfId="4044"/>
    <cellStyle name="Normal 18 7" xfId="3195"/>
    <cellStyle name="Normal 18 7 2" xfId="3750"/>
    <cellStyle name="Normal 18 7 3" xfId="4045"/>
    <cellStyle name="Normal 18 8" xfId="3419"/>
    <cellStyle name="Normal 18 8 2" xfId="3751"/>
    <cellStyle name="Normal 18 8 3" xfId="4046"/>
    <cellStyle name="Normal 18 9" xfId="3688"/>
    <cellStyle name="Normal 18 9 2" xfId="3752"/>
    <cellStyle name="Normal 18 9 3" xfId="4047"/>
    <cellStyle name="Normal 19" xfId="1026"/>
    <cellStyle name="Normal 19 2" xfId="3753"/>
    <cellStyle name="Normal 19 3" xfId="3754"/>
    <cellStyle name="Normal 19 4" xfId="1392"/>
    <cellStyle name="Normal 2" xfId="4"/>
    <cellStyle name="Normal 2 10" xfId="1027"/>
    <cellStyle name="Normal 2 10 10" xfId="2821"/>
    <cellStyle name="Normal 2 10 11" xfId="2846"/>
    <cellStyle name="Normal 2 10 12" xfId="2849"/>
    <cellStyle name="Normal 2 10 13" xfId="2794"/>
    <cellStyle name="Normal 2 10 14" xfId="2857"/>
    <cellStyle name="Normal 2 10 15" xfId="2861"/>
    <cellStyle name="Normal 2 10 16" xfId="2816"/>
    <cellStyle name="Normal 2 10 17" xfId="2866"/>
    <cellStyle name="Normal 2 10 18" xfId="2870"/>
    <cellStyle name="Normal 2 10 19" xfId="2874"/>
    <cellStyle name="Normal 2 10 2" xfId="1433"/>
    <cellStyle name="Normal 2 10 2 10" xfId="3289"/>
    <cellStyle name="Normal 2 10 2 11" xfId="3402"/>
    <cellStyle name="Normal 2 10 2 12" xfId="3464"/>
    <cellStyle name="Normal 2 10 2 13" xfId="3508"/>
    <cellStyle name="Normal 2 10 2 14" xfId="3544"/>
    <cellStyle name="Normal 2 10 2 15" xfId="3595"/>
    <cellStyle name="Normal 2 10 2 16" xfId="3670"/>
    <cellStyle name="Normal 2 10 2 17" xfId="3626"/>
    <cellStyle name="Normal 2 10 2 18" xfId="3756"/>
    <cellStyle name="Normal 2 10 2 19" xfId="4049"/>
    <cellStyle name="Normal 2 10 2 2" xfId="1449"/>
    <cellStyle name="Normal 2 10 2 3" xfId="1417"/>
    <cellStyle name="Normal 2 10 2 4" xfId="3029"/>
    <cellStyle name="Normal 2 10 2 5" xfId="2988"/>
    <cellStyle name="Normal 2 10 2 6" xfId="3118"/>
    <cellStyle name="Normal 2 10 2 7" xfId="3093"/>
    <cellStyle name="Normal 2 10 2 8" xfId="3261"/>
    <cellStyle name="Normal 2 10 2 9" xfId="3331"/>
    <cellStyle name="Normal 2 10 20" xfId="2877"/>
    <cellStyle name="Normal 2 10 21" xfId="2880"/>
    <cellStyle name="Normal 2 10 22" xfId="2884"/>
    <cellStyle name="Normal 2 10 23" xfId="2887"/>
    <cellStyle name="Normal 2 10 24" xfId="2814"/>
    <cellStyle name="Normal 2 10 25" xfId="2894"/>
    <cellStyle name="Normal 2 10 26" xfId="2901"/>
    <cellStyle name="Normal 2 10 27" xfId="2904"/>
    <cellStyle name="Normal 2 10 28" xfId="2909"/>
    <cellStyle name="Normal 2 10 29" xfId="2914"/>
    <cellStyle name="Normal 2 10 3" xfId="2770"/>
    <cellStyle name="Normal 2 10 30" xfId="2921"/>
    <cellStyle name="Normal 2 10 31" xfId="2924"/>
    <cellStyle name="Normal 2 10 32" xfId="2929"/>
    <cellStyle name="Normal 2 10 33" xfId="2941"/>
    <cellStyle name="Normal 2 10 34" xfId="2931"/>
    <cellStyle name="Normal 2 10 35" xfId="2946"/>
    <cellStyle name="Normal 2 10 36" xfId="2953"/>
    <cellStyle name="Normal 2 10 37" xfId="2956"/>
    <cellStyle name="Normal 2 10 38" xfId="1429"/>
    <cellStyle name="Normal 2 10 38 2" xfId="3757"/>
    <cellStyle name="Normal 2 10 38 3" xfId="4050"/>
    <cellStyle name="Normal 2 10 39" xfId="3045"/>
    <cellStyle name="Normal 2 10 39 2" xfId="3758"/>
    <cellStyle name="Normal 2 10 39 3" xfId="4051"/>
    <cellStyle name="Normal 2 10 4" xfId="2778"/>
    <cellStyle name="Normal 2 10 40" xfId="3061"/>
    <cellStyle name="Normal 2 10 40 2" xfId="3759"/>
    <cellStyle name="Normal 2 10 40 3" xfId="4052"/>
    <cellStyle name="Normal 2 10 41" xfId="3101"/>
    <cellStyle name="Normal 2 10 42" xfId="3149"/>
    <cellStyle name="Normal 2 10 43" xfId="3244"/>
    <cellStyle name="Normal 2 10 44" xfId="3347"/>
    <cellStyle name="Normal 2 10 45" xfId="3272"/>
    <cellStyle name="Normal 2 10 46" xfId="3386"/>
    <cellStyle name="Normal 2 10 47" xfId="3448"/>
    <cellStyle name="Normal 2 10 48" xfId="3492"/>
    <cellStyle name="Normal 2 10 49" xfId="3560"/>
    <cellStyle name="Normal 2 10 5" xfId="2789"/>
    <cellStyle name="Normal 2 10 50" xfId="3578"/>
    <cellStyle name="Normal 2 10 51" xfId="3686"/>
    <cellStyle name="Normal 2 10 52" xfId="3608"/>
    <cellStyle name="Normal 2 10 53" xfId="3755"/>
    <cellStyle name="Normal 2 10 54" xfId="4048"/>
    <cellStyle name="Normal 2 10 6" xfId="2824"/>
    <cellStyle name="Normal 2 10 7" xfId="2791"/>
    <cellStyle name="Normal 2 10 8" xfId="2832"/>
    <cellStyle name="Normal 2 10 9" xfId="2838"/>
    <cellStyle name="Normal 2 11" xfId="1028"/>
    <cellStyle name="Normal 2 11 10" xfId="3285"/>
    <cellStyle name="Normal 2 11 11" xfId="3398"/>
    <cellStyle name="Normal 2 11 12" xfId="3460"/>
    <cellStyle name="Normal 2 11 13" xfId="3504"/>
    <cellStyle name="Normal 2 11 14" xfId="3548"/>
    <cellStyle name="Normal 2 11 15" xfId="3591"/>
    <cellStyle name="Normal 2 11 16" xfId="3674"/>
    <cellStyle name="Normal 2 11 17" xfId="3622"/>
    <cellStyle name="Normal 2 11 18" xfId="3760"/>
    <cellStyle name="Normal 2 11 19" xfId="4053"/>
    <cellStyle name="Normal 2 11 2" xfId="1445"/>
    <cellStyle name="Normal 2 11 2 2" xfId="3761"/>
    <cellStyle name="Normal 2 11 2 3" xfId="4054"/>
    <cellStyle name="Normal 2 11 3" xfId="1420"/>
    <cellStyle name="Normal 2 11 4" xfId="3033"/>
    <cellStyle name="Normal 2 11 5" xfId="2984"/>
    <cellStyle name="Normal 2 11 6" xfId="3114"/>
    <cellStyle name="Normal 2 11 7" xfId="3173"/>
    <cellStyle name="Normal 2 11 8" xfId="3257"/>
    <cellStyle name="Normal 2 11 9" xfId="3335"/>
    <cellStyle name="Normal 2 12" xfId="1029"/>
    <cellStyle name="Normal 2 13" xfId="1030"/>
    <cellStyle name="Normal 2 14" xfId="1031"/>
    <cellStyle name="Normal 2 15" xfId="1032"/>
    <cellStyle name="Normal 2 16" xfId="1033"/>
    <cellStyle name="Normal 2 17" xfId="1034"/>
    <cellStyle name="Normal 2 17 2" xfId="1393"/>
    <cellStyle name="Normal 2 18" xfId="3087"/>
    <cellStyle name="Normal 2 19" xfId="3168"/>
    <cellStyle name="Normal 2 2" xfId="5"/>
    <cellStyle name="Normal 2 2 2" xfId="1035"/>
    <cellStyle name="Normal 2 2 2 2" xfId="1036"/>
    <cellStyle name="Normal 2 2 3" xfId="1394"/>
    <cellStyle name="Normal 2 20" xfId="3152"/>
    <cellStyle name="Normal 2 21" xfId="3183"/>
    <cellStyle name="Normal 2 22" xfId="3132"/>
    <cellStyle name="Normal 2 23" xfId="3207"/>
    <cellStyle name="Normal 2 24" xfId="3215"/>
    <cellStyle name="Normal 2 25" xfId="3429"/>
    <cellStyle name="Normal 2 26" xfId="3434"/>
    <cellStyle name="Normal 2 27" xfId="3441"/>
    <cellStyle name="Normal 2 3" xfId="1037"/>
    <cellStyle name="Normal 2 3 2" xfId="1038"/>
    <cellStyle name="Normal 2 3 2 2" xfId="1039"/>
    <cellStyle name="Normal 2 3 3" xfId="1040"/>
    <cellStyle name="Normal 2 3 4" xfId="1041"/>
    <cellStyle name="Normal 2 4" xfId="1042"/>
    <cellStyle name="Normal 2 4 2" xfId="1395"/>
    <cellStyle name="Normal 2 5" xfId="1043"/>
    <cellStyle name="Normal 2 5 10" xfId="3245"/>
    <cellStyle name="Normal 2 5 11" xfId="3346"/>
    <cellStyle name="Normal 2 5 12" xfId="3273"/>
    <cellStyle name="Normal 2 5 13" xfId="3379"/>
    <cellStyle name="Normal 2 5 14" xfId="3387"/>
    <cellStyle name="Normal 2 5 15" xfId="3449"/>
    <cellStyle name="Normal 2 5 16" xfId="3493"/>
    <cellStyle name="Normal 2 5 17" xfId="3559"/>
    <cellStyle name="Normal 2 5 18" xfId="3579"/>
    <cellStyle name="Normal 2 5 19" xfId="3685"/>
    <cellStyle name="Normal 2 5 2" xfId="1044"/>
    <cellStyle name="Normal 2 5 2 2" xfId="3763"/>
    <cellStyle name="Normal 2 5 2 3" xfId="4056"/>
    <cellStyle name="Normal 2 5 2 4" xfId="1434"/>
    <cellStyle name="Normal 2 5 20" xfId="3610"/>
    <cellStyle name="Normal 2 5 21" xfId="3762"/>
    <cellStyle name="Normal 2 5 22" xfId="4055"/>
    <cellStyle name="Normal 2 5 23" xfId="4147"/>
    <cellStyle name="Normal 2 5 3" xfId="2757"/>
    <cellStyle name="Normal 2 5 4" xfId="3044"/>
    <cellStyle name="Normal 2 5 5" xfId="3062"/>
    <cellStyle name="Normal 2 5 6" xfId="3102"/>
    <cellStyle name="Normal 2 5 7" xfId="3148"/>
    <cellStyle name="Normal 2 5 8" xfId="3225"/>
    <cellStyle name="Normal 2 5 9" xfId="3237"/>
    <cellStyle name="Normal 2 6" xfId="1045"/>
    <cellStyle name="Normal 2 6 10" xfId="3246"/>
    <cellStyle name="Normal 2 6 11" xfId="3345"/>
    <cellStyle name="Normal 2 6 12" xfId="3274"/>
    <cellStyle name="Normal 2 6 13" xfId="3380"/>
    <cellStyle name="Normal 2 6 14" xfId="3388"/>
    <cellStyle name="Normal 2 6 15" xfId="3450"/>
    <cellStyle name="Normal 2 6 16" xfId="3494"/>
    <cellStyle name="Normal 2 6 17" xfId="3558"/>
    <cellStyle name="Normal 2 6 18" xfId="3580"/>
    <cellStyle name="Normal 2 6 19" xfId="3684"/>
    <cellStyle name="Normal 2 6 2" xfId="1435"/>
    <cellStyle name="Normal 2 6 2 2" xfId="3765"/>
    <cellStyle name="Normal 2 6 2 3" xfId="4058"/>
    <cellStyle name="Normal 2 6 20" xfId="3611"/>
    <cellStyle name="Normal 2 6 21" xfId="3764"/>
    <cellStyle name="Normal 2 6 22" xfId="4057"/>
    <cellStyle name="Normal 2 6 23" xfId="4148"/>
    <cellStyle name="Normal 2 6 3" xfId="1428"/>
    <cellStyle name="Normal 2 6 4" xfId="3043"/>
    <cellStyle name="Normal 2 6 5" xfId="2980"/>
    <cellStyle name="Normal 2 6 6" xfId="3103"/>
    <cellStyle name="Normal 2 6 7" xfId="3147"/>
    <cellStyle name="Normal 2 6 8" xfId="3226"/>
    <cellStyle name="Normal 2 6 9" xfId="3238"/>
    <cellStyle name="Normal 2 7" xfId="1046"/>
    <cellStyle name="Normal 2 7 10" xfId="3247"/>
    <cellStyle name="Normal 2 7 11" xfId="3344"/>
    <cellStyle name="Normal 2 7 12" xfId="3275"/>
    <cellStyle name="Normal 2 7 13" xfId="3381"/>
    <cellStyle name="Normal 2 7 14" xfId="3389"/>
    <cellStyle name="Normal 2 7 15" xfId="3451"/>
    <cellStyle name="Normal 2 7 16" xfId="3495"/>
    <cellStyle name="Normal 2 7 17" xfId="3557"/>
    <cellStyle name="Normal 2 7 18" xfId="3581"/>
    <cellStyle name="Normal 2 7 19" xfId="3683"/>
    <cellStyle name="Normal 2 7 2" xfId="1436"/>
    <cellStyle name="Normal 2 7 2 2" xfId="3767"/>
    <cellStyle name="Normal 2 7 2 3" xfId="4060"/>
    <cellStyle name="Normal 2 7 20" xfId="3612"/>
    <cellStyle name="Normal 2 7 21" xfId="3766"/>
    <cellStyle name="Normal 2 7 22" xfId="4059"/>
    <cellStyle name="Normal 2 7 23" xfId="4149"/>
    <cellStyle name="Normal 2 7 3" xfId="1427"/>
    <cellStyle name="Normal 2 7 4" xfId="3042"/>
    <cellStyle name="Normal 2 7 5" xfId="3065"/>
    <cellStyle name="Normal 2 7 6" xfId="3104"/>
    <cellStyle name="Normal 2 7 7" xfId="3146"/>
    <cellStyle name="Normal 2 7 8" xfId="3227"/>
    <cellStyle name="Normal 2 7 9" xfId="3239"/>
    <cellStyle name="Normal 2 8" xfId="1047"/>
    <cellStyle name="Normal 2 8 10" xfId="3248"/>
    <cellStyle name="Normal 2 8 11" xfId="3343"/>
    <cellStyle name="Normal 2 8 12" xfId="3276"/>
    <cellStyle name="Normal 2 8 13" xfId="3382"/>
    <cellStyle name="Normal 2 8 14" xfId="3390"/>
    <cellStyle name="Normal 2 8 15" xfId="3452"/>
    <cellStyle name="Normal 2 8 16" xfId="3496"/>
    <cellStyle name="Normal 2 8 17" xfId="3556"/>
    <cellStyle name="Normal 2 8 18" xfId="3582"/>
    <cellStyle name="Normal 2 8 19" xfId="3682"/>
    <cellStyle name="Normal 2 8 2" xfId="1437"/>
    <cellStyle name="Normal 2 8 2 2" xfId="3769"/>
    <cellStyle name="Normal 2 8 2 3" xfId="4062"/>
    <cellStyle name="Normal 2 8 20" xfId="3613"/>
    <cellStyle name="Normal 2 8 21" xfId="3768"/>
    <cellStyle name="Normal 2 8 22" xfId="4061"/>
    <cellStyle name="Normal 2 8 23" xfId="4150"/>
    <cellStyle name="Normal 2 8 3" xfId="2756"/>
    <cellStyle name="Normal 2 8 4" xfId="3041"/>
    <cellStyle name="Normal 2 8 5" xfId="3064"/>
    <cellStyle name="Normal 2 8 6" xfId="3105"/>
    <cellStyle name="Normal 2 8 7" xfId="3145"/>
    <cellStyle name="Normal 2 8 8" xfId="3228"/>
    <cellStyle name="Normal 2 8 9" xfId="3240"/>
    <cellStyle name="Normal 2 9" xfId="1048"/>
    <cellStyle name="Normal 2 9 10" xfId="3249"/>
    <cellStyle name="Normal 2 9 11" xfId="3342"/>
    <cellStyle name="Normal 2 9 12" xfId="3277"/>
    <cellStyle name="Normal 2 9 13" xfId="3383"/>
    <cellStyle name="Normal 2 9 14" xfId="3391"/>
    <cellStyle name="Normal 2 9 15" xfId="3453"/>
    <cellStyle name="Normal 2 9 16" xfId="3497"/>
    <cellStyle name="Normal 2 9 17" xfId="3555"/>
    <cellStyle name="Normal 2 9 18" xfId="3583"/>
    <cellStyle name="Normal 2 9 19" xfId="3681"/>
    <cellStyle name="Normal 2 9 2" xfId="1438"/>
    <cellStyle name="Normal 2 9 2 2" xfId="3771"/>
    <cellStyle name="Normal 2 9 2 3" xfId="4064"/>
    <cellStyle name="Normal 2 9 20" xfId="3614"/>
    <cellStyle name="Normal 2 9 21" xfId="3770"/>
    <cellStyle name="Normal 2 9 22" xfId="4063"/>
    <cellStyle name="Normal 2 9 23" xfId="4151"/>
    <cellStyle name="Normal 2 9 3" xfId="1426"/>
    <cellStyle name="Normal 2 9 4" xfId="3040"/>
    <cellStyle name="Normal 2 9 5" xfId="3066"/>
    <cellStyle name="Normal 2 9 6" xfId="3106"/>
    <cellStyle name="Normal 2 9 7" xfId="3144"/>
    <cellStyle name="Normal 2 9 8" xfId="3229"/>
    <cellStyle name="Normal 2 9 9" xfId="3241"/>
    <cellStyle name="Normal 2_Papel de Trabalho" xfId="1049"/>
    <cellStyle name="Normal 20" xfId="1050"/>
    <cellStyle name="Normal 20 10" xfId="3369"/>
    <cellStyle name="Normal 20 11" xfId="3427"/>
    <cellStyle name="Normal 20 12" xfId="3487"/>
    <cellStyle name="Normal 20 13" xfId="3569"/>
    <cellStyle name="Normal 20 14" xfId="3574"/>
    <cellStyle name="Normal 20 15" xfId="3699"/>
    <cellStyle name="Normal 20 16" xfId="3703"/>
    <cellStyle name="Normal 20 17" xfId="3707"/>
    <cellStyle name="Normal 20 18" xfId="3772"/>
    <cellStyle name="Normal 20 19" xfId="4065"/>
    <cellStyle name="Normal 20 2" xfId="2963"/>
    <cellStyle name="Normal 20 2 10" xfId="3371"/>
    <cellStyle name="Normal 20 2 11" xfId="3428"/>
    <cellStyle name="Normal 20 2 12" xfId="3489"/>
    <cellStyle name="Normal 20 2 13" xfId="3571"/>
    <cellStyle name="Normal 20 2 14" xfId="3576"/>
    <cellStyle name="Normal 20 2 15" xfId="3700"/>
    <cellStyle name="Normal 20 2 16" xfId="3704"/>
    <cellStyle name="Normal 20 2 17" xfId="3708"/>
    <cellStyle name="Normal 20 2 18" xfId="3773"/>
    <cellStyle name="Normal 20 2 19" xfId="4066"/>
    <cellStyle name="Normal 20 2 2" xfId="2973"/>
    <cellStyle name="Normal 20 2 3" xfId="3075"/>
    <cellStyle name="Normal 20 2 4" xfId="3080"/>
    <cellStyle name="Normal 20 2 5" xfId="3085"/>
    <cellStyle name="Normal 20 2 6" xfId="3192"/>
    <cellStyle name="Normal 20 2 7" xfId="3211"/>
    <cellStyle name="Normal 20 2 8" xfId="3361"/>
    <cellStyle name="Normal 20 2 9" xfId="3366"/>
    <cellStyle name="Normal 20 20" xfId="1396"/>
    <cellStyle name="Normal 20 3" xfId="3073"/>
    <cellStyle name="Normal 20 3 10" xfId="3774"/>
    <cellStyle name="Normal 20 3 11" xfId="3775"/>
    <cellStyle name="Normal 20 3 2" xfId="3776"/>
    <cellStyle name="Normal 20 3 3" xfId="3777"/>
    <cellStyle name="Normal 20 3 4" xfId="3778"/>
    <cellStyle name="Normal 20 3 5" xfId="3779"/>
    <cellStyle name="Normal 20 3 6" xfId="3780"/>
    <cellStyle name="Normal 20 3 7" xfId="3781"/>
    <cellStyle name="Normal 20 3 8" xfId="3782"/>
    <cellStyle name="Normal 20 3 9" xfId="3783"/>
    <cellStyle name="Normal 20 4" xfId="3078"/>
    <cellStyle name="Normal 20 4 10" xfId="3785"/>
    <cellStyle name="Normal 20 4 11" xfId="3786"/>
    <cellStyle name="Normal 20 4 12" xfId="4067"/>
    <cellStyle name="Normal 20 4 2" xfId="3784"/>
    <cellStyle name="Normal 20 4 2 2" xfId="3787"/>
    <cellStyle name="Normal 20 4 2 3" xfId="4068"/>
    <cellStyle name="Normal 20 4 3" xfId="3788"/>
    <cellStyle name="Normal 20 4 4" xfId="3789"/>
    <cellStyle name="Normal 20 4 5" xfId="3790"/>
    <cellStyle name="Normal 20 4 6" xfId="3791"/>
    <cellStyle name="Normal 20 4 7" xfId="3792"/>
    <cellStyle name="Normal 20 4 8" xfId="3793"/>
    <cellStyle name="Normal 20 4 9" xfId="3794"/>
    <cellStyle name="Normal 20 5" xfId="3083"/>
    <cellStyle name="Normal 20 6" xfId="3190"/>
    <cellStyle name="Normal 20 7" xfId="3210"/>
    <cellStyle name="Normal 20 8" xfId="3359"/>
    <cellStyle name="Normal 20 9" xfId="3364"/>
    <cellStyle name="Normal 21" xfId="1051"/>
    <cellStyle name="Normal 21 2" xfId="3795"/>
    <cellStyle name="Normal 21 2 2" xfId="3796"/>
    <cellStyle name="Normal 21 2 3" xfId="4070"/>
    <cellStyle name="Normal 21 3" xfId="4069"/>
    <cellStyle name="Normal 21 4" xfId="1397"/>
    <cellStyle name="Normal 22" xfId="1052"/>
    <cellStyle name="Normal 22 2" xfId="3797"/>
    <cellStyle name="Normal 22 2 2" xfId="3798"/>
    <cellStyle name="Normal 22 2 3" xfId="4072"/>
    <cellStyle name="Normal 22 3" xfId="4071"/>
    <cellStyle name="Normal 22 4" xfId="1398"/>
    <cellStyle name="Normal 23" xfId="1053"/>
    <cellStyle name="Normal 23 10" xfId="1636"/>
    <cellStyle name="Normal 23 11" xfId="1637"/>
    <cellStyle name="Normal 23 12" xfId="1638"/>
    <cellStyle name="Normal 23 13" xfId="1639"/>
    <cellStyle name="Normal 23 14" xfId="1640"/>
    <cellStyle name="Normal 23 15" xfId="1641"/>
    <cellStyle name="Normal 23 16" xfId="1642"/>
    <cellStyle name="Normal 23 17" xfId="1643"/>
    <cellStyle name="Normal 23 18" xfId="1644"/>
    <cellStyle name="Normal 23 19" xfId="1645"/>
    <cellStyle name="Normal 23 2" xfId="1054"/>
    <cellStyle name="Normal 23 2 2" xfId="1646"/>
    <cellStyle name="Normal 23 20" xfId="1647"/>
    <cellStyle name="Normal 23 21" xfId="1648"/>
    <cellStyle name="Normal 23 22" xfId="1649"/>
    <cellStyle name="Normal 23 23" xfId="1650"/>
    <cellStyle name="Normal 23 24" xfId="1651"/>
    <cellStyle name="Normal 23 25" xfId="1652"/>
    <cellStyle name="Normal 23 26" xfId="1653"/>
    <cellStyle name="Normal 23 27" xfId="1654"/>
    <cellStyle name="Normal 23 28" xfId="1655"/>
    <cellStyle name="Normal 23 29" xfId="1656"/>
    <cellStyle name="Normal 23 3" xfId="1657"/>
    <cellStyle name="Normal 23 30" xfId="1658"/>
    <cellStyle name="Normal 23 31" xfId="1659"/>
    <cellStyle name="Normal 23 32" xfId="1635"/>
    <cellStyle name="Normal 23 4" xfId="1660"/>
    <cellStyle name="Normal 23 5" xfId="1661"/>
    <cellStyle name="Normal 23 6" xfId="1662"/>
    <cellStyle name="Normal 23 7" xfId="1663"/>
    <cellStyle name="Normal 23 8" xfId="1664"/>
    <cellStyle name="Normal 23 9" xfId="1665"/>
    <cellStyle name="Normal 24" xfId="1055"/>
    <cellStyle name="Normal 24 10" xfId="1666"/>
    <cellStyle name="Normal 24 11" xfId="1667"/>
    <cellStyle name="Normal 24 12" xfId="1668"/>
    <cellStyle name="Normal 24 13" xfId="1669"/>
    <cellStyle name="Normal 24 14" xfId="1670"/>
    <cellStyle name="Normal 24 15" xfId="1671"/>
    <cellStyle name="Normal 24 16" xfId="1672"/>
    <cellStyle name="Normal 24 17" xfId="1673"/>
    <cellStyle name="Normal 24 18" xfId="1674"/>
    <cellStyle name="Normal 24 19" xfId="1675"/>
    <cellStyle name="Normal 24 2" xfId="1676"/>
    <cellStyle name="Normal 24 20" xfId="1677"/>
    <cellStyle name="Normal 24 21" xfId="1678"/>
    <cellStyle name="Normal 24 22" xfId="1679"/>
    <cellStyle name="Normal 24 23" xfId="1680"/>
    <cellStyle name="Normal 24 24" xfId="1681"/>
    <cellStyle name="Normal 24 25" xfId="1682"/>
    <cellStyle name="Normal 24 26" xfId="1683"/>
    <cellStyle name="Normal 24 27" xfId="1684"/>
    <cellStyle name="Normal 24 28" xfId="1685"/>
    <cellStyle name="Normal 24 29" xfId="1686"/>
    <cellStyle name="Normal 24 3" xfId="1687"/>
    <cellStyle name="Normal 24 30" xfId="1688"/>
    <cellStyle name="Normal 24 31" xfId="1689"/>
    <cellStyle name="Normal 24 32" xfId="3799"/>
    <cellStyle name="Normal 24 33" xfId="4073"/>
    <cellStyle name="Normal 24 34" xfId="3086"/>
    <cellStyle name="Normal 24 4" xfId="1690"/>
    <cellStyle name="Normal 24 5" xfId="1691"/>
    <cellStyle name="Normal 24 6" xfId="1692"/>
    <cellStyle name="Normal 24 7" xfId="1693"/>
    <cellStyle name="Normal 24 8" xfId="1694"/>
    <cellStyle name="Normal 24 9" xfId="1695"/>
    <cellStyle name="Normal 25" xfId="1056"/>
    <cellStyle name="Normal 25 10" xfId="1696"/>
    <cellStyle name="Normal 25 11" xfId="1697"/>
    <cellStyle name="Normal 25 12" xfId="1698"/>
    <cellStyle name="Normal 25 13" xfId="1699"/>
    <cellStyle name="Normal 25 14" xfId="1700"/>
    <cellStyle name="Normal 25 15" xfId="1701"/>
    <cellStyle name="Normal 25 16" xfId="1702"/>
    <cellStyle name="Normal 25 17" xfId="1703"/>
    <cellStyle name="Normal 25 18" xfId="1704"/>
    <cellStyle name="Normal 25 19" xfId="1705"/>
    <cellStyle name="Normal 25 2" xfId="1706"/>
    <cellStyle name="Normal 25 20" xfId="1707"/>
    <cellStyle name="Normal 25 21" xfId="1708"/>
    <cellStyle name="Normal 25 22" xfId="1709"/>
    <cellStyle name="Normal 25 23" xfId="1710"/>
    <cellStyle name="Normal 25 24" xfId="1711"/>
    <cellStyle name="Normal 25 25" xfId="1712"/>
    <cellStyle name="Normal 25 26" xfId="1713"/>
    <cellStyle name="Normal 25 27" xfId="1714"/>
    <cellStyle name="Normal 25 28" xfId="1715"/>
    <cellStyle name="Normal 25 29" xfId="1716"/>
    <cellStyle name="Normal 25 3" xfId="1717"/>
    <cellStyle name="Normal 25 30" xfId="1718"/>
    <cellStyle name="Normal 25 31" xfId="1719"/>
    <cellStyle name="Normal 25 32" xfId="3800"/>
    <cellStyle name="Normal 25 33" xfId="4074"/>
    <cellStyle name="Normal 25 34" xfId="3170"/>
    <cellStyle name="Normal 25 4" xfId="1720"/>
    <cellStyle name="Normal 25 5" xfId="1721"/>
    <cellStyle name="Normal 25 6" xfId="1722"/>
    <cellStyle name="Normal 25 7" xfId="1723"/>
    <cellStyle name="Normal 25 8" xfId="1724"/>
    <cellStyle name="Normal 25 9" xfId="1725"/>
    <cellStyle name="Normal 26" xfId="1057"/>
    <cellStyle name="Normal 26 10" xfId="1726"/>
    <cellStyle name="Normal 26 11" xfId="1727"/>
    <cellStyle name="Normal 26 12" xfId="1728"/>
    <cellStyle name="Normal 26 13" xfId="1729"/>
    <cellStyle name="Normal 26 14" xfId="1730"/>
    <cellStyle name="Normal 26 15" xfId="1731"/>
    <cellStyle name="Normal 26 16" xfId="1732"/>
    <cellStyle name="Normal 26 17" xfId="1733"/>
    <cellStyle name="Normal 26 18" xfId="1734"/>
    <cellStyle name="Normal 26 19" xfId="1735"/>
    <cellStyle name="Normal 26 2" xfId="1736"/>
    <cellStyle name="Normal 26 20" xfId="1737"/>
    <cellStyle name="Normal 26 21" xfId="1738"/>
    <cellStyle name="Normal 26 22" xfId="1739"/>
    <cellStyle name="Normal 26 23" xfId="1740"/>
    <cellStyle name="Normal 26 24" xfId="1741"/>
    <cellStyle name="Normal 26 25" xfId="1742"/>
    <cellStyle name="Normal 26 26" xfId="1743"/>
    <cellStyle name="Normal 26 27" xfId="1744"/>
    <cellStyle name="Normal 26 28" xfId="1745"/>
    <cellStyle name="Normal 26 29" xfId="1746"/>
    <cellStyle name="Normal 26 3" xfId="1747"/>
    <cellStyle name="Normal 26 30" xfId="1748"/>
    <cellStyle name="Normal 26 31" xfId="1749"/>
    <cellStyle name="Normal 26 32" xfId="3801"/>
    <cellStyle name="Normal 26 32 2" xfId="3802"/>
    <cellStyle name="Normal 26 32 3" xfId="4076"/>
    <cellStyle name="Normal 26 33" xfId="3803"/>
    <cellStyle name="Normal 26 34" xfId="3804"/>
    <cellStyle name="Normal 26 35" xfId="3805"/>
    <cellStyle name="Normal 26 36" xfId="3806"/>
    <cellStyle name="Normal 26 37" xfId="3807"/>
    <cellStyle name="Normal 26 38" xfId="3808"/>
    <cellStyle name="Normal 26 39" xfId="3809"/>
    <cellStyle name="Normal 26 4" xfId="1750"/>
    <cellStyle name="Normal 26 40" xfId="3810"/>
    <cellStyle name="Normal 26 41" xfId="3811"/>
    <cellStyle name="Normal 26 42" xfId="4075"/>
    <cellStyle name="Normal 26 43" xfId="3198"/>
    <cellStyle name="Normal 26 5" xfId="1751"/>
    <cellStyle name="Normal 26 6" xfId="1752"/>
    <cellStyle name="Normal 26 7" xfId="1753"/>
    <cellStyle name="Normal 26 8" xfId="1754"/>
    <cellStyle name="Normal 26 9" xfId="1755"/>
    <cellStyle name="Normal 27" xfId="1058"/>
    <cellStyle name="Normal 27 10" xfId="1756"/>
    <cellStyle name="Normal 27 11" xfId="1757"/>
    <cellStyle name="Normal 27 12" xfId="1758"/>
    <cellStyle name="Normal 27 13" xfId="1759"/>
    <cellStyle name="Normal 27 14" xfId="1760"/>
    <cellStyle name="Normal 27 15" xfId="1761"/>
    <cellStyle name="Normal 27 16" xfId="1762"/>
    <cellStyle name="Normal 27 17" xfId="1763"/>
    <cellStyle name="Normal 27 18" xfId="1764"/>
    <cellStyle name="Normal 27 19" xfId="1765"/>
    <cellStyle name="Normal 27 2" xfId="1766"/>
    <cellStyle name="Normal 27 20" xfId="1767"/>
    <cellStyle name="Normal 27 21" xfId="1768"/>
    <cellStyle name="Normal 27 22" xfId="1769"/>
    <cellStyle name="Normal 27 23" xfId="1770"/>
    <cellStyle name="Normal 27 24" xfId="1771"/>
    <cellStyle name="Normal 27 25" xfId="1772"/>
    <cellStyle name="Normal 27 26" xfId="1773"/>
    <cellStyle name="Normal 27 27" xfId="1774"/>
    <cellStyle name="Normal 27 28" xfId="1775"/>
    <cellStyle name="Normal 27 29" xfId="1776"/>
    <cellStyle name="Normal 27 3" xfId="1777"/>
    <cellStyle name="Normal 27 30" xfId="1778"/>
    <cellStyle name="Normal 27 31" xfId="1779"/>
    <cellStyle name="Normal 27 32" xfId="3812"/>
    <cellStyle name="Normal 27 32 2" xfId="3813"/>
    <cellStyle name="Normal 27 32 3" xfId="4078"/>
    <cellStyle name="Normal 27 33" xfId="3814"/>
    <cellStyle name="Normal 27 34" xfId="3815"/>
    <cellStyle name="Normal 27 35" xfId="3816"/>
    <cellStyle name="Normal 27 36" xfId="3817"/>
    <cellStyle name="Normal 27 37" xfId="3818"/>
    <cellStyle name="Normal 27 38" xfId="3819"/>
    <cellStyle name="Normal 27 39" xfId="3820"/>
    <cellStyle name="Normal 27 4" xfId="1780"/>
    <cellStyle name="Normal 27 40" xfId="3821"/>
    <cellStyle name="Normal 27 41" xfId="3822"/>
    <cellStyle name="Normal 27 42" xfId="4077"/>
    <cellStyle name="Normal 27 43" xfId="3182"/>
    <cellStyle name="Normal 27 5" xfId="1781"/>
    <cellStyle name="Normal 27 6" xfId="1782"/>
    <cellStyle name="Normal 27 7" xfId="1783"/>
    <cellStyle name="Normal 27 8" xfId="1784"/>
    <cellStyle name="Normal 27 9" xfId="1785"/>
    <cellStyle name="Normal 28" xfId="1059"/>
    <cellStyle name="Normal 28 10" xfId="1786"/>
    <cellStyle name="Normal 28 11" xfId="1787"/>
    <cellStyle name="Normal 28 12" xfId="1788"/>
    <cellStyle name="Normal 28 13" xfId="1789"/>
    <cellStyle name="Normal 28 14" xfId="1790"/>
    <cellStyle name="Normal 28 15" xfId="1791"/>
    <cellStyle name="Normal 28 16" xfId="1792"/>
    <cellStyle name="Normal 28 17" xfId="1793"/>
    <cellStyle name="Normal 28 18" xfId="1794"/>
    <cellStyle name="Normal 28 19" xfId="1795"/>
    <cellStyle name="Normal 28 2" xfId="1796"/>
    <cellStyle name="Normal 28 20" xfId="1797"/>
    <cellStyle name="Normal 28 21" xfId="1798"/>
    <cellStyle name="Normal 28 22" xfId="1799"/>
    <cellStyle name="Normal 28 23" xfId="1800"/>
    <cellStyle name="Normal 28 24" xfId="1801"/>
    <cellStyle name="Normal 28 25" xfId="1802"/>
    <cellStyle name="Normal 28 26" xfId="1803"/>
    <cellStyle name="Normal 28 27" xfId="1804"/>
    <cellStyle name="Normal 28 28" xfId="1805"/>
    <cellStyle name="Normal 28 29" xfId="1806"/>
    <cellStyle name="Normal 28 3" xfId="1807"/>
    <cellStyle name="Normal 28 30" xfId="1808"/>
    <cellStyle name="Normal 28 31" xfId="1809"/>
    <cellStyle name="Normal 28 32" xfId="3823"/>
    <cellStyle name="Normal 28 33" xfId="4079"/>
    <cellStyle name="Normal 28 34" xfId="3130"/>
    <cellStyle name="Normal 28 4" xfId="1810"/>
    <cellStyle name="Normal 28 5" xfId="1811"/>
    <cellStyle name="Normal 28 6" xfId="1812"/>
    <cellStyle name="Normal 28 7" xfId="1813"/>
    <cellStyle name="Normal 28 8" xfId="1814"/>
    <cellStyle name="Normal 28 9" xfId="1815"/>
    <cellStyle name="Normal 29" xfId="1060"/>
    <cellStyle name="Normal 29 10" xfId="1816"/>
    <cellStyle name="Normal 29 11" xfId="1817"/>
    <cellStyle name="Normal 29 12" xfId="1818"/>
    <cellStyle name="Normal 29 13" xfId="1819"/>
    <cellStyle name="Normal 29 14" xfId="1820"/>
    <cellStyle name="Normal 29 15" xfId="1821"/>
    <cellStyle name="Normal 29 16" xfId="1822"/>
    <cellStyle name="Normal 29 17" xfId="1823"/>
    <cellStyle name="Normal 29 18" xfId="1824"/>
    <cellStyle name="Normal 29 19" xfId="1825"/>
    <cellStyle name="Normal 29 2" xfId="1826"/>
    <cellStyle name="Normal 29 20" xfId="1827"/>
    <cellStyle name="Normal 29 21" xfId="1828"/>
    <cellStyle name="Normal 29 22" xfId="1829"/>
    <cellStyle name="Normal 29 23" xfId="1830"/>
    <cellStyle name="Normal 29 24" xfId="1831"/>
    <cellStyle name="Normal 29 25" xfId="1832"/>
    <cellStyle name="Normal 29 26" xfId="1833"/>
    <cellStyle name="Normal 29 27" xfId="1834"/>
    <cellStyle name="Normal 29 28" xfId="1835"/>
    <cellStyle name="Normal 29 29" xfId="1836"/>
    <cellStyle name="Normal 29 3" xfId="1837"/>
    <cellStyle name="Normal 29 30" xfId="1838"/>
    <cellStyle name="Normal 29 31" xfId="1839"/>
    <cellStyle name="Normal 29 32" xfId="3824"/>
    <cellStyle name="Normal 29 33" xfId="4080"/>
    <cellStyle name="Normal 29 34" xfId="3205"/>
    <cellStyle name="Normal 29 4" xfId="1840"/>
    <cellStyle name="Normal 29 5" xfId="1841"/>
    <cellStyle name="Normal 29 6" xfId="1842"/>
    <cellStyle name="Normal 29 7" xfId="1843"/>
    <cellStyle name="Normal 29 8" xfId="1844"/>
    <cellStyle name="Normal 29 9" xfId="1845"/>
    <cellStyle name="Normal 3" xfId="1061"/>
    <cellStyle name="Normal 3 10" xfId="3184"/>
    <cellStyle name="Normal 3 11" xfId="3133"/>
    <cellStyle name="Normal 3 12" xfId="3201"/>
    <cellStyle name="Normal 3 13" xfId="3216"/>
    <cellStyle name="Normal 3 14" xfId="3432"/>
    <cellStyle name="Normal 3 15" xfId="3437"/>
    <cellStyle name="Normal 3 16" xfId="3442"/>
    <cellStyle name="Normal 3 2" xfId="1062"/>
    <cellStyle name="Normal 3 2 2" xfId="1063"/>
    <cellStyle name="Normal 3 2 3" xfId="1399"/>
    <cellStyle name="Normal 3 3" xfId="1064"/>
    <cellStyle name="Normal 3 3 2" xfId="1065"/>
    <cellStyle name="Normal 3 3 3" xfId="1400"/>
    <cellStyle name="Normal 3 4" xfId="1066"/>
    <cellStyle name="Normal 3 4 2" xfId="1401"/>
    <cellStyle name="Normal 3 5" xfId="1067"/>
    <cellStyle name="Normal 3 5 10" xfId="2853"/>
    <cellStyle name="Normal 3 5 11" xfId="2855"/>
    <cellStyle name="Normal 3 5 12" xfId="2860"/>
    <cellStyle name="Normal 3 5 13" xfId="2863"/>
    <cellStyle name="Normal 3 5 14" xfId="2865"/>
    <cellStyle name="Normal 3 5 15" xfId="2869"/>
    <cellStyle name="Normal 3 5 16" xfId="2873"/>
    <cellStyle name="Normal 3 5 17" xfId="2876"/>
    <cellStyle name="Normal 3 5 18" xfId="2879"/>
    <cellStyle name="Normal 3 5 19" xfId="2883"/>
    <cellStyle name="Normal 3 5 2" xfId="1446"/>
    <cellStyle name="Normal 3 5 2 10" xfId="3325"/>
    <cellStyle name="Normal 3 5 2 11" xfId="3423"/>
    <cellStyle name="Normal 3 5 2 12" xfId="3483"/>
    <cellStyle name="Normal 3 5 2 13" xfId="3564"/>
    <cellStyle name="Normal 3 5 2 14" xfId="3514"/>
    <cellStyle name="Normal 3 5 2 15" xfId="3693"/>
    <cellStyle name="Normal 3 5 2 16" xfId="3601"/>
    <cellStyle name="Normal 3 5 2 17" xfId="3664"/>
    <cellStyle name="Normal 3 5 2 18" xfId="3826"/>
    <cellStyle name="Normal 3 5 2 19" xfId="4082"/>
    <cellStyle name="Normal 3 5 2 2" xfId="2777"/>
    <cellStyle name="Normal 3 5 2 3" xfId="3055"/>
    <cellStyle name="Normal 3 5 2 4" xfId="3067"/>
    <cellStyle name="Normal 3 5 2 5" xfId="3024"/>
    <cellStyle name="Normal 3 5 2 6" xfId="3178"/>
    <cellStyle name="Normal 3 5 2 7" xfId="3203"/>
    <cellStyle name="Normal 3 5 2 8" xfId="3352"/>
    <cellStyle name="Normal 3 5 2 9" xfId="3267"/>
    <cellStyle name="Normal 3 5 20" xfId="2886"/>
    <cellStyle name="Normal 3 5 21" xfId="2888"/>
    <cellStyle name="Normal 3 5 22" xfId="2891"/>
    <cellStyle name="Normal 3 5 23" xfId="2892"/>
    <cellStyle name="Normal 3 5 24" xfId="2902"/>
    <cellStyle name="Normal 3 5 25" xfId="2903"/>
    <cellStyle name="Normal 3 5 26" xfId="2908"/>
    <cellStyle name="Normal 3 5 27" xfId="2913"/>
    <cellStyle name="Normal 3 5 28" xfId="2922"/>
    <cellStyle name="Normal 3 5 29" xfId="2923"/>
    <cellStyle name="Normal 3 5 3" xfId="2779"/>
    <cellStyle name="Normal 3 5 30" xfId="2928"/>
    <cellStyle name="Normal 3 5 31" xfId="2942"/>
    <cellStyle name="Normal 3 5 32" xfId="2943"/>
    <cellStyle name="Normal 3 5 33" xfId="2944"/>
    <cellStyle name="Normal 3 5 34" xfId="2954"/>
    <cellStyle name="Normal 3 5 35" xfId="2955"/>
    <cellStyle name="Normal 3 5 36" xfId="2960"/>
    <cellStyle name="Normal 3 5 37" xfId="1419"/>
    <cellStyle name="Normal 3 5 37 2" xfId="3827"/>
    <cellStyle name="Normal 3 5 37 3" xfId="4083"/>
    <cellStyle name="Normal 3 5 38" xfId="3032"/>
    <cellStyle name="Normal 3 5 38 2" xfId="3828"/>
    <cellStyle name="Normal 3 5 38 3" xfId="4084"/>
    <cellStyle name="Normal 3 5 39" xfId="2985"/>
    <cellStyle name="Normal 3 5 39 2" xfId="3829"/>
    <cellStyle name="Normal 3 5 39 3" xfId="4085"/>
    <cellStyle name="Normal 3 5 4" xfId="2828"/>
    <cellStyle name="Normal 3 5 40" xfId="3115"/>
    <cellStyle name="Normal 3 5 41" xfId="3108"/>
    <cellStyle name="Normal 3 5 42" xfId="3258"/>
    <cellStyle name="Normal 3 5 43" xfId="3334"/>
    <cellStyle name="Normal 3 5 44" xfId="3286"/>
    <cellStyle name="Normal 3 5 45" xfId="3399"/>
    <cellStyle name="Normal 3 5 46" xfId="3461"/>
    <cellStyle name="Normal 3 5 47" xfId="3505"/>
    <cellStyle name="Normal 3 5 48" xfId="3547"/>
    <cellStyle name="Normal 3 5 49" xfId="3592"/>
    <cellStyle name="Normal 3 5 5" xfId="2831"/>
    <cellStyle name="Normal 3 5 50" xfId="3673"/>
    <cellStyle name="Normal 3 5 51" xfId="3623"/>
    <cellStyle name="Normal 3 5 52" xfId="3825"/>
    <cellStyle name="Normal 3 5 53" xfId="4081"/>
    <cellStyle name="Normal 3 5 54" xfId="1402"/>
    <cellStyle name="Normal 3 5 6" xfId="2837"/>
    <cellStyle name="Normal 3 5 7" xfId="2842"/>
    <cellStyle name="Normal 3 5 8" xfId="2845"/>
    <cellStyle name="Normal 3 5 9" xfId="2848"/>
    <cellStyle name="Normal 3 6" xfId="1068"/>
    <cellStyle name="Normal 3 6 2" xfId="1846"/>
    <cellStyle name="Normal 3 7" xfId="2780"/>
    <cellStyle name="Normal 3 8" xfId="3167"/>
    <cellStyle name="Normal 3 9" xfId="3153"/>
    <cellStyle name="Normal 30" xfId="1069"/>
    <cellStyle name="Normal 30 2" xfId="3830"/>
    <cellStyle name="Normal 30 3" xfId="4086"/>
    <cellStyle name="Normal 30 4" xfId="3213"/>
    <cellStyle name="Normal 31" xfId="1070"/>
    <cellStyle name="Normal 31 10" xfId="1847"/>
    <cellStyle name="Normal 31 11" xfId="1848"/>
    <cellStyle name="Normal 31 12" xfId="1849"/>
    <cellStyle name="Normal 31 13" xfId="1850"/>
    <cellStyle name="Normal 31 14" xfId="1851"/>
    <cellStyle name="Normal 31 15" xfId="1852"/>
    <cellStyle name="Normal 31 16" xfId="1853"/>
    <cellStyle name="Normal 31 17" xfId="1854"/>
    <cellStyle name="Normal 31 18" xfId="1855"/>
    <cellStyle name="Normal 31 19" xfId="1856"/>
    <cellStyle name="Normal 31 2" xfId="1857"/>
    <cellStyle name="Normal 31 20" xfId="1858"/>
    <cellStyle name="Normal 31 21" xfId="1859"/>
    <cellStyle name="Normal 31 22" xfId="1860"/>
    <cellStyle name="Normal 31 23" xfId="1861"/>
    <cellStyle name="Normal 31 24" xfId="1862"/>
    <cellStyle name="Normal 31 25" xfId="1863"/>
    <cellStyle name="Normal 31 26" xfId="1864"/>
    <cellStyle name="Normal 31 27" xfId="1865"/>
    <cellStyle name="Normal 31 28" xfId="1866"/>
    <cellStyle name="Normal 31 29" xfId="1867"/>
    <cellStyle name="Normal 31 3" xfId="1868"/>
    <cellStyle name="Normal 31 30" xfId="1869"/>
    <cellStyle name="Normal 31 31" xfId="1870"/>
    <cellStyle name="Normal 31 32" xfId="3831"/>
    <cellStyle name="Normal 31 33" xfId="4087"/>
    <cellStyle name="Normal 31 34" xfId="2975"/>
    <cellStyle name="Normal 31 4" xfId="1871"/>
    <cellStyle name="Normal 31 5" xfId="1872"/>
    <cellStyle name="Normal 31 6" xfId="1873"/>
    <cellStyle name="Normal 31 7" xfId="1874"/>
    <cellStyle name="Normal 31 8" xfId="1875"/>
    <cellStyle name="Normal 31 9" xfId="1876"/>
    <cellStyle name="Normal 32" xfId="1071"/>
    <cellStyle name="Normal 32 10" xfId="1877"/>
    <cellStyle name="Normal 32 11" xfId="1878"/>
    <cellStyle name="Normal 32 12" xfId="1879"/>
    <cellStyle name="Normal 32 13" xfId="1880"/>
    <cellStyle name="Normal 32 14" xfId="1881"/>
    <cellStyle name="Normal 32 15" xfId="1882"/>
    <cellStyle name="Normal 32 16" xfId="1883"/>
    <cellStyle name="Normal 32 17" xfId="1884"/>
    <cellStyle name="Normal 32 18" xfId="1885"/>
    <cellStyle name="Normal 32 19" xfId="1886"/>
    <cellStyle name="Normal 32 2" xfId="1887"/>
    <cellStyle name="Normal 32 20" xfId="1888"/>
    <cellStyle name="Normal 32 21" xfId="1889"/>
    <cellStyle name="Normal 32 22" xfId="1890"/>
    <cellStyle name="Normal 32 23" xfId="1891"/>
    <cellStyle name="Normal 32 24" xfId="1892"/>
    <cellStyle name="Normal 32 25" xfId="1893"/>
    <cellStyle name="Normal 32 26" xfId="1894"/>
    <cellStyle name="Normal 32 27" xfId="1895"/>
    <cellStyle name="Normal 32 28" xfId="1896"/>
    <cellStyle name="Normal 32 29" xfId="1897"/>
    <cellStyle name="Normal 32 3" xfId="1898"/>
    <cellStyle name="Normal 32 30" xfId="1899"/>
    <cellStyle name="Normal 32 31" xfId="1900"/>
    <cellStyle name="Normal 32 32" xfId="3832"/>
    <cellStyle name="Normal 32 33" xfId="4088"/>
    <cellStyle name="Normal 32 34" xfId="2976"/>
    <cellStyle name="Normal 32 4" xfId="1901"/>
    <cellStyle name="Normal 32 5" xfId="1902"/>
    <cellStyle name="Normal 32 6" xfId="1903"/>
    <cellStyle name="Normal 32 7" xfId="1904"/>
    <cellStyle name="Normal 32 8" xfId="1905"/>
    <cellStyle name="Normal 32 9" xfId="1906"/>
    <cellStyle name="Normal 33" xfId="1072"/>
    <cellStyle name="Normal 33 10" xfId="1907"/>
    <cellStyle name="Normal 33 11" xfId="1908"/>
    <cellStyle name="Normal 33 12" xfId="1909"/>
    <cellStyle name="Normal 33 13" xfId="1910"/>
    <cellStyle name="Normal 33 14" xfId="1911"/>
    <cellStyle name="Normal 33 15" xfId="1912"/>
    <cellStyle name="Normal 33 16" xfId="1913"/>
    <cellStyle name="Normal 33 17" xfId="1914"/>
    <cellStyle name="Normal 33 18" xfId="1915"/>
    <cellStyle name="Normal 33 19" xfId="1916"/>
    <cellStyle name="Normal 33 2" xfId="1917"/>
    <cellStyle name="Normal 33 20" xfId="1918"/>
    <cellStyle name="Normal 33 21" xfId="1919"/>
    <cellStyle name="Normal 33 22" xfId="1920"/>
    <cellStyle name="Normal 33 23" xfId="1921"/>
    <cellStyle name="Normal 33 24" xfId="1922"/>
    <cellStyle name="Normal 33 25" xfId="1923"/>
    <cellStyle name="Normal 33 26" xfId="1924"/>
    <cellStyle name="Normal 33 27" xfId="1925"/>
    <cellStyle name="Normal 33 28" xfId="1926"/>
    <cellStyle name="Normal 33 29" xfId="1927"/>
    <cellStyle name="Normal 33 3" xfId="1928"/>
    <cellStyle name="Normal 33 30" xfId="1929"/>
    <cellStyle name="Normal 33 31" xfId="1930"/>
    <cellStyle name="Normal 33 32" xfId="3833"/>
    <cellStyle name="Normal 33 4" xfId="1931"/>
    <cellStyle name="Normal 33 5" xfId="1932"/>
    <cellStyle name="Normal 33 6" xfId="1933"/>
    <cellStyle name="Normal 33 7" xfId="1934"/>
    <cellStyle name="Normal 33 8" xfId="1935"/>
    <cellStyle name="Normal 33 9" xfId="1936"/>
    <cellStyle name="Normal 34" xfId="1073"/>
    <cellStyle name="Normal 34 2" xfId="3834"/>
    <cellStyle name="Normal 35" xfId="1074"/>
    <cellStyle name="Normal 35 2" xfId="3439"/>
    <cellStyle name="Normal 36" xfId="1075"/>
    <cellStyle name="Normal 36 2" xfId="3835"/>
    <cellStyle name="Normal 37" xfId="1076"/>
    <cellStyle name="Normal 37 2" xfId="3836"/>
    <cellStyle name="Normal 38" xfId="1077"/>
    <cellStyle name="Normal 38 2" xfId="3837"/>
    <cellStyle name="Normal 39" xfId="1078"/>
    <cellStyle name="Normal 39 2" xfId="3838"/>
    <cellStyle name="Normal 4" xfId="1079"/>
    <cellStyle name="Normal 4 2" xfId="1080"/>
    <cellStyle name="Normal 4 2 10" xfId="3291"/>
    <cellStyle name="Normal 4 2 11" xfId="3404"/>
    <cellStyle name="Normal 4 2 12" xfId="3466"/>
    <cellStyle name="Normal 4 2 13" xfId="3510"/>
    <cellStyle name="Normal 4 2 14" xfId="3542"/>
    <cellStyle name="Normal 4 2 15" xfId="3597"/>
    <cellStyle name="Normal 4 2 16" xfId="3668"/>
    <cellStyle name="Normal 4 2 17" xfId="3628"/>
    <cellStyle name="Normal 4 2 18" xfId="3839"/>
    <cellStyle name="Normal 4 2 19" xfId="4089"/>
    <cellStyle name="Normal 4 2 2" xfId="1450"/>
    <cellStyle name="Normal 4 2 2 2" xfId="3840"/>
    <cellStyle name="Normal 4 2 2 3" xfId="4090"/>
    <cellStyle name="Normal 4 2 20" xfId="1403"/>
    <cellStyle name="Normal 4 2 3" xfId="1416"/>
    <cellStyle name="Normal 4 2 4" xfId="3027"/>
    <cellStyle name="Normal 4 2 5" xfId="2990"/>
    <cellStyle name="Normal 4 2 6" xfId="3120"/>
    <cellStyle name="Normal 4 2 7" xfId="3191"/>
    <cellStyle name="Normal 4 2 8" xfId="3263"/>
    <cellStyle name="Normal 4 2 9" xfId="3329"/>
    <cellStyle name="Normal 4 3" xfId="1081"/>
    <cellStyle name="Normal 4 3 2" xfId="1937"/>
    <cellStyle name="Normal 4 4" xfId="1938"/>
    <cellStyle name="Normal 4 5" xfId="1939"/>
    <cellStyle name="Normal 4 6" xfId="1940"/>
    <cellStyle name="Normal 4 7" xfId="2781"/>
    <cellStyle name="Normal 40" xfId="1082"/>
    <cellStyle name="Normal 40 2" xfId="3842"/>
    <cellStyle name="Normal 40 3" xfId="3843"/>
    <cellStyle name="Normal 40 4" xfId="3844"/>
    <cellStyle name="Normal 40 5" xfId="3845"/>
    <cellStyle name="Normal 40 6" xfId="3846"/>
    <cellStyle name="Normal 40 7" xfId="3841"/>
    <cellStyle name="Normal 41" xfId="1083"/>
    <cellStyle name="Normal 41 2" xfId="3848"/>
    <cellStyle name="Normal 41 3" xfId="3849"/>
    <cellStyle name="Normal 41 4" xfId="3850"/>
    <cellStyle name="Normal 41 5" xfId="3851"/>
    <cellStyle name="Normal 41 6" xfId="3852"/>
    <cellStyle name="Normal 41 7" xfId="3847"/>
    <cellStyle name="Normal 42" xfId="1084"/>
    <cellStyle name="Normal 42 2" xfId="3854"/>
    <cellStyle name="Normal 42 3" xfId="3855"/>
    <cellStyle name="Normal 42 4" xfId="3856"/>
    <cellStyle name="Normal 42 5" xfId="3857"/>
    <cellStyle name="Normal 42 6" xfId="3858"/>
    <cellStyle name="Normal 42 7" xfId="3853"/>
    <cellStyle name="Normal 43" xfId="1085"/>
    <cellStyle name="Normal 43 2" xfId="3860"/>
    <cellStyle name="Normal 43 3" xfId="3861"/>
    <cellStyle name="Normal 43 4" xfId="3862"/>
    <cellStyle name="Normal 43 5" xfId="3863"/>
    <cellStyle name="Normal 43 6" xfId="3864"/>
    <cellStyle name="Normal 43 7" xfId="3859"/>
    <cellStyle name="Normal 44" xfId="1086"/>
    <cellStyle name="Normal 44 2" xfId="3866"/>
    <cellStyle name="Normal 44 3" xfId="3867"/>
    <cellStyle name="Normal 44 4" xfId="3868"/>
    <cellStyle name="Normal 44 5" xfId="3869"/>
    <cellStyle name="Normal 44 6" xfId="3870"/>
    <cellStyle name="Normal 44 7" xfId="3865"/>
    <cellStyle name="Normal 45" xfId="1087"/>
    <cellStyle name="Normal 45 2" xfId="3871"/>
    <cellStyle name="Normal 46" xfId="1088"/>
    <cellStyle name="Normal 46 2" xfId="3872"/>
    <cellStyle name="Normal 47" xfId="1089"/>
    <cellStyle name="Normal 47 2" xfId="3873"/>
    <cellStyle name="Normal 48" xfId="1090"/>
    <cellStyle name="Normal 48 2" xfId="3874"/>
    <cellStyle name="Normal 49" xfId="1091"/>
    <cellStyle name="Normal 49 2" xfId="3875"/>
    <cellStyle name="Normal 5" xfId="1092"/>
    <cellStyle name="Normal 5 10" xfId="1941"/>
    <cellStyle name="Normal 5 11" xfId="1942"/>
    <cellStyle name="Normal 5 12" xfId="1943"/>
    <cellStyle name="Normal 5 13" xfId="1944"/>
    <cellStyle name="Normal 5 14" xfId="1945"/>
    <cellStyle name="Normal 5 15" xfId="1946"/>
    <cellStyle name="Normal 5 16" xfId="1947"/>
    <cellStyle name="Normal 5 17" xfId="1948"/>
    <cellStyle name="Normal 5 18" xfId="1949"/>
    <cellStyle name="Normal 5 19" xfId="1950"/>
    <cellStyle name="Normal 5 2" xfId="1093"/>
    <cellStyle name="Normal 5 2 2" xfId="1951"/>
    <cellStyle name="Normal 5 20" xfId="1952"/>
    <cellStyle name="Normal 5 21" xfId="1953"/>
    <cellStyle name="Normal 5 22" xfId="1954"/>
    <cellStyle name="Normal 5 23" xfId="1955"/>
    <cellStyle name="Normal 5 24" xfId="1956"/>
    <cellStyle name="Normal 5 25" xfId="1957"/>
    <cellStyle name="Normal 5 26" xfId="1958"/>
    <cellStyle name="Normal 5 27" xfId="1959"/>
    <cellStyle name="Normal 5 28" xfId="1960"/>
    <cellStyle name="Normal 5 29" xfId="1961"/>
    <cellStyle name="Normal 5 3" xfId="1094"/>
    <cellStyle name="Normal 5 3 2" xfId="1962"/>
    <cellStyle name="Normal 5 30" xfId="1963"/>
    <cellStyle name="Normal 5 31" xfId="1964"/>
    <cellStyle name="Normal 5 32" xfId="2782"/>
    <cellStyle name="Normal 5 4" xfId="1965"/>
    <cellStyle name="Normal 5 5" xfId="1966"/>
    <cellStyle name="Normal 5 6" xfId="1967"/>
    <cellStyle name="Normal 5 7" xfId="1968"/>
    <cellStyle name="Normal 5 8" xfId="1969"/>
    <cellStyle name="Normal 5 9" xfId="1970"/>
    <cellStyle name="Normal 50" xfId="1095"/>
    <cellStyle name="Normal 50 2" xfId="3877"/>
    <cellStyle name="Normal 50 3" xfId="3876"/>
    <cellStyle name="Normal 51" xfId="1096"/>
    <cellStyle name="Normal 51 2" xfId="3879"/>
    <cellStyle name="Normal 51 3" xfId="3878"/>
    <cellStyle name="Normal 52" xfId="1097"/>
    <cellStyle name="Normal 52 2" xfId="3881"/>
    <cellStyle name="Normal 52 3" xfId="3880"/>
    <cellStyle name="Normal 53" xfId="1098"/>
    <cellStyle name="Normal 53 2" xfId="3883"/>
    <cellStyle name="Normal 53 3" xfId="3882"/>
    <cellStyle name="Normal 54" xfId="1099"/>
    <cellStyle name="Normal 54 2" xfId="3884"/>
    <cellStyle name="Normal 55" xfId="1100"/>
    <cellStyle name="Normal 55 2" xfId="3885"/>
    <cellStyle name="Normal 56" xfId="1101"/>
    <cellStyle name="Normal 56 2" xfId="3886"/>
    <cellStyle name="Normal 57" xfId="1102"/>
    <cellStyle name="Normal 57 2" xfId="3887"/>
    <cellStyle name="Normal 58" xfId="1103"/>
    <cellStyle name="Normal 58 2" xfId="3888"/>
    <cellStyle name="Normal 59" xfId="1104"/>
    <cellStyle name="Normal 59 2" xfId="3889"/>
    <cellStyle name="Normal 6" xfId="1105"/>
    <cellStyle name="Normal 6 2" xfId="1106"/>
    <cellStyle name="Normal 6 2 2" xfId="1971"/>
    <cellStyle name="Normal 6 3" xfId="1107"/>
    <cellStyle name="Normal 6 3 2" xfId="2783"/>
    <cellStyle name="Normal 60" xfId="1108"/>
    <cellStyle name="Normal 60 2" xfId="3890"/>
    <cellStyle name="Normal 61" xfId="1109"/>
    <cellStyle name="Normal 61 2" xfId="3891"/>
    <cellStyle name="Normal 62" xfId="1110"/>
    <cellStyle name="Normal 63" xfId="1111"/>
    <cellStyle name="Normal 64" xfId="1112"/>
    <cellStyle name="Normal 65" xfId="1113"/>
    <cellStyle name="Normal 66" xfId="1114"/>
    <cellStyle name="Normal 67" xfId="1115"/>
    <cellStyle name="Normal 68" xfId="1116"/>
    <cellStyle name="Normal 69" xfId="1117"/>
    <cellStyle name="Normal 7" xfId="1118"/>
    <cellStyle name="Normal 7 10" xfId="1972"/>
    <cellStyle name="Normal 7 11" xfId="1973"/>
    <cellStyle name="Normal 7 12" xfId="1974"/>
    <cellStyle name="Normal 7 13" xfId="1975"/>
    <cellStyle name="Normal 7 14" xfId="1976"/>
    <cellStyle name="Normal 7 15" xfId="1977"/>
    <cellStyle name="Normal 7 16" xfId="1978"/>
    <cellStyle name="Normal 7 17" xfId="1979"/>
    <cellStyle name="Normal 7 18" xfId="1980"/>
    <cellStyle name="Normal 7 19" xfId="1981"/>
    <cellStyle name="Normal 7 2" xfId="1119"/>
    <cellStyle name="Normal 7 2 2" xfId="1982"/>
    <cellStyle name="Normal 7 20" xfId="1983"/>
    <cellStyle name="Normal 7 21" xfId="1984"/>
    <cellStyle name="Normal 7 22" xfId="1985"/>
    <cellStyle name="Normal 7 23" xfId="1986"/>
    <cellStyle name="Normal 7 24" xfId="1987"/>
    <cellStyle name="Normal 7 25" xfId="1988"/>
    <cellStyle name="Normal 7 26" xfId="1989"/>
    <cellStyle name="Normal 7 27" xfId="1990"/>
    <cellStyle name="Normal 7 28" xfId="1991"/>
    <cellStyle name="Normal 7 29" xfId="1992"/>
    <cellStyle name="Normal 7 3" xfId="1120"/>
    <cellStyle name="Normal 7 3 2" xfId="1993"/>
    <cellStyle name="Normal 7 30" xfId="1994"/>
    <cellStyle name="Normal 7 31" xfId="1995"/>
    <cellStyle name="Normal 7 32" xfId="2784"/>
    <cellStyle name="Normal 7 4" xfId="1996"/>
    <cellStyle name="Normal 7 5" xfId="1997"/>
    <cellStyle name="Normal 7 6" xfId="1998"/>
    <cellStyle name="Normal 7 7" xfId="1999"/>
    <cellStyle name="Normal 7 8" xfId="2000"/>
    <cellStyle name="Normal 7 9" xfId="2001"/>
    <cellStyle name="Normal 70" xfId="1121"/>
    <cellStyle name="Normal 71" xfId="1122"/>
    <cellStyle name="Normal 72" xfId="1123"/>
    <cellStyle name="Normal 8" xfId="1124"/>
    <cellStyle name="Normal 8 10" xfId="2002"/>
    <cellStyle name="Normal 8 11" xfId="2003"/>
    <cellStyle name="Normal 8 12" xfId="2004"/>
    <cellStyle name="Normal 8 13" xfId="2005"/>
    <cellStyle name="Normal 8 14" xfId="2006"/>
    <cellStyle name="Normal 8 15" xfId="2007"/>
    <cellStyle name="Normal 8 16" xfId="2008"/>
    <cellStyle name="Normal 8 17" xfId="2009"/>
    <cellStyle name="Normal 8 18" xfId="2010"/>
    <cellStyle name="Normal 8 19" xfId="2011"/>
    <cellStyle name="Normal 8 2" xfId="2012"/>
    <cellStyle name="Normal 8 20" xfId="2013"/>
    <cellStyle name="Normal 8 21" xfId="2014"/>
    <cellStyle name="Normal 8 22" xfId="2015"/>
    <cellStyle name="Normal 8 23" xfId="2016"/>
    <cellStyle name="Normal 8 24" xfId="2017"/>
    <cellStyle name="Normal 8 25" xfId="2018"/>
    <cellStyle name="Normal 8 26" xfId="2019"/>
    <cellStyle name="Normal 8 27" xfId="2020"/>
    <cellStyle name="Normal 8 28" xfId="2021"/>
    <cellStyle name="Normal 8 29" xfId="2022"/>
    <cellStyle name="Normal 8 3" xfId="2023"/>
    <cellStyle name="Normal 8 30" xfId="2024"/>
    <cellStyle name="Normal 8 31" xfId="2025"/>
    <cellStyle name="Normal 8 32" xfId="2785"/>
    <cellStyle name="Normal 8 4" xfId="2026"/>
    <cellStyle name="Normal 8 5" xfId="2027"/>
    <cellStyle name="Normal 8 6" xfId="2028"/>
    <cellStyle name="Normal 8 7" xfId="2029"/>
    <cellStyle name="Normal 8 8" xfId="2030"/>
    <cellStyle name="Normal 8 9" xfId="2031"/>
    <cellStyle name="Normal 9" xfId="1125"/>
    <cellStyle name="Normal 9 2" xfId="1126"/>
    <cellStyle name="Normal 9 3" xfId="1127"/>
    <cellStyle name="Normal 9 4" xfId="1404"/>
    <cellStyle name="Normal 90 2" xfId="2032"/>
    <cellStyle name="Normal 90 3" xfId="2033"/>
    <cellStyle name="Normal 90 4" xfId="2034"/>
    <cellStyle name="Normal 90 5" xfId="2035"/>
    <cellStyle name="Normal 91" xfId="2036"/>
    <cellStyle name="Normal_LALUR Calcário Triângulo 2005" xfId="2"/>
    <cellStyle name="Nota" xfId="1348" builtinId="10" customBuiltin="1"/>
    <cellStyle name="Nota 10" xfId="1128"/>
    <cellStyle name="Nota 10 2" xfId="1129"/>
    <cellStyle name="Nota 10 2 2" xfId="1130"/>
    <cellStyle name="Nota 10 3" xfId="1131"/>
    <cellStyle name="Nota 11" xfId="1132"/>
    <cellStyle name="Nota 11 2" xfId="1133"/>
    <cellStyle name="Nota 11 2 2" xfId="1134"/>
    <cellStyle name="Nota 11 3" xfId="1135"/>
    <cellStyle name="Nota 12" xfId="1136"/>
    <cellStyle name="Nota 12 2" xfId="1137"/>
    <cellStyle name="Nota 13" xfId="1138"/>
    <cellStyle name="Nota 13 2" xfId="1139"/>
    <cellStyle name="Nota 14" xfId="1140"/>
    <cellStyle name="Nota 14 2" xfId="1141"/>
    <cellStyle name="Nota 15" xfId="1142"/>
    <cellStyle name="Nota 16" xfId="1143"/>
    <cellStyle name="Nota 17" xfId="1144"/>
    <cellStyle name="Nota 18" xfId="1145"/>
    <cellStyle name="Nota 19" xfId="1146"/>
    <cellStyle name="Nota 2" xfId="1147"/>
    <cellStyle name="Nota 2 10" xfId="3892"/>
    <cellStyle name="Nota 2 11" xfId="3893"/>
    <cellStyle name="Nota 2 12" xfId="3894"/>
    <cellStyle name="Nota 2 2" xfId="1148"/>
    <cellStyle name="Nota 2 2 10" xfId="3895"/>
    <cellStyle name="Nota 2 2 11" xfId="3896"/>
    <cellStyle name="Nota 2 2 12" xfId="3897"/>
    <cellStyle name="Nota 2 2 2" xfId="1149"/>
    <cellStyle name="Nota 2 2 2 2" xfId="1150"/>
    <cellStyle name="Nota 2 2 2 2 2" xfId="3899"/>
    <cellStyle name="Nota 2 2 2 2 2 2" xfId="3900"/>
    <cellStyle name="Nota 2 2 2 2 2 2 2" xfId="3901"/>
    <cellStyle name="Nota 2 2 2 2 3" xfId="3902"/>
    <cellStyle name="Nota 2 2 2 2 4" xfId="3903"/>
    <cellStyle name="Nota 2 2 2 2 5" xfId="3904"/>
    <cellStyle name="Nota 2 2 2 2 6" xfId="3905"/>
    <cellStyle name="Nota 2 2 2 2 7" xfId="3906"/>
    <cellStyle name="Nota 2 2 2 3" xfId="3907"/>
    <cellStyle name="Nota 2 2 2 4" xfId="3908"/>
    <cellStyle name="Nota 2 2 2 5" xfId="3909"/>
    <cellStyle name="Nota 2 2 2 6" xfId="3910"/>
    <cellStyle name="Nota 2 2 2 7" xfId="3911"/>
    <cellStyle name="Nota 2 2 2 8" xfId="3898"/>
    <cellStyle name="Nota 2 2 3" xfId="1151"/>
    <cellStyle name="Nota 2 2 3 2" xfId="3912"/>
    <cellStyle name="Nota 2 2 4" xfId="3913"/>
    <cellStyle name="Nota 2 2 5" xfId="3914"/>
    <cellStyle name="Nota 2 2 6" xfId="3915"/>
    <cellStyle name="Nota 2 2 7" xfId="3916"/>
    <cellStyle name="Nota 2 2 8" xfId="3917"/>
    <cellStyle name="Nota 2 2 9" xfId="3918"/>
    <cellStyle name="Nota 2 3" xfId="1152"/>
    <cellStyle name="Nota 2 3 2" xfId="1153"/>
    <cellStyle name="Nota 2 4" xfId="1154"/>
    <cellStyle name="Nota 2 5" xfId="1155"/>
    <cellStyle name="Nota 2 5 2" xfId="3919"/>
    <cellStyle name="Nota 2 6" xfId="3920"/>
    <cellStyle name="Nota 2 7" xfId="3921"/>
    <cellStyle name="Nota 2 8" xfId="3922"/>
    <cellStyle name="Nota 2 9" xfId="3923"/>
    <cellStyle name="Nota 20" xfId="1156"/>
    <cellStyle name="Nota 21" xfId="1157"/>
    <cellStyle name="Nota 22" xfId="1158"/>
    <cellStyle name="Nota 23" xfId="1159"/>
    <cellStyle name="Nota 24" xfId="1160"/>
    <cellStyle name="Nota 25" xfId="1161"/>
    <cellStyle name="Nota 26" xfId="1162"/>
    <cellStyle name="Nota 27" xfId="1163"/>
    <cellStyle name="Nota 28" xfId="1164"/>
    <cellStyle name="Nota 29" xfId="1165"/>
    <cellStyle name="Nota 3" xfId="1166"/>
    <cellStyle name="Nota 3 2" xfId="1167"/>
    <cellStyle name="Nota 3 2 2" xfId="1168"/>
    <cellStyle name="Nota 3 3" xfId="1169"/>
    <cellStyle name="Nota 3 4" xfId="1170"/>
    <cellStyle name="Nota 30" xfId="1171"/>
    <cellStyle name="Nota 31" xfId="1172"/>
    <cellStyle name="Nota 32" xfId="1173"/>
    <cellStyle name="Nota 33" xfId="1174"/>
    <cellStyle name="Nota 34" xfId="1175"/>
    <cellStyle name="Nota 35" xfId="1176"/>
    <cellStyle name="Nota 36" xfId="1177"/>
    <cellStyle name="Nota 37" xfId="1178"/>
    <cellStyle name="Nota 38" xfId="1179"/>
    <cellStyle name="Nota 39" xfId="1180"/>
    <cellStyle name="Nota 4" xfId="1181"/>
    <cellStyle name="Nota 4 2" xfId="1182"/>
    <cellStyle name="Nota 4 2 2" xfId="1183"/>
    <cellStyle name="Nota 4 3" xfId="1184"/>
    <cellStyle name="Nota 40" xfId="1185"/>
    <cellStyle name="Nota 41" xfId="1186"/>
    <cellStyle name="Nota 5" xfId="1187"/>
    <cellStyle name="Nota 5 2" xfId="1188"/>
    <cellStyle name="Nota 5 2 2" xfId="1189"/>
    <cellStyle name="Nota 5 3" xfId="1190"/>
    <cellStyle name="Nota 5 4" xfId="1191"/>
    <cellStyle name="Nota 6" xfId="1192"/>
    <cellStyle name="Nota 6 2" xfId="1193"/>
    <cellStyle name="Nota 6 2 2" xfId="1194"/>
    <cellStyle name="Nota 6 3" xfId="1195"/>
    <cellStyle name="Nota 7" xfId="1196"/>
    <cellStyle name="Nota 7 2" xfId="1197"/>
    <cellStyle name="Nota 7 2 2" xfId="1198"/>
    <cellStyle name="Nota 7 3" xfId="1199"/>
    <cellStyle name="Nota 8" xfId="1200"/>
    <cellStyle name="Nota 8 2" xfId="1201"/>
    <cellStyle name="Nota 8 2 2" xfId="1202"/>
    <cellStyle name="Nota 8 3" xfId="1203"/>
    <cellStyle name="Nota 9" xfId="1204"/>
    <cellStyle name="Nota 9 2" xfId="1205"/>
    <cellStyle name="Nota 9 2 2" xfId="1206"/>
    <cellStyle name="Nota 9 3" xfId="1207"/>
    <cellStyle name="Note" xfId="1208"/>
    <cellStyle name="Output" xfId="1209"/>
    <cellStyle name="Porcentagem 2" xfId="1210"/>
    <cellStyle name="Porcentagem 2 2" xfId="1211"/>
    <cellStyle name="Porcentagem 3" xfId="1212"/>
    <cellStyle name="Porcentagem 3 2" xfId="1213"/>
    <cellStyle name="Porcentagem 4" xfId="1214"/>
    <cellStyle name="Porcentagem 4 2" xfId="1215"/>
    <cellStyle name="Porcentagem 5" xfId="1216"/>
    <cellStyle name="Porcentagem 5 2" xfId="1217"/>
    <cellStyle name="Porcentagem 6" xfId="1218"/>
    <cellStyle name="Porcentagem 7" xfId="1405"/>
    <cellStyle name="Porcentagem 7 2" xfId="3924"/>
    <cellStyle name="Porcentagem 8" xfId="3443"/>
    <cellStyle name="Saída" xfId="1343" builtinId="21" customBuiltin="1"/>
    <cellStyle name="Saída 2" xfId="1219"/>
    <cellStyle name="Saída 3" xfId="1220"/>
    <cellStyle name="Separador de milhares 10" xfId="1221"/>
    <cellStyle name="Separador de milhares 10 2" xfId="1222"/>
    <cellStyle name="Separador de milhares 10 2 2" xfId="2037"/>
    <cellStyle name="Separador de milhares 11" xfId="1223"/>
    <cellStyle name="Separador de milhares 11 2" xfId="1224"/>
    <cellStyle name="Separador de milhares 12" xfId="1225"/>
    <cellStyle name="Separador de milhares 13" xfId="1226"/>
    <cellStyle name="Separador de milhares 13 10" xfId="2038"/>
    <cellStyle name="Separador de milhares 13 11" xfId="2039"/>
    <cellStyle name="Separador de milhares 13 12" xfId="2040"/>
    <cellStyle name="Separador de milhares 13 13" xfId="2041"/>
    <cellStyle name="Separador de milhares 13 14" xfId="2042"/>
    <cellStyle name="Separador de milhares 13 15" xfId="2043"/>
    <cellStyle name="Separador de milhares 13 16" xfId="2044"/>
    <cellStyle name="Separador de milhares 13 17" xfId="2045"/>
    <cellStyle name="Separador de milhares 13 18" xfId="2046"/>
    <cellStyle name="Separador de milhares 13 19" xfId="2047"/>
    <cellStyle name="Separador de milhares 13 2" xfId="1406"/>
    <cellStyle name="Separador de milhares 13 2 10" xfId="3304"/>
    <cellStyle name="Separador de milhares 13 2 11" xfId="3411"/>
    <cellStyle name="Separador de milhares 13 2 12" xfId="3473"/>
    <cellStyle name="Separador de milhares 13 2 13" xfId="3526"/>
    <cellStyle name="Separador de milhares 13 2 14" xfId="3529"/>
    <cellStyle name="Separador de milhares 13 2 15" xfId="3641"/>
    <cellStyle name="Separador de milhares 13 2 16" xfId="3645"/>
    <cellStyle name="Separador de milhares 13 2 17" xfId="3640"/>
    <cellStyle name="Separador de milhares 13 2 18" xfId="3925"/>
    <cellStyle name="Separador de milhares 13 2 19" xfId="4091"/>
    <cellStyle name="Separador de milhares 13 2 2" xfId="2048"/>
    <cellStyle name="Separador de milhares 13 2 2 2" xfId="3926"/>
    <cellStyle name="Separador de milhares 13 2 2 3" xfId="4092"/>
    <cellStyle name="Separador de milhares 13 2 3" xfId="3005"/>
    <cellStyle name="Separador de milhares 13 2 4" xfId="3004"/>
    <cellStyle name="Separador de milhares 13 2 5" xfId="1430"/>
    <cellStyle name="Separador de milhares 13 2 6" xfId="3150"/>
    <cellStyle name="Separador de milhares 13 2 7" xfId="3126"/>
    <cellStyle name="Separador de milhares 13 2 8" xfId="3303"/>
    <cellStyle name="Separador de milhares 13 2 9" xfId="3308"/>
    <cellStyle name="Separador de milhares 13 20" xfId="2049"/>
    <cellStyle name="Separador de milhares 13 21" xfId="2050"/>
    <cellStyle name="Separador de milhares 13 22" xfId="2051"/>
    <cellStyle name="Separador de milhares 13 23" xfId="2052"/>
    <cellStyle name="Separador de milhares 13 24" xfId="2053"/>
    <cellStyle name="Separador de milhares 13 25" xfId="2054"/>
    <cellStyle name="Separador de milhares 13 26" xfId="2055"/>
    <cellStyle name="Separador de milhares 13 27" xfId="2056"/>
    <cellStyle name="Separador de milhares 13 28" xfId="2057"/>
    <cellStyle name="Separador de milhares 13 29" xfId="2058"/>
    <cellStyle name="Separador de milhares 13 3" xfId="2059"/>
    <cellStyle name="Separador de milhares 13 30" xfId="2060"/>
    <cellStyle name="Separador de milhares 13 31" xfId="2061"/>
    <cellStyle name="Separador de milhares 13 4" xfId="2062"/>
    <cellStyle name="Separador de milhares 13 5" xfId="2063"/>
    <cellStyle name="Separador de milhares 13 6" xfId="2064"/>
    <cellStyle name="Separador de milhares 13 7" xfId="2065"/>
    <cellStyle name="Separador de milhares 13 8" xfId="2066"/>
    <cellStyle name="Separador de milhares 13 9" xfId="2067"/>
    <cellStyle name="Separador de milhares 14" xfId="1227"/>
    <cellStyle name="Separador de milhares 14 2" xfId="1407"/>
    <cellStyle name="Separador de milhares 15" xfId="1228"/>
    <cellStyle name="Separador de milhares 15 10" xfId="3283"/>
    <cellStyle name="Separador de milhares 15 11" xfId="3396"/>
    <cellStyle name="Separador de milhares 15 12" xfId="3458"/>
    <cellStyle name="Separador de milhares 15 13" xfId="3502"/>
    <cellStyle name="Separador de milhares 15 14" xfId="3550"/>
    <cellStyle name="Separador de milhares 15 15" xfId="3589"/>
    <cellStyle name="Separador de milhares 15 16" xfId="3676"/>
    <cellStyle name="Separador de milhares 15 17" xfId="3620"/>
    <cellStyle name="Separador de milhares 15 18" xfId="3927"/>
    <cellStyle name="Separador de milhares 15 19" xfId="4093"/>
    <cellStyle name="Separador de milhares 15 2" xfId="1443"/>
    <cellStyle name="Separador de milhares 15 2 2" xfId="3928"/>
    <cellStyle name="Separador de milhares 15 2 3" xfId="4094"/>
    <cellStyle name="Separador de milhares 15 20" xfId="1408"/>
    <cellStyle name="Separador de milhares 15 3" xfId="1422"/>
    <cellStyle name="Separador de milhares 15 3 2" xfId="3929"/>
    <cellStyle name="Separador de milhares 15 3 3" xfId="4095"/>
    <cellStyle name="Separador de milhares 15 4" xfId="3035"/>
    <cellStyle name="Separador de milhares 15 5" xfId="2982"/>
    <cellStyle name="Separador de milhares 15 6" xfId="3112"/>
    <cellStyle name="Separador de milhares 15 7" xfId="3097"/>
    <cellStyle name="Separador de milhares 15 8" xfId="3255"/>
    <cellStyle name="Separador de milhares 15 9" xfId="3337"/>
    <cellStyle name="Separador de milhares 16" xfId="1229"/>
    <cellStyle name="Separador de milhares 16 10" xfId="3287"/>
    <cellStyle name="Separador de milhares 16 11" xfId="3400"/>
    <cellStyle name="Separador de milhares 16 12" xfId="3462"/>
    <cellStyle name="Separador de milhares 16 13" xfId="3506"/>
    <cellStyle name="Separador de milhares 16 14" xfId="3546"/>
    <cellStyle name="Separador de milhares 16 15" xfId="3593"/>
    <cellStyle name="Separador de milhares 16 16" xfId="3672"/>
    <cellStyle name="Separador de milhares 16 17" xfId="3624"/>
    <cellStyle name="Separador de milhares 16 18" xfId="3930"/>
    <cellStyle name="Separador de milhares 16 19" xfId="4096"/>
    <cellStyle name="Separador de milhares 16 2" xfId="1447"/>
    <cellStyle name="Separador de milhares 16 2 2" xfId="3931"/>
    <cellStyle name="Separador de milhares 16 2 3" xfId="4097"/>
    <cellStyle name="Separador de milhares 16 20" xfId="1409"/>
    <cellStyle name="Separador de milhares 16 3" xfId="2760"/>
    <cellStyle name="Separador de milhares 16 3 2" xfId="3932"/>
    <cellStyle name="Separador de milhares 16 3 3" xfId="4098"/>
    <cellStyle name="Separador de milhares 16 4" xfId="3031"/>
    <cellStyle name="Separador de milhares 16 5" xfId="2986"/>
    <cellStyle name="Separador de milhares 16 6" xfId="3116"/>
    <cellStyle name="Separador de milhares 16 7" xfId="3095"/>
    <cellStyle name="Separador de milhares 16 8" xfId="3259"/>
    <cellStyle name="Separador de milhares 16 9" xfId="3333"/>
    <cellStyle name="Separador de milhares 17" xfId="1230"/>
    <cellStyle name="Separador de milhares 17 10" xfId="3293"/>
    <cellStyle name="Separador de milhares 17 11" xfId="3406"/>
    <cellStyle name="Separador de milhares 17 12" xfId="3468"/>
    <cellStyle name="Separador de milhares 17 13" xfId="3512"/>
    <cellStyle name="Separador de milhares 17 14" xfId="3540"/>
    <cellStyle name="Separador de milhares 17 15" xfId="3599"/>
    <cellStyle name="Separador de milhares 17 16" xfId="3666"/>
    <cellStyle name="Separador de milhares 17 17" xfId="3630"/>
    <cellStyle name="Separador de milhares 17 18" xfId="3933"/>
    <cellStyle name="Separador de milhares 17 19" xfId="4099"/>
    <cellStyle name="Separador de milhares 17 2" xfId="1453"/>
    <cellStyle name="Separador de milhares 17 2 2" xfId="3934"/>
    <cellStyle name="Separador de milhares 17 2 3" xfId="4100"/>
    <cellStyle name="Separador de milhares 17 20" xfId="1410"/>
    <cellStyle name="Separador de milhares 17 3" xfId="1414"/>
    <cellStyle name="Separador de milhares 17 4" xfId="3025"/>
    <cellStyle name="Separador de milhares 17 5" xfId="2993"/>
    <cellStyle name="Separador de milhares 17 6" xfId="3122"/>
    <cellStyle name="Separador de milhares 17 7" xfId="3174"/>
    <cellStyle name="Separador de milhares 17 8" xfId="3265"/>
    <cellStyle name="Separador de milhares 17 9" xfId="3327"/>
    <cellStyle name="Separador de milhares 18" xfId="1231"/>
    <cellStyle name="Separador de milhares 18 10" xfId="2068"/>
    <cellStyle name="Separador de milhares 18 11" xfId="2069"/>
    <cellStyle name="Separador de milhares 18 12" xfId="2070"/>
    <cellStyle name="Separador de milhares 18 13" xfId="2071"/>
    <cellStyle name="Separador de milhares 18 14" xfId="2072"/>
    <cellStyle name="Separador de milhares 18 15" xfId="2073"/>
    <cellStyle name="Separador de milhares 18 16" xfId="2074"/>
    <cellStyle name="Separador de milhares 18 17" xfId="2075"/>
    <cellStyle name="Separador de milhares 18 18" xfId="2076"/>
    <cellStyle name="Separador de milhares 18 19" xfId="2077"/>
    <cellStyle name="Separador de milhares 18 2" xfId="2754"/>
    <cellStyle name="Separador de milhares 18 2 10" xfId="3306"/>
    <cellStyle name="Separador de milhares 18 2 11" xfId="3412"/>
    <cellStyle name="Separador de milhares 18 2 12" xfId="3474"/>
    <cellStyle name="Separador de milhares 18 2 13" xfId="3528"/>
    <cellStyle name="Separador de milhares 18 2 14" xfId="3527"/>
    <cellStyle name="Separador de milhares 18 2 15" xfId="3644"/>
    <cellStyle name="Separador de milhares 18 2 16" xfId="3642"/>
    <cellStyle name="Separador de milhares 18 2 17" xfId="3643"/>
    <cellStyle name="Separador de milhares 18 2 18" xfId="3936"/>
    <cellStyle name="Separador de milhares 18 2 19" xfId="4102"/>
    <cellStyle name="Separador de milhares 18 2 2" xfId="2078"/>
    <cellStyle name="Separador de milhares 18 2 2 2" xfId="3937"/>
    <cellStyle name="Separador de milhares 18 2 2 3" xfId="4103"/>
    <cellStyle name="Separador de milhares 18 2 3" xfId="3007"/>
    <cellStyle name="Separador de milhares 18 2 4" xfId="3003"/>
    <cellStyle name="Separador de milhares 18 2 5" xfId="3047"/>
    <cellStyle name="Separador de milhares 18 2 6" xfId="3157"/>
    <cellStyle name="Separador de milhares 18 2 7" xfId="3181"/>
    <cellStyle name="Separador de milhares 18 2 8" xfId="3307"/>
    <cellStyle name="Separador de milhares 18 2 9" xfId="3305"/>
    <cellStyle name="Separador de milhares 18 20" xfId="2079"/>
    <cellStyle name="Separador de milhares 18 21" xfId="2080"/>
    <cellStyle name="Separador de milhares 18 22" xfId="2081"/>
    <cellStyle name="Separador de milhares 18 23" xfId="2082"/>
    <cellStyle name="Separador de milhares 18 24" xfId="2083"/>
    <cellStyle name="Separador de milhares 18 25" xfId="2084"/>
    <cellStyle name="Separador de milhares 18 26" xfId="2085"/>
    <cellStyle name="Separador de milhares 18 27" xfId="2086"/>
    <cellStyle name="Separador de milhares 18 28" xfId="2087"/>
    <cellStyle name="Separador de milhares 18 29" xfId="2088"/>
    <cellStyle name="Separador de milhares 18 3" xfId="2089"/>
    <cellStyle name="Separador de milhares 18 30" xfId="2090"/>
    <cellStyle name="Separador de milhares 18 31" xfId="2091"/>
    <cellStyle name="Separador de milhares 18 32" xfId="2767"/>
    <cellStyle name="Separador de milhares 18 33" xfId="2769"/>
    <cellStyle name="Separador de milhares 18 34" xfId="2972"/>
    <cellStyle name="Separador de milhares 18 35" xfId="3051"/>
    <cellStyle name="Separador de milhares 18 35 2" xfId="3938"/>
    <cellStyle name="Separador de milhares 18 35 3" xfId="4104"/>
    <cellStyle name="Separador de milhares 18 36" xfId="3172"/>
    <cellStyle name="Separador de milhares 18 36 2" xfId="3939"/>
    <cellStyle name="Separador de milhares 18 36 3" xfId="4105"/>
    <cellStyle name="Separador de milhares 18 37" xfId="3196"/>
    <cellStyle name="Separador de milhares 18 37 2" xfId="3940"/>
    <cellStyle name="Separador de milhares 18 37 3" xfId="4106"/>
    <cellStyle name="Separador de milhares 18 38" xfId="3420"/>
    <cellStyle name="Separador de milhares 18 38 2" xfId="3941"/>
    <cellStyle name="Separador de milhares 18 38 3" xfId="4107"/>
    <cellStyle name="Separador de milhares 18 39" xfId="3689"/>
    <cellStyle name="Separador de milhares 18 39 2" xfId="3942"/>
    <cellStyle name="Separador de milhares 18 39 3" xfId="4108"/>
    <cellStyle name="Separador de milhares 18 4" xfId="2092"/>
    <cellStyle name="Separador de milhares 18 40" xfId="3604"/>
    <cellStyle name="Separador de milhares 18 40 2" xfId="3943"/>
    <cellStyle name="Separador de milhares 18 40 3" xfId="4109"/>
    <cellStyle name="Separador de milhares 18 41" xfId="3660"/>
    <cellStyle name="Separador de milhares 18 41 2" xfId="3944"/>
    <cellStyle name="Separador de milhares 18 41 3" xfId="4110"/>
    <cellStyle name="Separador de milhares 18 42" xfId="3935"/>
    <cellStyle name="Separador de milhares 18 42 2" xfId="3945"/>
    <cellStyle name="Separador de milhares 18 42 3" xfId="4111"/>
    <cellStyle name="Separador de milhares 18 43" xfId="3946"/>
    <cellStyle name="Separador de milhares 18 44" xfId="3947"/>
    <cellStyle name="Separador de milhares 18 45" xfId="3948"/>
    <cellStyle name="Separador de milhares 18 46" xfId="4101"/>
    <cellStyle name="Separador de milhares 18 47" xfId="1411"/>
    <cellStyle name="Separador de milhares 18 5" xfId="2093"/>
    <cellStyle name="Separador de milhares 18 6" xfId="2094"/>
    <cellStyle name="Separador de milhares 18 7" xfId="2095"/>
    <cellStyle name="Separador de milhares 18 8" xfId="2096"/>
    <cellStyle name="Separador de milhares 18 9" xfId="2097"/>
    <cellStyle name="Separador de milhares 19" xfId="1232"/>
    <cellStyle name="Separador de milhares 19 10" xfId="2098"/>
    <cellStyle name="Separador de milhares 19 11" xfId="2099"/>
    <cellStyle name="Separador de milhares 19 12" xfId="2100"/>
    <cellStyle name="Separador de milhares 19 13" xfId="2101"/>
    <cellStyle name="Separador de milhares 19 14" xfId="2102"/>
    <cellStyle name="Separador de milhares 19 15" xfId="2103"/>
    <cellStyle name="Separador de milhares 19 16" xfId="2104"/>
    <cellStyle name="Separador de milhares 19 17" xfId="2105"/>
    <cellStyle name="Separador de milhares 19 18" xfId="2106"/>
    <cellStyle name="Separador de milhares 19 19" xfId="2107"/>
    <cellStyle name="Separador de milhares 19 2" xfId="2787"/>
    <cellStyle name="Separador de milhares 19 2 10" xfId="3350"/>
    <cellStyle name="Separador de milhares 19 2 11" xfId="3413"/>
    <cellStyle name="Separador de milhares 19 2 12" xfId="3475"/>
    <cellStyle name="Separador de milhares 19 2 13" xfId="3530"/>
    <cellStyle name="Separador de milhares 19 2 14" xfId="3525"/>
    <cellStyle name="Separador de milhares 19 2 15" xfId="3646"/>
    <cellStyle name="Separador de milhares 19 2 16" xfId="3639"/>
    <cellStyle name="Separador de milhares 19 2 17" xfId="3691"/>
    <cellStyle name="Separador de milhares 19 2 18" xfId="3950"/>
    <cellStyle name="Separador de milhares 19 2 19" xfId="4113"/>
    <cellStyle name="Separador de milhares 19 2 2" xfId="2108"/>
    <cellStyle name="Separador de milhares 19 2 3" xfId="3008"/>
    <cellStyle name="Separador de milhares 19 2 4" xfId="3002"/>
    <cellStyle name="Separador de milhares 19 2 5" xfId="3006"/>
    <cellStyle name="Separador de milhares 19 2 6" xfId="3158"/>
    <cellStyle name="Separador de milhares 19 2 7" xfId="3124"/>
    <cellStyle name="Separador de milhares 19 2 8" xfId="3309"/>
    <cellStyle name="Separador de milhares 19 2 9" xfId="3302"/>
    <cellStyle name="Separador de milhares 19 20" xfId="2109"/>
    <cellStyle name="Separador de milhares 19 21" xfId="2110"/>
    <cellStyle name="Separador de milhares 19 22" xfId="2111"/>
    <cellStyle name="Separador de milhares 19 23" xfId="2112"/>
    <cellStyle name="Separador de milhares 19 24" xfId="2113"/>
    <cellStyle name="Separador de milhares 19 25" xfId="2114"/>
    <cellStyle name="Separador de milhares 19 26" xfId="2115"/>
    <cellStyle name="Separador de milhares 19 27" xfId="2116"/>
    <cellStyle name="Separador de milhares 19 28" xfId="2117"/>
    <cellStyle name="Separador de milhares 19 29" xfId="2118"/>
    <cellStyle name="Separador de milhares 19 3" xfId="2119"/>
    <cellStyle name="Separador de milhares 19 30" xfId="2120"/>
    <cellStyle name="Separador de milhares 19 31" xfId="2121"/>
    <cellStyle name="Separador de milhares 19 32" xfId="3056"/>
    <cellStyle name="Separador de milhares 19 32 2" xfId="3951"/>
    <cellStyle name="Separador de milhares 19 32 3" xfId="4114"/>
    <cellStyle name="Separador de milhares 19 33" xfId="3060"/>
    <cellStyle name="Separador de milhares 19 34" xfId="3048"/>
    <cellStyle name="Separador de milhares 19 35" xfId="3179"/>
    <cellStyle name="Separador de milhares 19 36" xfId="3204"/>
    <cellStyle name="Separador de milhares 19 37" xfId="3353"/>
    <cellStyle name="Separador de milhares 19 38" xfId="3266"/>
    <cellStyle name="Separador de milhares 19 39" xfId="3326"/>
    <cellStyle name="Separador de milhares 19 4" xfId="2122"/>
    <cellStyle name="Separador de milhares 19 40" xfId="3424"/>
    <cellStyle name="Separador de milhares 19 41" xfId="3484"/>
    <cellStyle name="Separador de milhares 19 42" xfId="3565"/>
    <cellStyle name="Separador de milhares 19 43" xfId="3513"/>
    <cellStyle name="Separador de milhares 19 44" xfId="3694"/>
    <cellStyle name="Separador de milhares 19 45" xfId="3600"/>
    <cellStyle name="Separador de milhares 19 46" xfId="3665"/>
    <cellStyle name="Separador de milhares 19 47" xfId="3949"/>
    <cellStyle name="Separador de milhares 19 48" xfId="4112"/>
    <cellStyle name="Separador de milhares 19 49" xfId="1375"/>
    <cellStyle name="Separador de milhares 19 5" xfId="2123"/>
    <cellStyle name="Separador de milhares 19 6" xfId="2124"/>
    <cellStyle name="Separador de milhares 19 7" xfId="2125"/>
    <cellStyle name="Separador de milhares 19 8" xfId="2126"/>
    <cellStyle name="Separador de milhares 19 9" xfId="2127"/>
    <cellStyle name="Separador de milhares 2" xfId="3"/>
    <cellStyle name="Separador de milhares 2 10" xfId="1233"/>
    <cellStyle name="Separador de milhares 2 10 10" xfId="2128"/>
    <cellStyle name="Separador de milhares 2 10 11" xfId="2129"/>
    <cellStyle name="Separador de milhares 2 10 12" xfId="2130"/>
    <cellStyle name="Separador de milhares 2 10 13" xfId="2131"/>
    <cellStyle name="Separador de milhares 2 10 2" xfId="2132"/>
    <cellStyle name="Separador de milhares 2 10 3" xfId="2133"/>
    <cellStyle name="Separador de milhares 2 10 4" xfId="2134"/>
    <cellStyle name="Separador de milhares 2 10 5" xfId="2135"/>
    <cellStyle name="Separador de milhares 2 10 6" xfId="2136"/>
    <cellStyle name="Separador de milhares 2 10 7" xfId="2137"/>
    <cellStyle name="Separador de milhares 2 10 8" xfId="2138"/>
    <cellStyle name="Separador de milhares 2 10 9" xfId="2139"/>
    <cellStyle name="Separador de milhares 2 11" xfId="1234"/>
    <cellStyle name="Separador de milhares 2 11 10" xfId="2140"/>
    <cellStyle name="Separador de milhares 2 11 11" xfId="2141"/>
    <cellStyle name="Separador de milhares 2 11 12" xfId="2142"/>
    <cellStyle name="Separador de milhares 2 11 13" xfId="2143"/>
    <cellStyle name="Separador de milhares 2 11 2" xfId="2144"/>
    <cellStyle name="Separador de milhares 2 11 3" xfId="2145"/>
    <cellStyle name="Separador de milhares 2 11 4" xfId="2146"/>
    <cellStyle name="Separador de milhares 2 11 5" xfId="2147"/>
    <cellStyle name="Separador de milhares 2 11 6" xfId="2148"/>
    <cellStyle name="Separador de milhares 2 11 7" xfId="2149"/>
    <cellStyle name="Separador de milhares 2 11 8" xfId="2150"/>
    <cellStyle name="Separador de milhares 2 11 9" xfId="2151"/>
    <cellStyle name="Separador de milhares 2 12" xfId="1235"/>
    <cellStyle name="Separador de milhares 2 12 10" xfId="2152"/>
    <cellStyle name="Separador de milhares 2 12 11" xfId="2153"/>
    <cellStyle name="Separador de milhares 2 12 12" xfId="2154"/>
    <cellStyle name="Separador de milhares 2 12 13" xfId="2155"/>
    <cellStyle name="Separador de milhares 2 12 2" xfId="2156"/>
    <cellStyle name="Separador de milhares 2 12 3" xfId="2157"/>
    <cellStyle name="Separador de milhares 2 12 4" xfId="2158"/>
    <cellStyle name="Separador de milhares 2 12 5" xfId="2159"/>
    <cellStyle name="Separador de milhares 2 12 6" xfId="2160"/>
    <cellStyle name="Separador de milhares 2 12 7" xfId="2161"/>
    <cellStyle name="Separador de milhares 2 12 8" xfId="2162"/>
    <cellStyle name="Separador de milhares 2 12 9" xfId="2163"/>
    <cellStyle name="Separador de milhares 2 13" xfId="1236"/>
    <cellStyle name="Separador de milhares 2 13 10" xfId="2164"/>
    <cellStyle name="Separador de milhares 2 13 11" xfId="2165"/>
    <cellStyle name="Separador de milhares 2 13 12" xfId="2166"/>
    <cellStyle name="Separador de milhares 2 13 13" xfId="2167"/>
    <cellStyle name="Separador de milhares 2 13 2" xfId="2168"/>
    <cellStyle name="Separador de milhares 2 13 3" xfId="2169"/>
    <cellStyle name="Separador de milhares 2 13 4" xfId="2170"/>
    <cellStyle name="Separador de milhares 2 13 5" xfId="2171"/>
    <cellStyle name="Separador de milhares 2 13 6" xfId="2172"/>
    <cellStyle name="Separador de milhares 2 13 7" xfId="2173"/>
    <cellStyle name="Separador de milhares 2 13 8" xfId="2174"/>
    <cellStyle name="Separador de milhares 2 13 9" xfId="2175"/>
    <cellStyle name="Separador de milhares 2 14" xfId="1237"/>
    <cellStyle name="Separador de milhares 2 14 10" xfId="2176"/>
    <cellStyle name="Separador de milhares 2 14 11" xfId="2177"/>
    <cellStyle name="Separador de milhares 2 14 12" xfId="2178"/>
    <cellStyle name="Separador de milhares 2 14 13" xfId="2179"/>
    <cellStyle name="Separador de milhares 2 14 2" xfId="2180"/>
    <cellStyle name="Separador de milhares 2 14 3" xfId="2181"/>
    <cellStyle name="Separador de milhares 2 14 4" xfId="2182"/>
    <cellStyle name="Separador de milhares 2 14 5" xfId="2183"/>
    <cellStyle name="Separador de milhares 2 14 6" xfId="2184"/>
    <cellStyle name="Separador de milhares 2 14 7" xfId="2185"/>
    <cellStyle name="Separador de milhares 2 14 8" xfId="2186"/>
    <cellStyle name="Separador de milhares 2 14 9" xfId="2187"/>
    <cellStyle name="Separador de milhares 2 15" xfId="1238"/>
    <cellStyle name="Separador de milhares 2 15 10" xfId="2188"/>
    <cellStyle name="Separador de milhares 2 15 11" xfId="2189"/>
    <cellStyle name="Separador de milhares 2 15 12" xfId="2190"/>
    <cellStyle name="Separador de milhares 2 15 13" xfId="2191"/>
    <cellStyle name="Separador de milhares 2 15 2" xfId="2192"/>
    <cellStyle name="Separador de milhares 2 15 3" xfId="2193"/>
    <cellStyle name="Separador de milhares 2 15 4" xfId="2194"/>
    <cellStyle name="Separador de milhares 2 15 5" xfId="2195"/>
    <cellStyle name="Separador de milhares 2 15 6" xfId="2196"/>
    <cellStyle name="Separador de milhares 2 15 7" xfId="2197"/>
    <cellStyle name="Separador de milhares 2 15 8" xfId="2198"/>
    <cellStyle name="Separador de milhares 2 15 9" xfId="2199"/>
    <cellStyle name="Separador de milhares 2 16" xfId="1239"/>
    <cellStyle name="Separador de milhares 2 16 10" xfId="2201"/>
    <cellStyle name="Separador de milhares 2 16 11" xfId="2202"/>
    <cellStyle name="Separador de milhares 2 16 12" xfId="2203"/>
    <cellStyle name="Separador de milhares 2 16 13" xfId="2204"/>
    <cellStyle name="Separador de milhares 2 16 14" xfId="3011"/>
    <cellStyle name="Separador de milhares 2 16 14 2" xfId="3954"/>
    <cellStyle name="Separador de milhares 2 16 14 3" xfId="4117"/>
    <cellStyle name="Separador de milhares 2 16 15" xfId="3001"/>
    <cellStyle name="Separador de milhares 2 16 16" xfId="3009"/>
    <cellStyle name="Separador de milhares 2 16 17" xfId="3159"/>
    <cellStyle name="Separador de milhares 2 16 18" xfId="3123"/>
    <cellStyle name="Separador de milhares 2 16 19" xfId="3312"/>
    <cellStyle name="Separador de milhares 2 16 2" xfId="2200"/>
    <cellStyle name="Separador de milhares 2 16 20" xfId="3301"/>
    <cellStyle name="Separador de milhares 2 16 21" xfId="3310"/>
    <cellStyle name="Separador de milhares 2 16 22" xfId="3414"/>
    <cellStyle name="Separador de milhares 2 16 23" xfId="3476"/>
    <cellStyle name="Separador de milhares 2 16 24" xfId="3531"/>
    <cellStyle name="Separador de milhares 2 16 25" xfId="3524"/>
    <cellStyle name="Separador de milhares 2 16 26" xfId="3649"/>
    <cellStyle name="Separador de milhares 2 16 27" xfId="3638"/>
    <cellStyle name="Separador de milhares 2 16 28" xfId="3647"/>
    <cellStyle name="Separador de milhares 2 16 29" xfId="3953"/>
    <cellStyle name="Separador de milhares 2 16 3" xfId="2205"/>
    <cellStyle name="Separador de milhares 2 16 30" xfId="4116"/>
    <cellStyle name="Separador de milhares 2 16 4" xfId="2206"/>
    <cellStyle name="Separador de milhares 2 16 5" xfId="2207"/>
    <cellStyle name="Separador de milhares 2 16 6" xfId="2208"/>
    <cellStyle name="Separador de milhares 2 16 7" xfId="2209"/>
    <cellStyle name="Separador de milhares 2 16 8" xfId="2210"/>
    <cellStyle name="Separador de milhares 2 16 9" xfId="2211"/>
    <cellStyle name="Separador de milhares 2 17" xfId="1431"/>
    <cellStyle name="Separador de milhares 2 17 10" xfId="2213"/>
    <cellStyle name="Separador de milhares 2 17 11" xfId="2214"/>
    <cellStyle name="Separador de milhares 2 17 12" xfId="2215"/>
    <cellStyle name="Separador de milhares 2 17 13" xfId="2216"/>
    <cellStyle name="Separador de milhares 2 17 14" xfId="3012"/>
    <cellStyle name="Separador de milhares 2 17 15" xfId="3000"/>
    <cellStyle name="Separador de milhares 2 17 16" xfId="3010"/>
    <cellStyle name="Separador de milhares 2 17 17" xfId="3160"/>
    <cellStyle name="Separador de milhares 2 17 18" xfId="3180"/>
    <cellStyle name="Separador de milhares 2 17 19" xfId="3313"/>
    <cellStyle name="Separador de milhares 2 17 2" xfId="2212"/>
    <cellStyle name="Separador de milhares 2 17 20" xfId="3300"/>
    <cellStyle name="Separador de milhares 2 17 21" xfId="3311"/>
    <cellStyle name="Separador de milhares 2 17 22" xfId="3415"/>
    <cellStyle name="Separador de milhares 2 17 23" xfId="3477"/>
    <cellStyle name="Separador de milhares 2 17 24" xfId="3532"/>
    <cellStyle name="Separador de milhares 2 17 25" xfId="3523"/>
    <cellStyle name="Separador de milhares 2 17 26" xfId="3650"/>
    <cellStyle name="Separador de milhares 2 17 27" xfId="3637"/>
    <cellStyle name="Separador de milhares 2 17 28" xfId="3648"/>
    <cellStyle name="Separador de milhares 2 17 29" xfId="3955"/>
    <cellStyle name="Separador de milhares 2 17 3" xfId="2217"/>
    <cellStyle name="Separador de milhares 2 17 30" xfId="4118"/>
    <cellStyle name="Separador de milhares 2 17 4" xfId="2218"/>
    <cellStyle name="Separador de milhares 2 17 5" xfId="2219"/>
    <cellStyle name="Separador de milhares 2 17 6" xfId="2220"/>
    <cellStyle name="Separador de milhares 2 17 7" xfId="2221"/>
    <cellStyle name="Separador de milhares 2 17 8" xfId="2222"/>
    <cellStyle name="Separador de milhares 2 17 9" xfId="2223"/>
    <cellStyle name="Separador de milhares 2 18" xfId="2224"/>
    <cellStyle name="Separador de milhares 2 18 10" xfId="2225"/>
    <cellStyle name="Separador de milhares 2 18 11" xfId="2226"/>
    <cellStyle name="Separador de milhares 2 18 12" xfId="2227"/>
    <cellStyle name="Separador de milhares 2 18 13" xfId="2228"/>
    <cellStyle name="Separador de milhares 2 18 2" xfId="2229"/>
    <cellStyle name="Separador de milhares 2 18 3" xfId="2230"/>
    <cellStyle name="Separador de milhares 2 18 4" xfId="2231"/>
    <cellStyle name="Separador de milhares 2 18 5" xfId="2232"/>
    <cellStyle name="Separador de milhares 2 18 6" xfId="2233"/>
    <cellStyle name="Separador de milhares 2 18 7" xfId="2234"/>
    <cellStyle name="Separador de milhares 2 18 8" xfId="2235"/>
    <cellStyle name="Separador de milhares 2 18 9" xfId="2236"/>
    <cellStyle name="Separador de milhares 2 19" xfId="2237"/>
    <cellStyle name="Separador de milhares 2 19 10" xfId="2238"/>
    <cellStyle name="Separador de milhares 2 19 11" xfId="2239"/>
    <cellStyle name="Separador de milhares 2 19 12" xfId="2240"/>
    <cellStyle name="Separador de milhares 2 19 13" xfId="2241"/>
    <cellStyle name="Separador de milhares 2 19 2" xfId="2242"/>
    <cellStyle name="Separador de milhares 2 19 3" xfId="2243"/>
    <cellStyle name="Separador de milhares 2 19 4" xfId="2244"/>
    <cellStyle name="Separador de milhares 2 19 5" xfId="2245"/>
    <cellStyle name="Separador de milhares 2 19 6" xfId="2246"/>
    <cellStyle name="Separador de milhares 2 19 7" xfId="2247"/>
    <cellStyle name="Separador de milhares 2 19 8" xfId="2248"/>
    <cellStyle name="Separador de milhares 2 19 9" xfId="2249"/>
    <cellStyle name="Separador de milhares 2 2" xfId="1240"/>
    <cellStyle name="Separador de milhares 2 2 10" xfId="2250"/>
    <cellStyle name="Separador de milhares 2 2 11" xfId="2251"/>
    <cellStyle name="Separador de milhares 2 2 12" xfId="2252"/>
    <cellStyle name="Separador de milhares 2 2 13" xfId="2253"/>
    <cellStyle name="Separador de milhares 2 2 14" xfId="3165"/>
    <cellStyle name="Separador de milhares 2 2 15" xfId="3155"/>
    <cellStyle name="Separador de milhares 2 2 16" xfId="3186"/>
    <cellStyle name="Separador de milhares 2 2 17" xfId="3212"/>
    <cellStyle name="Separador de milhares 2 2 17 2" xfId="3956"/>
    <cellStyle name="Separador de milhares 2 2 17 3" xfId="4119"/>
    <cellStyle name="Separador de milhares 2 2 18" xfId="3136"/>
    <cellStyle name="Separador de milhares 2 2 18 2" xfId="3957"/>
    <cellStyle name="Separador de milhares 2 2 18 3" xfId="4120"/>
    <cellStyle name="Separador de milhares 2 2 19" xfId="3218"/>
    <cellStyle name="Separador de milhares 2 2 19 2" xfId="3958"/>
    <cellStyle name="Separador de milhares 2 2 19 3" xfId="4121"/>
    <cellStyle name="Separador de milhares 2 2 2" xfId="1241"/>
    <cellStyle name="Separador de milhares 2 2 2 2" xfId="2254"/>
    <cellStyle name="Separador de milhares 2 2 20" xfId="3959"/>
    <cellStyle name="Separador de milhares 2 2 21" xfId="3960"/>
    <cellStyle name="Separador de milhares 2 2 22" xfId="3961"/>
    <cellStyle name="Separador de milhares 2 2 23" xfId="3962"/>
    <cellStyle name="Separador de milhares 2 2 24" xfId="3963"/>
    <cellStyle name="Separador de milhares 2 2 25" xfId="3964"/>
    <cellStyle name="Separador de milhares 2 2 26" xfId="3965"/>
    <cellStyle name="Separador de milhares 2 2 27" xfId="3966"/>
    <cellStyle name="Separador de milhares 2 2 28" xfId="1412"/>
    <cellStyle name="Separador de milhares 2 2 3" xfId="2255"/>
    <cellStyle name="Separador de milhares 2 2 4" xfId="2256"/>
    <cellStyle name="Separador de milhares 2 2 5" xfId="2257"/>
    <cellStyle name="Separador de milhares 2 2 6" xfId="2258"/>
    <cellStyle name="Separador de milhares 2 2 7" xfId="2259"/>
    <cellStyle name="Separador de milhares 2 2 8" xfId="2260"/>
    <cellStyle name="Separador de milhares 2 2 9" xfId="2261"/>
    <cellStyle name="Separador de milhares 2 20" xfId="2262"/>
    <cellStyle name="Separador de milhares 2 21" xfId="2263"/>
    <cellStyle name="Separador de milhares 2 22" xfId="2264"/>
    <cellStyle name="Separador de milhares 2 23" xfId="2265"/>
    <cellStyle name="Separador de milhares 2 24" xfId="2893"/>
    <cellStyle name="Separador de milhares 2 25" xfId="2755"/>
    <cellStyle name="Separador de milhares 2 25 2" xfId="3967"/>
    <cellStyle name="Separador de milhares 2 25 3" xfId="4122"/>
    <cellStyle name="Separador de milhares 2 26" xfId="3046"/>
    <cellStyle name="Separador de milhares 2 26 2" xfId="3968"/>
    <cellStyle name="Separador de milhares 2 26 3" xfId="4123"/>
    <cellStyle name="Separador de milhares 2 27" xfId="3057"/>
    <cellStyle name="Separador de milhares 2 27 2" xfId="3969"/>
    <cellStyle name="Separador de milhares 2 27 3" xfId="4124"/>
    <cellStyle name="Separador de milhares 2 28" xfId="3100"/>
    <cellStyle name="Separador de milhares 2 28 2" xfId="3709"/>
    <cellStyle name="Separador de milhares 2 28 3" xfId="4010"/>
    <cellStyle name="Separador de milhares 2 29" xfId="3166"/>
    <cellStyle name="Separador de milhares 2 3" xfId="1242"/>
    <cellStyle name="Separador de milhares 2 3 10" xfId="2266"/>
    <cellStyle name="Separador de milhares 2 3 11" xfId="2267"/>
    <cellStyle name="Separador de milhares 2 3 12" xfId="2268"/>
    <cellStyle name="Separador de milhares 2 3 13" xfId="2269"/>
    <cellStyle name="Separador de milhares 2 3 2" xfId="1243"/>
    <cellStyle name="Separador de milhares 2 3 2 2" xfId="2270"/>
    <cellStyle name="Separador de milhares 2 3 3" xfId="2271"/>
    <cellStyle name="Separador de milhares 2 3 4" xfId="2272"/>
    <cellStyle name="Separador de milhares 2 3 5" xfId="2273"/>
    <cellStyle name="Separador de milhares 2 3 6" xfId="2274"/>
    <cellStyle name="Separador de milhares 2 3 7" xfId="2275"/>
    <cellStyle name="Separador de milhares 2 3 8" xfId="2276"/>
    <cellStyle name="Separador de milhares 2 3 9" xfId="2277"/>
    <cellStyle name="Separador de milhares 2 30" xfId="3156"/>
    <cellStyle name="Separador de milhares 2 31" xfId="3154"/>
    <cellStyle name="Separador de milhares 2 32" xfId="3187"/>
    <cellStyle name="Separador de milhares 2 33" xfId="3134"/>
    <cellStyle name="Separador de milhares 2 34" xfId="3199"/>
    <cellStyle name="Separador de milhares 2 35" xfId="3217"/>
    <cellStyle name="Separador de milhares 2 36" xfId="3230"/>
    <cellStyle name="Separador de milhares 2 37" xfId="3242"/>
    <cellStyle name="Separador de milhares 2 38" xfId="3243"/>
    <cellStyle name="Separador de milhares 2 39" xfId="3348"/>
    <cellStyle name="Separador de milhares 2 4" xfId="1244"/>
    <cellStyle name="Separador de milhares 2 4 10" xfId="2278"/>
    <cellStyle name="Separador de milhares 2 4 11" xfId="2279"/>
    <cellStyle name="Separador de milhares 2 4 12" xfId="2280"/>
    <cellStyle name="Separador de milhares 2 4 13" xfId="2281"/>
    <cellStyle name="Separador de milhares 2 4 14" xfId="1418"/>
    <cellStyle name="Separador de milhares 2 4 14 2" xfId="3971"/>
    <cellStyle name="Separador de milhares 2 4 14 3" xfId="4126"/>
    <cellStyle name="Separador de milhares 2 4 15" xfId="3030"/>
    <cellStyle name="Separador de milhares 2 4 16" xfId="2987"/>
    <cellStyle name="Separador de milhares 2 4 17" xfId="3117"/>
    <cellStyle name="Separador de milhares 2 4 18" xfId="3094"/>
    <cellStyle name="Separador de milhares 2 4 19" xfId="3260"/>
    <cellStyle name="Separador de milhares 2 4 2" xfId="1448"/>
    <cellStyle name="Separador de milhares 2 4 2 10" xfId="3314"/>
    <cellStyle name="Separador de milhares 2 4 2 11" xfId="3416"/>
    <cellStyle name="Separador de milhares 2 4 2 12" xfId="3478"/>
    <cellStyle name="Separador de milhares 2 4 2 13" xfId="3533"/>
    <cellStyle name="Separador de milhares 2 4 2 14" xfId="3522"/>
    <cellStyle name="Separador de milhares 2 4 2 15" xfId="3652"/>
    <cellStyle name="Separador de milhares 2 4 2 16" xfId="3636"/>
    <cellStyle name="Separador de milhares 2 4 2 17" xfId="3651"/>
    <cellStyle name="Separador de milhares 2 4 2 18" xfId="3972"/>
    <cellStyle name="Separador de milhares 2 4 2 19" xfId="4127"/>
    <cellStyle name="Separador de milhares 2 4 2 2" xfId="2282"/>
    <cellStyle name="Separador de milhares 2 4 2 3" xfId="3015"/>
    <cellStyle name="Separador de milhares 2 4 2 4" xfId="3063"/>
    <cellStyle name="Separador de milhares 2 4 2 5" xfId="3013"/>
    <cellStyle name="Separador de milhares 2 4 2 6" xfId="3161"/>
    <cellStyle name="Separador de milhares 2 4 2 7" xfId="3090"/>
    <cellStyle name="Separador de milhares 2 4 2 8" xfId="3315"/>
    <cellStyle name="Separador de milhares 2 4 2 9" xfId="3299"/>
    <cellStyle name="Separador de milhares 2 4 20" xfId="3332"/>
    <cellStyle name="Separador de milhares 2 4 21" xfId="3288"/>
    <cellStyle name="Separador de milhares 2 4 22" xfId="3401"/>
    <cellStyle name="Separador de milhares 2 4 23" xfId="3463"/>
    <cellStyle name="Separador de milhares 2 4 24" xfId="3507"/>
    <cellStyle name="Separador de milhares 2 4 25" xfId="3545"/>
    <cellStyle name="Separador de milhares 2 4 26" xfId="3594"/>
    <cellStyle name="Separador de milhares 2 4 27" xfId="3671"/>
    <cellStyle name="Separador de milhares 2 4 28" xfId="3625"/>
    <cellStyle name="Separador de milhares 2 4 29" xfId="3970"/>
    <cellStyle name="Separador de milhares 2 4 3" xfId="2283"/>
    <cellStyle name="Separador de milhares 2 4 30" xfId="4125"/>
    <cellStyle name="Separador de milhares 2 4 4" xfId="2284"/>
    <cellStyle name="Separador de milhares 2 4 5" xfId="2285"/>
    <cellStyle name="Separador de milhares 2 4 6" xfId="2286"/>
    <cellStyle name="Separador de milhares 2 4 7" xfId="2287"/>
    <cellStyle name="Separador de milhares 2 4 8" xfId="2288"/>
    <cellStyle name="Separador de milhares 2 4 9" xfId="2289"/>
    <cellStyle name="Separador de milhares 2 40" xfId="3355"/>
    <cellStyle name="Separador de milhares 2 41" xfId="3384"/>
    <cellStyle name="Separador de milhares 2 42" xfId="3385"/>
    <cellStyle name="Separador de milhares 2 43" xfId="3431"/>
    <cellStyle name="Separador de milhares 2 44" xfId="3436"/>
    <cellStyle name="Separador de milhares 2 45" xfId="3445"/>
    <cellStyle name="Separador de milhares 2 46" xfId="3447"/>
    <cellStyle name="Separador de milhares 2 47" xfId="3490"/>
    <cellStyle name="Separador de milhares 2 48" xfId="3561"/>
    <cellStyle name="Separador de milhares 2 49" xfId="3577"/>
    <cellStyle name="Separador de milhares 2 5" xfId="1245"/>
    <cellStyle name="Separador de milhares 2 5 10" xfId="2290"/>
    <cellStyle name="Separador de milhares 2 5 11" xfId="2291"/>
    <cellStyle name="Separador de milhares 2 5 12" xfId="2292"/>
    <cellStyle name="Separador de milhares 2 5 13" xfId="2293"/>
    <cellStyle name="Separador de milhares 2 5 2" xfId="2294"/>
    <cellStyle name="Separador de milhares 2 5 3" xfId="2295"/>
    <cellStyle name="Separador de milhares 2 5 4" xfId="2296"/>
    <cellStyle name="Separador de milhares 2 5 5" xfId="2297"/>
    <cellStyle name="Separador de milhares 2 5 6" xfId="2298"/>
    <cellStyle name="Separador de milhares 2 5 7" xfId="2299"/>
    <cellStyle name="Separador de milhares 2 5 8" xfId="2300"/>
    <cellStyle name="Separador de milhares 2 5 9" xfId="2301"/>
    <cellStyle name="Separador de milhares 2 50" xfId="3687"/>
    <cellStyle name="Separador de milhares 2 51" xfId="3607"/>
    <cellStyle name="Separador de milhares 2 52" xfId="3952"/>
    <cellStyle name="Separador de milhares 2 53" xfId="4115"/>
    <cellStyle name="Separador de milhares 2 54" xfId="4152"/>
    <cellStyle name="Separador de milhares 2 6" xfId="1246"/>
    <cellStyle name="Separador de milhares 2 6 10" xfId="2302"/>
    <cellStyle name="Separador de milhares 2 6 11" xfId="2303"/>
    <cellStyle name="Separador de milhares 2 6 12" xfId="2304"/>
    <cellStyle name="Separador de milhares 2 6 13" xfId="2305"/>
    <cellStyle name="Separador de milhares 2 6 2" xfId="2306"/>
    <cellStyle name="Separador de milhares 2 6 3" xfId="2307"/>
    <cellStyle name="Separador de milhares 2 6 4" xfId="2308"/>
    <cellStyle name="Separador de milhares 2 6 5" xfId="2309"/>
    <cellStyle name="Separador de milhares 2 6 6" xfId="2310"/>
    <cellStyle name="Separador de milhares 2 6 7" xfId="2311"/>
    <cellStyle name="Separador de milhares 2 6 8" xfId="2312"/>
    <cellStyle name="Separador de milhares 2 6 9" xfId="2313"/>
    <cellStyle name="Separador de milhares 2 7" xfId="1247"/>
    <cellStyle name="Separador de milhares 2 7 10" xfId="2314"/>
    <cellStyle name="Separador de milhares 2 7 11" xfId="2315"/>
    <cellStyle name="Separador de milhares 2 7 12" xfId="2316"/>
    <cellStyle name="Separador de milhares 2 7 13" xfId="2317"/>
    <cellStyle name="Separador de milhares 2 7 2" xfId="2318"/>
    <cellStyle name="Separador de milhares 2 7 3" xfId="2319"/>
    <cellStyle name="Separador de milhares 2 7 4" xfId="2320"/>
    <cellStyle name="Separador de milhares 2 7 5" xfId="2321"/>
    <cellStyle name="Separador de milhares 2 7 6" xfId="2322"/>
    <cellStyle name="Separador de milhares 2 7 7" xfId="2323"/>
    <cellStyle name="Separador de milhares 2 7 8" xfId="2324"/>
    <cellStyle name="Separador de milhares 2 7 9" xfId="2325"/>
    <cellStyle name="Separador de milhares 2 8" xfId="1248"/>
    <cellStyle name="Separador de milhares 2 8 10" xfId="2326"/>
    <cellStyle name="Separador de milhares 2 8 11" xfId="2327"/>
    <cellStyle name="Separador de milhares 2 8 12" xfId="2328"/>
    <cellStyle name="Separador de milhares 2 8 13" xfId="2329"/>
    <cellStyle name="Separador de milhares 2 8 2" xfId="2330"/>
    <cellStyle name="Separador de milhares 2 8 3" xfId="2331"/>
    <cellStyle name="Separador de milhares 2 8 4" xfId="2332"/>
    <cellStyle name="Separador de milhares 2 8 5" xfId="2333"/>
    <cellStyle name="Separador de milhares 2 8 6" xfId="2334"/>
    <cellStyle name="Separador de milhares 2 8 7" xfId="2335"/>
    <cellStyle name="Separador de milhares 2 8 8" xfId="2336"/>
    <cellStyle name="Separador de milhares 2 8 9" xfId="2337"/>
    <cellStyle name="Separador de milhares 2 9" xfId="1249"/>
    <cellStyle name="Separador de milhares 2 9 10" xfId="2338"/>
    <cellStyle name="Separador de milhares 2 9 11" xfId="2339"/>
    <cellStyle name="Separador de milhares 2 9 12" xfId="2340"/>
    <cellStyle name="Separador de milhares 2 9 13" xfId="2341"/>
    <cellStyle name="Separador de milhares 2 9 2" xfId="2342"/>
    <cellStyle name="Separador de milhares 2 9 3" xfId="2343"/>
    <cellStyle name="Separador de milhares 2 9 4" xfId="2344"/>
    <cellStyle name="Separador de milhares 2 9 5" xfId="2345"/>
    <cellStyle name="Separador de milhares 2 9 6" xfId="2346"/>
    <cellStyle name="Separador de milhares 2 9 7" xfId="2347"/>
    <cellStyle name="Separador de milhares 2 9 8" xfId="2348"/>
    <cellStyle name="Separador de milhares 2 9 9" xfId="2349"/>
    <cellStyle name="Separador de milhares 20" xfId="1250"/>
    <cellStyle name="Separador de milhares 20 10" xfId="2350"/>
    <cellStyle name="Separador de milhares 20 11" xfId="2351"/>
    <cellStyle name="Separador de milhares 20 12" xfId="2352"/>
    <cellStyle name="Separador de milhares 20 13" xfId="2353"/>
    <cellStyle name="Separador de milhares 20 14" xfId="2354"/>
    <cellStyle name="Separador de milhares 20 15" xfId="2355"/>
    <cellStyle name="Separador de milhares 20 16" xfId="2356"/>
    <cellStyle name="Separador de milhares 20 17" xfId="2357"/>
    <cellStyle name="Separador de milhares 20 18" xfId="2358"/>
    <cellStyle name="Separador de milhares 20 19" xfId="2359"/>
    <cellStyle name="Separador de milhares 20 2" xfId="2945"/>
    <cellStyle name="Separador de milhares 20 2 10" xfId="3316"/>
    <cellStyle name="Separador de milhares 20 2 11" xfId="3417"/>
    <cellStyle name="Separador de milhares 20 2 12" xfId="3479"/>
    <cellStyle name="Separador de milhares 20 2 13" xfId="3534"/>
    <cellStyle name="Separador de milhares 20 2 14" xfId="3521"/>
    <cellStyle name="Separador de milhares 20 2 15" xfId="3654"/>
    <cellStyle name="Separador de milhares 20 2 16" xfId="3635"/>
    <cellStyle name="Separador de milhares 20 2 17" xfId="3653"/>
    <cellStyle name="Separador de milhares 20 2 18" xfId="3974"/>
    <cellStyle name="Separador de milhares 20 2 19" xfId="4129"/>
    <cellStyle name="Separador de milhares 20 2 2" xfId="2360"/>
    <cellStyle name="Separador de milhares 20 2 3" xfId="3016"/>
    <cellStyle name="Separador de milhares 20 2 4" xfId="2999"/>
    <cellStyle name="Separador de milhares 20 2 5" xfId="3014"/>
    <cellStyle name="Separador de milhares 20 2 6" xfId="3162"/>
    <cellStyle name="Separador de milhares 20 2 7" xfId="3193"/>
    <cellStyle name="Separador de milhares 20 2 8" xfId="3317"/>
    <cellStyle name="Separador de milhares 20 2 9" xfId="3298"/>
    <cellStyle name="Separador de milhares 20 20" xfId="2361"/>
    <cellStyle name="Separador de milhares 20 21" xfId="2362"/>
    <cellStyle name="Separador de milhares 20 22" xfId="2363"/>
    <cellStyle name="Separador de milhares 20 23" xfId="2364"/>
    <cellStyle name="Separador de milhares 20 24" xfId="2365"/>
    <cellStyle name="Separador de milhares 20 25" xfId="2366"/>
    <cellStyle name="Separador de milhares 20 26" xfId="2367"/>
    <cellStyle name="Separador de milhares 20 27" xfId="2368"/>
    <cellStyle name="Separador de milhares 20 28" xfId="2369"/>
    <cellStyle name="Separador de milhares 20 29" xfId="2370"/>
    <cellStyle name="Separador de milhares 20 3" xfId="2371"/>
    <cellStyle name="Separador de milhares 20 30" xfId="2372"/>
    <cellStyle name="Separador de milhares 20 31" xfId="2373"/>
    <cellStyle name="Separador de milhares 20 32" xfId="3069"/>
    <cellStyle name="Separador de milhares 20 33" xfId="3076"/>
    <cellStyle name="Separador de milhares 20 34" xfId="3081"/>
    <cellStyle name="Separador de milhares 20 35" xfId="3185"/>
    <cellStyle name="Separador de milhares 20 36" xfId="3208"/>
    <cellStyle name="Separador de milhares 20 37" xfId="3356"/>
    <cellStyle name="Separador de milhares 20 38" xfId="3362"/>
    <cellStyle name="Separador de milhares 20 39" xfId="3367"/>
    <cellStyle name="Separador de milhares 20 4" xfId="2374"/>
    <cellStyle name="Separador de milhares 20 40" xfId="3425"/>
    <cellStyle name="Separador de milhares 20 41" xfId="3485"/>
    <cellStyle name="Separador de milhares 20 42" xfId="3567"/>
    <cellStyle name="Separador de milhares 20 43" xfId="3572"/>
    <cellStyle name="Separador de milhares 20 44" xfId="3697"/>
    <cellStyle name="Separador de milhares 20 45" xfId="3701"/>
    <cellStyle name="Separador de milhares 20 46" xfId="3705"/>
    <cellStyle name="Separador de milhares 20 47" xfId="3973"/>
    <cellStyle name="Separador de milhares 20 48" xfId="4128"/>
    <cellStyle name="Separador de milhares 20 49" xfId="3088"/>
    <cellStyle name="Separador de milhares 20 5" xfId="2375"/>
    <cellStyle name="Separador de milhares 20 6" xfId="2376"/>
    <cellStyle name="Separador de milhares 20 7" xfId="2377"/>
    <cellStyle name="Separador de milhares 20 8" xfId="2378"/>
    <cellStyle name="Separador de milhares 20 9" xfId="2379"/>
    <cellStyle name="Separador de milhares 21" xfId="1251"/>
    <cellStyle name="Separador de milhares 21 10" xfId="2380"/>
    <cellStyle name="Separador de milhares 21 11" xfId="2381"/>
    <cellStyle name="Separador de milhares 21 12" xfId="2382"/>
    <cellStyle name="Separador de milhares 21 13" xfId="2383"/>
    <cellStyle name="Separador de milhares 21 14" xfId="2384"/>
    <cellStyle name="Separador de milhares 21 15" xfId="2385"/>
    <cellStyle name="Separador de milhares 21 16" xfId="2386"/>
    <cellStyle name="Separador de milhares 21 17" xfId="2387"/>
    <cellStyle name="Separador de milhares 21 18" xfId="2388"/>
    <cellStyle name="Separador de milhares 21 19" xfId="2389"/>
    <cellStyle name="Separador de milhares 21 2" xfId="2390"/>
    <cellStyle name="Separador de milhares 21 20" xfId="2391"/>
    <cellStyle name="Separador de milhares 21 21" xfId="2392"/>
    <cellStyle name="Separador de milhares 21 22" xfId="2393"/>
    <cellStyle name="Separador de milhares 21 23" xfId="2394"/>
    <cellStyle name="Separador de milhares 21 24" xfId="2395"/>
    <cellStyle name="Separador de milhares 21 25" xfId="2396"/>
    <cellStyle name="Separador de milhares 21 26" xfId="2397"/>
    <cellStyle name="Separador de milhares 21 27" xfId="2398"/>
    <cellStyle name="Separador de milhares 21 28" xfId="2399"/>
    <cellStyle name="Separador de milhares 21 29" xfId="2400"/>
    <cellStyle name="Separador de milhares 21 3" xfId="2401"/>
    <cellStyle name="Separador de milhares 21 30" xfId="2402"/>
    <cellStyle name="Separador de milhares 21 31" xfId="2403"/>
    <cellStyle name="Separador de milhares 21 32" xfId="2961"/>
    <cellStyle name="Separador de milhares 21 4" xfId="2404"/>
    <cellStyle name="Separador de milhares 21 5" xfId="2405"/>
    <cellStyle name="Separador de milhares 21 6" xfId="2406"/>
    <cellStyle name="Separador de milhares 21 7" xfId="2407"/>
    <cellStyle name="Separador de milhares 21 8" xfId="2408"/>
    <cellStyle name="Separador de milhares 21 9" xfId="2409"/>
    <cellStyle name="Separador de milhares 22" xfId="1252"/>
    <cellStyle name="Separador de milhares 22 10" xfId="2410"/>
    <cellStyle name="Separador de milhares 22 11" xfId="2411"/>
    <cellStyle name="Separador de milhares 22 12" xfId="2412"/>
    <cellStyle name="Separador de milhares 22 13" xfId="2413"/>
    <cellStyle name="Separador de milhares 22 14" xfId="2414"/>
    <cellStyle name="Separador de milhares 22 15" xfId="2415"/>
    <cellStyle name="Separador de milhares 22 16" xfId="2416"/>
    <cellStyle name="Separador de milhares 22 17" xfId="2417"/>
    <cellStyle name="Separador de milhares 22 18" xfId="2418"/>
    <cellStyle name="Separador de milhares 22 19" xfId="2419"/>
    <cellStyle name="Separador de milhares 22 2" xfId="2420"/>
    <cellStyle name="Separador de milhares 22 20" xfId="2421"/>
    <cellStyle name="Separador de milhares 22 21" xfId="2422"/>
    <cellStyle name="Separador de milhares 22 22" xfId="2423"/>
    <cellStyle name="Separador de milhares 22 23" xfId="2424"/>
    <cellStyle name="Separador de milhares 22 24" xfId="2425"/>
    <cellStyle name="Separador de milhares 22 25" xfId="2426"/>
    <cellStyle name="Separador de milhares 22 26" xfId="2427"/>
    <cellStyle name="Separador de milhares 22 27" xfId="2428"/>
    <cellStyle name="Separador de milhares 22 28" xfId="2429"/>
    <cellStyle name="Separador de milhares 22 29" xfId="2430"/>
    <cellStyle name="Separador de milhares 22 3" xfId="2431"/>
    <cellStyle name="Separador de milhares 22 30" xfId="2432"/>
    <cellStyle name="Separador de milhares 22 31" xfId="2433"/>
    <cellStyle name="Separador de milhares 22 32" xfId="2940"/>
    <cellStyle name="Separador de milhares 22 4" xfId="2434"/>
    <cellStyle name="Separador de milhares 22 5" xfId="2435"/>
    <cellStyle name="Separador de milhares 22 6" xfId="2436"/>
    <cellStyle name="Separador de milhares 22 7" xfId="2437"/>
    <cellStyle name="Separador de milhares 22 8" xfId="2438"/>
    <cellStyle name="Separador de milhares 22 9" xfId="2439"/>
    <cellStyle name="Separador de milhares 23" xfId="1253"/>
    <cellStyle name="Separador de milhares 23 2" xfId="2834"/>
    <cellStyle name="Separador de milhares 24" xfId="1254"/>
    <cellStyle name="Separador de milhares 24 2" xfId="2840"/>
    <cellStyle name="Separador de milhares 25" xfId="1255"/>
    <cellStyle name="Separador de milhares 25 10" xfId="3575"/>
    <cellStyle name="Separador de milhares 25 11" xfId="3975"/>
    <cellStyle name="Separador de milhares 25 12" xfId="4130"/>
    <cellStyle name="Separador de milhares 25 13" xfId="2964"/>
    <cellStyle name="Separador de milhares 25 2" xfId="2974"/>
    <cellStyle name="Separador de milhares 25 2 10" xfId="3977"/>
    <cellStyle name="Separador de milhares 25 2 11" xfId="3978"/>
    <cellStyle name="Separador de milhares 25 2 12" xfId="4131"/>
    <cellStyle name="Separador de milhares 25 2 2" xfId="3976"/>
    <cellStyle name="Separador de milhares 25 2 2 2" xfId="3979"/>
    <cellStyle name="Separador de milhares 25 2 2 3" xfId="4132"/>
    <cellStyle name="Separador de milhares 25 2 3" xfId="3980"/>
    <cellStyle name="Separador de milhares 25 2 4" xfId="3981"/>
    <cellStyle name="Separador de milhares 25 2 5" xfId="3982"/>
    <cellStyle name="Separador de milhares 25 2 6" xfId="3983"/>
    <cellStyle name="Separador de milhares 25 2 7" xfId="3984"/>
    <cellStyle name="Separador de milhares 25 2 8" xfId="3985"/>
    <cellStyle name="Separador de milhares 25 2 9" xfId="3986"/>
    <cellStyle name="Separador de milhares 25 3" xfId="3079"/>
    <cellStyle name="Separador de milhares 25 3 10" xfId="3988"/>
    <cellStyle name="Separador de milhares 25 3 11" xfId="3989"/>
    <cellStyle name="Separador de milhares 25 3 12" xfId="4133"/>
    <cellStyle name="Separador de milhares 25 3 2" xfId="3987"/>
    <cellStyle name="Separador de milhares 25 3 2 2" xfId="3990"/>
    <cellStyle name="Separador de milhares 25 3 2 3" xfId="4134"/>
    <cellStyle name="Separador de milhares 25 3 3" xfId="3991"/>
    <cellStyle name="Separador de milhares 25 3 4" xfId="3992"/>
    <cellStyle name="Separador de milhares 25 3 5" xfId="3993"/>
    <cellStyle name="Separador de milhares 25 3 6" xfId="3994"/>
    <cellStyle name="Separador de milhares 25 3 7" xfId="3995"/>
    <cellStyle name="Separador de milhares 25 3 8" xfId="3996"/>
    <cellStyle name="Separador de milhares 25 3 9" xfId="3997"/>
    <cellStyle name="Separador de milhares 25 4" xfId="3084"/>
    <cellStyle name="Separador de milhares 25 5" xfId="3360"/>
    <cellStyle name="Separador de milhares 25 6" xfId="3365"/>
    <cellStyle name="Separador de milhares 25 7" xfId="3370"/>
    <cellStyle name="Separador de milhares 25 8" xfId="3488"/>
    <cellStyle name="Separador de milhares 25 9" xfId="3570"/>
    <cellStyle name="Separador de milhares 26" xfId="2965"/>
    <cellStyle name="Separador de milhares 26 2" xfId="3998"/>
    <cellStyle name="Separador de milhares 26 2 2" xfId="3999"/>
    <cellStyle name="Separador de milhares 26 2 3" xfId="4136"/>
    <cellStyle name="Separador de milhares 26 3" xfId="4000"/>
    <cellStyle name="Separador de milhares 26 4" xfId="4135"/>
    <cellStyle name="Separador de milhares 27" xfId="2966"/>
    <cellStyle name="Separador de milhares 28" xfId="3089"/>
    <cellStyle name="Separador de milhares 28 2" xfId="4001"/>
    <cellStyle name="Separador de milhares 28 3" xfId="4137"/>
    <cellStyle name="Separador de milhares 29" xfId="2967"/>
    <cellStyle name="Separador de milhares 3" xfId="1256"/>
    <cellStyle name="Separador de milhares 3 10" xfId="1257"/>
    <cellStyle name="Separador de milhares 3 10 10" xfId="2440"/>
    <cellStyle name="Separador de milhares 3 10 11" xfId="2441"/>
    <cellStyle name="Separador de milhares 3 10 12" xfId="2442"/>
    <cellStyle name="Separador de milhares 3 10 13" xfId="2443"/>
    <cellStyle name="Separador de milhares 3 10 2" xfId="2444"/>
    <cellStyle name="Separador de milhares 3 10 3" xfId="2445"/>
    <cellStyle name="Separador de milhares 3 10 4" xfId="2446"/>
    <cellStyle name="Separador de milhares 3 10 5" xfId="2447"/>
    <cellStyle name="Separador de milhares 3 10 6" xfId="2448"/>
    <cellStyle name="Separador de milhares 3 10 7" xfId="2449"/>
    <cellStyle name="Separador de milhares 3 10 8" xfId="2450"/>
    <cellStyle name="Separador de milhares 3 10 9" xfId="2451"/>
    <cellStyle name="Separador de milhares 3 11" xfId="1258"/>
    <cellStyle name="Separador de milhares 3 11 10" xfId="2452"/>
    <cellStyle name="Separador de milhares 3 11 11" xfId="2453"/>
    <cellStyle name="Separador de milhares 3 11 12" xfId="2454"/>
    <cellStyle name="Separador de milhares 3 11 13" xfId="2455"/>
    <cellStyle name="Separador de milhares 3 11 2" xfId="2456"/>
    <cellStyle name="Separador de milhares 3 11 3" xfId="2457"/>
    <cellStyle name="Separador de milhares 3 11 4" xfId="2458"/>
    <cellStyle name="Separador de milhares 3 11 5" xfId="2459"/>
    <cellStyle name="Separador de milhares 3 11 6" xfId="2460"/>
    <cellStyle name="Separador de milhares 3 11 7" xfId="2461"/>
    <cellStyle name="Separador de milhares 3 11 8" xfId="2462"/>
    <cellStyle name="Separador de milhares 3 11 9" xfId="2463"/>
    <cellStyle name="Separador de milhares 3 12" xfId="1259"/>
    <cellStyle name="Separador de milhares 3 12 10" xfId="2464"/>
    <cellStyle name="Separador de milhares 3 12 11" xfId="2465"/>
    <cellStyle name="Separador de milhares 3 12 12" xfId="2466"/>
    <cellStyle name="Separador de milhares 3 12 13" xfId="2467"/>
    <cellStyle name="Separador de milhares 3 12 2" xfId="2468"/>
    <cellStyle name="Separador de milhares 3 12 3" xfId="2469"/>
    <cellStyle name="Separador de milhares 3 12 4" xfId="2470"/>
    <cellStyle name="Separador de milhares 3 12 5" xfId="2471"/>
    <cellStyle name="Separador de milhares 3 12 6" xfId="2472"/>
    <cellStyle name="Separador de milhares 3 12 7" xfId="2473"/>
    <cellStyle name="Separador de milhares 3 12 8" xfId="2474"/>
    <cellStyle name="Separador de milhares 3 12 9" xfId="2475"/>
    <cellStyle name="Separador de milhares 3 13" xfId="1260"/>
    <cellStyle name="Separador de milhares 3 13 10" xfId="2476"/>
    <cellStyle name="Separador de milhares 3 13 11" xfId="2477"/>
    <cellStyle name="Separador de milhares 3 13 12" xfId="2478"/>
    <cellStyle name="Separador de milhares 3 13 13" xfId="2479"/>
    <cellStyle name="Separador de milhares 3 13 2" xfId="2480"/>
    <cellStyle name="Separador de milhares 3 13 3" xfId="2481"/>
    <cellStyle name="Separador de milhares 3 13 4" xfId="2482"/>
    <cellStyle name="Separador de milhares 3 13 5" xfId="2483"/>
    <cellStyle name="Separador de milhares 3 13 6" xfId="2484"/>
    <cellStyle name="Separador de milhares 3 13 7" xfId="2485"/>
    <cellStyle name="Separador de milhares 3 13 8" xfId="2486"/>
    <cellStyle name="Separador de milhares 3 13 9" xfId="2487"/>
    <cellStyle name="Separador de milhares 3 14" xfId="1261"/>
    <cellStyle name="Separador de milhares 3 14 10" xfId="2489"/>
    <cellStyle name="Separador de milhares 3 14 11" xfId="2490"/>
    <cellStyle name="Separador de milhares 3 14 12" xfId="2491"/>
    <cellStyle name="Separador de milhares 3 14 13" xfId="2492"/>
    <cellStyle name="Separador de milhares 3 14 14" xfId="2488"/>
    <cellStyle name="Separador de milhares 3 14 2" xfId="2493"/>
    <cellStyle name="Separador de milhares 3 14 3" xfId="2494"/>
    <cellStyle name="Separador de milhares 3 14 4" xfId="2495"/>
    <cellStyle name="Separador de milhares 3 14 5" xfId="2496"/>
    <cellStyle name="Separador de milhares 3 14 6" xfId="2497"/>
    <cellStyle name="Separador de milhares 3 14 7" xfId="2498"/>
    <cellStyle name="Separador de milhares 3 14 8" xfId="2499"/>
    <cellStyle name="Separador de milhares 3 14 9" xfId="2500"/>
    <cellStyle name="Separador de milhares 3 15" xfId="2501"/>
    <cellStyle name="Separador de milhares 3 15 10" xfId="2502"/>
    <cellStyle name="Separador de milhares 3 15 11" xfId="2503"/>
    <cellStyle name="Separador de milhares 3 15 12" xfId="2504"/>
    <cellStyle name="Separador de milhares 3 15 13" xfId="2505"/>
    <cellStyle name="Separador de milhares 3 15 2" xfId="2506"/>
    <cellStyle name="Separador de milhares 3 15 3" xfId="2507"/>
    <cellStyle name="Separador de milhares 3 15 4" xfId="2508"/>
    <cellStyle name="Separador de milhares 3 15 5" xfId="2509"/>
    <cellStyle name="Separador de milhares 3 15 6" xfId="2510"/>
    <cellStyle name="Separador de milhares 3 15 7" xfId="2511"/>
    <cellStyle name="Separador de milhares 3 15 8" xfId="2512"/>
    <cellStyle name="Separador de milhares 3 15 9" xfId="2513"/>
    <cellStyle name="Separador de milhares 3 16" xfId="2514"/>
    <cellStyle name="Separador de milhares 3 16 10" xfId="2515"/>
    <cellStyle name="Separador de milhares 3 16 11" xfId="2516"/>
    <cellStyle name="Separador de milhares 3 16 12" xfId="2517"/>
    <cellStyle name="Separador de milhares 3 16 13" xfId="2518"/>
    <cellStyle name="Separador de milhares 3 16 2" xfId="2519"/>
    <cellStyle name="Separador de milhares 3 16 3" xfId="2520"/>
    <cellStyle name="Separador de milhares 3 16 4" xfId="2521"/>
    <cellStyle name="Separador de milhares 3 16 5" xfId="2522"/>
    <cellStyle name="Separador de milhares 3 16 6" xfId="2523"/>
    <cellStyle name="Separador de milhares 3 16 7" xfId="2524"/>
    <cellStyle name="Separador de milhares 3 16 8" xfId="2525"/>
    <cellStyle name="Separador de milhares 3 16 9" xfId="2526"/>
    <cellStyle name="Separador de milhares 3 17" xfId="2527"/>
    <cellStyle name="Separador de milhares 3 17 10" xfId="2528"/>
    <cellStyle name="Separador de milhares 3 17 11" xfId="2529"/>
    <cellStyle name="Separador de milhares 3 17 12" xfId="2530"/>
    <cellStyle name="Separador de milhares 3 17 13" xfId="2531"/>
    <cellStyle name="Separador de milhares 3 17 2" xfId="2532"/>
    <cellStyle name="Separador de milhares 3 17 3" xfId="2533"/>
    <cellStyle name="Separador de milhares 3 17 4" xfId="2534"/>
    <cellStyle name="Separador de milhares 3 17 5" xfId="2535"/>
    <cellStyle name="Separador de milhares 3 17 6" xfId="2536"/>
    <cellStyle name="Separador de milhares 3 17 7" xfId="2537"/>
    <cellStyle name="Separador de milhares 3 17 8" xfId="2538"/>
    <cellStyle name="Separador de milhares 3 17 9" xfId="2539"/>
    <cellStyle name="Separador de milhares 3 18" xfId="2540"/>
    <cellStyle name="Separador de milhares 3 18 10" xfId="2541"/>
    <cellStyle name="Separador de milhares 3 18 11" xfId="2542"/>
    <cellStyle name="Separador de milhares 3 18 12" xfId="2543"/>
    <cellStyle name="Separador de milhares 3 18 13" xfId="2544"/>
    <cellStyle name="Separador de milhares 3 18 2" xfId="2545"/>
    <cellStyle name="Separador de milhares 3 18 3" xfId="2546"/>
    <cellStyle name="Separador de milhares 3 18 4" xfId="2547"/>
    <cellStyle name="Separador de milhares 3 18 5" xfId="2548"/>
    <cellStyle name="Separador de milhares 3 18 6" xfId="2549"/>
    <cellStyle name="Separador de milhares 3 18 7" xfId="2550"/>
    <cellStyle name="Separador de milhares 3 18 8" xfId="2551"/>
    <cellStyle name="Separador de milhares 3 18 9" xfId="2552"/>
    <cellStyle name="Separador de milhares 3 19" xfId="2553"/>
    <cellStyle name="Separador de milhares 3 19 10" xfId="2554"/>
    <cellStyle name="Separador de milhares 3 19 11" xfId="2555"/>
    <cellStyle name="Separador de milhares 3 19 12" xfId="2556"/>
    <cellStyle name="Separador de milhares 3 19 13" xfId="2557"/>
    <cellStyle name="Separador de milhares 3 19 2" xfId="2558"/>
    <cellStyle name="Separador de milhares 3 19 3" xfId="2559"/>
    <cellStyle name="Separador de milhares 3 19 4" xfId="2560"/>
    <cellStyle name="Separador de milhares 3 19 5" xfId="2561"/>
    <cellStyle name="Separador de milhares 3 19 6" xfId="2562"/>
    <cellStyle name="Separador de milhares 3 19 7" xfId="2563"/>
    <cellStyle name="Separador de milhares 3 19 8" xfId="2564"/>
    <cellStyle name="Separador de milhares 3 19 9" xfId="2565"/>
    <cellStyle name="Separador de milhares 3 2" xfId="1262"/>
    <cellStyle name="Separador de milhares 3 2 10" xfId="2566"/>
    <cellStyle name="Separador de milhares 3 2 11" xfId="2567"/>
    <cellStyle name="Separador de milhares 3 2 12" xfId="2568"/>
    <cellStyle name="Separador de milhares 3 2 13" xfId="2569"/>
    <cellStyle name="Separador de milhares 3 2 14" xfId="2759"/>
    <cellStyle name="Separador de milhares 3 2 14 2" xfId="4003"/>
    <cellStyle name="Separador de milhares 3 2 14 3" xfId="4139"/>
    <cellStyle name="Separador de milhares 3 2 15" xfId="3028"/>
    <cellStyle name="Separador de milhares 3 2 16" xfId="2989"/>
    <cellStyle name="Separador de milhares 3 2 17" xfId="3119"/>
    <cellStyle name="Separador de milhares 3 2 18" xfId="3092"/>
    <cellStyle name="Separador de milhares 3 2 19" xfId="3262"/>
    <cellStyle name="Separador de milhares 3 2 2" xfId="1263"/>
    <cellStyle name="Separador de milhares 3 2 2 10" xfId="3357"/>
    <cellStyle name="Separador de milhares 3 2 2 11" xfId="3418"/>
    <cellStyle name="Separador de milhares 3 2 2 12" xfId="3480"/>
    <cellStyle name="Separador de milhares 3 2 2 13" xfId="3539"/>
    <cellStyle name="Separador de milhares 3 2 2 14" xfId="3566"/>
    <cellStyle name="Separador de milhares 3 2 2 15" xfId="3661"/>
    <cellStyle name="Separador de milhares 3 2 2 16" xfId="3695"/>
    <cellStyle name="Separador de milhares 3 2 2 17" xfId="3696"/>
    <cellStyle name="Separador de milhares 3 2 2 18" xfId="4004"/>
    <cellStyle name="Separador de milhares 3 2 2 19" xfId="4140"/>
    <cellStyle name="Separador de milhares 3 2 2 2" xfId="1264"/>
    <cellStyle name="Separador de milhares 3 2 2 2 2" xfId="2570"/>
    <cellStyle name="Separador de milhares 3 2 2 3" xfId="3021"/>
    <cellStyle name="Separador de milhares 3 2 2 4" xfId="3059"/>
    <cellStyle name="Separador de milhares 3 2 2 5" xfId="1432"/>
    <cellStyle name="Separador de milhares 3 2 2 6" xfId="3163"/>
    <cellStyle name="Separador de milhares 3 2 2 7" xfId="3194"/>
    <cellStyle name="Separador de milhares 3 2 2 8" xfId="3322"/>
    <cellStyle name="Separador de milhares 3 2 2 9" xfId="3354"/>
    <cellStyle name="Separador de milhares 3 2 20" xfId="3330"/>
    <cellStyle name="Separador de milhares 3 2 21" xfId="3290"/>
    <cellStyle name="Separador de milhares 3 2 22" xfId="3403"/>
    <cellStyle name="Separador de milhares 3 2 23" xfId="3465"/>
    <cellStyle name="Separador de milhares 3 2 24" xfId="3509"/>
    <cellStyle name="Separador de milhares 3 2 25" xfId="3543"/>
    <cellStyle name="Separador de milhares 3 2 26" xfId="3596"/>
    <cellStyle name="Separador de milhares 3 2 27" xfId="3669"/>
    <cellStyle name="Separador de milhares 3 2 28" xfId="3627"/>
    <cellStyle name="Separador de milhares 3 2 29" xfId="4002"/>
    <cellStyle name="Separador de milhares 3 2 3" xfId="1265"/>
    <cellStyle name="Separador de milhares 3 2 3 2" xfId="2571"/>
    <cellStyle name="Separador de milhares 3 2 30" xfId="4138"/>
    <cellStyle name="Separador de milhares 3 2 4" xfId="1266"/>
    <cellStyle name="Separador de milhares 3 2 5" xfId="2572"/>
    <cellStyle name="Separador de milhares 3 2 6" xfId="2573"/>
    <cellStyle name="Separador de milhares 3 2 7" xfId="2574"/>
    <cellStyle name="Separador de milhares 3 2 8" xfId="2575"/>
    <cellStyle name="Separador de milhares 3 2 9" xfId="2576"/>
    <cellStyle name="Separador de milhares 3 20" xfId="2577"/>
    <cellStyle name="Separador de milhares 3 21" xfId="2578"/>
    <cellStyle name="Separador de milhares 3 22" xfId="2579"/>
    <cellStyle name="Separador de milhares 3 23" xfId="2580"/>
    <cellStyle name="Separador de milhares 3 24" xfId="2581"/>
    <cellStyle name="Separador de milhares 3 25" xfId="2582"/>
    <cellStyle name="Separador de milhares 3 26" xfId="2583"/>
    <cellStyle name="Separador de milhares 3 27" xfId="2584"/>
    <cellStyle name="Separador de milhares 3 28" xfId="3433"/>
    <cellStyle name="Separador de milhares 3 29" xfId="3438"/>
    <cellStyle name="Separador de milhares 3 3" xfId="1267"/>
    <cellStyle name="Separador de milhares 3 3 10" xfId="2585"/>
    <cellStyle name="Separador de milhares 3 3 11" xfId="2586"/>
    <cellStyle name="Separador de milhares 3 3 12" xfId="2587"/>
    <cellStyle name="Separador de milhares 3 3 13" xfId="2588"/>
    <cellStyle name="Separador de milhares 3 3 2" xfId="1268"/>
    <cellStyle name="Separador de milhares 3 3 2 2" xfId="2589"/>
    <cellStyle name="Separador de milhares 3 3 3" xfId="1269"/>
    <cellStyle name="Separador de milhares 3 3 4" xfId="2590"/>
    <cellStyle name="Separador de milhares 3 3 5" xfId="2591"/>
    <cellStyle name="Separador de milhares 3 3 6" xfId="2592"/>
    <cellStyle name="Separador de milhares 3 3 7" xfId="2593"/>
    <cellStyle name="Separador de milhares 3 3 8" xfId="2594"/>
    <cellStyle name="Separador de milhares 3 3 9" xfId="2595"/>
    <cellStyle name="Separador de milhares 3 30" xfId="3446"/>
    <cellStyle name="Separador de milhares 3 4" xfId="1270"/>
    <cellStyle name="Separador de milhares 3 4 10" xfId="2596"/>
    <cellStyle name="Separador de milhares 3 4 11" xfId="2597"/>
    <cellStyle name="Separador de milhares 3 4 12" xfId="2598"/>
    <cellStyle name="Separador de milhares 3 4 13" xfId="2599"/>
    <cellStyle name="Separador de milhares 3 4 2" xfId="1271"/>
    <cellStyle name="Separador de milhares 3 4 3" xfId="2600"/>
    <cellStyle name="Separador de milhares 3 4 4" xfId="2601"/>
    <cellStyle name="Separador de milhares 3 4 5" xfId="2602"/>
    <cellStyle name="Separador de milhares 3 4 6" xfId="2603"/>
    <cellStyle name="Separador de milhares 3 4 7" xfId="2604"/>
    <cellStyle name="Separador de milhares 3 4 8" xfId="2605"/>
    <cellStyle name="Separador de milhares 3 4 9" xfId="2606"/>
    <cellStyle name="Separador de milhares 3 5" xfId="1272"/>
    <cellStyle name="Separador de milhares 3 5 10" xfId="2607"/>
    <cellStyle name="Separador de milhares 3 5 11" xfId="2608"/>
    <cellStyle name="Separador de milhares 3 5 12" xfId="2609"/>
    <cellStyle name="Separador de milhares 3 5 13" xfId="2610"/>
    <cellStyle name="Separador de milhares 3 5 2" xfId="2611"/>
    <cellStyle name="Separador de milhares 3 5 3" xfId="2612"/>
    <cellStyle name="Separador de milhares 3 5 4" xfId="2613"/>
    <cellStyle name="Separador de milhares 3 5 5" xfId="2614"/>
    <cellStyle name="Separador de milhares 3 5 6" xfId="2615"/>
    <cellStyle name="Separador de milhares 3 5 7" xfId="2616"/>
    <cellStyle name="Separador de milhares 3 5 8" xfId="2617"/>
    <cellStyle name="Separador de milhares 3 5 9" xfId="2618"/>
    <cellStyle name="Separador de milhares 3 6" xfId="1273"/>
    <cellStyle name="Separador de milhares 3 6 10" xfId="2619"/>
    <cellStyle name="Separador de milhares 3 6 11" xfId="2620"/>
    <cellStyle name="Separador de milhares 3 6 12" xfId="2621"/>
    <cellStyle name="Separador de milhares 3 6 13" xfId="2622"/>
    <cellStyle name="Separador de milhares 3 6 2" xfId="2623"/>
    <cellStyle name="Separador de milhares 3 6 3" xfId="2624"/>
    <cellStyle name="Separador de milhares 3 6 4" xfId="2625"/>
    <cellStyle name="Separador de milhares 3 6 5" xfId="2626"/>
    <cellStyle name="Separador de milhares 3 6 6" xfId="2627"/>
    <cellStyle name="Separador de milhares 3 6 7" xfId="2628"/>
    <cellStyle name="Separador de milhares 3 6 8" xfId="2629"/>
    <cellStyle name="Separador de milhares 3 6 9" xfId="2630"/>
    <cellStyle name="Separador de milhares 3 7" xfId="1274"/>
    <cellStyle name="Separador de milhares 3 7 10" xfId="2631"/>
    <cellStyle name="Separador de milhares 3 7 11" xfId="2632"/>
    <cellStyle name="Separador de milhares 3 7 12" xfId="2633"/>
    <cellStyle name="Separador de milhares 3 7 13" xfId="2634"/>
    <cellStyle name="Separador de milhares 3 7 2" xfId="2635"/>
    <cellStyle name="Separador de milhares 3 7 3" xfId="2636"/>
    <cellStyle name="Separador de milhares 3 7 4" xfId="2637"/>
    <cellStyle name="Separador de milhares 3 7 5" xfId="2638"/>
    <cellStyle name="Separador de milhares 3 7 6" xfId="2639"/>
    <cellStyle name="Separador de milhares 3 7 7" xfId="2640"/>
    <cellStyle name="Separador de milhares 3 7 8" xfId="2641"/>
    <cellStyle name="Separador de milhares 3 7 9" xfId="2642"/>
    <cellStyle name="Separador de milhares 3 8" xfId="1275"/>
    <cellStyle name="Separador de milhares 3 8 10" xfId="2643"/>
    <cellStyle name="Separador de milhares 3 8 11" xfId="2644"/>
    <cellStyle name="Separador de milhares 3 8 12" xfId="2645"/>
    <cellStyle name="Separador de milhares 3 8 13" xfId="2646"/>
    <cellStyle name="Separador de milhares 3 8 2" xfId="2647"/>
    <cellStyle name="Separador de milhares 3 8 3" xfId="2648"/>
    <cellStyle name="Separador de milhares 3 8 4" xfId="2649"/>
    <cellStyle name="Separador de milhares 3 8 5" xfId="2650"/>
    <cellStyle name="Separador de milhares 3 8 6" xfId="2651"/>
    <cellStyle name="Separador de milhares 3 8 7" xfId="2652"/>
    <cellStyle name="Separador de milhares 3 8 8" xfId="2653"/>
    <cellStyle name="Separador de milhares 3 8 9" xfId="2654"/>
    <cellStyle name="Separador de milhares 3 9" xfId="1276"/>
    <cellStyle name="Separador de milhares 3 9 10" xfId="2655"/>
    <cellStyle name="Separador de milhares 3 9 11" xfId="2656"/>
    <cellStyle name="Separador de milhares 3 9 12" xfId="2657"/>
    <cellStyle name="Separador de milhares 3 9 13" xfId="2658"/>
    <cellStyle name="Separador de milhares 3 9 2" xfId="2659"/>
    <cellStyle name="Separador de milhares 3 9 3" xfId="2660"/>
    <cellStyle name="Separador de milhares 3 9 4" xfId="2661"/>
    <cellStyle name="Separador de milhares 3 9 5" xfId="2662"/>
    <cellStyle name="Separador de milhares 3 9 6" xfId="2663"/>
    <cellStyle name="Separador de milhares 3 9 7" xfId="2664"/>
    <cellStyle name="Separador de milhares 3 9 8" xfId="2665"/>
    <cellStyle name="Separador de milhares 3 9 9" xfId="2666"/>
    <cellStyle name="Separador de milhares 30" xfId="2862"/>
    <cellStyle name="Separador de milhares 31" xfId="2968"/>
    <cellStyle name="Separador de milhares 32" xfId="3049"/>
    <cellStyle name="Separador de milhares 33" xfId="3164"/>
    <cellStyle name="Separador de milhares 34" xfId="3372"/>
    <cellStyle name="Separador de milhares 35" xfId="3197"/>
    <cellStyle name="Separador de milhares 36" xfId="3188"/>
    <cellStyle name="Separador de milhares 37" xfId="2885"/>
    <cellStyle name="Separador de milhares 38" xfId="3135"/>
    <cellStyle name="Separador de milhares 39" xfId="2889"/>
    <cellStyle name="Separador de milhares 4" xfId="1277"/>
    <cellStyle name="Separador de milhares 4 10" xfId="2667"/>
    <cellStyle name="Separador de milhares 4 11" xfId="2668"/>
    <cellStyle name="Separador de milhares 4 12" xfId="2669"/>
    <cellStyle name="Separador de milhares 4 13" xfId="2670"/>
    <cellStyle name="Separador de milhares 4 14" xfId="2671"/>
    <cellStyle name="Separador de milhares 4 15" xfId="2672"/>
    <cellStyle name="Separador de milhares 4 16" xfId="2673"/>
    <cellStyle name="Separador de milhares 4 17" xfId="2674"/>
    <cellStyle name="Separador de milhares 4 18" xfId="2675"/>
    <cellStyle name="Separador de milhares 4 19" xfId="2676"/>
    <cellStyle name="Separador de milhares 4 2" xfId="1278"/>
    <cellStyle name="Separador de milhares 4 2 2" xfId="2677"/>
    <cellStyle name="Separador de milhares 4 20" xfId="2678"/>
    <cellStyle name="Separador de milhares 4 21" xfId="2679"/>
    <cellStyle name="Separador de milhares 4 22" xfId="2680"/>
    <cellStyle name="Separador de milhares 4 23" xfId="2681"/>
    <cellStyle name="Separador de milhares 4 24" xfId="2682"/>
    <cellStyle name="Separador de milhares 4 25" xfId="2683"/>
    <cellStyle name="Separador de milhares 4 26" xfId="2684"/>
    <cellStyle name="Separador de milhares 4 27" xfId="2685"/>
    <cellStyle name="Separador de milhares 4 28" xfId="2686"/>
    <cellStyle name="Separador de milhares 4 29" xfId="2687"/>
    <cellStyle name="Separador de milhares 4 3" xfId="2688"/>
    <cellStyle name="Separador de milhares 4 30" xfId="2689"/>
    <cellStyle name="Separador de milhares 4 31" xfId="2690"/>
    <cellStyle name="Separador de milhares 4 32" xfId="2786"/>
    <cellStyle name="Separador de milhares 4 4" xfId="2691"/>
    <cellStyle name="Separador de milhares 4 5" xfId="2692"/>
    <cellStyle name="Separador de milhares 4 6" xfId="2693"/>
    <cellStyle name="Separador de milhares 4 7" xfId="2694"/>
    <cellStyle name="Separador de milhares 4 8" xfId="2695"/>
    <cellStyle name="Separador de milhares 4 9" xfId="2696"/>
    <cellStyle name="Separador de milhares 40" xfId="3137"/>
    <cellStyle name="Separador de milhares 41" xfId="4009"/>
    <cellStyle name="Separador de milhares 42" xfId="3491"/>
    <cellStyle name="Separador de milhares 43" xfId="2977"/>
    <cellStyle name="Separador de milhares 44" xfId="2978"/>
    <cellStyle name="Separador de milhares 45" xfId="3444"/>
    <cellStyle name="Separador de milhares 5" xfId="1279"/>
    <cellStyle name="Separador de milhares 5 10" xfId="2697"/>
    <cellStyle name="Separador de milhares 5 11" xfId="2698"/>
    <cellStyle name="Separador de milhares 5 12" xfId="2699"/>
    <cellStyle name="Separador de milhares 5 13" xfId="2700"/>
    <cellStyle name="Separador de milhares 5 14" xfId="2701"/>
    <cellStyle name="Separador de milhares 5 15" xfId="2702"/>
    <cellStyle name="Separador de milhares 5 16" xfId="2703"/>
    <cellStyle name="Separador de milhares 5 17" xfId="2704"/>
    <cellStyle name="Separador de milhares 5 18" xfId="2705"/>
    <cellStyle name="Separador de milhares 5 19" xfId="2706"/>
    <cellStyle name="Separador de milhares 5 2" xfId="1280"/>
    <cellStyle name="Separador de milhares 5 2 2" xfId="1281"/>
    <cellStyle name="Separador de milhares 5 2 3" xfId="2707"/>
    <cellStyle name="Separador de milhares 5 3" xfId="1282"/>
    <cellStyle name="Separador de milhares 5 3 2" xfId="2708"/>
    <cellStyle name="Separador de milhares 5 4" xfId="1283"/>
    <cellStyle name="Separador de milhares 5 4 2" xfId="2709"/>
    <cellStyle name="Separador de milhares 5 5" xfId="2710"/>
    <cellStyle name="Separador de milhares 5 6" xfId="2711"/>
    <cellStyle name="Separador de milhares 5 7" xfId="2712"/>
    <cellStyle name="Separador de milhares 5 8" xfId="2713"/>
    <cellStyle name="Separador de milhares 5 9" xfId="2714"/>
    <cellStyle name="Separador de milhares 6" xfId="1284"/>
    <cellStyle name="Separador de milhares 6 2" xfId="1285"/>
    <cellStyle name="Separador de milhares 6 2 2" xfId="1286"/>
    <cellStyle name="Separador de milhares 6 2 3" xfId="2715"/>
    <cellStyle name="Separador de milhares 6 3" xfId="1287"/>
    <cellStyle name="Separador de milhares 6 3 2" xfId="2716"/>
    <cellStyle name="Separador de milhares 6 4" xfId="1288"/>
    <cellStyle name="Separador de milhares 6 4 2" xfId="2717"/>
    <cellStyle name="Separador de milhares 6 5" xfId="2718"/>
    <cellStyle name="Separador de milhares 6 6" xfId="2719"/>
    <cellStyle name="Separador de milhares 6 7" xfId="2720"/>
    <cellStyle name="Separador de milhares 6 8" xfId="2721"/>
    <cellStyle name="Separador de milhares 6 9" xfId="2722"/>
    <cellStyle name="Separador de milhares 7" xfId="1289"/>
    <cellStyle name="Separador de milhares 7 2" xfId="1290"/>
    <cellStyle name="Separador de milhares 7 2 2" xfId="1291"/>
    <cellStyle name="Separador de milhares 7 3" xfId="1292"/>
    <cellStyle name="Separador de milhares 7 4" xfId="1293"/>
    <cellStyle name="Separador de milhares 8" xfId="1294"/>
    <cellStyle name="Separador de milhares 8 2" xfId="1295"/>
    <cellStyle name="Separador de milhares 8 3" xfId="1413"/>
    <cellStyle name="Separador de milhares 9" xfId="1296"/>
    <cellStyle name="Separador de milhares 9 10" xfId="2723"/>
    <cellStyle name="Separador de milhares 9 11" xfId="2724"/>
    <cellStyle name="Separador de milhares 9 12" xfId="2725"/>
    <cellStyle name="Separador de milhares 9 13" xfId="2726"/>
    <cellStyle name="Separador de milhares 9 14" xfId="2727"/>
    <cellStyle name="Separador de milhares 9 15" xfId="2728"/>
    <cellStyle name="Separador de milhares 9 16" xfId="2729"/>
    <cellStyle name="Separador de milhares 9 17" xfId="2730"/>
    <cellStyle name="Separador de milhares 9 18" xfId="2731"/>
    <cellStyle name="Separador de milhares 9 19" xfId="2732"/>
    <cellStyle name="Separador de milhares 9 2" xfId="1297"/>
    <cellStyle name="Separador de milhares 9 2 2" xfId="2733"/>
    <cellStyle name="Separador de milhares 9 20" xfId="2734"/>
    <cellStyle name="Separador de milhares 9 21" xfId="2735"/>
    <cellStyle name="Separador de milhares 9 22" xfId="2736"/>
    <cellStyle name="Separador de milhares 9 23" xfId="2737"/>
    <cellStyle name="Separador de milhares 9 24" xfId="2738"/>
    <cellStyle name="Separador de milhares 9 25" xfId="2739"/>
    <cellStyle name="Separador de milhares 9 26" xfId="2740"/>
    <cellStyle name="Separador de milhares 9 27" xfId="2741"/>
    <cellStyle name="Separador de milhares 9 28" xfId="2742"/>
    <cellStyle name="Separador de milhares 9 29" xfId="2743"/>
    <cellStyle name="Separador de milhares 9 3" xfId="2744"/>
    <cellStyle name="Separador de milhares 9 30" xfId="2745"/>
    <cellStyle name="Separador de milhares 9 31" xfId="2746"/>
    <cellStyle name="Separador de milhares 9 4" xfId="2747"/>
    <cellStyle name="Separador de milhares 9 5" xfId="2748"/>
    <cellStyle name="Separador de milhares 9 6" xfId="2749"/>
    <cellStyle name="Separador de milhares 9 7" xfId="2750"/>
    <cellStyle name="Separador de milhares 9 8" xfId="2751"/>
    <cellStyle name="Separador de milhares 9 9" xfId="2752"/>
    <cellStyle name="Texto de Aviso" xfId="1347" builtinId="11" customBuiltin="1"/>
    <cellStyle name="Texto de Aviso 2" xfId="1298"/>
    <cellStyle name="Texto de Aviso 3" xfId="1299"/>
    <cellStyle name="Texto Explicativo" xfId="1349" builtinId="53" customBuiltin="1"/>
    <cellStyle name="Texto Explicativo 2" xfId="1300"/>
    <cellStyle name="Texto Explicativo 3" xfId="1301"/>
    <cellStyle name="Title" xfId="1302"/>
    <cellStyle name="Título" xfId="1334" builtinId="15" customBuiltin="1"/>
    <cellStyle name="Título 1" xfId="1335" builtinId="16" customBuiltin="1"/>
    <cellStyle name="Título 1 2" xfId="1303"/>
    <cellStyle name="Título 1 3" xfId="1304"/>
    <cellStyle name="Título 2" xfId="1336" builtinId="17" customBuiltin="1"/>
    <cellStyle name="Título 2 2" xfId="1305"/>
    <cellStyle name="Título 2 3" xfId="1306"/>
    <cellStyle name="Título 3" xfId="1337" builtinId="18" customBuiltin="1"/>
    <cellStyle name="Título 3 2" xfId="1307"/>
    <cellStyle name="Título 3 3" xfId="1308"/>
    <cellStyle name="Título 4" xfId="1338" builtinId="19" customBuiltin="1"/>
    <cellStyle name="Título 4 2" xfId="1309"/>
    <cellStyle name="Título 4 3" xfId="1310"/>
    <cellStyle name="Título 5" xfId="1311"/>
    <cellStyle name="Título 6" xfId="1312"/>
    <cellStyle name="Total" xfId="1350" builtinId="25" customBuiltin="1"/>
    <cellStyle name="Total 2" xfId="1313"/>
    <cellStyle name="Total 2 2" xfId="1314"/>
    <cellStyle name="Total 2 3" xfId="1315"/>
    <cellStyle name="Total 3" xfId="1316"/>
    <cellStyle name="Total 3 2" xfId="1317"/>
    <cellStyle name="Total 3 3" xfId="1318"/>
    <cellStyle name="Vírgula" xfId="1" builtinId="3"/>
    <cellStyle name="Vírgula 2" xfId="1319"/>
    <cellStyle name="Vírgula 2 2" xfId="1320"/>
    <cellStyle name="Vírgula 2 2 2" xfId="1321"/>
    <cellStyle name="Vírgula 2 2 3" xfId="4005"/>
    <cellStyle name="Vírgula 2 3" xfId="1322"/>
    <cellStyle name="Vírgula 2 3 2" xfId="4006"/>
    <cellStyle name="Vírgula 2 4" xfId="1323"/>
    <cellStyle name="Vírgula 2 4 2" xfId="4007"/>
    <cellStyle name="Vírgula 3" xfId="1324"/>
    <cellStyle name="Vírgula 3 2" xfId="1325"/>
    <cellStyle name="Vírgula 3 2 2" xfId="1326"/>
    <cellStyle name="Vírgula 3 3" xfId="1327"/>
    <cellStyle name="Vírgula 3 4" xfId="4008"/>
    <cellStyle name="Vírgula 4" xfId="1328"/>
    <cellStyle name="Vírgula 5" xfId="1329"/>
    <cellStyle name="Vírgula 5 2" xfId="1330"/>
    <cellStyle name="Vírgula 5 2 2" xfId="1331"/>
    <cellStyle name="Vírgula 5 3" xfId="1332"/>
    <cellStyle name="Warning Text" xfId="133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ontabilidade\Conciliacoes\1.2.01.04.0001_2%20-%20IRPJ%20CSLL%20DIFERI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_ASL\ECD,%20Fcont%20e%20DIPJ\Arquivos_Apura&#231;&#227;o_2010_a_2012\LALUR\ASL%20-%20Lalur%202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2.01.04.0001_2_Jan.13_Mar.13"/>
      <sheetName val="1.2.01.04.0001_2_Abr_Jun.13"/>
      <sheetName val="1.2.01.04.0001_2_Jul_Set.13"/>
      <sheetName val="1.2.01.04.0001_2_Out_Dez.13"/>
      <sheetName val="1.2.01.04.0001_2_Jan_Mar.14"/>
      <sheetName val="1.2.01.04.0001_2_Abr_Jun.14"/>
      <sheetName val="1.2.01.04.0001_2_Jul_Set.14"/>
      <sheetName val="1.2.01.04.0001_2_Out_Dez.14"/>
      <sheetName val="1.2.01.04.0001_2_Jan_Mar.15"/>
      <sheetName val="1.2.01.04.0001_2_Abr_Jun.15"/>
      <sheetName val="1.2.01.04.0001_2_Jul_Set.15"/>
      <sheetName val="1.2.01.04.0001_2_Out_Dez.15"/>
      <sheetName val="Memória_Cálculo_Cred_Transf"/>
      <sheetName val="Memória_Cálculo_Prej_Fiscal"/>
      <sheetName val="Lançto Contabil Complementar"/>
    </sheetNames>
    <sheetDataSet>
      <sheetData sheetId="0" refreshError="1"/>
      <sheetData sheetId="1" refreshError="1">
        <row r="15">
          <cell r="D15">
            <v>1288556.2299999997</v>
          </cell>
        </row>
      </sheetData>
      <sheetData sheetId="2" refreshError="1"/>
      <sheetData sheetId="3" refreshError="1"/>
      <sheetData sheetId="4" refreshError="1">
        <row r="56">
          <cell r="D56">
            <v>8512755.216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4">
          <cell r="E14">
            <v>2754844.0760800131</v>
          </cell>
        </row>
        <row r="18">
          <cell r="C18">
            <v>249170.95999998</v>
          </cell>
        </row>
      </sheetData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ertura"/>
      <sheetName val="parte A"/>
      <sheetName val="parte B"/>
      <sheetName val="Encerramento"/>
      <sheetName val="Anexo"/>
      <sheetName val="BC CSLL"/>
      <sheetName val="Cálculo IRPJ_CSLL"/>
      <sheetName val="03.2012"/>
      <sheetName val="06.2012"/>
      <sheetName val="09.2012"/>
      <sheetName val="12.2012"/>
    </sheetNames>
    <sheetDataSet>
      <sheetData sheetId="0" refreshError="1"/>
      <sheetData sheetId="1" refreshError="1">
        <row r="103">
          <cell r="C103">
            <v>240088.71</v>
          </cell>
        </row>
        <row r="157">
          <cell r="C157" t="str">
            <v>Adições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137"/>
  <sheetViews>
    <sheetView zoomScale="150" zoomScaleNormal="150" workbookViewId="0">
      <pane xSplit="2" ySplit="4" topLeftCell="L5" activePane="bottomRight" state="frozen"/>
      <selection pane="topRight" activeCell="C1" sqref="C1"/>
      <selection pane="bottomLeft" activeCell="A5" sqref="A5"/>
      <selection pane="bottomRight" activeCell="O13" sqref="O13"/>
    </sheetView>
  </sheetViews>
  <sheetFormatPr defaultColWidth="11.42578125" defaultRowHeight="12.75" x14ac:dyDescent="0.2"/>
  <cols>
    <col min="1" max="1" width="1.28515625" style="27" customWidth="1"/>
    <col min="2" max="2" width="36.7109375" style="95" bestFit="1" customWidth="1"/>
    <col min="3" max="14" width="21.140625" style="27" customWidth="1"/>
    <col min="15" max="16384" width="11.42578125" style="27"/>
  </cols>
  <sheetData>
    <row r="1" spans="1:14" ht="15.75" x14ac:dyDescent="0.25">
      <c r="A1" s="174" t="s">
        <v>60</v>
      </c>
      <c r="B1" s="174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8" customHeight="1" thickBot="1" x14ac:dyDescent="0.25">
      <c r="A2" s="176" t="s">
        <v>30</v>
      </c>
      <c r="B2" s="176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</row>
    <row r="3" spans="1:14" x14ac:dyDescent="0.2">
      <c r="A3" s="214" t="s">
        <v>31</v>
      </c>
      <c r="B3" s="215"/>
      <c r="C3" s="177" t="s">
        <v>135</v>
      </c>
      <c r="D3" s="177" t="s">
        <v>80</v>
      </c>
      <c r="E3" s="177" t="s">
        <v>83</v>
      </c>
      <c r="F3" s="177" t="s">
        <v>136</v>
      </c>
      <c r="G3" s="177" t="s">
        <v>137</v>
      </c>
      <c r="H3" s="177" t="s">
        <v>138</v>
      </c>
      <c r="I3" s="177" t="s">
        <v>139</v>
      </c>
      <c r="J3" s="177" t="s">
        <v>140</v>
      </c>
      <c r="K3" s="177" t="s">
        <v>141</v>
      </c>
      <c r="L3" s="177" t="s">
        <v>142</v>
      </c>
      <c r="M3" s="177" t="s">
        <v>143</v>
      </c>
      <c r="N3" s="178" t="s">
        <v>144</v>
      </c>
    </row>
    <row r="4" spans="1:14" ht="13.5" thickBot="1" x14ac:dyDescent="0.25">
      <c r="A4" s="216"/>
      <c r="B4" s="217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4"/>
    </row>
    <row r="5" spans="1:14" s="68" customFormat="1" x14ac:dyDescent="0.2">
      <c r="A5" s="185" t="s">
        <v>145</v>
      </c>
      <c r="B5" s="186"/>
      <c r="C5" s="187">
        <v>300000</v>
      </c>
      <c r="D5" s="187">
        <v>698000</v>
      </c>
      <c r="E5" s="187">
        <v>1350000</v>
      </c>
      <c r="F5" s="187">
        <v>1700000</v>
      </c>
      <c r="G5" s="187">
        <v>2120000</v>
      </c>
      <c r="H5" s="187">
        <v>2300000</v>
      </c>
      <c r="I5" s="187">
        <v>2450000</v>
      </c>
      <c r="J5" s="187">
        <v>2712000</v>
      </c>
      <c r="K5" s="187">
        <v>3120000</v>
      </c>
      <c r="L5" s="187">
        <v>3200000</v>
      </c>
      <c r="M5" s="187">
        <v>3550000</v>
      </c>
      <c r="N5" s="188">
        <v>4200000</v>
      </c>
    </row>
    <row r="6" spans="1:14" s="44" customFormat="1" x14ac:dyDescent="0.2">
      <c r="A6" s="180"/>
      <c r="B6" s="49" t="s">
        <v>146</v>
      </c>
      <c r="C6" s="181">
        <f>C5*8%</f>
        <v>24000</v>
      </c>
      <c r="D6" s="181">
        <f t="shared" ref="D6:N6" si="0">D5*8%</f>
        <v>55840</v>
      </c>
      <c r="E6" s="181">
        <f t="shared" si="0"/>
        <v>108000</v>
      </c>
      <c r="F6" s="181">
        <f t="shared" si="0"/>
        <v>136000</v>
      </c>
      <c r="G6" s="181">
        <f t="shared" si="0"/>
        <v>169600</v>
      </c>
      <c r="H6" s="181">
        <f t="shared" si="0"/>
        <v>184000</v>
      </c>
      <c r="I6" s="181">
        <f t="shared" si="0"/>
        <v>196000</v>
      </c>
      <c r="J6" s="181">
        <f t="shared" si="0"/>
        <v>216960</v>
      </c>
      <c r="K6" s="181">
        <f t="shared" si="0"/>
        <v>249600</v>
      </c>
      <c r="L6" s="181">
        <f t="shared" si="0"/>
        <v>256000</v>
      </c>
      <c r="M6" s="181">
        <f t="shared" si="0"/>
        <v>284000</v>
      </c>
      <c r="N6" s="182">
        <f t="shared" si="0"/>
        <v>336000</v>
      </c>
    </row>
    <row r="7" spans="1:14" s="44" customFormat="1" x14ac:dyDescent="0.2">
      <c r="A7" s="180"/>
      <c r="B7" s="49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179"/>
    </row>
    <row r="8" spans="1:14" s="68" customFormat="1" ht="13.5" thickBot="1" x14ac:dyDescent="0.25">
      <c r="A8" s="189" t="s">
        <v>147</v>
      </c>
      <c r="B8" s="190"/>
      <c r="C8" s="191">
        <v>32000</v>
      </c>
      <c r="D8" s="191">
        <v>-7000</v>
      </c>
      <c r="E8" s="191">
        <v>-32000</v>
      </c>
      <c r="F8" s="191">
        <v>118000</v>
      </c>
      <c r="G8" s="191">
        <v>120000</v>
      </c>
      <c r="H8" s="191">
        <v>125000</v>
      </c>
      <c r="I8" s="191">
        <v>160000</v>
      </c>
      <c r="J8" s="191">
        <v>230000</v>
      </c>
      <c r="K8" s="191">
        <v>250000</v>
      </c>
      <c r="L8" s="191">
        <v>269000</v>
      </c>
      <c r="M8" s="191">
        <v>315000</v>
      </c>
      <c r="N8" s="192">
        <v>418000</v>
      </c>
    </row>
    <row r="9" spans="1:14" x14ac:dyDescent="0.2">
      <c r="A9" s="40"/>
      <c r="B9" s="92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</row>
    <row r="10" spans="1:14" ht="13.5" thickBot="1" x14ac:dyDescent="0.25">
      <c r="A10" s="40"/>
      <c r="B10" s="94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</row>
    <row r="11" spans="1:14" s="55" customFormat="1" x14ac:dyDescent="0.2">
      <c r="A11" s="193" t="s">
        <v>14</v>
      </c>
      <c r="B11" s="194"/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6"/>
    </row>
    <row r="12" spans="1:14" s="55" customFormat="1" x14ac:dyDescent="0.2">
      <c r="A12" s="197"/>
      <c r="B12" s="198" t="s">
        <v>148</v>
      </c>
      <c r="C12" s="199">
        <f t="shared" ref="C12:N12" si="1">C6*15%</f>
        <v>3600</v>
      </c>
      <c r="D12" s="199">
        <f t="shared" si="1"/>
        <v>8376</v>
      </c>
      <c r="E12" s="199">
        <f t="shared" si="1"/>
        <v>16200</v>
      </c>
      <c r="F12" s="199">
        <f t="shared" si="1"/>
        <v>20400</v>
      </c>
      <c r="G12" s="199">
        <f t="shared" si="1"/>
        <v>25440</v>
      </c>
      <c r="H12" s="199">
        <f t="shared" si="1"/>
        <v>27600</v>
      </c>
      <c r="I12" s="199">
        <f t="shared" si="1"/>
        <v>29400</v>
      </c>
      <c r="J12" s="199">
        <f t="shared" si="1"/>
        <v>32544</v>
      </c>
      <c r="K12" s="199">
        <f t="shared" si="1"/>
        <v>37440</v>
      </c>
      <c r="L12" s="199">
        <f t="shared" si="1"/>
        <v>38400</v>
      </c>
      <c r="M12" s="199">
        <f t="shared" si="1"/>
        <v>42600</v>
      </c>
      <c r="N12" s="200">
        <f t="shared" si="1"/>
        <v>50400</v>
      </c>
    </row>
    <row r="13" spans="1:14" s="55" customFormat="1" x14ac:dyDescent="0.2">
      <c r="A13" s="197"/>
      <c r="B13" s="198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  <c r="N13" s="200"/>
    </row>
    <row r="14" spans="1:14" s="55" customFormat="1" ht="13.5" thickBot="1" x14ac:dyDescent="0.25">
      <c r="A14" s="201"/>
      <c r="B14" s="89" t="s">
        <v>149</v>
      </c>
      <c r="C14" s="202">
        <f>C8*15%</f>
        <v>4800</v>
      </c>
      <c r="D14" s="207"/>
      <c r="E14" s="207"/>
      <c r="F14" s="210">
        <f t="shared" ref="F14:N14" si="2">F8*15%</f>
        <v>17700</v>
      </c>
      <c r="G14" s="202">
        <f t="shared" si="2"/>
        <v>18000</v>
      </c>
      <c r="H14" s="202">
        <f t="shared" si="2"/>
        <v>18750</v>
      </c>
      <c r="I14" s="202">
        <f t="shared" si="2"/>
        <v>24000</v>
      </c>
      <c r="J14" s="202">
        <f t="shared" si="2"/>
        <v>34500</v>
      </c>
      <c r="K14" s="202">
        <f t="shared" si="2"/>
        <v>37500</v>
      </c>
      <c r="L14" s="202">
        <f t="shared" si="2"/>
        <v>40350</v>
      </c>
      <c r="M14" s="202">
        <f t="shared" si="2"/>
        <v>47250</v>
      </c>
      <c r="N14" s="203">
        <f t="shared" si="2"/>
        <v>62700</v>
      </c>
    </row>
    <row r="15" spans="1:14" ht="13.5" thickBot="1" x14ac:dyDescent="0.25">
      <c r="B15" s="27"/>
    </row>
    <row r="16" spans="1:14" ht="13.5" thickBot="1" x14ac:dyDescent="0.25">
      <c r="A16" s="204" t="s">
        <v>150</v>
      </c>
      <c r="B16" s="205"/>
      <c r="C16" s="205">
        <f>C12-C14</f>
        <v>-1200</v>
      </c>
      <c r="D16" s="205">
        <f>D12-D14</f>
        <v>8376</v>
      </c>
      <c r="E16" s="205">
        <f t="shared" ref="E16:N16" si="3">E12-E14</f>
        <v>16200</v>
      </c>
      <c r="F16" s="205">
        <f t="shared" si="3"/>
        <v>2700</v>
      </c>
      <c r="G16" s="205">
        <f t="shared" si="3"/>
        <v>7440</v>
      </c>
      <c r="H16" s="205">
        <f t="shared" si="3"/>
        <v>8850</v>
      </c>
      <c r="I16" s="205">
        <f t="shared" si="3"/>
        <v>5400</v>
      </c>
      <c r="J16" s="205">
        <f t="shared" si="3"/>
        <v>-1956</v>
      </c>
      <c r="K16" s="205">
        <f t="shared" si="3"/>
        <v>-60</v>
      </c>
      <c r="L16" s="205">
        <f t="shared" si="3"/>
        <v>-1950</v>
      </c>
      <c r="M16" s="205">
        <f t="shared" si="3"/>
        <v>-4650</v>
      </c>
      <c r="N16" s="206">
        <f t="shared" si="3"/>
        <v>-12300</v>
      </c>
    </row>
    <row r="17" spans="6:7" s="27" customFormat="1" x14ac:dyDescent="0.2"/>
    <row r="18" spans="6:7" s="27" customFormat="1" x14ac:dyDescent="0.2">
      <c r="F18" s="85"/>
      <c r="G18" s="85"/>
    </row>
    <row r="19" spans="6:7" s="27" customFormat="1" x14ac:dyDescent="0.2"/>
    <row r="20" spans="6:7" s="27" customFormat="1" x14ac:dyDescent="0.2"/>
    <row r="21" spans="6:7" s="27" customFormat="1" x14ac:dyDescent="0.2"/>
    <row r="22" spans="6:7" s="27" customFormat="1" x14ac:dyDescent="0.2"/>
    <row r="23" spans="6:7" s="27" customFormat="1" x14ac:dyDescent="0.2"/>
    <row r="24" spans="6:7" s="27" customFormat="1" x14ac:dyDescent="0.2"/>
    <row r="25" spans="6:7" s="27" customFormat="1" x14ac:dyDescent="0.2"/>
    <row r="26" spans="6:7" s="27" customFormat="1" x14ac:dyDescent="0.2"/>
    <row r="27" spans="6:7" s="27" customFormat="1" x14ac:dyDescent="0.2"/>
    <row r="28" spans="6:7" s="27" customFormat="1" x14ac:dyDescent="0.2"/>
    <row r="29" spans="6:7" s="27" customFormat="1" x14ac:dyDescent="0.2"/>
    <row r="30" spans="6:7" s="27" customFormat="1" x14ac:dyDescent="0.2"/>
    <row r="31" spans="6:7" s="27" customFormat="1" x14ac:dyDescent="0.2"/>
    <row r="32" spans="6:7" s="27" customFormat="1" x14ac:dyDescent="0.2"/>
    <row r="33" s="27" customFormat="1" x14ac:dyDescent="0.2"/>
    <row r="34" s="27" customFormat="1" x14ac:dyDescent="0.2"/>
    <row r="35" s="27" customFormat="1" x14ac:dyDescent="0.2"/>
    <row r="36" s="27" customFormat="1" x14ac:dyDescent="0.2"/>
    <row r="37" s="27" customFormat="1" x14ac:dyDescent="0.2"/>
    <row r="38" s="27" customFormat="1" x14ac:dyDescent="0.2"/>
    <row r="39" s="27" customFormat="1" x14ac:dyDescent="0.2"/>
    <row r="40" s="27" customFormat="1" x14ac:dyDescent="0.2"/>
    <row r="41" s="27" customFormat="1" x14ac:dyDescent="0.2"/>
    <row r="42" s="27" customFormat="1" x14ac:dyDescent="0.2"/>
    <row r="43" s="27" customFormat="1" x14ac:dyDescent="0.2"/>
    <row r="44" s="27" customFormat="1" x14ac:dyDescent="0.2"/>
    <row r="45" s="27" customFormat="1" x14ac:dyDescent="0.2"/>
    <row r="46" s="27" customFormat="1" x14ac:dyDescent="0.2"/>
    <row r="47" s="27" customFormat="1" x14ac:dyDescent="0.2"/>
    <row r="48" s="27" customFormat="1" x14ac:dyDescent="0.2"/>
    <row r="49" s="27" customFormat="1" x14ac:dyDescent="0.2"/>
    <row r="50" s="27" customFormat="1" x14ac:dyDescent="0.2"/>
    <row r="51" s="27" customFormat="1" x14ac:dyDescent="0.2"/>
    <row r="52" s="27" customFormat="1" x14ac:dyDescent="0.2"/>
    <row r="53" s="27" customFormat="1" x14ac:dyDescent="0.2"/>
    <row r="54" s="27" customFormat="1" x14ac:dyDescent="0.2"/>
    <row r="55" s="27" customFormat="1" x14ac:dyDescent="0.2"/>
    <row r="56" s="27" customFormat="1" x14ac:dyDescent="0.2"/>
    <row r="57" s="27" customFormat="1" x14ac:dyDescent="0.2"/>
    <row r="58" s="27" customFormat="1" x14ac:dyDescent="0.2"/>
    <row r="59" s="27" customFormat="1" x14ac:dyDescent="0.2"/>
    <row r="60" s="27" customFormat="1" x14ac:dyDescent="0.2"/>
    <row r="61" s="27" customFormat="1" x14ac:dyDescent="0.2"/>
    <row r="62" s="27" customFormat="1" x14ac:dyDescent="0.2"/>
    <row r="63" s="27" customFormat="1" x14ac:dyDescent="0.2"/>
    <row r="64" s="27" customFormat="1" x14ac:dyDescent="0.2"/>
    <row r="65" s="27" customFormat="1" x14ac:dyDescent="0.2"/>
    <row r="66" s="27" customFormat="1" x14ac:dyDescent="0.2"/>
    <row r="67" s="27" customFormat="1" x14ac:dyDescent="0.2"/>
    <row r="68" s="27" customFormat="1" x14ac:dyDescent="0.2"/>
    <row r="69" s="27" customFormat="1" x14ac:dyDescent="0.2"/>
    <row r="70" s="27" customFormat="1" x14ac:dyDescent="0.2"/>
    <row r="71" s="27" customFormat="1" x14ac:dyDescent="0.2"/>
    <row r="72" s="27" customFormat="1" x14ac:dyDescent="0.2"/>
    <row r="73" s="27" customFormat="1" x14ac:dyDescent="0.2"/>
    <row r="74" s="27" customFormat="1" x14ac:dyDescent="0.2"/>
    <row r="75" s="27" customFormat="1" x14ac:dyDescent="0.2"/>
    <row r="76" s="27" customFormat="1" x14ac:dyDescent="0.2"/>
    <row r="77" s="27" customFormat="1" x14ac:dyDescent="0.2"/>
    <row r="78" s="27" customFormat="1" x14ac:dyDescent="0.2"/>
    <row r="79" s="27" customFormat="1" x14ac:dyDescent="0.2"/>
    <row r="80" s="27" customFormat="1" x14ac:dyDescent="0.2"/>
    <row r="81" s="27" customFormat="1" x14ac:dyDescent="0.2"/>
    <row r="82" s="27" customFormat="1" x14ac:dyDescent="0.2"/>
    <row r="83" s="27" customFormat="1" x14ac:dyDescent="0.2"/>
    <row r="84" s="27" customFormat="1" x14ac:dyDescent="0.2"/>
    <row r="85" s="27" customFormat="1" x14ac:dyDescent="0.2"/>
    <row r="86" s="27" customFormat="1" x14ac:dyDescent="0.2"/>
    <row r="87" s="27" customFormat="1" x14ac:dyDescent="0.2"/>
    <row r="88" s="27" customFormat="1" x14ac:dyDescent="0.2"/>
    <row r="89" s="27" customFormat="1" x14ac:dyDescent="0.2"/>
    <row r="90" s="27" customFormat="1" x14ac:dyDescent="0.2"/>
    <row r="91" s="27" customFormat="1" x14ac:dyDescent="0.2"/>
    <row r="92" s="27" customFormat="1" x14ac:dyDescent="0.2"/>
    <row r="93" s="27" customFormat="1" x14ac:dyDescent="0.2"/>
    <row r="94" s="27" customFormat="1" x14ac:dyDescent="0.2"/>
    <row r="95" s="27" customFormat="1" x14ac:dyDescent="0.2"/>
    <row r="96" s="27" customFormat="1" x14ac:dyDescent="0.2"/>
    <row r="97" s="27" customFormat="1" x14ac:dyDescent="0.2"/>
    <row r="98" s="27" customFormat="1" x14ac:dyDescent="0.2"/>
    <row r="99" s="27" customFormat="1" x14ac:dyDescent="0.2"/>
    <row r="100" s="27" customFormat="1" x14ac:dyDescent="0.2"/>
    <row r="101" s="27" customFormat="1" x14ac:dyDescent="0.2"/>
    <row r="102" s="27" customFormat="1" x14ac:dyDescent="0.2"/>
    <row r="103" s="27" customFormat="1" x14ac:dyDescent="0.2"/>
    <row r="104" s="27" customFormat="1" x14ac:dyDescent="0.2"/>
    <row r="105" s="27" customFormat="1" x14ac:dyDescent="0.2"/>
    <row r="106" s="27" customFormat="1" x14ac:dyDescent="0.2"/>
    <row r="107" s="27" customFormat="1" x14ac:dyDescent="0.2"/>
    <row r="108" s="27" customFormat="1" x14ac:dyDescent="0.2"/>
    <row r="109" s="27" customFormat="1" x14ac:dyDescent="0.2"/>
    <row r="110" s="27" customFormat="1" x14ac:dyDescent="0.2"/>
    <row r="111" s="27" customFormat="1" x14ac:dyDescent="0.2"/>
    <row r="112" s="27" customFormat="1" x14ac:dyDescent="0.2"/>
    <row r="113" s="27" customFormat="1" x14ac:dyDescent="0.2"/>
    <row r="114" s="27" customFormat="1" x14ac:dyDescent="0.2"/>
    <row r="115" s="27" customFormat="1" x14ac:dyDescent="0.2"/>
    <row r="116" s="27" customFormat="1" x14ac:dyDescent="0.2"/>
    <row r="117" s="27" customFormat="1" x14ac:dyDescent="0.2"/>
    <row r="118" s="27" customFormat="1" x14ac:dyDescent="0.2"/>
    <row r="119" s="27" customFormat="1" x14ac:dyDescent="0.2"/>
    <row r="120" s="27" customFormat="1" x14ac:dyDescent="0.2"/>
    <row r="121" s="27" customFormat="1" x14ac:dyDescent="0.2"/>
    <row r="122" s="27" customFormat="1" x14ac:dyDescent="0.2"/>
    <row r="123" s="27" customFormat="1" x14ac:dyDescent="0.2"/>
    <row r="124" s="27" customFormat="1" x14ac:dyDescent="0.2"/>
    <row r="125" s="27" customFormat="1" x14ac:dyDescent="0.2"/>
    <row r="126" s="27" customFormat="1" x14ac:dyDescent="0.2"/>
    <row r="127" s="27" customFormat="1" x14ac:dyDescent="0.2"/>
    <row r="128" s="27" customFormat="1" x14ac:dyDescent="0.2"/>
    <row r="129" s="27" customFormat="1" x14ac:dyDescent="0.2"/>
    <row r="130" s="27" customFormat="1" x14ac:dyDescent="0.2"/>
    <row r="131" s="27" customFormat="1" x14ac:dyDescent="0.2"/>
    <row r="132" s="27" customFormat="1" x14ac:dyDescent="0.2"/>
    <row r="133" s="27" customFormat="1" x14ac:dyDescent="0.2"/>
    <row r="134" s="27" customFormat="1" x14ac:dyDescent="0.2"/>
    <row r="135" s="27" customFormat="1" x14ac:dyDescent="0.2"/>
    <row r="136" s="27" customFormat="1" x14ac:dyDescent="0.2"/>
    <row r="137" s="27" customFormat="1" x14ac:dyDescent="0.2"/>
  </sheetData>
  <mergeCells count="1">
    <mergeCell ref="A3:B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131"/>
  <sheetViews>
    <sheetView zoomScale="180" zoomScaleNormal="180" workbookViewId="0">
      <pane xSplit="2" ySplit="5" topLeftCell="L6" activePane="bottomRight" state="frozen"/>
      <selection pane="topRight" activeCell="C1" sqref="C1"/>
      <selection pane="bottomLeft" activeCell="A6" sqref="A6"/>
      <selection pane="bottomRight" activeCell="N11" sqref="N11"/>
    </sheetView>
  </sheetViews>
  <sheetFormatPr defaultColWidth="11.42578125" defaultRowHeight="12.75" x14ac:dyDescent="0.2"/>
  <cols>
    <col min="1" max="1" width="1.28515625" style="27" customWidth="1"/>
    <col min="2" max="2" width="23.28515625" style="95" customWidth="1"/>
    <col min="3" max="14" width="21.140625" style="27" customWidth="1"/>
    <col min="15" max="16384" width="11.42578125" style="27"/>
  </cols>
  <sheetData>
    <row r="1" spans="1:14" ht="15.75" x14ac:dyDescent="0.25">
      <c r="A1" s="174" t="s">
        <v>60</v>
      </c>
      <c r="B1" s="174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4" ht="18" customHeight="1" thickBot="1" x14ac:dyDescent="0.25">
      <c r="A2" s="176" t="s">
        <v>30</v>
      </c>
      <c r="B2" s="176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</row>
    <row r="3" spans="1:14" x14ac:dyDescent="0.2">
      <c r="A3" s="214" t="s">
        <v>31</v>
      </c>
      <c r="B3" s="215"/>
      <c r="C3" s="177" t="s">
        <v>135</v>
      </c>
      <c r="D3" s="177" t="s">
        <v>80</v>
      </c>
      <c r="E3" s="177" t="s">
        <v>83</v>
      </c>
      <c r="F3" s="177" t="s">
        <v>136</v>
      </c>
      <c r="G3" s="177" t="s">
        <v>137</v>
      </c>
      <c r="H3" s="177" t="s">
        <v>138</v>
      </c>
      <c r="I3" s="177" t="s">
        <v>139</v>
      </c>
      <c r="J3" s="177" t="s">
        <v>140</v>
      </c>
      <c r="K3" s="177" t="s">
        <v>141</v>
      </c>
      <c r="L3" s="177" t="s">
        <v>142</v>
      </c>
      <c r="M3" s="177" t="s">
        <v>143</v>
      </c>
      <c r="N3" s="178" t="s">
        <v>144</v>
      </c>
    </row>
    <row r="4" spans="1:14" x14ac:dyDescent="0.2">
      <c r="A4" s="216"/>
      <c r="B4" s="217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4"/>
    </row>
    <row r="5" spans="1:14" s="68" customFormat="1" ht="13.5" thickBot="1" x14ac:dyDescent="0.25">
      <c r="A5" s="189" t="s">
        <v>147</v>
      </c>
      <c r="B5" s="190"/>
      <c r="C5" s="191">
        <v>32000</v>
      </c>
      <c r="D5" s="191">
        <v>-7000</v>
      </c>
      <c r="E5" s="191">
        <v>-32000</v>
      </c>
      <c r="F5" s="191">
        <v>118000</v>
      </c>
      <c r="G5" s="191">
        <v>100000</v>
      </c>
      <c r="H5" s="191">
        <v>125000</v>
      </c>
      <c r="I5" s="191">
        <v>121000</v>
      </c>
      <c r="J5" s="191">
        <v>230000</v>
      </c>
      <c r="K5" s="191">
        <v>250000</v>
      </c>
      <c r="L5" s="191">
        <v>269000</v>
      </c>
      <c r="M5" s="191">
        <v>315000</v>
      </c>
      <c r="N5" s="192">
        <v>418000</v>
      </c>
    </row>
    <row r="6" spans="1:14" ht="13.5" thickBot="1" x14ac:dyDescent="0.25">
      <c r="A6" s="40"/>
      <c r="B6" s="92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</row>
    <row r="7" spans="1:14" s="55" customFormat="1" x14ac:dyDescent="0.2">
      <c r="A7" s="193" t="s">
        <v>14</v>
      </c>
      <c r="B7" s="194"/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6"/>
    </row>
    <row r="8" spans="1:14" s="55" customFormat="1" ht="13.5" thickBot="1" x14ac:dyDescent="0.25">
      <c r="A8" s="201"/>
      <c r="B8" s="89" t="s">
        <v>149</v>
      </c>
      <c r="C8" s="202">
        <f>C5*15%</f>
        <v>4800</v>
      </c>
      <c r="D8" s="207"/>
      <c r="E8" s="207"/>
      <c r="F8" s="202">
        <f t="shared" ref="F8:N8" si="0">F5*15%</f>
        <v>17700</v>
      </c>
      <c r="G8" s="202">
        <f t="shared" si="0"/>
        <v>15000</v>
      </c>
      <c r="H8" s="202">
        <f t="shared" si="0"/>
        <v>18750</v>
      </c>
      <c r="I8" s="202">
        <f t="shared" si="0"/>
        <v>18150</v>
      </c>
      <c r="J8" s="202">
        <f t="shared" si="0"/>
        <v>34500</v>
      </c>
      <c r="K8" s="202">
        <f t="shared" si="0"/>
        <v>37500</v>
      </c>
      <c r="L8" s="202">
        <f t="shared" si="0"/>
        <v>40350</v>
      </c>
      <c r="M8" s="202">
        <f t="shared" si="0"/>
        <v>47250</v>
      </c>
      <c r="N8" s="203">
        <f t="shared" si="0"/>
        <v>62700</v>
      </c>
    </row>
    <row r="9" spans="1:14" ht="13.5" thickBot="1" x14ac:dyDescent="0.25">
      <c r="B9" s="27"/>
    </row>
    <row r="10" spans="1:14" x14ac:dyDescent="0.2">
      <c r="A10" s="193" t="s">
        <v>151</v>
      </c>
      <c r="B10" s="194"/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6"/>
    </row>
    <row r="11" spans="1:14" x14ac:dyDescent="0.2">
      <c r="A11" s="197"/>
      <c r="B11" s="198" t="s">
        <v>152</v>
      </c>
      <c r="C11" s="209"/>
      <c r="D11" s="209">
        <f>C12</f>
        <v>4800</v>
      </c>
      <c r="E11" s="209">
        <f>D11</f>
        <v>4800</v>
      </c>
      <c r="F11" s="209">
        <f>E11</f>
        <v>4800</v>
      </c>
      <c r="G11" s="209">
        <f>F11+F12</f>
        <v>17700</v>
      </c>
      <c r="H11" s="209">
        <f>G11</f>
        <v>17700</v>
      </c>
      <c r="I11" s="209">
        <f>H11+H12</f>
        <v>18750</v>
      </c>
      <c r="J11" s="209">
        <f>I11</f>
        <v>18750</v>
      </c>
      <c r="K11" s="209">
        <f>J11+J12</f>
        <v>34500</v>
      </c>
      <c r="L11" s="209">
        <f>K11+K12</f>
        <v>37500</v>
      </c>
      <c r="M11" s="209">
        <f>L11+L12</f>
        <v>40350</v>
      </c>
      <c r="N11" s="208">
        <f>M11+M12</f>
        <v>47250</v>
      </c>
    </row>
    <row r="12" spans="1:14" ht="13.5" thickBot="1" x14ac:dyDescent="0.25">
      <c r="A12" s="201"/>
      <c r="B12" s="89" t="s">
        <v>153</v>
      </c>
      <c r="C12" s="202">
        <f>C8</f>
        <v>4800</v>
      </c>
      <c r="D12" s="202"/>
      <c r="E12" s="202"/>
      <c r="F12" s="202">
        <f>F8-F11</f>
        <v>12900</v>
      </c>
      <c r="G12" s="202"/>
      <c r="H12" s="202">
        <f>H8-H11</f>
        <v>1050</v>
      </c>
      <c r="I12" s="202"/>
      <c r="J12" s="202">
        <f>J8-J11</f>
        <v>15750</v>
      </c>
      <c r="K12" s="202">
        <f>K8-K11</f>
        <v>3000</v>
      </c>
      <c r="L12" s="202">
        <f>L8-L11</f>
        <v>2850</v>
      </c>
      <c r="M12" s="202">
        <f>M8-M11</f>
        <v>6900</v>
      </c>
      <c r="N12" s="211">
        <f>N8-N11</f>
        <v>15450</v>
      </c>
    </row>
    <row r="13" spans="1:14" x14ac:dyDescent="0.2">
      <c r="B13" s="27"/>
    </row>
    <row r="14" spans="1:14" x14ac:dyDescent="0.2">
      <c r="B14" s="27"/>
    </row>
    <row r="15" spans="1:14" x14ac:dyDescent="0.2">
      <c r="B15" s="27"/>
    </row>
    <row r="16" spans="1:14" x14ac:dyDescent="0.2">
      <c r="B16" s="27"/>
    </row>
    <row r="17" spans="2:2" x14ac:dyDescent="0.2">
      <c r="B17" s="27"/>
    </row>
    <row r="18" spans="2:2" x14ac:dyDescent="0.2">
      <c r="B18" s="27"/>
    </row>
    <row r="19" spans="2:2" x14ac:dyDescent="0.2">
      <c r="B19" s="27"/>
    </row>
    <row r="20" spans="2:2" x14ac:dyDescent="0.2">
      <c r="B20" s="27"/>
    </row>
    <row r="21" spans="2:2" x14ac:dyDescent="0.2">
      <c r="B21" s="27"/>
    </row>
    <row r="22" spans="2:2" x14ac:dyDescent="0.2">
      <c r="B22" s="27"/>
    </row>
    <row r="23" spans="2:2" x14ac:dyDescent="0.2">
      <c r="B23" s="27"/>
    </row>
    <row r="24" spans="2:2" x14ac:dyDescent="0.2">
      <c r="B24" s="27"/>
    </row>
    <row r="25" spans="2:2" x14ac:dyDescent="0.2">
      <c r="B25" s="27"/>
    </row>
    <row r="26" spans="2:2" x14ac:dyDescent="0.2">
      <c r="B26" s="27"/>
    </row>
    <row r="27" spans="2:2" x14ac:dyDescent="0.2">
      <c r="B27" s="27"/>
    </row>
    <row r="28" spans="2:2" x14ac:dyDescent="0.2">
      <c r="B28" s="27"/>
    </row>
    <row r="29" spans="2:2" x14ac:dyDescent="0.2">
      <c r="B29" s="27"/>
    </row>
    <row r="30" spans="2:2" x14ac:dyDescent="0.2">
      <c r="B30" s="27"/>
    </row>
    <row r="31" spans="2:2" x14ac:dyDescent="0.2">
      <c r="B31" s="27"/>
    </row>
    <row r="32" spans="2:2" x14ac:dyDescent="0.2">
      <c r="B32" s="27"/>
    </row>
    <row r="33" spans="2:2" x14ac:dyDescent="0.2">
      <c r="B33" s="27"/>
    </row>
    <row r="34" spans="2:2" x14ac:dyDescent="0.2">
      <c r="B34" s="27"/>
    </row>
    <row r="35" spans="2:2" x14ac:dyDescent="0.2">
      <c r="B35" s="27"/>
    </row>
    <row r="36" spans="2:2" x14ac:dyDescent="0.2">
      <c r="B36" s="27"/>
    </row>
    <row r="37" spans="2:2" x14ac:dyDescent="0.2">
      <c r="B37" s="27"/>
    </row>
    <row r="38" spans="2:2" x14ac:dyDescent="0.2">
      <c r="B38" s="27"/>
    </row>
    <row r="39" spans="2:2" x14ac:dyDescent="0.2">
      <c r="B39" s="27"/>
    </row>
    <row r="40" spans="2:2" x14ac:dyDescent="0.2">
      <c r="B40" s="27"/>
    </row>
    <row r="41" spans="2:2" x14ac:dyDescent="0.2">
      <c r="B41" s="27"/>
    </row>
    <row r="42" spans="2:2" x14ac:dyDescent="0.2">
      <c r="B42" s="27"/>
    </row>
    <row r="43" spans="2:2" x14ac:dyDescent="0.2">
      <c r="B43" s="27"/>
    </row>
    <row r="44" spans="2:2" x14ac:dyDescent="0.2">
      <c r="B44" s="27"/>
    </row>
    <row r="45" spans="2:2" x14ac:dyDescent="0.2">
      <c r="B45" s="27"/>
    </row>
    <row r="46" spans="2:2" x14ac:dyDescent="0.2">
      <c r="B46" s="27"/>
    </row>
    <row r="47" spans="2:2" x14ac:dyDescent="0.2">
      <c r="B47" s="27"/>
    </row>
    <row r="48" spans="2:2" x14ac:dyDescent="0.2">
      <c r="B48" s="27"/>
    </row>
    <row r="49" spans="2:2" x14ac:dyDescent="0.2">
      <c r="B49" s="27"/>
    </row>
    <row r="50" spans="2:2" x14ac:dyDescent="0.2">
      <c r="B50" s="27"/>
    </row>
    <row r="51" spans="2:2" x14ac:dyDescent="0.2">
      <c r="B51" s="27"/>
    </row>
    <row r="52" spans="2:2" x14ac:dyDescent="0.2">
      <c r="B52" s="27"/>
    </row>
    <row r="53" spans="2:2" x14ac:dyDescent="0.2">
      <c r="B53" s="27"/>
    </row>
    <row r="54" spans="2:2" x14ac:dyDescent="0.2">
      <c r="B54" s="27"/>
    </row>
    <row r="55" spans="2:2" x14ac:dyDescent="0.2">
      <c r="B55" s="27"/>
    </row>
    <row r="56" spans="2:2" x14ac:dyDescent="0.2">
      <c r="B56" s="27"/>
    </row>
    <row r="57" spans="2:2" x14ac:dyDescent="0.2">
      <c r="B57" s="27"/>
    </row>
    <row r="58" spans="2:2" x14ac:dyDescent="0.2">
      <c r="B58" s="27"/>
    </row>
    <row r="59" spans="2:2" x14ac:dyDescent="0.2">
      <c r="B59" s="27"/>
    </row>
    <row r="60" spans="2:2" x14ac:dyDescent="0.2">
      <c r="B60" s="27"/>
    </row>
    <row r="61" spans="2:2" x14ac:dyDescent="0.2">
      <c r="B61" s="27"/>
    </row>
    <row r="62" spans="2:2" x14ac:dyDescent="0.2">
      <c r="B62" s="27"/>
    </row>
    <row r="63" spans="2:2" x14ac:dyDescent="0.2">
      <c r="B63" s="27"/>
    </row>
    <row r="64" spans="2:2" x14ac:dyDescent="0.2">
      <c r="B64" s="27"/>
    </row>
    <row r="65" spans="2:2" x14ac:dyDescent="0.2">
      <c r="B65" s="27"/>
    </row>
    <row r="66" spans="2:2" x14ac:dyDescent="0.2">
      <c r="B66" s="27"/>
    </row>
    <row r="67" spans="2:2" x14ac:dyDescent="0.2">
      <c r="B67" s="27"/>
    </row>
    <row r="68" spans="2:2" x14ac:dyDescent="0.2">
      <c r="B68" s="27"/>
    </row>
    <row r="69" spans="2:2" x14ac:dyDescent="0.2">
      <c r="B69" s="27"/>
    </row>
    <row r="70" spans="2:2" x14ac:dyDescent="0.2">
      <c r="B70" s="27"/>
    </row>
    <row r="71" spans="2:2" x14ac:dyDescent="0.2">
      <c r="B71" s="27"/>
    </row>
    <row r="72" spans="2:2" x14ac:dyDescent="0.2">
      <c r="B72" s="27"/>
    </row>
    <row r="73" spans="2:2" x14ac:dyDescent="0.2">
      <c r="B73" s="27"/>
    </row>
    <row r="74" spans="2:2" x14ac:dyDescent="0.2">
      <c r="B74" s="27"/>
    </row>
    <row r="75" spans="2:2" x14ac:dyDescent="0.2">
      <c r="B75" s="27"/>
    </row>
    <row r="76" spans="2:2" x14ac:dyDescent="0.2">
      <c r="B76" s="27"/>
    </row>
    <row r="77" spans="2:2" x14ac:dyDescent="0.2">
      <c r="B77" s="27"/>
    </row>
    <row r="78" spans="2:2" x14ac:dyDescent="0.2">
      <c r="B78" s="27"/>
    </row>
    <row r="79" spans="2:2" x14ac:dyDescent="0.2">
      <c r="B79" s="27"/>
    </row>
    <row r="80" spans="2:2" x14ac:dyDescent="0.2">
      <c r="B80" s="27"/>
    </row>
    <row r="81" spans="2:2" x14ac:dyDescent="0.2">
      <c r="B81" s="27"/>
    </row>
    <row r="82" spans="2:2" x14ac:dyDescent="0.2">
      <c r="B82" s="27"/>
    </row>
    <row r="83" spans="2:2" x14ac:dyDescent="0.2">
      <c r="B83" s="27"/>
    </row>
    <row r="84" spans="2:2" x14ac:dyDescent="0.2">
      <c r="B84" s="27"/>
    </row>
    <row r="85" spans="2:2" x14ac:dyDescent="0.2">
      <c r="B85" s="27"/>
    </row>
    <row r="86" spans="2:2" x14ac:dyDescent="0.2">
      <c r="B86" s="27"/>
    </row>
    <row r="87" spans="2:2" x14ac:dyDescent="0.2">
      <c r="B87" s="27"/>
    </row>
    <row r="88" spans="2:2" x14ac:dyDescent="0.2">
      <c r="B88" s="27"/>
    </row>
    <row r="89" spans="2:2" x14ac:dyDescent="0.2">
      <c r="B89" s="27"/>
    </row>
    <row r="90" spans="2:2" x14ac:dyDescent="0.2">
      <c r="B90" s="27"/>
    </row>
    <row r="91" spans="2:2" x14ac:dyDescent="0.2">
      <c r="B91" s="27"/>
    </row>
    <row r="92" spans="2:2" x14ac:dyDescent="0.2">
      <c r="B92" s="27"/>
    </row>
    <row r="93" spans="2:2" x14ac:dyDescent="0.2">
      <c r="B93" s="27"/>
    </row>
    <row r="94" spans="2:2" x14ac:dyDescent="0.2">
      <c r="B94" s="27"/>
    </row>
    <row r="95" spans="2:2" x14ac:dyDescent="0.2">
      <c r="B95" s="27"/>
    </row>
    <row r="96" spans="2:2" x14ac:dyDescent="0.2">
      <c r="B96" s="27"/>
    </row>
    <row r="97" spans="2:2" x14ac:dyDescent="0.2">
      <c r="B97" s="27"/>
    </row>
    <row r="98" spans="2:2" x14ac:dyDescent="0.2">
      <c r="B98" s="27"/>
    </row>
    <row r="99" spans="2:2" x14ac:dyDescent="0.2">
      <c r="B99" s="27"/>
    </row>
    <row r="100" spans="2:2" x14ac:dyDescent="0.2">
      <c r="B100" s="27"/>
    </row>
    <row r="101" spans="2:2" x14ac:dyDescent="0.2">
      <c r="B101" s="27"/>
    </row>
    <row r="102" spans="2:2" x14ac:dyDescent="0.2">
      <c r="B102" s="27"/>
    </row>
    <row r="103" spans="2:2" x14ac:dyDescent="0.2">
      <c r="B103" s="27"/>
    </row>
    <row r="104" spans="2:2" x14ac:dyDescent="0.2">
      <c r="B104" s="27"/>
    </row>
    <row r="105" spans="2:2" x14ac:dyDescent="0.2">
      <c r="B105" s="27"/>
    </row>
    <row r="106" spans="2:2" x14ac:dyDescent="0.2">
      <c r="B106" s="27"/>
    </row>
    <row r="107" spans="2:2" x14ac:dyDescent="0.2">
      <c r="B107" s="27"/>
    </row>
    <row r="108" spans="2:2" x14ac:dyDescent="0.2">
      <c r="B108" s="27"/>
    </row>
    <row r="109" spans="2:2" x14ac:dyDescent="0.2">
      <c r="B109" s="27"/>
    </row>
    <row r="110" spans="2:2" x14ac:dyDescent="0.2">
      <c r="B110" s="27"/>
    </row>
    <row r="111" spans="2:2" x14ac:dyDescent="0.2">
      <c r="B111" s="27"/>
    </row>
    <row r="112" spans="2:2" x14ac:dyDescent="0.2">
      <c r="B112" s="27"/>
    </row>
    <row r="113" spans="2:2" x14ac:dyDescent="0.2">
      <c r="B113" s="27"/>
    </row>
    <row r="114" spans="2:2" x14ac:dyDescent="0.2">
      <c r="B114" s="27"/>
    </row>
    <row r="115" spans="2:2" x14ac:dyDescent="0.2">
      <c r="B115" s="27"/>
    </row>
    <row r="116" spans="2:2" x14ac:dyDescent="0.2">
      <c r="B116" s="27"/>
    </row>
    <row r="117" spans="2:2" x14ac:dyDescent="0.2">
      <c r="B117" s="27"/>
    </row>
    <row r="118" spans="2:2" x14ac:dyDescent="0.2">
      <c r="B118" s="27"/>
    </row>
    <row r="119" spans="2:2" x14ac:dyDescent="0.2">
      <c r="B119" s="27"/>
    </row>
    <row r="120" spans="2:2" x14ac:dyDescent="0.2">
      <c r="B120" s="27"/>
    </row>
    <row r="121" spans="2:2" x14ac:dyDescent="0.2">
      <c r="B121" s="27"/>
    </row>
    <row r="122" spans="2:2" x14ac:dyDescent="0.2">
      <c r="B122" s="27"/>
    </row>
    <row r="123" spans="2:2" x14ac:dyDescent="0.2">
      <c r="B123" s="27"/>
    </row>
    <row r="124" spans="2:2" x14ac:dyDescent="0.2">
      <c r="B124" s="27"/>
    </row>
    <row r="125" spans="2:2" x14ac:dyDescent="0.2">
      <c r="B125" s="27"/>
    </row>
    <row r="126" spans="2:2" x14ac:dyDescent="0.2">
      <c r="B126" s="27"/>
    </row>
    <row r="127" spans="2:2" x14ac:dyDescent="0.2">
      <c r="B127" s="27"/>
    </row>
    <row r="128" spans="2:2" x14ac:dyDescent="0.2">
      <c r="B128" s="27"/>
    </row>
    <row r="129" spans="2:2" x14ac:dyDescent="0.2">
      <c r="B129" s="27"/>
    </row>
    <row r="130" spans="2:2" x14ac:dyDescent="0.2">
      <c r="B130" s="27"/>
    </row>
    <row r="131" spans="2:2" x14ac:dyDescent="0.2">
      <c r="B131" s="27"/>
    </row>
  </sheetData>
  <mergeCells count="1">
    <mergeCell ref="A3:B4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4"/>
  <sheetViews>
    <sheetView topLeftCell="A19" zoomScale="160" zoomScaleNormal="160" workbookViewId="0">
      <pane xSplit="1" topLeftCell="B1" activePane="topRight" state="frozen"/>
      <selection activeCell="A4" sqref="A4:B5"/>
      <selection pane="topRight" activeCell="A35" sqref="A35"/>
    </sheetView>
  </sheetViews>
  <sheetFormatPr defaultRowHeight="15" x14ac:dyDescent="0.25"/>
  <cols>
    <col min="1" max="1" width="19.5703125" customWidth="1"/>
    <col min="2" max="3" width="11.85546875" style="2" bestFit="1" customWidth="1"/>
    <col min="4" max="5" width="12.28515625" style="2" bestFit="1" customWidth="1"/>
    <col min="6" max="13" width="12.85546875" style="2" bestFit="1" customWidth="1"/>
  </cols>
  <sheetData>
    <row r="1" spans="1:13" x14ac:dyDescent="0.25">
      <c r="A1" s="19" t="s">
        <v>23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3" spans="1:13" ht="15.75" thickBot="1" x14ac:dyDescent="0.3">
      <c r="A3" s="4" t="s">
        <v>13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</row>
    <row r="4" spans="1:13" ht="15.75" thickBot="1" x14ac:dyDescent="0.3">
      <c r="A4" s="6" t="s">
        <v>0</v>
      </c>
      <c r="B4" s="18">
        <v>15000</v>
      </c>
      <c r="C4" s="18">
        <v>45000</v>
      </c>
      <c r="D4" s="18">
        <v>59000</v>
      </c>
      <c r="E4" s="18">
        <v>120000</v>
      </c>
      <c r="F4" s="18">
        <v>150000</v>
      </c>
      <c r="G4" s="18">
        <v>12000</v>
      </c>
      <c r="H4" s="18">
        <v>67000</v>
      </c>
      <c r="I4" s="18">
        <v>180000</v>
      </c>
      <c r="J4" s="18">
        <v>250000</v>
      </c>
      <c r="K4" s="18">
        <v>300000</v>
      </c>
      <c r="L4" s="18">
        <v>280000</v>
      </c>
      <c r="M4" s="18">
        <v>240000</v>
      </c>
    </row>
    <row r="5" spans="1:13" ht="12" customHeight="1" x14ac:dyDescent="0.25"/>
    <row r="6" spans="1:13" x14ac:dyDescent="0.25">
      <c r="A6" s="1" t="s">
        <v>14</v>
      </c>
      <c r="B6" s="14">
        <f t="shared" ref="B6:M6" si="0">B4*15%</f>
        <v>2250</v>
      </c>
      <c r="C6" s="14">
        <f t="shared" si="0"/>
        <v>6750</v>
      </c>
      <c r="D6" s="14">
        <f t="shared" si="0"/>
        <v>8850</v>
      </c>
      <c r="E6" s="14">
        <f t="shared" si="0"/>
        <v>18000</v>
      </c>
      <c r="F6" s="14">
        <f t="shared" si="0"/>
        <v>22500</v>
      </c>
      <c r="G6" s="14">
        <f t="shared" si="0"/>
        <v>1800</v>
      </c>
      <c r="H6" s="14">
        <f t="shared" si="0"/>
        <v>10050</v>
      </c>
      <c r="I6" s="14">
        <f t="shared" si="0"/>
        <v>27000</v>
      </c>
      <c r="J6" s="14">
        <f t="shared" si="0"/>
        <v>37500</v>
      </c>
      <c r="K6" s="14">
        <f t="shared" si="0"/>
        <v>45000</v>
      </c>
      <c r="L6" s="14">
        <f t="shared" si="0"/>
        <v>42000</v>
      </c>
      <c r="M6" s="14">
        <f t="shared" si="0"/>
        <v>36000</v>
      </c>
    </row>
    <row r="7" spans="1:13" ht="12" customHeight="1" x14ac:dyDescent="0.25"/>
    <row r="8" spans="1:13" ht="15.75" thickBot="1" x14ac:dyDescent="0.3">
      <c r="A8" s="8" t="s">
        <v>17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5.75" thickBot="1" x14ac:dyDescent="0.3">
      <c r="A9" s="9" t="s">
        <v>18</v>
      </c>
      <c r="B9" s="7">
        <v>20000</v>
      </c>
      <c r="C9" s="7">
        <v>20000</v>
      </c>
      <c r="D9" s="7">
        <v>20000</v>
      </c>
      <c r="E9" s="7">
        <v>20000</v>
      </c>
      <c r="F9" s="7">
        <v>20000</v>
      </c>
      <c r="G9" s="7">
        <v>20000</v>
      </c>
      <c r="H9" s="7">
        <v>20000</v>
      </c>
      <c r="I9" s="7">
        <v>20000</v>
      </c>
      <c r="J9" s="7">
        <v>20000</v>
      </c>
      <c r="K9" s="7">
        <v>20000</v>
      </c>
      <c r="L9" s="7">
        <v>20000</v>
      </c>
      <c r="M9" s="7">
        <v>20000</v>
      </c>
    </row>
    <row r="10" spans="1:13" x14ac:dyDescent="0.25">
      <c r="A10" s="10" t="s">
        <v>16</v>
      </c>
      <c r="B10" s="11">
        <f>B9</f>
        <v>20000</v>
      </c>
      <c r="C10" s="11">
        <f t="shared" ref="C10:M10" si="1">C9+B10</f>
        <v>40000</v>
      </c>
      <c r="D10" s="11">
        <f t="shared" si="1"/>
        <v>60000</v>
      </c>
      <c r="E10" s="11">
        <f t="shared" si="1"/>
        <v>80000</v>
      </c>
      <c r="F10" s="11">
        <f t="shared" si="1"/>
        <v>100000</v>
      </c>
      <c r="G10" s="11">
        <f t="shared" si="1"/>
        <v>120000</v>
      </c>
      <c r="H10" s="11">
        <f t="shared" si="1"/>
        <v>140000</v>
      </c>
      <c r="I10" s="11">
        <f t="shared" si="1"/>
        <v>160000</v>
      </c>
      <c r="J10" s="11">
        <f t="shared" si="1"/>
        <v>180000</v>
      </c>
      <c r="K10" s="11">
        <f t="shared" si="1"/>
        <v>200000</v>
      </c>
      <c r="L10" s="11">
        <f t="shared" si="1"/>
        <v>220000</v>
      </c>
      <c r="M10" s="11">
        <f t="shared" si="1"/>
        <v>240000</v>
      </c>
    </row>
    <row r="11" spans="1:13" ht="12" customHeight="1" x14ac:dyDescent="0.25"/>
    <row r="12" spans="1:13" x14ac:dyDescent="0.25">
      <c r="A12" s="12" t="s">
        <v>19</v>
      </c>
      <c r="B12" s="13">
        <f t="shared" ref="B12:M12" si="2">B4-B10</f>
        <v>-5000</v>
      </c>
      <c r="C12" s="13">
        <f t="shared" si="2"/>
        <v>5000</v>
      </c>
      <c r="D12" s="13">
        <f t="shared" si="2"/>
        <v>-1000</v>
      </c>
      <c r="E12" s="13">
        <f t="shared" si="2"/>
        <v>40000</v>
      </c>
      <c r="F12" s="13">
        <f t="shared" si="2"/>
        <v>50000</v>
      </c>
      <c r="G12" s="13">
        <f t="shared" si="2"/>
        <v>-108000</v>
      </c>
      <c r="H12" s="13">
        <f t="shared" si="2"/>
        <v>-73000</v>
      </c>
      <c r="I12" s="13">
        <f t="shared" si="2"/>
        <v>20000</v>
      </c>
      <c r="J12" s="13">
        <f t="shared" si="2"/>
        <v>70000</v>
      </c>
      <c r="K12" s="13">
        <f t="shared" si="2"/>
        <v>100000</v>
      </c>
      <c r="L12" s="13">
        <f t="shared" si="2"/>
        <v>60000</v>
      </c>
      <c r="M12" s="13">
        <f t="shared" si="2"/>
        <v>0</v>
      </c>
    </row>
    <row r="13" spans="1:13" ht="12" customHeight="1" x14ac:dyDescent="0.25"/>
    <row r="14" spans="1:13" x14ac:dyDescent="0.25">
      <c r="A14" s="1" t="s">
        <v>20</v>
      </c>
      <c r="B14" s="17"/>
      <c r="C14" s="14">
        <f>C12*10%</f>
        <v>500</v>
      </c>
      <c r="D14" s="17"/>
      <c r="E14" s="14">
        <f>E12*10%</f>
        <v>4000</v>
      </c>
      <c r="F14" s="14">
        <f>F12*10%</f>
        <v>5000</v>
      </c>
      <c r="G14" s="17"/>
      <c r="H14" s="17"/>
      <c r="I14" s="14">
        <f>I12*10%</f>
        <v>2000</v>
      </c>
      <c r="J14" s="14">
        <f>J12*10%</f>
        <v>7000</v>
      </c>
      <c r="K14" s="14">
        <f>K12*10%</f>
        <v>10000</v>
      </c>
      <c r="L14" s="14">
        <f>L12*10%</f>
        <v>6000</v>
      </c>
      <c r="M14" s="17"/>
    </row>
    <row r="15" spans="1:13" ht="12" customHeight="1" x14ac:dyDescent="0.25"/>
    <row r="16" spans="1:13" ht="15.75" thickBot="1" x14ac:dyDescent="0.3">
      <c r="A16" s="8" t="s">
        <v>21</v>
      </c>
      <c r="B16" s="4">
        <f>B6+B14</f>
        <v>2250</v>
      </c>
      <c r="C16" s="4">
        <f t="shared" ref="C16:M16" si="3">C6+C14</f>
        <v>7250</v>
      </c>
      <c r="D16" s="4">
        <f t="shared" si="3"/>
        <v>8850</v>
      </c>
      <c r="E16" s="4">
        <f t="shared" si="3"/>
        <v>22000</v>
      </c>
      <c r="F16" s="4">
        <f t="shared" si="3"/>
        <v>27500</v>
      </c>
      <c r="G16" s="4">
        <f t="shared" si="3"/>
        <v>1800</v>
      </c>
      <c r="H16" s="4">
        <f t="shared" si="3"/>
        <v>10050</v>
      </c>
      <c r="I16" s="4">
        <f t="shared" si="3"/>
        <v>29000</v>
      </c>
      <c r="J16" s="4">
        <f t="shared" si="3"/>
        <v>44500</v>
      </c>
      <c r="K16" s="4">
        <f t="shared" si="3"/>
        <v>55000</v>
      </c>
      <c r="L16" s="4">
        <f t="shared" si="3"/>
        <v>48000</v>
      </c>
      <c r="M16" s="4">
        <f t="shared" si="3"/>
        <v>36000</v>
      </c>
    </row>
    <row r="19" spans="1:5" customFormat="1" x14ac:dyDescent="0.25">
      <c r="A19" s="21" t="s">
        <v>24</v>
      </c>
      <c r="B19" s="22"/>
      <c r="C19" s="22"/>
      <c r="D19" s="22"/>
      <c r="E19" s="22"/>
    </row>
    <row r="21" spans="1:5" customFormat="1" ht="15.75" thickBot="1" x14ac:dyDescent="0.3">
      <c r="A21" s="4" t="s">
        <v>13</v>
      </c>
      <c r="B21" s="5" t="s">
        <v>25</v>
      </c>
      <c r="C21" s="5" t="s">
        <v>26</v>
      </c>
      <c r="D21" s="5" t="s">
        <v>27</v>
      </c>
      <c r="E21" s="5" t="s">
        <v>28</v>
      </c>
    </row>
    <row r="22" spans="1:5" customFormat="1" ht="15.75" thickBot="1" x14ac:dyDescent="0.3">
      <c r="A22" s="6" t="s">
        <v>0</v>
      </c>
      <c r="B22" s="18">
        <v>62000</v>
      </c>
      <c r="C22" s="18">
        <v>59000</v>
      </c>
      <c r="D22" s="18">
        <v>250000</v>
      </c>
      <c r="E22" s="18">
        <v>60000</v>
      </c>
    </row>
    <row r="23" spans="1:5" customFormat="1" ht="12" customHeight="1" x14ac:dyDescent="0.25">
      <c r="B23" s="2"/>
      <c r="C23" s="2"/>
      <c r="D23" s="2"/>
      <c r="E23" s="2"/>
    </row>
    <row r="24" spans="1:5" customFormat="1" x14ac:dyDescent="0.25">
      <c r="A24" s="1" t="s">
        <v>14</v>
      </c>
      <c r="B24" s="14">
        <f>B22*15%</f>
        <v>9300</v>
      </c>
      <c r="C24" s="14">
        <f>C22*15%</f>
        <v>8850</v>
      </c>
      <c r="D24" s="14">
        <f>D22*15%</f>
        <v>37500</v>
      </c>
      <c r="E24" s="14">
        <f>E22*15%</f>
        <v>9000</v>
      </c>
    </row>
    <row r="25" spans="1:5" customFormat="1" ht="12" customHeight="1" x14ac:dyDescent="0.25">
      <c r="B25" s="2"/>
      <c r="C25" s="2"/>
      <c r="D25" s="2"/>
      <c r="E25" s="2"/>
    </row>
    <row r="26" spans="1:5" customFormat="1" ht="15.75" thickBot="1" x14ac:dyDescent="0.3">
      <c r="A26" s="8" t="s">
        <v>17</v>
      </c>
      <c r="B26" s="3"/>
      <c r="C26" s="3"/>
      <c r="D26" s="3"/>
      <c r="E26" s="3"/>
    </row>
    <row r="27" spans="1:5" customFormat="1" ht="15.75" thickBot="1" x14ac:dyDescent="0.3">
      <c r="A27" s="9" t="s">
        <v>29</v>
      </c>
      <c r="B27" s="7">
        <f>20000*3</f>
        <v>60000</v>
      </c>
      <c r="C27" s="7">
        <f>20000*3</f>
        <v>60000</v>
      </c>
      <c r="D27" s="7">
        <f>20000*3</f>
        <v>60000</v>
      </c>
      <c r="E27" s="7">
        <f>20000*3</f>
        <v>60000</v>
      </c>
    </row>
    <row r="28" spans="1:5" customFormat="1" x14ac:dyDescent="0.25">
      <c r="A28" s="10" t="s">
        <v>16</v>
      </c>
      <c r="B28" s="11">
        <f>B27</f>
        <v>60000</v>
      </c>
      <c r="C28" s="11">
        <f>C27</f>
        <v>60000</v>
      </c>
      <c r="D28" s="11">
        <f>D27</f>
        <v>60000</v>
      </c>
      <c r="E28" s="11">
        <f>E27</f>
        <v>60000</v>
      </c>
    </row>
    <row r="29" spans="1:5" customFormat="1" ht="12" customHeight="1" x14ac:dyDescent="0.25">
      <c r="B29" s="2"/>
      <c r="C29" s="2"/>
      <c r="D29" s="2"/>
      <c r="E29" s="2"/>
    </row>
    <row r="30" spans="1:5" customFormat="1" x14ac:dyDescent="0.25">
      <c r="A30" s="12" t="s">
        <v>19</v>
      </c>
      <c r="B30" s="13">
        <f>B22-B28</f>
        <v>2000</v>
      </c>
      <c r="C30" s="13">
        <f>C22-C28</f>
        <v>-1000</v>
      </c>
      <c r="D30" s="13">
        <f>D22-D28</f>
        <v>190000</v>
      </c>
      <c r="E30" s="13">
        <f>E22-E28</f>
        <v>0</v>
      </c>
    </row>
    <row r="31" spans="1:5" customFormat="1" ht="12" customHeight="1" x14ac:dyDescent="0.25">
      <c r="B31" s="2"/>
      <c r="C31" s="2"/>
      <c r="D31" s="2"/>
      <c r="E31" s="2"/>
    </row>
    <row r="32" spans="1:5" customFormat="1" x14ac:dyDescent="0.25">
      <c r="A32" s="1" t="s">
        <v>20</v>
      </c>
      <c r="B32" s="13">
        <f>B30*10%</f>
        <v>200</v>
      </c>
      <c r="C32" s="17"/>
      <c r="D32" s="13">
        <f>D30*10%</f>
        <v>19000</v>
      </c>
      <c r="E32" s="17"/>
    </row>
    <row r="33" spans="1:5" customFormat="1" ht="12" customHeight="1" x14ac:dyDescent="0.25">
      <c r="B33" s="2"/>
      <c r="C33" s="2"/>
      <c r="D33" s="2"/>
      <c r="E33" s="2"/>
    </row>
    <row r="34" spans="1:5" customFormat="1" ht="15.75" thickBot="1" x14ac:dyDescent="0.3">
      <c r="A34" s="8" t="s">
        <v>21</v>
      </c>
      <c r="B34" s="4">
        <f>B24+B32</f>
        <v>9500</v>
      </c>
      <c r="C34" s="4">
        <f t="shared" ref="C34:D34" si="4">C24+C32</f>
        <v>8850</v>
      </c>
      <c r="D34" s="4">
        <f t="shared" si="4"/>
        <v>56500</v>
      </c>
      <c r="E34" s="4">
        <f t="shared" ref="E34" si="5">E24+E32</f>
        <v>9000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4"/>
  <sheetViews>
    <sheetView zoomScale="130" zoomScaleNormal="130" workbookViewId="0">
      <pane xSplit="1" ySplit="4" topLeftCell="B5" activePane="bottomRight" state="frozen"/>
      <selection activeCell="A4" sqref="A4:B5"/>
      <selection pane="topRight" activeCell="A4" sqref="A4:B5"/>
      <selection pane="bottomLeft" activeCell="A4" sqref="A4:B5"/>
      <selection pane="bottomRight" activeCell="E1" sqref="E1"/>
    </sheetView>
  </sheetViews>
  <sheetFormatPr defaultRowHeight="15" x14ac:dyDescent="0.25"/>
  <cols>
    <col min="1" max="1" width="19.5703125" customWidth="1"/>
    <col min="2" max="3" width="11.85546875" style="2" bestFit="1" customWidth="1"/>
    <col min="4" max="5" width="12.28515625" style="2" bestFit="1" customWidth="1"/>
    <col min="6" max="13" width="12.85546875" style="2" bestFit="1" customWidth="1"/>
  </cols>
  <sheetData>
    <row r="1" spans="1:13" x14ac:dyDescent="0.25">
      <c r="A1" s="19" t="s">
        <v>23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3" spans="1:13" ht="15.75" thickBot="1" x14ac:dyDescent="0.3">
      <c r="A3" s="4" t="s">
        <v>13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</row>
    <row r="4" spans="1:13" ht="15.75" thickBot="1" x14ac:dyDescent="0.3">
      <c r="A4" s="6" t="s">
        <v>154</v>
      </c>
      <c r="B4" s="18">
        <v>15000</v>
      </c>
      <c r="C4" s="18">
        <v>45000</v>
      </c>
      <c r="D4" s="18">
        <v>59000</v>
      </c>
      <c r="E4" s="18">
        <v>120000</v>
      </c>
      <c r="F4" s="18">
        <v>150000</v>
      </c>
      <c r="G4" s="18">
        <v>12000</v>
      </c>
      <c r="H4" s="18">
        <v>67000</v>
      </c>
      <c r="I4" s="18">
        <v>180000</v>
      </c>
      <c r="J4" s="18">
        <v>250000</v>
      </c>
      <c r="K4" s="18">
        <v>300000</v>
      </c>
      <c r="L4" s="18">
        <v>280000</v>
      </c>
      <c r="M4" s="18">
        <v>240000</v>
      </c>
    </row>
    <row r="6" spans="1:13" x14ac:dyDescent="0.25">
      <c r="A6" s="1" t="s">
        <v>22</v>
      </c>
      <c r="B6" s="14">
        <f>B4*9%</f>
        <v>1350</v>
      </c>
      <c r="C6" s="14">
        <f t="shared" ref="C6:M6" si="0">C4*9%</f>
        <v>4050</v>
      </c>
      <c r="D6" s="14">
        <f t="shared" si="0"/>
        <v>5310</v>
      </c>
      <c r="E6" s="14">
        <f t="shared" si="0"/>
        <v>10800</v>
      </c>
      <c r="F6" s="14">
        <f t="shared" si="0"/>
        <v>13500</v>
      </c>
      <c r="G6" s="14">
        <f t="shared" si="0"/>
        <v>1080</v>
      </c>
      <c r="H6" s="14">
        <f t="shared" si="0"/>
        <v>6030</v>
      </c>
      <c r="I6" s="14">
        <f t="shared" si="0"/>
        <v>16200</v>
      </c>
      <c r="J6" s="14">
        <f t="shared" si="0"/>
        <v>22500</v>
      </c>
      <c r="K6" s="14">
        <f t="shared" si="0"/>
        <v>27000</v>
      </c>
      <c r="L6" s="14">
        <f t="shared" si="0"/>
        <v>25200</v>
      </c>
      <c r="M6" s="14">
        <f t="shared" si="0"/>
        <v>21600</v>
      </c>
    </row>
    <row r="9" spans="1:13" x14ac:dyDescent="0.25">
      <c r="A9" s="21" t="s">
        <v>24</v>
      </c>
      <c r="B9" s="22"/>
      <c r="C9" s="22"/>
      <c r="D9" s="22"/>
      <c r="E9" s="22"/>
    </row>
    <row r="11" spans="1:13" ht="15.75" thickBot="1" x14ac:dyDescent="0.3">
      <c r="A11" s="4" t="s">
        <v>13</v>
      </c>
      <c r="B11" s="5" t="s">
        <v>25</v>
      </c>
      <c r="C11" s="5" t="s">
        <v>26</v>
      </c>
      <c r="D11" s="5" t="s">
        <v>27</v>
      </c>
      <c r="E11" s="5" t="s">
        <v>28</v>
      </c>
    </row>
    <row r="12" spans="1:13" ht="15.75" thickBot="1" x14ac:dyDescent="0.3">
      <c r="A12" s="6" t="s">
        <v>0</v>
      </c>
      <c r="B12" s="18">
        <v>62000</v>
      </c>
      <c r="C12" s="18">
        <v>59000</v>
      </c>
      <c r="D12" s="18">
        <v>250000</v>
      </c>
      <c r="E12" s="18">
        <v>60000</v>
      </c>
    </row>
    <row r="14" spans="1:13" x14ac:dyDescent="0.25">
      <c r="A14" s="1" t="s">
        <v>22</v>
      </c>
      <c r="B14" s="14">
        <f>B12*9%</f>
        <v>5580</v>
      </c>
      <c r="C14" s="14">
        <f t="shared" ref="C14:E14" si="1">C12*9%</f>
        <v>5310</v>
      </c>
      <c r="D14" s="14">
        <f t="shared" si="1"/>
        <v>22500</v>
      </c>
      <c r="E14" s="14">
        <f t="shared" si="1"/>
        <v>5400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34"/>
  <sheetViews>
    <sheetView zoomScale="130" zoomScaleNormal="130" workbookViewId="0">
      <pane xSplit="2" ySplit="5" topLeftCell="C6" activePane="bottomRight" state="frozen"/>
      <selection activeCell="E51" sqref="E51"/>
      <selection pane="topRight" activeCell="E51" sqref="E51"/>
      <selection pane="bottomLeft" activeCell="E51" sqref="E51"/>
      <selection pane="bottomRight" activeCell="D19" sqref="D19"/>
    </sheetView>
  </sheetViews>
  <sheetFormatPr defaultColWidth="11.42578125" defaultRowHeight="12.75" x14ac:dyDescent="0.2"/>
  <cols>
    <col min="1" max="1" width="1.28515625" style="27" customWidth="1"/>
    <col min="2" max="2" width="57.28515625" style="95" customWidth="1"/>
    <col min="3" max="4" width="21.140625" style="27" customWidth="1"/>
    <col min="5" max="5" width="12.85546875" style="27" bestFit="1" customWidth="1"/>
    <col min="6" max="6" width="14" style="27" bestFit="1" customWidth="1"/>
    <col min="7" max="7" width="13.5703125" style="27" bestFit="1" customWidth="1"/>
    <col min="8" max="8" width="12.85546875" style="27" bestFit="1" customWidth="1"/>
    <col min="9" max="9" width="13.42578125" style="27" bestFit="1" customWidth="1"/>
    <col min="10" max="16384" width="11.42578125" style="27"/>
  </cols>
  <sheetData>
    <row r="1" spans="1:8" ht="15.75" x14ac:dyDescent="0.25">
      <c r="A1" s="23" t="s">
        <v>60</v>
      </c>
      <c r="B1" s="24"/>
      <c r="C1" s="25"/>
      <c r="D1" s="26"/>
    </row>
    <row r="2" spans="1:8" ht="18" customHeight="1" x14ac:dyDescent="0.2">
      <c r="A2" s="28" t="s">
        <v>30</v>
      </c>
      <c r="B2" s="29"/>
      <c r="C2" s="30"/>
      <c r="D2" s="31"/>
    </row>
    <row r="3" spans="1:8" ht="8.25" customHeight="1" x14ac:dyDescent="0.2">
      <c r="A3" s="32"/>
      <c r="B3" s="33"/>
      <c r="C3" s="35"/>
      <c r="D3" s="34"/>
    </row>
    <row r="4" spans="1:8" x14ac:dyDescent="0.2">
      <c r="A4" s="218" t="s">
        <v>31</v>
      </c>
      <c r="B4" s="219"/>
      <c r="C4" s="222" t="s">
        <v>32</v>
      </c>
      <c r="D4" s="223"/>
    </row>
    <row r="5" spans="1:8" x14ac:dyDescent="0.2">
      <c r="A5" s="220"/>
      <c r="B5" s="221"/>
      <c r="C5" s="36" t="s">
        <v>33</v>
      </c>
      <c r="D5" s="37" t="s">
        <v>34</v>
      </c>
    </row>
    <row r="6" spans="1:8" s="55" customFormat="1" hidden="1" x14ac:dyDescent="0.2">
      <c r="A6" s="56" t="s">
        <v>40</v>
      </c>
      <c r="B6" s="51"/>
      <c r="C6" s="52">
        <v>12500000</v>
      </c>
      <c r="D6" s="52">
        <f>C6</f>
        <v>12500000</v>
      </c>
      <c r="F6" s="57"/>
    </row>
    <row r="7" spans="1:8" s="55" customFormat="1" hidden="1" x14ac:dyDescent="0.2">
      <c r="A7" s="50"/>
      <c r="B7" s="49" t="s">
        <v>41</v>
      </c>
      <c r="C7" s="58">
        <f>[1]Memória_Cálculo_Prej_Fiscal!$C$18</f>
        <v>249170.95999998</v>
      </c>
      <c r="D7" s="58">
        <f>C7</f>
        <v>249170.95999998</v>
      </c>
      <c r="F7" s="57"/>
      <c r="H7" s="59"/>
    </row>
    <row r="8" spans="1:8" s="55" customFormat="1" hidden="1" x14ac:dyDescent="0.2">
      <c r="A8" s="50"/>
      <c r="B8" s="49" t="s">
        <v>42</v>
      </c>
      <c r="C8" s="38">
        <v>-750000</v>
      </c>
      <c r="D8" s="38">
        <f>C8</f>
        <v>-750000</v>
      </c>
    </row>
    <row r="9" spans="1:8" x14ac:dyDescent="0.2">
      <c r="A9" s="41" t="s">
        <v>43</v>
      </c>
      <c r="B9" s="42"/>
      <c r="C9" s="43">
        <f t="shared" ref="C9:D9" si="0">C6+C8</f>
        <v>11750000</v>
      </c>
      <c r="D9" s="43">
        <f t="shared" si="0"/>
        <v>11750000</v>
      </c>
    </row>
    <row r="10" spans="1:8" ht="6" customHeight="1" x14ac:dyDescent="0.2">
      <c r="A10" s="60"/>
      <c r="B10" s="61" t="s">
        <v>15</v>
      </c>
      <c r="C10" s="62">
        <v>60000</v>
      </c>
      <c r="D10" s="63"/>
    </row>
    <row r="11" spans="1:8" x14ac:dyDescent="0.2">
      <c r="A11" s="60" t="s">
        <v>44</v>
      </c>
      <c r="B11" s="64"/>
      <c r="C11" s="53">
        <f>IF(C9&gt;0,ROUND(C9*15%,2),0)</f>
        <v>1762500</v>
      </c>
      <c r="D11" s="54">
        <f>IF(D9&gt;0,ROUND(D9*9%,2),0)</f>
        <v>1057500</v>
      </c>
    </row>
    <row r="12" spans="1:8" x14ac:dyDescent="0.2">
      <c r="A12" s="60" t="s">
        <v>45</v>
      </c>
      <c r="B12" s="64"/>
      <c r="C12" s="53">
        <f>ROUND(IF(C9&gt;C10,(C9-C10)*10%,0),2)</f>
        <v>1169000</v>
      </c>
      <c r="D12" s="65"/>
      <c r="F12" s="40"/>
    </row>
    <row r="13" spans="1:8" s="68" customFormat="1" x14ac:dyDescent="0.2">
      <c r="A13" s="41" t="s">
        <v>46</v>
      </c>
      <c r="B13" s="42"/>
      <c r="C13" s="66">
        <f>SUM(C11:C12)</f>
        <v>2931500</v>
      </c>
      <c r="D13" s="67">
        <f>D11</f>
        <v>1057500</v>
      </c>
      <c r="F13" s="212">
        <f>C13+D13</f>
        <v>3989000</v>
      </c>
    </row>
    <row r="14" spans="1:8" ht="6" customHeight="1" x14ac:dyDescent="0.2">
      <c r="A14" s="60"/>
      <c r="B14" s="64"/>
      <c r="C14" s="53"/>
      <c r="D14" s="54"/>
    </row>
    <row r="15" spans="1:8" x14ac:dyDescent="0.2">
      <c r="A15" s="60" t="s">
        <v>47</v>
      </c>
      <c r="B15" s="64"/>
      <c r="C15" s="53"/>
      <c r="D15" s="54"/>
    </row>
    <row r="16" spans="1:8" x14ac:dyDescent="0.2">
      <c r="A16" s="48" t="s">
        <v>48</v>
      </c>
      <c r="B16" s="64" t="s">
        <v>49</v>
      </c>
      <c r="C16" s="70">
        <v>1100000</v>
      </c>
      <c r="D16" s="69"/>
    </row>
    <row r="17" spans="1:8" x14ac:dyDescent="0.2">
      <c r="A17" s="71"/>
      <c r="B17" s="64" t="s">
        <v>50</v>
      </c>
      <c r="C17" s="70">
        <v>36000</v>
      </c>
      <c r="D17" s="72"/>
    </row>
    <row r="18" spans="1:8" s="40" customFormat="1" ht="13.5" thickBot="1" x14ac:dyDescent="0.25">
      <c r="A18" s="73" t="s">
        <v>51</v>
      </c>
      <c r="B18" s="74"/>
      <c r="C18" s="75">
        <f>-SUM(C16:C17)</f>
        <v>-1136000</v>
      </c>
      <c r="D18" s="72"/>
    </row>
    <row r="19" spans="1:8" s="40" customFormat="1" ht="13.5" thickBot="1" x14ac:dyDescent="0.25">
      <c r="A19" s="76" t="s">
        <v>52</v>
      </c>
      <c r="B19" s="77"/>
      <c r="C19" s="78">
        <f>C13+C18</f>
        <v>1795500</v>
      </c>
      <c r="D19" s="79">
        <f>D13+D18</f>
        <v>1057500</v>
      </c>
      <c r="F19" s="212">
        <f>C19+D19</f>
        <v>2853000</v>
      </c>
    </row>
    <row r="20" spans="1:8" x14ac:dyDescent="0.2">
      <c r="A20" s="80"/>
      <c r="B20" s="81" t="s">
        <v>53</v>
      </c>
      <c r="C20" s="82"/>
      <c r="D20" s="83"/>
    </row>
    <row r="21" spans="1:8" ht="15" x14ac:dyDescent="0.25">
      <c r="A21" s="80"/>
      <c r="B21" s="84" t="s">
        <v>57</v>
      </c>
      <c r="C21" s="82"/>
      <c r="D21" s="83">
        <v>-850000</v>
      </c>
      <c r="E21" s="40"/>
      <c r="F21" s="39"/>
      <c r="G21" s="85"/>
      <c r="H21" s="85"/>
    </row>
    <row r="22" spans="1:8" ht="15" x14ac:dyDescent="0.25">
      <c r="A22" s="80"/>
      <c r="B22" s="81" t="s">
        <v>58</v>
      </c>
      <c r="C22" s="86"/>
      <c r="D22" s="87"/>
      <c r="F22" s="39"/>
      <c r="G22" s="85"/>
      <c r="H22" s="85"/>
    </row>
    <row r="23" spans="1:8" x14ac:dyDescent="0.2">
      <c r="A23" s="80"/>
      <c r="B23" s="84" t="s">
        <v>57</v>
      </c>
      <c r="C23" s="86">
        <v>-520000</v>
      </c>
      <c r="D23" s="87"/>
    </row>
    <row r="24" spans="1:8" x14ac:dyDescent="0.2">
      <c r="A24" s="80"/>
      <c r="B24" s="81" t="s">
        <v>61</v>
      </c>
      <c r="C24" s="86">
        <v>-33000</v>
      </c>
      <c r="D24" s="87"/>
    </row>
    <row r="25" spans="1:8" x14ac:dyDescent="0.2">
      <c r="A25" s="80"/>
      <c r="B25" s="84"/>
      <c r="C25" s="86"/>
      <c r="D25" s="87"/>
    </row>
    <row r="26" spans="1:8" ht="13.5" thickBot="1" x14ac:dyDescent="0.25">
      <c r="A26" s="88"/>
      <c r="B26" s="89" t="s">
        <v>59</v>
      </c>
      <c r="C26" s="90">
        <f>SUM(C19:C25)</f>
        <v>1242500</v>
      </c>
      <c r="D26" s="91">
        <f>SUM(D19:D25)</f>
        <v>207500</v>
      </c>
      <c r="E26" s="40"/>
      <c r="F26" s="40">
        <f>C26+D26</f>
        <v>1450000</v>
      </c>
    </row>
    <row r="27" spans="1:8" x14ac:dyDescent="0.2">
      <c r="A27" s="40"/>
      <c r="B27" s="92"/>
      <c r="C27" s="93"/>
      <c r="D27" s="93"/>
    </row>
    <row r="28" spans="1:8" x14ac:dyDescent="0.2">
      <c r="A28" s="40"/>
      <c r="B28" s="94"/>
      <c r="C28" s="40"/>
      <c r="D28" s="40"/>
      <c r="E28" s="213" t="s">
        <v>155</v>
      </c>
      <c r="F28" s="57">
        <f>F13-F26</f>
        <v>2539000</v>
      </c>
    </row>
    <row r="33" s="27" customFormat="1" x14ac:dyDescent="0.2"/>
    <row r="34" s="27" customFormat="1" x14ac:dyDescent="0.2"/>
  </sheetData>
  <mergeCells count="2">
    <mergeCell ref="A4:B5"/>
    <mergeCell ref="C4:D4"/>
  </mergeCells>
  <printOptions horizontalCentered="1"/>
  <pageMargins left="0.39370078740157483" right="0.39370078740157483" top="0.98425196850393704" bottom="0.98425196850393704" header="0.51181102362204722" footer="0.51181102362204722"/>
  <pageSetup paperSize="9" fitToWidth="0" orientation="landscape" horizontalDpi="4294967295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23"/>
  <sheetViews>
    <sheetView topLeftCell="A8" zoomScale="130" zoomScaleNormal="130" workbookViewId="0">
      <selection activeCell="C20" sqref="C20"/>
    </sheetView>
  </sheetViews>
  <sheetFormatPr defaultRowHeight="15" x14ac:dyDescent="0.25"/>
  <cols>
    <col min="1" max="1" width="16.42578125" bestFit="1" customWidth="1"/>
    <col min="2" max="13" width="14.140625" customWidth="1"/>
  </cols>
  <sheetData>
    <row r="1" spans="1:13" x14ac:dyDescent="0.25">
      <c r="A1" s="19" t="s">
        <v>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5.75" thickBot="1" x14ac:dyDescent="0.3">
      <c r="A2" s="9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75" thickBot="1" x14ac:dyDescent="0.3">
      <c r="A3" s="4" t="s">
        <v>62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</row>
    <row r="4" spans="1:13" ht="15.75" thickBot="1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ht="30.75" thickBot="1" x14ac:dyDescent="0.3">
      <c r="A5" s="98" t="s">
        <v>63</v>
      </c>
      <c r="B5" s="99" t="s">
        <v>64</v>
      </c>
      <c r="C5" s="99" t="s">
        <v>65</v>
      </c>
      <c r="D5" s="99" t="s">
        <v>66</v>
      </c>
      <c r="E5" s="99" t="s">
        <v>67</v>
      </c>
      <c r="F5" s="99" t="s">
        <v>68</v>
      </c>
      <c r="G5" s="99" t="s">
        <v>69</v>
      </c>
      <c r="H5" s="99" t="s">
        <v>70</v>
      </c>
      <c r="I5" s="99" t="s">
        <v>71</v>
      </c>
      <c r="J5" s="99" t="s">
        <v>72</v>
      </c>
      <c r="K5" s="99" t="s">
        <v>73</v>
      </c>
      <c r="L5" s="99" t="s">
        <v>74</v>
      </c>
      <c r="M5" s="99" t="s">
        <v>75</v>
      </c>
    </row>
    <row r="9" spans="1:13" x14ac:dyDescent="0.25">
      <c r="A9" s="21" t="s">
        <v>77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1" spans="1:13" x14ac:dyDescent="0.25">
      <c r="A11" s="1" t="s">
        <v>78</v>
      </c>
      <c r="B11" s="14">
        <v>325200</v>
      </c>
    </row>
    <row r="13" spans="1:13" x14ac:dyDescent="0.25">
      <c r="A13" s="1" t="s">
        <v>79</v>
      </c>
    </row>
    <row r="15" spans="1:13" ht="15.75" thickBot="1" x14ac:dyDescent="0.3">
      <c r="A15" s="1" t="s">
        <v>82</v>
      </c>
    </row>
    <row r="16" spans="1:13" ht="15.75" thickBot="1" x14ac:dyDescent="0.3">
      <c r="A16" s="100" t="s">
        <v>84</v>
      </c>
      <c r="B16" s="101" t="s">
        <v>81</v>
      </c>
    </row>
    <row r="17" spans="1:2" x14ac:dyDescent="0.25">
      <c r="A17" s="102" t="s">
        <v>80</v>
      </c>
      <c r="B17" s="103">
        <v>8.2000000000000007E-3</v>
      </c>
    </row>
    <row r="18" spans="1:2" ht="15.75" thickBot="1" x14ac:dyDescent="0.3">
      <c r="A18" s="104" t="s">
        <v>83</v>
      </c>
      <c r="B18" s="105">
        <v>0.01</v>
      </c>
    </row>
    <row r="19" spans="1:2" ht="15.75" thickBot="1" x14ac:dyDescent="0.3">
      <c r="A19" s="106" t="s">
        <v>85</v>
      </c>
      <c r="B19" s="107">
        <f>SUM(B17:B18)</f>
        <v>1.8200000000000001E-2</v>
      </c>
    </row>
    <row r="21" spans="1:2" x14ac:dyDescent="0.25">
      <c r="A21" s="1" t="s">
        <v>86</v>
      </c>
      <c r="B21" s="109">
        <f>B11*B19</f>
        <v>5918.64</v>
      </c>
    </row>
    <row r="22" spans="1:2" x14ac:dyDescent="0.25">
      <c r="A22" s="1"/>
      <c r="B22" s="1"/>
    </row>
    <row r="23" spans="1:2" ht="15.75" thickBot="1" x14ac:dyDescent="0.3">
      <c r="A23" s="8" t="s">
        <v>87</v>
      </c>
      <c r="B23" s="110">
        <f>B11+B21</f>
        <v>331118.64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38"/>
  <sheetViews>
    <sheetView topLeftCell="A19" zoomScale="130" zoomScaleNormal="130" workbookViewId="0">
      <selection activeCell="E38" sqref="E38"/>
    </sheetView>
  </sheetViews>
  <sheetFormatPr defaultRowHeight="15" x14ac:dyDescent="0.25"/>
  <cols>
    <col min="1" max="1" width="16.42578125" bestFit="1" customWidth="1"/>
    <col min="2" max="5" width="14.140625" customWidth="1"/>
  </cols>
  <sheetData>
    <row r="1" spans="1:5" x14ac:dyDescent="0.25">
      <c r="A1" s="19" t="s">
        <v>88</v>
      </c>
      <c r="B1" s="20"/>
      <c r="C1" s="20"/>
      <c r="D1" s="20"/>
      <c r="E1" s="20"/>
    </row>
    <row r="2" spans="1:5" ht="15.75" thickBot="1" x14ac:dyDescent="0.3">
      <c r="A2" s="96"/>
      <c r="B2" s="3"/>
      <c r="C2" s="3"/>
      <c r="D2" s="3"/>
      <c r="E2" s="3"/>
    </row>
    <row r="3" spans="1:5" ht="15.75" thickBot="1" x14ac:dyDescent="0.3">
      <c r="A3" s="4" t="s">
        <v>62</v>
      </c>
      <c r="B3" s="5" t="s">
        <v>54</v>
      </c>
      <c r="C3" s="5" t="s">
        <v>55</v>
      </c>
      <c r="D3" s="5" t="s">
        <v>56</v>
      </c>
      <c r="E3" s="5" t="s">
        <v>57</v>
      </c>
    </row>
    <row r="4" spans="1:5" ht="15.75" thickBot="1" x14ac:dyDescent="0.3">
      <c r="A4" s="9"/>
      <c r="B4" s="9"/>
      <c r="C4" s="9"/>
      <c r="D4" s="9"/>
      <c r="E4" s="9"/>
    </row>
    <row r="5" spans="1:5" ht="30.75" thickBot="1" x14ac:dyDescent="0.3">
      <c r="A5" s="98" t="s">
        <v>63</v>
      </c>
      <c r="B5" s="99" t="s">
        <v>66</v>
      </c>
      <c r="C5" s="99" t="s">
        <v>69</v>
      </c>
      <c r="D5" s="99" t="s">
        <v>72</v>
      </c>
      <c r="E5" s="99" t="s">
        <v>75</v>
      </c>
    </row>
    <row r="9" spans="1:5" x14ac:dyDescent="0.25">
      <c r="A9" s="21" t="s">
        <v>89</v>
      </c>
      <c r="B9" s="22"/>
      <c r="C9" s="22"/>
      <c r="D9" s="22"/>
      <c r="E9" s="22"/>
    </row>
    <row r="11" spans="1:5" x14ac:dyDescent="0.25">
      <c r="A11" s="1" t="s">
        <v>78</v>
      </c>
      <c r="B11" s="2">
        <v>325200</v>
      </c>
    </row>
    <row r="13" spans="1:5" x14ac:dyDescent="0.25">
      <c r="A13" s="1" t="s">
        <v>79</v>
      </c>
    </row>
    <row r="15" spans="1:5" ht="15.75" thickBot="1" x14ac:dyDescent="0.3">
      <c r="A15" s="1" t="s">
        <v>82</v>
      </c>
    </row>
    <row r="16" spans="1:5" ht="15.75" thickBot="1" x14ac:dyDescent="0.3">
      <c r="A16" s="100" t="s">
        <v>84</v>
      </c>
      <c r="B16" s="101" t="s">
        <v>81</v>
      </c>
    </row>
    <row r="17" spans="1:2" x14ac:dyDescent="0.25">
      <c r="A17" s="102" t="s">
        <v>80</v>
      </c>
      <c r="B17" s="103">
        <v>8.2000000000000007E-3</v>
      </c>
    </row>
    <row r="18" spans="1:2" ht="15.75" thickBot="1" x14ac:dyDescent="0.3">
      <c r="A18" s="104" t="s">
        <v>83</v>
      </c>
      <c r="B18" s="105">
        <v>0.01</v>
      </c>
    </row>
    <row r="19" spans="1:2" ht="15.75" thickBot="1" x14ac:dyDescent="0.3">
      <c r="A19" s="106" t="s">
        <v>85</v>
      </c>
      <c r="B19" s="107">
        <f>SUM(B17:B18)</f>
        <v>1.8200000000000001E-2</v>
      </c>
    </row>
    <row r="21" spans="1:2" ht="15.75" thickBot="1" x14ac:dyDescent="0.3">
      <c r="A21" s="8" t="s">
        <v>90</v>
      </c>
      <c r="B21" s="110"/>
    </row>
    <row r="22" spans="1:2" x14ac:dyDescent="0.25">
      <c r="A22" s="15" t="s">
        <v>91</v>
      </c>
      <c r="B22" s="16">
        <f>B11/3</f>
        <v>108400</v>
      </c>
    </row>
    <row r="23" spans="1:2" ht="15.75" thickBot="1" x14ac:dyDescent="0.3">
      <c r="A23" s="111" t="s">
        <v>92</v>
      </c>
      <c r="B23" s="112">
        <v>0</v>
      </c>
    </row>
    <row r="24" spans="1:2" x14ac:dyDescent="0.25">
      <c r="A24" s="1" t="s">
        <v>93</v>
      </c>
      <c r="B24" s="14">
        <f>SUM(B22:B23)</f>
        <v>108400</v>
      </c>
    </row>
    <row r="26" spans="1:2" ht="15.75" thickBot="1" x14ac:dyDescent="0.3">
      <c r="A26" s="8" t="s">
        <v>94</v>
      </c>
      <c r="B26" s="110"/>
    </row>
    <row r="27" spans="1:2" x14ac:dyDescent="0.25">
      <c r="A27" s="15" t="s">
        <v>91</v>
      </c>
      <c r="B27" s="16">
        <f>B11/3</f>
        <v>108400</v>
      </c>
    </row>
    <row r="28" spans="1:2" ht="15.75" thickBot="1" x14ac:dyDescent="0.3">
      <c r="A28" s="111" t="s">
        <v>92</v>
      </c>
      <c r="B28" s="112">
        <f>B27*1%</f>
        <v>1084</v>
      </c>
    </row>
    <row r="29" spans="1:2" x14ac:dyDescent="0.25">
      <c r="A29" s="1" t="s">
        <v>93</v>
      </c>
      <c r="B29" s="14">
        <f>SUM(B27:B28)</f>
        <v>109484</v>
      </c>
    </row>
    <row r="31" spans="1:2" ht="15.75" thickBot="1" x14ac:dyDescent="0.3">
      <c r="A31" s="8" t="s">
        <v>95</v>
      </c>
      <c r="B31" s="110"/>
    </row>
    <row r="32" spans="1:2" x14ac:dyDescent="0.25">
      <c r="A32" s="15" t="s">
        <v>91</v>
      </c>
      <c r="B32" s="16">
        <f>B11/3</f>
        <v>108400</v>
      </c>
    </row>
    <row r="33" spans="1:5" ht="15.75" thickBot="1" x14ac:dyDescent="0.3">
      <c r="A33" s="111" t="s">
        <v>92</v>
      </c>
      <c r="B33" s="112">
        <f>(B17+B18)*B32</f>
        <v>1972.88</v>
      </c>
    </row>
    <row r="34" spans="1:5" x14ac:dyDescent="0.25">
      <c r="A34" s="1" t="s">
        <v>93</v>
      </c>
      <c r="B34" s="14">
        <f>SUM(B32:B33)</f>
        <v>110372.88</v>
      </c>
      <c r="D34" s="108">
        <f>B34+B29+B24</f>
        <v>328256.88</v>
      </c>
    </row>
    <row r="36" spans="1:5" x14ac:dyDescent="0.25">
      <c r="D36" s="108">
        <f>B11</f>
        <v>325200</v>
      </c>
    </row>
    <row r="38" spans="1:5" x14ac:dyDescent="0.25">
      <c r="D38" s="108">
        <f>D34-D36</f>
        <v>3056.8800000000047</v>
      </c>
      <c r="E38" s="10" t="s">
        <v>156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11"/>
  <sheetViews>
    <sheetView zoomScale="130" zoomScaleNormal="130" workbookViewId="0">
      <pane xSplit="2" ySplit="4" topLeftCell="G5" activePane="bottomRight" state="frozen"/>
      <selection activeCell="C6" sqref="C6"/>
      <selection pane="topRight" activeCell="C6" sqref="C6"/>
      <selection pane="bottomLeft" activeCell="C6" sqref="C6"/>
      <selection pane="bottomRight" activeCell="I3" sqref="I3:J3"/>
    </sheetView>
  </sheetViews>
  <sheetFormatPr defaultColWidth="11.42578125" defaultRowHeight="12.75" x14ac:dyDescent="0.2"/>
  <cols>
    <col min="1" max="1" width="1.28515625" style="27" customWidth="1"/>
    <col min="2" max="2" width="49.42578125" style="95" customWidth="1"/>
    <col min="3" max="10" width="21.140625" style="27" customWidth="1"/>
    <col min="11" max="16384" width="11.42578125" style="27"/>
  </cols>
  <sheetData>
    <row r="1" spans="1:10" ht="15.75" x14ac:dyDescent="0.25">
      <c r="A1" s="23" t="s">
        <v>60</v>
      </c>
      <c r="B1" s="24"/>
      <c r="C1" s="25"/>
      <c r="D1" s="26"/>
      <c r="E1" s="25"/>
      <c r="F1" s="26"/>
      <c r="G1" s="25"/>
      <c r="H1" s="26"/>
      <c r="I1" s="25"/>
      <c r="J1" s="26"/>
    </row>
    <row r="2" spans="1:10" ht="18" customHeight="1" x14ac:dyDescent="0.2">
      <c r="A2" s="28" t="s">
        <v>30</v>
      </c>
      <c r="B2" s="29"/>
      <c r="C2" s="30"/>
      <c r="D2" s="31"/>
      <c r="E2" s="30"/>
      <c r="F2" s="31"/>
      <c r="G2" s="30"/>
      <c r="H2" s="31"/>
      <c r="I2" s="30"/>
      <c r="J2" s="31"/>
    </row>
    <row r="3" spans="1:10" x14ac:dyDescent="0.2">
      <c r="A3" s="218" t="s">
        <v>31</v>
      </c>
      <c r="B3" s="219"/>
      <c r="C3" s="222" t="s">
        <v>96</v>
      </c>
      <c r="D3" s="223"/>
      <c r="E3" s="222" t="s">
        <v>97</v>
      </c>
      <c r="F3" s="223"/>
      <c r="G3" s="222" t="s">
        <v>98</v>
      </c>
      <c r="H3" s="223"/>
      <c r="I3" s="222" t="s">
        <v>99</v>
      </c>
      <c r="J3" s="223"/>
    </row>
    <row r="4" spans="1:10" x14ac:dyDescent="0.2">
      <c r="A4" s="220"/>
      <c r="B4" s="221"/>
      <c r="C4" s="36" t="s">
        <v>33</v>
      </c>
      <c r="D4" s="37" t="s">
        <v>34</v>
      </c>
      <c r="E4" s="36" t="s">
        <v>33</v>
      </c>
      <c r="F4" s="37" t="s">
        <v>34</v>
      </c>
      <c r="G4" s="36" t="s">
        <v>33</v>
      </c>
      <c r="H4" s="37" t="s">
        <v>34</v>
      </c>
      <c r="I4" s="36" t="s">
        <v>33</v>
      </c>
      <c r="J4" s="37" t="s">
        <v>34</v>
      </c>
    </row>
    <row r="5" spans="1:10" s="55" customFormat="1" x14ac:dyDescent="0.2">
      <c r="A5" s="56" t="s">
        <v>40</v>
      </c>
      <c r="B5" s="51"/>
      <c r="C5" s="52">
        <v>-3000000</v>
      </c>
      <c r="D5" s="52">
        <f>C5</f>
        <v>-3000000</v>
      </c>
      <c r="E5" s="52">
        <v>3000000</v>
      </c>
      <c r="F5" s="52">
        <f t="shared" ref="F5" si="0">E5</f>
        <v>3000000</v>
      </c>
      <c r="G5" s="52">
        <v>2500000</v>
      </c>
      <c r="H5" s="52">
        <f t="shared" ref="H5" si="1">G5</f>
        <v>2500000</v>
      </c>
      <c r="I5" s="52">
        <v>5000000</v>
      </c>
      <c r="J5" s="52">
        <f t="shared" ref="J5" si="2">I5</f>
        <v>5000000</v>
      </c>
    </row>
    <row r="6" spans="1:10" s="55" customFormat="1" x14ac:dyDescent="0.2">
      <c r="A6" s="50"/>
      <c r="B6" s="49" t="s">
        <v>42</v>
      </c>
      <c r="C6" s="38"/>
      <c r="D6" s="38"/>
      <c r="E6" s="38">
        <f>-E5*30%</f>
        <v>-900000</v>
      </c>
      <c r="F6" s="38">
        <f>-F5*30%</f>
        <v>-900000</v>
      </c>
      <c r="G6" s="38">
        <f>-G5*30%</f>
        <v>-750000</v>
      </c>
      <c r="H6" s="38">
        <f>-H5*30%</f>
        <v>-750000</v>
      </c>
      <c r="I6" s="38">
        <f>I7</f>
        <v>-1350000</v>
      </c>
      <c r="J6" s="38">
        <f>J7</f>
        <v>-1350000</v>
      </c>
    </row>
    <row r="7" spans="1:10" s="55" customFormat="1" x14ac:dyDescent="0.2">
      <c r="A7" s="50"/>
      <c r="B7" s="49" t="s">
        <v>122</v>
      </c>
      <c r="C7" s="38"/>
      <c r="D7" s="38"/>
      <c r="E7" s="38">
        <f>-'Mod - Prej.Fiscal - Controle'!E16</f>
        <v>-3000000</v>
      </c>
      <c r="F7" s="38">
        <f>E7</f>
        <v>-3000000</v>
      </c>
      <c r="G7" s="38">
        <f>-'Mod - Prej.Fiscal - Controle'!E17</f>
        <v>-2100000</v>
      </c>
      <c r="H7" s="38">
        <f>-'Mod - Prej.Fiscal - Controle'!E17</f>
        <v>-2100000</v>
      </c>
      <c r="I7" s="38">
        <f>-'Mod - Prej.Fiscal - Controle'!E18</f>
        <v>-1350000</v>
      </c>
      <c r="J7" s="38">
        <f>-'Mod - Prej.Fiscal - Controle'!E18</f>
        <v>-1350000</v>
      </c>
    </row>
    <row r="8" spans="1:10" s="68" customFormat="1" x14ac:dyDescent="0.2">
      <c r="A8" s="180" t="s">
        <v>43</v>
      </c>
      <c r="B8" s="49"/>
      <c r="C8" s="181">
        <f t="shared" ref="C8:J8" si="3">C5+C6</f>
        <v>-3000000</v>
      </c>
      <c r="D8" s="181">
        <f t="shared" si="3"/>
        <v>-3000000</v>
      </c>
      <c r="E8" s="181">
        <f t="shared" si="3"/>
        <v>2100000</v>
      </c>
      <c r="F8" s="181">
        <f t="shared" si="3"/>
        <v>2100000</v>
      </c>
      <c r="G8" s="181">
        <f t="shared" si="3"/>
        <v>1750000</v>
      </c>
      <c r="H8" s="181">
        <f t="shared" si="3"/>
        <v>1750000</v>
      </c>
      <c r="I8" s="181">
        <f t="shared" si="3"/>
        <v>3650000</v>
      </c>
      <c r="J8" s="181">
        <f t="shared" si="3"/>
        <v>3650000</v>
      </c>
    </row>
    <row r="9" spans="1:10" x14ac:dyDescent="0.2">
      <c r="A9" s="40"/>
      <c r="B9" s="92"/>
      <c r="C9" s="93"/>
      <c r="D9" s="93"/>
      <c r="E9" s="93"/>
      <c r="F9" s="93"/>
      <c r="G9" s="93"/>
      <c r="H9" s="93"/>
      <c r="I9" s="93"/>
      <c r="J9" s="93"/>
    </row>
    <row r="10" spans="1:10" x14ac:dyDescent="0.2">
      <c r="A10" s="40"/>
      <c r="B10" s="94"/>
      <c r="C10" s="40"/>
      <c r="D10" s="40"/>
      <c r="E10" s="40"/>
      <c r="F10" s="40"/>
      <c r="G10" s="40"/>
      <c r="H10" s="40"/>
      <c r="I10" s="40"/>
      <c r="J10" s="40"/>
    </row>
    <row r="11" spans="1:10" x14ac:dyDescent="0.2">
      <c r="I11" s="85">
        <f>I5*30%</f>
        <v>1500000</v>
      </c>
    </row>
  </sheetData>
  <mergeCells count="5">
    <mergeCell ref="E3:F3"/>
    <mergeCell ref="G3:H3"/>
    <mergeCell ref="I3:J3"/>
    <mergeCell ref="A3:B4"/>
    <mergeCell ref="C3:D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73"/>
  <sheetViews>
    <sheetView zoomScale="130" zoomScaleNormal="130" workbookViewId="0">
      <selection activeCell="D23" sqref="D23"/>
    </sheetView>
  </sheetViews>
  <sheetFormatPr defaultRowHeight="15" x14ac:dyDescent="0.25"/>
  <cols>
    <col min="1" max="1" width="15" customWidth="1"/>
    <col min="2" max="2" width="36.28515625" customWidth="1"/>
    <col min="3" max="4" width="16.85546875" bestFit="1" customWidth="1"/>
    <col min="5" max="5" width="16" bestFit="1" customWidth="1"/>
    <col min="6" max="6" width="11" bestFit="1" customWidth="1"/>
    <col min="7" max="7" width="14.7109375" customWidth="1"/>
    <col min="8" max="8" width="15.28515625" customWidth="1"/>
    <col min="10" max="11" width="16" hidden="1" customWidth="1"/>
  </cols>
  <sheetData>
    <row r="1" spans="1:11" ht="15.75" x14ac:dyDescent="0.25">
      <c r="A1" s="228" t="s">
        <v>121</v>
      </c>
      <c r="B1" s="229"/>
      <c r="C1" s="229"/>
      <c r="D1" s="229"/>
      <c r="E1" s="113"/>
      <c r="F1" s="114"/>
      <c r="G1" s="114"/>
      <c r="H1" s="115"/>
    </row>
    <row r="2" spans="1:11" ht="15.75" x14ac:dyDescent="0.25">
      <c r="A2" s="116" t="s">
        <v>100</v>
      </c>
      <c r="B2" s="117"/>
      <c r="C2" s="117"/>
      <c r="D2" s="117"/>
      <c r="E2" s="117"/>
      <c r="F2" s="117"/>
      <c r="G2" s="117"/>
      <c r="H2" s="118"/>
    </row>
    <row r="3" spans="1:11" ht="15.75" thickBot="1" x14ac:dyDescent="0.3">
      <c r="A3" s="104"/>
      <c r="B3" s="96"/>
      <c r="C3" s="96"/>
      <c r="D3" s="96"/>
      <c r="E3" s="96"/>
      <c r="F3" s="96"/>
      <c r="G3" s="96"/>
      <c r="H3" s="119"/>
    </row>
    <row r="4" spans="1:11" ht="16.5" thickBot="1" x14ac:dyDescent="0.3">
      <c r="A4" s="230" t="s">
        <v>101</v>
      </c>
      <c r="B4" s="233" t="s">
        <v>102</v>
      </c>
      <c r="C4" s="236" t="s">
        <v>103</v>
      </c>
      <c r="D4" s="236"/>
      <c r="E4" s="237"/>
      <c r="F4" s="238"/>
      <c r="G4" s="239" t="s">
        <v>104</v>
      </c>
      <c r="H4" s="240"/>
    </row>
    <row r="5" spans="1:11" ht="15.75" x14ac:dyDescent="0.25">
      <c r="A5" s="231"/>
      <c r="B5" s="234"/>
      <c r="C5" s="234" t="s">
        <v>105</v>
      </c>
      <c r="D5" s="243" t="s">
        <v>106</v>
      </c>
      <c r="E5" s="245" t="s">
        <v>107</v>
      </c>
      <c r="F5" s="246"/>
      <c r="G5" s="241"/>
      <c r="H5" s="242"/>
    </row>
    <row r="6" spans="1:11" ht="16.5" thickBot="1" x14ac:dyDescent="0.3">
      <c r="A6" s="232"/>
      <c r="B6" s="235"/>
      <c r="C6" s="235"/>
      <c r="D6" s="244"/>
      <c r="E6" s="120" t="s">
        <v>108</v>
      </c>
      <c r="F6" s="121" t="s">
        <v>109</v>
      </c>
      <c r="G6" s="122" t="s">
        <v>33</v>
      </c>
      <c r="H6" s="123" t="s">
        <v>34</v>
      </c>
    </row>
    <row r="7" spans="1:11" s="132" customFormat="1" ht="15" hidden="1" customHeight="1" x14ac:dyDescent="0.25">
      <c r="A7" s="124">
        <v>41274</v>
      </c>
      <c r="B7" s="125" t="s">
        <v>110</v>
      </c>
      <c r="C7" s="126">
        <f>'[1]1.2.01.04.0001_2_Abr_Jun.13'!D15</f>
        <v>1288556.2299999997</v>
      </c>
      <c r="D7" s="127"/>
      <c r="E7" s="128">
        <f>C7</f>
        <v>1288556.2299999997</v>
      </c>
      <c r="F7" s="129" t="str">
        <f>IF(E7&gt;0,"C","D")</f>
        <v>C</v>
      </c>
      <c r="G7" s="130">
        <f>E7*25%</f>
        <v>322139.05749999994</v>
      </c>
      <c r="H7" s="131">
        <f>E7*9%</f>
        <v>115970.06069999997</v>
      </c>
      <c r="J7" s="133">
        <f>C7*25%</f>
        <v>322139.05749999994</v>
      </c>
      <c r="K7" s="133">
        <f>C7*9%</f>
        <v>115970.06069999997</v>
      </c>
    </row>
    <row r="8" spans="1:11" s="132" customFormat="1" ht="15" hidden="1" customHeight="1" x14ac:dyDescent="0.25">
      <c r="A8" s="124">
        <v>41363</v>
      </c>
      <c r="B8" s="134" t="s">
        <v>111</v>
      </c>
      <c r="C8" s="126">
        <v>0</v>
      </c>
      <c r="D8" s="127">
        <f>C7</f>
        <v>1288556.2299999997</v>
      </c>
      <c r="E8" s="135">
        <f>E7+C8-D8</f>
        <v>0</v>
      </c>
      <c r="F8" s="129" t="str">
        <f>IF(E8&gt;0,"C","D")</f>
        <v>D</v>
      </c>
      <c r="G8" s="130">
        <f t="shared" ref="G8:G19" si="0">E8*25%</f>
        <v>0</v>
      </c>
      <c r="H8" s="131">
        <f t="shared" ref="H8:H19" si="1">E8*9%</f>
        <v>0</v>
      </c>
      <c r="J8" s="133">
        <f>-D8*25%</f>
        <v>-322139.05749999994</v>
      </c>
      <c r="K8" s="133">
        <f>-D8*9%</f>
        <v>-115970.06069999997</v>
      </c>
    </row>
    <row r="9" spans="1:11" s="132" customFormat="1" ht="15" hidden="1" customHeight="1" x14ac:dyDescent="0.25">
      <c r="A9" s="124">
        <v>41455</v>
      </c>
      <c r="B9" s="134" t="s">
        <v>112</v>
      </c>
      <c r="C9" s="126">
        <v>13316977.630000001</v>
      </c>
      <c r="D9" s="127"/>
      <c r="E9" s="135">
        <f t="shared" ref="E9:E19" si="2">E8+C9-D9</f>
        <v>13316977.630000001</v>
      </c>
      <c r="F9" s="129" t="str">
        <f>IF(E9&gt;0,"C","D")</f>
        <v>C</v>
      </c>
      <c r="G9" s="130">
        <f t="shared" si="0"/>
        <v>3329244.4075000002</v>
      </c>
      <c r="H9" s="131">
        <f t="shared" si="1"/>
        <v>1198527.9867</v>
      </c>
      <c r="J9" s="133">
        <f>C9*25%</f>
        <v>3329244.4075000002</v>
      </c>
      <c r="K9" s="133">
        <f>C9*9%</f>
        <v>1198527.9867</v>
      </c>
    </row>
    <row r="10" spans="1:11" s="132" customFormat="1" ht="15" hidden="1" customHeight="1" x14ac:dyDescent="0.25">
      <c r="A10" s="124">
        <v>41547</v>
      </c>
      <c r="B10" s="134" t="s">
        <v>111</v>
      </c>
      <c r="C10" s="126"/>
      <c r="D10" s="136">
        <v>2354705.2999999998</v>
      </c>
      <c r="E10" s="135">
        <f t="shared" si="2"/>
        <v>10962272.330000002</v>
      </c>
      <c r="F10" s="129" t="str">
        <f t="shared" ref="F10:F19" si="3">IF(E10&gt;0,"C","D")</f>
        <v>C</v>
      </c>
      <c r="G10" s="130">
        <f t="shared" si="0"/>
        <v>2740568.0825000005</v>
      </c>
      <c r="H10" s="131">
        <f t="shared" si="1"/>
        <v>986604.50970000017</v>
      </c>
      <c r="J10" s="133">
        <f>-D10*25%</f>
        <v>-588676.32499999995</v>
      </c>
      <c r="K10" s="133">
        <f>-D10*9%</f>
        <v>-211923.47699999998</v>
      </c>
    </row>
    <row r="11" spans="1:11" s="132" customFormat="1" ht="15" hidden="1" customHeight="1" x14ac:dyDescent="0.25">
      <c r="A11" s="124">
        <v>41639</v>
      </c>
      <c r="B11" s="134" t="s">
        <v>113</v>
      </c>
      <c r="C11" s="126">
        <v>4328200.7420800095</v>
      </c>
      <c r="D11" s="137"/>
      <c r="E11" s="135">
        <f t="shared" si="2"/>
        <v>15290473.072080012</v>
      </c>
      <c r="F11" s="129" t="str">
        <f t="shared" si="3"/>
        <v>C</v>
      </c>
      <c r="G11" s="130">
        <f t="shared" si="0"/>
        <v>3822618.2680200031</v>
      </c>
      <c r="H11" s="131">
        <f t="shared" si="1"/>
        <v>1376142.576487201</v>
      </c>
      <c r="J11" s="133">
        <f>C11*25%</f>
        <v>1082050.1855200024</v>
      </c>
      <c r="K11" s="133">
        <f>C11*9%</f>
        <v>389538.06678720086</v>
      </c>
    </row>
    <row r="12" spans="1:11" s="97" customFormat="1" ht="15" hidden="1" customHeight="1" x14ac:dyDescent="0.25">
      <c r="A12" s="124">
        <v>41759</v>
      </c>
      <c r="B12" s="134" t="s">
        <v>111</v>
      </c>
      <c r="C12" s="126"/>
      <c r="D12" s="136">
        <f>'[1]1.2.01.04.0001_2_Jan_Mar.14'!D56</f>
        <v>8512755.216</v>
      </c>
      <c r="E12" s="135">
        <f t="shared" si="2"/>
        <v>6777717.8560800124</v>
      </c>
      <c r="F12" s="129" t="str">
        <f t="shared" si="3"/>
        <v>C</v>
      </c>
      <c r="G12" s="130">
        <f t="shared" si="0"/>
        <v>1694429.4640200031</v>
      </c>
      <c r="H12" s="131">
        <f t="shared" si="1"/>
        <v>609994.60704720113</v>
      </c>
      <c r="J12" s="138">
        <f>SUM(J7:J11)</f>
        <v>3822618.2680200031</v>
      </c>
      <c r="K12" s="138">
        <f>SUM(K7:K11)</f>
        <v>1376142.5764872008</v>
      </c>
    </row>
    <row r="13" spans="1:11" ht="15.75" hidden="1" thickBot="1" x14ac:dyDescent="0.3">
      <c r="A13" s="124">
        <v>41820</v>
      </c>
      <c r="B13" s="134" t="s">
        <v>111</v>
      </c>
      <c r="C13" s="126"/>
      <c r="D13" s="136">
        <v>1775456.27</v>
      </c>
      <c r="E13" s="135">
        <f t="shared" si="2"/>
        <v>5002261.5860800128</v>
      </c>
      <c r="F13" s="129" t="str">
        <f t="shared" si="3"/>
        <v>C</v>
      </c>
      <c r="G13" s="130">
        <f t="shared" si="0"/>
        <v>1250565.3965200032</v>
      </c>
      <c r="H13" s="131">
        <f t="shared" si="1"/>
        <v>450203.54274720117</v>
      </c>
    </row>
    <row r="14" spans="1:11" ht="15.75" hidden="1" thickBot="1" x14ac:dyDescent="0.3">
      <c r="A14" s="124">
        <v>41912</v>
      </c>
      <c r="B14" s="134" t="s">
        <v>111</v>
      </c>
      <c r="C14" s="126"/>
      <c r="D14" s="136">
        <v>2247417.5099999998</v>
      </c>
      <c r="E14" s="135">
        <f t="shared" si="2"/>
        <v>2754844.0760800131</v>
      </c>
      <c r="F14" s="129" t="str">
        <f t="shared" si="3"/>
        <v>C</v>
      </c>
      <c r="G14" s="130">
        <f t="shared" si="0"/>
        <v>688711.01902000327</v>
      </c>
      <c r="H14" s="131">
        <f t="shared" si="1"/>
        <v>247935.96684720117</v>
      </c>
    </row>
    <row r="15" spans="1:11" ht="15.75" hidden="1" thickBot="1" x14ac:dyDescent="0.3">
      <c r="A15" s="124">
        <v>42004</v>
      </c>
      <c r="B15" s="134" t="s">
        <v>111</v>
      </c>
      <c r="C15" s="126"/>
      <c r="D15" s="136">
        <f>E14</f>
        <v>2754844.0760800131</v>
      </c>
      <c r="E15" s="135">
        <f t="shared" si="2"/>
        <v>0</v>
      </c>
      <c r="F15" s="129" t="str">
        <f t="shared" si="3"/>
        <v>D</v>
      </c>
      <c r="G15" s="130">
        <f t="shared" si="0"/>
        <v>0</v>
      </c>
      <c r="H15" s="131">
        <f t="shared" si="1"/>
        <v>0</v>
      </c>
      <c r="J15" s="108"/>
    </row>
    <row r="16" spans="1:11" ht="15.75" thickBot="1" x14ac:dyDescent="0.3">
      <c r="A16" s="124">
        <v>42094</v>
      </c>
      <c r="B16" s="134" t="s">
        <v>114</v>
      </c>
      <c r="C16" s="126">
        <f>-'Mod - Prej.Fiscal'!C5</f>
        <v>3000000</v>
      </c>
      <c r="D16" s="136"/>
      <c r="E16" s="135">
        <f t="shared" si="2"/>
        <v>3000000</v>
      </c>
      <c r="F16" s="129" t="str">
        <f t="shared" si="3"/>
        <v>C</v>
      </c>
      <c r="G16" s="130">
        <f t="shared" si="0"/>
        <v>750000</v>
      </c>
      <c r="H16" s="131">
        <f t="shared" si="1"/>
        <v>270000</v>
      </c>
    </row>
    <row r="17" spans="1:8" ht="15.75" thickBot="1" x14ac:dyDescent="0.3">
      <c r="A17" s="124">
        <v>42185</v>
      </c>
      <c r="B17" s="134" t="s">
        <v>111</v>
      </c>
      <c r="C17" s="126"/>
      <c r="D17" s="136">
        <f>-'Mod - Prej.Fiscal'!E6</f>
        <v>900000</v>
      </c>
      <c r="E17" s="135">
        <f t="shared" si="2"/>
        <v>2100000</v>
      </c>
      <c r="F17" s="129" t="str">
        <f t="shared" si="3"/>
        <v>C</v>
      </c>
      <c r="G17" s="130">
        <f t="shared" si="0"/>
        <v>525000</v>
      </c>
      <c r="H17" s="131">
        <f t="shared" si="1"/>
        <v>189000</v>
      </c>
    </row>
    <row r="18" spans="1:8" ht="15.75" thickBot="1" x14ac:dyDescent="0.3">
      <c r="A18" s="124">
        <v>42277</v>
      </c>
      <c r="B18" s="134" t="s">
        <v>111</v>
      </c>
      <c r="C18" s="126"/>
      <c r="D18" s="136">
        <f>-'Mod - Prej.Fiscal'!G6</f>
        <v>750000</v>
      </c>
      <c r="E18" s="135">
        <f t="shared" si="2"/>
        <v>1350000</v>
      </c>
      <c r="F18" s="129" t="str">
        <f t="shared" si="3"/>
        <v>C</v>
      </c>
      <c r="G18" s="130">
        <f t="shared" si="0"/>
        <v>337500</v>
      </c>
      <c r="H18" s="131">
        <f t="shared" si="1"/>
        <v>121500</v>
      </c>
    </row>
    <row r="19" spans="1:8" ht="15.75" thickBot="1" x14ac:dyDescent="0.3">
      <c r="A19" s="124">
        <v>42369</v>
      </c>
      <c r="B19" s="134" t="s">
        <v>111</v>
      </c>
      <c r="C19" s="126"/>
      <c r="D19" s="136">
        <f>-'Mod - Prej.Fiscal'!I7</f>
        <v>1350000</v>
      </c>
      <c r="E19" s="135">
        <f t="shared" si="2"/>
        <v>0</v>
      </c>
      <c r="F19" s="129" t="str">
        <f t="shared" si="3"/>
        <v>D</v>
      </c>
      <c r="G19" s="130">
        <f t="shared" si="0"/>
        <v>0</v>
      </c>
      <c r="H19" s="131">
        <f t="shared" si="1"/>
        <v>0</v>
      </c>
    </row>
    <row r="20" spans="1:8" x14ac:dyDescent="0.25">
      <c r="A20" s="139"/>
      <c r="B20" s="140"/>
      <c r="C20" s="141"/>
      <c r="D20" s="142"/>
      <c r="E20" s="142"/>
      <c r="F20" s="142"/>
    </row>
    <row r="21" spans="1:8" x14ac:dyDescent="0.25">
      <c r="A21" s="139"/>
      <c r="B21" s="140"/>
      <c r="C21" s="141"/>
      <c r="D21" s="142"/>
      <c r="E21" s="142"/>
      <c r="F21" s="142"/>
    </row>
    <row r="22" spans="1:8" x14ac:dyDescent="0.25">
      <c r="A22" s="139"/>
      <c r="B22" s="140"/>
      <c r="C22" s="141"/>
      <c r="D22" s="142"/>
      <c r="E22" s="142"/>
      <c r="F22" s="142"/>
    </row>
    <row r="23" spans="1:8" x14ac:dyDescent="0.25">
      <c r="A23" s="139"/>
      <c r="B23" s="140"/>
      <c r="C23" s="141"/>
      <c r="D23" s="142"/>
      <c r="E23" s="142"/>
      <c r="F23" s="142"/>
    </row>
    <row r="24" spans="1:8" x14ac:dyDescent="0.25">
      <c r="A24" s="139"/>
      <c r="B24" s="140"/>
      <c r="C24" s="141"/>
      <c r="D24" s="142"/>
      <c r="E24" s="142"/>
      <c r="F24" s="142"/>
    </row>
    <row r="25" spans="1:8" x14ac:dyDescent="0.25">
      <c r="A25" s="139"/>
      <c r="B25" s="140"/>
      <c r="C25" s="141"/>
      <c r="D25" s="142"/>
      <c r="E25" s="142"/>
      <c r="F25" s="142"/>
    </row>
    <row r="26" spans="1:8" x14ac:dyDescent="0.25">
      <c r="A26" s="139"/>
      <c r="B26" s="140"/>
      <c r="C26" s="141"/>
      <c r="D26" s="142"/>
      <c r="E26" s="142"/>
      <c r="F26" s="142"/>
    </row>
    <row r="27" spans="1:8" x14ac:dyDescent="0.25">
      <c r="A27" s="139"/>
      <c r="B27" s="140"/>
      <c r="C27" s="141"/>
      <c r="D27" s="142"/>
      <c r="E27" s="142"/>
      <c r="F27" s="142"/>
    </row>
    <row r="28" spans="1:8" x14ac:dyDescent="0.25">
      <c r="A28" s="139"/>
      <c r="B28" s="140"/>
      <c r="C28" s="141"/>
      <c r="D28" s="142"/>
      <c r="E28" s="142"/>
      <c r="F28" s="142"/>
    </row>
    <row r="29" spans="1:8" x14ac:dyDescent="0.25">
      <c r="A29" s="139"/>
      <c r="B29" s="140"/>
      <c r="C29" s="141"/>
      <c r="D29" s="142"/>
      <c r="E29" s="142"/>
      <c r="F29" s="142"/>
    </row>
    <row r="30" spans="1:8" x14ac:dyDescent="0.25">
      <c r="A30" s="139"/>
      <c r="B30" s="140"/>
      <c r="C30" s="141"/>
      <c r="D30" s="142"/>
      <c r="E30" s="142"/>
      <c r="F30" s="142"/>
    </row>
    <row r="31" spans="1:8" x14ac:dyDescent="0.25">
      <c r="A31" s="139"/>
      <c r="B31" s="140"/>
      <c r="C31" s="141"/>
      <c r="D31" s="142"/>
      <c r="E31" s="142"/>
      <c r="F31" s="142"/>
    </row>
    <row r="32" spans="1:8" x14ac:dyDescent="0.25">
      <c r="A32" s="139"/>
      <c r="B32" s="140"/>
      <c r="C32" s="141"/>
      <c r="D32" s="142"/>
      <c r="E32" s="142"/>
      <c r="F32" s="142"/>
    </row>
    <row r="33" spans="1:6" x14ac:dyDescent="0.25">
      <c r="A33" s="139"/>
      <c r="B33" s="140"/>
      <c r="C33" s="141"/>
      <c r="D33" s="142"/>
      <c r="E33" s="142"/>
      <c r="F33" s="142"/>
    </row>
    <row r="34" spans="1:6" x14ac:dyDescent="0.25">
      <c r="A34" s="139"/>
      <c r="B34" s="140"/>
      <c r="C34" s="141"/>
      <c r="D34" s="142"/>
      <c r="E34" s="142"/>
      <c r="F34" s="142"/>
    </row>
    <row r="35" spans="1:6" x14ac:dyDescent="0.25">
      <c r="A35" s="139"/>
      <c r="B35" s="140"/>
      <c r="C35" s="141"/>
      <c r="D35" s="142"/>
      <c r="E35" s="142"/>
      <c r="F35" s="142"/>
    </row>
    <row r="36" spans="1:6" x14ac:dyDescent="0.25">
      <c r="A36" s="139"/>
      <c r="B36" s="140"/>
      <c r="C36" s="141"/>
      <c r="D36" s="142"/>
      <c r="E36" s="142"/>
      <c r="F36" s="142"/>
    </row>
    <row r="37" spans="1:6" x14ac:dyDescent="0.25">
      <c r="A37" s="139"/>
      <c r="B37" s="140"/>
      <c r="C37" s="141"/>
      <c r="D37" s="142"/>
      <c r="E37" s="142"/>
      <c r="F37" s="142"/>
    </row>
    <row r="38" spans="1:6" x14ac:dyDescent="0.25">
      <c r="A38" s="139"/>
      <c r="B38" s="140"/>
      <c r="C38" s="141"/>
      <c r="D38" s="142"/>
      <c r="E38" s="142"/>
      <c r="F38" s="142"/>
    </row>
    <row r="39" spans="1:6" x14ac:dyDescent="0.25">
      <c r="A39" s="139"/>
      <c r="B39" s="140"/>
      <c r="C39" s="141"/>
      <c r="D39" s="142"/>
      <c r="E39" s="142"/>
      <c r="F39" s="142"/>
    </row>
    <row r="40" spans="1:6" x14ac:dyDescent="0.25">
      <c r="A40" s="139"/>
      <c r="B40" s="140"/>
      <c r="C40" s="141"/>
      <c r="D40" s="142"/>
      <c r="E40" s="142"/>
      <c r="F40" s="142"/>
    </row>
    <row r="41" spans="1:6" x14ac:dyDescent="0.25">
      <c r="A41" s="139"/>
      <c r="B41" s="140"/>
      <c r="C41" s="141"/>
      <c r="D41" s="142"/>
      <c r="E41" s="142"/>
      <c r="F41" s="142"/>
    </row>
    <row r="42" spans="1:6" x14ac:dyDescent="0.25">
      <c r="A42" s="139"/>
      <c r="B42" s="140"/>
      <c r="C42" s="141"/>
      <c r="D42" s="142"/>
      <c r="E42" s="142"/>
      <c r="F42" s="142"/>
    </row>
    <row r="43" spans="1:6" x14ac:dyDescent="0.25">
      <c r="A43" s="139"/>
      <c r="B43" s="140"/>
      <c r="C43" s="141"/>
      <c r="D43" s="142"/>
      <c r="E43" s="142"/>
      <c r="F43" s="142"/>
    </row>
    <row r="44" spans="1:6" x14ac:dyDescent="0.25">
      <c r="A44" s="139"/>
      <c r="B44" s="140"/>
      <c r="C44" s="141"/>
      <c r="D44" s="142"/>
      <c r="E44" s="142"/>
      <c r="F44" s="142"/>
    </row>
    <row r="45" spans="1:6" x14ac:dyDescent="0.25">
      <c r="A45" s="139"/>
      <c r="B45" s="140"/>
      <c r="C45" s="141"/>
      <c r="D45" s="142"/>
      <c r="E45" s="142"/>
      <c r="F45" s="142"/>
    </row>
    <row r="46" spans="1:6" x14ac:dyDescent="0.25">
      <c r="A46" s="139"/>
      <c r="B46" s="140"/>
      <c r="C46" s="141"/>
      <c r="D46" s="142"/>
      <c r="E46" s="142"/>
      <c r="F46" s="142"/>
    </row>
    <row r="47" spans="1:6" x14ac:dyDescent="0.25">
      <c r="A47" s="139"/>
      <c r="B47" s="140"/>
      <c r="C47" s="141"/>
      <c r="D47" s="142"/>
      <c r="E47" s="142"/>
      <c r="F47" s="142"/>
    </row>
    <row r="48" spans="1:6" x14ac:dyDescent="0.25">
      <c r="A48" s="139"/>
      <c r="B48" s="140"/>
      <c r="C48" s="141"/>
      <c r="D48" s="142"/>
      <c r="E48" s="142"/>
      <c r="F48" s="142"/>
    </row>
    <row r="49" spans="1:6" x14ac:dyDescent="0.25">
      <c r="A49" s="139"/>
      <c r="B49" s="140"/>
      <c r="C49" s="141"/>
      <c r="D49" s="142"/>
      <c r="E49" s="142"/>
      <c r="F49" s="142"/>
    </row>
    <row r="50" spans="1:6" x14ac:dyDescent="0.25">
      <c r="A50" s="139"/>
      <c r="B50" s="140"/>
      <c r="C50" s="141"/>
      <c r="D50" s="142"/>
      <c r="E50" s="142"/>
      <c r="F50" s="142"/>
    </row>
    <row r="51" spans="1:6" x14ac:dyDescent="0.25">
      <c r="A51" s="143"/>
      <c r="B51" s="143"/>
      <c r="C51" s="143"/>
      <c r="D51" s="143"/>
      <c r="E51" s="143"/>
      <c r="F51" s="143"/>
    </row>
    <row r="52" spans="1:6" x14ac:dyDescent="0.25">
      <c r="A52" s="224" t="e">
        <f>#REF!</f>
        <v>#REF!</v>
      </c>
      <c r="B52" s="224"/>
      <c r="C52" s="224"/>
      <c r="D52" s="224"/>
      <c r="E52" s="224"/>
      <c r="F52" s="224"/>
    </row>
    <row r="53" spans="1:6" x14ac:dyDescent="0.25">
      <c r="A53" s="143"/>
      <c r="B53" s="143"/>
      <c r="C53" s="143"/>
      <c r="D53" s="143"/>
      <c r="E53" s="143"/>
      <c r="F53" s="143"/>
    </row>
    <row r="54" spans="1:6" x14ac:dyDescent="0.25">
      <c r="A54" s="225" t="s">
        <v>115</v>
      </c>
      <c r="B54" s="225"/>
      <c r="C54" s="225"/>
      <c r="D54" s="225"/>
      <c r="E54" s="225"/>
      <c r="F54" s="225"/>
    </row>
    <row r="55" spans="1:6" x14ac:dyDescent="0.25">
      <c r="A55" s="143"/>
      <c r="B55" s="143"/>
      <c r="C55" s="143"/>
      <c r="D55" s="143"/>
      <c r="E55" s="143"/>
      <c r="F55" s="143"/>
    </row>
    <row r="56" spans="1:6" x14ac:dyDescent="0.25">
      <c r="A56" s="144" t="s">
        <v>116</v>
      </c>
      <c r="B56" s="145" t="s">
        <v>117</v>
      </c>
      <c r="C56" s="143"/>
      <c r="D56" s="143"/>
      <c r="E56" s="143"/>
      <c r="F56" s="143"/>
    </row>
    <row r="57" spans="1:6" x14ac:dyDescent="0.25">
      <c r="A57" s="143"/>
      <c r="B57" s="143"/>
      <c r="C57" s="143"/>
      <c r="D57" s="143"/>
      <c r="E57" s="143"/>
      <c r="F57" s="143"/>
    </row>
    <row r="58" spans="1:6" x14ac:dyDescent="0.25">
      <c r="A58" s="226" t="s">
        <v>118</v>
      </c>
      <c r="B58" s="226" t="s">
        <v>102</v>
      </c>
      <c r="C58" s="227" t="s">
        <v>103</v>
      </c>
      <c r="D58" s="227"/>
      <c r="E58" s="227"/>
      <c r="F58" s="227"/>
    </row>
    <row r="59" spans="1:6" x14ac:dyDescent="0.25">
      <c r="A59" s="226"/>
      <c r="B59" s="226"/>
      <c r="C59" s="226" t="s">
        <v>105</v>
      </c>
      <c r="D59" s="226" t="s">
        <v>106</v>
      </c>
      <c r="E59" s="227" t="s">
        <v>107</v>
      </c>
      <c r="F59" s="227"/>
    </row>
    <row r="60" spans="1:6" x14ac:dyDescent="0.25">
      <c r="A60" s="226"/>
      <c r="B60" s="226"/>
      <c r="C60" s="226"/>
      <c r="D60" s="226"/>
      <c r="E60" s="146" t="s">
        <v>108</v>
      </c>
      <c r="F60" s="146" t="s">
        <v>109</v>
      </c>
    </row>
    <row r="61" spans="1:6" x14ac:dyDescent="0.25">
      <c r="A61" s="139">
        <v>40909</v>
      </c>
      <c r="B61" s="140" t="s">
        <v>119</v>
      </c>
      <c r="C61" s="141">
        <v>1161007.72</v>
      </c>
      <c r="D61" s="142"/>
      <c r="E61" s="142">
        <f>C61</f>
        <v>1161007.72</v>
      </c>
      <c r="F61" s="142" t="str">
        <f>IF(E61&gt;0,"C","D")</f>
        <v>C</v>
      </c>
    </row>
    <row r="62" spans="1:6" x14ac:dyDescent="0.25">
      <c r="A62" s="147"/>
      <c r="B62" s="140"/>
      <c r="C62" s="141"/>
      <c r="D62" s="148"/>
      <c r="E62" s="148"/>
      <c r="F62" s="148"/>
    </row>
    <row r="63" spans="1:6" x14ac:dyDescent="0.25">
      <c r="A63" s="139">
        <v>40999</v>
      </c>
      <c r="B63" s="145" t="s">
        <v>120</v>
      </c>
      <c r="C63" s="141" t="e">
        <f>'[2]parte A'!C7</f>
        <v>#REF!</v>
      </c>
      <c r="D63" s="142"/>
      <c r="E63" s="149" t="e">
        <f>E61+C63-D63</f>
        <v>#REF!</v>
      </c>
      <c r="F63" s="142" t="e">
        <f>IF(E63&gt;0,"C","D")</f>
        <v>#REF!</v>
      </c>
    </row>
    <row r="64" spans="1:6" x14ac:dyDescent="0.25">
      <c r="A64" s="147"/>
      <c r="B64" s="140"/>
      <c r="C64" s="141"/>
      <c r="D64" s="148"/>
      <c r="E64" s="148"/>
      <c r="F64" s="148"/>
    </row>
    <row r="65" spans="1:6" x14ac:dyDescent="0.25">
      <c r="A65" s="139">
        <v>41090</v>
      </c>
      <c r="B65" s="145" t="s">
        <v>120</v>
      </c>
      <c r="C65" s="141" t="e">
        <f>'[2]parte A'!C55</f>
        <v>#REF!</v>
      </c>
      <c r="D65" s="142"/>
      <c r="E65" s="149" t="e">
        <f>E63+C65-D65</f>
        <v>#REF!</v>
      </c>
      <c r="F65" s="142" t="e">
        <f>IF(E65&gt;0,"C","D")</f>
        <v>#REF!</v>
      </c>
    </row>
    <row r="66" spans="1:6" x14ac:dyDescent="0.25">
      <c r="A66" s="147"/>
      <c r="B66" s="143"/>
      <c r="C66" s="141"/>
      <c r="D66" s="141"/>
      <c r="E66" s="141"/>
      <c r="F66" s="143"/>
    </row>
    <row r="67" spans="1:6" x14ac:dyDescent="0.25">
      <c r="A67" s="139">
        <v>41182</v>
      </c>
      <c r="B67" s="145" t="s">
        <v>120</v>
      </c>
      <c r="C67" s="141">
        <f>'[2]parte A'!C103</f>
        <v>240088.71</v>
      </c>
      <c r="D67" s="142"/>
      <c r="E67" s="149" t="e">
        <f>E65+C67-D67</f>
        <v>#REF!</v>
      </c>
      <c r="F67" s="142" t="e">
        <f>IF(E67&gt;0,"C","D")</f>
        <v>#REF!</v>
      </c>
    </row>
    <row r="68" spans="1:6" x14ac:dyDescent="0.25">
      <c r="A68" s="147"/>
      <c r="B68" s="140"/>
      <c r="C68" s="141"/>
      <c r="D68" s="142"/>
      <c r="E68" s="142"/>
      <c r="F68" s="142"/>
    </row>
    <row r="69" spans="1:6" x14ac:dyDescent="0.25">
      <c r="A69" s="139">
        <v>41274</v>
      </c>
      <c r="B69" s="145" t="s">
        <v>120</v>
      </c>
      <c r="C69" s="141" t="str">
        <f>'[2]parte A'!C157</f>
        <v>Adições</v>
      </c>
      <c r="D69" s="142"/>
      <c r="E69" s="149" t="e">
        <f>E67+C69-D69</f>
        <v>#REF!</v>
      </c>
      <c r="F69" s="142" t="e">
        <f>IF(E69&gt;0,"C","D")</f>
        <v>#REF!</v>
      </c>
    </row>
    <row r="70" spans="1:6" x14ac:dyDescent="0.25">
      <c r="A70" s="150"/>
      <c r="B70" s="143"/>
      <c r="C70" s="141"/>
      <c r="D70" s="141"/>
      <c r="E70" s="141"/>
      <c r="F70" s="143"/>
    </row>
    <row r="71" spans="1:6" x14ac:dyDescent="0.25">
      <c r="A71" s="150"/>
      <c r="B71" s="143"/>
      <c r="C71" s="141"/>
      <c r="D71" s="141"/>
      <c r="E71" s="141"/>
      <c r="F71" s="143"/>
    </row>
    <row r="72" spans="1:6" x14ac:dyDescent="0.25">
      <c r="A72" s="150"/>
      <c r="B72" s="143"/>
      <c r="C72" s="141"/>
      <c r="D72" s="141"/>
      <c r="E72" s="141"/>
      <c r="F72" s="143"/>
    </row>
    <row r="73" spans="1:6" x14ac:dyDescent="0.25">
      <c r="A73" s="150"/>
      <c r="B73" s="143"/>
      <c r="C73" s="141"/>
      <c r="D73" s="141"/>
      <c r="E73" s="141"/>
      <c r="F73" s="143"/>
    </row>
  </sheetData>
  <mergeCells count="16">
    <mergeCell ref="A1:D1"/>
    <mergeCell ref="A4:A6"/>
    <mergeCell ref="B4:B6"/>
    <mergeCell ref="C4:F4"/>
    <mergeCell ref="G4:H5"/>
    <mergeCell ref="C5:C6"/>
    <mergeCell ref="D5:D6"/>
    <mergeCell ref="E5:F5"/>
    <mergeCell ref="A52:F52"/>
    <mergeCell ref="A54:F54"/>
    <mergeCell ref="A58:A60"/>
    <mergeCell ref="B58:B60"/>
    <mergeCell ref="C58:F58"/>
    <mergeCell ref="C59:C60"/>
    <mergeCell ref="D59:D60"/>
    <mergeCell ref="E59:F5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H14"/>
  <sheetViews>
    <sheetView zoomScale="130" zoomScaleNormal="130" workbookViewId="0">
      <pane xSplit="2" ySplit="4" topLeftCell="C5" activePane="bottomRight" state="frozen"/>
      <selection activeCell="E51" sqref="E51"/>
      <selection pane="topRight" activeCell="E51" sqref="E51"/>
      <selection pane="bottomLeft" activeCell="E51" sqref="E51"/>
      <selection pane="bottomRight" activeCell="D16" sqref="D16"/>
    </sheetView>
  </sheetViews>
  <sheetFormatPr defaultColWidth="11.42578125" defaultRowHeight="12.75" x14ac:dyDescent="0.2"/>
  <cols>
    <col min="1" max="1" width="1.28515625" style="27" customWidth="1"/>
    <col min="2" max="2" width="57.28515625" style="95" customWidth="1"/>
    <col min="3" max="4" width="19.7109375" style="27" customWidth="1"/>
    <col min="5" max="5" width="21.140625" style="27" customWidth="1"/>
    <col min="6" max="6" width="21.140625" style="166" customWidth="1"/>
    <col min="7" max="7" width="12.85546875" style="27" bestFit="1" customWidth="1"/>
    <col min="8" max="8" width="13.42578125" style="27" bestFit="1" customWidth="1"/>
    <col min="9" max="16384" width="11.42578125" style="27"/>
  </cols>
  <sheetData>
    <row r="1" spans="1:8" ht="15.75" x14ac:dyDescent="0.25">
      <c r="A1" s="23" t="s">
        <v>123</v>
      </c>
      <c r="B1" s="24"/>
      <c r="C1" s="25"/>
      <c r="D1" s="151"/>
      <c r="E1" s="25"/>
      <c r="F1" s="151"/>
    </row>
    <row r="2" spans="1:8" ht="18" customHeight="1" x14ac:dyDescent="0.2">
      <c r="A2" s="28" t="s">
        <v>30</v>
      </c>
      <c r="B2" s="29"/>
      <c r="C2" s="30"/>
      <c r="D2" s="152"/>
      <c r="E2" s="30"/>
      <c r="F2" s="152"/>
    </row>
    <row r="3" spans="1:8" x14ac:dyDescent="0.2">
      <c r="A3" s="218" t="s">
        <v>31</v>
      </c>
      <c r="B3" s="219"/>
      <c r="C3" s="222">
        <v>2014</v>
      </c>
      <c r="D3" s="223"/>
      <c r="E3" s="222">
        <v>2015</v>
      </c>
      <c r="F3" s="223"/>
    </row>
    <row r="4" spans="1:8" x14ac:dyDescent="0.2">
      <c r="A4" s="220"/>
      <c r="B4" s="221"/>
      <c r="C4" s="36" t="s">
        <v>33</v>
      </c>
      <c r="D4" s="37" t="s">
        <v>34</v>
      </c>
      <c r="E4" s="36" t="s">
        <v>33</v>
      </c>
      <c r="F4" s="37" t="s">
        <v>34</v>
      </c>
    </row>
    <row r="5" spans="1:8" s="44" customFormat="1" x14ac:dyDescent="0.2">
      <c r="A5" s="41" t="s">
        <v>35</v>
      </c>
      <c r="B5" s="42"/>
      <c r="C5" s="155">
        <v>12532000</v>
      </c>
      <c r="D5" s="156">
        <v>12532000</v>
      </c>
      <c r="E5" s="155">
        <v>3200000</v>
      </c>
      <c r="F5" s="156">
        <v>3200000</v>
      </c>
      <c r="H5" s="45"/>
    </row>
    <row r="6" spans="1:8" s="44" customFormat="1" x14ac:dyDescent="0.2">
      <c r="A6" s="46" t="s">
        <v>36</v>
      </c>
      <c r="B6" s="47"/>
      <c r="C6" s="157"/>
      <c r="D6" s="158"/>
      <c r="E6" s="157"/>
      <c r="F6" s="158"/>
    </row>
    <row r="7" spans="1:8" s="44" customFormat="1" x14ac:dyDescent="0.2">
      <c r="A7" s="48" t="s">
        <v>37</v>
      </c>
      <c r="B7" s="49" t="s">
        <v>124</v>
      </c>
      <c r="C7" s="153"/>
      <c r="D7" s="154"/>
      <c r="E7" s="159">
        <v>3500000</v>
      </c>
      <c r="F7" s="160">
        <f>E7</f>
        <v>3500000</v>
      </c>
    </row>
    <row r="8" spans="1:8" s="44" customFormat="1" x14ac:dyDescent="0.2">
      <c r="A8" s="46" t="s">
        <v>38</v>
      </c>
      <c r="B8" s="47"/>
      <c r="C8" s="157"/>
      <c r="D8" s="158"/>
      <c r="E8" s="157"/>
      <c r="F8" s="158"/>
    </row>
    <row r="9" spans="1:8" x14ac:dyDescent="0.2">
      <c r="A9" s="48" t="s">
        <v>39</v>
      </c>
      <c r="B9" s="49" t="s">
        <v>124</v>
      </c>
      <c r="C9" s="159">
        <v>3500000</v>
      </c>
      <c r="D9" s="160">
        <f>C9</f>
        <v>3500000</v>
      </c>
      <c r="E9" s="159"/>
      <c r="F9" s="160"/>
    </row>
    <row r="10" spans="1:8" x14ac:dyDescent="0.2">
      <c r="A10" s="41" t="s">
        <v>43</v>
      </c>
      <c r="B10" s="42"/>
      <c r="C10" s="155">
        <f>C5+C7-C9</f>
        <v>9032000</v>
      </c>
      <c r="D10" s="156">
        <f t="shared" ref="D10:F10" si="0">D5+D7-D9</f>
        <v>9032000</v>
      </c>
      <c r="E10" s="155">
        <f t="shared" si="0"/>
        <v>6700000</v>
      </c>
      <c r="F10" s="156">
        <f t="shared" si="0"/>
        <v>6700000</v>
      </c>
    </row>
    <row r="11" spans="1:8" x14ac:dyDescent="0.2">
      <c r="A11" s="60"/>
      <c r="B11" s="61" t="s">
        <v>15</v>
      </c>
      <c r="C11" s="161">
        <v>60000</v>
      </c>
      <c r="D11" s="162"/>
      <c r="E11" s="161">
        <v>60000</v>
      </c>
      <c r="F11" s="162"/>
    </row>
    <row r="12" spans="1:8" x14ac:dyDescent="0.2">
      <c r="A12" s="60" t="s">
        <v>44</v>
      </c>
      <c r="B12" s="64"/>
      <c r="C12" s="159">
        <f>IF(C10&gt;0,ROUND(C10*15%,2),0)</f>
        <v>1354800</v>
      </c>
      <c r="D12" s="160">
        <f>IF(D10&gt;0,ROUND(D10*9%,2),0)</f>
        <v>812880</v>
      </c>
      <c r="E12" s="159">
        <f>IF(E10&gt;0,ROUND(E10*15%,2),0)</f>
        <v>1005000</v>
      </c>
      <c r="F12" s="160">
        <f>IF(F10&gt;0,ROUND(F10*9%,2),0)</f>
        <v>603000</v>
      </c>
    </row>
    <row r="13" spans="1:8" x14ac:dyDescent="0.2">
      <c r="A13" s="60" t="s">
        <v>45</v>
      </c>
      <c r="B13" s="64"/>
      <c r="C13" s="159">
        <f>ROUND(IF(C10&gt;C11,(C10-C11)*10%,0),2)</f>
        <v>897200</v>
      </c>
      <c r="D13" s="163"/>
      <c r="E13" s="159">
        <f>ROUND(IF(E10&gt;E11,(E10-E11)*10%,0),2)</f>
        <v>664000</v>
      </c>
      <c r="F13" s="163"/>
    </row>
    <row r="14" spans="1:8" s="68" customFormat="1" x14ac:dyDescent="0.2">
      <c r="A14" s="41" t="s">
        <v>46</v>
      </c>
      <c r="B14" s="42"/>
      <c r="C14" s="164">
        <f>SUM(C12:C13)</f>
        <v>2252000</v>
      </c>
      <c r="D14" s="165">
        <f>D12</f>
        <v>812880</v>
      </c>
      <c r="E14" s="164">
        <f>SUM(E12:E13)</f>
        <v>1669000</v>
      </c>
      <c r="F14" s="165">
        <f>F12</f>
        <v>603000</v>
      </c>
    </row>
  </sheetData>
  <mergeCells count="3">
    <mergeCell ref="A3:B4"/>
    <mergeCell ref="C3:D3"/>
    <mergeCell ref="E3:F3"/>
  </mergeCells>
  <printOptions horizontalCentered="1"/>
  <pageMargins left="0.39370078740157483" right="0.39370078740157483" top="0.98425196850393704" bottom="0.98425196850393704" header="0.51181102362204722" footer="0.51181102362204722"/>
  <pageSetup paperSize="9" fitToWidth="0" orientation="landscape" horizontalDpi="4294967295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14"/>
  <sheetViews>
    <sheetView tabSelected="1" zoomScale="180" zoomScaleNormal="180" workbookViewId="0">
      <selection activeCell="D15" sqref="D15"/>
    </sheetView>
  </sheetViews>
  <sheetFormatPr defaultColWidth="11.42578125" defaultRowHeight="12.75" x14ac:dyDescent="0.2"/>
  <cols>
    <col min="1" max="1" width="37" style="27" customWidth="1"/>
    <col min="2" max="2" width="16.42578125" style="170" customWidth="1"/>
    <col min="3" max="5" width="11.42578125" style="27"/>
    <col min="6" max="6" width="11.42578125" style="166"/>
    <col min="7" max="16384" width="11.42578125" style="27"/>
  </cols>
  <sheetData>
    <row r="1" spans="1:4" x14ac:dyDescent="0.2">
      <c r="A1" s="55" t="s">
        <v>125</v>
      </c>
    </row>
    <row r="3" spans="1:4" ht="13.5" thickBot="1" x14ac:dyDescent="0.25">
      <c r="A3" s="167" t="s">
        <v>126</v>
      </c>
      <c r="B3" s="171">
        <v>13282000</v>
      </c>
    </row>
    <row r="5" spans="1:4" ht="13.5" thickBot="1" x14ac:dyDescent="0.25">
      <c r="A5" s="167" t="s">
        <v>127</v>
      </c>
      <c r="B5" s="171">
        <v>8752333.1500000004</v>
      </c>
    </row>
    <row r="7" spans="1:4" ht="13.5" thickBot="1" x14ac:dyDescent="0.25">
      <c r="A7" s="167" t="s">
        <v>128</v>
      </c>
      <c r="B7" s="172"/>
    </row>
    <row r="8" spans="1:4" x14ac:dyDescent="0.2">
      <c r="A8" s="27" t="s">
        <v>129</v>
      </c>
      <c r="B8" s="170">
        <f>-B5*5%</f>
        <v>-437616.65750000003</v>
      </c>
    </row>
    <row r="11" spans="1:4" ht="13.5" thickBot="1" x14ac:dyDescent="0.25">
      <c r="A11" s="167" t="s">
        <v>130</v>
      </c>
      <c r="B11" s="172"/>
    </row>
    <row r="12" spans="1:4" x14ac:dyDescent="0.2">
      <c r="A12" s="168" t="s">
        <v>131</v>
      </c>
      <c r="B12" s="170">
        <v>-317282.15000000002</v>
      </c>
    </row>
    <row r="13" spans="1:4" ht="13.5" thickBot="1" x14ac:dyDescent="0.25">
      <c r="A13" s="169" t="s">
        <v>132</v>
      </c>
      <c r="B13" s="172">
        <v>-618815.94999999995</v>
      </c>
    </row>
    <row r="14" spans="1:4" x14ac:dyDescent="0.2">
      <c r="A14" s="55" t="s">
        <v>133</v>
      </c>
      <c r="B14" s="173">
        <f>SUM(B12:B13)</f>
        <v>-936098.1</v>
      </c>
      <c r="D14" s="247">
        <f>B14-B8</f>
        <v>-498481.44249999995</v>
      </c>
    </row>
  </sheetData>
  <printOptions horizontalCentered="1"/>
  <pageMargins left="0.39370078740157483" right="0.39370078740157483" top="0.98425196850393704" bottom="0.98425196850393704" header="0.51181102362204722" footer="0.51181102362204722"/>
  <pageSetup paperSize="9" fitToWidth="0" orientation="landscape" horizontalDpi="4294967295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14"/>
  <sheetViews>
    <sheetView zoomScale="130" zoomScaleNormal="130" workbookViewId="0">
      <pane xSplit="2" ySplit="4" topLeftCell="C5" activePane="bottomRight" state="frozen"/>
      <selection activeCell="D29" sqref="D29"/>
      <selection pane="topRight" activeCell="D29" sqref="D29"/>
      <selection pane="bottomLeft" activeCell="D29" sqref="D29"/>
      <selection pane="bottomRight" activeCell="F9" sqref="F9"/>
    </sheetView>
  </sheetViews>
  <sheetFormatPr defaultColWidth="11.42578125" defaultRowHeight="12.75" x14ac:dyDescent="0.2"/>
  <cols>
    <col min="1" max="1" width="1.28515625" style="27" customWidth="1"/>
    <col min="2" max="2" width="57.28515625" style="95" customWidth="1"/>
    <col min="3" max="3" width="21.140625" style="27" customWidth="1"/>
    <col min="4" max="4" width="21.140625" style="166" customWidth="1"/>
    <col min="5" max="5" width="4.7109375" style="27" customWidth="1"/>
    <col min="6" max="6" width="13.42578125" style="27" bestFit="1" customWidth="1"/>
    <col min="7" max="16384" width="11.42578125" style="27"/>
  </cols>
  <sheetData>
    <row r="1" spans="1:7" ht="15.75" x14ac:dyDescent="0.25">
      <c r="A1" s="23" t="s">
        <v>123</v>
      </c>
      <c r="B1" s="24"/>
      <c r="C1" s="25"/>
      <c r="D1" s="151"/>
    </row>
    <row r="2" spans="1:7" ht="18" customHeight="1" x14ac:dyDescent="0.2">
      <c r="A2" s="28" t="s">
        <v>30</v>
      </c>
      <c r="B2" s="29"/>
      <c r="C2" s="30"/>
      <c r="D2" s="152"/>
    </row>
    <row r="3" spans="1:7" x14ac:dyDescent="0.2">
      <c r="A3" s="218" t="s">
        <v>31</v>
      </c>
      <c r="B3" s="219"/>
      <c r="C3" s="222">
        <v>2015</v>
      </c>
      <c r="D3" s="223"/>
    </row>
    <row r="4" spans="1:7" x14ac:dyDescent="0.2">
      <c r="A4" s="220"/>
      <c r="B4" s="221"/>
      <c r="C4" s="36" t="s">
        <v>33</v>
      </c>
      <c r="D4" s="37" t="s">
        <v>34</v>
      </c>
    </row>
    <row r="5" spans="1:7" s="44" customFormat="1" x14ac:dyDescent="0.2">
      <c r="A5" s="41" t="s">
        <v>35</v>
      </c>
      <c r="B5" s="42"/>
      <c r="C5" s="155">
        <f>'Mod - Perdas - Dados'!B3</f>
        <v>13282000</v>
      </c>
      <c r="D5" s="156">
        <f>C5</f>
        <v>13282000</v>
      </c>
      <c r="F5" s="45"/>
    </row>
    <row r="6" spans="1:7" s="44" customFormat="1" x14ac:dyDescent="0.2">
      <c r="A6" s="46" t="s">
        <v>36</v>
      </c>
      <c r="B6" s="47"/>
      <c r="C6" s="157"/>
      <c r="D6" s="158"/>
    </row>
    <row r="7" spans="1:7" s="44" customFormat="1" x14ac:dyDescent="0.2">
      <c r="A7" s="48" t="s">
        <v>37</v>
      </c>
      <c r="B7" s="49" t="s">
        <v>134</v>
      </c>
      <c r="C7" s="159">
        <f>-'Mod - Perdas - Dados'!B8</f>
        <v>437616.65750000003</v>
      </c>
      <c r="D7" s="160">
        <f>C7</f>
        <v>437616.65750000003</v>
      </c>
    </row>
    <row r="8" spans="1:7" s="44" customFormat="1" x14ac:dyDescent="0.2">
      <c r="A8" s="46" t="s">
        <v>38</v>
      </c>
      <c r="B8" s="47"/>
      <c r="C8" s="157"/>
      <c r="D8" s="158"/>
    </row>
    <row r="9" spans="1:7" x14ac:dyDescent="0.2">
      <c r="A9" s="48" t="s">
        <v>39</v>
      </c>
      <c r="B9" s="49" t="s">
        <v>134</v>
      </c>
      <c r="C9" s="159">
        <f>-'Mod - Perdas - Dados'!B14</f>
        <v>936098.1</v>
      </c>
      <c r="D9" s="160">
        <f>C9</f>
        <v>936098.1</v>
      </c>
      <c r="F9" s="57">
        <f>C9-C7</f>
        <v>498481.44249999995</v>
      </c>
      <c r="G9" s="55" t="s">
        <v>157</v>
      </c>
    </row>
    <row r="10" spans="1:7" x14ac:dyDescent="0.2">
      <c r="A10" s="41" t="s">
        <v>43</v>
      </c>
      <c r="B10" s="42"/>
      <c r="C10" s="155">
        <f t="shared" ref="C10:D10" si="0">C5+C7-C9</f>
        <v>12783518.557500001</v>
      </c>
      <c r="D10" s="156">
        <f t="shared" si="0"/>
        <v>12783518.557500001</v>
      </c>
    </row>
    <row r="11" spans="1:7" x14ac:dyDescent="0.2">
      <c r="A11" s="60"/>
      <c r="B11" s="61" t="s">
        <v>15</v>
      </c>
      <c r="C11" s="161">
        <v>60000</v>
      </c>
      <c r="D11" s="162"/>
    </row>
    <row r="12" spans="1:7" x14ac:dyDescent="0.2">
      <c r="A12" s="60" t="s">
        <v>44</v>
      </c>
      <c r="B12" s="64"/>
      <c r="C12" s="159">
        <f>IF(C10&gt;0,ROUND(C10*15%,2),0)</f>
        <v>1917527.78</v>
      </c>
      <c r="D12" s="160">
        <f>IF(D10&gt;0,ROUND(D10*9%,2),0)</f>
        <v>1150516.67</v>
      </c>
    </row>
    <row r="13" spans="1:7" x14ac:dyDescent="0.2">
      <c r="A13" s="60" t="s">
        <v>45</v>
      </c>
      <c r="B13" s="64"/>
      <c r="C13" s="159">
        <f>ROUND(IF(C10&gt;C11,(C10-C11)*10%,0),2)</f>
        <v>1272351.8600000001</v>
      </c>
      <c r="D13" s="163"/>
    </row>
    <row r="14" spans="1:7" s="68" customFormat="1" x14ac:dyDescent="0.2">
      <c r="A14" s="41" t="s">
        <v>46</v>
      </c>
      <c r="B14" s="42"/>
      <c r="C14" s="164">
        <f>SUM(C12:C13)</f>
        <v>3189879.64</v>
      </c>
      <c r="D14" s="165">
        <f>D12</f>
        <v>1150516.67</v>
      </c>
    </row>
  </sheetData>
  <mergeCells count="2">
    <mergeCell ref="A3:B4"/>
    <mergeCell ref="C3:D3"/>
  </mergeCells>
  <printOptions horizontalCentered="1"/>
  <pageMargins left="0.39370078740157483" right="0.39370078740157483" top="0.98425196850393704" bottom="0.98425196850393704" header="0.51181102362204722" footer="0.51181102362204722"/>
  <pageSetup paperSize="9" fitToWidth="0" orientation="landscape" horizont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6</vt:i4>
      </vt:variant>
    </vt:vector>
  </HeadingPairs>
  <TitlesOfParts>
    <vt:vector size="20" baseType="lpstr">
      <vt:lpstr>Mod - Est Susp.Reduc 01</vt:lpstr>
      <vt:lpstr>Mod - Est Susp.Reduc 02</vt:lpstr>
      <vt:lpstr>Mod - Alíquota IRPJ</vt:lpstr>
      <vt:lpstr>Mod - Alíquota CSLL</vt:lpstr>
      <vt:lpstr>Mod - Ded e Comp</vt:lpstr>
      <vt:lpstr>Mod - Pgto Anual</vt:lpstr>
      <vt:lpstr>Mod - Pgto Trim</vt:lpstr>
      <vt:lpstr>Mod - Prej.Fiscal</vt:lpstr>
      <vt:lpstr>Mod - Prej.Fiscal - Controle</vt:lpstr>
      <vt:lpstr>Mod - Con.Long_Prazo</vt:lpstr>
      <vt:lpstr>Mod - Perdas - Dados</vt:lpstr>
      <vt:lpstr>Plan1</vt:lpstr>
      <vt:lpstr>Plan2</vt:lpstr>
      <vt:lpstr>Mod - Perdas - Apuração</vt:lpstr>
      <vt:lpstr>'Mod - Con.Long_Prazo'!Area_de_impressao</vt:lpstr>
      <vt:lpstr>'Mod - Ded e Comp'!Area_de_impressao</vt:lpstr>
      <vt:lpstr>'Mod - Perdas - Apuração'!Area_de_impressao</vt:lpstr>
      <vt:lpstr>'Mod - Con.Long_Prazo'!Titulos_de_impressao</vt:lpstr>
      <vt:lpstr>'Mod - Ded e Comp'!Titulos_de_impressao</vt:lpstr>
      <vt:lpstr>'Mod - Perdas - Apuração'!Titulos_de_impressao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Arantes</dc:creator>
  <cp:lastModifiedBy>Henrique</cp:lastModifiedBy>
  <dcterms:created xsi:type="dcterms:W3CDTF">2016-02-25T17:19:28Z</dcterms:created>
  <dcterms:modified xsi:type="dcterms:W3CDTF">2017-01-21T19:18:02Z</dcterms:modified>
</cp:coreProperties>
</file>