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@Fiscal\"/>
    </mc:Choice>
  </mc:AlternateContent>
  <bookViews>
    <workbookView xWindow="0" yWindow="0" windowWidth="20490" windowHeight="7755" activeTab="1"/>
  </bookViews>
  <sheets>
    <sheet name="Tabelas" sheetId="1" r:id="rId1"/>
    <sheet name="Apuração" sheetId="2" r:id="rId2"/>
  </sheets>
  <definedNames>
    <definedName name="Anexo1">Tabelas!$B$3:$E$8</definedName>
    <definedName name="Anexo2">Tabelas!$G$3:$J$8</definedName>
    <definedName name="Anexo3">Tabelas!$B$11:$E$16</definedName>
    <definedName name="Anexo4">Tabelas!$G$11:$J$16</definedName>
    <definedName name="Anexo5">Tabelas!$L$11:$O$16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2" l="1"/>
  <c r="M23" i="2" s="1"/>
  <c r="R23" i="2" s="1"/>
  <c r="K23" i="2"/>
  <c r="L23" i="2"/>
  <c r="Q23" i="2" s="1"/>
  <c r="N23" i="2"/>
  <c r="O23" i="2"/>
  <c r="P23" i="2"/>
  <c r="S23" i="2"/>
  <c r="T23" i="2"/>
  <c r="J26" i="2"/>
  <c r="J24" i="2"/>
  <c r="L24" i="2" s="1"/>
  <c r="Q24" i="2" s="1"/>
  <c r="K24" i="2"/>
  <c r="P24" i="2" s="1"/>
  <c r="N24" i="2"/>
  <c r="S24" i="2" s="1"/>
  <c r="J25" i="2"/>
  <c r="N25" i="2"/>
  <c r="S25" i="2" s="1"/>
  <c r="J28" i="2"/>
  <c r="O28" i="2"/>
  <c r="T28" i="2" s="1"/>
  <c r="J32" i="2"/>
  <c r="K32" i="2"/>
  <c r="P32" i="2" s="1"/>
  <c r="L4" i="2"/>
  <c r="Q4" i="2" s="1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J4" i="2" s="1"/>
  <c r="K4" i="2" s="1"/>
  <c r="P4" i="2" s="1"/>
  <c r="E20" i="1"/>
  <c r="D20" i="1"/>
  <c r="C20" i="1"/>
  <c r="U23" i="2" l="1"/>
  <c r="O24" i="2"/>
  <c r="T24" i="2" s="1"/>
  <c r="L32" i="2"/>
  <c r="Q32" i="2" s="1"/>
  <c r="M32" i="2"/>
  <c r="R32" i="2" s="1"/>
  <c r="N32" i="2"/>
  <c r="S32" i="2" s="1"/>
  <c r="L28" i="2"/>
  <c r="Q28" i="2" s="1"/>
  <c r="M28" i="2"/>
  <c r="R28" i="2" s="1"/>
  <c r="N28" i="2"/>
  <c r="S28" i="2" s="1"/>
  <c r="J27" i="2"/>
  <c r="N26" i="2"/>
  <c r="S26" i="2" s="1"/>
  <c r="K26" i="2"/>
  <c r="P26" i="2" s="1"/>
  <c r="O26" i="2"/>
  <c r="T26" i="2" s="1"/>
  <c r="L26" i="2"/>
  <c r="Q26" i="2" s="1"/>
  <c r="J33" i="2"/>
  <c r="O32" i="2"/>
  <c r="T32" i="2" s="1"/>
  <c r="J29" i="2"/>
  <c r="K28" i="2"/>
  <c r="P28" i="2" s="1"/>
  <c r="M26" i="2"/>
  <c r="R26" i="2" s="1"/>
  <c r="K25" i="2"/>
  <c r="P25" i="2" s="1"/>
  <c r="O25" i="2"/>
  <c r="T25" i="2" s="1"/>
  <c r="L25" i="2"/>
  <c r="Q25" i="2" s="1"/>
  <c r="M25" i="2"/>
  <c r="R25" i="2" s="1"/>
  <c r="J31" i="2"/>
  <c r="M24" i="2"/>
  <c r="R24" i="2" s="1"/>
  <c r="U24" i="2" s="1"/>
  <c r="J30" i="2"/>
  <c r="O4" i="2"/>
  <c r="T4" i="2" s="1"/>
  <c r="J5" i="2"/>
  <c r="N4" i="2"/>
  <c r="S4" i="2" s="1"/>
  <c r="M4" i="2"/>
  <c r="R4" i="2" s="1"/>
  <c r="U4" i="2" s="1"/>
  <c r="J18" i="2"/>
  <c r="J22" i="2"/>
  <c r="J19" i="2"/>
  <c r="J20" i="2"/>
  <c r="J17" i="2"/>
  <c r="J21" i="2"/>
  <c r="J16" i="2"/>
  <c r="U25" i="2" l="1"/>
  <c r="U26" i="2"/>
  <c r="U32" i="2"/>
  <c r="M31" i="2"/>
  <c r="R31" i="2" s="1"/>
  <c r="N31" i="2"/>
  <c r="S31" i="2" s="1"/>
  <c r="K31" i="2"/>
  <c r="P31" i="2" s="1"/>
  <c r="O31" i="2"/>
  <c r="T31" i="2" s="1"/>
  <c r="L31" i="2"/>
  <c r="Q31" i="2" s="1"/>
  <c r="K33" i="2"/>
  <c r="P33" i="2" s="1"/>
  <c r="O33" i="2"/>
  <c r="T33" i="2" s="1"/>
  <c r="L33" i="2"/>
  <c r="Q33" i="2" s="1"/>
  <c r="M33" i="2"/>
  <c r="R33" i="2" s="1"/>
  <c r="N33" i="2"/>
  <c r="S33" i="2" s="1"/>
  <c r="K29" i="2"/>
  <c r="P29" i="2" s="1"/>
  <c r="O29" i="2"/>
  <c r="T29" i="2" s="1"/>
  <c r="L29" i="2"/>
  <c r="Q29" i="2" s="1"/>
  <c r="M29" i="2"/>
  <c r="R29" i="2" s="1"/>
  <c r="N29" i="2"/>
  <c r="S29" i="2" s="1"/>
  <c r="M27" i="2"/>
  <c r="R27" i="2" s="1"/>
  <c r="N27" i="2"/>
  <c r="S27" i="2" s="1"/>
  <c r="K27" i="2"/>
  <c r="P27" i="2" s="1"/>
  <c r="O27" i="2"/>
  <c r="T27" i="2" s="1"/>
  <c r="L27" i="2"/>
  <c r="Q27" i="2" s="1"/>
  <c r="N30" i="2"/>
  <c r="S30" i="2" s="1"/>
  <c r="K30" i="2"/>
  <c r="P30" i="2" s="1"/>
  <c r="O30" i="2"/>
  <c r="T30" i="2" s="1"/>
  <c r="L30" i="2"/>
  <c r="Q30" i="2" s="1"/>
  <c r="M30" i="2"/>
  <c r="R30" i="2" s="1"/>
  <c r="U28" i="2"/>
  <c r="N20" i="2"/>
  <c r="S20" i="2" s="1"/>
  <c r="O20" i="2"/>
  <c r="T20" i="2" s="1"/>
  <c r="L20" i="2"/>
  <c r="Q20" i="2" s="1"/>
  <c r="K20" i="2"/>
  <c r="P20" i="2" s="1"/>
  <c r="U20" i="2" s="1"/>
  <c r="M20" i="2"/>
  <c r="R20" i="2" s="1"/>
  <c r="N5" i="2"/>
  <c r="S5" i="2" s="1"/>
  <c r="L5" i="2"/>
  <c r="Q5" i="2" s="1"/>
  <c r="M5" i="2"/>
  <c r="R5" i="2" s="1"/>
  <c r="O21" i="2"/>
  <c r="T21" i="2" s="1"/>
  <c r="L21" i="2"/>
  <c r="Q21" i="2" s="1"/>
  <c r="K21" i="2"/>
  <c r="P21" i="2" s="1"/>
  <c r="M21" i="2"/>
  <c r="R21" i="2" s="1"/>
  <c r="N21" i="2"/>
  <c r="S21" i="2" s="1"/>
  <c r="N19" i="2"/>
  <c r="S19" i="2" s="1"/>
  <c r="O19" i="2"/>
  <c r="T19" i="2" s="1"/>
  <c r="L19" i="2"/>
  <c r="Q19" i="2" s="1"/>
  <c r="K19" i="2"/>
  <c r="P19" i="2" s="1"/>
  <c r="M19" i="2"/>
  <c r="R19" i="2" s="1"/>
  <c r="O5" i="2"/>
  <c r="T5" i="2" s="1"/>
  <c r="O17" i="2"/>
  <c r="T17" i="2" s="1"/>
  <c r="L17" i="2"/>
  <c r="Q17" i="2" s="1"/>
  <c r="K17" i="2"/>
  <c r="P17" i="2" s="1"/>
  <c r="M17" i="2"/>
  <c r="R17" i="2" s="1"/>
  <c r="N17" i="2"/>
  <c r="S17" i="2" s="1"/>
  <c r="M22" i="2"/>
  <c r="R22" i="2" s="1"/>
  <c r="N22" i="2"/>
  <c r="S22" i="2" s="1"/>
  <c r="O22" i="2"/>
  <c r="T22" i="2" s="1"/>
  <c r="L22" i="2"/>
  <c r="Q22" i="2" s="1"/>
  <c r="K22" i="2"/>
  <c r="P22" i="2" s="1"/>
  <c r="J6" i="2"/>
  <c r="M6" i="2" s="1"/>
  <c r="R6" i="2" s="1"/>
  <c r="M18" i="2"/>
  <c r="R18" i="2" s="1"/>
  <c r="N18" i="2"/>
  <c r="S18" i="2" s="1"/>
  <c r="O18" i="2"/>
  <c r="T18" i="2" s="1"/>
  <c r="L18" i="2"/>
  <c r="Q18" i="2" s="1"/>
  <c r="K18" i="2"/>
  <c r="P18" i="2" s="1"/>
  <c r="K5" i="2"/>
  <c r="P5" i="2" s="1"/>
  <c r="U5" i="2" s="1"/>
  <c r="M16" i="2"/>
  <c r="R16" i="2" s="1"/>
  <c r="N16" i="2"/>
  <c r="S16" i="2" s="1"/>
  <c r="O16" i="2"/>
  <c r="T16" i="2" s="1"/>
  <c r="K16" i="2"/>
  <c r="P16" i="2" s="1"/>
  <c r="U16" i="2" s="1"/>
  <c r="L16" i="2"/>
  <c r="Q16" i="2" s="1"/>
  <c r="O6" i="2"/>
  <c r="T6" i="2" s="1"/>
  <c r="K6" i="2"/>
  <c r="P6" i="2" s="1"/>
  <c r="L6" i="2"/>
  <c r="Q6" i="2" s="1"/>
  <c r="N6" i="2"/>
  <c r="S6" i="2" s="1"/>
  <c r="J7" i="2"/>
  <c r="U31" i="2" l="1"/>
  <c r="U29" i="2"/>
  <c r="U30" i="2"/>
  <c r="U27" i="2"/>
  <c r="U33" i="2"/>
  <c r="U6" i="2"/>
  <c r="U18" i="2"/>
  <c r="U21" i="2"/>
  <c r="U17" i="2"/>
  <c r="U22" i="2"/>
  <c r="U19" i="2"/>
  <c r="L7" i="2"/>
  <c r="Q7" i="2" s="1"/>
  <c r="M7" i="2"/>
  <c r="R7" i="2" s="1"/>
  <c r="N7" i="2"/>
  <c r="S7" i="2" s="1"/>
  <c r="O7" i="2"/>
  <c r="T7" i="2" s="1"/>
  <c r="K7" i="2"/>
  <c r="P7" i="2" s="1"/>
  <c r="J8" i="2"/>
  <c r="U7" i="2" l="1"/>
  <c r="M8" i="2"/>
  <c r="R8" i="2" s="1"/>
  <c r="N8" i="2"/>
  <c r="S8" i="2" s="1"/>
  <c r="O8" i="2"/>
  <c r="T8" i="2" s="1"/>
  <c r="K8" i="2"/>
  <c r="P8" i="2" s="1"/>
  <c r="L8" i="2"/>
  <c r="Q8" i="2" s="1"/>
  <c r="J9" i="2"/>
  <c r="U8" i="2" l="1"/>
  <c r="N9" i="2"/>
  <c r="S9" i="2" s="1"/>
  <c r="O9" i="2"/>
  <c r="T9" i="2" s="1"/>
  <c r="K9" i="2"/>
  <c r="P9" i="2" s="1"/>
  <c r="U9" i="2" s="1"/>
  <c r="L9" i="2"/>
  <c r="Q9" i="2" s="1"/>
  <c r="M9" i="2"/>
  <c r="R9" i="2" s="1"/>
  <c r="J10" i="2"/>
  <c r="O10" i="2" l="1"/>
  <c r="T10" i="2" s="1"/>
  <c r="K10" i="2"/>
  <c r="P10" i="2" s="1"/>
  <c r="L10" i="2"/>
  <c r="Q10" i="2" s="1"/>
  <c r="M10" i="2"/>
  <c r="R10" i="2" s="1"/>
  <c r="N10" i="2"/>
  <c r="S10" i="2" s="1"/>
  <c r="J11" i="2"/>
  <c r="U10" i="2" l="1"/>
  <c r="L11" i="2"/>
  <c r="Q11" i="2" s="1"/>
  <c r="M11" i="2"/>
  <c r="R11" i="2" s="1"/>
  <c r="N11" i="2"/>
  <c r="S11" i="2" s="1"/>
  <c r="O11" i="2"/>
  <c r="T11" i="2" s="1"/>
  <c r="K11" i="2"/>
  <c r="P11" i="2" s="1"/>
  <c r="J12" i="2"/>
  <c r="U11" i="2" l="1"/>
  <c r="M12" i="2"/>
  <c r="R12" i="2" s="1"/>
  <c r="N12" i="2"/>
  <c r="S12" i="2" s="1"/>
  <c r="O12" i="2"/>
  <c r="T12" i="2" s="1"/>
  <c r="K12" i="2"/>
  <c r="P12" i="2" s="1"/>
  <c r="L12" i="2"/>
  <c r="Q12" i="2" s="1"/>
  <c r="J13" i="2"/>
  <c r="U12" i="2" l="1"/>
  <c r="N13" i="2"/>
  <c r="S13" i="2" s="1"/>
  <c r="O13" i="2"/>
  <c r="T13" i="2" s="1"/>
  <c r="K13" i="2"/>
  <c r="P13" i="2" s="1"/>
  <c r="U13" i="2" s="1"/>
  <c r="L13" i="2"/>
  <c r="Q13" i="2" s="1"/>
  <c r="M13" i="2"/>
  <c r="R13" i="2" s="1"/>
  <c r="J14" i="2"/>
  <c r="O14" i="2" l="1"/>
  <c r="T14" i="2" s="1"/>
  <c r="K14" i="2"/>
  <c r="P14" i="2" s="1"/>
  <c r="L14" i="2"/>
  <c r="Q14" i="2" s="1"/>
  <c r="M14" i="2"/>
  <c r="R14" i="2" s="1"/>
  <c r="N14" i="2"/>
  <c r="S14" i="2" s="1"/>
  <c r="J15" i="2"/>
  <c r="U14" i="2" l="1"/>
  <c r="L15" i="2"/>
  <c r="Q15" i="2" s="1"/>
  <c r="M15" i="2"/>
  <c r="R15" i="2" s="1"/>
  <c r="N15" i="2"/>
  <c r="S15" i="2" s="1"/>
  <c r="O15" i="2"/>
  <c r="T15" i="2" s="1"/>
  <c r="K15" i="2"/>
  <c r="P15" i="2" s="1"/>
  <c r="U15" i="2" l="1"/>
</calcChain>
</file>

<file path=xl/comments1.xml><?xml version="1.0" encoding="utf-8"?>
<comments xmlns="http://schemas.openxmlformats.org/spreadsheetml/2006/main">
  <authors>
    <author>Eduardo</author>
  </authors>
  <commentList>
    <comment ref="J3" authorId="0" shapeId="0">
      <text>
        <r>
          <rPr>
            <b/>
            <sz val="9"/>
            <color indexed="81"/>
            <rFont val="Segoe UI"/>
            <family val="2"/>
          </rPr>
          <t xml:space="preserve">Eduardo:
Essa formula só fica igual após 12 meses...
</t>
        </r>
      </text>
    </comment>
  </commentList>
</comments>
</file>

<file path=xl/sharedStrings.xml><?xml version="1.0" encoding="utf-8"?>
<sst xmlns="http://schemas.openxmlformats.org/spreadsheetml/2006/main" count="46" uniqueCount="29">
  <si>
    <t>Anexo1</t>
  </si>
  <si>
    <t>%</t>
  </si>
  <si>
    <t>PD</t>
  </si>
  <si>
    <t>ICMS</t>
  </si>
  <si>
    <t>Anexo2</t>
  </si>
  <si>
    <t>Anexo3</t>
  </si>
  <si>
    <t>ISS</t>
  </si>
  <si>
    <t>Anexo4</t>
  </si>
  <si>
    <t>Anexo5</t>
  </si>
  <si>
    <t>teste</t>
  </si>
  <si>
    <t>Empresa:</t>
  </si>
  <si>
    <t>Mês</t>
  </si>
  <si>
    <t>Anexo 1</t>
  </si>
  <si>
    <t>Anexo 2</t>
  </si>
  <si>
    <t>Anexo 3</t>
  </si>
  <si>
    <t>Anexo 4</t>
  </si>
  <si>
    <t>Anexo 5</t>
  </si>
  <si>
    <t>F12</t>
  </si>
  <si>
    <t>Aliq 1</t>
  </si>
  <si>
    <t>TOTAL</t>
  </si>
  <si>
    <t>TESTE LTDA</t>
  </si>
  <si>
    <t>RECEITA DO MÊS ( Ocultar anexos que não usam)</t>
  </si>
  <si>
    <t>Aliq 2</t>
  </si>
  <si>
    <t>Aliq 3</t>
  </si>
  <si>
    <t>Aliq 4</t>
  </si>
  <si>
    <t>Aliq 5</t>
  </si>
  <si>
    <t>Alíquotas efetivas de cada anexo:</t>
  </si>
  <si>
    <t>Simples Nacional Apurado por Anexo</t>
  </si>
  <si>
    <t>Fat Acum 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</si>
</sst>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3" fontId="2" fillId="2" borderId="3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43" fontId="0" fillId="0" borderId="4" xfId="1" applyFont="1" applyBorder="1"/>
    <xf numFmtId="10" fontId="0" fillId="0" borderId="0" xfId="2" applyNumberFormat="1" applyFont="1" applyBorder="1"/>
    <xf numFmtId="43" fontId="0" fillId="0" borderId="0" xfId="1" applyFont="1" applyBorder="1"/>
    <xf numFmtId="10" fontId="0" fillId="0" borderId="5" xfId="2" applyNumberFormat="1" applyFont="1" applyBorder="1"/>
    <xf numFmtId="43" fontId="0" fillId="0" borderId="6" xfId="1" applyFont="1" applyBorder="1"/>
    <xf numFmtId="10" fontId="0" fillId="0" borderId="7" xfId="2" applyNumberFormat="1" applyFont="1" applyBorder="1"/>
    <xf numFmtId="43" fontId="0" fillId="0" borderId="7" xfId="1" applyFont="1" applyBorder="1"/>
    <xf numFmtId="10" fontId="0" fillId="0" borderId="8" xfId="2" applyNumberFormat="1" applyFont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3" fontId="2" fillId="3" borderId="3" xfId="1" applyFont="1" applyFill="1" applyBorder="1" applyAlignment="1">
      <alignment horizontal="center"/>
    </xf>
    <xf numFmtId="0" fontId="2" fillId="0" borderId="0" xfId="0" applyFont="1"/>
    <xf numFmtId="0" fontId="2" fillId="3" borderId="3" xfId="0" applyFont="1" applyFill="1" applyBorder="1" applyAlignment="1">
      <alignment horizontal="center"/>
    </xf>
    <xf numFmtId="10" fontId="0" fillId="0" borderId="5" xfId="0" applyNumberFormat="1" applyBorder="1"/>
    <xf numFmtId="10" fontId="0" fillId="0" borderId="0" xfId="2" applyNumberFormat="1" applyFont="1"/>
    <xf numFmtId="43" fontId="0" fillId="0" borderId="0" xfId="1" applyFont="1"/>
    <xf numFmtId="0" fontId="4" fillId="0" borderId="0" xfId="0" applyFont="1"/>
    <xf numFmtId="0" fontId="5" fillId="3" borderId="9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3" fontId="7" fillId="2" borderId="16" xfId="1" applyFont="1" applyFill="1" applyBorder="1" applyAlignment="1">
      <alignment horizontal="center"/>
    </xf>
    <xf numFmtId="0" fontId="2" fillId="2" borderId="15" xfId="0" applyFont="1" applyFill="1" applyBorder="1"/>
    <xf numFmtId="0" fontId="0" fillId="0" borderId="9" xfId="0" applyBorder="1"/>
    <xf numFmtId="0" fontId="8" fillId="5" borderId="10" xfId="0" applyFont="1" applyFill="1" applyBorder="1"/>
    <xf numFmtId="0" fontId="3" fillId="4" borderId="10" xfId="0" applyFont="1" applyFill="1" applyBorder="1"/>
    <xf numFmtId="0" fontId="0" fillId="4" borderId="10" xfId="0" applyFill="1" applyBorder="1"/>
    <xf numFmtId="0" fontId="0" fillId="4" borderId="11" xfId="0" applyFill="1" applyBorder="1"/>
    <xf numFmtId="0" fontId="0" fillId="3" borderId="17" xfId="0" applyFill="1" applyBorder="1"/>
    <xf numFmtId="0" fontId="7" fillId="5" borderId="0" xfId="0" applyFont="1" applyFill="1" applyBorder="1" applyAlignment="1">
      <alignment horizontal="center"/>
    </xf>
    <xf numFmtId="17" fontId="0" fillId="0" borderId="17" xfId="0" applyNumberFormat="1" applyBorder="1"/>
    <xf numFmtId="17" fontId="0" fillId="0" borderId="0" xfId="0" applyNumberFormat="1" applyBorder="1"/>
    <xf numFmtId="43" fontId="0" fillId="0" borderId="0" xfId="0" applyNumberFormat="1" applyFill="1" applyBorder="1"/>
    <xf numFmtId="43" fontId="0" fillId="0" borderId="0" xfId="0" applyNumberFormat="1" applyBorder="1"/>
    <xf numFmtId="43" fontId="0" fillId="0" borderId="18" xfId="0" applyNumberForma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1"/>
  <sheetViews>
    <sheetView workbookViewId="0">
      <selection activeCell="C3" sqref="C3"/>
    </sheetView>
  </sheetViews>
  <sheetFormatPr defaultRowHeight="15" x14ac:dyDescent="0.25"/>
  <cols>
    <col min="1" max="1" width="7.140625" customWidth="1"/>
    <col min="2" max="2" width="13.28515625" bestFit="1" customWidth="1"/>
    <col min="3" max="3" width="11.140625" bestFit="1" customWidth="1"/>
    <col min="4" max="4" width="11.5703125" bestFit="1" customWidth="1"/>
    <col min="5" max="5" width="11.5703125" customWidth="1"/>
    <col min="6" max="6" width="2.42578125" customWidth="1"/>
    <col min="7" max="7" width="13.28515625" bestFit="1" customWidth="1"/>
    <col min="9" max="9" width="11.5703125" bestFit="1" customWidth="1"/>
    <col min="10" max="10" width="12.42578125" customWidth="1"/>
    <col min="11" max="11" width="2.28515625" customWidth="1"/>
    <col min="12" max="12" width="13.28515625" bestFit="1" customWidth="1"/>
    <col min="14" max="14" width="11.5703125" bestFit="1" customWidth="1"/>
    <col min="15" max="15" width="12.4257812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F2" s="4"/>
      <c r="G2" s="1" t="s">
        <v>4</v>
      </c>
      <c r="H2" s="2" t="s">
        <v>1</v>
      </c>
      <c r="I2" s="2" t="s">
        <v>2</v>
      </c>
      <c r="J2" s="5" t="s">
        <v>3</v>
      </c>
    </row>
    <row r="3" spans="2:15" x14ac:dyDescent="0.25">
      <c r="B3" s="6">
        <v>0</v>
      </c>
      <c r="C3" s="7">
        <v>0.04</v>
      </c>
      <c r="D3" s="8">
        <v>0</v>
      </c>
      <c r="E3" s="9">
        <v>0.34</v>
      </c>
      <c r="G3" s="6">
        <v>0</v>
      </c>
      <c r="H3" s="7">
        <v>4.4999999999999998E-2</v>
      </c>
      <c r="I3" s="8">
        <v>0</v>
      </c>
      <c r="J3" s="9">
        <v>0.32</v>
      </c>
    </row>
    <row r="4" spans="2:15" x14ac:dyDescent="0.25">
      <c r="B4" s="6">
        <v>180000.01</v>
      </c>
      <c r="C4" s="7">
        <v>7.2999999999999995E-2</v>
      </c>
      <c r="D4" s="8">
        <v>5940</v>
      </c>
      <c r="E4" s="9">
        <v>0.34</v>
      </c>
      <c r="G4" s="6">
        <v>180000.01</v>
      </c>
      <c r="H4" s="7">
        <v>7.8E-2</v>
      </c>
      <c r="I4" s="8">
        <v>5940</v>
      </c>
      <c r="J4" s="9">
        <v>0.32</v>
      </c>
    </row>
    <row r="5" spans="2:15" x14ac:dyDescent="0.25">
      <c r="B5" s="6">
        <v>360000.01</v>
      </c>
      <c r="C5" s="7">
        <v>9.5000000000000001E-2</v>
      </c>
      <c r="D5" s="8">
        <v>13860</v>
      </c>
      <c r="E5" s="9">
        <v>0.33500000000000002</v>
      </c>
      <c r="G5" s="6">
        <v>360000.01</v>
      </c>
      <c r="H5" s="7">
        <v>0.1</v>
      </c>
      <c r="I5" s="8">
        <v>13860</v>
      </c>
      <c r="J5" s="9">
        <v>0.32</v>
      </c>
    </row>
    <row r="6" spans="2:15" x14ac:dyDescent="0.25">
      <c r="B6" s="6">
        <v>720000.01</v>
      </c>
      <c r="C6" s="7">
        <v>0.107</v>
      </c>
      <c r="D6" s="8">
        <v>22500</v>
      </c>
      <c r="E6" s="9">
        <v>0.33500000000000002</v>
      </c>
      <c r="G6" s="6">
        <v>720000.01</v>
      </c>
      <c r="H6" s="7">
        <v>0.112</v>
      </c>
      <c r="I6" s="8">
        <v>22500</v>
      </c>
      <c r="J6" s="9">
        <v>0.32</v>
      </c>
    </row>
    <row r="7" spans="2:15" x14ac:dyDescent="0.25">
      <c r="B7" s="6">
        <v>1800000.01</v>
      </c>
      <c r="C7" s="7">
        <v>0.14299999999999999</v>
      </c>
      <c r="D7" s="8">
        <v>87300</v>
      </c>
      <c r="E7" s="9">
        <v>0.33500000000000002</v>
      </c>
      <c r="G7" s="6">
        <v>1800000.01</v>
      </c>
      <c r="H7" s="7">
        <v>0.14699999999999999</v>
      </c>
      <c r="I7" s="8">
        <v>85500</v>
      </c>
      <c r="J7" s="9">
        <v>0.32</v>
      </c>
    </row>
    <row r="8" spans="2:15" ht="15.75" thickBot="1" x14ac:dyDescent="0.3">
      <c r="B8" s="10">
        <v>3600000.01</v>
      </c>
      <c r="C8" s="11">
        <v>0.19</v>
      </c>
      <c r="D8" s="12">
        <v>378000</v>
      </c>
      <c r="E8" s="13">
        <v>0</v>
      </c>
      <c r="G8" s="10">
        <v>3600000.01</v>
      </c>
      <c r="H8" s="11">
        <v>0.3</v>
      </c>
      <c r="I8" s="12">
        <v>720000</v>
      </c>
      <c r="J8" s="13">
        <v>0</v>
      </c>
    </row>
    <row r="9" spans="2:15" ht="15.75" thickBot="1" x14ac:dyDescent="0.3"/>
    <row r="10" spans="2:15" x14ac:dyDescent="0.25">
      <c r="B10" s="14" t="s">
        <v>5</v>
      </c>
      <c r="C10" s="15" t="s">
        <v>1</v>
      </c>
      <c r="D10" s="15" t="s">
        <v>2</v>
      </c>
      <c r="E10" s="16" t="s">
        <v>6</v>
      </c>
      <c r="F10" s="17"/>
      <c r="G10" s="14" t="s">
        <v>7</v>
      </c>
      <c r="H10" s="15" t="s">
        <v>1</v>
      </c>
      <c r="I10" s="15" t="s">
        <v>2</v>
      </c>
      <c r="J10" s="18" t="s">
        <v>6</v>
      </c>
      <c r="K10" s="17"/>
      <c r="L10" s="14" t="s">
        <v>8</v>
      </c>
      <c r="M10" s="15" t="s">
        <v>1</v>
      </c>
      <c r="N10" s="15" t="s">
        <v>2</v>
      </c>
      <c r="O10" s="18" t="s">
        <v>6</v>
      </c>
    </row>
    <row r="11" spans="2:15" x14ac:dyDescent="0.25">
      <c r="B11" s="6">
        <v>0</v>
      </c>
      <c r="C11" s="7">
        <v>0.06</v>
      </c>
      <c r="D11" s="8">
        <v>0</v>
      </c>
      <c r="E11" s="9">
        <v>0.33500000000000002</v>
      </c>
      <c r="G11" s="6">
        <v>0</v>
      </c>
      <c r="H11" s="7">
        <v>4.4999999999999998E-2</v>
      </c>
      <c r="I11" s="8">
        <v>0</v>
      </c>
      <c r="J11" s="9">
        <v>0.44500000000000001</v>
      </c>
      <c r="L11" s="6">
        <v>0</v>
      </c>
      <c r="M11" s="7">
        <v>0.155</v>
      </c>
      <c r="N11" s="8">
        <v>0</v>
      </c>
      <c r="O11" s="19">
        <v>0.14000000000000001</v>
      </c>
    </row>
    <row r="12" spans="2:15" x14ac:dyDescent="0.25">
      <c r="B12" s="6">
        <v>180000.01</v>
      </c>
      <c r="C12" s="7">
        <v>0.112</v>
      </c>
      <c r="D12" s="8">
        <v>9360</v>
      </c>
      <c r="E12" s="9">
        <v>0.32</v>
      </c>
      <c r="G12" s="6">
        <v>180000.01</v>
      </c>
      <c r="H12" s="7">
        <v>0.09</v>
      </c>
      <c r="I12" s="8">
        <v>8100</v>
      </c>
      <c r="J12" s="9">
        <v>0.4</v>
      </c>
      <c r="L12" s="6">
        <v>180000.01</v>
      </c>
      <c r="M12" s="7">
        <v>0.18</v>
      </c>
      <c r="N12" s="8">
        <v>4500</v>
      </c>
      <c r="O12" s="9">
        <v>0.17</v>
      </c>
    </row>
    <row r="13" spans="2:15" x14ac:dyDescent="0.25">
      <c r="B13" s="6">
        <v>360000.01</v>
      </c>
      <c r="C13" s="7">
        <v>0.13500000000000001</v>
      </c>
      <c r="D13" s="8">
        <v>17640</v>
      </c>
      <c r="E13" s="9">
        <v>0.32500000000000001</v>
      </c>
      <c r="G13" s="6">
        <v>360000.01</v>
      </c>
      <c r="H13" s="7">
        <v>0.10199999999999999</v>
      </c>
      <c r="I13" s="8">
        <v>12420</v>
      </c>
      <c r="J13" s="9">
        <v>0.4</v>
      </c>
      <c r="L13" s="6">
        <v>360000.01</v>
      </c>
      <c r="M13" s="7">
        <v>0.19500000000000001</v>
      </c>
      <c r="N13" s="8">
        <v>9900</v>
      </c>
      <c r="O13" s="9">
        <v>0.19</v>
      </c>
    </row>
    <row r="14" spans="2:15" x14ac:dyDescent="0.25">
      <c r="B14" s="6">
        <v>720000.01</v>
      </c>
      <c r="C14" s="7">
        <v>0.16</v>
      </c>
      <c r="D14" s="8">
        <v>35640</v>
      </c>
      <c r="E14" s="9">
        <v>0.32500000000000001</v>
      </c>
      <c r="G14" s="6">
        <v>720000.01</v>
      </c>
      <c r="H14" s="7">
        <v>0.14000000000000001</v>
      </c>
      <c r="I14" s="8">
        <v>39780</v>
      </c>
      <c r="J14" s="9">
        <v>0.4</v>
      </c>
      <c r="L14" s="6">
        <v>720000.01</v>
      </c>
      <c r="M14" s="7">
        <v>0.20499999999999999</v>
      </c>
      <c r="N14" s="8">
        <v>17100</v>
      </c>
      <c r="O14" s="9">
        <v>0.21</v>
      </c>
    </row>
    <row r="15" spans="2:15" x14ac:dyDescent="0.25">
      <c r="B15" s="6">
        <v>1800000.01</v>
      </c>
      <c r="C15" s="7">
        <v>0.21</v>
      </c>
      <c r="D15" s="8">
        <v>125640</v>
      </c>
      <c r="E15" s="9">
        <v>0.33500000000000002</v>
      </c>
      <c r="G15" s="6">
        <v>1800000.01</v>
      </c>
      <c r="H15" s="7">
        <v>0.22</v>
      </c>
      <c r="I15" s="8">
        <v>183780</v>
      </c>
      <c r="J15" s="9">
        <v>0.4</v>
      </c>
      <c r="L15" s="6">
        <v>1800000.01</v>
      </c>
      <c r="M15" s="7">
        <v>0.23</v>
      </c>
      <c r="N15" s="8">
        <v>62100</v>
      </c>
      <c r="O15" s="9">
        <v>0.23499999999999999</v>
      </c>
    </row>
    <row r="16" spans="2:15" ht="15.75" thickBot="1" x14ac:dyDescent="0.3">
      <c r="B16" s="10">
        <v>3600000.01</v>
      </c>
      <c r="C16" s="11">
        <v>0.33</v>
      </c>
      <c r="D16" s="12">
        <v>648000</v>
      </c>
      <c r="E16" s="13">
        <v>0</v>
      </c>
      <c r="G16" s="10">
        <v>3600000.01</v>
      </c>
      <c r="H16" s="11">
        <v>0.33</v>
      </c>
      <c r="I16" s="12">
        <v>828000</v>
      </c>
      <c r="J16" s="13">
        <v>0</v>
      </c>
      <c r="L16" s="10">
        <v>3600000.01</v>
      </c>
      <c r="M16" s="11">
        <v>0.30499999999999999</v>
      </c>
      <c r="N16" s="12">
        <v>540000</v>
      </c>
      <c r="O16" s="13">
        <v>0</v>
      </c>
    </row>
    <row r="17" spans="2:5" x14ac:dyDescent="0.25">
      <c r="C17" s="20"/>
      <c r="D17" s="21"/>
      <c r="E17" s="21"/>
    </row>
    <row r="18" spans="2:5" x14ac:dyDescent="0.25">
      <c r="C18" s="20"/>
      <c r="D18" s="21"/>
      <c r="E18" s="21"/>
    </row>
    <row r="19" spans="2:5" x14ac:dyDescent="0.25">
      <c r="B19" t="s">
        <v>9</v>
      </c>
      <c r="C19" s="20"/>
      <c r="D19" s="21"/>
      <c r="E19" s="21"/>
    </row>
    <row r="20" spans="2:5" x14ac:dyDescent="0.25">
      <c r="B20">
        <v>361000</v>
      </c>
      <c r="C20" s="20">
        <f>VLOOKUP($B$20,Anexo3,2)</f>
        <v>0.13500000000000001</v>
      </c>
      <c r="D20" s="21">
        <f>VLOOKUP(B20,Anexo3,3)</f>
        <v>17640</v>
      </c>
      <c r="E20" s="20">
        <f>VLOOKUP($B$20,Anexo3,4)</f>
        <v>0.32500000000000001</v>
      </c>
    </row>
    <row r="21" spans="2:5" x14ac:dyDescent="0.25">
      <c r="D21" s="21"/>
      <c r="E21" s="2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3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32" sqref="M32"/>
    </sheetView>
  </sheetViews>
  <sheetFormatPr defaultRowHeight="15" x14ac:dyDescent="0.25"/>
  <cols>
    <col min="1" max="1" width="1.7109375" customWidth="1"/>
    <col min="3" max="3" width="2.5703125" customWidth="1"/>
    <col min="4" max="8" width="10.5703125" bestFit="1" customWidth="1"/>
    <col min="9" max="9" width="11.5703125" bestFit="1" customWidth="1"/>
    <col min="10" max="10" width="14" customWidth="1"/>
    <col min="11" max="15" width="7" customWidth="1"/>
    <col min="21" max="21" width="9.5703125" bestFit="1" customWidth="1"/>
  </cols>
  <sheetData>
    <row r="1" spans="2:21" ht="21" x14ac:dyDescent="0.35">
      <c r="B1" t="s">
        <v>10</v>
      </c>
      <c r="C1" s="22" t="s">
        <v>20</v>
      </c>
    </row>
    <row r="2" spans="2:21" ht="18.75" x14ac:dyDescent="0.3">
      <c r="B2" s="33"/>
      <c r="C2" s="23" t="s">
        <v>21</v>
      </c>
      <c r="D2" s="24"/>
      <c r="E2" s="24"/>
      <c r="F2" s="24"/>
      <c r="G2" s="24"/>
      <c r="H2" s="24"/>
      <c r="I2" s="25"/>
      <c r="J2" s="32" t="s">
        <v>28</v>
      </c>
      <c r="K2" s="34" t="s">
        <v>26</v>
      </c>
      <c r="L2" s="34"/>
      <c r="M2" s="34"/>
      <c r="N2" s="34"/>
      <c r="O2" s="34"/>
      <c r="P2" s="35" t="s">
        <v>27</v>
      </c>
      <c r="Q2" s="35"/>
      <c r="R2" s="35"/>
      <c r="S2" s="35"/>
      <c r="T2" s="36"/>
      <c r="U2" s="37"/>
    </row>
    <row r="3" spans="2:21" x14ac:dyDescent="0.25">
      <c r="B3" s="38" t="s">
        <v>11</v>
      </c>
      <c r="C3" s="26"/>
      <c r="D3" s="29" t="s">
        <v>12</v>
      </c>
      <c r="E3" s="29" t="s">
        <v>13</v>
      </c>
      <c r="F3" s="29" t="s">
        <v>14</v>
      </c>
      <c r="G3" s="29" t="s">
        <v>15</v>
      </c>
      <c r="H3" s="29" t="s">
        <v>16</v>
      </c>
      <c r="I3" s="30" t="s">
        <v>19</v>
      </c>
      <c r="J3" s="31" t="s">
        <v>17</v>
      </c>
      <c r="K3" s="39" t="s">
        <v>18</v>
      </c>
      <c r="L3" s="39" t="s">
        <v>22</v>
      </c>
      <c r="M3" s="39" t="s">
        <v>23</v>
      </c>
      <c r="N3" s="39" t="s">
        <v>24</v>
      </c>
      <c r="O3" s="39" t="s">
        <v>25</v>
      </c>
      <c r="P3" s="27" t="s">
        <v>12</v>
      </c>
      <c r="Q3" s="27" t="s">
        <v>13</v>
      </c>
      <c r="R3" s="27" t="s">
        <v>14</v>
      </c>
      <c r="S3" s="27" t="s">
        <v>15</v>
      </c>
      <c r="T3" s="27" t="s">
        <v>16</v>
      </c>
      <c r="U3" s="28" t="s">
        <v>19</v>
      </c>
    </row>
    <row r="4" spans="2:21" x14ac:dyDescent="0.25">
      <c r="B4" s="40">
        <v>43831</v>
      </c>
      <c r="C4" s="41"/>
      <c r="D4" s="8">
        <v>5000</v>
      </c>
      <c r="E4" s="8">
        <v>5000</v>
      </c>
      <c r="F4" s="8">
        <v>5000</v>
      </c>
      <c r="G4" s="8">
        <v>5000</v>
      </c>
      <c r="H4" s="8">
        <v>5000</v>
      </c>
      <c r="I4" s="8">
        <f>SUM(D4:H4)</f>
        <v>25000</v>
      </c>
      <c r="J4" s="42">
        <f>+I4</f>
        <v>25000</v>
      </c>
      <c r="K4" s="7">
        <f>((VLOOKUP($J4,Anexo1,2)*$J4)-VLOOKUP($J4,Anexo1,3))/$J4</f>
        <v>0.04</v>
      </c>
      <c r="L4" s="7">
        <f>((VLOOKUP($J4,Anexo2,2)*$J4)-VLOOKUP($J4,Anexo2,3))/$J4</f>
        <v>4.4999999999999998E-2</v>
      </c>
      <c r="M4" s="7">
        <f>((VLOOKUP($J4,Anexo3,2)*$J4)-VLOOKUP($J4,Anexo3,3))/$J4</f>
        <v>0.06</v>
      </c>
      <c r="N4" s="7">
        <f>((VLOOKUP($J4,Anexo4,2)*$J4)-VLOOKUP($J4,Anexo4,3))/$J4</f>
        <v>4.4999999999999998E-2</v>
      </c>
      <c r="O4" s="7">
        <f>((VLOOKUP($J4,Anexo5,2)*$J4)-VLOOKUP($J4,Anexo5,3))/$J4</f>
        <v>0.155</v>
      </c>
      <c r="P4" s="43">
        <f>+K4*D4</f>
        <v>200</v>
      </c>
      <c r="Q4" s="43">
        <f t="shared" ref="Q4:T4" si="0">+L4*E4</f>
        <v>225</v>
      </c>
      <c r="R4" s="43">
        <f t="shared" si="0"/>
        <v>300</v>
      </c>
      <c r="S4" s="43">
        <f t="shared" si="0"/>
        <v>225</v>
      </c>
      <c r="T4" s="43">
        <f t="shared" si="0"/>
        <v>775</v>
      </c>
      <c r="U4" s="44">
        <f>SUM(P4:T4)</f>
        <v>1725</v>
      </c>
    </row>
    <row r="5" spans="2:21" x14ac:dyDescent="0.25">
      <c r="B5" s="40">
        <v>43862</v>
      </c>
      <c r="C5" s="41"/>
      <c r="D5" s="8">
        <v>5000</v>
      </c>
      <c r="E5" s="8">
        <v>5000</v>
      </c>
      <c r="F5" s="8">
        <v>5000</v>
      </c>
      <c r="G5" s="8">
        <v>5000</v>
      </c>
      <c r="H5" s="8">
        <v>5000</v>
      </c>
      <c r="I5" s="8">
        <f t="shared" ref="I5:I22" si="1">SUM(D5:H5)</f>
        <v>25000</v>
      </c>
      <c r="J5" s="42">
        <f>+J4+I5</f>
        <v>50000</v>
      </c>
      <c r="K5" s="7">
        <f>((VLOOKUP($J5,Anexo1,2)*$J5)-VLOOKUP($J5,Anexo1,3))/$J5</f>
        <v>0.04</v>
      </c>
      <c r="L5" s="7">
        <f>((VLOOKUP($J5,Anexo2,2)*$J5)-VLOOKUP($J5,Anexo2,3))/$J5</f>
        <v>4.4999999999999998E-2</v>
      </c>
      <c r="M5" s="7">
        <f>((VLOOKUP($J5,Anexo3,2)*$J5)-VLOOKUP($J5,Anexo3,3))/$J5</f>
        <v>0.06</v>
      </c>
      <c r="N5" s="7">
        <f>((VLOOKUP($J5,Anexo4,2)*$J5)-VLOOKUP($J5,Anexo4,3))/$J5</f>
        <v>4.4999999999999998E-2</v>
      </c>
      <c r="O5" s="7">
        <f>((VLOOKUP($J5,Anexo5,2)*$J5)-VLOOKUP($J5,Anexo5,3))/$J5</f>
        <v>0.155</v>
      </c>
      <c r="P5" s="43">
        <f t="shared" ref="P5:P22" si="2">+K5*D5</f>
        <v>200</v>
      </c>
      <c r="Q5" s="43">
        <f t="shared" ref="Q5:Q22" si="3">+L5*E5</f>
        <v>225</v>
      </c>
      <c r="R5" s="43">
        <f t="shared" ref="R5:R22" si="4">+M5*F5</f>
        <v>300</v>
      </c>
      <c r="S5" s="43">
        <f t="shared" ref="S5:S22" si="5">+N5*G5</f>
        <v>225</v>
      </c>
      <c r="T5" s="43">
        <f t="shared" ref="T5:T22" si="6">+O5*H5</f>
        <v>775</v>
      </c>
      <c r="U5" s="44">
        <f t="shared" ref="U5:U22" si="7">SUM(P5:T5)</f>
        <v>1725</v>
      </c>
    </row>
    <row r="6" spans="2:21" x14ac:dyDescent="0.25">
      <c r="B6" s="40">
        <v>43891</v>
      </c>
      <c r="C6" s="41"/>
      <c r="D6" s="8">
        <v>5000</v>
      </c>
      <c r="E6" s="8">
        <v>5000</v>
      </c>
      <c r="F6" s="8">
        <v>5000</v>
      </c>
      <c r="G6" s="8">
        <v>5000</v>
      </c>
      <c r="H6" s="8">
        <v>5000</v>
      </c>
      <c r="I6" s="8">
        <f t="shared" si="1"/>
        <v>25000</v>
      </c>
      <c r="J6" s="42">
        <f t="shared" ref="J6:J15" si="8">+J5+I6</f>
        <v>75000</v>
      </c>
      <c r="K6" s="7">
        <f>((VLOOKUP($J6,Anexo1,2)*$J6)-VLOOKUP($J6,Anexo1,3))/$J6</f>
        <v>0.04</v>
      </c>
      <c r="L6" s="7">
        <f>((VLOOKUP($J6,Anexo2,2)*$J6)-VLOOKUP($J6,Anexo2,3))/$J6</f>
        <v>4.4999999999999998E-2</v>
      </c>
      <c r="M6" s="7">
        <f>((VLOOKUP($J6,Anexo3,2)*$J6)-VLOOKUP($J6,Anexo3,3))/$J6</f>
        <v>0.06</v>
      </c>
      <c r="N6" s="7">
        <f>((VLOOKUP($J6,Anexo4,2)*$J6)-VLOOKUP($J6,Anexo4,3))/$J6</f>
        <v>4.4999999999999998E-2</v>
      </c>
      <c r="O6" s="7">
        <f>((VLOOKUP($J6,Anexo5,2)*$J6)-VLOOKUP($J6,Anexo5,3))/$J6</f>
        <v>0.155</v>
      </c>
      <c r="P6" s="43">
        <f t="shared" si="2"/>
        <v>200</v>
      </c>
      <c r="Q6" s="43">
        <f t="shared" si="3"/>
        <v>225</v>
      </c>
      <c r="R6" s="43">
        <f t="shared" si="4"/>
        <v>300</v>
      </c>
      <c r="S6" s="43">
        <f t="shared" si="5"/>
        <v>225</v>
      </c>
      <c r="T6" s="43">
        <f t="shared" si="6"/>
        <v>775</v>
      </c>
      <c r="U6" s="44">
        <f t="shared" si="7"/>
        <v>1725</v>
      </c>
    </row>
    <row r="7" spans="2:21" x14ac:dyDescent="0.25">
      <c r="B7" s="40">
        <v>43922</v>
      </c>
      <c r="C7" s="41"/>
      <c r="D7" s="8">
        <v>5000</v>
      </c>
      <c r="E7" s="8">
        <v>5000</v>
      </c>
      <c r="F7" s="8">
        <v>5000</v>
      </c>
      <c r="G7" s="8">
        <v>5000</v>
      </c>
      <c r="H7" s="8">
        <v>5000</v>
      </c>
      <c r="I7" s="8">
        <f t="shared" si="1"/>
        <v>25000</v>
      </c>
      <c r="J7" s="42">
        <f t="shared" si="8"/>
        <v>100000</v>
      </c>
      <c r="K7" s="7">
        <f>((VLOOKUP($J7,Anexo1,2)*$J7)-VLOOKUP($J7,Anexo1,3))/$J7</f>
        <v>0.04</v>
      </c>
      <c r="L7" s="7">
        <f>((VLOOKUP($J7,Anexo2,2)*$J7)-VLOOKUP($J7,Anexo2,3))/$J7</f>
        <v>4.4999999999999998E-2</v>
      </c>
      <c r="M7" s="7">
        <f>((VLOOKUP($J7,Anexo3,2)*$J7)-VLOOKUP($J7,Anexo3,3))/$J7</f>
        <v>0.06</v>
      </c>
      <c r="N7" s="7">
        <f>((VLOOKUP($J7,Anexo4,2)*$J7)-VLOOKUP($J7,Anexo4,3))/$J7</f>
        <v>4.4999999999999998E-2</v>
      </c>
      <c r="O7" s="7">
        <f>((VLOOKUP($J7,Anexo5,2)*$J7)-VLOOKUP($J7,Anexo5,3))/$J7</f>
        <v>0.155</v>
      </c>
      <c r="P7" s="43">
        <f t="shared" si="2"/>
        <v>200</v>
      </c>
      <c r="Q7" s="43">
        <f t="shared" si="3"/>
        <v>225</v>
      </c>
      <c r="R7" s="43">
        <f t="shared" si="4"/>
        <v>300</v>
      </c>
      <c r="S7" s="43">
        <f t="shared" si="5"/>
        <v>225</v>
      </c>
      <c r="T7" s="43">
        <f t="shared" si="6"/>
        <v>775</v>
      </c>
      <c r="U7" s="44">
        <f t="shared" si="7"/>
        <v>1725</v>
      </c>
    </row>
    <row r="8" spans="2:21" x14ac:dyDescent="0.25">
      <c r="B8" s="40">
        <v>43952</v>
      </c>
      <c r="C8" s="41"/>
      <c r="D8" s="8">
        <v>5000</v>
      </c>
      <c r="E8" s="8">
        <v>5000</v>
      </c>
      <c r="F8" s="8">
        <v>5000</v>
      </c>
      <c r="G8" s="8">
        <v>5000</v>
      </c>
      <c r="H8" s="8">
        <v>5000</v>
      </c>
      <c r="I8" s="8">
        <f t="shared" si="1"/>
        <v>25000</v>
      </c>
      <c r="J8" s="42">
        <f t="shared" si="8"/>
        <v>125000</v>
      </c>
      <c r="K8" s="7">
        <f>((VLOOKUP($J8,Anexo1,2)*$J8)-VLOOKUP($J8,Anexo1,3))/$J8</f>
        <v>0.04</v>
      </c>
      <c r="L8" s="7">
        <f>((VLOOKUP($J8,Anexo2,2)*$J8)-VLOOKUP($J8,Anexo2,3))/$J8</f>
        <v>4.4999999999999998E-2</v>
      </c>
      <c r="M8" s="7">
        <f>((VLOOKUP($J8,Anexo3,2)*$J8)-VLOOKUP($J8,Anexo3,3))/$J8</f>
        <v>0.06</v>
      </c>
      <c r="N8" s="7">
        <f>((VLOOKUP($J8,Anexo4,2)*$J8)-VLOOKUP($J8,Anexo4,3))/$J8</f>
        <v>4.4999999999999998E-2</v>
      </c>
      <c r="O8" s="7">
        <f>((VLOOKUP($J8,Anexo5,2)*$J8)-VLOOKUP($J8,Anexo5,3))/$J8</f>
        <v>0.155</v>
      </c>
      <c r="P8" s="43">
        <f t="shared" si="2"/>
        <v>200</v>
      </c>
      <c r="Q8" s="43">
        <f t="shared" si="3"/>
        <v>225</v>
      </c>
      <c r="R8" s="43">
        <f t="shared" si="4"/>
        <v>300</v>
      </c>
      <c r="S8" s="43">
        <f t="shared" si="5"/>
        <v>225</v>
      </c>
      <c r="T8" s="43">
        <f t="shared" si="6"/>
        <v>775</v>
      </c>
      <c r="U8" s="44">
        <f t="shared" si="7"/>
        <v>1725</v>
      </c>
    </row>
    <row r="9" spans="2:21" x14ac:dyDescent="0.25">
      <c r="B9" s="40">
        <v>43983</v>
      </c>
      <c r="C9" s="41"/>
      <c r="D9" s="8">
        <v>5000</v>
      </c>
      <c r="E9" s="8">
        <v>5000</v>
      </c>
      <c r="F9" s="8">
        <v>5000</v>
      </c>
      <c r="G9" s="8">
        <v>5000</v>
      </c>
      <c r="H9" s="8">
        <v>5000</v>
      </c>
      <c r="I9" s="8">
        <f t="shared" si="1"/>
        <v>25000</v>
      </c>
      <c r="J9" s="42">
        <f t="shared" si="8"/>
        <v>150000</v>
      </c>
      <c r="K9" s="7">
        <f>((VLOOKUP($J9,Anexo1,2)*$J9)-VLOOKUP($J9,Anexo1,3))/$J9</f>
        <v>0.04</v>
      </c>
      <c r="L9" s="7">
        <f>((VLOOKUP($J9,Anexo2,2)*$J9)-VLOOKUP($J9,Anexo2,3))/$J9</f>
        <v>4.4999999999999998E-2</v>
      </c>
      <c r="M9" s="7">
        <f>((VLOOKUP($J9,Anexo3,2)*$J9)-VLOOKUP($J9,Anexo3,3))/$J9</f>
        <v>0.06</v>
      </c>
      <c r="N9" s="7">
        <f>((VLOOKUP($J9,Anexo4,2)*$J9)-VLOOKUP($J9,Anexo4,3))/$J9</f>
        <v>4.4999999999999998E-2</v>
      </c>
      <c r="O9" s="7">
        <f>((VLOOKUP($J9,Anexo5,2)*$J9)-VLOOKUP($J9,Anexo5,3))/$J9</f>
        <v>0.155</v>
      </c>
      <c r="P9" s="43">
        <f t="shared" si="2"/>
        <v>200</v>
      </c>
      <c r="Q9" s="43">
        <f t="shared" si="3"/>
        <v>225</v>
      </c>
      <c r="R9" s="43">
        <f t="shared" si="4"/>
        <v>300</v>
      </c>
      <c r="S9" s="43">
        <f t="shared" si="5"/>
        <v>225</v>
      </c>
      <c r="T9" s="43">
        <f t="shared" si="6"/>
        <v>775</v>
      </c>
      <c r="U9" s="44">
        <f t="shared" si="7"/>
        <v>1725</v>
      </c>
    </row>
    <row r="10" spans="2:21" x14ac:dyDescent="0.25">
      <c r="B10" s="40">
        <v>44013</v>
      </c>
      <c r="C10" s="41"/>
      <c r="D10" s="8">
        <v>5000</v>
      </c>
      <c r="E10" s="8">
        <v>5000</v>
      </c>
      <c r="F10" s="8">
        <v>5000</v>
      </c>
      <c r="G10" s="8">
        <v>5000</v>
      </c>
      <c r="H10" s="8">
        <v>5000</v>
      </c>
      <c r="I10" s="8">
        <f t="shared" si="1"/>
        <v>25000</v>
      </c>
      <c r="J10" s="42">
        <f t="shared" si="8"/>
        <v>175000</v>
      </c>
      <c r="K10" s="7">
        <f>((VLOOKUP($J10,Anexo1,2)*$J10)-VLOOKUP($J10,Anexo1,3))/$J10</f>
        <v>0.04</v>
      </c>
      <c r="L10" s="7">
        <f>((VLOOKUP($J10,Anexo2,2)*$J10)-VLOOKUP($J10,Anexo2,3))/$J10</f>
        <v>4.4999999999999998E-2</v>
      </c>
      <c r="M10" s="7">
        <f>((VLOOKUP($J10,Anexo3,2)*$J10)-VLOOKUP($J10,Anexo3,3))/$J10</f>
        <v>0.06</v>
      </c>
      <c r="N10" s="7">
        <f>((VLOOKUP($J10,Anexo4,2)*$J10)-VLOOKUP($J10,Anexo4,3))/$J10</f>
        <v>4.4999999999999998E-2</v>
      </c>
      <c r="O10" s="7">
        <f>((VLOOKUP($J10,Anexo5,2)*$J10)-VLOOKUP($J10,Anexo5,3))/$J10</f>
        <v>0.155</v>
      </c>
      <c r="P10" s="43">
        <f t="shared" si="2"/>
        <v>200</v>
      </c>
      <c r="Q10" s="43">
        <f t="shared" si="3"/>
        <v>225</v>
      </c>
      <c r="R10" s="43">
        <f t="shared" si="4"/>
        <v>300</v>
      </c>
      <c r="S10" s="43">
        <f t="shared" si="5"/>
        <v>225</v>
      </c>
      <c r="T10" s="43">
        <f t="shared" si="6"/>
        <v>775</v>
      </c>
      <c r="U10" s="44">
        <f t="shared" si="7"/>
        <v>1725</v>
      </c>
    </row>
    <row r="11" spans="2:21" x14ac:dyDescent="0.25">
      <c r="B11" s="40">
        <v>44044</v>
      </c>
      <c r="C11" s="41"/>
      <c r="D11" s="8">
        <v>5000</v>
      </c>
      <c r="E11" s="8">
        <v>5000</v>
      </c>
      <c r="F11" s="8">
        <v>5000</v>
      </c>
      <c r="G11" s="8">
        <v>5000</v>
      </c>
      <c r="H11" s="8">
        <v>5000</v>
      </c>
      <c r="I11" s="8">
        <f t="shared" si="1"/>
        <v>25000</v>
      </c>
      <c r="J11" s="42">
        <f t="shared" si="8"/>
        <v>200000</v>
      </c>
      <c r="K11" s="7">
        <f>((VLOOKUP($J11,Anexo1,2)*$J11)-VLOOKUP($J11,Anexo1,3))/$J11</f>
        <v>4.3299999999999991E-2</v>
      </c>
      <c r="L11" s="7">
        <f>((VLOOKUP($J11,Anexo2,2)*$J11)-VLOOKUP($J11,Anexo2,3))/$J11</f>
        <v>4.8300000000000003E-2</v>
      </c>
      <c r="M11" s="7">
        <f>((VLOOKUP($J11,Anexo3,2)*$J11)-VLOOKUP($J11,Anexo3,3))/$J11</f>
        <v>6.5199999999999994E-2</v>
      </c>
      <c r="N11" s="7">
        <f>((VLOOKUP($J11,Anexo4,2)*$J11)-VLOOKUP($J11,Anexo4,3))/$J11</f>
        <v>4.9500000000000002E-2</v>
      </c>
      <c r="O11" s="7">
        <f>((VLOOKUP($J11,Anexo5,2)*$J11)-VLOOKUP($J11,Anexo5,3))/$J11</f>
        <v>0.1575</v>
      </c>
      <c r="P11" s="43">
        <f t="shared" si="2"/>
        <v>216.49999999999994</v>
      </c>
      <c r="Q11" s="43">
        <f t="shared" si="3"/>
        <v>241.5</v>
      </c>
      <c r="R11" s="43">
        <f t="shared" si="4"/>
        <v>325.99999999999994</v>
      </c>
      <c r="S11" s="43">
        <f t="shared" si="5"/>
        <v>247.5</v>
      </c>
      <c r="T11" s="43">
        <f t="shared" si="6"/>
        <v>787.5</v>
      </c>
      <c r="U11" s="44">
        <f t="shared" si="7"/>
        <v>1819</v>
      </c>
    </row>
    <row r="12" spans="2:21" x14ac:dyDescent="0.25">
      <c r="B12" s="40">
        <v>44075</v>
      </c>
      <c r="C12" s="41"/>
      <c r="D12" s="8">
        <v>5000</v>
      </c>
      <c r="E12" s="8">
        <v>5000</v>
      </c>
      <c r="F12" s="8">
        <v>5000</v>
      </c>
      <c r="G12" s="8">
        <v>5000</v>
      </c>
      <c r="H12" s="8">
        <v>5000</v>
      </c>
      <c r="I12" s="8">
        <f t="shared" si="1"/>
        <v>25000</v>
      </c>
      <c r="J12" s="42">
        <f t="shared" si="8"/>
        <v>225000</v>
      </c>
      <c r="K12" s="7">
        <f>((VLOOKUP($J12,Anexo1,2)*$J12)-VLOOKUP($J12,Anexo1,3))/$J12</f>
        <v>4.6600000000000003E-2</v>
      </c>
      <c r="L12" s="7">
        <f>((VLOOKUP($J12,Anexo2,2)*$J12)-VLOOKUP($J12,Anexo2,3))/$J12</f>
        <v>5.16E-2</v>
      </c>
      <c r="M12" s="7">
        <f>((VLOOKUP($J12,Anexo3,2)*$J12)-VLOOKUP($J12,Anexo3,3))/$J12</f>
        <v>7.0400000000000004E-2</v>
      </c>
      <c r="N12" s="7">
        <f>((VLOOKUP($J12,Anexo4,2)*$J12)-VLOOKUP($J12,Anexo4,3))/$J12</f>
        <v>5.3999999999999999E-2</v>
      </c>
      <c r="O12" s="7">
        <f>((VLOOKUP($J12,Anexo5,2)*$J12)-VLOOKUP($J12,Anexo5,3))/$J12</f>
        <v>0.16</v>
      </c>
      <c r="P12" s="43">
        <f t="shared" si="2"/>
        <v>233</v>
      </c>
      <c r="Q12" s="43">
        <f t="shared" si="3"/>
        <v>258</v>
      </c>
      <c r="R12" s="43">
        <f t="shared" si="4"/>
        <v>352</v>
      </c>
      <c r="S12" s="43">
        <f t="shared" si="5"/>
        <v>270</v>
      </c>
      <c r="T12" s="43">
        <f t="shared" si="6"/>
        <v>800</v>
      </c>
      <c r="U12" s="44">
        <f t="shared" si="7"/>
        <v>1913</v>
      </c>
    </row>
    <row r="13" spans="2:21" x14ac:dyDescent="0.25">
      <c r="B13" s="40">
        <v>44105</v>
      </c>
      <c r="C13" s="41"/>
      <c r="D13" s="8">
        <v>5000</v>
      </c>
      <c r="E13" s="8">
        <v>5000</v>
      </c>
      <c r="F13" s="8">
        <v>5000</v>
      </c>
      <c r="G13" s="8">
        <v>5000</v>
      </c>
      <c r="H13" s="8">
        <v>5000</v>
      </c>
      <c r="I13" s="8">
        <f t="shared" si="1"/>
        <v>25000</v>
      </c>
      <c r="J13" s="42">
        <f t="shared" si="8"/>
        <v>250000</v>
      </c>
      <c r="K13" s="7">
        <f>((VLOOKUP($J13,Anexo1,2)*$J13)-VLOOKUP($J13,Anexo1,3))/$J13</f>
        <v>4.9239999999999999E-2</v>
      </c>
      <c r="L13" s="7">
        <f>((VLOOKUP($J13,Anexo2,2)*$J13)-VLOOKUP($J13,Anexo2,3))/$J13</f>
        <v>5.4239999999999997E-2</v>
      </c>
      <c r="M13" s="7">
        <f>((VLOOKUP($J13,Anexo3,2)*$J13)-VLOOKUP($J13,Anexo3,3))/$J13</f>
        <v>7.4560000000000001E-2</v>
      </c>
      <c r="N13" s="7">
        <f>((VLOOKUP($J13,Anexo4,2)*$J13)-VLOOKUP($J13,Anexo4,3))/$J13</f>
        <v>5.7599999999999998E-2</v>
      </c>
      <c r="O13" s="7">
        <f>((VLOOKUP($J13,Anexo5,2)*$J13)-VLOOKUP($J13,Anexo5,3))/$J13</f>
        <v>0.16200000000000001</v>
      </c>
      <c r="P13" s="43">
        <f t="shared" si="2"/>
        <v>246.2</v>
      </c>
      <c r="Q13" s="43">
        <f t="shared" si="3"/>
        <v>271.2</v>
      </c>
      <c r="R13" s="43">
        <f t="shared" si="4"/>
        <v>372.8</v>
      </c>
      <c r="S13" s="43">
        <f t="shared" si="5"/>
        <v>288</v>
      </c>
      <c r="T13" s="43">
        <f t="shared" si="6"/>
        <v>810</v>
      </c>
      <c r="U13" s="44">
        <f t="shared" si="7"/>
        <v>1988.2</v>
      </c>
    </row>
    <row r="14" spans="2:21" x14ac:dyDescent="0.25">
      <c r="B14" s="40">
        <v>44136</v>
      </c>
      <c r="C14" s="41"/>
      <c r="D14" s="8">
        <v>5000</v>
      </c>
      <c r="E14" s="8">
        <v>5000</v>
      </c>
      <c r="F14" s="8">
        <v>5000</v>
      </c>
      <c r="G14" s="8">
        <v>5000</v>
      </c>
      <c r="H14" s="8">
        <v>5000</v>
      </c>
      <c r="I14" s="8">
        <f t="shared" si="1"/>
        <v>25000</v>
      </c>
      <c r="J14" s="42">
        <f t="shared" si="8"/>
        <v>275000</v>
      </c>
      <c r="K14" s="7">
        <f>((VLOOKUP($J14,Anexo1,2)*$J14)-VLOOKUP($J14,Anexo1,3))/$J14</f>
        <v>5.1400000000000001E-2</v>
      </c>
      <c r="L14" s="7">
        <f>((VLOOKUP($J14,Anexo2,2)*$J14)-VLOOKUP($J14,Anexo2,3))/$J14</f>
        <v>5.6399999999999999E-2</v>
      </c>
      <c r="M14" s="7">
        <f>((VLOOKUP($J14,Anexo3,2)*$J14)-VLOOKUP($J14,Anexo3,3))/$J14</f>
        <v>7.796363636363636E-2</v>
      </c>
      <c r="N14" s="7">
        <f>((VLOOKUP($J14,Anexo4,2)*$J14)-VLOOKUP($J14,Anexo4,3))/$J14</f>
        <v>6.0545454545454548E-2</v>
      </c>
      <c r="O14" s="7">
        <f>((VLOOKUP($J14,Anexo5,2)*$J14)-VLOOKUP($J14,Anexo5,3))/$J14</f>
        <v>0.16363636363636364</v>
      </c>
      <c r="P14" s="43">
        <f t="shared" si="2"/>
        <v>257</v>
      </c>
      <c r="Q14" s="43">
        <f t="shared" si="3"/>
        <v>282</v>
      </c>
      <c r="R14" s="43">
        <f t="shared" si="4"/>
        <v>389.81818181818181</v>
      </c>
      <c r="S14" s="43">
        <f t="shared" si="5"/>
        <v>302.72727272727275</v>
      </c>
      <c r="T14" s="43">
        <f t="shared" si="6"/>
        <v>818.18181818181813</v>
      </c>
      <c r="U14" s="44">
        <f t="shared" si="7"/>
        <v>2049.7272727272725</v>
      </c>
    </row>
    <row r="15" spans="2:21" x14ac:dyDescent="0.25">
      <c r="B15" s="40">
        <v>44166</v>
      </c>
      <c r="C15" s="41"/>
      <c r="D15" s="8">
        <v>5000</v>
      </c>
      <c r="E15" s="8">
        <v>5000</v>
      </c>
      <c r="F15" s="8">
        <v>5000</v>
      </c>
      <c r="G15" s="8">
        <v>5000</v>
      </c>
      <c r="H15" s="8">
        <v>5000</v>
      </c>
      <c r="I15" s="8">
        <f t="shared" si="1"/>
        <v>25000</v>
      </c>
      <c r="J15" s="42">
        <f t="shared" si="8"/>
        <v>300000</v>
      </c>
      <c r="K15" s="7">
        <f>((VLOOKUP($J15,Anexo1,2)*$J15)-VLOOKUP($J15,Anexo1,3))/$J15</f>
        <v>5.3199999999999997E-2</v>
      </c>
      <c r="L15" s="7">
        <f>((VLOOKUP($J15,Anexo2,2)*$J15)-VLOOKUP($J15,Anexo2,3))/$J15</f>
        <v>5.8200000000000002E-2</v>
      </c>
      <c r="M15" s="7">
        <f>((VLOOKUP($J15,Anexo3,2)*$J15)-VLOOKUP($J15,Anexo3,3))/$J15</f>
        <v>8.0799999999999997E-2</v>
      </c>
      <c r="N15" s="7">
        <f>((VLOOKUP($J15,Anexo4,2)*$J15)-VLOOKUP($J15,Anexo4,3))/$J15</f>
        <v>6.3E-2</v>
      </c>
      <c r="O15" s="7">
        <f>((VLOOKUP($J15,Anexo5,2)*$J15)-VLOOKUP($J15,Anexo5,3))/$J15</f>
        <v>0.16500000000000001</v>
      </c>
      <c r="P15" s="43">
        <f t="shared" si="2"/>
        <v>266</v>
      </c>
      <c r="Q15" s="43">
        <f t="shared" si="3"/>
        <v>291</v>
      </c>
      <c r="R15" s="43">
        <f t="shared" si="4"/>
        <v>404</v>
      </c>
      <c r="S15" s="43">
        <f t="shared" si="5"/>
        <v>315</v>
      </c>
      <c r="T15" s="43">
        <f t="shared" si="6"/>
        <v>825</v>
      </c>
      <c r="U15" s="44">
        <f t="shared" si="7"/>
        <v>2101</v>
      </c>
    </row>
    <row r="16" spans="2:21" x14ac:dyDescent="0.25">
      <c r="B16" s="40">
        <v>44197</v>
      </c>
      <c r="C16" s="41"/>
      <c r="D16" s="8">
        <v>5000</v>
      </c>
      <c r="E16" s="8">
        <v>5000</v>
      </c>
      <c r="F16" s="8">
        <v>5000</v>
      </c>
      <c r="G16" s="8">
        <v>5000</v>
      </c>
      <c r="H16" s="8">
        <v>5000</v>
      </c>
      <c r="I16" s="8">
        <f t="shared" si="1"/>
        <v>25000</v>
      </c>
      <c r="J16" s="43">
        <f>SUM(I4:I15)</f>
        <v>300000</v>
      </c>
      <c r="K16" s="7">
        <f>((VLOOKUP($J16,Anexo1,2)*$J16)-VLOOKUP($J16,Anexo1,3))/$J16</f>
        <v>5.3199999999999997E-2</v>
      </c>
      <c r="L16" s="7">
        <f>((VLOOKUP($J16,Anexo2,2)*$J16)-VLOOKUP($J16,Anexo2,3))/$J16</f>
        <v>5.8200000000000002E-2</v>
      </c>
      <c r="M16" s="7">
        <f>((VLOOKUP($J16,Anexo3,2)*$J16)-VLOOKUP($J16,Anexo3,3))/$J16</f>
        <v>8.0799999999999997E-2</v>
      </c>
      <c r="N16" s="7">
        <f>((VLOOKUP($J16,Anexo4,2)*$J16)-VLOOKUP($J16,Anexo4,3))/$J16</f>
        <v>6.3E-2</v>
      </c>
      <c r="O16" s="7">
        <f>((VLOOKUP($J16,Anexo5,2)*$J16)-VLOOKUP($J16,Anexo5,3))/$J16</f>
        <v>0.16500000000000001</v>
      </c>
      <c r="P16" s="43">
        <f t="shared" si="2"/>
        <v>266</v>
      </c>
      <c r="Q16" s="43">
        <f t="shared" si="3"/>
        <v>291</v>
      </c>
      <c r="R16" s="43">
        <f t="shared" si="4"/>
        <v>404</v>
      </c>
      <c r="S16" s="43">
        <f t="shared" si="5"/>
        <v>315</v>
      </c>
      <c r="T16" s="43">
        <f t="shared" si="6"/>
        <v>825</v>
      </c>
      <c r="U16" s="44">
        <f t="shared" si="7"/>
        <v>2101</v>
      </c>
    </row>
    <row r="17" spans="2:21" x14ac:dyDescent="0.25">
      <c r="B17" s="40">
        <v>44228</v>
      </c>
      <c r="C17" s="41"/>
      <c r="D17" s="8">
        <v>5000</v>
      </c>
      <c r="E17" s="8">
        <v>5000</v>
      </c>
      <c r="F17" s="8">
        <v>5000</v>
      </c>
      <c r="G17" s="8">
        <v>5000</v>
      </c>
      <c r="H17" s="8">
        <v>5000</v>
      </c>
      <c r="I17" s="8">
        <f t="shared" si="1"/>
        <v>25000</v>
      </c>
      <c r="J17" s="43">
        <f t="shared" ref="J17:J33" si="9">SUM(I5:I16)</f>
        <v>300000</v>
      </c>
      <c r="K17" s="7">
        <f>((VLOOKUP($J17,Anexo1,2)*$J17)-VLOOKUP($J17,Anexo1,3))/$J17</f>
        <v>5.3199999999999997E-2</v>
      </c>
      <c r="L17" s="7">
        <f>((VLOOKUP($J17,Anexo2,2)*$J17)-VLOOKUP($J17,Anexo2,3))/$J17</f>
        <v>5.8200000000000002E-2</v>
      </c>
      <c r="M17" s="7">
        <f>((VLOOKUP($J17,Anexo3,2)*$J17)-VLOOKUP($J17,Anexo3,3))/$J17</f>
        <v>8.0799999999999997E-2</v>
      </c>
      <c r="N17" s="7">
        <f>((VLOOKUP($J17,Anexo4,2)*$J17)-VLOOKUP($J17,Anexo4,3))/$J17</f>
        <v>6.3E-2</v>
      </c>
      <c r="O17" s="7">
        <f>((VLOOKUP($J17,Anexo5,2)*$J17)-VLOOKUP($J17,Anexo5,3))/$J17</f>
        <v>0.16500000000000001</v>
      </c>
      <c r="P17" s="43">
        <f t="shared" si="2"/>
        <v>266</v>
      </c>
      <c r="Q17" s="43">
        <f t="shared" si="3"/>
        <v>291</v>
      </c>
      <c r="R17" s="43">
        <f t="shared" si="4"/>
        <v>404</v>
      </c>
      <c r="S17" s="43">
        <f t="shared" si="5"/>
        <v>315</v>
      </c>
      <c r="T17" s="43">
        <f t="shared" si="6"/>
        <v>825</v>
      </c>
      <c r="U17" s="44">
        <f t="shared" si="7"/>
        <v>2101</v>
      </c>
    </row>
    <row r="18" spans="2:21" x14ac:dyDescent="0.25">
      <c r="B18" s="40">
        <v>44256</v>
      </c>
      <c r="C18" s="41"/>
      <c r="D18" s="8">
        <v>5000</v>
      </c>
      <c r="E18" s="8">
        <v>5000</v>
      </c>
      <c r="F18" s="8">
        <v>5000</v>
      </c>
      <c r="G18" s="8">
        <v>5000</v>
      </c>
      <c r="H18" s="8">
        <v>5000</v>
      </c>
      <c r="I18" s="8">
        <f t="shared" si="1"/>
        <v>25000</v>
      </c>
      <c r="J18" s="43">
        <f t="shared" si="9"/>
        <v>300000</v>
      </c>
      <c r="K18" s="7">
        <f>((VLOOKUP($J18,Anexo1,2)*$J18)-VLOOKUP($J18,Anexo1,3))/$J18</f>
        <v>5.3199999999999997E-2</v>
      </c>
      <c r="L18" s="7">
        <f>((VLOOKUP($J18,Anexo2,2)*$J18)-VLOOKUP($J18,Anexo2,3))/$J18</f>
        <v>5.8200000000000002E-2</v>
      </c>
      <c r="M18" s="7">
        <f>((VLOOKUP($J18,Anexo3,2)*$J18)-VLOOKUP($J18,Anexo3,3))/$J18</f>
        <v>8.0799999999999997E-2</v>
      </c>
      <c r="N18" s="7">
        <f>((VLOOKUP($J18,Anexo4,2)*$J18)-VLOOKUP($J18,Anexo4,3))/$J18</f>
        <v>6.3E-2</v>
      </c>
      <c r="O18" s="7">
        <f>((VLOOKUP($J18,Anexo5,2)*$J18)-VLOOKUP($J18,Anexo5,3))/$J18</f>
        <v>0.16500000000000001</v>
      </c>
      <c r="P18" s="43">
        <f t="shared" si="2"/>
        <v>266</v>
      </c>
      <c r="Q18" s="43">
        <f t="shared" si="3"/>
        <v>291</v>
      </c>
      <c r="R18" s="43">
        <f t="shared" si="4"/>
        <v>404</v>
      </c>
      <c r="S18" s="43">
        <f t="shared" si="5"/>
        <v>315</v>
      </c>
      <c r="T18" s="43">
        <f t="shared" si="6"/>
        <v>825</v>
      </c>
      <c r="U18" s="44">
        <f t="shared" si="7"/>
        <v>2101</v>
      </c>
    </row>
    <row r="19" spans="2:21" x14ac:dyDescent="0.25">
      <c r="B19" s="40">
        <v>44287</v>
      </c>
      <c r="C19" s="41"/>
      <c r="D19" s="8">
        <v>5000</v>
      </c>
      <c r="E19" s="8">
        <v>5000</v>
      </c>
      <c r="F19" s="8">
        <v>5000</v>
      </c>
      <c r="G19" s="8">
        <v>5000</v>
      </c>
      <c r="H19" s="8">
        <v>5000</v>
      </c>
      <c r="I19" s="8">
        <f t="shared" si="1"/>
        <v>25000</v>
      </c>
      <c r="J19" s="43">
        <f t="shared" si="9"/>
        <v>300000</v>
      </c>
      <c r="K19" s="7">
        <f>((VLOOKUP($J19,Anexo1,2)*$J19)-VLOOKUP($J19,Anexo1,3))/$J19</f>
        <v>5.3199999999999997E-2</v>
      </c>
      <c r="L19" s="7">
        <f>((VLOOKUP($J19,Anexo2,2)*$J19)-VLOOKUP($J19,Anexo2,3))/$J19</f>
        <v>5.8200000000000002E-2</v>
      </c>
      <c r="M19" s="7">
        <f>((VLOOKUP($J19,Anexo3,2)*$J19)-VLOOKUP($J19,Anexo3,3))/$J19</f>
        <v>8.0799999999999997E-2</v>
      </c>
      <c r="N19" s="7">
        <f>((VLOOKUP($J19,Anexo4,2)*$J19)-VLOOKUP($J19,Anexo4,3))/$J19</f>
        <v>6.3E-2</v>
      </c>
      <c r="O19" s="7">
        <f>((VLOOKUP($J19,Anexo5,2)*$J19)-VLOOKUP($J19,Anexo5,3))/$J19</f>
        <v>0.16500000000000001</v>
      </c>
      <c r="P19" s="43">
        <f t="shared" si="2"/>
        <v>266</v>
      </c>
      <c r="Q19" s="43">
        <f t="shared" si="3"/>
        <v>291</v>
      </c>
      <c r="R19" s="43">
        <f t="shared" si="4"/>
        <v>404</v>
      </c>
      <c r="S19" s="43">
        <f t="shared" si="5"/>
        <v>315</v>
      </c>
      <c r="T19" s="43">
        <f t="shared" si="6"/>
        <v>825</v>
      </c>
      <c r="U19" s="44">
        <f t="shared" si="7"/>
        <v>2101</v>
      </c>
    </row>
    <row r="20" spans="2:21" x14ac:dyDescent="0.25">
      <c r="B20" s="40">
        <v>44317</v>
      </c>
      <c r="C20" s="41"/>
      <c r="D20" s="8">
        <v>5000</v>
      </c>
      <c r="E20" s="8">
        <v>5000</v>
      </c>
      <c r="F20" s="8">
        <v>5000</v>
      </c>
      <c r="G20" s="8">
        <v>5000</v>
      </c>
      <c r="H20" s="8">
        <v>5000</v>
      </c>
      <c r="I20" s="8">
        <f t="shared" si="1"/>
        <v>25000</v>
      </c>
      <c r="J20" s="43">
        <f t="shared" si="9"/>
        <v>300000</v>
      </c>
      <c r="K20" s="7">
        <f>((VLOOKUP($J20,Anexo1,2)*$J20)-VLOOKUP($J20,Anexo1,3))/$J20</f>
        <v>5.3199999999999997E-2</v>
      </c>
      <c r="L20" s="7">
        <f>((VLOOKUP($J20,Anexo2,2)*$J20)-VLOOKUP($J20,Anexo2,3))/$J20</f>
        <v>5.8200000000000002E-2</v>
      </c>
      <c r="M20" s="7">
        <f>((VLOOKUP($J20,Anexo3,2)*$J20)-VLOOKUP($J20,Anexo3,3))/$J20</f>
        <v>8.0799999999999997E-2</v>
      </c>
      <c r="N20" s="7">
        <f>((VLOOKUP($J20,Anexo4,2)*$J20)-VLOOKUP($J20,Anexo4,3))/$J20</f>
        <v>6.3E-2</v>
      </c>
      <c r="O20" s="7">
        <f>((VLOOKUP($J20,Anexo5,2)*$J20)-VLOOKUP($J20,Anexo5,3))/$J20</f>
        <v>0.16500000000000001</v>
      </c>
      <c r="P20" s="43">
        <f t="shared" si="2"/>
        <v>266</v>
      </c>
      <c r="Q20" s="43">
        <f t="shared" si="3"/>
        <v>291</v>
      </c>
      <c r="R20" s="43">
        <f t="shared" si="4"/>
        <v>404</v>
      </c>
      <c r="S20" s="43">
        <f t="shared" si="5"/>
        <v>315</v>
      </c>
      <c r="T20" s="43">
        <f t="shared" si="6"/>
        <v>825</v>
      </c>
      <c r="U20" s="44">
        <f t="shared" si="7"/>
        <v>2101</v>
      </c>
    </row>
    <row r="21" spans="2:21" x14ac:dyDescent="0.25">
      <c r="B21" s="40">
        <v>44348</v>
      </c>
      <c r="C21" s="41"/>
      <c r="D21" s="8">
        <v>5000</v>
      </c>
      <c r="E21" s="8">
        <v>5000</v>
      </c>
      <c r="F21" s="8">
        <v>5000</v>
      </c>
      <c r="G21" s="8">
        <v>5000</v>
      </c>
      <c r="H21" s="8">
        <v>5000</v>
      </c>
      <c r="I21" s="8">
        <f t="shared" si="1"/>
        <v>25000</v>
      </c>
      <c r="J21" s="43">
        <f t="shared" si="9"/>
        <v>300000</v>
      </c>
      <c r="K21" s="7">
        <f>((VLOOKUP($J21,Anexo1,2)*$J21)-VLOOKUP($J21,Anexo1,3))/$J21</f>
        <v>5.3199999999999997E-2</v>
      </c>
      <c r="L21" s="7">
        <f>((VLOOKUP($J21,Anexo2,2)*$J21)-VLOOKUP($J21,Anexo2,3))/$J21</f>
        <v>5.8200000000000002E-2</v>
      </c>
      <c r="M21" s="7">
        <f>((VLOOKUP($J21,Anexo3,2)*$J21)-VLOOKUP($J21,Anexo3,3))/$J21</f>
        <v>8.0799999999999997E-2</v>
      </c>
      <c r="N21" s="7">
        <f>((VLOOKUP($J21,Anexo4,2)*$J21)-VLOOKUP($J21,Anexo4,3))/$J21</f>
        <v>6.3E-2</v>
      </c>
      <c r="O21" s="7">
        <f>((VLOOKUP($J21,Anexo5,2)*$J21)-VLOOKUP($J21,Anexo5,3))/$J21</f>
        <v>0.16500000000000001</v>
      </c>
      <c r="P21" s="43">
        <f t="shared" si="2"/>
        <v>266</v>
      </c>
      <c r="Q21" s="43">
        <f t="shared" si="3"/>
        <v>291</v>
      </c>
      <c r="R21" s="43">
        <f t="shared" si="4"/>
        <v>404</v>
      </c>
      <c r="S21" s="43">
        <f t="shared" si="5"/>
        <v>315</v>
      </c>
      <c r="T21" s="43">
        <f t="shared" si="6"/>
        <v>825</v>
      </c>
      <c r="U21" s="44">
        <f t="shared" si="7"/>
        <v>2101</v>
      </c>
    </row>
    <row r="22" spans="2:21" x14ac:dyDescent="0.25">
      <c r="B22" s="40">
        <v>44378</v>
      </c>
      <c r="C22" s="41"/>
      <c r="D22" s="8">
        <v>5000</v>
      </c>
      <c r="E22" s="8">
        <v>5000</v>
      </c>
      <c r="F22" s="8">
        <v>5000</v>
      </c>
      <c r="G22" s="8">
        <v>5000</v>
      </c>
      <c r="H22" s="8">
        <v>5000</v>
      </c>
      <c r="I22" s="8">
        <f t="shared" si="1"/>
        <v>25000</v>
      </c>
      <c r="J22" s="43">
        <f t="shared" si="9"/>
        <v>300000</v>
      </c>
      <c r="K22" s="7">
        <f>((VLOOKUP($J22,Anexo1,2)*$J22)-VLOOKUP($J22,Anexo1,3))/$J22</f>
        <v>5.3199999999999997E-2</v>
      </c>
      <c r="L22" s="7">
        <f>((VLOOKUP($J22,Anexo2,2)*$J22)-VLOOKUP($J22,Anexo2,3))/$J22</f>
        <v>5.8200000000000002E-2</v>
      </c>
      <c r="M22" s="7">
        <f>((VLOOKUP($J22,Anexo3,2)*$J22)-VLOOKUP($J22,Anexo3,3))/$J22</f>
        <v>8.0799999999999997E-2</v>
      </c>
      <c r="N22" s="7">
        <f>((VLOOKUP($J22,Anexo4,2)*$J22)-VLOOKUP($J22,Anexo4,3))/$J22</f>
        <v>6.3E-2</v>
      </c>
      <c r="O22" s="7">
        <f>((VLOOKUP($J22,Anexo5,2)*$J22)-VLOOKUP($J22,Anexo5,3))/$J22</f>
        <v>0.16500000000000001</v>
      </c>
      <c r="P22" s="43">
        <f t="shared" si="2"/>
        <v>266</v>
      </c>
      <c r="Q22" s="43">
        <f t="shared" si="3"/>
        <v>291</v>
      </c>
      <c r="R22" s="43">
        <f t="shared" si="4"/>
        <v>404</v>
      </c>
      <c r="S22" s="43">
        <f t="shared" si="5"/>
        <v>315</v>
      </c>
      <c r="T22" s="43">
        <f t="shared" si="6"/>
        <v>825</v>
      </c>
      <c r="U22" s="44">
        <f t="shared" si="7"/>
        <v>2101</v>
      </c>
    </row>
    <row r="23" spans="2:21" x14ac:dyDescent="0.25">
      <c r="B23" s="40">
        <v>44409</v>
      </c>
      <c r="C23" s="41"/>
      <c r="D23" s="8"/>
      <c r="E23" s="8"/>
      <c r="F23" s="8"/>
      <c r="G23" s="8"/>
      <c r="H23" s="8"/>
      <c r="I23" s="8"/>
      <c r="J23" s="43">
        <f t="shared" si="9"/>
        <v>300000</v>
      </c>
      <c r="K23" s="7">
        <f>((VLOOKUP($J23,Anexo1,2)*$J23)-VLOOKUP($J23,Anexo1,3))/$J23</f>
        <v>5.3199999999999997E-2</v>
      </c>
      <c r="L23" s="7">
        <f>((VLOOKUP($J23,Anexo2,2)*$J23)-VLOOKUP($J23,Anexo2,3))/$J23</f>
        <v>5.8200000000000002E-2</v>
      </c>
      <c r="M23" s="7">
        <f>((VLOOKUP($J23,Anexo3,2)*$J23)-VLOOKUP($J23,Anexo3,3))/$J23</f>
        <v>8.0799999999999997E-2</v>
      </c>
      <c r="N23" s="7">
        <f>((VLOOKUP($J23,Anexo4,2)*$J23)-VLOOKUP($J23,Anexo4,3))/$J23</f>
        <v>6.3E-2</v>
      </c>
      <c r="O23" s="7">
        <f>((VLOOKUP($J23,Anexo5,2)*$J23)-VLOOKUP($J23,Anexo5,3))/$J23</f>
        <v>0.16500000000000001</v>
      </c>
      <c r="P23" s="43">
        <f t="shared" ref="P23:P33" si="10">+K23*D23</f>
        <v>0</v>
      </c>
      <c r="Q23" s="43">
        <f t="shared" ref="Q23:Q33" si="11">+L23*E23</f>
        <v>0</v>
      </c>
      <c r="R23" s="43">
        <f t="shared" ref="R23:R33" si="12">+M23*F23</f>
        <v>0</v>
      </c>
      <c r="S23" s="43">
        <f t="shared" ref="S23:S33" si="13">+N23*G23</f>
        <v>0</v>
      </c>
      <c r="T23" s="43">
        <f t="shared" ref="T23:T33" si="14">+O23*H23</f>
        <v>0</v>
      </c>
      <c r="U23" s="44">
        <f t="shared" ref="U23:U33" si="15">SUM(P23:T23)</f>
        <v>0</v>
      </c>
    </row>
    <row r="24" spans="2:21" x14ac:dyDescent="0.25">
      <c r="B24" s="40">
        <v>44440</v>
      </c>
      <c r="C24" s="41"/>
      <c r="D24" s="8"/>
      <c r="E24" s="8"/>
      <c r="F24" s="8"/>
      <c r="G24" s="8"/>
      <c r="H24" s="8"/>
      <c r="I24" s="8"/>
      <c r="J24" s="43">
        <f t="shared" si="9"/>
        <v>275000</v>
      </c>
      <c r="K24" s="7">
        <f>((VLOOKUP($J24,Anexo1,2)*$J24)-VLOOKUP($J24,Anexo1,3))/$J24</f>
        <v>5.1400000000000001E-2</v>
      </c>
      <c r="L24" s="7">
        <f>((VLOOKUP($J24,Anexo2,2)*$J24)-VLOOKUP($J24,Anexo2,3))/$J24</f>
        <v>5.6399999999999999E-2</v>
      </c>
      <c r="M24" s="7">
        <f>((VLOOKUP($J24,Anexo3,2)*$J24)-VLOOKUP($J24,Anexo3,3))/$J24</f>
        <v>7.796363636363636E-2</v>
      </c>
      <c r="N24" s="7">
        <f>((VLOOKUP($J24,Anexo4,2)*$J24)-VLOOKUP($J24,Anexo4,3))/$J24</f>
        <v>6.0545454545454548E-2</v>
      </c>
      <c r="O24" s="7">
        <f>((VLOOKUP($J24,Anexo5,2)*$J24)-VLOOKUP($J24,Anexo5,3))/$J24</f>
        <v>0.16363636363636364</v>
      </c>
      <c r="P24" s="43">
        <f t="shared" si="10"/>
        <v>0</v>
      </c>
      <c r="Q24" s="43">
        <f t="shared" si="11"/>
        <v>0</v>
      </c>
      <c r="R24" s="43">
        <f t="shared" si="12"/>
        <v>0</v>
      </c>
      <c r="S24" s="43">
        <f t="shared" si="13"/>
        <v>0</v>
      </c>
      <c r="T24" s="43">
        <f t="shared" si="14"/>
        <v>0</v>
      </c>
      <c r="U24" s="44">
        <f t="shared" si="15"/>
        <v>0</v>
      </c>
    </row>
    <row r="25" spans="2:21" x14ac:dyDescent="0.25">
      <c r="B25" s="40">
        <v>44470</v>
      </c>
      <c r="C25" s="41"/>
      <c r="D25" s="8"/>
      <c r="E25" s="8"/>
      <c r="F25" s="8"/>
      <c r="G25" s="8"/>
      <c r="H25" s="8"/>
      <c r="I25" s="8"/>
      <c r="J25" s="43">
        <f t="shared" si="9"/>
        <v>250000</v>
      </c>
      <c r="K25" s="7">
        <f>((VLOOKUP($J25,Anexo1,2)*$J25)-VLOOKUP($J25,Anexo1,3))/$J25</f>
        <v>4.9239999999999999E-2</v>
      </c>
      <c r="L25" s="7">
        <f>((VLOOKUP($J25,Anexo2,2)*$J25)-VLOOKUP($J25,Anexo2,3))/$J25</f>
        <v>5.4239999999999997E-2</v>
      </c>
      <c r="M25" s="7">
        <f>((VLOOKUP($J25,Anexo3,2)*$J25)-VLOOKUP($J25,Anexo3,3))/$J25</f>
        <v>7.4560000000000001E-2</v>
      </c>
      <c r="N25" s="7">
        <f>((VLOOKUP($J25,Anexo4,2)*$J25)-VLOOKUP($J25,Anexo4,3))/$J25</f>
        <v>5.7599999999999998E-2</v>
      </c>
      <c r="O25" s="7">
        <f>((VLOOKUP($J25,Anexo5,2)*$J25)-VLOOKUP($J25,Anexo5,3))/$J25</f>
        <v>0.16200000000000001</v>
      </c>
      <c r="P25" s="43">
        <f t="shared" si="10"/>
        <v>0</v>
      </c>
      <c r="Q25" s="43">
        <f t="shared" si="11"/>
        <v>0</v>
      </c>
      <c r="R25" s="43">
        <f t="shared" si="12"/>
        <v>0</v>
      </c>
      <c r="S25" s="43">
        <f t="shared" si="13"/>
        <v>0</v>
      </c>
      <c r="T25" s="43">
        <f t="shared" si="14"/>
        <v>0</v>
      </c>
      <c r="U25" s="44">
        <f t="shared" si="15"/>
        <v>0</v>
      </c>
    </row>
    <row r="26" spans="2:21" x14ac:dyDescent="0.25">
      <c r="B26" s="40">
        <v>44501</v>
      </c>
      <c r="C26" s="41"/>
      <c r="D26" s="8"/>
      <c r="E26" s="8"/>
      <c r="F26" s="8"/>
      <c r="G26" s="8"/>
      <c r="H26" s="8"/>
      <c r="I26" s="8"/>
      <c r="J26" s="43">
        <f t="shared" si="9"/>
        <v>225000</v>
      </c>
      <c r="K26" s="7">
        <f>((VLOOKUP($J26,Anexo1,2)*$J26)-VLOOKUP($J26,Anexo1,3))/$J26</f>
        <v>4.6600000000000003E-2</v>
      </c>
      <c r="L26" s="7">
        <f>((VLOOKUP($J26,Anexo2,2)*$J26)-VLOOKUP($J26,Anexo2,3))/$J26</f>
        <v>5.16E-2</v>
      </c>
      <c r="M26" s="7">
        <f>((VLOOKUP($J26,Anexo3,2)*$J26)-VLOOKUP($J26,Anexo3,3))/$J26</f>
        <v>7.0400000000000004E-2</v>
      </c>
      <c r="N26" s="7">
        <f>((VLOOKUP($J26,Anexo4,2)*$J26)-VLOOKUP($J26,Anexo4,3))/$J26</f>
        <v>5.3999999999999999E-2</v>
      </c>
      <c r="O26" s="7">
        <f>((VLOOKUP($J26,Anexo5,2)*$J26)-VLOOKUP($J26,Anexo5,3))/$J26</f>
        <v>0.16</v>
      </c>
      <c r="P26" s="43">
        <f t="shared" si="10"/>
        <v>0</v>
      </c>
      <c r="Q26" s="43">
        <f t="shared" si="11"/>
        <v>0</v>
      </c>
      <c r="R26" s="43">
        <f t="shared" si="12"/>
        <v>0</v>
      </c>
      <c r="S26" s="43">
        <f t="shared" si="13"/>
        <v>0</v>
      </c>
      <c r="T26" s="43">
        <f t="shared" si="14"/>
        <v>0</v>
      </c>
      <c r="U26" s="44">
        <f t="shared" si="15"/>
        <v>0</v>
      </c>
    </row>
    <row r="27" spans="2:21" x14ac:dyDescent="0.25">
      <c r="B27" s="40">
        <v>44531</v>
      </c>
      <c r="C27" s="41"/>
      <c r="D27" s="8"/>
      <c r="E27" s="8"/>
      <c r="F27" s="8"/>
      <c r="G27" s="8"/>
      <c r="H27" s="8"/>
      <c r="I27" s="8"/>
      <c r="J27" s="43">
        <f t="shared" si="9"/>
        <v>200000</v>
      </c>
      <c r="K27" s="7">
        <f>((VLOOKUP($J27,Anexo1,2)*$J27)-VLOOKUP($J27,Anexo1,3))/$J27</f>
        <v>4.3299999999999991E-2</v>
      </c>
      <c r="L27" s="7">
        <f>((VLOOKUP($J27,Anexo2,2)*$J27)-VLOOKUP($J27,Anexo2,3))/$J27</f>
        <v>4.8300000000000003E-2</v>
      </c>
      <c r="M27" s="7">
        <f>((VLOOKUP($J27,Anexo3,2)*$J27)-VLOOKUP($J27,Anexo3,3))/$J27</f>
        <v>6.5199999999999994E-2</v>
      </c>
      <c r="N27" s="7">
        <f>((VLOOKUP($J27,Anexo4,2)*$J27)-VLOOKUP($J27,Anexo4,3))/$J27</f>
        <v>4.9500000000000002E-2</v>
      </c>
      <c r="O27" s="7">
        <f>((VLOOKUP($J27,Anexo5,2)*$J27)-VLOOKUP($J27,Anexo5,3))/$J27</f>
        <v>0.1575</v>
      </c>
      <c r="P27" s="43">
        <f t="shared" si="10"/>
        <v>0</v>
      </c>
      <c r="Q27" s="43">
        <f t="shared" si="11"/>
        <v>0</v>
      </c>
      <c r="R27" s="43">
        <f t="shared" si="12"/>
        <v>0</v>
      </c>
      <c r="S27" s="43">
        <f t="shared" si="13"/>
        <v>0</v>
      </c>
      <c r="T27" s="43">
        <f t="shared" si="14"/>
        <v>0</v>
      </c>
      <c r="U27" s="44">
        <f t="shared" si="15"/>
        <v>0</v>
      </c>
    </row>
    <row r="28" spans="2:21" x14ac:dyDescent="0.25">
      <c r="B28" s="40">
        <v>44562</v>
      </c>
      <c r="C28" s="41"/>
      <c r="D28" s="8"/>
      <c r="E28" s="8"/>
      <c r="F28" s="8"/>
      <c r="G28" s="8"/>
      <c r="H28" s="8"/>
      <c r="I28" s="8"/>
      <c r="J28" s="43">
        <f t="shared" si="9"/>
        <v>175000</v>
      </c>
      <c r="K28" s="7">
        <f>((VLOOKUP($J28,Anexo1,2)*$J28)-VLOOKUP($J28,Anexo1,3))/$J28</f>
        <v>0.04</v>
      </c>
      <c r="L28" s="7">
        <f>((VLOOKUP($J28,Anexo2,2)*$J28)-VLOOKUP($J28,Anexo2,3))/$J28</f>
        <v>4.4999999999999998E-2</v>
      </c>
      <c r="M28" s="7">
        <f>((VLOOKUP($J28,Anexo3,2)*$J28)-VLOOKUP($J28,Anexo3,3))/$J28</f>
        <v>0.06</v>
      </c>
      <c r="N28" s="7">
        <f>((VLOOKUP($J28,Anexo4,2)*$J28)-VLOOKUP($J28,Anexo4,3))/$J28</f>
        <v>4.4999999999999998E-2</v>
      </c>
      <c r="O28" s="7">
        <f>((VLOOKUP($J28,Anexo5,2)*$J28)-VLOOKUP($J28,Anexo5,3))/$J28</f>
        <v>0.155</v>
      </c>
      <c r="P28" s="43">
        <f t="shared" si="10"/>
        <v>0</v>
      </c>
      <c r="Q28" s="43">
        <f t="shared" si="11"/>
        <v>0</v>
      </c>
      <c r="R28" s="43">
        <f t="shared" si="12"/>
        <v>0</v>
      </c>
      <c r="S28" s="43">
        <f t="shared" si="13"/>
        <v>0</v>
      </c>
      <c r="T28" s="43">
        <f t="shared" si="14"/>
        <v>0</v>
      </c>
      <c r="U28" s="44">
        <f t="shared" si="15"/>
        <v>0</v>
      </c>
    </row>
    <row r="29" spans="2:21" x14ac:dyDescent="0.25">
      <c r="B29" s="40">
        <v>44593</v>
      </c>
      <c r="C29" s="41"/>
      <c r="D29" s="8"/>
      <c r="E29" s="8"/>
      <c r="F29" s="8"/>
      <c r="G29" s="8"/>
      <c r="H29" s="8"/>
      <c r="I29" s="8"/>
      <c r="J29" s="43">
        <f t="shared" si="9"/>
        <v>150000</v>
      </c>
      <c r="K29" s="7">
        <f>((VLOOKUP($J29,Anexo1,2)*$J29)-VLOOKUP($J29,Anexo1,3))/$J29</f>
        <v>0.04</v>
      </c>
      <c r="L29" s="7">
        <f>((VLOOKUP($J29,Anexo2,2)*$J29)-VLOOKUP($J29,Anexo2,3))/$J29</f>
        <v>4.4999999999999998E-2</v>
      </c>
      <c r="M29" s="7">
        <f>((VLOOKUP($J29,Anexo3,2)*$J29)-VLOOKUP($J29,Anexo3,3))/$J29</f>
        <v>0.06</v>
      </c>
      <c r="N29" s="7">
        <f>((VLOOKUP($J29,Anexo4,2)*$J29)-VLOOKUP($J29,Anexo4,3))/$J29</f>
        <v>4.4999999999999998E-2</v>
      </c>
      <c r="O29" s="7">
        <f>((VLOOKUP($J29,Anexo5,2)*$J29)-VLOOKUP($J29,Anexo5,3))/$J29</f>
        <v>0.155</v>
      </c>
      <c r="P29" s="43">
        <f t="shared" si="10"/>
        <v>0</v>
      </c>
      <c r="Q29" s="43">
        <f t="shared" si="11"/>
        <v>0</v>
      </c>
      <c r="R29" s="43">
        <f t="shared" si="12"/>
        <v>0</v>
      </c>
      <c r="S29" s="43">
        <f t="shared" si="13"/>
        <v>0</v>
      </c>
      <c r="T29" s="43">
        <f t="shared" si="14"/>
        <v>0</v>
      </c>
      <c r="U29" s="44">
        <f t="shared" si="15"/>
        <v>0</v>
      </c>
    </row>
    <row r="30" spans="2:21" x14ac:dyDescent="0.25">
      <c r="B30" s="40">
        <v>44621</v>
      </c>
      <c r="C30" s="41"/>
      <c r="D30" s="8"/>
      <c r="E30" s="8"/>
      <c r="F30" s="8"/>
      <c r="G30" s="8"/>
      <c r="H30" s="8"/>
      <c r="I30" s="8"/>
      <c r="J30" s="43">
        <f t="shared" si="9"/>
        <v>125000</v>
      </c>
      <c r="K30" s="7">
        <f>((VLOOKUP($J30,Anexo1,2)*$J30)-VLOOKUP($J30,Anexo1,3))/$J30</f>
        <v>0.04</v>
      </c>
      <c r="L30" s="7">
        <f>((VLOOKUP($J30,Anexo2,2)*$J30)-VLOOKUP($J30,Anexo2,3))/$J30</f>
        <v>4.4999999999999998E-2</v>
      </c>
      <c r="M30" s="7">
        <f>((VLOOKUP($J30,Anexo3,2)*$J30)-VLOOKUP($J30,Anexo3,3))/$J30</f>
        <v>0.06</v>
      </c>
      <c r="N30" s="7">
        <f>((VLOOKUP($J30,Anexo4,2)*$J30)-VLOOKUP($J30,Anexo4,3))/$J30</f>
        <v>4.4999999999999998E-2</v>
      </c>
      <c r="O30" s="7">
        <f>((VLOOKUP($J30,Anexo5,2)*$J30)-VLOOKUP($J30,Anexo5,3))/$J30</f>
        <v>0.155</v>
      </c>
      <c r="P30" s="43">
        <f t="shared" si="10"/>
        <v>0</v>
      </c>
      <c r="Q30" s="43">
        <f t="shared" si="11"/>
        <v>0</v>
      </c>
      <c r="R30" s="43">
        <f t="shared" si="12"/>
        <v>0</v>
      </c>
      <c r="S30" s="43">
        <f t="shared" si="13"/>
        <v>0</v>
      </c>
      <c r="T30" s="43">
        <f t="shared" si="14"/>
        <v>0</v>
      </c>
      <c r="U30" s="44">
        <f t="shared" si="15"/>
        <v>0</v>
      </c>
    </row>
    <row r="31" spans="2:21" x14ac:dyDescent="0.25">
      <c r="B31" s="40">
        <v>44652</v>
      </c>
      <c r="C31" s="41"/>
      <c r="D31" s="8"/>
      <c r="E31" s="8"/>
      <c r="F31" s="8"/>
      <c r="G31" s="8"/>
      <c r="H31" s="8"/>
      <c r="I31" s="8"/>
      <c r="J31" s="43">
        <f t="shared" si="9"/>
        <v>100000</v>
      </c>
      <c r="K31" s="7">
        <f>((VLOOKUP($J31,Anexo1,2)*$J31)-VLOOKUP($J31,Anexo1,3))/$J31</f>
        <v>0.04</v>
      </c>
      <c r="L31" s="7">
        <f>((VLOOKUP($J31,Anexo2,2)*$J31)-VLOOKUP($J31,Anexo2,3))/$J31</f>
        <v>4.4999999999999998E-2</v>
      </c>
      <c r="M31" s="7">
        <f>((VLOOKUP($J31,Anexo3,2)*$J31)-VLOOKUP($J31,Anexo3,3))/$J31</f>
        <v>0.06</v>
      </c>
      <c r="N31" s="7">
        <f>((VLOOKUP($J31,Anexo4,2)*$J31)-VLOOKUP($J31,Anexo4,3))/$J31</f>
        <v>4.4999999999999998E-2</v>
      </c>
      <c r="O31" s="7">
        <f>((VLOOKUP($J31,Anexo5,2)*$J31)-VLOOKUP($J31,Anexo5,3))/$J31</f>
        <v>0.155</v>
      </c>
      <c r="P31" s="43">
        <f t="shared" si="10"/>
        <v>0</v>
      </c>
      <c r="Q31" s="43">
        <f t="shared" si="11"/>
        <v>0</v>
      </c>
      <c r="R31" s="43">
        <f t="shared" si="12"/>
        <v>0</v>
      </c>
      <c r="S31" s="43">
        <f t="shared" si="13"/>
        <v>0</v>
      </c>
      <c r="T31" s="43">
        <f t="shared" si="14"/>
        <v>0</v>
      </c>
      <c r="U31" s="44">
        <f t="shared" si="15"/>
        <v>0</v>
      </c>
    </row>
    <row r="32" spans="2:21" x14ac:dyDescent="0.25">
      <c r="B32" s="40">
        <v>44682</v>
      </c>
      <c r="C32" s="41"/>
      <c r="D32" s="8"/>
      <c r="E32" s="8"/>
      <c r="F32" s="8"/>
      <c r="G32" s="8"/>
      <c r="H32" s="8"/>
      <c r="I32" s="8"/>
      <c r="J32" s="43">
        <f t="shared" si="9"/>
        <v>75000</v>
      </c>
      <c r="K32" s="7">
        <f>((VLOOKUP($J32,Anexo1,2)*$J32)-VLOOKUP($J32,Anexo1,3))/$J32</f>
        <v>0.04</v>
      </c>
      <c r="L32" s="7">
        <f>((VLOOKUP($J32,Anexo2,2)*$J32)-VLOOKUP($J32,Anexo2,3))/$J32</f>
        <v>4.4999999999999998E-2</v>
      </c>
      <c r="M32" s="7">
        <f>((VLOOKUP($J32,Anexo3,2)*$J32)-VLOOKUP($J32,Anexo3,3))/$J32</f>
        <v>0.06</v>
      </c>
      <c r="N32" s="7">
        <f>((VLOOKUP($J32,Anexo4,2)*$J32)-VLOOKUP($J32,Anexo4,3))/$J32</f>
        <v>4.4999999999999998E-2</v>
      </c>
      <c r="O32" s="7">
        <f>((VLOOKUP($J32,Anexo5,2)*$J32)-VLOOKUP($J32,Anexo5,3))/$J32</f>
        <v>0.155</v>
      </c>
      <c r="P32" s="43">
        <f t="shared" si="10"/>
        <v>0</v>
      </c>
      <c r="Q32" s="43">
        <f t="shared" si="11"/>
        <v>0</v>
      </c>
      <c r="R32" s="43">
        <f t="shared" si="12"/>
        <v>0</v>
      </c>
      <c r="S32" s="43">
        <f t="shared" si="13"/>
        <v>0</v>
      </c>
      <c r="T32" s="43">
        <f t="shared" si="14"/>
        <v>0</v>
      </c>
      <c r="U32" s="44">
        <f t="shared" si="15"/>
        <v>0</v>
      </c>
    </row>
    <row r="33" spans="2:21" x14ac:dyDescent="0.25">
      <c r="B33" s="40">
        <v>44713</v>
      </c>
      <c r="C33" s="41"/>
      <c r="D33" s="8"/>
      <c r="E33" s="8"/>
      <c r="F33" s="8"/>
      <c r="G33" s="8"/>
      <c r="H33" s="8"/>
      <c r="I33" s="8"/>
      <c r="J33" s="43">
        <f t="shared" si="9"/>
        <v>50000</v>
      </c>
      <c r="K33" s="7">
        <f>((VLOOKUP($J33,Anexo1,2)*$J33)-VLOOKUP($J33,Anexo1,3))/$J33</f>
        <v>0.04</v>
      </c>
      <c r="L33" s="7">
        <f>((VLOOKUP($J33,Anexo2,2)*$J33)-VLOOKUP($J33,Anexo2,3))/$J33</f>
        <v>4.4999999999999998E-2</v>
      </c>
      <c r="M33" s="7">
        <f>((VLOOKUP($J33,Anexo3,2)*$J33)-VLOOKUP($J33,Anexo3,3))/$J33</f>
        <v>0.06</v>
      </c>
      <c r="N33" s="7">
        <f>((VLOOKUP($J33,Anexo4,2)*$J33)-VLOOKUP($J33,Anexo4,3))/$J33</f>
        <v>4.4999999999999998E-2</v>
      </c>
      <c r="O33" s="7">
        <f>((VLOOKUP($J33,Anexo5,2)*$J33)-VLOOKUP($J33,Anexo5,3))/$J33</f>
        <v>0.155</v>
      </c>
      <c r="P33" s="43">
        <f t="shared" si="10"/>
        <v>0</v>
      </c>
      <c r="Q33" s="43">
        <f t="shared" si="11"/>
        <v>0</v>
      </c>
      <c r="R33" s="43">
        <f t="shared" si="12"/>
        <v>0</v>
      </c>
      <c r="S33" s="43">
        <f t="shared" si="13"/>
        <v>0</v>
      </c>
      <c r="T33" s="43">
        <f t="shared" si="14"/>
        <v>0</v>
      </c>
      <c r="U33" s="44">
        <f t="shared" si="15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Tabelas</vt:lpstr>
      <vt:lpstr>Apuração</vt:lpstr>
      <vt:lpstr>Anexo1</vt:lpstr>
      <vt:lpstr>Anexo2</vt:lpstr>
      <vt:lpstr>Anexo3</vt:lpstr>
      <vt:lpstr>Anexo4</vt:lpstr>
      <vt:lpstr>Anexo5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dcterms:created xsi:type="dcterms:W3CDTF">2021-07-19T16:59:01Z</dcterms:created>
  <dcterms:modified xsi:type="dcterms:W3CDTF">2021-07-19T17:21:53Z</dcterms:modified>
</cp:coreProperties>
</file>