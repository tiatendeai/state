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filterPrivacy="1" codeName="EstaPasta_de_trabalho" defaultThemeVersion="124226"/>
  <xr:revisionPtr revIDLastSave="0" documentId="13_ncr:1_{B2F27BF6-0F0C-4C46-BE9D-DE007DEE9B1F}" xr6:coauthVersionLast="40" xr6:coauthVersionMax="40" xr10:uidLastSave="{00000000-0000-0000-0000-000000000000}"/>
  <bookViews>
    <workbookView xWindow="360" yWindow="300" windowWidth="15480" windowHeight="11640" xr2:uid="{00000000-000D-0000-FFFF-FFFF00000000}"/>
  </bookViews>
  <sheets>
    <sheet name="Apresentação" sheetId="6" r:id="rId1"/>
    <sheet name="Orçamento" sheetId="5" r:id="rId2"/>
    <sheet name="Resumo" sheetId="4" r:id="rId3"/>
    <sheet name="Gráficos" sheetId="3" r:id="rId4"/>
    <sheet name="Desbloquear Planilha" sheetId="7" r:id="rId5"/>
  </sheets>
  <definedNames>
    <definedName name="NativeTimeline_DATA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17" i="5" l="1"/>
  <c r="O61" i="5"/>
  <c r="D62" i="5"/>
  <c r="D15" i="4" s="1"/>
  <c r="E62" i="5"/>
  <c r="E15" i="4" s="1"/>
  <c r="F62" i="5"/>
  <c r="F15" i="4" s="1"/>
  <c r="G62" i="5"/>
  <c r="G15" i="4" s="1"/>
  <c r="H62" i="5"/>
  <c r="H15" i="4" s="1"/>
  <c r="I62" i="5"/>
  <c r="I15" i="4" s="1"/>
  <c r="J62" i="5"/>
  <c r="J15" i="4" s="1"/>
  <c r="K62" i="5"/>
  <c r="K15" i="4" s="1"/>
  <c r="L62" i="5"/>
  <c r="L15" i="4" s="1"/>
  <c r="M62" i="5"/>
  <c r="M15" i="4" s="1"/>
  <c r="N62" i="5"/>
  <c r="N15" i="4" s="1"/>
  <c r="C62" i="5"/>
  <c r="O60" i="5"/>
  <c r="O59" i="5"/>
  <c r="O50" i="5"/>
  <c r="O51" i="5"/>
  <c r="O52" i="5"/>
  <c r="O53" i="5"/>
  <c r="O54" i="5"/>
  <c r="O55" i="5"/>
  <c r="O49" i="5"/>
  <c r="O41" i="5"/>
  <c r="O42" i="5"/>
  <c r="O43" i="5"/>
  <c r="O44" i="5"/>
  <c r="O45" i="5"/>
  <c r="O40" i="5"/>
  <c r="O31" i="5"/>
  <c r="O32" i="5"/>
  <c r="O33" i="5"/>
  <c r="O34" i="5"/>
  <c r="O35" i="5"/>
  <c r="O36" i="5"/>
  <c r="O30" i="5"/>
  <c r="O18" i="5"/>
  <c r="O19" i="5"/>
  <c r="O20" i="5"/>
  <c r="O21" i="5"/>
  <c r="O22" i="5"/>
  <c r="O23" i="5"/>
  <c r="O24" i="5"/>
  <c r="O25" i="5"/>
  <c r="O26" i="5"/>
  <c r="O16" i="5"/>
  <c r="O11" i="5"/>
  <c r="O10" i="5"/>
  <c r="C15" i="4"/>
  <c r="N56" i="5"/>
  <c r="N12" i="4" s="1"/>
  <c r="M56" i="5"/>
  <c r="M12" i="4" s="1"/>
  <c r="L56" i="5"/>
  <c r="L12" i="4" s="1"/>
  <c r="K56" i="5"/>
  <c r="K12" i="4" s="1"/>
  <c r="J56" i="5"/>
  <c r="J12" i="4" s="1"/>
  <c r="I56" i="5"/>
  <c r="I12" i="4" s="1"/>
  <c r="H56" i="5"/>
  <c r="H12" i="4" s="1"/>
  <c r="G56" i="5"/>
  <c r="G12" i="4" s="1"/>
  <c r="F56" i="5"/>
  <c r="F12" i="4" s="1"/>
  <c r="E56" i="5"/>
  <c r="E12" i="4" s="1"/>
  <c r="D56" i="5"/>
  <c r="D12" i="4" s="1"/>
  <c r="C56" i="5"/>
  <c r="N46" i="5"/>
  <c r="N11" i="4" s="1"/>
  <c r="M46" i="5"/>
  <c r="M11" i="4" s="1"/>
  <c r="L46" i="5"/>
  <c r="L11" i="4" s="1"/>
  <c r="K46" i="5"/>
  <c r="K11" i="4" s="1"/>
  <c r="J46" i="5"/>
  <c r="J11" i="4" s="1"/>
  <c r="I46" i="5"/>
  <c r="I11" i="4" s="1"/>
  <c r="H46" i="5"/>
  <c r="H11" i="4" s="1"/>
  <c r="G46" i="5"/>
  <c r="G11" i="4" s="1"/>
  <c r="F46" i="5"/>
  <c r="F11" i="4" s="1"/>
  <c r="E46" i="5"/>
  <c r="E11" i="4" s="1"/>
  <c r="D46" i="5"/>
  <c r="D11" i="4" s="1"/>
  <c r="C46" i="5"/>
  <c r="C11" i="4" s="1"/>
  <c r="N37" i="5"/>
  <c r="N10" i="4" s="1"/>
  <c r="M37" i="5"/>
  <c r="M10" i="4" s="1"/>
  <c r="L37" i="5"/>
  <c r="L10" i="4" s="1"/>
  <c r="K37" i="5"/>
  <c r="K10" i="4" s="1"/>
  <c r="J37" i="5"/>
  <c r="J10" i="4" s="1"/>
  <c r="I37" i="5"/>
  <c r="I10" i="4" s="1"/>
  <c r="H37" i="5"/>
  <c r="H10" i="4" s="1"/>
  <c r="G37" i="5"/>
  <c r="G10" i="4" s="1"/>
  <c r="F37" i="5"/>
  <c r="F10" i="4" s="1"/>
  <c r="E37" i="5"/>
  <c r="E10" i="4" s="1"/>
  <c r="D37" i="5"/>
  <c r="D10" i="4" s="1"/>
  <c r="C37" i="5"/>
  <c r="C10" i="4" s="1"/>
  <c r="N27" i="5"/>
  <c r="N9" i="4" s="1"/>
  <c r="M27" i="5"/>
  <c r="M9" i="4" s="1"/>
  <c r="L27" i="5"/>
  <c r="L9" i="4" s="1"/>
  <c r="K27" i="5"/>
  <c r="K9" i="4" s="1"/>
  <c r="J27" i="5"/>
  <c r="J9" i="4" s="1"/>
  <c r="I27" i="5"/>
  <c r="I9" i="4" s="1"/>
  <c r="H27" i="5"/>
  <c r="H9" i="4" s="1"/>
  <c r="G27" i="5"/>
  <c r="G9" i="4" s="1"/>
  <c r="F27" i="5"/>
  <c r="F9" i="4" s="1"/>
  <c r="E27" i="5"/>
  <c r="E9" i="4" s="1"/>
  <c r="D27" i="5"/>
  <c r="D9" i="4" s="1"/>
  <c r="C27" i="5"/>
  <c r="N12" i="5"/>
  <c r="N64" i="5" s="1"/>
  <c r="M12" i="5"/>
  <c r="L12" i="5"/>
  <c r="K12" i="5"/>
  <c r="J12" i="5"/>
  <c r="J64" i="5" s="1"/>
  <c r="I12" i="5"/>
  <c r="H12" i="5"/>
  <c r="G12" i="5"/>
  <c r="F12" i="5"/>
  <c r="E12" i="5"/>
  <c r="D12" i="5"/>
  <c r="C12" i="5"/>
  <c r="C7" i="4" s="1"/>
  <c r="H64" i="5" l="1"/>
  <c r="L64" i="5"/>
  <c r="G64" i="5"/>
  <c r="I64" i="5"/>
  <c r="K64" i="5"/>
  <c r="M64" i="5"/>
  <c r="C64" i="5"/>
  <c r="F64" i="5"/>
  <c r="O27" i="5"/>
  <c r="E64" i="5"/>
  <c r="O56" i="5"/>
  <c r="D64" i="5"/>
  <c r="C9" i="4"/>
  <c r="O9" i="4" s="1"/>
  <c r="O62" i="5"/>
  <c r="O37" i="5"/>
  <c r="O46" i="5"/>
  <c r="C12" i="4"/>
  <c r="O12" i="5"/>
  <c r="C13" i="4"/>
  <c r="C17" i="4" s="1"/>
  <c r="C19" i="4" s="1"/>
  <c r="O15" i="4"/>
  <c r="O12" i="4"/>
  <c r="O11" i="4"/>
  <c r="F13" i="4"/>
  <c r="H13" i="4"/>
  <c r="J13" i="4"/>
  <c r="L13" i="4"/>
  <c r="N13" i="4"/>
  <c r="O10" i="4"/>
  <c r="E13" i="4"/>
  <c r="G13" i="4"/>
  <c r="I13" i="4"/>
  <c r="K13" i="4"/>
  <c r="M13" i="4"/>
  <c r="N7" i="4"/>
  <c r="L7" i="4"/>
  <c r="J7" i="4"/>
  <c r="H7" i="4"/>
  <c r="F7" i="4"/>
  <c r="M7" i="4"/>
  <c r="K7" i="4"/>
  <c r="K17" i="4" s="1"/>
  <c r="I7" i="4"/>
  <c r="G7" i="4"/>
  <c r="G17" i="4" s="1"/>
  <c r="E7" i="4"/>
  <c r="D13" i="4"/>
  <c r="D7" i="4"/>
  <c r="I17" i="4" l="1"/>
  <c r="M17" i="4"/>
  <c r="H17" i="4"/>
  <c r="O64" i="5"/>
  <c r="F17" i="4"/>
  <c r="L17" i="4"/>
  <c r="J17" i="4"/>
  <c r="N17" i="4"/>
  <c r="D17" i="4"/>
  <c r="D19" i="4" s="1"/>
  <c r="E17" i="4"/>
  <c r="O13" i="4"/>
  <c r="O7" i="4"/>
  <c r="E19" i="4" l="1"/>
  <c r="F19" i="4" s="1"/>
  <c r="G19" i="4" s="1"/>
  <c r="H19" i="4" s="1"/>
  <c r="I19" i="4" s="1"/>
  <c r="J19" i="4" s="1"/>
  <c r="K19" i="4" s="1"/>
  <c r="L19" i="4" s="1"/>
  <c r="M19" i="4" s="1"/>
  <c r="N19" i="4" s="1"/>
  <c r="O19" i="4" s="1"/>
  <c r="O17" i="4"/>
</calcChain>
</file>

<file path=xl/sharedStrings.xml><?xml version="1.0" encoding="utf-8"?>
<sst xmlns="http://schemas.openxmlformats.org/spreadsheetml/2006/main" count="99" uniqueCount="71">
  <si>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</si>
  <si>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</si>
  <si>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</si>
  <si>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</si>
  <si>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</si>
  <si>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</si>
  <si>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</si>
  <si>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</si>
  <si>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</si>
  <si>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</si>
  <si>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</si>
  <si>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</si>
  <si>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Receitas</t>
  </si>
  <si>
    <t>Salário</t>
  </si>
  <si>
    <t>Aluguel</t>
  </si>
  <si>
    <t>Condomínio</t>
  </si>
  <si>
    <t>Água</t>
  </si>
  <si>
    <t>Energia Elétrica</t>
  </si>
  <si>
    <t>Gás</t>
  </si>
  <si>
    <t>Telefone</t>
  </si>
  <si>
    <t>Internet</t>
  </si>
  <si>
    <t>Tv a Cabo</t>
  </si>
  <si>
    <t>IPTU</t>
  </si>
  <si>
    <t>Manutenção</t>
  </si>
  <si>
    <t>Outras Receitas</t>
  </si>
  <si>
    <t>Outras - Moradia</t>
  </si>
  <si>
    <t>Despesas - Moradia</t>
  </si>
  <si>
    <t>Prestação do Carro</t>
  </si>
  <si>
    <t>Seguro do Carro</t>
  </si>
  <si>
    <t>Combustível</t>
  </si>
  <si>
    <t>Estacionamento</t>
  </si>
  <si>
    <t>IPVA</t>
  </si>
  <si>
    <t>Despesas - Transporte</t>
  </si>
  <si>
    <t>Transporte Público</t>
  </si>
  <si>
    <t>Outras - Transporte</t>
  </si>
  <si>
    <t>Escola</t>
  </si>
  <si>
    <t>Cursos</t>
  </si>
  <si>
    <t>Saúde</t>
  </si>
  <si>
    <t>Lazer</t>
  </si>
  <si>
    <t>Vestuário</t>
  </si>
  <si>
    <t>Alimentação Mercado</t>
  </si>
  <si>
    <t>Alimentação fora de casa</t>
  </si>
  <si>
    <t>Higiene</t>
  </si>
  <si>
    <t>Viagens</t>
  </si>
  <si>
    <t>Outas Pessoais</t>
  </si>
  <si>
    <t>Despesas Pessoais</t>
  </si>
  <si>
    <t>Despesas  com Serviços</t>
  </si>
  <si>
    <t>Outros Serviços</t>
  </si>
  <si>
    <t>Total</t>
  </si>
  <si>
    <t>Assinaturas</t>
  </si>
  <si>
    <t>Doações</t>
  </si>
  <si>
    <t>Saldo Mês</t>
  </si>
  <si>
    <t>Investimentos</t>
  </si>
  <si>
    <t>Retorno de investimento</t>
  </si>
  <si>
    <t>Investimento Feito</t>
  </si>
  <si>
    <t>Saldo Acumulado</t>
  </si>
  <si>
    <t>Soma Despesas</t>
  </si>
  <si>
    <t>Soma-Ano</t>
  </si>
  <si>
    <t>Rendimento de Poupança</t>
  </si>
  <si>
    <t>Mês</t>
  </si>
  <si>
    <t>Soma Receitas</t>
  </si>
  <si>
    <t>Personalizamos para sua necessidade.</t>
  </si>
  <si>
    <t>Planilha produzida para o site ExcelSolução.com.br - ©Diretos Reservados</t>
  </si>
  <si>
    <t>Planilha de orçamento pessoal com gráficos - Excel Solução</t>
  </si>
  <si>
    <t>Entre em contato: contato@excelsolucao.com.br</t>
  </si>
  <si>
    <t>Planilha Grátis Excel - Orçamento familiar  / Despesas pessoais</t>
  </si>
  <si>
    <t xml:space="preserve"> -   </t>
  </si>
  <si>
    <t>Conheça a versão completa desta planilha:</t>
  </si>
  <si>
    <t>Desbloquear esta planilha para edição:</t>
  </si>
  <si>
    <t>Clique aqui e contribua para receber a versão desbloqueada para editar esta planilha.</t>
  </si>
  <si>
    <t>Clique aqui e conheça a versão mais atualizada e avançada desta planilha.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</si>
</sst>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u/>
      <sz val="10"/>
      <color indexed="12"/>
      <name val="Arial"/>
      <family val="2"/>
    </font>
    <font>
      <u/>
      <sz val="12"/>
      <color indexed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50B3A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55">
    <xf numFmtId="0" fontId="0" fillId="0" borderId="0" xfId="0"/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0" fontId="1" fillId="0" borderId="0" xfId="0" applyFont="1" applyProtection="1">
      <protection locked="0"/>
    </xf>
    <xf numFmtId="164" fontId="1" fillId="0" borderId="0" xfId="0" applyNumberFormat="1" applyFont="1" applyProtection="1">
      <protection locked="0"/>
    </xf>
    <xf numFmtId="0" fontId="0" fillId="0" borderId="0" xfId="0" applyProtection="1"/>
    <xf numFmtId="0" fontId="1" fillId="0" borderId="0" xfId="0" applyFont="1" applyProtection="1"/>
    <xf numFmtId="0" fontId="0" fillId="0" borderId="1" xfId="0" applyBorder="1" applyProtection="1">
      <protection locked="0"/>
    </xf>
    <xf numFmtId="0" fontId="1" fillId="2" borderId="1" xfId="0" applyFont="1" applyFill="1" applyBorder="1" applyAlignment="1" applyProtection="1"/>
    <xf numFmtId="0" fontId="0" fillId="0" borderId="0" xfId="0" applyBorder="1" applyProtection="1">
      <protection locked="0"/>
    </xf>
    <xf numFmtId="0" fontId="1" fillId="0" borderId="1" xfId="0" applyFont="1" applyBorder="1" applyAlignment="1" applyProtection="1">
      <alignment horizontal="center"/>
    </xf>
    <xf numFmtId="0" fontId="1" fillId="0" borderId="0" xfId="0" applyFont="1" applyBorder="1" applyAlignment="1" applyProtection="1">
      <alignment horizontal="center"/>
    </xf>
    <xf numFmtId="0" fontId="1" fillId="2" borderId="2" xfId="0" applyFont="1" applyFill="1" applyBorder="1" applyAlignment="1" applyProtection="1">
      <alignment horizontal="center"/>
    </xf>
    <xf numFmtId="0" fontId="1" fillId="3" borderId="0" xfId="0" applyFont="1" applyFill="1" applyProtection="1"/>
    <xf numFmtId="0" fontId="1" fillId="6" borderId="0" xfId="0" applyFont="1" applyFill="1" applyProtection="1"/>
    <xf numFmtId="0" fontId="0" fillId="4" borderId="0" xfId="0" applyFill="1" applyProtection="1"/>
    <xf numFmtId="0" fontId="1" fillId="4" borderId="0" xfId="0" applyFont="1" applyFill="1" applyProtection="1"/>
    <xf numFmtId="0" fontId="1" fillId="5" borderId="1" xfId="0" applyFont="1" applyFill="1" applyBorder="1" applyAlignment="1" applyProtection="1"/>
    <xf numFmtId="0" fontId="0" fillId="0" borderId="0" xfId="0" applyFill="1" applyProtection="1"/>
    <xf numFmtId="164" fontId="0" fillId="0" borderId="0" xfId="0" applyNumberFormat="1" applyFill="1" applyProtection="1">
      <protection locked="0"/>
    </xf>
    <xf numFmtId="164" fontId="0" fillId="0" borderId="1" xfId="0" applyNumberFormat="1" applyFill="1" applyBorder="1" applyProtection="1"/>
    <xf numFmtId="0" fontId="1" fillId="0" borderId="0" xfId="0" applyFont="1" applyFill="1" applyProtection="1"/>
    <xf numFmtId="164" fontId="1" fillId="0" borderId="0" xfId="0" applyNumberFormat="1" applyFont="1" applyFill="1" applyProtection="1"/>
    <xf numFmtId="164" fontId="1" fillId="0" borderId="1" xfId="0" applyNumberFormat="1" applyFont="1" applyFill="1" applyBorder="1" applyProtection="1"/>
    <xf numFmtId="0" fontId="0" fillId="0" borderId="0" xfId="0" applyFill="1" applyProtection="1">
      <protection locked="0"/>
    </xf>
    <xf numFmtId="0" fontId="0" fillId="0" borderId="0" xfId="0" applyFont="1" applyFill="1" applyProtection="1"/>
    <xf numFmtId="164" fontId="0" fillId="0" borderId="0" xfId="0" applyNumberFormat="1" applyFont="1" applyFill="1" applyProtection="1">
      <protection locked="0"/>
    </xf>
    <xf numFmtId="0" fontId="1" fillId="6" borderId="0" xfId="0" applyFont="1" applyFill="1" applyAlignment="1" applyProtection="1"/>
    <xf numFmtId="165" fontId="1" fillId="6" borderId="0" xfId="0" applyNumberFormat="1" applyFont="1" applyFill="1" applyAlignment="1" applyProtection="1"/>
    <xf numFmtId="164" fontId="1" fillId="6" borderId="1" xfId="0" applyNumberFormat="1" applyFont="1" applyFill="1" applyBorder="1" applyAlignment="1" applyProtection="1"/>
    <xf numFmtId="0" fontId="1" fillId="2" borderId="3" xfId="0" applyFont="1" applyFill="1" applyBorder="1" applyAlignment="1" applyProtection="1">
      <alignment horizontal="center"/>
    </xf>
    <xf numFmtId="0" fontId="1" fillId="2" borderId="4" xfId="0" applyFont="1" applyFill="1" applyBorder="1" applyAlignment="1" applyProtection="1">
      <alignment horizontal="center"/>
    </xf>
    <xf numFmtId="165" fontId="0" fillId="3" borderId="0" xfId="0" applyNumberFormat="1" applyFill="1" applyProtection="1"/>
    <xf numFmtId="165" fontId="0" fillId="3" borderId="1" xfId="0" applyNumberFormat="1" applyFill="1" applyBorder="1" applyProtection="1"/>
    <xf numFmtId="165" fontId="1" fillId="3" borderId="0" xfId="0" applyNumberFormat="1" applyFont="1" applyFill="1" applyProtection="1"/>
    <xf numFmtId="165" fontId="1" fillId="3" borderId="1" xfId="0" applyNumberFormat="1" applyFont="1" applyFill="1" applyBorder="1" applyProtection="1"/>
    <xf numFmtId="165" fontId="0" fillId="0" borderId="0" xfId="0" applyNumberFormat="1" applyProtection="1"/>
    <xf numFmtId="165" fontId="0" fillId="0" borderId="1" xfId="0" applyNumberFormat="1" applyBorder="1" applyProtection="1"/>
    <xf numFmtId="165" fontId="0" fillId="4" borderId="0" xfId="0" applyNumberFormat="1" applyFill="1" applyProtection="1"/>
    <xf numFmtId="165" fontId="0" fillId="4" borderId="1" xfId="0" applyNumberFormat="1" applyFill="1" applyBorder="1" applyProtection="1"/>
    <xf numFmtId="165" fontId="1" fillId="4" borderId="0" xfId="0" applyNumberFormat="1" applyFont="1" applyFill="1" applyProtection="1"/>
    <xf numFmtId="165" fontId="1" fillId="4" borderId="1" xfId="0" applyNumberFormat="1" applyFont="1" applyFill="1" applyBorder="1" applyProtection="1"/>
    <xf numFmtId="165" fontId="1" fillId="6" borderId="0" xfId="0" applyNumberFormat="1" applyFont="1" applyFill="1" applyProtection="1"/>
    <xf numFmtId="165" fontId="1" fillId="6" borderId="1" xfId="0" applyNumberFormat="1" applyFont="1" applyFill="1" applyBorder="1" applyProtection="1"/>
    <xf numFmtId="0" fontId="0" fillId="0" borderId="1" xfId="0" applyBorder="1" applyProtection="1"/>
    <xf numFmtId="0" fontId="2" fillId="0" borderId="0" xfId="1"/>
    <xf numFmtId="0" fontId="2" fillId="7" borderId="0" xfId="1" applyFill="1"/>
    <xf numFmtId="0" fontId="3" fillId="0" borderId="0" xfId="1" applyFont="1"/>
    <xf numFmtId="0" fontId="4" fillId="0" borderId="0" xfId="1" applyFont="1"/>
    <xf numFmtId="0" fontId="1" fillId="5" borderId="0" xfId="0" applyFont="1" applyFill="1" applyAlignment="1" applyProtection="1">
      <alignment horizontal="left"/>
    </xf>
    <xf numFmtId="0" fontId="1" fillId="6" borderId="0" xfId="0" applyFont="1" applyFill="1" applyAlignment="1" applyProtection="1">
      <alignment horizontal="left"/>
    </xf>
    <xf numFmtId="0" fontId="1" fillId="2" borderId="0" xfId="0" applyFont="1" applyFill="1" applyAlignment="1" applyProtection="1">
      <alignment horizontal="left"/>
    </xf>
    <xf numFmtId="0" fontId="5" fillId="0" borderId="0" xfId="1" applyFont="1"/>
    <xf numFmtId="0" fontId="7" fillId="0" borderId="0" xfId="5" applyFont="1" applyAlignment="1" applyProtection="1">
      <alignment horizontal="left"/>
    </xf>
    <xf numFmtId="0" fontId="6" fillId="0" borderId="0" xfId="5" applyAlignment="1" applyProtection="1">
      <alignment horizontal="left"/>
    </xf>
  </cellXfs>
  <cellStyles count="6">
    <cellStyle name="Hiperlink 2" xfId="5" xr:uid="{746B45B9-7D27-4F5C-A56F-68FD70B06DCB}"/>
    <cellStyle name="Normal" xfId="0" builtinId="0"/>
    <cellStyle name="Normal 2" xfId="1" xr:uid="{00000000-0005-0000-0000-000001000000}"/>
    <cellStyle name="Porcentagem 2" xfId="2" xr:uid="{00000000-0005-0000-0000-000002000000}"/>
    <cellStyle name="Separador de milhares 2" xfId="3" xr:uid="{00000000-0005-0000-0000-000003000000}"/>
    <cellStyle name="Separador de milhares 2 2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Receitas e Despesas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Resumo!$B$7</c:f>
              <c:strCache>
                <c:ptCount val="1"/>
                <c:pt idx="0">
                  <c:v>Soma Receitas</c:v>
                </c:pt>
              </c:strCache>
            </c:strRef>
          </c:tx>
          <c:marker>
            <c:symbol val="none"/>
          </c:marker>
          <c:val>
            <c:numRef>
              <c:f>Resumo!$C$7:$N$7</c:f>
              <c:numCache>
                <c:formatCode>_(* #,##0_);_(* \(#,##0\);_(* "-"??_);_(@_)</c:formatCode>
                <c:ptCount val="12"/>
                <c:pt idx="0">
                  <c:v>5000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1B-4F4C-884C-D55F57F840BF}"/>
            </c:ext>
          </c:extLst>
        </c:ser>
        <c:ser>
          <c:idx val="1"/>
          <c:order val="1"/>
          <c:tx>
            <c:strRef>
              <c:f>Resumo!$B$13</c:f>
              <c:strCache>
                <c:ptCount val="1"/>
                <c:pt idx="0">
                  <c:v>Soma Despesas</c:v>
                </c:pt>
              </c:strCache>
            </c:strRef>
          </c:tx>
          <c:marker>
            <c:symbol val="none"/>
          </c:marker>
          <c:val>
            <c:numRef>
              <c:f>Resumo!$C$13:$N$13</c:f>
              <c:numCache>
                <c:formatCode>_(* #,##0_);_(* \(#,##0\);_(* "-"??_);_(@_)</c:formatCode>
                <c:ptCount val="12"/>
                <c:pt idx="0">
                  <c:v>4570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1B-4F4C-884C-D55F57F84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552480"/>
        <c:axId val="212553264"/>
      </c:lineChart>
      <c:catAx>
        <c:axId val="212552480"/>
        <c:scaling>
          <c:orientation val="minMax"/>
        </c:scaling>
        <c:delete val="0"/>
        <c:axPos val="b"/>
        <c:title>
          <c:overlay val="0"/>
        </c:title>
        <c:majorTickMark val="out"/>
        <c:minorTickMark val="none"/>
        <c:tickLblPos val="nextTo"/>
        <c:crossAx val="212553264"/>
        <c:crosses val="autoZero"/>
        <c:auto val="1"/>
        <c:lblAlgn val="ctr"/>
        <c:lblOffset val="100"/>
        <c:noMultiLvlLbl val="0"/>
      </c:catAx>
      <c:valAx>
        <c:axId val="21255326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12552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879886736089579"/>
          <c:y val="0.42568318363060687"/>
          <c:w val="0.18836565672458769"/>
          <c:h val="0.22428419703351035"/>
        </c:manualLayout>
      </c:layout>
      <c:overlay val="0"/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158" footer="0.31496062000000158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Evolução das Despesas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Resumo!$B$9</c:f>
              <c:strCache>
                <c:ptCount val="1"/>
                <c:pt idx="0">
                  <c:v>Despesas - Moradia</c:v>
                </c:pt>
              </c:strCache>
            </c:strRef>
          </c:tx>
          <c:marker>
            <c:symbol val="none"/>
          </c:marker>
          <c:val>
            <c:numRef>
              <c:f>Resumo!$C$9:$N$9</c:f>
              <c:numCache>
                <c:formatCode>_(* #,##0_);_(* \(#,##0\);_(* "-"??_);_(@_)</c:formatCode>
                <c:ptCount val="12"/>
                <c:pt idx="0">
                  <c:v>1680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3E-44C6-91B9-AA17F2421D20}"/>
            </c:ext>
          </c:extLst>
        </c:ser>
        <c:ser>
          <c:idx val="1"/>
          <c:order val="1"/>
          <c:tx>
            <c:strRef>
              <c:f>Resumo!$B$10</c:f>
              <c:strCache>
                <c:ptCount val="1"/>
                <c:pt idx="0">
                  <c:v>Despesas - Transporte</c:v>
                </c:pt>
              </c:strCache>
            </c:strRef>
          </c:tx>
          <c:marker>
            <c:symbol val="none"/>
          </c:marker>
          <c:val>
            <c:numRef>
              <c:f>Resumo!$C$10:$N$10</c:f>
              <c:numCache>
                <c:formatCode>_(* #,##0_);_(* \(#,##0\);_(* "-"??_);_(@_)</c:formatCode>
                <c:ptCount val="12"/>
                <c:pt idx="0">
                  <c:v>1065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3E-44C6-91B9-AA17F2421D20}"/>
            </c:ext>
          </c:extLst>
        </c:ser>
        <c:ser>
          <c:idx val="2"/>
          <c:order val="2"/>
          <c:tx>
            <c:strRef>
              <c:f>Resumo!$B$11</c:f>
              <c:strCache>
                <c:ptCount val="1"/>
                <c:pt idx="0">
                  <c:v>Despesas  com Serviços</c:v>
                </c:pt>
              </c:strCache>
            </c:strRef>
          </c:tx>
          <c:marker>
            <c:symbol val="none"/>
          </c:marker>
          <c:val>
            <c:numRef>
              <c:f>Resumo!$C$11:$N$11</c:f>
              <c:numCache>
                <c:formatCode>_(* #,##0_);_(* \(#,##0\);_(* "-"??_);_(@_)</c:formatCode>
                <c:ptCount val="12"/>
                <c:pt idx="0">
                  <c:v>780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3E-44C6-91B9-AA17F2421D20}"/>
            </c:ext>
          </c:extLst>
        </c:ser>
        <c:ser>
          <c:idx val="3"/>
          <c:order val="3"/>
          <c:tx>
            <c:strRef>
              <c:f>Resumo!$B$12</c:f>
              <c:strCache>
                <c:ptCount val="1"/>
                <c:pt idx="0">
                  <c:v>Despesas Pessoais</c:v>
                </c:pt>
              </c:strCache>
            </c:strRef>
          </c:tx>
          <c:marker>
            <c:symbol val="none"/>
          </c:marker>
          <c:val>
            <c:numRef>
              <c:f>Resumo!$C$12:$N$12</c:f>
              <c:numCache>
                <c:formatCode>_(* #,##0_);_(* \(#,##0\);_(* "-"??_);_(@_)</c:formatCode>
                <c:ptCount val="12"/>
                <c:pt idx="0">
                  <c:v>1045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3E-44C6-91B9-AA17F2421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294096"/>
        <c:axId val="213294488"/>
      </c:lineChart>
      <c:catAx>
        <c:axId val="213294096"/>
        <c:scaling>
          <c:orientation val="minMax"/>
        </c:scaling>
        <c:delete val="0"/>
        <c:axPos val="b"/>
        <c:majorTickMark val="out"/>
        <c:minorTickMark val="none"/>
        <c:tickLblPos val="nextTo"/>
        <c:crossAx val="213294488"/>
        <c:crosses val="autoZero"/>
        <c:auto val="1"/>
        <c:lblAlgn val="ctr"/>
        <c:lblOffset val="100"/>
        <c:noMultiLvlLbl val="0"/>
      </c:catAx>
      <c:valAx>
        <c:axId val="21329448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13294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158" footer="0.31496062000000158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Composição das Despesas - Ano</a:t>
            </a:r>
          </a:p>
        </c:rich>
      </c:tx>
      <c:overlay val="0"/>
    </c:title>
    <c:autoTitleDeleted val="0"/>
    <c:view3D>
      <c:rotX val="3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spPr>
            <a:ln>
              <a:solidFill>
                <a:schemeClr val="bg1">
                  <a:lumMod val="65000"/>
                </a:schemeClr>
              </a:solidFill>
            </a:ln>
          </c:spPr>
          <c:dLbls>
            <c:spPr>
              <a:effectLst>
                <a:outerShdw blurRad="50800" dist="50800" dir="5400000" algn="ctr" rotWithShape="0">
                  <a:schemeClr val="bg1"/>
                </a:outerShdw>
                <a:softEdge rad="1270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txPr>
              <a:bodyPr/>
              <a:lstStyle/>
              <a:p>
                <a:pPr>
                  <a:defRPr sz="1400" baseline="0">
                    <a:ln w="3175">
                      <a:solidFill>
                        <a:schemeClr val="bg1"/>
                      </a:solidFill>
                    </a:ln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Resumo!$B$9:$B$12</c:f>
              <c:strCache>
                <c:ptCount val="4"/>
                <c:pt idx="0">
                  <c:v>Despesas - Moradia</c:v>
                </c:pt>
                <c:pt idx="1">
                  <c:v>Despesas - Transporte</c:v>
                </c:pt>
                <c:pt idx="2">
                  <c:v>Despesas  com Serviços</c:v>
                </c:pt>
                <c:pt idx="3">
                  <c:v>Despesas Pessoais</c:v>
                </c:pt>
              </c:strCache>
            </c:strRef>
          </c:cat>
          <c:val>
            <c:numRef>
              <c:f>Resumo!$O$9:$O$12</c:f>
              <c:numCache>
                <c:formatCode>_(* #,##0_);_(* \(#,##0\);_(* "-"??_);_(@_)</c:formatCode>
                <c:ptCount val="4"/>
                <c:pt idx="0">
                  <c:v>1680</c:v>
                </c:pt>
                <c:pt idx="1">
                  <c:v>1065</c:v>
                </c:pt>
                <c:pt idx="2">
                  <c:v>780</c:v>
                </c:pt>
                <c:pt idx="3">
                  <c:v>1045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5D-4D25-B992-ACD61B697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</c:legend>
    <c:plotVisOnly val="1"/>
    <c:dispBlanksAs val="zero"/>
    <c:showDLblsOverMax val="0"/>
  </c:chart>
  <c:spPr>
    <a:solidFill>
      <a:sysClr val="window" lastClr="FFFFFF"/>
    </a:solidFill>
    <a:ln w="25400" cap="flat" cmpd="sng" algn="ctr">
      <a:solidFill>
        <a:schemeClr val="accent1"/>
      </a:solidFill>
      <a:prstDash val="solid"/>
    </a:ln>
    <a:effectLst/>
    <a:scene3d>
      <a:camera prst="orthographicFront"/>
      <a:lightRig rig="threePt" dir="t"/>
    </a:scene3d>
    <a:sp3d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158" footer="0.31496062000000158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jpg"/><Relationship Id="rId1" Type="http://schemas.openxmlformats.org/officeDocument/2006/relationships/hyperlink" Target="http://excelsolucao.com.br" TargetMode="External"/><Relationship Id="rId5" Type="http://schemas.openxmlformats.org/officeDocument/2006/relationships/image" Target="../media/image3.jpg"/><Relationship Id="rId4" Type="http://schemas.openxmlformats.org/officeDocument/2006/relationships/hyperlink" Target="http://excelsolucao.com.br/loja-planilhas/planilha-gastos-pessoais-orcamento-familiar-domestico/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hyperlink" Target="http://excelsolucao.com.br" TargetMode="External"/><Relationship Id="rId1" Type="http://schemas.openxmlformats.org/officeDocument/2006/relationships/image" Target="../media/image4.jpeg"/><Relationship Id="rId5" Type="http://schemas.openxmlformats.org/officeDocument/2006/relationships/image" Target="../media/image5.jpg"/><Relationship Id="rId4" Type="http://schemas.openxmlformats.org/officeDocument/2006/relationships/hyperlink" Target="http://excelsolucao.com.br/loja-planilhas/planilha-gastos-pessoais-orcamento-familiar-domestico/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hyperlink" Target="http://excelsolucao.com.br" TargetMode="External"/><Relationship Id="rId1" Type="http://schemas.openxmlformats.org/officeDocument/2006/relationships/image" Target="../media/image4.jpeg"/><Relationship Id="rId5" Type="http://schemas.openxmlformats.org/officeDocument/2006/relationships/image" Target="../media/image5.jpg"/><Relationship Id="rId4" Type="http://schemas.openxmlformats.org/officeDocument/2006/relationships/hyperlink" Target="http://excelsolucao.com.br/loja-planilhas/planilha-gastos-pessoais-orcamento-familiar-domestico/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5.jpg"/><Relationship Id="rId5" Type="http://schemas.openxmlformats.org/officeDocument/2006/relationships/hyperlink" Target="http://excelsolucao.com.br/loja-planilhas/planilha-gastos-pessoais-orcamento-familiar-domestico/" TargetMode="External"/><Relationship Id="rId4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hyperlink" Target="http://excelsolucao.com.br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457200</xdr:colOff>
      <xdr:row>2</xdr:row>
      <xdr:rowOff>123824</xdr:rowOff>
    </xdr:from>
    <xdr:to>
      <xdr:col>10</xdr:col>
      <xdr:colOff>285750</xdr:colOff>
      <xdr:row>7</xdr:row>
      <xdr:rowOff>38100</xdr:rowOff>
    </xdr:to>
    <xdr:pic>
      <xdr:nvPicPr>
        <xdr:cNvPr id="6" name="Imagem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6475" y="447674"/>
          <a:ext cx="2876550" cy="723901"/>
        </a:xfrm>
        <a:prstGeom prst="rect">
          <a:avLst/>
        </a:prstGeom>
      </xdr:spPr>
    </xdr:pic>
    <xdr:clientData/>
  </xdr:twoCellAnchor>
  <xdr:twoCellAnchor editAs="oneCell">
    <xdr:from>
      <xdr:col>3</xdr:col>
      <xdr:colOff>600075</xdr:colOff>
      <xdr:row>16</xdr:row>
      <xdr:rowOff>95250</xdr:rowOff>
    </xdr:from>
    <xdr:to>
      <xdr:col>12</xdr:col>
      <xdr:colOff>552450</xdr:colOff>
      <xdr:row>57</xdr:row>
      <xdr:rowOff>123825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3257550"/>
          <a:ext cx="5438775" cy="6667500"/>
        </a:xfrm>
        <a:prstGeom prst="rect">
          <a:avLst/>
        </a:prstGeom>
      </xdr:spPr>
    </xdr:pic>
    <xdr:clientData/>
  </xdr:twoCellAnchor>
  <xdr:twoCellAnchor editAs="oneCell">
    <xdr:from>
      <xdr:col>10</xdr:col>
      <xdr:colOff>390525</xdr:colOff>
      <xdr:row>57</xdr:row>
      <xdr:rowOff>57150</xdr:rowOff>
    </xdr:from>
    <xdr:to>
      <xdr:col>12</xdr:col>
      <xdr:colOff>495300</xdr:colOff>
      <xdr:row>59</xdr:row>
      <xdr:rowOff>114300</xdr:rowOff>
    </xdr:to>
    <xdr:pic>
      <xdr:nvPicPr>
        <xdr:cNvPr id="5" name="Imagem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5" y="9458325"/>
          <a:ext cx="1323975" cy="381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692304</xdr:colOff>
      <xdr:row>1</xdr:row>
      <xdr:rowOff>65049</xdr:rowOff>
    </xdr:from>
    <xdr:to>
      <xdr:col>2</xdr:col>
      <xdr:colOff>793860</xdr:colOff>
      <xdr:row>1</xdr:row>
      <xdr:rowOff>148683</xdr:rowOff>
    </xdr:to>
    <xdr:pic>
      <xdr:nvPicPr>
        <xdr:cNvPr id="4" name="Imagem 3" descr="Seta_icone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94463" y="65049"/>
          <a:ext cx="101556" cy="83634"/>
        </a:xfrm>
        <a:prstGeom prst="rect">
          <a:avLst/>
        </a:prstGeom>
      </xdr:spPr>
    </xdr:pic>
    <xdr:clientData/>
  </xdr:twoCellAnchor>
  <xdr:twoCellAnchor editAs="oneCell">
    <xdr:from>
      <xdr:col>2</xdr:col>
      <xdr:colOff>691386</xdr:colOff>
      <xdr:row>2</xdr:row>
      <xdr:rowOff>59459</xdr:rowOff>
    </xdr:from>
    <xdr:to>
      <xdr:col>2</xdr:col>
      <xdr:colOff>792942</xdr:colOff>
      <xdr:row>2</xdr:row>
      <xdr:rowOff>143093</xdr:rowOff>
    </xdr:to>
    <xdr:pic>
      <xdr:nvPicPr>
        <xdr:cNvPr id="5" name="Imagem 4" descr="Seta_icone.jp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93545" y="249959"/>
          <a:ext cx="101556" cy="83634"/>
        </a:xfrm>
        <a:prstGeom prst="rect">
          <a:avLst/>
        </a:prstGeom>
      </xdr:spPr>
    </xdr:pic>
    <xdr:clientData/>
  </xdr:twoCellAnchor>
  <xdr:twoCellAnchor editAs="oneCell">
    <xdr:from>
      <xdr:col>2</xdr:col>
      <xdr:colOff>690458</xdr:colOff>
      <xdr:row>3</xdr:row>
      <xdr:rowOff>58516</xdr:rowOff>
    </xdr:from>
    <xdr:to>
      <xdr:col>2</xdr:col>
      <xdr:colOff>792014</xdr:colOff>
      <xdr:row>3</xdr:row>
      <xdr:rowOff>142150</xdr:rowOff>
    </xdr:to>
    <xdr:pic>
      <xdr:nvPicPr>
        <xdr:cNvPr id="6" name="Imagem 5" descr="Seta_icone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92617" y="439516"/>
          <a:ext cx="101556" cy="83634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1</xdr:row>
      <xdr:rowOff>145679</xdr:rowOff>
    </xdr:from>
    <xdr:to>
      <xdr:col>2</xdr:col>
      <xdr:colOff>0</xdr:colOff>
      <xdr:row>5</xdr:row>
      <xdr:rowOff>1265</xdr:rowOff>
    </xdr:to>
    <xdr:pic>
      <xdr:nvPicPr>
        <xdr:cNvPr id="9" name="Imagem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224120"/>
          <a:ext cx="2454088" cy="617586"/>
        </a:xfrm>
        <a:prstGeom prst="rect">
          <a:avLst/>
        </a:prstGeom>
      </xdr:spPr>
    </xdr:pic>
    <xdr:clientData/>
  </xdr:twoCellAnchor>
  <xdr:twoCellAnchor editAs="oneCell">
    <xdr:from>
      <xdr:col>12</xdr:col>
      <xdr:colOff>78441</xdr:colOff>
      <xdr:row>0</xdr:row>
      <xdr:rowOff>0</xdr:rowOff>
    </xdr:from>
    <xdr:to>
      <xdr:col>14</xdr:col>
      <xdr:colOff>702049</xdr:colOff>
      <xdr:row>2</xdr:row>
      <xdr:rowOff>112059</xdr:rowOff>
    </xdr:to>
    <xdr:pic>
      <xdr:nvPicPr>
        <xdr:cNvPr id="2" name="Imagem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6206" y="0"/>
          <a:ext cx="1990725" cy="381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691601</xdr:colOff>
      <xdr:row>1</xdr:row>
      <xdr:rowOff>58404</xdr:rowOff>
    </xdr:from>
    <xdr:to>
      <xdr:col>2</xdr:col>
      <xdr:colOff>793157</xdr:colOff>
      <xdr:row>1</xdr:row>
      <xdr:rowOff>142038</xdr:rowOff>
    </xdr:to>
    <xdr:pic>
      <xdr:nvPicPr>
        <xdr:cNvPr id="6" name="Imagem 5" descr="Seta_icone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53325" y="183733"/>
          <a:ext cx="101556" cy="83634"/>
        </a:xfrm>
        <a:prstGeom prst="rect">
          <a:avLst/>
        </a:prstGeom>
      </xdr:spPr>
    </xdr:pic>
    <xdr:clientData/>
  </xdr:twoCellAnchor>
  <xdr:twoCellAnchor editAs="oneCell">
    <xdr:from>
      <xdr:col>2</xdr:col>
      <xdr:colOff>690683</xdr:colOff>
      <xdr:row>2</xdr:row>
      <xdr:rowOff>52814</xdr:rowOff>
    </xdr:from>
    <xdr:to>
      <xdr:col>2</xdr:col>
      <xdr:colOff>792239</xdr:colOff>
      <xdr:row>2</xdr:row>
      <xdr:rowOff>136448</xdr:rowOff>
    </xdr:to>
    <xdr:pic>
      <xdr:nvPicPr>
        <xdr:cNvPr id="7" name="Imagem 6" descr="Seta_icone.jp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52407" y="368643"/>
          <a:ext cx="101556" cy="83634"/>
        </a:xfrm>
        <a:prstGeom prst="rect">
          <a:avLst/>
        </a:prstGeom>
      </xdr:spPr>
    </xdr:pic>
    <xdr:clientData/>
  </xdr:twoCellAnchor>
  <xdr:twoCellAnchor editAs="oneCell">
    <xdr:from>
      <xdr:col>2</xdr:col>
      <xdr:colOff>689755</xdr:colOff>
      <xdr:row>3</xdr:row>
      <xdr:rowOff>51871</xdr:rowOff>
    </xdr:from>
    <xdr:to>
      <xdr:col>2</xdr:col>
      <xdr:colOff>791311</xdr:colOff>
      <xdr:row>3</xdr:row>
      <xdr:rowOff>135505</xdr:rowOff>
    </xdr:to>
    <xdr:pic>
      <xdr:nvPicPr>
        <xdr:cNvPr id="8" name="Imagem 7" descr="Seta_icone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51479" y="558200"/>
          <a:ext cx="101556" cy="83634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1</xdr:row>
      <xdr:rowOff>145679</xdr:rowOff>
    </xdr:from>
    <xdr:to>
      <xdr:col>2</xdr:col>
      <xdr:colOff>11206</xdr:colOff>
      <xdr:row>5</xdr:row>
      <xdr:rowOff>1265</xdr:rowOff>
    </xdr:to>
    <xdr:pic>
      <xdr:nvPicPr>
        <xdr:cNvPr id="11" name="Imagem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224120"/>
          <a:ext cx="2454088" cy="617586"/>
        </a:xfrm>
        <a:prstGeom prst="rect">
          <a:avLst/>
        </a:prstGeom>
      </xdr:spPr>
    </xdr:pic>
    <xdr:clientData/>
  </xdr:twoCellAnchor>
  <xdr:twoCellAnchor editAs="oneCell">
    <xdr:from>
      <xdr:col>12</xdr:col>
      <xdr:colOff>78442</xdr:colOff>
      <xdr:row>0</xdr:row>
      <xdr:rowOff>0</xdr:rowOff>
    </xdr:from>
    <xdr:to>
      <xdr:col>15</xdr:col>
      <xdr:colOff>7285</xdr:colOff>
      <xdr:row>2</xdr:row>
      <xdr:rowOff>112059</xdr:rowOff>
    </xdr:to>
    <xdr:pic>
      <xdr:nvPicPr>
        <xdr:cNvPr id="9" name="Imagem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1" y="0"/>
          <a:ext cx="1990725" cy="381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168727</xdr:colOff>
      <xdr:row>3</xdr:row>
      <xdr:rowOff>76198</xdr:rowOff>
    </xdr:from>
    <xdr:to>
      <xdr:col>12</xdr:col>
      <xdr:colOff>40822</xdr:colOff>
      <xdr:row>18</xdr:row>
      <xdr:rowOff>54429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163287</xdr:colOff>
      <xdr:row>19</xdr:row>
      <xdr:rowOff>25773</xdr:rowOff>
    </xdr:from>
    <xdr:to>
      <xdr:col>19</xdr:col>
      <xdr:colOff>564172</xdr:colOff>
      <xdr:row>38</xdr:row>
      <xdr:rowOff>81642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123513</xdr:colOff>
      <xdr:row>3</xdr:row>
      <xdr:rowOff>88232</xdr:rowOff>
    </xdr:from>
    <xdr:to>
      <xdr:col>19</xdr:col>
      <xdr:colOff>544347</xdr:colOff>
      <xdr:row>18</xdr:row>
      <xdr:rowOff>58615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17</xdr:col>
      <xdr:colOff>63499</xdr:colOff>
      <xdr:row>35</xdr:row>
      <xdr:rowOff>179293</xdr:rowOff>
    </xdr:from>
    <xdr:to>
      <xdr:col>19</xdr:col>
      <xdr:colOff>549089</xdr:colOff>
      <xdr:row>37</xdr:row>
      <xdr:rowOff>156882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0499" y="6465793"/>
          <a:ext cx="1695825" cy="358589"/>
        </a:xfrm>
        <a:prstGeom prst="rect">
          <a:avLst/>
        </a:prstGeom>
      </xdr:spPr>
    </xdr:pic>
    <xdr:clientData/>
  </xdr:twoCellAnchor>
  <xdr:twoCellAnchor editAs="oneCell">
    <xdr:from>
      <xdr:col>0</xdr:col>
      <xdr:colOff>179294</xdr:colOff>
      <xdr:row>0</xdr:row>
      <xdr:rowOff>0</xdr:rowOff>
    </xdr:from>
    <xdr:to>
      <xdr:col>3</xdr:col>
      <xdr:colOff>354666</xdr:colOff>
      <xdr:row>2</xdr:row>
      <xdr:rowOff>0</xdr:rowOff>
    </xdr:to>
    <xdr:pic>
      <xdr:nvPicPr>
        <xdr:cNvPr id="6" name="Imagem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294" y="0"/>
          <a:ext cx="1990725" cy="381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514350</xdr:colOff>
      <xdr:row>2</xdr:row>
      <xdr:rowOff>104775</xdr:rowOff>
    </xdr:from>
    <xdr:to>
      <xdr:col>10</xdr:col>
      <xdr:colOff>342900</xdr:colOff>
      <xdr:row>7</xdr:row>
      <xdr:rowOff>19051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5ED285-988E-46D1-B5B8-107647CC6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428625"/>
          <a:ext cx="2876550" cy="723901"/>
        </a:xfrm>
        <a:prstGeom prst="rect">
          <a:avLst/>
        </a:prstGeom>
      </xdr:spPr>
    </xdr:pic>
    <xdr:clientData/>
  </xdr:twoCellAnchor>
  <xdr:twoCellAnchor>
    <xdr:from>
      <xdr:col>2</xdr:col>
      <xdr:colOff>266700</xdr:colOff>
      <xdr:row>10</xdr:row>
      <xdr:rowOff>57151</xdr:rowOff>
    </xdr:from>
    <xdr:to>
      <xdr:col>14</xdr:col>
      <xdr:colOff>180975</xdr:colOff>
      <xdr:row>25</xdr:row>
      <xdr:rowOff>9525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A9056BF6-AC4A-4BE0-ACE7-662BF5DF25E6}"/>
            </a:ext>
          </a:extLst>
        </xdr:cNvPr>
        <xdr:cNvSpPr txBox="1"/>
      </xdr:nvSpPr>
      <xdr:spPr>
        <a:xfrm>
          <a:off x="571500" y="1876426"/>
          <a:ext cx="6915150" cy="34480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rtl="0"/>
          <a:r>
            <a:rPr lang="pt-BR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Faz parte de nossos valores oferecer acesso ao nosso conteúdo básico de planilhas grátis para micro e pequenas empresas. </a:t>
          </a:r>
          <a:endParaRPr lang="pt-BR" sz="1300" b="0">
            <a:effectLst/>
          </a:endParaRPr>
        </a:p>
        <a:p>
          <a:pPr rtl="0"/>
          <a:r>
            <a:rPr lang="pt-BR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Estamos contentes por termos feedbacks positivos e satisfatórios ao implementar versões grátis em milhares de organizações que já usaram este arquivo que oferecemos como cortesia para download. </a:t>
          </a:r>
          <a:br>
            <a:rPr lang="pt-BR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pt-BR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Empresas com demanda de médio e grande porte podem precisar editar ou aumentar as planilhas, por isso consideramos um potencial de contribuição econômica para melhorarmos os materiais grátis e ampliar as planilhas disponibilizadas a você.</a:t>
          </a:r>
          <a:br>
            <a:rPr lang="pt-BR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pt-BR" sz="13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br>
            <a:rPr lang="pt-BR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pt-BR" sz="1300" b="0">
            <a:effectLst/>
          </a:endParaRPr>
        </a:p>
        <a:p>
          <a:pPr rtl="0"/>
          <a:r>
            <a:rPr lang="pt-BR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Você tem 2 maneiras para obter um arquivo com mais recursos:</a:t>
          </a:r>
          <a:br>
            <a:rPr lang="pt-BR" sz="15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pt-BR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3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</a:t>
          </a:r>
          <a:r>
            <a:rPr lang="pt-BR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Contribuição simbólica de R$10 reais. </a:t>
          </a:r>
          <a:endParaRPr lang="pt-BR" sz="1300"/>
        </a:p>
      </xdr:txBody>
    </xdr:sp>
    <xdr:clientData/>
  </xdr:twoCellAnchor>
  <xdr:twoCellAnchor>
    <xdr:from>
      <xdr:col>2</xdr:col>
      <xdr:colOff>276225</xdr:colOff>
      <xdr:row>27</xdr:row>
      <xdr:rowOff>0</xdr:rowOff>
    </xdr:from>
    <xdr:to>
      <xdr:col>14</xdr:col>
      <xdr:colOff>190500</xdr:colOff>
      <xdr:row>30</xdr:row>
      <xdr:rowOff>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A73698DF-D34B-4AFA-9687-DA804E80431C}"/>
            </a:ext>
          </a:extLst>
        </xdr:cNvPr>
        <xdr:cNvSpPr txBox="1"/>
      </xdr:nvSpPr>
      <xdr:spPr>
        <a:xfrm>
          <a:off x="581025" y="5753100"/>
          <a:ext cx="6915150" cy="4857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rtl="0"/>
          <a:r>
            <a:rPr lang="pt-BR" sz="13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</a:t>
          </a:r>
          <a:r>
            <a:rPr lang="pt-BR" sz="13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Adquirir uma versão completa.</a:t>
          </a:r>
          <a:endParaRPr lang="pt-BR" sz="13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xcelsolucao.com.br/loja-planilhas/orcamento-familiar-desbloquear-planilha-edicao" TargetMode="External"/><Relationship Id="rId1" Type="http://schemas.openxmlformats.org/officeDocument/2006/relationships/hyperlink" Target="https://excelsolucao.com.br/loja-planilhas/planilha-gastos-pessoais-orcamento-familiar-domestico" TargetMode="Externa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"/>
  <sheetViews>
    <sheetView showGridLines="0" showRowColHeaders="0" tabSelected="1" zoomScaleNormal="100" workbookViewId="0"/>
  </sheetViews>
  <sheetFormatPr defaultColWidth="0" defaultRowHeight="12.75" customHeight="1" zeroHeight="1" x14ac:dyDescent="0.2"/>
  <cols>
    <col min="1" max="1" width="2.42578125" style="45" customWidth="1"/>
    <col min="2" max="2" width="0.5703125" style="45" customWidth="1"/>
    <col min="3" max="3" width="4.42578125" style="45" customWidth="1"/>
    <col min="4" max="14" width="9.140625" style="45" customWidth="1"/>
    <col min="15" max="15" width="9.5703125" style="45" customWidth="1"/>
    <col min="16" max="16" width="0.5703125" style="45" customWidth="1"/>
    <col min="17" max="17" width="2.5703125" style="45" customWidth="1"/>
    <col min="18" max="18" width="0" style="45" hidden="1" customWidth="1"/>
    <col min="19" max="16384" width="9.140625" style="45" hidden="1"/>
  </cols>
  <sheetData>
    <row r="1" spans="2:16" ht="12.75" customHeight="1" x14ac:dyDescent="0.2"/>
    <row r="2" spans="2:16" ht="3.6" customHeight="1" x14ac:dyDescent="0.2"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2:16" x14ac:dyDescent="0.2">
      <c r="B3" s="46"/>
      <c r="P3" s="46"/>
    </row>
    <row r="4" spans="2:16" x14ac:dyDescent="0.2">
      <c r="B4" s="46"/>
      <c r="P4" s="46"/>
    </row>
    <row r="5" spans="2:16" x14ac:dyDescent="0.2">
      <c r="B5" s="46"/>
      <c r="P5" s="46"/>
    </row>
    <row r="6" spans="2:16" x14ac:dyDescent="0.2">
      <c r="B6" s="46"/>
      <c r="P6" s="46"/>
    </row>
    <row r="7" spans="2:16" x14ac:dyDescent="0.2">
      <c r="B7" s="46"/>
      <c r="P7" s="46"/>
    </row>
    <row r="8" spans="2:16" x14ac:dyDescent="0.2">
      <c r="B8" s="46"/>
      <c r="P8" s="46"/>
    </row>
    <row r="9" spans="2:16" ht="26.25" x14ac:dyDescent="0.4">
      <c r="B9" s="46"/>
      <c r="D9" s="48" t="s">
        <v>65</v>
      </c>
      <c r="P9" s="46"/>
    </row>
    <row r="10" spans="2:16" x14ac:dyDescent="0.2">
      <c r="B10" s="46"/>
      <c r="P10" s="46"/>
    </row>
    <row r="11" spans="2:16" ht="18.75" x14ac:dyDescent="0.3">
      <c r="B11" s="46"/>
      <c r="D11" s="47" t="s">
        <v>62</v>
      </c>
      <c r="P11" s="46"/>
    </row>
    <row r="12" spans="2:16" x14ac:dyDescent="0.2">
      <c r="B12" s="46"/>
      <c r="P12" s="46"/>
    </row>
    <row r="13" spans="2:16" ht="3.6" customHeight="1" x14ac:dyDescent="0.2"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</row>
    <row r="14" spans="2:16" ht="12.75" customHeight="1" x14ac:dyDescent="0.2"/>
    <row r="15" spans="2:16" ht="12.75" customHeight="1" x14ac:dyDescent="0.2"/>
    <row r="16" spans="2:16" ht="26.25" x14ac:dyDescent="0.4">
      <c r="B16"/>
      <c r="C16"/>
      <c r="D16"/>
      <c r="E16" s="48" t="s">
        <v>67</v>
      </c>
      <c r="F16"/>
      <c r="G16"/>
      <c r="H16"/>
      <c r="I16"/>
      <c r="J16"/>
      <c r="K16"/>
      <c r="L16"/>
      <c r="M16"/>
      <c r="N16"/>
      <c r="O16"/>
      <c r="P16"/>
    </row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</sheetData>
  <sheetProtection algorithmName="SHA-512" hashValue="VCsmLeHVisPyr/rmmmi7A/6hZGJ5Hl6o2yyETatM9244jYU0e5T/qCGSCQB4IX9KkcRbzHWg68AjDXMqlXuUZQ==" saltValue="HmtStSDmWEBg3yst9R47rA==" spinCount="100000" sheet="1" objects="1" scenarios="1" formatCells="0" formatColumns="0" formatRows="0" insertColumns="0" insertRows="0" insertHyperlinks="0" deleteColumns="0" deleteRows="0" sort="0" autoFilter="0" pivotTables="0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1"/>
  <dimension ref="A1:P88"/>
  <sheetViews>
    <sheetView showGridLines="0" showRowColHeaders="0" zoomScale="85" zoomScaleNormal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D10" sqref="D10"/>
    </sheetView>
  </sheetViews>
  <sheetFormatPr defaultColWidth="0" defaultRowHeight="15" zeroHeight="1" x14ac:dyDescent="0.25"/>
  <cols>
    <col min="1" max="1" width="1.7109375" style="1" customWidth="1"/>
    <col min="2" max="2" width="36" style="1" customWidth="1"/>
    <col min="3" max="3" width="12" style="1" bestFit="1" customWidth="1"/>
    <col min="4" max="14" width="10.28515625" style="1" bestFit="1" customWidth="1"/>
    <col min="15" max="15" width="10.5703125" style="1" bestFit="1" customWidth="1"/>
    <col min="16" max="16" width="1.42578125" style="1" customWidth="1"/>
    <col min="17" max="16384" width="9.140625" style="1" hidden="1"/>
  </cols>
  <sheetData>
    <row r="1" spans="2:15" ht="6" customHeight="1" x14ac:dyDescent="0.25"/>
    <row r="2" spans="2:15" x14ac:dyDescent="0.25">
      <c r="B2" s="5"/>
      <c r="C2" s="5"/>
      <c r="D2" s="6" t="s">
        <v>63</v>
      </c>
      <c r="E2" s="5"/>
      <c r="F2" s="5"/>
      <c r="G2" s="5"/>
      <c r="H2" s="5"/>
      <c r="I2" s="5"/>
      <c r="J2" s="5"/>
      <c r="K2" s="5"/>
      <c r="L2" s="5"/>
      <c r="M2" s="5"/>
      <c r="N2" s="5"/>
    </row>
    <row r="3" spans="2:15" x14ac:dyDescent="0.25">
      <c r="B3" s="5"/>
      <c r="C3" s="5"/>
      <c r="D3" s="6" t="s">
        <v>61</v>
      </c>
      <c r="E3" s="5"/>
      <c r="F3" s="5"/>
      <c r="G3" s="5"/>
      <c r="H3" s="5"/>
      <c r="I3" s="5"/>
      <c r="J3" s="5"/>
      <c r="K3" s="5"/>
      <c r="L3" s="5"/>
      <c r="M3" s="5"/>
      <c r="N3" s="5"/>
    </row>
    <row r="4" spans="2:15" x14ac:dyDescent="0.25">
      <c r="B4" s="5"/>
      <c r="C4" s="5"/>
      <c r="D4" s="6" t="s">
        <v>64</v>
      </c>
      <c r="E4" s="5"/>
      <c r="F4" s="5"/>
      <c r="G4" s="5"/>
      <c r="H4" s="5"/>
      <c r="I4" s="5"/>
      <c r="J4" s="5"/>
      <c r="K4" s="5"/>
      <c r="L4" s="5"/>
      <c r="M4" s="5"/>
      <c r="N4" s="5"/>
    </row>
    <row r="5" spans="2:15" x14ac:dyDescent="0.25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2:15" x14ac:dyDescent="0.25">
      <c r="B6" s="5"/>
      <c r="C6" s="30" t="s">
        <v>0</v>
      </c>
      <c r="D6" s="31" t="s">
        <v>1</v>
      </c>
      <c r="E6" s="31" t="s">
        <v>2</v>
      </c>
      <c r="F6" s="31" t="s">
        <v>3</v>
      </c>
      <c r="G6" s="31" t="s">
        <v>4</v>
      </c>
      <c r="H6" s="31" t="s">
        <v>5</v>
      </c>
      <c r="I6" s="31" t="s">
        <v>6</v>
      </c>
      <c r="J6" s="31" t="s">
        <v>7</v>
      </c>
      <c r="K6" s="31" t="s">
        <v>8</v>
      </c>
      <c r="L6" s="31" t="s">
        <v>9</v>
      </c>
      <c r="M6" s="31" t="s">
        <v>10</v>
      </c>
      <c r="N6" s="31" t="s">
        <v>11</v>
      </c>
      <c r="O6" s="12" t="s">
        <v>57</v>
      </c>
    </row>
    <row r="7" spans="2:15" ht="4.5" customHeight="1" x14ac:dyDescent="0.25">
      <c r="B7" s="5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0"/>
    </row>
    <row r="8" spans="2:15" ht="1.5" customHeight="1" x14ac:dyDescent="0.25">
      <c r="B8" s="5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0"/>
    </row>
    <row r="9" spans="2:15" x14ac:dyDescent="0.25">
      <c r="B9" s="50" t="s">
        <v>12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17"/>
    </row>
    <row r="10" spans="2:15" x14ac:dyDescent="0.25">
      <c r="B10" s="18" t="s">
        <v>13</v>
      </c>
      <c r="C10" s="19">
        <v>4000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20">
        <f>SUM(C10:N10)</f>
        <v>4000</v>
      </c>
    </row>
    <row r="11" spans="2:15" x14ac:dyDescent="0.25">
      <c r="B11" s="18" t="s">
        <v>24</v>
      </c>
      <c r="C11" s="19">
        <v>1000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>
        <f>SUM(C11:N11)</f>
        <v>1000</v>
      </c>
    </row>
    <row r="12" spans="2:15" x14ac:dyDescent="0.25">
      <c r="B12" s="21" t="s">
        <v>48</v>
      </c>
      <c r="C12" s="22">
        <f>SUM(C10:C11)</f>
        <v>5000</v>
      </c>
      <c r="D12" s="22">
        <f t="shared" ref="D12:N12" si="0">SUM(D10:D11)</f>
        <v>0</v>
      </c>
      <c r="E12" s="22">
        <f t="shared" si="0"/>
        <v>0</v>
      </c>
      <c r="F12" s="22">
        <f t="shared" si="0"/>
        <v>0</v>
      </c>
      <c r="G12" s="22">
        <f t="shared" si="0"/>
        <v>0</v>
      </c>
      <c r="H12" s="22">
        <f t="shared" si="0"/>
        <v>0</v>
      </c>
      <c r="I12" s="22">
        <f t="shared" si="0"/>
        <v>0</v>
      </c>
      <c r="J12" s="22">
        <f t="shared" si="0"/>
        <v>0</v>
      </c>
      <c r="K12" s="22">
        <f t="shared" si="0"/>
        <v>0</v>
      </c>
      <c r="L12" s="22">
        <f t="shared" si="0"/>
        <v>0</v>
      </c>
      <c r="M12" s="22">
        <f t="shared" si="0"/>
        <v>0</v>
      </c>
      <c r="N12" s="22">
        <f t="shared" si="0"/>
        <v>0</v>
      </c>
      <c r="O12" s="23">
        <f>SUM(C12:N12)</f>
        <v>5000</v>
      </c>
    </row>
    <row r="13" spans="2:15" x14ac:dyDescent="0.25">
      <c r="O13" s="7"/>
    </row>
    <row r="14" spans="2:15" x14ac:dyDescent="0.25">
      <c r="O14" s="7"/>
    </row>
    <row r="15" spans="2:15" x14ac:dyDescent="0.25">
      <c r="B15" s="51" t="s">
        <v>26</v>
      </c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8"/>
    </row>
    <row r="16" spans="2:15" x14ac:dyDescent="0.25">
      <c r="B16" s="18" t="s">
        <v>14</v>
      </c>
      <c r="C16" s="19">
        <v>1200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>
        <f>SUM(C16:N16)</f>
        <v>1200</v>
      </c>
    </row>
    <row r="17" spans="2:16" x14ac:dyDescent="0.25">
      <c r="B17" s="18" t="s">
        <v>15</v>
      </c>
      <c r="C17" s="19" t="s">
        <v>66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>
        <f>SUM(C17:N17)</f>
        <v>0</v>
      </c>
      <c r="P17" s="1">
        <v>0</v>
      </c>
    </row>
    <row r="18" spans="2:16" x14ac:dyDescent="0.25">
      <c r="B18" s="18" t="s">
        <v>16</v>
      </c>
      <c r="C18" s="19">
        <v>60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>
        <f t="shared" ref="O18:O27" si="1">SUM(C18:N18)</f>
        <v>60</v>
      </c>
    </row>
    <row r="19" spans="2:16" x14ac:dyDescent="0.25">
      <c r="B19" s="18" t="s">
        <v>17</v>
      </c>
      <c r="C19" s="19">
        <v>70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>
        <f t="shared" si="1"/>
        <v>70</v>
      </c>
    </row>
    <row r="20" spans="2:16" x14ac:dyDescent="0.25">
      <c r="B20" s="18" t="s">
        <v>18</v>
      </c>
      <c r="C20" s="19">
        <v>20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20">
        <f t="shared" si="1"/>
        <v>20</v>
      </c>
    </row>
    <row r="21" spans="2:16" x14ac:dyDescent="0.25">
      <c r="B21" s="18" t="s">
        <v>19</v>
      </c>
      <c r="C21" s="19">
        <v>90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>
        <f t="shared" si="1"/>
        <v>90</v>
      </c>
    </row>
    <row r="22" spans="2:16" x14ac:dyDescent="0.25">
      <c r="B22" s="18" t="s">
        <v>20</v>
      </c>
      <c r="C22" s="19">
        <v>120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20">
        <f t="shared" si="1"/>
        <v>120</v>
      </c>
    </row>
    <row r="23" spans="2:16" x14ac:dyDescent="0.25">
      <c r="B23" s="18" t="s">
        <v>21</v>
      </c>
      <c r="C23" s="19">
        <v>40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20">
        <f t="shared" si="1"/>
        <v>40</v>
      </c>
    </row>
    <row r="24" spans="2:16" s="9" customFormat="1" x14ac:dyDescent="0.25">
      <c r="B24" s="18" t="s">
        <v>22</v>
      </c>
      <c r="C24" s="19">
        <v>30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20">
        <f t="shared" si="1"/>
        <v>30</v>
      </c>
    </row>
    <row r="25" spans="2:16" s="9" customFormat="1" x14ac:dyDescent="0.25">
      <c r="B25" s="18" t="s">
        <v>23</v>
      </c>
      <c r="C25" s="19">
        <v>40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20">
        <f t="shared" si="1"/>
        <v>40</v>
      </c>
    </row>
    <row r="26" spans="2:16" s="9" customFormat="1" x14ac:dyDescent="0.25">
      <c r="B26" s="18" t="s">
        <v>25</v>
      </c>
      <c r="C26" s="19">
        <v>10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20">
        <f t="shared" si="1"/>
        <v>10</v>
      </c>
    </row>
    <row r="27" spans="2:16" s="9" customFormat="1" x14ac:dyDescent="0.25">
      <c r="B27" s="21" t="s">
        <v>48</v>
      </c>
      <c r="C27" s="22">
        <f>SUM(C16:C26)</f>
        <v>1680</v>
      </c>
      <c r="D27" s="22">
        <f t="shared" ref="D27:N27" si="2">SUM(D16:D26)</f>
        <v>0</v>
      </c>
      <c r="E27" s="22">
        <f t="shared" si="2"/>
        <v>0</v>
      </c>
      <c r="F27" s="22">
        <f t="shared" si="2"/>
        <v>0</v>
      </c>
      <c r="G27" s="22">
        <f t="shared" si="2"/>
        <v>0</v>
      </c>
      <c r="H27" s="22">
        <f t="shared" si="2"/>
        <v>0</v>
      </c>
      <c r="I27" s="22">
        <f t="shared" si="2"/>
        <v>0</v>
      </c>
      <c r="J27" s="22">
        <f t="shared" si="2"/>
        <v>0</v>
      </c>
      <c r="K27" s="22">
        <f t="shared" si="2"/>
        <v>0</v>
      </c>
      <c r="L27" s="22">
        <f t="shared" si="2"/>
        <v>0</v>
      </c>
      <c r="M27" s="22">
        <f t="shared" si="2"/>
        <v>0</v>
      </c>
      <c r="N27" s="22">
        <f t="shared" si="2"/>
        <v>0</v>
      </c>
      <c r="O27" s="23">
        <f t="shared" si="1"/>
        <v>1680</v>
      </c>
    </row>
    <row r="28" spans="2:16" s="9" customFormat="1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7"/>
    </row>
    <row r="29" spans="2:16" s="9" customFormat="1" x14ac:dyDescent="0.25">
      <c r="B29" s="51" t="s">
        <v>32</v>
      </c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8"/>
    </row>
    <row r="30" spans="2:16" s="9" customFormat="1" x14ac:dyDescent="0.25">
      <c r="B30" s="24" t="s">
        <v>33</v>
      </c>
      <c r="C30" s="19">
        <v>50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0">
        <f t="shared" ref="O30:O37" si="3">SUM(C30:N30)</f>
        <v>50</v>
      </c>
    </row>
    <row r="31" spans="2:16" s="9" customFormat="1" x14ac:dyDescent="0.25">
      <c r="B31" s="24" t="s">
        <v>27</v>
      </c>
      <c r="C31" s="19">
        <v>500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20">
        <f t="shared" si="3"/>
        <v>500</v>
      </c>
    </row>
    <row r="32" spans="2:16" s="9" customFormat="1" x14ac:dyDescent="0.25">
      <c r="B32" s="24" t="s">
        <v>28</v>
      </c>
      <c r="C32" s="19">
        <v>100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20">
        <f t="shared" si="3"/>
        <v>100</v>
      </c>
    </row>
    <row r="33" spans="2:15" s="9" customFormat="1" x14ac:dyDescent="0.25">
      <c r="B33" s="24" t="s">
        <v>29</v>
      </c>
      <c r="C33" s="19">
        <v>250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20">
        <f t="shared" si="3"/>
        <v>250</v>
      </c>
    </row>
    <row r="34" spans="2:15" s="9" customFormat="1" x14ac:dyDescent="0.25">
      <c r="B34" s="24" t="s">
        <v>30</v>
      </c>
      <c r="C34" s="19">
        <v>100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20">
        <f t="shared" si="3"/>
        <v>100</v>
      </c>
    </row>
    <row r="35" spans="2:15" s="9" customFormat="1" x14ac:dyDescent="0.25">
      <c r="B35" s="24" t="s">
        <v>31</v>
      </c>
      <c r="C35" s="19">
        <v>50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20">
        <f t="shared" si="3"/>
        <v>50</v>
      </c>
    </row>
    <row r="36" spans="2:15" s="9" customFormat="1" x14ac:dyDescent="0.25">
      <c r="B36" s="24" t="s">
        <v>34</v>
      </c>
      <c r="C36" s="19">
        <v>15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20">
        <f t="shared" si="3"/>
        <v>15</v>
      </c>
    </row>
    <row r="37" spans="2:15" s="9" customFormat="1" x14ac:dyDescent="0.25">
      <c r="B37" s="21" t="s">
        <v>48</v>
      </c>
      <c r="C37" s="22">
        <f>SUM(C30:C36)</f>
        <v>1065</v>
      </c>
      <c r="D37" s="22">
        <f t="shared" ref="D37:N37" si="4">SUM(D30:D36)</f>
        <v>0</v>
      </c>
      <c r="E37" s="22">
        <f t="shared" si="4"/>
        <v>0</v>
      </c>
      <c r="F37" s="22">
        <f t="shared" si="4"/>
        <v>0</v>
      </c>
      <c r="G37" s="22">
        <f t="shared" si="4"/>
        <v>0</v>
      </c>
      <c r="H37" s="22">
        <f t="shared" si="4"/>
        <v>0</v>
      </c>
      <c r="I37" s="22">
        <f t="shared" si="4"/>
        <v>0</v>
      </c>
      <c r="J37" s="22">
        <f t="shared" si="4"/>
        <v>0</v>
      </c>
      <c r="K37" s="22">
        <f t="shared" si="4"/>
        <v>0</v>
      </c>
      <c r="L37" s="22">
        <f t="shared" si="4"/>
        <v>0</v>
      </c>
      <c r="M37" s="22">
        <f t="shared" si="4"/>
        <v>0</v>
      </c>
      <c r="N37" s="22">
        <f t="shared" si="4"/>
        <v>0</v>
      </c>
      <c r="O37" s="23">
        <f t="shared" si="3"/>
        <v>1065</v>
      </c>
    </row>
    <row r="38" spans="2:15" s="9" customFormat="1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7"/>
    </row>
    <row r="39" spans="2:15" s="9" customFormat="1" x14ac:dyDescent="0.25">
      <c r="B39" s="51" t="s">
        <v>46</v>
      </c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8"/>
    </row>
    <row r="40" spans="2:15" s="9" customFormat="1" x14ac:dyDescent="0.25">
      <c r="B40" s="24" t="s">
        <v>35</v>
      </c>
      <c r="C40" s="19">
        <v>450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20">
        <f t="shared" ref="O40:O46" si="5">SUM(C40:N40)</f>
        <v>450</v>
      </c>
    </row>
    <row r="41" spans="2:15" s="9" customFormat="1" x14ac:dyDescent="0.25">
      <c r="B41" s="24" t="s">
        <v>36</v>
      </c>
      <c r="C41" s="19" t="s">
        <v>66</v>
      </c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20">
        <f t="shared" si="5"/>
        <v>0</v>
      </c>
    </row>
    <row r="42" spans="2:15" s="9" customFormat="1" x14ac:dyDescent="0.25">
      <c r="B42" s="24" t="s">
        <v>37</v>
      </c>
      <c r="C42" s="19">
        <v>100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20">
        <f t="shared" si="5"/>
        <v>100</v>
      </c>
    </row>
    <row r="43" spans="2:15" s="9" customFormat="1" x14ac:dyDescent="0.25">
      <c r="B43" s="24" t="s">
        <v>38</v>
      </c>
      <c r="C43" s="19">
        <v>140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20">
        <f t="shared" si="5"/>
        <v>140</v>
      </c>
    </row>
    <row r="44" spans="2:15" s="9" customFormat="1" x14ac:dyDescent="0.25">
      <c r="B44" s="24" t="s">
        <v>49</v>
      </c>
      <c r="C44" s="19">
        <v>60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20">
        <f t="shared" si="5"/>
        <v>60</v>
      </c>
    </row>
    <row r="45" spans="2:15" s="9" customFormat="1" x14ac:dyDescent="0.25">
      <c r="B45" s="24" t="s">
        <v>47</v>
      </c>
      <c r="C45" s="19">
        <v>30</v>
      </c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20">
        <f t="shared" si="5"/>
        <v>30</v>
      </c>
    </row>
    <row r="46" spans="2:15" s="9" customFormat="1" x14ac:dyDescent="0.25">
      <c r="B46" s="21" t="s">
        <v>48</v>
      </c>
      <c r="C46" s="22">
        <f>SUM(C40:C45)</f>
        <v>780</v>
      </c>
      <c r="D46" s="22">
        <f t="shared" ref="D46:N46" si="6">SUM(D40:D45)</f>
        <v>0</v>
      </c>
      <c r="E46" s="22">
        <f t="shared" si="6"/>
        <v>0</v>
      </c>
      <c r="F46" s="22">
        <f t="shared" si="6"/>
        <v>0</v>
      </c>
      <c r="G46" s="22">
        <f t="shared" si="6"/>
        <v>0</v>
      </c>
      <c r="H46" s="22">
        <f t="shared" si="6"/>
        <v>0</v>
      </c>
      <c r="I46" s="22">
        <f t="shared" si="6"/>
        <v>0</v>
      </c>
      <c r="J46" s="22">
        <f t="shared" si="6"/>
        <v>0</v>
      </c>
      <c r="K46" s="22">
        <f t="shared" si="6"/>
        <v>0</v>
      </c>
      <c r="L46" s="22">
        <f t="shared" si="6"/>
        <v>0</v>
      </c>
      <c r="M46" s="22">
        <f t="shared" si="6"/>
        <v>0</v>
      </c>
      <c r="N46" s="22">
        <f t="shared" si="6"/>
        <v>0</v>
      </c>
      <c r="O46" s="23">
        <f t="shared" si="5"/>
        <v>780</v>
      </c>
    </row>
    <row r="47" spans="2:15" s="9" customFormat="1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7"/>
    </row>
    <row r="48" spans="2:15" s="9" customFormat="1" x14ac:dyDescent="0.25">
      <c r="B48" s="51" t="s">
        <v>45</v>
      </c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8"/>
    </row>
    <row r="49" spans="2:15" s="9" customFormat="1" x14ac:dyDescent="0.25">
      <c r="B49" s="24" t="s">
        <v>39</v>
      </c>
      <c r="C49" s="19">
        <v>70</v>
      </c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20">
        <f t="shared" ref="O49:O56" si="7">SUM(C49:N49)</f>
        <v>70</v>
      </c>
    </row>
    <row r="50" spans="2:15" s="9" customFormat="1" x14ac:dyDescent="0.25">
      <c r="B50" s="24" t="s">
        <v>40</v>
      </c>
      <c r="C50" s="19">
        <v>450</v>
      </c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20">
        <f t="shared" si="7"/>
        <v>450</v>
      </c>
    </row>
    <row r="51" spans="2:15" s="9" customFormat="1" x14ac:dyDescent="0.25">
      <c r="B51" s="24" t="s">
        <v>41</v>
      </c>
      <c r="C51" s="19">
        <v>200</v>
      </c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20">
        <f t="shared" si="7"/>
        <v>200</v>
      </c>
    </row>
    <row r="52" spans="2:15" s="9" customFormat="1" x14ac:dyDescent="0.25">
      <c r="B52" s="24" t="s">
        <v>42</v>
      </c>
      <c r="C52" s="19">
        <v>25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20">
        <f t="shared" si="7"/>
        <v>25</v>
      </c>
    </row>
    <row r="53" spans="2:15" s="9" customFormat="1" x14ac:dyDescent="0.25">
      <c r="B53" s="24" t="s">
        <v>43</v>
      </c>
      <c r="C53" s="19">
        <v>150</v>
      </c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20">
        <f t="shared" si="7"/>
        <v>150</v>
      </c>
    </row>
    <row r="54" spans="2:15" s="9" customFormat="1" x14ac:dyDescent="0.25">
      <c r="B54" s="24" t="s">
        <v>50</v>
      </c>
      <c r="C54" s="19">
        <v>100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20">
        <f t="shared" si="7"/>
        <v>100</v>
      </c>
    </row>
    <row r="55" spans="2:15" s="9" customFormat="1" x14ac:dyDescent="0.25">
      <c r="B55" s="24" t="s">
        <v>44</v>
      </c>
      <c r="C55" s="19">
        <v>50</v>
      </c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20">
        <f t="shared" si="7"/>
        <v>50</v>
      </c>
    </row>
    <row r="56" spans="2:15" s="9" customFormat="1" x14ac:dyDescent="0.25">
      <c r="B56" s="21" t="s">
        <v>48</v>
      </c>
      <c r="C56" s="22">
        <f>SUM(C49:C55)</f>
        <v>1045</v>
      </c>
      <c r="D56" s="22">
        <f t="shared" ref="D56:N56" si="8">SUM(D49:D55)</f>
        <v>0</v>
      </c>
      <c r="E56" s="22">
        <f t="shared" si="8"/>
        <v>0</v>
      </c>
      <c r="F56" s="22">
        <f t="shared" si="8"/>
        <v>0</v>
      </c>
      <c r="G56" s="22">
        <f t="shared" si="8"/>
        <v>0</v>
      </c>
      <c r="H56" s="22">
        <f t="shared" si="8"/>
        <v>0</v>
      </c>
      <c r="I56" s="22">
        <f t="shared" si="8"/>
        <v>0</v>
      </c>
      <c r="J56" s="22">
        <f t="shared" si="8"/>
        <v>0</v>
      </c>
      <c r="K56" s="22">
        <f t="shared" si="8"/>
        <v>0</v>
      </c>
      <c r="L56" s="22">
        <f t="shared" si="8"/>
        <v>0</v>
      </c>
      <c r="M56" s="22">
        <f t="shared" si="8"/>
        <v>0</v>
      </c>
      <c r="N56" s="22">
        <f t="shared" si="8"/>
        <v>0</v>
      </c>
      <c r="O56" s="23">
        <f t="shared" si="7"/>
        <v>1045</v>
      </c>
    </row>
    <row r="57" spans="2:15" s="9" customFormat="1" x14ac:dyDescent="0.25"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7"/>
    </row>
    <row r="58" spans="2:15" s="9" customFormat="1" x14ac:dyDescent="0.25">
      <c r="B58" s="49" t="s">
        <v>52</v>
      </c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17"/>
    </row>
    <row r="59" spans="2:15" s="9" customFormat="1" x14ac:dyDescent="0.25">
      <c r="B59" s="25" t="s">
        <v>54</v>
      </c>
      <c r="C59" s="26">
        <v>100</v>
      </c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0">
        <f t="shared" ref="O59:O64" si="9">SUM(C59:N59)</f>
        <v>100</v>
      </c>
    </row>
    <row r="60" spans="2:15" s="9" customFormat="1" x14ac:dyDescent="0.25">
      <c r="B60" s="25" t="s">
        <v>53</v>
      </c>
      <c r="C60" s="26">
        <v>150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0">
        <f t="shared" si="9"/>
        <v>150</v>
      </c>
    </row>
    <row r="61" spans="2:15" s="9" customFormat="1" x14ac:dyDescent="0.25">
      <c r="B61" s="18" t="s">
        <v>58</v>
      </c>
      <c r="C61" s="26">
        <v>50</v>
      </c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0">
        <f t="shared" si="9"/>
        <v>50</v>
      </c>
    </row>
    <row r="62" spans="2:15" s="9" customFormat="1" x14ac:dyDescent="0.25">
      <c r="B62" s="21" t="s">
        <v>48</v>
      </c>
      <c r="C62" s="22">
        <f>SUM(C59:C61)</f>
        <v>300</v>
      </c>
      <c r="D62" s="22">
        <f t="shared" ref="D62:N62" si="10">SUM(D59:D61)</f>
        <v>0</v>
      </c>
      <c r="E62" s="22">
        <f t="shared" si="10"/>
        <v>0</v>
      </c>
      <c r="F62" s="22">
        <f t="shared" si="10"/>
        <v>0</v>
      </c>
      <c r="G62" s="22">
        <f t="shared" si="10"/>
        <v>0</v>
      </c>
      <c r="H62" s="22">
        <f t="shared" si="10"/>
        <v>0</v>
      </c>
      <c r="I62" s="22">
        <f t="shared" si="10"/>
        <v>0</v>
      </c>
      <c r="J62" s="22">
        <f t="shared" si="10"/>
        <v>0</v>
      </c>
      <c r="K62" s="22">
        <f t="shared" si="10"/>
        <v>0</v>
      </c>
      <c r="L62" s="22">
        <f t="shared" si="10"/>
        <v>0</v>
      </c>
      <c r="M62" s="22">
        <f t="shared" si="10"/>
        <v>0</v>
      </c>
      <c r="N62" s="22">
        <f t="shared" si="10"/>
        <v>0</v>
      </c>
      <c r="O62" s="23">
        <f t="shared" si="9"/>
        <v>300</v>
      </c>
    </row>
    <row r="63" spans="2:15" s="9" customFormat="1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7"/>
    </row>
    <row r="64" spans="2:15" s="9" customFormat="1" x14ac:dyDescent="0.25">
      <c r="B64" s="27" t="s">
        <v>51</v>
      </c>
      <c r="C64" s="28">
        <f>C12-C27-C37-C46-C56+C62</f>
        <v>730</v>
      </c>
      <c r="D64" s="28">
        <f t="shared" ref="D64:M64" si="11">D12-D27-D37-D46-D56+D62</f>
        <v>0</v>
      </c>
      <c r="E64" s="28">
        <f t="shared" si="11"/>
        <v>0</v>
      </c>
      <c r="F64" s="28">
        <f t="shared" si="11"/>
        <v>0</v>
      </c>
      <c r="G64" s="28">
        <f t="shared" si="11"/>
        <v>0</v>
      </c>
      <c r="H64" s="28">
        <f t="shared" si="11"/>
        <v>0</v>
      </c>
      <c r="I64" s="28">
        <f t="shared" si="11"/>
        <v>0</v>
      </c>
      <c r="J64" s="28">
        <f t="shared" si="11"/>
        <v>0</v>
      </c>
      <c r="K64" s="28">
        <f t="shared" si="11"/>
        <v>0</v>
      </c>
      <c r="L64" s="28">
        <f t="shared" si="11"/>
        <v>0</v>
      </c>
      <c r="M64" s="28">
        <f t="shared" si="11"/>
        <v>0</v>
      </c>
      <c r="N64" s="28">
        <f>N12-N27-N37-N46-N56+N62</f>
        <v>0</v>
      </c>
      <c r="O64" s="29">
        <f t="shared" si="9"/>
        <v>730</v>
      </c>
    </row>
    <row r="65" spans="2:14" ht="9.75" customHeight="1" x14ac:dyDescent="0.25"/>
    <row r="66" spans="2:14" hidden="1" x14ac:dyDescent="0.25"/>
    <row r="67" spans="2:14" hidden="1" x14ac:dyDescent="0.25">
      <c r="C67" s="2"/>
    </row>
    <row r="68" spans="2:14" hidden="1" x14ac:dyDescent="0.25">
      <c r="C68" s="2"/>
    </row>
    <row r="69" spans="2:14" hidden="1" x14ac:dyDescent="0.25">
      <c r="B69" s="3"/>
      <c r="C69" s="4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2:14" hidden="1" x14ac:dyDescent="0.25"/>
    <row r="71" spans="2:14" hidden="1" x14ac:dyDescent="0.25">
      <c r="C71" s="2"/>
    </row>
    <row r="72" spans="2:14" hidden="1" x14ac:dyDescent="0.25">
      <c r="C72" s="2"/>
    </row>
    <row r="73" spans="2:14" hidden="1" x14ac:dyDescent="0.25">
      <c r="C73" s="2"/>
    </row>
    <row r="74" spans="2:14" hidden="1" x14ac:dyDescent="0.25">
      <c r="C74" s="2"/>
    </row>
    <row r="75" spans="2:14" hidden="1" x14ac:dyDescent="0.25"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2:14" hidden="1" x14ac:dyDescent="0.25"/>
    <row r="77" spans="2:14" hidden="1" x14ac:dyDescent="0.25">
      <c r="B77" s="3"/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2:14" hidden="1" x14ac:dyDescent="0.25"/>
    <row r="79" spans="2:14" hidden="1" x14ac:dyDescent="0.25"/>
    <row r="80" spans="2:14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</sheetData>
  <sheetProtection algorithmName="SHA-512" hashValue="UNyUG3Rca4mpCNG52pcJ/AcScGRrtznCSkX6EeZg6RfPHQfj6LgqjNwghNkh1OXgMgMmB/q1UahH4zXw6GUGtQ==" saltValue="sft3WiiYnXvyL2QNmMNTGQ==" spinCount="100000" sheet="1" objects="1" scenarios="1" selectLockedCells="1"/>
  <mergeCells count="6">
    <mergeCell ref="B58:N58"/>
    <mergeCell ref="B9:N9"/>
    <mergeCell ref="B15:N15"/>
    <mergeCell ref="B29:N29"/>
    <mergeCell ref="B39:N39"/>
    <mergeCell ref="B48:N48"/>
  </mergeCells>
  <pageMargins left="0.511811024" right="0.511811024" top="0.78740157499999996" bottom="0.78740157499999996" header="0.31496062000000002" footer="0.31496062000000002"/>
  <pageSetup paperSize="0" orientation="portrait" horizontalDpi="0" verticalDpi="0" copie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2"/>
  <dimension ref="A1:P20"/>
  <sheetViews>
    <sheetView showGridLines="0" showRowColHeaders="0" zoomScale="85" zoomScaleNormal="85" workbookViewId="0">
      <pane xSplit="2" ySplit="6" topLeftCell="C7" activePane="bottomRight" state="frozen"/>
      <selection pane="topRight" activeCell="B1" sqref="B1"/>
      <selection pane="bottomLeft" activeCell="A8" sqref="A8"/>
      <selection pane="bottomRight" activeCell="P4" sqref="P4"/>
    </sheetView>
  </sheetViews>
  <sheetFormatPr defaultColWidth="0" defaultRowHeight="15" zeroHeight="1" x14ac:dyDescent="0.25"/>
  <cols>
    <col min="1" max="1" width="1.5703125" style="1" customWidth="1"/>
    <col min="2" max="2" width="36" style="1" customWidth="1"/>
    <col min="3" max="3" width="12" style="1" bestFit="1" customWidth="1"/>
    <col min="4" max="14" width="10.28515625" style="1" bestFit="1" customWidth="1"/>
    <col min="15" max="15" width="10.42578125" style="1" customWidth="1"/>
    <col min="16" max="16" width="1.5703125" style="1" customWidth="1"/>
    <col min="17" max="16384" width="9.140625" style="1" hidden="1"/>
  </cols>
  <sheetData>
    <row r="1" spans="2:15" ht="6" customHeight="1" x14ac:dyDescent="0.25">
      <c r="D1" s="6"/>
    </row>
    <row r="2" spans="2:15" x14ac:dyDescent="0.25">
      <c r="B2" s="5"/>
      <c r="C2" s="5"/>
      <c r="D2" s="6" t="s">
        <v>63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2:15" x14ac:dyDescent="0.25">
      <c r="B3" s="5"/>
      <c r="C3" s="5"/>
      <c r="D3" s="6" t="s">
        <v>61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2:15" x14ac:dyDescent="0.25">
      <c r="B4" s="5"/>
      <c r="C4" s="5"/>
      <c r="D4" s="6" t="s">
        <v>64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2:15" x14ac:dyDescent="0.25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2:15" x14ac:dyDescent="0.25">
      <c r="B6" s="6" t="s">
        <v>59</v>
      </c>
      <c r="C6" s="30" t="s">
        <v>0</v>
      </c>
      <c r="D6" s="31" t="s">
        <v>1</v>
      </c>
      <c r="E6" s="31" t="s">
        <v>2</v>
      </c>
      <c r="F6" s="31" t="s">
        <v>3</v>
      </c>
      <c r="G6" s="31" t="s">
        <v>4</v>
      </c>
      <c r="H6" s="31" t="s">
        <v>5</v>
      </c>
      <c r="I6" s="31" t="s">
        <v>6</v>
      </c>
      <c r="J6" s="31" t="s">
        <v>7</v>
      </c>
      <c r="K6" s="31" t="s">
        <v>8</v>
      </c>
      <c r="L6" s="31" t="s">
        <v>9</v>
      </c>
      <c r="M6" s="31" t="s">
        <v>10</v>
      </c>
      <c r="N6" s="31" t="s">
        <v>11</v>
      </c>
      <c r="O6" s="12" t="s">
        <v>57</v>
      </c>
    </row>
    <row r="7" spans="2:15" x14ac:dyDescent="0.25">
      <c r="B7" s="13" t="s">
        <v>60</v>
      </c>
      <c r="C7" s="32">
        <f>Orçamento!C12</f>
        <v>5000</v>
      </c>
      <c r="D7" s="32">
        <f>Orçamento!D12</f>
        <v>0</v>
      </c>
      <c r="E7" s="32">
        <f>Orçamento!E12</f>
        <v>0</v>
      </c>
      <c r="F7" s="32">
        <f>Orçamento!F12</f>
        <v>0</v>
      </c>
      <c r="G7" s="32">
        <f>Orçamento!G12</f>
        <v>0</v>
      </c>
      <c r="H7" s="32">
        <f>Orçamento!H12</f>
        <v>0</v>
      </c>
      <c r="I7" s="32">
        <f>Orçamento!I12</f>
        <v>0</v>
      </c>
      <c r="J7" s="32">
        <f>Orçamento!J12</f>
        <v>0</v>
      </c>
      <c r="K7" s="32">
        <f>Orçamento!K12</f>
        <v>0</v>
      </c>
      <c r="L7" s="32">
        <f>Orçamento!L12</f>
        <v>0</v>
      </c>
      <c r="M7" s="32">
        <f>Orçamento!M12</f>
        <v>0</v>
      </c>
      <c r="N7" s="32">
        <f>Orçamento!N12</f>
        <v>0</v>
      </c>
      <c r="O7" s="33">
        <f>SUM(C7:N7)</f>
        <v>5000</v>
      </c>
    </row>
    <row r="8" spans="2:15" x14ac:dyDescent="0.25">
      <c r="B8" s="5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7"/>
    </row>
    <row r="9" spans="2:15" x14ac:dyDescent="0.25">
      <c r="B9" s="15" t="s">
        <v>26</v>
      </c>
      <c r="C9" s="38">
        <f>Orçamento!C27</f>
        <v>1680</v>
      </c>
      <c r="D9" s="38">
        <f>Orçamento!D27</f>
        <v>0</v>
      </c>
      <c r="E9" s="38">
        <f>Orçamento!E27</f>
        <v>0</v>
      </c>
      <c r="F9" s="38">
        <f>Orçamento!F27</f>
        <v>0</v>
      </c>
      <c r="G9" s="38">
        <f>Orçamento!G27</f>
        <v>0</v>
      </c>
      <c r="H9" s="38">
        <f>Orçamento!H27</f>
        <v>0</v>
      </c>
      <c r="I9" s="38">
        <f>Orçamento!I27</f>
        <v>0</v>
      </c>
      <c r="J9" s="38">
        <f>Orçamento!J27</f>
        <v>0</v>
      </c>
      <c r="K9" s="38">
        <f>Orçamento!K27</f>
        <v>0</v>
      </c>
      <c r="L9" s="38">
        <f>Orçamento!L27</f>
        <v>0</v>
      </c>
      <c r="M9" s="38">
        <f>Orçamento!M27</f>
        <v>0</v>
      </c>
      <c r="N9" s="38">
        <f>Orçamento!N27</f>
        <v>0</v>
      </c>
      <c r="O9" s="39">
        <f t="shared" ref="O9:O17" si="0">SUM(C9:N9)</f>
        <v>1680</v>
      </c>
    </row>
    <row r="10" spans="2:15" x14ac:dyDescent="0.25">
      <c r="B10" s="15" t="s">
        <v>32</v>
      </c>
      <c r="C10" s="38">
        <f>Orçamento!C37</f>
        <v>1065</v>
      </c>
      <c r="D10" s="38">
        <f>Orçamento!D37</f>
        <v>0</v>
      </c>
      <c r="E10" s="38">
        <f>Orçamento!E37</f>
        <v>0</v>
      </c>
      <c r="F10" s="38">
        <f>Orçamento!F37</f>
        <v>0</v>
      </c>
      <c r="G10" s="38">
        <f>Orçamento!G37</f>
        <v>0</v>
      </c>
      <c r="H10" s="38">
        <f>Orçamento!H37</f>
        <v>0</v>
      </c>
      <c r="I10" s="38">
        <f>Orçamento!I37</f>
        <v>0</v>
      </c>
      <c r="J10" s="38">
        <f>Orçamento!J37</f>
        <v>0</v>
      </c>
      <c r="K10" s="38">
        <f>Orçamento!K37</f>
        <v>0</v>
      </c>
      <c r="L10" s="38">
        <f>Orçamento!L37</f>
        <v>0</v>
      </c>
      <c r="M10" s="38">
        <f>Orçamento!M37</f>
        <v>0</v>
      </c>
      <c r="N10" s="38">
        <f>Orçamento!N37</f>
        <v>0</v>
      </c>
      <c r="O10" s="39">
        <f t="shared" si="0"/>
        <v>1065</v>
      </c>
    </row>
    <row r="11" spans="2:15" x14ac:dyDescent="0.25">
      <c r="B11" s="15" t="s">
        <v>46</v>
      </c>
      <c r="C11" s="38">
        <f>Orçamento!C46</f>
        <v>780</v>
      </c>
      <c r="D11" s="38">
        <f>Orçamento!D46</f>
        <v>0</v>
      </c>
      <c r="E11" s="38">
        <f>Orçamento!E46</f>
        <v>0</v>
      </c>
      <c r="F11" s="38">
        <f>Orçamento!F46</f>
        <v>0</v>
      </c>
      <c r="G11" s="38">
        <f>Orçamento!G46</f>
        <v>0</v>
      </c>
      <c r="H11" s="38">
        <f>Orçamento!H46</f>
        <v>0</v>
      </c>
      <c r="I11" s="38">
        <f>Orçamento!I46</f>
        <v>0</v>
      </c>
      <c r="J11" s="38">
        <f>Orçamento!J46</f>
        <v>0</v>
      </c>
      <c r="K11" s="38">
        <f>Orçamento!K46</f>
        <v>0</v>
      </c>
      <c r="L11" s="38">
        <f>Orçamento!L46</f>
        <v>0</v>
      </c>
      <c r="M11" s="38">
        <f>Orçamento!M46</f>
        <v>0</v>
      </c>
      <c r="N11" s="38">
        <f>Orçamento!N46</f>
        <v>0</v>
      </c>
      <c r="O11" s="39">
        <f t="shared" si="0"/>
        <v>780</v>
      </c>
    </row>
    <row r="12" spans="2:15" x14ac:dyDescent="0.25">
      <c r="B12" s="15" t="s">
        <v>45</v>
      </c>
      <c r="C12" s="38">
        <f>Orçamento!C56</f>
        <v>1045</v>
      </c>
      <c r="D12" s="38">
        <f>Orçamento!D56</f>
        <v>0</v>
      </c>
      <c r="E12" s="38">
        <f>Orçamento!E56</f>
        <v>0</v>
      </c>
      <c r="F12" s="38">
        <f>Orçamento!F56</f>
        <v>0</v>
      </c>
      <c r="G12" s="38">
        <f>Orçamento!G56</f>
        <v>0</v>
      </c>
      <c r="H12" s="38">
        <f>Orçamento!H56</f>
        <v>0</v>
      </c>
      <c r="I12" s="38">
        <f>Orçamento!I56</f>
        <v>0</v>
      </c>
      <c r="J12" s="38">
        <f>Orçamento!J56</f>
        <v>0</v>
      </c>
      <c r="K12" s="38">
        <f>Orçamento!K56</f>
        <v>0</v>
      </c>
      <c r="L12" s="38">
        <f>Orçamento!L56</f>
        <v>0</v>
      </c>
      <c r="M12" s="38">
        <f>Orçamento!M56</f>
        <v>0</v>
      </c>
      <c r="N12" s="38">
        <f>Orçamento!N56</f>
        <v>0</v>
      </c>
      <c r="O12" s="39">
        <f t="shared" si="0"/>
        <v>1045</v>
      </c>
    </row>
    <row r="13" spans="2:15" x14ac:dyDescent="0.25">
      <c r="B13" s="16" t="s">
        <v>56</v>
      </c>
      <c r="C13" s="40">
        <f>SUM(C9:C12)</f>
        <v>4570</v>
      </c>
      <c r="D13" s="40">
        <f t="shared" ref="D13:N13" si="1">SUM(D9:D12)</f>
        <v>0</v>
      </c>
      <c r="E13" s="40">
        <f t="shared" si="1"/>
        <v>0</v>
      </c>
      <c r="F13" s="40">
        <f t="shared" si="1"/>
        <v>0</v>
      </c>
      <c r="G13" s="40">
        <f t="shared" si="1"/>
        <v>0</v>
      </c>
      <c r="H13" s="40">
        <f t="shared" si="1"/>
        <v>0</v>
      </c>
      <c r="I13" s="40">
        <f t="shared" si="1"/>
        <v>0</v>
      </c>
      <c r="J13" s="40">
        <f t="shared" si="1"/>
        <v>0</v>
      </c>
      <c r="K13" s="40">
        <f t="shared" si="1"/>
        <v>0</v>
      </c>
      <c r="L13" s="40">
        <f t="shared" si="1"/>
        <v>0</v>
      </c>
      <c r="M13" s="40">
        <f t="shared" si="1"/>
        <v>0</v>
      </c>
      <c r="N13" s="40">
        <f t="shared" si="1"/>
        <v>0</v>
      </c>
      <c r="O13" s="41">
        <f t="shared" si="0"/>
        <v>4570</v>
      </c>
    </row>
    <row r="14" spans="2:15" x14ac:dyDescent="0.25">
      <c r="B14" s="5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7"/>
    </row>
    <row r="15" spans="2:15" x14ac:dyDescent="0.25">
      <c r="B15" s="13" t="s">
        <v>52</v>
      </c>
      <c r="C15" s="34">
        <f>Orçamento!C62</f>
        <v>300</v>
      </c>
      <c r="D15" s="34">
        <f>Orçamento!D62</f>
        <v>0</v>
      </c>
      <c r="E15" s="34">
        <f>Orçamento!E62</f>
        <v>0</v>
      </c>
      <c r="F15" s="34">
        <f>Orçamento!F62</f>
        <v>0</v>
      </c>
      <c r="G15" s="34">
        <f>Orçamento!G62</f>
        <v>0</v>
      </c>
      <c r="H15" s="34">
        <f>Orçamento!H62</f>
        <v>0</v>
      </c>
      <c r="I15" s="34">
        <f>Orçamento!I62</f>
        <v>0</v>
      </c>
      <c r="J15" s="34">
        <f>Orçamento!J62</f>
        <v>0</v>
      </c>
      <c r="K15" s="34">
        <f>Orçamento!K62</f>
        <v>0</v>
      </c>
      <c r="L15" s="34">
        <f>Orçamento!L62</f>
        <v>0</v>
      </c>
      <c r="M15" s="34">
        <f>Orçamento!M62</f>
        <v>0</v>
      </c>
      <c r="N15" s="34">
        <f>Orçamento!N62</f>
        <v>0</v>
      </c>
      <c r="O15" s="35">
        <f t="shared" si="0"/>
        <v>300</v>
      </c>
    </row>
    <row r="16" spans="2:15" x14ac:dyDescent="0.25">
      <c r="B16" s="5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7"/>
    </row>
    <row r="17" spans="2:15" x14ac:dyDescent="0.25">
      <c r="B17" s="14" t="s">
        <v>51</v>
      </c>
      <c r="C17" s="42">
        <f>C7-C13+C15</f>
        <v>730</v>
      </c>
      <c r="D17" s="42">
        <f t="shared" ref="D17:N17" si="2">D7-D13+D15</f>
        <v>0</v>
      </c>
      <c r="E17" s="42">
        <f t="shared" si="2"/>
        <v>0</v>
      </c>
      <c r="F17" s="42">
        <f t="shared" si="2"/>
        <v>0</v>
      </c>
      <c r="G17" s="42">
        <f t="shared" si="2"/>
        <v>0</v>
      </c>
      <c r="H17" s="42">
        <f t="shared" si="2"/>
        <v>0</v>
      </c>
      <c r="I17" s="42">
        <f t="shared" si="2"/>
        <v>0</v>
      </c>
      <c r="J17" s="42">
        <f t="shared" si="2"/>
        <v>0</v>
      </c>
      <c r="K17" s="42">
        <f t="shared" si="2"/>
        <v>0</v>
      </c>
      <c r="L17" s="42">
        <f t="shared" si="2"/>
        <v>0</v>
      </c>
      <c r="M17" s="42">
        <f t="shared" si="2"/>
        <v>0</v>
      </c>
      <c r="N17" s="42">
        <f t="shared" si="2"/>
        <v>0</v>
      </c>
      <c r="O17" s="43">
        <f t="shared" si="0"/>
        <v>730</v>
      </c>
    </row>
    <row r="18" spans="2:15" x14ac:dyDescent="0.25">
      <c r="B18" s="5"/>
      <c r="C18" s="36"/>
      <c r="D18" s="36"/>
      <c r="E18" s="5"/>
      <c r="F18" s="5"/>
      <c r="G18" s="5"/>
      <c r="H18" s="5"/>
      <c r="I18" s="5"/>
      <c r="J18" s="5"/>
      <c r="K18" s="5"/>
      <c r="L18" s="5"/>
      <c r="M18" s="5"/>
      <c r="N18" s="5"/>
      <c r="O18" s="44"/>
    </row>
    <row r="19" spans="2:15" x14ac:dyDescent="0.25">
      <c r="B19" s="14" t="s">
        <v>55</v>
      </c>
      <c r="C19" s="42">
        <f>C17</f>
        <v>730</v>
      </c>
      <c r="D19" s="42">
        <f>C19+D17</f>
        <v>730</v>
      </c>
      <c r="E19" s="42">
        <f t="shared" ref="E19:N19" si="3">D19+E17</f>
        <v>730</v>
      </c>
      <c r="F19" s="42">
        <f t="shared" si="3"/>
        <v>730</v>
      </c>
      <c r="G19" s="42">
        <f t="shared" si="3"/>
        <v>730</v>
      </c>
      <c r="H19" s="42">
        <f t="shared" si="3"/>
        <v>730</v>
      </c>
      <c r="I19" s="42">
        <f t="shared" si="3"/>
        <v>730</v>
      </c>
      <c r="J19" s="42">
        <f t="shared" si="3"/>
        <v>730</v>
      </c>
      <c r="K19" s="42">
        <f t="shared" si="3"/>
        <v>730</v>
      </c>
      <c r="L19" s="42">
        <f t="shared" si="3"/>
        <v>730</v>
      </c>
      <c r="M19" s="42">
        <f t="shared" si="3"/>
        <v>730</v>
      </c>
      <c r="N19" s="42">
        <f t="shared" si="3"/>
        <v>730</v>
      </c>
      <c r="O19" s="43">
        <f>N19</f>
        <v>730</v>
      </c>
    </row>
    <row r="20" spans="2:15" ht="9.75" customHeight="1" x14ac:dyDescent="0.25"/>
  </sheetData>
  <sheetProtection algorithmName="SHA-512" hashValue="cV3GoJ94GTOwHbaHnNmRE9DfMPOWixXMG8hl6w+pquZfXHtyo1F9l1VzEdFnjXZTM81fKYH7boQLh8gM8rqTVw==" saltValue="LFIctdreAMwWSHKajANfeg==" spinCount="100000" sheet="1" objects="1" scenarios="1" selectLockedCells="1"/>
  <pageMargins left="0.511811024" right="0.511811024" top="0.78740157499999996" bottom="0.78740157499999996" header="0.31496062000000002" footer="0.31496062000000002"/>
  <pageSetup paperSize="0" orientation="portrait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3"/>
  <dimension ref="A1:U40"/>
  <sheetViews>
    <sheetView showGridLines="0" showRowColHeaders="0" zoomScale="85" zoomScaleNormal="85" workbookViewId="0">
      <selection activeCell="E2" sqref="E2"/>
    </sheetView>
  </sheetViews>
  <sheetFormatPr defaultColWidth="0" defaultRowHeight="15" zeroHeight="1" x14ac:dyDescent="0.25"/>
  <cols>
    <col min="1" max="20" width="9.140625" customWidth="1"/>
    <col min="21" max="21" width="1.5703125" customWidth="1"/>
    <col min="22" max="16384" width="9.140625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ht="4.5" customHeight="1" x14ac:dyDescent="0.25"/>
  </sheetData>
  <sheetProtection algorithmName="SHA-512" hashValue="Z9jOwRV0o4v4xZ/qlDfjE07kFLngiKwAwLe/IN2JYkLGkAWI6PnrDChuxzr2ohD16+D2yap+BFScmUgVYD2Zzg==" saltValue="bIHqeoVogLTLevjzXrVzhg==" spinCount="100000" sheet="1" objects="1" scenarios="1" selectLockedCells="1" selectUnlockedCells="1"/>
  <pageMargins left="0.511811024" right="0.511811024" top="0.78740157499999996" bottom="0.78740157499999996" header="0.31496062000000002" footer="0.31496062000000002"/>
  <pageSetup paperSize="0" orientation="portrait" horizontalDpi="0" verticalDpi="0" copie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D6E52-2475-44C8-B8E2-CBFAC9C15EB6}">
  <dimension ref="A1:R60"/>
  <sheetViews>
    <sheetView showGridLines="0" showRowColHeaders="0" zoomScale="85" zoomScaleNormal="85" workbookViewId="0">
      <selection activeCell="D34" sqref="D34"/>
    </sheetView>
  </sheetViews>
  <sheetFormatPr defaultColWidth="0" defaultRowHeight="12.75" customHeight="1" zeroHeight="1" x14ac:dyDescent="0.2"/>
  <cols>
    <col min="1" max="1" width="2.42578125" style="45" customWidth="1"/>
    <col min="2" max="2" width="2.140625" style="45" customWidth="1"/>
    <col min="3" max="3" width="4.42578125" style="45" customWidth="1"/>
    <col min="4" max="14" width="9.140625" style="45" customWidth="1"/>
    <col min="15" max="15" width="9.5703125" style="45" customWidth="1"/>
    <col min="16" max="16" width="2.28515625" style="45" customWidth="1"/>
    <col min="17" max="17" width="2.5703125" style="45" customWidth="1"/>
    <col min="18" max="18" width="0" style="45" hidden="1" customWidth="1"/>
    <col min="19" max="16384" width="9.140625" style="45" hidden="1"/>
  </cols>
  <sheetData>
    <row r="1" spans="2:16" x14ac:dyDescent="0.2"/>
    <row r="2" spans="2:16" x14ac:dyDescent="0.2"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2:16" x14ac:dyDescent="0.2">
      <c r="B3" s="46"/>
      <c r="P3" s="46"/>
    </row>
    <row r="4" spans="2:16" x14ac:dyDescent="0.2">
      <c r="B4" s="46"/>
      <c r="P4" s="46"/>
    </row>
    <row r="5" spans="2:16" x14ac:dyDescent="0.2">
      <c r="B5" s="46"/>
      <c r="P5" s="46"/>
    </row>
    <row r="6" spans="2:16" x14ac:dyDescent="0.2">
      <c r="B6" s="46"/>
      <c r="P6" s="46"/>
    </row>
    <row r="7" spans="2:16" x14ac:dyDescent="0.2">
      <c r="B7" s="46"/>
      <c r="P7" s="46"/>
    </row>
    <row r="8" spans="2:16" x14ac:dyDescent="0.2">
      <c r="B8" s="46"/>
      <c r="P8" s="46"/>
    </row>
    <row r="9" spans="2:16" x14ac:dyDescent="0.2">
      <c r="B9" s="46"/>
      <c r="P9" s="46"/>
    </row>
    <row r="10" spans="2:16" ht="28.5" x14ac:dyDescent="0.45">
      <c r="B10" s="46"/>
      <c r="D10" s="52" t="s">
        <v>68</v>
      </c>
      <c r="P10" s="46"/>
    </row>
    <row r="11" spans="2:16" x14ac:dyDescent="0.2">
      <c r="B11" s="46"/>
      <c r="P11" s="46"/>
    </row>
    <row r="12" spans="2:16" ht="18.75" x14ac:dyDescent="0.3">
      <c r="B12" s="46"/>
      <c r="D12" s="47"/>
      <c r="P12" s="46"/>
    </row>
    <row r="13" spans="2:16" ht="18.75" x14ac:dyDescent="0.3">
      <c r="B13" s="46"/>
      <c r="D13" s="47"/>
      <c r="P13" s="46"/>
    </row>
    <row r="14" spans="2:16" ht="18.75" x14ac:dyDescent="0.3">
      <c r="B14" s="46"/>
      <c r="D14" s="47"/>
      <c r="P14" s="46"/>
    </row>
    <row r="15" spans="2:16" ht="18.75" x14ac:dyDescent="0.3">
      <c r="B15" s="46"/>
      <c r="D15" s="47"/>
      <c r="P15" s="46"/>
    </row>
    <row r="16" spans="2:16" ht="18.75" x14ac:dyDescent="0.3">
      <c r="B16" s="46"/>
      <c r="D16" s="47"/>
      <c r="P16" s="46"/>
    </row>
    <row r="17" spans="2:16" ht="18.75" x14ac:dyDescent="0.3">
      <c r="B17" s="46"/>
      <c r="D17" s="47"/>
      <c r="P17" s="46"/>
    </row>
    <row r="18" spans="2:16" ht="18.75" x14ac:dyDescent="0.3">
      <c r="B18" s="46"/>
      <c r="D18" s="47"/>
      <c r="P18" s="46"/>
    </row>
    <row r="19" spans="2:16" ht="18.75" x14ac:dyDescent="0.3">
      <c r="B19" s="46"/>
      <c r="D19" s="47"/>
      <c r="P19" s="46"/>
    </row>
    <row r="20" spans="2:16" ht="18.75" x14ac:dyDescent="0.3">
      <c r="B20" s="46"/>
      <c r="D20" s="47"/>
      <c r="P20" s="46"/>
    </row>
    <row r="21" spans="2:16" ht="18.75" x14ac:dyDescent="0.3">
      <c r="B21" s="46"/>
      <c r="D21" s="47"/>
      <c r="P21" s="46"/>
    </row>
    <row r="22" spans="2:16" ht="18.75" x14ac:dyDescent="0.3">
      <c r="B22" s="46"/>
      <c r="D22" s="47"/>
      <c r="P22" s="46"/>
    </row>
    <row r="23" spans="2:16" ht="18.75" x14ac:dyDescent="0.3">
      <c r="B23" s="46"/>
      <c r="D23" s="47"/>
      <c r="P23" s="46"/>
    </row>
    <row r="24" spans="2:16" ht="18.75" x14ac:dyDescent="0.3">
      <c r="B24" s="46"/>
      <c r="D24" s="47"/>
      <c r="P24" s="46"/>
    </row>
    <row r="25" spans="2:16" ht="18.75" x14ac:dyDescent="0.3">
      <c r="B25" s="46"/>
      <c r="D25" s="47"/>
      <c r="P25" s="46"/>
    </row>
    <row r="26" spans="2:16" ht="15.75" x14ac:dyDescent="0.25">
      <c r="B26" s="46"/>
      <c r="D26" s="53" t="s">
        <v>69</v>
      </c>
      <c r="E26" s="53"/>
      <c r="F26" s="53"/>
      <c r="G26" s="53"/>
      <c r="H26" s="53"/>
      <c r="I26" s="53"/>
      <c r="J26" s="53"/>
      <c r="K26" s="53"/>
      <c r="L26" s="53"/>
      <c r="P26" s="46"/>
    </row>
    <row r="27" spans="2:16" ht="18.75" x14ac:dyDescent="0.3">
      <c r="B27" s="46"/>
      <c r="D27" s="47"/>
      <c r="P27" s="46"/>
    </row>
    <row r="28" spans="2:16" x14ac:dyDescent="0.2">
      <c r="B28" s="46"/>
      <c r="P28" s="46"/>
    </row>
    <row r="29" spans="2:16" x14ac:dyDescent="0.2">
      <c r="B29" s="46"/>
      <c r="P29" s="46"/>
    </row>
    <row r="30" spans="2:16" x14ac:dyDescent="0.2">
      <c r="B30" s="46"/>
      <c r="P30" s="46"/>
    </row>
    <row r="31" spans="2:16" ht="15.75" x14ac:dyDescent="0.25">
      <c r="B31" s="46"/>
      <c r="D31" s="53" t="s">
        <v>70</v>
      </c>
      <c r="E31" s="53"/>
      <c r="F31" s="53"/>
      <c r="G31" s="53"/>
      <c r="H31" s="53"/>
      <c r="I31" s="53"/>
      <c r="J31" s="53"/>
      <c r="K31" s="53"/>
      <c r="P31" s="46"/>
    </row>
    <row r="32" spans="2:16" x14ac:dyDescent="0.2">
      <c r="B32" s="46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46"/>
    </row>
    <row r="33" spans="2:16" x14ac:dyDescent="0.2">
      <c r="B33" s="46"/>
      <c r="P33" s="46"/>
    </row>
    <row r="34" spans="2:16" x14ac:dyDescent="0.2"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</row>
    <row r="35" spans="2:16" x14ac:dyDescent="0.2"/>
    <row r="36" spans="2:16" x14ac:dyDescent="0.2"/>
    <row r="37" spans="2:16" x14ac:dyDescent="0.2"/>
    <row r="38" spans="2:16" x14ac:dyDescent="0.2"/>
    <row r="39" spans="2:16" x14ac:dyDescent="0.2"/>
    <row r="40" spans="2:16" x14ac:dyDescent="0.2"/>
    <row r="41" spans="2:16" x14ac:dyDescent="0.2"/>
    <row r="42" spans="2:16" x14ac:dyDescent="0.2"/>
    <row r="43" spans="2:16" x14ac:dyDescent="0.2"/>
    <row r="44" spans="2:16" x14ac:dyDescent="0.2"/>
    <row r="45" spans="2:16" x14ac:dyDescent="0.2"/>
    <row r="46" spans="2:16" x14ac:dyDescent="0.2"/>
    <row r="47" spans="2:16" x14ac:dyDescent="0.2"/>
    <row r="48" spans="2:16" x14ac:dyDescent="0.2"/>
    <row r="49" hidden="1" x14ac:dyDescent="0.2"/>
    <row r="50" hidden="1" x14ac:dyDescent="0.2"/>
    <row r="51" hidden="1" x14ac:dyDescent="0.2"/>
    <row r="52" hidden="1" x14ac:dyDescent="0.2"/>
    <row r="53" hidden="1" x14ac:dyDescent="0.2"/>
    <row r="54" hidden="1" x14ac:dyDescent="0.2"/>
    <row r="55" hidden="1" x14ac:dyDescent="0.2"/>
    <row r="56" hidden="1" x14ac:dyDescent="0.2"/>
    <row r="57" hidden="1" x14ac:dyDescent="0.2"/>
    <row r="58" hidden="1" x14ac:dyDescent="0.2"/>
    <row r="59" hidden="1" x14ac:dyDescent="0.2"/>
    <row r="60" hidden="1" x14ac:dyDescent="0.2"/>
  </sheetData>
  <sheetProtection algorithmName="SHA-512" hashValue="GWr7fsyQhCwNKL0i+vZvW36sQlTKFCIISCf3Cj3i5XoCEDLufNFqYsuJ2J5WzBuAO9/w7+fm1Grtx/aEvT5ExQ==" saltValue="BYlqPTt2TqronbXCNtHNTw==" spinCount="100000" sheet="1" objects="1" scenarios="1"/>
  <mergeCells count="2">
    <mergeCell ref="D26:L26"/>
    <mergeCell ref="D31:K31"/>
  </mergeCells>
  <hyperlinks>
    <hyperlink ref="D31" r:id="rId1" xr:uid="{A095AE39-6565-4EB7-BBA6-E37C71310A7B}"/>
    <hyperlink ref="D26" r:id="rId2" xr:uid="{B8DC5946-C859-4A76-883C-7F751AFEEE95}"/>
  </hyperlinks>
  <pageMargins left="0.511811024" right="0.511811024" top="0.78740157499999996" bottom="0.78740157499999996" header="0.31496062000000002" footer="0.31496062000000002"/>
  <pageSetup paperSize="9" orientation="portrait" verticalDpi="3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Apresentação</vt:lpstr>
      <vt:lpstr>Orçamento</vt:lpstr>
      <vt:lpstr>Resumo</vt:lpstr>
      <vt:lpstr>Gráficos</vt:lpstr>
      <vt:lpstr>Desbloquear Planilha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Mais planilhas personalizadas e soluções financeiras em excelsolucao.com.br</dc:description>
  <cp:lastModifiedBy/>
  <dcterms:created xsi:type="dcterms:W3CDTF">2006-09-25T12:47:36Z</dcterms:created>
  <dcterms:modified xsi:type="dcterms:W3CDTF">2019-01-30T16:08:29Z</dcterms:modified>
</cp:coreProperties>
</file>