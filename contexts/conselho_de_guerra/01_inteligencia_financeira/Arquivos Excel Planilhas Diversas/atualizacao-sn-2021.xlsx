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df7ea611341cf5/Documentos/"/>
    </mc:Choice>
  </mc:AlternateContent>
  <xr:revisionPtr revIDLastSave="2" documentId="11_DAD9B59E193069A2902D1190EF11DB471CAB275D" xr6:coauthVersionLast="47" xr6:coauthVersionMax="47" xr10:uidLastSave="{F7992A1C-7831-4142-BA6C-A5C973E1102F}"/>
  <bookViews>
    <workbookView xWindow="-108" yWindow="-108" windowWidth="23256" windowHeight="12576" xr2:uid="{00000000-000D-0000-FFFF-FFFF00000000}"/>
  </bookViews>
  <sheets>
    <sheet name="SN 2021-03" sheetId="14" r:id="rId1"/>
    <sheet name="SELIC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7" i="14" l="1"/>
  <c r="C77" i="14" s="1"/>
  <c r="B76" i="14"/>
  <c r="C76" i="14" s="1"/>
  <c r="B75" i="14"/>
  <c r="C75" i="14" s="1"/>
  <c r="B74" i="14"/>
  <c r="C74" i="14" s="1"/>
  <c r="B73" i="14"/>
  <c r="C73" i="14" s="1"/>
  <c r="B72" i="14"/>
  <c r="C72" i="14" s="1"/>
  <c r="B71" i="14"/>
  <c r="C71" i="14" s="1"/>
  <c r="B70" i="14"/>
  <c r="C70" i="14" s="1"/>
  <c r="B69" i="14"/>
  <c r="C69" i="14" s="1"/>
  <c r="B68" i="14"/>
  <c r="C68" i="14" s="1"/>
  <c r="B67" i="14"/>
  <c r="C67" i="14" s="1"/>
  <c r="B66" i="14"/>
  <c r="C66" i="14" s="1"/>
  <c r="B65" i="14"/>
  <c r="C65" i="14" s="1"/>
  <c r="C64" i="14"/>
  <c r="B64" i="14"/>
  <c r="B63" i="14"/>
  <c r="C63" i="14" s="1"/>
  <c r="B62" i="14"/>
  <c r="C62" i="14" s="1"/>
  <c r="B61" i="14"/>
  <c r="C61" i="14" s="1"/>
  <c r="B60" i="14"/>
  <c r="C60" i="14" s="1"/>
  <c r="B59" i="14"/>
  <c r="C59" i="14" s="1"/>
  <c r="B58" i="14"/>
  <c r="C58" i="14" s="1"/>
  <c r="B57" i="14"/>
  <c r="C57" i="14" s="1"/>
  <c r="B56" i="14"/>
  <c r="C56" i="14" s="1"/>
  <c r="B55" i="14"/>
  <c r="C55" i="14" s="1"/>
  <c r="B54" i="14"/>
  <c r="C54" i="14" s="1"/>
  <c r="B53" i="14"/>
  <c r="C53" i="14" s="1"/>
  <c r="B52" i="14"/>
  <c r="C52" i="14" s="1"/>
  <c r="B51" i="14"/>
  <c r="C51" i="14" s="1"/>
  <c r="B50" i="14"/>
  <c r="C50" i="14" s="1"/>
  <c r="B49" i="14"/>
  <c r="C49" i="14" s="1"/>
  <c r="C48" i="14"/>
  <c r="B48" i="14"/>
  <c r="B47" i="14"/>
  <c r="C47" i="14" s="1"/>
  <c r="B46" i="14"/>
  <c r="C46" i="14" s="1"/>
  <c r="B45" i="14"/>
  <c r="C45" i="14" s="1"/>
  <c r="B44" i="14"/>
  <c r="C44" i="14" s="1"/>
  <c r="B43" i="14"/>
  <c r="C43" i="14" s="1"/>
  <c r="B42" i="14"/>
  <c r="C42" i="14" s="1"/>
  <c r="B41" i="14"/>
  <c r="C41" i="14" s="1"/>
  <c r="B40" i="14"/>
  <c r="C40" i="14" s="1"/>
  <c r="B39" i="14"/>
  <c r="C39" i="14" s="1"/>
  <c r="B38" i="14"/>
  <c r="C38" i="14" s="1"/>
  <c r="B37" i="14"/>
  <c r="C37" i="14" s="1"/>
  <c r="B36" i="14"/>
  <c r="C36" i="14" s="1"/>
  <c r="B35" i="14"/>
  <c r="C35" i="14" s="1"/>
  <c r="B34" i="14"/>
  <c r="C34" i="14" s="1"/>
  <c r="B33" i="14"/>
  <c r="C33" i="14" s="1"/>
  <c r="B32" i="14"/>
  <c r="C32" i="14" s="1"/>
  <c r="B31" i="14"/>
  <c r="C31" i="14" s="1"/>
  <c r="B30" i="14"/>
  <c r="C30" i="14" s="1"/>
  <c r="B29" i="14"/>
  <c r="C29" i="14" s="1"/>
  <c r="B28" i="14"/>
  <c r="C28" i="14" s="1"/>
  <c r="B27" i="14"/>
  <c r="C27" i="14" s="1"/>
  <c r="B26" i="14"/>
  <c r="C26" i="14" s="1"/>
  <c r="B25" i="14"/>
  <c r="C25" i="14" s="1"/>
  <c r="B24" i="14"/>
  <c r="C24" i="14" s="1"/>
  <c r="B23" i="14"/>
  <c r="C23" i="14" s="1"/>
  <c r="B22" i="14"/>
  <c r="C22" i="14" s="1"/>
  <c r="B21" i="14"/>
  <c r="C21" i="14" s="1"/>
  <c r="B20" i="14"/>
  <c r="C20" i="14" s="1"/>
  <c r="B19" i="14"/>
  <c r="C19" i="14" s="1"/>
  <c r="B18" i="14"/>
  <c r="C18" i="14" s="1"/>
  <c r="B17" i="14"/>
  <c r="C17" i="14" s="1"/>
  <c r="B16" i="14"/>
  <c r="C16" i="14" s="1"/>
  <c r="B15" i="14"/>
  <c r="C15" i="14" s="1"/>
  <c r="B14" i="14"/>
  <c r="C14" i="14" s="1"/>
  <c r="C13" i="14"/>
  <c r="D13" i="14" s="1"/>
  <c r="C8" i="14"/>
  <c r="C9" i="14" s="1"/>
  <c r="B7" i="14"/>
  <c r="D14" i="14" l="1"/>
  <c r="D15" i="14" s="1"/>
  <c r="D16" i="14" s="1"/>
  <c r="D17" i="14" s="1"/>
  <c r="D18" i="14" s="1"/>
  <c r="D19" i="14" s="1"/>
  <c r="D20" i="14" s="1"/>
  <c r="D21" i="14" s="1"/>
  <c r="D22" i="14" s="1"/>
  <c r="D23" i="14" s="1"/>
  <c r="D24" i="14" s="1"/>
  <c r="D25" i="14" s="1"/>
  <c r="D26" i="14" s="1"/>
  <c r="D27" i="14" s="1"/>
  <c r="D28" i="14" s="1"/>
  <c r="D29" i="14" s="1"/>
  <c r="D30" i="14" s="1"/>
  <c r="D31" i="14" s="1"/>
  <c r="D32" i="14" s="1"/>
  <c r="D33" i="14" s="1"/>
  <c r="D34" i="14" s="1"/>
  <c r="D35" i="14" s="1"/>
  <c r="D36" i="14" s="1"/>
  <c r="D37" i="14" s="1"/>
  <c r="D38" i="14" s="1"/>
  <c r="D39" i="14" s="1"/>
  <c r="D40" i="14" s="1"/>
  <c r="D41" i="14" s="1"/>
  <c r="D42" i="14" s="1"/>
  <c r="D43" i="14" s="1"/>
  <c r="D44" i="14" s="1"/>
  <c r="D45" i="14" s="1"/>
  <c r="D46" i="14" s="1"/>
  <c r="D47" i="14" s="1"/>
  <c r="D48" i="14" s="1"/>
  <c r="D49" i="14" s="1"/>
  <c r="D50" i="14" s="1"/>
  <c r="D51" i="14" s="1"/>
  <c r="D52" i="14" s="1"/>
  <c r="D53" i="14" s="1"/>
  <c r="D54" i="14" s="1"/>
  <c r="D55" i="14" s="1"/>
  <c r="D56" i="14" s="1"/>
  <c r="D57" i="14" s="1"/>
  <c r="D58" i="14" s="1"/>
  <c r="D59" i="14" s="1"/>
  <c r="D60" i="14" s="1"/>
  <c r="D61" i="14" s="1"/>
  <c r="D62" i="14" s="1"/>
  <c r="D63" i="14" s="1"/>
  <c r="D64" i="14" s="1"/>
  <c r="D65" i="14" s="1"/>
  <c r="D66" i="14" s="1"/>
  <c r="D67" i="14" s="1"/>
  <c r="D68" i="14" s="1"/>
  <c r="D69" i="14" s="1"/>
  <c r="D70" i="14" s="1"/>
  <c r="D71" i="14" s="1"/>
  <c r="D72" i="14" s="1"/>
  <c r="D73" i="14" s="1"/>
  <c r="D74" i="14" s="1"/>
  <c r="D75" i="14" s="1"/>
  <c r="D76" i="14" s="1"/>
  <c r="D77" i="14" s="1"/>
  <c r="F2" i="14" s="1"/>
  <c r="B8" i="14"/>
  <c r="D8" i="14" s="1"/>
  <c r="E8" i="14" s="1"/>
  <c r="D7" i="14"/>
  <c r="E7" i="14" s="1"/>
  <c r="F7" i="14" s="1"/>
  <c r="F8" i="14" l="1"/>
  <c r="B9" i="14"/>
  <c r="D9" i="14" s="1"/>
  <c r="E9" i="14" s="1"/>
  <c r="F9" i="14" s="1"/>
  <c r="E2" i="14" s="1"/>
  <c r="G2" i="14" s="1"/>
</calcChain>
</file>

<file path=xl/sharedStrings.xml><?xml version="1.0" encoding="utf-8"?>
<sst xmlns="http://schemas.openxmlformats.org/spreadsheetml/2006/main" count="23" uniqueCount="19">
  <si>
    <t>Competência</t>
  </si>
  <si>
    <t>Tributo</t>
  </si>
  <si>
    <t>Vencimento</t>
  </si>
  <si>
    <t>Atualização</t>
  </si>
  <si>
    <t>Dias Atraso</t>
  </si>
  <si>
    <t>Multa Diária</t>
  </si>
  <si>
    <t>Valor</t>
  </si>
  <si>
    <t>Multa Total</t>
  </si>
  <si>
    <t>SELIC</t>
  </si>
  <si>
    <t>Soma</t>
  </si>
  <si>
    <t>Multa</t>
  </si>
  <si>
    <t>Juros</t>
  </si>
  <si>
    <t>Total</t>
  </si>
  <si>
    <t>Mês</t>
  </si>
  <si>
    <t>Taxa</t>
  </si>
  <si>
    <t>Multas de Mora</t>
  </si>
  <si>
    <t>Juros de Mora</t>
  </si>
  <si>
    <t>-------------------------------------------------------------------------------------------------------------------------</t>
  </si>
  <si>
    <t>SIMPLES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</si>
</sst>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14" fontId="0" fillId="2" borderId="0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10" fontId="0" fillId="2" borderId="0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1" xfId="0" applyNumberFormat="1" applyFill="1" applyBorder="1" applyAlignment="1">
      <alignment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14" fontId="0" fillId="2" borderId="0" xfId="0" applyNumberForma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0" fillId="2" borderId="0" xfId="1" applyFont="1" applyFill="1" applyBorder="1" applyAlignment="1">
      <alignment vertical="center"/>
    </xf>
    <xf numFmtId="164" fontId="0" fillId="2" borderId="0" xfId="0" applyNumberFormat="1" applyFill="1" applyBorder="1" applyAlignment="1">
      <alignment vertical="center"/>
    </xf>
    <xf numFmtId="164" fontId="0" fillId="2" borderId="1" xfId="1" applyFont="1" applyFill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164" fontId="2" fillId="3" borderId="1" xfId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left" vertical="center"/>
    </xf>
    <xf numFmtId="14" fontId="0" fillId="2" borderId="1" xfId="1" applyNumberFormat="1" applyFont="1" applyFill="1" applyBorder="1" applyAlignment="1">
      <alignment horizontal="center" vertical="center"/>
    </xf>
    <xf numFmtId="10" fontId="0" fillId="2" borderId="1" xfId="1" applyNumberFormat="1" applyFont="1" applyFill="1" applyBorder="1" applyAlignment="1">
      <alignment vertical="center"/>
    </xf>
    <xf numFmtId="164" fontId="0" fillId="2" borderId="1" xfId="1" applyFon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5" fontId="2" fillId="2" borderId="0" xfId="0" quotePrefix="1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20"/>
  <sheetViews>
    <sheetView tabSelected="1" workbookViewId="0">
      <pane ySplit="3" topLeftCell="A4" activePane="bottomLeft" state="frozen"/>
      <selection pane="bottomLeft" activeCell="A3" sqref="A3:G3"/>
    </sheetView>
  </sheetViews>
  <sheetFormatPr defaultColWidth="9.109375" defaultRowHeight="14.4" x14ac:dyDescent="0.3"/>
  <cols>
    <col min="1" max="1" width="18.44140625" style="2" bestFit="1" customWidth="1"/>
    <col min="2" max="2" width="15.6640625" style="2" customWidth="1"/>
    <col min="3" max="3" width="15.6640625" style="13" customWidth="1"/>
    <col min="4" max="7" width="15.6640625" style="2" customWidth="1"/>
    <col min="8" max="8" width="11.6640625" style="2" customWidth="1"/>
    <col min="9" max="9" width="9.5546875" style="13" bestFit="1" customWidth="1"/>
    <col min="10" max="16384" width="9.109375" style="2"/>
  </cols>
  <sheetData>
    <row r="1" spans="1:9" ht="20.100000000000001" customHeight="1" x14ac:dyDescent="0.3">
      <c r="A1" s="12" t="s">
        <v>1</v>
      </c>
      <c r="B1" s="12" t="s">
        <v>0</v>
      </c>
      <c r="C1" s="17" t="s">
        <v>2</v>
      </c>
      <c r="D1" s="12" t="s">
        <v>6</v>
      </c>
      <c r="E1" s="12" t="s">
        <v>10</v>
      </c>
      <c r="F1" s="12" t="s">
        <v>11</v>
      </c>
      <c r="G1" s="12" t="s">
        <v>12</v>
      </c>
      <c r="I1" s="2"/>
    </row>
    <row r="2" spans="1:9" ht="20.100000000000001" customHeight="1" x14ac:dyDescent="0.3">
      <c r="A2" s="19" t="s">
        <v>18</v>
      </c>
      <c r="B2" s="18">
        <v>44256</v>
      </c>
      <c r="C2" s="20">
        <v>44397</v>
      </c>
      <c r="D2" s="15">
        <v>480.96</v>
      </c>
      <c r="E2" s="16">
        <f>F9</f>
        <v>96.191999999999894</v>
      </c>
      <c r="F2" s="16">
        <f>D77</f>
        <v>8.9939520000000002</v>
      </c>
      <c r="G2" s="16">
        <f>SUM(D2:F2)</f>
        <v>586.14595199999985</v>
      </c>
      <c r="H2" s="3"/>
      <c r="I2" s="2"/>
    </row>
    <row r="3" spans="1:9" ht="20.100000000000001" customHeight="1" x14ac:dyDescent="0.3">
      <c r="A3" s="24" t="s">
        <v>17</v>
      </c>
      <c r="B3" s="25"/>
      <c r="C3" s="25"/>
      <c r="D3" s="25"/>
      <c r="E3" s="25"/>
      <c r="F3" s="25"/>
      <c r="G3" s="25"/>
      <c r="H3" s="3"/>
      <c r="I3" s="2"/>
    </row>
    <row r="4" spans="1:9" ht="20.100000000000001" customHeight="1" x14ac:dyDescent="0.3">
      <c r="E4" s="1"/>
      <c r="I4" s="2"/>
    </row>
    <row r="5" spans="1:9" ht="20.100000000000001" customHeight="1" x14ac:dyDescent="0.3">
      <c r="A5" s="26" t="s">
        <v>15</v>
      </c>
      <c r="B5" s="26"/>
      <c r="C5" s="26"/>
      <c r="D5" s="26"/>
      <c r="E5" s="26"/>
      <c r="F5" s="26"/>
      <c r="I5" s="2"/>
    </row>
    <row r="6" spans="1:9" ht="20.100000000000001" customHeight="1" x14ac:dyDescent="0.3">
      <c r="A6" s="12" t="s">
        <v>3</v>
      </c>
      <c r="B6" s="12" t="s">
        <v>4</v>
      </c>
      <c r="C6" s="12" t="s">
        <v>5</v>
      </c>
      <c r="D6" s="12" t="s">
        <v>7</v>
      </c>
      <c r="E6" s="17" t="s">
        <v>6</v>
      </c>
      <c r="F6" s="12" t="s">
        <v>9</v>
      </c>
      <c r="I6" s="2"/>
    </row>
    <row r="7" spans="1:9" ht="20.100000000000001" customHeight="1" x14ac:dyDescent="0.3">
      <c r="A7" s="6">
        <v>44408</v>
      </c>
      <c r="B7" s="4">
        <f>A7-$C$2</f>
        <v>11</v>
      </c>
      <c r="C7" s="5">
        <v>3.3333333333333301E-3</v>
      </c>
      <c r="D7" s="5">
        <f>B7*C7</f>
        <v>3.6666666666666632E-2</v>
      </c>
      <c r="E7" s="15">
        <f>$D$2*D7</f>
        <v>17.635199999999983</v>
      </c>
      <c r="F7" s="16">
        <f>E7</f>
        <v>17.635199999999983</v>
      </c>
      <c r="I7" s="2"/>
    </row>
    <row r="8" spans="1:9" ht="20.100000000000001" customHeight="1" x14ac:dyDescent="0.3">
      <c r="A8" s="6">
        <v>44439</v>
      </c>
      <c r="B8" s="4">
        <f>(A8-$C$2)-B7</f>
        <v>31</v>
      </c>
      <c r="C8" s="5">
        <f>C7</f>
        <v>3.3333333333333301E-3</v>
      </c>
      <c r="D8" s="5">
        <f>B8*C8</f>
        <v>0.10333333333333324</v>
      </c>
      <c r="E8" s="15">
        <f t="shared" ref="E8:E9" si="0">$D$2*D8</f>
        <v>49.699199999999948</v>
      </c>
      <c r="F8" s="16">
        <f>F7+E8</f>
        <v>67.334399999999931</v>
      </c>
      <c r="I8" s="2"/>
    </row>
    <row r="9" spans="1:9" ht="20.100000000000001" customHeight="1" x14ac:dyDescent="0.3">
      <c r="A9" s="6">
        <v>44457</v>
      </c>
      <c r="B9" s="4">
        <f>60-B7-B8</f>
        <v>18</v>
      </c>
      <c r="C9" s="21">
        <f>C8</f>
        <v>3.3333333333333301E-3</v>
      </c>
      <c r="D9" s="5">
        <f>B9*C9</f>
        <v>5.9999999999999942E-2</v>
      </c>
      <c r="E9" s="15">
        <f t="shared" si="0"/>
        <v>28.857599999999969</v>
      </c>
      <c r="F9" s="16">
        <f>F8+E9</f>
        <v>96.191999999999894</v>
      </c>
      <c r="I9" s="2"/>
    </row>
    <row r="10" spans="1:9" ht="20.100000000000001" customHeight="1" x14ac:dyDescent="0.3">
      <c r="E10" s="14"/>
      <c r="I10" s="2"/>
    </row>
    <row r="11" spans="1:9" ht="20.100000000000001" customHeight="1" x14ac:dyDescent="0.3">
      <c r="A11" s="27" t="s">
        <v>16</v>
      </c>
      <c r="B11" s="27"/>
      <c r="C11" s="27"/>
      <c r="D11" s="27"/>
      <c r="E11" s="14"/>
      <c r="I11" s="2"/>
    </row>
    <row r="12" spans="1:9" ht="20.100000000000001" customHeight="1" x14ac:dyDescent="0.3">
      <c r="A12" s="12" t="s">
        <v>3</v>
      </c>
      <c r="B12" s="12" t="s">
        <v>8</v>
      </c>
      <c r="C12" s="17" t="s">
        <v>6</v>
      </c>
      <c r="D12" s="12" t="s">
        <v>9</v>
      </c>
      <c r="I12" s="2"/>
    </row>
    <row r="13" spans="1:9" ht="20.100000000000001" customHeight="1" x14ac:dyDescent="0.3">
      <c r="A13" s="6">
        <v>44409</v>
      </c>
      <c r="B13" s="8">
        <v>0.01</v>
      </c>
      <c r="C13" s="22">
        <f t="shared" ref="C13:C33" si="1">$D$2*B13</f>
        <v>4.8095999999999997</v>
      </c>
      <c r="D13" s="23">
        <f>C13</f>
        <v>4.8095999999999997</v>
      </c>
      <c r="I13" s="2"/>
    </row>
    <row r="14" spans="1:9" ht="20.100000000000001" customHeight="1" x14ac:dyDescent="0.3">
      <c r="A14" s="6">
        <v>44440</v>
      </c>
      <c r="B14" s="8">
        <f>SELIC!B51</f>
        <v>4.3E-3</v>
      </c>
      <c r="C14" s="22">
        <f t="shared" si="1"/>
        <v>2.0681279999999997</v>
      </c>
      <c r="D14" s="23">
        <f t="shared" ref="D14:D34" si="2">D13+C14</f>
        <v>6.8777279999999994</v>
      </c>
      <c r="I14" s="2"/>
    </row>
    <row r="15" spans="1:9" ht="20.100000000000001" customHeight="1" x14ac:dyDescent="0.3">
      <c r="A15" s="6">
        <v>44470</v>
      </c>
      <c r="B15" s="8">
        <f>SELIC!B52</f>
        <v>4.4000000000000003E-3</v>
      </c>
      <c r="C15" s="22">
        <f t="shared" si="1"/>
        <v>2.1162239999999999</v>
      </c>
      <c r="D15" s="23">
        <f t="shared" si="2"/>
        <v>8.9939520000000002</v>
      </c>
      <c r="I15" s="2"/>
    </row>
    <row r="16" spans="1:9" ht="20.100000000000001" customHeight="1" x14ac:dyDescent="0.3">
      <c r="A16" s="6">
        <v>44501</v>
      </c>
      <c r="B16" s="8">
        <f>SELIC!B53</f>
        <v>0</v>
      </c>
      <c r="C16" s="22">
        <f t="shared" si="1"/>
        <v>0</v>
      </c>
      <c r="D16" s="23">
        <f t="shared" si="2"/>
        <v>8.9939520000000002</v>
      </c>
      <c r="I16" s="2"/>
    </row>
    <row r="17" spans="1:9" ht="20.100000000000001" customHeight="1" x14ac:dyDescent="0.3">
      <c r="A17" s="6">
        <v>44531</v>
      </c>
      <c r="B17" s="8">
        <f>SELIC!B54</f>
        <v>0</v>
      </c>
      <c r="C17" s="22">
        <f t="shared" si="1"/>
        <v>0</v>
      </c>
      <c r="D17" s="23">
        <f t="shared" si="2"/>
        <v>8.9939520000000002</v>
      </c>
      <c r="I17" s="2"/>
    </row>
    <row r="18" spans="1:9" ht="20.100000000000001" customHeight="1" x14ac:dyDescent="0.3">
      <c r="A18" s="6">
        <v>44562</v>
      </c>
      <c r="B18" s="8">
        <f>SELIC!B55</f>
        <v>0</v>
      </c>
      <c r="C18" s="22">
        <f t="shared" si="1"/>
        <v>0</v>
      </c>
      <c r="D18" s="23">
        <f t="shared" si="2"/>
        <v>8.9939520000000002</v>
      </c>
      <c r="I18" s="2"/>
    </row>
    <row r="19" spans="1:9" ht="20.100000000000001" customHeight="1" x14ac:dyDescent="0.3">
      <c r="A19" s="6">
        <v>44593</v>
      </c>
      <c r="B19" s="8">
        <f>SELIC!B56</f>
        <v>0</v>
      </c>
      <c r="C19" s="22">
        <f t="shared" si="1"/>
        <v>0</v>
      </c>
      <c r="D19" s="23">
        <f t="shared" si="2"/>
        <v>8.9939520000000002</v>
      </c>
      <c r="I19" s="2"/>
    </row>
    <row r="20" spans="1:9" ht="20.100000000000001" customHeight="1" x14ac:dyDescent="0.3">
      <c r="A20" s="6">
        <v>44621</v>
      </c>
      <c r="B20" s="8">
        <f>SELIC!B57</f>
        <v>0</v>
      </c>
      <c r="C20" s="22">
        <f t="shared" si="1"/>
        <v>0</v>
      </c>
      <c r="D20" s="23">
        <f t="shared" si="2"/>
        <v>8.9939520000000002</v>
      </c>
      <c r="I20" s="2"/>
    </row>
    <row r="21" spans="1:9" ht="20.100000000000001" customHeight="1" x14ac:dyDescent="0.3">
      <c r="A21" s="6">
        <v>44652</v>
      </c>
      <c r="B21" s="8">
        <f>SELIC!B58</f>
        <v>0</v>
      </c>
      <c r="C21" s="22">
        <f t="shared" si="1"/>
        <v>0</v>
      </c>
      <c r="D21" s="23">
        <f t="shared" si="2"/>
        <v>8.9939520000000002</v>
      </c>
      <c r="I21" s="2"/>
    </row>
    <row r="22" spans="1:9" ht="20.100000000000001" customHeight="1" x14ac:dyDescent="0.3">
      <c r="A22" s="6">
        <v>44682</v>
      </c>
      <c r="B22" s="8">
        <f>SELIC!B59</f>
        <v>0</v>
      </c>
      <c r="C22" s="22">
        <f t="shared" si="1"/>
        <v>0</v>
      </c>
      <c r="D22" s="23">
        <f t="shared" si="2"/>
        <v>8.9939520000000002</v>
      </c>
      <c r="I22" s="2"/>
    </row>
    <row r="23" spans="1:9" ht="20.100000000000001" customHeight="1" x14ac:dyDescent="0.3">
      <c r="A23" s="6">
        <v>44713</v>
      </c>
      <c r="B23" s="8">
        <f>SELIC!B60</f>
        <v>0</v>
      </c>
      <c r="C23" s="22">
        <f t="shared" si="1"/>
        <v>0</v>
      </c>
      <c r="D23" s="23">
        <f t="shared" si="2"/>
        <v>8.9939520000000002</v>
      </c>
      <c r="I23" s="2"/>
    </row>
    <row r="24" spans="1:9" ht="20.100000000000001" customHeight="1" x14ac:dyDescent="0.3">
      <c r="A24" s="6">
        <v>44743</v>
      </c>
      <c r="B24" s="8">
        <f>SELIC!B61</f>
        <v>0</v>
      </c>
      <c r="C24" s="22">
        <f t="shared" si="1"/>
        <v>0</v>
      </c>
      <c r="D24" s="23">
        <f t="shared" si="2"/>
        <v>8.9939520000000002</v>
      </c>
      <c r="I24" s="2"/>
    </row>
    <row r="25" spans="1:9" ht="20.100000000000001" customHeight="1" x14ac:dyDescent="0.3">
      <c r="A25" s="6">
        <v>44774</v>
      </c>
      <c r="B25" s="8">
        <f>SELIC!B62</f>
        <v>0</v>
      </c>
      <c r="C25" s="22">
        <f t="shared" si="1"/>
        <v>0</v>
      </c>
      <c r="D25" s="23">
        <f t="shared" si="2"/>
        <v>8.9939520000000002</v>
      </c>
      <c r="I25" s="2"/>
    </row>
    <row r="26" spans="1:9" ht="20.100000000000001" customHeight="1" x14ac:dyDescent="0.3">
      <c r="A26" s="6">
        <v>44805</v>
      </c>
      <c r="B26" s="8">
        <f>SELIC!B63</f>
        <v>0</v>
      </c>
      <c r="C26" s="22">
        <f t="shared" si="1"/>
        <v>0</v>
      </c>
      <c r="D26" s="23">
        <f t="shared" si="2"/>
        <v>8.9939520000000002</v>
      </c>
      <c r="I26" s="2"/>
    </row>
    <row r="27" spans="1:9" ht="20.100000000000001" customHeight="1" x14ac:dyDescent="0.3">
      <c r="A27" s="6">
        <v>44835</v>
      </c>
      <c r="B27" s="8">
        <f>SELIC!B63</f>
        <v>0</v>
      </c>
      <c r="C27" s="22">
        <f t="shared" si="1"/>
        <v>0</v>
      </c>
      <c r="D27" s="23">
        <f t="shared" si="2"/>
        <v>8.9939520000000002</v>
      </c>
      <c r="I27" s="2"/>
    </row>
    <row r="28" spans="1:9" ht="20.100000000000001" customHeight="1" x14ac:dyDescent="0.3">
      <c r="A28" s="6">
        <v>44866</v>
      </c>
      <c r="B28" s="8">
        <f>SELIC!B64</f>
        <v>0</v>
      </c>
      <c r="C28" s="22">
        <f t="shared" si="1"/>
        <v>0</v>
      </c>
      <c r="D28" s="23">
        <f t="shared" si="2"/>
        <v>8.9939520000000002</v>
      </c>
      <c r="I28" s="2"/>
    </row>
    <row r="29" spans="1:9" ht="20.100000000000001" customHeight="1" x14ac:dyDescent="0.3">
      <c r="A29" s="6">
        <v>44896</v>
      </c>
      <c r="B29" s="8">
        <f>SELIC!B65</f>
        <v>0</v>
      </c>
      <c r="C29" s="22">
        <f t="shared" si="1"/>
        <v>0</v>
      </c>
      <c r="D29" s="23">
        <f t="shared" si="2"/>
        <v>8.9939520000000002</v>
      </c>
      <c r="I29" s="2"/>
    </row>
    <row r="30" spans="1:9" ht="20.100000000000001" customHeight="1" x14ac:dyDescent="0.3">
      <c r="A30" s="6">
        <v>44927</v>
      </c>
      <c r="B30" s="8">
        <f>SELIC!B66</f>
        <v>0</v>
      </c>
      <c r="C30" s="22">
        <f t="shared" si="1"/>
        <v>0</v>
      </c>
      <c r="D30" s="23">
        <f t="shared" si="2"/>
        <v>8.9939520000000002</v>
      </c>
      <c r="I30" s="2"/>
    </row>
    <row r="31" spans="1:9" ht="20.100000000000001" customHeight="1" x14ac:dyDescent="0.3">
      <c r="A31" s="6">
        <v>44958</v>
      </c>
      <c r="B31" s="8">
        <f>SELIC!B67</f>
        <v>0</v>
      </c>
      <c r="C31" s="22">
        <f t="shared" si="1"/>
        <v>0</v>
      </c>
      <c r="D31" s="23">
        <f t="shared" si="2"/>
        <v>8.9939520000000002</v>
      </c>
      <c r="I31" s="2"/>
    </row>
    <row r="32" spans="1:9" ht="20.100000000000001" customHeight="1" x14ac:dyDescent="0.3">
      <c r="A32" s="6">
        <v>44986</v>
      </c>
      <c r="B32" s="8">
        <f>SELIC!B68</f>
        <v>0</v>
      </c>
      <c r="C32" s="22">
        <f t="shared" si="1"/>
        <v>0</v>
      </c>
      <c r="D32" s="23">
        <f t="shared" si="2"/>
        <v>8.9939520000000002</v>
      </c>
      <c r="I32" s="2"/>
    </row>
    <row r="33" spans="1:9" ht="20.100000000000001" customHeight="1" x14ac:dyDescent="0.3">
      <c r="A33" s="6">
        <v>45017</v>
      </c>
      <c r="B33" s="8">
        <f>SELIC!B69</f>
        <v>0</v>
      </c>
      <c r="C33" s="22">
        <f t="shared" si="1"/>
        <v>0</v>
      </c>
      <c r="D33" s="23">
        <f t="shared" si="2"/>
        <v>8.9939520000000002</v>
      </c>
      <c r="I33" s="2"/>
    </row>
    <row r="34" spans="1:9" ht="20.100000000000001" customHeight="1" x14ac:dyDescent="0.3">
      <c r="A34" s="6">
        <v>45047</v>
      </c>
      <c r="B34" s="8">
        <f>SELIC!B70</f>
        <v>0</v>
      </c>
      <c r="C34" s="22">
        <f t="shared" ref="C34:C77" si="3">$D$2*B34</f>
        <v>0</v>
      </c>
      <c r="D34" s="23">
        <f t="shared" si="2"/>
        <v>8.9939520000000002</v>
      </c>
      <c r="I34" s="2"/>
    </row>
    <row r="35" spans="1:9" ht="20.100000000000001" customHeight="1" x14ac:dyDescent="0.3">
      <c r="A35" s="6">
        <v>45078</v>
      </c>
      <c r="B35" s="8">
        <f>SELIC!B71</f>
        <v>0</v>
      </c>
      <c r="C35" s="22">
        <f t="shared" si="3"/>
        <v>0</v>
      </c>
      <c r="D35" s="23">
        <f t="shared" ref="D35:D77" si="4">D34+C35</f>
        <v>8.9939520000000002</v>
      </c>
      <c r="I35" s="2"/>
    </row>
    <row r="36" spans="1:9" ht="20.100000000000001" customHeight="1" x14ac:dyDescent="0.3">
      <c r="A36" s="6">
        <v>45108</v>
      </c>
      <c r="B36" s="8">
        <f>SELIC!B72</f>
        <v>0</v>
      </c>
      <c r="C36" s="22">
        <f t="shared" si="3"/>
        <v>0</v>
      </c>
      <c r="D36" s="23">
        <f t="shared" si="4"/>
        <v>8.9939520000000002</v>
      </c>
      <c r="I36" s="2"/>
    </row>
    <row r="37" spans="1:9" ht="20.100000000000001" customHeight="1" x14ac:dyDescent="0.3">
      <c r="A37" s="6">
        <v>45139</v>
      </c>
      <c r="B37" s="8">
        <f>SELIC!B73</f>
        <v>0</v>
      </c>
      <c r="C37" s="22">
        <f t="shared" si="3"/>
        <v>0</v>
      </c>
      <c r="D37" s="23">
        <f t="shared" si="4"/>
        <v>8.9939520000000002</v>
      </c>
      <c r="I37" s="2"/>
    </row>
    <row r="38" spans="1:9" ht="20.100000000000001" customHeight="1" x14ac:dyDescent="0.3">
      <c r="A38" s="6">
        <v>45170</v>
      </c>
      <c r="B38" s="8">
        <f>SELIC!B74</f>
        <v>0</v>
      </c>
      <c r="C38" s="22">
        <f t="shared" si="3"/>
        <v>0</v>
      </c>
      <c r="D38" s="23">
        <f t="shared" si="4"/>
        <v>8.9939520000000002</v>
      </c>
      <c r="I38" s="2"/>
    </row>
    <row r="39" spans="1:9" ht="20.100000000000001" customHeight="1" x14ac:dyDescent="0.3">
      <c r="A39" s="6">
        <v>45200</v>
      </c>
      <c r="B39" s="8">
        <f>SELIC!B75</f>
        <v>0</v>
      </c>
      <c r="C39" s="22">
        <f t="shared" si="3"/>
        <v>0</v>
      </c>
      <c r="D39" s="23">
        <f t="shared" si="4"/>
        <v>8.9939520000000002</v>
      </c>
      <c r="I39" s="2"/>
    </row>
    <row r="40" spans="1:9" ht="20.100000000000001" customHeight="1" x14ac:dyDescent="0.3">
      <c r="A40" s="6">
        <v>45231</v>
      </c>
      <c r="B40" s="8">
        <f>SELIC!B76</f>
        <v>0</v>
      </c>
      <c r="C40" s="22">
        <f t="shared" si="3"/>
        <v>0</v>
      </c>
      <c r="D40" s="23">
        <f t="shared" si="4"/>
        <v>8.9939520000000002</v>
      </c>
      <c r="I40" s="2"/>
    </row>
    <row r="41" spans="1:9" ht="20.100000000000001" customHeight="1" x14ac:dyDescent="0.3">
      <c r="A41" s="6">
        <v>45261</v>
      </c>
      <c r="B41" s="8">
        <f>SELIC!B77</f>
        <v>0</v>
      </c>
      <c r="C41" s="22">
        <f t="shared" si="3"/>
        <v>0</v>
      </c>
      <c r="D41" s="23">
        <f t="shared" si="4"/>
        <v>8.9939520000000002</v>
      </c>
      <c r="I41" s="2"/>
    </row>
    <row r="42" spans="1:9" ht="20.100000000000001" customHeight="1" x14ac:dyDescent="0.3">
      <c r="A42" s="6">
        <v>45292</v>
      </c>
      <c r="B42" s="8">
        <f>SELIC!B78</f>
        <v>0</v>
      </c>
      <c r="C42" s="22">
        <f t="shared" si="3"/>
        <v>0</v>
      </c>
      <c r="D42" s="23">
        <f t="shared" si="4"/>
        <v>8.9939520000000002</v>
      </c>
      <c r="I42" s="2"/>
    </row>
    <row r="43" spans="1:9" ht="20.100000000000001" customHeight="1" x14ac:dyDescent="0.3">
      <c r="A43" s="6">
        <v>45323</v>
      </c>
      <c r="B43" s="8">
        <f>SELIC!B79</f>
        <v>0</v>
      </c>
      <c r="C43" s="22">
        <f t="shared" si="3"/>
        <v>0</v>
      </c>
      <c r="D43" s="23">
        <f t="shared" si="4"/>
        <v>8.9939520000000002</v>
      </c>
      <c r="I43" s="2"/>
    </row>
    <row r="44" spans="1:9" ht="20.100000000000001" customHeight="1" x14ac:dyDescent="0.3">
      <c r="A44" s="6">
        <v>45352</v>
      </c>
      <c r="B44" s="8">
        <f>SELIC!B80</f>
        <v>0</v>
      </c>
      <c r="C44" s="22">
        <f t="shared" si="3"/>
        <v>0</v>
      </c>
      <c r="D44" s="23">
        <f t="shared" si="4"/>
        <v>8.9939520000000002</v>
      </c>
      <c r="I44" s="2"/>
    </row>
    <row r="45" spans="1:9" ht="20.100000000000001" customHeight="1" x14ac:dyDescent="0.3">
      <c r="A45" s="6">
        <v>45383</v>
      </c>
      <c r="B45" s="8">
        <f>SELIC!B81</f>
        <v>0</v>
      </c>
      <c r="C45" s="22">
        <f t="shared" si="3"/>
        <v>0</v>
      </c>
      <c r="D45" s="23">
        <f t="shared" si="4"/>
        <v>8.9939520000000002</v>
      </c>
      <c r="I45" s="2"/>
    </row>
    <row r="46" spans="1:9" ht="20.100000000000001" customHeight="1" x14ac:dyDescent="0.3">
      <c r="A46" s="6">
        <v>45413</v>
      </c>
      <c r="B46" s="8">
        <f>SELIC!B82</f>
        <v>0</v>
      </c>
      <c r="C46" s="22">
        <f t="shared" si="3"/>
        <v>0</v>
      </c>
      <c r="D46" s="23">
        <f t="shared" si="4"/>
        <v>8.9939520000000002</v>
      </c>
      <c r="I46" s="2"/>
    </row>
    <row r="47" spans="1:9" ht="20.100000000000001" customHeight="1" x14ac:dyDescent="0.3">
      <c r="A47" s="6">
        <v>45444</v>
      </c>
      <c r="B47" s="8">
        <f>SELIC!B83</f>
        <v>0</v>
      </c>
      <c r="C47" s="22">
        <f t="shared" si="3"/>
        <v>0</v>
      </c>
      <c r="D47" s="23">
        <f t="shared" si="4"/>
        <v>8.9939520000000002</v>
      </c>
      <c r="I47" s="2"/>
    </row>
    <row r="48" spans="1:9" ht="20.100000000000001" customHeight="1" x14ac:dyDescent="0.3">
      <c r="A48" s="6">
        <v>45474</v>
      </c>
      <c r="B48" s="8">
        <f>SELIC!B84</f>
        <v>0</v>
      </c>
      <c r="C48" s="22">
        <f t="shared" si="3"/>
        <v>0</v>
      </c>
      <c r="D48" s="23">
        <f t="shared" si="4"/>
        <v>8.9939520000000002</v>
      </c>
      <c r="I48" s="2"/>
    </row>
    <row r="49" spans="1:9" ht="20.100000000000001" customHeight="1" x14ac:dyDescent="0.3">
      <c r="A49" s="6">
        <v>45505</v>
      </c>
      <c r="B49" s="8">
        <f>SELIC!B85</f>
        <v>0</v>
      </c>
      <c r="C49" s="22">
        <f t="shared" si="3"/>
        <v>0</v>
      </c>
      <c r="D49" s="23">
        <f t="shared" si="4"/>
        <v>8.9939520000000002</v>
      </c>
      <c r="I49" s="2"/>
    </row>
    <row r="50" spans="1:9" ht="20.100000000000001" customHeight="1" x14ac:dyDescent="0.3">
      <c r="A50" s="6">
        <v>45536</v>
      </c>
      <c r="B50" s="8">
        <f>SELIC!B86</f>
        <v>0</v>
      </c>
      <c r="C50" s="22">
        <f t="shared" si="3"/>
        <v>0</v>
      </c>
      <c r="D50" s="23">
        <f t="shared" si="4"/>
        <v>8.9939520000000002</v>
      </c>
      <c r="I50" s="2"/>
    </row>
    <row r="51" spans="1:9" ht="20.100000000000001" customHeight="1" x14ac:dyDescent="0.3">
      <c r="A51" s="6">
        <v>45566</v>
      </c>
      <c r="B51" s="8">
        <f>SELIC!B87</f>
        <v>0</v>
      </c>
      <c r="C51" s="22">
        <f t="shared" si="3"/>
        <v>0</v>
      </c>
      <c r="D51" s="23">
        <f t="shared" si="4"/>
        <v>8.9939520000000002</v>
      </c>
      <c r="I51" s="2"/>
    </row>
    <row r="52" spans="1:9" ht="20.100000000000001" customHeight="1" x14ac:dyDescent="0.3">
      <c r="A52" s="6">
        <v>45597</v>
      </c>
      <c r="B52" s="8">
        <f>SELIC!B88</f>
        <v>0</v>
      </c>
      <c r="C52" s="22">
        <f t="shared" si="3"/>
        <v>0</v>
      </c>
      <c r="D52" s="23">
        <f t="shared" si="4"/>
        <v>8.9939520000000002</v>
      </c>
      <c r="I52" s="2"/>
    </row>
    <row r="53" spans="1:9" ht="20.100000000000001" customHeight="1" x14ac:dyDescent="0.3">
      <c r="A53" s="6">
        <v>45627</v>
      </c>
      <c r="B53" s="8">
        <f>SELIC!B89</f>
        <v>0</v>
      </c>
      <c r="C53" s="22">
        <f t="shared" si="3"/>
        <v>0</v>
      </c>
      <c r="D53" s="23">
        <f t="shared" si="4"/>
        <v>8.9939520000000002</v>
      </c>
      <c r="I53" s="2"/>
    </row>
    <row r="54" spans="1:9" ht="20.100000000000001" customHeight="1" x14ac:dyDescent="0.3">
      <c r="A54" s="6">
        <v>45658</v>
      </c>
      <c r="B54" s="8">
        <f>SELIC!B90</f>
        <v>0</v>
      </c>
      <c r="C54" s="22">
        <f t="shared" si="3"/>
        <v>0</v>
      </c>
      <c r="D54" s="23">
        <f t="shared" si="4"/>
        <v>8.9939520000000002</v>
      </c>
      <c r="I54" s="2"/>
    </row>
    <row r="55" spans="1:9" ht="20.100000000000001" customHeight="1" x14ac:dyDescent="0.3">
      <c r="A55" s="6">
        <v>45689</v>
      </c>
      <c r="B55" s="8">
        <f>SELIC!B91</f>
        <v>0</v>
      </c>
      <c r="C55" s="22">
        <f t="shared" si="3"/>
        <v>0</v>
      </c>
      <c r="D55" s="23">
        <f t="shared" si="4"/>
        <v>8.9939520000000002</v>
      </c>
      <c r="I55" s="2"/>
    </row>
    <row r="56" spans="1:9" ht="20.100000000000001" customHeight="1" x14ac:dyDescent="0.3">
      <c r="A56" s="6">
        <v>45717</v>
      </c>
      <c r="B56" s="8">
        <f>SELIC!B92</f>
        <v>0</v>
      </c>
      <c r="C56" s="22">
        <f t="shared" si="3"/>
        <v>0</v>
      </c>
      <c r="D56" s="23">
        <f t="shared" si="4"/>
        <v>8.9939520000000002</v>
      </c>
      <c r="I56" s="2"/>
    </row>
    <row r="57" spans="1:9" ht="20.100000000000001" customHeight="1" x14ac:dyDescent="0.3">
      <c r="A57" s="6">
        <v>45748</v>
      </c>
      <c r="B57" s="8">
        <f>SELIC!B93</f>
        <v>0</v>
      </c>
      <c r="C57" s="22">
        <f t="shared" si="3"/>
        <v>0</v>
      </c>
      <c r="D57" s="23">
        <f t="shared" si="4"/>
        <v>8.9939520000000002</v>
      </c>
      <c r="I57" s="2"/>
    </row>
    <row r="58" spans="1:9" ht="20.100000000000001" customHeight="1" x14ac:dyDescent="0.3">
      <c r="A58" s="6">
        <v>45778</v>
      </c>
      <c r="B58" s="8">
        <f>SELIC!B94</f>
        <v>0</v>
      </c>
      <c r="C58" s="22">
        <f t="shared" si="3"/>
        <v>0</v>
      </c>
      <c r="D58" s="23">
        <f t="shared" si="4"/>
        <v>8.9939520000000002</v>
      </c>
      <c r="I58" s="2"/>
    </row>
    <row r="59" spans="1:9" ht="20.100000000000001" customHeight="1" x14ac:dyDescent="0.3">
      <c r="A59" s="6">
        <v>45809</v>
      </c>
      <c r="B59" s="8">
        <f>SELIC!B95</f>
        <v>0</v>
      </c>
      <c r="C59" s="22">
        <f t="shared" si="3"/>
        <v>0</v>
      </c>
      <c r="D59" s="23">
        <f t="shared" si="4"/>
        <v>8.9939520000000002</v>
      </c>
      <c r="I59" s="2"/>
    </row>
    <row r="60" spans="1:9" ht="20.100000000000001" customHeight="1" x14ac:dyDescent="0.3">
      <c r="A60" s="6">
        <v>45839</v>
      </c>
      <c r="B60" s="8">
        <f>SELIC!B96</f>
        <v>0</v>
      </c>
      <c r="C60" s="22">
        <f t="shared" si="3"/>
        <v>0</v>
      </c>
      <c r="D60" s="23">
        <f t="shared" si="4"/>
        <v>8.9939520000000002</v>
      </c>
      <c r="I60" s="2"/>
    </row>
    <row r="61" spans="1:9" ht="20.100000000000001" customHeight="1" x14ac:dyDescent="0.3">
      <c r="A61" s="6">
        <v>45870</v>
      </c>
      <c r="B61" s="8">
        <f>SELIC!B97</f>
        <v>0</v>
      </c>
      <c r="C61" s="22">
        <f t="shared" si="3"/>
        <v>0</v>
      </c>
      <c r="D61" s="23">
        <f t="shared" si="4"/>
        <v>8.9939520000000002</v>
      </c>
      <c r="I61" s="2"/>
    </row>
    <row r="62" spans="1:9" ht="20.100000000000001" customHeight="1" x14ac:dyDescent="0.3">
      <c r="A62" s="6">
        <v>45901</v>
      </c>
      <c r="B62" s="8">
        <f>SELIC!B98</f>
        <v>0</v>
      </c>
      <c r="C62" s="22">
        <f t="shared" si="3"/>
        <v>0</v>
      </c>
      <c r="D62" s="23">
        <f t="shared" si="4"/>
        <v>8.9939520000000002</v>
      </c>
      <c r="I62" s="2"/>
    </row>
    <row r="63" spans="1:9" ht="20.100000000000001" customHeight="1" x14ac:dyDescent="0.3">
      <c r="A63" s="6">
        <v>45931</v>
      </c>
      <c r="B63" s="8">
        <f>SELIC!B99</f>
        <v>0</v>
      </c>
      <c r="C63" s="22">
        <f t="shared" si="3"/>
        <v>0</v>
      </c>
      <c r="D63" s="23">
        <f t="shared" si="4"/>
        <v>8.9939520000000002</v>
      </c>
      <c r="I63" s="2"/>
    </row>
    <row r="64" spans="1:9" ht="20.100000000000001" customHeight="1" x14ac:dyDescent="0.3">
      <c r="A64" s="6">
        <v>45962</v>
      </c>
      <c r="B64" s="8">
        <f>SELIC!B100</f>
        <v>0</v>
      </c>
      <c r="C64" s="22">
        <f t="shared" si="3"/>
        <v>0</v>
      </c>
      <c r="D64" s="23">
        <f t="shared" si="4"/>
        <v>8.9939520000000002</v>
      </c>
      <c r="I64" s="2"/>
    </row>
    <row r="65" spans="1:9" ht="20.100000000000001" customHeight="1" x14ac:dyDescent="0.3">
      <c r="A65" s="6">
        <v>45992</v>
      </c>
      <c r="B65" s="8">
        <f>SELIC!B101</f>
        <v>0</v>
      </c>
      <c r="C65" s="22">
        <f t="shared" si="3"/>
        <v>0</v>
      </c>
      <c r="D65" s="23">
        <f t="shared" si="4"/>
        <v>8.9939520000000002</v>
      </c>
      <c r="I65" s="2"/>
    </row>
    <row r="66" spans="1:9" ht="20.100000000000001" customHeight="1" x14ac:dyDescent="0.3">
      <c r="A66" s="6">
        <v>46023</v>
      </c>
      <c r="B66" s="8">
        <f>SELIC!B102</f>
        <v>0</v>
      </c>
      <c r="C66" s="22">
        <f t="shared" si="3"/>
        <v>0</v>
      </c>
      <c r="D66" s="23">
        <f t="shared" si="4"/>
        <v>8.9939520000000002</v>
      </c>
      <c r="I66" s="2"/>
    </row>
    <row r="67" spans="1:9" ht="20.100000000000001" customHeight="1" x14ac:dyDescent="0.3">
      <c r="A67" s="6">
        <v>46054</v>
      </c>
      <c r="B67" s="8">
        <f>SELIC!B103</f>
        <v>0</v>
      </c>
      <c r="C67" s="22">
        <f t="shared" si="3"/>
        <v>0</v>
      </c>
      <c r="D67" s="23">
        <f t="shared" si="4"/>
        <v>8.9939520000000002</v>
      </c>
      <c r="I67" s="2"/>
    </row>
    <row r="68" spans="1:9" ht="20.100000000000001" customHeight="1" x14ac:dyDescent="0.3">
      <c r="A68" s="6">
        <v>46082</v>
      </c>
      <c r="B68" s="8">
        <f>SELIC!B104</f>
        <v>0</v>
      </c>
      <c r="C68" s="22">
        <f t="shared" si="3"/>
        <v>0</v>
      </c>
      <c r="D68" s="23">
        <f t="shared" si="4"/>
        <v>8.9939520000000002</v>
      </c>
      <c r="I68" s="2"/>
    </row>
    <row r="69" spans="1:9" ht="20.100000000000001" customHeight="1" x14ac:dyDescent="0.3">
      <c r="A69" s="6">
        <v>46113</v>
      </c>
      <c r="B69" s="8">
        <f>SELIC!B105</f>
        <v>0</v>
      </c>
      <c r="C69" s="22">
        <f t="shared" si="3"/>
        <v>0</v>
      </c>
      <c r="D69" s="23">
        <f t="shared" si="4"/>
        <v>8.9939520000000002</v>
      </c>
      <c r="I69" s="2"/>
    </row>
    <row r="70" spans="1:9" ht="20.100000000000001" customHeight="1" x14ac:dyDescent="0.3">
      <c r="A70" s="6">
        <v>46143</v>
      </c>
      <c r="B70" s="8">
        <f>SELIC!B106</f>
        <v>0</v>
      </c>
      <c r="C70" s="22">
        <f t="shared" si="3"/>
        <v>0</v>
      </c>
      <c r="D70" s="23">
        <f t="shared" si="4"/>
        <v>8.9939520000000002</v>
      </c>
      <c r="I70" s="2"/>
    </row>
    <row r="71" spans="1:9" ht="20.100000000000001" customHeight="1" x14ac:dyDescent="0.3">
      <c r="A71" s="6">
        <v>46174</v>
      </c>
      <c r="B71" s="8">
        <f>SELIC!B107</f>
        <v>0</v>
      </c>
      <c r="C71" s="22">
        <f t="shared" si="3"/>
        <v>0</v>
      </c>
      <c r="D71" s="23">
        <f t="shared" si="4"/>
        <v>8.9939520000000002</v>
      </c>
      <c r="I71" s="2"/>
    </row>
    <row r="72" spans="1:9" ht="20.100000000000001" customHeight="1" x14ac:dyDescent="0.3">
      <c r="A72" s="6">
        <v>46204</v>
      </c>
      <c r="B72" s="8">
        <f>SELIC!B108</f>
        <v>0</v>
      </c>
      <c r="C72" s="22">
        <f t="shared" si="3"/>
        <v>0</v>
      </c>
      <c r="D72" s="23">
        <f t="shared" si="4"/>
        <v>8.9939520000000002</v>
      </c>
      <c r="I72" s="2"/>
    </row>
    <row r="73" spans="1:9" ht="20.100000000000001" customHeight="1" x14ac:dyDescent="0.3">
      <c r="A73" s="6">
        <v>46235</v>
      </c>
      <c r="B73" s="8">
        <f>SELIC!B109</f>
        <v>0</v>
      </c>
      <c r="C73" s="22">
        <f t="shared" si="3"/>
        <v>0</v>
      </c>
      <c r="D73" s="23">
        <f t="shared" si="4"/>
        <v>8.9939520000000002</v>
      </c>
      <c r="I73" s="2"/>
    </row>
    <row r="74" spans="1:9" ht="20.100000000000001" customHeight="1" x14ac:dyDescent="0.3">
      <c r="A74" s="6">
        <v>46266</v>
      </c>
      <c r="B74" s="8">
        <f>SELIC!B110</f>
        <v>0</v>
      </c>
      <c r="C74" s="22">
        <f t="shared" si="3"/>
        <v>0</v>
      </c>
      <c r="D74" s="23">
        <f t="shared" si="4"/>
        <v>8.9939520000000002</v>
      </c>
      <c r="I74" s="2"/>
    </row>
    <row r="75" spans="1:9" ht="20.100000000000001" customHeight="1" x14ac:dyDescent="0.3">
      <c r="A75" s="6">
        <v>46296</v>
      </c>
      <c r="B75" s="8">
        <f>SELIC!B111</f>
        <v>0</v>
      </c>
      <c r="C75" s="22">
        <f t="shared" si="3"/>
        <v>0</v>
      </c>
      <c r="D75" s="23">
        <f t="shared" si="4"/>
        <v>8.9939520000000002</v>
      </c>
      <c r="I75" s="2"/>
    </row>
    <row r="76" spans="1:9" ht="20.100000000000001" customHeight="1" x14ac:dyDescent="0.3">
      <c r="A76" s="6">
        <v>46327</v>
      </c>
      <c r="B76" s="8">
        <f>SELIC!B112</f>
        <v>0</v>
      </c>
      <c r="C76" s="22">
        <f t="shared" si="3"/>
        <v>0</v>
      </c>
      <c r="D76" s="23">
        <f t="shared" si="4"/>
        <v>8.9939520000000002</v>
      </c>
      <c r="I76" s="2"/>
    </row>
    <row r="77" spans="1:9" ht="20.100000000000001" customHeight="1" x14ac:dyDescent="0.3">
      <c r="A77" s="6">
        <v>46357</v>
      </c>
      <c r="B77" s="8">
        <f>SELIC!B113</f>
        <v>0</v>
      </c>
      <c r="C77" s="22">
        <f t="shared" si="3"/>
        <v>0</v>
      </c>
      <c r="D77" s="23">
        <f t="shared" si="4"/>
        <v>8.9939520000000002</v>
      </c>
      <c r="I77" s="2"/>
    </row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</sheetData>
  <mergeCells count="3">
    <mergeCell ref="A3:G3"/>
    <mergeCell ref="A5:F5"/>
    <mergeCell ref="A11:D11"/>
  </mergeCells>
  <pageMargins left="0.511811024" right="0.511811024" top="0.78740157499999996" bottom="0.78740157499999996" header="0.31496062000000002" footer="0.31496062000000002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5"/>
  <sheetViews>
    <sheetView workbookViewId="0">
      <pane ySplit="1" topLeftCell="A36" activePane="bottomLeft" state="frozen"/>
      <selection pane="bottomLeft" activeCell="B53" sqref="B53"/>
    </sheetView>
  </sheetViews>
  <sheetFormatPr defaultColWidth="9.109375" defaultRowHeight="20.100000000000001" customHeight="1" x14ac:dyDescent="0.3"/>
  <cols>
    <col min="1" max="1" width="15.6640625" style="9" customWidth="1"/>
    <col min="2" max="2" width="15.6640625" style="10" customWidth="1"/>
    <col min="3" max="3" width="10.5546875" style="13" bestFit="1" customWidth="1"/>
    <col min="4" max="16384" width="9.109375" style="2"/>
  </cols>
  <sheetData>
    <row r="1" spans="1:2" ht="20.100000000000001" customHeight="1" x14ac:dyDescent="0.3">
      <c r="A1" s="11" t="s">
        <v>13</v>
      </c>
      <c r="B1" s="12" t="s">
        <v>14</v>
      </c>
    </row>
    <row r="2" spans="1:2" ht="20.100000000000001" customHeight="1" x14ac:dyDescent="0.3">
      <c r="A2" s="6">
        <v>42917</v>
      </c>
      <c r="B2" s="8">
        <v>0.01</v>
      </c>
    </row>
    <row r="3" spans="1:2" ht="20.100000000000001" customHeight="1" x14ac:dyDescent="0.3">
      <c r="A3" s="6">
        <v>42948</v>
      </c>
      <c r="B3" s="8">
        <v>8.0000000000000002E-3</v>
      </c>
    </row>
    <row r="4" spans="1:2" ht="20.100000000000001" customHeight="1" x14ac:dyDescent="0.3">
      <c r="A4" s="6">
        <v>42979</v>
      </c>
      <c r="B4" s="8">
        <v>6.4000000000000003E-3</v>
      </c>
    </row>
    <row r="5" spans="1:2" ht="20.100000000000001" customHeight="1" x14ac:dyDescent="0.3">
      <c r="A5" s="6">
        <v>43009</v>
      </c>
      <c r="B5" s="8">
        <v>6.4000000000000003E-3</v>
      </c>
    </row>
    <row r="6" spans="1:2" ht="20.100000000000001" customHeight="1" x14ac:dyDescent="0.3">
      <c r="A6" s="6">
        <v>43040</v>
      </c>
      <c r="B6" s="8">
        <v>5.7000000000000002E-3</v>
      </c>
    </row>
    <row r="7" spans="1:2" ht="20.100000000000001" customHeight="1" x14ac:dyDescent="0.3">
      <c r="A7" s="6">
        <v>43070</v>
      </c>
      <c r="B7" s="8">
        <v>5.4000000000000003E-3</v>
      </c>
    </row>
    <row r="8" spans="1:2" ht="20.100000000000001" customHeight="1" x14ac:dyDescent="0.3">
      <c r="A8" s="6">
        <v>43101</v>
      </c>
      <c r="B8" s="8">
        <v>5.7999999999999996E-3</v>
      </c>
    </row>
    <row r="9" spans="1:2" ht="20.100000000000001" customHeight="1" x14ac:dyDescent="0.3">
      <c r="A9" s="6">
        <v>43132</v>
      </c>
      <c r="B9" s="8">
        <v>4.7000000000000002E-3</v>
      </c>
    </row>
    <row r="10" spans="1:2" ht="20.100000000000001" customHeight="1" x14ac:dyDescent="0.3">
      <c r="A10" s="6">
        <v>43160</v>
      </c>
      <c r="B10" s="8">
        <v>5.3E-3</v>
      </c>
    </row>
    <row r="11" spans="1:2" ht="20.100000000000001" customHeight="1" x14ac:dyDescent="0.3">
      <c r="A11" s="6">
        <v>43191</v>
      </c>
      <c r="B11" s="8">
        <v>5.1999999999999998E-3</v>
      </c>
    </row>
    <row r="12" spans="1:2" ht="20.100000000000001" customHeight="1" x14ac:dyDescent="0.3">
      <c r="A12" s="6">
        <v>43221</v>
      </c>
      <c r="B12" s="8">
        <v>5.1999999999999998E-3</v>
      </c>
    </row>
    <row r="13" spans="1:2" ht="20.100000000000001" customHeight="1" x14ac:dyDescent="0.3">
      <c r="A13" s="6">
        <v>43252</v>
      </c>
      <c r="B13" s="8">
        <v>5.1999999999999998E-3</v>
      </c>
    </row>
    <row r="14" spans="1:2" ht="20.100000000000001" customHeight="1" x14ac:dyDescent="0.3">
      <c r="A14" s="6">
        <v>43282</v>
      </c>
      <c r="B14" s="8">
        <v>5.4000000000000003E-3</v>
      </c>
    </row>
    <row r="15" spans="1:2" ht="20.100000000000001" customHeight="1" x14ac:dyDescent="0.3">
      <c r="A15" s="6">
        <v>43313</v>
      </c>
      <c r="B15" s="8">
        <v>5.7000000000000002E-3</v>
      </c>
    </row>
    <row r="16" spans="1:2" ht="20.100000000000001" customHeight="1" x14ac:dyDescent="0.3">
      <c r="A16" s="6">
        <v>43344</v>
      </c>
      <c r="B16" s="8">
        <v>4.7000000000000002E-3</v>
      </c>
    </row>
    <row r="17" spans="1:2" ht="20.100000000000001" customHeight="1" x14ac:dyDescent="0.3">
      <c r="A17" s="6">
        <v>43374</v>
      </c>
      <c r="B17" s="8">
        <v>5.4000000000000003E-3</v>
      </c>
    </row>
    <row r="18" spans="1:2" ht="20.100000000000001" customHeight="1" x14ac:dyDescent="0.3">
      <c r="A18" s="6">
        <v>43405</v>
      </c>
      <c r="B18" s="8">
        <v>4.8999999999999998E-3</v>
      </c>
    </row>
    <row r="19" spans="1:2" ht="20.100000000000001" customHeight="1" x14ac:dyDescent="0.3">
      <c r="A19" s="6">
        <v>43435</v>
      </c>
      <c r="B19" s="8">
        <v>4.8999999999999998E-3</v>
      </c>
    </row>
    <row r="20" spans="1:2" ht="20.100000000000001" customHeight="1" x14ac:dyDescent="0.3">
      <c r="A20" s="6">
        <v>43466</v>
      </c>
      <c r="B20" s="8">
        <v>5.4000000000000003E-3</v>
      </c>
    </row>
    <row r="21" spans="1:2" ht="20.100000000000001" customHeight="1" x14ac:dyDescent="0.3">
      <c r="A21" s="6">
        <v>43497</v>
      </c>
      <c r="B21" s="8">
        <v>4.8999999999999998E-3</v>
      </c>
    </row>
    <row r="22" spans="1:2" ht="20.100000000000001" customHeight="1" x14ac:dyDescent="0.3">
      <c r="A22" s="6">
        <v>43525</v>
      </c>
      <c r="B22" s="8">
        <v>4.7000000000000002E-3</v>
      </c>
    </row>
    <row r="23" spans="1:2" ht="20.100000000000001" customHeight="1" x14ac:dyDescent="0.3">
      <c r="A23" s="6">
        <v>43556</v>
      </c>
      <c r="B23" s="8">
        <v>5.1999999999999998E-3</v>
      </c>
    </row>
    <row r="24" spans="1:2" ht="20.100000000000001" customHeight="1" x14ac:dyDescent="0.3">
      <c r="A24" s="6">
        <v>43586</v>
      </c>
      <c r="B24" s="8">
        <v>5.4000000000000003E-3</v>
      </c>
    </row>
    <row r="25" spans="1:2" ht="20.100000000000001" customHeight="1" x14ac:dyDescent="0.3">
      <c r="A25" s="6">
        <v>43617</v>
      </c>
      <c r="B25" s="8">
        <v>4.7000000000000002E-3</v>
      </c>
    </row>
    <row r="26" spans="1:2" ht="20.100000000000001" customHeight="1" x14ac:dyDescent="0.3">
      <c r="A26" s="6">
        <v>43647</v>
      </c>
      <c r="B26" s="8">
        <v>5.7000000000000002E-3</v>
      </c>
    </row>
    <row r="27" spans="1:2" ht="20.100000000000001" customHeight="1" x14ac:dyDescent="0.3">
      <c r="A27" s="6">
        <v>43678</v>
      </c>
      <c r="B27" s="8">
        <v>5.0000000000000001E-3</v>
      </c>
    </row>
    <row r="28" spans="1:2" ht="20.100000000000001" customHeight="1" x14ac:dyDescent="0.3">
      <c r="A28" s="6">
        <v>43709</v>
      </c>
      <c r="B28" s="8">
        <v>4.5999999999999999E-3</v>
      </c>
    </row>
    <row r="29" spans="1:2" ht="20.100000000000001" customHeight="1" x14ac:dyDescent="0.3">
      <c r="A29" s="6">
        <v>43739</v>
      </c>
      <c r="B29" s="8">
        <v>4.7999999999999996E-3</v>
      </c>
    </row>
    <row r="30" spans="1:2" ht="20.100000000000001" customHeight="1" x14ac:dyDescent="0.3">
      <c r="A30" s="6">
        <v>43770</v>
      </c>
      <c r="B30" s="8">
        <v>3.8E-3</v>
      </c>
    </row>
    <row r="31" spans="1:2" ht="20.100000000000001" customHeight="1" x14ac:dyDescent="0.3">
      <c r="A31" s="6">
        <v>43800</v>
      </c>
      <c r="B31" s="8">
        <v>3.7000000000000002E-3</v>
      </c>
    </row>
    <row r="32" spans="1:2" ht="20.100000000000001" customHeight="1" x14ac:dyDescent="0.3">
      <c r="A32" s="6">
        <v>43831</v>
      </c>
      <c r="B32" s="8">
        <v>3.8E-3</v>
      </c>
    </row>
    <row r="33" spans="1:4" ht="20.100000000000001" customHeight="1" x14ac:dyDescent="0.3">
      <c r="A33" s="6">
        <v>43862</v>
      </c>
      <c r="B33" s="8">
        <v>2.8999999999999998E-3</v>
      </c>
    </row>
    <row r="34" spans="1:4" ht="20.100000000000001" customHeight="1" x14ac:dyDescent="0.3">
      <c r="A34" s="6">
        <v>43891</v>
      </c>
      <c r="B34" s="8">
        <v>3.3999999999999998E-3</v>
      </c>
    </row>
    <row r="35" spans="1:4" ht="20.100000000000001" customHeight="1" x14ac:dyDescent="0.3">
      <c r="A35" s="6">
        <v>43922</v>
      </c>
      <c r="B35" s="8">
        <v>2.8E-3</v>
      </c>
    </row>
    <row r="36" spans="1:4" ht="20.100000000000001" customHeight="1" x14ac:dyDescent="0.3">
      <c r="A36" s="6">
        <v>43952</v>
      </c>
      <c r="B36" s="8">
        <v>2.3999999999999998E-3</v>
      </c>
    </row>
    <row r="37" spans="1:4" ht="20.100000000000001" customHeight="1" x14ac:dyDescent="0.3">
      <c r="A37" s="6">
        <v>43983</v>
      </c>
      <c r="B37" s="8">
        <v>2.0999999999999999E-3</v>
      </c>
    </row>
    <row r="38" spans="1:4" ht="20.100000000000001" customHeight="1" x14ac:dyDescent="0.3">
      <c r="A38" s="6">
        <v>44013</v>
      </c>
      <c r="B38" s="8">
        <v>1.9E-3</v>
      </c>
    </row>
    <row r="39" spans="1:4" ht="20.100000000000001" customHeight="1" x14ac:dyDescent="0.3">
      <c r="A39" s="6">
        <v>44044</v>
      </c>
      <c r="B39" s="8">
        <v>1.6000000000000001E-3</v>
      </c>
    </row>
    <row r="40" spans="1:4" ht="20.100000000000001" customHeight="1" x14ac:dyDescent="0.3">
      <c r="A40" s="6">
        <v>44075</v>
      </c>
      <c r="B40" s="8">
        <v>1.6000000000000001E-3</v>
      </c>
    </row>
    <row r="41" spans="1:4" ht="20.100000000000001" customHeight="1" x14ac:dyDescent="0.3">
      <c r="A41" s="6">
        <v>44105</v>
      </c>
      <c r="B41" s="8">
        <v>1.6000000000000001E-3</v>
      </c>
    </row>
    <row r="42" spans="1:4" ht="20.100000000000001" customHeight="1" x14ac:dyDescent="0.3">
      <c r="A42" s="6">
        <v>44136</v>
      </c>
      <c r="B42" s="8">
        <v>1.5E-3</v>
      </c>
    </row>
    <row r="43" spans="1:4" ht="20.100000000000001" customHeight="1" x14ac:dyDescent="0.3">
      <c r="A43" s="6">
        <v>44166</v>
      </c>
      <c r="B43" s="8">
        <v>1.6000000000000001E-3</v>
      </c>
    </row>
    <row r="44" spans="1:4" ht="20.100000000000001" customHeight="1" x14ac:dyDescent="0.3">
      <c r="A44" s="6">
        <v>44197</v>
      </c>
      <c r="B44" s="8">
        <v>1.5E-3</v>
      </c>
    </row>
    <row r="45" spans="1:4" ht="20.100000000000001" customHeight="1" x14ac:dyDescent="0.3">
      <c r="A45" s="6">
        <v>44228</v>
      </c>
      <c r="B45" s="8">
        <v>1.2999999999999999E-3</v>
      </c>
    </row>
    <row r="46" spans="1:4" ht="20.100000000000001" customHeight="1" x14ac:dyDescent="0.3">
      <c r="A46" s="6">
        <v>44256</v>
      </c>
      <c r="B46" s="8">
        <v>2E-3</v>
      </c>
    </row>
    <row r="47" spans="1:4" ht="20.100000000000001" customHeight="1" x14ac:dyDescent="0.3">
      <c r="A47" s="6">
        <v>44287</v>
      </c>
      <c r="B47" s="8">
        <v>2.0999999999999999E-3</v>
      </c>
    </row>
    <row r="48" spans="1:4" ht="20.100000000000001" customHeight="1" x14ac:dyDescent="0.3">
      <c r="A48" s="6">
        <v>44317</v>
      </c>
      <c r="B48" s="8">
        <v>2.7000000000000001E-3</v>
      </c>
      <c r="D48" s="14"/>
    </row>
    <row r="49" spans="1:4" ht="20.100000000000001" customHeight="1" x14ac:dyDescent="0.3">
      <c r="A49" s="6">
        <v>44348</v>
      </c>
      <c r="B49" s="8">
        <v>3.0999999999999999E-3</v>
      </c>
      <c r="D49" s="14"/>
    </row>
    <row r="50" spans="1:4" ht="20.100000000000001" customHeight="1" x14ac:dyDescent="0.3">
      <c r="A50" s="6">
        <v>44378</v>
      </c>
      <c r="B50" s="8">
        <v>3.5999999999999999E-3</v>
      </c>
      <c r="D50" s="14"/>
    </row>
    <row r="51" spans="1:4" ht="20.100000000000001" customHeight="1" x14ac:dyDescent="0.3">
      <c r="A51" s="6">
        <v>44409</v>
      </c>
      <c r="B51" s="8">
        <v>4.3E-3</v>
      </c>
      <c r="D51" s="14"/>
    </row>
    <row r="52" spans="1:4" ht="20.100000000000001" customHeight="1" x14ac:dyDescent="0.3">
      <c r="A52" s="6">
        <v>44440</v>
      </c>
      <c r="B52" s="8">
        <v>4.4000000000000003E-3</v>
      </c>
      <c r="D52" s="14"/>
    </row>
    <row r="53" spans="1:4" ht="20.100000000000001" customHeight="1" x14ac:dyDescent="0.3">
      <c r="A53" s="6">
        <v>44470</v>
      </c>
      <c r="B53" s="7"/>
    </row>
    <row r="54" spans="1:4" ht="20.100000000000001" customHeight="1" x14ac:dyDescent="0.3">
      <c r="A54" s="6">
        <v>44501</v>
      </c>
      <c r="B54" s="7"/>
    </row>
    <row r="55" spans="1:4" ht="20.100000000000001" customHeight="1" x14ac:dyDescent="0.3">
      <c r="A55" s="6">
        <v>44531</v>
      </c>
      <c r="B55" s="7"/>
    </row>
    <row r="56" spans="1:4" ht="20.100000000000001" customHeight="1" x14ac:dyDescent="0.3">
      <c r="A56" s="6">
        <v>44562</v>
      </c>
      <c r="B56" s="7"/>
    </row>
    <row r="57" spans="1:4" ht="20.100000000000001" customHeight="1" x14ac:dyDescent="0.3">
      <c r="A57" s="6">
        <v>44593</v>
      </c>
      <c r="B57" s="7"/>
    </row>
    <row r="58" spans="1:4" ht="20.100000000000001" customHeight="1" x14ac:dyDescent="0.3">
      <c r="A58" s="6">
        <v>44621</v>
      </c>
      <c r="B58" s="7"/>
    </row>
    <row r="59" spans="1:4" ht="20.100000000000001" customHeight="1" x14ac:dyDescent="0.3">
      <c r="A59" s="6">
        <v>44652</v>
      </c>
      <c r="B59" s="7"/>
    </row>
    <row r="60" spans="1:4" ht="20.100000000000001" customHeight="1" x14ac:dyDescent="0.3">
      <c r="A60" s="6">
        <v>44682</v>
      </c>
      <c r="B60" s="7"/>
    </row>
    <row r="61" spans="1:4" ht="20.100000000000001" customHeight="1" x14ac:dyDescent="0.3">
      <c r="A61" s="6">
        <v>44713</v>
      </c>
      <c r="B61" s="7"/>
    </row>
    <row r="62" spans="1:4" ht="20.100000000000001" customHeight="1" x14ac:dyDescent="0.3">
      <c r="A62" s="6">
        <v>44743</v>
      </c>
      <c r="B62" s="7"/>
    </row>
    <row r="63" spans="1:4" ht="20.100000000000001" customHeight="1" x14ac:dyDescent="0.3">
      <c r="A63" s="6">
        <v>44774</v>
      </c>
      <c r="B63" s="7"/>
    </row>
    <row r="64" spans="1:4" ht="20.100000000000001" customHeight="1" x14ac:dyDescent="0.3">
      <c r="A64" s="6">
        <v>44805</v>
      </c>
      <c r="B64" s="7"/>
    </row>
    <row r="65" spans="1:2" ht="20.100000000000001" customHeight="1" x14ac:dyDescent="0.3">
      <c r="A65" s="6">
        <v>44835</v>
      </c>
      <c r="B65" s="7"/>
    </row>
    <row r="66" spans="1:2" ht="20.100000000000001" customHeight="1" x14ac:dyDescent="0.3">
      <c r="A66" s="6">
        <v>44866</v>
      </c>
      <c r="B66" s="7"/>
    </row>
    <row r="67" spans="1:2" ht="20.100000000000001" customHeight="1" x14ac:dyDescent="0.3">
      <c r="A67" s="6">
        <v>44896</v>
      </c>
      <c r="B67" s="7"/>
    </row>
    <row r="68" spans="1:2" ht="20.100000000000001" customHeight="1" x14ac:dyDescent="0.3">
      <c r="A68" s="6">
        <v>44927</v>
      </c>
      <c r="B68" s="7"/>
    </row>
    <row r="69" spans="1:2" ht="20.100000000000001" customHeight="1" x14ac:dyDescent="0.3">
      <c r="A69" s="6">
        <v>44958</v>
      </c>
      <c r="B69" s="7"/>
    </row>
    <row r="70" spans="1:2" ht="20.100000000000001" customHeight="1" x14ac:dyDescent="0.3">
      <c r="A70" s="6">
        <v>44986</v>
      </c>
      <c r="B70" s="7"/>
    </row>
    <row r="71" spans="1:2" ht="20.100000000000001" customHeight="1" x14ac:dyDescent="0.3">
      <c r="A71" s="6">
        <v>45017</v>
      </c>
      <c r="B71" s="7"/>
    </row>
    <row r="72" spans="1:2" ht="20.100000000000001" customHeight="1" x14ac:dyDescent="0.3">
      <c r="A72" s="6">
        <v>45047</v>
      </c>
      <c r="B72" s="7"/>
    </row>
    <row r="73" spans="1:2" ht="20.100000000000001" customHeight="1" x14ac:dyDescent="0.3">
      <c r="A73" s="6">
        <v>45078</v>
      </c>
      <c r="B73" s="7"/>
    </row>
    <row r="74" spans="1:2" ht="20.100000000000001" customHeight="1" x14ac:dyDescent="0.3">
      <c r="A74" s="6">
        <v>45108</v>
      </c>
      <c r="B74" s="7"/>
    </row>
    <row r="75" spans="1:2" ht="20.100000000000001" customHeight="1" x14ac:dyDescent="0.3">
      <c r="A75" s="6">
        <v>45139</v>
      </c>
      <c r="B75" s="7"/>
    </row>
    <row r="76" spans="1:2" ht="20.100000000000001" customHeight="1" x14ac:dyDescent="0.3">
      <c r="A76" s="6">
        <v>45170</v>
      </c>
      <c r="B76" s="7"/>
    </row>
    <row r="77" spans="1:2" ht="20.100000000000001" customHeight="1" x14ac:dyDescent="0.3">
      <c r="A77" s="6">
        <v>45200</v>
      </c>
      <c r="B77" s="7"/>
    </row>
    <row r="78" spans="1:2" ht="20.100000000000001" customHeight="1" x14ac:dyDescent="0.3">
      <c r="A78" s="6">
        <v>45231</v>
      </c>
      <c r="B78" s="7"/>
    </row>
    <row r="79" spans="1:2" ht="20.100000000000001" customHeight="1" x14ac:dyDescent="0.3">
      <c r="A79" s="6">
        <v>45261</v>
      </c>
      <c r="B79" s="7"/>
    </row>
    <row r="80" spans="1:2" ht="20.100000000000001" customHeight="1" x14ac:dyDescent="0.3">
      <c r="A80" s="6">
        <v>45292</v>
      </c>
      <c r="B80" s="7"/>
    </row>
    <row r="81" spans="1:2" ht="20.100000000000001" customHeight="1" x14ac:dyDescent="0.3">
      <c r="A81" s="6">
        <v>45323</v>
      </c>
      <c r="B81" s="7"/>
    </row>
    <row r="82" spans="1:2" ht="20.100000000000001" customHeight="1" x14ac:dyDescent="0.3">
      <c r="A82" s="6">
        <v>45352</v>
      </c>
      <c r="B82" s="7"/>
    </row>
    <row r="83" spans="1:2" ht="20.100000000000001" customHeight="1" x14ac:dyDescent="0.3">
      <c r="A83" s="6">
        <v>45383</v>
      </c>
      <c r="B83" s="7"/>
    </row>
    <row r="84" spans="1:2" ht="20.100000000000001" customHeight="1" x14ac:dyDescent="0.3">
      <c r="A84" s="6">
        <v>45413</v>
      </c>
      <c r="B84" s="7"/>
    </row>
    <row r="85" spans="1:2" ht="20.100000000000001" customHeight="1" x14ac:dyDescent="0.3">
      <c r="A85" s="6">
        <v>45444</v>
      </c>
      <c r="B85" s="7"/>
    </row>
    <row r="86" spans="1:2" ht="20.100000000000001" customHeight="1" x14ac:dyDescent="0.3">
      <c r="A86" s="6">
        <v>45474</v>
      </c>
      <c r="B86" s="7"/>
    </row>
    <row r="87" spans="1:2" ht="20.100000000000001" customHeight="1" x14ac:dyDescent="0.3">
      <c r="A87" s="6">
        <v>45505</v>
      </c>
      <c r="B87" s="7"/>
    </row>
    <row r="88" spans="1:2" ht="20.100000000000001" customHeight="1" x14ac:dyDescent="0.3">
      <c r="A88" s="6">
        <v>45536</v>
      </c>
      <c r="B88" s="7"/>
    </row>
    <row r="89" spans="1:2" ht="20.100000000000001" customHeight="1" x14ac:dyDescent="0.3">
      <c r="A89" s="6">
        <v>45566</v>
      </c>
      <c r="B89" s="7"/>
    </row>
    <row r="90" spans="1:2" ht="20.100000000000001" customHeight="1" x14ac:dyDescent="0.3">
      <c r="A90" s="6">
        <v>45597</v>
      </c>
      <c r="B90" s="7"/>
    </row>
    <row r="91" spans="1:2" ht="20.100000000000001" customHeight="1" x14ac:dyDescent="0.3">
      <c r="A91" s="6">
        <v>45627</v>
      </c>
      <c r="B91" s="7"/>
    </row>
    <row r="92" spans="1:2" ht="20.100000000000001" customHeight="1" x14ac:dyDescent="0.3">
      <c r="A92" s="6">
        <v>45658</v>
      </c>
      <c r="B92" s="7"/>
    </row>
    <row r="93" spans="1:2" ht="20.100000000000001" customHeight="1" x14ac:dyDescent="0.3">
      <c r="A93" s="6">
        <v>45689</v>
      </c>
      <c r="B93" s="7"/>
    </row>
    <row r="94" spans="1:2" ht="20.100000000000001" customHeight="1" x14ac:dyDescent="0.3">
      <c r="A94" s="6">
        <v>45717</v>
      </c>
      <c r="B94" s="7"/>
    </row>
    <row r="95" spans="1:2" ht="20.100000000000001" customHeight="1" x14ac:dyDescent="0.3">
      <c r="A95" s="6">
        <v>45748</v>
      </c>
      <c r="B95" s="7"/>
    </row>
    <row r="96" spans="1:2" ht="20.100000000000001" customHeight="1" x14ac:dyDescent="0.3">
      <c r="A96" s="6">
        <v>45778</v>
      </c>
      <c r="B96" s="7"/>
    </row>
    <row r="97" spans="1:2" ht="20.100000000000001" customHeight="1" x14ac:dyDescent="0.3">
      <c r="A97" s="6">
        <v>45809</v>
      </c>
      <c r="B97" s="7"/>
    </row>
    <row r="98" spans="1:2" ht="20.100000000000001" customHeight="1" x14ac:dyDescent="0.3">
      <c r="A98" s="6">
        <v>45839</v>
      </c>
      <c r="B98" s="7"/>
    </row>
    <row r="99" spans="1:2" ht="20.100000000000001" customHeight="1" x14ac:dyDescent="0.3">
      <c r="A99" s="6">
        <v>45870</v>
      </c>
      <c r="B99" s="7"/>
    </row>
    <row r="100" spans="1:2" ht="20.100000000000001" customHeight="1" x14ac:dyDescent="0.3">
      <c r="A100" s="6">
        <v>45901</v>
      </c>
      <c r="B100" s="7"/>
    </row>
    <row r="101" spans="1:2" ht="20.100000000000001" customHeight="1" x14ac:dyDescent="0.3">
      <c r="A101" s="6">
        <v>45931</v>
      </c>
      <c r="B101" s="7"/>
    </row>
    <row r="102" spans="1:2" ht="20.100000000000001" customHeight="1" x14ac:dyDescent="0.3">
      <c r="A102" s="6">
        <v>45962</v>
      </c>
      <c r="B102" s="7"/>
    </row>
    <row r="103" spans="1:2" ht="20.100000000000001" customHeight="1" x14ac:dyDescent="0.3">
      <c r="A103" s="6">
        <v>45992</v>
      </c>
      <c r="B103" s="7"/>
    </row>
    <row r="104" spans="1:2" ht="20.100000000000001" customHeight="1" x14ac:dyDescent="0.3">
      <c r="A104" s="6">
        <v>46023</v>
      </c>
      <c r="B104" s="7"/>
    </row>
    <row r="105" spans="1:2" ht="20.100000000000001" customHeight="1" x14ac:dyDescent="0.3">
      <c r="A105" s="6">
        <v>46054</v>
      </c>
      <c r="B105" s="7"/>
    </row>
    <row r="106" spans="1:2" ht="20.100000000000001" customHeight="1" x14ac:dyDescent="0.3">
      <c r="A106" s="6">
        <v>46082</v>
      </c>
      <c r="B106" s="7"/>
    </row>
    <row r="107" spans="1:2" ht="20.100000000000001" customHeight="1" x14ac:dyDescent="0.3">
      <c r="A107" s="6">
        <v>46113</v>
      </c>
      <c r="B107" s="7"/>
    </row>
    <row r="108" spans="1:2" ht="20.100000000000001" customHeight="1" x14ac:dyDescent="0.3">
      <c r="A108" s="6">
        <v>46143</v>
      </c>
      <c r="B108" s="7"/>
    </row>
    <row r="109" spans="1:2" ht="20.100000000000001" customHeight="1" x14ac:dyDescent="0.3">
      <c r="A109" s="6">
        <v>46174</v>
      </c>
      <c r="B109" s="7"/>
    </row>
    <row r="110" spans="1:2" ht="20.100000000000001" customHeight="1" x14ac:dyDescent="0.3">
      <c r="A110" s="6">
        <v>46204</v>
      </c>
      <c r="B110" s="7"/>
    </row>
    <row r="111" spans="1:2" ht="20.100000000000001" customHeight="1" x14ac:dyDescent="0.3">
      <c r="A111" s="6">
        <v>46235</v>
      </c>
      <c r="B111" s="7"/>
    </row>
    <row r="112" spans="1:2" ht="20.100000000000001" customHeight="1" x14ac:dyDescent="0.3">
      <c r="A112" s="6">
        <v>46266</v>
      </c>
      <c r="B112" s="7"/>
    </row>
    <row r="113" spans="1:2" ht="20.100000000000001" customHeight="1" x14ac:dyDescent="0.3">
      <c r="A113" s="6">
        <v>46296</v>
      </c>
      <c r="B113" s="7"/>
    </row>
    <row r="114" spans="1:2" ht="20.100000000000001" customHeight="1" x14ac:dyDescent="0.3">
      <c r="A114" s="6">
        <v>46327</v>
      </c>
      <c r="B114" s="7"/>
    </row>
    <row r="115" spans="1:2" ht="20.100000000000001" customHeight="1" x14ac:dyDescent="0.3">
      <c r="A115" s="6">
        <v>46357</v>
      </c>
      <c r="B115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SN 2021-03</vt:lpstr>
      <vt:lpstr>SELIC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Thiago Jerez</cp:lastModifiedBy>
  <cp:lastPrinted>2021-10-14T19:08:20Z</cp:lastPrinted>
  <dcterms:created xsi:type="dcterms:W3CDTF">2021-09-01T13:45:09Z</dcterms:created>
  <dcterms:modified xsi:type="dcterms:W3CDTF">2021-10-14T20:54:47Z</dcterms:modified>
</cp:coreProperties>
</file>