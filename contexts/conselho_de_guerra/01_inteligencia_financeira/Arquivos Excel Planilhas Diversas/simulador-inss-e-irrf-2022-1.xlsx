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Allyfran\Documents\"/>
    </mc:Choice>
  </mc:AlternateContent>
  <xr:revisionPtr revIDLastSave="0" documentId="13_ncr:1_{601D2005-B4AA-4E37-AEF7-5A5D741717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F6" i="1" l="1"/>
  <c r="E7" i="1"/>
  <c r="E8" i="1"/>
  <c r="F8" i="1" s="1"/>
  <c r="F7" i="1" l="1"/>
  <c r="E9" i="1"/>
  <c r="F9" i="1" s="1"/>
  <c r="F10" i="1" l="1"/>
  <c r="F11" i="1" s="1"/>
  <c r="E16" i="1" l="1"/>
  <c r="F21" i="1" s="1"/>
  <c r="F20" i="1" l="1"/>
  <c r="F23" i="1"/>
  <c r="F22" i="1"/>
  <c r="F24" i="1" l="1"/>
  <c r="B27" i="1" s="1"/>
</calcChain>
</file>

<file path=xl/sharedStrings.xml><?xml version="1.0" encoding="utf-8"?>
<sst xmlns="http://schemas.openxmlformats.org/spreadsheetml/2006/main" count="20" uniqueCount="16">
  <si>
    <t>Base Contribuição Previdenciária:</t>
  </si>
  <si>
    <t>Inicial</t>
  </si>
  <si>
    <t>Final</t>
  </si>
  <si>
    <t>Alíquota</t>
  </si>
  <si>
    <t>Valor Faixa</t>
  </si>
  <si>
    <t>Valor</t>
  </si>
  <si>
    <t>Total de Contribuição</t>
  </si>
  <si>
    <t>Alíquota Efetiva</t>
  </si>
  <si>
    <t>Base Imposto de Renda</t>
  </si>
  <si>
    <t>Quantidade de Dependentes</t>
  </si>
  <si>
    <t>Dedução por dependente</t>
  </si>
  <si>
    <t>Valor da Base</t>
  </si>
  <si>
    <t>Dedução</t>
  </si>
  <si>
    <t>Total Desconto de IR</t>
  </si>
  <si>
    <t>Líquido</t>
  </si>
  <si>
    <t>Desenvolvido por Allyfran Dutra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</si>
</sst>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$-416]\ * #,##0.00_-;\-[$R$-416]\ * #,##0.00_-;_-[$R$-416]\ * &quot;-&quot;??_-;_-@"/>
    <numFmt numFmtId="165" formatCode="0.000%"/>
    <numFmt numFmtId="166" formatCode="_-&quot;R$&quot;\ * #,##0.00_-;\-&quot;R$&quot;\ * #,##0.00_-;_-&quot;R$&quot;\ * &quot;-&quot;??_-;_-@"/>
  </numFmts>
  <fonts count="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name val="Calibri"/>
      <family val="2"/>
    </font>
    <font>
      <b/>
      <sz val="11"/>
      <color rgb="FFB4008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0099"/>
        <bgColor rgb="FFD8D8D8"/>
      </patternFill>
    </fill>
    <fill>
      <patternFill patternType="solid">
        <fgColor rgb="FFCC0099"/>
        <bgColor indexed="64"/>
      </patternFill>
    </fill>
    <fill>
      <patternFill patternType="solid">
        <fgColor rgb="FFB40085"/>
        <bgColor rgb="FFD8D8D8"/>
      </patternFill>
    </fill>
    <fill>
      <patternFill patternType="solid">
        <fgColor rgb="FFB40085"/>
        <bgColor indexed="64"/>
      </patternFill>
    </fill>
    <fill>
      <patternFill patternType="solid">
        <fgColor rgb="FFB40085"/>
        <bgColor rgb="FFB4C6E7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164" fontId="0" fillId="0" borderId="0" xfId="0" applyNumberFormat="1" applyFont="1"/>
    <xf numFmtId="9" fontId="0" fillId="0" borderId="0" xfId="0" applyNumberFormat="1" applyFont="1"/>
    <xf numFmtId="164" fontId="0" fillId="0" borderId="4" xfId="0" applyNumberFormat="1" applyFont="1" applyBorder="1"/>
    <xf numFmtId="10" fontId="0" fillId="0" borderId="4" xfId="0" applyNumberFormat="1" applyFont="1" applyBorder="1"/>
    <xf numFmtId="166" fontId="0" fillId="0" borderId="4" xfId="0" applyNumberFormat="1" applyFont="1" applyBorder="1"/>
    <xf numFmtId="164" fontId="0" fillId="0" borderId="4" xfId="0" applyNumberFormat="1" applyFont="1" applyBorder="1" applyAlignment="1">
      <alignment horizontal="center"/>
    </xf>
    <xf numFmtId="0" fontId="0" fillId="0" borderId="0" xfId="0" applyFont="1" applyAlignment="1"/>
    <xf numFmtId="164" fontId="0" fillId="0" borderId="5" xfId="0" applyNumberFormat="1" applyFont="1" applyBorder="1"/>
    <xf numFmtId="10" fontId="0" fillId="0" borderId="5" xfId="0" applyNumberFormat="1" applyFont="1" applyBorder="1"/>
    <xf numFmtId="0" fontId="3" fillId="4" borderId="4" xfId="0" applyFont="1" applyFill="1" applyBorder="1"/>
    <xf numFmtId="164" fontId="3" fillId="6" borderId="6" xfId="0" applyNumberFormat="1" applyFont="1" applyFill="1" applyBorder="1"/>
    <xf numFmtId="165" fontId="3" fillId="6" borderId="6" xfId="0" applyNumberFormat="1" applyFont="1" applyFill="1" applyBorder="1"/>
    <xf numFmtId="164" fontId="4" fillId="6" borderId="4" xfId="0" applyNumberFormat="1" applyFont="1" applyFill="1" applyBorder="1"/>
    <xf numFmtId="0" fontId="6" fillId="0" borderId="8" xfId="0" applyFont="1" applyBorder="1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3" fillId="4" borderId="1" xfId="0" applyFont="1" applyFill="1" applyBorder="1" applyAlignment="1">
      <alignment horizontal="center"/>
    </xf>
    <xf numFmtId="0" fontId="4" fillId="5" borderId="2" xfId="0" applyFont="1" applyFill="1" applyBorder="1"/>
    <xf numFmtId="0" fontId="4" fillId="5" borderId="3" xfId="0" applyFont="1" applyFill="1" applyBorder="1"/>
    <xf numFmtId="164" fontId="1" fillId="0" borderId="1" xfId="0" applyNumberFormat="1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3" fillId="6" borderId="1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4" fillId="5" borderId="6" xfId="0" applyFont="1" applyFill="1" applyBorder="1"/>
    <xf numFmtId="2" fontId="1" fillId="0" borderId="1" xfId="0" applyNumberFormat="1" applyFont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166" fontId="0" fillId="0" borderId="1" xfId="0" applyNumberFormat="1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0" fontId="3" fillId="2" borderId="6" xfId="0" applyFont="1" applyFill="1" applyBorder="1" applyAlignment="1">
      <alignment horizontal="center"/>
    </xf>
    <xf numFmtId="0" fontId="4" fillId="3" borderId="6" xfId="0" applyFont="1" applyFill="1" applyBorder="1"/>
    <xf numFmtId="164" fontId="1" fillId="0" borderId="1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Protection="1">
      <protection locked="0"/>
    </xf>
    <xf numFmtId="0" fontId="5" fillId="0" borderId="3" xfId="0" applyFont="1" applyBorder="1" applyProtection="1">
      <protection locked="0"/>
    </xf>
    <xf numFmtId="1" fontId="0" fillId="0" borderId="7" xfId="0" applyNumberFormat="1" applyFont="1" applyBorder="1" applyAlignment="1" applyProtection="1">
      <alignment horizontal="right"/>
      <protection locked="0"/>
    </xf>
    <xf numFmtId="0" fontId="2" fillId="0" borderId="9" xfId="0" applyFont="1" applyBorder="1" applyProtection="1">
      <protection locked="0"/>
    </xf>
    <xf numFmtId="2" fontId="1" fillId="0" borderId="8" xfId="0" applyNumberFormat="1" applyFont="1" applyBorder="1" applyAlignment="1">
      <alignment horizontal="right"/>
    </xf>
    <xf numFmtId="0" fontId="0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1F3"/>
      <color rgb="FFB40085"/>
      <color rgb="FFCC0099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showGridLines="0" tabSelected="1" view="pageLayout" zoomScaleNormal="100" workbookViewId="0">
      <selection activeCell="G27" sqref="G27"/>
    </sheetView>
  </sheetViews>
  <sheetFormatPr defaultColWidth="14.42578125" defaultRowHeight="15" customHeight="1" x14ac:dyDescent="0.25"/>
  <cols>
    <col min="1" max="1" width="8.7109375" customWidth="1"/>
    <col min="2" max="2" width="12.140625" customWidth="1"/>
    <col min="3" max="3" width="13.28515625" customWidth="1"/>
    <col min="4" max="4" width="8.5703125" customWidth="1"/>
    <col min="5" max="5" width="12.140625" customWidth="1"/>
    <col min="6" max="6" width="14.42578125" customWidth="1"/>
    <col min="7" max="7" width="12.140625" customWidth="1"/>
    <col min="8" max="8" width="9.5703125" customWidth="1"/>
    <col min="9" max="11" width="8.7109375" customWidth="1"/>
  </cols>
  <sheetData>
    <row r="1" spans="1:9" s="7" customFormat="1" ht="15" customHeight="1" x14ac:dyDescent="0.25">
      <c r="B1" s="14" t="s">
        <v>15</v>
      </c>
      <c r="C1" s="14"/>
      <c r="D1" s="14"/>
      <c r="E1" s="14"/>
      <c r="F1" s="14"/>
    </row>
    <row r="2" spans="1:9" x14ac:dyDescent="0.25">
      <c r="B2" s="17" t="s">
        <v>0</v>
      </c>
      <c r="C2" s="18"/>
      <c r="D2" s="18"/>
      <c r="E2" s="18"/>
      <c r="F2" s="19"/>
    </row>
    <row r="3" spans="1:9" x14ac:dyDescent="0.25">
      <c r="B3" s="34">
        <v>1600</v>
      </c>
      <c r="C3" s="35"/>
      <c r="D3" s="35"/>
      <c r="E3" s="35"/>
      <c r="F3" s="36"/>
      <c r="G3" s="1"/>
      <c r="H3" s="2"/>
    </row>
    <row r="4" spans="1:9" x14ac:dyDescent="0.25">
      <c r="G4" s="1"/>
    </row>
    <row r="5" spans="1:9" x14ac:dyDescent="0.25">
      <c r="B5" s="10" t="s">
        <v>1</v>
      </c>
      <c r="C5" s="10" t="s">
        <v>2</v>
      </c>
      <c r="D5" s="10" t="s">
        <v>3</v>
      </c>
      <c r="E5" s="10" t="s">
        <v>4</v>
      </c>
      <c r="F5" s="10" t="s">
        <v>5</v>
      </c>
    </row>
    <row r="6" spans="1:9" x14ac:dyDescent="0.25">
      <c r="B6" s="3">
        <v>0</v>
      </c>
      <c r="C6" s="3">
        <v>1212</v>
      </c>
      <c r="D6" s="4">
        <v>7.4999999999999997E-2</v>
      </c>
      <c r="E6" s="3">
        <f>IF(B3&gt;C6,C6-B6,B3)</f>
        <v>1212</v>
      </c>
      <c r="F6" s="3">
        <f t="shared" ref="F6:F9" si="0">E6*D6</f>
        <v>90.899999999999991</v>
      </c>
    </row>
    <row r="7" spans="1:9" x14ac:dyDescent="0.25">
      <c r="B7" s="3">
        <v>1212.01</v>
      </c>
      <c r="C7" s="3">
        <v>2427.35</v>
      </c>
      <c r="D7" s="4">
        <v>0.09</v>
      </c>
      <c r="E7" s="3">
        <f>IF(B3&gt;C7,C7-B7,B3-E6)</f>
        <v>388</v>
      </c>
      <c r="F7" s="3">
        <f t="shared" si="0"/>
        <v>34.92</v>
      </c>
      <c r="H7" s="15"/>
      <c r="I7" s="16"/>
    </row>
    <row r="8" spans="1:9" x14ac:dyDescent="0.25">
      <c r="B8" s="3">
        <v>2427.36</v>
      </c>
      <c r="C8" s="3">
        <v>3641.03</v>
      </c>
      <c r="D8" s="4">
        <v>0.12</v>
      </c>
      <c r="E8" s="3">
        <f>IF(B3&gt;C8,C8-B8,B3-E6-E7)</f>
        <v>0</v>
      </c>
      <c r="F8" s="3">
        <f t="shared" si="0"/>
        <v>0</v>
      </c>
    </row>
    <row r="9" spans="1:9" x14ac:dyDescent="0.25">
      <c r="B9" s="8">
        <v>3641.04</v>
      </c>
      <c r="C9" s="8">
        <v>7087.22</v>
      </c>
      <c r="D9" s="9">
        <v>0.14000000000000001</v>
      </c>
      <c r="E9" s="8">
        <f>IF(B3&gt;C9,C9-B9,B3-E6-E7-E8)</f>
        <v>0</v>
      </c>
      <c r="F9" s="8">
        <f t="shared" si="0"/>
        <v>0</v>
      </c>
    </row>
    <row r="10" spans="1:9" x14ac:dyDescent="0.25">
      <c r="B10" s="24" t="s">
        <v>6</v>
      </c>
      <c r="C10" s="25"/>
      <c r="D10" s="25"/>
      <c r="E10" s="25"/>
      <c r="F10" s="11">
        <f>SUM(F6:F9)</f>
        <v>125.82</v>
      </c>
      <c r="G10" s="1"/>
    </row>
    <row r="11" spans="1:9" x14ac:dyDescent="0.25">
      <c r="B11" s="24" t="s">
        <v>7</v>
      </c>
      <c r="C11" s="25"/>
      <c r="D11" s="25"/>
      <c r="E11" s="25"/>
      <c r="F11" s="12">
        <f>F10/B3</f>
        <v>7.8637499999999999E-2</v>
      </c>
      <c r="G11" s="1"/>
    </row>
    <row r="13" spans="1:9" x14ac:dyDescent="0.25">
      <c r="B13" s="32" t="s">
        <v>8</v>
      </c>
      <c r="C13" s="33"/>
      <c r="D13" s="33"/>
      <c r="E13" s="33"/>
      <c r="F13" s="33"/>
    </row>
    <row r="14" spans="1:9" x14ac:dyDescent="0.25">
      <c r="A14" s="40"/>
      <c r="B14" s="39" t="s">
        <v>9</v>
      </c>
      <c r="C14" s="31"/>
      <c r="D14" s="30"/>
      <c r="E14" s="37">
        <v>2</v>
      </c>
      <c r="F14" s="38"/>
    </row>
    <row r="15" spans="1:9" x14ac:dyDescent="0.25">
      <c r="B15" s="26" t="s">
        <v>10</v>
      </c>
      <c r="C15" s="27"/>
      <c r="D15" s="28"/>
      <c r="E15" s="29">
        <v>189.59</v>
      </c>
      <c r="F15" s="28"/>
    </row>
    <row r="16" spans="1:9" x14ac:dyDescent="0.25">
      <c r="B16" s="26" t="s">
        <v>11</v>
      </c>
      <c r="C16" s="27"/>
      <c r="D16" s="28"/>
      <c r="E16" s="29">
        <f>B3-F10-(E14*E15)</f>
        <v>1095</v>
      </c>
      <c r="F16" s="28"/>
    </row>
    <row r="18" spans="2:6" x14ac:dyDescent="0.25">
      <c r="B18" s="10" t="s">
        <v>1</v>
      </c>
      <c r="C18" s="10" t="s">
        <v>2</v>
      </c>
      <c r="D18" s="10" t="s">
        <v>3</v>
      </c>
      <c r="E18" s="10" t="s">
        <v>12</v>
      </c>
      <c r="F18" s="10" t="s">
        <v>5</v>
      </c>
    </row>
    <row r="19" spans="2:6" ht="16.5" customHeight="1" x14ac:dyDescent="0.25">
      <c r="B19" s="3">
        <v>0</v>
      </c>
      <c r="C19" s="3">
        <v>1903.98</v>
      </c>
      <c r="D19" s="4">
        <v>0</v>
      </c>
      <c r="E19" s="5">
        <v>0</v>
      </c>
      <c r="F19" s="6">
        <v>0</v>
      </c>
    </row>
    <row r="20" spans="2:6" x14ac:dyDescent="0.25">
      <c r="B20" s="3">
        <v>1903.99</v>
      </c>
      <c r="C20" s="3">
        <v>2826.65</v>
      </c>
      <c r="D20" s="4">
        <v>7.4999999999999997E-2</v>
      </c>
      <c r="E20" s="5">
        <v>142.80000000000001</v>
      </c>
      <c r="F20" s="6">
        <f t="shared" ref="F20:F23" si="1">IF(AND($E$16&gt;B20,$E$16&lt;C20),($E$16*D20)-E20,0)</f>
        <v>0</v>
      </c>
    </row>
    <row r="21" spans="2:6" ht="15.75" customHeight="1" x14ac:dyDescent="0.25">
      <c r="B21" s="3">
        <v>2826.66</v>
      </c>
      <c r="C21" s="3">
        <v>3751.05</v>
      </c>
      <c r="D21" s="4">
        <v>0.15</v>
      </c>
      <c r="E21" s="5">
        <v>354.8</v>
      </c>
      <c r="F21" s="6">
        <f t="shared" si="1"/>
        <v>0</v>
      </c>
    </row>
    <row r="22" spans="2:6" ht="15.75" customHeight="1" x14ac:dyDescent="0.25">
      <c r="B22" s="3">
        <v>3751.06</v>
      </c>
      <c r="C22" s="3">
        <v>4664.68</v>
      </c>
      <c r="D22" s="4">
        <v>0.22500000000000001</v>
      </c>
      <c r="E22" s="5">
        <v>636.13</v>
      </c>
      <c r="F22" s="6">
        <f t="shared" si="1"/>
        <v>0</v>
      </c>
    </row>
    <row r="23" spans="2:6" ht="15.75" customHeight="1" x14ac:dyDescent="0.25">
      <c r="B23" s="3">
        <v>4664.6899999999996</v>
      </c>
      <c r="C23" s="3">
        <v>99999.99</v>
      </c>
      <c r="D23" s="4">
        <v>0.27500000000000002</v>
      </c>
      <c r="E23" s="5">
        <v>869.36</v>
      </c>
      <c r="F23" s="6">
        <f t="shared" si="1"/>
        <v>0</v>
      </c>
    </row>
    <row r="24" spans="2:6" ht="15.75" customHeight="1" x14ac:dyDescent="0.25">
      <c r="B24" s="23" t="s">
        <v>13</v>
      </c>
      <c r="C24" s="18"/>
      <c r="D24" s="18"/>
      <c r="E24" s="19"/>
      <c r="F24" s="13">
        <f>SUM(F19:F23)</f>
        <v>0</v>
      </c>
    </row>
    <row r="25" spans="2:6" ht="15.75" customHeight="1" x14ac:dyDescent="0.25"/>
    <row r="26" spans="2:6" ht="15.75" customHeight="1" x14ac:dyDescent="0.25">
      <c r="B26" s="17" t="s">
        <v>14</v>
      </c>
      <c r="C26" s="18"/>
      <c r="D26" s="18"/>
      <c r="E26" s="18"/>
      <c r="F26" s="19"/>
    </row>
    <row r="27" spans="2:6" ht="15.75" customHeight="1" x14ac:dyDescent="0.25">
      <c r="B27" s="20">
        <f>B3-F10-F24</f>
        <v>1474.18</v>
      </c>
      <c r="C27" s="21"/>
      <c r="D27" s="21"/>
      <c r="E27" s="21"/>
      <c r="F27" s="22"/>
    </row>
    <row r="28" spans="2:6" ht="15.75" customHeight="1" x14ac:dyDescent="0.25"/>
    <row r="29" spans="2:6" ht="15.75" customHeight="1" x14ac:dyDescent="0.25"/>
    <row r="30" spans="2:6" ht="15.75" customHeight="1" x14ac:dyDescent="0.25"/>
    <row r="31" spans="2:6" ht="15.75" customHeight="1" x14ac:dyDescent="0.25"/>
    <row r="32" spans="2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sheetProtection algorithmName="SHA-512" hashValue="3PwIQex/F2CuSV4oDNSoJtdu1b5UzhixXEUBwIpxN5ccIdGYWDAHqtzKaFZL9ViOSTILL6MYMTe6PMHstzsxsQ==" saltValue="yjcJvZ972B7y6uRr1sujLg==" spinCount="100000" sheet="1" objects="1" scenarios="1"/>
  <mergeCells count="16">
    <mergeCell ref="B1:F1"/>
    <mergeCell ref="H7:I7"/>
    <mergeCell ref="B2:F2"/>
    <mergeCell ref="B3:F3"/>
    <mergeCell ref="B27:F27"/>
    <mergeCell ref="B24:E24"/>
    <mergeCell ref="B26:F26"/>
    <mergeCell ref="B10:E10"/>
    <mergeCell ref="B11:E11"/>
    <mergeCell ref="B15:D15"/>
    <mergeCell ref="E15:F15"/>
    <mergeCell ref="E14:F14"/>
    <mergeCell ref="B14:D14"/>
    <mergeCell ref="B16:D16"/>
    <mergeCell ref="E16:F16"/>
    <mergeCell ref="B13:F13"/>
  </mergeCells>
  <pageMargins left="0.511811024" right="0.511811024" top="0.59375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Allyfran</cp:lastModifiedBy>
  <dcterms:created xsi:type="dcterms:W3CDTF">2020-02-14T15:11:16Z</dcterms:created>
  <dcterms:modified xsi:type="dcterms:W3CDTF">2022-01-24T16:52:58Z</dcterms:modified>
</cp:coreProperties>
</file>