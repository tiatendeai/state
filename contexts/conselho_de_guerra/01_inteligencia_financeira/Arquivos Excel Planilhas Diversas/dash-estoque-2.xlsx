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\Downloads\"/>
    </mc:Choice>
  </mc:AlternateContent>
  <bookViews>
    <workbookView xWindow="0" yWindow="0" windowWidth="20490" windowHeight="7590" activeTab="2"/>
  </bookViews>
  <sheets>
    <sheet name="BD" sheetId="1" r:id="rId1"/>
    <sheet name="Lixo" sheetId="2" r:id="rId2"/>
    <sheet name="Dashboar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  <c r="B2" i="2"/>
  <c r="D2" i="2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I2" i="2"/>
  <c r="J2" i="2"/>
  <c r="K2" i="2"/>
  <c r="L2" i="2"/>
  <c r="I3" i="2"/>
  <c r="J3" i="2"/>
  <c r="K3" i="2"/>
  <c r="L3" i="2"/>
  <c r="I4" i="2"/>
  <c r="J4" i="2"/>
  <c r="K4" i="2"/>
  <c r="L4" i="2"/>
  <c r="I5" i="2"/>
  <c r="J5" i="2"/>
  <c r="K5" i="2"/>
  <c r="L5" i="2"/>
  <c r="I6" i="2"/>
  <c r="J6" i="2"/>
  <c r="K6" i="2"/>
  <c r="L6" i="2"/>
  <c r="I7" i="2"/>
  <c r="J7" i="2"/>
  <c r="K7" i="2"/>
  <c r="L7" i="2"/>
  <c r="I8" i="2"/>
  <c r="J8" i="2"/>
  <c r="K8" i="2"/>
  <c r="L8" i="2"/>
  <c r="I9" i="2"/>
  <c r="J9" i="2"/>
  <c r="K9" i="2"/>
  <c r="L9" i="2"/>
  <c r="I10" i="2"/>
  <c r="J10" i="2"/>
  <c r="K10" i="2"/>
  <c r="L10" i="2"/>
  <c r="I11" i="2"/>
  <c r="J11" i="2"/>
  <c r="K11" i="2"/>
  <c r="L11" i="2"/>
  <c r="I12" i="2"/>
  <c r="J12" i="2"/>
  <c r="K12" i="2"/>
  <c r="L12" i="2"/>
  <c r="I13" i="2"/>
  <c r="J13" i="2"/>
  <c r="K13" i="2"/>
  <c r="L13" i="2"/>
  <c r="I14" i="2"/>
  <c r="J14" i="2"/>
  <c r="K14" i="2"/>
  <c r="L14" i="2"/>
  <c r="I15" i="2"/>
  <c r="J15" i="2"/>
  <c r="K15" i="2"/>
  <c r="L15" i="2"/>
  <c r="I16" i="2"/>
  <c r="J16" i="2"/>
  <c r="K16" i="2"/>
  <c r="L16" i="2"/>
  <c r="I17" i="2"/>
  <c r="J17" i="2"/>
  <c r="K17" i="2"/>
  <c r="L17" i="2"/>
  <c r="I18" i="2"/>
  <c r="J18" i="2"/>
  <c r="K18" i="2"/>
  <c r="L18" i="2"/>
  <c r="I19" i="2"/>
  <c r="J19" i="2"/>
  <c r="K19" i="2"/>
  <c r="L19" i="2"/>
  <c r="I20" i="2"/>
  <c r="J20" i="2"/>
  <c r="K20" i="2"/>
  <c r="L20" i="2"/>
  <c r="I21" i="2"/>
  <c r="J21" i="2"/>
  <c r="K21" i="2"/>
  <c r="L2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D3" i="2"/>
  <c r="D4" i="2"/>
  <c r="D5" i="2"/>
  <c r="D6" i="2"/>
  <c r="C3" i="2"/>
  <c r="C4" i="2"/>
  <c r="C5" i="2"/>
  <c r="C6" i="2"/>
  <c r="C2" i="2"/>
  <c r="B3" i="2"/>
  <c r="B4" i="2"/>
  <c r="B5" i="2"/>
  <c r="B6" i="2"/>
</calcChain>
</file>

<file path=xl/sharedStrings.xml><?xml version="1.0" encoding="utf-8"?>
<sst xmlns="http://schemas.openxmlformats.org/spreadsheetml/2006/main" count="635" uniqueCount="222">
  <si>
    <t>Produto</t>
  </si>
  <si>
    <t>Lote</t>
  </si>
  <si>
    <t>Palete</t>
  </si>
  <si>
    <t>Corredor</t>
  </si>
  <si>
    <t>Data Validade</t>
  </si>
  <si>
    <t>Vencido?</t>
  </si>
  <si>
    <t>Banana</t>
  </si>
  <si>
    <t>Laranja</t>
  </si>
  <si>
    <t>Acerola</t>
  </si>
  <si>
    <t>Kiwi</t>
  </si>
  <si>
    <t>Mamão</t>
  </si>
  <si>
    <t>Qtidade (Kg)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</si>
  <si>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</si>
  <si>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</si>
  <si>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</si>
  <si>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</si>
  <si>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</si>
  <si>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</si>
  <si>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</si>
  <si>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</si>
  <si>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</si>
  <si>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</si>
  <si>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</si>
  <si>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</si>
  <si>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</si>
  <si>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</si>
  <si>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</si>
  <si>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</si>
  <si>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</si>
  <si>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</si>
  <si>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</si>
  <si>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</si>
  <si>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</si>
  <si>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</si>
  <si>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</si>
  <si>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</si>
  <si>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</si>
  <si>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</si>
  <si>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</si>
  <si>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</si>
  <si>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</si>
  <si>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</si>
  <si>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</si>
  <si>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</si>
  <si>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</si>
  <si>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</si>
  <si>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</si>
  <si>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</si>
  <si>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</si>
  <si>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</si>
  <si>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</si>
  <si>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</si>
  <si>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</si>
  <si>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</si>
  <si>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</si>
  <si>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</si>
  <si>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</si>
  <si>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</si>
  <si>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</si>
  <si>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</si>
  <si>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</si>
  <si>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</si>
  <si>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</si>
  <si>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</si>
  <si>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</si>
  <si>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</si>
  <si>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</si>
  <si>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</si>
  <si>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</si>
  <si>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</si>
  <si>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</si>
  <si>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</si>
  <si>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</si>
  <si>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</si>
  <si>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</si>
  <si>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</si>
  <si>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</si>
  <si>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</si>
  <si>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</si>
  <si>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</si>
  <si>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</si>
  <si>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</si>
  <si>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</si>
  <si>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</si>
  <si>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</si>
  <si>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</si>
  <si>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</si>
  <si>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</si>
  <si>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</si>
  <si>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</si>
  <si>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</si>
  <si>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</si>
  <si>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</si>
  <si>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</si>
  <si>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</si>
  <si>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</si>
  <si>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</si>
  <si>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</si>
  <si>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</si>
  <si>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</si>
  <si>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</si>
  <si>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</si>
  <si>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</si>
  <si>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</si>
  <si>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</si>
  <si>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</si>
  <si>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</si>
  <si>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</si>
  <si>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</si>
  <si>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</si>
  <si>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</si>
  <si>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</si>
  <si>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</si>
  <si>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</si>
  <si>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</si>
  <si>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</si>
  <si>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</si>
  <si>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</si>
  <si>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</si>
  <si>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</si>
  <si>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</si>
  <si>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</si>
  <si>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</si>
  <si>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</si>
  <si>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</si>
  <si>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</si>
  <si>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</si>
  <si>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</si>
  <si>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</si>
  <si>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</si>
  <si>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</si>
  <si>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</si>
  <si>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</si>
  <si>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</si>
  <si>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</si>
  <si>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</si>
  <si>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</si>
  <si>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</si>
  <si>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</si>
  <si>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</si>
  <si>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</si>
  <si>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</si>
  <si>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</si>
  <si>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</si>
  <si>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</si>
  <si>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</si>
  <si>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</si>
  <si>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</si>
  <si>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</si>
  <si>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</si>
  <si>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</si>
  <si>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</si>
  <si>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</si>
  <si>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</si>
  <si>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</si>
  <si>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</si>
  <si>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</si>
  <si>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</si>
  <si>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</si>
  <si>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</si>
  <si>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</si>
  <si>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</si>
  <si>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</si>
  <si>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</si>
  <si>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</si>
  <si>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</si>
  <si>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</si>
  <si>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</si>
  <si>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</si>
  <si>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</si>
  <si>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</si>
  <si>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</si>
  <si>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</si>
  <si>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</si>
  <si>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</si>
  <si>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</si>
  <si>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</si>
  <si>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</si>
  <si>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</si>
  <si>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</si>
  <si>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</si>
  <si>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</si>
  <si>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</si>
  <si>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</si>
  <si>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</si>
  <si>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</si>
  <si>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</si>
  <si>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</si>
  <si>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</si>
  <si>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</si>
  <si>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</si>
  <si>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</si>
  <si>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</si>
  <si>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</si>
  <si>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</si>
  <si>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</si>
  <si>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</si>
  <si>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</si>
  <si>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</si>
  <si>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</si>
  <si>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</si>
  <si>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</si>
  <si>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</si>
  <si>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</si>
  <si>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</si>
  <si>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</si>
  <si>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</si>
  <si>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</si>
  <si>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</si>
  <si>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</si>
  <si>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</si>
  <si>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</si>
  <si>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</si>
  <si>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</si>
  <si>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</si>
  <si>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Não</t>
  </si>
  <si>
    <t>Sim</t>
  </si>
  <si>
    <t>Total</t>
  </si>
  <si>
    <t>% vencida</t>
  </si>
  <si>
    <t>Vínculo</t>
  </si>
  <si>
    <t>Vencimentos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</si>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</sst>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%"/>
  </numFmts>
  <fonts count="3" x14ac:knownFonts="1">
    <font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14" fontId="0" fillId="0" borderId="0" xfId="0" applyNumberFormat="1"/>
    <xf numFmtId="0" fontId="2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97155825538017E-2"/>
          <c:y val="0.18055555555555552"/>
          <c:w val="0.8677939568737052"/>
          <c:h val="0.606141732283464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Lixo!$B$1</c:f>
              <c:strCache>
                <c:ptCount val="1"/>
                <c:pt idx="0">
                  <c:v>Vencido?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Lixo!$A$2:$A$6</c:f>
              <c:strCache>
                <c:ptCount val="5"/>
                <c:pt idx="0">
                  <c:v>Banana</c:v>
                </c:pt>
                <c:pt idx="1">
                  <c:v>Laranja</c:v>
                </c:pt>
                <c:pt idx="2">
                  <c:v>Acerola</c:v>
                </c:pt>
                <c:pt idx="3">
                  <c:v>Kiwi</c:v>
                </c:pt>
                <c:pt idx="4">
                  <c:v>Mamão</c:v>
                </c:pt>
              </c:strCache>
            </c:strRef>
          </c:cat>
          <c:val>
            <c:numRef>
              <c:f>Lixo!$B$2:$B$6</c:f>
              <c:numCache>
                <c:formatCode>General</c:formatCode>
                <c:ptCount val="5"/>
                <c:pt idx="0">
                  <c:v>19</c:v>
                </c:pt>
                <c:pt idx="1">
                  <c:v>18</c:v>
                </c:pt>
                <c:pt idx="2">
                  <c:v>13</c:v>
                </c:pt>
                <c:pt idx="3">
                  <c:v>17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2-4228-9FE9-0FADD463E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213305280"/>
        <c:axId val="213306944"/>
      </c:barChart>
      <c:lineChart>
        <c:grouping val="standard"/>
        <c:varyColors val="0"/>
        <c:ser>
          <c:idx val="1"/>
          <c:order val="1"/>
          <c:tx>
            <c:strRef>
              <c:f>Lixo!$D$1</c:f>
              <c:strCache>
                <c:ptCount val="1"/>
                <c:pt idx="0">
                  <c:v>% vencida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Lixo!$A$2:$A$6</c:f>
              <c:strCache>
                <c:ptCount val="5"/>
                <c:pt idx="0">
                  <c:v>Banana</c:v>
                </c:pt>
                <c:pt idx="1">
                  <c:v>Laranja</c:v>
                </c:pt>
                <c:pt idx="2">
                  <c:v>Acerola</c:v>
                </c:pt>
                <c:pt idx="3">
                  <c:v>Kiwi</c:v>
                </c:pt>
                <c:pt idx="4">
                  <c:v>Mamão</c:v>
                </c:pt>
              </c:strCache>
            </c:strRef>
          </c:cat>
          <c:val>
            <c:numRef>
              <c:f>Lixo!$D$2:$D$6</c:f>
              <c:numCache>
                <c:formatCode>0.0%</c:formatCode>
                <c:ptCount val="5"/>
                <c:pt idx="0">
                  <c:v>0.46341463414634149</c:v>
                </c:pt>
                <c:pt idx="1">
                  <c:v>0.43902439024390244</c:v>
                </c:pt>
                <c:pt idx="2">
                  <c:v>0.31707317073170732</c:v>
                </c:pt>
                <c:pt idx="3">
                  <c:v>0.42499999999999999</c:v>
                </c:pt>
                <c:pt idx="4">
                  <c:v>0.32500000000000001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02-4228-9FE9-0FADD463E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01952"/>
        <c:axId val="213304448"/>
      </c:lineChart>
      <c:catAx>
        <c:axId val="2133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306944"/>
        <c:crosses val="autoZero"/>
        <c:auto val="1"/>
        <c:lblAlgn val="ctr"/>
        <c:lblOffset val="100"/>
        <c:noMultiLvlLbl val="0"/>
      </c:catAx>
      <c:valAx>
        <c:axId val="21330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305280"/>
        <c:crosses val="autoZero"/>
        <c:crossBetween val="between"/>
      </c:valAx>
      <c:valAx>
        <c:axId val="21330444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301952"/>
        <c:crosses val="max"/>
        <c:crossBetween val="between"/>
      </c:valAx>
      <c:catAx>
        <c:axId val="213301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304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109593538513868"/>
          <c:y val="0.89130358705161838"/>
          <c:w val="0.27395441355204381"/>
          <c:h val="0.108696412948381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214719828121219E-2"/>
          <c:y val="8.1936685288640593E-2"/>
          <c:w val="0.9417827457724276"/>
          <c:h val="0.55963929089869358"/>
        </c:manualLayout>
      </c:layout>
      <c:scatterChart>
        <c:scatterStyle val="lineMarker"/>
        <c:varyColors val="0"/>
        <c:ser>
          <c:idx val="0"/>
          <c:order val="0"/>
          <c:tx>
            <c:strRef>
              <c:f>Lixo!$Q$1</c:f>
              <c:strCache>
                <c:ptCount val="1"/>
                <c:pt idx="0">
                  <c:v>Vencimentos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Lixo!$P$2:$P$21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Lixo!$Q$2:$Q$21</c:f>
              <c:numCache>
                <c:formatCode>General</c:formatCode>
                <c:ptCount val="20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42-444D-A890-635291DDE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038576"/>
        <c:axId val="238043984"/>
      </c:scatterChart>
      <c:valAx>
        <c:axId val="238038576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rgbClr val="FF0000"/>
                    </a:solidFill>
                  </a:rPr>
                  <a:t>Palete</a:t>
                </a:r>
              </a:p>
            </c:rich>
          </c:tx>
          <c:layout/>
          <c:overlay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8043984"/>
        <c:crosses val="autoZero"/>
        <c:crossBetween val="midCat"/>
        <c:majorUnit val="1"/>
      </c:valAx>
      <c:valAx>
        <c:axId val="2380439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rgbClr val="FF0000"/>
                    </a:solidFill>
                  </a:rPr>
                  <a:t>Qtidade de vencidos</a:t>
                </a:r>
              </a:p>
            </c:rich>
          </c:tx>
          <c:layout>
            <c:manualLayout>
              <c:xMode val="edge"/>
              <c:yMode val="edge"/>
              <c:x val="1.1464603038119804E-2"/>
              <c:y val="7.4487895716946001E-2"/>
            </c:manualLayout>
          </c:layout>
          <c:overlay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23803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9224840294949"/>
          <c:y val="0.14102564102564102"/>
          <c:w val="0.85762182520478869"/>
          <c:h val="0.788461538461538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Lixo!$E$1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Lixo!$A$2:$A$6</c:f>
              <c:strCache>
                <c:ptCount val="5"/>
                <c:pt idx="0">
                  <c:v>Banana</c:v>
                </c:pt>
                <c:pt idx="1">
                  <c:v>Laranja</c:v>
                </c:pt>
                <c:pt idx="2">
                  <c:v>Acerola</c:v>
                </c:pt>
                <c:pt idx="3">
                  <c:v>Kiwi</c:v>
                </c:pt>
                <c:pt idx="4">
                  <c:v>Mamão</c:v>
                </c:pt>
              </c:strCache>
            </c:strRef>
          </c:cat>
          <c:val>
            <c:numRef>
              <c:f>Lixo!$E$2:$E$6</c:f>
              <c:numCache>
                <c:formatCode>General</c:formatCode>
                <c:ptCount val="5"/>
                <c:pt idx="0">
                  <c:v>263</c:v>
                </c:pt>
                <c:pt idx="1">
                  <c:v>220</c:v>
                </c:pt>
                <c:pt idx="2">
                  <c:v>151</c:v>
                </c:pt>
                <c:pt idx="3">
                  <c:v>200</c:v>
                </c:pt>
                <c:pt idx="4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1-4C5F-ABA1-03623123EC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35110784"/>
        <c:axId val="435107456"/>
      </c:barChart>
      <c:catAx>
        <c:axId val="43511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5107456"/>
        <c:crosses val="autoZero"/>
        <c:auto val="1"/>
        <c:lblAlgn val="ctr"/>
        <c:lblOffset val="100"/>
        <c:noMultiLvlLbl val="0"/>
      </c:catAx>
      <c:valAx>
        <c:axId val="435107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1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22" fmlaLink="Lixo!$N$2" fmlaRange="Lixo!$A$2:$A$6" noThreeD="1" sel="4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2</xdr:row>
      <xdr:rowOff>142875</xdr:rowOff>
    </xdr:from>
    <xdr:to>
      <xdr:col>9</xdr:col>
      <xdr:colOff>676275</xdr:colOff>
      <xdr:row>12</xdr:row>
      <xdr:rowOff>19050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18</xdr:col>
      <xdr:colOff>180975</xdr:colOff>
      <xdr:row>20</xdr:row>
      <xdr:rowOff>200024</xdr:rowOff>
    </xdr:to>
    <xdr:sp macro="" textlink="">
      <xdr:nvSpPr>
        <xdr:cNvPr id="3" name="Quadro 2"/>
        <xdr:cNvSpPr/>
      </xdr:nvSpPr>
      <xdr:spPr>
        <a:xfrm>
          <a:off x="0" y="0"/>
          <a:ext cx="12525375" cy="4391024"/>
        </a:xfrm>
        <a:prstGeom prst="frame">
          <a:avLst>
            <a:gd name="adj1" fmla="val 1169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266700</xdr:colOff>
      <xdr:row>2</xdr:row>
      <xdr:rowOff>57150</xdr:rowOff>
    </xdr:from>
    <xdr:to>
      <xdr:col>17</xdr:col>
      <xdr:colOff>438150</xdr:colOff>
      <xdr:row>2</xdr:row>
      <xdr:rowOff>57151</xdr:rowOff>
    </xdr:to>
    <xdr:cxnSp macro="">
      <xdr:nvCxnSpPr>
        <xdr:cNvPr id="5" name="Conector reto 4"/>
        <xdr:cNvCxnSpPr/>
      </xdr:nvCxnSpPr>
      <xdr:spPr>
        <a:xfrm flipV="1">
          <a:off x="266700" y="476250"/>
          <a:ext cx="11830050" cy="1"/>
        </a:xfrm>
        <a:prstGeom prst="line">
          <a:avLst/>
        </a:prstGeom>
        <a:ln w="28575">
          <a:solidFill>
            <a:srgbClr val="FF0000"/>
          </a:solidFill>
        </a:ln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209550</xdr:colOff>
      <xdr:row>0</xdr:row>
      <xdr:rowOff>114300</xdr:rowOff>
    </xdr:from>
    <xdr:ext cx="4733925" cy="374141"/>
    <xdr:sp macro="" textlink="">
      <xdr:nvSpPr>
        <xdr:cNvPr id="8" name="CaixaDeTexto 7"/>
        <xdr:cNvSpPr txBox="1"/>
      </xdr:nvSpPr>
      <xdr:spPr>
        <a:xfrm>
          <a:off x="209550" y="114300"/>
          <a:ext cx="473392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800">
              <a:solidFill>
                <a:srgbClr val="FF0000"/>
              </a:solidFill>
            </a:rPr>
            <a:t>DASHBOARD DE ESTOQUE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257175</xdr:colOff>
          <xdr:row>12</xdr:row>
          <xdr:rowOff>57150</xdr:rowOff>
        </xdr:from>
        <xdr:to>
          <xdr:col>1</xdr:col>
          <xdr:colOff>514350</xdr:colOff>
          <xdr:row>20</xdr:row>
          <xdr:rowOff>85725</xdr:rowOff>
        </xdr:to>
        <xdr:sp macro="" textlink="">
          <xdr:nvSpPr>
            <xdr:cNvPr id="1026" name="List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590549</xdr:colOff>
      <xdr:row>12</xdr:row>
      <xdr:rowOff>57150</xdr:rowOff>
    </xdr:from>
    <xdr:to>
      <xdr:col>18</xdr:col>
      <xdr:colOff>9524</xdr:colOff>
      <xdr:row>20</xdr:row>
      <xdr:rowOff>85725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</xdr:colOff>
      <xdr:row>2</xdr:row>
      <xdr:rowOff>142875</xdr:rowOff>
    </xdr:from>
    <xdr:to>
      <xdr:col>18</xdr:col>
      <xdr:colOff>1</xdr:colOff>
      <xdr:row>12</xdr:row>
      <xdr:rowOff>28575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28575</xdr:colOff>
      <xdr:row>2</xdr:row>
      <xdr:rowOff>133351</xdr:rowOff>
    </xdr:from>
    <xdr:ext cx="4733925" cy="304800"/>
    <xdr:sp macro="" textlink="">
      <xdr:nvSpPr>
        <xdr:cNvPr id="13" name="CaixaDeTexto 12"/>
        <xdr:cNvSpPr txBox="1"/>
      </xdr:nvSpPr>
      <xdr:spPr>
        <a:xfrm>
          <a:off x="6886575" y="552451"/>
          <a:ext cx="4733925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>
              <a:solidFill>
                <a:srgbClr val="FF0000"/>
              </a:solidFill>
            </a:rPr>
            <a:t>Vencidos por Kilos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Views>
    <sheetView showGridLines="0" workbookViewId="0">
      <selection activeCell="M5" sqref="M5"/>
    </sheetView>
  </sheetViews>
  <sheetFormatPr defaultRowHeight="16.5" x14ac:dyDescent="0.3"/>
  <cols>
    <col min="2" max="2" width="12.625" bestFit="1" customWidth="1"/>
    <col min="4" max="4" width="9.25" bestFit="1" customWidth="1"/>
    <col min="5" max="6" width="14.5" bestFit="1" customWidth="1"/>
    <col min="7" max="7" width="9.875" bestFit="1" customWidth="1"/>
    <col min="11" max="11" width="10.625" bestFit="1" customWidth="1"/>
  </cols>
  <sheetData>
    <row r="1" spans="1:11" ht="17.25" thickTop="1" x14ac:dyDescent="0.3">
      <c r="A1" s="3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1" x14ac:dyDescent="0.3">
      <c r="A2" s="5" t="s">
        <v>6</v>
      </c>
      <c r="B2" s="5">
        <v>8</v>
      </c>
      <c r="C2" s="6" t="s">
        <v>12</v>
      </c>
      <c r="D2" s="5">
        <v>2</v>
      </c>
      <c r="E2" s="5">
        <v>2</v>
      </c>
      <c r="F2" s="7">
        <v>43695</v>
      </c>
      <c r="G2" s="5" t="s">
        <v>215</v>
      </c>
      <c r="K2" s="2"/>
    </row>
    <row r="3" spans="1:11" x14ac:dyDescent="0.3">
      <c r="A3" s="5" t="s">
        <v>7</v>
      </c>
      <c r="B3" s="5">
        <v>8</v>
      </c>
      <c r="C3" s="6" t="s">
        <v>13</v>
      </c>
      <c r="D3" s="5">
        <v>13</v>
      </c>
      <c r="E3" s="5">
        <v>2</v>
      </c>
      <c r="F3" s="7">
        <v>43567</v>
      </c>
      <c r="G3" s="5" t="s">
        <v>216</v>
      </c>
      <c r="K3" s="2"/>
    </row>
    <row r="4" spans="1:11" x14ac:dyDescent="0.3">
      <c r="A4" s="5" t="s">
        <v>8</v>
      </c>
      <c r="B4" s="5">
        <v>11</v>
      </c>
      <c r="C4" s="6" t="s">
        <v>14</v>
      </c>
      <c r="D4" s="5">
        <v>19</v>
      </c>
      <c r="E4" s="5">
        <v>3</v>
      </c>
      <c r="F4" s="7">
        <v>43784</v>
      </c>
      <c r="G4" s="5" t="s">
        <v>215</v>
      </c>
    </row>
    <row r="5" spans="1:11" x14ac:dyDescent="0.3">
      <c r="A5" s="5" t="s">
        <v>9</v>
      </c>
      <c r="B5" s="5">
        <v>19</v>
      </c>
      <c r="C5" s="6" t="s">
        <v>15</v>
      </c>
      <c r="D5" s="5">
        <v>5</v>
      </c>
      <c r="E5" s="5">
        <v>4</v>
      </c>
      <c r="F5" s="7">
        <v>43709</v>
      </c>
      <c r="G5" s="5" t="s">
        <v>215</v>
      </c>
    </row>
    <row r="6" spans="1:11" x14ac:dyDescent="0.3">
      <c r="A6" s="5" t="s">
        <v>10</v>
      </c>
      <c r="B6" s="5">
        <v>16</v>
      </c>
      <c r="C6" s="6" t="s">
        <v>16</v>
      </c>
      <c r="D6" s="5">
        <v>6</v>
      </c>
      <c r="E6" s="5">
        <v>3</v>
      </c>
      <c r="F6" s="7">
        <v>43734</v>
      </c>
      <c r="G6" s="5" t="s">
        <v>215</v>
      </c>
    </row>
    <row r="7" spans="1:11" x14ac:dyDescent="0.3">
      <c r="A7" s="5" t="s">
        <v>6</v>
      </c>
      <c r="B7" s="5">
        <v>6</v>
      </c>
      <c r="C7" s="6" t="s">
        <v>17</v>
      </c>
      <c r="D7" s="5">
        <v>3</v>
      </c>
      <c r="E7" s="5">
        <v>1</v>
      </c>
      <c r="F7" s="7">
        <v>43588</v>
      </c>
      <c r="G7" s="5" t="s">
        <v>216</v>
      </c>
    </row>
    <row r="8" spans="1:11" x14ac:dyDescent="0.3">
      <c r="A8" s="5" t="s">
        <v>7</v>
      </c>
      <c r="B8" s="5">
        <v>5</v>
      </c>
      <c r="C8" s="6" t="s">
        <v>18</v>
      </c>
      <c r="D8" s="5">
        <v>20</v>
      </c>
      <c r="E8" s="5">
        <v>2</v>
      </c>
      <c r="F8" s="7">
        <v>43636</v>
      </c>
      <c r="G8" s="5" t="s">
        <v>215</v>
      </c>
    </row>
    <row r="9" spans="1:11" x14ac:dyDescent="0.3">
      <c r="A9" s="5" t="s">
        <v>8</v>
      </c>
      <c r="B9" s="5">
        <v>16</v>
      </c>
      <c r="C9" s="6" t="s">
        <v>19</v>
      </c>
      <c r="D9" s="5">
        <v>6</v>
      </c>
      <c r="E9" s="5">
        <v>2</v>
      </c>
      <c r="F9" s="7">
        <v>43624</v>
      </c>
      <c r="G9" s="5" t="s">
        <v>215</v>
      </c>
    </row>
    <row r="10" spans="1:11" x14ac:dyDescent="0.3">
      <c r="A10" s="5" t="s">
        <v>9</v>
      </c>
      <c r="B10" s="5">
        <v>16</v>
      </c>
      <c r="C10" s="6" t="s">
        <v>20</v>
      </c>
      <c r="D10" s="5">
        <v>1</v>
      </c>
      <c r="E10" s="5">
        <v>1</v>
      </c>
      <c r="F10" s="7">
        <v>43590</v>
      </c>
      <c r="G10" s="5" t="s">
        <v>216</v>
      </c>
    </row>
    <row r="11" spans="1:11" x14ac:dyDescent="0.3">
      <c r="A11" s="5" t="s">
        <v>10</v>
      </c>
      <c r="B11" s="5">
        <v>12</v>
      </c>
      <c r="C11" s="6" t="s">
        <v>21</v>
      </c>
      <c r="D11" s="5">
        <v>10</v>
      </c>
      <c r="E11" s="5">
        <v>4</v>
      </c>
      <c r="F11" s="7">
        <v>43467</v>
      </c>
      <c r="G11" s="5" t="s">
        <v>216</v>
      </c>
    </row>
    <row r="12" spans="1:11" x14ac:dyDescent="0.3">
      <c r="A12" s="5" t="s">
        <v>6</v>
      </c>
      <c r="B12" s="5">
        <v>7</v>
      </c>
      <c r="C12" s="6" t="s">
        <v>22</v>
      </c>
      <c r="D12" s="5">
        <v>13</v>
      </c>
      <c r="E12" s="5">
        <v>4</v>
      </c>
      <c r="F12" s="7">
        <v>43820</v>
      </c>
      <c r="G12" s="5" t="s">
        <v>215</v>
      </c>
    </row>
    <row r="13" spans="1:11" x14ac:dyDescent="0.3">
      <c r="A13" s="5" t="s">
        <v>7</v>
      </c>
      <c r="B13" s="5">
        <v>9</v>
      </c>
      <c r="C13" s="6" t="s">
        <v>23</v>
      </c>
      <c r="D13" s="5">
        <v>16</v>
      </c>
      <c r="E13" s="5">
        <v>4</v>
      </c>
      <c r="F13" s="7">
        <v>43486</v>
      </c>
      <c r="G13" s="5" t="s">
        <v>216</v>
      </c>
    </row>
    <row r="14" spans="1:11" x14ac:dyDescent="0.3">
      <c r="A14" s="5" t="s">
        <v>8</v>
      </c>
      <c r="B14" s="5">
        <v>11</v>
      </c>
      <c r="C14" s="6" t="s">
        <v>24</v>
      </c>
      <c r="D14" s="5">
        <v>16</v>
      </c>
      <c r="E14" s="5">
        <v>1</v>
      </c>
      <c r="F14" s="7">
        <v>43533</v>
      </c>
      <c r="G14" s="5" t="s">
        <v>216</v>
      </c>
    </row>
    <row r="15" spans="1:11" x14ac:dyDescent="0.3">
      <c r="A15" s="5" t="s">
        <v>9</v>
      </c>
      <c r="B15" s="5">
        <v>7</v>
      </c>
      <c r="C15" s="6" t="s">
        <v>25</v>
      </c>
      <c r="D15" s="5">
        <v>11</v>
      </c>
      <c r="E15" s="5">
        <v>3</v>
      </c>
      <c r="F15" s="7">
        <v>43691</v>
      </c>
      <c r="G15" s="5" t="s">
        <v>215</v>
      </c>
    </row>
    <row r="16" spans="1:11" x14ac:dyDescent="0.3">
      <c r="A16" s="5" t="s">
        <v>10</v>
      </c>
      <c r="B16" s="5">
        <v>7</v>
      </c>
      <c r="C16" s="6" t="s">
        <v>26</v>
      </c>
      <c r="D16" s="5">
        <v>8</v>
      </c>
      <c r="E16" s="5">
        <v>3</v>
      </c>
      <c r="F16" s="7">
        <v>43765</v>
      </c>
      <c r="G16" s="5" t="s">
        <v>215</v>
      </c>
    </row>
    <row r="17" spans="1:7" x14ac:dyDescent="0.3">
      <c r="A17" s="5" t="s">
        <v>6</v>
      </c>
      <c r="B17" s="5">
        <v>13</v>
      </c>
      <c r="C17" s="6" t="s">
        <v>27</v>
      </c>
      <c r="D17" s="5">
        <v>2</v>
      </c>
      <c r="E17" s="5">
        <v>3</v>
      </c>
      <c r="F17" s="7">
        <v>43538</v>
      </c>
      <c r="G17" s="5" t="s">
        <v>216</v>
      </c>
    </row>
    <row r="18" spans="1:7" x14ac:dyDescent="0.3">
      <c r="A18" s="5" t="s">
        <v>7</v>
      </c>
      <c r="B18" s="5">
        <v>19</v>
      </c>
      <c r="C18" s="6" t="s">
        <v>28</v>
      </c>
      <c r="D18" s="5">
        <v>2</v>
      </c>
      <c r="E18" s="5">
        <v>3</v>
      </c>
      <c r="F18" s="7">
        <v>43751</v>
      </c>
      <c r="G18" s="5" t="s">
        <v>215</v>
      </c>
    </row>
    <row r="19" spans="1:7" x14ac:dyDescent="0.3">
      <c r="A19" s="5" t="s">
        <v>8</v>
      </c>
      <c r="B19" s="5">
        <v>18</v>
      </c>
      <c r="C19" s="6" t="s">
        <v>29</v>
      </c>
      <c r="D19" s="5">
        <v>11</v>
      </c>
      <c r="E19" s="5">
        <v>4</v>
      </c>
      <c r="F19" s="7">
        <v>43605</v>
      </c>
      <c r="G19" s="5" t="s">
        <v>216</v>
      </c>
    </row>
    <row r="20" spans="1:7" x14ac:dyDescent="0.3">
      <c r="A20" s="5" t="s">
        <v>9</v>
      </c>
      <c r="B20" s="5">
        <v>5</v>
      </c>
      <c r="C20" s="6" t="s">
        <v>30</v>
      </c>
      <c r="D20" s="5">
        <v>19</v>
      </c>
      <c r="E20" s="5">
        <v>3</v>
      </c>
      <c r="F20" s="7">
        <v>43728</v>
      </c>
      <c r="G20" s="5" t="s">
        <v>215</v>
      </c>
    </row>
    <row r="21" spans="1:7" x14ac:dyDescent="0.3">
      <c r="A21" s="5" t="s">
        <v>10</v>
      </c>
      <c r="B21" s="5">
        <v>11</v>
      </c>
      <c r="C21" s="6" t="s">
        <v>31</v>
      </c>
      <c r="D21" s="5">
        <v>15</v>
      </c>
      <c r="E21" s="5">
        <v>1</v>
      </c>
      <c r="F21" s="7">
        <v>43679</v>
      </c>
      <c r="G21" s="5" t="s">
        <v>215</v>
      </c>
    </row>
    <row r="22" spans="1:7" x14ac:dyDescent="0.3">
      <c r="A22" s="5" t="s">
        <v>6</v>
      </c>
      <c r="B22" s="5">
        <v>12</v>
      </c>
      <c r="C22" s="6" t="s">
        <v>32</v>
      </c>
      <c r="D22" s="5">
        <v>13</v>
      </c>
      <c r="E22" s="5">
        <v>1</v>
      </c>
      <c r="F22" s="7">
        <v>43692</v>
      </c>
      <c r="G22" s="5" t="s">
        <v>215</v>
      </c>
    </row>
    <row r="23" spans="1:7" x14ac:dyDescent="0.3">
      <c r="A23" s="5" t="s">
        <v>7</v>
      </c>
      <c r="B23" s="5">
        <v>6</v>
      </c>
      <c r="C23" s="6" t="s">
        <v>33</v>
      </c>
      <c r="D23" s="5">
        <v>20</v>
      </c>
      <c r="E23" s="5">
        <v>2</v>
      </c>
      <c r="F23" s="7">
        <v>43491</v>
      </c>
      <c r="G23" s="5" t="s">
        <v>216</v>
      </c>
    </row>
    <row r="24" spans="1:7" x14ac:dyDescent="0.3">
      <c r="A24" s="5" t="s">
        <v>8</v>
      </c>
      <c r="B24" s="5">
        <v>16</v>
      </c>
      <c r="C24" s="6" t="s">
        <v>34</v>
      </c>
      <c r="D24" s="5">
        <v>20</v>
      </c>
      <c r="E24" s="5">
        <v>3</v>
      </c>
      <c r="F24" s="7">
        <v>43807</v>
      </c>
      <c r="G24" s="5" t="s">
        <v>215</v>
      </c>
    </row>
    <row r="25" spans="1:7" x14ac:dyDescent="0.3">
      <c r="A25" s="5" t="s">
        <v>9</v>
      </c>
      <c r="B25" s="5">
        <v>6</v>
      </c>
      <c r="C25" s="6" t="s">
        <v>35</v>
      </c>
      <c r="D25" s="5">
        <v>11</v>
      </c>
      <c r="E25" s="5">
        <v>2</v>
      </c>
      <c r="F25" s="7">
        <v>43798</v>
      </c>
      <c r="G25" s="5" t="s">
        <v>215</v>
      </c>
    </row>
    <row r="26" spans="1:7" x14ac:dyDescent="0.3">
      <c r="A26" s="5" t="s">
        <v>10</v>
      </c>
      <c r="B26" s="5">
        <v>15</v>
      </c>
      <c r="C26" s="6" t="s">
        <v>36</v>
      </c>
      <c r="D26" s="5">
        <v>18</v>
      </c>
      <c r="E26" s="5">
        <v>1</v>
      </c>
      <c r="F26" s="7">
        <v>43810</v>
      </c>
      <c r="G26" s="5" t="s">
        <v>215</v>
      </c>
    </row>
    <row r="27" spans="1:7" x14ac:dyDescent="0.3">
      <c r="A27" s="5" t="s">
        <v>6</v>
      </c>
      <c r="B27" s="5">
        <v>19</v>
      </c>
      <c r="C27" s="6" t="s">
        <v>37</v>
      </c>
      <c r="D27" s="5">
        <v>6</v>
      </c>
      <c r="E27" s="5">
        <v>1</v>
      </c>
      <c r="F27" s="7">
        <v>43687</v>
      </c>
      <c r="G27" s="5" t="s">
        <v>215</v>
      </c>
    </row>
    <row r="28" spans="1:7" x14ac:dyDescent="0.3">
      <c r="A28" s="5" t="s">
        <v>7</v>
      </c>
      <c r="B28" s="5">
        <v>12</v>
      </c>
      <c r="C28" s="6" t="s">
        <v>38</v>
      </c>
      <c r="D28" s="5">
        <v>4</v>
      </c>
      <c r="E28" s="5">
        <v>2</v>
      </c>
      <c r="F28" s="7">
        <v>43558</v>
      </c>
      <c r="G28" s="5" t="s">
        <v>216</v>
      </c>
    </row>
    <row r="29" spans="1:7" x14ac:dyDescent="0.3">
      <c r="A29" s="5" t="s">
        <v>8</v>
      </c>
      <c r="B29" s="5">
        <v>6</v>
      </c>
      <c r="C29" s="6" t="s">
        <v>39</v>
      </c>
      <c r="D29" s="5">
        <v>12</v>
      </c>
      <c r="E29" s="5">
        <v>2</v>
      </c>
      <c r="F29" s="7">
        <v>43664</v>
      </c>
      <c r="G29" s="5" t="s">
        <v>215</v>
      </c>
    </row>
    <row r="30" spans="1:7" x14ac:dyDescent="0.3">
      <c r="A30" s="5" t="s">
        <v>9</v>
      </c>
      <c r="B30" s="5">
        <v>12</v>
      </c>
      <c r="C30" s="6" t="s">
        <v>40</v>
      </c>
      <c r="D30" s="5">
        <v>8</v>
      </c>
      <c r="E30" s="5">
        <v>1</v>
      </c>
      <c r="F30" s="7">
        <v>43729</v>
      </c>
      <c r="G30" s="5" t="s">
        <v>215</v>
      </c>
    </row>
    <row r="31" spans="1:7" x14ac:dyDescent="0.3">
      <c r="A31" s="5" t="s">
        <v>10</v>
      </c>
      <c r="B31" s="5">
        <v>20</v>
      </c>
      <c r="C31" s="6" t="s">
        <v>41</v>
      </c>
      <c r="D31" s="5">
        <v>8</v>
      </c>
      <c r="E31" s="5">
        <v>1</v>
      </c>
      <c r="F31" s="7">
        <v>43671</v>
      </c>
      <c r="G31" s="5" t="s">
        <v>215</v>
      </c>
    </row>
    <row r="32" spans="1:7" x14ac:dyDescent="0.3">
      <c r="A32" s="5" t="s">
        <v>6</v>
      </c>
      <c r="B32" s="5">
        <v>14</v>
      </c>
      <c r="C32" s="6" t="s">
        <v>42</v>
      </c>
      <c r="D32" s="5">
        <v>7</v>
      </c>
      <c r="E32" s="5">
        <v>3</v>
      </c>
      <c r="F32" s="7">
        <v>43822</v>
      </c>
      <c r="G32" s="5" t="s">
        <v>215</v>
      </c>
    </row>
    <row r="33" spans="1:7" x14ac:dyDescent="0.3">
      <c r="A33" s="5" t="s">
        <v>7</v>
      </c>
      <c r="B33" s="5">
        <v>17</v>
      </c>
      <c r="C33" s="6" t="s">
        <v>43</v>
      </c>
      <c r="D33" s="5">
        <v>2</v>
      </c>
      <c r="E33" s="5">
        <v>3</v>
      </c>
      <c r="F33" s="7">
        <v>43629</v>
      </c>
      <c r="G33" s="5" t="s">
        <v>215</v>
      </c>
    </row>
    <row r="34" spans="1:7" x14ac:dyDescent="0.3">
      <c r="A34" s="5" t="s">
        <v>8</v>
      </c>
      <c r="B34" s="5">
        <v>20</v>
      </c>
      <c r="C34" s="6" t="s">
        <v>44</v>
      </c>
      <c r="D34" s="5">
        <v>15</v>
      </c>
      <c r="E34" s="5">
        <v>3</v>
      </c>
      <c r="F34" s="7">
        <v>43468</v>
      </c>
      <c r="G34" s="5" t="s">
        <v>216</v>
      </c>
    </row>
    <row r="35" spans="1:7" x14ac:dyDescent="0.3">
      <c r="A35" s="5" t="s">
        <v>9</v>
      </c>
      <c r="B35" s="5">
        <v>6</v>
      </c>
      <c r="C35" s="6" t="s">
        <v>45</v>
      </c>
      <c r="D35" s="5">
        <v>18</v>
      </c>
      <c r="E35" s="5">
        <v>2</v>
      </c>
      <c r="F35" s="7">
        <v>43561</v>
      </c>
      <c r="G35" s="5" t="s">
        <v>216</v>
      </c>
    </row>
    <row r="36" spans="1:7" x14ac:dyDescent="0.3">
      <c r="A36" s="5" t="s">
        <v>10</v>
      </c>
      <c r="B36" s="5">
        <v>17</v>
      </c>
      <c r="C36" s="6" t="s">
        <v>46</v>
      </c>
      <c r="D36" s="5">
        <v>19</v>
      </c>
      <c r="E36" s="5">
        <v>4</v>
      </c>
      <c r="F36" s="7">
        <v>43617</v>
      </c>
      <c r="G36" s="5" t="s">
        <v>215</v>
      </c>
    </row>
    <row r="37" spans="1:7" x14ac:dyDescent="0.3">
      <c r="A37" s="5" t="s">
        <v>6</v>
      </c>
      <c r="B37" s="5">
        <v>7</v>
      </c>
      <c r="C37" s="6" t="s">
        <v>47</v>
      </c>
      <c r="D37" s="5">
        <v>11</v>
      </c>
      <c r="E37" s="5">
        <v>4</v>
      </c>
      <c r="F37" s="7">
        <v>43795</v>
      </c>
      <c r="G37" s="5" t="s">
        <v>215</v>
      </c>
    </row>
    <row r="38" spans="1:7" x14ac:dyDescent="0.3">
      <c r="A38" s="5" t="s">
        <v>7</v>
      </c>
      <c r="B38" s="5">
        <v>20</v>
      </c>
      <c r="C38" s="6" t="s">
        <v>48</v>
      </c>
      <c r="D38" s="5">
        <v>3</v>
      </c>
      <c r="E38" s="5">
        <v>1</v>
      </c>
      <c r="F38" s="7">
        <v>43515</v>
      </c>
      <c r="G38" s="5" t="s">
        <v>216</v>
      </c>
    </row>
    <row r="39" spans="1:7" x14ac:dyDescent="0.3">
      <c r="A39" s="5" t="s">
        <v>8</v>
      </c>
      <c r="B39" s="5">
        <v>18</v>
      </c>
      <c r="C39" s="6" t="s">
        <v>49</v>
      </c>
      <c r="D39" s="5">
        <v>14</v>
      </c>
      <c r="E39" s="5">
        <v>4</v>
      </c>
      <c r="F39" s="7">
        <v>43742</v>
      </c>
      <c r="G39" s="5" t="s">
        <v>215</v>
      </c>
    </row>
    <row r="40" spans="1:7" x14ac:dyDescent="0.3">
      <c r="A40" s="5" t="s">
        <v>9</v>
      </c>
      <c r="B40" s="5">
        <v>7</v>
      </c>
      <c r="C40" s="6" t="s">
        <v>50</v>
      </c>
      <c r="D40" s="5">
        <v>6</v>
      </c>
      <c r="E40" s="5">
        <v>2</v>
      </c>
      <c r="F40" s="7">
        <v>43812</v>
      </c>
      <c r="G40" s="5" t="s">
        <v>215</v>
      </c>
    </row>
    <row r="41" spans="1:7" x14ac:dyDescent="0.3">
      <c r="A41" s="5" t="s">
        <v>10</v>
      </c>
      <c r="B41" s="5">
        <v>9</v>
      </c>
      <c r="C41" s="6" t="s">
        <v>51</v>
      </c>
      <c r="D41" s="5">
        <v>8</v>
      </c>
      <c r="E41" s="5">
        <v>4</v>
      </c>
      <c r="F41" s="7">
        <v>43510</v>
      </c>
      <c r="G41" s="5" t="s">
        <v>216</v>
      </c>
    </row>
    <row r="42" spans="1:7" x14ac:dyDescent="0.3">
      <c r="A42" s="5" t="s">
        <v>6</v>
      </c>
      <c r="B42" s="5">
        <v>20</v>
      </c>
      <c r="C42" s="6" t="s">
        <v>52</v>
      </c>
      <c r="D42" s="5">
        <v>7</v>
      </c>
      <c r="E42" s="5">
        <v>2</v>
      </c>
      <c r="F42" s="7">
        <v>43661</v>
      </c>
      <c r="G42" s="5" t="s">
        <v>215</v>
      </c>
    </row>
    <row r="43" spans="1:7" x14ac:dyDescent="0.3">
      <c r="A43" s="5" t="s">
        <v>7</v>
      </c>
      <c r="B43" s="5">
        <v>17</v>
      </c>
      <c r="C43" s="6" t="s">
        <v>53</v>
      </c>
      <c r="D43" s="5">
        <v>2</v>
      </c>
      <c r="E43" s="5">
        <v>1</v>
      </c>
      <c r="F43" s="7">
        <v>43589</v>
      </c>
      <c r="G43" s="5" t="s">
        <v>216</v>
      </c>
    </row>
    <row r="44" spans="1:7" x14ac:dyDescent="0.3">
      <c r="A44" s="5" t="s">
        <v>8</v>
      </c>
      <c r="B44" s="5">
        <v>19</v>
      </c>
      <c r="C44" s="6" t="s">
        <v>54</v>
      </c>
      <c r="D44" s="5">
        <v>5</v>
      </c>
      <c r="E44" s="5">
        <v>1</v>
      </c>
      <c r="F44" s="7">
        <v>43660</v>
      </c>
      <c r="G44" s="5" t="s">
        <v>215</v>
      </c>
    </row>
    <row r="45" spans="1:7" x14ac:dyDescent="0.3">
      <c r="A45" s="5" t="s">
        <v>9</v>
      </c>
      <c r="B45" s="5">
        <v>15</v>
      </c>
      <c r="C45" s="6" t="s">
        <v>55</v>
      </c>
      <c r="D45" s="5">
        <v>1</v>
      </c>
      <c r="E45" s="5">
        <v>4</v>
      </c>
      <c r="F45" s="7">
        <v>43675</v>
      </c>
      <c r="G45" s="5" t="s">
        <v>215</v>
      </c>
    </row>
    <row r="46" spans="1:7" x14ac:dyDescent="0.3">
      <c r="A46" s="5" t="s">
        <v>10</v>
      </c>
      <c r="B46" s="5">
        <v>14</v>
      </c>
      <c r="C46" s="6" t="s">
        <v>56</v>
      </c>
      <c r="D46" s="5">
        <v>12</v>
      </c>
      <c r="E46" s="5">
        <v>4</v>
      </c>
      <c r="F46" s="7">
        <v>43579</v>
      </c>
      <c r="G46" s="5" t="s">
        <v>216</v>
      </c>
    </row>
    <row r="47" spans="1:7" x14ac:dyDescent="0.3">
      <c r="A47" s="5" t="s">
        <v>6</v>
      </c>
      <c r="B47" s="5">
        <v>7</v>
      </c>
      <c r="C47" s="6" t="s">
        <v>57</v>
      </c>
      <c r="D47" s="5">
        <v>2</v>
      </c>
      <c r="E47" s="5">
        <v>3</v>
      </c>
      <c r="F47" s="7">
        <v>43539</v>
      </c>
      <c r="G47" s="5" t="s">
        <v>216</v>
      </c>
    </row>
    <row r="48" spans="1:7" x14ac:dyDescent="0.3">
      <c r="A48" s="5" t="s">
        <v>7</v>
      </c>
      <c r="B48" s="5">
        <v>20</v>
      </c>
      <c r="C48" s="6" t="s">
        <v>58</v>
      </c>
      <c r="D48" s="5">
        <v>18</v>
      </c>
      <c r="E48" s="5">
        <v>2</v>
      </c>
      <c r="F48" s="7">
        <v>43518</v>
      </c>
      <c r="G48" s="5" t="s">
        <v>216</v>
      </c>
    </row>
    <row r="49" spans="1:7" x14ac:dyDescent="0.3">
      <c r="A49" s="5" t="s">
        <v>8</v>
      </c>
      <c r="B49" s="5">
        <v>9</v>
      </c>
      <c r="C49" s="6" t="s">
        <v>59</v>
      </c>
      <c r="D49" s="5">
        <v>4</v>
      </c>
      <c r="E49" s="5">
        <v>3</v>
      </c>
      <c r="F49" s="7">
        <v>43717</v>
      </c>
      <c r="G49" s="5" t="s">
        <v>215</v>
      </c>
    </row>
    <row r="50" spans="1:7" x14ac:dyDescent="0.3">
      <c r="A50" s="5" t="s">
        <v>9</v>
      </c>
      <c r="B50" s="5">
        <v>11</v>
      </c>
      <c r="C50" s="6" t="s">
        <v>60</v>
      </c>
      <c r="D50" s="5">
        <v>17</v>
      </c>
      <c r="E50" s="5">
        <v>1</v>
      </c>
      <c r="F50" s="7">
        <v>43790</v>
      </c>
      <c r="G50" s="5" t="s">
        <v>215</v>
      </c>
    </row>
    <row r="51" spans="1:7" x14ac:dyDescent="0.3">
      <c r="A51" s="5" t="s">
        <v>10</v>
      </c>
      <c r="B51" s="5">
        <v>18</v>
      </c>
      <c r="C51" s="6" t="s">
        <v>61</v>
      </c>
      <c r="D51" s="5">
        <v>11</v>
      </c>
      <c r="E51" s="5">
        <v>3</v>
      </c>
      <c r="F51" s="7">
        <v>43622</v>
      </c>
      <c r="G51" s="5" t="s">
        <v>215</v>
      </c>
    </row>
    <row r="52" spans="1:7" x14ac:dyDescent="0.3">
      <c r="A52" s="5" t="s">
        <v>6</v>
      </c>
      <c r="B52" s="5">
        <v>16</v>
      </c>
      <c r="C52" s="6" t="s">
        <v>62</v>
      </c>
      <c r="D52" s="5">
        <v>5</v>
      </c>
      <c r="E52" s="5">
        <v>2</v>
      </c>
      <c r="F52" s="7">
        <v>43587</v>
      </c>
      <c r="G52" s="5" t="s">
        <v>216</v>
      </c>
    </row>
    <row r="53" spans="1:7" x14ac:dyDescent="0.3">
      <c r="A53" s="5" t="s">
        <v>7</v>
      </c>
      <c r="B53" s="5">
        <v>9</v>
      </c>
      <c r="C53" s="6" t="s">
        <v>63</v>
      </c>
      <c r="D53" s="5">
        <v>6</v>
      </c>
      <c r="E53" s="5">
        <v>2</v>
      </c>
      <c r="F53" s="7">
        <v>43805</v>
      </c>
      <c r="G53" s="5" t="s">
        <v>215</v>
      </c>
    </row>
    <row r="54" spans="1:7" x14ac:dyDescent="0.3">
      <c r="A54" s="5" t="s">
        <v>8</v>
      </c>
      <c r="B54" s="5">
        <v>11</v>
      </c>
      <c r="C54" s="6" t="s">
        <v>64</v>
      </c>
      <c r="D54" s="5">
        <v>8</v>
      </c>
      <c r="E54" s="5">
        <v>3</v>
      </c>
      <c r="F54" s="7">
        <v>43493</v>
      </c>
      <c r="G54" s="5" t="s">
        <v>216</v>
      </c>
    </row>
    <row r="55" spans="1:7" x14ac:dyDescent="0.3">
      <c r="A55" s="5" t="s">
        <v>9</v>
      </c>
      <c r="B55" s="5">
        <v>11</v>
      </c>
      <c r="C55" s="6" t="s">
        <v>65</v>
      </c>
      <c r="D55" s="5">
        <v>6</v>
      </c>
      <c r="E55" s="5">
        <v>3</v>
      </c>
      <c r="F55" s="7">
        <v>43825</v>
      </c>
      <c r="G55" s="5" t="s">
        <v>215</v>
      </c>
    </row>
    <row r="56" spans="1:7" x14ac:dyDescent="0.3">
      <c r="A56" s="5" t="s">
        <v>10</v>
      </c>
      <c r="B56" s="5">
        <v>19</v>
      </c>
      <c r="C56" s="6" t="s">
        <v>66</v>
      </c>
      <c r="D56" s="5">
        <v>10</v>
      </c>
      <c r="E56" s="5">
        <v>4</v>
      </c>
      <c r="F56" s="7">
        <v>43524</v>
      </c>
      <c r="G56" s="5" t="s">
        <v>216</v>
      </c>
    </row>
    <row r="57" spans="1:7" x14ac:dyDescent="0.3">
      <c r="A57" s="5" t="s">
        <v>6</v>
      </c>
      <c r="B57" s="5">
        <v>15</v>
      </c>
      <c r="C57" s="6" t="s">
        <v>67</v>
      </c>
      <c r="D57" s="5">
        <v>18</v>
      </c>
      <c r="E57" s="5">
        <v>2</v>
      </c>
      <c r="F57" s="7">
        <v>43668</v>
      </c>
      <c r="G57" s="5" t="s">
        <v>215</v>
      </c>
    </row>
    <row r="58" spans="1:7" x14ac:dyDescent="0.3">
      <c r="A58" s="5" t="s">
        <v>7</v>
      </c>
      <c r="B58" s="5">
        <v>12</v>
      </c>
      <c r="C58" s="6" t="s">
        <v>68</v>
      </c>
      <c r="D58" s="5">
        <v>11</v>
      </c>
      <c r="E58" s="5">
        <v>2</v>
      </c>
      <c r="F58" s="7">
        <v>43808</v>
      </c>
      <c r="G58" s="5" t="s">
        <v>215</v>
      </c>
    </row>
    <row r="59" spans="1:7" x14ac:dyDescent="0.3">
      <c r="A59" s="5" t="s">
        <v>8</v>
      </c>
      <c r="B59" s="5">
        <v>8</v>
      </c>
      <c r="C59" s="6" t="s">
        <v>69</v>
      </c>
      <c r="D59" s="5">
        <v>4</v>
      </c>
      <c r="E59" s="5">
        <v>2</v>
      </c>
      <c r="F59" s="7">
        <v>43501</v>
      </c>
      <c r="G59" s="5" t="s">
        <v>216</v>
      </c>
    </row>
    <row r="60" spans="1:7" x14ac:dyDescent="0.3">
      <c r="A60" s="5" t="s">
        <v>9</v>
      </c>
      <c r="B60" s="5">
        <v>14</v>
      </c>
      <c r="C60" s="6" t="s">
        <v>70</v>
      </c>
      <c r="D60" s="5">
        <v>15</v>
      </c>
      <c r="E60" s="5">
        <v>4</v>
      </c>
      <c r="F60" s="7">
        <v>43700</v>
      </c>
      <c r="G60" s="5" t="s">
        <v>215</v>
      </c>
    </row>
    <row r="61" spans="1:7" x14ac:dyDescent="0.3">
      <c r="A61" s="5" t="s">
        <v>10</v>
      </c>
      <c r="B61" s="5">
        <v>16</v>
      </c>
      <c r="C61" s="6" t="s">
        <v>71</v>
      </c>
      <c r="D61" s="5">
        <v>14</v>
      </c>
      <c r="E61" s="5">
        <v>1</v>
      </c>
      <c r="F61" s="7">
        <v>43480</v>
      </c>
      <c r="G61" s="5" t="s">
        <v>216</v>
      </c>
    </row>
    <row r="62" spans="1:7" x14ac:dyDescent="0.3">
      <c r="A62" s="5" t="s">
        <v>6</v>
      </c>
      <c r="B62" s="5">
        <v>7</v>
      </c>
      <c r="C62" s="6" t="s">
        <v>72</v>
      </c>
      <c r="D62" s="5">
        <v>19</v>
      </c>
      <c r="E62" s="5">
        <v>1</v>
      </c>
      <c r="F62" s="7">
        <v>43814</v>
      </c>
      <c r="G62" s="5" t="s">
        <v>215</v>
      </c>
    </row>
    <row r="63" spans="1:7" x14ac:dyDescent="0.3">
      <c r="A63" s="5" t="s">
        <v>7</v>
      </c>
      <c r="B63" s="5">
        <v>5</v>
      </c>
      <c r="C63" s="6" t="s">
        <v>73</v>
      </c>
      <c r="D63" s="5">
        <v>12</v>
      </c>
      <c r="E63" s="5">
        <v>4</v>
      </c>
      <c r="F63" s="7">
        <v>43488</v>
      </c>
      <c r="G63" s="5" t="s">
        <v>216</v>
      </c>
    </row>
    <row r="64" spans="1:7" x14ac:dyDescent="0.3">
      <c r="A64" s="5" t="s">
        <v>8</v>
      </c>
      <c r="B64" s="5">
        <v>19</v>
      </c>
      <c r="C64" s="6" t="s">
        <v>74</v>
      </c>
      <c r="D64" s="5">
        <v>3</v>
      </c>
      <c r="E64" s="5">
        <v>1</v>
      </c>
      <c r="F64" s="7">
        <v>43651</v>
      </c>
      <c r="G64" s="5" t="s">
        <v>215</v>
      </c>
    </row>
    <row r="65" spans="1:7" x14ac:dyDescent="0.3">
      <c r="A65" s="5" t="s">
        <v>9</v>
      </c>
      <c r="B65" s="5">
        <v>6</v>
      </c>
      <c r="C65" s="6" t="s">
        <v>75</v>
      </c>
      <c r="D65" s="5">
        <v>15</v>
      </c>
      <c r="E65" s="5">
        <v>3</v>
      </c>
      <c r="F65" s="7">
        <v>43637</v>
      </c>
      <c r="G65" s="5" t="s">
        <v>215</v>
      </c>
    </row>
    <row r="66" spans="1:7" x14ac:dyDescent="0.3">
      <c r="A66" s="5" t="s">
        <v>10</v>
      </c>
      <c r="B66" s="5">
        <v>9</v>
      </c>
      <c r="C66" s="6" t="s">
        <v>76</v>
      </c>
      <c r="D66" s="5">
        <v>8</v>
      </c>
      <c r="E66" s="5">
        <v>4</v>
      </c>
      <c r="F66" s="7">
        <v>43737</v>
      </c>
      <c r="G66" s="5" t="s">
        <v>215</v>
      </c>
    </row>
    <row r="67" spans="1:7" x14ac:dyDescent="0.3">
      <c r="A67" s="5" t="s">
        <v>6</v>
      </c>
      <c r="B67" s="5">
        <v>17</v>
      </c>
      <c r="C67" s="6" t="s">
        <v>77</v>
      </c>
      <c r="D67" s="5">
        <v>20</v>
      </c>
      <c r="E67" s="5">
        <v>1</v>
      </c>
      <c r="F67" s="7">
        <v>43696</v>
      </c>
      <c r="G67" s="5" t="s">
        <v>215</v>
      </c>
    </row>
    <row r="68" spans="1:7" x14ac:dyDescent="0.3">
      <c r="A68" s="5" t="s">
        <v>7</v>
      </c>
      <c r="B68" s="5">
        <v>17</v>
      </c>
      <c r="C68" s="6" t="s">
        <v>78</v>
      </c>
      <c r="D68" s="5">
        <v>6</v>
      </c>
      <c r="E68" s="5">
        <v>4</v>
      </c>
      <c r="F68" s="7">
        <v>43620</v>
      </c>
      <c r="G68" s="5" t="s">
        <v>215</v>
      </c>
    </row>
    <row r="69" spans="1:7" x14ac:dyDescent="0.3">
      <c r="A69" s="5" t="s">
        <v>8</v>
      </c>
      <c r="B69" s="5">
        <v>12</v>
      </c>
      <c r="C69" s="6" t="s">
        <v>79</v>
      </c>
      <c r="D69" s="5">
        <v>18</v>
      </c>
      <c r="E69" s="5">
        <v>2</v>
      </c>
      <c r="F69" s="7">
        <v>43587</v>
      </c>
      <c r="G69" s="5" t="s">
        <v>216</v>
      </c>
    </row>
    <row r="70" spans="1:7" x14ac:dyDescent="0.3">
      <c r="A70" s="5" t="s">
        <v>9</v>
      </c>
      <c r="B70" s="5">
        <v>7</v>
      </c>
      <c r="C70" s="6" t="s">
        <v>80</v>
      </c>
      <c r="D70" s="5">
        <v>16</v>
      </c>
      <c r="E70" s="5">
        <v>4</v>
      </c>
      <c r="F70" s="7">
        <v>43477</v>
      </c>
      <c r="G70" s="5" t="s">
        <v>216</v>
      </c>
    </row>
    <row r="71" spans="1:7" x14ac:dyDescent="0.3">
      <c r="A71" s="5" t="s">
        <v>10</v>
      </c>
      <c r="B71" s="5">
        <v>9</v>
      </c>
      <c r="C71" s="6" t="s">
        <v>81</v>
      </c>
      <c r="D71" s="5">
        <v>13</v>
      </c>
      <c r="E71" s="5">
        <v>2</v>
      </c>
      <c r="F71" s="7">
        <v>43674</v>
      </c>
      <c r="G71" s="5" t="s">
        <v>215</v>
      </c>
    </row>
    <row r="72" spans="1:7" x14ac:dyDescent="0.3">
      <c r="A72" s="5" t="s">
        <v>6</v>
      </c>
      <c r="B72" s="5">
        <v>15</v>
      </c>
      <c r="C72" s="6" t="s">
        <v>82</v>
      </c>
      <c r="D72" s="5">
        <v>8</v>
      </c>
      <c r="E72" s="5">
        <v>1</v>
      </c>
      <c r="F72" s="7">
        <v>43474</v>
      </c>
      <c r="G72" s="5" t="s">
        <v>216</v>
      </c>
    </row>
    <row r="73" spans="1:7" x14ac:dyDescent="0.3">
      <c r="A73" s="5" t="s">
        <v>7</v>
      </c>
      <c r="B73" s="5">
        <v>13</v>
      </c>
      <c r="C73" s="6" t="s">
        <v>83</v>
      </c>
      <c r="D73" s="5">
        <v>18</v>
      </c>
      <c r="E73" s="5">
        <v>4</v>
      </c>
      <c r="F73" s="7">
        <v>43489</v>
      </c>
      <c r="G73" s="5" t="s">
        <v>216</v>
      </c>
    </row>
    <row r="74" spans="1:7" x14ac:dyDescent="0.3">
      <c r="A74" s="5" t="s">
        <v>8</v>
      </c>
      <c r="B74" s="5">
        <v>16</v>
      </c>
      <c r="C74" s="6" t="s">
        <v>84</v>
      </c>
      <c r="D74" s="5">
        <v>3</v>
      </c>
      <c r="E74" s="5">
        <v>2</v>
      </c>
      <c r="F74" s="7">
        <v>43798</v>
      </c>
      <c r="G74" s="5" t="s">
        <v>215</v>
      </c>
    </row>
    <row r="75" spans="1:7" x14ac:dyDescent="0.3">
      <c r="A75" s="5" t="s">
        <v>9</v>
      </c>
      <c r="B75" s="5">
        <v>11</v>
      </c>
      <c r="C75" s="6" t="s">
        <v>85</v>
      </c>
      <c r="D75" s="5">
        <v>6</v>
      </c>
      <c r="E75" s="5">
        <v>4</v>
      </c>
      <c r="F75" s="7">
        <v>43479</v>
      </c>
      <c r="G75" s="5" t="s">
        <v>216</v>
      </c>
    </row>
    <row r="76" spans="1:7" x14ac:dyDescent="0.3">
      <c r="A76" s="5" t="s">
        <v>10</v>
      </c>
      <c r="B76" s="5">
        <v>16</v>
      </c>
      <c r="C76" s="6" t="s">
        <v>86</v>
      </c>
      <c r="D76" s="5">
        <v>5</v>
      </c>
      <c r="E76" s="5">
        <v>2</v>
      </c>
      <c r="F76" s="7">
        <v>43828</v>
      </c>
      <c r="G76" s="5" t="s">
        <v>215</v>
      </c>
    </row>
    <row r="77" spans="1:7" x14ac:dyDescent="0.3">
      <c r="A77" s="5" t="s">
        <v>6</v>
      </c>
      <c r="B77" s="5">
        <v>11</v>
      </c>
      <c r="C77" s="6" t="s">
        <v>87</v>
      </c>
      <c r="D77" s="5">
        <v>14</v>
      </c>
      <c r="E77" s="5">
        <v>2</v>
      </c>
      <c r="F77" s="7">
        <v>43726</v>
      </c>
      <c r="G77" s="5" t="s">
        <v>215</v>
      </c>
    </row>
    <row r="78" spans="1:7" x14ac:dyDescent="0.3">
      <c r="A78" s="5" t="s">
        <v>7</v>
      </c>
      <c r="B78" s="5">
        <v>6</v>
      </c>
      <c r="C78" s="6" t="s">
        <v>88</v>
      </c>
      <c r="D78" s="5">
        <v>11</v>
      </c>
      <c r="E78" s="5">
        <v>1</v>
      </c>
      <c r="F78" s="7">
        <v>43810</v>
      </c>
      <c r="G78" s="5" t="s">
        <v>215</v>
      </c>
    </row>
    <row r="79" spans="1:7" x14ac:dyDescent="0.3">
      <c r="A79" s="5" t="s">
        <v>8</v>
      </c>
      <c r="B79" s="5">
        <v>18</v>
      </c>
      <c r="C79" s="6" t="s">
        <v>89</v>
      </c>
      <c r="D79" s="5">
        <v>2</v>
      </c>
      <c r="E79" s="5">
        <v>3</v>
      </c>
      <c r="F79" s="7">
        <v>43740</v>
      </c>
      <c r="G79" s="5" t="s">
        <v>215</v>
      </c>
    </row>
    <row r="80" spans="1:7" x14ac:dyDescent="0.3">
      <c r="A80" s="5" t="s">
        <v>9</v>
      </c>
      <c r="B80" s="5">
        <v>7</v>
      </c>
      <c r="C80" s="6" t="s">
        <v>90</v>
      </c>
      <c r="D80" s="5">
        <v>12</v>
      </c>
      <c r="E80" s="5">
        <v>1</v>
      </c>
      <c r="F80" s="7">
        <v>43525</v>
      </c>
      <c r="G80" s="5" t="s">
        <v>216</v>
      </c>
    </row>
    <row r="81" spans="1:7" x14ac:dyDescent="0.3">
      <c r="A81" s="5" t="s">
        <v>10</v>
      </c>
      <c r="B81" s="5">
        <v>10</v>
      </c>
      <c r="C81" s="6" t="s">
        <v>91</v>
      </c>
      <c r="D81" s="5">
        <v>2</v>
      </c>
      <c r="E81" s="5">
        <v>4</v>
      </c>
      <c r="F81" s="7">
        <v>43643</v>
      </c>
      <c r="G81" s="5" t="s">
        <v>215</v>
      </c>
    </row>
    <row r="82" spans="1:7" x14ac:dyDescent="0.3">
      <c r="A82" s="5" t="s">
        <v>6</v>
      </c>
      <c r="B82" s="5">
        <v>15</v>
      </c>
      <c r="C82" s="6" t="s">
        <v>92</v>
      </c>
      <c r="D82" s="5">
        <v>12</v>
      </c>
      <c r="E82" s="5">
        <v>4</v>
      </c>
      <c r="F82" s="7">
        <v>43584</v>
      </c>
      <c r="G82" s="5" t="s">
        <v>216</v>
      </c>
    </row>
    <row r="83" spans="1:7" x14ac:dyDescent="0.3">
      <c r="A83" s="5" t="s">
        <v>7</v>
      </c>
      <c r="B83" s="5">
        <v>13</v>
      </c>
      <c r="C83" s="6" t="s">
        <v>93</v>
      </c>
      <c r="D83" s="5">
        <v>19</v>
      </c>
      <c r="E83" s="5">
        <v>2</v>
      </c>
      <c r="F83" s="7">
        <v>43570</v>
      </c>
      <c r="G83" s="5" t="s">
        <v>216</v>
      </c>
    </row>
    <row r="84" spans="1:7" x14ac:dyDescent="0.3">
      <c r="A84" s="5" t="s">
        <v>8</v>
      </c>
      <c r="B84" s="5">
        <v>11</v>
      </c>
      <c r="C84" s="6" t="s">
        <v>94</v>
      </c>
      <c r="D84" s="5">
        <v>2</v>
      </c>
      <c r="E84" s="5">
        <v>2</v>
      </c>
      <c r="F84" s="7">
        <v>43786</v>
      </c>
      <c r="G84" s="5" t="s">
        <v>215</v>
      </c>
    </row>
    <row r="85" spans="1:7" x14ac:dyDescent="0.3">
      <c r="A85" s="5" t="s">
        <v>9</v>
      </c>
      <c r="B85" s="5">
        <v>20</v>
      </c>
      <c r="C85" s="6" t="s">
        <v>95</v>
      </c>
      <c r="D85" s="5">
        <v>15</v>
      </c>
      <c r="E85" s="5">
        <v>4</v>
      </c>
      <c r="F85" s="7">
        <v>43519</v>
      </c>
      <c r="G85" s="5" t="s">
        <v>216</v>
      </c>
    </row>
    <row r="86" spans="1:7" x14ac:dyDescent="0.3">
      <c r="A86" s="5" t="s">
        <v>10</v>
      </c>
      <c r="B86" s="5">
        <v>12</v>
      </c>
      <c r="C86" s="6" t="s">
        <v>96</v>
      </c>
      <c r="D86" s="5">
        <v>9</v>
      </c>
      <c r="E86" s="5">
        <v>3</v>
      </c>
      <c r="F86" s="7">
        <v>43718</v>
      </c>
      <c r="G86" s="5" t="s">
        <v>215</v>
      </c>
    </row>
    <row r="87" spans="1:7" x14ac:dyDescent="0.3">
      <c r="A87" s="5" t="s">
        <v>6</v>
      </c>
      <c r="B87" s="5">
        <v>6</v>
      </c>
      <c r="C87" s="6" t="s">
        <v>97</v>
      </c>
      <c r="D87" s="5">
        <v>20</v>
      </c>
      <c r="E87" s="5">
        <v>2</v>
      </c>
      <c r="F87" s="7">
        <v>43596</v>
      </c>
      <c r="G87" s="5" t="s">
        <v>216</v>
      </c>
    </row>
    <row r="88" spans="1:7" x14ac:dyDescent="0.3">
      <c r="A88" s="5" t="s">
        <v>7</v>
      </c>
      <c r="B88" s="5">
        <v>9</v>
      </c>
      <c r="C88" s="6" t="s">
        <v>98</v>
      </c>
      <c r="D88" s="5">
        <v>15</v>
      </c>
      <c r="E88" s="5">
        <v>4</v>
      </c>
      <c r="F88" s="7">
        <v>43727</v>
      </c>
      <c r="G88" s="5" t="s">
        <v>215</v>
      </c>
    </row>
    <row r="89" spans="1:7" x14ac:dyDescent="0.3">
      <c r="A89" s="5" t="s">
        <v>8</v>
      </c>
      <c r="B89" s="5">
        <v>18</v>
      </c>
      <c r="C89" s="6" t="s">
        <v>99</v>
      </c>
      <c r="D89" s="5">
        <v>11</v>
      </c>
      <c r="E89" s="5">
        <v>3</v>
      </c>
      <c r="F89" s="7">
        <v>43670</v>
      </c>
      <c r="G89" s="5" t="s">
        <v>215</v>
      </c>
    </row>
    <row r="90" spans="1:7" x14ac:dyDescent="0.3">
      <c r="A90" s="5" t="s">
        <v>9</v>
      </c>
      <c r="B90" s="5">
        <v>20</v>
      </c>
      <c r="C90" s="6" t="s">
        <v>100</v>
      </c>
      <c r="D90" s="5">
        <v>9</v>
      </c>
      <c r="E90" s="5">
        <v>4</v>
      </c>
      <c r="F90" s="7">
        <v>43720</v>
      </c>
      <c r="G90" s="5" t="s">
        <v>215</v>
      </c>
    </row>
    <row r="91" spans="1:7" x14ac:dyDescent="0.3">
      <c r="A91" s="5" t="s">
        <v>10</v>
      </c>
      <c r="B91" s="5">
        <v>17</v>
      </c>
      <c r="C91" s="6" t="s">
        <v>101</v>
      </c>
      <c r="D91" s="5">
        <v>15</v>
      </c>
      <c r="E91" s="5">
        <v>2</v>
      </c>
      <c r="F91" s="7">
        <v>43822</v>
      </c>
      <c r="G91" s="5" t="s">
        <v>215</v>
      </c>
    </row>
    <row r="92" spans="1:7" x14ac:dyDescent="0.3">
      <c r="A92" s="5" t="s">
        <v>6</v>
      </c>
      <c r="B92" s="5">
        <v>16</v>
      </c>
      <c r="C92" s="6" t="s">
        <v>102</v>
      </c>
      <c r="D92" s="5">
        <v>13</v>
      </c>
      <c r="E92" s="5">
        <v>1</v>
      </c>
      <c r="F92" s="7">
        <v>43482</v>
      </c>
      <c r="G92" s="5" t="s">
        <v>216</v>
      </c>
    </row>
    <row r="93" spans="1:7" x14ac:dyDescent="0.3">
      <c r="A93" s="5" t="s">
        <v>7</v>
      </c>
      <c r="B93" s="5">
        <v>6</v>
      </c>
      <c r="C93" s="6" t="s">
        <v>103</v>
      </c>
      <c r="D93" s="5">
        <v>2</v>
      </c>
      <c r="E93" s="5">
        <v>4</v>
      </c>
      <c r="F93" s="7">
        <v>43746</v>
      </c>
      <c r="G93" s="5" t="s">
        <v>215</v>
      </c>
    </row>
    <row r="94" spans="1:7" x14ac:dyDescent="0.3">
      <c r="A94" s="5" t="s">
        <v>8</v>
      </c>
      <c r="B94" s="5">
        <v>20</v>
      </c>
      <c r="C94" s="6" t="s">
        <v>104</v>
      </c>
      <c r="D94" s="5">
        <v>7</v>
      </c>
      <c r="E94" s="5">
        <v>4</v>
      </c>
      <c r="F94" s="7">
        <v>43605</v>
      </c>
      <c r="G94" s="5" t="s">
        <v>216</v>
      </c>
    </row>
    <row r="95" spans="1:7" x14ac:dyDescent="0.3">
      <c r="A95" s="5" t="s">
        <v>9</v>
      </c>
      <c r="B95" s="5">
        <v>15</v>
      </c>
      <c r="C95" s="6" t="s">
        <v>105</v>
      </c>
      <c r="D95" s="5">
        <v>7</v>
      </c>
      <c r="E95" s="5">
        <v>4</v>
      </c>
      <c r="F95" s="7">
        <v>43745</v>
      </c>
      <c r="G95" s="5" t="s">
        <v>215</v>
      </c>
    </row>
    <row r="96" spans="1:7" x14ac:dyDescent="0.3">
      <c r="A96" s="5" t="s">
        <v>10</v>
      </c>
      <c r="B96" s="5">
        <v>17</v>
      </c>
      <c r="C96" s="6" t="s">
        <v>106</v>
      </c>
      <c r="D96" s="5">
        <v>12</v>
      </c>
      <c r="E96" s="5">
        <v>2</v>
      </c>
      <c r="F96" s="7">
        <v>43651</v>
      </c>
      <c r="G96" s="5" t="s">
        <v>215</v>
      </c>
    </row>
    <row r="97" spans="1:7" x14ac:dyDescent="0.3">
      <c r="A97" s="5" t="s">
        <v>6</v>
      </c>
      <c r="B97" s="5">
        <v>18</v>
      </c>
      <c r="C97" s="6" t="s">
        <v>107</v>
      </c>
      <c r="D97" s="5">
        <v>5</v>
      </c>
      <c r="E97" s="5">
        <v>3</v>
      </c>
      <c r="F97" s="7">
        <v>43709</v>
      </c>
      <c r="G97" s="5" t="s">
        <v>215</v>
      </c>
    </row>
    <row r="98" spans="1:7" x14ac:dyDescent="0.3">
      <c r="A98" s="5" t="s">
        <v>7</v>
      </c>
      <c r="B98" s="5">
        <v>10</v>
      </c>
      <c r="C98" s="6" t="s">
        <v>108</v>
      </c>
      <c r="D98" s="5">
        <v>13</v>
      </c>
      <c r="E98" s="5">
        <v>4</v>
      </c>
      <c r="F98" s="7">
        <v>43821</v>
      </c>
      <c r="G98" s="5" t="s">
        <v>215</v>
      </c>
    </row>
    <row r="99" spans="1:7" x14ac:dyDescent="0.3">
      <c r="A99" s="5" t="s">
        <v>8</v>
      </c>
      <c r="B99" s="5">
        <v>18</v>
      </c>
      <c r="C99" s="6" t="s">
        <v>109</v>
      </c>
      <c r="D99" s="5">
        <v>3</v>
      </c>
      <c r="E99" s="5">
        <v>1</v>
      </c>
      <c r="F99" s="7">
        <v>43581</v>
      </c>
      <c r="G99" s="5" t="s">
        <v>216</v>
      </c>
    </row>
    <row r="100" spans="1:7" x14ac:dyDescent="0.3">
      <c r="A100" s="5" t="s">
        <v>9</v>
      </c>
      <c r="B100" s="5">
        <v>12</v>
      </c>
      <c r="C100" s="6" t="s">
        <v>110</v>
      </c>
      <c r="D100" s="5">
        <v>6</v>
      </c>
      <c r="E100" s="5">
        <v>1</v>
      </c>
      <c r="F100" s="7">
        <v>43825</v>
      </c>
      <c r="G100" s="5" t="s">
        <v>215</v>
      </c>
    </row>
    <row r="101" spans="1:7" x14ac:dyDescent="0.3">
      <c r="A101" s="5" t="s">
        <v>10</v>
      </c>
      <c r="B101" s="5">
        <v>16</v>
      </c>
      <c r="C101" s="6" t="s">
        <v>111</v>
      </c>
      <c r="D101" s="5">
        <v>9</v>
      </c>
      <c r="E101" s="5">
        <v>1</v>
      </c>
      <c r="F101" s="7">
        <v>43811</v>
      </c>
      <c r="G101" s="5" t="s">
        <v>215</v>
      </c>
    </row>
    <row r="102" spans="1:7" x14ac:dyDescent="0.3">
      <c r="A102" s="5" t="s">
        <v>6</v>
      </c>
      <c r="B102" s="5">
        <v>18</v>
      </c>
      <c r="C102" s="6" t="s">
        <v>112</v>
      </c>
      <c r="D102" s="5">
        <v>19</v>
      </c>
      <c r="E102" s="5">
        <v>3</v>
      </c>
      <c r="F102" s="7">
        <v>43575</v>
      </c>
      <c r="G102" s="5" t="s">
        <v>216</v>
      </c>
    </row>
    <row r="103" spans="1:7" x14ac:dyDescent="0.3">
      <c r="A103" s="5" t="s">
        <v>7</v>
      </c>
      <c r="B103" s="5">
        <v>6</v>
      </c>
      <c r="C103" s="6" t="s">
        <v>113</v>
      </c>
      <c r="D103" s="5">
        <v>1</v>
      </c>
      <c r="E103" s="5">
        <v>1</v>
      </c>
      <c r="F103" s="7">
        <v>43488</v>
      </c>
      <c r="G103" s="5" t="s">
        <v>216</v>
      </c>
    </row>
    <row r="104" spans="1:7" x14ac:dyDescent="0.3">
      <c r="A104" s="5" t="s">
        <v>8</v>
      </c>
      <c r="B104" s="5">
        <v>10</v>
      </c>
      <c r="C104" s="6" t="s">
        <v>114</v>
      </c>
      <c r="D104" s="5">
        <v>1</v>
      </c>
      <c r="E104" s="5">
        <v>3</v>
      </c>
      <c r="F104" s="7">
        <v>43805</v>
      </c>
      <c r="G104" s="5" t="s">
        <v>215</v>
      </c>
    </row>
    <row r="105" spans="1:7" x14ac:dyDescent="0.3">
      <c r="A105" s="5" t="s">
        <v>9</v>
      </c>
      <c r="B105" s="5">
        <v>15</v>
      </c>
      <c r="C105" s="6" t="s">
        <v>115</v>
      </c>
      <c r="D105" s="5">
        <v>17</v>
      </c>
      <c r="E105" s="5">
        <v>2</v>
      </c>
      <c r="F105" s="7">
        <v>43750</v>
      </c>
      <c r="G105" s="5" t="s">
        <v>215</v>
      </c>
    </row>
    <row r="106" spans="1:7" x14ac:dyDescent="0.3">
      <c r="A106" s="5" t="s">
        <v>10</v>
      </c>
      <c r="B106" s="5">
        <v>13</v>
      </c>
      <c r="C106" s="6" t="s">
        <v>116</v>
      </c>
      <c r="D106" s="5">
        <v>11</v>
      </c>
      <c r="E106" s="5">
        <v>3</v>
      </c>
      <c r="F106" s="7">
        <v>43598</v>
      </c>
      <c r="G106" s="5" t="s">
        <v>216</v>
      </c>
    </row>
    <row r="107" spans="1:7" x14ac:dyDescent="0.3">
      <c r="A107" s="5" t="s">
        <v>6</v>
      </c>
      <c r="B107" s="5">
        <v>10</v>
      </c>
      <c r="C107" s="6" t="s">
        <v>117</v>
      </c>
      <c r="D107" s="5">
        <v>3</v>
      </c>
      <c r="E107" s="5">
        <v>3</v>
      </c>
      <c r="F107" s="7">
        <v>43772</v>
      </c>
      <c r="G107" s="5" t="s">
        <v>215</v>
      </c>
    </row>
    <row r="108" spans="1:7" x14ac:dyDescent="0.3">
      <c r="A108" s="5" t="s">
        <v>7</v>
      </c>
      <c r="B108" s="5">
        <v>9</v>
      </c>
      <c r="C108" s="6" t="s">
        <v>118</v>
      </c>
      <c r="D108" s="5">
        <v>11</v>
      </c>
      <c r="E108" s="5">
        <v>2</v>
      </c>
      <c r="F108" s="7">
        <v>43763</v>
      </c>
      <c r="G108" s="5" t="s">
        <v>215</v>
      </c>
    </row>
    <row r="109" spans="1:7" x14ac:dyDescent="0.3">
      <c r="A109" s="5" t="s">
        <v>8</v>
      </c>
      <c r="B109" s="5">
        <v>16</v>
      </c>
      <c r="C109" s="6" t="s">
        <v>119</v>
      </c>
      <c r="D109" s="5">
        <v>3</v>
      </c>
      <c r="E109" s="5">
        <v>4</v>
      </c>
      <c r="F109" s="7">
        <v>43746</v>
      </c>
      <c r="G109" s="5" t="s">
        <v>215</v>
      </c>
    </row>
    <row r="110" spans="1:7" x14ac:dyDescent="0.3">
      <c r="A110" s="5" t="s">
        <v>9</v>
      </c>
      <c r="B110" s="5">
        <v>8</v>
      </c>
      <c r="C110" s="6" t="s">
        <v>120</v>
      </c>
      <c r="D110" s="5">
        <v>15</v>
      </c>
      <c r="E110" s="5">
        <v>1</v>
      </c>
      <c r="F110" s="7">
        <v>43609</v>
      </c>
      <c r="G110" s="5" t="s">
        <v>216</v>
      </c>
    </row>
    <row r="111" spans="1:7" x14ac:dyDescent="0.3">
      <c r="A111" s="5" t="s">
        <v>10</v>
      </c>
      <c r="B111" s="5">
        <v>5</v>
      </c>
      <c r="C111" s="6" t="s">
        <v>121</v>
      </c>
      <c r="D111" s="5">
        <v>9</v>
      </c>
      <c r="E111" s="5">
        <v>3</v>
      </c>
      <c r="F111" s="7">
        <v>43716</v>
      </c>
      <c r="G111" s="5" t="s">
        <v>215</v>
      </c>
    </row>
    <row r="112" spans="1:7" x14ac:dyDescent="0.3">
      <c r="A112" s="5" t="s">
        <v>6</v>
      </c>
      <c r="B112" s="5">
        <v>15</v>
      </c>
      <c r="C112" s="6" t="s">
        <v>122</v>
      </c>
      <c r="D112" s="5">
        <v>7</v>
      </c>
      <c r="E112" s="5">
        <v>3</v>
      </c>
      <c r="F112" s="7">
        <v>43604</v>
      </c>
      <c r="G112" s="5" t="s">
        <v>216</v>
      </c>
    </row>
    <row r="113" spans="1:7" x14ac:dyDescent="0.3">
      <c r="A113" s="5" t="s">
        <v>7</v>
      </c>
      <c r="B113" s="5">
        <v>19</v>
      </c>
      <c r="C113" s="6" t="s">
        <v>123</v>
      </c>
      <c r="D113" s="5">
        <v>1</v>
      </c>
      <c r="E113" s="5">
        <v>1</v>
      </c>
      <c r="F113" s="7">
        <v>43774</v>
      </c>
      <c r="G113" s="5" t="s">
        <v>215</v>
      </c>
    </row>
    <row r="114" spans="1:7" x14ac:dyDescent="0.3">
      <c r="A114" s="5" t="s">
        <v>8</v>
      </c>
      <c r="B114" s="5">
        <v>11</v>
      </c>
      <c r="C114" s="6" t="s">
        <v>124</v>
      </c>
      <c r="D114" s="5">
        <v>7</v>
      </c>
      <c r="E114" s="5">
        <v>4</v>
      </c>
      <c r="F114" s="7">
        <v>43576</v>
      </c>
      <c r="G114" s="5" t="s">
        <v>216</v>
      </c>
    </row>
    <row r="115" spans="1:7" x14ac:dyDescent="0.3">
      <c r="A115" s="5" t="s">
        <v>9</v>
      </c>
      <c r="B115" s="5">
        <v>9</v>
      </c>
      <c r="C115" s="6" t="s">
        <v>125</v>
      </c>
      <c r="D115" s="5">
        <v>17</v>
      </c>
      <c r="E115" s="5">
        <v>2</v>
      </c>
      <c r="F115" s="7">
        <v>43640</v>
      </c>
      <c r="G115" s="5" t="s">
        <v>215</v>
      </c>
    </row>
    <row r="116" spans="1:7" x14ac:dyDescent="0.3">
      <c r="A116" s="5" t="s">
        <v>10</v>
      </c>
      <c r="B116" s="5">
        <v>20</v>
      </c>
      <c r="C116" s="6" t="s">
        <v>126</v>
      </c>
      <c r="D116" s="5">
        <v>4</v>
      </c>
      <c r="E116" s="5">
        <v>3</v>
      </c>
      <c r="F116" s="7">
        <v>43568</v>
      </c>
      <c r="G116" s="5" t="s">
        <v>216</v>
      </c>
    </row>
    <row r="117" spans="1:7" x14ac:dyDescent="0.3">
      <c r="A117" s="5" t="s">
        <v>6</v>
      </c>
      <c r="B117" s="5">
        <v>18</v>
      </c>
      <c r="C117" s="6" t="s">
        <v>127</v>
      </c>
      <c r="D117" s="5">
        <v>9</v>
      </c>
      <c r="E117" s="5">
        <v>3</v>
      </c>
      <c r="F117" s="7">
        <v>43528</v>
      </c>
      <c r="G117" s="5" t="s">
        <v>216</v>
      </c>
    </row>
    <row r="118" spans="1:7" x14ac:dyDescent="0.3">
      <c r="A118" s="5" t="s">
        <v>7</v>
      </c>
      <c r="B118" s="5">
        <v>17</v>
      </c>
      <c r="C118" s="6" t="s">
        <v>128</v>
      </c>
      <c r="D118" s="5">
        <v>4</v>
      </c>
      <c r="E118" s="5">
        <v>3</v>
      </c>
      <c r="F118" s="7">
        <v>43538</v>
      </c>
      <c r="G118" s="5" t="s">
        <v>216</v>
      </c>
    </row>
    <row r="119" spans="1:7" x14ac:dyDescent="0.3">
      <c r="A119" s="5" t="s">
        <v>8</v>
      </c>
      <c r="B119" s="5">
        <v>12</v>
      </c>
      <c r="C119" s="6" t="s">
        <v>129</v>
      </c>
      <c r="D119" s="5">
        <v>7</v>
      </c>
      <c r="E119" s="5">
        <v>4</v>
      </c>
      <c r="F119" s="7">
        <v>43820</v>
      </c>
      <c r="G119" s="5" t="s">
        <v>215</v>
      </c>
    </row>
    <row r="120" spans="1:7" x14ac:dyDescent="0.3">
      <c r="A120" s="5" t="s">
        <v>9</v>
      </c>
      <c r="B120" s="5">
        <v>5</v>
      </c>
      <c r="C120" s="6" t="s">
        <v>130</v>
      </c>
      <c r="D120" s="5">
        <v>7</v>
      </c>
      <c r="E120" s="5">
        <v>2</v>
      </c>
      <c r="F120" s="7">
        <v>43559</v>
      </c>
      <c r="G120" s="5" t="s">
        <v>216</v>
      </c>
    </row>
    <row r="121" spans="1:7" x14ac:dyDescent="0.3">
      <c r="A121" s="5" t="s">
        <v>10</v>
      </c>
      <c r="B121" s="5">
        <v>12</v>
      </c>
      <c r="C121" s="6" t="s">
        <v>131</v>
      </c>
      <c r="D121" s="5">
        <v>14</v>
      </c>
      <c r="E121" s="5">
        <v>4</v>
      </c>
      <c r="F121" s="7">
        <v>43585</v>
      </c>
      <c r="G121" s="5" t="s">
        <v>216</v>
      </c>
    </row>
    <row r="122" spans="1:7" x14ac:dyDescent="0.3">
      <c r="A122" s="5" t="s">
        <v>6</v>
      </c>
      <c r="B122" s="5">
        <v>14</v>
      </c>
      <c r="C122" s="6" t="s">
        <v>132</v>
      </c>
      <c r="D122" s="5">
        <v>20</v>
      </c>
      <c r="E122" s="5">
        <v>2</v>
      </c>
      <c r="F122" s="7">
        <v>43762</v>
      </c>
      <c r="G122" s="5" t="s">
        <v>215</v>
      </c>
    </row>
    <row r="123" spans="1:7" x14ac:dyDescent="0.3">
      <c r="A123" s="5" t="s">
        <v>7</v>
      </c>
      <c r="B123" s="5">
        <v>11</v>
      </c>
      <c r="C123" s="6" t="s">
        <v>133</v>
      </c>
      <c r="D123" s="5">
        <v>18</v>
      </c>
      <c r="E123" s="5">
        <v>2</v>
      </c>
      <c r="F123" s="7">
        <v>43774</v>
      </c>
      <c r="G123" s="5" t="s">
        <v>215</v>
      </c>
    </row>
    <row r="124" spans="1:7" x14ac:dyDescent="0.3">
      <c r="A124" s="5" t="s">
        <v>8</v>
      </c>
      <c r="B124" s="5">
        <v>8</v>
      </c>
      <c r="C124" s="6" t="s">
        <v>134</v>
      </c>
      <c r="D124" s="5">
        <v>12</v>
      </c>
      <c r="E124" s="5">
        <v>2</v>
      </c>
      <c r="F124" s="7">
        <v>43755</v>
      </c>
      <c r="G124" s="5" t="s">
        <v>215</v>
      </c>
    </row>
    <row r="125" spans="1:7" x14ac:dyDescent="0.3">
      <c r="A125" s="5" t="s">
        <v>9</v>
      </c>
      <c r="B125" s="5">
        <v>13</v>
      </c>
      <c r="C125" s="6" t="s">
        <v>135</v>
      </c>
      <c r="D125" s="5">
        <v>1</v>
      </c>
      <c r="E125" s="5">
        <v>4</v>
      </c>
      <c r="F125" s="7">
        <v>43608</v>
      </c>
      <c r="G125" s="5" t="s">
        <v>216</v>
      </c>
    </row>
    <row r="126" spans="1:7" x14ac:dyDescent="0.3">
      <c r="A126" s="5" t="s">
        <v>10</v>
      </c>
      <c r="B126" s="5">
        <v>15</v>
      </c>
      <c r="C126" s="6" t="s">
        <v>136</v>
      </c>
      <c r="D126" s="5">
        <v>18</v>
      </c>
      <c r="E126" s="5">
        <v>4</v>
      </c>
      <c r="F126" s="7">
        <v>43786</v>
      </c>
      <c r="G126" s="5" t="s">
        <v>215</v>
      </c>
    </row>
    <row r="127" spans="1:7" x14ac:dyDescent="0.3">
      <c r="A127" s="5" t="s">
        <v>6</v>
      </c>
      <c r="B127" s="5">
        <v>14</v>
      </c>
      <c r="C127" s="6" t="s">
        <v>137</v>
      </c>
      <c r="D127" s="5">
        <v>17</v>
      </c>
      <c r="E127" s="5">
        <v>3</v>
      </c>
      <c r="F127" s="7">
        <v>43711</v>
      </c>
      <c r="G127" s="5" t="s">
        <v>215</v>
      </c>
    </row>
    <row r="128" spans="1:7" x14ac:dyDescent="0.3">
      <c r="A128" s="5" t="s">
        <v>7</v>
      </c>
      <c r="B128" s="5">
        <v>13</v>
      </c>
      <c r="C128" s="6" t="s">
        <v>138</v>
      </c>
      <c r="D128" s="5">
        <v>9</v>
      </c>
      <c r="E128" s="5">
        <v>2</v>
      </c>
      <c r="F128" s="7">
        <v>43663</v>
      </c>
      <c r="G128" s="5" t="s">
        <v>215</v>
      </c>
    </row>
    <row r="129" spans="1:7" x14ac:dyDescent="0.3">
      <c r="A129" s="5" t="s">
        <v>8</v>
      </c>
      <c r="B129" s="5">
        <v>12</v>
      </c>
      <c r="C129" s="6" t="s">
        <v>139</v>
      </c>
      <c r="D129" s="5">
        <v>3</v>
      </c>
      <c r="E129" s="5">
        <v>2</v>
      </c>
      <c r="F129" s="7">
        <v>43765</v>
      </c>
      <c r="G129" s="5" t="s">
        <v>215</v>
      </c>
    </row>
    <row r="130" spans="1:7" x14ac:dyDescent="0.3">
      <c r="A130" s="5" t="s">
        <v>9</v>
      </c>
      <c r="B130" s="5">
        <v>5</v>
      </c>
      <c r="C130" s="6" t="s">
        <v>140</v>
      </c>
      <c r="D130" s="5">
        <v>5</v>
      </c>
      <c r="E130" s="5">
        <v>4</v>
      </c>
      <c r="F130" s="7">
        <v>43519</v>
      </c>
      <c r="G130" s="5" t="s">
        <v>216</v>
      </c>
    </row>
    <row r="131" spans="1:7" x14ac:dyDescent="0.3">
      <c r="A131" s="5" t="s">
        <v>10</v>
      </c>
      <c r="B131" s="5">
        <v>8</v>
      </c>
      <c r="C131" s="6" t="s">
        <v>141</v>
      </c>
      <c r="D131" s="5">
        <v>10</v>
      </c>
      <c r="E131" s="5">
        <v>4</v>
      </c>
      <c r="F131" s="7">
        <v>43794</v>
      </c>
      <c r="G131" s="5" t="s">
        <v>215</v>
      </c>
    </row>
    <row r="132" spans="1:7" x14ac:dyDescent="0.3">
      <c r="A132" s="5" t="s">
        <v>6</v>
      </c>
      <c r="B132" s="5">
        <v>14</v>
      </c>
      <c r="C132" s="6" t="s">
        <v>142</v>
      </c>
      <c r="D132" s="5">
        <v>12</v>
      </c>
      <c r="E132" s="5">
        <v>1</v>
      </c>
      <c r="F132" s="7">
        <v>43646</v>
      </c>
      <c r="G132" s="5" t="s">
        <v>215</v>
      </c>
    </row>
    <row r="133" spans="1:7" x14ac:dyDescent="0.3">
      <c r="A133" s="5" t="s">
        <v>7</v>
      </c>
      <c r="B133" s="5">
        <v>14</v>
      </c>
      <c r="C133" s="6" t="s">
        <v>143</v>
      </c>
      <c r="D133" s="5">
        <v>20</v>
      </c>
      <c r="E133" s="5">
        <v>2</v>
      </c>
      <c r="F133" s="7">
        <v>43731</v>
      </c>
      <c r="G133" s="5" t="s">
        <v>215</v>
      </c>
    </row>
    <row r="134" spans="1:7" x14ac:dyDescent="0.3">
      <c r="A134" s="5" t="s">
        <v>8</v>
      </c>
      <c r="B134" s="5">
        <v>14</v>
      </c>
      <c r="C134" s="6" t="s">
        <v>144</v>
      </c>
      <c r="D134" s="5">
        <v>18</v>
      </c>
      <c r="E134" s="5">
        <v>1</v>
      </c>
      <c r="F134" s="7">
        <v>43806</v>
      </c>
      <c r="G134" s="5" t="s">
        <v>215</v>
      </c>
    </row>
    <row r="135" spans="1:7" x14ac:dyDescent="0.3">
      <c r="A135" s="5" t="s">
        <v>9</v>
      </c>
      <c r="B135" s="5">
        <v>17</v>
      </c>
      <c r="C135" s="6" t="s">
        <v>145</v>
      </c>
      <c r="D135" s="5">
        <v>6</v>
      </c>
      <c r="E135" s="5">
        <v>2</v>
      </c>
      <c r="F135" s="7">
        <v>43827</v>
      </c>
      <c r="G135" s="5" t="s">
        <v>215</v>
      </c>
    </row>
    <row r="136" spans="1:7" x14ac:dyDescent="0.3">
      <c r="A136" s="5" t="s">
        <v>10</v>
      </c>
      <c r="B136" s="5">
        <v>6</v>
      </c>
      <c r="C136" s="6" t="s">
        <v>146</v>
      </c>
      <c r="D136" s="5">
        <v>1</v>
      </c>
      <c r="E136" s="5">
        <v>1</v>
      </c>
      <c r="F136" s="7">
        <v>43606</v>
      </c>
      <c r="G136" s="5" t="s">
        <v>216</v>
      </c>
    </row>
    <row r="137" spans="1:7" x14ac:dyDescent="0.3">
      <c r="A137" s="5" t="s">
        <v>6</v>
      </c>
      <c r="B137" s="5">
        <v>15</v>
      </c>
      <c r="C137" s="6" t="s">
        <v>147</v>
      </c>
      <c r="D137" s="5">
        <v>8</v>
      </c>
      <c r="E137" s="5">
        <v>2</v>
      </c>
      <c r="F137" s="7">
        <v>43716</v>
      </c>
      <c r="G137" s="5" t="s">
        <v>215</v>
      </c>
    </row>
    <row r="138" spans="1:7" x14ac:dyDescent="0.3">
      <c r="A138" s="5" t="s">
        <v>7</v>
      </c>
      <c r="B138" s="5">
        <v>14</v>
      </c>
      <c r="C138" s="6" t="s">
        <v>148</v>
      </c>
      <c r="D138" s="5">
        <v>6</v>
      </c>
      <c r="E138" s="5">
        <v>4</v>
      </c>
      <c r="F138" s="7">
        <v>43471</v>
      </c>
      <c r="G138" s="5" t="s">
        <v>216</v>
      </c>
    </row>
    <row r="139" spans="1:7" x14ac:dyDescent="0.3">
      <c r="A139" s="5" t="s">
        <v>8</v>
      </c>
      <c r="B139" s="5">
        <v>5</v>
      </c>
      <c r="C139" s="6" t="s">
        <v>149</v>
      </c>
      <c r="D139" s="5">
        <v>6</v>
      </c>
      <c r="E139" s="5">
        <v>4</v>
      </c>
      <c r="F139" s="7">
        <v>43579</v>
      </c>
      <c r="G139" s="5" t="s">
        <v>216</v>
      </c>
    </row>
    <row r="140" spans="1:7" x14ac:dyDescent="0.3">
      <c r="A140" s="5" t="s">
        <v>9</v>
      </c>
      <c r="B140" s="5">
        <v>19</v>
      </c>
      <c r="C140" s="6" t="s">
        <v>150</v>
      </c>
      <c r="D140" s="5">
        <v>9</v>
      </c>
      <c r="E140" s="5">
        <v>2</v>
      </c>
      <c r="F140" s="7">
        <v>43535</v>
      </c>
      <c r="G140" s="5" t="s">
        <v>216</v>
      </c>
    </row>
    <row r="141" spans="1:7" x14ac:dyDescent="0.3">
      <c r="A141" s="5" t="s">
        <v>10</v>
      </c>
      <c r="B141" s="5">
        <v>20</v>
      </c>
      <c r="C141" s="6" t="s">
        <v>151</v>
      </c>
      <c r="D141" s="5">
        <v>7</v>
      </c>
      <c r="E141" s="5">
        <v>1</v>
      </c>
      <c r="F141" s="7">
        <v>43493</v>
      </c>
      <c r="G141" s="5" t="s">
        <v>216</v>
      </c>
    </row>
    <row r="142" spans="1:7" x14ac:dyDescent="0.3">
      <c r="A142" s="5" t="s">
        <v>6</v>
      </c>
      <c r="B142" s="5">
        <v>16</v>
      </c>
      <c r="C142" s="6" t="s">
        <v>152</v>
      </c>
      <c r="D142" s="5">
        <v>10</v>
      </c>
      <c r="E142" s="5">
        <v>3</v>
      </c>
      <c r="F142" s="7">
        <v>43557</v>
      </c>
      <c r="G142" s="5" t="s">
        <v>216</v>
      </c>
    </row>
    <row r="143" spans="1:7" x14ac:dyDescent="0.3">
      <c r="A143" s="5" t="s">
        <v>7</v>
      </c>
      <c r="B143" s="5">
        <v>5</v>
      </c>
      <c r="C143" s="6" t="s">
        <v>153</v>
      </c>
      <c r="D143" s="5">
        <v>6</v>
      </c>
      <c r="E143" s="5">
        <v>2</v>
      </c>
      <c r="F143" s="7">
        <v>43498</v>
      </c>
      <c r="G143" s="5" t="s">
        <v>216</v>
      </c>
    </row>
    <row r="144" spans="1:7" x14ac:dyDescent="0.3">
      <c r="A144" s="5" t="s">
        <v>8</v>
      </c>
      <c r="B144" s="5">
        <v>16</v>
      </c>
      <c r="C144" s="6" t="s">
        <v>154</v>
      </c>
      <c r="D144" s="5">
        <v>13</v>
      </c>
      <c r="E144" s="5">
        <v>2</v>
      </c>
      <c r="F144" s="7">
        <v>43792</v>
      </c>
      <c r="G144" s="5" t="s">
        <v>215</v>
      </c>
    </row>
    <row r="145" spans="1:7" x14ac:dyDescent="0.3">
      <c r="A145" s="5" t="s">
        <v>9</v>
      </c>
      <c r="B145" s="5">
        <v>16</v>
      </c>
      <c r="C145" s="6" t="s">
        <v>155</v>
      </c>
      <c r="D145" s="5">
        <v>16</v>
      </c>
      <c r="E145" s="5">
        <v>3</v>
      </c>
      <c r="F145" s="7">
        <v>43598</v>
      </c>
      <c r="G145" s="5" t="s">
        <v>216</v>
      </c>
    </row>
    <row r="146" spans="1:7" x14ac:dyDescent="0.3">
      <c r="A146" s="5" t="s">
        <v>10</v>
      </c>
      <c r="B146" s="5">
        <v>5</v>
      </c>
      <c r="C146" s="6" t="s">
        <v>156</v>
      </c>
      <c r="D146" s="5">
        <v>2</v>
      </c>
      <c r="E146" s="5">
        <v>3</v>
      </c>
      <c r="F146" s="7">
        <v>43679</v>
      </c>
      <c r="G146" s="5" t="s">
        <v>215</v>
      </c>
    </row>
    <row r="147" spans="1:7" x14ac:dyDescent="0.3">
      <c r="A147" s="5" t="s">
        <v>6</v>
      </c>
      <c r="B147" s="5">
        <v>19</v>
      </c>
      <c r="C147" s="6" t="s">
        <v>157</v>
      </c>
      <c r="D147" s="5">
        <v>7</v>
      </c>
      <c r="E147" s="5">
        <v>1</v>
      </c>
      <c r="F147" s="7">
        <v>43682</v>
      </c>
      <c r="G147" s="5" t="s">
        <v>215</v>
      </c>
    </row>
    <row r="148" spans="1:7" x14ac:dyDescent="0.3">
      <c r="A148" s="5" t="s">
        <v>7</v>
      </c>
      <c r="B148" s="5">
        <v>5</v>
      </c>
      <c r="C148" s="6" t="s">
        <v>158</v>
      </c>
      <c r="D148" s="5">
        <v>9</v>
      </c>
      <c r="E148" s="5">
        <v>1</v>
      </c>
      <c r="F148" s="7">
        <v>43567</v>
      </c>
      <c r="G148" s="5" t="s">
        <v>216</v>
      </c>
    </row>
    <row r="149" spans="1:7" x14ac:dyDescent="0.3">
      <c r="A149" s="5" t="s">
        <v>8</v>
      </c>
      <c r="B149" s="5">
        <v>5</v>
      </c>
      <c r="C149" s="6" t="s">
        <v>159</v>
      </c>
      <c r="D149" s="5">
        <v>15</v>
      </c>
      <c r="E149" s="5">
        <v>1</v>
      </c>
      <c r="F149" s="7">
        <v>43604</v>
      </c>
      <c r="G149" s="5" t="s">
        <v>216</v>
      </c>
    </row>
    <row r="150" spans="1:7" x14ac:dyDescent="0.3">
      <c r="A150" s="5" t="s">
        <v>9</v>
      </c>
      <c r="B150" s="5">
        <v>7</v>
      </c>
      <c r="C150" s="6" t="s">
        <v>160</v>
      </c>
      <c r="D150" s="5">
        <v>7</v>
      </c>
      <c r="E150" s="5">
        <v>4</v>
      </c>
      <c r="F150" s="7">
        <v>43599</v>
      </c>
      <c r="G150" s="5" t="s">
        <v>216</v>
      </c>
    </row>
    <row r="151" spans="1:7" x14ac:dyDescent="0.3">
      <c r="A151" s="5" t="s">
        <v>10</v>
      </c>
      <c r="B151" s="5">
        <v>17</v>
      </c>
      <c r="C151" s="6" t="s">
        <v>161</v>
      </c>
      <c r="D151" s="5">
        <v>20</v>
      </c>
      <c r="E151" s="5">
        <v>4</v>
      </c>
      <c r="F151" s="7">
        <v>43570</v>
      </c>
      <c r="G151" s="5" t="s">
        <v>216</v>
      </c>
    </row>
    <row r="152" spans="1:7" x14ac:dyDescent="0.3">
      <c r="A152" s="5" t="s">
        <v>6</v>
      </c>
      <c r="B152" s="5">
        <v>8</v>
      </c>
      <c r="C152" s="6" t="s">
        <v>162</v>
      </c>
      <c r="D152" s="5">
        <v>18</v>
      </c>
      <c r="E152" s="5">
        <v>2</v>
      </c>
      <c r="F152" s="7">
        <v>43607</v>
      </c>
      <c r="G152" s="5" t="s">
        <v>216</v>
      </c>
    </row>
    <row r="153" spans="1:7" x14ac:dyDescent="0.3">
      <c r="A153" s="5" t="s">
        <v>7</v>
      </c>
      <c r="B153" s="5">
        <v>7</v>
      </c>
      <c r="C153" s="6" t="s">
        <v>163</v>
      </c>
      <c r="D153" s="5">
        <v>17</v>
      </c>
      <c r="E153" s="5">
        <v>2</v>
      </c>
      <c r="F153" s="7">
        <v>43651</v>
      </c>
      <c r="G153" s="5" t="s">
        <v>215</v>
      </c>
    </row>
    <row r="154" spans="1:7" x14ac:dyDescent="0.3">
      <c r="A154" s="5" t="s">
        <v>8</v>
      </c>
      <c r="B154" s="5">
        <v>9</v>
      </c>
      <c r="C154" s="6" t="s">
        <v>164</v>
      </c>
      <c r="D154" s="5">
        <v>7</v>
      </c>
      <c r="E154" s="5">
        <v>4</v>
      </c>
      <c r="F154" s="7">
        <v>43653</v>
      </c>
      <c r="G154" s="5" t="s">
        <v>215</v>
      </c>
    </row>
    <row r="155" spans="1:7" x14ac:dyDescent="0.3">
      <c r="A155" s="5" t="s">
        <v>9</v>
      </c>
      <c r="B155" s="5">
        <v>17</v>
      </c>
      <c r="C155" s="6" t="s">
        <v>165</v>
      </c>
      <c r="D155" s="5">
        <v>12</v>
      </c>
      <c r="E155" s="5">
        <v>1</v>
      </c>
      <c r="F155" s="7">
        <v>43826</v>
      </c>
      <c r="G155" s="5" t="s">
        <v>215</v>
      </c>
    </row>
    <row r="156" spans="1:7" x14ac:dyDescent="0.3">
      <c r="A156" s="5" t="s">
        <v>10</v>
      </c>
      <c r="B156" s="5">
        <v>19</v>
      </c>
      <c r="C156" s="6" t="s">
        <v>166</v>
      </c>
      <c r="D156" s="5">
        <v>17</v>
      </c>
      <c r="E156" s="5">
        <v>4</v>
      </c>
      <c r="F156" s="7">
        <v>43632</v>
      </c>
      <c r="G156" s="5" t="s">
        <v>215</v>
      </c>
    </row>
    <row r="157" spans="1:7" x14ac:dyDescent="0.3">
      <c r="A157" s="5" t="s">
        <v>6</v>
      </c>
      <c r="B157" s="5">
        <v>17</v>
      </c>
      <c r="C157" s="6" t="s">
        <v>167</v>
      </c>
      <c r="D157" s="5">
        <v>12</v>
      </c>
      <c r="E157" s="5">
        <v>3</v>
      </c>
      <c r="F157" s="7">
        <v>43564</v>
      </c>
      <c r="G157" s="5" t="s">
        <v>216</v>
      </c>
    </row>
    <row r="158" spans="1:7" x14ac:dyDescent="0.3">
      <c r="A158" s="5" t="s">
        <v>7</v>
      </c>
      <c r="B158" s="5">
        <v>17</v>
      </c>
      <c r="C158" s="6" t="s">
        <v>168</v>
      </c>
      <c r="D158" s="5">
        <v>13</v>
      </c>
      <c r="E158" s="5">
        <v>1</v>
      </c>
      <c r="F158" s="7">
        <v>43633</v>
      </c>
      <c r="G158" s="5" t="s">
        <v>215</v>
      </c>
    </row>
    <row r="159" spans="1:7" x14ac:dyDescent="0.3">
      <c r="A159" s="5" t="s">
        <v>8</v>
      </c>
      <c r="B159" s="5">
        <v>5</v>
      </c>
      <c r="C159" s="6" t="s">
        <v>169</v>
      </c>
      <c r="D159" s="5">
        <v>15</v>
      </c>
      <c r="E159" s="5">
        <v>2</v>
      </c>
      <c r="F159" s="7">
        <v>43764</v>
      </c>
      <c r="G159" s="5" t="s">
        <v>215</v>
      </c>
    </row>
    <row r="160" spans="1:7" x14ac:dyDescent="0.3">
      <c r="A160" s="5" t="s">
        <v>9</v>
      </c>
      <c r="B160" s="5">
        <v>18</v>
      </c>
      <c r="C160" s="6" t="s">
        <v>170</v>
      </c>
      <c r="D160" s="5">
        <v>8</v>
      </c>
      <c r="E160" s="5">
        <v>1</v>
      </c>
      <c r="F160" s="7">
        <v>43603</v>
      </c>
      <c r="G160" s="5" t="s">
        <v>216</v>
      </c>
    </row>
    <row r="161" spans="1:7" x14ac:dyDescent="0.3">
      <c r="A161" s="5" t="s">
        <v>10</v>
      </c>
      <c r="B161" s="5">
        <v>19</v>
      </c>
      <c r="C161" s="6" t="s">
        <v>171</v>
      </c>
      <c r="D161" s="5">
        <v>4</v>
      </c>
      <c r="E161" s="5">
        <v>1</v>
      </c>
      <c r="F161" s="7">
        <v>43687</v>
      </c>
      <c r="G161" s="5" t="s">
        <v>215</v>
      </c>
    </row>
    <row r="162" spans="1:7" x14ac:dyDescent="0.3">
      <c r="A162" s="5" t="s">
        <v>6</v>
      </c>
      <c r="B162" s="5">
        <v>17</v>
      </c>
      <c r="C162" s="6" t="s">
        <v>172</v>
      </c>
      <c r="D162" s="5">
        <v>7</v>
      </c>
      <c r="E162" s="5">
        <v>1</v>
      </c>
      <c r="F162" s="7">
        <v>43467</v>
      </c>
      <c r="G162" s="5" t="s">
        <v>216</v>
      </c>
    </row>
    <row r="163" spans="1:7" x14ac:dyDescent="0.3">
      <c r="A163" s="5" t="s">
        <v>7</v>
      </c>
      <c r="B163" s="5">
        <v>16</v>
      </c>
      <c r="C163" s="6" t="s">
        <v>173</v>
      </c>
      <c r="D163" s="5">
        <v>17</v>
      </c>
      <c r="E163" s="5">
        <v>2</v>
      </c>
      <c r="F163" s="7">
        <v>43629</v>
      </c>
      <c r="G163" s="5" t="s">
        <v>215</v>
      </c>
    </row>
    <row r="164" spans="1:7" x14ac:dyDescent="0.3">
      <c r="A164" s="5" t="s">
        <v>8</v>
      </c>
      <c r="B164" s="5">
        <v>6</v>
      </c>
      <c r="C164" s="6" t="s">
        <v>174</v>
      </c>
      <c r="D164" s="5">
        <v>17</v>
      </c>
      <c r="E164" s="5">
        <v>4</v>
      </c>
      <c r="F164" s="7">
        <v>43758</v>
      </c>
      <c r="G164" s="5" t="s">
        <v>215</v>
      </c>
    </row>
    <row r="165" spans="1:7" x14ac:dyDescent="0.3">
      <c r="A165" s="5" t="s">
        <v>9</v>
      </c>
      <c r="B165" s="5">
        <v>11</v>
      </c>
      <c r="C165" s="6" t="s">
        <v>175</v>
      </c>
      <c r="D165" s="5">
        <v>2</v>
      </c>
      <c r="E165" s="5">
        <v>2</v>
      </c>
      <c r="F165" s="7">
        <v>43829</v>
      </c>
      <c r="G165" s="5" t="s">
        <v>215</v>
      </c>
    </row>
    <row r="166" spans="1:7" x14ac:dyDescent="0.3">
      <c r="A166" s="5" t="s">
        <v>10</v>
      </c>
      <c r="B166" s="5">
        <v>11</v>
      </c>
      <c r="C166" s="6" t="s">
        <v>176</v>
      </c>
      <c r="D166" s="5">
        <v>15</v>
      </c>
      <c r="E166" s="5">
        <v>4</v>
      </c>
      <c r="F166" s="7">
        <v>43820</v>
      </c>
      <c r="G166" s="5" t="s">
        <v>215</v>
      </c>
    </row>
    <row r="167" spans="1:7" x14ac:dyDescent="0.3">
      <c r="A167" s="5" t="s">
        <v>6</v>
      </c>
      <c r="B167" s="5">
        <v>15</v>
      </c>
      <c r="C167" s="6" t="s">
        <v>177</v>
      </c>
      <c r="D167" s="5">
        <v>6</v>
      </c>
      <c r="E167" s="5">
        <v>3</v>
      </c>
      <c r="F167" s="7">
        <v>43687</v>
      </c>
      <c r="G167" s="5" t="s">
        <v>215</v>
      </c>
    </row>
    <row r="168" spans="1:7" x14ac:dyDescent="0.3">
      <c r="A168" s="5" t="s">
        <v>7</v>
      </c>
      <c r="B168" s="5">
        <v>9</v>
      </c>
      <c r="C168" s="6" t="s">
        <v>178</v>
      </c>
      <c r="D168" s="5">
        <v>14</v>
      </c>
      <c r="E168" s="5">
        <v>2</v>
      </c>
      <c r="F168" s="7">
        <v>43696</v>
      </c>
      <c r="G168" s="5" t="s">
        <v>215</v>
      </c>
    </row>
    <row r="169" spans="1:7" x14ac:dyDescent="0.3">
      <c r="A169" s="5" t="s">
        <v>8</v>
      </c>
      <c r="B169" s="5">
        <v>10</v>
      </c>
      <c r="C169" s="6" t="s">
        <v>179</v>
      </c>
      <c r="D169" s="5">
        <v>7</v>
      </c>
      <c r="E169" s="5">
        <v>2</v>
      </c>
      <c r="F169" s="7">
        <v>43687</v>
      </c>
      <c r="G169" s="5" t="s">
        <v>215</v>
      </c>
    </row>
    <row r="170" spans="1:7" x14ac:dyDescent="0.3">
      <c r="A170" s="5" t="s">
        <v>9</v>
      </c>
      <c r="B170" s="5">
        <v>12</v>
      </c>
      <c r="C170" s="6" t="s">
        <v>180</v>
      </c>
      <c r="D170" s="5">
        <v>6</v>
      </c>
      <c r="E170" s="5">
        <v>4</v>
      </c>
      <c r="F170" s="7">
        <v>43531</v>
      </c>
      <c r="G170" s="5" t="s">
        <v>216</v>
      </c>
    </row>
    <row r="171" spans="1:7" x14ac:dyDescent="0.3">
      <c r="A171" s="5" t="s">
        <v>10</v>
      </c>
      <c r="B171" s="5">
        <v>11</v>
      </c>
      <c r="C171" s="6" t="s">
        <v>181</v>
      </c>
      <c r="D171" s="5">
        <v>10</v>
      </c>
      <c r="E171" s="5">
        <v>4</v>
      </c>
      <c r="F171" s="7">
        <v>43688</v>
      </c>
      <c r="G171" s="5" t="s">
        <v>215</v>
      </c>
    </row>
    <row r="172" spans="1:7" x14ac:dyDescent="0.3">
      <c r="A172" s="5" t="s">
        <v>6</v>
      </c>
      <c r="B172" s="5">
        <v>17</v>
      </c>
      <c r="C172" s="6" t="s">
        <v>182</v>
      </c>
      <c r="D172" s="5">
        <v>6</v>
      </c>
      <c r="E172" s="5">
        <v>2</v>
      </c>
      <c r="F172" s="7">
        <v>43617</v>
      </c>
      <c r="G172" s="5" t="s">
        <v>215</v>
      </c>
    </row>
    <row r="173" spans="1:7" x14ac:dyDescent="0.3">
      <c r="A173" s="5" t="s">
        <v>7</v>
      </c>
      <c r="B173" s="5">
        <v>14</v>
      </c>
      <c r="C173" s="6" t="s">
        <v>183</v>
      </c>
      <c r="D173" s="5">
        <v>4</v>
      </c>
      <c r="E173" s="5">
        <v>4</v>
      </c>
      <c r="F173" s="7">
        <v>43682</v>
      </c>
      <c r="G173" s="5" t="s">
        <v>215</v>
      </c>
    </row>
    <row r="174" spans="1:7" x14ac:dyDescent="0.3">
      <c r="A174" s="5" t="s">
        <v>8</v>
      </c>
      <c r="B174" s="5">
        <v>19</v>
      </c>
      <c r="C174" s="6" t="s">
        <v>184</v>
      </c>
      <c r="D174" s="5">
        <v>16</v>
      </c>
      <c r="E174" s="5">
        <v>1</v>
      </c>
      <c r="F174" s="7">
        <v>43720</v>
      </c>
      <c r="G174" s="5" t="s">
        <v>215</v>
      </c>
    </row>
    <row r="175" spans="1:7" x14ac:dyDescent="0.3">
      <c r="A175" s="5" t="s">
        <v>9</v>
      </c>
      <c r="B175" s="5">
        <v>17</v>
      </c>
      <c r="C175" s="6" t="s">
        <v>185</v>
      </c>
      <c r="D175" s="5">
        <v>20</v>
      </c>
      <c r="E175" s="5">
        <v>3</v>
      </c>
      <c r="F175" s="7">
        <v>43694</v>
      </c>
      <c r="G175" s="5" t="s">
        <v>215</v>
      </c>
    </row>
    <row r="176" spans="1:7" x14ac:dyDescent="0.3">
      <c r="A176" s="5" t="s">
        <v>10</v>
      </c>
      <c r="B176" s="5">
        <v>7</v>
      </c>
      <c r="C176" s="6" t="s">
        <v>186</v>
      </c>
      <c r="D176" s="5">
        <v>11</v>
      </c>
      <c r="E176" s="5">
        <v>4</v>
      </c>
      <c r="F176" s="7">
        <v>43543</v>
      </c>
      <c r="G176" s="5" t="s">
        <v>216</v>
      </c>
    </row>
    <row r="177" spans="1:7" x14ac:dyDescent="0.3">
      <c r="A177" s="5" t="s">
        <v>6</v>
      </c>
      <c r="B177" s="5">
        <v>10</v>
      </c>
      <c r="C177" s="6" t="s">
        <v>187</v>
      </c>
      <c r="D177" s="5">
        <v>12</v>
      </c>
      <c r="E177" s="5">
        <v>1</v>
      </c>
      <c r="F177" s="7">
        <v>43520</v>
      </c>
      <c r="G177" s="5" t="s">
        <v>216</v>
      </c>
    </row>
    <row r="178" spans="1:7" x14ac:dyDescent="0.3">
      <c r="A178" s="5" t="s">
        <v>7</v>
      </c>
      <c r="B178" s="5">
        <v>6</v>
      </c>
      <c r="C178" s="6" t="s">
        <v>188</v>
      </c>
      <c r="D178" s="5">
        <v>3</v>
      </c>
      <c r="E178" s="5">
        <v>2</v>
      </c>
      <c r="F178" s="7">
        <v>43647</v>
      </c>
      <c r="G178" s="5" t="s">
        <v>215</v>
      </c>
    </row>
    <row r="179" spans="1:7" x14ac:dyDescent="0.3">
      <c r="A179" s="5" t="s">
        <v>8</v>
      </c>
      <c r="B179" s="5">
        <v>8</v>
      </c>
      <c r="C179" s="6" t="s">
        <v>189</v>
      </c>
      <c r="D179" s="5">
        <v>18</v>
      </c>
      <c r="E179" s="5">
        <v>4</v>
      </c>
      <c r="F179" s="7">
        <v>43675</v>
      </c>
      <c r="G179" s="5" t="s">
        <v>215</v>
      </c>
    </row>
    <row r="180" spans="1:7" x14ac:dyDescent="0.3">
      <c r="A180" s="5" t="s">
        <v>9</v>
      </c>
      <c r="B180" s="5">
        <v>16</v>
      </c>
      <c r="C180" s="6" t="s">
        <v>190</v>
      </c>
      <c r="D180" s="5">
        <v>6</v>
      </c>
      <c r="E180" s="5">
        <v>4</v>
      </c>
      <c r="F180" s="7">
        <v>43575</v>
      </c>
      <c r="G180" s="5" t="s">
        <v>216</v>
      </c>
    </row>
    <row r="181" spans="1:7" x14ac:dyDescent="0.3">
      <c r="A181" s="5" t="s">
        <v>10</v>
      </c>
      <c r="B181" s="5">
        <v>9</v>
      </c>
      <c r="C181" s="6" t="s">
        <v>191</v>
      </c>
      <c r="D181" s="5">
        <v>4</v>
      </c>
      <c r="E181" s="5">
        <v>1</v>
      </c>
      <c r="F181" s="7">
        <v>43707</v>
      </c>
      <c r="G181" s="5" t="s">
        <v>215</v>
      </c>
    </row>
    <row r="182" spans="1:7" x14ac:dyDescent="0.3">
      <c r="A182" s="5" t="s">
        <v>6</v>
      </c>
      <c r="B182" s="5">
        <v>15</v>
      </c>
      <c r="C182" s="6" t="s">
        <v>192</v>
      </c>
      <c r="D182" s="5">
        <v>9</v>
      </c>
      <c r="E182" s="5">
        <v>1</v>
      </c>
      <c r="F182" s="7">
        <v>43509</v>
      </c>
      <c r="G182" s="5" t="s">
        <v>216</v>
      </c>
    </row>
    <row r="183" spans="1:7" x14ac:dyDescent="0.3">
      <c r="A183" s="5" t="s">
        <v>7</v>
      </c>
      <c r="B183" s="5">
        <v>20</v>
      </c>
      <c r="C183" s="6" t="s">
        <v>193</v>
      </c>
      <c r="D183" s="5">
        <v>4</v>
      </c>
      <c r="E183" s="5">
        <v>1</v>
      </c>
      <c r="F183" s="7">
        <v>43476</v>
      </c>
      <c r="G183" s="5" t="s">
        <v>216</v>
      </c>
    </row>
    <row r="184" spans="1:7" x14ac:dyDescent="0.3">
      <c r="A184" s="5" t="s">
        <v>8</v>
      </c>
      <c r="B184" s="5">
        <v>7</v>
      </c>
      <c r="C184" s="6" t="s">
        <v>194</v>
      </c>
      <c r="D184" s="5">
        <v>6</v>
      </c>
      <c r="E184" s="5">
        <v>2</v>
      </c>
      <c r="F184" s="7">
        <v>43495</v>
      </c>
      <c r="G184" s="5" t="s">
        <v>216</v>
      </c>
    </row>
    <row r="185" spans="1:7" x14ac:dyDescent="0.3">
      <c r="A185" s="5" t="s">
        <v>9</v>
      </c>
      <c r="B185" s="5">
        <v>14</v>
      </c>
      <c r="C185" s="6" t="s">
        <v>195</v>
      </c>
      <c r="D185" s="5">
        <v>12</v>
      </c>
      <c r="E185" s="5">
        <v>4</v>
      </c>
      <c r="F185" s="7">
        <v>43476</v>
      </c>
      <c r="G185" s="5" t="s">
        <v>216</v>
      </c>
    </row>
    <row r="186" spans="1:7" x14ac:dyDescent="0.3">
      <c r="A186" s="5" t="s">
        <v>10</v>
      </c>
      <c r="B186" s="5">
        <v>13</v>
      </c>
      <c r="C186" s="6" t="s">
        <v>196</v>
      </c>
      <c r="D186" s="5">
        <v>6</v>
      </c>
      <c r="E186" s="5">
        <v>1</v>
      </c>
      <c r="F186" s="7">
        <v>43823</v>
      </c>
      <c r="G186" s="5" t="s">
        <v>215</v>
      </c>
    </row>
    <row r="187" spans="1:7" x14ac:dyDescent="0.3">
      <c r="A187" s="5" t="s">
        <v>6</v>
      </c>
      <c r="B187" s="5">
        <v>20</v>
      </c>
      <c r="C187" s="6" t="s">
        <v>197</v>
      </c>
      <c r="D187" s="5">
        <v>17</v>
      </c>
      <c r="E187" s="5">
        <v>1</v>
      </c>
      <c r="F187" s="7">
        <v>43599</v>
      </c>
      <c r="G187" s="5" t="s">
        <v>216</v>
      </c>
    </row>
    <row r="188" spans="1:7" x14ac:dyDescent="0.3">
      <c r="A188" s="5" t="s">
        <v>7</v>
      </c>
      <c r="B188" s="5">
        <v>19</v>
      </c>
      <c r="C188" s="6" t="s">
        <v>198</v>
      </c>
      <c r="D188" s="5">
        <v>12</v>
      </c>
      <c r="E188" s="5">
        <v>4</v>
      </c>
      <c r="F188" s="7">
        <v>43483</v>
      </c>
      <c r="G188" s="5" t="s">
        <v>216</v>
      </c>
    </row>
    <row r="189" spans="1:7" x14ac:dyDescent="0.3">
      <c r="A189" s="5" t="s">
        <v>8</v>
      </c>
      <c r="B189" s="5">
        <v>5</v>
      </c>
      <c r="C189" s="6" t="s">
        <v>199</v>
      </c>
      <c r="D189" s="5">
        <v>15</v>
      </c>
      <c r="E189" s="5">
        <v>4</v>
      </c>
      <c r="F189" s="7">
        <v>43491</v>
      </c>
      <c r="G189" s="5" t="s">
        <v>216</v>
      </c>
    </row>
    <row r="190" spans="1:7" x14ac:dyDescent="0.3">
      <c r="A190" s="5" t="s">
        <v>9</v>
      </c>
      <c r="B190" s="5">
        <v>16</v>
      </c>
      <c r="C190" s="6" t="s">
        <v>200</v>
      </c>
      <c r="D190" s="5">
        <v>15</v>
      </c>
      <c r="E190" s="5">
        <v>2</v>
      </c>
      <c r="F190" s="7">
        <v>43653</v>
      </c>
      <c r="G190" s="5" t="s">
        <v>215</v>
      </c>
    </row>
    <row r="191" spans="1:7" x14ac:dyDescent="0.3">
      <c r="A191" s="5" t="s">
        <v>10</v>
      </c>
      <c r="B191" s="5">
        <v>16</v>
      </c>
      <c r="C191" s="6" t="s">
        <v>201</v>
      </c>
      <c r="D191" s="5">
        <v>13</v>
      </c>
      <c r="E191" s="5">
        <v>3</v>
      </c>
      <c r="F191" s="7">
        <v>43631</v>
      </c>
      <c r="G191" s="5" t="s">
        <v>215</v>
      </c>
    </row>
    <row r="192" spans="1:7" x14ac:dyDescent="0.3">
      <c r="A192" s="5" t="s">
        <v>6</v>
      </c>
      <c r="B192" s="5">
        <v>16</v>
      </c>
      <c r="C192" s="6" t="s">
        <v>202</v>
      </c>
      <c r="D192" s="5">
        <v>12</v>
      </c>
      <c r="E192" s="5">
        <v>1</v>
      </c>
      <c r="F192" s="7">
        <v>43633</v>
      </c>
      <c r="G192" s="5" t="s">
        <v>215</v>
      </c>
    </row>
    <row r="193" spans="1:7" x14ac:dyDescent="0.3">
      <c r="A193" s="5" t="s">
        <v>7</v>
      </c>
      <c r="B193" s="5">
        <v>8</v>
      </c>
      <c r="C193" s="6" t="s">
        <v>203</v>
      </c>
      <c r="D193" s="5">
        <v>2</v>
      </c>
      <c r="E193" s="5">
        <v>1</v>
      </c>
      <c r="F193" s="7">
        <v>43674</v>
      </c>
      <c r="G193" s="5" t="s">
        <v>215</v>
      </c>
    </row>
    <row r="194" spans="1:7" x14ac:dyDescent="0.3">
      <c r="A194" s="5" t="s">
        <v>8</v>
      </c>
      <c r="B194" s="5">
        <v>9</v>
      </c>
      <c r="C194" s="6" t="s">
        <v>204</v>
      </c>
      <c r="D194" s="5">
        <v>14</v>
      </c>
      <c r="E194" s="5">
        <v>3</v>
      </c>
      <c r="F194" s="7">
        <v>43788</v>
      </c>
      <c r="G194" s="5" t="s">
        <v>215</v>
      </c>
    </row>
    <row r="195" spans="1:7" x14ac:dyDescent="0.3">
      <c r="A195" s="5" t="s">
        <v>9</v>
      </c>
      <c r="B195" s="5">
        <v>16</v>
      </c>
      <c r="C195" s="6" t="s">
        <v>205</v>
      </c>
      <c r="D195" s="5">
        <v>3</v>
      </c>
      <c r="E195" s="5">
        <v>3</v>
      </c>
      <c r="F195" s="7">
        <v>43657</v>
      </c>
      <c r="G195" s="5" t="s">
        <v>215</v>
      </c>
    </row>
    <row r="196" spans="1:7" x14ac:dyDescent="0.3">
      <c r="A196" s="5" t="s">
        <v>10</v>
      </c>
      <c r="B196" s="5">
        <v>17</v>
      </c>
      <c r="C196" s="6" t="s">
        <v>206</v>
      </c>
      <c r="D196" s="5">
        <v>12</v>
      </c>
      <c r="E196" s="5">
        <v>4</v>
      </c>
      <c r="F196" s="7">
        <v>43492</v>
      </c>
      <c r="G196" s="5" t="s">
        <v>216</v>
      </c>
    </row>
    <row r="197" spans="1:7" x14ac:dyDescent="0.3">
      <c r="A197" s="5" t="s">
        <v>6</v>
      </c>
      <c r="B197" s="5">
        <v>15</v>
      </c>
      <c r="C197" s="6" t="s">
        <v>207</v>
      </c>
      <c r="D197" s="5">
        <v>18</v>
      </c>
      <c r="E197" s="5">
        <v>2</v>
      </c>
      <c r="F197" s="7">
        <v>43564</v>
      </c>
      <c r="G197" s="5" t="s">
        <v>216</v>
      </c>
    </row>
    <row r="198" spans="1:7" x14ac:dyDescent="0.3">
      <c r="A198" s="5" t="s">
        <v>7</v>
      </c>
      <c r="B198" s="5">
        <v>8</v>
      </c>
      <c r="C198" s="6" t="s">
        <v>208</v>
      </c>
      <c r="D198" s="5">
        <v>9</v>
      </c>
      <c r="E198" s="5">
        <v>1</v>
      </c>
      <c r="F198" s="7">
        <v>43714</v>
      </c>
      <c r="G198" s="5" t="s">
        <v>215</v>
      </c>
    </row>
    <row r="199" spans="1:7" x14ac:dyDescent="0.3">
      <c r="A199" s="5" t="s">
        <v>8</v>
      </c>
      <c r="B199" s="5">
        <v>9</v>
      </c>
      <c r="C199" s="6" t="s">
        <v>209</v>
      </c>
      <c r="D199" s="5">
        <v>8</v>
      </c>
      <c r="E199" s="5">
        <v>2</v>
      </c>
      <c r="F199" s="7">
        <v>43815</v>
      </c>
      <c r="G199" s="5" t="s">
        <v>215</v>
      </c>
    </row>
    <row r="200" spans="1:7" x14ac:dyDescent="0.3">
      <c r="A200" s="5" t="s">
        <v>9</v>
      </c>
      <c r="B200" s="5">
        <v>17</v>
      </c>
      <c r="C200" s="6" t="s">
        <v>210</v>
      </c>
      <c r="D200" s="5">
        <v>5</v>
      </c>
      <c r="E200" s="5">
        <v>2</v>
      </c>
      <c r="F200" s="7">
        <v>43743</v>
      </c>
      <c r="G200" s="5" t="s">
        <v>215</v>
      </c>
    </row>
    <row r="201" spans="1:7" x14ac:dyDescent="0.3">
      <c r="A201" s="5" t="s">
        <v>10</v>
      </c>
      <c r="B201" s="5">
        <v>10</v>
      </c>
      <c r="C201" s="6" t="s">
        <v>211</v>
      </c>
      <c r="D201" s="5">
        <v>16</v>
      </c>
      <c r="E201" s="5">
        <v>2</v>
      </c>
      <c r="F201" s="7">
        <v>43715</v>
      </c>
      <c r="G201" s="5" t="s">
        <v>215</v>
      </c>
    </row>
    <row r="202" spans="1:7" x14ac:dyDescent="0.3">
      <c r="A202" s="5" t="s">
        <v>6</v>
      </c>
      <c r="B202" s="5">
        <v>5</v>
      </c>
      <c r="C202" s="6" t="s">
        <v>212</v>
      </c>
      <c r="D202" s="5">
        <v>5</v>
      </c>
      <c r="E202" s="5">
        <v>2</v>
      </c>
      <c r="F202" s="7">
        <v>43708</v>
      </c>
      <c r="G202" s="5" t="s">
        <v>215</v>
      </c>
    </row>
    <row r="203" spans="1:7" x14ac:dyDescent="0.3">
      <c r="A203" s="5" t="s">
        <v>7</v>
      </c>
      <c r="B203" s="5">
        <v>11</v>
      </c>
      <c r="C203" s="6" t="s">
        <v>213</v>
      </c>
      <c r="D203" s="5">
        <v>13</v>
      </c>
      <c r="E203" s="5">
        <v>2</v>
      </c>
      <c r="F203" s="7">
        <v>43578</v>
      </c>
      <c r="G203" s="5" t="s">
        <v>216</v>
      </c>
    </row>
    <row r="204" spans="1:7" x14ac:dyDescent="0.3">
      <c r="A204" s="5" t="s">
        <v>8</v>
      </c>
      <c r="B204" s="5">
        <v>14</v>
      </c>
      <c r="C204" s="6" t="s">
        <v>214</v>
      </c>
      <c r="D204" s="5">
        <v>18</v>
      </c>
      <c r="E204" s="5">
        <v>3</v>
      </c>
      <c r="F204" s="7">
        <v>43797</v>
      </c>
      <c r="G204" s="5" t="s">
        <v>215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E1" activeCellId="1" sqref="A1:A6 E1:E6"/>
    </sheetView>
  </sheetViews>
  <sheetFormatPr defaultRowHeight="16.5" x14ac:dyDescent="0.3"/>
  <cols>
    <col min="2" max="2" width="9.875" bestFit="1" customWidth="1"/>
    <col min="4" max="4" width="10.625" bestFit="1" customWidth="1"/>
    <col min="7" max="7" width="9.25" bestFit="1" customWidth="1"/>
    <col min="17" max="17" width="13" bestFit="1" customWidth="1"/>
  </cols>
  <sheetData>
    <row r="1" spans="1:17" ht="18" thickTop="1" thickBot="1" x14ac:dyDescent="0.35">
      <c r="A1" s="3" t="s">
        <v>0</v>
      </c>
      <c r="B1" s="3" t="s">
        <v>5</v>
      </c>
      <c r="C1" s="3" t="s">
        <v>217</v>
      </c>
      <c r="D1" s="8" t="s">
        <v>218</v>
      </c>
      <c r="E1" s="8" t="s">
        <v>221</v>
      </c>
      <c r="G1" s="9" t="s">
        <v>2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N1" s="10" t="s">
        <v>219</v>
      </c>
      <c r="P1" s="9" t="s">
        <v>2</v>
      </c>
      <c r="Q1" s="1" t="s">
        <v>220</v>
      </c>
    </row>
    <row r="2" spans="1:17" ht="17.25" thickTop="1" x14ac:dyDescent="0.3">
      <c r="A2" s="5" t="s">
        <v>6</v>
      </c>
      <c r="B2" s="4">
        <f>COUNTIFS(BD!$A:$A,Lixo!$A2,BD!$G:$G,"Sim")</f>
        <v>19</v>
      </c>
      <c r="C2" s="4">
        <f>COUNTIF(BD!$A:$A,Lixo!$A2)</f>
        <v>41</v>
      </c>
      <c r="D2" s="11">
        <f>B2/C2</f>
        <v>0.46341463414634149</v>
      </c>
      <c r="E2" s="5">
        <f>SUMIFS(BD!$B:$B,BD!$A:$A,Lixo!$A2,BD!$G:$G,"Sim")</f>
        <v>263</v>
      </c>
      <c r="G2" s="4">
        <v>1</v>
      </c>
      <c r="H2" s="4">
        <f>COUNTIFS(BD!$D:$D,Lixo!$G2,BD!$A:$A,Lixo!H$1)</f>
        <v>0</v>
      </c>
      <c r="I2" s="4">
        <f>COUNTIFS(BD!$D:$D,Lixo!$G2,BD!$A:$A,Lixo!I$1)</f>
        <v>2</v>
      </c>
      <c r="J2" s="4">
        <f>COUNTIFS(BD!$D:$D,Lixo!$G2,BD!$A:$A,Lixo!J$1)</f>
        <v>1</v>
      </c>
      <c r="K2" s="4">
        <f>COUNTIFS(BD!$D:$D,Lixo!$G2,BD!$A:$A,Lixo!K$1)</f>
        <v>3</v>
      </c>
      <c r="L2" s="4">
        <f>COUNTIFS(BD!$D:$D,Lixo!$G2,BD!$A:$A,Lixo!L$1)</f>
        <v>1</v>
      </c>
      <c r="N2">
        <v>4</v>
      </c>
      <c r="P2" s="4">
        <v>1</v>
      </c>
      <c r="Q2">
        <f ca="1">OFFSET($G$1,P2,$N$2)</f>
        <v>3</v>
      </c>
    </row>
    <row r="3" spans="1:17" x14ac:dyDescent="0.3">
      <c r="A3" s="5" t="s">
        <v>7</v>
      </c>
      <c r="B3" s="4">
        <f>COUNTIFS(BD!$A:$A,Lixo!$A3,BD!$G:$G,"Sim")</f>
        <v>18</v>
      </c>
      <c r="C3" s="4">
        <f>COUNTIF(BD!$A:$A,Lixo!$A3)</f>
        <v>41</v>
      </c>
      <c r="D3" s="11">
        <f t="shared" ref="D3:D6" si="0">B3/C3</f>
        <v>0.43902439024390244</v>
      </c>
      <c r="E3" s="5">
        <f>SUMIFS(BD!$B:$B,BD!$A:$A,Lixo!$A3,BD!$G:$G,"Sim")</f>
        <v>220</v>
      </c>
      <c r="G3" s="4">
        <v>2</v>
      </c>
      <c r="H3" s="4">
        <f>COUNTIFS(BD!$D:$D,Lixo!$G3,BD!$A:$A,Lixo!H$1)</f>
        <v>3</v>
      </c>
      <c r="I3" s="4">
        <f>COUNTIFS(BD!$D:$D,Lixo!$G3,BD!$A:$A,Lixo!I$1)</f>
        <v>5</v>
      </c>
      <c r="J3" s="4">
        <f>COUNTIFS(BD!$D:$D,Lixo!$G3,BD!$A:$A,Lixo!J$1)</f>
        <v>2</v>
      </c>
      <c r="K3" s="4">
        <f>COUNTIFS(BD!$D:$D,Lixo!$G3,BD!$A:$A,Lixo!K$1)</f>
        <v>1</v>
      </c>
      <c r="L3" s="4">
        <f>COUNTIFS(BD!$D:$D,Lixo!$G3,BD!$A:$A,Lixo!L$1)</f>
        <v>2</v>
      </c>
      <c r="P3" s="4">
        <v>2</v>
      </c>
      <c r="Q3">
        <f t="shared" ref="Q3:Q21" ca="1" si="1">OFFSET($G$1,P3,$N$2)</f>
        <v>1</v>
      </c>
    </row>
    <row r="4" spans="1:17" x14ac:dyDescent="0.3">
      <c r="A4" s="5" t="s">
        <v>8</v>
      </c>
      <c r="B4" s="4">
        <f>COUNTIFS(BD!$A:$A,Lixo!$A4,BD!$G:$G,"Sim")</f>
        <v>13</v>
      </c>
      <c r="C4" s="4">
        <f>COUNTIF(BD!$A:$A,Lixo!$A4)</f>
        <v>41</v>
      </c>
      <c r="D4" s="11">
        <f t="shared" si="0"/>
        <v>0.31707317073170732</v>
      </c>
      <c r="E4" s="5">
        <f>SUMIFS(BD!$B:$B,BD!$A:$A,Lixo!$A4,BD!$G:$G,"Sim")</f>
        <v>151</v>
      </c>
      <c r="G4" s="4">
        <v>3</v>
      </c>
      <c r="H4" s="4">
        <f>COUNTIFS(BD!$D:$D,Lixo!$G4,BD!$A:$A,Lixo!H$1)</f>
        <v>2</v>
      </c>
      <c r="I4" s="4">
        <f>COUNTIFS(BD!$D:$D,Lixo!$G4,BD!$A:$A,Lixo!I$1)</f>
        <v>2</v>
      </c>
      <c r="J4" s="4">
        <f>COUNTIFS(BD!$D:$D,Lixo!$G4,BD!$A:$A,Lixo!J$1)</f>
        <v>5</v>
      </c>
      <c r="K4" s="4">
        <f>COUNTIFS(BD!$D:$D,Lixo!$G4,BD!$A:$A,Lixo!K$1)</f>
        <v>1</v>
      </c>
      <c r="L4" s="4">
        <f>COUNTIFS(BD!$D:$D,Lixo!$G4,BD!$A:$A,Lixo!L$1)</f>
        <v>0</v>
      </c>
      <c r="P4" s="4">
        <v>3</v>
      </c>
      <c r="Q4">
        <f t="shared" ca="1" si="1"/>
        <v>1</v>
      </c>
    </row>
    <row r="5" spans="1:17" x14ac:dyDescent="0.3">
      <c r="A5" s="5" t="s">
        <v>9</v>
      </c>
      <c r="B5" s="4">
        <f>COUNTIFS(BD!$A:$A,Lixo!$A5,BD!$G:$G,"Sim")</f>
        <v>17</v>
      </c>
      <c r="C5" s="4">
        <f>COUNTIF(BD!$A:$A,Lixo!$A5)</f>
        <v>40</v>
      </c>
      <c r="D5" s="11">
        <f t="shared" si="0"/>
        <v>0.42499999999999999</v>
      </c>
      <c r="E5" s="5">
        <f>SUMIFS(BD!$B:$B,BD!$A:$A,Lixo!$A5,BD!$G:$G,"Sim")</f>
        <v>200</v>
      </c>
      <c r="G5" s="4">
        <v>4</v>
      </c>
      <c r="H5" s="4">
        <f>COUNTIFS(BD!$D:$D,Lixo!$G5,BD!$A:$A,Lixo!H$1)</f>
        <v>0</v>
      </c>
      <c r="I5" s="4">
        <f>COUNTIFS(BD!$D:$D,Lixo!$G5,BD!$A:$A,Lixo!I$1)</f>
        <v>4</v>
      </c>
      <c r="J5" s="4">
        <f>COUNTIFS(BD!$D:$D,Lixo!$G5,BD!$A:$A,Lixo!J$1)</f>
        <v>2</v>
      </c>
      <c r="K5" s="4">
        <f>COUNTIFS(BD!$D:$D,Lixo!$G5,BD!$A:$A,Lixo!K$1)</f>
        <v>0</v>
      </c>
      <c r="L5" s="4">
        <f>COUNTIFS(BD!$D:$D,Lixo!$G5,BD!$A:$A,Lixo!L$1)</f>
        <v>3</v>
      </c>
      <c r="P5" s="4">
        <v>4</v>
      </c>
      <c r="Q5">
        <f t="shared" ca="1" si="1"/>
        <v>0</v>
      </c>
    </row>
    <row r="6" spans="1:17" x14ac:dyDescent="0.3">
      <c r="A6" s="5" t="s">
        <v>10</v>
      </c>
      <c r="B6" s="4">
        <f>COUNTIFS(BD!$A:$A,Lixo!$A6,BD!$G:$G,"Sim")</f>
        <v>13</v>
      </c>
      <c r="C6" s="4">
        <f>COUNTIF(BD!$A:$A,Lixo!$A6)</f>
        <v>40</v>
      </c>
      <c r="D6" s="11">
        <f t="shared" si="0"/>
        <v>0.32500000000000001</v>
      </c>
      <c r="E6" s="5">
        <f>SUMIFS(BD!$B:$B,BD!$A:$A,Lixo!$A6,BD!$G:$G,"Sim")</f>
        <v>182</v>
      </c>
      <c r="G6" s="4">
        <v>5</v>
      </c>
      <c r="H6" s="4">
        <f>COUNTIFS(BD!$D:$D,Lixo!$G6,BD!$A:$A,Lixo!H$1)</f>
        <v>3</v>
      </c>
      <c r="I6" s="4">
        <f>COUNTIFS(BD!$D:$D,Lixo!$G6,BD!$A:$A,Lixo!I$1)</f>
        <v>0</v>
      </c>
      <c r="J6" s="4">
        <f>COUNTIFS(BD!$D:$D,Lixo!$G6,BD!$A:$A,Lixo!J$1)</f>
        <v>1</v>
      </c>
      <c r="K6" s="4">
        <f>COUNTIFS(BD!$D:$D,Lixo!$G6,BD!$A:$A,Lixo!K$1)</f>
        <v>3</v>
      </c>
      <c r="L6" s="4">
        <f>COUNTIFS(BD!$D:$D,Lixo!$G6,BD!$A:$A,Lixo!L$1)</f>
        <v>1</v>
      </c>
      <c r="P6" s="4">
        <v>5</v>
      </c>
      <c r="Q6">
        <f t="shared" ca="1" si="1"/>
        <v>3</v>
      </c>
    </row>
    <row r="7" spans="1:17" x14ac:dyDescent="0.3">
      <c r="G7" s="4">
        <v>6</v>
      </c>
      <c r="H7" s="4">
        <f>COUNTIFS(BD!$D:$D,Lixo!$G7,BD!$A:$A,Lixo!H$1)</f>
        <v>3</v>
      </c>
      <c r="I7" s="4">
        <f>COUNTIFS(BD!$D:$D,Lixo!$G7,BD!$A:$A,Lixo!I$1)</f>
        <v>4</v>
      </c>
      <c r="J7" s="4">
        <f>COUNTIFS(BD!$D:$D,Lixo!$G7,BD!$A:$A,Lixo!J$1)</f>
        <v>3</v>
      </c>
      <c r="K7" s="4">
        <f>COUNTIFS(BD!$D:$D,Lixo!$G7,BD!$A:$A,Lixo!K$1)</f>
        <v>7</v>
      </c>
      <c r="L7" s="4">
        <f>COUNTIFS(BD!$D:$D,Lixo!$G7,BD!$A:$A,Lixo!L$1)</f>
        <v>2</v>
      </c>
      <c r="P7" s="4">
        <v>6</v>
      </c>
      <c r="Q7">
        <f t="shared" ca="1" si="1"/>
        <v>7</v>
      </c>
    </row>
    <row r="8" spans="1:17" x14ac:dyDescent="0.3">
      <c r="G8" s="4">
        <v>7</v>
      </c>
      <c r="H8" s="4">
        <f>COUNTIFS(BD!$D:$D,Lixo!$G8,BD!$A:$A,Lixo!H$1)</f>
        <v>5</v>
      </c>
      <c r="I8" s="4">
        <f>COUNTIFS(BD!$D:$D,Lixo!$G8,BD!$A:$A,Lixo!I$1)</f>
        <v>0</v>
      </c>
      <c r="J8" s="4">
        <f>COUNTIFS(BD!$D:$D,Lixo!$G8,BD!$A:$A,Lixo!J$1)</f>
        <v>5</v>
      </c>
      <c r="K8" s="4">
        <f>COUNTIFS(BD!$D:$D,Lixo!$G8,BD!$A:$A,Lixo!K$1)</f>
        <v>3</v>
      </c>
      <c r="L8" s="4">
        <f>COUNTIFS(BD!$D:$D,Lixo!$G8,BD!$A:$A,Lixo!L$1)</f>
        <v>1</v>
      </c>
      <c r="P8" s="4">
        <v>7</v>
      </c>
      <c r="Q8">
        <f t="shared" ca="1" si="1"/>
        <v>3</v>
      </c>
    </row>
    <row r="9" spans="1:17" x14ac:dyDescent="0.3">
      <c r="G9" s="4">
        <v>8</v>
      </c>
      <c r="H9" s="4">
        <f>COUNTIFS(BD!$D:$D,Lixo!$G9,BD!$A:$A,Lixo!H$1)</f>
        <v>2</v>
      </c>
      <c r="I9" s="4">
        <f>COUNTIFS(BD!$D:$D,Lixo!$G9,BD!$A:$A,Lixo!I$1)</f>
        <v>0</v>
      </c>
      <c r="J9" s="4">
        <f>COUNTIFS(BD!$D:$D,Lixo!$G9,BD!$A:$A,Lixo!J$1)</f>
        <v>2</v>
      </c>
      <c r="K9" s="4">
        <f>COUNTIFS(BD!$D:$D,Lixo!$G9,BD!$A:$A,Lixo!K$1)</f>
        <v>2</v>
      </c>
      <c r="L9" s="4">
        <f>COUNTIFS(BD!$D:$D,Lixo!$G9,BD!$A:$A,Lixo!L$1)</f>
        <v>4</v>
      </c>
      <c r="P9" s="4">
        <v>8</v>
      </c>
      <c r="Q9">
        <f t="shared" ca="1" si="1"/>
        <v>2</v>
      </c>
    </row>
    <row r="10" spans="1:17" x14ac:dyDescent="0.3">
      <c r="G10" s="4">
        <v>9</v>
      </c>
      <c r="H10" s="4">
        <f>COUNTIFS(BD!$D:$D,Lixo!$G10,BD!$A:$A,Lixo!H$1)</f>
        <v>2</v>
      </c>
      <c r="I10" s="4">
        <f>COUNTIFS(BD!$D:$D,Lixo!$G10,BD!$A:$A,Lixo!I$1)</f>
        <v>3</v>
      </c>
      <c r="J10" s="4">
        <f>COUNTIFS(BD!$D:$D,Lixo!$G10,BD!$A:$A,Lixo!J$1)</f>
        <v>0</v>
      </c>
      <c r="K10" s="4">
        <f>COUNTIFS(BD!$D:$D,Lixo!$G10,BD!$A:$A,Lixo!K$1)</f>
        <v>2</v>
      </c>
      <c r="L10" s="4">
        <f>COUNTIFS(BD!$D:$D,Lixo!$G10,BD!$A:$A,Lixo!L$1)</f>
        <v>3</v>
      </c>
      <c r="P10" s="4">
        <v>9</v>
      </c>
      <c r="Q10">
        <f t="shared" ca="1" si="1"/>
        <v>2</v>
      </c>
    </row>
    <row r="11" spans="1:17" x14ac:dyDescent="0.3">
      <c r="G11" s="4">
        <v>10</v>
      </c>
      <c r="H11" s="4">
        <f>COUNTIFS(BD!$D:$D,Lixo!$G11,BD!$A:$A,Lixo!H$1)</f>
        <v>1</v>
      </c>
      <c r="I11" s="4">
        <f>COUNTIFS(BD!$D:$D,Lixo!$G11,BD!$A:$A,Lixo!I$1)</f>
        <v>0</v>
      </c>
      <c r="J11" s="4">
        <f>COUNTIFS(BD!$D:$D,Lixo!$G11,BD!$A:$A,Lixo!J$1)</f>
        <v>0</v>
      </c>
      <c r="K11" s="4">
        <f>COUNTIFS(BD!$D:$D,Lixo!$G11,BD!$A:$A,Lixo!K$1)</f>
        <v>0</v>
      </c>
      <c r="L11" s="4">
        <f>COUNTIFS(BD!$D:$D,Lixo!$G11,BD!$A:$A,Lixo!L$1)</f>
        <v>4</v>
      </c>
      <c r="P11" s="4">
        <v>10</v>
      </c>
      <c r="Q11">
        <f t="shared" ca="1" si="1"/>
        <v>0</v>
      </c>
    </row>
    <row r="12" spans="1:17" x14ac:dyDescent="0.3">
      <c r="G12" s="4">
        <v>11</v>
      </c>
      <c r="H12" s="4">
        <f>COUNTIFS(BD!$D:$D,Lixo!$G12,BD!$A:$A,Lixo!H$1)</f>
        <v>1</v>
      </c>
      <c r="I12" s="4">
        <f>COUNTIFS(BD!$D:$D,Lixo!$G12,BD!$A:$A,Lixo!I$1)</f>
        <v>3</v>
      </c>
      <c r="J12" s="4">
        <f>COUNTIFS(BD!$D:$D,Lixo!$G12,BD!$A:$A,Lixo!J$1)</f>
        <v>2</v>
      </c>
      <c r="K12" s="4">
        <f>COUNTIFS(BD!$D:$D,Lixo!$G12,BD!$A:$A,Lixo!K$1)</f>
        <v>2</v>
      </c>
      <c r="L12" s="4">
        <f>COUNTIFS(BD!$D:$D,Lixo!$G12,BD!$A:$A,Lixo!L$1)</f>
        <v>3</v>
      </c>
      <c r="P12" s="4">
        <v>11</v>
      </c>
      <c r="Q12">
        <f t="shared" ca="1" si="1"/>
        <v>2</v>
      </c>
    </row>
    <row r="13" spans="1:17" x14ac:dyDescent="0.3">
      <c r="G13" s="4">
        <v>12</v>
      </c>
      <c r="H13" s="4">
        <f>COUNTIFS(BD!$D:$D,Lixo!$G13,BD!$A:$A,Lixo!H$1)</f>
        <v>5</v>
      </c>
      <c r="I13" s="4">
        <f>COUNTIFS(BD!$D:$D,Lixo!$G13,BD!$A:$A,Lixo!I$1)</f>
        <v>2</v>
      </c>
      <c r="J13" s="4">
        <f>COUNTIFS(BD!$D:$D,Lixo!$G13,BD!$A:$A,Lixo!J$1)</f>
        <v>2</v>
      </c>
      <c r="K13" s="4">
        <f>COUNTIFS(BD!$D:$D,Lixo!$G13,BD!$A:$A,Lixo!K$1)</f>
        <v>3</v>
      </c>
      <c r="L13" s="4">
        <f>COUNTIFS(BD!$D:$D,Lixo!$G13,BD!$A:$A,Lixo!L$1)</f>
        <v>3</v>
      </c>
      <c r="P13" s="4">
        <v>12</v>
      </c>
      <c r="Q13">
        <f t="shared" ca="1" si="1"/>
        <v>3</v>
      </c>
    </row>
    <row r="14" spans="1:17" x14ac:dyDescent="0.3">
      <c r="G14" s="4">
        <v>13</v>
      </c>
      <c r="H14" s="4">
        <f>COUNTIFS(BD!$D:$D,Lixo!$G14,BD!$A:$A,Lixo!H$1)</f>
        <v>3</v>
      </c>
      <c r="I14" s="4">
        <f>COUNTIFS(BD!$D:$D,Lixo!$G14,BD!$A:$A,Lixo!I$1)</f>
        <v>4</v>
      </c>
      <c r="J14" s="4">
        <f>COUNTIFS(BD!$D:$D,Lixo!$G14,BD!$A:$A,Lixo!J$1)</f>
        <v>1</v>
      </c>
      <c r="K14" s="4">
        <f>COUNTIFS(BD!$D:$D,Lixo!$G14,BD!$A:$A,Lixo!K$1)</f>
        <v>0</v>
      </c>
      <c r="L14" s="4">
        <f>COUNTIFS(BD!$D:$D,Lixo!$G14,BD!$A:$A,Lixo!L$1)</f>
        <v>2</v>
      </c>
      <c r="P14" s="4">
        <v>13</v>
      </c>
      <c r="Q14">
        <f t="shared" ca="1" si="1"/>
        <v>0</v>
      </c>
    </row>
    <row r="15" spans="1:17" x14ac:dyDescent="0.3">
      <c r="G15" s="4">
        <v>14</v>
      </c>
      <c r="H15" s="4">
        <f>COUNTIFS(BD!$D:$D,Lixo!$G15,BD!$A:$A,Lixo!H$1)</f>
        <v>1</v>
      </c>
      <c r="I15" s="4">
        <f>COUNTIFS(BD!$D:$D,Lixo!$G15,BD!$A:$A,Lixo!I$1)</f>
        <v>1</v>
      </c>
      <c r="J15" s="4">
        <f>COUNTIFS(BD!$D:$D,Lixo!$G15,BD!$A:$A,Lixo!J$1)</f>
        <v>2</v>
      </c>
      <c r="K15" s="4">
        <f>COUNTIFS(BD!$D:$D,Lixo!$G15,BD!$A:$A,Lixo!K$1)</f>
        <v>0</v>
      </c>
      <c r="L15" s="4">
        <f>COUNTIFS(BD!$D:$D,Lixo!$G15,BD!$A:$A,Lixo!L$1)</f>
        <v>2</v>
      </c>
      <c r="P15" s="4">
        <v>14</v>
      </c>
      <c r="Q15">
        <f t="shared" ca="1" si="1"/>
        <v>0</v>
      </c>
    </row>
    <row r="16" spans="1:17" x14ac:dyDescent="0.3">
      <c r="G16" s="4">
        <v>15</v>
      </c>
      <c r="H16" s="4">
        <f>COUNTIFS(BD!$D:$D,Lixo!$G16,BD!$A:$A,Lixo!H$1)</f>
        <v>0</v>
      </c>
      <c r="I16" s="4">
        <f>COUNTIFS(BD!$D:$D,Lixo!$G16,BD!$A:$A,Lixo!I$1)</f>
        <v>1</v>
      </c>
      <c r="J16" s="4">
        <f>COUNTIFS(BD!$D:$D,Lixo!$G16,BD!$A:$A,Lixo!J$1)</f>
        <v>4</v>
      </c>
      <c r="K16" s="4">
        <f>COUNTIFS(BD!$D:$D,Lixo!$G16,BD!$A:$A,Lixo!K$1)</f>
        <v>5</v>
      </c>
      <c r="L16" s="4">
        <f>COUNTIFS(BD!$D:$D,Lixo!$G16,BD!$A:$A,Lixo!L$1)</f>
        <v>3</v>
      </c>
      <c r="P16" s="4">
        <v>15</v>
      </c>
      <c r="Q16">
        <f t="shared" ca="1" si="1"/>
        <v>5</v>
      </c>
    </row>
    <row r="17" spans="7:17" x14ac:dyDescent="0.3">
      <c r="G17" s="4">
        <v>16</v>
      </c>
      <c r="H17" s="4">
        <f>COUNTIFS(BD!$D:$D,Lixo!$G17,BD!$A:$A,Lixo!H$1)</f>
        <v>0</v>
      </c>
      <c r="I17" s="4">
        <f>COUNTIFS(BD!$D:$D,Lixo!$G17,BD!$A:$A,Lixo!I$1)</f>
        <v>1</v>
      </c>
      <c r="J17" s="4">
        <f>COUNTIFS(BD!$D:$D,Lixo!$G17,BD!$A:$A,Lixo!J$1)</f>
        <v>2</v>
      </c>
      <c r="K17" s="4">
        <f>COUNTIFS(BD!$D:$D,Lixo!$G17,BD!$A:$A,Lixo!K$1)</f>
        <v>2</v>
      </c>
      <c r="L17" s="4">
        <f>COUNTIFS(BD!$D:$D,Lixo!$G17,BD!$A:$A,Lixo!L$1)</f>
        <v>1</v>
      </c>
      <c r="P17" s="4">
        <v>16</v>
      </c>
      <c r="Q17">
        <f t="shared" ca="1" si="1"/>
        <v>2</v>
      </c>
    </row>
    <row r="18" spans="7:17" x14ac:dyDescent="0.3">
      <c r="G18" s="4">
        <v>17</v>
      </c>
      <c r="H18" s="4">
        <f>COUNTIFS(BD!$D:$D,Lixo!$G18,BD!$A:$A,Lixo!H$1)</f>
        <v>2</v>
      </c>
      <c r="I18" s="4">
        <f>COUNTIFS(BD!$D:$D,Lixo!$G18,BD!$A:$A,Lixo!I$1)</f>
        <v>2</v>
      </c>
      <c r="J18" s="4">
        <f>COUNTIFS(BD!$D:$D,Lixo!$G18,BD!$A:$A,Lixo!J$1)</f>
        <v>1</v>
      </c>
      <c r="K18" s="4">
        <f>COUNTIFS(BD!$D:$D,Lixo!$G18,BD!$A:$A,Lixo!K$1)</f>
        <v>3</v>
      </c>
      <c r="L18" s="4">
        <f>COUNTIFS(BD!$D:$D,Lixo!$G18,BD!$A:$A,Lixo!L$1)</f>
        <v>1</v>
      </c>
      <c r="P18" s="4">
        <v>17</v>
      </c>
      <c r="Q18">
        <f t="shared" ca="1" si="1"/>
        <v>3</v>
      </c>
    </row>
    <row r="19" spans="7:17" x14ac:dyDescent="0.3">
      <c r="G19" s="4">
        <v>18</v>
      </c>
      <c r="H19" s="4">
        <f>COUNTIFS(BD!$D:$D,Lixo!$G19,BD!$A:$A,Lixo!H$1)</f>
        <v>3</v>
      </c>
      <c r="I19" s="4">
        <f>COUNTIFS(BD!$D:$D,Lixo!$G19,BD!$A:$A,Lixo!I$1)</f>
        <v>3</v>
      </c>
      <c r="J19" s="4">
        <f>COUNTIFS(BD!$D:$D,Lixo!$G19,BD!$A:$A,Lixo!J$1)</f>
        <v>4</v>
      </c>
      <c r="K19" s="4">
        <f>COUNTIFS(BD!$D:$D,Lixo!$G19,BD!$A:$A,Lixo!K$1)</f>
        <v>1</v>
      </c>
      <c r="L19" s="4">
        <f>COUNTIFS(BD!$D:$D,Lixo!$G19,BD!$A:$A,Lixo!L$1)</f>
        <v>2</v>
      </c>
      <c r="P19" s="4">
        <v>18</v>
      </c>
      <c r="Q19">
        <f t="shared" ca="1" si="1"/>
        <v>1</v>
      </c>
    </row>
    <row r="20" spans="7:17" x14ac:dyDescent="0.3">
      <c r="G20" s="4">
        <v>19</v>
      </c>
      <c r="H20" s="4">
        <f>COUNTIFS(BD!$D:$D,Lixo!$G20,BD!$A:$A,Lixo!H$1)</f>
        <v>2</v>
      </c>
      <c r="I20" s="4">
        <f>COUNTIFS(BD!$D:$D,Lixo!$G20,BD!$A:$A,Lixo!I$1)</f>
        <v>1</v>
      </c>
      <c r="J20" s="4">
        <f>COUNTIFS(BD!$D:$D,Lixo!$G20,BD!$A:$A,Lixo!J$1)</f>
        <v>1</v>
      </c>
      <c r="K20" s="4">
        <f>COUNTIFS(BD!$D:$D,Lixo!$G20,BD!$A:$A,Lixo!K$1)</f>
        <v>1</v>
      </c>
      <c r="L20" s="4">
        <f>COUNTIFS(BD!$D:$D,Lixo!$G20,BD!$A:$A,Lixo!L$1)</f>
        <v>1</v>
      </c>
      <c r="P20" s="4">
        <v>19</v>
      </c>
      <c r="Q20">
        <f t="shared" ca="1" si="1"/>
        <v>1</v>
      </c>
    </row>
    <row r="21" spans="7:17" x14ac:dyDescent="0.3">
      <c r="G21" s="4">
        <v>20</v>
      </c>
      <c r="H21" s="4">
        <f>COUNTIFS(BD!$D:$D,Lixo!$G21,BD!$A:$A,Lixo!H$1)</f>
        <v>3</v>
      </c>
      <c r="I21" s="4">
        <f>COUNTIFS(BD!$D:$D,Lixo!$G21,BD!$A:$A,Lixo!I$1)</f>
        <v>3</v>
      </c>
      <c r="J21" s="4">
        <f>COUNTIFS(BD!$D:$D,Lixo!$G21,BD!$A:$A,Lixo!J$1)</f>
        <v>1</v>
      </c>
      <c r="K21" s="4">
        <f>COUNTIFS(BD!$D:$D,Lixo!$G21,BD!$A:$A,Lixo!K$1)</f>
        <v>1</v>
      </c>
      <c r="L21" s="4">
        <f>COUNTIFS(BD!$D:$D,Lixo!$G21,BD!$A:$A,Lixo!L$1)</f>
        <v>1</v>
      </c>
      <c r="P21" s="4">
        <v>20</v>
      </c>
      <c r="Q21">
        <f t="shared" ca="1" si="1"/>
        <v>1</v>
      </c>
    </row>
  </sheetData>
  <sortState ref="G2:G21">
    <sortCondition ref="G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Q2" sqref="Q2"/>
    </sheetView>
  </sheetViews>
  <sheetFormatPr defaultRowHeight="16.5" x14ac:dyDescent="0.3"/>
  <sheetData/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List Box 2">
              <controlPr defaultSize="0" autoLine="0" autoPict="0">
                <anchor moveWithCells="1">
                  <from>
                    <xdr:col>0</xdr:col>
                    <xdr:colOff>257175</xdr:colOff>
                    <xdr:row>12</xdr:row>
                    <xdr:rowOff>57150</xdr:rowOff>
                  </from>
                  <to>
                    <xdr:col>1</xdr:col>
                    <xdr:colOff>514350</xdr:colOff>
                    <xdr:row>20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BD</vt:lpstr>
      <vt:lpstr>Lixo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Miguel Favarato Abdanur</dc:creator>
  <cp:lastModifiedBy>Rubens Miguel Favarato Abdanur</cp:lastModifiedBy>
  <dcterms:created xsi:type="dcterms:W3CDTF">2019-05-28T15:54:00Z</dcterms:created>
  <dcterms:modified xsi:type="dcterms:W3CDTF">2019-05-28T17:39:45Z</dcterms:modified>
</cp:coreProperties>
</file>