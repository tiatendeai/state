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000207\Downloads\"/>
    </mc:Choice>
  </mc:AlternateContent>
  <bookViews>
    <workbookView xWindow="0" yWindow="0" windowWidth="19410" windowHeight="11340"/>
  </bookViews>
  <sheets>
    <sheet name="Operações em Aberto" sheetId="1" r:id="rId1"/>
    <sheet name="Operações Fechadas e Dividendos" sheetId="6" r:id="rId2"/>
    <sheet name="Calculadora de Preço Médio" sheetId="2" r:id="rId3"/>
    <sheet name="Histórico de Compras" sheetId="3" r:id="rId4"/>
  </sheets>
  <definedNames>
    <definedName name="_xlnm._FilterDatabase" localSheetId="3" hidden="1">'Histórico de Compras'!$A$1:$E$1</definedName>
    <definedName name="_xlnm._FilterDatabase" localSheetId="1" hidden="1">'Operações Fechadas e Dividendos'!$A$2:$G$2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1" l="1"/>
  <c r="F1" i="1" s="1"/>
  <c r="E3" i="1"/>
  <c r="F3" i="1"/>
  <c r="E15" i="3" l="1"/>
  <c r="E2" i="3" l="1"/>
  <c r="F4" i="1"/>
  <c r="K7" i="6" l="1"/>
  <c r="L6" i="6"/>
  <c r="K6" i="6"/>
  <c r="K5" i="6"/>
  <c r="K4" i="6"/>
  <c r="K3" i="6"/>
  <c r="E5" i="1"/>
  <c r="E6" i="1"/>
  <c r="E7" i="1"/>
  <c r="E8" i="1"/>
  <c r="E9" i="1"/>
  <c r="E4" i="1"/>
  <c r="E13" i="3"/>
  <c r="E12" i="3"/>
  <c r="E14" i="3"/>
  <c r="E3" i="3"/>
  <c r="C6" i="3"/>
  <c r="E6" i="3" s="1"/>
  <c r="E5" i="3"/>
  <c r="E4" i="3"/>
  <c r="E9" i="3"/>
  <c r="E8" i="3"/>
  <c r="E7" i="3"/>
  <c r="E11" i="3"/>
  <c r="E10" i="3"/>
  <c r="F5" i="1"/>
  <c r="F6" i="1"/>
  <c r="F7" i="1"/>
  <c r="F8" i="1"/>
  <c r="F9" i="1"/>
  <c r="B1" i="2"/>
  <c r="A1" i="2"/>
  <c r="C1" i="2"/>
</calcChain>
</file>

<file path=xl/sharedStrings.xml><?xml version="1.0" encoding="utf-8"?>
<sst xmlns="http://schemas.openxmlformats.org/spreadsheetml/2006/main" count="66" uniqueCount="32">
  <si>
    <t>Ação</t>
  </si>
  <si>
    <t>Qtd.</t>
  </si>
  <si>
    <t>Ganho (%)</t>
  </si>
  <si>
    <t>ITUB3</t>
  </si>
  <si>
    <t>BIDI4</t>
  </si>
  <si>
    <t>KNRI11</t>
  </si>
  <si>
    <t>HGLG11</t>
  </si>
  <si>
    <t>SNSL3</t>
  </si>
  <si>
    <t>BCFF11</t>
  </si>
  <si>
    <t>BIDI11</t>
  </si>
  <si>
    <t>Quantidade</t>
  </si>
  <si>
    <t>Preço</t>
  </si>
  <si>
    <t>Data</t>
  </si>
  <si>
    <t>Financeiro</t>
  </si>
  <si>
    <t>Volume (R$)</t>
  </si>
  <si>
    <t>Cotação Atual (R$)</t>
  </si>
  <si>
    <t>Cotação de Compra (R$)</t>
  </si>
  <si>
    <t>Data de Fechamento</t>
  </si>
  <si>
    <t>Operações Fechadas</t>
  </si>
  <si>
    <t>Tipo (JSCP, Div..)</t>
  </si>
  <si>
    <t>Data do Recebimento</t>
  </si>
  <si>
    <t>Valor Recebido Unitário (R$)</t>
  </si>
  <si>
    <t>Valor Recebido Total (R$)</t>
  </si>
  <si>
    <t>Dividendos/Rendimentos Recebidos</t>
  </si>
  <si>
    <t>rendimentos</t>
  </si>
  <si>
    <t>dividendos</t>
  </si>
  <si>
    <t>Pq comprei?</t>
  </si>
  <si>
    <t>PETR4</t>
  </si>
  <si>
    <t>ITUB4</t>
  </si>
  <si>
    <t>Comprei porque o P/L dela estava em 11,00. Pra mim, isso é bom</t>
  </si>
  <si>
    <t>Comprei porque meu amigo falou que tem uma boa gestão e a empresa é sólida.</t>
  </si>
  <si>
    <t>Ah, sobe todo 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</si>
</sst>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-* #,##0_-;\-* #,##0_-;_-* &quot;-&quot;??_-;_-@_-"/>
    <numFmt numFmtId="165" formatCode="_-&quot;R$&quot;* #,##0.0000_-;\-&quot;R$&quot;* #,##0.0000_-;_-&quot;R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44" fontId="0" fillId="0" borderId="0" xfId="2" applyFont="1"/>
    <xf numFmtId="0" fontId="2" fillId="0" borderId="0" xfId="0" applyFont="1" applyBorder="1" applyAlignment="1">
      <alignment horizontal="center"/>
    </xf>
    <xf numFmtId="0" fontId="2" fillId="2" borderId="0" xfId="0" applyFont="1" applyFill="1" applyBorder="1"/>
    <xf numFmtId="44" fontId="2" fillId="2" borderId="0" xfId="2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4" borderId="0" xfId="0" applyFill="1"/>
    <xf numFmtId="44" fontId="0" fillId="4" borderId="0" xfId="0" applyNumberFormat="1" applyFill="1"/>
    <xf numFmtId="0" fontId="0" fillId="4" borderId="2" xfId="0" applyFill="1" applyBorder="1"/>
    <xf numFmtId="0" fontId="3" fillId="3" borderId="2" xfId="0" applyFont="1" applyFill="1" applyBorder="1" applyAlignment="1"/>
    <xf numFmtId="0" fontId="0" fillId="4" borderId="3" xfId="0" applyFill="1" applyBorder="1"/>
    <xf numFmtId="164" fontId="0" fillId="4" borderId="3" xfId="1" applyNumberFormat="1" applyFont="1" applyFill="1" applyBorder="1"/>
    <xf numFmtId="44" fontId="0" fillId="4" borderId="3" xfId="0" applyNumberFormat="1" applyFill="1" applyBorder="1"/>
    <xf numFmtId="44" fontId="0" fillId="4" borderId="3" xfId="2" applyFont="1" applyFill="1" applyBorder="1"/>
    <xf numFmtId="10" fontId="0" fillId="4" borderId="3" xfId="3" applyNumberFormat="1" applyFont="1" applyFill="1" applyBorder="1"/>
    <xf numFmtId="0" fontId="0" fillId="4" borderId="2" xfId="0" applyFill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10" fontId="0" fillId="4" borderId="2" xfId="3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44" fontId="0" fillId="4" borderId="3" xfId="2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44" fontId="4" fillId="4" borderId="2" xfId="0" applyNumberFormat="1" applyFont="1" applyFill="1" applyBorder="1" applyAlignment="1">
      <alignment horizontal="center" vertical="center"/>
    </xf>
    <xf numFmtId="44" fontId="4" fillId="4" borderId="2" xfId="2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64" fontId="4" fillId="4" borderId="3" xfId="1" applyNumberFormat="1" applyFont="1" applyFill="1" applyBorder="1" applyAlignment="1">
      <alignment horizontal="center" vertical="center"/>
    </xf>
    <xf numFmtId="44" fontId="4" fillId="4" borderId="3" xfId="0" applyNumberFormat="1" applyFont="1" applyFill="1" applyBorder="1" applyAlignment="1">
      <alignment horizontal="center" vertical="center"/>
    </xf>
    <xf numFmtId="44" fontId="4" fillId="4" borderId="3" xfId="2" applyFont="1" applyFill="1" applyBorder="1" applyAlignment="1">
      <alignment horizontal="center" vertical="center"/>
    </xf>
    <xf numFmtId="14" fontId="0" fillId="4" borderId="2" xfId="0" applyNumberFormat="1" applyFill="1" applyBorder="1"/>
    <xf numFmtId="0" fontId="2" fillId="4" borderId="3" xfId="0" applyFont="1" applyFill="1" applyBorder="1"/>
    <xf numFmtId="0" fontId="5" fillId="4" borderId="2" xfId="0" applyFont="1" applyFill="1" applyBorder="1" applyAlignment="1">
      <alignment horizontal="center" vertical="center"/>
    </xf>
    <xf numFmtId="164" fontId="5" fillId="4" borderId="2" xfId="1" applyNumberFormat="1" applyFont="1" applyFill="1" applyBorder="1" applyAlignment="1">
      <alignment horizontal="center" vertical="center"/>
    </xf>
    <xf numFmtId="44" fontId="5" fillId="4" borderId="2" xfId="2" applyFont="1" applyFill="1" applyBorder="1" applyAlignment="1">
      <alignment horizontal="center" vertical="center"/>
    </xf>
    <xf numFmtId="0" fontId="5" fillId="4" borderId="0" xfId="0" applyFont="1" applyFill="1"/>
    <xf numFmtId="0" fontId="4" fillId="4" borderId="2" xfId="0" applyFont="1" applyFill="1" applyBorder="1"/>
    <xf numFmtId="0" fontId="4" fillId="4" borderId="0" xfId="0" applyFont="1" applyFill="1"/>
    <xf numFmtId="14" fontId="4" fillId="4" borderId="2" xfId="0" applyNumberFormat="1" applyFont="1" applyFill="1" applyBorder="1"/>
    <xf numFmtId="44" fontId="4" fillId="4" borderId="2" xfId="2" applyFont="1" applyFill="1" applyBorder="1"/>
    <xf numFmtId="44" fontId="5" fillId="4" borderId="0" xfId="2" applyFont="1" applyFill="1"/>
    <xf numFmtId="0" fontId="6" fillId="3" borderId="0" xfId="0" applyFont="1" applyFill="1"/>
    <xf numFmtId="14" fontId="0" fillId="4" borderId="2" xfId="0" applyNumberForma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165" fontId="4" fillId="4" borderId="2" xfId="2" applyNumberFormat="1" applyFont="1" applyFill="1" applyBorder="1"/>
    <xf numFmtId="0" fontId="2" fillId="3" borderId="2" xfId="0" applyFont="1" applyFill="1" applyBorder="1" applyAlignment="1">
      <alignment horizontal="center"/>
    </xf>
    <xf numFmtId="9" fontId="0" fillId="4" borderId="3" xfId="3" applyFont="1" applyFill="1" applyBorder="1"/>
    <xf numFmtId="9" fontId="0" fillId="4" borderId="0" xfId="3" applyFont="1" applyFill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zoomScale="130" zoomScaleNormal="130" workbookViewId="0">
      <selection activeCell="D10" sqref="D10"/>
    </sheetView>
  </sheetViews>
  <sheetFormatPr defaultColWidth="8.85546875" defaultRowHeight="15" x14ac:dyDescent="0.25"/>
  <cols>
    <col min="1" max="1" width="8.140625" style="6" bestFit="1" customWidth="1"/>
    <col min="2" max="2" width="7.28515625" style="6" bestFit="1" customWidth="1"/>
    <col min="3" max="3" width="35.28515625" style="6" bestFit="1" customWidth="1"/>
    <col min="4" max="4" width="27.28515625" style="6" bestFit="1" customWidth="1"/>
    <col min="5" max="5" width="18.42578125" style="6" bestFit="1" customWidth="1"/>
    <col min="6" max="6" width="15.7109375" style="6" bestFit="1" customWidth="1"/>
    <col min="7" max="7" width="18.7109375" style="6" bestFit="1" customWidth="1"/>
    <col min="8" max="16384" width="8.85546875" style="6"/>
  </cols>
  <sheetData>
    <row r="1" spans="1:7" x14ac:dyDescent="0.25">
      <c r="E1" s="7">
        <f>SUM(E3:E301)</f>
        <v>300910.59999999998</v>
      </c>
      <c r="F1" s="45">
        <f>E1/SUMPRODUCT(B3:B9,C3:C9)-1</f>
        <v>0.18867179198304851</v>
      </c>
    </row>
    <row r="2" spans="1:7" ht="23.25" x14ac:dyDescent="0.35">
      <c r="A2" s="9" t="s">
        <v>0</v>
      </c>
      <c r="B2" s="9" t="s">
        <v>1</v>
      </c>
      <c r="C2" s="9" t="s">
        <v>16</v>
      </c>
      <c r="D2" s="9" t="s">
        <v>15</v>
      </c>
      <c r="E2" s="9" t="s">
        <v>14</v>
      </c>
      <c r="F2" s="9" t="s">
        <v>2</v>
      </c>
      <c r="G2" s="9" t="s">
        <v>26</v>
      </c>
    </row>
    <row r="3" spans="1:7" x14ac:dyDescent="0.25">
      <c r="A3" s="20" t="s">
        <v>27</v>
      </c>
      <c r="B3" s="21">
        <v>3600</v>
      </c>
      <c r="C3" s="22">
        <v>16.32</v>
      </c>
      <c r="D3" s="23">
        <v>19.8</v>
      </c>
      <c r="E3" s="23">
        <f>D3*B3</f>
        <v>71280</v>
      </c>
      <c r="F3" s="17">
        <f>D3/C3-1</f>
        <v>0.21323529411764719</v>
      </c>
      <c r="G3" s="15"/>
    </row>
    <row r="4" spans="1:7" x14ac:dyDescent="0.25">
      <c r="A4" s="20" t="s">
        <v>3</v>
      </c>
      <c r="B4" s="21">
        <v>1100</v>
      </c>
      <c r="C4" s="22">
        <v>43.872727272727275</v>
      </c>
      <c r="D4" s="23">
        <v>80</v>
      </c>
      <c r="E4" s="23">
        <f>D4*B4</f>
        <v>88000</v>
      </c>
      <c r="F4" s="17">
        <f>D4/C4-1</f>
        <v>0.82345627849150427</v>
      </c>
      <c r="G4" s="15" t="s">
        <v>29</v>
      </c>
    </row>
    <row r="5" spans="1:7" x14ac:dyDescent="0.25">
      <c r="A5" s="24" t="s">
        <v>4</v>
      </c>
      <c r="B5" s="25">
        <v>2164</v>
      </c>
      <c r="C5" s="26">
        <v>18.871072088724585</v>
      </c>
      <c r="D5" s="27">
        <v>18.399999999999999</v>
      </c>
      <c r="E5" s="27">
        <f t="shared" ref="E5:E9" si="0">D5*B5</f>
        <v>39817.599999999999</v>
      </c>
      <c r="F5" s="17">
        <f t="shared" ref="F5:F9" si="1">D5/C5-1</f>
        <v>-2.4962656414526108E-2</v>
      </c>
      <c r="G5" s="18"/>
    </row>
    <row r="6" spans="1:7" x14ac:dyDescent="0.25">
      <c r="A6" s="24" t="s">
        <v>5</v>
      </c>
      <c r="B6" s="25">
        <v>180</v>
      </c>
      <c r="C6" s="26">
        <v>165.29</v>
      </c>
      <c r="D6" s="27">
        <v>163.5</v>
      </c>
      <c r="E6" s="27">
        <f t="shared" si="0"/>
        <v>29430</v>
      </c>
      <c r="F6" s="17">
        <f t="shared" si="1"/>
        <v>-1.0829451267469259E-2</v>
      </c>
      <c r="G6" s="18" t="s">
        <v>30</v>
      </c>
    </row>
    <row r="7" spans="1:7" x14ac:dyDescent="0.25">
      <c r="A7" s="24" t="s">
        <v>6</v>
      </c>
      <c r="B7" s="25">
        <v>220</v>
      </c>
      <c r="C7" s="26">
        <v>139.5</v>
      </c>
      <c r="D7" s="27">
        <v>133.19999999999999</v>
      </c>
      <c r="E7" s="27">
        <f t="shared" si="0"/>
        <v>29303.999999999996</v>
      </c>
      <c r="F7" s="17">
        <f t="shared" si="1"/>
        <v>-4.516129032258076E-2</v>
      </c>
      <c r="G7" s="18"/>
    </row>
    <row r="8" spans="1:7" x14ac:dyDescent="0.25">
      <c r="A8" s="24" t="s">
        <v>7</v>
      </c>
      <c r="B8" s="25">
        <v>1100</v>
      </c>
      <c r="C8" s="26">
        <v>26.971818181818183</v>
      </c>
      <c r="D8" s="27">
        <v>25.99</v>
      </c>
      <c r="E8" s="27">
        <f t="shared" si="0"/>
        <v>28589</v>
      </c>
      <c r="F8" s="17">
        <f t="shared" si="1"/>
        <v>-3.6401631332367179E-2</v>
      </c>
      <c r="G8" s="18" t="s">
        <v>31</v>
      </c>
    </row>
    <row r="9" spans="1:7" x14ac:dyDescent="0.25">
      <c r="A9" s="24" t="s">
        <v>8</v>
      </c>
      <c r="B9" s="25">
        <v>180</v>
      </c>
      <c r="C9" s="26">
        <v>84.38000000000001</v>
      </c>
      <c r="D9" s="27">
        <v>80.5</v>
      </c>
      <c r="E9" s="27">
        <f t="shared" si="0"/>
        <v>14490</v>
      </c>
      <c r="F9" s="17">
        <f t="shared" si="1"/>
        <v>-4.5982460298649053E-2</v>
      </c>
      <c r="G9" s="18"/>
    </row>
    <row r="10" spans="1:7" x14ac:dyDescent="0.25">
      <c r="A10" s="10"/>
      <c r="B10" s="11"/>
      <c r="C10" s="12"/>
      <c r="D10" s="13"/>
      <c r="E10" s="13"/>
      <c r="F10" s="17"/>
      <c r="G10" s="10"/>
    </row>
    <row r="11" spans="1:7" x14ac:dyDescent="0.25">
      <c r="A11" s="10"/>
      <c r="B11" s="11"/>
      <c r="C11" s="12"/>
      <c r="D11" s="44"/>
      <c r="E11" s="13"/>
      <c r="F11" s="14"/>
      <c r="G11" s="10"/>
    </row>
    <row r="12" spans="1:7" x14ac:dyDescent="0.25">
      <c r="A12" s="10"/>
      <c r="B12" s="11"/>
      <c r="C12" s="12"/>
      <c r="D12" s="13"/>
      <c r="E12" s="13"/>
      <c r="F12" s="14"/>
      <c r="G12" s="10"/>
    </row>
    <row r="13" spans="1:7" x14ac:dyDescent="0.25">
      <c r="A13" s="10"/>
      <c r="B13" s="11"/>
      <c r="C13" s="12"/>
      <c r="D13" s="13"/>
      <c r="E13" s="13"/>
      <c r="F13" s="14"/>
      <c r="G13" s="10"/>
    </row>
    <row r="14" spans="1:7" x14ac:dyDescent="0.25">
      <c r="A14" s="10"/>
      <c r="B14" s="11"/>
      <c r="C14" s="12"/>
      <c r="D14" s="13"/>
      <c r="E14" s="13"/>
      <c r="F14" s="14"/>
      <c r="G14" s="10"/>
    </row>
    <row r="15" spans="1:7" x14ac:dyDescent="0.25">
      <c r="A15" s="10"/>
      <c r="B15" s="11"/>
      <c r="C15" s="12"/>
      <c r="D15" s="13"/>
      <c r="E15" s="13"/>
      <c r="F15" s="14"/>
      <c r="G15" s="10"/>
    </row>
  </sheetData>
  <conditionalFormatting sqref="F3:F4">
    <cfRule type="cellIs" dxfId="11" priority="7" operator="lessThan">
      <formula>0</formula>
    </cfRule>
    <cfRule type="cellIs" dxfId="10" priority="8" operator="greaterThan">
      <formula>0</formula>
    </cfRule>
  </conditionalFormatting>
  <conditionalFormatting sqref="F5:F9">
    <cfRule type="cellIs" dxfId="9" priority="5" operator="lessThan">
      <formula>0</formula>
    </cfRule>
    <cfRule type="cellIs" dxfId="8" priority="6" operator="greaterThan">
      <formula>0</formula>
    </cfRule>
  </conditionalFormatting>
  <conditionalFormatting sqref="F10">
    <cfRule type="cellIs" dxfId="7" priority="1" operator="lessThan">
      <formula>0</formula>
    </cfRule>
    <cfRule type="cellIs" dxfId="6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workbookViewId="0">
      <selection activeCell="E5" sqref="E5"/>
    </sheetView>
  </sheetViews>
  <sheetFormatPr defaultColWidth="8.85546875" defaultRowHeight="15" x14ac:dyDescent="0.25"/>
  <cols>
    <col min="1" max="1" width="5.28515625" style="6" bestFit="1" customWidth="1"/>
    <col min="2" max="2" width="6.85546875" style="6" bestFit="1" customWidth="1"/>
    <col min="3" max="3" width="21.7109375" style="6" bestFit="1" customWidth="1"/>
    <col min="4" max="4" width="16.7109375" style="6" bestFit="1" customWidth="1"/>
    <col min="5" max="5" width="12.42578125" style="6" bestFit="1" customWidth="1"/>
    <col min="6" max="6" width="9.7109375" style="6" bestFit="1" customWidth="1"/>
    <col min="7" max="7" width="18.5703125" style="6" bestFit="1" customWidth="1"/>
    <col min="8" max="8" width="1.42578125" style="6" customWidth="1"/>
    <col min="9" max="9" width="8.85546875" style="6"/>
    <col min="10" max="10" width="15.28515625" style="6" bestFit="1" customWidth="1"/>
    <col min="11" max="11" width="25.140625" style="6" bestFit="1" customWidth="1"/>
    <col min="12" max="12" width="22.5703125" style="6" bestFit="1" customWidth="1"/>
    <col min="13" max="13" width="19.28515625" style="6" bestFit="1" customWidth="1"/>
    <col min="14" max="16384" width="8.85546875" style="6"/>
  </cols>
  <sheetData>
    <row r="1" spans="1:13" x14ac:dyDescent="0.25">
      <c r="A1" s="43" t="s">
        <v>18</v>
      </c>
      <c r="B1" s="43"/>
      <c r="C1" s="43"/>
      <c r="D1" s="43"/>
      <c r="E1" s="43"/>
      <c r="F1" s="43"/>
      <c r="G1" s="43"/>
      <c r="I1" s="43" t="s">
        <v>23</v>
      </c>
      <c r="J1" s="43"/>
      <c r="K1" s="43"/>
      <c r="L1" s="43"/>
      <c r="M1" s="43"/>
    </row>
    <row r="2" spans="1:13" x14ac:dyDescent="0.25">
      <c r="A2" s="29" t="s">
        <v>0</v>
      </c>
      <c r="B2" s="29" t="s">
        <v>1</v>
      </c>
      <c r="C2" s="29" t="s">
        <v>16</v>
      </c>
      <c r="D2" s="29" t="s">
        <v>15</v>
      </c>
      <c r="E2" s="29" t="s">
        <v>14</v>
      </c>
      <c r="F2" s="29" t="s">
        <v>2</v>
      </c>
      <c r="G2" s="29" t="s">
        <v>17</v>
      </c>
      <c r="I2" s="29" t="s">
        <v>0</v>
      </c>
      <c r="J2" s="29" t="s">
        <v>19</v>
      </c>
      <c r="K2" s="29" t="s">
        <v>21</v>
      </c>
      <c r="L2" s="29" t="s">
        <v>22</v>
      </c>
      <c r="M2" s="29" t="s">
        <v>20</v>
      </c>
    </row>
    <row r="3" spans="1:13" x14ac:dyDescent="0.25">
      <c r="A3" s="10" t="s">
        <v>28</v>
      </c>
      <c r="B3" s="11">
        <v>1000</v>
      </c>
      <c r="C3" s="12">
        <v>41.23</v>
      </c>
      <c r="D3" s="13">
        <v>42.2</v>
      </c>
      <c r="E3" s="13">
        <v>42200</v>
      </c>
      <c r="F3" s="17">
        <v>2.3526558331312231E-2</v>
      </c>
      <c r="G3" s="36">
        <v>43252</v>
      </c>
      <c r="H3" s="35"/>
      <c r="I3" s="34" t="s">
        <v>8</v>
      </c>
      <c r="J3" s="34" t="s">
        <v>24</v>
      </c>
      <c r="K3" s="42">
        <f>29.7/60</f>
        <v>0.495</v>
      </c>
      <c r="L3" s="37">
        <v>29.7</v>
      </c>
      <c r="M3" s="36">
        <v>43147</v>
      </c>
    </row>
    <row r="4" spans="1:13" x14ac:dyDescent="0.25">
      <c r="A4" s="30"/>
      <c r="B4" s="31"/>
      <c r="C4" s="32"/>
      <c r="D4" s="32"/>
      <c r="E4" s="32"/>
      <c r="F4" s="17"/>
      <c r="G4" s="36"/>
      <c r="H4" s="35"/>
      <c r="I4" s="34" t="s">
        <v>8</v>
      </c>
      <c r="J4" s="34" t="s">
        <v>24</v>
      </c>
      <c r="K4" s="37">
        <f>29.7/60</f>
        <v>0.495</v>
      </c>
      <c r="L4" s="37">
        <v>29.7</v>
      </c>
      <c r="M4" s="36">
        <v>43173</v>
      </c>
    </row>
    <row r="5" spans="1:13" x14ac:dyDescent="0.25">
      <c r="A5" s="30"/>
      <c r="B5" s="31"/>
      <c r="C5" s="32"/>
      <c r="D5" s="32"/>
      <c r="E5" s="32"/>
      <c r="F5" s="17"/>
      <c r="G5" s="36"/>
      <c r="H5" s="35"/>
      <c r="I5" s="34" t="s">
        <v>8</v>
      </c>
      <c r="J5" s="34" t="s">
        <v>24</v>
      </c>
      <c r="K5" s="37">
        <f>89.1/180</f>
        <v>0.495</v>
      </c>
      <c r="L5" s="37">
        <v>89.1</v>
      </c>
      <c r="M5" s="36">
        <v>43203</v>
      </c>
    </row>
    <row r="6" spans="1:13" x14ac:dyDescent="0.25">
      <c r="A6" s="30"/>
      <c r="B6" s="31"/>
      <c r="C6" s="32"/>
      <c r="D6" s="32"/>
      <c r="E6" s="32"/>
      <c r="F6" s="17"/>
      <c r="G6" s="36"/>
      <c r="H6" s="35"/>
      <c r="I6" s="34" t="s">
        <v>3</v>
      </c>
      <c r="J6" s="34" t="s">
        <v>25</v>
      </c>
      <c r="K6" s="37">
        <f>16.5/1100</f>
        <v>1.4999999999999999E-2</v>
      </c>
      <c r="L6" s="37">
        <f>16.5</f>
        <v>16.5</v>
      </c>
      <c r="M6" s="36">
        <v>43222</v>
      </c>
    </row>
    <row r="7" spans="1:13" x14ac:dyDescent="0.25">
      <c r="A7" s="30"/>
      <c r="B7" s="31"/>
      <c r="C7" s="32"/>
      <c r="D7" s="32"/>
      <c r="E7" s="32"/>
      <c r="F7" s="17"/>
      <c r="G7" s="36"/>
      <c r="H7" s="35"/>
      <c r="I7" s="34" t="s">
        <v>8</v>
      </c>
      <c r="J7" s="34" t="s">
        <v>24</v>
      </c>
      <c r="K7" s="37">
        <f>91.8/180</f>
        <v>0.51</v>
      </c>
      <c r="L7" s="37">
        <v>91.8</v>
      </c>
      <c r="M7" s="36">
        <v>43235</v>
      </c>
    </row>
    <row r="8" spans="1:13" x14ac:dyDescent="0.25">
      <c r="A8" s="30"/>
      <c r="B8" s="31"/>
      <c r="C8" s="32"/>
      <c r="D8" s="32"/>
      <c r="E8" s="32"/>
      <c r="F8" s="17"/>
      <c r="G8" s="36"/>
      <c r="H8" s="35"/>
      <c r="I8" s="34"/>
      <c r="J8" s="34"/>
      <c r="K8" s="37"/>
      <c r="L8" s="37"/>
      <c r="M8" s="36"/>
    </row>
    <row r="9" spans="1:13" x14ac:dyDescent="0.25">
      <c r="A9" s="30"/>
      <c r="B9" s="31"/>
      <c r="C9" s="32"/>
      <c r="D9" s="32"/>
      <c r="E9" s="32"/>
      <c r="F9" s="17"/>
      <c r="G9" s="36"/>
      <c r="H9" s="35"/>
      <c r="I9" s="34"/>
      <c r="J9" s="34"/>
      <c r="K9" s="37"/>
      <c r="L9" s="37"/>
      <c r="M9" s="36"/>
    </row>
    <row r="10" spans="1:13" x14ac:dyDescent="0.25">
      <c r="A10" s="30"/>
      <c r="B10" s="31"/>
      <c r="C10" s="32"/>
      <c r="D10" s="32"/>
      <c r="E10" s="32"/>
      <c r="F10" s="17"/>
      <c r="G10" s="36"/>
      <c r="H10" s="35"/>
      <c r="I10" s="34"/>
      <c r="J10" s="34"/>
      <c r="K10" s="37"/>
      <c r="L10" s="37"/>
      <c r="M10" s="36"/>
    </row>
    <row r="11" spans="1:13" x14ac:dyDescent="0.25">
      <c r="A11" s="30"/>
      <c r="B11" s="31"/>
      <c r="C11" s="32"/>
      <c r="D11" s="32"/>
      <c r="E11" s="32"/>
      <c r="F11" s="17"/>
      <c r="G11" s="36"/>
      <c r="H11" s="35"/>
      <c r="I11" s="34"/>
      <c r="J11" s="34"/>
      <c r="K11" s="37"/>
      <c r="L11" s="37"/>
      <c r="M11" s="36"/>
    </row>
    <row r="12" spans="1:13" x14ac:dyDescent="0.25">
      <c r="A12" s="30"/>
      <c r="B12" s="31"/>
      <c r="C12" s="32"/>
      <c r="D12" s="32"/>
      <c r="E12" s="32"/>
      <c r="F12" s="17"/>
      <c r="G12" s="36"/>
      <c r="H12" s="35"/>
      <c r="I12" s="34"/>
      <c r="J12" s="34"/>
      <c r="K12" s="37"/>
      <c r="L12" s="37"/>
      <c r="M12" s="36"/>
    </row>
    <row r="13" spans="1:13" x14ac:dyDescent="0.25">
      <c r="A13" s="30"/>
      <c r="B13" s="31"/>
      <c r="C13" s="32"/>
      <c r="D13" s="32"/>
      <c r="E13" s="32"/>
      <c r="F13" s="17"/>
      <c r="G13" s="36"/>
      <c r="H13" s="35"/>
      <c r="I13" s="34"/>
      <c r="J13" s="34"/>
      <c r="K13" s="37"/>
      <c r="L13" s="37"/>
      <c r="M13" s="36"/>
    </row>
    <row r="14" spans="1:13" x14ac:dyDescent="0.25">
      <c r="A14" s="30"/>
      <c r="B14" s="31"/>
      <c r="C14" s="32"/>
      <c r="D14" s="32"/>
      <c r="E14" s="32"/>
      <c r="F14" s="17"/>
      <c r="G14" s="36"/>
      <c r="H14" s="35"/>
      <c r="I14" s="34"/>
      <c r="J14" s="34"/>
      <c r="K14" s="37"/>
      <c r="L14" s="37"/>
      <c r="M14" s="36"/>
    </row>
    <row r="15" spans="1:13" x14ac:dyDescent="0.25">
      <c r="A15" s="30"/>
      <c r="B15" s="31"/>
      <c r="C15" s="32"/>
      <c r="D15" s="32"/>
      <c r="E15" s="32"/>
      <c r="F15" s="17"/>
      <c r="G15" s="36"/>
      <c r="H15" s="35"/>
      <c r="I15" s="34"/>
      <c r="J15" s="34"/>
      <c r="K15" s="37"/>
      <c r="L15" s="37"/>
      <c r="M15" s="36"/>
    </row>
    <row r="16" spans="1:13" x14ac:dyDescent="0.25">
      <c r="A16" s="30"/>
      <c r="B16" s="31"/>
      <c r="C16" s="32"/>
      <c r="D16" s="32"/>
      <c r="E16" s="32"/>
      <c r="F16" s="17"/>
      <c r="G16" s="36"/>
      <c r="H16" s="35"/>
      <c r="I16" s="34"/>
      <c r="J16" s="34"/>
      <c r="K16" s="37"/>
      <c r="L16" s="37"/>
      <c r="M16" s="36"/>
    </row>
    <row r="17" spans="1:13" x14ac:dyDescent="0.25">
      <c r="A17" s="30"/>
      <c r="B17" s="31"/>
      <c r="C17" s="32"/>
      <c r="D17" s="32"/>
      <c r="E17" s="32"/>
      <c r="F17" s="17"/>
      <c r="G17" s="36"/>
      <c r="H17" s="35"/>
      <c r="I17" s="34"/>
      <c r="J17" s="34"/>
      <c r="K17" s="37"/>
      <c r="L17" s="37"/>
      <c r="M17" s="36"/>
    </row>
    <row r="18" spans="1:13" x14ac:dyDescent="0.25">
      <c r="A18" s="30"/>
      <c r="B18" s="31"/>
      <c r="C18" s="32"/>
      <c r="D18" s="32"/>
      <c r="E18" s="32"/>
      <c r="F18" s="17"/>
      <c r="G18" s="36"/>
      <c r="H18" s="35"/>
      <c r="I18" s="34"/>
      <c r="J18" s="34"/>
      <c r="K18" s="37"/>
      <c r="L18" s="37"/>
      <c r="M18" s="36"/>
    </row>
    <row r="19" spans="1:13" x14ac:dyDescent="0.25">
      <c r="A19" s="30"/>
      <c r="B19" s="31"/>
      <c r="C19" s="32"/>
      <c r="D19" s="32"/>
      <c r="E19" s="32"/>
      <c r="F19" s="17"/>
      <c r="G19" s="36"/>
      <c r="H19" s="35"/>
      <c r="I19" s="34"/>
      <c r="J19" s="34"/>
      <c r="K19" s="37"/>
      <c r="L19" s="37"/>
      <c r="M19" s="36"/>
    </row>
    <row r="20" spans="1:13" x14ac:dyDescent="0.25">
      <c r="A20" s="30"/>
      <c r="B20" s="31"/>
      <c r="C20" s="32"/>
      <c r="D20" s="32"/>
      <c r="E20" s="32"/>
      <c r="F20" s="17"/>
      <c r="G20" s="36"/>
      <c r="H20" s="35"/>
      <c r="I20" s="34"/>
      <c r="J20" s="34"/>
      <c r="K20" s="37"/>
      <c r="L20" s="37"/>
      <c r="M20" s="36"/>
    </row>
    <row r="21" spans="1:13" x14ac:dyDescent="0.25">
      <c r="A21" s="30"/>
      <c r="B21" s="31"/>
      <c r="C21" s="32"/>
      <c r="D21" s="32"/>
      <c r="E21" s="32"/>
      <c r="F21" s="17"/>
      <c r="G21" s="36"/>
      <c r="H21" s="35"/>
      <c r="I21" s="34"/>
      <c r="J21" s="34"/>
      <c r="K21" s="37"/>
      <c r="L21" s="37"/>
      <c r="M21" s="36"/>
    </row>
    <row r="22" spans="1:13" x14ac:dyDescent="0.25">
      <c r="A22" s="30"/>
      <c r="B22" s="31"/>
      <c r="C22" s="32"/>
      <c r="D22" s="32"/>
      <c r="E22" s="32"/>
      <c r="F22" s="17"/>
      <c r="G22" s="36"/>
      <c r="H22" s="35"/>
      <c r="I22" s="34"/>
      <c r="J22" s="34"/>
      <c r="K22" s="37"/>
      <c r="L22" s="37"/>
      <c r="M22" s="36"/>
    </row>
    <row r="23" spans="1:13" x14ac:dyDescent="0.25">
      <c r="A23" s="30"/>
      <c r="B23" s="31"/>
      <c r="C23" s="32"/>
      <c r="D23" s="32"/>
      <c r="E23" s="32"/>
      <c r="F23" s="17"/>
      <c r="G23" s="36"/>
      <c r="H23" s="35"/>
      <c r="I23" s="34"/>
      <c r="J23" s="34"/>
      <c r="K23" s="37"/>
      <c r="L23" s="37"/>
      <c r="M23" s="36"/>
    </row>
    <row r="24" spans="1:13" x14ac:dyDescent="0.25">
      <c r="A24" s="30"/>
      <c r="B24" s="31"/>
      <c r="C24" s="32"/>
      <c r="D24" s="32"/>
      <c r="E24" s="32"/>
      <c r="F24" s="17"/>
      <c r="G24" s="36"/>
      <c r="H24" s="35"/>
      <c r="I24" s="34"/>
      <c r="J24" s="34"/>
      <c r="K24" s="37"/>
      <c r="L24" s="37"/>
      <c r="M24" s="36"/>
    </row>
    <row r="25" spans="1:13" x14ac:dyDescent="0.25">
      <c r="A25" s="30"/>
      <c r="B25" s="31"/>
      <c r="C25" s="32"/>
      <c r="D25" s="32"/>
      <c r="E25" s="32"/>
      <c r="F25" s="17"/>
      <c r="G25" s="36"/>
      <c r="H25" s="35"/>
      <c r="I25" s="34"/>
      <c r="J25" s="34"/>
      <c r="K25" s="37"/>
      <c r="L25" s="37"/>
      <c r="M25" s="36"/>
    </row>
    <row r="26" spans="1:13" x14ac:dyDescent="0.25">
      <c r="A26" s="30"/>
      <c r="B26" s="31"/>
      <c r="C26" s="32"/>
      <c r="D26" s="32"/>
      <c r="E26" s="32"/>
      <c r="F26" s="17"/>
      <c r="G26" s="36"/>
      <c r="H26" s="35"/>
      <c r="I26" s="34"/>
      <c r="J26" s="34"/>
      <c r="K26" s="37"/>
      <c r="L26" s="37"/>
      <c r="M26" s="36"/>
    </row>
    <row r="27" spans="1:13" x14ac:dyDescent="0.25">
      <c r="A27" s="30"/>
      <c r="B27" s="31"/>
      <c r="C27" s="32"/>
      <c r="D27" s="32"/>
      <c r="E27" s="32"/>
      <c r="F27" s="17"/>
      <c r="G27" s="36"/>
      <c r="H27" s="35"/>
      <c r="I27" s="34"/>
      <c r="J27" s="34"/>
      <c r="K27" s="37"/>
      <c r="L27" s="37"/>
      <c r="M27" s="36"/>
    </row>
    <row r="28" spans="1:13" x14ac:dyDescent="0.25">
      <c r="A28" s="30"/>
      <c r="B28" s="31"/>
      <c r="C28" s="32"/>
      <c r="D28" s="32"/>
      <c r="E28" s="32"/>
      <c r="F28" s="17"/>
      <c r="G28" s="36"/>
      <c r="H28" s="35"/>
      <c r="I28" s="34"/>
      <c r="J28" s="34"/>
      <c r="K28" s="37"/>
      <c r="L28" s="37"/>
      <c r="M28" s="36"/>
    </row>
    <row r="29" spans="1:13" x14ac:dyDescent="0.25">
      <c r="A29" s="30"/>
      <c r="B29" s="31"/>
      <c r="C29" s="32"/>
      <c r="D29" s="32"/>
      <c r="E29" s="32"/>
      <c r="F29" s="17"/>
      <c r="G29" s="36"/>
      <c r="H29" s="35"/>
      <c r="I29" s="34"/>
      <c r="J29" s="34"/>
      <c r="K29" s="37"/>
      <c r="L29" s="37"/>
      <c r="M29" s="36"/>
    </row>
    <row r="30" spans="1:13" x14ac:dyDescent="0.25">
      <c r="A30" s="30"/>
      <c r="B30" s="31"/>
      <c r="C30" s="32"/>
      <c r="D30" s="32"/>
      <c r="E30" s="32"/>
      <c r="F30" s="17"/>
      <c r="G30" s="36"/>
      <c r="H30" s="35"/>
      <c r="I30" s="34"/>
      <c r="J30" s="34"/>
      <c r="K30" s="37"/>
      <c r="L30" s="37"/>
      <c r="M30" s="36"/>
    </row>
    <row r="31" spans="1:13" x14ac:dyDescent="0.25">
      <c r="A31" s="30"/>
      <c r="B31" s="31"/>
      <c r="C31" s="32"/>
      <c r="D31" s="32"/>
      <c r="E31" s="32"/>
      <c r="F31" s="17"/>
      <c r="G31" s="36"/>
      <c r="H31" s="35"/>
      <c r="I31" s="34"/>
      <c r="J31" s="34"/>
      <c r="K31" s="37"/>
      <c r="L31" s="37"/>
      <c r="M31" s="36"/>
    </row>
    <row r="32" spans="1:13" x14ac:dyDescent="0.25">
      <c r="A32" s="30"/>
      <c r="B32" s="31"/>
      <c r="C32" s="32"/>
      <c r="D32" s="32"/>
      <c r="E32" s="32"/>
      <c r="F32" s="17"/>
      <c r="G32" s="36"/>
      <c r="H32" s="35"/>
      <c r="I32" s="34"/>
      <c r="J32" s="34"/>
      <c r="K32" s="37"/>
      <c r="L32" s="37"/>
      <c r="M32" s="36"/>
    </row>
    <row r="33" spans="1:13" x14ac:dyDescent="0.25">
      <c r="A33" s="30"/>
      <c r="B33" s="31"/>
      <c r="C33" s="32"/>
      <c r="D33" s="32"/>
      <c r="E33" s="32"/>
      <c r="F33" s="17"/>
      <c r="G33" s="36"/>
      <c r="H33" s="35"/>
      <c r="I33" s="34"/>
      <c r="J33" s="34"/>
      <c r="K33" s="37"/>
      <c r="L33" s="37"/>
      <c r="M33" s="36"/>
    </row>
    <row r="34" spans="1:13" x14ac:dyDescent="0.25">
      <c r="A34" s="30"/>
      <c r="B34" s="31"/>
      <c r="C34" s="32"/>
      <c r="D34" s="32"/>
      <c r="E34" s="32"/>
      <c r="F34" s="17"/>
      <c r="G34" s="36"/>
      <c r="H34" s="35"/>
      <c r="I34" s="34"/>
      <c r="J34" s="34"/>
      <c r="K34" s="37"/>
      <c r="L34" s="37"/>
      <c r="M34" s="36"/>
    </row>
    <row r="35" spans="1:13" x14ac:dyDescent="0.25">
      <c r="A35" s="30"/>
      <c r="B35" s="31"/>
      <c r="C35" s="32"/>
      <c r="D35" s="32"/>
      <c r="E35" s="32"/>
      <c r="F35" s="17"/>
      <c r="G35" s="36"/>
      <c r="H35" s="35"/>
      <c r="I35" s="34"/>
      <c r="J35" s="34"/>
      <c r="K35" s="37"/>
      <c r="L35" s="37"/>
      <c r="M35" s="36"/>
    </row>
    <row r="36" spans="1:13" x14ac:dyDescent="0.25">
      <c r="A36" s="30"/>
      <c r="B36" s="31"/>
      <c r="C36" s="32"/>
      <c r="D36" s="32"/>
      <c r="E36" s="32"/>
      <c r="F36" s="17"/>
      <c r="G36" s="36"/>
      <c r="H36" s="35"/>
      <c r="I36" s="34"/>
      <c r="J36" s="34"/>
      <c r="K36" s="37"/>
      <c r="L36" s="37"/>
      <c r="M36" s="36"/>
    </row>
    <row r="37" spans="1:13" x14ac:dyDescent="0.25">
      <c r="A37" s="30"/>
      <c r="B37" s="31"/>
      <c r="C37" s="32"/>
      <c r="D37" s="32"/>
      <c r="E37" s="32"/>
      <c r="F37" s="17"/>
      <c r="G37" s="36"/>
      <c r="H37" s="35"/>
      <c r="I37" s="34"/>
      <c r="J37" s="34"/>
      <c r="K37" s="37"/>
      <c r="L37" s="37"/>
      <c r="M37" s="36"/>
    </row>
    <row r="38" spans="1:13" x14ac:dyDescent="0.25">
      <c r="A38" s="30"/>
      <c r="B38" s="31"/>
      <c r="C38" s="32"/>
      <c r="D38" s="32"/>
      <c r="E38" s="32"/>
      <c r="F38" s="17"/>
      <c r="G38" s="36"/>
      <c r="H38" s="35"/>
      <c r="I38" s="34"/>
      <c r="J38" s="34"/>
      <c r="K38" s="37"/>
      <c r="L38" s="37"/>
      <c r="M38" s="36"/>
    </row>
    <row r="39" spans="1:13" x14ac:dyDescent="0.25">
      <c r="A39" s="30"/>
      <c r="B39" s="31"/>
      <c r="C39" s="32"/>
      <c r="D39" s="32"/>
      <c r="E39" s="32"/>
      <c r="F39" s="17"/>
      <c r="G39" s="36"/>
      <c r="H39" s="35"/>
      <c r="I39" s="34"/>
      <c r="J39" s="34"/>
      <c r="K39" s="37"/>
      <c r="L39" s="37"/>
      <c r="M39" s="36"/>
    </row>
    <row r="40" spans="1:13" x14ac:dyDescent="0.25">
      <c r="A40" s="30"/>
      <c r="B40" s="31"/>
      <c r="C40" s="32"/>
      <c r="D40" s="32"/>
      <c r="E40" s="32"/>
      <c r="F40" s="17"/>
      <c r="G40" s="36"/>
      <c r="H40" s="35"/>
      <c r="I40" s="34"/>
      <c r="J40" s="34"/>
      <c r="K40" s="37"/>
      <c r="L40" s="37"/>
      <c r="M40" s="36"/>
    </row>
    <row r="41" spans="1:13" x14ac:dyDescent="0.25">
      <c r="A41" s="30"/>
      <c r="B41" s="31"/>
      <c r="C41" s="32"/>
      <c r="D41" s="32"/>
      <c r="E41" s="32"/>
      <c r="F41" s="17"/>
      <c r="G41" s="36"/>
      <c r="H41" s="35"/>
      <c r="I41" s="34"/>
      <c r="J41" s="34"/>
      <c r="K41" s="37"/>
      <c r="L41" s="37"/>
      <c r="M41" s="36"/>
    </row>
    <row r="42" spans="1:13" x14ac:dyDescent="0.25">
      <c r="A42" s="30"/>
      <c r="B42" s="31"/>
      <c r="C42" s="32"/>
      <c r="D42" s="32"/>
      <c r="E42" s="32"/>
      <c r="F42" s="17"/>
      <c r="G42" s="36"/>
      <c r="H42" s="35"/>
      <c r="I42" s="34"/>
      <c r="J42" s="34"/>
      <c r="K42" s="37"/>
      <c r="L42" s="37"/>
      <c r="M42" s="36"/>
    </row>
    <row r="43" spans="1:13" x14ac:dyDescent="0.25">
      <c r="A43" s="30"/>
      <c r="B43" s="31"/>
      <c r="C43" s="32"/>
      <c r="D43" s="32"/>
      <c r="E43" s="32"/>
      <c r="F43" s="17"/>
      <c r="G43" s="36"/>
      <c r="H43" s="35"/>
      <c r="I43" s="34"/>
      <c r="J43" s="34"/>
      <c r="K43" s="37"/>
      <c r="L43" s="37"/>
      <c r="M43" s="36"/>
    </row>
    <row r="44" spans="1:13" x14ac:dyDescent="0.25">
      <c r="A44" s="30"/>
      <c r="B44" s="31"/>
      <c r="C44" s="32"/>
      <c r="D44" s="32"/>
      <c r="E44" s="32"/>
      <c r="F44" s="17"/>
      <c r="G44" s="36"/>
      <c r="H44" s="35"/>
      <c r="I44" s="34"/>
      <c r="J44" s="34"/>
      <c r="K44" s="37"/>
      <c r="L44" s="37"/>
      <c r="M44" s="36"/>
    </row>
    <row r="45" spans="1:13" x14ac:dyDescent="0.25">
      <c r="A45" s="30"/>
      <c r="B45" s="31"/>
      <c r="C45" s="32"/>
      <c r="D45" s="32"/>
      <c r="E45" s="32"/>
      <c r="F45" s="17"/>
      <c r="G45" s="36"/>
      <c r="H45" s="35"/>
      <c r="I45" s="34"/>
      <c r="J45" s="34"/>
      <c r="K45" s="37"/>
      <c r="L45" s="37"/>
      <c r="M45" s="36"/>
    </row>
    <row r="46" spans="1:13" x14ac:dyDescent="0.25">
      <c r="A46" s="30"/>
      <c r="B46" s="31"/>
      <c r="C46" s="32"/>
      <c r="D46" s="32"/>
      <c r="E46" s="32"/>
      <c r="F46" s="17"/>
      <c r="G46" s="36"/>
      <c r="H46" s="35"/>
      <c r="I46" s="34"/>
      <c r="J46" s="34"/>
      <c r="K46" s="37"/>
      <c r="L46" s="37"/>
      <c r="M46" s="36"/>
    </row>
    <row r="47" spans="1:13" x14ac:dyDescent="0.25">
      <c r="A47" s="30"/>
      <c r="B47" s="31"/>
      <c r="C47" s="32"/>
      <c r="D47" s="32"/>
      <c r="E47" s="32"/>
      <c r="F47" s="17"/>
      <c r="G47" s="36"/>
      <c r="H47" s="35"/>
      <c r="I47" s="34"/>
      <c r="J47" s="34"/>
      <c r="K47" s="37"/>
      <c r="L47" s="37"/>
      <c r="M47" s="36"/>
    </row>
    <row r="48" spans="1:13" x14ac:dyDescent="0.25">
      <c r="A48" s="30"/>
      <c r="B48" s="31"/>
      <c r="C48" s="32"/>
      <c r="D48" s="32"/>
      <c r="E48" s="32"/>
      <c r="F48" s="17"/>
      <c r="G48" s="36"/>
      <c r="H48" s="35"/>
      <c r="I48" s="34"/>
      <c r="J48" s="34"/>
      <c r="K48" s="37"/>
      <c r="L48" s="37"/>
      <c r="M48" s="36"/>
    </row>
    <row r="49" spans="1:13" x14ac:dyDescent="0.25">
      <c r="A49" s="30"/>
      <c r="B49" s="31"/>
      <c r="C49" s="32"/>
      <c r="D49" s="32"/>
      <c r="E49" s="32"/>
      <c r="F49" s="17"/>
      <c r="G49" s="36"/>
      <c r="H49" s="35"/>
      <c r="I49" s="34"/>
      <c r="J49" s="34"/>
      <c r="K49" s="37"/>
      <c r="L49" s="37"/>
      <c r="M49" s="36"/>
    </row>
    <row r="50" spans="1:13" x14ac:dyDescent="0.25">
      <c r="A50" s="30"/>
      <c r="B50" s="31"/>
      <c r="C50" s="32"/>
      <c r="D50" s="32"/>
      <c r="E50" s="32"/>
      <c r="F50" s="17"/>
      <c r="G50" s="36"/>
      <c r="H50" s="35"/>
      <c r="I50" s="34"/>
      <c r="J50" s="34"/>
      <c r="K50" s="37"/>
      <c r="L50" s="37"/>
      <c r="M50" s="36"/>
    </row>
    <row r="51" spans="1:13" x14ac:dyDescent="0.25">
      <c r="A51" s="30"/>
      <c r="B51" s="31"/>
      <c r="C51" s="32"/>
      <c r="D51" s="32"/>
      <c r="E51" s="32"/>
      <c r="F51" s="17"/>
      <c r="G51" s="36"/>
      <c r="H51" s="35"/>
      <c r="I51" s="34"/>
      <c r="J51" s="34"/>
      <c r="K51" s="37"/>
      <c r="L51" s="37"/>
      <c r="M51" s="36"/>
    </row>
    <row r="52" spans="1:13" x14ac:dyDescent="0.25">
      <c r="A52" s="30"/>
      <c r="B52" s="31"/>
      <c r="C52" s="32"/>
      <c r="D52" s="32"/>
      <c r="E52" s="32"/>
      <c r="F52" s="17"/>
      <c r="G52" s="36"/>
      <c r="H52" s="35"/>
      <c r="I52" s="34"/>
      <c r="J52" s="34"/>
      <c r="K52" s="37"/>
      <c r="L52" s="37"/>
      <c r="M52" s="36"/>
    </row>
    <row r="53" spans="1:13" x14ac:dyDescent="0.25">
      <c r="A53" s="30"/>
      <c r="B53" s="31"/>
      <c r="C53" s="32"/>
      <c r="D53" s="32"/>
      <c r="E53" s="32"/>
      <c r="F53" s="17"/>
      <c r="G53" s="36"/>
      <c r="H53" s="35"/>
      <c r="I53" s="34"/>
      <c r="J53" s="34"/>
      <c r="K53" s="37"/>
      <c r="L53" s="37"/>
      <c r="M53" s="36"/>
    </row>
    <row r="54" spans="1:13" x14ac:dyDescent="0.25">
      <c r="A54" s="30"/>
      <c r="B54" s="31"/>
      <c r="C54" s="32"/>
      <c r="D54" s="32"/>
      <c r="E54" s="32"/>
      <c r="F54" s="17"/>
      <c r="G54" s="36"/>
      <c r="H54" s="35"/>
      <c r="I54" s="34"/>
      <c r="J54" s="34"/>
      <c r="K54" s="37"/>
      <c r="L54" s="37"/>
      <c r="M54" s="36"/>
    </row>
    <row r="55" spans="1:13" x14ac:dyDescent="0.25">
      <c r="A55" s="30"/>
      <c r="B55" s="31"/>
      <c r="C55" s="32"/>
      <c r="D55" s="32"/>
      <c r="E55" s="32"/>
      <c r="F55" s="17"/>
      <c r="G55" s="36"/>
      <c r="H55" s="35"/>
      <c r="I55" s="34"/>
      <c r="J55" s="34"/>
      <c r="K55" s="37"/>
      <c r="L55" s="37"/>
      <c r="M55" s="36"/>
    </row>
    <row r="56" spans="1:13" x14ac:dyDescent="0.25">
      <c r="A56" s="30"/>
      <c r="B56" s="31"/>
      <c r="C56" s="32"/>
      <c r="D56" s="32"/>
      <c r="E56" s="32"/>
      <c r="F56" s="17"/>
      <c r="G56" s="36"/>
      <c r="H56" s="35"/>
      <c r="I56" s="34"/>
      <c r="J56" s="34"/>
      <c r="K56" s="37"/>
      <c r="L56" s="37"/>
      <c r="M56" s="36"/>
    </row>
    <row r="57" spans="1:13" x14ac:dyDescent="0.25">
      <c r="A57" s="30"/>
      <c r="B57" s="31"/>
      <c r="C57" s="32"/>
      <c r="D57" s="32"/>
      <c r="E57" s="32"/>
      <c r="F57" s="17"/>
      <c r="G57" s="36"/>
      <c r="H57" s="35"/>
      <c r="I57" s="34"/>
      <c r="J57" s="34"/>
      <c r="K57" s="37"/>
      <c r="L57" s="37"/>
      <c r="M57" s="36"/>
    </row>
    <row r="58" spans="1:13" x14ac:dyDescent="0.25">
      <c r="A58" s="30"/>
      <c r="B58" s="31"/>
      <c r="C58" s="32"/>
      <c r="D58" s="32"/>
      <c r="E58" s="32"/>
      <c r="F58" s="17"/>
      <c r="G58" s="36"/>
      <c r="H58" s="35"/>
      <c r="I58" s="34"/>
      <c r="J58" s="34"/>
      <c r="K58" s="37"/>
      <c r="L58" s="37"/>
      <c r="M58" s="36"/>
    </row>
    <row r="59" spans="1:13" x14ac:dyDescent="0.25">
      <c r="A59" s="30"/>
      <c r="B59" s="31"/>
      <c r="C59" s="32"/>
      <c r="D59" s="32"/>
      <c r="E59" s="32"/>
      <c r="F59" s="17"/>
      <c r="G59" s="36"/>
      <c r="H59" s="35"/>
      <c r="I59" s="34"/>
      <c r="J59" s="34"/>
      <c r="K59" s="37"/>
      <c r="L59" s="37"/>
      <c r="M59" s="36"/>
    </row>
    <row r="60" spans="1:13" x14ac:dyDescent="0.25">
      <c r="A60" s="30"/>
      <c r="B60" s="31"/>
      <c r="C60" s="32"/>
      <c r="D60" s="32"/>
      <c r="E60" s="32"/>
      <c r="F60" s="17"/>
      <c r="G60" s="36"/>
      <c r="H60" s="35"/>
      <c r="I60" s="34"/>
      <c r="J60" s="34"/>
      <c r="K60" s="37"/>
      <c r="L60" s="37"/>
      <c r="M60" s="36"/>
    </row>
    <row r="61" spans="1:13" x14ac:dyDescent="0.25">
      <c r="A61" s="30"/>
      <c r="B61" s="31"/>
      <c r="C61" s="32"/>
      <c r="D61" s="32"/>
      <c r="E61" s="32"/>
      <c r="F61" s="17"/>
      <c r="G61" s="36"/>
      <c r="H61" s="35"/>
      <c r="I61" s="34"/>
      <c r="J61" s="34"/>
      <c r="K61" s="37"/>
      <c r="L61" s="37"/>
      <c r="M61" s="36"/>
    </row>
    <row r="62" spans="1:13" x14ac:dyDescent="0.25">
      <c r="A62" s="30"/>
      <c r="B62" s="31"/>
      <c r="C62" s="32"/>
      <c r="D62" s="32"/>
      <c r="E62" s="32"/>
      <c r="F62" s="17"/>
      <c r="G62" s="36"/>
      <c r="H62" s="35"/>
      <c r="I62" s="34"/>
      <c r="J62" s="34"/>
      <c r="K62" s="37"/>
      <c r="L62" s="37"/>
      <c r="M62" s="36"/>
    </row>
    <row r="63" spans="1:13" x14ac:dyDescent="0.25">
      <c r="A63" s="30"/>
      <c r="B63" s="31"/>
      <c r="C63" s="32"/>
      <c r="D63" s="32"/>
      <c r="E63" s="32"/>
      <c r="F63" s="17"/>
      <c r="G63" s="36"/>
      <c r="H63" s="35"/>
      <c r="I63" s="34"/>
      <c r="J63" s="34"/>
      <c r="K63" s="37"/>
      <c r="L63" s="37"/>
      <c r="M63" s="36"/>
    </row>
    <row r="64" spans="1:13" x14ac:dyDescent="0.25">
      <c r="A64" s="30"/>
      <c r="B64" s="31"/>
      <c r="C64" s="32"/>
      <c r="D64" s="32"/>
      <c r="E64" s="32"/>
      <c r="F64" s="17"/>
      <c r="G64" s="36"/>
      <c r="H64" s="35"/>
      <c r="I64" s="34"/>
      <c r="J64" s="34"/>
      <c r="K64" s="37"/>
      <c r="L64" s="37"/>
      <c r="M64" s="36"/>
    </row>
    <row r="65" spans="1:13" x14ac:dyDescent="0.25">
      <c r="A65" s="30"/>
      <c r="B65" s="31"/>
      <c r="C65" s="32"/>
      <c r="D65" s="32"/>
      <c r="E65" s="32"/>
      <c r="F65" s="17"/>
      <c r="G65" s="36"/>
      <c r="H65" s="35"/>
      <c r="I65" s="34"/>
      <c r="J65" s="34"/>
      <c r="K65" s="37"/>
      <c r="L65" s="37"/>
      <c r="M65" s="36"/>
    </row>
    <row r="66" spans="1:13" x14ac:dyDescent="0.25">
      <c r="A66" s="30"/>
      <c r="B66" s="31"/>
      <c r="C66" s="32"/>
      <c r="D66" s="32"/>
      <c r="E66" s="32"/>
      <c r="F66" s="17"/>
      <c r="G66" s="36"/>
      <c r="H66" s="35"/>
      <c r="I66" s="34"/>
      <c r="J66" s="34"/>
      <c r="K66" s="37"/>
      <c r="L66" s="37"/>
      <c r="M66" s="36"/>
    </row>
    <row r="67" spans="1:13" x14ac:dyDescent="0.25">
      <c r="A67" s="30"/>
      <c r="B67" s="31"/>
      <c r="C67" s="32"/>
      <c r="D67" s="32"/>
      <c r="E67" s="32"/>
      <c r="F67" s="17"/>
      <c r="G67" s="36"/>
      <c r="H67" s="35"/>
      <c r="I67" s="34"/>
      <c r="J67" s="34"/>
      <c r="K67" s="37"/>
      <c r="L67" s="37"/>
      <c r="M67" s="36"/>
    </row>
    <row r="68" spans="1:13" x14ac:dyDescent="0.25">
      <c r="A68" s="30"/>
      <c r="B68" s="31"/>
      <c r="C68" s="32"/>
      <c r="D68" s="32"/>
      <c r="E68" s="32"/>
      <c r="F68" s="17"/>
      <c r="G68" s="36"/>
      <c r="H68" s="35"/>
      <c r="I68" s="34"/>
      <c r="J68" s="34"/>
      <c r="K68" s="37"/>
      <c r="L68" s="37"/>
      <c r="M68" s="36"/>
    </row>
    <row r="69" spans="1:13" x14ac:dyDescent="0.25">
      <c r="A69" s="30"/>
      <c r="B69" s="31"/>
      <c r="C69" s="32"/>
      <c r="D69" s="32"/>
      <c r="E69" s="32"/>
      <c r="F69" s="17"/>
      <c r="G69" s="36"/>
      <c r="H69" s="35"/>
      <c r="I69" s="34"/>
      <c r="J69" s="34"/>
      <c r="K69" s="37"/>
      <c r="L69" s="37"/>
      <c r="M69" s="36"/>
    </row>
    <row r="70" spans="1:13" x14ac:dyDescent="0.25">
      <c r="A70" s="30"/>
      <c r="B70" s="31"/>
      <c r="C70" s="32"/>
      <c r="D70" s="32"/>
      <c r="E70" s="32"/>
      <c r="F70" s="17"/>
      <c r="G70" s="36"/>
      <c r="H70" s="35"/>
      <c r="I70" s="34"/>
      <c r="J70" s="34"/>
      <c r="K70" s="37"/>
      <c r="L70" s="37"/>
      <c r="M70" s="36"/>
    </row>
    <row r="71" spans="1:13" x14ac:dyDescent="0.25">
      <c r="A71" s="30"/>
      <c r="B71" s="31"/>
      <c r="C71" s="32"/>
      <c r="D71" s="32"/>
      <c r="E71" s="32"/>
      <c r="F71" s="17"/>
      <c r="G71" s="36"/>
      <c r="H71" s="35"/>
      <c r="I71" s="34"/>
      <c r="J71" s="34"/>
      <c r="K71" s="37"/>
      <c r="L71" s="37"/>
      <c r="M71" s="36"/>
    </row>
    <row r="72" spans="1:13" x14ac:dyDescent="0.25">
      <c r="A72" s="30"/>
      <c r="B72" s="31"/>
      <c r="C72" s="32"/>
      <c r="D72" s="32"/>
      <c r="E72" s="32"/>
      <c r="F72" s="17"/>
      <c r="G72" s="36"/>
      <c r="H72" s="35"/>
      <c r="I72" s="34"/>
      <c r="J72" s="34"/>
      <c r="K72" s="37"/>
      <c r="L72" s="37"/>
      <c r="M72" s="36"/>
    </row>
    <row r="73" spans="1:13" x14ac:dyDescent="0.25">
      <c r="A73" s="30"/>
      <c r="B73" s="31"/>
      <c r="C73" s="32"/>
      <c r="D73" s="32"/>
      <c r="E73" s="32"/>
      <c r="F73" s="17"/>
      <c r="G73" s="36"/>
      <c r="H73" s="35"/>
      <c r="I73" s="34"/>
      <c r="J73" s="34"/>
      <c r="K73" s="37"/>
      <c r="L73" s="37"/>
      <c r="M73" s="36"/>
    </row>
    <row r="74" spans="1:13" x14ac:dyDescent="0.25">
      <c r="A74" s="30"/>
      <c r="B74" s="31"/>
      <c r="C74" s="32"/>
      <c r="D74" s="32"/>
      <c r="E74" s="32"/>
      <c r="F74" s="17"/>
      <c r="G74" s="34"/>
      <c r="H74" s="35"/>
      <c r="I74" s="34"/>
      <c r="J74" s="34"/>
      <c r="K74" s="37"/>
      <c r="L74" s="37"/>
      <c r="M74" s="36"/>
    </row>
    <row r="75" spans="1:13" x14ac:dyDescent="0.25">
      <c r="A75" s="33"/>
      <c r="B75" s="33"/>
      <c r="C75" s="38"/>
      <c r="D75" s="38"/>
      <c r="E75" s="38"/>
      <c r="G75" s="35"/>
      <c r="H75" s="35"/>
      <c r="I75" s="34"/>
      <c r="J75" s="34"/>
      <c r="K75" s="37"/>
      <c r="L75" s="37"/>
      <c r="M75" s="36"/>
    </row>
    <row r="76" spans="1:13" x14ac:dyDescent="0.25">
      <c r="A76" s="33"/>
      <c r="B76" s="33"/>
      <c r="C76" s="38"/>
      <c r="D76" s="38"/>
      <c r="E76" s="38"/>
      <c r="G76" s="35"/>
      <c r="H76" s="35"/>
      <c r="I76" s="34"/>
      <c r="J76" s="34"/>
      <c r="K76" s="37"/>
      <c r="L76" s="37"/>
      <c r="M76" s="36"/>
    </row>
    <row r="77" spans="1:13" x14ac:dyDescent="0.25">
      <c r="A77" s="33"/>
      <c r="B77" s="33"/>
      <c r="C77" s="38"/>
      <c r="D77" s="38"/>
      <c r="E77" s="38"/>
      <c r="G77" s="35"/>
      <c r="H77" s="35"/>
      <c r="I77" s="34"/>
      <c r="J77" s="34"/>
      <c r="K77" s="37"/>
      <c r="L77" s="37"/>
      <c r="M77" s="36"/>
    </row>
    <row r="78" spans="1:13" x14ac:dyDescent="0.25">
      <c r="A78" s="33"/>
      <c r="B78" s="33"/>
      <c r="C78" s="38"/>
      <c r="D78" s="38"/>
      <c r="E78" s="38"/>
      <c r="G78" s="35"/>
      <c r="H78" s="35"/>
      <c r="I78" s="34"/>
      <c r="J78" s="34"/>
      <c r="K78" s="37"/>
      <c r="L78" s="37"/>
      <c r="M78" s="36"/>
    </row>
    <row r="79" spans="1:13" x14ac:dyDescent="0.25">
      <c r="A79" s="33"/>
      <c r="B79" s="33"/>
      <c r="C79" s="33"/>
      <c r="D79" s="33"/>
      <c r="E79" s="33"/>
      <c r="G79" s="35"/>
      <c r="H79" s="35"/>
      <c r="I79" s="34"/>
      <c r="J79" s="34"/>
      <c r="K79" s="37"/>
      <c r="L79" s="37"/>
      <c r="M79" s="36"/>
    </row>
    <row r="80" spans="1:13" x14ac:dyDescent="0.25">
      <c r="A80" s="33"/>
      <c r="B80" s="33"/>
      <c r="C80" s="33"/>
      <c r="D80" s="33"/>
      <c r="E80" s="33"/>
      <c r="G80" s="35"/>
      <c r="H80" s="35"/>
      <c r="I80" s="34"/>
      <c r="J80" s="34"/>
      <c r="K80" s="37"/>
      <c r="L80" s="37"/>
      <c r="M80" s="36"/>
    </row>
    <row r="81" spans="1:13" x14ac:dyDescent="0.25">
      <c r="A81" s="33"/>
      <c r="B81" s="33"/>
      <c r="C81" s="33"/>
      <c r="D81" s="33"/>
      <c r="E81" s="33"/>
      <c r="G81" s="35"/>
      <c r="H81" s="35"/>
      <c r="I81" s="34"/>
      <c r="J81" s="34"/>
      <c r="K81" s="34"/>
      <c r="L81" s="34"/>
      <c r="M81" s="36"/>
    </row>
    <row r="82" spans="1:13" x14ac:dyDescent="0.25">
      <c r="A82" s="33"/>
      <c r="B82" s="33"/>
      <c r="C82" s="33"/>
      <c r="D82" s="33"/>
      <c r="E82" s="33"/>
      <c r="I82" s="8"/>
      <c r="J82" s="8"/>
      <c r="K82" s="8"/>
      <c r="L82" s="8"/>
      <c r="M82" s="28"/>
    </row>
  </sheetData>
  <mergeCells count="2">
    <mergeCell ref="A1:G1"/>
    <mergeCell ref="I1:M1"/>
  </mergeCells>
  <conditionalFormatting sqref="F21:F74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F4:F20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F3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="205" zoomScaleNormal="205" workbookViewId="0">
      <selection activeCell="D4" sqref="D4"/>
    </sheetView>
  </sheetViews>
  <sheetFormatPr defaultRowHeight="15" x14ac:dyDescent="0.25"/>
  <cols>
    <col min="1" max="1" width="11.28515625" bestFit="1" customWidth="1"/>
    <col min="2" max="2" width="10.85546875" bestFit="1" customWidth="1"/>
    <col min="3" max="4" width="12.42578125" bestFit="1" customWidth="1"/>
  </cols>
  <sheetData>
    <row r="1" spans="1:4" x14ac:dyDescent="0.25">
      <c r="A1" s="2" t="str">
        <f>A3</f>
        <v>ITUB3</v>
      </c>
      <c r="B1" s="3">
        <f>SUM(B3:B299)</f>
        <v>1100</v>
      </c>
      <c r="C1" s="4">
        <f>(SUMPRODUCT(B3:B299,C3:C299))/SUM(B3:B299)</f>
        <v>43.872727272727275</v>
      </c>
    </row>
    <row r="2" spans="1:4" x14ac:dyDescent="0.25">
      <c r="A2" s="5" t="s">
        <v>0</v>
      </c>
      <c r="B2" s="5" t="s">
        <v>10</v>
      </c>
      <c r="C2" s="5" t="s">
        <v>11</v>
      </c>
    </row>
    <row r="3" spans="1:4" x14ac:dyDescent="0.25">
      <c r="A3" s="18" t="s">
        <v>3</v>
      </c>
      <c r="B3" s="18">
        <v>800</v>
      </c>
      <c r="C3" s="19">
        <v>43.87</v>
      </c>
    </row>
    <row r="4" spans="1:4" x14ac:dyDescent="0.25">
      <c r="A4" s="18" t="s">
        <v>3</v>
      </c>
      <c r="B4" s="18">
        <v>300</v>
      </c>
      <c r="C4" s="19">
        <v>43.88</v>
      </c>
      <c r="D4" s="1"/>
    </row>
    <row r="5" spans="1:4" x14ac:dyDescent="0.25">
      <c r="A5" s="18"/>
      <c r="B5" s="18"/>
      <c r="C5" s="19"/>
      <c r="D5" s="1"/>
    </row>
    <row r="6" spans="1:4" x14ac:dyDescent="0.25">
      <c r="C6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="130" zoomScaleNormal="130" workbookViewId="0">
      <selection activeCell="H5" sqref="H5"/>
    </sheetView>
  </sheetViews>
  <sheetFormatPr defaultColWidth="8.85546875" defaultRowHeight="15" x14ac:dyDescent="0.25"/>
  <cols>
    <col min="1" max="1" width="11" style="6" bestFit="1" customWidth="1"/>
    <col min="2" max="2" width="10.28515625" style="6" bestFit="1" customWidth="1"/>
    <col min="3" max="3" width="9.5703125" style="6" bestFit="1" customWidth="1"/>
    <col min="4" max="4" width="11.28515625" style="6" bestFit="1" customWidth="1"/>
    <col min="5" max="5" width="18" style="6" bestFit="1" customWidth="1"/>
    <col min="6" max="16384" width="8.85546875" style="6"/>
  </cols>
  <sheetData>
    <row r="1" spans="1:5" ht="23.25" x14ac:dyDescent="0.35">
      <c r="A1" s="39" t="s">
        <v>12</v>
      </c>
      <c r="B1" s="39" t="s">
        <v>0</v>
      </c>
      <c r="C1" s="39" t="s">
        <v>1</v>
      </c>
      <c r="D1" s="39" t="s">
        <v>11</v>
      </c>
      <c r="E1" s="39" t="s">
        <v>13</v>
      </c>
    </row>
    <row r="2" spans="1:5" x14ac:dyDescent="0.25">
      <c r="A2" s="40">
        <v>43102</v>
      </c>
      <c r="B2" s="15" t="s">
        <v>27</v>
      </c>
      <c r="C2" s="15">
        <v>3600</v>
      </c>
      <c r="D2" s="16">
        <v>16.32</v>
      </c>
      <c r="E2" s="16">
        <f t="shared" ref="E2:E15" si="0">D2*C2</f>
        <v>58752</v>
      </c>
    </row>
    <row r="3" spans="1:5" x14ac:dyDescent="0.25">
      <c r="A3" s="40">
        <v>43137</v>
      </c>
      <c r="B3" s="15" t="s">
        <v>8</v>
      </c>
      <c r="C3" s="15">
        <v>60</v>
      </c>
      <c r="D3" s="16">
        <v>82.96</v>
      </c>
      <c r="E3" s="16">
        <f t="shared" si="0"/>
        <v>4977.5999999999995</v>
      </c>
    </row>
    <row r="4" spans="1:5" x14ac:dyDescent="0.25">
      <c r="A4" s="41">
        <v>43179</v>
      </c>
      <c r="B4" s="18" t="s">
        <v>3</v>
      </c>
      <c r="C4" s="18">
        <v>800</v>
      </c>
      <c r="D4" s="19">
        <v>43.87</v>
      </c>
      <c r="E4" s="19">
        <f t="shared" si="0"/>
        <v>35096</v>
      </c>
    </row>
    <row r="5" spans="1:5" x14ac:dyDescent="0.25">
      <c r="A5" s="41">
        <v>43179</v>
      </c>
      <c r="B5" s="18" t="s">
        <v>3</v>
      </c>
      <c r="C5" s="18">
        <v>300</v>
      </c>
      <c r="D5" s="19">
        <v>43.88</v>
      </c>
      <c r="E5" s="19">
        <f t="shared" si="0"/>
        <v>13164</v>
      </c>
    </row>
    <row r="6" spans="1:5" x14ac:dyDescent="0.25">
      <c r="A6" s="41">
        <v>43179</v>
      </c>
      <c r="B6" s="18" t="s">
        <v>8</v>
      </c>
      <c r="C6" s="18">
        <f>45+75</f>
        <v>120</v>
      </c>
      <c r="D6" s="19">
        <v>85.09</v>
      </c>
      <c r="E6" s="19">
        <f t="shared" si="0"/>
        <v>10210.800000000001</v>
      </c>
    </row>
    <row r="7" spans="1:5" x14ac:dyDescent="0.25">
      <c r="A7" s="41">
        <v>43192</v>
      </c>
      <c r="B7" s="18" t="s">
        <v>7</v>
      </c>
      <c r="C7" s="18">
        <v>100</v>
      </c>
      <c r="D7" s="19">
        <v>26.89</v>
      </c>
      <c r="E7" s="19">
        <f t="shared" si="0"/>
        <v>2689</v>
      </c>
    </row>
    <row r="8" spans="1:5" x14ac:dyDescent="0.25">
      <c r="A8" s="41">
        <v>43192</v>
      </c>
      <c r="B8" s="18" t="s">
        <v>7</v>
      </c>
      <c r="C8" s="18">
        <v>200</v>
      </c>
      <c r="D8" s="19">
        <v>26.9</v>
      </c>
      <c r="E8" s="19">
        <f t="shared" si="0"/>
        <v>5380</v>
      </c>
    </row>
    <row r="9" spans="1:5" x14ac:dyDescent="0.25">
      <c r="A9" s="41">
        <v>43192</v>
      </c>
      <c r="B9" s="18" t="s">
        <v>7</v>
      </c>
      <c r="C9" s="18">
        <v>800</v>
      </c>
      <c r="D9" s="19">
        <v>27</v>
      </c>
      <c r="E9" s="19">
        <f t="shared" si="0"/>
        <v>21600</v>
      </c>
    </row>
    <row r="10" spans="1:5" x14ac:dyDescent="0.25">
      <c r="A10" s="41">
        <v>43220</v>
      </c>
      <c r="B10" s="18" t="s">
        <v>9</v>
      </c>
      <c r="C10" s="18">
        <v>141</v>
      </c>
      <c r="D10" s="19">
        <v>74</v>
      </c>
      <c r="E10" s="19">
        <f t="shared" si="0"/>
        <v>10434</v>
      </c>
    </row>
    <row r="11" spans="1:5" x14ac:dyDescent="0.25">
      <c r="A11" s="41">
        <v>43220</v>
      </c>
      <c r="B11" s="18" t="s">
        <v>9</v>
      </c>
      <c r="C11" s="18">
        <v>300</v>
      </c>
      <c r="D11" s="19">
        <v>78.5</v>
      </c>
      <c r="E11" s="19">
        <f t="shared" si="0"/>
        <v>23550</v>
      </c>
    </row>
    <row r="12" spans="1:5" x14ac:dyDescent="0.25">
      <c r="A12" s="41">
        <v>43222</v>
      </c>
      <c r="B12" s="18" t="s">
        <v>6</v>
      </c>
      <c r="C12" s="18">
        <v>220</v>
      </c>
      <c r="D12" s="19">
        <v>139.5</v>
      </c>
      <c r="E12" s="19">
        <f t="shared" si="0"/>
        <v>30690</v>
      </c>
    </row>
    <row r="13" spans="1:5" x14ac:dyDescent="0.25">
      <c r="A13" s="41">
        <v>43222</v>
      </c>
      <c r="B13" s="18" t="s">
        <v>5</v>
      </c>
      <c r="C13" s="18">
        <v>180</v>
      </c>
      <c r="D13" s="19">
        <v>165.29</v>
      </c>
      <c r="E13" s="19">
        <f t="shared" si="0"/>
        <v>29752.199999999997</v>
      </c>
    </row>
    <row r="14" spans="1:5" x14ac:dyDescent="0.25">
      <c r="A14" s="41">
        <v>43224</v>
      </c>
      <c r="B14" s="18" t="s">
        <v>9</v>
      </c>
      <c r="C14" s="18">
        <v>100</v>
      </c>
      <c r="D14" s="19">
        <v>68.53</v>
      </c>
      <c r="E14" s="19">
        <f t="shared" si="0"/>
        <v>6853</v>
      </c>
    </row>
    <row r="15" spans="1:5" x14ac:dyDescent="0.25">
      <c r="A15" s="41">
        <v>43252</v>
      </c>
      <c r="B15" s="18" t="s">
        <v>28</v>
      </c>
      <c r="C15" s="18">
        <v>1000</v>
      </c>
      <c r="D15" s="19">
        <v>41.23</v>
      </c>
      <c r="E15" s="19">
        <f t="shared" si="0"/>
        <v>41230</v>
      </c>
    </row>
    <row r="16" spans="1:5" x14ac:dyDescent="0.25">
      <c r="A16" s="41"/>
      <c r="B16" s="18"/>
      <c r="C16" s="18"/>
      <c r="D16" s="19"/>
      <c r="E16" s="19"/>
    </row>
    <row r="17" spans="1:5" x14ac:dyDescent="0.25">
      <c r="A17" s="41"/>
      <c r="B17" s="18"/>
      <c r="C17" s="18"/>
      <c r="D17" s="19"/>
      <c r="E17" s="19"/>
    </row>
    <row r="18" spans="1:5" x14ac:dyDescent="0.25">
      <c r="A18" s="41"/>
      <c r="B18" s="18"/>
      <c r="C18" s="18"/>
      <c r="D18" s="19"/>
      <c r="E18" s="19"/>
    </row>
    <row r="19" spans="1:5" x14ac:dyDescent="0.25">
      <c r="A19" s="41"/>
      <c r="B19" s="18"/>
      <c r="C19" s="18"/>
      <c r="D19" s="19"/>
      <c r="E19" s="19"/>
    </row>
    <row r="20" spans="1:5" x14ac:dyDescent="0.25">
      <c r="A20" s="41"/>
      <c r="B20" s="18"/>
      <c r="C20" s="18"/>
      <c r="D20" s="19"/>
      <c r="E20" s="19"/>
    </row>
    <row r="21" spans="1:5" x14ac:dyDescent="0.25">
      <c r="A21" s="41"/>
      <c r="B21" s="18"/>
      <c r="C21" s="18"/>
      <c r="D21" s="19"/>
      <c r="E21" s="19"/>
    </row>
    <row r="22" spans="1:5" x14ac:dyDescent="0.25">
      <c r="A22" s="41"/>
      <c r="B22" s="18"/>
      <c r="C22" s="18"/>
      <c r="D22" s="19"/>
      <c r="E22" s="19"/>
    </row>
    <row r="23" spans="1:5" x14ac:dyDescent="0.25">
      <c r="A23" s="41"/>
      <c r="B23" s="18"/>
      <c r="C23" s="18"/>
      <c r="D23" s="19"/>
      <c r="E23" s="19"/>
    </row>
    <row r="24" spans="1:5" x14ac:dyDescent="0.25">
      <c r="A24" s="41"/>
      <c r="B24" s="18"/>
      <c r="C24" s="18"/>
      <c r="D24" s="19"/>
      <c r="E24" s="19"/>
    </row>
    <row r="25" spans="1:5" x14ac:dyDescent="0.25">
      <c r="A25" s="41"/>
      <c r="B25" s="18"/>
      <c r="C25" s="18"/>
      <c r="D25" s="19"/>
      <c r="E25" s="19"/>
    </row>
    <row r="26" spans="1:5" x14ac:dyDescent="0.25">
      <c r="A26" s="41"/>
      <c r="B26" s="18"/>
      <c r="C26" s="18"/>
      <c r="D26" s="19"/>
      <c r="E26" s="19"/>
    </row>
    <row r="27" spans="1:5" x14ac:dyDescent="0.25">
      <c r="A27" s="41"/>
      <c r="B27" s="18"/>
      <c r="C27" s="18"/>
      <c r="D27" s="19"/>
      <c r="E27" s="19"/>
    </row>
  </sheetData>
  <autoFilter ref="A1:E1">
    <sortState ref="A2:E14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Operações em Aberto</vt:lpstr>
      <vt:lpstr>Operações Fechadas e Dividendos</vt:lpstr>
      <vt:lpstr>Calculadora de Preço Médio</vt:lpstr>
      <vt:lpstr>Histórico de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Nigro</dc:creator>
  <cp:lastModifiedBy>Hugo Gonçalves</cp:lastModifiedBy>
  <dcterms:created xsi:type="dcterms:W3CDTF">2018-05-27T23:35:12Z</dcterms:created>
  <dcterms:modified xsi:type="dcterms:W3CDTF">2019-06-28T13:46:29Z</dcterms:modified>
</cp:coreProperties>
</file>