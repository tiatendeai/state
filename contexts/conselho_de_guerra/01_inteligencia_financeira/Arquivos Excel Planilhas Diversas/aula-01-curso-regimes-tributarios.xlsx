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jarma\Downloads\"/>
    </mc:Choice>
  </mc:AlternateContent>
  <xr:revisionPtr revIDLastSave="0" documentId="8_{1690B00F-CDE5-4C52-A056-3B80AB7EE4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ela Anexo I - Comércio" sheetId="1" r:id="rId1"/>
    <sheet name="APURAÇÃO SIMPLES NACIONAL EX 1" sheetId="8" r:id="rId2"/>
    <sheet name="APURAÇÃO SIMPLES NACIONAL EX 2" sheetId="18" r:id="rId3"/>
    <sheet name="APURAÇÃO SIMPLES NACIONAL EX 3" sheetId="16" r:id="rId4"/>
    <sheet name="SIMPLES NACIONAL - Início Ativ.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9" i="17" l="1"/>
  <c r="E30" i="17" s="1"/>
  <c r="E28" i="17"/>
  <c r="H6" i="17"/>
  <c r="B21" i="17"/>
  <c r="G21" i="17" s="1"/>
  <c r="E20" i="17"/>
  <c r="B20" i="17"/>
  <c r="H8" i="16"/>
  <c r="H7" i="16"/>
  <c r="H6" i="16"/>
  <c r="I21" i="1"/>
  <c r="G24" i="16"/>
  <c r="B24" i="16"/>
  <c r="E23" i="16"/>
  <c r="G23" i="16" s="1"/>
  <c r="H23" i="16" s="1"/>
  <c r="C16" i="16" s="1"/>
  <c r="B23" i="16"/>
  <c r="J6" i="18"/>
  <c r="H7" i="18"/>
  <c r="H6" i="18"/>
  <c r="L6" i="18" s="1"/>
  <c r="C12" i="18"/>
  <c r="J7" i="18" s="1"/>
  <c r="B22" i="18"/>
  <c r="G22" i="18" s="1"/>
  <c r="E21" i="18"/>
  <c r="G21" i="18" s="1"/>
  <c r="H21" i="18" s="1"/>
  <c r="B21" i="18"/>
  <c r="H6" i="8"/>
  <c r="G22" i="8"/>
  <c r="B22" i="8"/>
  <c r="E21" i="8"/>
  <c r="B21" i="8"/>
  <c r="G21" i="8" s="1"/>
  <c r="H21" i="8" s="1"/>
  <c r="C14" i="8" s="1"/>
  <c r="J6" i="8" s="1"/>
  <c r="L7" i="18" l="1"/>
  <c r="J9" i="18" s="1"/>
  <c r="L6" i="8"/>
  <c r="J8" i="8" s="1"/>
  <c r="C13" i="16"/>
  <c r="K13" i="16" s="1"/>
  <c r="J7" i="16"/>
  <c r="L7" i="16" s="1"/>
  <c r="J6" i="16"/>
  <c r="L6" i="16" s="1"/>
  <c r="C14" i="16"/>
  <c r="J8" i="16" s="1"/>
  <c r="L8" i="16" s="1"/>
  <c r="G20" i="17"/>
  <c r="H20" i="17" s="1"/>
  <c r="C13" i="17" s="1"/>
  <c r="J6" i="17" s="1"/>
  <c r="L6" i="17" s="1"/>
  <c r="J8" i="17" s="1"/>
  <c r="J10" i="16" l="1"/>
</calcChain>
</file>

<file path=xl/sharedStrings.xml><?xml version="1.0" encoding="utf-8"?>
<sst xmlns="http://schemas.openxmlformats.org/spreadsheetml/2006/main" count="120" uniqueCount="54">
  <si>
    <t>IRPJ</t>
  </si>
  <si>
    <t>CSLL</t>
  </si>
  <si>
    <t>CPP</t>
  </si>
  <si>
    <t>ICMS</t>
  </si>
  <si>
    <t>Até 180.000,00</t>
  </si>
  <si>
    <t>De 180.000,01 a 360.000,00</t>
  </si>
  <si>
    <t>Comércio  - Anexo I</t>
  </si>
  <si>
    <t>PIS/Pasep</t>
  </si>
  <si>
    <t>-</t>
  </si>
  <si>
    <t>De 360.000,01 a 720.000,00</t>
  </si>
  <si>
    <t>De 720.000,01 a 1.800.000,00</t>
  </si>
  <si>
    <t>De 1.800.000,01 a 3.600.000,00</t>
  </si>
  <si>
    <t>De 3.600.000,01 a 4.800.000,00</t>
  </si>
  <si>
    <t>Alíquota</t>
  </si>
  <si>
    <t>Receita Bruta em 12 Meses (em R$)</t>
  </si>
  <si>
    <t>Valor a Deduzir (em R$)</t>
  </si>
  <si>
    <t>1ª Faixa</t>
  </si>
  <si>
    <t>2ª Faixa</t>
  </si>
  <si>
    <t>3ª Faixa</t>
  </si>
  <si>
    <t>4ª Faixa</t>
  </si>
  <si>
    <t>5ª Faixa</t>
  </si>
  <si>
    <t>6ª Faixa</t>
  </si>
  <si>
    <t>Faixas</t>
  </si>
  <si>
    <t>Percentual de Repartição dos Tributos</t>
  </si>
  <si>
    <t>Cofins</t>
  </si>
  <si>
    <t>RBT 12M</t>
  </si>
  <si>
    <t>Alíquota Nominal</t>
  </si>
  <si>
    <t>Parcela a Deduzir</t>
  </si>
  <si>
    <r>
      <rPr>
        <b/>
        <sz val="13.5"/>
        <color theme="1"/>
        <rFont val="Arial"/>
        <family val="2"/>
      </rPr>
      <t>Alíquota Efetiva</t>
    </r>
    <r>
      <rPr>
        <sz val="13.5"/>
        <color theme="1"/>
        <rFont val="Arial"/>
        <family val="2"/>
      </rPr>
      <t xml:space="preserve"> = </t>
    </r>
    <r>
      <rPr>
        <u/>
        <sz val="13.5"/>
        <color theme="1"/>
        <rFont val="Arial"/>
        <family val="2"/>
      </rPr>
      <t>(RBT12 x Alíquota Nominal) - Parcela a Deduzir</t>
    </r>
  </si>
  <si>
    <t>Prod. Monofásicos PIS e COFINS</t>
  </si>
  <si>
    <t>Prod. Sub. Tributária</t>
  </si>
  <si>
    <t>Valor R$</t>
  </si>
  <si>
    <t>Percentual %</t>
  </si>
  <si>
    <t>Alíquota Efetiva Mês</t>
  </si>
  <si>
    <t xml:space="preserve">Percentual Ref. ICMS </t>
  </si>
  <si>
    <t>Percentual Ref. PIS e COFINS</t>
  </si>
  <si>
    <t>BC Tributado</t>
  </si>
  <si>
    <t>BC Sub. Tributária</t>
  </si>
  <si>
    <t>Receita Mês</t>
  </si>
  <si>
    <t>Receita Tributada</t>
  </si>
  <si>
    <t xml:space="preserve">                                      RBT12</t>
  </si>
  <si>
    <t xml:space="preserve">MEMÓRIA DE CÁLCULO </t>
  </si>
  <si>
    <t>VALOR A RECOLHER</t>
  </si>
  <si>
    <t>% Ref. ICMS a Destacar NF</t>
  </si>
  <si>
    <t xml:space="preserve">BC Monofásico </t>
  </si>
  <si>
    <t>Outubro</t>
  </si>
  <si>
    <t>Novembro</t>
  </si>
  <si>
    <t>Setembro</t>
  </si>
  <si>
    <t xml:space="preserve">MÊS </t>
  </si>
  <si>
    <t>FATURAMENTO</t>
  </si>
  <si>
    <t>MÉDIA</t>
  </si>
  <si>
    <t>Subst. Tributária</t>
  </si>
  <si>
    <t>Dezembro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</si>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</sst>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* #,##0.00_-;\-&quot;R$&quot;* #,##0.00_-;_-&quot;R$&quot;* &quot;-&quot;??_-;_-@_-"/>
    <numFmt numFmtId="165" formatCode="&quot;R$&quot;#,##0.00"/>
    <numFmt numFmtId="166" formatCode="&quot;R$&quot;\ #,##0.00"/>
    <numFmt numFmtId="167" formatCode="_(&quot;R$ &quot;* #,##0.00_);_(&quot;R$ &quot;* \(#,##0.00\);_(&quot;R$ &quot;* &quot;-&quot;??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0"/>
      <name val="Arial"/>
      <family val="2"/>
    </font>
    <font>
      <sz val="13.5"/>
      <color theme="0"/>
      <name val="Arial"/>
      <family val="2"/>
    </font>
    <font>
      <sz val="13.5"/>
      <color rgb="FF006100"/>
      <name val="Arial"/>
      <family val="2"/>
    </font>
    <font>
      <b/>
      <sz val="13.5"/>
      <color rgb="FF006100"/>
      <name val="Arial"/>
      <family val="2"/>
    </font>
    <font>
      <sz val="13.5"/>
      <color theme="1"/>
      <name val="Arial"/>
      <family val="2"/>
    </font>
    <font>
      <b/>
      <sz val="13.5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20"/>
      <color theme="0"/>
      <name val="Arial"/>
      <family val="2"/>
    </font>
    <font>
      <u/>
      <sz val="13.5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24"/>
      <name val="Arial"/>
      <family val="2"/>
    </font>
    <font>
      <b/>
      <sz val="16"/>
      <color theme="0"/>
      <name val="Arial"/>
      <family val="2"/>
    </font>
    <font>
      <b/>
      <sz val="24"/>
      <color theme="0"/>
      <name val="Arial"/>
      <family val="2"/>
    </font>
    <font>
      <b/>
      <sz val="13.5"/>
      <color theme="0"/>
      <name val="Arial"/>
      <family val="2"/>
    </font>
    <font>
      <b/>
      <sz val="14"/>
      <color theme="0"/>
      <name val="Arial"/>
      <family val="2"/>
    </font>
    <font>
      <sz val="22"/>
      <color theme="0"/>
      <name val="Arial"/>
      <family val="2"/>
    </font>
    <font>
      <b/>
      <sz val="18"/>
      <color rgb="FF006100"/>
      <name val="Arial"/>
      <family val="2"/>
    </font>
    <font>
      <b/>
      <sz val="20"/>
      <color rgb="FF006100"/>
      <name val="Arial"/>
      <family val="2"/>
    </font>
    <font>
      <b/>
      <u/>
      <sz val="20"/>
      <color rgb="FF006100"/>
      <name val="Arial"/>
      <family val="2"/>
    </font>
    <font>
      <b/>
      <sz val="12"/>
      <color rgb="FF006100"/>
      <name val="Arial"/>
      <family val="2"/>
    </font>
    <font>
      <u/>
      <sz val="10"/>
      <color theme="10"/>
      <name val="Arial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F0CE"/>
        <bgColor indexed="64"/>
      </patternFill>
    </fill>
    <fill>
      <patternFill patternType="solid">
        <fgColor rgb="FF1E70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thin">
        <color rgb="FF000000"/>
      </right>
      <top style="double">
        <color theme="0"/>
      </top>
      <bottom style="double">
        <color theme="0"/>
      </bottom>
      <diagonal/>
    </border>
    <border>
      <left style="medium">
        <color rgb="FF000000"/>
      </left>
      <right style="medium">
        <color rgb="FF000000"/>
      </right>
      <top style="double">
        <color theme="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rgb="FF000000"/>
      </left>
      <right style="medium">
        <color rgb="FF000000"/>
      </right>
      <top style="double">
        <color theme="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theme="0"/>
      </top>
      <bottom style="medium">
        <color rgb="FF00000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medium">
        <color rgb="FF000000"/>
      </left>
      <right style="medium">
        <color rgb="FF00000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medium">
        <color rgb="FF000000"/>
      </right>
      <top style="double">
        <color theme="0"/>
      </top>
      <bottom style="double">
        <color theme="0"/>
      </bottom>
      <diagonal/>
    </border>
    <border>
      <left style="medium">
        <color rgb="FF00000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theme="0"/>
      </right>
      <top/>
      <bottom/>
      <diagonal/>
    </border>
    <border>
      <left/>
      <right style="double">
        <color indexed="64"/>
      </right>
      <top style="double">
        <color theme="0"/>
      </top>
      <bottom style="double">
        <color theme="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theme="0"/>
      </left>
      <right style="double">
        <color indexed="64"/>
      </right>
      <top style="double">
        <color theme="0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theme="0"/>
      </top>
      <bottom style="double">
        <color theme="0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5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3" fontId="17" fillId="0" borderId="0"/>
    <xf numFmtId="0" fontId="1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 applyNumberFormat="0" applyFill="0" applyBorder="0" applyAlignment="0" applyProtection="0"/>
    <xf numFmtId="167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126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3" fontId="22" fillId="33" borderId="0" xfId="0" applyNumberFormat="1" applyFont="1" applyFill="1"/>
    <xf numFmtId="0" fontId="0" fillId="33" borderId="0" xfId="0" applyFill="1" applyBorder="1"/>
    <xf numFmtId="0" fontId="0" fillId="33" borderId="20" xfId="0" applyFill="1" applyBorder="1"/>
    <xf numFmtId="0" fontId="22" fillId="33" borderId="13" xfId="0" applyFont="1" applyFill="1" applyBorder="1" applyAlignment="1">
      <alignment horizontal="center" vertical="center" wrapText="1"/>
    </xf>
    <xf numFmtId="0" fontId="22" fillId="33" borderId="24" xfId="0" applyFont="1" applyFill="1" applyBorder="1" applyAlignment="1">
      <alignment horizontal="center" vertical="center" wrapText="1"/>
    </xf>
    <xf numFmtId="10" fontId="22" fillId="33" borderId="12" xfId="0" applyNumberFormat="1" applyFont="1" applyFill="1" applyBorder="1" applyAlignment="1">
      <alignment horizontal="center" vertical="center" wrapText="1"/>
    </xf>
    <xf numFmtId="0" fontId="22" fillId="33" borderId="14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4" fontId="22" fillId="33" borderId="14" xfId="0" applyNumberFormat="1" applyFont="1" applyFill="1" applyBorder="1" applyAlignment="1">
      <alignment horizontal="center" vertical="center" wrapText="1"/>
    </xf>
    <xf numFmtId="0" fontId="22" fillId="33" borderId="15" xfId="0" applyFont="1" applyFill="1" applyBorder="1" applyAlignment="1">
      <alignment horizontal="center" vertical="center" wrapText="1"/>
    </xf>
    <xf numFmtId="0" fontId="22" fillId="33" borderId="16" xfId="0" applyFont="1" applyFill="1" applyBorder="1" applyAlignment="1">
      <alignment horizontal="center" vertical="center" wrapText="1"/>
    </xf>
    <xf numFmtId="10" fontId="22" fillId="33" borderId="16" xfId="0" applyNumberFormat="1" applyFont="1" applyFill="1" applyBorder="1" applyAlignment="1">
      <alignment horizontal="center" vertical="center" wrapText="1"/>
    </xf>
    <xf numFmtId="4" fontId="22" fillId="33" borderId="17" xfId="0" applyNumberFormat="1" applyFont="1" applyFill="1" applyBorder="1" applyAlignment="1">
      <alignment horizontal="center" vertical="center" wrapText="1"/>
    </xf>
    <xf numFmtId="0" fontId="22" fillId="33" borderId="27" xfId="0" applyFont="1" applyFill="1" applyBorder="1" applyAlignment="1">
      <alignment horizontal="center" vertical="center" wrapText="1"/>
    </xf>
    <xf numFmtId="10" fontId="22" fillId="33" borderId="23" xfId="0" applyNumberFormat="1" applyFont="1" applyFill="1" applyBorder="1" applyAlignment="1">
      <alignment horizontal="center" vertical="center" wrapText="1"/>
    </xf>
    <xf numFmtId="10" fontId="22" fillId="33" borderId="28" xfId="0" applyNumberFormat="1" applyFont="1" applyFill="1" applyBorder="1" applyAlignment="1">
      <alignment horizontal="center" vertical="center" wrapText="1"/>
    </xf>
    <xf numFmtId="10" fontId="22" fillId="33" borderId="14" xfId="0" applyNumberFormat="1" applyFont="1" applyFill="1" applyBorder="1" applyAlignment="1">
      <alignment horizontal="center" vertical="center" wrapText="1"/>
    </xf>
    <xf numFmtId="0" fontId="22" fillId="33" borderId="17" xfId="0" applyFont="1" applyFill="1" applyBorder="1" applyAlignment="1">
      <alignment horizontal="center" vertical="center" wrapText="1"/>
    </xf>
    <xf numFmtId="0" fontId="31" fillId="34" borderId="21" xfId="0" applyFont="1" applyFill="1" applyBorder="1" applyAlignment="1">
      <alignment horizontal="center" vertical="center" wrapText="1"/>
    </xf>
    <xf numFmtId="0" fontId="31" fillId="34" borderId="22" xfId="0" applyFont="1" applyFill="1" applyBorder="1" applyAlignment="1">
      <alignment horizontal="center" vertical="center" wrapText="1"/>
    </xf>
    <xf numFmtId="0" fontId="30" fillId="34" borderId="21" xfId="0" applyFont="1" applyFill="1" applyBorder="1" applyAlignment="1">
      <alignment horizontal="center" vertical="center" wrapText="1"/>
    </xf>
    <xf numFmtId="0" fontId="30" fillId="34" borderId="34" xfId="0" applyFont="1" applyFill="1" applyBorder="1" applyAlignment="1">
      <alignment horizontal="center" vertical="center" wrapText="1"/>
    </xf>
    <xf numFmtId="0" fontId="30" fillId="34" borderId="32" xfId="0" applyFont="1" applyFill="1" applyBorder="1" applyAlignment="1">
      <alignment horizontal="center" vertical="center" wrapText="1"/>
    </xf>
    <xf numFmtId="0" fontId="30" fillId="34" borderId="31" xfId="0" applyFont="1" applyFill="1" applyBorder="1" applyAlignment="1">
      <alignment horizontal="center" vertical="center" wrapText="1"/>
    </xf>
    <xf numFmtId="0" fontId="30" fillId="34" borderId="33" xfId="0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 vertical="center"/>
    </xf>
    <xf numFmtId="0" fontId="0" fillId="33" borderId="42" xfId="0" applyFill="1" applyBorder="1"/>
    <xf numFmtId="0" fontId="23" fillId="33" borderId="0" xfId="0" applyFont="1" applyFill="1"/>
    <xf numFmtId="0" fontId="28" fillId="33" borderId="0" xfId="0" applyFont="1" applyFill="1"/>
    <xf numFmtId="0" fontId="25" fillId="34" borderId="43" xfId="0" applyFont="1" applyFill="1" applyBorder="1" applyAlignment="1">
      <alignment horizontal="center" vertical="center"/>
    </xf>
    <xf numFmtId="0" fontId="36" fillId="33" borderId="0" xfId="0" applyFont="1" applyFill="1" applyAlignment="1">
      <alignment vertical="center"/>
    </xf>
    <xf numFmtId="0" fontId="38" fillId="33" borderId="0" xfId="0" applyFont="1" applyFill="1" applyAlignment="1">
      <alignment horizontal="center" vertical="center"/>
    </xf>
    <xf numFmtId="0" fontId="41" fillId="34" borderId="43" xfId="0" applyFont="1" applyFill="1" applyBorder="1" applyAlignment="1">
      <alignment horizontal="center" vertical="center"/>
    </xf>
    <xf numFmtId="164" fontId="26" fillId="33" borderId="0" xfId="48" applyFont="1" applyFill="1" applyBorder="1" applyAlignment="1">
      <alignment horizontal="center" vertical="center"/>
    </xf>
    <xf numFmtId="0" fontId="23" fillId="33" borderId="0" xfId="0" applyFont="1" applyFill="1" applyBorder="1"/>
    <xf numFmtId="0" fontId="25" fillId="33" borderId="0" xfId="0" applyFont="1" applyFill="1" applyBorder="1" applyAlignment="1">
      <alignment horizontal="center" vertical="center"/>
    </xf>
    <xf numFmtId="0" fontId="25" fillId="34" borderId="46" xfId="0" applyFont="1" applyFill="1" applyBorder="1" applyAlignment="1">
      <alignment horizontal="center" vertical="center"/>
    </xf>
    <xf numFmtId="0" fontId="25" fillId="33" borderId="41" xfId="0" applyFont="1" applyFill="1" applyBorder="1" applyAlignment="1">
      <alignment horizontal="center" vertical="center"/>
    </xf>
    <xf numFmtId="0" fontId="25" fillId="34" borderId="47" xfId="0" applyFont="1" applyFill="1" applyBorder="1" applyAlignment="1">
      <alignment horizontal="center" vertical="center"/>
    </xf>
    <xf numFmtId="0" fontId="25" fillId="34" borderId="38" xfId="0" applyFont="1" applyFill="1" applyBorder="1" applyAlignment="1">
      <alignment horizontal="center" vertical="center"/>
    </xf>
    <xf numFmtId="0" fontId="0" fillId="33" borderId="40" xfId="0" applyFill="1" applyBorder="1"/>
    <xf numFmtId="0" fontId="25" fillId="33" borderId="0" xfId="0" applyFont="1" applyFill="1" applyBorder="1" applyAlignment="1">
      <alignment vertical="center"/>
    </xf>
    <xf numFmtId="164" fontId="26" fillId="33" borderId="0" xfId="48" applyFont="1" applyFill="1" applyBorder="1" applyAlignment="1">
      <alignment horizontal="center" vertical="center"/>
    </xf>
    <xf numFmtId="9" fontId="26" fillId="33" borderId="41" xfId="49" applyFont="1" applyFill="1" applyBorder="1" applyAlignment="1">
      <alignment horizontal="center" vertical="center"/>
    </xf>
    <xf numFmtId="164" fontId="26" fillId="33" borderId="41" xfId="48" applyFont="1" applyFill="1" applyBorder="1" applyAlignment="1">
      <alignment horizontal="center" vertical="center"/>
    </xf>
    <xf numFmtId="166" fontId="34" fillId="33" borderId="48" xfId="48" applyNumberFormat="1" applyFont="1" applyFill="1" applyBorder="1" applyAlignment="1">
      <alignment vertical="center"/>
    </xf>
    <xf numFmtId="0" fontId="0" fillId="33" borderId="56" xfId="0" applyFill="1" applyBorder="1"/>
    <xf numFmtId="164" fontId="24" fillId="34" borderId="54" xfId="48" applyFont="1" applyFill="1" applyBorder="1" applyAlignment="1">
      <alignment vertical="center"/>
    </xf>
    <xf numFmtId="164" fontId="24" fillId="34" borderId="51" xfId="48" applyFont="1" applyFill="1" applyBorder="1" applyAlignment="1">
      <alignment horizontal="center" vertical="center"/>
    </xf>
    <xf numFmtId="3" fontId="22" fillId="33" borderId="53" xfId="0" applyNumberFormat="1" applyFont="1" applyFill="1" applyBorder="1"/>
    <xf numFmtId="0" fontId="25" fillId="34" borderId="59" xfId="0" applyFont="1" applyFill="1" applyBorder="1" applyAlignment="1">
      <alignment horizontal="center" vertical="center"/>
    </xf>
    <xf numFmtId="0" fontId="25" fillId="34" borderId="60" xfId="0" applyFont="1" applyFill="1" applyBorder="1" applyAlignment="1">
      <alignment horizontal="center" vertical="center"/>
    </xf>
    <xf numFmtId="0" fontId="25" fillId="33" borderId="53" xfId="0" applyFont="1" applyFill="1" applyBorder="1" applyAlignment="1">
      <alignment horizontal="center" vertical="center"/>
    </xf>
    <xf numFmtId="164" fontId="26" fillId="33" borderId="58" xfId="48" applyFont="1" applyFill="1" applyBorder="1" applyAlignment="1">
      <alignment horizontal="center" vertical="center"/>
    </xf>
    <xf numFmtId="0" fontId="25" fillId="33" borderId="41" xfId="0" applyFont="1" applyFill="1" applyBorder="1" applyAlignment="1">
      <alignment horizontal="center" vertical="center"/>
    </xf>
    <xf numFmtId="0" fontId="25" fillId="34" borderId="57" xfId="0" applyFont="1" applyFill="1" applyBorder="1" applyAlignment="1">
      <alignment horizontal="center" vertical="center"/>
    </xf>
    <xf numFmtId="0" fontId="25" fillId="34" borderId="40" xfId="0" applyFont="1" applyFill="1" applyBorder="1" applyAlignment="1">
      <alignment horizontal="center" vertical="center"/>
    </xf>
    <xf numFmtId="10" fontId="27" fillId="33" borderId="44" xfId="49" applyNumberFormat="1" applyFont="1" applyFill="1" applyBorder="1" applyAlignment="1">
      <alignment vertical="center"/>
    </xf>
    <xf numFmtId="0" fontId="47" fillId="33" borderId="0" xfId="0" applyFont="1" applyFill="1" applyAlignment="1">
      <alignment horizontal="center" vertical="center"/>
    </xf>
    <xf numFmtId="10" fontId="15" fillId="33" borderId="0" xfId="0" applyNumberFormat="1" applyFont="1" applyFill="1"/>
    <xf numFmtId="0" fontId="32" fillId="34" borderId="0" xfId="0" applyFont="1" applyFill="1" applyAlignment="1">
      <alignment horizontal="center" vertical="center"/>
    </xf>
    <xf numFmtId="0" fontId="31" fillId="34" borderId="25" xfId="0" applyFont="1" applyFill="1" applyBorder="1" applyAlignment="1">
      <alignment horizontal="center" vertical="center" wrapText="1"/>
    </xf>
    <xf numFmtId="0" fontId="31" fillId="34" borderId="26" xfId="0" applyFont="1" applyFill="1" applyBorder="1" applyAlignment="1">
      <alignment horizontal="center" vertical="center" wrapText="1"/>
    </xf>
    <xf numFmtId="0" fontId="30" fillId="34" borderId="29" xfId="0" applyFont="1" applyFill="1" applyBorder="1" applyAlignment="1">
      <alignment horizontal="center" vertical="center" wrapText="1"/>
    </xf>
    <xf numFmtId="0" fontId="30" fillId="34" borderId="30" xfId="0" applyFont="1" applyFill="1" applyBorder="1" applyAlignment="1">
      <alignment horizontal="center" vertical="center" wrapText="1"/>
    </xf>
    <xf numFmtId="0" fontId="30" fillId="34" borderId="25" xfId="0" applyFont="1" applyFill="1" applyBorder="1" applyAlignment="1">
      <alignment horizontal="center" vertical="center" wrapText="1"/>
    </xf>
    <xf numFmtId="0" fontId="30" fillId="34" borderId="34" xfId="0" applyFont="1" applyFill="1" applyBorder="1" applyAlignment="1">
      <alignment horizontal="center" vertical="center" wrapText="1"/>
    </xf>
    <xf numFmtId="0" fontId="30" fillId="34" borderId="26" xfId="0" applyFont="1" applyFill="1" applyBorder="1" applyAlignment="1">
      <alignment horizontal="center" vertical="center" wrapText="1"/>
    </xf>
    <xf numFmtId="0" fontId="38" fillId="34" borderId="0" xfId="0" applyFont="1" applyFill="1" applyAlignment="1">
      <alignment horizontal="center" vertical="center"/>
    </xf>
    <xf numFmtId="10" fontId="26" fillId="33" borderId="37" xfId="49" applyNumberFormat="1" applyFont="1" applyFill="1" applyBorder="1" applyAlignment="1">
      <alignment horizontal="center" vertical="center"/>
    </xf>
    <xf numFmtId="10" fontId="26" fillId="33" borderId="38" xfId="49" applyNumberFormat="1" applyFont="1" applyFill="1" applyBorder="1" applyAlignment="1">
      <alignment horizontal="center" vertical="center"/>
    </xf>
    <xf numFmtId="9" fontId="26" fillId="33" borderId="55" xfId="49" applyFont="1" applyFill="1" applyBorder="1" applyAlignment="1">
      <alignment horizontal="center" vertical="center"/>
    </xf>
    <xf numFmtId="9" fontId="26" fillId="33" borderId="0" xfId="49" applyFont="1" applyFill="1" applyBorder="1" applyAlignment="1">
      <alignment horizontal="center" vertical="center"/>
    </xf>
    <xf numFmtId="164" fontId="26" fillId="33" borderId="35" xfId="48" applyFont="1" applyFill="1" applyBorder="1" applyAlignment="1">
      <alignment horizontal="center" vertical="center"/>
    </xf>
    <xf numFmtId="164" fontId="26" fillId="33" borderId="36" xfId="48" applyFont="1" applyFill="1" applyBorder="1" applyAlignment="1">
      <alignment horizontal="center" vertical="center"/>
    </xf>
    <xf numFmtId="164" fontId="26" fillId="33" borderId="37" xfId="48" applyFont="1" applyFill="1" applyBorder="1" applyAlignment="1">
      <alignment horizontal="center" vertical="center"/>
    </xf>
    <xf numFmtId="164" fontId="26" fillId="33" borderId="38" xfId="48" applyFont="1" applyFill="1" applyBorder="1" applyAlignment="1">
      <alignment horizontal="center" vertical="center"/>
    </xf>
    <xf numFmtId="10" fontId="27" fillId="33" borderId="35" xfId="49" applyNumberFormat="1" applyFont="1" applyFill="1" applyBorder="1" applyAlignment="1">
      <alignment horizontal="right" vertical="center"/>
    </xf>
    <xf numFmtId="10" fontId="27" fillId="33" borderId="36" xfId="49" applyNumberFormat="1" applyFont="1" applyFill="1" applyBorder="1" applyAlignment="1">
      <alignment horizontal="right" vertical="center"/>
    </xf>
    <xf numFmtId="164" fontId="45" fillId="33" borderId="55" xfId="48" applyFont="1" applyFill="1" applyBorder="1" applyAlignment="1">
      <alignment horizontal="right" vertical="center"/>
    </xf>
    <xf numFmtId="164" fontId="40" fillId="34" borderId="35" xfId="48" applyFont="1" applyFill="1" applyBorder="1" applyAlignment="1">
      <alignment horizontal="center" vertical="center"/>
    </xf>
    <xf numFmtId="164" fontId="40" fillId="34" borderId="36" xfId="48" applyFont="1" applyFill="1" applyBorder="1" applyAlignment="1">
      <alignment horizontal="center" vertical="center"/>
    </xf>
    <xf numFmtId="164" fontId="40" fillId="34" borderId="65" xfId="48" applyFont="1" applyFill="1" applyBorder="1" applyAlignment="1">
      <alignment horizontal="center" vertical="center"/>
    </xf>
    <xf numFmtId="164" fontId="26" fillId="33" borderId="58" xfId="48" applyFont="1" applyFill="1" applyBorder="1" applyAlignment="1">
      <alignment horizontal="center" vertical="center"/>
    </xf>
    <xf numFmtId="3" fontId="43" fillId="33" borderId="10" xfId="0" applyNumberFormat="1" applyFont="1" applyFill="1" applyBorder="1" applyAlignment="1">
      <alignment horizontal="center" vertical="center"/>
    </xf>
    <xf numFmtId="3" fontId="43" fillId="33" borderId="19" xfId="0" applyNumberFormat="1" applyFont="1" applyFill="1" applyBorder="1" applyAlignment="1">
      <alignment horizontal="center" vertical="center"/>
    </xf>
    <xf numFmtId="3" fontId="43" fillId="33" borderId="11" xfId="0" applyNumberFormat="1" applyFont="1" applyFill="1" applyBorder="1" applyAlignment="1">
      <alignment horizontal="center" vertical="center"/>
    </xf>
    <xf numFmtId="10" fontId="44" fillId="33" borderId="44" xfId="0" applyNumberFormat="1" applyFont="1" applyFill="1" applyBorder="1" applyAlignment="1">
      <alignment horizontal="center" vertical="center"/>
    </xf>
    <xf numFmtId="10" fontId="44" fillId="33" borderId="45" xfId="0" applyNumberFormat="1" applyFont="1" applyFill="1" applyBorder="1" applyAlignment="1">
      <alignment horizontal="center" vertical="center"/>
    </xf>
    <xf numFmtId="10" fontId="44" fillId="33" borderId="35" xfId="0" applyNumberFormat="1" applyFont="1" applyFill="1" applyBorder="1" applyAlignment="1">
      <alignment horizontal="center" vertical="center"/>
    </xf>
    <xf numFmtId="10" fontId="44" fillId="33" borderId="36" xfId="0" applyNumberFormat="1" applyFont="1" applyFill="1" applyBorder="1" applyAlignment="1">
      <alignment horizontal="center" vertical="center"/>
    </xf>
    <xf numFmtId="166" fontId="42" fillId="36" borderId="64" xfId="48" applyNumberFormat="1" applyFont="1" applyFill="1" applyBorder="1" applyAlignment="1">
      <alignment horizontal="center" vertical="center"/>
    </xf>
    <xf numFmtId="166" fontId="42" fillId="36" borderId="52" xfId="48" applyNumberFormat="1" applyFont="1" applyFill="1" applyBorder="1" applyAlignment="1">
      <alignment horizontal="center" vertical="center"/>
    </xf>
    <xf numFmtId="166" fontId="42" fillId="36" borderId="18" xfId="48" applyNumberFormat="1" applyFont="1" applyFill="1" applyBorder="1" applyAlignment="1">
      <alignment horizontal="center" vertical="center"/>
    </xf>
    <xf numFmtId="0" fontId="37" fillId="34" borderId="61" xfId="0" applyFont="1" applyFill="1" applyBorder="1" applyAlignment="1">
      <alignment horizontal="center" vertical="center"/>
    </xf>
    <xf numFmtId="0" fontId="37" fillId="34" borderId="62" xfId="0" applyFont="1" applyFill="1" applyBorder="1" applyAlignment="1">
      <alignment horizontal="center" vertical="center"/>
    </xf>
    <xf numFmtId="0" fontId="37" fillId="34" borderId="63" xfId="0" applyFont="1" applyFill="1" applyBorder="1" applyAlignment="1">
      <alignment horizontal="center" vertical="center"/>
    </xf>
    <xf numFmtId="166" fontId="34" fillId="33" borderId="49" xfId="48" applyNumberFormat="1" applyFont="1" applyFill="1" applyBorder="1" applyAlignment="1">
      <alignment horizontal="left" vertical="center"/>
    </xf>
    <xf numFmtId="166" fontId="34" fillId="33" borderId="50" xfId="48" applyNumberFormat="1" applyFont="1" applyFill="1" applyBorder="1" applyAlignment="1">
      <alignment horizontal="left" vertical="center"/>
    </xf>
    <xf numFmtId="165" fontId="34" fillId="33" borderId="51" xfId="48" applyNumberFormat="1" applyFont="1" applyFill="1" applyBorder="1" applyAlignment="1">
      <alignment horizontal="center" vertical="center"/>
    </xf>
    <xf numFmtId="165" fontId="34" fillId="33" borderId="52" xfId="48" applyNumberFormat="1" applyFont="1" applyFill="1" applyBorder="1" applyAlignment="1">
      <alignment horizontal="center" vertical="center"/>
    </xf>
    <xf numFmtId="165" fontId="34" fillId="33" borderId="18" xfId="48" applyNumberFormat="1" applyFont="1" applyFill="1" applyBorder="1" applyAlignment="1">
      <alignment horizontal="center" vertical="center"/>
    </xf>
    <xf numFmtId="164" fontId="35" fillId="33" borderId="49" xfId="48" quotePrefix="1" applyFont="1" applyFill="1" applyBorder="1" applyAlignment="1">
      <alignment horizontal="center" vertical="center"/>
    </xf>
    <xf numFmtId="10" fontId="27" fillId="33" borderId="37" xfId="49" applyNumberFormat="1" applyFont="1" applyFill="1" applyBorder="1" applyAlignment="1">
      <alignment horizontal="right" vertical="center"/>
    </xf>
    <xf numFmtId="10" fontId="27" fillId="33" borderId="38" xfId="49" applyNumberFormat="1" applyFont="1" applyFill="1" applyBorder="1" applyAlignment="1">
      <alignment horizontal="right" vertical="center"/>
    </xf>
    <xf numFmtId="0" fontId="25" fillId="33" borderId="41" xfId="0" applyFont="1" applyFill="1" applyBorder="1" applyAlignment="1">
      <alignment horizontal="center" vertical="center"/>
    </xf>
    <xf numFmtId="0" fontId="28" fillId="33" borderId="48" xfId="0" applyFont="1" applyFill="1" applyBorder="1" applyAlignment="1">
      <alignment horizontal="center" vertical="center"/>
    </xf>
    <xf numFmtId="0" fontId="28" fillId="33" borderId="49" xfId="0" applyFont="1" applyFill="1" applyBorder="1" applyAlignment="1">
      <alignment horizontal="center" vertical="center"/>
    </xf>
    <xf numFmtId="0" fontId="28" fillId="33" borderId="50" xfId="0" applyFont="1" applyFill="1" applyBorder="1" applyAlignment="1">
      <alignment horizontal="center" vertical="center"/>
    </xf>
    <xf numFmtId="0" fontId="28" fillId="33" borderId="51" xfId="0" applyFont="1" applyFill="1" applyBorder="1" applyAlignment="1">
      <alignment horizontal="center" vertical="top"/>
    </xf>
    <xf numFmtId="0" fontId="28" fillId="33" borderId="52" xfId="0" applyFont="1" applyFill="1" applyBorder="1" applyAlignment="1">
      <alignment horizontal="center" vertical="top"/>
    </xf>
    <xf numFmtId="0" fontId="28" fillId="33" borderId="18" xfId="0" applyFont="1" applyFill="1" applyBorder="1" applyAlignment="1">
      <alignment horizontal="center" vertical="top"/>
    </xf>
    <xf numFmtId="164" fontId="26" fillId="33" borderId="39" xfId="48" applyFont="1" applyFill="1" applyBorder="1" applyAlignment="1">
      <alignment horizontal="center" vertical="center"/>
    </xf>
    <xf numFmtId="164" fontId="26" fillId="33" borderId="0" xfId="48" applyFont="1" applyFill="1" applyBorder="1" applyAlignment="1">
      <alignment horizontal="center" vertical="center"/>
    </xf>
    <xf numFmtId="0" fontId="39" fillId="34" borderId="37" xfId="0" applyFont="1" applyFill="1" applyBorder="1" applyAlignment="1">
      <alignment horizontal="center" vertical="center"/>
    </xf>
    <xf numFmtId="0" fontId="39" fillId="34" borderId="41" xfId="0" applyFont="1" applyFill="1" applyBorder="1" applyAlignment="1">
      <alignment horizontal="center" vertical="center"/>
    </xf>
    <xf numFmtId="0" fontId="39" fillId="34" borderId="38" xfId="0" applyFont="1" applyFill="1" applyBorder="1" applyAlignment="1">
      <alignment horizontal="center" vertical="center"/>
    </xf>
    <xf numFmtId="164" fontId="27" fillId="35" borderId="37" xfId="48" applyFont="1" applyFill="1" applyBorder="1" applyAlignment="1">
      <alignment horizontal="center" vertical="center"/>
    </xf>
    <xf numFmtId="164" fontId="27" fillId="35" borderId="38" xfId="48" applyFont="1" applyFill="1" applyBorder="1" applyAlignment="1">
      <alignment horizontal="center" vertical="center"/>
    </xf>
    <xf numFmtId="0" fontId="47" fillId="33" borderId="55" xfId="0" applyFont="1" applyFill="1" applyBorder="1" applyAlignment="1">
      <alignment horizontal="center" vertical="center"/>
    </xf>
    <xf numFmtId="166" fontId="42" fillId="33" borderId="64" xfId="48" applyNumberFormat="1" applyFont="1" applyFill="1" applyBorder="1" applyAlignment="1">
      <alignment horizontal="center" vertical="center"/>
    </xf>
    <xf numFmtId="166" fontId="42" fillId="33" borderId="52" xfId="48" applyNumberFormat="1" applyFont="1" applyFill="1" applyBorder="1" applyAlignment="1">
      <alignment horizontal="center" vertical="center"/>
    </xf>
    <xf numFmtId="166" fontId="42" fillId="33" borderId="18" xfId="48" applyNumberFormat="1" applyFont="1" applyFill="1" applyBorder="1" applyAlignment="1">
      <alignment horizontal="center" vertical="center"/>
    </xf>
  </cellXfs>
  <cellStyles count="53">
    <cellStyle name="20% - Ênfase1" xfId="16" builtinId="30" customBuiltin="1"/>
    <cellStyle name="20% - Ênfase2" xfId="19" builtinId="34" customBuiltin="1"/>
    <cellStyle name="20% - Ênfase3" xfId="22" builtinId="38" customBuiltin="1"/>
    <cellStyle name="20% - Ênfase4" xfId="25" builtinId="42" customBuiltin="1"/>
    <cellStyle name="20% - Ênfase5" xfId="28" builtinId="46" customBuiltin="1"/>
    <cellStyle name="20% - Ênfase6" xfId="31" builtinId="50" customBuiltin="1"/>
    <cellStyle name="40% - Ênfase1" xfId="17" builtinId="31" customBuiltin="1"/>
    <cellStyle name="40% - Ênfase2" xfId="20" builtinId="35" customBuiltin="1"/>
    <cellStyle name="40% - Ênfase3" xfId="23" builtinId="39" customBuiltin="1"/>
    <cellStyle name="40% - Ênfase4" xfId="26" builtinId="43" customBuiltin="1"/>
    <cellStyle name="40% - Ênfase5" xfId="29" builtinId="47" customBuiltin="1"/>
    <cellStyle name="40% - Ênfase6" xfId="32" builtinId="51" customBuiltin="1"/>
    <cellStyle name="60% - Ênfase1 2" xfId="37" xr:uid="{00000000-0005-0000-0000-00000C000000}"/>
    <cellStyle name="60% - Ênfase2 2" xfId="38" xr:uid="{00000000-0005-0000-0000-00000D000000}"/>
    <cellStyle name="60% - Ênfase3 2" xfId="39" xr:uid="{00000000-0005-0000-0000-00000E000000}"/>
    <cellStyle name="60% - Ênfase4 2" xfId="40" xr:uid="{00000000-0005-0000-0000-00000F000000}"/>
    <cellStyle name="60% - Ênfase5 2" xfId="41" xr:uid="{00000000-0005-0000-0000-000010000000}"/>
    <cellStyle name="60% - Ênfase6 2" xfId="42" xr:uid="{00000000-0005-0000-0000-000011000000}"/>
    <cellStyle name="Bom" xfId="5" builtinId="26" customBuiltin="1"/>
    <cellStyle name="Cálculo" xfId="9" builtinId="22" customBuiltin="1"/>
    <cellStyle name="Célula de Verificação" xfId="11" builtinId="23" customBuiltin="1"/>
    <cellStyle name="Célula Vinculada" xfId="10" builtinId="24" customBuiltin="1"/>
    <cellStyle name="Ênfase1" xfId="15" builtinId="29" customBuiltin="1"/>
    <cellStyle name="Ênfase2" xfId="18" builtinId="33" customBuiltin="1"/>
    <cellStyle name="Ênfase3" xfId="21" builtinId="37" customBuiltin="1"/>
    <cellStyle name="Ênfase4" xfId="24" builtinId="41" customBuiltin="1"/>
    <cellStyle name="Ênfase5" xfId="27" builtinId="45" customBuiltin="1"/>
    <cellStyle name="Ênfase6" xfId="30" builtinId="49" customBuiltin="1"/>
    <cellStyle name="Entrada" xfId="7" builtinId="20" customBuiltin="1"/>
    <cellStyle name="Estilo 1" xfId="34" xr:uid="{00000000-0005-0000-0000-00001D000000}"/>
    <cellStyle name="Hiperlink" xfId="45" builtinId="8" customBuiltin="1"/>
    <cellStyle name="Hiperlink 2" xfId="50" xr:uid="{00000000-0005-0000-0000-00001F000000}"/>
    <cellStyle name="Hiperlink Visitado" xfId="46" builtinId="9" customBuiltin="1"/>
    <cellStyle name="Moeda" xfId="48" builtinId="4"/>
    <cellStyle name="Moeda 2" xfId="51" xr:uid="{00000000-0005-0000-0000-000023000000}"/>
    <cellStyle name="Neutra 2" xfId="36" xr:uid="{00000000-0005-0000-0000-000024000000}"/>
    <cellStyle name="Normal" xfId="0" builtinId="0"/>
    <cellStyle name="Normal 2" xfId="47" xr:uid="{00000000-0005-0000-0000-000026000000}"/>
    <cellStyle name="Normal 3" xfId="43" xr:uid="{00000000-0005-0000-0000-000027000000}"/>
    <cellStyle name="Normal 4" xfId="33" xr:uid="{00000000-0005-0000-0000-000028000000}"/>
    <cellStyle name="Nota 2" xfId="44" xr:uid="{00000000-0005-0000-0000-000029000000}"/>
    <cellStyle name="Porcentagem" xfId="49" builtinId="5"/>
    <cellStyle name="Porcentagem 2" xfId="52" xr:uid="{00000000-0005-0000-0000-00002B000000}"/>
    <cellStyle name="Ruim" xfId="6" builtinId="27" customBuiltin="1"/>
    <cellStyle name="Saída" xfId="8" builtinId="21" customBuiltin="1"/>
    <cellStyle name="Texto de Aviso" xfId="12" builtinId="11" customBuiltin="1"/>
    <cellStyle name="Texto Explicativo" xfId="13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35" xr:uid="{00000000-0005-0000-0000-000033000000}"/>
    <cellStyle name="Total" xfId="14" builtinId="25" customBuiltin="1"/>
  </cellStyles>
  <dxfs count="0"/>
  <tableStyles count="0" defaultTableStyle="TableStyleMedium2" defaultPivotStyle="PivotStyleLight16"/>
  <colors>
    <mruColors>
      <color rgb="FFE9F0CE"/>
      <color rgb="FF006100"/>
      <color rgb="FF1E7038"/>
      <color rgb="FF4983BB"/>
      <color rgb="FFC6EFCE"/>
      <color rgb="FFE6F2FF"/>
      <color rgb="FFBDD7EE"/>
      <color rgb="FFD9E1F2"/>
      <color rgb="FFFFC7C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1386052</xdr:colOff>
      <xdr:row>20</xdr:row>
      <xdr:rowOff>216776</xdr:rowOff>
    </xdr:from>
    <xdr:to>
      <xdr:col>5</xdr:col>
      <xdr:colOff>32845</xdr:colOff>
      <xdr:row>20</xdr:row>
      <xdr:rowOff>223344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1537138" y="8290035"/>
          <a:ext cx="5077810" cy="656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1386052</xdr:colOff>
      <xdr:row>20</xdr:row>
      <xdr:rowOff>216776</xdr:rowOff>
    </xdr:from>
    <xdr:to>
      <xdr:col>5</xdr:col>
      <xdr:colOff>32845</xdr:colOff>
      <xdr:row>20</xdr:row>
      <xdr:rowOff>223344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1538452" y="8132051"/>
          <a:ext cx="5076168" cy="656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1386052</xdr:colOff>
      <xdr:row>22</xdr:row>
      <xdr:rowOff>216776</xdr:rowOff>
    </xdr:from>
    <xdr:to>
      <xdr:col>5</xdr:col>
      <xdr:colOff>32845</xdr:colOff>
      <xdr:row>22</xdr:row>
      <xdr:rowOff>223344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V="1">
          <a:off x="1538452" y="8132051"/>
          <a:ext cx="5076168" cy="656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1386052</xdr:colOff>
      <xdr:row>19</xdr:row>
      <xdr:rowOff>216776</xdr:rowOff>
    </xdr:from>
    <xdr:to>
      <xdr:col>5</xdr:col>
      <xdr:colOff>32845</xdr:colOff>
      <xdr:row>19</xdr:row>
      <xdr:rowOff>223344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V="1">
          <a:off x="1538452" y="8132051"/>
          <a:ext cx="5076168" cy="656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6"/>
  <sheetViews>
    <sheetView tabSelected="1" topLeftCell="A3" zoomScale="130" zoomScaleNormal="130" workbookViewId="0">
      <selection activeCell="B4" sqref="B4:I4"/>
    </sheetView>
  </sheetViews>
  <sheetFormatPr defaultRowHeight="15" x14ac:dyDescent="0.25"/>
  <cols>
    <col min="1" max="1" width="1.42578125" style="1" customWidth="1"/>
    <col min="2" max="2" width="33.85546875" style="2" bestFit="1" customWidth="1"/>
    <col min="3" max="3" width="21.7109375" style="1" customWidth="1"/>
    <col min="4" max="4" width="13.7109375" style="1" customWidth="1"/>
    <col min="5" max="5" width="15" style="1" customWidth="1"/>
    <col min="6" max="6" width="12.5703125" style="1" customWidth="1"/>
    <col min="7" max="7" width="12.7109375" style="1" customWidth="1"/>
    <col min="8" max="16384" width="9.140625" style="1"/>
  </cols>
  <sheetData>
    <row r="1" spans="2:9" ht="9.75" customHeight="1" x14ac:dyDescent="0.25"/>
    <row r="2" spans="2:9" hidden="1" x14ac:dyDescent="0.25"/>
    <row r="4" spans="2:9" ht="30" customHeight="1" x14ac:dyDescent="0.25">
      <c r="B4" s="63" t="s">
        <v>6</v>
      </c>
      <c r="C4" s="63"/>
      <c r="D4" s="63"/>
      <c r="E4" s="63"/>
      <c r="F4" s="63"/>
      <c r="G4" s="63"/>
      <c r="H4" s="63"/>
      <c r="I4" s="63"/>
    </row>
    <row r="5" spans="2:9" x14ac:dyDescent="0.25">
      <c r="D5" s="3"/>
      <c r="E5" s="3"/>
      <c r="F5" s="3"/>
      <c r="G5" s="3"/>
    </row>
    <row r="6" spans="2:9" ht="15.75" thickBot="1" x14ac:dyDescent="0.3">
      <c r="B6" s="4"/>
      <c r="D6" s="5"/>
      <c r="E6" s="5"/>
    </row>
    <row r="7" spans="2:9" ht="46.5" thickTop="1" thickBot="1" x14ac:dyDescent="0.3">
      <c r="B7" s="64" t="s">
        <v>14</v>
      </c>
      <c r="C7" s="65"/>
      <c r="D7" s="21" t="s">
        <v>13</v>
      </c>
      <c r="E7" s="22" t="s">
        <v>15</v>
      </c>
    </row>
    <row r="8" spans="2:9" ht="16.5" thickTop="1" thickBot="1" x14ac:dyDescent="0.3">
      <c r="B8" s="6" t="s">
        <v>16</v>
      </c>
      <c r="C8" s="7" t="s">
        <v>4</v>
      </c>
      <c r="D8" s="8">
        <v>0.04</v>
      </c>
      <c r="E8" s="9" t="s">
        <v>8</v>
      </c>
    </row>
    <row r="9" spans="2:9" ht="26.25" thickBot="1" x14ac:dyDescent="0.3">
      <c r="B9" s="6" t="s">
        <v>17</v>
      </c>
      <c r="C9" s="10" t="s">
        <v>5</v>
      </c>
      <c r="D9" s="8">
        <v>7.2999999999999995E-2</v>
      </c>
      <c r="E9" s="11">
        <v>5940</v>
      </c>
    </row>
    <row r="10" spans="2:9" ht="26.25" thickBot="1" x14ac:dyDescent="0.3">
      <c r="B10" s="6" t="s">
        <v>18</v>
      </c>
      <c r="C10" s="10" t="s">
        <v>9</v>
      </c>
      <c r="D10" s="8">
        <v>9.5000000000000001E-2</v>
      </c>
      <c r="E10" s="11">
        <v>13860</v>
      </c>
    </row>
    <row r="11" spans="2:9" ht="26.25" thickBot="1" x14ac:dyDescent="0.3">
      <c r="B11" s="6" t="s">
        <v>19</v>
      </c>
      <c r="C11" s="10" t="s">
        <v>10</v>
      </c>
      <c r="D11" s="8">
        <v>0.107</v>
      </c>
      <c r="E11" s="11">
        <v>22500</v>
      </c>
    </row>
    <row r="12" spans="2:9" ht="26.25" thickBot="1" x14ac:dyDescent="0.3">
      <c r="B12" s="6" t="s">
        <v>20</v>
      </c>
      <c r="C12" s="10" t="s">
        <v>11</v>
      </c>
      <c r="D12" s="8">
        <v>0.14299999999999999</v>
      </c>
      <c r="E12" s="11">
        <v>87300</v>
      </c>
    </row>
    <row r="13" spans="2:9" ht="25.5" x14ac:dyDescent="0.25">
      <c r="B13" s="12" t="s">
        <v>21</v>
      </c>
      <c r="C13" s="13" t="s">
        <v>12</v>
      </c>
      <c r="D13" s="14">
        <v>0.19</v>
      </c>
      <c r="E13" s="15">
        <v>378000</v>
      </c>
    </row>
    <row r="14" spans="2:9" x14ac:dyDescent="0.25">
      <c r="B14" s="1"/>
    </row>
    <row r="15" spans="2:9" x14ac:dyDescent="0.25">
      <c r="B15" s="1"/>
    </row>
    <row r="16" spans="2:9" ht="15.75" thickBot="1" x14ac:dyDescent="0.3">
      <c r="B16" s="5"/>
    </row>
    <row r="17" spans="2:9" ht="15.75" customHeight="1" thickTop="1" thickBot="1" x14ac:dyDescent="0.3">
      <c r="B17" s="66" t="s">
        <v>22</v>
      </c>
      <c r="C17" s="68" t="s">
        <v>23</v>
      </c>
      <c r="D17" s="69"/>
      <c r="E17" s="69"/>
      <c r="F17" s="69"/>
      <c r="G17" s="69"/>
      <c r="H17" s="70"/>
    </row>
    <row r="18" spans="2:9" ht="16.5" thickTop="1" thickBot="1" x14ac:dyDescent="0.3">
      <c r="B18" s="67"/>
      <c r="C18" s="23" t="s">
        <v>0</v>
      </c>
      <c r="D18" s="24" t="s">
        <v>1</v>
      </c>
      <c r="E18" s="25" t="s">
        <v>24</v>
      </c>
      <c r="F18" s="26" t="s">
        <v>7</v>
      </c>
      <c r="G18" s="27" t="s">
        <v>2</v>
      </c>
      <c r="H18" s="23" t="s">
        <v>3</v>
      </c>
    </row>
    <row r="19" spans="2:9" ht="16.5" thickTop="1" thickBot="1" x14ac:dyDescent="0.3">
      <c r="B19" s="16" t="s">
        <v>16</v>
      </c>
      <c r="C19" s="8">
        <v>5.5E-2</v>
      </c>
      <c r="D19" s="8">
        <v>3.5000000000000003E-2</v>
      </c>
      <c r="E19" s="17">
        <v>0.12740000000000001</v>
      </c>
      <c r="F19" s="8">
        <v>2.76E-2</v>
      </c>
      <c r="G19" s="8">
        <v>0.41499999999999998</v>
      </c>
      <c r="H19" s="18">
        <v>0.34</v>
      </c>
    </row>
    <row r="20" spans="2:9" ht="15.75" thickBot="1" x14ac:dyDescent="0.3">
      <c r="B20" s="6" t="s">
        <v>17</v>
      </c>
      <c r="C20" s="8">
        <v>5.5E-2</v>
      </c>
      <c r="D20" s="8">
        <v>3.5000000000000003E-2</v>
      </c>
      <c r="E20" s="8">
        <v>0.12740000000000001</v>
      </c>
      <c r="F20" s="8">
        <v>2.76E-2</v>
      </c>
      <c r="G20" s="8">
        <v>0.41499999999999998</v>
      </c>
      <c r="H20" s="19">
        <v>0.34</v>
      </c>
    </row>
    <row r="21" spans="2:9" ht="15.75" thickBot="1" x14ac:dyDescent="0.3">
      <c r="B21" s="6" t="s">
        <v>18</v>
      </c>
      <c r="C21" s="8">
        <v>5.5E-2</v>
      </c>
      <c r="D21" s="8">
        <v>3.5000000000000003E-2</v>
      </c>
      <c r="E21" s="8">
        <v>0.12740000000000001</v>
      </c>
      <c r="F21" s="8">
        <v>2.76E-2</v>
      </c>
      <c r="G21" s="8">
        <v>0.42</v>
      </c>
      <c r="H21" s="19">
        <v>0.33500000000000002</v>
      </c>
      <c r="I21" s="62">
        <f>E21+F21</f>
        <v>0.15500000000000003</v>
      </c>
    </row>
    <row r="22" spans="2:9" ht="15.75" thickBot="1" x14ac:dyDescent="0.3">
      <c r="B22" s="6" t="s">
        <v>19</v>
      </c>
      <c r="C22" s="8">
        <v>5.5E-2</v>
      </c>
      <c r="D22" s="8">
        <v>3.5000000000000003E-2</v>
      </c>
      <c r="E22" s="8">
        <v>0.12740000000000001</v>
      </c>
      <c r="F22" s="8">
        <v>2.76E-2</v>
      </c>
      <c r="G22" s="8">
        <v>0.42</v>
      </c>
      <c r="H22" s="19">
        <v>0.33500000000000002</v>
      </c>
    </row>
    <row r="23" spans="2:9" ht="15.75" thickBot="1" x14ac:dyDescent="0.3">
      <c r="B23" s="6" t="s">
        <v>20</v>
      </c>
      <c r="C23" s="8">
        <v>5.5E-2</v>
      </c>
      <c r="D23" s="8">
        <v>3.5000000000000003E-2</v>
      </c>
      <c r="E23" s="8">
        <v>0.12740000000000001</v>
      </c>
      <c r="F23" s="8">
        <v>2.76E-2</v>
      </c>
      <c r="G23" s="8">
        <v>0.42</v>
      </c>
      <c r="H23" s="19">
        <v>0.33500000000000002</v>
      </c>
    </row>
    <row r="24" spans="2:9" x14ac:dyDescent="0.25">
      <c r="B24" s="12" t="s">
        <v>21</v>
      </c>
      <c r="C24" s="14">
        <v>0.13500000000000001</v>
      </c>
      <c r="D24" s="14">
        <v>0.1</v>
      </c>
      <c r="E24" s="14">
        <v>0.28270000000000001</v>
      </c>
      <c r="F24" s="14">
        <v>6.13E-2</v>
      </c>
      <c r="G24" s="14">
        <v>0.42099999999999999</v>
      </c>
      <c r="H24" s="20" t="s">
        <v>8</v>
      </c>
    </row>
    <row r="25" spans="2:9" x14ac:dyDescent="0.25">
      <c r="B25" s="1"/>
    </row>
    <row r="26" spans="2:9" x14ac:dyDescent="0.25">
      <c r="B26" s="1"/>
    </row>
  </sheetData>
  <mergeCells count="4">
    <mergeCell ref="B4:I4"/>
    <mergeCell ref="B7:C7"/>
    <mergeCell ref="B17:B18"/>
    <mergeCell ref="C17:H1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27"/>
  <sheetViews>
    <sheetView showGridLines="0" zoomScaleNormal="100" workbookViewId="0">
      <selection activeCell="B2" sqref="B2:M2"/>
    </sheetView>
  </sheetViews>
  <sheetFormatPr defaultRowHeight="15" x14ac:dyDescent="0.25"/>
  <cols>
    <col min="1" max="1" width="2.28515625" style="1" customWidth="1"/>
    <col min="2" max="2" width="42.85546875" style="2" customWidth="1"/>
    <col min="3" max="3" width="24.42578125" style="1" customWidth="1"/>
    <col min="4" max="4" width="4" style="1" customWidth="1"/>
    <col min="5" max="5" width="25.140625" style="1" customWidth="1"/>
    <col min="6" max="6" width="7.5703125" style="1" customWidth="1"/>
    <col min="7" max="7" width="33" style="1" customWidth="1"/>
    <col min="8" max="8" width="18.5703125" style="1" customWidth="1"/>
    <col min="9" max="9" width="10.85546875" style="1" customWidth="1"/>
    <col min="10" max="10" width="9.85546875" style="1" customWidth="1"/>
    <col min="11" max="11" width="12.5703125" style="1" customWidth="1"/>
    <col min="12" max="12" width="25.140625" style="1" customWidth="1"/>
    <col min="13" max="13" width="15.7109375" style="1" customWidth="1"/>
    <col min="14" max="14" width="13.28515625" style="1" bestFit="1" customWidth="1"/>
    <col min="15" max="16384" width="9.140625" style="1"/>
  </cols>
  <sheetData>
    <row r="2" spans="1:14" ht="36" customHeight="1" x14ac:dyDescent="0.25">
      <c r="B2" s="71" t="s">
        <v>6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4" ht="21.75" customHeight="1" thickBot="1" x14ac:dyDescent="0.3">
      <c r="B3" s="34"/>
      <c r="C3" s="34"/>
      <c r="D3" s="34"/>
      <c r="E3" s="34"/>
      <c r="F3" s="34"/>
      <c r="G3" s="34"/>
      <c r="H3" s="34"/>
      <c r="I3" s="34"/>
      <c r="J3" s="34"/>
      <c r="K3" s="33"/>
      <c r="L3" s="33"/>
    </row>
    <row r="4" spans="1:14" ht="42" customHeight="1" thickTop="1" thickBot="1" x14ac:dyDescent="0.3">
      <c r="B4" s="35" t="s">
        <v>38</v>
      </c>
      <c r="C4" s="78">
        <v>111540</v>
      </c>
      <c r="D4" s="79"/>
      <c r="E4" s="3"/>
      <c r="F4" s="3"/>
      <c r="G4" s="87" t="s">
        <v>41</v>
      </c>
      <c r="H4" s="88"/>
      <c r="I4" s="88"/>
      <c r="J4" s="88"/>
      <c r="K4" s="88"/>
      <c r="L4" s="88"/>
      <c r="M4" s="89"/>
    </row>
    <row r="5" spans="1:14" ht="37.5" customHeight="1" thickTop="1" thickBot="1" x14ac:dyDescent="0.3">
      <c r="B5" s="28"/>
      <c r="E5" s="3"/>
      <c r="F5" s="3"/>
      <c r="G5" s="52"/>
      <c r="H5" s="83" t="s">
        <v>31</v>
      </c>
      <c r="I5" s="84"/>
      <c r="J5" s="83" t="s">
        <v>32</v>
      </c>
      <c r="K5" s="84"/>
      <c r="L5" s="83" t="s">
        <v>31</v>
      </c>
      <c r="M5" s="85"/>
    </row>
    <row r="6" spans="1:14" ht="30" customHeight="1" thickTop="1" thickBot="1" x14ac:dyDescent="0.35">
      <c r="A6" s="29"/>
      <c r="B6" s="32" t="s">
        <v>39</v>
      </c>
      <c r="C6" s="78">
        <v>111540</v>
      </c>
      <c r="D6" s="79"/>
      <c r="F6" s="30"/>
      <c r="G6" s="53" t="s">
        <v>36</v>
      </c>
      <c r="H6" s="78">
        <f>C4</f>
        <v>111540</v>
      </c>
      <c r="I6" s="79"/>
      <c r="J6" s="72">
        <f>C14</f>
        <v>6.1220348759544664E-2</v>
      </c>
      <c r="K6" s="73"/>
      <c r="L6" s="78">
        <f>H6*J6</f>
        <v>6828.5177006396116</v>
      </c>
      <c r="M6" s="86"/>
    </row>
    <row r="7" spans="1:14" ht="30" customHeight="1" thickTop="1" thickBot="1" x14ac:dyDescent="0.35">
      <c r="A7" s="4"/>
      <c r="B7" s="40"/>
      <c r="C7" s="36"/>
      <c r="D7" s="36"/>
      <c r="E7" s="4"/>
      <c r="F7" s="37"/>
      <c r="G7" s="55"/>
      <c r="H7" s="36"/>
      <c r="I7" s="36"/>
      <c r="J7" s="46"/>
      <c r="K7" s="46"/>
      <c r="L7" s="47"/>
      <c r="M7" s="56"/>
      <c r="N7" s="4"/>
    </row>
    <row r="8" spans="1:14" ht="30" customHeight="1" thickTop="1" thickBot="1" x14ac:dyDescent="0.35">
      <c r="A8" s="43"/>
      <c r="B8" s="42" t="s">
        <v>25</v>
      </c>
      <c r="C8" s="78">
        <v>410306.19</v>
      </c>
      <c r="D8" s="79"/>
      <c r="E8" s="30"/>
      <c r="F8" s="37"/>
      <c r="G8" s="97" t="s">
        <v>42</v>
      </c>
      <c r="H8" s="98"/>
      <c r="I8" s="99"/>
      <c r="J8" s="94">
        <f>L6</f>
        <v>6828.5177006396116</v>
      </c>
      <c r="K8" s="95"/>
      <c r="L8" s="95"/>
      <c r="M8" s="96"/>
    </row>
    <row r="9" spans="1:14" ht="30" customHeight="1" thickTop="1" thickBot="1" x14ac:dyDescent="0.35">
      <c r="A9" s="43"/>
      <c r="B9" s="59" t="s">
        <v>27</v>
      </c>
      <c r="C9" s="76">
        <v>13860</v>
      </c>
      <c r="D9" s="77"/>
      <c r="E9" s="30"/>
      <c r="F9" s="30"/>
      <c r="G9" s="44"/>
      <c r="H9" s="44"/>
      <c r="I9" s="44"/>
      <c r="J9" s="44"/>
      <c r="K9" s="44"/>
      <c r="L9" s="44"/>
      <c r="M9" s="44"/>
    </row>
    <row r="10" spans="1:14" ht="30" customHeight="1" thickTop="1" thickBot="1" x14ac:dyDescent="0.35">
      <c r="A10" s="43"/>
      <c r="B10" s="41" t="s">
        <v>26</v>
      </c>
      <c r="C10" s="80">
        <v>9.5000000000000001E-2</v>
      </c>
      <c r="D10" s="81"/>
      <c r="E10" s="30"/>
      <c r="F10" s="30"/>
      <c r="G10" s="38"/>
      <c r="H10" s="82"/>
      <c r="I10" s="82"/>
      <c r="J10" s="74"/>
      <c r="K10" s="75"/>
      <c r="L10" s="116"/>
      <c r="M10" s="116"/>
    </row>
    <row r="11" spans="1:14" ht="30.75" customHeight="1" thickTop="1" thickBot="1" x14ac:dyDescent="0.35">
      <c r="A11" s="43"/>
      <c r="B11" s="41" t="s">
        <v>34</v>
      </c>
      <c r="C11" s="80">
        <v>0</v>
      </c>
      <c r="D11" s="81"/>
      <c r="E11" s="30"/>
      <c r="F11" s="30"/>
      <c r="H11" s="117" t="s">
        <v>43</v>
      </c>
      <c r="I11" s="118"/>
      <c r="J11" s="119"/>
      <c r="K11" s="60">
        <v>0</v>
      </c>
      <c r="L11" s="115"/>
      <c r="M11" s="116"/>
    </row>
    <row r="12" spans="1:14" ht="30.75" customHeight="1" thickTop="1" thickBot="1" x14ac:dyDescent="0.3">
      <c r="B12" s="41" t="s">
        <v>35</v>
      </c>
      <c r="C12" s="106">
        <v>0</v>
      </c>
      <c r="D12" s="107"/>
      <c r="K12" s="49"/>
    </row>
    <row r="13" spans="1:14" ht="30.75" customHeight="1" thickTop="1" thickBot="1" x14ac:dyDescent="0.3">
      <c r="B13" s="108"/>
      <c r="C13" s="108"/>
      <c r="D13" s="108"/>
      <c r="E13" s="4"/>
    </row>
    <row r="14" spans="1:14" ht="52.5" customHeight="1" thickTop="1" thickBot="1" x14ac:dyDescent="0.3">
      <c r="B14" s="58" t="s">
        <v>33</v>
      </c>
      <c r="C14" s="80">
        <f>H21</f>
        <v>6.1220348759544664E-2</v>
      </c>
      <c r="D14" s="81"/>
    </row>
    <row r="15" spans="1:14" ht="19.5" customHeight="1" thickTop="1" x14ac:dyDescent="0.25"/>
    <row r="16" spans="1:14" ht="15.75" thickBot="1" x14ac:dyDescent="0.3"/>
    <row r="17" spans="2:11" ht="23.25" customHeight="1" x14ac:dyDescent="0.25">
      <c r="B17" s="109" t="s">
        <v>28</v>
      </c>
      <c r="C17" s="110"/>
      <c r="D17" s="110"/>
      <c r="E17" s="110"/>
      <c r="F17" s="111"/>
    </row>
    <row r="18" spans="2:11" ht="27" customHeight="1" thickBot="1" x14ac:dyDescent="0.3">
      <c r="B18" s="112" t="s">
        <v>40</v>
      </c>
      <c r="C18" s="113"/>
      <c r="D18" s="113"/>
      <c r="E18" s="113"/>
      <c r="F18" s="114"/>
    </row>
    <row r="20" spans="2:11" ht="15.75" thickBot="1" x14ac:dyDescent="0.3">
      <c r="H20" s="4"/>
    </row>
    <row r="21" spans="2:11" ht="18.75" thickTop="1" x14ac:dyDescent="0.25">
      <c r="B21" s="48">
        <f>C8*C10</f>
        <v>38979.088049999998</v>
      </c>
      <c r="C21" s="105" t="s">
        <v>8</v>
      </c>
      <c r="D21" s="105"/>
      <c r="E21" s="100">
        <f>C9</f>
        <v>13860</v>
      </c>
      <c r="F21" s="101"/>
      <c r="G21" s="50">
        <f>B21-E21</f>
        <v>25119.088049999998</v>
      </c>
      <c r="H21" s="90">
        <f>G21/G22</f>
        <v>6.1220348759544664E-2</v>
      </c>
      <c r="I21" s="91"/>
    </row>
    <row r="22" spans="2:11" ht="18.75" thickBot="1" x14ac:dyDescent="0.3">
      <c r="B22" s="102">
        <f>C8</f>
        <v>410306.19</v>
      </c>
      <c r="C22" s="103"/>
      <c r="D22" s="103"/>
      <c r="E22" s="103"/>
      <c r="F22" s="104"/>
      <c r="G22" s="51">
        <f>B22</f>
        <v>410306.19</v>
      </c>
      <c r="H22" s="92"/>
      <c r="I22" s="93"/>
      <c r="J22" s="31"/>
      <c r="K22" s="31"/>
    </row>
    <row r="23" spans="2:11" x14ac:dyDescent="0.25">
      <c r="H23" s="4"/>
    </row>
    <row r="26" spans="2:11" x14ac:dyDescent="0.25">
      <c r="D26" s="4"/>
    </row>
    <row r="27" spans="2:11" x14ac:dyDescent="0.25">
      <c r="D27" s="4"/>
    </row>
  </sheetData>
  <mergeCells count="30">
    <mergeCell ref="H21:I22"/>
    <mergeCell ref="J8:M8"/>
    <mergeCell ref="G8:I8"/>
    <mergeCell ref="E21:F21"/>
    <mergeCell ref="B22:F22"/>
    <mergeCell ref="C21:D21"/>
    <mergeCell ref="C12:D12"/>
    <mergeCell ref="C14:D14"/>
    <mergeCell ref="B13:D13"/>
    <mergeCell ref="B17:F17"/>
    <mergeCell ref="B18:F18"/>
    <mergeCell ref="L11:M11"/>
    <mergeCell ref="L10:M10"/>
    <mergeCell ref="C11:D11"/>
    <mergeCell ref="H11:J11"/>
    <mergeCell ref="B2:M2"/>
    <mergeCell ref="J6:K6"/>
    <mergeCell ref="J10:K10"/>
    <mergeCell ref="C9:D9"/>
    <mergeCell ref="C6:D6"/>
    <mergeCell ref="C8:D8"/>
    <mergeCell ref="C10:D10"/>
    <mergeCell ref="H6:I6"/>
    <mergeCell ref="H10:I10"/>
    <mergeCell ref="C4:D4"/>
    <mergeCell ref="H5:I5"/>
    <mergeCell ref="J5:K5"/>
    <mergeCell ref="L5:M5"/>
    <mergeCell ref="L6:M6"/>
    <mergeCell ref="G4:M4"/>
  </mergeCells>
  <pageMargins left="0.511811024" right="0.511811024" top="0.78740157499999996" bottom="0.78740157499999996" header="0.31496062000000002" footer="0.31496062000000002"/>
  <pageSetup paperSize="9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27"/>
  <sheetViews>
    <sheetView zoomScaleNormal="100" workbookViewId="0">
      <selection activeCell="B2" sqref="B2:M2"/>
    </sheetView>
  </sheetViews>
  <sheetFormatPr defaultRowHeight="15" x14ac:dyDescent="0.25"/>
  <cols>
    <col min="1" max="1" width="2.28515625" style="1" customWidth="1"/>
    <col min="2" max="2" width="42.85546875" style="2" customWidth="1"/>
    <col min="3" max="3" width="24.42578125" style="1" customWidth="1"/>
    <col min="4" max="4" width="4" style="1" customWidth="1"/>
    <col min="5" max="5" width="25.140625" style="1" customWidth="1"/>
    <col min="6" max="6" width="7.5703125" style="1" customWidth="1"/>
    <col min="7" max="7" width="33" style="1" customWidth="1"/>
    <col min="8" max="8" width="18.5703125" style="1" customWidth="1"/>
    <col min="9" max="9" width="10.85546875" style="1" customWidth="1"/>
    <col min="10" max="10" width="9.85546875" style="1" customWidth="1"/>
    <col min="11" max="11" width="12.5703125" style="1" customWidth="1"/>
    <col min="12" max="12" width="25.140625" style="1" customWidth="1"/>
    <col min="13" max="13" width="15.7109375" style="1" customWidth="1"/>
    <col min="14" max="14" width="13.28515625" style="1" bestFit="1" customWidth="1"/>
    <col min="15" max="16384" width="9.140625" style="1"/>
  </cols>
  <sheetData>
    <row r="2" spans="1:14" ht="36" customHeight="1" x14ac:dyDescent="0.25">
      <c r="B2" s="71" t="s">
        <v>6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4" ht="21.75" customHeight="1" thickBot="1" x14ac:dyDescent="0.3">
      <c r="B3" s="34"/>
      <c r="C3" s="34"/>
      <c r="D3" s="34"/>
      <c r="E3" s="34"/>
      <c r="F3" s="34"/>
      <c r="G3" s="34"/>
      <c r="H3" s="34"/>
      <c r="I3" s="34"/>
      <c r="J3" s="34"/>
      <c r="K3" s="33"/>
      <c r="L3" s="33"/>
    </row>
    <row r="4" spans="1:14" ht="42" customHeight="1" thickTop="1" thickBot="1" x14ac:dyDescent="0.3">
      <c r="B4" s="35" t="s">
        <v>38</v>
      </c>
      <c r="C4" s="78">
        <v>111540</v>
      </c>
      <c r="D4" s="79"/>
      <c r="E4" s="3"/>
      <c r="F4" s="3"/>
      <c r="G4" s="87" t="s">
        <v>41</v>
      </c>
      <c r="H4" s="88"/>
      <c r="I4" s="88"/>
      <c r="J4" s="88"/>
      <c r="K4" s="88"/>
      <c r="L4" s="88"/>
      <c r="M4" s="89"/>
    </row>
    <row r="5" spans="1:14" ht="37.5" customHeight="1" thickTop="1" thickBot="1" x14ac:dyDescent="0.3">
      <c r="B5" s="28"/>
      <c r="E5" s="3"/>
      <c r="F5" s="3"/>
      <c r="G5" s="52"/>
      <c r="H5" s="83" t="s">
        <v>31</v>
      </c>
      <c r="I5" s="84"/>
      <c r="J5" s="83" t="s">
        <v>32</v>
      </c>
      <c r="K5" s="84"/>
      <c r="L5" s="83" t="s">
        <v>31</v>
      </c>
      <c r="M5" s="85"/>
    </row>
    <row r="6" spans="1:14" ht="30" customHeight="1" thickTop="1" thickBot="1" x14ac:dyDescent="0.35">
      <c r="A6" s="29"/>
      <c r="B6" s="32" t="s">
        <v>39</v>
      </c>
      <c r="C6" s="78">
        <v>36154</v>
      </c>
      <c r="D6" s="79"/>
      <c r="F6" s="30"/>
      <c r="G6" s="53" t="s">
        <v>36</v>
      </c>
      <c r="H6" s="78">
        <f>C6</f>
        <v>36154</v>
      </c>
      <c r="I6" s="79"/>
      <c r="J6" s="72">
        <f>C14</f>
        <v>6.1220348759544664E-2</v>
      </c>
      <c r="K6" s="73"/>
      <c r="L6" s="78">
        <f>H6*J6</f>
        <v>2213.3604890525776</v>
      </c>
      <c r="M6" s="86"/>
    </row>
    <row r="7" spans="1:14" ht="30" customHeight="1" thickTop="1" thickBot="1" x14ac:dyDescent="0.35">
      <c r="A7" s="29"/>
      <c r="B7" s="32" t="s">
        <v>30</v>
      </c>
      <c r="C7" s="78">
        <v>75386</v>
      </c>
      <c r="D7" s="79"/>
      <c r="F7" s="30"/>
      <c r="G7" s="54" t="s">
        <v>51</v>
      </c>
      <c r="H7" s="78">
        <f>C7</f>
        <v>75386</v>
      </c>
      <c r="I7" s="79"/>
      <c r="J7" s="72">
        <f>C14-C12</f>
        <v>4.0711531925097202E-2</v>
      </c>
      <c r="K7" s="73"/>
      <c r="L7" s="78">
        <f>H7*J7</f>
        <v>3069.0795457053778</v>
      </c>
      <c r="M7" s="86"/>
    </row>
    <row r="8" spans="1:14" ht="30" customHeight="1" thickTop="1" thickBot="1" x14ac:dyDescent="0.35">
      <c r="A8" s="4"/>
      <c r="B8" s="57"/>
      <c r="C8" s="45"/>
      <c r="D8" s="45"/>
      <c r="E8" s="4"/>
      <c r="F8" s="37"/>
      <c r="G8" s="55"/>
      <c r="H8" s="45"/>
      <c r="I8" s="45"/>
      <c r="J8" s="46"/>
      <c r="K8" s="46"/>
      <c r="L8" s="47"/>
      <c r="M8" s="56"/>
      <c r="N8" s="4"/>
    </row>
    <row r="9" spans="1:14" ht="30" customHeight="1" thickTop="1" thickBot="1" x14ac:dyDescent="0.35">
      <c r="A9" s="43"/>
      <c r="B9" s="42" t="s">
        <v>25</v>
      </c>
      <c r="C9" s="78">
        <v>410306.19</v>
      </c>
      <c r="D9" s="79"/>
      <c r="E9" s="30"/>
      <c r="F9" s="37"/>
      <c r="G9" s="97" t="s">
        <v>42</v>
      </c>
      <c r="H9" s="98"/>
      <c r="I9" s="99"/>
      <c r="J9" s="94">
        <f>SUM(L6:M7)</f>
        <v>5282.4400347579558</v>
      </c>
      <c r="K9" s="95"/>
      <c r="L9" s="95"/>
      <c r="M9" s="96"/>
    </row>
    <row r="10" spans="1:14" ht="30" customHeight="1" thickTop="1" thickBot="1" x14ac:dyDescent="0.35">
      <c r="A10" s="43"/>
      <c r="B10" s="59" t="s">
        <v>27</v>
      </c>
      <c r="C10" s="76">
        <v>13860</v>
      </c>
      <c r="D10" s="77"/>
      <c r="E10" s="30"/>
      <c r="F10" s="30"/>
      <c r="G10" s="44"/>
      <c r="H10" s="44"/>
      <c r="I10" s="44"/>
      <c r="J10" s="44"/>
      <c r="K10" s="44"/>
      <c r="L10" s="44"/>
      <c r="M10" s="44"/>
    </row>
    <row r="11" spans="1:14" ht="30" customHeight="1" thickTop="1" thickBot="1" x14ac:dyDescent="0.35">
      <c r="A11" s="43"/>
      <c r="B11" s="41" t="s">
        <v>26</v>
      </c>
      <c r="C11" s="80">
        <v>9.5000000000000001E-2</v>
      </c>
      <c r="D11" s="81"/>
      <c r="E11" s="30"/>
      <c r="F11" s="30"/>
      <c r="G11" s="38"/>
      <c r="H11" s="82"/>
      <c r="I11" s="82"/>
      <c r="J11" s="74"/>
      <c r="K11" s="75"/>
      <c r="L11" s="116"/>
      <c r="M11" s="116"/>
    </row>
    <row r="12" spans="1:14" ht="30.75" customHeight="1" thickTop="1" thickBot="1" x14ac:dyDescent="0.35">
      <c r="A12" s="43"/>
      <c r="B12" s="41" t="s">
        <v>34</v>
      </c>
      <c r="C12" s="80">
        <f>C14*33.5%</f>
        <v>2.0508816834447465E-2</v>
      </c>
      <c r="D12" s="81"/>
      <c r="E12" s="30"/>
      <c r="F12" s="30"/>
      <c r="H12" s="117" t="s">
        <v>43</v>
      </c>
      <c r="I12" s="118"/>
      <c r="J12" s="119"/>
      <c r="K12" s="60">
        <v>0</v>
      </c>
      <c r="L12" s="115"/>
      <c r="M12" s="116"/>
    </row>
    <row r="13" spans="1:14" ht="30.75" customHeight="1" thickTop="1" thickBot="1" x14ac:dyDescent="0.3">
      <c r="B13" s="108"/>
      <c r="C13" s="108"/>
      <c r="D13" s="108"/>
      <c r="E13" s="4"/>
    </row>
    <row r="14" spans="1:14" ht="52.5" customHeight="1" thickTop="1" thickBot="1" x14ac:dyDescent="0.3">
      <c r="B14" s="58" t="s">
        <v>33</v>
      </c>
      <c r="C14" s="80">
        <v>6.1220348759544664E-2</v>
      </c>
      <c r="D14" s="81"/>
    </row>
    <row r="15" spans="1:14" ht="19.5" customHeight="1" thickTop="1" x14ac:dyDescent="0.25"/>
    <row r="16" spans="1:14" ht="15.75" thickBot="1" x14ac:dyDescent="0.3"/>
    <row r="17" spans="2:11" ht="23.25" customHeight="1" x14ac:dyDescent="0.25">
      <c r="B17" s="109" t="s">
        <v>28</v>
      </c>
      <c r="C17" s="110"/>
      <c r="D17" s="110"/>
      <c r="E17" s="110"/>
      <c r="F17" s="111"/>
    </row>
    <row r="18" spans="2:11" ht="27" customHeight="1" thickBot="1" x14ac:dyDescent="0.3">
      <c r="B18" s="112" t="s">
        <v>40</v>
      </c>
      <c r="C18" s="113"/>
      <c r="D18" s="113"/>
      <c r="E18" s="113"/>
      <c r="F18" s="114"/>
    </row>
    <row r="20" spans="2:11" ht="15.75" thickBot="1" x14ac:dyDescent="0.3">
      <c r="H20" s="4"/>
    </row>
    <row r="21" spans="2:11" ht="18.75" thickTop="1" x14ac:dyDescent="0.25">
      <c r="B21" s="48">
        <f>C9*C11</f>
        <v>38979.088049999998</v>
      </c>
      <c r="C21" s="105" t="s">
        <v>8</v>
      </c>
      <c r="D21" s="105"/>
      <c r="E21" s="100">
        <f>C10</f>
        <v>13860</v>
      </c>
      <c r="F21" s="101"/>
      <c r="G21" s="50">
        <f>B21-E21</f>
        <v>25119.088049999998</v>
      </c>
      <c r="H21" s="90">
        <f>G21/G22</f>
        <v>6.1220348759544664E-2</v>
      </c>
      <c r="I21" s="91"/>
    </row>
    <row r="22" spans="2:11" ht="18.75" thickBot="1" x14ac:dyDescent="0.3">
      <c r="B22" s="102">
        <f>C9</f>
        <v>410306.19</v>
      </c>
      <c r="C22" s="103"/>
      <c r="D22" s="103"/>
      <c r="E22" s="103"/>
      <c r="F22" s="104"/>
      <c r="G22" s="51">
        <f>B22</f>
        <v>410306.19</v>
      </c>
      <c r="H22" s="92"/>
      <c r="I22" s="93"/>
      <c r="J22" s="31"/>
      <c r="K22" s="31"/>
    </row>
    <row r="23" spans="2:11" x14ac:dyDescent="0.25">
      <c r="H23" s="4"/>
    </row>
    <row r="26" spans="2:11" x14ac:dyDescent="0.25">
      <c r="D26" s="4"/>
    </row>
    <row r="27" spans="2:11" x14ac:dyDescent="0.25">
      <c r="D27" s="4"/>
    </row>
  </sheetData>
  <mergeCells count="33">
    <mergeCell ref="B2:M2"/>
    <mergeCell ref="C4:D4"/>
    <mergeCell ref="G4:M4"/>
    <mergeCell ref="H5:I5"/>
    <mergeCell ref="J5:K5"/>
    <mergeCell ref="L5:M5"/>
    <mergeCell ref="C6:D6"/>
    <mergeCell ref="H6:I6"/>
    <mergeCell ref="J6:K6"/>
    <mergeCell ref="L6:M6"/>
    <mergeCell ref="C7:D7"/>
    <mergeCell ref="H7:I7"/>
    <mergeCell ref="J7:K7"/>
    <mergeCell ref="L7:M7"/>
    <mergeCell ref="C12:D12"/>
    <mergeCell ref="H12:J12"/>
    <mergeCell ref="L12:M12"/>
    <mergeCell ref="C9:D9"/>
    <mergeCell ref="G9:I9"/>
    <mergeCell ref="J9:M9"/>
    <mergeCell ref="C10:D10"/>
    <mergeCell ref="C11:D11"/>
    <mergeCell ref="H11:I11"/>
    <mergeCell ref="J11:K11"/>
    <mergeCell ref="L11:M11"/>
    <mergeCell ref="H21:I22"/>
    <mergeCell ref="B22:F22"/>
    <mergeCell ref="B13:D13"/>
    <mergeCell ref="C14:D14"/>
    <mergeCell ref="B17:F17"/>
    <mergeCell ref="B18:F18"/>
    <mergeCell ref="C21:D21"/>
    <mergeCell ref="E21:F2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9"/>
  <sheetViews>
    <sheetView zoomScaleNormal="100" workbookViewId="0">
      <selection activeCell="B2" sqref="B2:M2"/>
    </sheetView>
  </sheetViews>
  <sheetFormatPr defaultRowHeight="15" x14ac:dyDescent="0.25"/>
  <cols>
    <col min="1" max="1" width="2.28515625" style="1" customWidth="1"/>
    <col min="2" max="2" width="42.85546875" style="2" customWidth="1"/>
    <col min="3" max="3" width="24.42578125" style="1" customWidth="1"/>
    <col min="4" max="4" width="4" style="1" customWidth="1"/>
    <col min="5" max="5" width="25.140625" style="1" customWidth="1"/>
    <col min="6" max="6" width="7.5703125" style="1" customWidth="1"/>
    <col min="7" max="7" width="33" style="1" customWidth="1"/>
    <col min="8" max="8" width="18.5703125" style="1" customWidth="1"/>
    <col min="9" max="9" width="10.85546875" style="1" customWidth="1"/>
    <col min="10" max="10" width="9.85546875" style="1" customWidth="1"/>
    <col min="11" max="11" width="12.5703125" style="1" customWidth="1"/>
    <col min="12" max="12" width="25.140625" style="1" customWidth="1"/>
    <col min="13" max="13" width="15.7109375" style="1" customWidth="1"/>
    <col min="14" max="14" width="13.28515625" style="1" bestFit="1" customWidth="1"/>
    <col min="15" max="16384" width="9.140625" style="1"/>
  </cols>
  <sheetData>
    <row r="2" spans="1:14" ht="36" customHeight="1" x14ac:dyDescent="0.25">
      <c r="B2" s="71" t="s">
        <v>6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4" ht="21.75" customHeight="1" thickBot="1" x14ac:dyDescent="0.3">
      <c r="B3" s="34"/>
      <c r="C3" s="34"/>
      <c r="D3" s="34"/>
      <c r="E3" s="34"/>
      <c r="F3" s="34"/>
      <c r="G3" s="34"/>
      <c r="H3" s="34"/>
      <c r="I3" s="34"/>
      <c r="J3" s="34"/>
      <c r="K3" s="33"/>
      <c r="L3" s="33"/>
    </row>
    <row r="4" spans="1:14" ht="42" customHeight="1" thickTop="1" thickBot="1" x14ac:dyDescent="0.3">
      <c r="B4" s="35" t="s">
        <v>38</v>
      </c>
      <c r="C4" s="78">
        <v>111540</v>
      </c>
      <c r="D4" s="79"/>
      <c r="E4" s="3"/>
      <c r="F4" s="3"/>
      <c r="G4" s="87" t="s">
        <v>41</v>
      </c>
      <c r="H4" s="88"/>
      <c r="I4" s="88"/>
      <c r="J4" s="88"/>
      <c r="K4" s="88"/>
      <c r="L4" s="88"/>
      <c r="M4" s="89"/>
    </row>
    <row r="5" spans="1:14" ht="37.5" customHeight="1" thickTop="1" thickBot="1" x14ac:dyDescent="0.3">
      <c r="B5" s="28"/>
      <c r="E5" s="3"/>
      <c r="F5" s="3"/>
      <c r="G5" s="52"/>
      <c r="H5" s="83" t="s">
        <v>31</v>
      </c>
      <c r="I5" s="84"/>
      <c r="J5" s="83" t="s">
        <v>32</v>
      </c>
      <c r="K5" s="84"/>
      <c r="L5" s="83" t="s">
        <v>31</v>
      </c>
      <c r="M5" s="85"/>
    </row>
    <row r="6" spans="1:14" ht="30" customHeight="1" thickTop="1" thickBot="1" x14ac:dyDescent="0.35">
      <c r="A6" s="29"/>
      <c r="B6" s="32" t="s">
        <v>39</v>
      </c>
      <c r="C6" s="78">
        <v>36154</v>
      </c>
      <c r="D6" s="79"/>
      <c r="F6" s="30"/>
      <c r="G6" s="53" t="s">
        <v>36</v>
      </c>
      <c r="H6" s="78">
        <f>C6</f>
        <v>36154</v>
      </c>
      <c r="I6" s="79"/>
      <c r="J6" s="72">
        <f>C16</f>
        <v>6.1220348759544664E-2</v>
      </c>
      <c r="K6" s="73"/>
      <c r="L6" s="78">
        <f>H6*J6</f>
        <v>2213.3604890525776</v>
      </c>
      <c r="M6" s="86"/>
    </row>
    <row r="7" spans="1:14" ht="30" customHeight="1" thickTop="1" thickBot="1" x14ac:dyDescent="0.35">
      <c r="A7" s="29"/>
      <c r="B7" s="32" t="s">
        <v>30</v>
      </c>
      <c r="C7" s="78">
        <v>37243</v>
      </c>
      <c r="D7" s="79"/>
      <c r="F7" s="30"/>
      <c r="G7" s="54" t="s">
        <v>37</v>
      </c>
      <c r="H7" s="78">
        <f>C7</f>
        <v>37243</v>
      </c>
      <c r="I7" s="79"/>
      <c r="J7" s="72">
        <f>C16-C13</f>
        <v>4.0711531925097202E-2</v>
      </c>
      <c r="K7" s="73"/>
      <c r="L7" s="78">
        <f t="shared" ref="L7:L8" si="0">H7*J7</f>
        <v>1516.2195834863951</v>
      </c>
      <c r="M7" s="86"/>
    </row>
    <row r="8" spans="1:14" ht="30" customHeight="1" thickTop="1" thickBot="1" x14ac:dyDescent="0.35">
      <c r="A8" s="29"/>
      <c r="B8" s="39" t="s">
        <v>29</v>
      </c>
      <c r="C8" s="78">
        <v>38143</v>
      </c>
      <c r="D8" s="79"/>
      <c r="F8" s="30"/>
      <c r="G8" s="54" t="s">
        <v>44</v>
      </c>
      <c r="H8" s="78">
        <f>C8</f>
        <v>38143</v>
      </c>
      <c r="I8" s="79"/>
      <c r="J8" s="72">
        <f>C16-C14</f>
        <v>5.1731194701815239E-2</v>
      </c>
      <c r="K8" s="73"/>
      <c r="L8" s="78">
        <f t="shared" si="0"/>
        <v>1973.1829595113386</v>
      </c>
      <c r="M8" s="86"/>
    </row>
    <row r="9" spans="1:14" ht="30" customHeight="1" thickTop="1" thickBot="1" x14ac:dyDescent="0.35">
      <c r="A9" s="4"/>
      <c r="B9" s="57"/>
      <c r="C9" s="45"/>
      <c r="D9" s="45"/>
      <c r="E9" s="4"/>
      <c r="F9" s="37"/>
      <c r="H9" s="45"/>
      <c r="I9" s="45"/>
      <c r="J9" s="46"/>
      <c r="K9" s="46"/>
      <c r="L9" s="47"/>
      <c r="M9" s="56"/>
      <c r="N9" s="4"/>
    </row>
    <row r="10" spans="1:14" ht="30" customHeight="1" thickTop="1" thickBot="1" x14ac:dyDescent="0.35">
      <c r="A10" s="43"/>
      <c r="B10" s="42" t="s">
        <v>25</v>
      </c>
      <c r="C10" s="78">
        <v>410306.19</v>
      </c>
      <c r="D10" s="79"/>
      <c r="E10" s="30"/>
      <c r="F10" s="37"/>
      <c r="G10" s="97" t="s">
        <v>42</v>
      </c>
      <c r="H10" s="98"/>
      <c r="I10" s="99"/>
      <c r="J10" s="94">
        <f>SUM(L6:M8)</f>
        <v>5702.7630320503113</v>
      </c>
      <c r="K10" s="95"/>
      <c r="L10" s="95"/>
      <c r="M10" s="96"/>
    </row>
    <row r="11" spans="1:14" ht="30" customHeight="1" thickTop="1" thickBot="1" x14ac:dyDescent="0.35">
      <c r="A11" s="43"/>
      <c r="B11" s="59" t="s">
        <v>27</v>
      </c>
      <c r="C11" s="76">
        <v>13860</v>
      </c>
      <c r="D11" s="77"/>
      <c r="E11" s="30"/>
      <c r="F11" s="30"/>
      <c r="G11" s="44"/>
      <c r="H11" s="44"/>
      <c r="I11" s="44"/>
      <c r="J11" s="44"/>
      <c r="K11" s="44"/>
      <c r="L11" s="44"/>
      <c r="M11" s="44"/>
    </row>
    <row r="12" spans="1:14" ht="30" customHeight="1" thickTop="1" thickBot="1" x14ac:dyDescent="0.35">
      <c r="A12" s="43"/>
      <c r="B12" s="41" t="s">
        <v>26</v>
      </c>
      <c r="C12" s="80">
        <v>9.5000000000000001E-2</v>
      </c>
      <c r="D12" s="81"/>
      <c r="E12" s="30"/>
      <c r="F12" s="30"/>
      <c r="G12" s="38"/>
      <c r="H12" s="82"/>
      <c r="I12" s="82"/>
      <c r="J12" s="74"/>
      <c r="K12" s="75"/>
      <c r="L12" s="116"/>
      <c r="M12" s="116"/>
    </row>
    <row r="13" spans="1:14" ht="30.75" customHeight="1" thickTop="1" thickBot="1" x14ac:dyDescent="0.35">
      <c r="A13" s="43"/>
      <c r="B13" s="41" t="s">
        <v>34</v>
      </c>
      <c r="C13" s="80">
        <f>C16*33.5%</f>
        <v>2.0508816834447465E-2</v>
      </c>
      <c r="D13" s="81"/>
      <c r="E13" s="30"/>
      <c r="F13" s="30"/>
      <c r="H13" s="117" t="s">
        <v>43</v>
      </c>
      <c r="I13" s="118"/>
      <c r="J13" s="119"/>
      <c r="K13" s="60">
        <f>C13</f>
        <v>2.0508816834447465E-2</v>
      </c>
      <c r="L13" s="115"/>
      <c r="M13" s="116"/>
    </row>
    <row r="14" spans="1:14" ht="30.75" customHeight="1" thickTop="1" thickBot="1" x14ac:dyDescent="0.3">
      <c r="B14" s="41" t="s">
        <v>35</v>
      </c>
      <c r="C14" s="106">
        <f>C16*15.5%</f>
        <v>9.4891540577294233E-3</v>
      </c>
      <c r="D14" s="107"/>
      <c r="K14" s="49"/>
    </row>
    <row r="15" spans="1:14" ht="30.75" customHeight="1" thickTop="1" thickBot="1" x14ac:dyDescent="0.3">
      <c r="B15" s="108"/>
      <c r="C15" s="108"/>
      <c r="D15" s="108"/>
      <c r="E15" s="4"/>
    </row>
    <row r="16" spans="1:14" ht="52.5" customHeight="1" thickTop="1" thickBot="1" x14ac:dyDescent="0.3">
      <c r="B16" s="58" t="s">
        <v>33</v>
      </c>
      <c r="C16" s="80">
        <f>H23</f>
        <v>6.1220348759544664E-2</v>
      </c>
      <c r="D16" s="81"/>
    </row>
    <row r="17" spans="2:11" ht="19.5" customHeight="1" thickTop="1" x14ac:dyDescent="0.25"/>
    <row r="18" spans="2:11" ht="15.75" thickBot="1" x14ac:dyDescent="0.3"/>
    <row r="19" spans="2:11" ht="23.25" customHeight="1" x14ac:dyDescent="0.25">
      <c r="B19" s="109" t="s">
        <v>28</v>
      </c>
      <c r="C19" s="110"/>
      <c r="D19" s="110"/>
      <c r="E19" s="110"/>
      <c r="F19" s="111"/>
    </row>
    <row r="20" spans="2:11" ht="27" customHeight="1" thickBot="1" x14ac:dyDescent="0.3">
      <c r="B20" s="112" t="s">
        <v>40</v>
      </c>
      <c r="C20" s="113"/>
      <c r="D20" s="113"/>
      <c r="E20" s="113"/>
      <c r="F20" s="114"/>
    </row>
    <row r="22" spans="2:11" ht="15.75" thickBot="1" x14ac:dyDescent="0.3">
      <c r="H22" s="4"/>
    </row>
    <row r="23" spans="2:11" ht="18.75" thickTop="1" x14ac:dyDescent="0.25">
      <c r="B23" s="48">
        <f>C10*C12</f>
        <v>38979.088049999998</v>
      </c>
      <c r="C23" s="105" t="s">
        <v>8</v>
      </c>
      <c r="D23" s="105"/>
      <c r="E23" s="100">
        <f>C11</f>
        <v>13860</v>
      </c>
      <c r="F23" s="101"/>
      <c r="G23" s="50">
        <f>B23-E23</f>
        <v>25119.088049999998</v>
      </c>
      <c r="H23" s="90">
        <f>G23/G24</f>
        <v>6.1220348759544664E-2</v>
      </c>
      <c r="I23" s="91"/>
    </row>
    <row r="24" spans="2:11" ht="18.75" thickBot="1" x14ac:dyDescent="0.3">
      <c r="B24" s="102">
        <f>C10</f>
        <v>410306.19</v>
      </c>
      <c r="C24" s="103"/>
      <c r="D24" s="103"/>
      <c r="E24" s="103"/>
      <c r="F24" s="104"/>
      <c r="G24" s="51">
        <f>B24</f>
        <v>410306.19</v>
      </c>
      <c r="H24" s="92"/>
      <c r="I24" s="93"/>
      <c r="J24" s="31"/>
      <c r="K24" s="31"/>
    </row>
    <row r="25" spans="2:11" x14ac:dyDescent="0.25">
      <c r="H25" s="4"/>
    </row>
    <row r="28" spans="2:11" x14ac:dyDescent="0.25">
      <c r="D28" s="4"/>
    </row>
    <row r="29" spans="2:11" x14ac:dyDescent="0.25">
      <c r="D29" s="4"/>
    </row>
  </sheetData>
  <mergeCells count="38">
    <mergeCell ref="B2:M2"/>
    <mergeCell ref="C4:D4"/>
    <mergeCell ref="G4:M4"/>
    <mergeCell ref="H5:I5"/>
    <mergeCell ref="J5:K5"/>
    <mergeCell ref="L5:M5"/>
    <mergeCell ref="C6:D6"/>
    <mergeCell ref="H6:I6"/>
    <mergeCell ref="J6:K6"/>
    <mergeCell ref="L6:M6"/>
    <mergeCell ref="C7:D7"/>
    <mergeCell ref="H7:I7"/>
    <mergeCell ref="J7:K7"/>
    <mergeCell ref="L7:M7"/>
    <mergeCell ref="C13:D13"/>
    <mergeCell ref="H13:J13"/>
    <mergeCell ref="L13:M13"/>
    <mergeCell ref="C8:D8"/>
    <mergeCell ref="H8:I8"/>
    <mergeCell ref="J8:K8"/>
    <mergeCell ref="L8:M8"/>
    <mergeCell ref="C10:D10"/>
    <mergeCell ref="G10:I10"/>
    <mergeCell ref="J10:M10"/>
    <mergeCell ref="C11:D11"/>
    <mergeCell ref="C12:D12"/>
    <mergeCell ref="H12:I12"/>
    <mergeCell ref="J12:K12"/>
    <mergeCell ref="L12:M12"/>
    <mergeCell ref="H23:I24"/>
    <mergeCell ref="B24:F24"/>
    <mergeCell ref="C14:D14"/>
    <mergeCell ref="B15:D15"/>
    <mergeCell ref="C16:D16"/>
    <mergeCell ref="B19:F19"/>
    <mergeCell ref="B20:F20"/>
    <mergeCell ref="C23:D23"/>
    <mergeCell ref="E23:F2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2"/>
  <sheetViews>
    <sheetView zoomScaleNormal="100" workbookViewId="0">
      <selection activeCell="B2" sqref="B2:M2"/>
    </sheetView>
  </sheetViews>
  <sheetFormatPr defaultRowHeight="15" x14ac:dyDescent="0.25"/>
  <cols>
    <col min="1" max="1" width="2.28515625" style="1" customWidth="1"/>
    <col min="2" max="2" width="42.85546875" style="2" customWidth="1"/>
    <col min="3" max="3" width="24.42578125" style="1" customWidth="1"/>
    <col min="4" max="4" width="4" style="1" customWidth="1"/>
    <col min="5" max="5" width="25.140625" style="1" customWidth="1"/>
    <col min="6" max="6" width="7.5703125" style="1" customWidth="1"/>
    <col min="7" max="7" width="33" style="1" customWidth="1"/>
    <col min="8" max="8" width="18.5703125" style="1" customWidth="1"/>
    <col min="9" max="9" width="10.85546875" style="1" customWidth="1"/>
    <col min="10" max="10" width="9.85546875" style="1" customWidth="1"/>
    <col min="11" max="11" width="12.5703125" style="1" customWidth="1"/>
    <col min="12" max="12" width="25.140625" style="1" customWidth="1"/>
    <col min="13" max="13" width="15.7109375" style="1" customWidth="1"/>
    <col min="14" max="14" width="13.28515625" style="1" bestFit="1" customWidth="1"/>
    <col min="15" max="16384" width="9.140625" style="1"/>
  </cols>
  <sheetData>
    <row r="2" spans="1:14" ht="36" customHeight="1" x14ac:dyDescent="0.25">
      <c r="B2" s="71" t="s">
        <v>6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4" ht="21.75" customHeight="1" thickBot="1" x14ac:dyDescent="0.3">
      <c r="B3" s="34"/>
      <c r="C3" s="34"/>
      <c r="D3" s="34"/>
      <c r="E3" s="34"/>
      <c r="F3" s="34"/>
      <c r="G3" s="34"/>
      <c r="H3" s="34"/>
      <c r="I3" s="34"/>
      <c r="J3" s="34"/>
      <c r="K3" s="33"/>
      <c r="L3" s="33"/>
    </row>
    <row r="4" spans="1:14" ht="42" customHeight="1" thickTop="1" thickBot="1" x14ac:dyDescent="0.3">
      <c r="B4" s="35" t="s">
        <v>38</v>
      </c>
      <c r="C4" s="78">
        <v>100000</v>
      </c>
      <c r="D4" s="79"/>
      <c r="E4" s="3"/>
      <c r="F4" s="3"/>
      <c r="G4" s="87" t="s">
        <v>41</v>
      </c>
      <c r="H4" s="88"/>
      <c r="I4" s="88"/>
      <c r="J4" s="88"/>
      <c r="K4" s="88"/>
      <c r="L4" s="88"/>
      <c r="M4" s="89"/>
    </row>
    <row r="5" spans="1:14" ht="37.5" customHeight="1" thickTop="1" thickBot="1" x14ac:dyDescent="0.3">
      <c r="B5" s="28"/>
      <c r="E5" s="3"/>
      <c r="F5" s="3"/>
      <c r="G5" s="52"/>
      <c r="H5" s="83" t="s">
        <v>31</v>
      </c>
      <c r="I5" s="84"/>
      <c r="J5" s="83" t="s">
        <v>32</v>
      </c>
      <c r="K5" s="84"/>
      <c r="L5" s="83" t="s">
        <v>31</v>
      </c>
      <c r="M5" s="85"/>
    </row>
    <row r="6" spans="1:14" ht="30" customHeight="1" thickTop="1" thickBot="1" x14ac:dyDescent="0.35">
      <c r="A6" s="29"/>
      <c r="B6" s="32" t="s">
        <v>39</v>
      </c>
      <c r="C6" s="78">
        <v>100000</v>
      </c>
      <c r="D6" s="79"/>
      <c r="F6" s="30"/>
      <c r="G6" s="53" t="s">
        <v>36</v>
      </c>
      <c r="H6" s="78">
        <f>C4</f>
        <v>100000</v>
      </c>
      <c r="I6" s="79"/>
      <c r="J6" s="72">
        <f>C13</f>
        <v>8.9954545454545454E-2</v>
      </c>
      <c r="K6" s="73"/>
      <c r="L6" s="78">
        <f>H6*J6</f>
        <v>8995.454545454546</v>
      </c>
      <c r="M6" s="86"/>
    </row>
    <row r="7" spans="1:14" ht="30" customHeight="1" thickTop="1" thickBot="1" x14ac:dyDescent="0.35">
      <c r="A7" s="4"/>
      <c r="B7" s="57"/>
      <c r="C7" s="45"/>
      <c r="D7" s="45"/>
      <c r="E7" s="4"/>
      <c r="F7" s="37"/>
      <c r="G7" s="55"/>
      <c r="H7" s="45"/>
      <c r="I7" s="45"/>
      <c r="J7" s="46"/>
      <c r="K7" s="46"/>
      <c r="L7" s="47"/>
      <c r="M7" s="56"/>
      <c r="N7" s="4"/>
    </row>
    <row r="8" spans="1:14" ht="30" customHeight="1" thickTop="1" thickBot="1" x14ac:dyDescent="0.35">
      <c r="A8" s="43"/>
      <c r="B8" s="42" t="s">
        <v>25</v>
      </c>
      <c r="C8" s="78">
        <v>1320000</v>
      </c>
      <c r="D8" s="79"/>
      <c r="E8" s="30"/>
      <c r="F8" s="37"/>
      <c r="G8" s="97" t="s">
        <v>42</v>
      </c>
      <c r="H8" s="98"/>
      <c r="I8" s="99"/>
      <c r="J8" s="123">
        <f>L6</f>
        <v>8995.454545454546</v>
      </c>
      <c r="K8" s="124"/>
      <c r="L8" s="124"/>
      <c r="M8" s="125"/>
    </row>
    <row r="9" spans="1:14" ht="30" customHeight="1" thickTop="1" thickBot="1" x14ac:dyDescent="0.35">
      <c r="A9" s="43"/>
      <c r="B9" s="59" t="s">
        <v>27</v>
      </c>
      <c r="C9" s="76">
        <v>22500</v>
      </c>
      <c r="D9" s="77"/>
      <c r="E9" s="30"/>
      <c r="F9" s="30"/>
      <c r="G9" s="44"/>
      <c r="H9" s="44"/>
      <c r="I9" s="44"/>
      <c r="J9" s="44"/>
      <c r="K9" s="44"/>
      <c r="L9" s="44"/>
      <c r="M9" s="44"/>
    </row>
    <row r="10" spans="1:14" ht="30" customHeight="1" thickTop="1" thickBot="1" x14ac:dyDescent="0.35">
      <c r="A10" s="43"/>
      <c r="B10" s="41" t="s">
        <v>26</v>
      </c>
      <c r="C10" s="80">
        <v>0.107</v>
      </c>
      <c r="D10" s="81"/>
      <c r="E10" s="30"/>
      <c r="F10" s="30"/>
      <c r="G10" s="38"/>
      <c r="H10" s="82"/>
      <c r="I10" s="82"/>
      <c r="J10" s="74"/>
      <c r="K10" s="75"/>
      <c r="L10" s="116"/>
      <c r="M10" s="116"/>
    </row>
    <row r="11" spans="1:14" ht="30.75" customHeight="1" thickTop="1" thickBot="1" x14ac:dyDescent="0.35">
      <c r="A11" s="43"/>
      <c r="B11" s="41" t="s">
        <v>34</v>
      </c>
      <c r="C11" s="80">
        <v>0</v>
      </c>
      <c r="D11" s="81"/>
      <c r="E11" s="30"/>
      <c r="F11" s="30"/>
      <c r="H11" s="117" t="s">
        <v>43</v>
      </c>
      <c r="I11" s="118"/>
      <c r="J11" s="119"/>
      <c r="K11" s="60">
        <v>0</v>
      </c>
      <c r="L11" s="115"/>
      <c r="M11" s="116"/>
    </row>
    <row r="12" spans="1:14" ht="30.75" customHeight="1" thickTop="1" thickBot="1" x14ac:dyDescent="0.3">
      <c r="B12" s="108"/>
      <c r="C12" s="108"/>
      <c r="D12" s="108"/>
      <c r="E12" s="4"/>
    </row>
    <row r="13" spans="1:14" ht="52.5" customHeight="1" thickTop="1" thickBot="1" x14ac:dyDescent="0.3">
      <c r="B13" s="58" t="s">
        <v>33</v>
      </c>
      <c r="C13" s="80">
        <f>H20</f>
        <v>8.9954545454545454E-2</v>
      </c>
      <c r="D13" s="81"/>
    </row>
    <row r="14" spans="1:14" ht="19.5" customHeight="1" thickTop="1" x14ac:dyDescent="0.25"/>
    <row r="15" spans="1:14" ht="15.75" thickBot="1" x14ac:dyDescent="0.3"/>
    <row r="16" spans="1:14" ht="23.25" customHeight="1" x14ac:dyDescent="0.25">
      <c r="B16" s="109" t="s">
        <v>28</v>
      </c>
      <c r="C16" s="110"/>
      <c r="D16" s="110"/>
      <c r="E16" s="110"/>
      <c r="F16" s="111"/>
    </row>
    <row r="17" spans="2:11" ht="27" customHeight="1" thickBot="1" x14ac:dyDescent="0.3">
      <c r="B17" s="112" t="s">
        <v>40</v>
      </c>
      <c r="C17" s="113"/>
      <c r="D17" s="113"/>
      <c r="E17" s="113"/>
      <c r="F17" s="114"/>
    </row>
    <row r="19" spans="2:11" ht="15.75" thickBot="1" x14ac:dyDescent="0.3">
      <c r="H19" s="4"/>
    </row>
    <row r="20" spans="2:11" ht="18.75" thickTop="1" x14ac:dyDescent="0.25">
      <c r="B20" s="48">
        <f>C8*C10</f>
        <v>141240</v>
      </c>
      <c r="C20" s="105" t="s">
        <v>8</v>
      </c>
      <c r="D20" s="105"/>
      <c r="E20" s="100">
        <f>C9</f>
        <v>22500</v>
      </c>
      <c r="F20" s="101"/>
      <c r="G20" s="50">
        <f>B20-E20</f>
        <v>118740</v>
      </c>
      <c r="H20" s="90">
        <f>G20/G21</f>
        <v>8.9954545454545454E-2</v>
      </c>
      <c r="I20" s="91"/>
    </row>
    <row r="21" spans="2:11" ht="18.75" thickBot="1" x14ac:dyDescent="0.3">
      <c r="B21" s="102">
        <f>C8</f>
        <v>1320000</v>
      </c>
      <c r="C21" s="103"/>
      <c r="D21" s="103"/>
      <c r="E21" s="103"/>
      <c r="F21" s="104"/>
      <c r="G21" s="51">
        <f>B21</f>
        <v>1320000</v>
      </c>
      <c r="H21" s="92"/>
      <c r="I21" s="93"/>
      <c r="J21" s="31"/>
      <c r="K21" s="31"/>
    </row>
    <row r="22" spans="2:11" x14ac:dyDescent="0.25">
      <c r="H22" s="4"/>
    </row>
    <row r="25" spans="2:11" x14ac:dyDescent="0.25">
      <c r="D25" s="4"/>
    </row>
    <row r="26" spans="2:11" ht="33" customHeight="1" thickBot="1" x14ac:dyDescent="0.3">
      <c r="B26" s="61" t="s">
        <v>48</v>
      </c>
      <c r="C26" s="122" t="s">
        <v>49</v>
      </c>
      <c r="D26" s="122"/>
      <c r="E26" s="122" t="s">
        <v>50</v>
      </c>
      <c r="F26" s="122"/>
    </row>
    <row r="27" spans="2:11" ht="18.75" thickTop="1" thickBot="1" x14ac:dyDescent="0.3">
      <c r="B27" s="42" t="s">
        <v>47</v>
      </c>
      <c r="C27" s="78">
        <v>0</v>
      </c>
      <c r="D27" s="79"/>
      <c r="E27" s="120">
        <v>0</v>
      </c>
      <c r="F27" s="121"/>
    </row>
    <row r="28" spans="2:11" ht="18.75" thickTop="1" thickBot="1" x14ac:dyDescent="0.3">
      <c r="B28" s="59" t="s">
        <v>45</v>
      </c>
      <c r="C28" s="78">
        <v>0</v>
      </c>
      <c r="D28" s="79"/>
      <c r="E28" s="120">
        <f>SUM(C27:D31)</f>
        <v>550000</v>
      </c>
      <c r="F28" s="121"/>
    </row>
    <row r="29" spans="2:11" ht="18.75" thickTop="1" thickBot="1" x14ac:dyDescent="0.3">
      <c r="B29" s="41" t="s">
        <v>46</v>
      </c>
      <c r="C29" s="78">
        <v>115000</v>
      </c>
      <c r="D29" s="79"/>
      <c r="E29" s="120">
        <f>E28/5</f>
        <v>110000</v>
      </c>
      <c r="F29" s="121"/>
    </row>
    <row r="30" spans="2:11" ht="18.75" thickTop="1" thickBot="1" x14ac:dyDescent="0.3">
      <c r="B30" s="41" t="s">
        <v>52</v>
      </c>
      <c r="C30" s="78">
        <v>250000</v>
      </c>
      <c r="D30" s="79"/>
      <c r="E30" s="120">
        <f>E29*12</f>
        <v>1320000</v>
      </c>
      <c r="F30" s="121"/>
    </row>
    <row r="31" spans="2:11" ht="18.75" thickTop="1" thickBot="1" x14ac:dyDescent="0.3">
      <c r="B31" s="41" t="s">
        <v>53</v>
      </c>
      <c r="C31" s="78">
        <v>185000</v>
      </c>
      <c r="D31" s="79"/>
    </row>
    <row r="32" spans="2:11" ht="15.75" thickTop="1" x14ac:dyDescent="0.25"/>
  </sheetData>
  <mergeCells count="40">
    <mergeCell ref="C6:D6"/>
    <mergeCell ref="H6:I6"/>
    <mergeCell ref="J6:K6"/>
    <mergeCell ref="L6:M6"/>
    <mergeCell ref="B2:M2"/>
    <mergeCell ref="C4:D4"/>
    <mergeCell ref="G4:M4"/>
    <mergeCell ref="H5:I5"/>
    <mergeCell ref="J5:K5"/>
    <mergeCell ref="L5:M5"/>
    <mergeCell ref="C11:D11"/>
    <mergeCell ref="H11:J11"/>
    <mergeCell ref="L11:M11"/>
    <mergeCell ref="C8:D8"/>
    <mergeCell ref="G8:I8"/>
    <mergeCell ref="J8:M8"/>
    <mergeCell ref="C9:D9"/>
    <mergeCell ref="C10:D10"/>
    <mergeCell ref="H10:I10"/>
    <mergeCell ref="J10:K10"/>
    <mergeCell ref="L10:M10"/>
    <mergeCell ref="B12:D12"/>
    <mergeCell ref="C13:D13"/>
    <mergeCell ref="B16:F16"/>
    <mergeCell ref="B17:F17"/>
    <mergeCell ref="C20:D20"/>
    <mergeCell ref="E20:F20"/>
    <mergeCell ref="E30:F30"/>
    <mergeCell ref="C30:D30"/>
    <mergeCell ref="C31:D31"/>
    <mergeCell ref="H20:I21"/>
    <mergeCell ref="B21:F21"/>
    <mergeCell ref="C27:D27"/>
    <mergeCell ref="C28:D28"/>
    <mergeCell ref="C29:D29"/>
    <mergeCell ref="E27:F27"/>
    <mergeCell ref="E28:F28"/>
    <mergeCell ref="E29:F29"/>
    <mergeCell ref="C26:D26"/>
    <mergeCell ref="E26:F26"/>
  </mergeCells>
  <phoneticPr fontId="48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 Anexo I - Comércio</vt:lpstr>
      <vt:lpstr>APURAÇÃO SIMPLES NACIONAL EX 1</vt:lpstr>
      <vt:lpstr>APURAÇÃO SIMPLES NACIONAL EX 2</vt:lpstr>
      <vt:lpstr>APURAÇÃO SIMPLES NACIONAL EX 3</vt:lpstr>
      <vt:lpstr>SIMPLES NACIONAL - Início Ativ.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Jarmas Viter</cp:lastModifiedBy>
  <cp:lastPrinted>2021-09-27T20:50:17Z</cp:lastPrinted>
  <dcterms:created xsi:type="dcterms:W3CDTF">2017-07-07T22:06:28Z</dcterms:created>
  <dcterms:modified xsi:type="dcterms:W3CDTF">2022-01-18T02:20:53Z</dcterms:modified>
</cp:coreProperties>
</file>