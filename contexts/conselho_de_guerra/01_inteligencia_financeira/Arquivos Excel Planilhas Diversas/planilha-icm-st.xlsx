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.ouverney\Desktop\"/>
    </mc:Choice>
  </mc:AlternateContent>
  <bookViews>
    <workbookView xWindow="0" yWindow="0" windowWidth="19200" windowHeight="10995"/>
  </bookViews>
  <sheets>
    <sheet name="AGOSTO" sheetId="37" r:id="rId1"/>
  </sheets>
  <definedNames>
    <definedName name="_xlnm.Print_Area" localSheetId="0">AGOSTO!$A$1:$N$35</definedName>
  </definedNames>
  <calcPr calcId="152511"/>
</workbook>
</file>

<file path=xl/calcChain.xml><?xml version="1.0" encoding="utf-8"?>
<calcChain xmlns="http://schemas.openxmlformats.org/spreadsheetml/2006/main">
  <c r="G14" i="37" l="1"/>
  <c r="G22" i="37"/>
  <c r="F22" i="37"/>
  <c r="G21" i="37"/>
  <c r="I21" i="37" s="1"/>
  <c r="F21" i="37"/>
  <c r="G20" i="37"/>
  <c r="G19" i="37"/>
  <c r="I19" i="37" s="1"/>
  <c r="F19" i="37"/>
  <c r="G18" i="37"/>
  <c r="I18" i="37" s="1"/>
  <c r="F18" i="37"/>
  <c r="G17" i="37"/>
  <c r="G16" i="37"/>
  <c r="I16" i="37" s="1"/>
  <c r="F16" i="37"/>
  <c r="G15" i="37"/>
  <c r="I15" i="37" s="1"/>
  <c r="F15" i="37"/>
  <c r="G10" i="37"/>
  <c r="G9" i="37"/>
  <c r="I9" i="37" s="1"/>
  <c r="F9" i="37"/>
  <c r="G8" i="37"/>
  <c r="H18" i="37" l="1"/>
  <c r="H22" i="37"/>
  <c r="F14" i="37"/>
  <c r="H14" i="37" s="1"/>
  <c r="H15" i="37"/>
  <c r="J15" i="37" s="1"/>
  <c r="I14" i="37"/>
  <c r="J18" i="37"/>
  <c r="I22" i="37"/>
  <c r="I17" i="37"/>
  <c r="I20" i="37"/>
  <c r="G11" i="37"/>
  <c r="I8" i="37"/>
  <c r="I10" i="37"/>
  <c r="H9" i="37"/>
  <c r="J9" i="37" s="1"/>
  <c r="F10" i="37"/>
  <c r="H10" i="37" s="1"/>
  <c r="H16" i="37"/>
  <c r="J16" i="37" s="1"/>
  <c r="F17" i="37"/>
  <c r="H17" i="37" s="1"/>
  <c r="J17" i="37" s="1"/>
  <c r="F8" i="37"/>
  <c r="H8" i="37" s="1"/>
  <c r="H19" i="37"/>
  <c r="J19" i="37" s="1"/>
  <c r="F20" i="37"/>
  <c r="H20" i="37" s="1"/>
  <c r="H21" i="37"/>
  <c r="J21" i="37" s="1"/>
  <c r="G23" i="37"/>
  <c r="J22" i="37" l="1"/>
  <c r="J20" i="37"/>
  <c r="J14" i="37"/>
  <c r="J10" i="37"/>
  <c r="I23" i="37"/>
  <c r="D28" i="37" s="1"/>
  <c r="H11" i="37"/>
  <c r="C27" i="37" s="1"/>
  <c r="J8" i="37"/>
  <c r="I11" i="37"/>
  <c r="D27" i="37" s="1"/>
  <c r="H23" i="37"/>
  <c r="C28" i="37" s="1"/>
  <c r="J23" i="37" l="1"/>
  <c r="D29" i="37"/>
  <c r="J11" i="37"/>
  <c r="E28" i="37"/>
  <c r="E27" i="37"/>
  <c r="C29" i="37"/>
  <c r="E29" i="37" l="1"/>
</calcChain>
</file>

<file path=xl/sharedStrings.xml><?xml version="1.0" encoding="utf-8"?>
<sst xmlns="http://schemas.openxmlformats.org/spreadsheetml/2006/main" count="28" uniqueCount="19">
  <si>
    <t xml:space="preserve">PLANILHA DE CONTROLE DE SUBSTITUIÇÃO TRIBUTARIA NA ENTRADA DE MERCADORIAS </t>
  </si>
  <si>
    <t>ICMS</t>
  </si>
  <si>
    <t>TOTAL ST</t>
  </si>
  <si>
    <t>REVENDA</t>
  </si>
  <si>
    <t>FECP</t>
  </si>
  <si>
    <t>TOTAL</t>
  </si>
  <si>
    <t>NITEROI</t>
  </si>
  <si>
    <t>JPA</t>
  </si>
  <si>
    <t>Fornecedor</t>
  </si>
  <si>
    <t>Nº NF</t>
  </si>
  <si>
    <t>Data de Entrada</t>
  </si>
  <si>
    <t>Valor</t>
  </si>
  <si>
    <t>BASE CAL  ST</t>
  </si>
  <si>
    <t>ICMS ST</t>
  </si>
  <si>
    <t>FECP ST</t>
  </si>
  <si>
    <t>18%</t>
  </si>
  <si>
    <t>Aliquota</t>
  </si>
  <si>
    <t>MVA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</si>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</sst>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(&quot;R$ &quot;* #,##0.00_);_(&quot;R$ &quot;* \(#,##0.00\);_(&quot;R$ 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9" fontId="3" fillId="0" borderId="0"/>
    <xf numFmtId="19" fontId="3" fillId="0" borderId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5">
    <xf numFmtId="0" fontId="0" fillId="0" borderId="0" xfId="0"/>
    <xf numFmtId="19" fontId="3" fillId="0" borderId="0" xfId="2"/>
    <xf numFmtId="19" fontId="4" fillId="0" borderId="0" xfId="2" applyFont="1" applyAlignment="1"/>
    <xf numFmtId="19" fontId="3" fillId="0" borderId="0" xfId="2" applyFont="1" applyAlignment="1"/>
    <xf numFmtId="19" fontId="4" fillId="0" borderId="0" xfId="2" applyFont="1" applyBorder="1" applyAlignment="1"/>
    <xf numFmtId="19" fontId="4" fillId="3" borderId="5" xfId="3" applyFont="1" applyFill="1" applyBorder="1" applyAlignment="1">
      <alignment horizontal="center"/>
    </xf>
    <xf numFmtId="19" fontId="4" fillId="3" borderId="6" xfId="3" applyFont="1" applyFill="1" applyBorder="1" applyAlignment="1">
      <alignment horizontal="center"/>
    </xf>
    <xf numFmtId="19" fontId="4" fillId="3" borderId="7" xfId="3" applyFont="1" applyFill="1" applyBorder="1" applyAlignment="1">
      <alignment horizontal="center"/>
    </xf>
    <xf numFmtId="19" fontId="3" fillId="0" borderId="0" xfId="3"/>
    <xf numFmtId="2" fontId="3" fillId="0" borderId="0" xfId="2" applyNumberFormat="1"/>
    <xf numFmtId="43" fontId="3" fillId="0" borderId="0" xfId="5" applyFont="1" applyBorder="1"/>
    <xf numFmtId="166" fontId="3" fillId="0" borderId="0" xfId="4" applyFont="1" applyBorder="1"/>
    <xf numFmtId="43" fontId="3" fillId="0" borderId="0" xfId="5" applyFont="1" applyFill="1" applyBorder="1" applyAlignment="1">
      <alignment horizontal="center"/>
    </xf>
    <xf numFmtId="19" fontId="3" fillId="0" borderId="0" xfId="2" applyFill="1" applyAlignment="1">
      <alignment horizontal="center"/>
    </xf>
    <xf numFmtId="164" fontId="3" fillId="0" borderId="0" xfId="2" applyNumberFormat="1"/>
    <xf numFmtId="164" fontId="4" fillId="0" borderId="0" xfId="2" applyNumberFormat="1" applyFont="1" applyFill="1" applyBorder="1" applyAlignment="1">
      <alignment horizontal="center"/>
    </xf>
    <xf numFmtId="43" fontId="3" fillId="0" borderId="1" xfId="5" applyFont="1" applyFill="1" applyBorder="1" applyAlignment="1">
      <alignment horizontal="center"/>
    </xf>
    <xf numFmtId="43" fontId="3" fillId="0" borderId="1" xfId="5" applyFont="1" applyBorder="1"/>
    <xf numFmtId="2" fontId="4" fillId="0" borderId="0" xfId="2" applyNumberFormat="1" applyFont="1"/>
    <xf numFmtId="43" fontId="3" fillId="0" borderId="10" xfId="5" applyFont="1" applyFill="1" applyBorder="1" applyAlignment="1">
      <alignment horizontal="center"/>
    </xf>
    <xf numFmtId="43" fontId="4" fillId="0" borderId="11" xfId="5" applyFont="1" applyBorder="1"/>
    <xf numFmtId="43" fontId="4" fillId="0" borderId="12" xfId="5" applyFont="1" applyBorder="1"/>
    <xf numFmtId="166" fontId="3" fillId="0" borderId="13" xfId="4" applyFont="1" applyBorder="1" applyAlignment="1">
      <alignment horizontal="left"/>
    </xf>
    <xf numFmtId="166" fontId="4" fillId="0" borderId="14" xfId="4" applyFont="1" applyBorder="1"/>
    <xf numFmtId="164" fontId="3" fillId="5" borderId="15" xfId="2" applyNumberFormat="1" applyFill="1" applyBorder="1" applyAlignment="1">
      <alignment horizontal="center"/>
    </xf>
    <xf numFmtId="164" fontId="3" fillId="5" borderId="16" xfId="2" applyNumberFormat="1" applyFill="1" applyBorder="1" applyAlignment="1">
      <alignment horizontal="center"/>
    </xf>
    <xf numFmtId="9" fontId="3" fillId="0" borderId="13" xfId="2" applyNumberFormat="1" applyBorder="1" applyAlignment="1">
      <alignment horizontal="center"/>
    </xf>
    <xf numFmtId="165" fontId="3" fillId="0" borderId="10" xfId="6" applyFont="1" applyBorder="1" applyAlignment="1">
      <alignment horizontal="center"/>
    </xf>
    <xf numFmtId="9" fontId="3" fillId="0" borderId="14" xfId="2" applyNumberFormat="1" applyBorder="1" applyAlignment="1">
      <alignment horizontal="center"/>
    </xf>
    <xf numFmtId="165" fontId="3" fillId="0" borderId="12" xfId="6" applyFont="1" applyBorder="1" applyAlignment="1">
      <alignment horizontal="center"/>
    </xf>
    <xf numFmtId="166" fontId="4" fillId="4" borderId="15" xfId="4" applyFont="1" applyFill="1" applyBorder="1" applyAlignment="1">
      <alignment horizontal="center"/>
    </xf>
    <xf numFmtId="49" fontId="4" fillId="4" borderId="17" xfId="2" applyNumberFormat="1" applyFont="1" applyFill="1" applyBorder="1" applyAlignment="1">
      <alignment horizontal="center"/>
    </xf>
    <xf numFmtId="166" fontId="4" fillId="4" borderId="17" xfId="4" applyFont="1" applyFill="1" applyBorder="1" applyAlignment="1">
      <alignment horizontal="center"/>
    </xf>
    <xf numFmtId="3" fontId="4" fillId="4" borderId="16" xfId="2" applyNumberFormat="1" applyFont="1" applyFill="1" applyBorder="1" applyAlignment="1">
      <alignment horizontal="center"/>
    </xf>
    <xf numFmtId="19" fontId="3" fillId="0" borderId="0" xfId="2" applyFill="1"/>
    <xf numFmtId="2" fontId="3" fillId="0" borderId="0" xfId="2" applyNumberFormat="1" applyFill="1"/>
    <xf numFmtId="19" fontId="3" fillId="0" borderId="0" xfId="2" applyFont="1" applyFill="1" applyAlignment="1"/>
    <xf numFmtId="0" fontId="0" fillId="0" borderId="0" xfId="0" applyFill="1"/>
    <xf numFmtId="19" fontId="5" fillId="0" borderId="8" xfId="3" applyFont="1" applyFill="1" applyBorder="1" applyAlignment="1">
      <alignment horizontal="center"/>
    </xf>
    <xf numFmtId="0" fontId="5" fillId="0" borderId="0" xfId="3" applyNumberFormat="1" applyFont="1" applyFill="1" applyBorder="1" applyAlignment="1">
      <alignment horizontal="center"/>
    </xf>
    <xf numFmtId="14" fontId="5" fillId="0" borderId="0" xfId="3" applyNumberFormat="1" applyFont="1" applyFill="1" applyBorder="1" applyAlignment="1">
      <alignment horizontal="center"/>
    </xf>
    <xf numFmtId="4" fontId="5" fillId="0" borderId="0" xfId="3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165" fontId="5" fillId="0" borderId="0" xfId="1" applyFont="1" applyFill="1" applyBorder="1" applyAlignment="1">
      <alignment horizontal="right" vertical="center" wrapText="1"/>
    </xf>
    <xf numFmtId="19" fontId="5" fillId="0" borderId="2" xfId="3" applyFont="1" applyFill="1" applyBorder="1" applyAlignment="1">
      <alignment horizontal="center"/>
    </xf>
    <xf numFmtId="0" fontId="5" fillId="0" borderId="3" xfId="3" applyNumberFormat="1" applyFont="1" applyFill="1" applyBorder="1" applyAlignment="1">
      <alignment horizontal="center"/>
    </xf>
    <xf numFmtId="14" fontId="5" fillId="0" borderId="3" xfId="3" applyNumberFormat="1" applyFont="1" applyFill="1" applyBorder="1" applyAlignment="1">
      <alignment horizontal="center"/>
    </xf>
    <xf numFmtId="4" fontId="5" fillId="0" borderId="3" xfId="0" applyNumberFormat="1" applyFont="1" applyFill="1" applyBorder="1" applyAlignment="1">
      <alignment horizontal="right" vertical="center" wrapText="1"/>
    </xf>
    <xf numFmtId="4" fontId="5" fillId="0" borderId="3" xfId="0" applyNumberFormat="1" applyFont="1" applyFill="1" applyBorder="1" applyAlignment="1">
      <alignment horizontal="right"/>
    </xf>
    <xf numFmtId="4" fontId="6" fillId="0" borderId="3" xfId="0" applyNumberFormat="1" applyFont="1" applyFill="1" applyBorder="1" applyAlignment="1">
      <alignment horizontal="right"/>
    </xf>
    <xf numFmtId="4" fontId="5" fillId="0" borderId="3" xfId="3" applyNumberFormat="1" applyFont="1" applyFill="1" applyBorder="1" applyAlignment="1">
      <alignment horizontal="right"/>
    </xf>
    <xf numFmtId="4" fontId="5" fillId="0" borderId="9" xfId="0" applyNumberFormat="1" applyFont="1" applyFill="1" applyBorder="1" applyAlignment="1">
      <alignment horizontal="right"/>
    </xf>
    <xf numFmtId="4" fontId="6" fillId="0" borderId="4" xfId="0" applyNumberFormat="1" applyFont="1" applyFill="1" applyBorder="1" applyAlignment="1">
      <alignment horizontal="right"/>
    </xf>
    <xf numFmtId="0" fontId="2" fillId="2" borderId="0" xfId="0" applyFont="1" applyFill="1" applyBorder="1" applyAlignment="1" applyProtection="1"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</cellXfs>
  <cellStyles count="7">
    <cellStyle name="Moeda 2" xfId="4"/>
    <cellStyle name="Normal" xfId="0" builtinId="0"/>
    <cellStyle name="Normal 2" xfId="2"/>
    <cellStyle name="Normal 3" xfId="3"/>
    <cellStyle name="Separador de milhares 2" xfId="5"/>
    <cellStyle name="Vírgula" xfId="1" builtinId="3"/>
    <cellStyle name="Vírgula 2" xfId="6"/>
  </cellStyles>
  <dxfs count="0"/>
  <tableStyles count="0" defaultTableStyle="TableStyleMedium9" defaultPivotStyle="PivotStyleLight16"/>
  <colors>
    <mruColors>
      <color rgb="FFCCFFFF"/>
      <color rgb="FF99FFCC"/>
      <color rgb="FF66FFFF"/>
      <color rgb="FF66FFC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16</xdr:row>
      <xdr:rowOff>47625</xdr:rowOff>
    </xdr:to>
    <xdr:sp macro="" textlink="">
      <xdr:nvSpPr>
        <xdr:cNvPr id="2" name="Retângulo 1"/>
        <xdr:cNvSpPr>
          <a:spLocks noChangeArrowheads="1"/>
        </xdr:cNvSpPr>
      </xdr:nvSpPr>
      <xdr:spPr bwMode="auto">
        <a:xfrm>
          <a:off x="0" y="3743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endParaRPr lang="pt-BR" sz="2600" b="1" i="0" strike="noStrike">
            <a:solidFill>
              <a:schemeClr val="accent1">
                <a:lumMod val="60000"/>
                <a:lumOff val="40000"/>
              </a:schemeClr>
            </a:solidFill>
            <a:latin typeface="Calibri"/>
          </a:endParaRPr>
        </a:p>
      </xdr:txBody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16</xdr:row>
      <xdr:rowOff>47625</xdr:rowOff>
    </xdr:to>
    <xdr:sp macro="" textlink="">
      <xdr:nvSpPr>
        <xdr:cNvPr id="3" name="Retângulo 2"/>
        <xdr:cNvSpPr>
          <a:spLocks noChangeArrowheads="1"/>
        </xdr:cNvSpPr>
      </xdr:nvSpPr>
      <xdr:spPr bwMode="auto">
        <a:xfrm>
          <a:off x="0" y="3743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16</xdr:row>
      <xdr:rowOff>47625</xdr:rowOff>
    </xdr:to>
    <xdr:sp macro="" textlink="">
      <xdr:nvSpPr>
        <xdr:cNvPr id="4" name="Retângulo 3"/>
        <xdr:cNvSpPr>
          <a:spLocks noChangeArrowheads="1"/>
        </xdr:cNvSpPr>
      </xdr:nvSpPr>
      <xdr:spPr bwMode="auto">
        <a:xfrm>
          <a:off x="0" y="3743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endParaRPr lang="pt-BR" sz="2600" b="1" i="0" strike="noStrike">
            <a:solidFill>
              <a:schemeClr val="accent1">
                <a:lumMod val="60000"/>
                <a:lumOff val="40000"/>
              </a:schemeClr>
            </a:solidFill>
            <a:latin typeface="Calibri"/>
          </a:endParaRPr>
        </a:p>
      </xdr:txBody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0</xdr:colOff>
      <xdr:row>16</xdr:row>
      <xdr:rowOff>47625</xdr:rowOff>
    </xdr:to>
    <xdr:sp macro="" textlink="">
      <xdr:nvSpPr>
        <xdr:cNvPr id="5" name="Retângulo 4"/>
        <xdr:cNvSpPr>
          <a:spLocks noChangeArrowheads="1"/>
        </xdr:cNvSpPr>
      </xdr:nvSpPr>
      <xdr:spPr bwMode="auto">
        <a:xfrm>
          <a:off x="257175" y="3743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endParaRPr lang="pt-BR" sz="2600" b="1" i="0" strike="noStrike">
            <a:solidFill>
              <a:schemeClr val="accent1">
                <a:lumMod val="60000"/>
                <a:lumOff val="40000"/>
              </a:schemeClr>
            </a:solidFill>
            <a:latin typeface="Calibri"/>
          </a:endParaRPr>
        </a:p>
      </xdr:txBody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0</xdr:colOff>
      <xdr:row>16</xdr:row>
      <xdr:rowOff>47625</xdr:rowOff>
    </xdr:to>
    <xdr:sp macro="" textlink="">
      <xdr:nvSpPr>
        <xdr:cNvPr id="6" name="Retângulo 5"/>
        <xdr:cNvSpPr>
          <a:spLocks noChangeArrowheads="1"/>
        </xdr:cNvSpPr>
      </xdr:nvSpPr>
      <xdr:spPr bwMode="auto">
        <a:xfrm>
          <a:off x="257175" y="3743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0</xdr:colOff>
      <xdr:row>16</xdr:row>
      <xdr:rowOff>47625</xdr:rowOff>
    </xdr:to>
    <xdr:sp macro="" textlink="">
      <xdr:nvSpPr>
        <xdr:cNvPr id="7" name="Retângulo 6"/>
        <xdr:cNvSpPr>
          <a:spLocks noChangeArrowheads="1"/>
        </xdr:cNvSpPr>
      </xdr:nvSpPr>
      <xdr:spPr bwMode="auto">
        <a:xfrm>
          <a:off x="257175" y="3743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endParaRPr lang="pt-BR" sz="2600" b="1" i="0" strike="noStrike">
            <a:solidFill>
              <a:schemeClr val="accent1">
                <a:lumMod val="60000"/>
                <a:lumOff val="40000"/>
              </a:schemeClr>
            </a:solidFill>
            <a:latin typeface="Calibri"/>
          </a:endParaRPr>
        </a:p>
      </xdr:txBody>
    </xdr:sp>
    <xdr:clientData/>
  </xdr:twoCellAnchor>
  <xdr:twoCellAnchor editAs="oneCell">
    <xdr:from>
      <xdr:col>3</xdr:col>
      <xdr:colOff>819150</xdr:colOff>
      <xdr:row>12</xdr:row>
      <xdr:rowOff>0</xdr:rowOff>
    </xdr:from>
    <xdr:to>
      <xdr:col>3</xdr:col>
      <xdr:colOff>819150</xdr:colOff>
      <xdr:row>15</xdr:row>
      <xdr:rowOff>47625</xdr:rowOff>
    </xdr:to>
    <xdr:sp macro="" textlink="">
      <xdr:nvSpPr>
        <xdr:cNvPr id="8" name="Retângulo 7"/>
        <xdr:cNvSpPr>
          <a:spLocks noChangeArrowheads="1"/>
        </xdr:cNvSpPr>
      </xdr:nvSpPr>
      <xdr:spPr bwMode="auto">
        <a:xfrm>
          <a:off x="3057525" y="3362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endParaRPr lang="pt-BR" sz="2600" b="1" i="0" strike="noStrike">
            <a:solidFill>
              <a:schemeClr val="accent1">
                <a:lumMod val="60000"/>
                <a:lumOff val="40000"/>
              </a:schemeClr>
            </a:solidFill>
            <a:latin typeface="Calibri"/>
          </a:endParaRPr>
        </a:p>
      </xdr:txBody>
    </xdr:sp>
    <xdr:clientData/>
  </xdr:twoCellAnchor>
  <xdr:twoCellAnchor editAs="oneCell">
    <xdr:from>
      <xdr:col>3</xdr:col>
      <xdr:colOff>838200</xdr:colOff>
      <xdr:row>12</xdr:row>
      <xdr:rowOff>0</xdr:rowOff>
    </xdr:from>
    <xdr:to>
      <xdr:col>3</xdr:col>
      <xdr:colOff>838200</xdr:colOff>
      <xdr:row>15</xdr:row>
      <xdr:rowOff>47625</xdr:rowOff>
    </xdr:to>
    <xdr:sp macro="" textlink="">
      <xdr:nvSpPr>
        <xdr:cNvPr id="9" name="Retângulo 8"/>
        <xdr:cNvSpPr>
          <a:spLocks noChangeArrowheads="1"/>
        </xdr:cNvSpPr>
      </xdr:nvSpPr>
      <xdr:spPr bwMode="auto">
        <a:xfrm>
          <a:off x="3076575" y="3362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819150</xdr:colOff>
      <xdr:row>12</xdr:row>
      <xdr:rowOff>0</xdr:rowOff>
    </xdr:from>
    <xdr:to>
      <xdr:col>3</xdr:col>
      <xdr:colOff>819150</xdr:colOff>
      <xdr:row>15</xdr:row>
      <xdr:rowOff>47625</xdr:rowOff>
    </xdr:to>
    <xdr:sp macro="" textlink="">
      <xdr:nvSpPr>
        <xdr:cNvPr id="10" name="Retângulo 9"/>
        <xdr:cNvSpPr>
          <a:spLocks noChangeArrowheads="1"/>
        </xdr:cNvSpPr>
      </xdr:nvSpPr>
      <xdr:spPr bwMode="auto">
        <a:xfrm>
          <a:off x="3057525" y="3362325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endParaRPr lang="pt-BR" sz="2600" b="1" i="0" strike="noStrike">
            <a:solidFill>
              <a:schemeClr val="accent1">
                <a:lumMod val="60000"/>
                <a:lumOff val="40000"/>
              </a:schemeClr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36"/>
  <sheetViews>
    <sheetView showGridLines="0" tabSelected="1" zoomScaleNormal="100" workbookViewId="0">
      <selection activeCell="E8" sqref="E8"/>
    </sheetView>
  </sheetViews>
  <sheetFormatPr defaultRowHeight="15" x14ac:dyDescent="0.25"/>
  <cols>
    <col min="1" max="1" width="3.85546875" customWidth="1"/>
    <col min="2" max="2" width="18" bestFit="1" customWidth="1"/>
    <col min="3" max="3" width="11.7109375" customWidth="1"/>
    <col min="4" max="4" width="16.5703125" customWidth="1"/>
    <col min="5" max="5" width="15" customWidth="1"/>
    <col min="6" max="6" width="10" customWidth="1"/>
    <col min="7" max="7" width="15.85546875" customWidth="1"/>
    <col min="8" max="8" width="11.28515625" customWidth="1"/>
    <col min="9" max="9" width="11" customWidth="1"/>
    <col min="10" max="11" width="12.42578125" customWidth="1"/>
  </cols>
  <sheetData>
    <row r="1" spans="2:14" x14ac:dyDescent="0.25">
      <c r="L1" s="37"/>
      <c r="M1" s="37"/>
      <c r="N1" s="37"/>
    </row>
    <row r="2" spans="2:14" ht="6" customHeight="1" x14ac:dyDescent="0.25">
      <c r="L2" s="37"/>
      <c r="M2" s="37"/>
      <c r="N2" s="37"/>
    </row>
    <row r="3" spans="2:14" ht="15.75" x14ac:dyDescent="0.25">
      <c r="B3" s="54" t="s">
        <v>0</v>
      </c>
      <c r="C3" s="54"/>
      <c r="D3" s="54"/>
      <c r="E3" s="54"/>
      <c r="F3" s="54"/>
      <c r="G3" s="54"/>
      <c r="H3" s="54"/>
      <c r="I3" s="54"/>
      <c r="J3" s="54"/>
      <c r="K3" s="53"/>
      <c r="L3" s="53"/>
      <c r="M3" s="53"/>
      <c r="N3" s="53"/>
    </row>
    <row r="4" spans="2:14" x14ac:dyDescent="0.25">
      <c r="B4" s="54"/>
      <c r="C4" s="54"/>
      <c r="D4" s="54"/>
      <c r="E4" s="54"/>
      <c r="F4" s="54"/>
      <c r="G4" s="54"/>
      <c r="H4" s="54"/>
      <c r="I4" s="54"/>
      <c r="J4" s="54"/>
      <c r="K4" s="9"/>
      <c r="L4" s="34"/>
      <c r="M4" s="35"/>
      <c r="N4" s="34"/>
    </row>
    <row r="5" spans="2:14" x14ac:dyDescent="0.25">
      <c r="B5" s="1"/>
      <c r="C5" s="18"/>
      <c r="D5" s="1"/>
      <c r="E5" s="1"/>
      <c r="F5" s="9"/>
      <c r="G5" s="1"/>
      <c r="H5" s="9"/>
      <c r="I5" s="1"/>
      <c r="J5" s="1"/>
      <c r="K5" s="9"/>
      <c r="L5" s="34"/>
      <c r="M5" s="35"/>
      <c r="N5" s="34"/>
    </row>
    <row r="6" spans="2:14" ht="15.75" thickBot="1" x14ac:dyDescent="0.3">
      <c r="B6" s="2"/>
      <c r="C6" s="3"/>
      <c r="D6" s="3"/>
      <c r="E6" s="3"/>
      <c r="F6" s="4"/>
      <c r="G6" s="4"/>
      <c r="H6" s="4"/>
      <c r="I6" s="4"/>
      <c r="J6" s="3"/>
      <c r="K6" s="3"/>
      <c r="L6" s="36"/>
      <c r="M6" s="36"/>
      <c r="N6" s="37"/>
    </row>
    <row r="7" spans="2:14" x14ac:dyDescent="0.25">
      <c r="B7" s="5" t="s">
        <v>8</v>
      </c>
      <c r="C7" s="6" t="s">
        <v>9</v>
      </c>
      <c r="D7" s="6" t="s">
        <v>10</v>
      </c>
      <c r="E7" s="6" t="s">
        <v>11</v>
      </c>
      <c r="F7" s="6" t="s">
        <v>1</v>
      </c>
      <c r="G7" s="6" t="s">
        <v>12</v>
      </c>
      <c r="H7" s="6" t="s">
        <v>13</v>
      </c>
      <c r="I7" s="6" t="s">
        <v>14</v>
      </c>
      <c r="J7" s="7" t="s">
        <v>2</v>
      </c>
      <c r="K7" s="37"/>
      <c r="L7" s="37"/>
      <c r="M7" s="37"/>
    </row>
    <row r="8" spans="2:14" x14ac:dyDescent="0.25">
      <c r="B8" s="38"/>
      <c r="C8" s="39"/>
      <c r="D8" s="40"/>
      <c r="E8" s="43"/>
      <c r="F8" s="41">
        <f t="shared" ref="F8" si="0">E8*4%</f>
        <v>0</v>
      </c>
      <c r="G8" s="42">
        <f t="shared" ref="G8" si="1">E8*106.14%+(E8)</f>
        <v>0</v>
      </c>
      <c r="H8" s="42">
        <f t="shared" ref="H8:H10" si="2">G8*18%-F8</f>
        <v>0</v>
      </c>
      <c r="I8" s="42">
        <f t="shared" ref="I8:I10" si="3">G8*2%</f>
        <v>0</v>
      </c>
      <c r="J8" s="51">
        <f t="shared" ref="J8:J10" si="4">H8+I8</f>
        <v>0</v>
      </c>
      <c r="K8" s="37"/>
      <c r="L8" s="37"/>
      <c r="M8" s="37"/>
    </row>
    <row r="9" spans="2:14" x14ac:dyDescent="0.25">
      <c r="B9" s="38"/>
      <c r="C9" s="39"/>
      <c r="D9" s="40"/>
      <c r="E9" s="43"/>
      <c r="F9" s="41">
        <f>E9*12%</f>
        <v>0</v>
      </c>
      <c r="G9" s="42">
        <f>E9*88.96%+(E9)</f>
        <v>0</v>
      </c>
      <c r="H9" s="42">
        <f t="shared" si="2"/>
        <v>0</v>
      </c>
      <c r="I9" s="42">
        <f t="shared" si="3"/>
        <v>0</v>
      </c>
      <c r="J9" s="51">
        <f t="shared" si="4"/>
        <v>0</v>
      </c>
      <c r="K9" s="37"/>
      <c r="L9" s="37"/>
      <c r="M9" s="37"/>
    </row>
    <row r="10" spans="2:14" x14ac:dyDescent="0.25">
      <c r="B10" s="38"/>
      <c r="C10" s="39"/>
      <c r="D10" s="40"/>
      <c r="E10" s="43"/>
      <c r="F10" s="41">
        <f>E10*4%</f>
        <v>0</v>
      </c>
      <c r="G10" s="42">
        <f>E10*106.14%+(E10)</f>
        <v>0</v>
      </c>
      <c r="H10" s="42">
        <f t="shared" si="2"/>
        <v>0</v>
      </c>
      <c r="I10" s="42">
        <f t="shared" si="3"/>
        <v>0</v>
      </c>
      <c r="J10" s="51">
        <f t="shared" si="4"/>
        <v>0</v>
      </c>
      <c r="K10" s="37"/>
      <c r="L10" s="37"/>
      <c r="M10" s="37"/>
    </row>
    <row r="11" spans="2:14" ht="15.75" thickBot="1" x14ac:dyDescent="0.3">
      <c r="B11" s="44"/>
      <c r="C11" s="45"/>
      <c r="D11" s="46"/>
      <c r="E11" s="47"/>
      <c r="F11" s="48"/>
      <c r="G11" s="49">
        <f>SUM(G8:G10)</f>
        <v>0</v>
      </c>
      <c r="H11" s="49">
        <f>SUM(H8:H10)</f>
        <v>0</v>
      </c>
      <c r="I11" s="49">
        <f>SUM(I8:I10)</f>
        <v>0</v>
      </c>
      <c r="J11" s="52">
        <f>SUM(J8:J10)</f>
        <v>0</v>
      </c>
      <c r="K11" s="37"/>
      <c r="L11" s="37"/>
      <c r="M11" s="37"/>
    </row>
    <row r="12" spans="2:14" ht="15.75" thickBot="1" x14ac:dyDescent="0.3">
      <c r="B12" s="8"/>
      <c r="C12" s="8"/>
      <c r="D12" s="8"/>
      <c r="E12" s="8"/>
      <c r="F12" s="8"/>
      <c r="G12" s="8"/>
      <c r="H12" s="8"/>
      <c r="I12" s="8"/>
      <c r="J12" s="8"/>
      <c r="K12" s="37"/>
      <c r="L12" s="37"/>
      <c r="M12" s="37"/>
    </row>
    <row r="13" spans="2:14" x14ac:dyDescent="0.25">
      <c r="B13" s="5" t="s">
        <v>8</v>
      </c>
      <c r="C13" s="6" t="s">
        <v>9</v>
      </c>
      <c r="D13" s="6" t="s">
        <v>10</v>
      </c>
      <c r="E13" s="6" t="s">
        <v>11</v>
      </c>
      <c r="F13" s="6" t="s">
        <v>1</v>
      </c>
      <c r="G13" s="6" t="s">
        <v>12</v>
      </c>
      <c r="H13" s="6" t="s">
        <v>13</v>
      </c>
      <c r="I13" s="6" t="s">
        <v>14</v>
      </c>
      <c r="J13" s="7" t="s">
        <v>2</v>
      </c>
      <c r="K13" s="37"/>
      <c r="L13" s="37"/>
      <c r="M13" s="37"/>
    </row>
    <row r="14" spans="2:14" x14ac:dyDescent="0.25">
      <c r="B14" s="38"/>
      <c r="C14" s="39"/>
      <c r="D14" s="40"/>
      <c r="E14" s="41"/>
      <c r="F14" s="41">
        <f>E14*4%</f>
        <v>0</v>
      </c>
      <c r="G14" s="42">
        <f>E14*106.14%+(E14)</f>
        <v>0</v>
      </c>
      <c r="H14" s="42">
        <f t="shared" ref="H14:H22" si="5">G14*18%-F14</f>
        <v>0</v>
      </c>
      <c r="I14" s="42">
        <f t="shared" ref="I14:I22" si="6">G14*2%</f>
        <v>0</v>
      </c>
      <c r="J14" s="51">
        <f t="shared" ref="J14:J22" si="7">H14+I14</f>
        <v>0</v>
      </c>
      <c r="K14" s="37"/>
      <c r="L14" s="37"/>
      <c r="M14" s="37"/>
    </row>
    <row r="15" spans="2:14" x14ac:dyDescent="0.25">
      <c r="B15" s="38"/>
      <c r="C15" s="39"/>
      <c r="D15" s="40"/>
      <c r="E15" s="41"/>
      <c r="F15" s="41">
        <f>E15*4%</f>
        <v>0</v>
      </c>
      <c r="G15" s="42">
        <f>E15*106.14%+(E15)</f>
        <v>0</v>
      </c>
      <c r="H15" s="42">
        <f t="shared" si="5"/>
        <v>0</v>
      </c>
      <c r="I15" s="42">
        <f t="shared" si="6"/>
        <v>0</v>
      </c>
      <c r="J15" s="51">
        <f t="shared" si="7"/>
        <v>0</v>
      </c>
      <c r="K15" s="37"/>
      <c r="L15" s="37"/>
      <c r="M15" s="37"/>
    </row>
    <row r="16" spans="2:14" x14ac:dyDescent="0.25">
      <c r="B16" s="38"/>
      <c r="C16" s="39"/>
      <c r="D16" s="40"/>
      <c r="E16" s="41"/>
      <c r="F16" s="41">
        <f t="shared" ref="F16:F22" si="8">E16*4%</f>
        <v>0</v>
      </c>
      <c r="G16" s="42">
        <f t="shared" ref="G16:G22" si="9">E16*106.14%+(E16)</f>
        <v>0</v>
      </c>
      <c r="H16" s="42">
        <f t="shared" si="5"/>
        <v>0</v>
      </c>
      <c r="I16" s="42">
        <f t="shared" si="6"/>
        <v>0</v>
      </c>
      <c r="J16" s="51">
        <f t="shared" si="7"/>
        <v>0</v>
      </c>
      <c r="K16" s="37"/>
      <c r="L16" s="37"/>
      <c r="M16" s="37"/>
    </row>
    <row r="17" spans="2:14" x14ac:dyDescent="0.25">
      <c r="B17" s="38"/>
      <c r="C17" s="39"/>
      <c r="D17" s="40"/>
      <c r="E17" s="41"/>
      <c r="F17" s="41">
        <f t="shared" si="8"/>
        <v>0</v>
      </c>
      <c r="G17" s="42">
        <f t="shared" si="9"/>
        <v>0</v>
      </c>
      <c r="H17" s="42">
        <f t="shared" si="5"/>
        <v>0</v>
      </c>
      <c r="I17" s="42">
        <f t="shared" si="6"/>
        <v>0</v>
      </c>
      <c r="J17" s="51">
        <f t="shared" si="7"/>
        <v>0</v>
      </c>
      <c r="K17" s="37"/>
      <c r="L17" s="37"/>
      <c r="M17" s="37"/>
    </row>
    <row r="18" spans="2:14" x14ac:dyDescent="0.25">
      <c r="B18" s="38"/>
      <c r="C18" s="39"/>
      <c r="D18" s="40"/>
      <c r="E18" s="41"/>
      <c r="F18" s="41">
        <f t="shared" si="8"/>
        <v>0</v>
      </c>
      <c r="G18" s="42">
        <f t="shared" si="9"/>
        <v>0</v>
      </c>
      <c r="H18" s="42">
        <f t="shared" si="5"/>
        <v>0</v>
      </c>
      <c r="I18" s="42">
        <f t="shared" si="6"/>
        <v>0</v>
      </c>
      <c r="J18" s="51">
        <f t="shared" si="7"/>
        <v>0</v>
      </c>
      <c r="K18" s="37"/>
      <c r="L18" s="37"/>
      <c r="M18" s="37"/>
    </row>
    <row r="19" spans="2:14" x14ac:dyDescent="0.25">
      <c r="B19" s="38"/>
      <c r="C19" s="39"/>
      <c r="D19" s="40"/>
      <c r="E19" s="41"/>
      <c r="F19" s="41">
        <f t="shared" si="8"/>
        <v>0</v>
      </c>
      <c r="G19" s="42">
        <f t="shared" si="9"/>
        <v>0</v>
      </c>
      <c r="H19" s="42">
        <f t="shared" si="5"/>
        <v>0</v>
      </c>
      <c r="I19" s="42">
        <f t="shared" si="6"/>
        <v>0</v>
      </c>
      <c r="J19" s="51">
        <f t="shared" si="7"/>
        <v>0</v>
      </c>
      <c r="K19" s="37"/>
      <c r="L19" s="37"/>
      <c r="M19" s="37"/>
    </row>
    <row r="20" spans="2:14" x14ac:dyDescent="0.25">
      <c r="B20" s="38"/>
      <c r="C20" s="39"/>
      <c r="D20" s="40"/>
      <c r="E20" s="41"/>
      <c r="F20" s="41">
        <f t="shared" si="8"/>
        <v>0</v>
      </c>
      <c r="G20" s="42">
        <f t="shared" si="9"/>
        <v>0</v>
      </c>
      <c r="H20" s="42">
        <f t="shared" si="5"/>
        <v>0</v>
      </c>
      <c r="I20" s="42">
        <f t="shared" si="6"/>
        <v>0</v>
      </c>
      <c r="J20" s="51">
        <f t="shared" si="7"/>
        <v>0</v>
      </c>
      <c r="K20" s="37"/>
      <c r="L20" s="37"/>
      <c r="M20" s="37"/>
    </row>
    <row r="21" spans="2:14" x14ac:dyDescent="0.25">
      <c r="B21" s="38"/>
      <c r="C21" s="39"/>
      <c r="D21" s="40"/>
      <c r="E21" s="41"/>
      <c r="F21" s="41">
        <f t="shared" si="8"/>
        <v>0</v>
      </c>
      <c r="G21" s="42">
        <f t="shared" si="9"/>
        <v>0</v>
      </c>
      <c r="H21" s="42">
        <f t="shared" si="5"/>
        <v>0</v>
      </c>
      <c r="I21" s="42">
        <f t="shared" si="6"/>
        <v>0</v>
      </c>
      <c r="J21" s="51">
        <f t="shared" si="7"/>
        <v>0</v>
      </c>
      <c r="K21" s="37"/>
      <c r="L21" s="37"/>
      <c r="M21" s="37"/>
    </row>
    <row r="22" spans="2:14" x14ac:dyDescent="0.25">
      <c r="B22" s="38"/>
      <c r="C22" s="39"/>
      <c r="D22" s="40"/>
      <c r="E22" s="41"/>
      <c r="F22" s="41">
        <f t="shared" si="8"/>
        <v>0</v>
      </c>
      <c r="G22" s="42">
        <f t="shared" si="9"/>
        <v>0</v>
      </c>
      <c r="H22" s="42">
        <f t="shared" si="5"/>
        <v>0</v>
      </c>
      <c r="I22" s="42">
        <f t="shared" si="6"/>
        <v>0</v>
      </c>
      <c r="J22" s="51">
        <f t="shared" si="7"/>
        <v>0</v>
      </c>
      <c r="K22" s="37"/>
      <c r="L22" s="37"/>
      <c r="M22" s="37"/>
    </row>
    <row r="23" spans="2:14" ht="15.75" thickBot="1" x14ac:dyDescent="0.3">
      <c r="B23" s="44"/>
      <c r="C23" s="45"/>
      <c r="D23" s="46"/>
      <c r="E23" s="50"/>
      <c r="F23" s="50"/>
      <c r="G23" s="49">
        <f>SUM(G14:G22)</f>
        <v>0</v>
      </c>
      <c r="H23" s="49">
        <f>SUM(H14:H22)</f>
        <v>0</v>
      </c>
      <c r="I23" s="49">
        <f>SUM(I14:I22)</f>
        <v>0</v>
      </c>
      <c r="J23" s="52">
        <f>SUM(J14:J22)</f>
        <v>0</v>
      </c>
      <c r="K23" s="37"/>
      <c r="L23" s="37"/>
      <c r="M23" s="37"/>
    </row>
    <row r="24" spans="2:14" x14ac:dyDescent="0.25">
      <c r="L24" s="37"/>
      <c r="M24" s="37"/>
      <c r="N24" s="37"/>
    </row>
    <row r="25" spans="2:14" ht="15.75" thickBot="1" x14ac:dyDescent="0.3">
      <c r="B25" s="1"/>
      <c r="C25" s="1"/>
      <c r="D25" s="1"/>
      <c r="E25" s="1"/>
      <c r="F25" s="1"/>
      <c r="G25" s="37"/>
      <c r="H25" s="37"/>
      <c r="I25" s="37"/>
    </row>
    <row r="26" spans="2:14" ht="15" customHeight="1" x14ac:dyDescent="0.25">
      <c r="B26" s="30" t="s">
        <v>3</v>
      </c>
      <c r="C26" s="31" t="s">
        <v>15</v>
      </c>
      <c r="D26" s="32" t="s">
        <v>4</v>
      </c>
      <c r="E26" s="33" t="s">
        <v>5</v>
      </c>
      <c r="G26" s="37"/>
      <c r="H26" s="37"/>
      <c r="I26" s="37"/>
    </row>
    <row r="27" spans="2:14" x14ac:dyDescent="0.25">
      <c r="B27" s="22" t="s">
        <v>6</v>
      </c>
      <c r="C27" s="16">
        <f>H11</f>
        <v>0</v>
      </c>
      <c r="D27" s="16">
        <f>I11</f>
        <v>0</v>
      </c>
      <c r="E27" s="19">
        <f>C27+D27</f>
        <v>0</v>
      </c>
      <c r="G27" s="37"/>
      <c r="H27" s="37"/>
      <c r="I27" s="37"/>
    </row>
    <row r="28" spans="2:14" ht="15" customHeight="1" x14ac:dyDescent="0.25">
      <c r="B28" s="22" t="s">
        <v>7</v>
      </c>
      <c r="C28" s="17">
        <f>H23</f>
        <v>0</v>
      </c>
      <c r="D28" s="17">
        <f>I23</f>
        <v>0</v>
      </c>
      <c r="E28" s="19">
        <f>SUM(C28:D28)</f>
        <v>0</v>
      </c>
      <c r="G28" s="37"/>
      <c r="H28" s="37"/>
      <c r="I28" s="37"/>
    </row>
    <row r="29" spans="2:14" ht="15.75" thickBot="1" x14ac:dyDescent="0.3">
      <c r="B29" s="23" t="s">
        <v>18</v>
      </c>
      <c r="C29" s="20">
        <f>SUM(C27:C28)</f>
        <v>0</v>
      </c>
      <c r="D29" s="20">
        <f t="shared" ref="D29:E29" si="10">SUM(D27:D28)</f>
        <v>0</v>
      </c>
      <c r="E29" s="21">
        <f t="shared" si="10"/>
        <v>0</v>
      </c>
      <c r="G29" s="37"/>
      <c r="H29" s="37"/>
      <c r="I29" s="37"/>
    </row>
    <row r="30" spans="2:14" x14ac:dyDescent="0.25">
      <c r="B30" s="1"/>
      <c r="C30" s="11"/>
      <c r="D30" s="10"/>
      <c r="E30" s="10"/>
      <c r="F30" s="12"/>
      <c r="G30" s="37"/>
      <c r="H30" s="37"/>
      <c r="I30" s="37"/>
    </row>
    <row r="31" spans="2:14" ht="15.75" thickBot="1" x14ac:dyDescent="0.3">
      <c r="B31" s="1"/>
      <c r="C31" s="13"/>
      <c r="D31" s="14"/>
      <c r="E31" s="14"/>
      <c r="F31" s="15"/>
      <c r="G31" s="37"/>
      <c r="H31" s="37"/>
      <c r="I31" s="37"/>
    </row>
    <row r="32" spans="2:14" x14ac:dyDescent="0.25">
      <c r="B32" s="24" t="s">
        <v>16</v>
      </c>
      <c r="C32" s="25" t="s">
        <v>17</v>
      </c>
      <c r="F32" s="15"/>
      <c r="G32" s="37"/>
      <c r="H32" s="37"/>
      <c r="I32" s="37"/>
    </row>
    <row r="33" spans="2:14" x14ac:dyDescent="0.25">
      <c r="B33" s="26">
        <v>0.12</v>
      </c>
      <c r="C33" s="27">
        <v>88.96</v>
      </c>
      <c r="F33" s="15"/>
      <c r="G33" s="37"/>
      <c r="H33" s="37"/>
      <c r="I33" s="37"/>
    </row>
    <row r="34" spans="2:14" ht="15.75" thickBot="1" x14ac:dyDescent="0.3">
      <c r="B34" s="28">
        <v>0.04</v>
      </c>
      <c r="C34" s="29">
        <v>106.14</v>
      </c>
      <c r="F34" s="9"/>
      <c r="G34" s="1"/>
      <c r="L34" s="37"/>
      <c r="M34" s="37"/>
      <c r="N34" s="37"/>
    </row>
    <row r="35" spans="2:14" x14ac:dyDescent="0.25">
      <c r="L35" s="37"/>
      <c r="M35" s="37"/>
      <c r="N35" s="37"/>
    </row>
    <row r="36" spans="2:14" x14ac:dyDescent="0.25">
      <c r="L36" s="37"/>
      <c r="M36" s="37"/>
      <c r="N36" s="37"/>
    </row>
  </sheetData>
  <mergeCells count="1">
    <mergeCell ref="B3:J4"/>
  </mergeCells>
  <pageMargins left="0.7" right="0.7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AGOSTO</vt:lpstr>
      <vt:lpstr>AGOSTO!Area_de_impressao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lindalva.batista</dc:creator>
  <cp:lastModifiedBy>Gabriel Antonio dos Santos Ouverney</cp:lastModifiedBy>
  <cp:lastPrinted>2018-07-06T14:19:56Z</cp:lastPrinted>
  <dcterms:created xsi:type="dcterms:W3CDTF">2016-01-28T15:13:17Z</dcterms:created>
  <dcterms:modified xsi:type="dcterms:W3CDTF">2018-08-13T17:43:20Z</dcterms:modified>
</cp:coreProperties>
</file>