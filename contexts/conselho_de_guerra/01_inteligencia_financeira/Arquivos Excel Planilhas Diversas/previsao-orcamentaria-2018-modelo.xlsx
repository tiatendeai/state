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de Adecon\DADOS\07 - VILLAS CASTILLA\"/>
    </mc:Choice>
  </mc:AlternateContent>
  <bookViews>
    <workbookView xWindow="0" yWindow="0" windowWidth="24000" windowHeight="9735" activeTab="2"/>
  </bookViews>
  <sheets>
    <sheet name="Previsão Orçamentária " sheetId="4" r:id="rId1"/>
    <sheet name="Folha de Pagamento" sheetId="31" r:id="rId2"/>
    <sheet name="APLICAÇÕES" sheetId="32" r:id="rId3"/>
    <sheet name="taxa distribuidia por n de apto" sheetId="29" r:id="rId4"/>
    <sheet name="Previsão estraordinária" sheetId="18" state="hidden" r:id="rId5"/>
    <sheet name="sugestão" sheetId="20" state="hidden" r:id="rId6"/>
    <sheet name="Rateio" sheetId="5" state="hidden" r:id="rId7"/>
    <sheet name="SETEMBRO" sheetId="8" state="hidden" r:id="rId8"/>
    <sheet name="OUTUBRO" sheetId="11" state="hidden" r:id="rId9"/>
    <sheet name="BASE" sheetId="10" state="hidden" r:id="rId10"/>
    <sheet name="Plan1" sheetId="6" state="hidden" r:id="rId11"/>
    <sheet name="Plan2" sheetId="7" state="hidden" r:id="rId12"/>
    <sheet name="Plan3" sheetId="14" state="hidden" r:id="rId13"/>
    <sheet name="Plan4" sheetId="17" state="hidden" r:id="rId14"/>
    <sheet name="Plan5" sheetId="19" state="hidden" r:id="rId15"/>
    <sheet name="2016" sheetId="21" state="hidden" r:id="rId16"/>
  </sheets>
  <definedNames>
    <definedName name="_xlnm._FilterDatabase" localSheetId="4" hidden="1">'Previsão estraordinária'!#REF!</definedName>
    <definedName name="_xlnm._FilterDatabase" localSheetId="0" hidden="1">'Previsão Orçamentária '!$B$10:$G$10</definedName>
    <definedName name="_xlnm._FilterDatabase" localSheetId="6" hidden="1">Rateio!$A$5:$L$64</definedName>
    <definedName name="_xlnm.Print_Area" localSheetId="11">Plan2!$A$1:$U$21</definedName>
    <definedName name="_xlnm.Print_Area" localSheetId="13">Plan4!#REF!</definedName>
    <definedName name="_xlnm.Print_Area" localSheetId="4">'Previsão estraordinária'!$B$1:$G$3</definedName>
    <definedName name="_xlnm.Print_Area" localSheetId="0">'Previsão Orçamentária '!$B$1:$F$53</definedName>
  </definedNames>
  <calcPr calcId="152511"/>
</workbook>
</file>

<file path=xl/calcChain.xml><?xml version="1.0" encoding="utf-8"?>
<calcChain xmlns="http://schemas.openxmlformats.org/spreadsheetml/2006/main">
  <c r="F18" i="32" l="1"/>
  <c r="G18" i="32" s="1"/>
  <c r="H18" i="32" l="1"/>
  <c r="G27" i="32"/>
  <c r="G28" i="32" s="1"/>
  <c r="I18" i="32" l="1"/>
  <c r="E124" i="21"/>
  <c r="D124" i="21"/>
  <c r="C124" i="21"/>
  <c r="E115" i="21"/>
  <c r="E114" i="21"/>
  <c r="C114" i="21"/>
  <c r="E112" i="21"/>
  <c r="E111" i="21"/>
  <c r="E110" i="21"/>
  <c r="E109" i="21"/>
  <c r="E108" i="21"/>
  <c r="E107" i="21"/>
  <c r="C107" i="21"/>
  <c r="E104" i="21"/>
  <c r="C104" i="21"/>
  <c r="E103" i="21"/>
  <c r="C103" i="21"/>
  <c r="E101" i="21"/>
  <c r="E100" i="21"/>
  <c r="E99" i="21"/>
  <c r="C99" i="21"/>
  <c r="E98" i="21"/>
  <c r="C98" i="21"/>
  <c r="E97" i="21"/>
  <c r="E96" i="21"/>
  <c r="E95" i="21"/>
  <c r="E94" i="21"/>
  <c r="E93" i="21"/>
  <c r="E92" i="21"/>
  <c r="C92" i="21"/>
  <c r="E89" i="21"/>
  <c r="E88" i="21"/>
  <c r="E86" i="21"/>
  <c r="C86" i="21"/>
  <c r="E85" i="21"/>
  <c r="E84" i="21"/>
  <c r="C84" i="21"/>
  <c r="E83" i="21"/>
  <c r="C83" i="21"/>
  <c r="E82" i="21"/>
  <c r="E81" i="21"/>
  <c r="E80" i="21"/>
  <c r="E79" i="21"/>
  <c r="E78" i="21"/>
  <c r="E77" i="21"/>
  <c r="E76" i="21"/>
  <c r="C76" i="21"/>
  <c r="F70" i="21"/>
  <c r="E70" i="21"/>
  <c r="C70" i="21"/>
  <c r="E69" i="21"/>
  <c r="C69" i="21"/>
  <c r="E68" i="21"/>
  <c r="D68" i="21"/>
  <c r="C68" i="21"/>
  <c r="G65" i="21"/>
  <c r="F65" i="21"/>
  <c r="E65" i="21"/>
  <c r="D65" i="21"/>
  <c r="C65" i="21"/>
  <c r="G64" i="21"/>
  <c r="F64" i="21"/>
  <c r="E64" i="21"/>
  <c r="E63" i="21"/>
  <c r="G62" i="21"/>
  <c r="F62" i="21"/>
  <c r="E62" i="21"/>
  <c r="C62" i="21"/>
  <c r="E61" i="21"/>
  <c r="D61" i="21"/>
  <c r="C61" i="21"/>
  <c r="F59" i="21"/>
  <c r="E59" i="21"/>
  <c r="D59" i="21"/>
  <c r="C59" i="21"/>
  <c r="E57" i="21"/>
  <c r="E56" i="21"/>
  <c r="D56" i="21"/>
  <c r="E55" i="21"/>
  <c r="C55" i="21"/>
  <c r="E54" i="21"/>
  <c r="E53" i="21"/>
  <c r="E52" i="21"/>
  <c r="E51" i="21"/>
  <c r="E50" i="21"/>
  <c r="C50" i="21"/>
  <c r="E49" i="21"/>
  <c r="E48" i="21"/>
  <c r="E47" i="21"/>
  <c r="E46" i="21"/>
  <c r="C46" i="21"/>
  <c r="E45" i="21"/>
  <c r="E44" i="21"/>
  <c r="E43" i="21"/>
  <c r="M42" i="21"/>
  <c r="E42" i="21"/>
  <c r="M41" i="21"/>
  <c r="E41" i="21"/>
  <c r="C41" i="21"/>
  <c r="M40" i="21"/>
  <c r="E40" i="21"/>
  <c r="E39" i="21"/>
  <c r="D39" i="21"/>
  <c r="C39" i="21"/>
  <c r="P38" i="21"/>
  <c r="O38" i="21"/>
  <c r="N38" i="21"/>
  <c r="P37" i="21"/>
  <c r="P36" i="21"/>
  <c r="E36" i="21"/>
  <c r="P35" i="21"/>
  <c r="E35" i="21"/>
  <c r="C35" i="21"/>
  <c r="P34" i="21"/>
  <c r="E34" i="21"/>
  <c r="P33" i="21"/>
  <c r="E33" i="21"/>
  <c r="P32" i="21"/>
  <c r="E32" i="21"/>
  <c r="P31" i="21"/>
  <c r="E31" i="21"/>
  <c r="P30" i="21"/>
  <c r="E30" i="21"/>
  <c r="D30" i="21"/>
  <c r="P29" i="21"/>
  <c r="E29" i="21"/>
  <c r="P28" i="21"/>
  <c r="E28" i="21"/>
  <c r="C28" i="21"/>
  <c r="P27" i="21"/>
  <c r="E27" i="21"/>
  <c r="P26" i="21"/>
  <c r="E26" i="21"/>
  <c r="C26" i="21"/>
  <c r="P25" i="21"/>
  <c r="E25" i="21"/>
  <c r="C25" i="21"/>
  <c r="P24" i="21"/>
  <c r="E24" i="21"/>
  <c r="P23" i="21"/>
  <c r="E23" i="21"/>
  <c r="P22" i="21"/>
  <c r="E22" i="21"/>
  <c r="P21" i="21"/>
  <c r="E21" i="21"/>
  <c r="P20" i="21"/>
  <c r="E20" i="21"/>
  <c r="E19" i="21"/>
  <c r="P18" i="21"/>
  <c r="O18" i="21"/>
  <c r="E18" i="21"/>
  <c r="C18" i="21"/>
  <c r="P17" i="21"/>
  <c r="E17" i="21"/>
  <c r="C17" i="21"/>
  <c r="P16" i="21"/>
  <c r="E16" i="21"/>
  <c r="C16" i="21"/>
  <c r="P15" i="21"/>
  <c r="E15" i="21"/>
  <c r="P14" i="21"/>
  <c r="E14" i="21"/>
  <c r="P13" i="21"/>
  <c r="E13" i="21"/>
  <c r="C13" i="21"/>
  <c r="P12" i="21"/>
  <c r="G12" i="21"/>
  <c r="E12" i="21"/>
  <c r="C12" i="21"/>
  <c r="P11" i="21"/>
  <c r="E11" i="21"/>
  <c r="C11" i="21"/>
  <c r="P10" i="21"/>
  <c r="G10" i="21"/>
  <c r="E10" i="21"/>
  <c r="C10" i="21"/>
  <c r="P9" i="21"/>
  <c r="G9" i="21"/>
  <c r="E9" i="21"/>
  <c r="D9" i="21"/>
  <c r="C9" i="21"/>
  <c r="P8" i="21"/>
  <c r="G8" i="21"/>
  <c r="E8" i="21"/>
  <c r="C8" i="21"/>
  <c r="G7" i="21"/>
  <c r="E7" i="21"/>
  <c r="P6" i="21"/>
  <c r="G6" i="21"/>
  <c r="E6" i="21"/>
  <c r="C6" i="21"/>
  <c r="G5" i="21"/>
  <c r="E5" i="21"/>
  <c r="D5" i="21"/>
  <c r="C5" i="21"/>
  <c r="G4" i="21"/>
  <c r="D27" i="19"/>
  <c r="D26" i="19"/>
  <c r="D25" i="19"/>
  <c r="B6" i="14"/>
  <c r="N5" i="14"/>
  <c r="N2" i="14"/>
  <c r="I2" i="14"/>
  <c r="H2" i="14"/>
  <c r="G2" i="14"/>
  <c r="F2" i="14"/>
  <c r="E2" i="14"/>
  <c r="D2" i="14"/>
  <c r="C2" i="14"/>
  <c r="B2" i="14"/>
  <c r="N1" i="14"/>
  <c r="G73" i="11"/>
  <c r="F63" i="11"/>
  <c r="E63" i="11"/>
  <c r="Q62" i="11"/>
  <c r="O62" i="11"/>
  <c r="N62" i="11"/>
  <c r="K62" i="11"/>
  <c r="J62" i="11"/>
  <c r="H62" i="11"/>
  <c r="F62" i="11"/>
  <c r="E62" i="11"/>
  <c r="Q61" i="11"/>
  <c r="K61" i="11"/>
  <c r="H61" i="11"/>
  <c r="Q60" i="11"/>
  <c r="K60" i="11"/>
  <c r="H60" i="11"/>
  <c r="Q59" i="11"/>
  <c r="K59" i="11"/>
  <c r="H59" i="11"/>
  <c r="Q58" i="11"/>
  <c r="K58" i="11"/>
  <c r="H58" i="11"/>
  <c r="Q57" i="11"/>
  <c r="K57" i="11"/>
  <c r="H57" i="11"/>
  <c r="Q56" i="11"/>
  <c r="K56" i="11"/>
  <c r="H56" i="11"/>
  <c r="Q55" i="11"/>
  <c r="N55" i="11"/>
  <c r="K55" i="11"/>
  <c r="H55" i="11"/>
  <c r="Q54" i="11"/>
  <c r="K54" i="11"/>
  <c r="H54" i="11"/>
  <c r="Q53" i="11"/>
  <c r="K53" i="11"/>
  <c r="H53" i="11"/>
  <c r="Q52" i="11"/>
  <c r="K52" i="11"/>
  <c r="H52" i="11"/>
  <c r="Q51" i="11"/>
  <c r="K51" i="11"/>
  <c r="H51" i="11"/>
  <c r="Q50" i="11"/>
  <c r="K50" i="11"/>
  <c r="H50" i="11"/>
  <c r="Q49" i="11"/>
  <c r="K49" i="11"/>
  <c r="H49" i="11"/>
  <c r="Q48" i="11"/>
  <c r="K48" i="11"/>
  <c r="H48" i="11"/>
  <c r="Q47" i="11"/>
  <c r="K47" i="11"/>
  <c r="H47" i="11"/>
  <c r="Q46" i="11"/>
  <c r="K46" i="11"/>
  <c r="H46" i="11"/>
  <c r="Q45" i="11"/>
  <c r="K45" i="11"/>
  <c r="H45" i="11"/>
  <c r="Q44" i="11"/>
  <c r="K44" i="11"/>
  <c r="H44" i="11"/>
  <c r="Q43" i="11"/>
  <c r="K43" i="11"/>
  <c r="H43" i="11"/>
  <c r="Q42" i="11"/>
  <c r="K42" i="11"/>
  <c r="H42" i="11"/>
  <c r="Q41" i="11"/>
  <c r="K41" i="11"/>
  <c r="H41" i="11"/>
  <c r="Q40" i="11"/>
  <c r="K40" i="11"/>
  <c r="H40" i="11"/>
  <c r="Q39" i="11"/>
  <c r="K39" i="11"/>
  <c r="H39" i="11"/>
  <c r="Q38" i="11"/>
  <c r="K38" i="11"/>
  <c r="H38" i="11"/>
  <c r="Q37" i="11"/>
  <c r="K37" i="11"/>
  <c r="H37" i="11"/>
  <c r="Q36" i="11"/>
  <c r="K36" i="11"/>
  <c r="H36" i="11"/>
  <c r="Q35" i="11"/>
  <c r="K35" i="11"/>
  <c r="H35" i="11"/>
  <c r="Q34" i="11"/>
  <c r="K34" i="11"/>
  <c r="H34" i="11"/>
  <c r="Q33" i="11"/>
  <c r="K33" i="11"/>
  <c r="H33" i="11"/>
  <c r="Q32" i="11"/>
  <c r="K32" i="11"/>
  <c r="H32" i="11"/>
  <c r="Q31" i="11"/>
  <c r="K31" i="11"/>
  <c r="H31" i="11"/>
  <c r="Q30" i="11"/>
  <c r="K30" i="11"/>
  <c r="H30" i="11"/>
  <c r="Q29" i="11"/>
  <c r="K29" i="11"/>
  <c r="H29" i="11"/>
  <c r="Q28" i="11"/>
  <c r="K28" i="11"/>
  <c r="H28" i="11"/>
  <c r="Q27" i="11"/>
  <c r="K27" i="11"/>
  <c r="H27" i="11"/>
  <c r="Q26" i="11"/>
  <c r="K26" i="11"/>
  <c r="H26" i="11"/>
  <c r="Q25" i="11"/>
  <c r="K25" i="11"/>
  <c r="H25" i="11"/>
  <c r="Q24" i="11"/>
  <c r="K24" i="11"/>
  <c r="H24" i="11"/>
  <c r="Q23" i="11"/>
  <c r="K23" i="11"/>
  <c r="H23" i="11"/>
  <c r="Q22" i="11"/>
  <c r="K22" i="11"/>
  <c r="H22" i="11"/>
  <c r="Q21" i="11"/>
  <c r="K21" i="11"/>
  <c r="H21" i="11"/>
  <c r="Q20" i="11"/>
  <c r="K20" i="11"/>
  <c r="H20" i="11"/>
  <c r="Q19" i="11"/>
  <c r="K19" i="11"/>
  <c r="H19" i="11"/>
  <c r="Q18" i="11"/>
  <c r="K18" i="11"/>
  <c r="H18" i="11"/>
  <c r="Q17" i="11"/>
  <c r="K17" i="11"/>
  <c r="H17" i="11"/>
  <c r="Q16" i="11"/>
  <c r="K16" i="11"/>
  <c r="H16" i="11"/>
  <c r="Q15" i="11"/>
  <c r="K15" i="11"/>
  <c r="H15" i="11"/>
  <c r="Q14" i="11"/>
  <c r="K14" i="11"/>
  <c r="H14" i="11"/>
  <c r="Q13" i="11"/>
  <c r="K13" i="11"/>
  <c r="H13" i="11"/>
  <c r="Q12" i="11"/>
  <c r="K12" i="11"/>
  <c r="H12" i="11"/>
  <c r="Q11" i="11"/>
  <c r="K11" i="11"/>
  <c r="H11" i="11"/>
  <c r="Q10" i="11"/>
  <c r="K10" i="11"/>
  <c r="H10" i="11"/>
  <c r="Q9" i="11"/>
  <c r="K9" i="11"/>
  <c r="H9" i="11"/>
  <c r="Q8" i="11"/>
  <c r="K8" i="11"/>
  <c r="H8" i="11"/>
  <c r="Q7" i="11"/>
  <c r="K7" i="11"/>
  <c r="H7" i="11"/>
  <c r="Q6" i="11"/>
  <c r="K6" i="11"/>
  <c r="H6" i="11"/>
  <c r="F63" i="8"/>
  <c r="E63" i="8"/>
  <c r="Q62" i="8"/>
  <c r="O62" i="8"/>
  <c r="N62" i="8"/>
  <c r="K62" i="8"/>
  <c r="J62" i="8"/>
  <c r="F62" i="8"/>
  <c r="E62" i="8"/>
  <c r="Q61" i="8"/>
  <c r="K61" i="8"/>
  <c r="H61" i="8"/>
  <c r="Q60" i="8"/>
  <c r="K60" i="8"/>
  <c r="H60" i="8"/>
  <c r="Q59" i="8"/>
  <c r="K59" i="8"/>
  <c r="H59" i="8"/>
  <c r="Q58" i="8"/>
  <c r="K58" i="8"/>
  <c r="H58" i="8"/>
  <c r="Q57" i="8"/>
  <c r="K57" i="8"/>
  <c r="H57" i="8"/>
  <c r="Q56" i="8"/>
  <c r="K56" i="8"/>
  <c r="H56" i="8"/>
  <c r="Q55" i="8"/>
  <c r="K55" i="8"/>
  <c r="H55" i="8"/>
  <c r="Q54" i="8"/>
  <c r="K54" i="8"/>
  <c r="H54" i="8"/>
  <c r="Q53" i="8"/>
  <c r="K53" i="8"/>
  <c r="H53" i="8"/>
  <c r="Q52" i="8"/>
  <c r="K52" i="8"/>
  <c r="H52" i="8"/>
  <c r="Q51" i="8"/>
  <c r="K51" i="8"/>
  <c r="H51" i="8"/>
  <c r="Q50" i="8"/>
  <c r="K50" i="8"/>
  <c r="H50" i="8"/>
  <c r="Q49" i="8"/>
  <c r="K49" i="8"/>
  <c r="H49" i="8"/>
  <c r="Q48" i="8"/>
  <c r="K48" i="8"/>
  <c r="H48" i="8"/>
  <c r="Q47" i="8"/>
  <c r="K47" i="8"/>
  <c r="H47" i="8"/>
  <c r="Q46" i="8"/>
  <c r="K46" i="8"/>
  <c r="H46" i="8"/>
  <c r="Q45" i="8"/>
  <c r="K45" i="8"/>
  <c r="H45" i="8"/>
  <c r="Q44" i="8"/>
  <c r="K44" i="8"/>
  <c r="H44" i="8"/>
  <c r="Q43" i="8"/>
  <c r="K43" i="8"/>
  <c r="H43" i="8"/>
  <c r="Q42" i="8"/>
  <c r="K42" i="8"/>
  <c r="H42" i="8"/>
  <c r="Q41" i="8"/>
  <c r="K41" i="8"/>
  <c r="H41" i="8"/>
  <c r="Q40" i="8"/>
  <c r="K40" i="8"/>
  <c r="H40" i="8"/>
  <c r="Q39" i="8"/>
  <c r="K39" i="8"/>
  <c r="H39" i="8"/>
  <c r="Q38" i="8"/>
  <c r="K38" i="8"/>
  <c r="H38" i="8"/>
  <c r="Q37" i="8"/>
  <c r="K37" i="8"/>
  <c r="H37" i="8"/>
  <c r="Q36" i="8"/>
  <c r="K36" i="8"/>
  <c r="H36" i="8"/>
  <c r="Q35" i="8"/>
  <c r="K35" i="8"/>
  <c r="H35" i="8"/>
  <c r="Q34" i="8"/>
  <c r="K34" i="8"/>
  <c r="H34" i="8"/>
  <c r="Q33" i="8"/>
  <c r="K33" i="8"/>
  <c r="H33" i="8"/>
  <c r="Q32" i="8"/>
  <c r="K32" i="8"/>
  <c r="H32" i="8"/>
  <c r="Q31" i="8"/>
  <c r="K31" i="8"/>
  <c r="H31" i="8"/>
  <c r="Q30" i="8"/>
  <c r="K30" i="8"/>
  <c r="H30" i="8"/>
  <c r="Q29" i="8"/>
  <c r="K29" i="8"/>
  <c r="H29" i="8"/>
  <c r="Q28" i="8"/>
  <c r="K28" i="8"/>
  <c r="H28" i="8"/>
  <c r="Q27" i="8"/>
  <c r="K27" i="8"/>
  <c r="H27" i="8"/>
  <c r="Q26" i="8"/>
  <c r="K26" i="8"/>
  <c r="H26" i="8"/>
  <c r="Q25" i="8"/>
  <c r="K25" i="8"/>
  <c r="H25" i="8"/>
  <c r="Q24" i="8"/>
  <c r="K24" i="8"/>
  <c r="H24" i="8"/>
  <c r="Q23" i="8"/>
  <c r="K23" i="8"/>
  <c r="H23" i="8"/>
  <c r="Q22" i="8"/>
  <c r="K22" i="8"/>
  <c r="H22" i="8"/>
  <c r="Q21" i="8"/>
  <c r="K21" i="8"/>
  <c r="H21" i="8"/>
  <c r="Q20" i="8"/>
  <c r="K20" i="8"/>
  <c r="H20" i="8"/>
  <c r="Q19" i="8"/>
  <c r="K19" i="8"/>
  <c r="H19" i="8"/>
  <c r="Q18" i="8"/>
  <c r="K18" i="8"/>
  <c r="H18" i="8"/>
  <c r="Q17" i="8"/>
  <c r="K17" i="8"/>
  <c r="H17" i="8"/>
  <c r="Q16" i="8"/>
  <c r="K16" i="8"/>
  <c r="H16" i="8"/>
  <c r="Q15" i="8"/>
  <c r="K15" i="8"/>
  <c r="H15" i="8"/>
  <c r="E15" i="8"/>
  <c r="Q14" i="8"/>
  <c r="K14" i="8"/>
  <c r="H14" i="8"/>
  <c r="E14" i="8"/>
  <c r="Q13" i="8"/>
  <c r="K13" i="8"/>
  <c r="Q12" i="8"/>
  <c r="K12" i="8"/>
  <c r="H12" i="8"/>
  <c r="E12" i="8"/>
  <c r="Q11" i="8"/>
  <c r="K11" i="8"/>
  <c r="H11" i="8"/>
  <c r="E11" i="8"/>
  <c r="Q10" i="8"/>
  <c r="K10" i="8"/>
  <c r="Q9" i="8"/>
  <c r="K9" i="8"/>
  <c r="H9" i="8"/>
  <c r="E9" i="8"/>
  <c r="Q8" i="8"/>
  <c r="K8" i="8"/>
  <c r="H8" i="8"/>
  <c r="E8" i="8"/>
  <c r="Q7" i="8"/>
  <c r="K7" i="8"/>
  <c r="H7" i="8"/>
  <c r="E7" i="8"/>
  <c r="Q6" i="8"/>
  <c r="K6" i="8"/>
  <c r="H6" i="8"/>
  <c r="E6" i="8"/>
  <c r="F76" i="5"/>
  <c r="F75" i="5"/>
  <c r="F73" i="5"/>
  <c r="F69" i="5"/>
  <c r="K63" i="5"/>
  <c r="E63" i="5"/>
  <c r="C63" i="5"/>
  <c r="K62" i="5"/>
  <c r="I62" i="5"/>
  <c r="E62" i="5"/>
  <c r="C62" i="5"/>
  <c r="E2" i="5"/>
  <c r="D2" i="5"/>
  <c r="F22" i="20"/>
  <c r="E22" i="20"/>
  <c r="D22" i="20"/>
  <c r="B22" i="20"/>
  <c r="D21" i="20"/>
  <c r="D20" i="20"/>
  <c r="B20" i="20"/>
  <c r="D19" i="20"/>
  <c r="B19" i="20"/>
  <c r="D18" i="20"/>
  <c r="B18" i="20"/>
  <c r="D17" i="20"/>
  <c r="B17" i="20"/>
  <c r="D16" i="20"/>
  <c r="D15" i="20"/>
  <c r="D14" i="20"/>
  <c r="B14" i="20"/>
  <c r="D13" i="20"/>
  <c r="D12" i="20"/>
  <c r="D11" i="20"/>
  <c r="B11" i="20"/>
  <c r="D10" i="20"/>
  <c r="D9" i="20"/>
  <c r="B9" i="20"/>
  <c r="D8" i="20"/>
  <c r="D7" i="20"/>
  <c r="D6" i="20"/>
  <c r="D5" i="20"/>
  <c r="E4" i="20"/>
  <c r="D4" i="20"/>
  <c r="D3" i="20"/>
  <c r="D2" i="20"/>
  <c r="B2" i="20"/>
  <c r="E61" i="18"/>
  <c r="E59" i="18"/>
  <c r="D59" i="18"/>
  <c r="C59" i="18"/>
  <c r="E50" i="18"/>
  <c r="E49" i="18"/>
  <c r="C49" i="18"/>
  <c r="E47" i="18"/>
  <c r="E46" i="18"/>
  <c r="E45" i="18"/>
  <c r="E44" i="18"/>
  <c r="E43" i="18"/>
  <c r="E42" i="18"/>
  <c r="C42" i="18"/>
  <c r="E41" i="18"/>
  <c r="E40" i="18"/>
  <c r="C40" i="18"/>
  <c r="E39" i="18"/>
  <c r="E38" i="18"/>
  <c r="E37" i="18"/>
  <c r="E36" i="18"/>
  <c r="C36" i="18"/>
  <c r="E35" i="18"/>
  <c r="E34" i="18"/>
  <c r="E33" i="18"/>
  <c r="E32" i="18"/>
  <c r="C32" i="18"/>
  <c r="E31" i="18"/>
  <c r="E30" i="18"/>
  <c r="C30" i="18"/>
  <c r="E29" i="18"/>
  <c r="C29" i="18"/>
  <c r="E28" i="18"/>
  <c r="C28" i="18"/>
  <c r="E27" i="18"/>
  <c r="E26" i="18"/>
  <c r="E25" i="18"/>
  <c r="E24" i="18"/>
  <c r="C24" i="18"/>
  <c r="E23" i="18"/>
  <c r="E22" i="18"/>
  <c r="C22" i="18"/>
  <c r="E19" i="18"/>
  <c r="E18" i="18"/>
  <c r="E17" i="18"/>
  <c r="C17" i="18"/>
  <c r="E16" i="18"/>
  <c r="E15" i="18"/>
  <c r="C15" i="18"/>
  <c r="E14" i="18"/>
  <c r="C14" i="18"/>
  <c r="E12" i="18"/>
  <c r="E11" i="18"/>
  <c r="E10" i="18"/>
  <c r="E9" i="18"/>
  <c r="E8" i="18"/>
  <c r="E7" i="18"/>
  <c r="E6" i="18"/>
  <c r="C6" i="18"/>
  <c r="F16" i="29"/>
  <c r="D16" i="29"/>
  <c r="C16" i="29"/>
  <c r="B16" i="29"/>
  <c r="C15" i="29"/>
  <c r="B15" i="29"/>
  <c r="C14" i="29"/>
  <c r="B14" i="29"/>
  <c r="C13" i="29"/>
  <c r="B13" i="29"/>
  <c r="C12" i="29"/>
  <c r="B12" i="29"/>
  <c r="D7" i="29"/>
  <c r="D6" i="29"/>
  <c r="D2" i="29"/>
  <c r="B12" i="32"/>
  <c r="B13" i="32" s="1"/>
  <c r="N11" i="32"/>
  <c r="C11" i="32"/>
  <c r="E10" i="32"/>
  <c r="F10" i="32" s="1"/>
  <c r="D10" i="32"/>
  <c r="E4" i="32"/>
  <c r="D4" i="32"/>
  <c r="C4" i="32"/>
  <c r="B4" i="32"/>
  <c r="B5" i="32" s="1"/>
  <c r="B22" i="32" s="1"/>
  <c r="H46" i="31"/>
  <c r="D46" i="31"/>
  <c r="H45" i="31"/>
  <c r="D45" i="31"/>
  <c r="H43" i="31"/>
  <c r="D43" i="31"/>
  <c r="H41" i="31"/>
  <c r="D41" i="31"/>
  <c r="H38" i="31"/>
  <c r="D38" i="31"/>
  <c r="H37" i="31"/>
  <c r="D37" i="31"/>
  <c r="G36" i="31"/>
  <c r="C36" i="31"/>
  <c r="G34" i="31"/>
  <c r="C34" i="31"/>
  <c r="H30" i="31"/>
  <c r="D30" i="31"/>
  <c r="H29" i="31"/>
  <c r="D29" i="31"/>
  <c r="L23" i="31"/>
  <c r="H23" i="31"/>
  <c r="D23" i="31"/>
  <c r="H22" i="31"/>
  <c r="D22" i="31"/>
  <c r="L20" i="31"/>
  <c r="H20" i="31"/>
  <c r="D20" i="31"/>
  <c r="L19" i="31"/>
  <c r="L18" i="31"/>
  <c r="H18" i="31"/>
  <c r="D18" i="31"/>
  <c r="L15" i="31"/>
  <c r="H15" i="31"/>
  <c r="D15" i="31"/>
  <c r="L14" i="31"/>
  <c r="H14" i="31"/>
  <c r="D14" i="31"/>
  <c r="G13" i="31"/>
  <c r="C13" i="31"/>
  <c r="G11" i="31"/>
  <c r="C11" i="31"/>
  <c r="L35" i="31"/>
  <c r="K35" i="31"/>
  <c r="N34" i="31"/>
  <c r="N33" i="31"/>
  <c r="M33" i="31"/>
  <c r="H7" i="31"/>
  <c r="D7" i="31"/>
  <c r="N32" i="31"/>
  <c r="M32" i="31"/>
  <c r="D6" i="4" s="1"/>
  <c r="H6" i="31"/>
  <c r="D6" i="31"/>
  <c r="N31" i="31"/>
  <c r="N35" i="31" s="1"/>
  <c r="D9" i="4" s="1"/>
  <c r="M31" i="31"/>
  <c r="D8" i="4" s="1"/>
  <c r="N30" i="31"/>
  <c r="M30" i="31"/>
  <c r="B58" i="4"/>
  <c r="D56" i="4"/>
  <c r="C56" i="4"/>
  <c r="E53" i="4"/>
  <c r="E52" i="4"/>
  <c r="E51" i="4"/>
  <c r="E50" i="4"/>
  <c r="E48" i="4"/>
  <c r="E47" i="4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E32" i="4"/>
  <c r="D32" i="4"/>
  <c r="C32" i="4"/>
  <c r="F31" i="4"/>
  <c r="C31" i="4"/>
  <c r="F30" i="4"/>
  <c r="C30" i="4"/>
  <c r="F29" i="4"/>
  <c r="C29" i="4"/>
  <c r="F28" i="4"/>
  <c r="C28" i="4"/>
  <c r="F27" i="4"/>
  <c r="C27" i="4"/>
  <c r="L26" i="4"/>
  <c r="F26" i="4"/>
  <c r="C26" i="4"/>
  <c r="L25" i="4"/>
  <c r="F25" i="4"/>
  <c r="C25" i="4"/>
  <c r="L24" i="4"/>
  <c r="F24" i="4"/>
  <c r="C24" i="4"/>
  <c r="L23" i="4"/>
  <c r="F23" i="4"/>
  <c r="C23" i="4"/>
  <c r="L22" i="4"/>
  <c r="F22" i="4"/>
  <c r="C22" i="4"/>
  <c r="L21" i="4"/>
  <c r="F21" i="4"/>
  <c r="C21" i="4"/>
  <c r="L20" i="4"/>
  <c r="F20" i="4"/>
  <c r="C20" i="4"/>
  <c r="L19" i="4"/>
  <c r="F19" i="4"/>
  <c r="C19" i="4"/>
  <c r="F18" i="4"/>
  <c r="C18" i="4"/>
  <c r="L17" i="4"/>
  <c r="F17" i="4"/>
  <c r="C17" i="4"/>
  <c r="L16" i="4"/>
  <c r="F16" i="4"/>
  <c r="C16" i="4"/>
  <c r="L15" i="4"/>
  <c r="F15" i="4"/>
  <c r="C15" i="4"/>
  <c r="F14" i="4"/>
  <c r="C14" i="4"/>
  <c r="L13" i="4"/>
  <c r="K13" i="4"/>
  <c r="F13" i="4"/>
  <c r="C13" i="4"/>
  <c r="L12" i="4"/>
  <c r="F12" i="4"/>
  <c r="C12" i="4"/>
  <c r="L11" i="4"/>
  <c r="F11" i="4"/>
  <c r="C11" i="4"/>
  <c r="L10" i="4"/>
  <c r="F10" i="4"/>
  <c r="E10" i="4"/>
  <c r="D10" i="4"/>
  <c r="C10" i="4"/>
  <c r="L9" i="4"/>
  <c r="D7" i="4"/>
  <c r="F7" i="4" s="1"/>
  <c r="C7" i="4"/>
  <c r="L5" i="4"/>
  <c r="F5" i="4"/>
  <c r="D5" i="4"/>
  <c r="C5" i="4"/>
  <c r="E4" i="4"/>
  <c r="C9" i="4" l="1"/>
  <c r="F9" i="4"/>
  <c r="C8" i="4"/>
  <c r="F8" i="4"/>
  <c r="D4" i="4"/>
  <c r="D47" i="4" s="1"/>
  <c r="C6" i="4"/>
  <c r="C4" i="4" s="1"/>
  <c r="M35" i="31"/>
  <c r="N36" i="31" s="1"/>
  <c r="F6" i="4"/>
  <c r="F4" i="4" s="1"/>
  <c r="F47" i="4" s="1"/>
  <c r="J18" i="32"/>
  <c r="C5" i="32"/>
  <c r="C22" i="32" s="1"/>
  <c r="G10" i="32"/>
  <c r="H10" i="32" s="1"/>
  <c r="I10" i="32" s="1"/>
  <c r="J10" i="32" s="1"/>
  <c r="K10" i="32" s="1"/>
  <c r="L10" i="32" s="1"/>
  <c r="M10" i="32" s="1"/>
  <c r="N10" i="32" s="1"/>
  <c r="C12" i="32"/>
  <c r="C13" i="32" s="1"/>
  <c r="D13" i="32" s="1"/>
  <c r="C5" i="29" l="1"/>
  <c r="C6" i="29" s="1"/>
  <c r="D49" i="4"/>
  <c r="C47" i="4"/>
  <c r="D5" i="32"/>
  <c r="E5" i="32" s="1"/>
  <c r="K18" i="32"/>
  <c r="F49" i="4" l="1"/>
  <c r="D48" i="4"/>
  <c r="C49" i="4"/>
  <c r="C2" i="29"/>
  <c r="J3" i="29"/>
  <c r="D22" i="32"/>
  <c r="L18" i="32"/>
  <c r="F5" i="32"/>
  <c r="F22" i="32" s="1"/>
  <c r="E22" i="32"/>
  <c r="C48" i="4" l="1"/>
  <c r="F48" i="4"/>
  <c r="C3" i="29"/>
  <c r="J6" i="29" s="1"/>
  <c r="D51" i="4"/>
  <c r="J9" i="29"/>
  <c r="J11" i="29" s="1"/>
  <c r="C7" i="29"/>
  <c r="M18" i="32"/>
  <c r="G5" i="32"/>
  <c r="G22" i="32" s="1"/>
  <c r="F51" i="4" l="1"/>
  <c r="F52" i="4" s="1"/>
  <c r="C51" i="4"/>
  <c r="C54" i="4" s="1"/>
  <c r="D50" i="4"/>
  <c r="N18" i="32"/>
  <c r="H5" i="32"/>
  <c r="H22" i="32" s="1"/>
  <c r="D53" i="4" l="1"/>
  <c r="F53" i="4" s="1"/>
  <c r="A1" i="5" s="1"/>
  <c r="F50" i="4"/>
  <c r="D52" i="4"/>
  <c r="C50" i="4"/>
  <c r="I5" i="32"/>
  <c r="I22" i="32" s="1"/>
  <c r="D10" i="11" l="1"/>
  <c r="G10" i="11" s="1"/>
  <c r="I10" i="11" s="1"/>
  <c r="D13" i="11"/>
  <c r="G13" i="11" s="1"/>
  <c r="I13" i="11" s="1"/>
  <c r="D13" i="8"/>
  <c r="G13" i="8" s="1"/>
  <c r="D10" i="8"/>
  <c r="G10" i="8" s="1"/>
  <c r="B1" i="5"/>
  <c r="J5" i="32"/>
  <c r="J22" i="32" s="1"/>
  <c r="H10" i="8" l="1"/>
  <c r="I10" i="8"/>
  <c r="H13" i="8"/>
  <c r="I13" i="8" s="1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F12" i="5"/>
  <c r="F11" i="5"/>
  <c r="D10" i="5"/>
  <c r="D9" i="5"/>
  <c r="D8" i="5"/>
  <c r="D7" i="5"/>
  <c r="D6" i="5"/>
  <c r="F61" i="5"/>
  <c r="D60" i="5"/>
  <c r="L58" i="5"/>
  <c r="F57" i="5"/>
  <c r="D56" i="5"/>
  <c r="L54" i="5"/>
  <c r="F53" i="5"/>
  <c r="D52" i="5"/>
  <c r="L50" i="5"/>
  <c r="F49" i="5"/>
  <c r="D48" i="5"/>
  <c r="L46" i="5"/>
  <c r="F45" i="5"/>
  <c r="D44" i="5"/>
  <c r="L42" i="5"/>
  <c r="F41" i="5"/>
  <c r="D40" i="5"/>
  <c r="L38" i="5"/>
  <c r="F37" i="5"/>
  <c r="D36" i="5"/>
  <c r="L34" i="5"/>
  <c r="F33" i="5"/>
  <c r="D32" i="5"/>
  <c r="L30" i="5"/>
  <c r="F29" i="5"/>
  <c r="D28" i="5"/>
  <c r="L26" i="5"/>
  <c r="F25" i="5"/>
  <c r="D24" i="5"/>
  <c r="L22" i="5"/>
  <c r="F21" i="5"/>
  <c r="D20" i="5"/>
  <c r="L18" i="5"/>
  <c r="F17" i="5"/>
  <c r="D16" i="5"/>
  <c r="L14" i="5"/>
  <c r="D13" i="5"/>
  <c r="L11" i="5"/>
  <c r="J10" i="5"/>
  <c r="L8" i="5"/>
  <c r="J7" i="5"/>
  <c r="F6" i="5"/>
  <c r="D61" i="5"/>
  <c r="L59" i="5"/>
  <c r="F58" i="5"/>
  <c r="D57" i="5"/>
  <c r="L55" i="5"/>
  <c r="F54" i="5"/>
  <c r="D53" i="5"/>
  <c r="L51" i="5"/>
  <c r="F50" i="5"/>
  <c r="D49" i="5"/>
  <c r="L47" i="5"/>
  <c r="F46" i="5"/>
  <c r="D45" i="5"/>
  <c r="L43" i="5"/>
  <c r="F42" i="5"/>
  <c r="D41" i="5"/>
  <c r="L39" i="5"/>
  <c r="F38" i="5"/>
  <c r="D37" i="5"/>
  <c r="L35" i="5"/>
  <c r="F34" i="5"/>
  <c r="D33" i="5"/>
  <c r="L31" i="5"/>
  <c r="F30" i="5"/>
  <c r="D29" i="5"/>
  <c r="L27" i="5"/>
  <c r="F26" i="5"/>
  <c r="D25" i="5"/>
  <c r="L23" i="5"/>
  <c r="F22" i="5"/>
  <c r="D21" i="5"/>
  <c r="L19" i="5"/>
  <c r="F18" i="5"/>
  <c r="D17" i="5"/>
  <c r="L15" i="5"/>
  <c r="F14" i="5"/>
  <c r="L12" i="5"/>
  <c r="J11" i="5"/>
  <c r="L9" i="5"/>
  <c r="J8" i="5"/>
  <c r="F7" i="5"/>
  <c r="L60" i="5"/>
  <c r="F59" i="5"/>
  <c r="D58" i="5"/>
  <c r="L56" i="5"/>
  <c r="F55" i="5"/>
  <c r="D54" i="5"/>
  <c r="L52" i="5"/>
  <c r="F51" i="5"/>
  <c r="D50" i="5"/>
  <c r="L48" i="5"/>
  <c r="F47" i="5"/>
  <c r="D46" i="5"/>
  <c r="L44" i="5"/>
  <c r="F43" i="5"/>
  <c r="D42" i="5"/>
  <c r="L40" i="5"/>
  <c r="F39" i="5"/>
  <c r="D38" i="5"/>
  <c r="L36" i="5"/>
  <c r="F35" i="5"/>
  <c r="D34" i="5"/>
  <c r="L32" i="5"/>
  <c r="F31" i="5"/>
  <c r="D30" i="5"/>
  <c r="L28" i="5"/>
  <c r="F27" i="5"/>
  <c r="D26" i="5"/>
  <c r="L24" i="5"/>
  <c r="F23" i="5"/>
  <c r="D22" i="5"/>
  <c r="L20" i="5"/>
  <c r="F19" i="5"/>
  <c r="D18" i="5"/>
  <c r="L16" i="5"/>
  <c r="F15" i="5"/>
  <c r="D14" i="5"/>
  <c r="J12" i="5"/>
  <c r="D11" i="5"/>
  <c r="J9" i="5"/>
  <c r="F8" i="5"/>
  <c r="L6" i="5"/>
  <c r="L61" i="5"/>
  <c r="F60" i="5"/>
  <c r="D59" i="5"/>
  <c r="L57" i="5"/>
  <c r="F56" i="5"/>
  <c r="D55" i="5"/>
  <c r="L53" i="5"/>
  <c r="F52" i="5"/>
  <c r="D51" i="5"/>
  <c r="L49" i="5"/>
  <c r="F48" i="5"/>
  <c r="D47" i="5"/>
  <c r="L45" i="5"/>
  <c r="F44" i="5"/>
  <c r="D43" i="5"/>
  <c r="L41" i="5"/>
  <c r="F40" i="5"/>
  <c r="D39" i="5"/>
  <c r="L37" i="5"/>
  <c r="F36" i="5"/>
  <c r="D35" i="5"/>
  <c r="L33" i="5"/>
  <c r="F32" i="5"/>
  <c r="D31" i="5"/>
  <c r="L29" i="5"/>
  <c r="F28" i="5"/>
  <c r="D27" i="5"/>
  <c r="L25" i="5"/>
  <c r="F24" i="5"/>
  <c r="D23" i="5"/>
  <c r="L21" i="5"/>
  <c r="F20" i="5"/>
  <c r="D19" i="5"/>
  <c r="L17" i="5"/>
  <c r="F16" i="5"/>
  <c r="D15" i="5"/>
  <c r="L13" i="5"/>
  <c r="D12" i="5"/>
  <c r="L10" i="5"/>
  <c r="F9" i="5"/>
  <c r="L7" i="5"/>
  <c r="J6" i="5"/>
  <c r="K5" i="32"/>
  <c r="K22" i="32" s="1"/>
  <c r="L6" i="8" l="1"/>
  <c r="L6" i="11"/>
  <c r="J62" i="5"/>
  <c r="M17" i="11"/>
  <c r="P17" i="11" s="1"/>
  <c r="R17" i="11" s="1"/>
  <c r="M17" i="8"/>
  <c r="P17" i="8" s="1"/>
  <c r="R17" i="8" s="1"/>
  <c r="D28" i="11"/>
  <c r="G28" i="11" s="1"/>
  <c r="I28" i="11" s="1"/>
  <c r="D28" i="8"/>
  <c r="G28" i="8" s="1"/>
  <c r="I28" i="8" s="1"/>
  <c r="C39" i="11"/>
  <c r="C39" i="8"/>
  <c r="D44" i="11"/>
  <c r="G44" i="11" s="1"/>
  <c r="I44" i="11" s="1"/>
  <c r="D44" i="8"/>
  <c r="G44" i="8" s="1"/>
  <c r="I44" i="8" s="1"/>
  <c r="C55" i="8"/>
  <c r="C55" i="11"/>
  <c r="D60" i="11"/>
  <c r="G60" i="11" s="1"/>
  <c r="I60" i="11" s="1"/>
  <c r="D60" i="8"/>
  <c r="G60" i="8" s="1"/>
  <c r="I60" i="8" s="1"/>
  <c r="D15" i="8"/>
  <c r="G15" i="8" s="1"/>
  <c r="I15" i="8" s="1"/>
  <c r="D15" i="11"/>
  <c r="G15" i="11" s="1"/>
  <c r="I15" i="11" s="1"/>
  <c r="C26" i="8"/>
  <c r="C26" i="11"/>
  <c r="D31" i="11"/>
  <c r="G31" i="11" s="1"/>
  <c r="I31" i="11" s="1"/>
  <c r="D31" i="8"/>
  <c r="G31" i="8" s="1"/>
  <c r="I31" i="8" s="1"/>
  <c r="M36" i="8"/>
  <c r="P36" i="8" s="1"/>
  <c r="R36" i="8" s="1"/>
  <c r="M36" i="11"/>
  <c r="P36" i="11" s="1"/>
  <c r="R36" i="11" s="1"/>
  <c r="D47" i="11"/>
  <c r="G47" i="11" s="1"/>
  <c r="I47" i="11" s="1"/>
  <c r="D47" i="8"/>
  <c r="G47" i="8" s="1"/>
  <c r="I47" i="8" s="1"/>
  <c r="C58" i="8"/>
  <c r="C58" i="11"/>
  <c r="D14" i="11"/>
  <c r="G14" i="11" s="1"/>
  <c r="I14" i="11" s="1"/>
  <c r="D14" i="8"/>
  <c r="G14" i="8" s="1"/>
  <c r="I14" i="8" s="1"/>
  <c r="C25" i="11"/>
  <c r="C25" i="8"/>
  <c r="M35" i="11"/>
  <c r="P35" i="11" s="1"/>
  <c r="R35" i="11" s="1"/>
  <c r="M35" i="8"/>
  <c r="P35" i="8" s="1"/>
  <c r="R35" i="8" s="1"/>
  <c r="D46" i="11"/>
  <c r="G46" i="11" s="1"/>
  <c r="I46" i="11" s="1"/>
  <c r="D46" i="8"/>
  <c r="G46" i="8" s="1"/>
  <c r="I46" i="8" s="1"/>
  <c r="C57" i="8"/>
  <c r="C57" i="11"/>
  <c r="M11" i="8"/>
  <c r="P11" i="8" s="1"/>
  <c r="R11" i="8" s="1"/>
  <c r="M11" i="11"/>
  <c r="P11" i="11" s="1"/>
  <c r="R11" i="11" s="1"/>
  <c r="C28" i="11"/>
  <c r="C28" i="8"/>
  <c r="C44" i="11"/>
  <c r="C44" i="8"/>
  <c r="M54" i="11"/>
  <c r="P54" i="11" s="1"/>
  <c r="R54" i="11" s="1"/>
  <c r="M54" i="8"/>
  <c r="P54" i="8" s="1"/>
  <c r="R54" i="8" s="1"/>
  <c r="C8" i="11"/>
  <c r="C8" i="8"/>
  <c r="L16" i="8"/>
  <c r="L16" i="11"/>
  <c r="L24" i="11"/>
  <c r="L24" i="8"/>
  <c r="L32" i="11"/>
  <c r="L32" i="8"/>
  <c r="L36" i="11"/>
  <c r="L36" i="8"/>
  <c r="L44" i="11"/>
  <c r="L44" i="8"/>
  <c r="L48" i="11"/>
  <c r="L48" i="8"/>
  <c r="L52" i="11"/>
  <c r="L52" i="8"/>
  <c r="L56" i="11"/>
  <c r="L56" i="8"/>
  <c r="M7" i="11"/>
  <c r="P7" i="11" s="1"/>
  <c r="R7" i="11" s="1"/>
  <c r="M7" i="8"/>
  <c r="P7" i="8" s="1"/>
  <c r="R7" i="8" s="1"/>
  <c r="M13" i="11"/>
  <c r="P13" i="11" s="1"/>
  <c r="R13" i="11" s="1"/>
  <c r="M13" i="8"/>
  <c r="P13" i="8" s="1"/>
  <c r="R13" i="8" s="1"/>
  <c r="D24" i="8"/>
  <c r="G24" i="8" s="1"/>
  <c r="I24" i="8" s="1"/>
  <c r="D24" i="11"/>
  <c r="G24" i="11" s="1"/>
  <c r="I24" i="11" s="1"/>
  <c r="C35" i="8"/>
  <c r="C35" i="11"/>
  <c r="M45" i="11"/>
  <c r="P45" i="11" s="1"/>
  <c r="R45" i="11" s="1"/>
  <c r="M45" i="8"/>
  <c r="P45" i="8" s="1"/>
  <c r="R45" i="8" s="1"/>
  <c r="C51" i="8"/>
  <c r="C51" i="11"/>
  <c r="M61" i="11"/>
  <c r="P61" i="11" s="1"/>
  <c r="R61" i="11" s="1"/>
  <c r="M61" i="8"/>
  <c r="P61" i="8" s="1"/>
  <c r="R61" i="8" s="1"/>
  <c r="C11" i="11"/>
  <c r="C11" i="8"/>
  <c r="C22" i="11"/>
  <c r="C22" i="8"/>
  <c r="D27" i="11"/>
  <c r="G27" i="11" s="1"/>
  <c r="I27" i="11" s="1"/>
  <c r="D27" i="8"/>
  <c r="G27" i="8" s="1"/>
  <c r="I27" i="8" s="1"/>
  <c r="M32" i="8"/>
  <c r="P32" i="8" s="1"/>
  <c r="R32" i="8" s="1"/>
  <c r="M32" i="11"/>
  <c r="P32" i="11" s="1"/>
  <c r="R32" i="11" s="1"/>
  <c r="D43" i="11"/>
  <c r="G43" i="11" s="1"/>
  <c r="I43" i="11" s="1"/>
  <c r="D43" i="8"/>
  <c r="G43" i="8" s="1"/>
  <c r="I43" i="8" s="1"/>
  <c r="C54" i="11"/>
  <c r="C54" i="8"/>
  <c r="C21" i="11"/>
  <c r="C21" i="8"/>
  <c r="D9" i="8"/>
  <c r="G9" i="8" s="1"/>
  <c r="I9" i="8" s="1"/>
  <c r="D9" i="11"/>
  <c r="G9" i="11" s="1"/>
  <c r="I9" i="11" s="1"/>
  <c r="C15" i="11"/>
  <c r="C15" i="8"/>
  <c r="D20" i="8"/>
  <c r="G20" i="8" s="1"/>
  <c r="I20" i="8" s="1"/>
  <c r="D20" i="11"/>
  <c r="G20" i="11" s="1"/>
  <c r="I20" i="11" s="1"/>
  <c r="M25" i="8"/>
  <c r="P25" i="8" s="1"/>
  <c r="R25" i="8" s="1"/>
  <c r="M25" i="11"/>
  <c r="P25" i="11" s="1"/>
  <c r="R25" i="11" s="1"/>
  <c r="C31" i="8"/>
  <c r="C31" i="11"/>
  <c r="D36" i="11"/>
  <c r="G36" i="11" s="1"/>
  <c r="I36" i="11" s="1"/>
  <c r="D36" i="8"/>
  <c r="G36" i="8" s="1"/>
  <c r="I36" i="8" s="1"/>
  <c r="M41" i="8"/>
  <c r="P41" i="8" s="1"/>
  <c r="R41" i="8" s="1"/>
  <c r="M41" i="11"/>
  <c r="P41" i="11" s="1"/>
  <c r="R41" i="11" s="1"/>
  <c r="C47" i="8"/>
  <c r="C47" i="11"/>
  <c r="D52" i="11"/>
  <c r="G52" i="11" s="1"/>
  <c r="I52" i="11" s="1"/>
  <c r="D52" i="8"/>
  <c r="G52" i="8" s="1"/>
  <c r="I52" i="8" s="1"/>
  <c r="M57" i="11"/>
  <c r="P57" i="11" s="1"/>
  <c r="R57" i="11" s="1"/>
  <c r="M57" i="8"/>
  <c r="P57" i="8" s="1"/>
  <c r="R57" i="8" s="1"/>
  <c r="M6" i="11"/>
  <c r="M6" i="8"/>
  <c r="L62" i="5"/>
  <c r="L12" i="11"/>
  <c r="L12" i="8"/>
  <c r="C18" i="11"/>
  <c r="C18" i="8"/>
  <c r="D23" i="11"/>
  <c r="G23" i="11" s="1"/>
  <c r="I23" i="11" s="1"/>
  <c r="D23" i="8"/>
  <c r="G23" i="8" s="1"/>
  <c r="I23" i="8" s="1"/>
  <c r="M28" i="8"/>
  <c r="P28" i="8" s="1"/>
  <c r="R28" i="8" s="1"/>
  <c r="M28" i="11"/>
  <c r="P28" i="11" s="1"/>
  <c r="R28" i="11" s="1"/>
  <c r="C34" i="11"/>
  <c r="C34" i="8"/>
  <c r="D39" i="11"/>
  <c r="G39" i="11" s="1"/>
  <c r="I39" i="11" s="1"/>
  <c r="D39" i="8"/>
  <c r="G39" i="8" s="1"/>
  <c r="I39" i="8" s="1"/>
  <c r="M44" i="8"/>
  <c r="P44" i="8" s="1"/>
  <c r="R44" i="8" s="1"/>
  <c r="M44" i="11"/>
  <c r="P44" i="11" s="1"/>
  <c r="R44" i="11" s="1"/>
  <c r="C50" i="11"/>
  <c r="C50" i="8"/>
  <c r="D55" i="11"/>
  <c r="G55" i="11" s="1"/>
  <c r="I55" i="11" s="1"/>
  <c r="D55" i="8"/>
  <c r="G55" i="8" s="1"/>
  <c r="I55" i="8" s="1"/>
  <c r="M60" i="11"/>
  <c r="P60" i="11" s="1"/>
  <c r="R60" i="11" s="1"/>
  <c r="M60" i="8"/>
  <c r="P60" i="8" s="1"/>
  <c r="R60" i="8" s="1"/>
  <c r="L11" i="11"/>
  <c r="L11" i="8"/>
  <c r="C17" i="11"/>
  <c r="C17" i="8"/>
  <c r="D22" i="11"/>
  <c r="G22" i="11" s="1"/>
  <c r="I22" i="11" s="1"/>
  <c r="D22" i="8"/>
  <c r="G22" i="8" s="1"/>
  <c r="I22" i="8" s="1"/>
  <c r="M27" i="11"/>
  <c r="P27" i="11" s="1"/>
  <c r="R27" i="11" s="1"/>
  <c r="M27" i="8"/>
  <c r="P27" i="8" s="1"/>
  <c r="R27" i="8" s="1"/>
  <c r="C33" i="11"/>
  <c r="C33" i="8"/>
  <c r="D38" i="8"/>
  <c r="G38" i="8" s="1"/>
  <c r="I38" i="8" s="1"/>
  <c r="D38" i="11"/>
  <c r="G38" i="11" s="1"/>
  <c r="I38" i="11" s="1"/>
  <c r="M43" i="11"/>
  <c r="P43" i="11" s="1"/>
  <c r="R43" i="11" s="1"/>
  <c r="M43" i="8"/>
  <c r="P43" i="8" s="1"/>
  <c r="R43" i="8" s="1"/>
  <c r="C49" i="11"/>
  <c r="C49" i="8"/>
  <c r="D54" i="8"/>
  <c r="G54" i="8" s="1"/>
  <c r="I54" i="8" s="1"/>
  <c r="D54" i="11"/>
  <c r="G54" i="11" s="1"/>
  <c r="I54" i="11" s="1"/>
  <c r="M59" i="11"/>
  <c r="P59" i="11" s="1"/>
  <c r="R59" i="11" s="1"/>
  <c r="M59" i="8"/>
  <c r="P59" i="8" s="1"/>
  <c r="R59" i="8" s="1"/>
  <c r="M8" i="11"/>
  <c r="P8" i="11" s="1"/>
  <c r="R8" i="11" s="1"/>
  <c r="M8" i="8"/>
  <c r="P8" i="8" s="1"/>
  <c r="R8" i="8" s="1"/>
  <c r="M14" i="11"/>
  <c r="P14" i="11" s="1"/>
  <c r="R14" i="11" s="1"/>
  <c r="M14" i="8"/>
  <c r="P14" i="8" s="1"/>
  <c r="R14" i="8" s="1"/>
  <c r="C20" i="11"/>
  <c r="C20" i="8"/>
  <c r="D25" i="11"/>
  <c r="G25" i="11" s="1"/>
  <c r="I25" i="11" s="1"/>
  <c r="D25" i="8"/>
  <c r="G25" i="8" s="1"/>
  <c r="I25" i="8" s="1"/>
  <c r="M30" i="11"/>
  <c r="P30" i="11" s="1"/>
  <c r="R30" i="11" s="1"/>
  <c r="M30" i="8"/>
  <c r="P30" i="8" s="1"/>
  <c r="R30" i="8" s="1"/>
  <c r="C36" i="11"/>
  <c r="C36" i="8"/>
  <c r="D41" i="11"/>
  <c r="G41" i="11" s="1"/>
  <c r="I41" i="11" s="1"/>
  <c r="D41" i="8"/>
  <c r="G41" i="8" s="1"/>
  <c r="I41" i="8" s="1"/>
  <c r="M46" i="11"/>
  <c r="P46" i="11" s="1"/>
  <c r="R46" i="11" s="1"/>
  <c r="M46" i="8"/>
  <c r="P46" i="8" s="1"/>
  <c r="R46" i="8" s="1"/>
  <c r="C52" i="11"/>
  <c r="C52" i="8"/>
  <c r="D57" i="8"/>
  <c r="G57" i="8" s="1"/>
  <c r="I57" i="8" s="1"/>
  <c r="D57" i="11"/>
  <c r="G57" i="11" s="1"/>
  <c r="I57" i="11" s="1"/>
  <c r="D62" i="5"/>
  <c r="D63" i="5" s="1"/>
  <c r="D64" i="5" s="1"/>
  <c r="C6" i="11"/>
  <c r="C6" i="8"/>
  <c r="C10" i="11"/>
  <c r="C10" i="8"/>
  <c r="L14" i="11"/>
  <c r="L14" i="8"/>
  <c r="L18" i="11"/>
  <c r="L18" i="8"/>
  <c r="L22" i="11"/>
  <c r="L22" i="8"/>
  <c r="L26" i="11"/>
  <c r="L26" i="8"/>
  <c r="L30" i="11"/>
  <c r="L30" i="8"/>
  <c r="L34" i="11"/>
  <c r="L34" i="8"/>
  <c r="L38" i="11"/>
  <c r="L38" i="8"/>
  <c r="L42" i="11"/>
  <c r="L42" i="8"/>
  <c r="L46" i="11"/>
  <c r="L46" i="8"/>
  <c r="L50" i="11"/>
  <c r="L50" i="8"/>
  <c r="L54" i="11"/>
  <c r="L54" i="8"/>
  <c r="L58" i="11"/>
  <c r="L58" i="8"/>
  <c r="M10" i="11"/>
  <c r="P10" i="11" s="1"/>
  <c r="R10" i="11" s="1"/>
  <c r="M10" i="8"/>
  <c r="P10" i="8" s="1"/>
  <c r="R10" i="8" s="1"/>
  <c r="D16" i="8"/>
  <c r="G16" i="8" s="1"/>
  <c r="I16" i="8" s="1"/>
  <c r="D16" i="11"/>
  <c r="G16" i="11" s="1"/>
  <c r="I16" i="11" s="1"/>
  <c r="M21" i="11"/>
  <c r="P21" i="11" s="1"/>
  <c r="R21" i="11" s="1"/>
  <c r="M21" i="8"/>
  <c r="P21" i="8" s="1"/>
  <c r="R21" i="8" s="1"/>
  <c r="C27" i="8"/>
  <c r="C27" i="11"/>
  <c r="D32" i="8"/>
  <c r="G32" i="8" s="1"/>
  <c r="I32" i="8" s="1"/>
  <c r="D32" i="11"/>
  <c r="G32" i="11" s="1"/>
  <c r="I32" i="11" s="1"/>
  <c r="M37" i="11"/>
  <c r="P37" i="11" s="1"/>
  <c r="R37" i="11" s="1"/>
  <c r="M37" i="8"/>
  <c r="P37" i="8" s="1"/>
  <c r="R37" i="8" s="1"/>
  <c r="C43" i="8"/>
  <c r="C43" i="11"/>
  <c r="D48" i="8"/>
  <c r="G48" i="8" s="1"/>
  <c r="I48" i="8" s="1"/>
  <c r="D48" i="11"/>
  <c r="G48" i="11" s="1"/>
  <c r="I48" i="11" s="1"/>
  <c r="M53" i="11"/>
  <c r="P53" i="11" s="1"/>
  <c r="R53" i="11" s="1"/>
  <c r="M53" i="8"/>
  <c r="P53" i="8" s="1"/>
  <c r="R53" i="8" s="1"/>
  <c r="C59" i="8"/>
  <c r="C59" i="11"/>
  <c r="D8" i="8"/>
  <c r="G8" i="8" s="1"/>
  <c r="I8" i="8" s="1"/>
  <c r="D8" i="11"/>
  <c r="G8" i="11" s="1"/>
  <c r="I8" i="11" s="1"/>
  <c r="C14" i="11"/>
  <c r="C14" i="8"/>
  <c r="D19" i="11"/>
  <c r="G19" i="11" s="1"/>
  <c r="I19" i="11" s="1"/>
  <c r="D19" i="8"/>
  <c r="G19" i="8" s="1"/>
  <c r="I19" i="8" s="1"/>
  <c r="M24" i="8"/>
  <c r="P24" i="8" s="1"/>
  <c r="R24" i="8" s="1"/>
  <c r="M24" i="11"/>
  <c r="P24" i="11" s="1"/>
  <c r="R24" i="11" s="1"/>
  <c r="C30" i="11"/>
  <c r="C30" i="8"/>
  <c r="D35" i="11"/>
  <c r="G35" i="11" s="1"/>
  <c r="I35" i="11" s="1"/>
  <c r="D35" i="8"/>
  <c r="G35" i="8" s="1"/>
  <c r="I35" i="8" s="1"/>
  <c r="M40" i="8"/>
  <c r="P40" i="8" s="1"/>
  <c r="R40" i="8" s="1"/>
  <c r="M40" i="11"/>
  <c r="P40" i="11" s="1"/>
  <c r="R40" i="11" s="1"/>
  <c r="C46" i="11"/>
  <c r="C46" i="8"/>
  <c r="D51" i="11"/>
  <c r="G51" i="11" s="1"/>
  <c r="I51" i="11" s="1"/>
  <c r="D51" i="8"/>
  <c r="G51" i="8" s="1"/>
  <c r="I51" i="8" s="1"/>
  <c r="M56" i="11"/>
  <c r="P56" i="11" s="1"/>
  <c r="R56" i="11" s="1"/>
  <c r="M56" i="8"/>
  <c r="P56" i="8" s="1"/>
  <c r="R56" i="8" s="1"/>
  <c r="D7" i="8"/>
  <c r="G7" i="8" s="1"/>
  <c r="I7" i="8" s="1"/>
  <c r="D7" i="11"/>
  <c r="G7" i="11" s="1"/>
  <c r="I7" i="11" s="1"/>
  <c r="M12" i="11"/>
  <c r="P12" i="11" s="1"/>
  <c r="R12" i="11" s="1"/>
  <c r="M12" i="8"/>
  <c r="P12" i="8" s="1"/>
  <c r="R12" i="8" s="1"/>
  <c r="D18" i="11"/>
  <c r="G18" i="11" s="1"/>
  <c r="I18" i="11" s="1"/>
  <c r="D18" i="8"/>
  <c r="G18" i="8" s="1"/>
  <c r="I18" i="8" s="1"/>
  <c r="M23" i="11"/>
  <c r="P23" i="11" s="1"/>
  <c r="R23" i="11" s="1"/>
  <c r="M23" i="8"/>
  <c r="P23" i="8" s="1"/>
  <c r="R23" i="8" s="1"/>
  <c r="C29" i="11"/>
  <c r="C29" i="8"/>
  <c r="D34" i="8"/>
  <c r="G34" i="8" s="1"/>
  <c r="I34" i="8" s="1"/>
  <c r="D34" i="11"/>
  <c r="G34" i="11" s="1"/>
  <c r="I34" i="11" s="1"/>
  <c r="M39" i="11"/>
  <c r="P39" i="11" s="1"/>
  <c r="R39" i="11" s="1"/>
  <c r="M39" i="8"/>
  <c r="P39" i="8" s="1"/>
  <c r="R39" i="8" s="1"/>
  <c r="C45" i="11"/>
  <c r="C45" i="8"/>
  <c r="D50" i="8"/>
  <c r="G50" i="8" s="1"/>
  <c r="I50" i="8" s="1"/>
  <c r="D50" i="11"/>
  <c r="G50" i="11" s="1"/>
  <c r="I50" i="11" s="1"/>
  <c r="M55" i="11"/>
  <c r="P55" i="11" s="1"/>
  <c r="R55" i="11" s="1"/>
  <c r="M55" i="8"/>
  <c r="P55" i="8" s="1"/>
  <c r="R55" i="8" s="1"/>
  <c r="C61" i="11"/>
  <c r="C61" i="8"/>
  <c r="L10" i="11"/>
  <c r="L10" i="8"/>
  <c r="C16" i="11"/>
  <c r="C16" i="8"/>
  <c r="D21" i="8"/>
  <c r="G21" i="8" s="1"/>
  <c r="I21" i="8" s="1"/>
  <c r="D21" i="11"/>
  <c r="G21" i="11" s="1"/>
  <c r="I21" i="11" s="1"/>
  <c r="M26" i="8"/>
  <c r="P26" i="8" s="1"/>
  <c r="R26" i="8" s="1"/>
  <c r="M26" i="11"/>
  <c r="P26" i="11" s="1"/>
  <c r="R26" i="11" s="1"/>
  <c r="C32" i="8"/>
  <c r="C32" i="11"/>
  <c r="D37" i="11"/>
  <c r="G37" i="11" s="1"/>
  <c r="I37" i="11" s="1"/>
  <c r="D37" i="8"/>
  <c r="G37" i="8" s="1"/>
  <c r="I37" i="8" s="1"/>
  <c r="M42" i="8"/>
  <c r="P42" i="8" s="1"/>
  <c r="R42" i="8" s="1"/>
  <c r="M42" i="11"/>
  <c r="P42" i="11" s="1"/>
  <c r="R42" i="11" s="1"/>
  <c r="C48" i="8"/>
  <c r="C48" i="11"/>
  <c r="D53" i="11"/>
  <c r="G53" i="11" s="1"/>
  <c r="I53" i="11" s="1"/>
  <c r="D53" i="8"/>
  <c r="G53" i="8" s="1"/>
  <c r="I53" i="8" s="1"/>
  <c r="M58" i="11"/>
  <c r="P58" i="11" s="1"/>
  <c r="R58" i="11" s="1"/>
  <c r="M58" i="8"/>
  <c r="P58" i="8" s="1"/>
  <c r="R58" i="8" s="1"/>
  <c r="C7" i="11"/>
  <c r="C7" i="8"/>
  <c r="D11" i="8"/>
  <c r="G11" i="8" s="1"/>
  <c r="I11" i="8" s="1"/>
  <c r="D11" i="11"/>
  <c r="G11" i="11" s="1"/>
  <c r="I11" i="11" s="1"/>
  <c r="L15" i="11"/>
  <c r="L15" i="8"/>
  <c r="L19" i="11"/>
  <c r="L19" i="8"/>
  <c r="L23" i="11"/>
  <c r="L23" i="8"/>
  <c r="L27" i="11"/>
  <c r="L27" i="8"/>
  <c r="L31" i="11"/>
  <c r="L31" i="8"/>
  <c r="L35" i="11"/>
  <c r="L35" i="8"/>
  <c r="L39" i="11"/>
  <c r="L39" i="8"/>
  <c r="L43" i="11"/>
  <c r="L43" i="8"/>
  <c r="L47" i="11"/>
  <c r="L47" i="8"/>
  <c r="L51" i="11"/>
  <c r="L51" i="8"/>
  <c r="L55" i="11"/>
  <c r="L55" i="8"/>
  <c r="L59" i="11"/>
  <c r="L59" i="8"/>
  <c r="C12" i="11"/>
  <c r="C12" i="8"/>
  <c r="C23" i="8"/>
  <c r="C23" i="11"/>
  <c r="M33" i="8"/>
  <c r="P33" i="8" s="1"/>
  <c r="R33" i="8" s="1"/>
  <c r="M33" i="11"/>
  <c r="P33" i="11" s="1"/>
  <c r="R33" i="11" s="1"/>
  <c r="M49" i="8"/>
  <c r="P49" i="8" s="1"/>
  <c r="R49" i="8" s="1"/>
  <c r="M49" i="11"/>
  <c r="P49" i="11" s="1"/>
  <c r="R49" i="11" s="1"/>
  <c r="L9" i="8"/>
  <c r="L9" i="11"/>
  <c r="M20" i="11"/>
  <c r="P20" i="11" s="1"/>
  <c r="R20" i="11" s="1"/>
  <c r="M20" i="8"/>
  <c r="P20" i="8" s="1"/>
  <c r="R20" i="8" s="1"/>
  <c r="C42" i="8"/>
  <c r="C42" i="11"/>
  <c r="M52" i="8"/>
  <c r="P52" i="8" s="1"/>
  <c r="R52" i="8" s="1"/>
  <c r="M52" i="11"/>
  <c r="P52" i="11" s="1"/>
  <c r="R52" i="11" s="1"/>
  <c r="L8" i="8"/>
  <c r="L8" i="11"/>
  <c r="M19" i="8"/>
  <c r="P19" i="8" s="1"/>
  <c r="R19" i="8" s="1"/>
  <c r="M19" i="11"/>
  <c r="P19" i="11" s="1"/>
  <c r="R19" i="11" s="1"/>
  <c r="D30" i="11"/>
  <c r="G30" i="11" s="1"/>
  <c r="I30" i="11" s="1"/>
  <c r="D30" i="8"/>
  <c r="G30" i="8" s="1"/>
  <c r="I30" i="8" s="1"/>
  <c r="C41" i="11"/>
  <c r="C41" i="8"/>
  <c r="M51" i="11"/>
  <c r="P51" i="11" s="1"/>
  <c r="R51" i="11" s="1"/>
  <c r="M51" i="8"/>
  <c r="P51" i="8" s="1"/>
  <c r="R51" i="8" s="1"/>
  <c r="F62" i="5"/>
  <c r="F63" i="5" s="1"/>
  <c r="F64" i="5" s="1"/>
  <c r="D6" i="11"/>
  <c r="D6" i="8"/>
  <c r="D17" i="8"/>
  <c r="G17" i="8" s="1"/>
  <c r="I17" i="8" s="1"/>
  <c r="D17" i="11"/>
  <c r="G17" i="11" s="1"/>
  <c r="I17" i="11" s="1"/>
  <c r="M22" i="11"/>
  <c r="P22" i="11" s="1"/>
  <c r="R22" i="11" s="1"/>
  <c r="M22" i="8"/>
  <c r="P22" i="8" s="1"/>
  <c r="R22" i="8" s="1"/>
  <c r="D33" i="11"/>
  <c r="G33" i="11" s="1"/>
  <c r="I33" i="11" s="1"/>
  <c r="D33" i="8"/>
  <c r="G33" i="8" s="1"/>
  <c r="I33" i="8" s="1"/>
  <c r="M38" i="11"/>
  <c r="P38" i="11" s="1"/>
  <c r="R38" i="11" s="1"/>
  <c r="M38" i="8"/>
  <c r="P38" i="8" s="1"/>
  <c r="R38" i="8" s="1"/>
  <c r="D49" i="11"/>
  <c r="G49" i="11" s="1"/>
  <c r="I49" i="11" s="1"/>
  <c r="D49" i="8"/>
  <c r="G49" i="8" s="1"/>
  <c r="I49" i="8" s="1"/>
  <c r="C60" i="11"/>
  <c r="C60" i="8"/>
  <c r="D12" i="11"/>
  <c r="G12" i="11" s="1"/>
  <c r="I12" i="11" s="1"/>
  <c r="D12" i="8"/>
  <c r="G12" i="8" s="1"/>
  <c r="I12" i="8" s="1"/>
  <c r="L20" i="8"/>
  <c r="L20" i="11"/>
  <c r="L28" i="11"/>
  <c r="L28" i="8"/>
  <c r="L40" i="11"/>
  <c r="L40" i="8"/>
  <c r="L60" i="8"/>
  <c r="L60" i="11"/>
  <c r="C19" i="11"/>
  <c r="C19" i="8"/>
  <c r="M29" i="11"/>
  <c r="P29" i="11" s="1"/>
  <c r="R29" i="11" s="1"/>
  <c r="M29" i="8"/>
  <c r="P29" i="8" s="1"/>
  <c r="R29" i="8" s="1"/>
  <c r="D40" i="8"/>
  <c r="G40" i="8" s="1"/>
  <c r="I40" i="8" s="1"/>
  <c r="D40" i="11"/>
  <c r="G40" i="11" s="1"/>
  <c r="I40" i="11" s="1"/>
  <c r="D56" i="8"/>
  <c r="G56" i="8" s="1"/>
  <c r="I56" i="8" s="1"/>
  <c r="D56" i="11"/>
  <c r="G56" i="11" s="1"/>
  <c r="I56" i="11" s="1"/>
  <c r="M16" i="11"/>
  <c r="P16" i="11" s="1"/>
  <c r="R16" i="11" s="1"/>
  <c r="M16" i="8"/>
  <c r="P16" i="8" s="1"/>
  <c r="R16" i="8" s="1"/>
  <c r="C38" i="11"/>
  <c r="C38" i="8"/>
  <c r="M48" i="8"/>
  <c r="P48" i="8" s="1"/>
  <c r="R48" i="8" s="1"/>
  <c r="M48" i="11"/>
  <c r="P48" i="11" s="1"/>
  <c r="R48" i="11" s="1"/>
  <c r="D59" i="8"/>
  <c r="G59" i="8" s="1"/>
  <c r="I59" i="8" s="1"/>
  <c r="D59" i="11"/>
  <c r="G59" i="11" s="1"/>
  <c r="I59" i="11" s="1"/>
  <c r="M9" i="11"/>
  <c r="P9" i="11" s="1"/>
  <c r="R9" i="11" s="1"/>
  <c r="M9" i="8"/>
  <c r="P9" i="8" s="1"/>
  <c r="R9" i="8" s="1"/>
  <c r="M15" i="8"/>
  <c r="P15" i="8" s="1"/>
  <c r="R15" i="8" s="1"/>
  <c r="M15" i="11"/>
  <c r="P15" i="11" s="1"/>
  <c r="R15" i="11" s="1"/>
  <c r="D26" i="8"/>
  <c r="G26" i="8" s="1"/>
  <c r="I26" i="8" s="1"/>
  <c r="D26" i="11"/>
  <c r="G26" i="11" s="1"/>
  <c r="I26" i="11" s="1"/>
  <c r="M31" i="11"/>
  <c r="P31" i="11" s="1"/>
  <c r="R31" i="11" s="1"/>
  <c r="M31" i="8"/>
  <c r="P31" i="8" s="1"/>
  <c r="R31" i="8" s="1"/>
  <c r="C37" i="11"/>
  <c r="C37" i="8"/>
  <c r="D42" i="8"/>
  <c r="G42" i="8" s="1"/>
  <c r="I42" i="8" s="1"/>
  <c r="D42" i="11"/>
  <c r="G42" i="11" s="1"/>
  <c r="I42" i="11" s="1"/>
  <c r="M47" i="11"/>
  <c r="P47" i="11" s="1"/>
  <c r="R47" i="11" s="1"/>
  <c r="M47" i="8"/>
  <c r="P47" i="8" s="1"/>
  <c r="R47" i="8" s="1"/>
  <c r="C53" i="11"/>
  <c r="C53" i="8"/>
  <c r="D58" i="8"/>
  <c r="G58" i="8" s="1"/>
  <c r="I58" i="8" s="1"/>
  <c r="D58" i="11"/>
  <c r="G58" i="11" s="1"/>
  <c r="I58" i="11" s="1"/>
  <c r="L7" i="11"/>
  <c r="L7" i="8"/>
  <c r="C13" i="8"/>
  <c r="C13" i="11"/>
  <c r="M18" i="11"/>
  <c r="P18" i="11" s="1"/>
  <c r="R18" i="11" s="1"/>
  <c r="M18" i="8"/>
  <c r="P18" i="8" s="1"/>
  <c r="R18" i="8" s="1"/>
  <c r="C24" i="8"/>
  <c r="C24" i="11"/>
  <c r="D29" i="8"/>
  <c r="G29" i="8" s="1"/>
  <c r="I29" i="8" s="1"/>
  <c r="D29" i="11"/>
  <c r="G29" i="11" s="1"/>
  <c r="I29" i="11" s="1"/>
  <c r="M34" i="8"/>
  <c r="P34" i="8" s="1"/>
  <c r="R34" i="8" s="1"/>
  <c r="M34" i="11"/>
  <c r="P34" i="11" s="1"/>
  <c r="R34" i="11" s="1"/>
  <c r="C40" i="8"/>
  <c r="C40" i="11"/>
  <c r="D45" i="11"/>
  <c r="G45" i="11" s="1"/>
  <c r="I45" i="11" s="1"/>
  <c r="D45" i="8"/>
  <c r="G45" i="8" s="1"/>
  <c r="I45" i="8" s="1"/>
  <c r="M50" i="8"/>
  <c r="P50" i="8" s="1"/>
  <c r="R50" i="8" s="1"/>
  <c r="M50" i="11"/>
  <c r="P50" i="11" s="1"/>
  <c r="R50" i="11" s="1"/>
  <c r="C56" i="8"/>
  <c r="C56" i="11"/>
  <c r="D61" i="11"/>
  <c r="G61" i="11" s="1"/>
  <c r="I61" i="11" s="1"/>
  <c r="D61" i="8"/>
  <c r="G61" i="8" s="1"/>
  <c r="I61" i="8" s="1"/>
  <c r="C9" i="11"/>
  <c r="C9" i="8"/>
  <c r="L13" i="11"/>
  <c r="L13" i="8"/>
  <c r="L17" i="8"/>
  <c r="L17" i="11"/>
  <c r="L21" i="8"/>
  <c r="L21" i="11"/>
  <c r="L25" i="11"/>
  <c r="L25" i="8"/>
  <c r="L29" i="11"/>
  <c r="L29" i="8"/>
  <c r="L33" i="11"/>
  <c r="L33" i="8"/>
  <c r="L37" i="11"/>
  <c r="L37" i="8"/>
  <c r="L41" i="11"/>
  <c r="L41" i="8"/>
  <c r="L45" i="11"/>
  <c r="L45" i="8"/>
  <c r="L49" i="11"/>
  <c r="L49" i="8"/>
  <c r="L53" i="11"/>
  <c r="L53" i="8"/>
  <c r="L57" i="8"/>
  <c r="L57" i="11"/>
  <c r="L61" i="11"/>
  <c r="L61" i="8"/>
  <c r="H62" i="8"/>
  <c r="G68" i="8" s="1"/>
  <c r="L5" i="32"/>
  <c r="L22" i="32" s="1"/>
  <c r="C62" i="11" l="1"/>
  <c r="P6" i="11"/>
  <c r="M62" i="11"/>
  <c r="D62" i="8"/>
  <c r="G6" i="8"/>
  <c r="L62" i="11"/>
  <c r="D62" i="11"/>
  <c r="G6" i="11"/>
  <c r="C62" i="8"/>
  <c r="M62" i="8"/>
  <c r="P6" i="8"/>
  <c r="L62" i="8"/>
  <c r="M5" i="32"/>
  <c r="M22" i="32" s="1"/>
  <c r="G62" i="11" l="1"/>
  <c r="I6" i="11"/>
  <c r="I62" i="11" s="1"/>
  <c r="P62" i="8"/>
  <c r="R6" i="8"/>
  <c r="R62" i="8" s="1"/>
  <c r="P62" i="11"/>
  <c r="R6" i="11"/>
  <c r="R62" i="11" s="1"/>
  <c r="I6" i="8"/>
  <c r="I62" i="8" s="1"/>
  <c r="G62" i="8"/>
  <c r="G67" i="8" s="1"/>
  <c r="N5" i="32"/>
  <c r="N22" i="32" s="1"/>
  <c r="G71" i="11" l="1"/>
  <c r="N23" i="32"/>
</calcChain>
</file>

<file path=xl/comments1.xml><?xml version="1.0" encoding="utf-8"?>
<comments xmlns="http://schemas.openxmlformats.org/spreadsheetml/2006/main">
  <authors>
    <author>BLOMBERG Patricia -EXT</author>
    <author>Windows User</author>
    <author>Patrícia Blomberg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26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RENOVAR EM 2018 VLR EM 2016 É 2000,00 PROVISIONAR MAIS 1000 DE TAXAS</t>
        </r>
      </text>
    </comment>
    <comment ref="D40" authorId="2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  <comment ref="D41" authorId="2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 ( cozinha funcionários e salão de festa)</t>
        </r>
      </text>
    </comment>
  </commentList>
</comments>
</file>

<file path=xl/comments2.xml><?xml version="1.0" encoding="utf-8"?>
<comments xmlns="http://schemas.openxmlformats.org/spreadsheetml/2006/main">
  <authors>
    <author>BLOMBERG Patricia -EXT</author>
    <author>Windows User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18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RENOVAR EM 2018 VLR EM 2016 É 2000,00 PROVISIONAR MAIS 1000 DE TAXAS</t>
        </r>
      </text>
    </comment>
  </commentList>
</comments>
</file>

<file path=xl/comments3.xml><?xml version="1.0" encoding="utf-8"?>
<comments xmlns="http://schemas.openxmlformats.org/spreadsheetml/2006/main">
  <authors>
    <author>Patrícia Blomberg</author>
  </authors>
  <commentList>
    <comment ref="C24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chave </t>
        </r>
      </text>
    </comment>
  </commentList>
</comments>
</file>

<file path=xl/comments4.xml><?xml version="1.0" encoding="utf-8"?>
<comments xmlns="http://schemas.openxmlformats.org/spreadsheetml/2006/main">
  <authors>
    <author>Patrícia Blomberg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</commentList>
</comments>
</file>

<file path=xl/comments5.xml><?xml version="1.0" encoding="utf-8"?>
<comments xmlns="http://schemas.openxmlformats.org/spreadsheetml/2006/main">
  <authors>
    <author>Patrícia Blomberg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OUTUBRO NA IMOBILIÁRIA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</commentList>
</comments>
</file>

<file path=xl/comments6.xml><?xml version="1.0" encoding="utf-8"?>
<comments xmlns="http://schemas.openxmlformats.org/spreadsheetml/2006/main">
  <authors>
    <author>Patrícia Blomberg</author>
    <author>BLOMBERG Patricia -EXT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300 desratização, 600 desinsetização , 750 caixa dagua
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TEM GARANTIA</t>
        </r>
      </text>
    </comment>
    <comment ref="B35" authorId="1" shapeId="0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média 1580 + 30% de aumento de consumo</t>
        </r>
      </text>
    </comment>
    <comment ref="C51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  <comment ref="C52" authorId="0" shape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</commentList>
</comments>
</file>

<file path=xl/sharedStrings.xml><?xml version="1.0" encoding="utf-8"?>
<sst xmlns="http://schemas.openxmlformats.org/spreadsheetml/2006/main" count="1022" uniqueCount="548">
  <si>
    <t>SPAZIO PORTO CRISTAL</t>
  </si>
  <si>
    <t>DESPESAS ORDINÁRIAS</t>
  </si>
  <si>
    <t>Prev. Orç Mensal</t>
  </si>
  <si>
    <t>N°</t>
  </si>
  <si>
    <t>Prev. Orç Anual</t>
  </si>
  <si>
    <t>Pessoal</t>
  </si>
  <si>
    <t>Descrição</t>
  </si>
  <si>
    <t>Gasto Real</t>
  </si>
  <si>
    <t>Previsto</t>
  </si>
  <si>
    <t>Variação</t>
  </si>
  <si>
    <t>SÍNDICO E SUBSÍNDICO - ISENÇÃO CONDOMÍNIO (2 FUNCIONÁRIOS)</t>
  </si>
  <si>
    <t>Cto Portaria</t>
  </si>
  <si>
    <t>INSS PATRONAL 20%</t>
  </si>
  <si>
    <t>Cto Limpeza</t>
  </si>
  <si>
    <t>Segurança Patrimonial E Manutenção</t>
  </si>
  <si>
    <t>Admin</t>
  </si>
  <si>
    <t xml:space="preserve">CONTRATO DE PORTARIA REGIME  4X2 (3) </t>
  </si>
  <si>
    <t>Prolabore</t>
  </si>
  <si>
    <t>CONTRATO DE PORTARIA REGIME   LIMPEZA (2)</t>
  </si>
  <si>
    <t>Elevador</t>
  </si>
  <si>
    <t>CTO QUIMICA PISCINA</t>
  </si>
  <si>
    <t>Tubulação-Fiação</t>
  </si>
  <si>
    <t>Manutenção</t>
  </si>
  <si>
    <t>Extintores</t>
  </si>
  <si>
    <t>MANUTENÇÃO ELEVADOR</t>
  </si>
  <si>
    <t>Custo Eventual</t>
  </si>
  <si>
    <t>LIMPEZA E SUCÇÃO DE CAIXAS DE GORDURA E LODO BIOLÓGICO(PORTO ALEGRE DESINTUPIDORA)</t>
  </si>
  <si>
    <t>Controles Portão</t>
  </si>
  <si>
    <t>MANUTENÇÃO PORTÃO GARAGEM</t>
  </si>
  <si>
    <t>Móveis</t>
  </si>
  <si>
    <t>COMPRA DE LÂMPADAS E MAT ELÊTRICOS ( LED)</t>
  </si>
  <si>
    <t>Lixeiras</t>
  </si>
  <si>
    <t>MATERIAL DE LIMPEZA PISCINA</t>
  </si>
  <si>
    <t>Hidrômetros</t>
  </si>
  <si>
    <t>Seguro</t>
  </si>
  <si>
    <t>Locação</t>
  </si>
  <si>
    <t>MANUTENÇÃO PERGOLADOS/PLAYGROUND/BANCOS (MATERIAL E M.O.)</t>
  </si>
  <si>
    <t>Honorários Cobrança</t>
  </si>
  <si>
    <t>MATERIAL DE MANUTENÇÃO DE SINALIZAÇÃO</t>
  </si>
  <si>
    <t>Luz</t>
  </si>
  <si>
    <t>CONSERTO DE FECHADURAS E ACESSORIOS</t>
  </si>
  <si>
    <t>Piscina</t>
  </si>
  <si>
    <t xml:space="preserve">LOCAÇÃO DE CONTEINER </t>
  </si>
  <si>
    <t>Impostos</t>
  </si>
  <si>
    <t>MATERIAL MANUTENÇÃO PORTAS E VIDROS</t>
  </si>
  <si>
    <t>Esgoto</t>
  </si>
  <si>
    <t>LIMPEZA DE AR CONDICIONADO SALÃO DE FESTAS</t>
  </si>
  <si>
    <t>Devolução pgto a maior</t>
  </si>
  <si>
    <t>PLANO DE COMBATE Á INCÊNDIO- CURSO BRIGADISTA</t>
  </si>
  <si>
    <t>Material Psicina</t>
  </si>
  <si>
    <t>Desinsetização</t>
  </si>
  <si>
    <t>Administrativas</t>
  </si>
  <si>
    <r>
      <t>DESPESAS ASSEMBLÉIAS DE CONDOMÍNIO</t>
    </r>
    <r>
      <rPr>
        <sz val="9"/>
        <color indexed="17"/>
        <rFont val="Arial"/>
        <family val="2"/>
      </rPr>
      <t xml:space="preserve"> ( PROJETANDO 3 ASSEMBLÉIAS)</t>
    </r>
  </si>
  <si>
    <t>DESPESAS COPIAS</t>
  </si>
  <si>
    <t>REMESSA CORRESPONDENCIA</t>
  </si>
  <si>
    <r>
      <t xml:space="preserve">MANUTENÇÃO PÁGINA WEB </t>
    </r>
    <r>
      <rPr>
        <sz val="9"/>
        <color indexed="17"/>
        <rFont val="Arial"/>
        <family val="2"/>
      </rPr>
      <t>(www.spazioportocristal.com.br)</t>
    </r>
  </si>
  <si>
    <t>TARIFA BANCARIA</t>
  </si>
  <si>
    <t>CERTIFICADO DIGITAL ( ANUAL)</t>
  </si>
  <si>
    <t xml:space="preserve">CARTORIO </t>
  </si>
  <si>
    <t>ENERGIA ELÉTRICA</t>
  </si>
  <si>
    <t>ÁGUA E ESGOTO</t>
  </si>
  <si>
    <t>GÁS</t>
  </si>
  <si>
    <t>IMPOSTOS</t>
  </si>
  <si>
    <t>TELEFONE FIXO/MÓVEL E INTERNET</t>
  </si>
  <si>
    <t>SEGUROS PATRIMONIAIS</t>
  </si>
  <si>
    <t>SubTotal</t>
  </si>
  <si>
    <t>DESPESAS EXTRAORDINÁRIAS</t>
  </si>
  <si>
    <t>Aquisições</t>
  </si>
  <si>
    <t>Pracinha e brinquedos novos</t>
  </si>
  <si>
    <t>Bandeja coletora coletiva para dreno-  ar condicionado</t>
  </si>
  <si>
    <t xml:space="preserve">Faixa Pedestre - entrada condominio </t>
  </si>
  <si>
    <t>CONTA FUNDO DE RESERVA</t>
  </si>
  <si>
    <t>Fundo de Reserva Extras</t>
  </si>
  <si>
    <t>PROLABORE</t>
  </si>
  <si>
    <t>Anual</t>
  </si>
  <si>
    <t>Mensal</t>
  </si>
  <si>
    <t>BLOCO A</t>
  </si>
  <si>
    <t>BLOCO B</t>
  </si>
  <si>
    <t>APARTAMENTOS</t>
  </si>
  <si>
    <t>BOXES</t>
  </si>
  <si>
    <t>Fração</t>
  </si>
  <si>
    <t>Valor Fração Ideal</t>
  </si>
  <si>
    <t>Quotas</t>
  </si>
  <si>
    <t>Valor por Quotas</t>
  </si>
  <si>
    <t>zelador</t>
  </si>
  <si>
    <t>7/COB</t>
  </si>
  <si>
    <t>48 E 111</t>
  </si>
  <si>
    <t>55 E 112</t>
  </si>
  <si>
    <t>Subtotal</t>
  </si>
  <si>
    <t>Total</t>
  </si>
  <si>
    <t>check</t>
  </si>
  <si>
    <t>LIXO</t>
  </si>
  <si>
    <t>Muro</t>
  </si>
  <si>
    <t>3108-4331</t>
  </si>
  <si>
    <t>Jorge</t>
  </si>
  <si>
    <t>diagnóstico isso 31000</t>
  </si>
  <si>
    <t>laudo que ajuda em caso de acionar seguro</t>
  </si>
  <si>
    <t>curso de brigadista</t>
  </si>
  <si>
    <t>orientacoes do condominio : manual de procedimentos</t>
  </si>
  <si>
    <t>http://www.suldefense.com.br/servi%C3%A7os.html</t>
  </si>
  <si>
    <t>curso rt014</t>
  </si>
  <si>
    <t>51 3364-2891</t>
  </si>
  <si>
    <t>http://www.estinsul.com.br/produtos_e_servicos</t>
  </si>
  <si>
    <t>SINDICO</t>
  </si>
  <si>
    <t>SUBSINDICO</t>
  </si>
  <si>
    <t>CONSELHO CONSULTIVO/FISCAL</t>
  </si>
  <si>
    <t>SUPLENTE CONSELHO CONSULTIVO/FISCAL</t>
  </si>
  <si>
    <t>INSCRIÇÃO PARA SINDICO E CONSELHO CONDOMÍNIO PORTO CRISTAL</t>
  </si>
  <si>
    <t>PEÇAS ELEVADOR</t>
  </si>
  <si>
    <t>PATRICIA BLOMBERG</t>
  </si>
  <si>
    <t>306 B</t>
  </si>
  <si>
    <t>RAFAEL FERNANDES</t>
  </si>
  <si>
    <t>FABIO FELITTI</t>
  </si>
  <si>
    <t>702 B</t>
  </si>
  <si>
    <t>RAQUEL BERTAZO</t>
  </si>
  <si>
    <t>605 B</t>
  </si>
  <si>
    <t>ANDRYUS LEMES</t>
  </si>
  <si>
    <t>106 B</t>
  </si>
  <si>
    <t>ISABELINO SANTOS</t>
  </si>
  <si>
    <t>106 A</t>
  </si>
  <si>
    <t>CELULAR/WHATSAPP</t>
  </si>
  <si>
    <t>202 A</t>
  </si>
  <si>
    <t>991.87.885</t>
  </si>
  <si>
    <t>987.02.027</t>
  </si>
  <si>
    <t>964.20.498</t>
  </si>
  <si>
    <t>932.69.370</t>
  </si>
  <si>
    <t>815.14.963</t>
  </si>
  <si>
    <t>TELEFONE PORTARIA PORTO CRISTAL</t>
  </si>
  <si>
    <t>CONDOMINIO</t>
  </si>
  <si>
    <t>924.28.533</t>
  </si>
  <si>
    <t xml:space="preserve"> SINDICO E CONSELHO CONDOMÍNIO PORTO CRISTAL</t>
  </si>
  <si>
    <t>ELEVADORES - EMERGÊNCIAS</t>
  </si>
  <si>
    <t>CTO JARDIM</t>
  </si>
  <si>
    <t xml:space="preserve">salão </t>
  </si>
  <si>
    <t>paam mais que 382</t>
  </si>
  <si>
    <t>pagam menos</t>
  </si>
  <si>
    <t>Total A</t>
  </si>
  <si>
    <t xml:space="preserve">água </t>
  </si>
  <si>
    <t>gás</t>
  </si>
  <si>
    <t>Diferença</t>
  </si>
  <si>
    <t>A</t>
  </si>
  <si>
    <t>Mês</t>
  </si>
  <si>
    <t>Competência</t>
  </si>
  <si>
    <t>Apto</t>
  </si>
  <si>
    <t>303A</t>
  </si>
  <si>
    <t>706A</t>
  </si>
  <si>
    <t>101B</t>
  </si>
  <si>
    <t>102A</t>
  </si>
  <si>
    <t>103A</t>
  </si>
  <si>
    <t>103B</t>
  </si>
  <si>
    <t>104A</t>
  </si>
  <si>
    <t>104B</t>
  </si>
  <si>
    <t>106A</t>
  </si>
  <si>
    <t>106B</t>
  </si>
  <si>
    <t>107B</t>
  </si>
  <si>
    <t>108B</t>
  </si>
  <si>
    <t>201A</t>
  </si>
  <si>
    <t>201B</t>
  </si>
  <si>
    <t>202A</t>
  </si>
  <si>
    <t>202B</t>
  </si>
  <si>
    <t>203A</t>
  </si>
  <si>
    <t>203B</t>
  </si>
  <si>
    <t>204B</t>
  </si>
  <si>
    <t>206A</t>
  </si>
  <si>
    <t>206B</t>
  </si>
  <si>
    <t>207A</t>
  </si>
  <si>
    <t>207B</t>
  </si>
  <si>
    <t>208A</t>
  </si>
  <si>
    <t>208B</t>
  </si>
  <si>
    <t>301A</t>
  </si>
  <si>
    <t>301B</t>
  </si>
  <si>
    <t>302A</t>
  </si>
  <si>
    <t>302B</t>
  </si>
  <si>
    <t>303B</t>
  </si>
  <si>
    <t>304B</t>
  </si>
  <si>
    <t>305A</t>
  </si>
  <si>
    <t>305B</t>
  </si>
  <si>
    <t>306A</t>
  </si>
  <si>
    <t>306B</t>
  </si>
  <si>
    <t>307A</t>
  </si>
  <si>
    <t>307B</t>
  </si>
  <si>
    <t>308B</t>
  </si>
  <si>
    <t>401B</t>
  </si>
  <si>
    <t>402A</t>
  </si>
  <si>
    <t>402B</t>
  </si>
  <si>
    <t>403A</t>
  </si>
  <si>
    <t>403B</t>
  </si>
  <si>
    <t>404A</t>
  </si>
  <si>
    <t>404B</t>
  </si>
  <si>
    <t>405A</t>
  </si>
  <si>
    <t>405B</t>
  </si>
  <si>
    <t>406A</t>
  </si>
  <si>
    <t>406B</t>
  </si>
  <si>
    <t>407A</t>
  </si>
  <si>
    <t>407B</t>
  </si>
  <si>
    <t>408A</t>
  </si>
  <si>
    <t>408B</t>
  </si>
  <si>
    <t>501A</t>
  </si>
  <si>
    <t>501B</t>
  </si>
  <si>
    <t>502A</t>
  </si>
  <si>
    <t>502B</t>
  </si>
  <si>
    <t>503B</t>
  </si>
  <si>
    <t>504A</t>
  </si>
  <si>
    <t>504B</t>
  </si>
  <si>
    <t>505A</t>
  </si>
  <si>
    <t>505B</t>
  </si>
  <si>
    <t>506A</t>
  </si>
  <si>
    <t>506B</t>
  </si>
  <si>
    <t>507A</t>
  </si>
  <si>
    <t>508A</t>
  </si>
  <si>
    <t>508B</t>
  </si>
  <si>
    <t>601A</t>
  </si>
  <si>
    <t>602B</t>
  </si>
  <si>
    <t>603B</t>
  </si>
  <si>
    <t>604A</t>
  </si>
  <si>
    <t>604B</t>
  </si>
  <si>
    <t>605A</t>
  </si>
  <si>
    <t>605B</t>
  </si>
  <si>
    <t>606A</t>
  </si>
  <si>
    <t>606B</t>
  </si>
  <si>
    <t>607A</t>
  </si>
  <si>
    <t>607B</t>
  </si>
  <si>
    <t>608B</t>
  </si>
  <si>
    <t>701A</t>
  </si>
  <si>
    <t>701B</t>
  </si>
  <si>
    <t>702A</t>
  </si>
  <si>
    <t>702B</t>
  </si>
  <si>
    <t>703A</t>
  </si>
  <si>
    <t>703B</t>
  </si>
  <si>
    <t>704B</t>
  </si>
  <si>
    <t>705B</t>
  </si>
  <si>
    <t>707B</t>
  </si>
  <si>
    <t>708A</t>
  </si>
  <si>
    <t>708B</t>
  </si>
  <si>
    <t>503A</t>
  </si>
  <si>
    <t>SETEMBRO</t>
  </si>
  <si>
    <t>101A</t>
  </si>
  <si>
    <t>105A</t>
  </si>
  <si>
    <t>107A</t>
  </si>
  <si>
    <t>108A</t>
  </si>
  <si>
    <t>204A</t>
  </si>
  <si>
    <t>205A</t>
  </si>
  <si>
    <t>304A</t>
  </si>
  <si>
    <t>308A</t>
  </si>
  <si>
    <t>401A</t>
  </si>
  <si>
    <t>602A</t>
  </si>
  <si>
    <t>603A</t>
  </si>
  <si>
    <t>608A</t>
  </si>
  <si>
    <t>704A</t>
  </si>
  <si>
    <t>705A</t>
  </si>
  <si>
    <t>707A</t>
  </si>
  <si>
    <t>B</t>
  </si>
  <si>
    <t>VLR PG IMOB</t>
  </si>
  <si>
    <t>OUTUBRO</t>
  </si>
  <si>
    <t>Total B</t>
  </si>
  <si>
    <t>Valor que vai diminuir no mês a mês</t>
  </si>
  <si>
    <t>Nova taxa</t>
  </si>
  <si>
    <t>Taxa velha</t>
  </si>
  <si>
    <t>32883176 ou 3173</t>
  </si>
  <si>
    <t>inss</t>
  </si>
  <si>
    <t>fgts</t>
  </si>
  <si>
    <t>40% fgts</t>
  </si>
  <si>
    <t>13 salário</t>
  </si>
  <si>
    <t>férias</t>
  </si>
  <si>
    <t>VR</t>
  </si>
  <si>
    <t>VT</t>
  </si>
  <si>
    <t>Rancho</t>
  </si>
  <si>
    <t>farmacia</t>
  </si>
  <si>
    <t>HE</t>
  </si>
  <si>
    <t>Salário de R$ 600,00 por mês – jornada mensal de trabalho 220 hs – adicional de horas extras 50% - quantidade de horas extras feita 5 hs.</t>
  </si>
  <si>
    <r>
      <t xml:space="preserve">R$ 600,00 / 220 = R$ 2,73 + 50% ( R$ 2,73 x 50% = </t>
    </r>
    <r>
      <rPr>
        <b/>
        <sz val="13.5"/>
        <color theme="1"/>
        <rFont val="Calibri"/>
        <family val="2"/>
        <scheme val="minor"/>
      </rPr>
      <t>1,36</t>
    </r>
    <r>
      <rPr>
        <sz val="13.5"/>
        <color theme="1"/>
        <rFont val="Calibri"/>
        <family val="2"/>
        <scheme val="minor"/>
      </rPr>
      <t xml:space="preserve"> ) R$ 2,73 + R$ 1,36 = R$ 4,09 ( esse cálculo representa o valor de 1 hora extra ).</t>
    </r>
  </si>
  <si>
    <t>Considerando 5 horas extras: R$ 4,09 x 5 hs = R$ 20,45 ( valor das horas extras )</t>
  </si>
  <si>
    <t>22:00 horas de um dia e às 5:00 horas do dia posterior, o servidor tem direito de receber uma compensação.</t>
  </si>
  <si>
    <t>Como calcular adicional noturno</t>
  </si>
  <si>
    <t>Hora noturna: a hora normal tem a duração de 60 minutos e a hora noturna, por disposição legal, é computada como sendo de 52 minutos e 30 segundos. Com isso  a jornada de 8 horas fica reduzida a 7 horas e tudo que passar disso é hora extra. Lembrando que o adicional noturno consiste em um acréscimo de 20% sobre o valor-hora diurno tradicional.</t>
  </si>
  <si>
    <t>http://www.calculoexato.net/calculos-trabalhistas/calcular-adicional-noturno/</t>
  </si>
  <si>
    <t>AD</t>
  </si>
  <si>
    <t>Tinta Impressora</t>
  </si>
  <si>
    <t>carga horária</t>
  </si>
  <si>
    <t>Previsto Orçado</t>
  </si>
  <si>
    <t>SEGURANÇA</t>
  </si>
  <si>
    <t>Cerca</t>
  </si>
  <si>
    <t>Câmeras</t>
  </si>
  <si>
    <t>ACESSIBILIDADE</t>
  </si>
  <si>
    <t>Tapetes</t>
  </si>
  <si>
    <t>Garagem (telhado (policarbonato)</t>
  </si>
  <si>
    <t>MELHORIAS</t>
  </si>
  <si>
    <t>Sala Zeladoria ( porcelanato)</t>
  </si>
  <si>
    <t>Ampliação Portaria ( cozinha)</t>
  </si>
  <si>
    <t>Bancos de Jardim</t>
  </si>
  <si>
    <t>Iluminação</t>
  </si>
  <si>
    <t>PASAGISMO</t>
  </si>
  <si>
    <t>Móveis para o salão</t>
  </si>
  <si>
    <t>Utensílios para Salão de Festa</t>
  </si>
  <si>
    <t>Brinquedos e livros ( doados)</t>
  </si>
  <si>
    <t>Esteiras (doadas)</t>
  </si>
  <si>
    <t>SALÃO DE FESTA/BRINCADOTECA/ACADEMIA E BICICLETÁRI0</t>
  </si>
  <si>
    <t>TAXA</t>
  </si>
  <si>
    <t>Alarme</t>
  </si>
  <si>
    <t>cercado</t>
  </si>
  <si>
    <t>Fundo de reserva (fixo)</t>
  </si>
  <si>
    <t>Fundo de reserva Equipagem (fixo)</t>
  </si>
  <si>
    <t>Taxa sem fundo de reserva (fixo)</t>
  </si>
  <si>
    <t>Espelhos saída garagem</t>
  </si>
  <si>
    <t>Plantas e Pedras decorativas, vasos etc</t>
  </si>
  <si>
    <t>Sala Zeladoria ( parede)</t>
  </si>
  <si>
    <t>MATERIAL DE MANUTENÇÃO DE SINALIZAÇÃO ( complemento)</t>
  </si>
  <si>
    <t>Toldos entrada Blocos (policarbonato)- Toldo zeladoria e salão de festas (5)</t>
  </si>
  <si>
    <t>Telhado Portaria e caixa de correspondência</t>
  </si>
  <si>
    <t>Cadeiras Brancas ( beira da Piscina) (10)</t>
  </si>
  <si>
    <t>Cadeiras de praias (piscina) (3)</t>
  </si>
  <si>
    <t>Mesa branca para piscina  e um guarda sol</t>
  </si>
  <si>
    <t>Chão próximo portaria e zeladoria Pedra caxambu e manutenções</t>
  </si>
  <si>
    <t>toldo para churrasqueira</t>
  </si>
  <si>
    <t>Bicicletário ( 40 bicicletas)</t>
  </si>
  <si>
    <t>sala de lixo trilho</t>
  </si>
  <si>
    <t>Meses</t>
  </si>
  <si>
    <t>Chuveiro proximo salão de festa</t>
  </si>
  <si>
    <t>Churrasqueira proximo salão de festa</t>
  </si>
  <si>
    <t>Capa protestora Elevador (2)</t>
  </si>
  <si>
    <t>Carrinho de super 1 unidade com chave</t>
  </si>
  <si>
    <t>2 BB DESINFETANTE LAVANDA                   9,50=19,00</t>
  </si>
  <si>
    <t>02 BB DESINFETANTE FLORAL                     9,50=19,00</t>
  </si>
  <si>
    <t>02 BB DETERGENTE LOUÇA                         12,90=25,80</t>
  </si>
  <si>
    <t>01 VEJA MULTIUSO                                   4,85</t>
  </si>
  <si>
    <t>02 BB DESINFETANTE PINHO 5 LT                9,50=19,00</t>
  </si>
  <si>
    <t>04 BB ALVEJANTE                                       8,00=32,00</t>
  </si>
  <si>
    <t>02 ALCOOL 46°                                          6,25=12,50</t>
  </si>
  <si>
    <t>01 FD PAPEL HIGIÊNICO ROLÃO 300MTS   39,90</t>
  </si>
  <si>
    <t>01 PC ESPONJA DUPLA FACE C/4                2,45         </t>
  </si>
  <si>
    <t>04 FLANELA                                                1,45=5,80</t>
  </si>
  <si>
    <t>04 SACO ALVEJADO                                    5,20=20,80</t>
  </si>
  <si>
    <t>01 FD SACO 240LTS PRETO                        99,90</t>
  </si>
  <si>
    <t>02 FD SACO 100LTS PRETO 10 MICRAS      38,90=77,80</t>
  </si>
  <si>
    <t>02 VASSOURA PREFERIDA                           8,45=16,90</t>
  </si>
  <si>
    <t>01 AJAX FRESH                                            5,70</t>
  </si>
  <si>
    <t>01 ESCADA 8DEGRAUS  ALUMÍNIO2 71,90</t>
  </si>
  <si>
    <t>01 VASSOURA PARA TIRAR TEIA DE ARANHA  39,90</t>
  </si>
  <si>
    <t>01 TRINCHA                                                     4,90</t>
  </si>
  <si>
    <t>01 FIBRA VERDE                                              4,50</t>
  </si>
  <si>
    <t>01 SABÃO EM PÓ BRILHANTE KG                    7,99</t>
  </si>
  <si>
    <t>01 REGADOR                                          21,90</t>
  </si>
  <si>
    <t>01 PÁ COM CABO                                             9,90</t>
  </si>
  <si>
    <t>01 RASTEL                                                       27,90</t>
  </si>
  <si>
    <t>01 RODO MÉDIO                                            6,75</t>
  </si>
  <si>
    <t>01 LÂMPADA 11WATHS EQUIVALE A 40         7,90</t>
  </si>
  <si>
    <t>BB DESINFETANTE LAVANDA                </t>
  </si>
  <si>
    <t>  9,50=19,00</t>
  </si>
  <si>
    <t>BB DESINFETANTE FLORAL                </t>
  </si>
  <si>
    <t>    9,50=19,00</t>
  </si>
  <si>
    <t>BB DETERGENTE LOUÇA                  </t>
  </si>
  <si>
    <t>      12,90=25,80</t>
  </si>
  <si>
    <t>VEJA MULTIUSO                        </t>
  </si>
  <si>
    <t>          4,85</t>
  </si>
  <si>
    <t>BB DESINFETANTE PINHO 5 LT            </t>
  </si>
  <si>
    <t>   9,50=19,00</t>
  </si>
  <si>
    <t>BB ALVEJANTE                          </t>
  </si>
  <si>
    <t>            8,00=32,00</t>
  </si>
  <si>
    <t>ALCOOL 46°                            </t>
  </si>
  <si>
    <t>             6,25=12,50</t>
  </si>
  <si>
    <t>FD PAPEL HIGIÊNICO ROLÃO 300MTS   39,9</t>
  </si>
  <si>
    <t>PC ESPONJA DUPLA FACE C/4            </t>
  </si>
  <si>
    <t>   2,45         </t>
  </si>
  <si>
    <t>FLANELA                              </t>
  </si>
  <si>
    <t>                 1,45=5,80</t>
  </si>
  <si>
    <t>SACO ALVEJADO                        </t>
  </si>
  <si>
    <t>           5,20=20,80</t>
  </si>
  <si>
    <t>FD SACO 240LTS PRETO                  </t>
  </si>
  <si>
    <t>     99,90</t>
  </si>
  <si>
    <t>FD SACO 100LTS PRETO 10 MICRAS      38</t>
  </si>
  <si>
    <t>,90=77,80</t>
  </si>
  <si>
    <t>VASSOURA PREFERIDA                    </t>
  </si>
  <si>
    <t>      8,45=16,90</t>
  </si>
  <si>
    <t>AJAX FRESH                            </t>
  </si>
  <si>
    <t>               5,70</t>
  </si>
  <si>
    <t>ESCADA 8DEGRAUS  ALUMÍNIO2 71,90</t>
  </si>
  <si>
    <t>VASSOURA PARA TIRAR TEIA DE ARANHA  39</t>
  </si>
  <si>
    <t>TRINCHA                              </t>
  </si>
  <si>
    <t>                      4,90</t>
  </si>
  <si>
    <t>FIBRA VERDE                          </t>
  </si>
  <si>
    <t>                   4,50</t>
  </si>
  <si>
    <t>SABÃO EM PÓ BRILHANTE KG              </t>
  </si>
  <si>
    <t>     7,99</t>
  </si>
  <si>
    <t>REGADOR                              </t>
  </si>
  <si>
    <t>           21,90</t>
  </si>
  <si>
    <t>PÁ COM CABO                          </t>
  </si>
  <si>
    <t>                  9,90</t>
  </si>
  <si>
    <t>RASTEL                                </t>
  </si>
  <si>
    <t>                      27,90</t>
  </si>
  <si>
    <t>RODO MÉDIO                            </t>
  </si>
  <si>
    <t>               6,75</t>
  </si>
  <si>
    <t>LÂMPADA 11WATHS EQUIVALE A 40        </t>
  </si>
  <si>
    <t>LÂMPADA 11WATHS EQUIVALE A 60        </t>
  </si>
  <si>
    <t>http://www.produtosmb.com.br/</t>
  </si>
  <si>
    <t>Adesivo para carros RFID - Automatech</t>
  </si>
  <si>
    <t>cobertura portão</t>
  </si>
  <si>
    <t>cobertura caixa de correio</t>
  </si>
  <si>
    <t>bicicletário</t>
  </si>
  <si>
    <t>carrinho de compras</t>
  </si>
  <si>
    <t>pracinha</t>
  </si>
  <si>
    <t>churrasqueira</t>
  </si>
  <si>
    <t>mesa 4 cadeiras</t>
  </si>
  <si>
    <t>espaço churrasqueira</t>
  </si>
  <si>
    <t>Espaço Piscina</t>
  </si>
  <si>
    <t>zeladoria</t>
  </si>
  <si>
    <t>Ampliação Portaria</t>
  </si>
  <si>
    <t>pedras caxambu</t>
  </si>
  <si>
    <t>Telhado Ampliação Portaria</t>
  </si>
  <si>
    <t>porta de entrada A, B, Salão de festa, zeladoria</t>
  </si>
  <si>
    <t>Material para Jardim</t>
  </si>
  <si>
    <t>Ventilador Zeladoria (2)</t>
  </si>
  <si>
    <t>Mesa salão de Festa (4)</t>
  </si>
  <si>
    <t>Cadeira sação ( 5)</t>
  </si>
  <si>
    <t>Capa Protetora elevador</t>
  </si>
  <si>
    <t>110 cond</t>
  </si>
  <si>
    <t>6 vezes</t>
  </si>
  <si>
    <r>
      <t xml:space="preserve">RECARGA DOS EXTINTORES/TESTES HIDROSTÁSTICOS DE </t>
    </r>
    <r>
      <rPr>
        <b/>
        <sz val="11"/>
        <color theme="1"/>
        <rFont val="Calibri"/>
        <family val="2"/>
        <scheme val="minor"/>
      </rPr>
      <t>MANGUEIRAS</t>
    </r>
  </si>
  <si>
    <t xml:space="preserve">ADMINISTRADORA  </t>
  </si>
  <si>
    <t>MATERIAL DE LIMPEZA</t>
  </si>
  <si>
    <t>Material Limpeza</t>
  </si>
  <si>
    <t>Água</t>
  </si>
  <si>
    <t>subtotal</t>
  </si>
  <si>
    <t xml:space="preserve">aplicado igpm 13%  reajuste -subtotal previsão 2017 </t>
  </si>
  <si>
    <t>novos ctos fossa e manutenção boia caixa</t>
  </si>
  <si>
    <t>IMPOSTOS  11,5% LUCRO PRESUMIDO</t>
  </si>
  <si>
    <t>IMPOSTOS SIMPLES 11%</t>
  </si>
  <si>
    <t>Caixa d'agua</t>
  </si>
  <si>
    <t>PH CAIXA DAGUA, DESINSETIZAÇÃO E DESRATIFICAÇÃO - BIOSETA , VERDE GAIA</t>
  </si>
  <si>
    <t>limpeza da caixa dagua 1480, usar verba de manutenção de bombas e filtros</t>
  </si>
  <si>
    <t xml:space="preserve">MATERIAL DE MANUTENÇÃO BOMBAS E FILTROS </t>
  </si>
  <si>
    <t>MATERIAL DE MANUTENÇÃO DOS EXAUSTORES</t>
  </si>
  <si>
    <t>Empréstimo</t>
  </si>
  <si>
    <t>MATERIAL EXTINTORES E MANGUEIRAS</t>
  </si>
  <si>
    <t>Correspondência</t>
  </si>
  <si>
    <t>COMPRA DE MATERIAL PARA LIMPEZA DA CAIXA DÁGUA</t>
  </si>
  <si>
    <t>Encargos financeiros</t>
  </si>
  <si>
    <t>PARA RAIOS</t>
  </si>
  <si>
    <t>RENOVAÇÃO PPCI ( DE 2 EM 2 ANOS - ULTIMO 2016</t>
  </si>
  <si>
    <t>Honorários jurídicos</t>
  </si>
  <si>
    <t>ADMINISTRADORA   Menino Deus</t>
  </si>
  <si>
    <t>inadimplência</t>
  </si>
  <si>
    <t>DESPESAS COM PROCESSOS</t>
  </si>
  <si>
    <t>Fundo de Reserva de Obras/conservação e manutenção</t>
  </si>
  <si>
    <t>Fundo de Reserva de Equipagem</t>
  </si>
  <si>
    <r>
      <t xml:space="preserve">TOTAL GERAL DOS CUSTOS 2015 </t>
    </r>
    <r>
      <rPr>
        <b/>
        <sz val="16"/>
        <rFont val="Calibri"/>
        <family val="2"/>
      </rPr>
      <t>(Previsto)</t>
    </r>
  </si>
  <si>
    <t>INADIMPLÊNCIA 15%</t>
  </si>
  <si>
    <t>negociar</t>
  </si>
  <si>
    <t>Toldos entrada Blocos (policarbonato)</t>
  </si>
  <si>
    <t>Toldo zeladoria e salão de festas</t>
  </si>
  <si>
    <t>Telhado</t>
  </si>
  <si>
    <t>Carrinho de super 2 unidades</t>
  </si>
  <si>
    <t>Cadeiras de praias (piscina)</t>
  </si>
  <si>
    <t>Cadeiras Brancas ( beira da Piscina)</t>
  </si>
  <si>
    <t>Churrasqueiras</t>
  </si>
  <si>
    <t>Bicicletário</t>
  </si>
  <si>
    <t>2015-2016</t>
  </si>
  <si>
    <t>dif igpm Defesa patrimonial 2016 ( prev 17.957 e subiu para 19.104 #  1.147</t>
  </si>
  <si>
    <t>acréscimo de prolabore  - 1000,00</t>
  </si>
  <si>
    <t>Nova taxa para 2017</t>
  </si>
  <si>
    <t>zelador 5141 1.212,15</t>
  </si>
  <si>
    <t>Margem para caixa 1%</t>
  </si>
  <si>
    <t>MATERIAL DE ESCRITÓRIO</t>
  </si>
  <si>
    <t>MANUTENÇÃO CERCA ELÉTRICA</t>
  </si>
  <si>
    <t>DIRF/RAIS/DES</t>
  </si>
  <si>
    <t>SERRALHEIRO</t>
  </si>
  <si>
    <t>DECORAÇÃO,COMEMORAÇÕES</t>
  </si>
  <si>
    <t>MANUTENÇÕES DIVERSAS</t>
  </si>
  <si>
    <t>MANUTENÇÃO CÂMERAS DE SEGURANÇA</t>
  </si>
  <si>
    <t>Inadimplência</t>
  </si>
  <si>
    <t>SUBTOTAL</t>
  </si>
  <si>
    <t>CUSTOS TRABALHISTAS
CONDOMÍNIOS</t>
  </si>
  <si>
    <t>Cargo</t>
  </si>
  <si>
    <t>Qtde</t>
  </si>
  <si>
    <t>Salário Base</t>
  </si>
  <si>
    <t>Total Salario</t>
  </si>
  <si>
    <t>Serviços Gerais</t>
  </si>
  <si>
    <t>Sindico(a)</t>
  </si>
  <si>
    <t>Sobre um salário base em horas</t>
  </si>
  <si>
    <t>(%)</t>
  </si>
  <si>
    <t>Zeladoria</t>
  </si>
  <si>
    <t>13º salário</t>
  </si>
  <si>
    <t>Porteiro Diurno</t>
  </si>
  <si>
    <t>Férias</t>
  </si>
  <si>
    <t>Porteiro Noturno</t>
  </si>
  <si>
    <t>INSS</t>
  </si>
  <si>
    <t>INSS (Patronal)</t>
  </si>
  <si>
    <t>SAT/até</t>
  </si>
  <si>
    <t>INSS (Sindico)</t>
  </si>
  <si>
    <t>Sal.Educação</t>
  </si>
  <si>
    <t>INCRA/SENAI/SESI/SEBRAE</t>
  </si>
  <si>
    <t>FGTS</t>
  </si>
  <si>
    <t>FGTS/Resc.</t>
  </si>
  <si>
    <t>Total Previdenciário</t>
  </si>
  <si>
    <t>Previdenciário s/13º e Férias</t>
  </si>
  <si>
    <t>Vale Transporte</t>
  </si>
  <si>
    <t>Pis S/ Folha</t>
  </si>
  <si>
    <t>SOMA BÁSICO</t>
  </si>
  <si>
    <t>Salário/Mensal</t>
  </si>
  <si>
    <t>Encargos sobre o salário mensal</t>
  </si>
  <si>
    <t>Total Custo/Mensal</t>
  </si>
  <si>
    <t>Funcionarios condomínio (Serviços Gerais)</t>
  </si>
  <si>
    <t>Tributos sobre Folha</t>
  </si>
  <si>
    <t>Funcionarios (Portaria)</t>
  </si>
  <si>
    <t>Vale Alimentação</t>
  </si>
  <si>
    <t>Funcionarios condomínio (Zelador)</t>
  </si>
  <si>
    <t>SÍNDICO</t>
  </si>
  <si>
    <t>LIMPEZA E SUCÇÃO DE CAIXAS DE GORDURA E LODO BIOLÓGICO</t>
  </si>
  <si>
    <t>COMPRA DE LÂMPADAS E MAT ELÊTRICOS (LED)/PEÇAS</t>
  </si>
  <si>
    <t>MANUTENÇÃO CASA DE MÁQUINAS - BOMBA DA CX D'AGUA</t>
  </si>
  <si>
    <t>Fundo de Reserva (10%)</t>
  </si>
  <si>
    <t>TOTAL GERAL DOS CUSTOS 2018 (Previsto)</t>
  </si>
  <si>
    <t>DOS CUSTOS 2018 (Previsto)</t>
  </si>
  <si>
    <t>TELEFONE FIXO</t>
  </si>
  <si>
    <t>CUSTO IND.</t>
  </si>
  <si>
    <t>Zelador</t>
  </si>
  <si>
    <t>PROJEÇÃO DO BOLETO</t>
  </si>
  <si>
    <t>VALOR DO CONDOMINIO</t>
  </si>
  <si>
    <t>TAXA EXTRA</t>
  </si>
  <si>
    <t>FUNDO DE RESERVA</t>
  </si>
  <si>
    <t>MARGEM PARA CAIXA</t>
  </si>
  <si>
    <t>FUNDO DE INADIMPLÊNCIA</t>
  </si>
  <si>
    <t>VALOR</t>
  </si>
  <si>
    <t>4 - FREEZER  OU GELADEIRA(QUIOSQUE)</t>
  </si>
  <si>
    <t>8 - JOGO DE MESA DE PLASTICO(QUIOSQUE)</t>
  </si>
  <si>
    <t>TOTAL</t>
  </si>
  <si>
    <t>AQUISIÇÃO DOS EQUIPAMENTOS QUIOSQUES</t>
  </si>
  <si>
    <t>-</t>
  </si>
  <si>
    <t>TOTAL DO BOLETO DE MARÇO</t>
  </si>
  <si>
    <t>CONTROLE ADICIONAL</t>
  </si>
  <si>
    <t>TOTAL COM CONTROLE</t>
  </si>
  <si>
    <t>PH CAIXA DAGUA, DESINSETIZAÇÃO E DESRATIFICAÇÃO, MANUTENÇÃO</t>
  </si>
  <si>
    <t>MANUTENÇÃO PLAYGROUND  (MATERIAL E M.O.)</t>
  </si>
  <si>
    <t>AGUA</t>
  </si>
  <si>
    <t>9 - LIXEIRAS EXTERNAS /4 - QUIOSQUE</t>
  </si>
  <si>
    <t>ARMARIO (QUIOSQUE)</t>
  </si>
  <si>
    <t>MANUTENÇÃO DO MOTOR / SENSORES E TRILHOS DO PORTÃO</t>
  </si>
  <si>
    <t>APLICAÇÃO - FUNDO RESERVA</t>
  </si>
  <si>
    <t>%</t>
  </si>
  <si>
    <t>FÉRIAS E 13° E FUNCIONARIO SUBSTITUTO</t>
  </si>
  <si>
    <t>TOTAL MENSAL</t>
  </si>
  <si>
    <t>CONDOMINIO VILLAS DE CASTILLA I</t>
  </si>
  <si>
    <r>
      <t xml:space="preserve">RECARGA DOS EXTINTORES/TESTES HIDROSTÁSTICOS DE </t>
    </r>
    <r>
      <rPr>
        <b/>
        <sz val="10"/>
        <color theme="1"/>
        <rFont val="Trebuchet MS"/>
        <family val="2"/>
      </rPr>
      <t>MANGUEIRAS</t>
    </r>
  </si>
  <si>
    <r>
      <t xml:space="preserve">LOCAÇÃO DE CAÇAMBAS </t>
    </r>
    <r>
      <rPr>
        <sz val="10"/>
        <color rgb="FF0070C0"/>
        <rFont val="Trebuchet MS"/>
        <family val="2"/>
      </rPr>
      <t>(PARA RETIRADA DOS LIXOS DA MANUTENÇÃO DO JARDIM)</t>
    </r>
  </si>
  <si>
    <r>
      <t xml:space="preserve">LIMPEZA DE AR CONDICIONADO PORTARIA </t>
    </r>
    <r>
      <rPr>
        <sz val="10"/>
        <color theme="3"/>
        <rFont val="Trebuchet MS"/>
        <family val="2"/>
      </rPr>
      <t>(2 LIMPEZAS ANUAIS)</t>
    </r>
  </si>
  <si>
    <r>
      <t xml:space="preserve">RENOVAÇÃO ALVARÁ PPCI </t>
    </r>
    <r>
      <rPr>
        <sz val="10"/>
        <color theme="3"/>
        <rFont val="Trebuchet MS"/>
        <family val="2"/>
      </rPr>
      <t>(ANUAL)</t>
    </r>
  </si>
  <si>
    <r>
      <t>DESPESAS ASSEMBLÉIAS DE CONDOMÍNIO</t>
    </r>
    <r>
      <rPr>
        <sz val="10"/>
        <color indexed="17"/>
        <rFont val="Trebuchet MS"/>
        <family val="2"/>
      </rPr>
      <t xml:space="preserve"> </t>
    </r>
    <r>
      <rPr>
        <sz val="10"/>
        <color theme="3"/>
        <rFont val="Trebuchet MS"/>
        <family val="2"/>
      </rPr>
      <t>(PROJETANDO 3 ASSEMBLÉIAS ANUAIS)</t>
    </r>
  </si>
  <si>
    <r>
      <t xml:space="preserve">CERTIFICADO DIGITAL </t>
    </r>
    <r>
      <rPr>
        <sz val="10"/>
        <color theme="3"/>
        <rFont val="Trebuchet MS"/>
        <family val="2"/>
      </rPr>
      <t>(ANUAL)</t>
    </r>
  </si>
  <si>
    <r>
      <t xml:space="preserve">SEGUROS PATRIMONIAIS </t>
    </r>
    <r>
      <rPr>
        <sz val="10"/>
        <color rgb="FF0070C0"/>
        <rFont val="Trebuchet MS"/>
        <family val="2"/>
      </rPr>
      <t>(SEGURO OBRIGATORIO DO CONDOMINIO)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</si>
</sst>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_ ;\-#,##0.00\ "/>
    <numFmt numFmtId="167" formatCode="#,##0.00_ ;[Red]\-#,##0.00\ "/>
    <numFmt numFmtId="168" formatCode="_-* #,##0.0000_-;\-* #,##0.0000_-;_-* &quot;-&quot;????_-;_-@_-"/>
    <numFmt numFmtId="169" formatCode="0_ ;\-0\ "/>
    <numFmt numFmtId="170" formatCode="_-* #,##0_-;\-* #,##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indexed="3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9"/>
      <color rgb="FFFF0000"/>
      <name val="Arial"/>
      <family val="2"/>
    </font>
    <font>
      <sz val="9"/>
      <color indexed="17"/>
      <name val="Arial"/>
      <family val="2"/>
    </font>
    <font>
      <sz val="9"/>
      <color theme="1"/>
      <name val="Arial"/>
      <family val="2"/>
    </font>
    <font>
      <b/>
      <sz val="22"/>
      <name val="Calibri"/>
      <family val="2"/>
    </font>
    <font>
      <b/>
      <sz val="16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b/>
      <sz val="10"/>
      <color indexed="30"/>
      <name val="Trebuchet MS"/>
      <family val="2"/>
    </font>
    <font>
      <b/>
      <sz val="10"/>
      <color theme="1"/>
      <name val="Trebuchet MS"/>
      <family val="2"/>
    </font>
    <font>
      <sz val="10"/>
      <name val="Trebuchet MS"/>
      <family val="2"/>
    </font>
    <font>
      <sz val="10"/>
      <color rgb="FF000000"/>
      <name val="Trebuchet MS"/>
      <family val="2"/>
    </font>
    <font>
      <sz val="10"/>
      <color indexed="8"/>
      <name val="Trebuchet MS"/>
      <family val="2"/>
    </font>
    <font>
      <sz val="10"/>
      <color rgb="FFFF0000"/>
      <name val="Trebuchet MS"/>
      <family val="2"/>
    </font>
    <font>
      <sz val="10"/>
      <color rgb="FF0070C0"/>
      <name val="Trebuchet MS"/>
      <family val="2"/>
    </font>
    <font>
      <sz val="10"/>
      <color theme="3"/>
      <name val="Trebuchet MS"/>
      <family val="2"/>
    </font>
    <font>
      <b/>
      <sz val="10"/>
      <name val="Trebuchet MS"/>
      <family val="2"/>
    </font>
    <font>
      <sz val="10"/>
      <color indexed="17"/>
      <name val="Trebuchet MS"/>
      <family val="2"/>
    </font>
    <font>
      <b/>
      <sz val="10"/>
      <color rgb="FF000000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9" borderId="23">
      <alignment horizontal="left" vertical="center"/>
      <protection locked="0" hidden="1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1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2" fillId="2" borderId="0" xfId="0" applyFont="1" applyFill="1"/>
    <xf numFmtId="0" fontId="4" fillId="4" borderId="2" xfId="0" applyFont="1" applyFill="1" applyBorder="1"/>
    <xf numFmtId="0" fontId="5" fillId="4" borderId="3" xfId="0" applyFont="1" applyFill="1" applyBorder="1" applyAlignment="1">
      <alignment horizontal="center"/>
    </xf>
    <xf numFmtId="0" fontId="5" fillId="4" borderId="3" xfId="0" applyNumberFormat="1" applyFont="1" applyFill="1" applyBorder="1" applyAlignment="1">
      <alignment horizontal="center"/>
    </xf>
    <xf numFmtId="0" fontId="6" fillId="5" borderId="4" xfId="0" applyFont="1" applyFill="1" applyBorder="1"/>
    <xf numFmtId="4" fontId="7" fillId="5" borderId="5" xfId="0" applyNumberFormat="1" applyFont="1" applyFill="1" applyBorder="1"/>
    <xf numFmtId="0" fontId="7" fillId="5" borderId="5" xfId="0" applyNumberFormat="1" applyFont="1" applyFill="1" applyBorder="1"/>
    <xf numFmtId="0" fontId="8" fillId="0" borderId="0" xfId="0" applyFont="1"/>
    <xf numFmtId="0" fontId="9" fillId="6" borderId="6" xfId="0" applyFont="1" applyFill="1" applyBorder="1"/>
    <xf numFmtId="43" fontId="9" fillId="6" borderId="7" xfId="1" applyFont="1" applyFill="1" applyBorder="1" applyAlignment="1">
      <alignment horizontal="center"/>
    </xf>
    <xf numFmtId="43" fontId="9" fillId="6" borderId="7" xfId="1" applyFont="1" applyFill="1" applyBorder="1"/>
    <xf numFmtId="43" fontId="0" fillId="6" borderId="8" xfId="1" applyFont="1" applyFill="1" applyBorder="1"/>
    <xf numFmtId="4" fontId="0" fillId="0" borderId="9" xfId="0" applyNumberFormat="1" applyBorder="1"/>
    <xf numFmtId="0" fontId="0" fillId="0" borderId="9" xfId="0" applyNumberFormat="1" applyBorder="1"/>
    <xf numFmtId="0" fontId="0" fillId="0" borderId="10" xfId="0" applyBorder="1"/>
    <xf numFmtId="43" fontId="11" fillId="0" borderId="11" xfId="1" applyFont="1" applyBorder="1" applyAlignment="1">
      <alignment horizontal="center"/>
    </xf>
    <xf numFmtId="43" fontId="9" fillId="0" borderId="11" xfId="1" applyFont="1" applyBorder="1"/>
    <xf numFmtId="43" fontId="12" fillId="0" borderId="12" xfId="1" applyFont="1" applyBorder="1"/>
    <xf numFmtId="0" fontId="12" fillId="0" borderId="13" xfId="0" applyFont="1" applyBorder="1" applyAlignment="1">
      <alignment vertical="center"/>
    </xf>
    <xf numFmtId="4" fontId="13" fillId="0" borderId="9" xfId="0" applyNumberFormat="1" applyFont="1" applyBorder="1"/>
    <xf numFmtId="0" fontId="13" fillId="0" borderId="9" xfId="0" applyNumberFormat="1" applyFont="1" applyBorder="1"/>
    <xf numFmtId="0" fontId="13" fillId="0" borderId="0" xfId="0" applyFont="1"/>
    <xf numFmtId="43" fontId="11" fillId="6" borderId="11" xfId="1" applyFont="1" applyFill="1" applyBorder="1" applyAlignment="1">
      <alignment horizontal="center"/>
    </xf>
    <xf numFmtId="4" fontId="13" fillId="0" borderId="14" xfId="0" applyNumberFormat="1" applyFont="1" applyBorder="1"/>
    <xf numFmtId="0" fontId="13" fillId="0" borderId="14" xfId="0" applyNumberFormat="1" applyFont="1" applyBorder="1"/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4" fontId="13" fillId="0" borderId="16" xfId="0" applyNumberFormat="1" applyFont="1" applyBorder="1"/>
    <xf numFmtId="43" fontId="15" fillId="0" borderId="11" xfId="1" applyFont="1" applyBorder="1"/>
    <xf numFmtId="0" fontId="7" fillId="0" borderId="0" xfId="0" applyFont="1" applyAlignment="1">
      <alignment horizontal="center"/>
    </xf>
    <xf numFmtId="0" fontId="0" fillId="0" borderId="0" xfId="0" applyFont="1"/>
    <xf numFmtId="4" fontId="9" fillId="2" borderId="17" xfId="2" applyNumberFormat="1" applyFont="1" applyFill="1" applyBorder="1" applyAlignment="1" applyProtection="1">
      <alignment horizontal="right" vertical="center"/>
      <protection locked="0"/>
    </xf>
    <xf numFmtId="0" fontId="9" fillId="2" borderId="17" xfId="2" applyNumberFormat="1" applyFont="1" applyFill="1" applyBorder="1" applyAlignment="1" applyProtection="1">
      <alignment horizontal="right" vertical="center"/>
      <protection locked="0"/>
    </xf>
    <xf numFmtId="43" fontId="13" fillId="0" borderId="0" xfId="0" applyNumberFormat="1" applyFont="1"/>
    <xf numFmtId="0" fontId="7" fillId="0" borderId="0" xfId="0" applyFont="1"/>
    <xf numFmtId="43" fontId="0" fillId="0" borderId="0" xfId="1" applyFont="1" applyFill="1" applyBorder="1"/>
    <xf numFmtId="43" fontId="0" fillId="0" borderId="0" xfId="1" applyFont="1"/>
    <xf numFmtId="4" fontId="0" fillId="0" borderId="14" xfId="0" applyNumberFormat="1" applyBorder="1"/>
    <xf numFmtId="0" fontId="0" fillId="0" borderId="14" xfId="0" applyNumberFormat="1" applyBorder="1"/>
    <xf numFmtId="0" fontId="17" fillId="0" borderId="13" xfId="0" applyFont="1" applyBorder="1" applyAlignment="1">
      <alignment vertical="center"/>
    </xf>
    <xf numFmtId="0" fontId="18" fillId="3" borderId="2" xfId="0" applyFont="1" applyFill="1" applyBorder="1"/>
    <xf numFmtId="4" fontId="7" fillId="3" borderId="3" xfId="0" applyNumberFormat="1" applyFont="1" applyFill="1" applyBorder="1"/>
    <xf numFmtId="0" fontId="7" fillId="3" borderId="3" xfId="0" applyNumberFormat="1" applyFont="1" applyFill="1" applyBorder="1"/>
    <xf numFmtId="0" fontId="7" fillId="2" borderId="0" xfId="0" applyFont="1" applyFill="1" applyAlignment="1">
      <alignment horizontal="center"/>
    </xf>
    <xf numFmtId="0" fontId="6" fillId="5" borderId="18" xfId="0" applyFont="1" applyFill="1" applyBorder="1"/>
    <xf numFmtId="3" fontId="7" fillId="5" borderId="19" xfId="0" applyNumberFormat="1" applyFont="1" applyFill="1" applyBorder="1"/>
    <xf numFmtId="0" fontId="7" fillId="5" borderId="19" xfId="0" applyNumberFormat="1" applyFont="1" applyFill="1" applyBorder="1"/>
    <xf numFmtId="4" fontId="9" fillId="2" borderId="20" xfId="2" applyNumberFormat="1" applyFont="1" applyFill="1" applyBorder="1" applyAlignment="1" applyProtection="1">
      <alignment horizontal="right" vertical="center"/>
      <protection locked="0"/>
    </xf>
    <xf numFmtId="0" fontId="9" fillId="2" borderId="20" xfId="2" applyNumberFormat="1" applyFont="1" applyFill="1" applyBorder="1" applyAlignment="1" applyProtection="1">
      <alignment horizontal="right" vertical="center"/>
      <protection locked="0"/>
    </xf>
    <xf numFmtId="166" fontId="7" fillId="3" borderId="3" xfId="3" applyNumberFormat="1" applyFont="1" applyFill="1" applyBorder="1"/>
    <xf numFmtId="0" fontId="7" fillId="3" borderId="3" xfId="3" applyNumberFormat="1" applyFont="1" applyFill="1" applyBorder="1"/>
    <xf numFmtId="0" fontId="0" fillId="0" borderId="0" xfId="0" applyNumberFormat="1"/>
    <xf numFmtId="0" fontId="4" fillId="7" borderId="2" xfId="0" applyFont="1" applyFill="1" applyBorder="1"/>
    <xf numFmtId="4" fontId="5" fillId="7" borderId="3" xfId="0" applyNumberFormat="1" applyFont="1" applyFill="1" applyBorder="1" applyAlignment="1">
      <alignment horizontal="center"/>
    </xf>
    <xf numFmtId="0" fontId="5" fillId="7" borderId="3" xfId="0" applyNumberFormat="1" applyFont="1" applyFill="1" applyBorder="1" applyAlignment="1">
      <alignment horizontal="center"/>
    </xf>
    <xf numFmtId="4" fontId="9" fillId="2" borderId="21" xfId="2" applyNumberFormat="1" applyFont="1" applyFill="1" applyBorder="1" applyAlignment="1" applyProtection="1">
      <alignment horizontal="right" vertical="center"/>
      <protection locked="0"/>
    </xf>
    <xf numFmtId="0" fontId="9" fillId="2" borderId="21" xfId="2" applyNumberFormat="1" applyFont="1" applyFill="1" applyBorder="1" applyAlignment="1" applyProtection="1">
      <alignment horizontal="right" vertical="center"/>
      <protection locked="0"/>
    </xf>
    <xf numFmtId="0" fontId="18" fillId="2" borderId="2" xfId="0" applyFont="1" applyFill="1" applyBorder="1"/>
    <xf numFmtId="167" fontId="20" fillId="2" borderId="22" xfId="0" applyNumberFormat="1" applyFont="1" applyFill="1" applyBorder="1"/>
    <xf numFmtId="0" fontId="20" fillId="2" borderId="22" xfId="0" applyNumberFormat="1" applyFont="1" applyFill="1" applyBorder="1"/>
    <xf numFmtId="0" fontId="18" fillId="8" borderId="2" xfId="0" applyFont="1" applyFill="1" applyBorder="1"/>
    <xf numFmtId="167" fontId="20" fillId="8" borderId="22" xfId="0" applyNumberFormat="1" applyFont="1" applyFill="1" applyBorder="1"/>
    <xf numFmtId="0" fontId="20" fillId="8" borderId="22" xfId="0" applyNumberFormat="1" applyFont="1" applyFill="1" applyBorder="1"/>
    <xf numFmtId="165" fontId="0" fillId="0" borderId="0" xfId="4" applyFont="1"/>
    <xf numFmtId="0" fontId="10" fillId="0" borderId="2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43" fontId="0" fillId="0" borderId="0" xfId="0" applyNumberFormat="1"/>
    <xf numFmtId="43" fontId="12" fillId="0" borderId="0" xfId="1" applyFont="1"/>
    <xf numFmtId="0" fontId="12" fillId="0" borderId="0" xfId="0" applyFont="1"/>
    <xf numFmtId="0" fontId="0" fillId="0" borderId="0" xfId="0" applyAlignment="1">
      <alignment horizontal="center"/>
    </xf>
    <xf numFmtId="43" fontId="25" fillId="0" borderId="0" xfId="1" applyFont="1"/>
    <xf numFmtId="0" fontId="24" fillId="2" borderId="13" xfId="0" applyFont="1" applyFill="1" applyBorder="1" applyAlignment="1">
      <alignment horizontal="center"/>
    </xf>
    <xf numFmtId="43" fontId="24" fillId="11" borderId="13" xfId="1" applyFont="1" applyFill="1" applyBorder="1" applyAlignment="1">
      <alignment horizontal="center"/>
    </xf>
    <xf numFmtId="0" fontId="24" fillId="6" borderId="13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3" fontId="1" fillId="2" borderId="13" xfId="1" applyFont="1" applyFill="1" applyBorder="1" applyAlignment="1">
      <alignment horizontal="center"/>
    </xf>
    <xf numFmtId="43" fontId="0" fillId="0" borderId="13" xfId="0" applyNumberFormat="1" applyBorder="1"/>
    <xf numFmtId="0" fontId="0" fillId="2" borderId="13" xfId="0" applyFont="1" applyFill="1" applyBorder="1" applyAlignment="1">
      <alignment horizontal="center"/>
    </xf>
    <xf numFmtId="43" fontId="1" fillId="6" borderId="13" xfId="1" applyFont="1" applyFill="1" applyBorder="1" applyAlignment="1">
      <alignment horizontal="center"/>
    </xf>
    <xf numFmtId="0" fontId="0" fillId="12" borderId="13" xfId="0" applyFont="1" applyFill="1" applyBorder="1" applyAlignment="1">
      <alignment horizontal="center"/>
    </xf>
    <xf numFmtId="43" fontId="1" fillId="12" borderId="13" xfId="1" applyFont="1" applyFill="1" applyBorder="1" applyAlignment="1">
      <alignment horizontal="center"/>
    </xf>
    <xf numFmtId="43" fontId="0" fillId="12" borderId="13" xfId="1" applyFont="1" applyFill="1" applyBorder="1" applyAlignment="1">
      <alignment horizontal="center"/>
    </xf>
    <xf numFmtId="0" fontId="24" fillId="13" borderId="13" xfId="0" applyFont="1" applyFill="1" applyBorder="1" applyAlignment="1">
      <alignment horizontal="center"/>
    </xf>
    <xf numFmtId="43" fontId="24" fillId="13" borderId="13" xfId="1" applyFont="1" applyFill="1" applyBorder="1" applyAlignment="1">
      <alignment horizontal="center"/>
    </xf>
    <xf numFmtId="43" fontId="24" fillId="13" borderId="13" xfId="0" applyNumberFormat="1" applyFont="1" applyFill="1" applyBorder="1" applyAlignment="1">
      <alignment horizontal="center"/>
    </xf>
    <xf numFmtId="0" fontId="0" fillId="8" borderId="0" xfId="0" applyFill="1"/>
    <xf numFmtId="43" fontId="1" fillId="0" borderId="0" xfId="1" applyFont="1"/>
    <xf numFmtId="168" fontId="0" fillId="0" borderId="0" xfId="1" applyNumberFormat="1" applyFon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14" borderId="32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6" fillId="0" borderId="0" xfId="0" applyFont="1"/>
    <xf numFmtId="0" fontId="0" fillId="2" borderId="32" xfId="0" applyFill="1" applyBorder="1"/>
    <xf numFmtId="0" fontId="0" fillId="2" borderId="0" xfId="0" applyFill="1" applyBorder="1"/>
    <xf numFmtId="0" fontId="0" fillId="2" borderId="0" xfId="0" applyFill="1" applyAlignment="1">
      <alignment horizontal="center"/>
    </xf>
    <xf numFmtId="0" fontId="0" fillId="2" borderId="34" xfId="0" applyFill="1" applyBorder="1"/>
    <xf numFmtId="0" fontId="0" fillId="2" borderId="35" xfId="0" applyFill="1" applyBorder="1"/>
    <xf numFmtId="0" fontId="0" fillId="2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0" fillId="2" borderId="37" xfId="0" applyFill="1" applyBorder="1"/>
    <xf numFmtId="0" fontId="0" fillId="2" borderId="38" xfId="0" applyFill="1" applyBorder="1"/>
    <xf numFmtId="43" fontId="1" fillId="8" borderId="13" xfId="1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43" fontId="0" fillId="8" borderId="13" xfId="0" applyNumberFormat="1" applyFill="1" applyBorder="1"/>
    <xf numFmtId="43" fontId="0" fillId="0" borderId="0" xfId="0" applyNumberFormat="1" applyFont="1"/>
    <xf numFmtId="0" fontId="0" fillId="15" borderId="27" xfId="0" applyFill="1" applyBorder="1" applyAlignment="1">
      <alignment horizontal="center"/>
    </xf>
    <xf numFmtId="43" fontId="0" fillId="0" borderId="37" xfId="0" applyNumberFormat="1" applyFill="1" applyBorder="1"/>
    <xf numFmtId="0" fontId="25" fillId="0" borderId="0" xfId="0" applyFont="1"/>
    <xf numFmtId="0" fontId="24" fillId="6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3" fontId="24" fillId="0" borderId="0" xfId="7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7" applyFont="1"/>
    <xf numFmtId="0" fontId="24" fillId="17" borderId="13" xfId="0" applyNumberFormat="1" applyFont="1" applyFill="1" applyBorder="1" applyAlignment="1">
      <alignment horizontal="center"/>
    </xf>
    <xf numFmtId="43" fontId="0" fillId="17" borderId="13" xfId="0" applyNumberFormat="1" applyFill="1" applyBorder="1"/>
    <xf numFmtId="43" fontId="1" fillId="17" borderId="13" xfId="1" applyFont="1" applyFill="1" applyBorder="1" applyAlignment="1">
      <alignment horizontal="center"/>
    </xf>
    <xf numFmtId="0" fontId="24" fillId="7" borderId="13" xfId="0" applyNumberFormat="1" applyFont="1" applyFill="1" applyBorder="1" applyAlignment="1">
      <alignment horizontal="center"/>
    </xf>
    <xf numFmtId="43" fontId="0" fillId="7" borderId="13" xfId="0" applyNumberFormat="1" applyFill="1" applyBorder="1"/>
    <xf numFmtId="43" fontId="0" fillId="17" borderId="13" xfId="0" applyNumberFormat="1" applyFont="1" applyFill="1" applyBorder="1"/>
    <xf numFmtId="43" fontId="0" fillId="6" borderId="0" xfId="7" applyFont="1" applyFill="1"/>
    <xf numFmtId="20" fontId="0" fillId="0" borderId="0" xfId="0" applyNumberFormat="1"/>
    <xf numFmtId="0" fontId="27" fillId="0" borderId="39" xfId="0" applyFont="1" applyBorder="1" applyAlignment="1">
      <alignment horizontal="left" vertical="center"/>
    </xf>
    <xf numFmtId="0" fontId="0" fillId="18" borderId="0" xfId="0" applyFill="1"/>
    <xf numFmtId="43" fontId="0" fillId="18" borderId="0" xfId="7" applyFont="1" applyFill="1"/>
    <xf numFmtId="43" fontId="0" fillId="3" borderId="0" xfId="7" applyFont="1" applyFill="1"/>
    <xf numFmtId="0" fontId="0" fillId="3" borderId="0" xfId="0" applyFill="1"/>
    <xf numFmtId="43" fontId="24" fillId="3" borderId="0" xfId="0" applyNumberFormat="1" applyFont="1" applyFill="1"/>
    <xf numFmtId="9" fontId="0" fillId="0" borderId="0" xfId="8" applyFont="1"/>
    <xf numFmtId="43" fontId="8" fillId="0" borderId="0" xfId="7" applyFont="1"/>
    <xf numFmtId="43" fontId="13" fillId="0" borderId="0" xfId="7" applyFont="1"/>
    <xf numFmtId="43" fontId="7" fillId="0" borderId="0" xfId="7" applyFont="1" applyAlignment="1">
      <alignment horizontal="center"/>
    </xf>
    <xf numFmtId="43" fontId="7" fillId="0" borderId="0" xfId="7" applyFont="1"/>
    <xf numFmtId="0" fontId="24" fillId="6" borderId="15" xfId="0" applyFont="1" applyFill="1" applyBorder="1" applyAlignment="1">
      <alignment vertical="center"/>
    </xf>
    <xf numFmtId="4" fontId="9" fillId="6" borderId="20" xfId="2" applyNumberFormat="1" applyFont="1" applyFill="1" applyBorder="1" applyAlignment="1" applyProtection="1">
      <alignment horizontal="right" vertical="center"/>
      <protection locked="0"/>
    </xf>
    <xf numFmtId="0" fontId="9" fillId="6" borderId="20" xfId="2" applyNumberFormat="1" applyFont="1" applyFill="1" applyBorder="1" applyAlignment="1" applyProtection="1">
      <alignment horizontal="right" vertical="center"/>
      <protection locked="0"/>
    </xf>
    <xf numFmtId="0" fontId="5" fillId="4" borderId="41" xfId="0" applyFont="1" applyFill="1" applyBorder="1" applyAlignment="1">
      <alignment horizontal="center"/>
    </xf>
    <xf numFmtId="4" fontId="7" fillId="5" borderId="2" xfId="0" applyNumberFormat="1" applyFont="1" applyFill="1" applyBorder="1"/>
    <xf numFmtId="4" fontId="0" fillId="0" borderId="35" xfId="0" applyNumberFormat="1" applyBorder="1"/>
    <xf numFmtId="43" fontId="0" fillId="6" borderId="32" xfId="7" applyFont="1" applyFill="1" applyBorder="1"/>
    <xf numFmtId="43" fontId="0" fillId="6" borderId="33" xfId="7" applyFont="1" applyFill="1" applyBorder="1"/>
    <xf numFmtId="43" fontId="0" fillId="6" borderId="34" xfId="7" applyFont="1" applyFill="1" applyBorder="1"/>
    <xf numFmtId="43" fontId="0" fillId="6" borderId="36" xfId="7" applyFont="1" applyFill="1" applyBorder="1"/>
    <xf numFmtId="43" fontId="24" fillId="6" borderId="26" xfId="7" applyFont="1" applyFill="1" applyBorder="1"/>
    <xf numFmtId="43" fontId="24" fillId="6" borderId="28" xfId="7" applyFont="1" applyFill="1" applyBorder="1"/>
    <xf numFmtId="43" fontId="30" fillId="0" borderId="0" xfId="7" applyFont="1"/>
    <xf numFmtId="43" fontId="25" fillId="0" borderId="0" xfId="7" applyFont="1"/>
    <xf numFmtId="0" fontId="0" fillId="8" borderId="15" xfId="0" applyFill="1" applyBorder="1" applyAlignment="1">
      <alignment vertical="center"/>
    </xf>
    <xf numFmtId="4" fontId="9" fillId="8" borderId="20" xfId="2" applyNumberFormat="1" applyFont="1" applyFill="1" applyBorder="1" applyAlignment="1" applyProtection="1">
      <alignment horizontal="right" vertical="center"/>
      <protection locked="0"/>
    </xf>
    <xf numFmtId="0" fontId="9" fillId="8" borderId="20" xfId="2" applyNumberFormat="1" applyFont="1" applyFill="1" applyBorder="1" applyAlignment="1" applyProtection="1">
      <alignment horizontal="right" vertical="center"/>
      <protection locked="0"/>
    </xf>
    <xf numFmtId="4" fontId="31" fillId="2" borderId="20" xfId="2" applyNumberFormat="1" applyFont="1" applyFill="1" applyBorder="1" applyAlignment="1" applyProtection="1">
      <alignment horizontal="right" vertical="center"/>
      <protection locked="0"/>
    </xf>
    <xf numFmtId="9" fontId="0" fillId="0" borderId="0" xfId="0" applyNumberFormat="1"/>
    <xf numFmtId="43" fontId="0" fillId="19" borderId="0" xfId="7" applyFont="1" applyFill="1"/>
    <xf numFmtId="43" fontId="32" fillId="0" borderId="0" xfId="7" applyFont="1"/>
    <xf numFmtId="43" fontId="33" fillId="0" borderId="0" xfId="7" applyFont="1"/>
    <xf numFmtId="0" fontId="0" fillId="0" borderId="42" xfId="0" applyBorder="1"/>
    <xf numFmtId="43" fontId="11" fillId="0" borderId="43" xfId="1" applyFont="1" applyBorder="1" applyAlignment="1">
      <alignment horizontal="center"/>
    </xf>
    <xf numFmtId="43" fontId="0" fillId="0" borderId="43" xfId="1" applyFont="1" applyBorder="1"/>
    <xf numFmtId="43" fontId="12" fillId="0" borderId="44" xfId="1" applyFont="1" applyBorder="1"/>
    <xf numFmtId="9" fontId="0" fillId="0" borderId="0" xfId="1" applyNumberFormat="1" applyFont="1"/>
    <xf numFmtId="49" fontId="12" fillId="0" borderId="0" xfId="7" applyNumberFormat="1" applyFont="1"/>
    <xf numFmtId="43" fontId="32" fillId="12" borderId="0" xfId="7" applyFont="1" applyFill="1"/>
    <xf numFmtId="43" fontId="34" fillId="2" borderId="29" xfId="0" applyNumberFormat="1" applyFont="1" applyFill="1" applyBorder="1"/>
    <xf numFmtId="43" fontId="35" fillId="2" borderId="31" xfId="7" applyFont="1" applyFill="1" applyBorder="1"/>
    <xf numFmtId="43" fontId="0" fillId="2" borderId="32" xfId="7" applyFont="1" applyFill="1" applyBorder="1"/>
    <xf numFmtId="0" fontId="13" fillId="2" borderId="33" xfId="0" applyFont="1" applyFill="1" applyBorder="1"/>
    <xf numFmtId="43" fontId="13" fillId="2" borderId="34" xfId="7" applyFont="1" applyFill="1" applyBorder="1"/>
    <xf numFmtId="43" fontId="13" fillId="2" borderId="36" xfId="7" applyFont="1" applyFill="1" applyBorder="1"/>
    <xf numFmtId="43" fontId="0" fillId="2" borderId="0" xfId="0" applyNumberFormat="1" applyFill="1"/>
    <xf numFmtId="43" fontId="0" fillId="2" borderId="33" xfId="7" applyFont="1" applyFill="1" applyBorder="1"/>
    <xf numFmtId="43" fontId="0" fillId="2" borderId="36" xfId="7" applyFont="1" applyFill="1" applyBorder="1"/>
    <xf numFmtId="43" fontId="1" fillId="2" borderId="13" xfId="7" applyFont="1" applyFill="1" applyBorder="1"/>
    <xf numFmtId="43" fontId="1" fillId="2" borderId="28" xfId="7" applyFont="1" applyFill="1" applyBorder="1"/>
    <xf numFmtId="43" fontId="24" fillId="20" borderId="34" xfId="7" applyFont="1" applyFill="1" applyBorder="1"/>
    <xf numFmtId="43" fontId="24" fillId="20" borderId="35" xfId="7" applyFont="1" applyFill="1" applyBorder="1"/>
    <xf numFmtId="43" fontId="24" fillId="20" borderId="36" xfId="7" applyFont="1" applyFill="1" applyBorder="1"/>
    <xf numFmtId="0" fontId="37" fillId="0" borderId="51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9" fontId="24" fillId="0" borderId="52" xfId="8" applyFont="1" applyBorder="1" applyAlignment="1">
      <alignment horizontal="center" vertical="center"/>
    </xf>
    <xf numFmtId="9" fontId="24" fillId="0" borderId="3" xfId="8" applyFont="1" applyBorder="1" applyAlignment="1">
      <alignment horizontal="center" vertical="center"/>
    </xf>
    <xf numFmtId="0" fontId="0" fillId="0" borderId="53" xfId="0" applyBorder="1"/>
    <xf numFmtId="0" fontId="0" fillId="0" borderId="38" xfId="0" applyBorder="1" applyAlignment="1">
      <alignment horizontal="center" vertical="center"/>
    </xf>
    <xf numFmtId="43" fontId="0" fillId="0" borderId="38" xfId="7" applyFont="1" applyBorder="1" applyAlignment="1">
      <alignment horizontal="center" vertical="center"/>
    </xf>
    <xf numFmtId="0" fontId="37" fillId="0" borderId="13" xfId="0" applyFont="1" applyBorder="1"/>
    <xf numFmtId="10" fontId="38" fillId="0" borderId="13" xfId="8" applyNumberFormat="1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0" fillId="0" borderId="54" xfId="0" applyBorder="1"/>
    <xf numFmtId="0" fontId="0" fillId="0" borderId="13" xfId="0" applyBorder="1" applyAlignment="1">
      <alignment horizontal="center" vertical="center"/>
    </xf>
    <xf numFmtId="43" fontId="0" fillId="0" borderId="13" xfId="7" applyFont="1" applyBorder="1" applyAlignment="1">
      <alignment horizontal="center" vertical="center"/>
    </xf>
    <xf numFmtId="43" fontId="0" fillId="0" borderId="55" xfId="7" applyFont="1" applyBorder="1" applyAlignment="1">
      <alignment horizontal="center" vertical="center"/>
    </xf>
    <xf numFmtId="0" fontId="38" fillId="0" borderId="15" xfId="0" applyFont="1" applyBorder="1"/>
    <xf numFmtId="10" fontId="38" fillId="0" borderId="50" xfId="8" applyNumberFormat="1" applyFont="1" applyBorder="1"/>
    <xf numFmtId="0" fontId="38" fillId="0" borderId="37" xfId="0" applyFont="1" applyBorder="1"/>
    <xf numFmtId="10" fontId="38" fillId="0" borderId="33" xfId="8" applyNumberFormat="1" applyFont="1" applyBorder="1"/>
    <xf numFmtId="10" fontId="38" fillId="0" borderId="37" xfId="8" applyNumberFormat="1" applyFont="1" applyBorder="1"/>
    <xf numFmtId="0" fontId="38" fillId="0" borderId="33" xfId="0" applyFont="1" applyBorder="1"/>
    <xf numFmtId="0" fontId="0" fillId="0" borderId="56" xfId="0" applyBorder="1"/>
    <xf numFmtId="0" fontId="0" fillId="0" borderId="15" xfId="0" applyBorder="1" applyAlignment="1">
      <alignment horizontal="center" vertical="center"/>
    </xf>
    <xf numFmtId="43" fontId="0" fillId="0" borderId="15" xfId="7" applyFont="1" applyBorder="1" applyAlignment="1">
      <alignment horizontal="center" vertical="center"/>
    </xf>
    <xf numFmtId="43" fontId="0" fillId="0" borderId="17" xfId="7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43" fontId="24" fillId="0" borderId="52" xfId="7" applyFont="1" applyBorder="1" applyAlignment="1">
      <alignment horizontal="center" vertical="center"/>
    </xf>
    <xf numFmtId="43" fontId="24" fillId="0" borderId="3" xfId="7" applyFont="1" applyBorder="1" applyAlignment="1">
      <alignment horizontal="center" vertical="center"/>
    </xf>
    <xf numFmtId="43" fontId="24" fillId="0" borderId="5" xfId="0" applyNumberFormat="1" applyFont="1" applyBorder="1"/>
    <xf numFmtId="0" fontId="38" fillId="0" borderId="38" xfId="0" applyFont="1" applyBorder="1"/>
    <xf numFmtId="10" fontId="38" fillId="0" borderId="38" xfId="8" applyNumberFormat="1" applyFont="1" applyBorder="1"/>
    <xf numFmtId="10" fontId="37" fillId="0" borderId="36" xfId="0" applyNumberFormat="1" applyFont="1" applyBorder="1"/>
    <xf numFmtId="0" fontId="38" fillId="0" borderId="48" xfId="0" applyFont="1" applyBorder="1"/>
    <xf numFmtId="10" fontId="38" fillId="0" borderId="49" xfId="8" applyNumberFormat="1" applyFont="1" applyBorder="1"/>
    <xf numFmtId="43" fontId="38" fillId="0" borderId="50" xfId="7" applyFont="1" applyBorder="1"/>
    <xf numFmtId="0" fontId="38" fillId="0" borderId="32" xfId="0" applyFont="1" applyBorder="1"/>
    <xf numFmtId="10" fontId="38" fillId="0" borderId="0" xfId="8" applyNumberFormat="1" applyFont="1" applyBorder="1"/>
    <xf numFmtId="43" fontId="38" fillId="0" borderId="33" xfId="7" applyFont="1" applyBorder="1"/>
    <xf numFmtId="0" fontId="37" fillId="21" borderId="26" xfId="0" applyFont="1" applyFill="1" applyBorder="1"/>
    <xf numFmtId="10" fontId="37" fillId="21" borderId="27" xfId="8" applyNumberFormat="1" applyFont="1" applyFill="1" applyBorder="1"/>
    <xf numFmtId="165" fontId="37" fillId="21" borderId="28" xfId="0" applyNumberFormat="1" applyFont="1" applyFill="1" applyBorder="1"/>
    <xf numFmtId="43" fontId="0" fillId="0" borderId="20" xfId="7" applyNumberFormat="1" applyFont="1" applyBorder="1" applyAlignment="1">
      <alignment horizontal="center" vertical="center"/>
    </xf>
    <xf numFmtId="169" fontId="0" fillId="2" borderId="13" xfId="7" applyNumberFormat="1" applyFont="1" applyFill="1" applyBorder="1"/>
    <xf numFmtId="0" fontId="0" fillId="2" borderId="13" xfId="0" applyFill="1" applyBorder="1"/>
    <xf numFmtId="44" fontId="0" fillId="2" borderId="13" xfId="9" applyFont="1" applyFill="1" applyBorder="1"/>
    <xf numFmtId="0" fontId="0" fillId="0" borderId="13" xfId="0" applyBorder="1"/>
    <xf numFmtId="4" fontId="0" fillId="0" borderId="13" xfId="0" applyNumberFormat="1" applyBorder="1"/>
    <xf numFmtId="44" fontId="0" fillId="0" borderId="13" xfId="9" applyFont="1" applyBorder="1"/>
    <xf numFmtId="170" fontId="0" fillId="0" borderId="13" xfId="7" applyNumberFormat="1" applyFont="1" applyBorder="1" applyAlignment="1">
      <alignment horizontal="center"/>
    </xf>
    <xf numFmtId="170" fontId="0" fillId="0" borderId="13" xfId="7" applyNumberFormat="1" applyFont="1" applyBorder="1" applyAlignment="1">
      <alignment horizontal="center" vertical="center"/>
    </xf>
    <xf numFmtId="44" fontId="0" fillId="2" borderId="13" xfId="0" applyNumberFormat="1" applyFill="1" applyBorder="1"/>
    <xf numFmtId="44" fontId="24" fillId="22" borderId="13" xfId="0" applyNumberFormat="1" applyFont="1" applyFill="1" applyBorder="1"/>
    <xf numFmtId="44" fontId="0" fillId="2" borderId="0" xfId="9" applyFont="1" applyFill="1" applyBorder="1"/>
    <xf numFmtId="44" fontId="0" fillId="2" borderId="0" xfId="0" applyNumberFormat="1" applyFill="1" applyBorder="1"/>
    <xf numFmtId="44" fontId="24" fillId="2" borderId="0" xfId="0" applyNumberFormat="1" applyFont="1" applyFill="1" applyBorder="1"/>
    <xf numFmtId="0" fontId="39" fillId="22" borderId="13" xfId="0" applyFont="1" applyFill="1" applyBorder="1" applyAlignment="1">
      <alignment horizontal="left"/>
    </xf>
    <xf numFmtId="44" fontId="0" fillId="22" borderId="13" xfId="9" applyFont="1" applyFill="1" applyBorder="1"/>
    <xf numFmtId="4" fontId="0" fillId="22" borderId="13" xfId="0" applyNumberFormat="1" applyFill="1" applyBorder="1"/>
    <xf numFmtId="3" fontId="0" fillId="22" borderId="13" xfId="0" applyNumberFormat="1" applyFill="1" applyBorder="1" applyAlignment="1">
      <alignment horizontal="center"/>
    </xf>
    <xf numFmtId="43" fontId="24" fillId="6" borderId="34" xfId="7" applyFont="1" applyFill="1" applyBorder="1"/>
    <xf numFmtId="9" fontId="24" fillId="6" borderId="35" xfId="7" applyNumberFormat="1" applyFont="1" applyFill="1" applyBorder="1"/>
    <xf numFmtId="43" fontId="1" fillId="6" borderId="36" xfId="7" applyFont="1" applyFill="1" applyBorder="1"/>
    <xf numFmtId="43" fontId="0" fillId="2" borderId="28" xfId="7" applyFont="1" applyFill="1" applyBorder="1"/>
    <xf numFmtId="17" fontId="0" fillId="0" borderId="0" xfId="0" applyNumberFormat="1"/>
    <xf numFmtId="17" fontId="0" fillId="0" borderId="63" xfId="0" applyNumberFormat="1" applyBorder="1"/>
    <xf numFmtId="17" fontId="0" fillId="0" borderId="0" xfId="0" applyNumberFormat="1" applyBorder="1"/>
    <xf numFmtId="17" fontId="0" fillId="0" borderId="59" xfId="0" applyNumberFormat="1" applyBorder="1"/>
    <xf numFmtId="43" fontId="0" fillId="0" borderId="63" xfId="7" applyFont="1" applyBorder="1"/>
    <xf numFmtId="43" fontId="0" fillId="0" borderId="0" xfId="7" applyFont="1" applyBorder="1"/>
    <xf numFmtId="43" fontId="0" fillId="0" borderId="59" xfId="7" applyFont="1" applyBorder="1"/>
    <xf numFmtId="0" fontId="0" fillId="0" borderId="63" xfId="0" applyBorder="1"/>
    <xf numFmtId="43" fontId="0" fillId="0" borderId="59" xfId="0" applyNumberFormat="1" applyBorder="1"/>
    <xf numFmtId="0" fontId="0" fillId="0" borderId="0" xfId="0" applyBorder="1" applyAlignment="1">
      <alignment horizontal="center"/>
    </xf>
    <xf numFmtId="0" fontId="0" fillId="0" borderId="59" xfId="0" applyBorder="1"/>
    <xf numFmtId="43" fontId="0" fillId="0" borderId="18" xfId="7" applyFont="1" applyBorder="1"/>
    <xf numFmtId="43" fontId="0" fillId="0" borderId="1" xfId="7" applyFont="1" applyBorder="1"/>
    <xf numFmtId="43" fontId="0" fillId="0" borderId="1" xfId="0" applyNumberFormat="1" applyBorder="1"/>
    <xf numFmtId="0" fontId="0" fillId="0" borderId="1" xfId="0" applyBorder="1"/>
    <xf numFmtId="0" fontId="0" fillId="0" borderId="57" xfId="0" applyBorder="1"/>
    <xf numFmtId="0" fontId="0" fillId="0" borderId="18" xfId="0" applyBorder="1"/>
    <xf numFmtId="43" fontId="0" fillId="0" borderId="57" xfId="0" applyNumberFormat="1" applyBorder="1"/>
    <xf numFmtId="43" fontId="0" fillId="0" borderId="18" xfId="0" applyNumberFormat="1" applyBorder="1"/>
    <xf numFmtId="43" fontId="0" fillId="0" borderId="63" xfId="0" applyNumberFormat="1" applyBorder="1"/>
    <xf numFmtId="43" fontId="0" fillId="0" borderId="0" xfId="0" applyNumberFormat="1" applyBorder="1"/>
    <xf numFmtId="43" fontId="0" fillId="0" borderId="60" xfId="0" applyNumberFormat="1" applyBorder="1"/>
    <xf numFmtId="0" fontId="41" fillId="2" borderId="0" xfId="0" applyFont="1" applyFill="1" applyAlignment="1">
      <alignment vertical="center"/>
    </xf>
    <xf numFmtId="43" fontId="41" fillId="2" borderId="0" xfId="7" applyFont="1" applyFill="1" applyAlignment="1">
      <alignment vertical="center"/>
    </xf>
    <xf numFmtId="0" fontId="41" fillId="2" borderId="0" xfId="0" applyNumberFormat="1" applyFont="1" applyFill="1" applyAlignment="1">
      <alignment horizontal="center" vertical="center"/>
    </xf>
    <xf numFmtId="43" fontId="41" fillId="0" borderId="0" xfId="7" applyFont="1" applyAlignment="1">
      <alignment vertical="center"/>
    </xf>
    <xf numFmtId="0" fontId="41" fillId="0" borderId="0" xfId="0" applyFont="1" applyAlignment="1">
      <alignment vertical="center"/>
    </xf>
    <xf numFmtId="0" fontId="42" fillId="4" borderId="2" xfId="0" applyFont="1" applyFill="1" applyBorder="1" applyAlignment="1">
      <alignment vertical="center"/>
    </xf>
    <xf numFmtId="0" fontId="42" fillId="4" borderId="5" xfId="0" applyFont="1" applyFill="1" applyBorder="1" applyAlignment="1">
      <alignment vertical="center"/>
    </xf>
    <xf numFmtId="0" fontId="42" fillId="4" borderId="4" xfId="0" applyFont="1" applyFill="1" applyBorder="1" applyAlignment="1">
      <alignment horizontal="center" vertical="center" wrapText="1"/>
    </xf>
    <xf numFmtId="0" fontId="42" fillId="4" borderId="5" xfId="0" applyNumberFormat="1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3" fillId="5" borderId="5" xfId="0" applyFont="1" applyFill="1" applyBorder="1" applyAlignment="1">
      <alignment vertical="center"/>
    </xf>
    <xf numFmtId="43" fontId="44" fillId="5" borderId="5" xfId="7" applyFont="1" applyFill="1" applyBorder="1" applyAlignment="1">
      <alignment vertical="center"/>
    </xf>
    <xf numFmtId="43" fontId="44" fillId="5" borderId="4" xfId="7" applyFont="1" applyFill="1" applyBorder="1" applyAlignment="1">
      <alignment vertical="center"/>
    </xf>
    <xf numFmtId="0" fontId="44" fillId="5" borderId="5" xfId="7" applyNumberFormat="1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vertical="center"/>
    </xf>
    <xf numFmtId="43" fontId="45" fillId="6" borderId="7" xfId="1" applyFont="1" applyFill="1" applyBorder="1" applyAlignment="1">
      <alignment horizontal="center" vertical="center"/>
    </xf>
    <xf numFmtId="43" fontId="45" fillId="6" borderId="7" xfId="1" applyFont="1" applyFill="1" applyBorder="1" applyAlignment="1">
      <alignment vertical="center"/>
    </xf>
    <xf numFmtId="43" fontId="41" fillId="6" borderId="8" xfId="1" applyFont="1" applyFill="1" applyBorder="1" applyAlignment="1">
      <alignment vertical="center"/>
    </xf>
    <xf numFmtId="0" fontId="46" fillId="0" borderId="45" xfId="0" applyFont="1" applyBorder="1" applyAlignment="1">
      <alignment vertical="center"/>
    </xf>
    <xf numFmtId="43" fontId="46" fillId="0" borderId="45" xfId="7" applyFont="1" applyBorder="1" applyAlignment="1">
      <alignment vertical="center"/>
    </xf>
    <xf numFmtId="43" fontId="41" fillId="0" borderId="35" xfId="7" applyFont="1" applyBorder="1" applyAlignment="1">
      <alignment vertical="center"/>
    </xf>
    <xf numFmtId="0" fontId="41" fillId="0" borderId="45" xfId="7" applyNumberFormat="1" applyFont="1" applyBorder="1" applyAlignment="1">
      <alignment horizontal="center" vertical="center"/>
    </xf>
    <xf numFmtId="43" fontId="41" fillId="0" borderId="9" xfId="7" applyFont="1" applyBorder="1" applyAlignment="1">
      <alignment vertical="center"/>
    </xf>
    <xf numFmtId="0" fontId="41" fillId="0" borderId="10" xfId="0" applyFont="1" applyBorder="1" applyAlignment="1">
      <alignment vertical="center"/>
    </xf>
    <xf numFmtId="43" fontId="47" fillId="0" borderId="11" xfId="1" applyFont="1" applyBorder="1" applyAlignment="1">
      <alignment horizontal="center" vertical="center"/>
    </xf>
    <xf numFmtId="43" fontId="45" fillId="0" borderId="11" xfId="1" applyFont="1" applyBorder="1" applyAlignment="1">
      <alignment vertical="center"/>
    </xf>
    <xf numFmtId="43" fontId="45" fillId="0" borderId="12" xfId="1" applyFont="1" applyBorder="1" applyAlignment="1">
      <alignment vertical="center"/>
    </xf>
    <xf numFmtId="0" fontId="41" fillId="0" borderId="46" xfId="0" applyFont="1" applyBorder="1" applyAlignment="1">
      <alignment vertical="center"/>
    </xf>
    <xf numFmtId="43" fontId="41" fillId="0" borderId="27" xfId="7" applyFont="1" applyBorder="1" applyAlignment="1">
      <alignment vertical="center"/>
    </xf>
    <xf numFmtId="0" fontId="46" fillId="0" borderId="47" xfId="0" applyFont="1" applyBorder="1" applyAlignment="1">
      <alignment vertical="center"/>
    </xf>
    <xf numFmtId="43" fontId="41" fillId="0" borderId="49" xfId="7" applyFont="1" applyBorder="1" applyAlignment="1">
      <alignment vertical="center"/>
    </xf>
    <xf numFmtId="0" fontId="41" fillId="0" borderId="60" xfId="7" applyNumberFormat="1" applyFont="1" applyBorder="1" applyAlignment="1">
      <alignment horizontal="center" vertical="center"/>
    </xf>
    <xf numFmtId="43" fontId="41" fillId="0" borderId="59" xfId="7" applyFont="1" applyBorder="1" applyAlignment="1">
      <alignment vertical="center"/>
    </xf>
    <xf numFmtId="43" fontId="45" fillId="2" borderId="0" xfId="7" applyFont="1" applyFill="1" applyAlignment="1">
      <alignment vertical="center"/>
    </xf>
    <xf numFmtId="0" fontId="41" fillId="0" borderId="45" xfId="0" applyFont="1" applyBorder="1" applyAlignment="1">
      <alignment vertical="center"/>
    </xf>
    <xf numFmtId="43" fontId="45" fillId="0" borderId="35" xfId="7" applyFont="1" applyBorder="1" applyAlignment="1">
      <alignment vertical="center"/>
    </xf>
    <xf numFmtId="0" fontId="45" fillId="0" borderId="45" xfId="7" applyNumberFormat="1" applyFont="1" applyBorder="1" applyAlignment="1">
      <alignment horizontal="center" vertical="center"/>
    </xf>
    <xf numFmtId="43" fontId="45" fillId="0" borderId="45" xfId="7" applyFont="1" applyBorder="1" applyAlignment="1">
      <alignment vertical="center"/>
    </xf>
    <xf numFmtId="0" fontId="45" fillId="0" borderId="0" xfId="0" applyFont="1" applyAlignment="1">
      <alignment vertical="center"/>
    </xf>
    <xf numFmtId="0" fontId="41" fillId="2" borderId="47" xfId="0" applyFont="1" applyFill="1" applyBorder="1" applyAlignment="1">
      <alignment vertical="center"/>
    </xf>
    <xf numFmtId="43" fontId="45" fillId="2" borderId="27" xfId="7" applyFont="1" applyFill="1" applyBorder="1" applyAlignment="1">
      <alignment vertical="center"/>
    </xf>
    <xf numFmtId="0" fontId="45" fillId="2" borderId="46" xfId="7" applyNumberFormat="1" applyFont="1" applyFill="1" applyBorder="1" applyAlignment="1">
      <alignment horizontal="center" vertical="center"/>
    </xf>
    <xf numFmtId="43" fontId="45" fillId="2" borderId="46" xfId="7" applyFont="1" applyFill="1" applyBorder="1" applyAlignment="1">
      <alignment vertical="center"/>
    </xf>
    <xf numFmtId="0" fontId="45" fillId="2" borderId="0" xfId="0" applyFont="1" applyFill="1" applyAlignment="1">
      <alignment vertical="center"/>
    </xf>
    <xf numFmtId="0" fontId="41" fillId="2" borderId="10" xfId="0" applyFont="1" applyFill="1" applyBorder="1" applyAlignment="1">
      <alignment vertical="center"/>
    </xf>
    <xf numFmtId="43" fontId="47" fillId="2" borderId="11" xfId="1" applyFont="1" applyFill="1" applyBorder="1" applyAlignment="1">
      <alignment horizontal="center" vertical="center"/>
    </xf>
    <xf numFmtId="43" fontId="45" fillId="2" borderId="11" xfId="1" applyFont="1" applyFill="1" applyBorder="1" applyAlignment="1">
      <alignment vertical="center"/>
    </xf>
    <xf numFmtId="43" fontId="45" fillId="2" borderId="12" xfId="1" applyFont="1" applyFill="1" applyBorder="1" applyAlignment="1">
      <alignment vertical="center"/>
    </xf>
    <xf numFmtId="0" fontId="41" fillId="0" borderId="47" xfId="0" applyFont="1" applyBorder="1" applyAlignment="1">
      <alignment vertical="center"/>
    </xf>
    <xf numFmtId="43" fontId="45" fillId="0" borderId="27" xfId="7" applyFont="1" applyBorder="1" applyAlignment="1">
      <alignment vertical="center"/>
    </xf>
    <xf numFmtId="0" fontId="45" fillId="0" borderId="46" xfId="7" applyNumberFormat="1" applyFont="1" applyBorder="1" applyAlignment="1">
      <alignment horizontal="center" vertical="center"/>
    </xf>
    <xf numFmtId="43" fontId="45" fillId="0" borderId="46" xfId="7" applyFont="1" applyBorder="1" applyAlignment="1">
      <alignment vertical="center"/>
    </xf>
    <xf numFmtId="43" fontId="48" fillId="0" borderId="11" xfId="1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5" fillId="0" borderId="47" xfId="7" applyNumberFormat="1" applyFont="1" applyBorder="1" applyAlignment="1">
      <alignment horizontal="center" vertical="center"/>
    </xf>
    <xf numFmtId="43" fontId="45" fillId="0" borderId="47" xfId="7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43" fontId="47" fillId="0" borderId="0" xfId="1" applyFont="1" applyBorder="1" applyAlignment="1">
      <alignment horizontal="center" vertical="center"/>
    </xf>
    <xf numFmtId="43" fontId="45" fillId="0" borderId="0" xfId="1" applyFont="1" applyBorder="1" applyAlignment="1">
      <alignment vertical="center"/>
    </xf>
    <xf numFmtId="0" fontId="45" fillId="2" borderId="47" xfId="7" applyNumberFormat="1" applyFont="1" applyFill="1" applyBorder="1" applyAlignment="1">
      <alignment horizontal="center" vertical="center"/>
    </xf>
    <xf numFmtId="43" fontId="45" fillId="2" borderId="47" xfId="7" applyFont="1" applyFill="1" applyBorder="1" applyAlignment="1">
      <alignment vertical="center"/>
    </xf>
    <xf numFmtId="0" fontId="41" fillId="2" borderId="0" xfId="0" applyFont="1" applyFill="1" applyBorder="1" applyAlignment="1">
      <alignment vertical="center"/>
    </xf>
    <xf numFmtId="43" fontId="47" fillId="2" borderId="0" xfId="1" applyFont="1" applyFill="1" applyBorder="1" applyAlignment="1">
      <alignment horizontal="center" vertical="center"/>
    </xf>
    <xf numFmtId="43" fontId="45" fillId="2" borderId="0" xfId="1" applyFont="1" applyFill="1" applyBorder="1" applyAlignment="1">
      <alignment vertical="center"/>
    </xf>
    <xf numFmtId="43" fontId="45" fillId="2" borderId="49" xfId="7" applyFont="1" applyFill="1" applyBorder="1" applyAlignment="1" applyProtection="1">
      <alignment horizontal="right" vertical="center"/>
      <protection locked="0"/>
    </xf>
    <xf numFmtId="0" fontId="45" fillId="2" borderId="47" xfId="7" applyNumberFormat="1" applyFont="1" applyFill="1" applyBorder="1" applyAlignment="1" applyProtection="1">
      <alignment horizontal="center" vertical="center"/>
      <protection locked="0"/>
    </xf>
    <xf numFmtId="43" fontId="45" fillId="2" borderId="47" xfId="7" applyFont="1" applyFill="1" applyBorder="1" applyAlignment="1" applyProtection="1">
      <alignment horizontal="right" vertical="center"/>
      <protection locked="0"/>
    </xf>
    <xf numFmtId="43" fontId="45" fillId="0" borderId="0" xfId="0" applyNumberFormat="1" applyFont="1" applyAlignment="1">
      <alignment vertical="center"/>
    </xf>
    <xf numFmtId="4" fontId="44" fillId="5" borderId="5" xfId="0" applyNumberFormat="1" applyFont="1" applyFill="1" applyBorder="1" applyAlignment="1">
      <alignment vertical="center"/>
    </xf>
    <xf numFmtId="43" fontId="51" fillId="2" borderId="0" xfId="7" applyFont="1" applyFill="1" applyAlignment="1">
      <alignment vertical="center"/>
    </xf>
    <xf numFmtId="0" fontId="44" fillId="0" borderId="0" xfId="0" applyFont="1" applyAlignment="1">
      <alignment vertical="center"/>
    </xf>
    <xf numFmtId="0" fontId="41" fillId="0" borderId="60" xfId="0" applyFont="1" applyBorder="1" applyAlignment="1">
      <alignment vertical="center"/>
    </xf>
    <xf numFmtId="43" fontId="41" fillId="0" borderId="35" xfId="7" applyFont="1" applyFill="1" applyBorder="1" applyAlignment="1">
      <alignment vertical="center"/>
    </xf>
    <xf numFmtId="43" fontId="41" fillId="0" borderId="45" xfId="7" applyFont="1" applyBorder="1" applyAlignment="1">
      <alignment vertical="center"/>
    </xf>
    <xf numFmtId="43" fontId="41" fillId="0" borderId="0" xfId="1" applyFont="1" applyFill="1" applyBorder="1" applyAlignment="1">
      <alignment vertical="center"/>
    </xf>
    <xf numFmtId="43" fontId="41" fillId="0" borderId="0" xfId="1" applyFont="1" applyAlignment="1">
      <alignment vertical="center"/>
    </xf>
    <xf numFmtId="43" fontId="41" fillId="0" borderId="46" xfId="7" applyFont="1" applyBorder="1" applyAlignment="1">
      <alignment vertical="center"/>
    </xf>
    <xf numFmtId="0" fontId="41" fillId="6" borderId="47" xfId="0" applyFont="1" applyFill="1" applyBorder="1" applyAlignment="1">
      <alignment vertical="center"/>
    </xf>
    <xf numFmtId="43" fontId="41" fillId="6" borderId="46" xfId="7" applyFont="1" applyFill="1" applyBorder="1" applyAlignment="1">
      <alignment vertical="center"/>
    </xf>
    <xf numFmtId="43" fontId="41" fillId="6" borderId="27" xfId="7" applyFont="1" applyFill="1" applyBorder="1" applyAlignment="1">
      <alignment vertical="center"/>
    </xf>
    <xf numFmtId="0" fontId="41" fillId="6" borderId="45" xfId="7" applyNumberFormat="1" applyFont="1" applyFill="1" applyBorder="1" applyAlignment="1">
      <alignment horizontal="center" vertical="center"/>
    </xf>
    <xf numFmtId="0" fontId="41" fillId="0" borderId="47" xfId="7" applyNumberFormat="1" applyFont="1" applyBorder="1" applyAlignment="1">
      <alignment horizontal="center" vertical="center"/>
    </xf>
    <xf numFmtId="43" fontId="41" fillId="0" borderId="47" xfId="7" applyFont="1" applyBorder="1" applyAlignment="1">
      <alignment vertical="center"/>
    </xf>
    <xf numFmtId="0" fontId="51" fillId="3" borderId="5" xfId="0" applyFont="1" applyFill="1" applyBorder="1" applyAlignment="1">
      <alignment vertical="center"/>
    </xf>
    <xf numFmtId="43" fontId="44" fillId="3" borderId="5" xfId="7" applyFont="1" applyFill="1" applyBorder="1" applyAlignment="1">
      <alignment vertical="center"/>
    </xf>
    <xf numFmtId="43" fontId="44" fillId="3" borderId="4" xfId="7" applyFont="1" applyFill="1" applyBorder="1" applyAlignment="1">
      <alignment vertical="center"/>
    </xf>
    <xf numFmtId="0" fontId="44" fillId="3" borderId="5" xfId="7" applyNumberFormat="1" applyFont="1" applyFill="1" applyBorder="1" applyAlignment="1">
      <alignment horizontal="center" vertical="center"/>
    </xf>
    <xf numFmtId="43" fontId="44" fillId="3" borderId="3" xfId="7" applyFont="1" applyFill="1" applyBorder="1" applyAlignment="1">
      <alignment vertical="center"/>
    </xf>
    <xf numFmtId="0" fontId="42" fillId="7" borderId="5" xfId="0" applyFont="1" applyFill="1" applyBorder="1" applyAlignment="1">
      <alignment vertical="center"/>
    </xf>
    <xf numFmtId="43" fontId="42" fillId="7" borderId="5" xfId="7" applyFont="1" applyFill="1" applyBorder="1" applyAlignment="1">
      <alignment horizontal="center" vertical="center"/>
    </xf>
    <xf numFmtId="43" fontId="42" fillId="7" borderId="4" xfId="7" applyFont="1" applyFill="1" applyBorder="1" applyAlignment="1">
      <alignment horizontal="center" vertical="center"/>
    </xf>
    <xf numFmtId="0" fontId="42" fillId="7" borderId="5" xfId="7" applyNumberFormat="1" applyFont="1" applyFill="1" applyBorder="1" applyAlignment="1">
      <alignment horizontal="center" vertical="center"/>
    </xf>
    <xf numFmtId="43" fontId="42" fillId="7" borderId="3" xfId="7" applyFont="1" applyFill="1" applyBorder="1" applyAlignment="1">
      <alignment horizontal="center" vertical="center"/>
    </xf>
    <xf numFmtId="43" fontId="46" fillId="0" borderId="60" xfId="7" applyFont="1" applyBorder="1" applyAlignment="1">
      <alignment vertical="center"/>
    </xf>
    <xf numFmtId="43" fontId="45" fillId="2" borderId="0" xfId="7" applyFont="1" applyFill="1" applyBorder="1" applyAlignment="1" applyProtection="1">
      <alignment horizontal="right" vertical="center"/>
      <protection locked="0"/>
    </xf>
    <xf numFmtId="0" fontId="45" fillId="2" borderId="60" xfId="7" applyNumberFormat="1" applyFont="1" applyFill="1" applyBorder="1" applyAlignment="1" applyProtection="1">
      <alignment horizontal="center" vertical="center"/>
      <protection locked="0"/>
    </xf>
    <xf numFmtId="43" fontId="45" fillId="2" borderId="60" xfId="7" applyFont="1" applyFill="1" applyBorder="1" applyAlignment="1" applyProtection="1">
      <alignment horizontal="right" vertical="center"/>
      <protection locked="0"/>
    </xf>
    <xf numFmtId="9" fontId="45" fillId="2" borderId="0" xfId="8" applyFont="1" applyFill="1" applyAlignment="1">
      <alignment vertical="center"/>
    </xf>
    <xf numFmtId="0" fontId="48" fillId="0" borderId="0" xfId="0" applyFont="1" applyAlignment="1">
      <alignment vertical="center"/>
    </xf>
    <xf numFmtId="0" fontId="51" fillId="2" borderId="19" xfId="0" applyFont="1" applyFill="1" applyBorder="1" applyAlignment="1">
      <alignment vertical="center"/>
    </xf>
    <xf numFmtId="43" fontId="44" fillId="2" borderId="1" xfId="7" applyFont="1" applyFill="1" applyBorder="1" applyAlignment="1">
      <alignment vertical="center"/>
    </xf>
    <xf numFmtId="0" fontId="44" fillId="2" borderId="19" xfId="7" applyNumberFormat="1" applyFont="1" applyFill="1" applyBorder="1" applyAlignment="1">
      <alignment horizontal="center" vertical="center"/>
    </xf>
    <xf numFmtId="43" fontId="44" fillId="2" borderId="57" xfId="7" applyFont="1" applyFill="1" applyBorder="1" applyAlignment="1">
      <alignment vertical="center"/>
    </xf>
    <xf numFmtId="0" fontId="51" fillId="6" borderId="19" xfId="0" applyFont="1" applyFill="1" applyBorder="1" applyAlignment="1">
      <alignment vertical="center"/>
    </xf>
    <xf numFmtId="43" fontId="44" fillId="6" borderId="19" xfId="7" applyFont="1" applyFill="1" applyBorder="1" applyAlignment="1">
      <alignment vertical="center"/>
    </xf>
    <xf numFmtId="43" fontId="44" fillId="6" borderId="1" xfId="7" applyFont="1" applyFill="1" applyBorder="1" applyAlignment="1">
      <alignment vertical="center"/>
    </xf>
    <xf numFmtId="0" fontId="44" fillId="6" borderId="19" xfId="7" applyNumberFormat="1" applyFont="1" applyFill="1" applyBorder="1" applyAlignment="1">
      <alignment horizontal="center" vertical="center"/>
    </xf>
    <xf numFmtId="43" fontId="44" fillId="6" borderId="57" xfId="7" applyFont="1" applyFill="1" applyBorder="1" applyAlignment="1">
      <alignment vertical="center"/>
    </xf>
    <xf numFmtId="43" fontId="53" fillId="0" borderId="19" xfId="7" applyFont="1" applyBorder="1" applyAlignment="1">
      <alignment vertical="center"/>
    </xf>
    <xf numFmtId="0" fontId="41" fillId="0" borderId="0" xfId="0" applyNumberFormat="1" applyFont="1" applyAlignment="1">
      <alignment horizontal="center" vertical="center"/>
    </xf>
    <xf numFmtId="165" fontId="41" fillId="0" borderId="0" xfId="4" applyFont="1" applyAlignment="1">
      <alignment vertical="center"/>
    </xf>
    <xf numFmtId="43" fontId="41" fillId="0" borderId="0" xfId="0" applyNumberFormat="1" applyFont="1" applyAlignment="1">
      <alignment vertical="center"/>
    </xf>
    <xf numFmtId="43" fontId="0" fillId="0" borderId="51" xfId="0" applyNumberFormat="1" applyBorder="1"/>
    <xf numFmtId="43" fontId="0" fillId="0" borderId="52" xfId="0" applyNumberFormat="1" applyBorder="1"/>
    <xf numFmtId="43" fontId="0" fillId="0" borderId="3" xfId="0" applyNumberFormat="1" applyBorder="1"/>
    <xf numFmtId="0" fontId="41" fillId="0" borderId="13" xfId="0" applyFont="1" applyBorder="1" applyAlignment="1">
      <alignment vertical="center"/>
    </xf>
    <xf numFmtId="43" fontId="45" fillId="0" borderId="66" xfId="7" applyFont="1" applyBorder="1" applyAlignment="1">
      <alignment vertical="center"/>
    </xf>
    <xf numFmtId="43" fontId="45" fillId="0" borderId="14" xfId="7" applyFont="1" applyBorder="1" applyAlignment="1">
      <alignment vertical="center"/>
    </xf>
    <xf numFmtId="43" fontId="45" fillId="0" borderId="67" xfId="7" applyFont="1" applyBorder="1" applyAlignment="1">
      <alignment vertical="center"/>
    </xf>
    <xf numFmtId="0" fontId="41" fillId="0" borderId="68" xfId="0" applyFont="1" applyBorder="1" applyAlignment="1">
      <alignment vertical="center"/>
    </xf>
    <xf numFmtId="0" fontId="41" fillId="0" borderId="24" xfId="0" applyFont="1" applyBorder="1" applyAlignment="1">
      <alignment vertical="center"/>
    </xf>
    <xf numFmtId="43" fontId="46" fillId="0" borderId="64" xfId="7" applyFont="1" applyBorder="1" applyAlignment="1">
      <alignment vertical="center"/>
    </xf>
    <xf numFmtId="0" fontId="41" fillId="0" borderId="54" xfId="0" applyFont="1" applyBorder="1" applyAlignment="1">
      <alignment vertical="center"/>
    </xf>
    <xf numFmtId="43" fontId="46" fillId="0" borderId="55" xfId="7" applyFont="1" applyBorder="1" applyAlignment="1">
      <alignment vertical="center"/>
    </xf>
    <xf numFmtId="0" fontId="41" fillId="0" borderId="69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43" fontId="46" fillId="0" borderId="65" xfId="7" applyFont="1" applyBorder="1" applyAlignment="1">
      <alignment vertical="center"/>
    </xf>
    <xf numFmtId="0" fontId="42" fillId="3" borderId="2" xfId="0" applyFont="1" applyFill="1" applyBorder="1" applyAlignment="1">
      <alignment horizontal="center" vertical="center"/>
    </xf>
    <xf numFmtId="0" fontId="42" fillId="3" borderId="58" xfId="0" applyFont="1" applyFill="1" applyBorder="1" applyAlignment="1">
      <alignment horizontal="center" vertical="center"/>
    </xf>
    <xf numFmtId="0" fontId="42" fillId="3" borderId="4" xfId="0" applyFont="1" applyFill="1" applyBorder="1" applyAlignment="1">
      <alignment horizontal="center" vertical="center"/>
    </xf>
    <xf numFmtId="0" fontId="42" fillId="3" borderId="22" xfId="0" applyFont="1" applyFill="1" applyBorder="1" applyAlignment="1">
      <alignment horizontal="center" vertical="center"/>
    </xf>
    <xf numFmtId="0" fontId="37" fillId="0" borderId="26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2" borderId="13" xfId="0" applyFill="1" applyBorder="1" applyAlignment="1">
      <alignment horizontal="left"/>
    </xf>
    <xf numFmtId="0" fontId="40" fillId="2" borderId="13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43" fontId="36" fillId="2" borderId="13" xfId="7" applyFont="1" applyFill="1" applyBorder="1" applyAlignment="1">
      <alignment horizontal="left"/>
    </xf>
    <xf numFmtId="43" fontId="0" fillId="2" borderId="13" xfId="7" applyFont="1" applyFill="1" applyBorder="1" applyAlignment="1">
      <alignment horizontal="left"/>
    </xf>
    <xf numFmtId="169" fontId="40" fillId="2" borderId="26" xfId="7" applyNumberFormat="1" applyFont="1" applyFill="1" applyBorder="1" applyAlignment="1">
      <alignment horizontal="center"/>
    </xf>
    <xf numFmtId="169" fontId="40" fillId="2" borderId="27" xfId="7" applyNumberFormat="1" applyFont="1" applyFill="1" applyBorder="1" applyAlignment="1">
      <alignment horizontal="center"/>
    </xf>
    <xf numFmtId="169" fontId="40" fillId="2" borderId="28" xfId="7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4" fillId="22" borderId="13" xfId="0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24" fillId="2" borderId="0" xfId="0" applyFont="1" applyFill="1" applyBorder="1" applyAlignment="1">
      <alignment horizontal="center"/>
    </xf>
    <xf numFmtId="44" fontId="0" fillId="2" borderId="0" xfId="0" applyNumberForma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26" xfId="0" applyFont="1" applyFill="1" applyBorder="1" applyAlignment="1">
      <alignment horizontal="center"/>
    </xf>
    <xf numFmtId="0" fontId="0" fillId="10" borderId="27" xfId="0" applyFont="1" applyFill="1" applyBorder="1" applyAlignment="1">
      <alignment horizontal="center"/>
    </xf>
    <xf numFmtId="0" fontId="0" fillId="10" borderId="28" xfId="0" applyFont="1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5" borderId="28" xfId="0" applyFill="1" applyBorder="1" applyAlignment="1">
      <alignment horizontal="center"/>
    </xf>
    <xf numFmtId="0" fontId="0" fillId="16" borderId="26" xfId="0" applyFont="1" applyFill="1" applyBorder="1" applyAlignment="1">
      <alignment horizontal="center"/>
    </xf>
    <xf numFmtId="0" fontId="0" fillId="16" borderId="27" xfId="0" applyFont="1" applyFill="1" applyBorder="1" applyAlignment="1">
      <alignment horizontal="center"/>
    </xf>
    <xf numFmtId="0" fontId="0" fillId="16" borderId="28" xfId="0" applyFont="1" applyFill="1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0" xfId="0" applyAlignment="1">
      <alignment horizontal="center"/>
    </xf>
    <xf numFmtId="0" fontId="24" fillId="2" borderId="15" xfId="0" applyFont="1" applyFill="1" applyBorder="1" applyAlignment="1">
      <alignment horizontal="center" wrapText="1"/>
    </xf>
    <xf numFmtId="0" fontId="24" fillId="2" borderId="38" xfId="0" applyFont="1" applyFill="1" applyBorder="1" applyAlignment="1">
      <alignment horizontal="center" wrapText="1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24" fillId="2" borderId="29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24" fillId="2" borderId="31" xfId="0" applyFont="1" applyFill="1" applyBorder="1" applyAlignment="1">
      <alignment horizontal="center"/>
    </xf>
    <xf numFmtId="0" fontId="24" fillId="2" borderId="34" xfId="0" applyFont="1" applyFill="1" applyBorder="1" applyAlignment="1">
      <alignment horizontal="center"/>
    </xf>
    <xf numFmtId="0" fontId="24" fillId="2" borderId="35" xfId="0" applyFont="1" applyFill="1" applyBorder="1" applyAlignment="1">
      <alignment horizontal="center"/>
    </xf>
    <xf numFmtId="0" fontId="24" fillId="2" borderId="36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24" fillId="2" borderId="38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</cellXfs>
  <cellStyles count="10">
    <cellStyle name="Category" xfId="5"/>
    <cellStyle name="Moeda" xfId="9" builtinId="4"/>
    <cellStyle name="Moeda 2" xfId="6"/>
    <cellStyle name="Moeda 3" xfId="2"/>
    <cellStyle name="Normal" xfId="0" builtinId="0"/>
    <cellStyle name="Porcentagem" xfId="8" builtinId="5"/>
    <cellStyle name="Separador de milhares 2" xfId="3"/>
    <cellStyle name="Vírgula" xfId="7" builtinId="3"/>
    <cellStyle name="Vírgula 2" xfId="1"/>
    <cellStyle name="Vírgula 2 2" xfId="4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0</xdr:row>
      <xdr:rowOff>19050</xdr:rowOff>
    </xdr:from>
    <xdr:to>
      <xdr:col>8</xdr:col>
      <xdr:colOff>895350</xdr:colOff>
      <xdr:row>1</xdr:row>
      <xdr:rowOff>161925</xdr:rowOff>
    </xdr:to>
    <xdr:sp macro="" textlink="">
      <xdr:nvSpPr>
        <xdr:cNvPr id="2" name="Seta para baixo 1"/>
        <xdr:cNvSpPr/>
      </xdr:nvSpPr>
      <xdr:spPr>
        <a:xfrm>
          <a:off x="6657975" y="1905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638175</xdr:colOff>
      <xdr:row>1</xdr:row>
      <xdr:rowOff>142875</xdr:rowOff>
    </xdr:to>
    <xdr:sp macro="" textlink="">
      <xdr:nvSpPr>
        <xdr:cNvPr id="3" name="Seta para baixo 2"/>
        <xdr:cNvSpPr/>
      </xdr:nvSpPr>
      <xdr:spPr>
        <a:xfrm>
          <a:off x="138684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638175</xdr:colOff>
      <xdr:row>1</xdr:row>
      <xdr:rowOff>142875</xdr:rowOff>
    </xdr:to>
    <xdr:sp macro="" textlink="">
      <xdr:nvSpPr>
        <xdr:cNvPr id="2" name="Seta para baixo 1"/>
        <xdr:cNvSpPr/>
      </xdr:nvSpPr>
      <xdr:spPr>
        <a:xfrm>
          <a:off x="64008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638175</xdr:colOff>
      <xdr:row>1</xdr:row>
      <xdr:rowOff>142875</xdr:rowOff>
    </xdr:to>
    <xdr:sp macro="" textlink="">
      <xdr:nvSpPr>
        <xdr:cNvPr id="3" name="Seta para baixo 2"/>
        <xdr:cNvSpPr/>
      </xdr:nvSpPr>
      <xdr:spPr>
        <a:xfrm>
          <a:off x="138684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B1:L59"/>
  <sheetViews>
    <sheetView showGridLines="0" view="pageBreakPreview" topLeftCell="A17" zoomScale="130" zoomScaleNormal="85" zoomScaleSheetLayoutView="130" workbookViewId="0">
      <selection activeCell="D26" activeCellId="1" sqref="B19:D19 B24:D26"/>
    </sheetView>
  </sheetViews>
  <sheetFormatPr defaultRowHeight="21.95" customHeight="1" x14ac:dyDescent="0.25"/>
  <cols>
    <col min="1" max="1" width="1.85546875" style="280" customWidth="1"/>
    <col min="2" max="2" width="87" style="280" bestFit="1" customWidth="1"/>
    <col min="3" max="3" width="15.42578125" style="279" bestFit="1" customWidth="1"/>
    <col min="4" max="4" width="20.42578125" style="280" bestFit="1" customWidth="1"/>
    <col min="5" max="5" width="6.28515625" style="385" bestFit="1" customWidth="1"/>
    <col min="6" max="6" width="18.7109375" style="280" bestFit="1" customWidth="1"/>
    <col min="7" max="7" width="6" style="279" bestFit="1" customWidth="1"/>
    <col min="8" max="8" width="9.140625" style="280"/>
    <col min="9" max="9" width="22.5703125" style="280" bestFit="1" customWidth="1"/>
    <col min="10" max="10" width="12.5703125" style="280" bestFit="1" customWidth="1"/>
    <col min="11" max="12" width="12.28515625" style="280" bestFit="1" customWidth="1"/>
    <col min="13" max="13" width="0" style="280" hidden="1" customWidth="1"/>
    <col min="14" max="14" width="85.7109375" style="280" bestFit="1" customWidth="1"/>
    <col min="15" max="240" width="9.140625" style="280"/>
    <col min="241" max="241" width="5.7109375" style="280" customWidth="1"/>
    <col min="242" max="242" width="3.42578125" style="280" customWidth="1"/>
    <col min="243" max="243" width="3.7109375" style="280" customWidth="1"/>
    <col min="244" max="244" width="105" style="280" bestFit="1" customWidth="1"/>
    <col min="245" max="245" width="20.7109375" style="280" bestFit="1" customWidth="1"/>
    <col min="246" max="496" width="9.140625" style="280"/>
    <col min="497" max="497" width="5.7109375" style="280" customWidth="1"/>
    <col min="498" max="498" width="3.42578125" style="280" customWidth="1"/>
    <col min="499" max="499" width="3.7109375" style="280" customWidth="1"/>
    <col min="500" max="500" width="105" style="280" bestFit="1" customWidth="1"/>
    <col min="501" max="501" width="20.7109375" style="280" bestFit="1" customWidth="1"/>
    <col min="502" max="752" width="9.140625" style="280"/>
    <col min="753" max="753" width="5.7109375" style="280" customWidth="1"/>
    <col min="754" max="754" width="3.42578125" style="280" customWidth="1"/>
    <col min="755" max="755" width="3.7109375" style="280" customWidth="1"/>
    <col min="756" max="756" width="105" style="280" bestFit="1" customWidth="1"/>
    <col min="757" max="757" width="20.7109375" style="280" bestFit="1" customWidth="1"/>
    <col min="758" max="1008" width="9.140625" style="280"/>
    <col min="1009" max="1009" width="5.7109375" style="280" customWidth="1"/>
    <col min="1010" max="1010" width="3.42578125" style="280" customWidth="1"/>
    <col min="1011" max="1011" width="3.7109375" style="280" customWidth="1"/>
    <col min="1012" max="1012" width="105" style="280" bestFit="1" customWidth="1"/>
    <col min="1013" max="1013" width="20.7109375" style="280" bestFit="1" customWidth="1"/>
    <col min="1014" max="1264" width="9.140625" style="280"/>
    <col min="1265" max="1265" width="5.7109375" style="280" customWidth="1"/>
    <col min="1266" max="1266" width="3.42578125" style="280" customWidth="1"/>
    <col min="1267" max="1267" width="3.7109375" style="280" customWidth="1"/>
    <col min="1268" max="1268" width="105" style="280" bestFit="1" customWidth="1"/>
    <col min="1269" max="1269" width="20.7109375" style="280" bestFit="1" customWidth="1"/>
    <col min="1270" max="1520" width="9.140625" style="280"/>
    <col min="1521" max="1521" width="5.7109375" style="280" customWidth="1"/>
    <col min="1522" max="1522" width="3.42578125" style="280" customWidth="1"/>
    <col min="1523" max="1523" width="3.7109375" style="280" customWidth="1"/>
    <col min="1524" max="1524" width="105" style="280" bestFit="1" customWidth="1"/>
    <col min="1525" max="1525" width="20.7109375" style="280" bestFit="1" customWidth="1"/>
    <col min="1526" max="1776" width="9.140625" style="280"/>
    <col min="1777" max="1777" width="5.7109375" style="280" customWidth="1"/>
    <col min="1778" max="1778" width="3.42578125" style="280" customWidth="1"/>
    <col min="1779" max="1779" width="3.7109375" style="280" customWidth="1"/>
    <col min="1780" max="1780" width="105" style="280" bestFit="1" customWidth="1"/>
    <col min="1781" max="1781" width="20.7109375" style="280" bestFit="1" customWidth="1"/>
    <col min="1782" max="2032" width="9.140625" style="280"/>
    <col min="2033" max="2033" width="5.7109375" style="280" customWidth="1"/>
    <col min="2034" max="2034" width="3.42578125" style="280" customWidth="1"/>
    <col min="2035" max="2035" width="3.7109375" style="280" customWidth="1"/>
    <col min="2036" max="2036" width="105" style="280" bestFit="1" customWidth="1"/>
    <col min="2037" max="2037" width="20.7109375" style="280" bestFit="1" customWidth="1"/>
    <col min="2038" max="2288" width="9.140625" style="280"/>
    <col min="2289" max="2289" width="5.7109375" style="280" customWidth="1"/>
    <col min="2290" max="2290" width="3.42578125" style="280" customWidth="1"/>
    <col min="2291" max="2291" width="3.7109375" style="280" customWidth="1"/>
    <col min="2292" max="2292" width="105" style="280" bestFit="1" customWidth="1"/>
    <col min="2293" max="2293" width="20.7109375" style="280" bestFit="1" customWidth="1"/>
    <col min="2294" max="2544" width="9.140625" style="280"/>
    <col min="2545" max="2545" width="5.7109375" style="280" customWidth="1"/>
    <col min="2546" max="2546" width="3.42578125" style="280" customWidth="1"/>
    <col min="2547" max="2547" width="3.7109375" style="280" customWidth="1"/>
    <col min="2548" max="2548" width="105" style="280" bestFit="1" customWidth="1"/>
    <col min="2549" max="2549" width="20.7109375" style="280" bestFit="1" customWidth="1"/>
    <col min="2550" max="2800" width="9.140625" style="280"/>
    <col min="2801" max="2801" width="5.7109375" style="280" customWidth="1"/>
    <col min="2802" max="2802" width="3.42578125" style="280" customWidth="1"/>
    <col min="2803" max="2803" width="3.7109375" style="280" customWidth="1"/>
    <col min="2804" max="2804" width="105" style="280" bestFit="1" customWidth="1"/>
    <col min="2805" max="2805" width="20.7109375" style="280" bestFit="1" customWidth="1"/>
    <col min="2806" max="3056" width="9.140625" style="280"/>
    <col min="3057" max="3057" width="5.7109375" style="280" customWidth="1"/>
    <col min="3058" max="3058" width="3.42578125" style="280" customWidth="1"/>
    <col min="3059" max="3059" width="3.7109375" style="280" customWidth="1"/>
    <col min="3060" max="3060" width="105" style="280" bestFit="1" customWidth="1"/>
    <col min="3061" max="3061" width="20.7109375" style="280" bestFit="1" customWidth="1"/>
    <col min="3062" max="3312" width="9.140625" style="280"/>
    <col min="3313" max="3313" width="5.7109375" style="280" customWidth="1"/>
    <col min="3314" max="3314" width="3.42578125" style="280" customWidth="1"/>
    <col min="3315" max="3315" width="3.7109375" style="280" customWidth="1"/>
    <col min="3316" max="3316" width="105" style="280" bestFit="1" customWidth="1"/>
    <col min="3317" max="3317" width="20.7109375" style="280" bestFit="1" customWidth="1"/>
    <col min="3318" max="3568" width="9.140625" style="280"/>
    <col min="3569" max="3569" width="5.7109375" style="280" customWidth="1"/>
    <col min="3570" max="3570" width="3.42578125" style="280" customWidth="1"/>
    <col min="3571" max="3571" width="3.7109375" style="280" customWidth="1"/>
    <col min="3572" max="3572" width="105" style="280" bestFit="1" customWidth="1"/>
    <col min="3573" max="3573" width="20.7109375" style="280" bestFit="1" customWidth="1"/>
    <col min="3574" max="3824" width="9.140625" style="280"/>
    <col min="3825" max="3825" width="5.7109375" style="280" customWidth="1"/>
    <col min="3826" max="3826" width="3.42578125" style="280" customWidth="1"/>
    <col min="3827" max="3827" width="3.7109375" style="280" customWidth="1"/>
    <col min="3828" max="3828" width="105" style="280" bestFit="1" customWidth="1"/>
    <col min="3829" max="3829" width="20.7109375" style="280" bestFit="1" customWidth="1"/>
    <col min="3830" max="4080" width="9.140625" style="280"/>
    <col min="4081" max="4081" width="5.7109375" style="280" customWidth="1"/>
    <col min="4082" max="4082" width="3.42578125" style="280" customWidth="1"/>
    <col min="4083" max="4083" width="3.7109375" style="280" customWidth="1"/>
    <col min="4084" max="4084" width="105" style="280" bestFit="1" customWidth="1"/>
    <col min="4085" max="4085" width="20.7109375" style="280" bestFit="1" customWidth="1"/>
    <col min="4086" max="4336" width="9.140625" style="280"/>
    <col min="4337" max="4337" width="5.7109375" style="280" customWidth="1"/>
    <col min="4338" max="4338" width="3.42578125" style="280" customWidth="1"/>
    <col min="4339" max="4339" width="3.7109375" style="280" customWidth="1"/>
    <col min="4340" max="4340" width="105" style="280" bestFit="1" customWidth="1"/>
    <col min="4341" max="4341" width="20.7109375" style="280" bestFit="1" customWidth="1"/>
    <col min="4342" max="4592" width="9.140625" style="280"/>
    <col min="4593" max="4593" width="5.7109375" style="280" customWidth="1"/>
    <col min="4594" max="4594" width="3.42578125" style="280" customWidth="1"/>
    <col min="4595" max="4595" width="3.7109375" style="280" customWidth="1"/>
    <col min="4596" max="4596" width="105" style="280" bestFit="1" customWidth="1"/>
    <col min="4597" max="4597" width="20.7109375" style="280" bestFit="1" customWidth="1"/>
    <col min="4598" max="4848" width="9.140625" style="280"/>
    <col min="4849" max="4849" width="5.7109375" style="280" customWidth="1"/>
    <col min="4850" max="4850" width="3.42578125" style="280" customWidth="1"/>
    <col min="4851" max="4851" width="3.7109375" style="280" customWidth="1"/>
    <col min="4852" max="4852" width="105" style="280" bestFit="1" customWidth="1"/>
    <col min="4853" max="4853" width="20.7109375" style="280" bestFit="1" customWidth="1"/>
    <col min="4854" max="5104" width="9.140625" style="280"/>
    <col min="5105" max="5105" width="5.7109375" style="280" customWidth="1"/>
    <col min="5106" max="5106" width="3.42578125" style="280" customWidth="1"/>
    <col min="5107" max="5107" width="3.7109375" style="280" customWidth="1"/>
    <col min="5108" max="5108" width="105" style="280" bestFit="1" customWidth="1"/>
    <col min="5109" max="5109" width="20.7109375" style="280" bestFit="1" customWidth="1"/>
    <col min="5110" max="5360" width="9.140625" style="280"/>
    <col min="5361" max="5361" width="5.7109375" style="280" customWidth="1"/>
    <col min="5362" max="5362" width="3.42578125" style="280" customWidth="1"/>
    <col min="5363" max="5363" width="3.7109375" style="280" customWidth="1"/>
    <col min="5364" max="5364" width="105" style="280" bestFit="1" customWidth="1"/>
    <col min="5365" max="5365" width="20.7109375" style="280" bestFit="1" customWidth="1"/>
    <col min="5366" max="5616" width="9.140625" style="280"/>
    <col min="5617" max="5617" width="5.7109375" style="280" customWidth="1"/>
    <col min="5618" max="5618" width="3.42578125" style="280" customWidth="1"/>
    <col min="5619" max="5619" width="3.7109375" style="280" customWidth="1"/>
    <col min="5620" max="5620" width="105" style="280" bestFit="1" customWidth="1"/>
    <col min="5621" max="5621" width="20.7109375" style="280" bestFit="1" customWidth="1"/>
    <col min="5622" max="5872" width="9.140625" style="280"/>
    <col min="5873" max="5873" width="5.7109375" style="280" customWidth="1"/>
    <col min="5874" max="5874" width="3.42578125" style="280" customWidth="1"/>
    <col min="5875" max="5875" width="3.7109375" style="280" customWidth="1"/>
    <col min="5876" max="5876" width="105" style="280" bestFit="1" customWidth="1"/>
    <col min="5877" max="5877" width="20.7109375" style="280" bestFit="1" customWidth="1"/>
    <col min="5878" max="6128" width="9.140625" style="280"/>
    <col min="6129" max="6129" width="5.7109375" style="280" customWidth="1"/>
    <col min="6130" max="6130" width="3.42578125" style="280" customWidth="1"/>
    <col min="6131" max="6131" width="3.7109375" style="280" customWidth="1"/>
    <col min="6132" max="6132" width="105" style="280" bestFit="1" customWidth="1"/>
    <col min="6133" max="6133" width="20.7109375" style="280" bestFit="1" customWidth="1"/>
    <col min="6134" max="6384" width="9.140625" style="280"/>
    <col min="6385" max="6385" width="5.7109375" style="280" customWidth="1"/>
    <col min="6386" max="6386" width="3.42578125" style="280" customWidth="1"/>
    <col min="6387" max="6387" width="3.7109375" style="280" customWidth="1"/>
    <col min="6388" max="6388" width="105" style="280" bestFit="1" customWidth="1"/>
    <col min="6389" max="6389" width="20.7109375" style="280" bestFit="1" customWidth="1"/>
    <col min="6390" max="6640" width="9.140625" style="280"/>
    <col min="6641" max="6641" width="5.7109375" style="280" customWidth="1"/>
    <col min="6642" max="6642" width="3.42578125" style="280" customWidth="1"/>
    <col min="6643" max="6643" width="3.7109375" style="280" customWidth="1"/>
    <col min="6644" max="6644" width="105" style="280" bestFit="1" customWidth="1"/>
    <col min="6645" max="6645" width="20.7109375" style="280" bestFit="1" customWidth="1"/>
    <col min="6646" max="6896" width="9.140625" style="280"/>
    <col min="6897" max="6897" width="5.7109375" style="280" customWidth="1"/>
    <col min="6898" max="6898" width="3.42578125" style="280" customWidth="1"/>
    <col min="6899" max="6899" width="3.7109375" style="280" customWidth="1"/>
    <col min="6900" max="6900" width="105" style="280" bestFit="1" customWidth="1"/>
    <col min="6901" max="6901" width="20.7109375" style="280" bestFit="1" customWidth="1"/>
    <col min="6902" max="7152" width="9.140625" style="280"/>
    <col min="7153" max="7153" width="5.7109375" style="280" customWidth="1"/>
    <col min="7154" max="7154" width="3.42578125" style="280" customWidth="1"/>
    <col min="7155" max="7155" width="3.7109375" style="280" customWidth="1"/>
    <col min="7156" max="7156" width="105" style="280" bestFit="1" customWidth="1"/>
    <col min="7157" max="7157" width="20.7109375" style="280" bestFit="1" customWidth="1"/>
    <col min="7158" max="7408" width="9.140625" style="280"/>
    <col min="7409" max="7409" width="5.7109375" style="280" customWidth="1"/>
    <col min="7410" max="7410" width="3.42578125" style="280" customWidth="1"/>
    <col min="7411" max="7411" width="3.7109375" style="280" customWidth="1"/>
    <col min="7412" max="7412" width="105" style="280" bestFit="1" customWidth="1"/>
    <col min="7413" max="7413" width="20.7109375" style="280" bestFit="1" customWidth="1"/>
    <col min="7414" max="7664" width="9.140625" style="280"/>
    <col min="7665" max="7665" width="5.7109375" style="280" customWidth="1"/>
    <col min="7666" max="7666" width="3.42578125" style="280" customWidth="1"/>
    <col min="7667" max="7667" width="3.7109375" style="280" customWidth="1"/>
    <col min="7668" max="7668" width="105" style="280" bestFit="1" customWidth="1"/>
    <col min="7669" max="7669" width="20.7109375" style="280" bestFit="1" customWidth="1"/>
    <col min="7670" max="7920" width="9.140625" style="280"/>
    <col min="7921" max="7921" width="5.7109375" style="280" customWidth="1"/>
    <col min="7922" max="7922" width="3.42578125" style="280" customWidth="1"/>
    <col min="7923" max="7923" width="3.7109375" style="280" customWidth="1"/>
    <col min="7924" max="7924" width="105" style="280" bestFit="1" customWidth="1"/>
    <col min="7925" max="7925" width="20.7109375" style="280" bestFit="1" customWidth="1"/>
    <col min="7926" max="8176" width="9.140625" style="280"/>
    <col min="8177" max="8177" width="5.7109375" style="280" customWidth="1"/>
    <col min="8178" max="8178" width="3.42578125" style="280" customWidth="1"/>
    <col min="8179" max="8179" width="3.7109375" style="280" customWidth="1"/>
    <col min="8180" max="8180" width="105" style="280" bestFit="1" customWidth="1"/>
    <col min="8181" max="8181" width="20.7109375" style="280" bestFit="1" customWidth="1"/>
    <col min="8182" max="8432" width="9.140625" style="280"/>
    <col min="8433" max="8433" width="5.7109375" style="280" customWidth="1"/>
    <col min="8434" max="8434" width="3.42578125" style="280" customWidth="1"/>
    <col min="8435" max="8435" width="3.7109375" style="280" customWidth="1"/>
    <col min="8436" max="8436" width="105" style="280" bestFit="1" customWidth="1"/>
    <col min="8437" max="8437" width="20.7109375" style="280" bestFit="1" customWidth="1"/>
    <col min="8438" max="8688" width="9.140625" style="280"/>
    <col min="8689" max="8689" width="5.7109375" style="280" customWidth="1"/>
    <col min="8690" max="8690" width="3.42578125" style="280" customWidth="1"/>
    <col min="8691" max="8691" width="3.7109375" style="280" customWidth="1"/>
    <col min="8692" max="8692" width="105" style="280" bestFit="1" customWidth="1"/>
    <col min="8693" max="8693" width="20.7109375" style="280" bestFit="1" customWidth="1"/>
    <col min="8694" max="8944" width="9.140625" style="280"/>
    <col min="8945" max="8945" width="5.7109375" style="280" customWidth="1"/>
    <col min="8946" max="8946" width="3.42578125" style="280" customWidth="1"/>
    <col min="8947" max="8947" width="3.7109375" style="280" customWidth="1"/>
    <col min="8948" max="8948" width="105" style="280" bestFit="1" customWidth="1"/>
    <col min="8949" max="8949" width="20.7109375" style="280" bestFit="1" customWidth="1"/>
    <col min="8950" max="9200" width="9.140625" style="280"/>
    <col min="9201" max="9201" width="5.7109375" style="280" customWidth="1"/>
    <col min="9202" max="9202" width="3.42578125" style="280" customWidth="1"/>
    <col min="9203" max="9203" width="3.7109375" style="280" customWidth="1"/>
    <col min="9204" max="9204" width="105" style="280" bestFit="1" customWidth="1"/>
    <col min="9205" max="9205" width="20.7109375" style="280" bestFit="1" customWidth="1"/>
    <col min="9206" max="9456" width="9.140625" style="280"/>
    <col min="9457" max="9457" width="5.7109375" style="280" customWidth="1"/>
    <col min="9458" max="9458" width="3.42578125" style="280" customWidth="1"/>
    <col min="9459" max="9459" width="3.7109375" style="280" customWidth="1"/>
    <col min="9460" max="9460" width="105" style="280" bestFit="1" customWidth="1"/>
    <col min="9461" max="9461" width="20.7109375" style="280" bestFit="1" customWidth="1"/>
    <col min="9462" max="9712" width="9.140625" style="280"/>
    <col min="9713" max="9713" width="5.7109375" style="280" customWidth="1"/>
    <col min="9714" max="9714" width="3.42578125" style="280" customWidth="1"/>
    <col min="9715" max="9715" width="3.7109375" style="280" customWidth="1"/>
    <col min="9716" max="9716" width="105" style="280" bestFit="1" customWidth="1"/>
    <col min="9717" max="9717" width="20.7109375" style="280" bestFit="1" customWidth="1"/>
    <col min="9718" max="9968" width="9.140625" style="280"/>
    <col min="9969" max="9969" width="5.7109375" style="280" customWidth="1"/>
    <col min="9970" max="9970" width="3.42578125" style="280" customWidth="1"/>
    <col min="9971" max="9971" width="3.7109375" style="280" customWidth="1"/>
    <col min="9972" max="9972" width="105" style="280" bestFit="1" customWidth="1"/>
    <col min="9973" max="9973" width="20.7109375" style="280" bestFit="1" customWidth="1"/>
    <col min="9974" max="10224" width="9.140625" style="280"/>
    <col min="10225" max="10225" width="5.7109375" style="280" customWidth="1"/>
    <col min="10226" max="10226" width="3.42578125" style="280" customWidth="1"/>
    <col min="10227" max="10227" width="3.7109375" style="280" customWidth="1"/>
    <col min="10228" max="10228" width="105" style="280" bestFit="1" customWidth="1"/>
    <col min="10229" max="10229" width="20.7109375" style="280" bestFit="1" customWidth="1"/>
    <col min="10230" max="10480" width="9.140625" style="280"/>
    <col min="10481" max="10481" width="5.7109375" style="280" customWidth="1"/>
    <col min="10482" max="10482" width="3.42578125" style="280" customWidth="1"/>
    <col min="10483" max="10483" width="3.7109375" style="280" customWidth="1"/>
    <col min="10484" max="10484" width="105" style="280" bestFit="1" customWidth="1"/>
    <col min="10485" max="10485" width="20.7109375" style="280" bestFit="1" customWidth="1"/>
    <col min="10486" max="10736" width="9.140625" style="280"/>
    <col min="10737" max="10737" width="5.7109375" style="280" customWidth="1"/>
    <col min="10738" max="10738" width="3.42578125" style="280" customWidth="1"/>
    <col min="10739" max="10739" width="3.7109375" style="280" customWidth="1"/>
    <col min="10740" max="10740" width="105" style="280" bestFit="1" customWidth="1"/>
    <col min="10741" max="10741" width="20.7109375" style="280" bestFit="1" customWidth="1"/>
    <col min="10742" max="10992" width="9.140625" style="280"/>
    <col min="10993" max="10993" width="5.7109375" style="280" customWidth="1"/>
    <col min="10994" max="10994" width="3.42578125" style="280" customWidth="1"/>
    <col min="10995" max="10995" width="3.7109375" style="280" customWidth="1"/>
    <col min="10996" max="10996" width="105" style="280" bestFit="1" customWidth="1"/>
    <col min="10997" max="10997" width="20.7109375" style="280" bestFit="1" customWidth="1"/>
    <col min="10998" max="11248" width="9.140625" style="280"/>
    <col min="11249" max="11249" width="5.7109375" style="280" customWidth="1"/>
    <col min="11250" max="11250" width="3.42578125" style="280" customWidth="1"/>
    <col min="11251" max="11251" width="3.7109375" style="280" customWidth="1"/>
    <col min="11252" max="11252" width="105" style="280" bestFit="1" customWidth="1"/>
    <col min="11253" max="11253" width="20.7109375" style="280" bestFit="1" customWidth="1"/>
    <col min="11254" max="11504" width="9.140625" style="280"/>
    <col min="11505" max="11505" width="5.7109375" style="280" customWidth="1"/>
    <col min="11506" max="11506" width="3.42578125" style="280" customWidth="1"/>
    <col min="11507" max="11507" width="3.7109375" style="280" customWidth="1"/>
    <col min="11508" max="11508" width="105" style="280" bestFit="1" customWidth="1"/>
    <col min="11509" max="11509" width="20.7109375" style="280" bestFit="1" customWidth="1"/>
    <col min="11510" max="11760" width="9.140625" style="280"/>
    <col min="11761" max="11761" width="5.7109375" style="280" customWidth="1"/>
    <col min="11762" max="11762" width="3.42578125" style="280" customWidth="1"/>
    <col min="11763" max="11763" width="3.7109375" style="280" customWidth="1"/>
    <col min="11764" max="11764" width="105" style="280" bestFit="1" customWidth="1"/>
    <col min="11765" max="11765" width="20.7109375" style="280" bestFit="1" customWidth="1"/>
    <col min="11766" max="12016" width="9.140625" style="280"/>
    <col min="12017" max="12017" width="5.7109375" style="280" customWidth="1"/>
    <col min="12018" max="12018" width="3.42578125" style="280" customWidth="1"/>
    <col min="12019" max="12019" width="3.7109375" style="280" customWidth="1"/>
    <col min="12020" max="12020" width="105" style="280" bestFit="1" customWidth="1"/>
    <col min="12021" max="12021" width="20.7109375" style="280" bestFit="1" customWidth="1"/>
    <col min="12022" max="12272" width="9.140625" style="280"/>
    <col min="12273" max="12273" width="5.7109375" style="280" customWidth="1"/>
    <col min="12274" max="12274" width="3.42578125" style="280" customWidth="1"/>
    <col min="12275" max="12275" width="3.7109375" style="280" customWidth="1"/>
    <col min="12276" max="12276" width="105" style="280" bestFit="1" customWidth="1"/>
    <col min="12277" max="12277" width="20.7109375" style="280" bestFit="1" customWidth="1"/>
    <col min="12278" max="12528" width="9.140625" style="280"/>
    <col min="12529" max="12529" width="5.7109375" style="280" customWidth="1"/>
    <col min="12530" max="12530" width="3.42578125" style="280" customWidth="1"/>
    <col min="12531" max="12531" width="3.7109375" style="280" customWidth="1"/>
    <col min="12532" max="12532" width="105" style="280" bestFit="1" customWidth="1"/>
    <col min="12533" max="12533" width="20.7109375" style="280" bestFit="1" customWidth="1"/>
    <col min="12534" max="12784" width="9.140625" style="280"/>
    <col min="12785" max="12785" width="5.7109375" style="280" customWidth="1"/>
    <col min="12786" max="12786" width="3.42578125" style="280" customWidth="1"/>
    <col min="12787" max="12787" width="3.7109375" style="280" customWidth="1"/>
    <col min="12788" max="12788" width="105" style="280" bestFit="1" customWidth="1"/>
    <col min="12789" max="12789" width="20.7109375" style="280" bestFit="1" customWidth="1"/>
    <col min="12790" max="13040" width="9.140625" style="280"/>
    <col min="13041" max="13041" width="5.7109375" style="280" customWidth="1"/>
    <col min="13042" max="13042" width="3.42578125" style="280" customWidth="1"/>
    <col min="13043" max="13043" width="3.7109375" style="280" customWidth="1"/>
    <col min="13044" max="13044" width="105" style="280" bestFit="1" customWidth="1"/>
    <col min="13045" max="13045" width="20.7109375" style="280" bestFit="1" customWidth="1"/>
    <col min="13046" max="13296" width="9.140625" style="280"/>
    <col min="13297" max="13297" width="5.7109375" style="280" customWidth="1"/>
    <col min="13298" max="13298" width="3.42578125" style="280" customWidth="1"/>
    <col min="13299" max="13299" width="3.7109375" style="280" customWidth="1"/>
    <col min="13300" max="13300" width="105" style="280" bestFit="1" customWidth="1"/>
    <col min="13301" max="13301" width="20.7109375" style="280" bestFit="1" customWidth="1"/>
    <col min="13302" max="13552" width="9.140625" style="280"/>
    <col min="13553" max="13553" width="5.7109375" style="280" customWidth="1"/>
    <col min="13554" max="13554" width="3.42578125" style="280" customWidth="1"/>
    <col min="13555" max="13555" width="3.7109375" style="280" customWidth="1"/>
    <col min="13556" max="13556" width="105" style="280" bestFit="1" customWidth="1"/>
    <col min="13557" max="13557" width="20.7109375" style="280" bestFit="1" customWidth="1"/>
    <col min="13558" max="13808" width="9.140625" style="280"/>
    <col min="13809" max="13809" width="5.7109375" style="280" customWidth="1"/>
    <col min="13810" max="13810" width="3.42578125" style="280" customWidth="1"/>
    <col min="13811" max="13811" width="3.7109375" style="280" customWidth="1"/>
    <col min="13812" max="13812" width="105" style="280" bestFit="1" customWidth="1"/>
    <col min="13813" max="13813" width="20.7109375" style="280" bestFit="1" customWidth="1"/>
    <col min="13814" max="14064" width="9.140625" style="280"/>
    <col min="14065" max="14065" width="5.7109375" style="280" customWidth="1"/>
    <col min="14066" max="14066" width="3.42578125" style="280" customWidth="1"/>
    <col min="14067" max="14067" width="3.7109375" style="280" customWidth="1"/>
    <col min="14068" max="14068" width="105" style="280" bestFit="1" customWidth="1"/>
    <col min="14069" max="14069" width="20.7109375" style="280" bestFit="1" customWidth="1"/>
    <col min="14070" max="14320" width="9.140625" style="280"/>
    <col min="14321" max="14321" width="5.7109375" style="280" customWidth="1"/>
    <col min="14322" max="14322" width="3.42578125" style="280" customWidth="1"/>
    <col min="14323" max="14323" width="3.7109375" style="280" customWidth="1"/>
    <col min="14324" max="14324" width="105" style="280" bestFit="1" customWidth="1"/>
    <col min="14325" max="14325" width="20.7109375" style="280" bestFit="1" customWidth="1"/>
    <col min="14326" max="14576" width="9.140625" style="280"/>
    <col min="14577" max="14577" width="5.7109375" style="280" customWidth="1"/>
    <col min="14578" max="14578" width="3.42578125" style="280" customWidth="1"/>
    <col min="14579" max="14579" width="3.7109375" style="280" customWidth="1"/>
    <col min="14580" max="14580" width="105" style="280" bestFit="1" customWidth="1"/>
    <col min="14581" max="14581" width="20.7109375" style="280" bestFit="1" customWidth="1"/>
    <col min="14582" max="14832" width="9.140625" style="280"/>
    <col min="14833" max="14833" width="5.7109375" style="280" customWidth="1"/>
    <col min="14834" max="14834" width="3.42578125" style="280" customWidth="1"/>
    <col min="14835" max="14835" width="3.7109375" style="280" customWidth="1"/>
    <col min="14836" max="14836" width="105" style="280" bestFit="1" customWidth="1"/>
    <col min="14837" max="14837" width="20.7109375" style="280" bestFit="1" customWidth="1"/>
    <col min="14838" max="15088" width="9.140625" style="280"/>
    <col min="15089" max="15089" width="5.7109375" style="280" customWidth="1"/>
    <col min="15090" max="15090" width="3.42578125" style="280" customWidth="1"/>
    <col min="15091" max="15091" width="3.7109375" style="280" customWidth="1"/>
    <col min="15092" max="15092" width="105" style="280" bestFit="1" customWidth="1"/>
    <col min="15093" max="15093" width="20.7109375" style="280" bestFit="1" customWidth="1"/>
    <col min="15094" max="15344" width="9.140625" style="280"/>
    <col min="15345" max="15345" width="5.7109375" style="280" customWidth="1"/>
    <col min="15346" max="15346" width="3.42578125" style="280" customWidth="1"/>
    <col min="15347" max="15347" width="3.7109375" style="280" customWidth="1"/>
    <col min="15348" max="15348" width="105" style="280" bestFit="1" customWidth="1"/>
    <col min="15349" max="15349" width="20.7109375" style="280" bestFit="1" customWidth="1"/>
    <col min="15350" max="15600" width="9.140625" style="280"/>
    <col min="15601" max="15601" width="5.7109375" style="280" customWidth="1"/>
    <col min="15602" max="15602" width="3.42578125" style="280" customWidth="1"/>
    <col min="15603" max="15603" width="3.7109375" style="280" customWidth="1"/>
    <col min="15604" max="15604" width="105" style="280" bestFit="1" customWidth="1"/>
    <col min="15605" max="15605" width="20.7109375" style="280" bestFit="1" customWidth="1"/>
    <col min="15606" max="15856" width="9.140625" style="280"/>
    <col min="15857" max="15857" width="5.7109375" style="280" customWidth="1"/>
    <col min="15858" max="15858" width="3.42578125" style="280" customWidth="1"/>
    <col min="15859" max="15859" width="3.7109375" style="280" customWidth="1"/>
    <col min="15860" max="15860" width="105" style="280" bestFit="1" customWidth="1"/>
    <col min="15861" max="15861" width="20.7109375" style="280" bestFit="1" customWidth="1"/>
    <col min="15862" max="16112" width="9.140625" style="280"/>
    <col min="16113" max="16113" width="5.7109375" style="280" customWidth="1"/>
    <col min="16114" max="16114" width="3.42578125" style="280" customWidth="1"/>
    <col min="16115" max="16115" width="3.7109375" style="280" customWidth="1"/>
    <col min="16116" max="16116" width="105" style="280" bestFit="1" customWidth="1"/>
    <col min="16117" max="16117" width="20.7109375" style="280" bestFit="1" customWidth="1"/>
    <col min="16118" max="16384" width="9.140625" style="280"/>
  </cols>
  <sheetData>
    <row r="1" spans="2:12" ht="21.95" customHeight="1" thickBot="1" x14ac:dyDescent="0.3">
      <c r="B1" s="276"/>
      <c r="C1" s="277"/>
      <c r="D1" s="276"/>
      <c r="E1" s="278"/>
      <c r="F1" s="276"/>
    </row>
    <row r="2" spans="2:12" ht="21.95" customHeight="1" thickBot="1" x14ac:dyDescent="0.3">
      <c r="B2" s="403" t="s">
        <v>540</v>
      </c>
      <c r="C2" s="404"/>
      <c r="D2" s="405"/>
      <c r="E2" s="405"/>
      <c r="F2" s="406"/>
    </row>
    <row r="3" spans="2:12" ht="21.95" customHeight="1" thickBot="1" x14ac:dyDescent="0.3">
      <c r="B3" s="281" t="s">
        <v>1</v>
      </c>
      <c r="C3" s="282" t="s">
        <v>513</v>
      </c>
      <c r="D3" s="283" t="s">
        <v>2</v>
      </c>
      <c r="E3" s="284" t="s">
        <v>3</v>
      </c>
      <c r="F3" s="285" t="s">
        <v>4</v>
      </c>
    </row>
    <row r="4" spans="2:12" ht="21.95" customHeight="1" thickBot="1" x14ac:dyDescent="0.3">
      <c r="B4" s="286" t="s">
        <v>5</v>
      </c>
      <c r="C4" s="287">
        <f>SUM(C5:C9)</f>
        <v>89.174182786917868</v>
      </c>
      <c r="D4" s="288">
        <f>SUM(D5:D9)</f>
        <v>22561.068245090217</v>
      </c>
      <c r="E4" s="289">
        <f>SUM(E5:E9)</f>
        <v>60</v>
      </c>
      <c r="F4" s="287">
        <f>SUM(F5:F9)</f>
        <v>270732.81894108263</v>
      </c>
      <c r="G4" s="280"/>
      <c r="I4" s="290" t="s">
        <v>6</v>
      </c>
      <c r="J4" s="291" t="s">
        <v>7</v>
      </c>
      <c r="K4" s="292" t="s">
        <v>8</v>
      </c>
      <c r="L4" s="293" t="s">
        <v>9</v>
      </c>
    </row>
    <row r="5" spans="2:12" ht="21.95" customHeight="1" x14ac:dyDescent="0.25">
      <c r="B5" s="294" t="s">
        <v>505</v>
      </c>
      <c r="C5" s="295">
        <f>D5/253</f>
        <v>7.541501976284585</v>
      </c>
      <c r="D5" s="296">
        <f>'Folha de Pagamento'!M34</f>
        <v>1908</v>
      </c>
      <c r="E5" s="297">
        <v>12</v>
      </c>
      <c r="F5" s="298">
        <f>(D5*E5)</f>
        <v>22896</v>
      </c>
      <c r="I5" s="299" t="s">
        <v>11</v>
      </c>
      <c r="J5" s="300">
        <v>60808.717399999987</v>
      </c>
      <c r="K5" s="301">
        <v>60900</v>
      </c>
      <c r="L5" s="302">
        <f>K5-J5</f>
        <v>91.28260000001319</v>
      </c>
    </row>
    <row r="6" spans="2:12" ht="21.95" customHeight="1" x14ac:dyDescent="0.25">
      <c r="B6" s="303" t="s">
        <v>502</v>
      </c>
      <c r="C6" s="295">
        <f t="shared" ref="C6:C51" si="0">D6/253</f>
        <v>23.003952569169961</v>
      </c>
      <c r="D6" s="304">
        <f>'Folha de Pagamento'!M32+'Folha de Pagamento'!M33</f>
        <v>5820</v>
      </c>
      <c r="E6" s="297">
        <v>12</v>
      </c>
      <c r="F6" s="298">
        <f>(D6*E6)</f>
        <v>69840</v>
      </c>
      <c r="I6" s="299"/>
      <c r="J6" s="300"/>
      <c r="K6" s="301"/>
      <c r="L6" s="302"/>
    </row>
    <row r="7" spans="2:12" ht="21.95" customHeight="1" x14ac:dyDescent="0.25">
      <c r="B7" s="303" t="s">
        <v>500</v>
      </c>
      <c r="C7" s="295">
        <f t="shared" si="0"/>
        <v>8.5217391304347831</v>
      </c>
      <c r="D7" s="304">
        <f>'Folha de Pagamento'!M30</f>
        <v>2156</v>
      </c>
      <c r="E7" s="297">
        <v>12</v>
      </c>
      <c r="F7" s="298">
        <f>(D7*E7)</f>
        <v>25872</v>
      </c>
      <c r="I7" s="299"/>
      <c r="J7" s="300"/>
      <c r="K7" s="301"/>
      <c r="L7" s="302"/>
    </row>
    <row r="8" spans="2:12" ht="21.95" customHeight="1" x14ac:dyDescent="0.25">
      <c r="B8" s="303" t="s">
        <v>504</v>
      </c>
      <c r="C8" s="295">
        <f t="shared" si="0"/>
        <v>7.9051383399209483</v>
      </c>
      <c r="D8" s="304">
        <f>'Folha de Pagamento'!M31</f>
        <v>2000</v>
      </c>
      <c r="E8" s="297">
        <v>12</v>
      </c>
      <c r="F8" s="298">
        <f>(D8*E8)</f>
        <v>24000</v>
      </c>
      <c r="I8" s="299"/>
      <c r="J8" s="300"/>
      <c r="K8" s="301"/>
      <c r="L8" s="302"/>
    </row>
    <row r="9" spans="2:12" ht="21.95" customHeight="1" thickBot="1" x14ac:dyDescent="0.3">
      <c r="B9" s="305" t="s">
        <v>501</v>
      </c>
      <c r="C9" s="295">
        <f t="shared" si="0"/>
        <v>42.201850771107587</v>
      </c>
      <c r="D9" s="306">
        <f>'Folha de Pagamento'!N35</f>
        <v>10677.068245090219</v>
      </c>
      <c r="E9" s="307">
        <v>12</v>
      </c>
      <c r="F9" s="308">
        <f>(D9*E9)</f>
        <v>128124.81894108263</v>
      </c>
      <c r="I9" s="299" t="s">
        <v>13</v>
      </c>
      <c r="J9" s="300">
        <v>36840.718000000001</v>
      </c>
      <c r="K9" s="301">
        <v>30900</v>
      </c>
      <c r="L9" s="302">
        <f t="shared" ref="L9:L26" si="1">K9-J9</f>
        <v>-5940.7180000000008</v>
      </c>
    </row>
    <row r="10" spans="2:12" ht="21.95" customHeight="1" thickBot="1" x14ac:dyDescent="0.3">
      <c r="B10" s="286" t="s">
        <v>14</v>
      </c>
      <c r="C10" s="287">
        <f t="shared" si="0"/>
        <v>47.33201581027668</v>
      </c>
      <c r="D10" s="288">
        <f>SUM(D11:D31)</f>
        <v>11975</v>
      </c>
      <c r="E10" s="289">
        <f>SUM(E11:E31)</f>
        <v>252</v>
      </c>
      <c r="F10" s="287">
        <f>SUM(F11:F31)</f>
        <v>143700</v>
      </c>
      <c r="G10" s="309"/>
      <c r="I10" s="299" t="s">
        <v>15</v>
      </c>
      <c r="J10" s="300">
        <v>5979.07</v>
      </c>
      <c r="K10" s="301">
        <v>5880</v>
      </c>
      <c r="L10" s="302">
        <f t="shared" si="1"/>
        <v>-99.069999999999709</v>
      </c>
    </row>
    <row r="11" spans="2:12" s="314" customFormat="1" ht="21.95" customHeight="1" x14ac:dyDescent="0.25">
      <c r="B11" s="310" t="s">
        <v>132</v>
      </c>
      <c r="C11" s="295">
        <f t="shared" si="0"/>
        <v>7.9051383399209483</v>
      </c>
      <c r="D11" s="311">
        <v>2000</v>
      </c>
      <c r="E11" s="312">
        <v>12</v>
      </c>
      <c r="F11" s="313">
        <f>D11*E11</f>
        <v>24000</v>
      </c>
      <c r="G11" s="309"/>
      <c r="I11" s="299" t="s">
        <v>22</v>
      </c>
      <c r="J11" s="300">
        <v>0</v>
      </c>
      <c r="K11" s="301">
        <v>1200</v>
      </c>
      <c r="L11" s="302">
        <f t="shared" si="1"/>
        <v>1200</v>
      </c>
    </row>
    <row r="12" spans="2:12" s="319" customFormat="1" ht="21.95" customHeight="1" x14ac:dyDescent="0.25">
      <c r="B12" s="315" t="s">
        <v>530</v>
      </c>
      <c r="C12" s="295">
        <f t="shared" si="0"/>
        <v>1.9762845849802371</v>
      </c>
      <c r="D12" s="316">
        <v>500</v>
      </c>
      <c r="E12" s="317">
        <v>12</v>
      </c>
      <c r="F12" s="318">
        <f t="shared" ref="F12:F17" si="2">D12*E12</f>
        <v>6000</v>
      </c>
      <c r="G12" s="309"/>
      <c r="I12" s="320" t="s">
        <v>23</v>
      </c>
      <c r="J12" s="321">
        <v>1470</v>
      </c>
      <c r="K12" s="322">
        <v>360</v>
      </c>
      <c r="L12" s="323">
        <f t="shared" si="1"/>
        <v>-1110</v>
      </c>
    </row>
    <row r="13" spans="2:12" ht="21.95" customHeight="1" x14ac:dyDescent="0.25">
      <c r="B13" s="324" t="s">
        <v>24</v>
      </c>
      <c r="C13" s="295">
        <f t="shared" si="0"/>
        <v>11.462450592885375</v>
      </c>
      <c r="D13" s="325">
        <v>2900</v>
      </c>
      <c r="E13" s="326">
        <v>12</v>
      </c>
      <c r="F13" s="327">
        <f t="shared" si="2"/>
        <v>34800</v>
      </c>
      <c r="G13" s="309"/>
      <c r="I13" s="299" t="s">
        <v>25</v>
      </c>
      <c r="J13" s="300">
        <v>0</v>
      </c>
      <c r="K13" s="328">
        <f>3000+((90*110)*2)</f>
        <v>22800</v>
      </c>
      <c r="L13" s="302">
        <f t="shared" si="1"/>
        <v>22800</v>
      </c>
    </row>
    <row r="14" spans="2:12" ht="21.95" customHeight="1" x14ac:dyDescent="0.25">
      <c r="B14" s="324" t="s">
        <v>108</v>
      </c>
      <c r="C14" s="295">
        <f t="shared" si="0"/>
        <v>1.9762845849802371</v>
      </c>
      <c r="D14" s="325">
        <v>500</v>
      </c>
      <c r="E14" s="326">
        <v>12</v>
      </c>
      <c r="F14" s="327">
        <f t="shared" si="2"/>
        <v>6000</v>
      </c>
      <c r="G14" s="309"/>
      <c r="I14" s="299"/>
      <c r="J14" s="300"/>
      <c r="K14" s="328"/>
      <c r="L14" s="302"/>
    </row>
    <row r="15" spans="2:12" s="329" customFormat="1" ht="21.95" customHeight="1" x14ac:dyDescent="0.25">
      <c r="B15" s="324" t="s">
        <v>506</v>
      </c>
      <c r="C15" s="295">
        <f t="shared" si="0"/>
        <v>0.98814229249011853</v>
      </c>
      <c r="D15" s="325">
        <v>250</v>
      </c>
      <c r="E15" s="326">
        <v>12</v>
      </c>
      <c r="F15" s="327">
        <f t="shared" si="2"/>
        <v>3000</v>
      </c>
      <c r="G15" s="309"/>
      <c r="I15" s="299" t="s">
        <v>27</v>
      </c>
      <c r="J15" s="300">
        <v>0</v>
      </c>
      <c r="K15" s="301">
        <v>0</v>
      </c>
      <c r="L15" s="302">
        <f t="shared" si="1"/>
        <v>0</v>
      </c>
    </row>
    <row r="16" spans="2:12" ht="21.95" customHeight="1" x14ac:dyDescent="0.25">
      <c r="B16" s="324" t="s">
        <v>535</v>
      </c>
      <c r="C16" s="295">
        <f t="shared" si="0"/>
        <v>1.5810276679841897</v>
      </c>
      <c r="D16" s="325">
        <v>400</v>
      </c>
      <c r="E16" s="326">
        <v>12</v>
      </c>
      <c r="F16" s="327">
        <f t="shared" si="2"/>
        <v>4800</v>
      </c>
      <c r="G16" s="309"/>
      <c r="I16" s="299" t="s">
        <v>29</v>
      </c>
      <c r="J16" s="300">
        <v>230</v>
      </c>
      <c r="K16" s="301">
        <v>0</v>
      </c>
      <c r="L16" s="302">
        <f t="shared" si="1"/>
        <v>-230</v>
      </c>
    </row>
    <row r="17" spans="2:12" ht="21.95" customHeight="1" x14ac:dyDescent="0.25">
      <c r="B17" s="324" t="s">
        <v>507</v>
      </c>
      <c r="C17" s="295">
        <f t="shared" si="0"/>
        <v>1.9762845849802371</v>
      </c>
      <c r="D17" s="325">
        <v>500</v>
      </c>
      <c r="E17" s="326">
        <v>12</v>
      </c>
      <c r="F17" s="327">
        <f t="shared" si="2"/>
        <v>6000</v>
      </c>
      <c r="G17" s="309"/>
      <c r="I17" s="299" t="s">
        <v>31</v>
      </c>
      <c r="J17" s="300">
        <v>0</v>
      </c>
      <c r="K17" s="301">
        <v>0</v>
      </c>
      <c r="L17" s="302">
        <f t="shared" si="1"/>
        <v>0</v>
      </c>
    </row>
    <row r="18" spans="2:12" ht="21.95" customHeight="1" x14ac:dyDescent="0.25">
      <c r="B18" s="324" t="s">
        <v>418</v>
      </c>
      <c r="C18" s="295">
        <f t="shared" si="0"/>
        <v>2.3715415019762847</v>
      </c>
      <c r="D18" s="325">
        <v>600</v>
      </c>
      <c r="E18" s="326">
        <v>12</v>
      </c>
      <c r="F18" s="327">
        <f>D18*E18</f>
        <v>7200</v>
      </c>
      <c r="G18" s="309"/>
      <c r="I18" s="299"/>
      <c r="J18" s="300"/>
      <c r="K18" s="301"/>
      <c r="L18" s="302"/>
    </row>
    <row r="19" spans="2:12" ht="21.95" customHeight="1" x14ac:dyDescent="0.25">
      <c r="B19" s="324" t="s">
        <v>541</v>
      </c>
      <c r="C19" s="295">
        <f t="shared" si="0"/>
        <v>1.9762845849802371</v>
      </c>
      <c r="D19" s="325">
        <v>500</v>
      </c>
      <c r="E19" s="326">
        <v>12</v>
      </c>
      <c r="F19" s="327">
        <f>D19*E19</f>
        <v>6000</v>
      </c>
      <c r="G19" s="309"/>
      <c r="I19" s="299" t="s">
        <v>35</v>
      </c>
      <c r="J19" s="300">
        <v>0</v>
      </c>
      <c r="K19" s="301">
        <v>0</v>
      </c>
      <c r="L19" s="302">
        <f t="shared" si="1"/>
        <v>0</v>
      </c>
    </row>
    <row r="20" spans="2:12" ht="21.95" customHeight="1" x14ac:dyDescent="0.25">
      <c r="B20" s="324" t="s">
        <v>531</v>
      </c>
      <c r="C20" s="295">
        <f t="shared" si="0"/>
        <v>0.39525691699604742</v>
      </c>
      <c r="D20" s="325">
        <v>100</v>
      </c>
      <c r="E20" s="326">
        <v>12</v>
      </c>
      <c r="F20" s="327">
        <f t="shared" ref="F20:F31" si="3">D20*E20</f>
        <v>1200</v>
      </c>
      <c r="G20" s="309"/>
      <c r="I20" s="299" t="s">
        <v>37</v>
      </c>
      <c r="J20" s="300">
        <v>336.67</v>
      </c>
      <c r="K20" s="301">
        <v>0</v>
      </c>
      <c r="L20" s="302">
        <f t="shared" si="1"/>
        <v>-336.67</v>
      </c>
    </row>
    <row r="21" spans="2:12" ht="21.95" customHeight="1" x14ac:dyDescent="0.25">
      <c r="B21" s="324" t="s">
        <v>40</v>
      </c>
      <c r="C21" s="295">
        <f t="shared" si="0"/>
        <v>0.79051383399209485</v>
      </c>
      <c r="D21" s="325">
        <v>200</v>
      </c>
      <c r="E21" s="326">
        <v>12</v>
      </c>
      <c r="F21" s="327">
        <f t="shared" si="3"/>
        <v>2400</v>
      </c>
      <c r="G21" s="309"/>
      <c r="I21" s="299" t="s">
        <v>41</v>
      </c>
      <c r="J21" s="300">
        <v>700</v>
      </c>
      <c r="K21" s="301">
        <v>0</v>
      </c>
      <c r="L21" s="302">
        <f t="shared" si="1"/>
        <v>-700</v>
      </c>
    </row>
    <row r="22" spans="2:12" ht="21.95" customHeight="1" x14ac:dyDescent="0.25">
      <c r="B22" s="324" t="s">
        <v>542</v>
      </c>
      <c r="C22" s="295">
        <f t="shared" si="0"/>
        <v>0.79051383399209485</v>
      </c>
      <c r="D22" s="325">
        <v>200</v>
      </c>
      <c r="E22" s="326">
        <v>12</v>
      </c>
      <c r="F22" s="327">
        <f t="shared" si="3"/>
        <v>2400</v>
      </c>
      <c r="G22" s="309"/>
      <c r="I22" s="299" t="s">
        <v>43</v>
      </c>
      <c r="J22" s="300">
        <v>1889.03</v>
      </c>
      <c r="K22" s="301">
        <v>0</v>
      </c>
      <c r="L22" s="302">
        <f t="shared" si="1"/>
        <v>-1889.03</v>
      </c>
    </row>
    <row r="23" spans="2:12" ht="21.95" customHeight="1" x14ac:dyDescent="0.25">
      <c r="B23" s="324" t="s">
        <v>44</v>
      </c>
      <c r="C23" s="295">
        <f t="shared" si="0"/>
        <v>0.79051383399209485</v>
      </c>
      <c r="D23" s="325">
        <v>200</v>
      </c>
      <c r="E23" s="326">
        <v>12</v>
      </c>
      <c r="F23" s="327">
        <f t="shared" si="3"/>
        <v>2400</v>
      </c>
      <c r="G23" s="309"/>
      <c r="I23" s="299" t="s">
        <v>45</v>
      </c>
      <c r="J23" s="300">
        <v>400</v>
      </c>
      <c r="K23" s="301">
        <v>0</v>
      </c>
      <c r="L23" s="302">
        <f t="shared" si="1"/>
        <v>-400</v>
      </c>
    </row>
    <row r="24" spans="2:12" ht="21.95" customHeight="1" x14ac:dyDescent="0.25">
      <c r="B24" s="324" t="s">
        <v>543</v>
      </c>
      <c r="C24" s="295">
        <f t="shared" si="0"/>
        <v>9.8814229249011856E-2</v>
      </c>
      <c r="D24" s="325">
        <v>25</v>
      </c>
      <c r="E24" s="326">
        <v>12</v>
      </c>
      <c r="F24" s="327">
        <f t="shared" si="3"/>
        <v>300</v>
      </c>
      <c r="G24" s="309"/>
      <c r="I24" s="299" t="s">
        <v>47</v>
      </c>
      <c r="J24" s="300">
        <v>269.04000000000002</v>
      </c>
      <c r="K24" s="301">
        <v>0</v>
      </c>
      <c r="L24" s="302">
        <f t="shared" si="1"/>
        <v>-269.04000000000002</v>
      </c>
    </row>
    <row r="25" spans="2:12" ht="21.95" customHeight="1" x14ac:dyDescent="0.25">
      <c r="B25" s="324" t="s">
        <v>48</v>
      </c>
      <c r="C25" s="295">
        <f t="shared" si="0"/>
        <v>0.98814229249011853</v>
      </c>
      <c r="D25" s="325">
        <v>250</v>
      </c>
      <c r="E25" s="326">
        <v>12</v>
      </c>
      <c r="F25" s="327">
        <f t="shared" si="3"/>
        <v>3000</v>
      </c>
      <c r="G25" s="309"/>
      <c r="I25" s="299" t="s">
        <v>49</v>
      </c>
      <c r="J25" s="300">
        <v>644</v>
      </c>
      <c r="K25" s="301">
        <v>0</v>
      </c>
      <c r="L25" s="302">
        <f t="shared" si="1"/>
        <v>-644</v>
      </c>
    </row>
    <row r="26" spans="2:12" ht="21.95" customHeight="1" x14ac:dyDescent="0.25">
      <c r="B26" s="324" t="s">
        <v>544</v>
      </c>
      <c r="C26" s="295">
        <f t="shared" si="0"/>
        <v>0.98814229249011853</v>
      </c>
      <c r="D26" s="325">
        <v>250</v>
      </c>
      <c r="E26" s="326">
        <v>12</v>
      </c>
      <c r="F26" s="327">
        <f t="shared" si="3"/>
        <v>3000</v>
      </c>
      <c r="G26" s="309"/>
      <c r="I26" s="299" t="s">
        <v>50</v>
      </c>
      <c r="J26" s="300">
        <v>445</v>
      </c>
      <c r="K26" s="301">
        <v>0</v>
      </c>
      <c r="L26" s="302">
        <f t="shared" si="1"/>
        <v>-445</v>
      </c>
    </row>
    <row r="27" spans="2:12" ht="21.95" customHeight="1" x14ac:dyDescent="0.25">
      <c r="B27" s="324" t="s">
        <v>462</v>
      </c>
      <c r="C27" s="295">
        <f t="shared" si="0"/>
        <v>0.98814229249011853</v>
      </c>
      <c r="D27" s="325">
        <v>250</v>
      </c>
      <c r="E27" s="330">
        <v>12</v>
      </c>
      <c r="F27" s="331">
        <f t="shared" si="3"/>
        <v>3000</v>
      </c>
      <c r="G27" s="309"/>
      <c r="I27" s="332"/>
      <c r="J27" s="333"/>
      <c r="K27" s="334"/>
      <c r="L27" s="334"/>
    </row>
    <row r="28" spans="2:12" ht="21.95" customHeight="1" x14ac:dyDescent="0.25">
      <c r="B28" s="324" t="s">
        <v>467</v>
      </c>
      <c r="C28" s="295">
        <f t="shared" si="0"/>
        <v>3.9525691699604741</v>
      </c>
      <c r="D28" s="325">
        <v>1000</v>
      </c>
      <c r="E28" s="330">
        <v>12</v>
      </c>
      <c r="F28" s="331">
        <f t="shared" si="3"/>
        <v>12000</v>
      </c>
      <c r="G28" s="309"/>
      <c r="I28" s="332"/>
      <c r="J28" s="333"/>
      <c r="K28" s="334"/>
      <c r="L28" s="334"/>
    </row>
    <row r="29" spans="2:12" ht="21.95" customHeight="1" x14ac:dyDescent="0.25">
      <c r="B29" s="324" t="s">
        <v>464</v>
      </c>
      <c r="C29" s="295">
        <f t="shared" si="0"/>
        <v>1.383399209486166</v>
      </c>
      <c r="D29" s="325">
        <v>350</v>
      </c>
      <c r="E29" s="330">
        <v>12</v>
      </c>
      <c r="F29" s="331">
        <f t="shared" si="3"/>
        <v>4200</v>
      </c>
      <c r="G29" s="309"/>
      <c r="I29" s="332"/>
      <c r="J29" s="333"/>
      <c r="K29" s="334"/>
      <c r="L29" s="334"/>
    </row>
    <row r="30" spans="2:12" s="276" customFormat="1" ht="21.95" customHeight="1" x14ac:dyDescent="0.25">
      <c r="B30" s="315" t="s">
        <v>508</v>
      </c>
      <c r="C30" s="295">
        <f t="shared" si="0"/>
        <v>1.9762845849802371</v>
      </c>
      <c r="D30" s="316">
        <v>500</v>
      </c>
      <c r="E30" s="335">
        <v>12</v>
      </c>
      <c r="F30" s="336">
        <f t="shared" si="3"/>
        <v>6000</v>
      </c>
      <c r="G30" s="309"/>
      <c r="I30" s="337"/>
      <c r="J30" s="338"/>
      <c r="K30" s="339"/>
      <c r="L30" s="339"/>
    </row>
    <row r="31" spans="2:12" s="314" customFormat="1" ht="21.95" customHeight="1" thickBot="1" x14ac:dyDescent="0.3">
      <c r="B31" s="324" t="s">
        <v>466</v>
      </c>
      <c r="C31" s="295">
        <f t="shared" si="0"/>
        <v>1.9762845849802371</v>
      </c>
      <c r="D31" s="340">
        <v>500</v>
      </c>
      <c r="E31" s="341">
        <v>12</v>
      </c>
      <c r="F31" s="342">
        <f t="shared" si="3"/>
        <v>6000</v>
      </c>
      <c r="G31" s="309"/>
      <c r="J31" s="343"/>
      <c r="K31" s="343"/>
      <c r="L31" s="343"/>
    </row>
    <row r="32" spans="2:12" s="346" customFormat="1" ht="21.95" customHeight="1" thickBot="1" x14ac:dyDescent="0.3">
      <c r="B32" s="344" t="s">
        <v>51</v>
      </c>
      <c r="C32" s="287">
        <f t="shared" si="0"/>
        <v>63.229249011857711</v>
      </c>
      <c r="D32" s="288">
        <f>SUM(D33:D46)</f>
        <v>15997</v>
      </c>
      <c r="E32" s="289">
        <f>SUM(E33:E46)</f>
        <v>101</v>
      </c>
      <c r="F32" s="287">
        <f>SUM(F33:F46)</f>
        <v>170314</v>
      </c>
      <c r="G32" s="345"/>
    </row>
    <row r="33" spans="2:10" ht="21.95" customHeight="1" x14ac:dyDescent="0.25">
      <c r="B33" s="347" t="s">
        <v>417</v>
      </c>
      <c r="C33" s="295">
        <f t="shared" si="0"/>
        <v>9.0909090909090917</v>
      </c>
      <c r="D33" s="348">
        <v>2300</v>
      </c>
      <c r="E33" s="297">
        <v>12</v>
      </c>
      <c r="F33" s="349">
        <f t="shared" ref="F33:F46" si="4">D33*E33</f>
        <v>27600</v>
      </c>
      <c r="G33" s="309"/>
      <c r="I33" s="350"/>
      <c r="J33" s="351"/>
    </row>
    <row r="34" spans="2:10" ht="21.95" customHeight="1" x14ac:dyDescent="0.25">
      <c r="B34" s="324" t="s">
        <v>545</v>
      </c>
      <c r="C34" s="295">
        <f t="shared" si="0"/>
        <v>2.2134387351778657</v>
      </c>
      <c r="D34" s="304">
        <v>560</v>
      </c>
      <c r="E34" s="297">
        <v>3</v>
      </c>
      <c r="F34" s="352">
        <f t="shared" si="4"/>
        <v>1680</v>
      </c>
      <c r="G34" s="309"/>
      <c r="I34" s="351"/>
      <c r="J34" s="351"/>
    </row>
    <row r="35" spans="2:10" ht="21.95" customHeight="1" x14ac:dyDescent="0.25">
      <c r="B35" s="324" t="s">
        <v>53</v>
      </c>
      <c r="C35" s="295">
        <f t="shared" si="0"/>
        <v>0.39525691699604742</v>
      </c>
      <c r="D35" s="304">
        <v>100</v>
      </c>
      <c r="E35" s="297">
        <v>12</v>
      </c>
      <c r="F35" s="352">
        <f t="shared" si="4"/>
        <v>1200</v>
      </c>
      <c r="G35" s="309"/>
    </row>
    <row r="36" spans="2:10" ht="21.95" customHeight="1" x14ac:dyDescent="0.25">
      <c r="B36" s="324" t="s">
        <v>56</v>
      </c>
      <c r="C36" s="295">
        <f t="shared" si="0"/>
        <v>2.3201581027667983</v>
      </c>
      <c r="D36" s="304">
        <v>587</v>
      </c>
      <c r="E36" s="297">
        <v>12</v>
      </c>
      <c r="F36" s="352">
        <f t="shared" si="4"/>
        <v>7044</v>
      </c>
      <c r="G36" s="309"/>
    </row>
    <row r="37" spans="2:10" ht="21.95" customHeight="1" x14ac:dyDescent="0.25">
      <c r="B37" s="324" t="s">
        <v>546</v>
      </c>
      <c r="C37" s="295">
        <f t="shared" si="0"/>
        <v>0.83003952569169959</v>
      </c>
      <c r="D37" s="304">
        <v>210</v>
      </c>
      <c r="E37" s="297">
        <v>1</v>
      </c>
      <c r="F37" s="352">
        <f t="shared" si="4"/>
        <v>210</v>
      </c>
      <c r="G37" s="309"/>
    </row>
    <row r="38" spans="2:10" ht="21.95" customHeight="1" x14ac:dyDescent="0.25">
      <c r="B38" s="324" t="s">
        <v>58</v>
      </c>
      <c r="C38" s="295">
        <f t="shared" si="0"/>
        <v>0.4743083003952569</v>
      </c>
      <c r="D38" s="304">
        <v>120</v>
      </c>
      <c r="E38" s="297">
        <v>3</v>
      </c>
      <c r="F38" s="352">
        <f t="shared" si="4"/>
        <v>360</v>
      </c>
      <c r="G38" s="309"/>
    </row>
    <row r="39" spans="2:10" ht="21.95" customHeight="1" x14ac:dyDescent="0.25">
      <c r="B39" s="324" t="s">
        <v>59</v>
      </c>
      <c r="C39" s="295">
        <f t="shared" si="0"/>
        <v>17.786561264822133</v>
      </c>
      <c r="D39" s="304">
        <v>4500</v>
      </c>
      <c r="E39" s="297">
        <v>12</v>
      </c>
      <c r="F39" s="352">
        <f t="shared" si="4"/>
        <v>54000</v>
      </c>
      <c r="G39" s="309"/>
    </row>
    <row r="40" spans="2:10" s="276" customFormat="1" ht="21.95" customHeight="1" x14ac:dyDescent="0.25">
      <c r="B40" s="353" t="s">
        <v>60</v>
      </c>
      <c r="C40" s="354">
        <f t="shared" si="0"/>
        <v>7.9051383399209483</v>
      </c>
      <c r="D40" s="355">
        <v>2000</v>
      </c>
      <c r="E40" s="356">
        <v>12</v>
      </c>
      <c r="F40" s="354">
        <f t="shared" si="4"/>
        <v>24000</v>
      </c>
      <c r="G40" s="309"/>
    </row>
    <row r="41" spans="2:10" ht="21.95" customHeight="1" x14ac:dyDescent="0.25">
      <c r="B41" s="324" t="s">
        <v>61</v>
      </c>
      <c r="C41" s="295">
        <f t="shared" si="0"/>
        <v>13.83399209486166</v>
      </c>
      <c r="D41" s="304">
        <v>3500</v>
      </c>
      <c r="E41" s="297">
        <v>12</v>
      </c>
      <c r="F41" s="352">
        <f t="shared" si="4"/>
        <v>42000</v>
      </c>
      <c r="G41" s="309"/>
    </row>
    <row r="42" spans="2:10" ht="21.95" customHeight="1" x14ac:dyDescent="0.25">
      <c r="B42" s="353" t="s">
        <v>512</v>
      </c>
      <c r="C42" s="354">
        <f t="shared" si="0"/>
        <v>7.9051383399209488E-2</v>
      </c>
      <c r="D42" s="355">
        <v>20</v>
      </c>
      <c r="E42" s="356">
        <v>6</v>
      </c>
      <c r="F42" s="354">
        <f t="shared" si="4"/>
        <v>120</v>
      </c>
      <c r="G42" s="309"/>
    </row>
    <row r="43" spans="2:10" ht="21.95" customHeight="1" x14ac:dyDescent="0.25">
      <c r="B43" s="324" t="s">
        <v>463</v>
      </c>
      <c r="C43" s="295">
        <f t="shared" si="0"/>
        <v>0</v>
      </c>
      <c r="D43" s="304">
        <v>0</v>
      </c>
      <c r="E43" s="297">
        <v>0</v>
      </c>
      <c r="F43" s="352">
        <f t="shared" si="4"/>
        <v>0</v>
      </c>
      <c r="G43" s="309"/>
    </row>
    <row r="44" spans="2:10" ht="21.95" customHeight="1" x14ac:dyDescent="0.25">
      <c r="B44" s="324" t="s">
        <v>461</v>
      </c>
      <c r="C44" s="295">
        <f t="shared" si="0"/>
        <v>0.39525691699604742</v>
      </c>
      <c r="D44" s="304">
        <v>100</v>
      </c>
      <c r="E44" s="297">
        <v>1</v>
      </c>
      <c r="F44" s="352">
        <f t="shared" si="4"/>
        <v>100</v>
      </c>
      <c r="G44" s="309"/>
    </row>
    <row r="45" spans="2:10" ht="21.95" customHeight="1" x14ac:dyDescent="0.25">
      <c r="B45" s="324" t="s">
        <v>547</v>
      </c>
      <c r="C45" s="295">
        <f t="shared" si="0"/>
        <v>7.9051383399209483</v>
      </c>
      <c r="D45" s="304">
        <v>2000</v>
      </c>
      <c r="E45" s="297">
        <v>6</v>
      </c>
      <c r="F45" s="352">
        <f t="shared" si="4"/>
        <v>12000</v>
      </c>
      <c r="G45" s="309"/>
    </row>
    <row r="46" spans="2:10" ht="21.95" customHeight="1" thickBot="1" x14ac:dyDescent="0.3">
      <c r="B46" s="324" t="s">
        <v>465</v>
      </c>
      <c r="C46" s="295">
        <f t="shared" si="0"/>
        <v>0</v>
      </c>
      <c r="D46" s="306">
        <v>0</v>
      </c>
      <c r="E46" s="357">
        <v>9</v>
      </c>
      <c r="F46" s="358">
        <f t="shared" si="4"/>
        <v>0</v>
      </c>
      <c r="G46" s="309"/>
    </row>
    <row r="47" spans="2:10" ht="21.95" customHeight="1" thickBot="1" x14ac:dyDescent="0.3">
      <c r="B47" s="359" t="s">
        <v>65</v>
      </c>
      <c r="C47" s="360">
        <f>D47/253</f>
        <v>199.73544760905224</v>
      </c>
      <c r="D47" s="361">
        <f>D32+D10+D4</f>
        <v>50533.068245090217</v>
      </c>
      <c r="E47" s="362">
        <f>E32+E10+E4</f>
        <v>413</v>
      </c>
      <c r="F47" s="363">
        <f>F32+F10+F4</f>
        <v>584746.81894108257</v>
      </c>
      <c r="G47" s="345"/>
    </row>
    <row r="48" spans="2:10" ht="21.95" customHeight="1" thickBot="1" x14ac:dyDescent="0.3">
      <c r="B48" s="364" t="s">
        <v>71</v>
      </c>
      <c r="C48" s="365">
        <f t="shared" si="0"/>
        <v>19.973544760905224</v>
      </c>
      <c r="D48" s="366">
        <f>D49</f>
        <v>5053.3068245090217</v>
      </c>
      <c r="E48" s="367">
        <f>SUM(E49:E49)</f>
        <v>12</v>
      </c>
      <c r="F48" s="368">
        <f>D48*E48</f>
        <v>60639.68189410826</v>
      </c>
      <c r="G48" s="309"/>
    </row>
    <row r="49" spans="2:12" ht="21.95" customHeight="1" thickBot="1" x14ac:dyDescent="0.3">
      <c r="B49" s="347" t="s">
        <v>509</v>
      </c>
      <c r="C49" s="369">
        <f>D49/253</f>
        <v>19.973544760905224</v>
      </c>
      <c r="D49" s="370">
        <f>D47*0.1</f>
        <v>5053.3068245090217</v>
      </c>
      <c r="E49" s="371">
        <v>12</v>
      </c>
      <c r="F49" s="372">
        <f>D49*E49</f>
        <v>60639.68189410826</v>
      </c>
      <c r="G49" s="373"/>
      <c r="H49" s="374"/>
      <c r="I49" s="374"/>
      <c r="J49" s="374"/>
      <c r="K49" s="374"/>
      <c r="L49" s="374"/>
    </row>
    <row r="50" spans="2:12" ht="21.95" customHeight="1" thickBot="1" x14ac:dyDescent="0.3">
      <c r="B50" s="359" t="s">
        <v>65</v>
      </c>
      <c r="C50" s="360">
        <f t="shared" si="0"/>
        <v>219.70899236995746</v>
      </c>
      <c r="D50" s="361">
        <f>D51</f>
        <v>55586.375069599235</v>
      </c>
      <c r="E50" s="362">
        <f>E48</f>
        <v>12</v>
      </c>
      <c r="F50" s="363">
        <f>D50*E50</f>
        <v>667036.50083519076</v>
      </c>
      <c r="G50" s="345"/>
    </row>
    <row r="51" spans="2:12" ht="21.95" customHeight="1" thickBot="1" x14ac:dyDescent="0.3">
      <c r="B51" s="375" t="s">
        <v>511</v>
      </c>
      <c r="C51" s="295">
        <f t="shared" si="0"/>
        <v>219.70899236995746</v>
      </c>
      <c r="D51" s="376">
        <f>D47+D48</f>
        <v>55586.375069599235</v>
      </c>
      <c r="E51" s="377">
        <f>E49</f>
        <v>12</v>
      </c>
      <c r="F51" s="378">
        <f>D51*E51</f>
        <v>667036.50083519076</v>
      </c>
      <c r="G51" s="309"/>
    </row>
    <row r="52" spans="2:12" ht="21.95" customHeight="1" thickBot="1" x14ac:dyDescent="0.3">
      <c r="B52" s="379" t="s">
        <v>460</v>
      </c>
      <c r="C52" s="380">
        <v>2.11</v>
      </c>
      <c r="D52" s="381">
        <f>D50*0.01</f>
        <v>555.86375069599239</v>
      </c>
      <c r="E52" s="382">
        <f>E50</f>
        <v>12</v>
      </c>
      <c r="F52" s="383">
        <f>F51*1%</f>
        <v>6670.3650083519078</v>
      </c>
      <c r="G52" s="309"/>
    </row>
    <row r="53" spans="2:12" ht="21.95" customHeight="1" thickBot="1" x14ac:dyDescent="0.3">
      <c r="B53" s="375" t="s">
        <v>510</v>
      </c>
      <c r="C53" s="384">
        <v>221.82</v>
      </c>
      <c r="D53" s="376">
        <f>D50+D52</f>
        <v>56142.238820295228</v>
      </c>
      <c r="E53" s="377">
        <f>E51</f>
        <v>12</v>
      </c>
      <c r="F53" s="378">
        <f>D53*E53</f>
        <v>673706.86584354274</v>
      </c>
      <c r="G53" s="345"/>
    </row>
    <row r="54" spans="2:12" ht="21.95" customHeight="1" x14ac:dyDescent="0.25">
      <c r="C54" s="279">
        <f>C51+C52</f>
        <v>221.81899236995747</v>
      </c>
      <c r="F54" s="279"/>
      <c r="G54" s="309"/>
    </row>
    <row r="55" spans="2:12" ht="21.95" customHeight="1" x14ac:dyDescent="0.25">
      <c r="C55" s="279">
        <v>6.18</v>
      </c>
      <c r="F55" s="386"/>
      <c r="G55" s="309"/>
    </row>
    <row r="56" spans="2:12" ht="21.95" customHeight="1" x14ac:dyDescent="0.25">
      <c r="B56" s="280">
        <v>201.85</v>
      </c>
      <c r="C56" s="279">
        <f>C53+C55</f>
        <v>228</v>
      </c>
      <c r="D56" s="280">
        <f>2.2-0.09</f>
        <v>2.1100000000000003</v>
      </c>
      <c r="F56" s="386"/>
      <c r="G56" s="309"/>
    </row>
    <row r="57" spans="2:12" ht="21.95" customHeight="1" x14ac:dyDescent="0.25">
      <c r="B57" s="280">
        <v>19.97</v>
      </c>
      <c r="F57" s="387"/>
      <c r="G57" s="309"/>
    </row>
    <row r="58" spans="2:12" ht="21.95" customHeight="1" x14ac:dyDescent="0.25">
      <c r="B58" s="280">
        <f>B56+B57</f>
        <v>221.82</v>
      </c>
      <c r="D58" s="280">
        <v>228</v>
      </c>
      <c r="F58" s="387"/>
      <c r="G58" s="309"/>
    </row>
    <row r="59" spans="2:12" ht="21.95" customHeight="1" x14ac:dyDescent="0.25">
      <c r="D59" s="280">
        <v>-6.18</v>
      </c>
      <c r="F59" s="387"/>
    </row>
  </sheetData>
  <mergeCells count="1">
    <mergeCell ref="B2:F2"/>
  </mergeCells>
  <conditionalFormatting sqref="L5:L30">
    <cfRule type="cellIs" dxfId="8" priority="3" operator="lessThan">
      <formula>-1</formula>
    </cfRule>
  </conditionalFormatting>
  <pageMargins left="0.39370078740157483" right="0" top="0.78740157480314965" bottom="0" header="0" footer="0"/>
  <pageSetup paperSize="9" scale="66" orientation="portrait" r:id="rId1"/>
  <colBreaks count="1" manualBreakCount="1">
    <brk id="6" max="52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6"/>
  <sheetViews>
    <sheetView showGridLines="0" view="pageBreakPreview" topLeftCell="A4" zoomScale="60" zoomScaleNormal="91" workbookViewId="0">
      <selection activeCell="L39" sqref="L39"/>
    </sheetView>
  </sheetViews>
  <sheetFormatPr defaultRowHeight="15" x14ac:dyDescent="0.25"/>
  <cols>
    <col min="1" max="1" width="0.7109375" customWidth="1"/>
    <col min="2" max="2" width="32" bestFit="1" customWidth="1"/>
    <col min="3" max="3" width="8" customWidth="1"/>
    <col min="4" max="4" width="11.42578125" bestFit="1" customWidth="1"/>
    <col min="5" max="5" width="1.42578125" customWidth="1"/>
    <col min="6" max="6" width="32" bestFit="1" customWidth="1"/>
    <col min="7" max="7" width="8" bestFit="1" customWidth="1"/>
    <col min="8" max="8" width="11.42578125" bestFit="1" customWidth="1"/>
    <col min="9" max="9" width="1.5703125" customWidth="1"/>
    <col min="10" max="10" width="32" bestFit="1" customWidth="1"/>
    <col min="11" max="11" width="8" bestFit="1" customWidth="1"/>
    <col min="12" max="12" width="11.42578125" bestFit="1" customWidth="1"/>
    <col min="13" max="13" width="1.85546875" customWidth="1"/>
    <col min="14" max="14" width="16.5703125" bestFit="1" customWidth="1"/>
    <col min="15" max="15" width="11.140625" bestFit="1" customWidth="1"/>
    <col min="16" max="16" width="11.7109375" bestFit="1" customWidth="1"/>
    <col min="17" max="17" width="11.85546875" customWidth="1"/>
    <col min="18" max="18" width="11.140625" bestFit="1" customWidth="1"/>
    <col min="19" max="19" width="10.5703125" bestFit="1" customWidth="1"/>
    <col min="20" max="20" width="11" bestFit="1" customWidth="1"/>
  </cols>
  <sheetData>
    <row r="1" spans="2:12" ht="3" customHeight="1" x14ac:dyDescent="0.25"/>
    <row r="2" spans="2:12" ht="15.75" customHeight="1" x14ac:dyDescent="0.25">
      <c r="B2" s="410" t="s">
        <v>470</v>
      </c>
      <c r="C2" s="411"/>
      <c r="D2" s="412"/>
      <c r="F2" s="410" t="s">
        <v>470</v>
      </c>
      <c r="G2" s="411"/>
      <c r="H2" s="412"/>
      <c r="J2" s="410" t="s">
        <v>470</v>
      </c>
      <c r="K2" s="411"/>
      <c r="L2" s="412"/>
    </row>
    <row r="3" spans="2:12" x14ac:dyDescent="0.25">
      <c r="B3" s="413"/>
      <c r="C3" s="414"/>
      <c r="D3" s="415"/>
      <c r="F3" s="413"/>
      <c r="G3" s="414"/>
      <c r="H3" s="415"/>
      <c r="J3" s="413"/>
      <c r="K3" s="414"/>
      <c r="L3" s="415"/>
    </row>
    <row r="4" spans="2:12" ht="15.75" x14ac:dyDescent="0.25">
      <c r="B4" s="407" t="s">
        <v>475</v>
      </c>
      <c r="C4" s="408"/>
      <c r="D4" s="409"/>
      <c r="F4" s="407" t="s">
        <v>514</v>
      </c>
      <c r="G4" s="408"/>
      <c r="H4" s="409"/>
      <c r="J4" s="407" t="s">
        <v>476</v>
      </c>
      <c r="K4" s="408"/>
      <c r="L4" s="409"/>
    </row>
    <row r="5" spans="2:12" ht="15.75" x14ac:dyDescent="0.25">
      <c r="B5" s="199" t="s">
        <v>477</v>
      </c>
      <c r="C5" s="200" t="s">
        <v>478</v>
      </c>
      <c r="D5" s="201" t="s">
        <v>478</v>
      </c>
      <c r="F5" s="199" t="s">
        <v>477</v>
      </c>
      <c r="G5" s="200" t="s">
        <v>478</v>
      </c>
      <c r="H5" s="201" t="s">
        <v>478</v>
      </c>
      <c r="J5" s="199" t="s">
        <v>477</v>
      </c>
      <c r="K5" s="200" t="s">
        <v>478</v>
      </c>
      <c r="L5" s="201" t="s">
        <v>478</v>
      </c>
    </row>
    <row r="6" spans="2:12" ht="15.75" x14ac:dyDescent="0.25">
      <c r="B6" s="206" t="s">
        <v>480</v>
      </c>
      <c r="C6" s="206"/>
      <c r="D6" s="207">
        <f>1/12</f>
        <v>8.3333333333333329E-2</v>
      </c>
      <c r="F6" s="206" t="s">
        <v>480</v>
      </c>
      <c r="G6" s="206"/>
      <c r="H6" s="207">
        <f>1/12</f>
        <v>8.3333333333333329E-2</v>
      </c>
      <c r="J6" s="206" t="s">
        <v>480</v>
      </c>
      <c r="K6" s="206"/>
      <c r="L6" s="207">
        <v>0</v>
      </c>
    </row>
    <row r="7" spans="2:12" ht="15.75" x14ac:dyDescent="0.25">
      <c r="B7" s="208" t="s">
        <v>482</v>
      </c>
      <c r="C7" s="208"/>
      <c r="D7" s="209">
        <f>1/12*1.3333333</f>
        <v>0.11111110833333333</v>
      </c>
      <c r="F7" s="208" t="s">
        <v>482</v>
      </c>
      <c r="G7" s="208"/>
      <c r="H7" s="209">
        <f>1/12*1.3333333</f>
        <v>0.11111110833333333</v>
      </c>
      <c r="J7" s="208" t="s">
        <v>482</v>
      </c>
      <c r="K7" s="208"/>
      <c r="L7" s="209">
        <v>0</v>
      </c>
    </row>
    <row r="8" spans="2:12" ht="15.75" x14ac:dyDescent="0.25">
      <c r="B8" s="208" t="s">
        <v>484</v>
      </c>
      <c r="C8" s="210">
        <v>0.2</v>
      </c>
      <c r="D8" s="211"/>
      <c r="F8" s="208" t="s">
        <v>484</v>
      </c>
      <c r="G8" s="210">
        <v>0.2</v>
      </c>
      <c r="H8" s="211"/>
      <c r="J8" s="208" t="s">
        <v>485</v>
      </c>
      <c r="K8" s="210">
        <v>0.2</v>
      </c>
      <c r="L8" s="211"/>
    </row>
    <row r="9" spans="2:12" ht="15.75" x14ac:dyDescent="0.25">
      <c r="B9" s="208" t="s">
        <v>486</v>
      </c>
      <c r="C9" s="210">
        <v>0.03</v>
      </c>
      <c r="D9" s="211"/>
      <c r="F9" s="208" t="s">
        <v>486</v>
      </c>
      <c r="G9" s="210">
        <v>0.03</v>
      </c>
      <c r="H9" s="211"/>
      <c r="J9" s="208" t="s">
        <v>487</v>
      </c>
      <c r="K9" s="210">
        <v>0.11</v>
      </c>
      <c r="L9" s="211"/>
    </row>
    <row r="10" spans="2:12" ht="15.75" x14ac:dyDescent="0.25">
      <c r="B10" s="208" t="s">
        <v>488</v>
      </c>
      <c r="C10" s="210">
        <v>2.5000000000000001E-2</v>
      </c>
      <c r="D10" s="211"/>
      <c r="F10" s="208" t="s">
        <v>488</v>
      </c>
      <c r="G10" s="210">
        <v>2.5000000000000001E-2</v>
      </c>
      <c r="H10" s="211"/>
      <c r="J10" s="208" t="s">
        <v>488</v>
      </c>
      <c r="K10" s="210">
        <v>0</v>
      </c>
      <c r="L10" s="211"/>
    </row>
    <row r="11" spans="2:12" ht="15.75" x14ac:dyDescent="0.25">
      <c r="B11" s="208" t="s">
        <v>489</v>
      </c>
      <c r="C11" s="210">
        <f>0.2%+1%+1.5%+0.6%</f>
        <v>3.3000000000000002E-2</v>
      </c>
      <c r="D11" s="211"/>
      <c r="F11" s="208" t="s">
        <v>489</v>
      </c>
      <c r="G11" s="210">
        <f>0.2%+1%+1.5%+0.6%</f>
        <v>3.3000000000000002E-2</v>
      </c>
      <c r="H11" s="211"/>
      <c r="J11" s="208" t="s">
        <v>489</v>
      </c>
      <c r="K11" s="210">
        <v>0</v>
      </c>
      <c r="L11" s="211"/>
    </row>
    <row r="12" spans="2:12" ht="15.75" x14ac:dyDescent="0.25">
      <c r="B12" s="208" t="s">
        <v>490</v>
      </c>
      <c r="C12" s="210">
        <v>0.08</v>
      </c>
      <c r="D12" s="211"/>
      <c r="F12" s="208" t="s">
        <v>490</v>
      </c>
      <c r="G12" s="210">
        <v>0.08</v>
      </c>
      <c r="H12" s="211"/>
      <c r="J12" s="208" t="s">
        <v>490</v>
      </c>
      <c r="K12" s="210">
        <v>0</v>
      </c>
      <c r="L12" s="211"/>
    </row>
    <row r="13" spans="2:12" ht="15.75" x14ac:dyDescent="0.25">
      <c r="B13" s="208" t="s">
        <v>491</v>
      </c>
      <c r="C13" s="210">
        <f>8%*50%</f>
        <v>0.04</v>
      </c>
      <c r="D13" s="211"/>
      <c r="F13" s="208" t="s">
        <v>491</v>
      </c>
      <c r="G13" s="210">
        <f>8%*50%</f>
        <v>0.04</v>
      </c>
      <c r="H13" s="211"/>
      <c r="J13" s="208" t="s">
        <v>491</v>
      </c>
      <c r="K13" s="210">
        <v>0</v>
      </c>
      <c r="L13" s="211"/>
    </row>
    <row r="14" spans="2:12" ht="15.75" x14ac:dyDescent="0.25">
      <c r="B14" s="208" t="s">
        <v>492</v>
      </c>
      <c r="C14" s="208"/>
      <c r="D14" s="209">
        <f>SUM(C8:C13)</f>
        <v>0.40800000000000003</v>
      </c>
      <c r="F14" s="208" t="s">
        <v>492</v>
      </c>
      <c r="G14" s="208"/>
      <c r="H14" s="209">
        <f>SUM(G8:G13)</f>
        <v>0.40800000000000003</v>
      </c>
      <c r="J14" s="208" t="s">
        <v>492</v>
      </c>
      <c r="K14" s="208"/>
      <c r="L14" s="209">
        <f>SUM(K8:K13)</f>
        <v>0.31</v>
      </c>
    </row>
    <row r="15" spans="2:12" ht="15.75" x14ac:dyDescent="0.25">
      <c r="B15" s="208" t="s">
        <v>493</v>
      </c>
      <c r="C15" s="210"/>
      <c r="D15" s="209">
        <f>D14*(D7+D6)</f>
        <v>7.9333332200000009E-2</v>
      </c>
      <c r="F15" s="208" t="s">
        <v>493</v>
      </c>
      <c r="G15" s="210"/>
      <c r="H15" s="209">
        <f>H14*(H7+H6)</f>
        <v>7.9333332200000009E-2</v>
      </c>
      <c r="J15" s="208" t="s">
        <v>493</v>
      </c>
      <c r="K15" s="210"/>
      <c r="L15" s="209">
        <f>L14*(L7+L6)</f>
        <v>0</v>
      </c>
    </row>
    <row r="16" spans="2:12" ht="15.75" x14ac:dyDescent="0.25">
      <c r="B16" s="208" t="s">
        <v>494</v>
      </c>
      <c r="C16" s="210"/>
      <c r="D16" s="209">
        <v>0.06</v>
      </c>
      <c r="F16" s="208" t="s">
        <v>494</v>
      </c>
      <c r="G16" s="210"/>
      <c r="H16" s="209">
        <v>0.06</v>
      </c>
      <c r="J16" s="208" t="s">
        <v>494</v>
      </c>
      <c r="K16" s="210"/>
      <c r="L16" s="209">
        <v>0</v>
      </c>
    </row>
    <row r="17" spans="2:19" ht="15.75" x14ac:dyDescent="0.25">
      <c r="B17" s="208" t="s">
        <v>495</v>
      </c>
      <c r="C17" s="210"/>
      <c r="D17" s="209">
        <v>0.01</v>
      </c>
      <c r="F17" s="208" t="s">
        <v>495</v>
      </c>
      <c r="G17" s="210"/>
      <c r="H17" s="209">
        <v>0.01</v>
      </c>
      <c r="J17" s="208" t="s">
        <v>495</v>
      </c>
      <c r="K17" s="210"/>
      <c r="L17" s="209">
        <v>0.01</v>
      </c>
    </row>
    <row r="18" spans="2:19" ht="15.75" x14ac:dyDescent="0.25">
      <c r="B18" s="220" t="s">
        <v>496</v>
      </c>
      <c r="C18" s="221"/>
      <c r="D18" s="222">
        <f>SUM(D6:D17)</f>
        <v>0.75177777386666667</v>
      </c>
      <c r="F18" s="220" t="s">
        <v>496</v>
      </c>
      <c r="G18" s="221"/>
      <c r="H18" s="222">
        <f>SUM(H6:H17)</f>
        <v>0.75177777386666667</v>
      </c>
      <c r="J18" s="220" t="s">
        <v>496</v>
      </c>
      <c r="K18" s="221"/>
      <c r="L18" s="222">
        <f>SUM(L6:L17)</f>
        <v>0.32</v>
      </c>
    </row>
    <row r="19" spans="2:19" ht="15.75" x14ac:dyDescent="0.25">
      <c r="B19" s="223" t="s">
        <v>497</v>
      </c>
      <c r="C19" s="224"/>
      <c r="D19" s="225">
        <v>1000</v>
      </c>
      <c r="F19" s="223" t="s">
        <v>497</v>
      </c>
      <c r="G19" s="224"/>
      <c r="H19" s="225">
        <v>2000</v>
      </c>
      <c r="J19" s="223" t="s">
        <v>497</v>
      </c>
      <c r="K19" s="224"/>
      <c r="L19" s="225">
        <f>954*2</f>
        <v>1908</v>
      </c>
    </row>
    <row r="20" spans="2:19" ht="15.75" x14ac:dyDescent="0.25">
      <c r="B20" s="226" t="s">
        <v>498</v>
      </c>
      <c r="C20" s="227"/>
      <c r="D20" s="228">
        <f>D19*D18</f>
        <v>751.77777386666662</v>
      </c>
      <c r="F20" s="226" t="s">
        <v>498</v>
      </c>
      <c r="G20" s="227"/>
      <c r="H20" s="228">
        <f>H19*H18</f>
        <v>1503.5555477333332</v>
      </c>
      <c r="J20" s="226" t="s">
        <v>498</v>
      </c>
      <c r="K20" s="227"/>
      <c r="L20" s="228">
        <f>L19*L18</f>
        <v>610.56000000000006</v>
      </c>
    </row>
    <row r="21" spans="2:19" ht="15.75" x14ac:dyDescent="0.25">
      <c r="B21" s="226" t="s">
        <v>494</v>
      </c>
      <c r="C21" s="227"/>
      <c r="D21" s="228">
        <v>192.4</v>
      </c>
      <c r="F21" s="226" t="s">
        <v>494</v>
      </c>
      <c r="G21" s="227"/>
      <c r="H21" s="228">
        <v>192.4</v>
      </c>
      <c r="J21" s="226"/>
      <c r="K21" s="227"/>
      <c r="L21" s="228"/>
      <c r="R21" s="129"/>
    </row>
    <row r="22" spans="2:19" ht="15.75" x14ac:dyDescent="0.25">
      <c r="B22" s="226" t="s">
        <v>503</v>
      </c>
      <c r="C22" s="227"/>
      <c r="D22" s="228">
        <f>22*10</f>
        <v>220</v>
      </c>
      <c r="F22" s="226" t="s">
        <v>503</v>
      </c>
      <c r="G22" s="227"/>
      <c r="H22" s="228">
        <f>22*10</f>
        <v>220</v>
      </c>
      <c r="J22" s="226"/>
      <c r="K22" s="227"/>
      <c r="L22" s="228"/>
      <c r="R22" s="70"/>
    </row>
    <row r="23" spans="2:19" ht="15.75" x14ac:dyDescent="0.25">
      <c r="B23" s="229" t="s">
        <v>499</v>
      </c>
      <c r="C23" s="230"/>
      <c r="D23" s="231">
        <f>SUM(D19:D22)</f>
        <v>2164.1777738666669</v>
      </c>
      <c r="F23" s="229" t="s">
        <v>499</v>
      </c>
      <c r="G23" s="230"/>
      <c r="H23" s="231">
        <f>SUM(H19:H22)</f>
        <v>3915.9555477333333</v>
      </c>
      <c r="J23" s="229" t="s">
        <v>499</v>
      </c>
      <c r="K23" s="230"/>
      <c r="L23" s="231">
        <f>SUM(L19:L20)</f>
        <v>2518.56</v>
      </c>
      <c r="R23" s="70"/>
      <c r="S23" s="70"/>
    </row>
    <row r="25" spans="2:19" x14ac:dyDescent="0.25">
      <c r="B25" s="410" t="s">
        <v>470</v>
      </c>
      <c r="C25" s="411"/>
      <c r="D25" s="412"/>
      <c r="F25" s="410" t="s">
        <v>470</v>
      </c>
      <c r="G25" s="411"/>
      <c r="H25" s="412"/>
    </row>
    <row r="26" spans="2:19" x14ac:dyDescent="0.25">
      <c r="B26" s="413"/>
      <c r="C26" s="414"/>
      <c r="D26" s="415"/>
      <c r="F26" s="413"/>
      <c r="G26" s="414"/>
      <c r="H26" s="415"/>
    </row>
    <row r="27" spans="2:19" ht="15.75" x14ac:dyDescent="0.25">
      <c r="B27" s="407" t="s">
        <v>481</v>
      </c>
      <c r="C27" s="408"/>
      <c r="D27" s="409"/>
      <c r="F27" s="407" t="s">
        <v>483</v>
      </c>
      <c r="G27" s="408"/>
      <c r="H27" s="409"/>
    </row>
    <row r="28" spans="2:19" ht="16.5" thickBot="1" x14ac:dyDescent="0.3">
      <c r="B28" s="199" t="s">
        <v>477</v>
      </c>
      <c r="C28" s="200" t="s">
        <v>478</v>
      </c>
      <c r="D28" s="201" t="s">
        <v>478</v>
      </c>
      <c r="F28" s="199" t="s">
        <v>477</v>
      </c>
      <c r="G28" s="200" t="s">
        <v>478</v>
      </c>
      <c r="H28" s="201" t="s">
        <v>478</v>
      </c>
    </row>
    <row r="29" spans="2:19" ht="16.5" thickBot="1" x14ac:dyDescent="0.3">
      <c r="B29" s="206" t="s">
        <v>480</v>
      </c>
      <c r="C29" s="206"/>
      <c r="D29" s="207">
        <f>1/12</f>
        <v>8.3333333333333329E-2</v>
      </c>
      <c r="F29" s="206" t="s">
        <v>480</v>
      </c>
      <c r="G29" s="206"/>
      <c r="H29" s="207">
        <f>1/12</f>
        <v>8.3333333333333329E-2</v>
      </c>
      <c r="J29" s="192" t="s">
        <v>471</v>
      </c>
      <c r="K29" s="193" t="s">
        <v>472</v>
      </c>
      <c r="L29" s="194" t="s">
        <v>473</v>
      </c>
      <c r="M29" s="194" t="s">
        <v>474</v>
      </c>
      <c r="N29" s="195" t="s">
        <v>43</v>
      </c>
    </row>
    <row r="30" spans="2:19" ht="15.75" x14ac:dyDescent="0.25">
      <c r="B30" s="208" t="s">
        <v>482</v>
      </c>
      <c r="C30" s="208"/>
      <c r="D30" s="209">
        <f>1/12*1.3333333</f>
        <v>0.11111110833333333</v>
      </c>
      <c r="F30" s="208" t="s">
        <v>482</v>
      </c>
      <c r="G30" s="208"/>
      <c r="H30" s="209">
        <f>1/12*1.3333333</f>
        <v>0.11111110833333333</v>
      </c>
      <c r="J30" s="196" t="s">
        <v>475</v>
      </c>
      <c r="K30" s="197">
        <v>2</v>
      </c>
      <c r="L30" s="198">
        <v>1078</v>
      </c>
      <c r="M30" s="198">
        <f>K30*L30</f>
        <v>2156</v>
      </c>
      <c r="N30" s="232">
        <f>SUM(D20:D22)*K30</f>
        <v>2328.355547733333</v>
      </c>
    </row>
    <row r="31" spans="2:19" ht="15.75" x14ac:dyDescent="0.25">
      <c r="B31" s="208" t="s">
        <v>484</v>
      </c>
      <c r="C31" s="210">
        <v>0.2</v>
      </c>
      <c r="D31" s="211"/>
      <c r="F31" s="208" t="s">
        <v>484</v>
      </c>
      <c r="G31" s="210">
        <v>0.2</v>
      </c>
      <c r="H31" s="211"/>
      <c r="J31" s="202" t="s">
        <v>479</v>
      </c>
      <c r="K31" s="203">
        <v>1</v>
      </c>
      <c r="L31" s="204">
        <v>2000</v>
      </c>
      <c r="M31" s="204">
        <f>K31*L31</f>
        <v>2000</v>
      </c>
      <c r="N31" s="205">
        <f>SUM(H20:H22)*K31</f>
        <v>1915.9555477333333</v>
      </c>
      <c r="O31" s="129"/>
    </row>
    <row r="32" spans="2:19" ht="15.75" x14ac:dyDescent="0.25">
      <c r="B32" s="208" t="s">
        <v>486</v>
      </c>
      <c r="C32" s="210">
        <v>0.03</v>
      </c>
      <c r="D32" s="211"/>
      <c r="F32" s="208" t="s">
        <v>486</v>
      </c>
      <c r="G32" s="210">
        <v>0.03</v>
      </c>
      <c r="H32" s="211"/>
      <c r="J32" s="202" t="s">
        <v>481</v>
      </c>
      <c r="K32" s="203">
        <v>2</v>
      </c>
      <c r="L32" s="204">
        <v>1206</v>
      </c>
      <c r="M32" s="204">
        <f>K32*L32</f>
        <v>2412</v>
      </c>
      <c r="N32" s="205">
        <f>SUM(D43:D45)*K32</f>
        <v>2661.0873583346774</v>
      </c>
      <c r="O32" s="129"/>
    </row>
    <row r="33" spans="2:20" ht="15.75" x14ac:dyDescent="0.25">
      <c r="B33" s="208" t="s">
        <v>488</v>
      </c>
      <c r="C33" s="210">
        <v>2.5000000000000001E-2</v>
      </c>
      <c r="D33" s="211"/>
      <c r="F33" s="208" t="s">
        <v>488</v>
      </c>
      <c r="G33" s="210">
        <v>2.5000000000000001E-2</v>
      </c>
      <c r="H33" s="211"/>
      <c r="J33" s="202" t="s">
        <v>483</v>
      </c>
      <c r="K33" s="203">
        <v>2</v>
      </c>
      <c r="L33" s="204">
        <v>1704</v>
      </c>
      <c r="M33" s="204">
        <f>K33*L33</f>
        <v>3408</v>
      </c>
      <c r="N33" s="205">
        <f>SUM(H43:H45)*K33</f>
        <v>3161.1097912888745</v>
      </c>
      <c r="O33" s="129"/>
      <c r="P33" s="70"/>
    </row>
    <row r="34" spans="2:20" ht="16.5" thickBot="1" x14ac:dyDescent="0.3">
      <c r="B34" s="208" t="s">
        <v>489</v>
      </c>
      <c r="C34" s="210">
        <f>0.2%+1%+1.5%+0.6%</f>
        <v>3.3000000000000002E-2</v>
      </c>
      <c r="D34" s="211"/>
      <c r="F34" s="208" t="s">
        <v>489</v>
      </c>
      <c r="G34" s="210">
        <f>0.2%+1%+1.5%+0.6%</f>
        <v>3.3000000000000002E-2</v>
      </c>
      <c r="H34" s="211"/>
      <c r="J34" s="212" t="s">
        <v>476</v>
      </c>
      <c r="K34" s="213">
        <v>1</v>
      </c>
      <c r="L34" s="214">
        <v>1908</v>
      </c>
      <c r="M34" s="214">
        <v>1908</v>
      </c>
      <c r="N34" s="215">
        <f>L20*K34</f>
        <v>610.56000000000006</v>
      </c>
    </row>
    <row r="35" spans="2:20" ht="16.5" thickBot="1" x14ac:dyDescent="0.3">
      <c r="B35" s="208" t="s">
        <v>490</v>
      </c>
      <c r="C35" s="210">
        <v>0.08</v>
      </c>
      <c r="D35" s="211"/>
      <c r="F35" s="208" t="s">
        <v>490</v>
      </c>
      <c r="G35" s="210">
        <v>0.08</v>
      </c>
      <c r="H35" s="211"/>
      <c r="J35" s="216" t="s">
        <v>89</v>
      </c>
      <c r="K35" s="193">
        <f>SUM(K30:K34)</f>
        <v>8</v>
      </c>
      <c r="L35" s="217">
        <f>SUM(L30:L34)</f>
        <v>7896</v>
      </c>
      <c r="M35" s="217">
        <f>SUM(M30:M34)</f>
        <v>11884</v>
      </c>
      <c r="N35" s="218">
        <f>SUM(N30:N34)</f>
        <v>10677.068245090219</v>
      </c>
    </row>
    <row r="36" spans="2:20" ht="16.5" thickBot="1" x14ac:dyDescent="0.3">
      <c r="B36" s="208" t="s">
        <v>491</v>
      </c>
      <c r="C36" s="210">
        <f>8%*50%</f>
        <v>0.04</v>
      </c>
      <c r="D36" s="211"/>
      <c r="F36" s="208" t="s">
        <v>491</v>
      </c>
      <c r="G36" s="210">
        <f>8%*50%</f>
        <v>0.04</v>
      </c>
      <c r="H36" s="211"/>
      <c r="N36" s="219">
        <f>M35+N35</f>
        <v>22561.068245090217</v>
      </c>
    </row>
    <row r="37" spans="2:20" ht="15.75" x14ac:dyDescent="0.25">
      <c r="B37" s="208" t="s">
        <v>492</v>
      </c>
      <c r="C37" s="208"/>
      <c r="D37" s="209">
        <f>SUM(C31:C36)</f>
        <v>0.40800000000000003</v>
      </c>
      <c r="F37" s="208" t="s">
        <v>492</v>
      </c>
      <c r="G37" s="208"/>
      <c r="H37" s="209">
        <f>SUM(G31:G36)</f>
        <v>0.40800000000000003</v>
      </c>
      <c r="N37" s="129"/>
      <c r="O37" s="129"/>
      <c r="P37" s="129"/>
    </row>
    <row r="38" spans="2:20" ht="15.75" x14ac:dyDescent="0.25">
      <c r="B38" s="208" t="s">
        <v>493</v>
      </c>
      <c r="C38" s="210"/>
      <c r="D38" s="209">
        <f>D37*(D30+D29)</f>
        <v>7.9333332200000009E-2</v>
      </c>
      <c r="F38" s="208" t="s">
        <v>493</v>
      </c>
      <c r="G38" s="210"/>
      <c r="H38" s="209">
        <f>H37*(H30+H29)</f>
        <v>7.9333332200000009E-2</v>
      </c>
      <c r="N38" s="129"/>
      <c r="O38" s="129"/>
      <c r="P38" s="129"/>
    </row>
    <row r="39" spans="2:20" ht="15.75" x14ac:dyDescent="0.25">
      <c r="B39" s="208" t="s">
        <v>494</v>
      </c>
      <c r="C39" s="210"/>
      <c r="D39" s="209">
        <v>0.06</v>
      </c>
      <c r="F39" s="208" t="s">
        <v>494</v>
      </c>
      <c r="G39" s="210"/>
      <c r="H39" s="209">
        <v>0.06</v>
      </c>
      <c r="N39" s="129"/>
      <c r="O39" s="129"/>
      <c r="P39" s="129"/>
    </row>
    <row r="40" spans="2:20" ht="15.75" x14ac:dyDescent="0.25">
      <c r="B40" s="208" t="s">
        <v>495</v>
      </c>
      <c r="C40" s="210"/>
      <c r="D40" s="209">
        <v>0.01</v>
      </c>
      <c r="F40" s="208" t="s">
        <v>495</v>
      </c>
      <c r="G40" s="210"/>
      <c r="H40" s="209">
        <v>0.01</v>
      </c>
      <c r="N40" s="254"/>
      <c r="O40" s="254"/>
      <c r="P40" s="254"/>
      <c r="Q40" s="254"/>
      <c r="R40" s="254"/>
      <c r="S40" s="254"/>
    </row>
    <row r="41" spans="2:20" ht="15.75" x14ac:dyDescent="0.25">
      <c r="B41" s="220" t="s">
        <v>496</v>
      </c>
      <c r="C41" s="221"/>
      <c r="D41" s="222">
        <f>SUM(D29:D40)</f>
        <v>0.75177777386666667</v>
      </c>
      <c r="F41" s="220" t="s">
        <v>496</v>
      </c>
      <c r="G41" s="221"/>
      <c r="H41" s="222">
        <f>SUM(H29:H40)</f>
        <v>0.75177777386666667</v>
      </c>
      <c r="N41" s="129"/>
      <c r="O41" s="129"/>
      <c r="P41" s="129"/>
      <c r="Q41" s="129"/>
      <c r="R41" s="129"/>
      <c r="S41" s="129"/>
      <c r="T41" s="129"/>
    </row>
    <row r="42" spans="2:20" ht="15.75" x14ac:dyDescent="0.25">
      <c r="B42" s="223" t="s">
        <v>497</v>
      </c>
      <c r="C42" s="224"/>
      <c r="D42" s="225">
        <v>1349.26</v>
      </c>
      <c r="F42" s="223" t="s">
        <v>497</v>
      </c>
      <c r="G42" s="224"/>
      <c r="H42" s="225">
        <v>1681.82</v>
      </c>
      <c r="T42" s="70"/>
    </row>
    <row r="43" spans="2:20" ht="15.75" x14ac:dyDescent="0.25">
      <c r="B43" s="226" t="s">
        <v>498</v>
      </c>
      <c r="C43" s="227"/>
      <c r="D43" s="228">
        <f>D42*D41</f>
        <v>1014.3436791673387</v>
      </c>
      <c r="F43" s="226" t="s">
        <v>498</v>
      </c>
      <c r="G43" s="227"/>
      <c r="H43" s="228">
        <f>H42*H41</f>
        <v>1264.3548956444372</v>
      </c>
    </row>
    <row r="44" spans="2:20" ht="15.75" x14ac:dyDescent="0.25">
      <c r="B44" s="226" t="s">
        <v>494</v>
      </c>
      <c r="C44" s="227"/>
      <c r="D44" s="228">
        <v>96.2</v>
      </c>
      <c r="F44" s="226" t="s">
        <v>494</v>
      </c>
      <c r="G44" s="227"/>
      <c r="H44" s="228">
        <v>96.2</v>
      </c>
      <c r="T44" s="70"/>
    </row>
    <row r="45" spans="2:20" ht="15.75" x14ac:dyDescent="0.25">
      <c r="B45" s="226" t="s">
        <v>503</v>
      </c>
      <c r="C45" s="227"/>
      <c r="D45" s="228">
        <f>22*10</f>
        <v>220</v>
      </c>
      <c r="F45" s="226" t="s">
        <v>503</v>
      </c>
      <c r="G45" s="227"/>
      <c r="H45" s="228">
        <f>22*10</f>
        <v>220</v>
      </c>
    </row>
    <row r="46" spans="2:20" ht="15.75" x14ac:dyDescent="0.25">
      <c r="B46" s="229" t="s">
        <v>499</v>
      </c>
      <c r="C46" s="230"/>
      <c r="D46" s="231">
        <f>SUM(D42:D45)</f>
        <v>2679.8036791673385</v>
      </c>
      <c r="F46" s="229" t="s">
        <v>499</v>
      </c>
      <c r="G46" s="230"/>
      <c r="H46" s="231">
        <f>SUM(H42:H45)</f>
        <v>3262.3748956444369</v>
      </c>
    </row>
  </sheetData>
  <mergeCells count="10">
    <mergeCell ref="B27:D27"/>
    <mergeCell ref="F27:H27"/>
    <mergeCell ref="B2:D3"/>
    <mergeCell ref="F2:H3"/>
    <mergeCell ref="J2:L3"/>
    <mergeCell ref="B4:D4"/>
    <mergeCell ref="F4:H4"/>
    <mergeCell ref="J4:L4"/>
    <mergeCell ref="B25:D26"/>
    <mergeCell ref="F25:H26"/>
  </mergeCells>
  <pageMargins left="0.51181102362204722" right="0.51181102362204722" top="0.78740157480314965" bottom="0.78740157480314965" header="0.31496062992125984" footer="0.31496062992125984"/>
  <pageSetup paperSize="9" scale="77" orientation="landscape" verticalDpi="0" r:id="rId1"/>
  <rowBreaks count="1" manualBreakCount="1">
    <brk id="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8"/>
  <sheetViews>
    <sheetView showGridLines="0" tabSelected="1" view="pageBreakPreview" zoomScale="60" zoomScaleNormal="100" workbookViewId="0">
      <selection activeCell="B15" sqref="B15"/>
    </sheetView>
  </sheetViews>
  <sheetFormatPr defaultRowHeight="15" x14ac:dyDescent="0.25"/>
  <cols>
    <col min="1" max="1" width="1.140625" customWidth="1"/>
    <col min="2" max="2" width="15.42578125" customWidth="1"/>
    <col min="3" max="12" width="10.5703125" bestFit="1" customWidth="1"/>
    <col min="13" max="14" width="11.5703125" bestFit="1" customWidth="1"/>
  </cols>
  <sheetData>
    <row r="1" spans="2:14" ht="15.75" thickBot="1" x14ac:dyDescent="0.3"/>
    <row r="2" spans="2:14" x14ac:dyDescent="0.25">
      <c r="B2" s="416" t="s">
        <v>536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8"/>
    </row>
    <row r="3" spans="2:14" x14ac:dyDescent="0.25">
      <c r="B3" s="255">
        <v>43070</v>
      </c>
      <c r="C3" s="256">
        <v>43101</v>
      </c>
      <c r="D3" s="256">
        <v>43132</v>
      </c>
      <c r="E3" s="256">
        <v>43160</v>
      </c>
      <c r="F3" s="256">
        <v>43191</v>
      </c>
      <c r="G3" s="256">
        <v>43221</v>
      </c>
      <c r="H3" s="256">
        <v>43252</v>
      </c>
      <c r="I3" s="256">
        <v>43282</v>
      </c>
      <c r="J3" s="256">
        <v>43313</v>
      </c>
      <c r="K3" s="256">
        <v>43344</v>
      </c>
      <c r="L3" s="256">
        <v>43374</v>
      </c>
      <c r="M3" s="256">
        <v>43405</v>
      </c>
      <c r="N3" s="257">
        <v>43435</v>
      </c>
    </row>
    <row r="4" spans="2:14" x14ac:dyDescent="0.25">
      <c r="B4" s="258">
        <f>15.92*256</f>
        <v>4075.52</v>
      </c>
      <c r="C4" s="259">
        <f>15.92*256</f>
        <v>4075.52</v>
      </c>
      <c r="D4" s="259">
        <f>15.92*256</f>
        <v>4075.52</v>
      </c>
      <c r="E4" s="259">
        <f>15.92*256</f>
        <v>4075.52</v>
      </c>
      <c r="F4" s="259">
        <v>5053.3100000000004</v>
      </c>
      <c r="G4" s="259">
        <v>5053.3100000000004</v>
      </c>
      <c r="H4" s="259">
        <v>5053.3100000000004</v>
      </c>
      <c r="I4" s="259">
        <v>5053.3100000000004</v>
      </c>
      <c r="J4" s="259">
        <v>5053.3100000000004</v>
      </c>
      <c r="K4" s="259">
        <v>5053.3100000000004</v>
      </c>
      <c r="L4" s="259">
        <v>5053.3100000000004</v>
      </c>
      <c r="M4" s="259">
        <v>5053.3100000000004</v>
      </c>
      <c r="N4" s="260">
        <v>5053.3100000000004</v>
      </c>
    </row>
    <row r="5" spans="2:14" ht="15.75" thickBot="1" x14ac:dyDescent="0.3">
      <c r="B5" s="272">
        <f>B4</f>
        <v>4075.52</v>
      </c>
      <c r="C5" s="267">
        <f>B4+C4</f>
        <v>8151.04</v>
      </c>
      <c r="D5" s="267">
        <f>C5+D4</f>
        <v>12226.56</v>
      </c>
      <c r="E5" s="267">
        <f>D5+E4</f>
        <v>16302.08</v>
      </c>
      <c r="F5" s="267">
        <f>E5+F4</f>
        <v>21355.39</v>
      </c>
      <c r="G5" s="267">
        <f t="shared" ref="G5:N5" si="0">F5+G4</f>
        <v>26408.7</v>
      </c>
      <c r="H5" s="267">
        <f t="shared" si="0"/>
        <v>31462.010000000002</v>
      </c>
      <c r="I5" s="267">
        <f t="shared" si="0"/>
        <v>36515.32</v>
      </c>
      <c r="J5" s="267">
        <f t="shared" si="0"/>
        <v>41568.629999999997</v>
      </c>
      <c r="K5" s="267">
        <f t="shared" si="0"/>
        <v>46621.939999999995</v>
      </c>
      <c r="L5" s="267">
        <f t="shared" si="0"/>
        <v>51675.249999999993</v>
      </c>
      <c r="M5" s="267">
        <f t="shared" si="0"/>
        <v>56728.55999999999</v>
      </c>
      <c r="N5" s="271">
        <f t="shared" si="0"/>
        <v>61781.869999999988</v>
      </c>
    </row>
    <row r="6" spans="2:14" ht="7.5" customHeight="1" thickBot="1" x14ac:dyDescent="0.3"/>
    <row r="7" spans="2:14" x14ac:dyDescent="0.25">
      <c r="B7" s="416" t="s">
        <v>538</v>
      </c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8"/>
    </row>
    <row r="8" spans="2:14" x14ac:dyDescent="0.25">
      <c r="B8" s="255">
        <v>43070</v>
      </c>
      <c r="C8" s="256">
        <v>43101</v>
      </c>
      <c r="D8" s="256">
        <v>43132</v>
      </c>
      <c r="E8" s="256">
        <v>43160</v>
      </c>
      <c r="F8" s="256">
        <v>43191</v>
      </c>
      <c r="G8" s="256">
        <v>43221</v>
      </c>
      <c r="H8" s="256">
        <v>43252</v>
      </c>
      <c r="I8" s="256">
        <v>43282</v>
      </c>
      <c r="J8" s="256">
        <v>43313</v>
      </c>
      <c r="K8" s="256">
        <v>43344</v>
      </c>
      <c r="L8" s="256">
        <v>43374</v>
      </c>
      <c r="M8" s="256">
        <v>43405</v>
      </c>
      <c r="N8" s="257">
        <v>43435</v>
      </c>
    </row>
    <row r="9" spans="2:14" x14ac:dyDescent="0.25">
      <c r="B9" s="258">
        <v>0</v>
      </c>
      <c r="C9" s="259">
        <v>0</v>
      </c>
      <c r="D9" s="259">
        <v>4267.2299999999996</v>
      </c>
      <c r="E9" s="259">
        <v>4267.2300000000005</v>
      </c>
      <c r="F9" s="259">
        <v>4267.2300000000005</v>
      </c>
      <c r="G9" s="259">
        <v>4267.2300000000005</v>
      </c>
      <c r="H9" s="259">
        <v>4267.2300000000005</v>
      </c>
      <c r="I9" s="259">
        <v>4267.2300000000005</v>
      </c>
      <c r="J9" s="259">
        <v>4267.2300000000005</v>
      </c>
      <c r="K9" s="259">
        <v>4267.2300000000005</v>
      </c>
      <c r="L9" s="259">
        <v>4267.2300000000005</v>
      </c>
      <c r="M9" s="259">
        <v>4267.2300000000005</v>
      </c>
      <c r="N9" s="260">
        <v>4267.2300000000005</v>
      </c>
    </row>
    <row r="10" spans="2:14" x14ac:dyDescent="0.25">
      <c r="B10" s="261"/>
      <c r="C10" s="96"/>
      <c r="D10" s="274">
        <f>D9</f>
        <v>4267.2299999999996</v>
      </c>
      <c r="E10" s="274">
        <f>D9+E9</f>
        <v>8534.4599999999991</v>
      </c>
      <c r="F10" s="274">
        <f t="shared" ref="F10:K10" si="1">E10+F9</f>
        <v>12801.689999999999</v>
      </c>
      <c r="G10" s="274">
        <f>F10+G9</f>
        <v>17068.919999999998</v>
      </c>
      <c r="H10" s="274">
        <f t="shared" si="1"/>
        <v>21336.149999999998</v>
      </c>
      <c r="I10" s="274">
        <f t="shared" si="1"/>
        <v>25603.379999999997</v>
      </c>
      <c r="J10" s="274">
        <f t="shared" si="1"/>
        <v>29870.609999999997</v>
      </c>
      <c r="K10" s="274">
        <f t="shared" si="1"/>
        <v>34137.839999999997</v>
      </c>
      <c r="L10" s="274">
        <f t="shared" ref="L10:N10" si="2">K10+L9</f>
        <v>38405.07</v>
      </c>
      <c r="M10" s="274">
        <f t="shared" si="2"/>
        <v>42672.3</v>
      </c>
      <c r="N10" s="262">
        <f t="shared" si="2"/>
        <v>46939.530000000006</v>
      </c>
    </row>
    <row r="11" spans="2:14" x14ac:dyDescent="0.25">
      <c r="B11" s="258">
        <v>20100</v>
      </c>
      <c r="C11" s="259">
        <f>B11*2</f>
        <v>40200</v>
      </c>
      <c r="D11" s="96"/>
      <c r="E11" s="263" t="s">
        <v>537</v>
      </c>
      <c r="F11" s="96"/>
      <c r="G11" s="96"/>
      <c r="H11" s="96"/>
      <c r="I11" s="96"/>
      <c r="J11" s="96"/>
      <c r="K11" s="96"/>
      <c r="L11" s="96"/>
      <c r="M11" s="96"/>
      <c r="N11" s="262">
        <f>SUM(B9:N9)</f>
        <v>46939.530000000006</v>
      </c>
    </row>
    <row r="12" spans="2:14" x14ac:dyDescent="0.25">
      <c r="B12" s="258">
        <f>B11*E12%</f>
        <v>5503.38</v>
      </c>
      <c r="C12" s="259">
        <f>B12*2</f>
        <v>11006.76</v>
      </c>
      <c r="D12" s="96"/>
      <c r="E12" s="96">
        <v>27.38</v>
      </c>
      <c r="F12" s="96"/>
      <c r="G12" s="96"/>
      <c r="H12" s="96"/>
      <c r="I12" s="96"/>
      <c r="J12" s="96"/>
      <c r="K12" s="96"/>
      <c r="L12" s="96"/>
      <c r="M12" s="96"/>
      <c r="N12" s="264"/>
    </row>
    <row r="13" spans="2:14" ht="15.75" thickBot="1" x14ac:dyDescent="0.3">
      <c r="B13" s="265">
        <f>B11+B12</f>
        <v>25603.38</v>
      </c>
      <c r="C13" s="266">
        <f>C11+C12</f>
        <v>51206.76</v>
      </c>
      <c r="D13" s="267">
        <f>C13/12</f>
        <v>4267.2300000000005</v>
      </c>
      <c r="E13" s="268"/>
      <c r="F13" s="268"/>
      <c r="G13" s="268"/>
      <c r="H13" s="268"/>
      <c r="I13" s="268"/>
      <c r="J13" s="268"/>
      <c r="K13" s="268"/>
      <c r="L13" s="268"/>
      <c r="M13" s="268"/>
      <c r="N13" s="269"/>
    </row>
    <row r="14" spans="2:14" ht="15.75" thickBot="1" x14ac:dyDescent="0.3"/>
    <row r="15" spans="2:14" x14ac:dyDescent="0.25">
      <c r="B15" s="395" t="s">
        <v>541</v>
      </c>
      <c r="C15" s="396"/>
      <c r="D15" s="397"/>
      <c r="E15" s="392">
        <v>500</v>
      </c>
    </row>
    <row r="16" spans="2:14" x14ac:dyDescent="0.25">
      <c r="B16" s="398" t="s">
        <v>543</v>
      </c>
      <c r="C16" s="391"/>
      <c r="D16" s="399"/>
      <c r="E16" s="393">
        <v>25</v>
      </c>
    </row>
    <row r="17" spans="2:14" ht="15.75" thickBot="1" x14ac:dyDescent="0.3">
      <c r="B17" s="398" t="s">
        <v>48</v>
      </c>
      <c r="C17" s="391"/>
      <c r="D17" s="399"/>
      <c r="E17" s="393">
        <v>250</v>
      </c>
    </row>
    <row r="18" spans="2:14" ht="15.75" thickBot="1" x14ac:dyDescent="0.3">
      <c r="B18" s="400" t="s">
        <v>544</v>
      </c>
      <c r="C18" s="401"/>
      <c r="D18" s="402"/>
      <c r="E18" s="394">
        <v>250</v>
      </c>
      <c r="F18" s="388">
        <f>SUM(E15:E18)</f>
        <v>1025</v>
      </c>
      <c r="G18" s="389">
        <f t="shared" ref="G18:N18" si="3">SUM(F15:F18)</f>
        <v>1025</v>
      </c>
      <c r="H18" s="389">
        <f t="shared" si="3"/>
        <v>1025</v>
      </c>
      <c r="I18" s="389">
        <f t="shared" si="3"/>
        <v>1025</v>
      </c>
      <c r="J18" s="389">
        <f t="shared" si="3"/>
        <v>1025</v>
      </c>
      <c r="K18" s="389">
        <f t="shared" si="3"/>
        <v>1025</v>
      </c>
      <c r="L18" s="389">
        <f t="shared" si="3"/>
        <v>1025</v>
      </c>
      <c r="M18" s="389">
        <f t="shared" si="3"/>
        <v>1025</v>
      </c>
      <c r="N18" s="390">
        <f t="shared" si="3"/>
        <v>1025</v>
      </c>
    </row>
    <row r="19" spans="2:14" ht="15.75" thickBot="1" x14ac:dyDescent="0.3"/>
    <row r="20" spans="2:14" x14ac:dyDescent="0.25">
      <c r="B20" s="416" t="s">
        <v>539</v>
      </c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8"/>
    </row>
    <row r="21" spans="2:14" x14ac:dyDescent="0.25">
      <c r="B21" s="255">
        <v>43070</v>
      </c>
      <c r="C21" s="256">
        <v>43101</v>
      </c>
      <c r="D21" s="256">
        <v>43132</v>
      </c>
      <c r="E21" s="256">
        <v>43160</v>
      </c>
      <c r="F21" s="256">
        <v>43191</v>
      </c>
      <c r="G21" s="256">
        <v>43221</v>
      </c>
      <c r="H21" s="256">
        <v>43252</v>
      </c>
      <c r="I21" s="256">
        <v>43282</v>
      </c>
      <c r="J21" s="256">
        <v>43313</v>
      </c>
      <c r="K21" s="256">
        <v>43344</v>
      </c>
      <c r="L21" s="256">
        <v>43374</v>
      </c>
      <c r="M21" s="256">
        <v>43405</v>
      </c>
      <c r="N21" s="257">
        <v>43435</v>
      </c>
    </row>
    <row r="22" spans="2:14" x14ac:dyDescent="0.25">
      <c r="B22" s="273">
        <f>B5+B10</f>
        <v>4075.52</v>
      </c>
      <c r="C22" s="273">
        <f>C5+C10</f>
        <v>8151.04</v>
      </c>
      <c r="D22" s="273">
        <f>D5+D10</f>
        <v>16493.79</v>
      </c>
      <c r="E22" s="273">
        <f>E5+E10</f>
        <v>24836.54</v>
      </c>
      <c r="F22" s="273">
        <f t="shared" ref="F22:N22" si="4">F5+F10+F18</f>
        <v>35182.080000000002</v>
      </c>
      <c r="G22" s="273">
        <f t="shared" si="4"/>
        <v>44502.619999999995</v>
      </c>
      <c r="H22" s="273">
        <f t="shared" si="4"/>
        <v>53823.16</v>
      </c>
      <c r="I22" s="273">
        <f t="shared" si="4"/>
        <v>63143.7</v>
      </c>
      <c r="J22" s="273">
        <f t="shared" si="4"/>
        <v>72464.239999999991</v>
      </c>
      <c r="K22" s="273">
        <f t="shared" si="4"/>
        <v>81784.78</v>
      </c>
      <c r="L22" s="273">
        <f t="shared" si="4"/>
        <v>91105.319999999992</v>
      </c>
      <c r="M22" s="273">
        <f t="shared" si="4"/>
        <v>100425.85999999999</v>
      </c>
      <c r="N22" s="275">
        <f t="shared" si="4"/>
        <v>109746.4</v>
      </c>
    </row>
    <row r="23" spans="2:14" ht="15.75" thickBot="1" x14ac:dyDescent="0.3">
      <c r="B23" s="270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71">
        <f>N5+N11</f>
        <v>108721.4</v>
      </c>
    </row>
    <row r="27" spans="2:14" x14ac:dyDescent="0.25">
      <c r="G27" s="70">
        <f>G9+G4</f>
        <v>9320.5400000000009</v>
      </c>
    </row>
    <row r="28" spans="2:14" x14ac:dyDescent="0.25">
      <c r="G28" s="70">
        <f>G27+1500</f>
        <v>10820.54</v>
      </c>
    </row>
  </sheetData>
  <mergeCells count="3">
    <mergeCell ref="B2:N2"/>
    <mergeCell ref="B7:N7"/>
    <mergeCell ref="B20:N20"/>
  </mergeCells>
  <pageMargins left="0.51181102362204722" right="0.51181102362204722" top="0.78740157480314965" bottom="0.78740157480314965" header="0.31496062992125984" footer="0.31496062992125984"/>
  <pageSetup paperSize="9" scale="93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F27" sqref="F27"/>
    </sheetView>
  </sheetViews>
  <sheetFormatPr defaultRowHeight="15" x14ac:dyDescent="0.25"/>
  <cols>
    <col min="1" max="1" width="40" style="1" bestFit="1" customWidth="1"/>
    <col min="2" max="2" width="8.5703125" style="1" bestFit="1" customWidth="1"/>
    <col min="3" max="3" width="12.140625" style="1" bestFit="1" customWidth="1"/>
    <col min="4" max="4" width="8.140625" style="1" hidden="1" customWidth="1"/>
    <col min="5" max="5" width="5.28515625" style="1" customWidth="1"/>
    <col min="6" max="6" width="12.140625" style="1" bestFit="1" customWidth="1"/>
    <col min="7" max="8" width="9.140625" style="1"/>
    <col min="9" max="9" width="15.5703125" style="1" customWidth="1"/>
    <col min="10" max="10" width="10.5703125" style="1" bestFit="1" customWidth="1"/>
    <col min="11" max="11" width="9.140625" style="1"/>
    <col min="12" max="12" width="1.7109375" style="1" customWidth="1"/>
    <col min="13" max="14" width="9.140625" style="1"/>
    <col min="15" max="15" width="19" style="1" customWidth="1"/>
    <col min="16" max="16" width="10.5703125" style="1" bestFit="1" customWidth="1"/>
    <col min="17" max="16384" width="9.140625" style="1"/>
  </cols>
  <sheetData>
    <row r="1" spans="1:17" ht="18.75" x14ac:dyDescent="0.3">
      <c r="A1" s="426">
        <v>2018</v>
      </c>
      <c r="B1" s="427"/>
      <c r="C1" s="428"/>
      <c r="D1" s="233">
        <v>2017</v>
      </c>
      <c r="F1" s="104"/>
      <c r="G1" s="420" t="s">
        <v>515</v>
      </c>
      <c r="H1" s="420"/>
      <c r="I1" s="420"/>
      <c r="J1" s="420"/>
      <c r="K1" s="104"/>
      <c r="L1" s="104"/>
      <c r="M1" s="429"/>
      <c r="N1" s="429"/>
      <c r="O1" s="429"/>
      <c r="P1" s="429"/>
      <c r="Q1" s="104"/>
    </row>
    <row r="2" spans="1:17" x14ac:dyDescent="0.25">
      <c r="A2" s="424" t="s">
        <v>469</v>
      </c>
      <c r="B2" s="424"/>
      <c r="C2" s="188">
        <f>'Previsão Orçamentária '!C47</f>
        <v>199.73544760905224</v>
      </c>
      <c r="D2" s="188">
        <f>SUM(D3:D5)</f>
        <v>0</v>
      </c>
      <c r="E2" s="184"/>
      <c r="G2" s="421"/>
      <c r="H2" s="422"/>
      <c r="I2" s="423"/>
      <c r="J2" s="234" t="s">
        <v>521</v>
      </c>
      <c r="K2" s="104"/>
      <c r="L2" s="104"/>
      <c r="M2" s="429"/>
      <c r="N2" s="429"/>
      <c r="O2" s="429"/>
      <c r="P2" s="104"/>
      <c r="Q2" s="104"/>
    </row>
    <row r="3" spans="1:17" x14ac:dyDescent="0.25">
      <c r="A3" s="425" t="s">
        <v>300</v>
      </c>
      <c r="B3" s="425"/>
      <c r="C3" s="253">
        <f>'Previsão Orçamentária '!D48/254</f>
        <v>19.894908757909533</v>
      </c>
      <c r="D3" s="185"/>
      <c r="E3" s="184"/>
      <c r="G3" s="419" t="s">
        <v>516</v>
      </c>
      <c r="H3" s="419"/>
      <c r="I3" s="419"/>
      <c r="J3" s="235">
        <f>'Previsão Orçamentária '!C47</f>
        <v>199.73544760905224</v>
      </c>
      <c r="K3" s="104"/>
      <c r="L3" s="104"/>
      <c r="M3" s="431"/>
      <c r="N3" s="431"/>
      <c r="O3" s="431"/>
      <c r="P3" s="243"/>
      <c r="Q3" s="104"/>
    </row>
    <row r="4" spans="1:17" x14ac:dyDescent="0.25">
      <c r="A4" s="425" t="s">
        <v>301</v>
      </c>
      <c r="B4" s="425"/>
      <c r="C4" s="253">
        <v>0</v>
      </c>
      <c r="D4" s="185"/>
      <c r="E4" s="184"/>
      <c r="G4" s="419" t="s">
        <v>532</v>
      </c>
      <c r="H4" s="419"/>
      <c r="I4" s="419"/>
      <c r="J4" s="235">
        <v>0</v>
      </c>
      <c r="K4" s="104"/>
      <c r="L4" s="104"/>
      <c r="M4" s="431"/>
      <c r="N4" s="431"/>
      <c r="O4" s="431"/>
      <c r="P4" s="243"/>
      <c r="Q4" s="104"/>
    </row>
    <row r="5" spans="1:17" x14ac:dyDescent="0.25">
      <c r="A5" s="425" t="s">
        <v>302</v>
      </c>
      <c r="B5" s="425"/>
      <c r="C5" s="253">
        <f>('Previsão Orçamentária '!D47+'taxa distribuidia por n de apto'!D52)/254</f>
        <v>198.94908757909533</v>
      </c>
      <c r="D5" s="186"/>
      <c r="E5" s="184"/>
      <c r="G5" s="419" t="s">
        <v>517</v>
      </c>
      <c r="H5" s="419"/>
      <c r="I5" s="419"/>
      <c r="J5" s="241">
        <v>0</v>
      </c>
      <c r="K5" s="104"/>
      <c r="L5" s="104"/>
      <c r="M5" s="431"/>
      <c r="N5" s="431"/>
      <c r="O5" s="431"/>
      <c r="P5" s="244"/>
      <c r="Q5" s="104"/>
    </row>
    <row r="6" spans="1:17" x14ac:dyDescent="0.25">
      <c r="A6" s="250" t="s">
        <v>468</v>
      </c>
      <c r="B6" s="251">
        <v>0.1</v>
      </c>
      <c r="C6" s="252">
        <f>C5*10%</f>
        <v>19.894908757909533</v>
      </c>
      <c r="D6" s="187">
        <f>D2*$B$6</f>
        <v>0</v>
      </c>
      <c r="E6" s="184"/>
      <c r="G6" s="419" t="s">
        <v>518</v>
      </c>
      <c r="H6" s="419"/>
      <c r="I6" s="419"/>
      <c r="J6" s="235">
        <f>C3</f>
        <v>19.894908757909533</v>
      </c>
      <c r="K6" s="429"/>
      <c r="L6" s="429"/>
      <c r="M6" s="431"/>
      <c r="N6" s="431"/>
      <c r="O6" s="431"/>
      <c r="P6" s="243"/>
      <c r="Q6" s="104"/>
    </row>
    <row r="7" spans="1:17" x14ac:dyDescent="0.25">
      <c r="A7" s="189" t="s">
        <v>297</v>
      </c>
      <c r="B7" s="190"/>
      <c r="C7" s="191">
        <f>C2+C6+C3</f>
        <v>239.52526512487134</v>
      </c>
      <c r="D7" s="191">
        <f>D2+D6</f>
        <v>0</v>
      </c>
      <c r="E7" s="184"/>
      <c r="G7" s="419" t="s">
        <v>519</v>
      </c>
      <c r="H7" s="419"/>
      <c r="I7" s="419"/>
      <c r="J7" s="235">
        <v>0</v>
      </c>
      <c r="K7" s="104"/>
      <c r="L7" s="104"/>
      <c r="M7" s="431"/>
      <c r="N7" s="431"/>
      <c r="O7" s="431"/>
      <c r="P7" s="243"/>
      <c r="Q7" s="104"/>
    </row>
    <row r="8" spans="1:17" x14ac:dyDescent="0.25">
      <c r="G8" s="419" t="s">
        <v>520</v>
      </c>
      <c r="H8" s="419"/>
      <c r="I8" s="419"/>
      <c r="J8" s="235">
        <v>0</v>
      </c>
      <c r="K8" s="104"/>
      <c r="L8" s="104"/>
      <c r="M8" s="431"/>
      <c r="N8" s="431"/>
      <c r="O8" s="431"/>
      <c r="P8" s="243"/>
      <c r="Q8" s="104"/>
    </row>
    <row r="9" spans="1:17" x14ac:dyDescent="0.25">
      <c r="G9" s="430" t="s">
        <v>527</v>
      </c>
      <c r="H9" s="430"/>
      <c r="I9" s="430"/>
      <c r="J9" s="242">
        <f>SUM(J3:J8)</f>
        <v>219.63035636696179</v>
      </c>
      <c r="K9" s="104"/>
      <c r="L9" s="104"/>
      <c r="M9" s="432"/>
      <c r="N9" s="432"/>
      <c r="O9" s="432"/>
      <c r="P9" s="245"/>
      <c r="Q9" s="104"/>
    </row>
    <row r="10" spans="1:17" x14ac:dyDescent="0.25">
      <c r="G10" s="419" t="s">
        <v>528</v>
      </c>
      <c r="H10" s="419"/>
      <c r="I10" s="419"/>
      <c r="J10" s="235">
        <v>0</v>
      </c>
      <c r="K10" s="104"/>
      <c r="L10" s="104"/>
      <c r="M10" s="431"/>
      <c r="N10" s="431"/>
      <c r="O10" s="431"/>
      <c r="P10" s="243"/>
      <c r="Q10" s="104"/>
    </row>
    <row r="11" spans="1:17" x14ac:dyDescent="0.25">
      <c r="A11" s="429" t="s">
        <v>525</v>
      </c>
      <c r="B11" s="429"/>
      <c r="C11" s="429"/>
      <c r="D11" s="429"/>
      <c r="E11" s="429"/>
      <c r="F11" s="429"/>
      <c r="G11" s="430" t="s">
        <v>529</v>
      </c>
      <c r="H11" s="430"/>
      <c r="I11" s="430"/>
      <c r="J11" s="242">
        <f>SUM(J9:J10)</f>
        <v>219.63035636696179</v>
      </c>
      <c r="K11" s="104"/>
      <c r="L11" s="104"/>
      <c r="M11" s="432"/>
      <c r="N11" s="432"/>
      <c r="O11" s="432"/>
      <c r="P11" s="245"/>
      <c r="Q11" s="104"/>
    </row>
    <row r="12" spans="1:17" x14ac:dyDescent="0.25">
      <c r="A12" s="236" t="s">
        <v>522</v>
      </c>
      <c r="B12" s="238">
        <f>C12/256</f>
        <v>2.6041666666666665</v>
      </c>
      <c r="C12" s="238">
        <f>F12/E12</f>
        <v>666.66666666666663</v>
      </c>
      <c r="D12" s="237"/>
      <c r="E12" s="239">
        <v>6</v>
      </c>
      <c r="F12" s="235">
        <v>4000</v>
      </c>
      <c r="K12" s="104"/>
      <c r="L12" s="104"/>
      <c r="M12" s="104"/>
      <c r="N12" s="104"/>
      <c r="O12" s="104"/>
      <c r="P12" s="104"/>
      <c r="Q12" s="104"/>
    </row>
    <row r="13" spans="1:17" x14ac:dyDescent="0.25">
      <c r="A13" s="236" t="s">
        <v>523</v>
      </c>
      <c r="B13" s="238">
        <f>C13/256</f>
        <v>0.98958333333333337</v>
      </c>
      <c r="C13" s="238">
        <f>F13/E13</f>
        <v>253.33333333333334</v>
      </c>
      <c r="D13" s="237"/>
      <c r="E13" s="239">
        <v>6</v>
      </c>
      <c r="F13" s="235">
        <v>1520</v>
      </c>
      <c r="K13" s="104"/>
      <c r="L13" s="104"/>
      <c r="M13" s="429"/>
      <c r="N13" s="429"/>
      <c r="O13" s="429"/>
      <c r="P13" s="429"/>
      <c r="Q13" s="104"/>
    </row>
    <row r="14" spans="1:17" x14ac:dyDescent="0.25">
      <c r="A14" s="236" t="s">
        <v>534</v>
      </c>
      <c r="B14" s="238">
        <f>C14/256</f>
        <v>1.3020833333333333</v>
      </c>
      <c r="C14" s="238">
        <f>F14/E14</f>
        <v>333.33333333333331</v>
      </c>
      <c r="D14" s="237"/>
      <c r="E14" s="239">
        <v>6</v>
      </c>
      <c r="F14" s="235">
        <v>2000</v>
      </c>
      <c r="M14" s="429"/>
      <c r="N14" s="429"/>
      <c r="O14" s="429"/>
      <c r="P14" s="104"/>
    </row>
    <row r="15" spans="1:17" x14ac:dyDescent="0.25">
      <c r="A15" s="236" t="s">
        <v>533</v>
      </c>
      <c r="B15" s="238">
        <f>C15/256</f>
        <v>1.2890625</v>
      </c>
      <c r="C15" s="238">
        <f>F15/E15</f>
        <v>330</v>
      </c>
      <c r="D15" s="237"/>
      <c r="E15" s="240">
        <v>6</v>
      </c>
      <c r="F15" s="235">
        <v>1980</v>
      </c>
      <c r="M15" s="431"/>
      <c r="N15" s="431"/>
      <c r="O15" s="431"/>
      <c r="P15" s="243"/>
    </row>
    <row r="16" spans="1:17" ht="15.75" x14ac:dyDescent="0.25">
      <c r="A16" s="246" t="s">
        <v>524</v>
      </c>
      <c r="B16" s="247">
        <f>SUM(B12:B15)</f>
        <v>6.184895833333333</v>
      </c>
      <c r="C16" s="247">
        <f>SUM(C12:C15)</f>
        <v>1583.3333333333333</v>
      </c>
      <c r="D16" s="248">
        <f>SUM(D12:D15)</f>
        <v>0</v>
      </c>
      <c r="E16" s="249" t="s">
        <v>526</v>
      </c>
      <c r="F16" s="247">
        <f>SUM(F12:F15)</f>
        <v>9500</v>
      </c>
      <c r="M16" s="433"/>
      <c r="N16" s="431"/>
      <c r="O16" s="431"/>
      <c r="P16" s="243"/>
    </row>
    <row r="17" spans="13:16" x14ac:dyDescent="0.25">
      <c r="M17" s="431"/>
      <c r="N17" s="431"/>
      <c r="O17" s="431"/>
      <c r="P17" s="244"/>
    </row>
    <row r="18" spans="13:16" x14ac:dyDescent="0.25">
      <c r="M18" s="431"/>
      <c r="N18" s="431"/>
      <c r="O18" s="431"/>
      <c r="P18" s="243"/>
    </row>
    <row r="19" spans="13:16" x14ac:dyDescent="0.25">
      <c r="M19" s="431"/>
      <c r="N19" s="431"/>
      <c r="O19" s="431"/>
      <c r="P19" s="243"/>
    </row>
    <row r="20" spans="13:16" x14ac:dyDescent="0.25">
      <c r="M20" s="431"/>
      <c r="N20" s="431"/>
      <c r="O20" s="431"/>
      <c r="P20" s="243"/>
    </row>
    <row r="21" spans="13:16" x14ac:dyDescent="0.25">
      <c r="M21" s="432"/>
      <c r="N21" s="432"/>
      <c r="O21" s="432"/>
      <c r="P21" s="245"/>
    </row>
    <row r="22" spans="13:16" x14ac:dyDescent="0.25">
      <c r="M22" s="429"/>
      <c r="N22" s="429"/>
      <c r="O22" s="429"/>
      <c r="P22" s="243"/>
    </row>
    <row r="23" spans="13:16" x14ac:dyDescent="0.25">
      <c r="M23" s="432"/>
      <c r="N23" s="432"/>
      <c r="O23" s="432"/>
      <c r="P23" s="245"/>
    </row>
  </sheetData>
  <mergeCells count="40">
    <mergeCell ref="M23:O23"/>
    <mergeCell ref="M18:O18"/>
    <mergeCell ref="M19:O19"/>
    <mergeCell ref="M20:O20"/>
    <mergeCell ref="M21:O21"/>
    <mergeCell ref="M22:O22"/>
    <mergeCell ref="M13:P13"/>
    <mergeCell ref="M14:O14"/>
    <mergeCell ref="M15:O15"/>
    <mergeCell ref="M16:O16"/>
    <mergeCell ref="M17:O17"/>
    <mergeCell ref="M7:O7"/>
    <mergeCell ref="M8:O8"/>
    <mergeCell ref="M9:O9"/>
    <mergeCell ref="M10:O10"/>
    <mergeCell ref="M11:O11"/>
    <mergeCell ref="K6:L6"/>
    <mergeCell ref="M1:P1"/>
    <mergeCell ref="M2:O2"/>
    <mergeCell ref="M3:O3"/>
    <mergeCell ref="M4:O4"/>
    <mergeCell ref="M5:O5"/>
    <mergeCell ref="M6:O6"/>
    <mergeCell ref="A11:F11"/>
    <mergeCell ref="G9:I9"/>
    <mergeCell ref="G10:I10"/>
    <mergeCell ref="G11:I11"/>
    <mergeCell ref="G7:I7"/>
    <mergeCell ref="G8:I8"/>
    <mergeCell ref="A2:B2"/>
    <mergeCell ref="A3:B3"/>
    <mergeCell ref="A4:B4"/>
    <mergeCell ref="A5:B5"/>
    <mergeCell ref="A1:C1"/>
    <mergeCell ref="G5:I5"/>
    <mergeCell ref="G6:I6"/>
    <mergeCell ref="G1:J1"/>
    <mergeCell ref="G2:I2"/>
    <mergeCell ref="G3:I3"/>
    <mergeCell ref="G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B1:R61"/>
  <sheetViews>
    <sheetView showGridLines="0" zoomScale="115" zoomScaleNormal="115" workbookViewId="0">
      <selection activeCell="B9" sqref="B9"/>
    </sheetView>
  </sheetViews>
  <sheetFormatPr defaultRowHeight="15" x14ac:dyDescent="0.25"/>
  <cols>
    <col min="1" max="1" width="3.7109375" customWidth="1"/>
    <col min="2" max="2" width="66.28515625" customWidth="1"/>
    <col min="3" max="3" width="23.5703125" bestFit="1" customWidth="1"/>
    <col min="4" max="4" width="9.140625" style="54" customWidth="1"/>
    <col min="5" max="5" width="23.85546875" customWidth="1"/>
    <col min="6" max="6" width="30.85546875" style="129" customWidth="1"/>
    <col min="7" max="8" width="10.5703125" style="129" bestFit="1" customWidth="1"/>
    <col min="10" max="10" width="12.28515625" style="129" bestFit="1" customWidth="1"/>
    <col min="11" max="11" width="9.5703125" bestFit="1" customWidth="1"/>
    <col min="12" max="12" width="10.5703125" bestFit="1" customWidth="1"/>
    <col min="13" max="13" width="23.28515625" hidden="1" customWidth="1"/>
    <col min="14" max="15" width="11.5703125" hidden="1" customWidth="1"/>
    <col min="16" max="16" width="10.5703125" hidden="1" customWidth="1"/>
    <col min="17" max="18" width="0" hidden="1" customWidth="1"/>
    <col min="254" max="254" width="5.7109375" customWidth="1"/>
    <col min="255" max="255" width="3.42578125" customWidth="1"/>
    <col min="256" max="256" width="3.7109375" customWidth="1"/>
    <col min="257" max="257" width="105" bestFit="1" customWidth="1"/>
    <col min="258" max="258" width="20.7109375" bestFit="1" customWidth="1"/>
    <col min="510" max="510" width="5.7109375" customWidth="1"/>
    <col min="511" max="511" width="3.42578125" customWidth="1"/>
    <col min="512" max="512" width="3.7109375" customWidth="1"/>
    <col min="513" max="513" width="105" bestFit="1" customWidth="1"/>
    <col min="514" max="514" width="20.7109375" bestFit="1" customWidth="1"/>
    <col min="766" max="766" width="5.7109375" customWidth="1"/>
    <col min="767" max="767" width="3.42578125" customWidth="1"/>
    <col min="768" max="768" width="3.7109375" customWidth="1"/>
    <col min="769" max="769" width="105" bestFit="1" customWidth="1"/>
    <col min="770" max="770" width="20.7109375" bestFit="1" customWidth="1"/>
    <col min="1022" max="1022" width="5.7109375" customWidth="1"/>
    <col min="1023" max="1023" width="3.42578125" customWidth="1"/>
    <col min="1024" max="1024" width="3.7109375" customWidth="1"/>
    <col min="1025" max="1025" width="105" bestFit="1" customWidth="1"/>
    <col min="1026" max="1026" width="20.7109375" bestFit="1" customWidth="1"/>
    <col min="1278" max="1278" width="5.7109375" customWidth="1"/>
    <col min="1279" max="1279" width="3.42578125" customWidth="1"/>
    <col min="1280" max="1280" width="3.7109375" customWidth="1"/>
    <col min="1281" max="1281" width="105" bestFit="1" customWidth="1"/>
    <col min="1282" max="1282" width="20.7109375" bestFit="1" customWidth="1"/>
    <col min="1534" max="1534" width="5.7109375" customWidth="1"/>
    <col min="1535" max="1535" width="3.42578125" customWidth="1"/>
    <col min="1536" max="1536" width="3.7109375" customWidth="1"/>
    <col min="1537" max="1537" width="105" bestFit="1" customWidth="1"/>
    <col min="1538" max="1538" width="20.7109375" bestFit="1" customWidth="1"/>
    <col min="1790" max="1790" width="5.7109375" customWidth="1"/>
    <col min="1791" max="1791" width="3.42578125" customWidth="1"/>
    <col min="1792" max="1792" width="3.7109375" customWidth="1"/>
    <col min="1793" max="1793" width="105" bestFit="1" customWidth="1"/>
    <col min="1794" max="1794" width="20.7109375" bestFit="1" customWidth="1"/>
    <col min="2046" max="2046" width="5.7109375" customWidth="1"/>
    <col min="2047" max="2047" width="3.42578125" customWidth="1"/>
    <col min="2048" max="2048" width="3.7109375" customWidth="1"/>
    <col min="2049" max="2049" width="105" bestFit="1" customWidth="1"/>
    <col min="2050" max="2050" width="20.7109375" bestFit="1" customWidth="1"/>
    <col min="2302" max="2302" width="5.7109375" customWidth="1"/>
    <col min="2303" max="2303" width="3.42578125" customWidth="1"/>
    <col min="2304" max="2304" width="3.7109375" customWidth="1"/>
    <col min="2305" max="2305" width="105" bestFit="1" customWidth="1"/>
    <col min="2306" max="2306" width="20.7109375" bestFit="1" customWidth="1"/>
    <col min="2558" max="2558" width="5.7109375" customWidth="1"/>
    <col min="2559" max="2559" width="3.42578125" customWidth="1"/>
    <col min="2560" max="2560" width="3.7109375" customWidth="1"/>
    <col min="2561" max="2561" width="105" bestFit="1" customWidth="1"/>
    <col min="2562" max="2562" width="20.7109375" bestFit="1" customWidth="1"/>
    <col min="2814" max="2814" width="5.7109375" customWidth="1"/>
    <col min="2815" max="2815" width="3.42578125" customWidth="1"/>
    <col min="2816" max="2816" width="3.7109375" customWidth="1"/>
    <col min="2817" max="2817" width="105" bestFit="1" customWidth="1"/>
    <col min="2818" max="2818" width="20.7109375" bestFit="1" customWidth="1"/>
    <col min="3070" max="3070" width="5.7109375" customWidth="1"/>
    <col min="3071" max="3071" width="3.42578125" customWidth="1"/>
    <col min="3072" max="3072" width="3.7109375" customWidth="1"/>
    <col min="3073" max="3073" width="105" bestFit="1" customWidth="1"/>
    <col min="3074" max="3074" width="20.7109375" bestFit="1" customWidth="1"/>
    <col min="3326" max="3326" width="5.7109375" customWidth="1"/>
    <col min="3327" max="3327" width="3.42578125" customWidth="1"/>
    <col min="3328" max="3328" width="3.7109375" customWidth="1"/>
    <col min="3329" max="3329" width="105" bestFit="1" customWidth="1"/>
    <col min="3330" max="3330" width="20.7109375" bestFit="1" customWidth="1"/>
    <col min="3582" max="3582" width="5.7109375" customWidth="1"/>
    <col min="3583" max="3583" width="3.42578125" customWidth="1"/>
    <col min="3584" max="3584" width="3.7109375" customWidth="1"/>
    <col min="3585" max="3585" width="105" bestFit="1" customWidth="1"/>
    <col min="3586" max="3586" width="20.7109375" bestFit="1" customWidth="1"/>
    <col min="3838" max="3838" width="5.7109375" customWidth="1"/>
    <col min="3839" max="3839" width="3.42578125" customWidth="1"/>
    <col min="3840" max="3840" width="3.7109375" customWidth="1"/>
    <col min="3841" max="3841" width="105" bestFit="1" customWidth="1"/>
    <col min="3842" max="3842" width="20.7109375" bestFit="1" customWidth="1"/>
    <col min="4094" max="4094" width="5.7109375" customWidth="1"/>
    <col min="4095" max="4095" width="3.42578125" customWidth="1"/>
    <col min="4096" max="4096" width="3.7109375" customWidth="1"/>
    <col min="4097" max="4097" width="105" bestFit="1" customWidth="1"/>
    <col min="4098" max="4098" width="20.7109375" bestFit="1" customWidth="1"/>
    <col min="4350" max="4350" width="5.7109375" customWidth="1"/>
    <col min="4351" max="4351" width="3.42578125" customWidth="1"/>
    <col min="4352" max="4352" width="3.7109375" customWidth="1"/>
    <col min="4353" max="4353" width="105" bestFit="1" customWidth="1"/>
    <col min="4354" max="4354" width="20.7109375" bestFit="1" customWidth="1"/>
    <col min="4606" max="4606" width="5.7109375" customWidth="1"/>
    <col min="4607" max="4607" width="3.42578125" customWidth="1"/>
    <col min="4608" max="4608" width="3.7109375" customWidth="1"/>
    <col min="4609" max="4609" width="105" bestFit="1" customWidth="1"/>
    <col min="4610" max="4610" width="20.7109375" bestFit="1" customWidth="1"/>
    <col min="4862" max="4862" width="5.7109375" customWidth="1"/>
    <col min="4863" max="4863" width="3.42578125" customWidth="1"/>
    <col min="4864" max="4864" width="3.7109375" customWidth="1"/>
    <col min="4865" max="4865" width="105" bestFit="1" customWidth="1"/>
    <col min="4866" max="4866" width="20.7109375" bestFit="1" customWidth="1"/>
    <col min="5118" max="5118" width="5.7109375" customWidth="1"/>
    <col min="5119" max="5119" width="3.42578125" customWidth="1"/>
    <col min="5120" max="5120" width="3.7109375" customWidth="1"/>
    <col min="5121" max="5121" width="105" bestFit="1" customWidth="1"/>
    <col min="5122" max="5122" width="20.7109375" bestFit="1" customWidth="1"/>
    <col min="5374" max="5374" width="5.7109375" customWidth="1"/>
    <col min="5375" max="5375" width="3.42578125" customWidth="1"/>
    <col min="5376" max="5376" width="3.7109375" customWidth="1"/>
    <col min="5377" max="5377" width="105" bestFit="1" customWidth="1"/>
    <col min="5378" max="5378" width="20.7109375" bestFit="1" customWidth="1"/>
    <col min="5630" max="5630" width="5.7109375" customWidth="1"/>
    <col min="5631" max="5631" width="3.42578125" customWidth="1"/>
    <col min="5632" max="5632" width="3.7109375" customWidth="1"/>
    <col min="5633" max="5633" width="105" bestFit="1" customWidth="1"/>
    <col min="5634" max="5634" width="20.7109375" bestFit="1" customWidth="1"/>
    <col min="5886" max="5886" width="5.7109375" customWidth="1"/>
    <col min="5887" max="5887" width="3.42578125" customWidth="1"/>
    <col min="5888" max="5888" width="3.7109375" customWidth="1"/>
    <col min="5889" max="5889" width="105" bestFit="1" customWidth="1"/>
    <col min="5890" max="5890" width="20.7109375" bestFit="1" customWidth="1"/>
    <col min="6142" max="6142" width="5.7109375" customWidth="1"/>
    <col min="6143" max="6143" width="3.42578125" customWidth="1"/>
    <col min="6144" max="6144" width="3.7109375" customWidth="1"/>
    <col min="6145" max="6145" width="105" bestFit="1" customWidth="1"/>
    <col min="6146" max="6146" width="20.7109375" bestFit="1" customWidth="1"/>
    <col min="6398" max="6398" width="5.7109375" customWidth="1"/>
    <col min="6399" max="6399" width="3.42578125" customWidth="1"/>
    <col min="6400" max="6400" width="3.7109375" customWidth="1"/>
    <col min="6401" max="6401" width="105" bestFit="1" customWidth="1"/>
    <col min="6402" max="6402" width="20.7109375" bestFit="1" customWidth="1"/>
    <col min="6654" max="6654" width="5.7109375" customWidth="1"/>
    <col min="6655" max="6655" width="3.42578125" customWidth="1"/>
    <col min="6656" max="6656" width="3.7109375" customWidth="1"/>
    <col min="6657" max="6657" width="105" bestFit="1" customWidth="1"/>
    <col min="6658" max="6658" width="20.7109375" bestFit="1" customWidth="1"/>
    <col min="6910" max="6910" width="5.7109375" customWidth="1"/>
    <col min="6911" max="6911" width="3.42578125" customWidth="1"/>
    <col min="6912" max="6912" width="3.7109375" customWidth="1"/>
    <col min="6913" max="6913" width="105" bestFit="1" customWidth="1"/>
    <col min="6914" max="6914" width="20.7109375" bestFit="1" customWidth="1"/>
    <col min="7166" max="7166" width="5.7109375" customWidth="1"/>
    <col min="7167" max="7167" width="3.42578125" customWidth="1"/>
    <col min="7168" max="7168" width="3.7109375" customWidth="1"/>
    <col min="7169" max="7169" width="105" bestFit="1" customWidth="1"/>
    <col min="7170" max="7170" width="20.7109375" bestFit="1" customWidth="1"/>
    <col min="7422" max="7422" width="5.7109375" customWidth="1"/>
    <col min="7423" max="7423" width="3.42578125" customWidth="1"/>
    <col min="7424" max="7424" width="3.7109375" customWidth="1"/>
    <col min="7425" max="7425" width="105" bestFit="1" customWidth="1"/>
    <col min="7426" max="7426" width="20.7109375" bestFit="1" customWidth="1"/>
    <col min="7678" max="7678" width="5.7109375" customWidth="1"/>
    <col min="7679" max="7679" width="3.42578125" customWidth="1"/>
    <col min="7680" max="7680" width="3.7109375" customWidth="1"/>
    <col min="7681" max="7681" width="105" bestFit="1" customWidth="1"/>
    <col min="7682" max="7682" width="20.7109375" bestFit="1" customWidth="1"/>
    <col min="7934" max="7934" width="5.7109375" customWidth="1"/>
    <col min="7935" max="7935" width="3.42578125" customWidth="1"/>
    <col min="7936" max="7936" width="3.7109375" customWidth="1"/>
    <col min="7937" max="7937" width="105" bestFit="1" customWidth="1"/>
    <col min="7938" max="7938" width="20.7109375" bestFit="1" customWidth="1"/>
    <col min="8190" max="8190" width="5.7109375" customWidth="1"/>
    <col min="8191" max="8191" width="3.42578125" customWidth="1"/>
    <col min="8192" max="8192" width="3.7109375" customWidth="1"/>
    <col min="8193" max="8193" width="105" bestFit="1" customWidth="1"/>
    <col min="8194" max="8194" width="20.7109375" bestFit="1" customWidth="1"/>
    <col min="8446" max="8446" width="5.7109375" customWidth="1"/>
    <col min="8447" max="8447" width="3.42578125" customWidth="1"/>
    <col min="8448" max="8448" width="3.7109375" customWidth="1"/>
    <col min="8449" max="8449" width="105" bestFit="1" customWidth="1"/>
    <col min="8450" max="8450" width="20.7109375" bestFit="1" customWidth="1"/>
    <col min="8702" max="8702" width="5.7109375" customWidth="1"/>
    <col min="8703" max="8703" width="3.42578125" customWidth="1"/>
    <col min="8704" max="8704" width="3.7109375" customWidth="1"/>
    <col min="8705" max="8705" width="105" bestFit="1" customWidth="1"/>
    <col min="8706" max="8706" width="20.7109375" bestFit="1" customWidth="1"/>
    <col min="8958" max="8958" width="5.7109375" customWidth="1"/>
    <col min="8959" max="8959" width="3.42578125" customWidth="1"/>
    <col min="8960" max="8960" width="3.7109375" customWidth="1"/>
    <col min="8961" max="8961" width="105" bestFit="1" customWidth="1"/>
    <col min="8962" max="8962" width="20.7109375" bestFit="1" customWidth="1"/>
    <col min="9214" max="9214" width="5.7109375" customWidth="1"/>
    <col min="9215" max="9215" width="3.42578125" customWidth="1"/>
    <col min="9216" max="9216" width="3.7109375" customWidth="1"/>
    <col min="9217" max="9217" width="105" bestFit="1" customWidth="1"/>
    <col min="9218" max="9218" width="20.7109375" bestFit="1" customWidth="1"/>
    <col min="9470" max="9470" width="5.7109375" customWidth="1"/>
    <col min="9471" max="9471" width="3.42578125" customWidth="1"/>
    <col min="9472" max="9472" width="3.7109375" customWidth="1"/>
    <col min="9473" max="9473" width="105" bestFit="1" customWidth="1"/>
    <col min="9474" max="9474" width="20.7109375" bestFit="1" customWidth="1"/>
    <col min="9726" max="9726" width="5.7109375" customWidth="1"/>
    <col min="9727" max="9727" width="3.42578125" customWidth="1"/>
    <col min="9728" max="9728" width="3.7109375" customWidth="1"/>
    <col min="9729" max="9729" width="105" bestFit="1" customWidth="1"/>
    <col min="9730" max="9730" width="20.7109375" bestFit="1" customWidth="1"/>
    <col min="9982" max="9982" width="5.7109375" customWidth="1"/>
    <col min="9983" max="9983" width="3.42578125" customWidth="1"/>
    <col min="9984" max="9984" width="3.7109375" customWidth="1"/>
    <col min="9985" max="9985" width="105" bestFit="1" customWidth="1"/>
    <col min="9986" max="9986" width="20.7109375" bestFit="1" customWidth="1"/>
    <col min="10238" max="10238" width="5.7109375" customWidth="1"/>
    <col min="10239" max="10239" width="3.42578125" customWidth="1"/>
    <col min="10240" max="10240" width="3.7109375" customWidth="1"/>
    <col min="10241" max="10241" width="105" bestFit="1" customWidth="1"/>
    <col min="10242" max="10242" width="20.7109375" bestFit="1" customWidth="1"/>
    <col min="10494" max="10494" width="5.7109375" customWidth="1"/>
    <col min="10495" max="10495" width="3.42578125" customWidth="1"/>
    <col min="10496" max="10496" width="3.7109375" customWidth="1"/>
    <col min="10497" max="10497" width="105" bestFit="1" customWidth="1"/>
    <col min="10498" max="10498" width="20.7109375" bestFit="1" customWidth="1"/>
    <col min="10750" max="10750" width="5.7109375" customWidth="1"/>
    <col min="10751" max="10751" width="3.42578125" customWidth="1"/>
    <col min="10752" max="10752" width="3.7109375" customWidth="1"/>
    <col min="10753" max="10753" width="105" bestFit="1" customWidth="1"/>
    <col min="10754" max="10754" width="20.7109375" bestFit="1" customWidth="1"/>
    <col min="11006" max="11006" width="5.7109375" customWidth="1"/>
    <col min="11007" max="11007" width="3.42578125" customWidth="1"/>
    <col min="11008" max="11008" width="3.7109375" customWidth="1"/>
    <col min="11009" max="11009" width="105" bestFit="1" customWidth="1"/>
    <col min="11010" max="11010" width="20.7109375" bestFit="1" customWidth="1"/>
    <col min="11262" max="11262" width="5.7109375" customWidth="1"/>
    <col min="11263" max="11263" width="3.42578125" customWidth="1"/>
    <col min="11264" max="11264" width="3.7109375" customWidth="1"/>
    <col min="11265" max="11265" width="105" bestFit="1" customWidth="1"/>
    <col min="11266" max="11266" width="20.7109375" bestFit="1" customWidth="1"/>
    <col min="11518" max="11518" width="5.7109375" customWidth="1"/>
    <col min="11519" max="11519" width="3.42578125" customWidth="1"/>
    <col min="11520" max="11520" width="3.7109375" customWidth="1"/>
    <col min="11521" max="11521" width="105" bestFit="1" customWidth="1"/>
    <col min="11522" max="11522" width="20.7109375" bestFit="1" customWidth="1"/>
    <col min="11774" max="11774" width="5.7109375" customWidth="1"/>
    <col min="11775" max="11775" width="3.42578125" customWidth="1"/>
    <col min="11776" max="11776" width="3.7109375" customWidth="1"/>
    <col min="11777" max="11777" width="105" bestFit="1" customWidth="1"/>
    <col min="11778" max="11778" width="20.7109375" bestFit="1" customWidth="1"/>
    <col min="12030" max="12030" width="5.7109375" customWidth="1"/>
    <col min="12031" max="12031" width="3.42578125" customWidth="1"/>
    <col min="12032" max="12032" width="3.7109375" customWidth="1"/>
    <col min="12033" max="12033" width="105" bestFit="1" customWidth="1"/>
    <col min="12034" max="12034" width="20.7109375" bestFit="1" customWidth="1"/>
    <col min="12286" max="12286" width="5.7109375" customWidth="1"/>
    <col min="12287" max="12287" width="3.42578125" customWidth="1"/>
    <col min="12288" max="12288" width="3.7109375" customWidth="1"/>
    <col min="12289" max="12289" width="105" bestFit="1" customWidth="1"/>
    <col min="12290" max="12290" width="20.7109375" bestFit="1" customWidth="1"/>
    <col min="12542" max="12542" width="5.7109375" customWidth="1"/>
    <col min="12543" max="12543" width="3.42578125" customWidth="1"/>
    <col min="12544" max="12544" width="3.7109375" customWidth="1"/>
    <col min="12545" max="12545" width="105" bestFit="1" customWidth="1"/>
    <col min="12546" max="12546" width="20.7109375" bestFit="1" customWidth="1"/>
    <col min="12798" max="12798" width="5.7109375" customWidth="1"/>
    <col min="12799" max="12799" width="3.42578125" customWidth="1"/>
    <col min="12800" max="12800" width="3.7109375" customWidth="1"/>
    <col min="12801" max="12801" width="105" bestFit="1" customWidth="1"/>
    <col min="12802" max="12802" width="20.7109375" bestFit="1" customWidth="1"/>
    <col min="13054" max="13054" width="5.7109375" customWidth="1"/>
    <col min="13055" max="13055" width="3.42578125" customWidth="1"/>
    <col min="13056" max="13056" width="3.7109375" customWidth="1"/>
    <col min="13057" max="13057" width="105" bestFit="1" customWidth="1"/>
    <col min="13058" max="13058" width="20.7109375" bestFit="1" customWidth="1"/>
    <col min="13310" max="13310" width="5.7109375" customWidth="1"/>
    <col min="13311" max="13311" width="3.42578125" customWidth="1"/>
    <col min="13312" max="13312" width="3.7109375" customWidth="1"/>
    <col min="13313" max="13313" width="105" bestFit="1" customWidth="1"/>
    <col min="13314" max="13314" width="20.7109375" bestFit="1" customWidth="1"/>
    <col min="13566" max="13566" width="5.7109375" customWidth="1"/>
    <col min="13567" max="13567" width="3.42578125" customWidth="1"/>
    <col min="13568" max="13568" width="3.7109375" customWidth="1"/>
    <col min="13569" max="13569" width="105" bestFit="1" customWidth="1"/>
    <col min="13570" max="13570" width="20.7109375" bestFit="1" customWidth="1"/>
    <col min="13822" max="13822" width="5.7109375" customWidth="1"/>
    <col min="13823" max="13823" width="3.42578125" customWidth="1"/>
    <col min="13824" max="13824" width="3.7109375" customWidth="1"/>
    <col min="13825" max="13825" width="105" bestFit="1" customWidth="1"/>
    <col min="13826" max="13826" width="20.7109375" bestFit="1" customWidth="1"/>
    <col min="14078" max="14078" width="5.7109375" customWidth="1"/>
    <col min="14079" max="14079" width="3.42578125" customWidth="1"/>
    <col min="14080" max="14080" width="3.7109375" customWidth="1"/>
    <col min="14081" max="14081" width="105" bestFit="1" customWidth="1"/>
    <col min="14082" max="14082" width="20.7109375" bestFit="1" customWidth="1"/>
    <col min="14334" max="14334" width="5.7109375" customWidth="1"/>
    <col min="14335" max="14335" width="3.42578125" customWidth="1"/>
    <col min="14336" max="14336" width="3.7109375" customWidth="1"/>
    <col min="14337" max="14337" width="105" bestFit="1" customWidth="1"/>
    <col min="14338" max="14338" width="20.7109375" bestFit="1" customWidth="1"/>
    <col min="14590" max="14590" width="5.7109375" customWidth="1"/>
    <col min="14591" max="14591" width="3.42578125" customWidth="1"/>
    <col min="14592" max="14592" width="3.7109375" customWidth="1"/>
    <col min="14593" max="14593" width="105" bestFit="1" customWidth="1"/>
    <col min="14594" max="14594" width="20.7109375" bestFit="1" customWidth="1"/>
    <col min="14846" max="14846" width="5.7109375" customWidth="1"/>
    <col min="14847" max="14847" width="3.42578125" customWidth="1"/>
    <col min="14848" max="14848" width="3.7109375" customWidth="1"/>
    <col min="14849" max="14849" width="105" bestFit="1" customWidth="1"/>
    <col min="14850" max="14850" width="20.7109375" bestFit="1" customWidth="1"/>
    <col min="15102" max="15102" width="5.7109375" customWidth="1"/>
    <col min="15103" max="15103" width="3.42578125" customWidth="1"/>
    <col min="15104" max="15104" width="3.7109375" customWidth="1"/>
    <col min="15105" max="15105" width="105" bestFit="1" customWidth="1"/>
    <col min="15106" max="15106" width="20.7109375" bestFit="1" customWidth="1"/>
    <col min="15358" max="15358" width="5.7109375" customWidth="1"/>
    <col min="15359" max="15359" width="3.42578125" customWidth="1"/>
    <col min="15360" max="15360" width="3.7109375" customWidth="1"/>
    <col min="15361" max="15361" width="105" bestFit="1" customWidth="1"/>
    <col min="15362" max="15362" width="20.7109375" bestFit="1" customWidth="1"/>
    <col min="15614" max="15614" width="5.7109375" customWidth="1"/>
    <col min="15615" max="15615" width="3.42578125" customWidth="1"/>
    <col min="15616" max="15616" width="3.7109375" customWidth="1"/>
    <col min="15617" max="15617" width="105" bestFit="1" customWidth="1"/>
    <col min="15618" max="15618" width="20.7109375" bestFit="1" customWidth="1"/>
    <col min="15870" max="15870" width="5.7109375" customWidth="1"/>
    <col min="15871" max="15871" width="3.42578125" customWidth="1"/>
    <col min="15872" max="15872" width="3.7109375" customWidth="1"/>
    <col min="15873" max="15873" width="105" bestFit="1" customWidth="1"/>
    <col min="15874" max="15874" width="20.7109375" bestFit="1" customWidth="1"/>
    <col min="16126" max="16126" width="5.7109375" customWidth="1"/>
    <col min="16127" max="16127" width="3.42578125" customWidth="1"/>
    <col min="16128" max="16128" width="3.7109375" customWidth="1"/>
    <col min="16129" max="16129" width="105" bestFit="1" customWidth="1"/>
    <col min="16130" max="16130" width="20.7109375" bestFit="1" customWidth="1"/>
  </cols>
  <sheetData>
    <row r="1" spans="2:18" x14ac:dyDescent="0.25">
      <c r="B1" s="1"/>
      <c r="C1" s="1"/>
      <c r="D1" s="2"/>
      <c r="E1" s="1"/>
    </row>
    <row r="2" spans="2:18" ht="34.5" customHeight="1" x14ac:dyDescent="0.5">
      <c r="B2" s="3"/>
      <c r="C2" s="1"/>
      <c r="D2" s="2"/>
      <c r="E2" s="1"/>
    </row>
    <row r="3" spans="2:18" ht="34.5" customHeight="1" thickBot="1" x14ac:dyDescent="0.55000000000000004">
      <c r="B3" s="434" t="s">
        <v>0</v>
      </c>
      <c r="C3" s="434"/>
      <c r="D3" s="434"/>
      <c r="E3" s="434"/>
    </row>
    <row r="4" spans="2:18" ht="27" thickBot="1" x14ac:dyDescent="0.45">
      <c r="B4" s="4" t="s">
        <v>66</v>
      </c>
      <c r="C4" s="5" t="s">
        <v>279</v>
      </c>
      <c r="D4" s="6" t="s">
        <v>3</v>
      </c>
      <c r="E4" s="5" t="s">
        <v>2</v>
      </c>
    </row>
    <row r="5" spans="2:18" ht="21.75" thickBot="1" x14ac:dyDescent="0.4">
      <c r="B5" s="47" t="s">
        <v>67</v>
      </c>
      <c r="C5" s="48"/>
      <c r="D5" s="49"/>
      <c r="E5" s="48"/>
    </row>
    <row r="6" spans="2:18" x14ac:dyDescent="0.25">
      <c r="B6" s="149" t="s">
        <v>280</v>
      </c>
      <c r="C6" s="150">
        <f>SUM(C7:C12)</f>
        <v>21813</v>
      </c>
      <c r="D6" s="151"/>
      <c r="E6" s="150">
        <f>SUM(E7:E13)</f>
        <v>228.04500000000002</v>
      </c>
    </row>
    <row r="7" spans="2:18" x14ac:dyDescent="0.25">
      <c r="B7" s="29" t="s">
        <v>92</v>
      </c>
      <c r="C7" s="166">
        <v>5063</v>
      </c>
      <c r="D7" s="51">
        <v>110</v>
      </c>
      <c r="E7" s="50">
        <f>(C7/D7)*15%+(C7/D7)</f>
        <v>52.931363636363635</v>
      </c>
    </row>
    <row r="8" spans="2:18" x14ac:dyDescent="0.25">
      <c r="B8" s="29" t="s">
        <v>281</v>
      </c>
      <c r="C8" s="50"/>
      <c r="D8" s="51">
        <v>110</v>
      </c>
      <c r="E8" s="50">
        <f t="shared" ref="E8:E33" si="0">(C8/D8)*15%+(C8/D8)</f>
        <v>0</v>
      </c>
    </row>
    <row r="9" spans="2:18" x14ac:dyDescent="0.25">
      <c r="B9" s="29" t="s">
        <v>282</v>
      </c>
      <c r="C9" s="50">
        <v>8000</v>
      </c>
      <c r="D9" s="51">
        <v>110</v>
      </c>
      <c r="E9" s="50">
        <f t="shared" si="0"/>
        <v>83.63636363636364</v>
      </c>
    </row>
    <row r="10" spans="2:18" x14ac:dyDescent="0.25">
      <c r="B10" s="29" t="s">
        <v>290</v>
      </c>
      <c r="C10" s="50">
        <v>5000</v>
      </c>
      <c r="D10" s="51">
        <v>110</v>
      </c>
      <c r="E10" s="50">
        <f t="shared" si="0"/>
        <v>52.272727272727273</v>
      </c>
    </row>
    <row r="11" spans="2:18" s="129" customFormat="1" x14ac:dyDescent="0.25">
      <c r="B11" s="29" t="s">
        <v>298</v>
      </c>
      <c r="C11" s="50">
        <v>3750</v>
      </c>
      <c r="D11" s="51">
        <v>110</v>
      </c>
      <c r="E11" s="50">
        <f t="shared" si="0"/>
        <v>39.20454545454546</v>
      </c>
      <c r="I11"/>
      <c r="K11"/>
      <c r="L11"/>
      <c r="M11"/>
      <c r="N11"/>
      <c r="O11"/>
      <c r="P11"/>
      <c r="Q11"/>
      <c r="R11"/>
    </row>
    <row r="12" spans="2:18" s="129" customFormat="1" x14ac:dyDescent="0.25">
      <c r="B12" s="29" t="s">
        <v>299</v>
      </c>
      <c r="C12" s="50"/>
      <c r="D12" s="51">
        <v>110</v>
      </c>
      <c r="E12" s="50">
        <f t="shared" si="0"/>
        <v>0</v>
      </c>
      <c r="I12"/>
      <c r="K12"/>
      <c r="L12"/>
      <c r="M12"/>
      <c r="N12"/>
      <c r="O12"/>
      <c r="P12"/>
      <c r="Q12"/>
      <c r="R12"/>
    </row>
    <row r="13" spans="2:18" s="129" customFormat="1" x14ac:dyDescent="0.25">
      <c r="B13" s="29" t="s">
        <v>394</v>
      </c>
      <c r="C13" s="50"/>
      <c r="D13" s="51">
        <v>110</v>
      </c>
      <c r="E13" s="50"/>
      <c r="I13"/>
      <c r="K13"/>
      <c r="L13"/>
      <c r="M13"/>
      <c r="N13"/>
      <c r="O13"/>
      <c r="P13"/>
      <c r="Q13"/>
      <c r="R13"/>
    </row>
    <row r="14" spans="2:18" s="129" customFormat="1" x14ac:dyDescent="0.25">
      <c r="B14" s="149" t="s">
        <v>283</v>
      </c>
      <c r="C14" s="150">
        <f>SUM(C15:C21)</f>
        <v>21550</v>
      </c>
      <c r="D14" s="151"/>
      <c r="E14" s="150">
        <f>SUM(E15:E21)</f>
        <v>170.40909090909091</v>
      </c>
      <c r="I14"/>
      <c r="K14"/>
      <c r="L14"/>
      <c r="M14"/>
      <c r="N14"/>
      <c r="O14"/>
      <c r="P14"/>
      <c r="Q14"/>
      <c r="R14"/>
    </row>
    <row r="15" spans="2:18" s="129" customFormat="1" x14ac:dyDescent="0.25">
      <c r="B15" s="163" t="s">
        <v>70</v>
      </c>
      <c r="C15" s="164">
        <f>700+600</f>
        <v>1300</v>
      </c>
      <c r="D15" s="165">
        <v>110</v>
      </c>
      <c r="E15" s="164">
        <f>((C15/D15)*15%+(C15/D15))*0</f>
        <v>0</v>
      </c>
      <c r="I15"/>
      <c r="K15"/>
      <c r="L15"/>
      <c r="M15"/>
      <c r="N15"/>
      <c r="O15"/>
      <c r="P15"/>
      <c r="Q15"/>
      <c r="R15"/>
    </row>
    <row r="16" spans="2:18" s="129" customFormat="1" x14ac:dyDescent="0.25">
      <c r="B16" s="163" t="s">
        <v>284</v>
      </c>
      <c r="C16" s="164">
        <v>3950</v>
      </c>
      <c r="D16" s="165">
        <v>110</v>
      </c>
      <c r="E16" s="164">
        <f>((C16/D16)*15%+(C16/D16))*0</f>
        <v>0</v>
      </c>
      <c r="I16"/>
      <c r="K16"/>
      <c r="L16"/>
      <c r="M16"/>
      <c r="N16"/>
      <c r="O16"/>
      <c r="P16"/>
      <c r="Q16"/>
      <c r="R16"/>
    </row>
    <row r="17" spans="2:18" s="129" customFormat="1" x14ac:dyDescent="0.25">
      <c r="B17" s="29" t="s">
        <v>307</v>
      </c>
      <c r="C17" s="166">
        <f>860*5</f>
        <v>4300</v>
      </c>
      <c r="D17" s="51">
        <v>110</v>
      </c>
      <c r="E17" s="50">
        <f>(C17/D17)*15%+(C17/D17)</f>
        <v>44.95454545454546</v>
      </c>
      <c r="I17"/>
      <c r="K17"/>
      <c r="L17"/>
      <c r="M17"/>
      <c r="N17"/>
      <c r="O17"/>
      <c r="P17"/>
      <c r="Q17"/>
      <c r="R17"/>
    </row>
    <row r="18" spans="2:18" s="129" customFormat="1" x14ac:dyDescent="0.25">
      <c r="B18" s="29" t="s">
        <v>308</v>
      </c>
      <c r="C18" s="166">
        <v>12000</v>
      </c>
      <c r="D18" s="51">
        <v>110</v>
      </c>
      <c r="E18" s="50">
        <f>(C18/D18)*15%+(C18/D18)</f>
        <v>125.45454545454545</v>
      </c>
      <c r="I18"/>
      <c r="K18"/>
      <c r="L18"/>
      <c r="M18"/>
      <c r="N18"/>
      <c r="O18"/>
      <c r="P18"/>
      <c r="Q18"/>
      <c r="R18"/>
    </row>
    <row r="19" spans="2:18" s="129" customFormat="1" x14ac:dyDescent="0.25">
      <c r="B19" s="29" t="s">
        <v>285</v>
      </c>
      <c r="C19" s="50"/>
      <c r="D19" s="51">
        <v>110</v>
      </c>
      <c r="E19" s="50">
        <f>(C19/D19)*15%+(C19/D19)</f>
        <v>0</v>
      </c>
      <c r="I19"/>
      <c r="K19"/>
      <c r="L19"/>
      <c r="M19"/>
      <c r="N19"/>
      <c r="O19"/>
      <c r="P19"/>
      <c r="Q19"/>
      <c r="R19"/>
    </row>
    <row r="20" spans="2:18" s="129" customFormat="1" x14ac:dyDescent="0.25">
      <c r="B20" s="29"/>
      <c r="C20" s="50"/>
      <c r="D20" s="51"/>
      <c r="E20" s="50"/>
      <c r="I20"/>
      <c r="K20"/>
      <c r="L20"/>
      <c r="M20"/>
      <c r="N20"/>
      <c r="O20"/>
      <c r="P20"/>
      <c r="Q20"/>
      <c r="R20"/>
    </row>
    <row r="21" spans="2:18" s="129" customFormat="1" x14ac:dyDescent="0.25">
      <c r="B21" s="29"/>
      <c r="C21" s="50"/>
      <c r="D21" s="51"/>
      <c r="E21" s="50"/>
      <c r="I21"/>
      <c r="K21"/>
      <c r="L21"/>
      <c r="M21"/>
      <c r="N21"/>
      <c r="O21"/>
      <c r="P21"/>
      <c r="Q21"/>
      <c r="R21"/>
    </row>
    <row r="22" spans="2:18" s="129" customFormat="1" x14ac:dyDescent="0.25">
      <c r="B22" s="149" t="s">
        <v>286</v>
      </c>
      <c r="C22" s="150">
        <f>SUM(C23:C36)</f>
        <v>29558</v>
      </c>
      <c r="D22" s="151"/>
      <c r="E22" s="150">
        <f>SUM(E23:E41)</f>
        <v>356.68818181818182</v>
      </c>
      <c r="I22"/>
      <c r="K22"/>
      <c r="L22"/>
      <c r="M22"/>
      <c r="N22"/>
      <c r="O22"/>
      <c r="P22"/>
      <c r="Q22"/>
      <c r="R22"/>
    </row>
    <row r="23" spans="2:18" s="129" customFormat="1" x14ac:dyDescent="0.25">
      <c r="B23" s="29" t="s">
        <v>68</v>
      </c>
      <c r="C23" s="166">
        <v>3900</v>
      </c>
      <c r="D23" s="51">
        <v>110</v>
      </c>
      <c r="E23" s="50">
        <f t="shared" si="0"/>
        <v>40.772727272727273</v>
      </c>
      <c r="I23"/>
      <c r="K23"/>
      <c r="L23"/>
      <c r="M23"/>
      <c r="N23"/>
      <c r="O23"/>
      <c r="P23"/>
      <c r="Q23"/>
      <c r="R23"/>
    </row>
    <row r="24" spans="2:18" s="129" customFormat="1" x14ac:dyDescent="0.25">
      <c r="B24" s="29" t="s">
        <v>320</v>
      </c>
      <c r="C24" s="166">
        <f>360+130+(4*110)</f>
        <v>930</v>
      </c>
      <c r="D24" s="51">
        <v>110</v>
      </c>
      <c r="E24" s="50">
        <f t="shared" si="0"/>
        <v>9.7227272727272727</v>
      </c>
      <c r="F24" s="129" t="s">
        <v>393</v>
      </c>
      <c r="I24"/>
      <c r="K24"/>
      <c r="L24"/>
      <c r="M24"/>
      <c r="N24"/>
      <c r="O24"/>
      <c r="P24"/>
      <c r="Q24"/>
      <c r="R24"/>
    </row>
    <row r="25" spans="2:18" s="129" customFormat="1" x14ac:dyDescent="0.25">
      <c r="B25" s="29" t="s">
        <v>287</v>
      </c>
      <c r="C25" s="50">
        <v>1600</v>
      </c>
      <c r="D25" s="51">
        <v>110</v>
      </c>
      <c r="E25" s="50">
        <f t="shared" si="0"/>
        <v>16.727272727272727</v>
      </c>
      <c r="I25"/>
      <c r="K25"/>
      <c r="L25"/>
      <c r="M25"/>
      <c r="N25"/>
      <c r="O25"/>
      <c r="P25"/>
      <c r="Q25"/>
      <c r="R25"/>
    </row>
    <row r="26" spans="2:18" s="129" customFormat="1" x14ac:dyDescent="0.25">
      <c r="B26" s="29" t="s">
        <v>305</v>
      </c>
      <c r="C26" s="50">
        <v>1500</v>
      </c>
      <c r="D26" s="51">
        <v>110</v>
      </c>
      <c r="E26" s="50">
        <f t="shared" si="0"/>
        <v>15.681818181818182</v>
      </c>
      <c r="I26"/>
      <c r="K26"/>
      <c r="L26"/>
      <c r="M26"/>
      <c r="N26"/>
      <c r="O26"/>
      <c r="P26"/>
      <c r="Q26"/>
      <c r="R26"/>
    </row>
    <row r="27" spans="2:18" s="129" customFormat="1" x14ac:dyDescent="0.25">
      <c r="B27" s="29" t="s">
        <v>288</v>
      </c>
      <c r="C27" s="50">
        <v>2571</v>
      </c>
      <c r="D27" s="51">
        <v>110</v>
      </c>
      <c r="E27" s="50">
        <f t="shared" si="0"/>
        <v>26.87863636363636</v>
      </c>
      <c r="I27"/>
      <c r="K27"/>
      <c r="L27"/>
      <c r="M27"/>
      <c r="N27"/>
      <c r="O27"/>
      <c r="P27"/>
      <c r="Q27"/>
      <c r="R27"/>
    </row>
    <row r="28" spans="2:18" s="129" customFormat="1" x14ac:dyDescent="0.25">
      <c r="B28" s="29" t="s">
        <v>312</v>
      </c>
      <c r="C28" s="50">
        <f>116*10</f>
        <v>1160</v>
      </c>
      <c r="D28" s="51">
        <v>110</v>
      </c>
      <c r="E28" s="50">
        <f>(C28/D28)*15%+(C28/D28)</f>
        <v>12.127272727272727</v>
      </c>
      <c r="I28"/>
      <c r="K28"/>
      <c r="L28"/>
      <c r="M28"/>
      <c r="N28"/>
      <c r="O28"/>
      <c r="P28"/>
      <c r="Q28"/>
      <c r="R28"/>
    </row>
    <row r="29" spans="2:18" s="129" customFormat="1" x14ac:dyDescent="0.25">
      <c r="B29" s="29" t="s">
        <v>310</v>
      </c>
      <c r="C29" s="50">
        <f>199*3</f>
        <v>597</v>
      </c>
      <c r="D29" s="51">
        <v>110</v>
      </c>
      <c r="E29" s="50">
        <f t="shared" si="0"/>
        <v>6.2413636363636371</v>
      </c>
      <c r="I29"/>
      <c r="K29"/>
      <c r="L29"/>
      <c r="M29"/>
      <c r="N29"/>
      <c r="O29"/>
      <c r="P29"/>
      <c r="Q29"/>
      <c r="R29"/>
    </row>
    <row r="30" spans="2:18" s="129" customFormat="1" x14ac:dyDescent="0.25">
      <c r="B30" s="29" t="s">
        <v>309</v>
      </c>
      <c r="C30" s="50">
        <f>44*10</f>
        <v>440</v>
      </c>
      <c r="D30" s="51">
        <v>110</v>
      </c>
      <c r="E30" s="50">
        <f t="shared" si="0"/>
        <v>4.5999999999999996</v>
      </c>
      <c r="I30"/>
      <c r="K30"/>
      <c r="L30"/>
      <c r="M30"/>
      <c r="N30"/>
      <c r="O30"/>
      <c r="P30"/>
      <c r="Q30"/>
      <c r="R30"/>
    </row>
    <row r="31" spans="2:18" s="129" customFormat="1" x14ac:dyDescent="0.25">
      <c r="B31" s="29" t="s">
        <v>311</v>
      </c>
      <c r="C31" s="50"/>
      <c r="D31" s="51">
        <v>110</v>
      </c>
      <c r="E31" s="50">
        <f>(C31/D31)*15%+(C31/D31)</f>
        <v>0</v>
      </c>
      <c r="I31"/>
      <c r="K31"/>
      <c r="L31"/>
      <c r="M31"/>
      <c r="N31"/>
      <c r="O31"/>
      <c r="P31"/>
      <c r="Q31"/>
      <c r="R31"/>
    </row>
    <row r="32" spans="2:18" s="129" customFormat="1" x14ac:dyDescent="0.25">
      <c r="B32" s="29" t="s">
        <v>289</v>
      </c>
      <c r="C32" s="50">
        <f>900*5</f>
        <v>4500</v>
      </c>
      <c r="D32" s="51">
        <v>110</v>
      </c>
      <c r="E32" s="50">
        <f t="shared" si="0"/>
        <v>47.04545454545454</v>
      </c>
      <c r="I32"/>
      <c r="K32"/>
      <c r="L32"/>
      <c r="M32"/>
      <c r="N32"/>
      <c r="O32"/>
      <c r="P32"/>
      <c r="Q32"/>
      <c r="R32"/>
    </row>
    <row r="33" spans="2:18" s="129" customFormat="1" x14ac:dyDescent="0.25">
      <c r="B33" s="29" t="s">
        <v>318</v>
      </c>
      <c r="C33" s="50"/>
      <c r="D33" s="51">
        <v>110</v>
      </c>
      <c r="E33" s="50">
        <f t="shared" si="0"/>
        <v>0</v>
      </c>
      <c r="I33"/>
      <c r="K33"/>
      <c r="L33"/>
      <c r="M33"/>
      <c r="N33"/>
      <c r="O33"/>
      <c r="P33"/>
      <c r="Q33"/>
      <c r="R33"/>
    </row>
    <row r="34" spans="2:18" s="129" customFormat="1" x14ac:dyDescent="0.25">
      <c r="B34" s="29" t="s">
        <v>69</v>
      </c>
      <c r="C34" s="50"/>
      <c r="D34" s="51">
        <v>110</v>
      </c>
      <c r="E34" s="50">
        <f>(C34/D34)*15%+(C34/D34)</f>
        <v>0</v>
      </c>
      <c r="I34"/>
      <c r="K34"/>
      <c r="L34"/>
      <c r="M34"/>
      <c r="N34"/>
      <c r="O34"/>
      <c r="P34"/>
      <c r="Q34"/>
      <c r="R34"/>
    </row>
    <row r="35" spans="2:18" s="129" customFormat="1" x14ac:dyDescent="0.25">
      <c r="B35" s="29" t="s">
        <v>313</v>
      </c>
      <c r="C35" s="50">
        <v>12000</v>
      </c>
      <c r="D35" s="51">
        <v>110</v>
      </c>
      <c r="E35" s="50">
        <f>(C35/D35)*15%+(C35/D35)</f>
        <v>125.45454545454545</v>
      </c>
      <c r="I35"/>
      <c r="K35"/>
      <c r="L35"/>
      <c r="M35"/>
      <c r="N35"/>
      <c r="O35"/>
      <c r="P35"/>
      <c r="Q35"/>
      <c r="R35"/>
    </row>
    <row r="36" spans="2:18" s="129" customFormat="1" x14ac:dyDescent="0.25">
      <c r="B36" s="163" t="s">
        <v>303</v>
      </c>
      <c r="C36" s="164">
        <f>180*2</f>
        <v>360</v>
      </c>
      <c r="D36" s="165">
        <v>110</v>
      </c>
      <c r="E36" s="164">
        <f>((C36/D36)*15%+(C36/D36))*0</f>
        <v>0</v>
      </c>
      <c r="I36"/>
      <c r="K36"/>
      <c r="L36"/>
      <c r="M36"/>
      <c r="N36"/>
      <c r="O36"/>
      <c r="P36"/>
      <c r="Q36"/>
      <c r="R36"/>
    </row>
    <row r="37" spans="2:18" s="129" customFormat="1" x14ac:dyDescent="0.25">
      <c r="B37" s="29" t="s">
        <v>306</v>
      </c>
      <c r="C37" s="50">
        <v>300</v>
      </c>
      <c r="D37" s="51">
        <v>110</v>
      </c>
      <c r="E37" s="50">
        <f>(C37/D37)*15%+(C37/D37)</f>
        <v>3.1363636363636362</v>
      </c>
      <c r="I37"/>
      <c r="K37"/>
      <c r="L37"/>
      <c r="M37"/>
      <c r="N37"/>
      <c r="O37"/>
      <c r="P37"/>
      <c r="Q37"/>
      <c r="R37"/>
    </row>
    <row r="38" spans="2:18" s="129" customFormat="1" x14ac:dyDescent="0.25">
      <c r="B38" s="29" t="s">
        <v>315</v>
      </c>
      <c r="C38" s="50">
        <v>1620</v>
      </c>
      <c r="D38" s="51">
        <v>110</v>
      </c>
      <c r="E38" s="50">
        <f>(C38/D38)*15%+(C38/D38)</f>
        <v>16.936363636363637</v>
      </c>
      <c r="I38"/>
      <c r="K38"/>
      <c r="L38"/>
      <c r="M38"/>
      <c r="N38"/>
      <c r="O38"/>
      <c r="P38"/>
      <c r="Q38"/>
      <c r="R38"/>
    </row>
    <row r="39" spans="2:18" s="129" customFormat="1" x14ac:dyDescent="0.25">
      <c r="B39" s="29" t="s">
        <v>317</v>
      </c>
      <c r="C39" s="50"/>
      <c r="D39" s="51">
        <v>110</v>
      </c>
      <c r="E39" s="50">
        <f>(C39/D39)*15%+(C39/D39)</f>
        <v>0</v>
      </c>
      <c r="I39"/>
      <c r="K39"/>
      <c r="L39"/>
      <c r="M39"/>
      <c r="N39"/>
      <c r="O39"/>
      <c r="P39"/>
      <c r="Q39"/>
      <c r="R39"/>
    </row>
    <row r="40" spans="2:18" s="129" customFormat="1" x14ac:dyDescent="0.25">
      <c r="B40" s="29" t="s">
        <v>319</v>
      </c>
      <c r="C40" s="50">
        <f>1500*2</f>
        <v>3000</v>
      </c>
      <c r="D40" s="51">
        <v>110</v>
      </c>
      <c r="E40" s="50">
        <f>(C40/D40)*15%+(C40/D40)</f>
        <v>31.363636363636363</v>
      </c>
      <c r="I40"/>
      <c r="K40"/>
      <c r="L40"/>
      <c r="M40"/>
      <c r="N40"/>
      <c r="O40"/>
      <c r="P40"/>
      <c r="Q40"/>
      <c r="R40"/>
    </row>
    <row r="41" spans="2:18" s="129" customFormat="1" x14ac:dyDescent="0.25">
      <c r="B41" s="29"/>
      <c r="C41" s="50"/>
      <c r="D41" s="51">
        <v>110</v>
      </c>
      <c r="E41" s="50">
        <f>(C41/D41)*15%+(C41/D41)</f>
        <v>0</v>
      </c>
      <c r="I41"/>
      <c r="K41"/>
      <c r="L41"/>
      <c r="M41"/>
      <c r="N41"/>
      <c r="O41"/>
      <c r="P41"/>
      <c r="Q41"/>
      <c r="R41"/>
    </row>
    <row r="42" spans="2:18" s="129" customFormat="1" x14ac:dyDescent="0.25">
      <c r="B42" s="149" t="s">
        <v>296</v>
      </c>
      <c r="C42" s="150">
        <f>SUM(C43:C47)</f>
        <v>36640</v>
      </c>
      <c r="D42" s="151"/>
      <c r="E42" s="150">
        <f>SUM(E43:E48)</f>
        <v>383.05454545454546</v>
      </c>
      <c r="I42"/>
      <c r="K42"/>
      <c r="L42"/>
      <c r="M42"/>
      <c r="N42"/>
      <c r="O42"/>
      <c r="P42"/>
      <c r="Q42"/>
      <c r="R42"/>
    </row>
    <row r="43" spans="2:18" s="129" customFormat="1" x14ac:dyDescent="0.25">
      <c r="B43" s="29" t="s">
        <v>292</v>
      </c>
      <c r="C43" s="50">
        <v>30000</v>
      </c>
      <c r="D43" s="51">
        <v>110</v>
      </c>
      <c r="E43" s="50">
        <f>(C43/D43)*15%+(C43/D43)</f>
        <v>313.63636363636368</v>
      </c>
      <c r="I43"/>
      <c r="K43"/>
      <c r="L43"/>
      <c r="M43"/>
      <c r="N43"/>
      <c r="O43"/>
      <c r="P43"/>
      <c r="Q43"/>
      <c r="R43"/>
    </row>
    <row r="44" spans="2:18" s="129" customFormat="1" x14ac:dyDescent="0.25">
      <c r="B44" s="29" t="s">
        <v>293</v>
      </c>
      <c r="C44" s="50">
        <v>5000</v>
      </c>
      <c r="D44" s="51">
        <v>110</v>
      </c>
      <c r="E44" s="50">
        <f>(C44/D44)*15%+(C44/D44)</f>
        <v>52.272727272727273</v>
      </c>
      <c r="I44"/>
      <c r="K44"/>
      <c r="L44"/>
      <c r="M44"/>
      <c r="N44"/>
      <c r="O44"/>
      <c r="P44"/>
      <c r="Q44"/>
      <c r="R44"/>
    </row>
    <row r="45" spans="2:18" s="129" customFormat="1" x14ac:dyDescent="0.25">
      <c r="B45" s="29" t="s">
        <v>294</v>
      </c>
      <c r="C45" s="50"/>
      <c r="D45" s="51">
        <v>110</v>
      </c>
      <c r="E45" s="50">
        <f>(C45/D45)*15%+(C45/D45)</f>
        <v>0</v>
      </c>
      <c r="I45"/>
      <c r="K45"/>
      <c r="L45"/>
      <c r="M45"/>
      <c r="N45"/>
      <c r="O45"/>
      <c r="P45"/>
      <c r="Q45"/>
      <c r="R45"/>
    </row>
    <row r="46" spans="2:18" s="129" customFormat="1" x14ac:dyDescent="0.25">
      <c r="B46" s="29" t="s">
        <v>295</v>
      </c>
      <c r="C46" s="50"/>
      <c r="D46" s="51">
        <v>110</v>
      </c>
      <c r="E46" s="50">
        <f>(C46/D46)*15%+(C46/D46)</f>
        <v>0</v>
      </c>
      <c r="I46"/>
      <c r="K46"/>
      <c r="L46"/>
      <c r="M46"/>
      <c r="N46"/>
      <c r="O46"/>
      <c r="P46"/>
      <c r="Q46"/>
      <c r="R46"/>
    </row>
    <row r="47" spans="2:18" s="129" customFormat="1" x14ac:dyDescent="0.25">
      <c r="B47" s="29" t="s">
        <v>314</v>
      </c>
      <c r="C47" s="50">
        <v>1640</v>
      </c>
      <c r="D47" s="51">
        <v>110</v>
      </c>
      <c r="E47" s="50">
        <f>(C47/D47)*15%+(C47/D47)</f>
        <v>17.145454545454545</v>
      </c>
      <c r="I47"/>
      <c r="K47"/>
      <c r="L47"/>
      <c r="M47"/>
      <c r="N47"/>
      <c r="O47"/>
      <c r="P47"/>
      <c r="Q47"/>
      <c r="R47"/>
    </row>
    <row r="48" spans="2:18" s="129" customFormat="1" x14ac:dyDescent="0.25">
      <c r="B48" s="29"/>
      <c r="C48" s="50"/>
      <c r="D48" s="51"/>
      <c r="E48" s="50"/>
      <c r="I48"/>
      <c r="K48"/>
      <c r="L48"/>
      <c r="M48"/>
      <c r="N48"/>
      <c r="O48"/>
      <c r="P48"/>
      <c r="Q48"/>
      <c r="R48"/>
    </row>
    <row r="49" spans="2:18" s="129" customFormat="1" x14ac:dyDescent="0.25">
      <c r="B49" s="149" t="s">
        <v>291</v>
      </c>
      <c r="C49" s="150">
        <f>SUM(C50:C53)</f>
        <v>5000</v>
      </c>
      <c r="D49" s="151"/>
      <c r="E49" s="150">
        <f>SUM(E50:E58)</f>
        <v>52.272727272727273</v>
      </c>
      <c r="I49"/>
      <c r="K49"/>
      <c r="L49"/>
      <c r="M49"/>
      <c r="N49"/>
      <c r="O49"/>
      <c r="P49"/>
      <c r="Q49"/>
      <c r="R49"/>
    </row>
    <row r="50" spans="2:18" s="129" customFormat="1" x14ac:dyDescent="0.25">
      <c r="B50" s="29" t="s">
        <v>304</v>
      </c>
      <c r="C50" s="50">
        <v>5000</v>
      </c>
      <c r="D50" s="51">
        <v>110</v>
      </c>
      <c r="E50" s="50">
        <f>(C50/D50)*15%+(C50/D50)</f>
        <v>52.272727272727273</v>
      </c>
      <c r="I50"/>
      <c r="K50"/>
      <c r="L50"/>
      <c r="M50"/>
      <c r="N50"/>
      <c r="O50"/>
      <c r="P50"/>
      <c r="Q50"/>
      <c r="R50"/>
    </row>
    <row r="51" spans="2:18" s="129" customFormat="1" x14ac:dyDescent="0.25">
      <c r="B51" s="29"/>
      <c r="C51" s="50"/>
      <c r="D51" s="51"/>
      <c r="E51" s="50"/>
      <c r="I51"/>
      <c r="K51"/>
      <c r="L51"/>
      <c r="M51"/>
      <c r="N51"/>
      <c r="O51"/>
      <c r="P51"/>
      <c r="Q51"/>
      <c r="R51"/>
    </row>
    <row r="52" spans="2:18" s="129" customFormat="1" x14ac:dyDescent="0.25">
      <c r="B52" s="29"/>
      <c r="C52" s="50"/>
      <c r="D52" s="51"/>
      <c r="E52" s="50"/>
      <c r="I52"/>
      <c r="K52"/>
      <c r="L52"/>
      <c r="M52"/>
      <c r="N52"/>
      <c r="O52"/>
      <c r="P52"/>
      <c r="Q52"/>
      <c r="R52"/>
    </row>
    <row r="53" spans="2:18" s="129" customFormat="1" x14ac:dyDescent="0.25">
      <c r="B53" s="29"/>
      <c r="C53" s="50"/>
      <c r="D53" s="51"/>
      <c r="E53" s="50"/>
      <c r="I53"/>
      <c r="K53"/>
      <c r="L53"/>
      <c r="M53"/>
      <c r="N53"/>
      <c r="O53"/>
      <c r="P53"/>
      <c r="Q53"/>
      <c r="R53"/>
    </row>
    <row r="54" spans="2:18" s="129" customFormat="1" x14ac:dyDescent="0.25">
      <c r="B54" s="29"/>
      <c r="C54" s="50"/>
      <c r="D54" s="51"/>
      <c r="E54" s="50"/>
      <c r="I54"/>
      <c r="K54"/>
      <c r="L54"/>
      <c r="M54"/>
      <c r="N54"/>
      <c r="O54"/>
      <c r="P54"/>
      <c r="Q54"/>
      <c r="R54"/>
    </row>
    <row r="55" spans="2:18" s="129" customFormat="1" x14ac:dyDescent="0.25">
      <c r="B55" s="29"/>
      <c r="C55" s="50"/>
      <c r="D55" s="51"/>
      <c r="E55" s="50"/>
      <c r="I55"/>
      <c r="K55"/>
      <c r="L55"/>
      <c r="M55"/>
      <c r="N55"/>
      <c r="O55"/>
      <c r="P55"/>
      <c r="Q55"/>
      <c r="R55"/>
    </row>
    <row r="56" spans="2:18" s="129" customFormat="1" x14ac:dyDescent="0.25">
      <c r="B56" s="29"/>
      <c r="C56" s="50"/>
      <c r="D56" s="51"/>
      <c r="E56" s="50"/>
      <c r="I56"/>
      <c r="K56"/>
      <c r="L56"/>
      <c r="M56"/>
      <c r="N56"/>
      <c r="O56"/>
      <c r="P56"/>
      <c r="Q56"/>
      <c r="R56"/>
    </row>
    <row r="57" spans="2:18" s="129" customFormat="1" x14ac:dyDescent="0.25">
      <c r="B57" s="29"/>
      <c r="C57" s="50"/>
      <c r="D57" s="51"/>
      <c r="E57" s="50"/>
      <c r="I57"/>
      <c r="K57"/>
      <c r="L57"/>
      <c r="M57"/>
      <c r="N57"/>
      <c r="O57"/>
      <c r="P57"/>
      <c r="Q57"/>
      <c r="R57"/>
    </row>
    <row r="58" spans="2:18" s="129" customFormat="1" ht="15.75" thickBot="1" x14ac:dyDescent="0.3">
      <c r="B58" s="29"/>
      <c r="C58" s="50"/>
      <c r="D58" s="51"/>
      <c r="E58" s="50"/>
      <c r="I58"/>
      <c r="K58"/>
      <c r="L58"/>
      <c r="M58"/>
      <c r="N58"/>
      <c r="O58"/>
      <c r="P58"/>
      <c r="Q58"/>
      <c r="R58"/>
    </row>
    <row r="59" spans="2:18" s="129" customFormat="1" ht="29.25" thickBot="1" x14ac:dyDescent="0.5">
      <c r="B59" s="43" t="s">
        <v>65</v>
      </c>
      <c r="C59" s="52">
        <f>C5</f>
        <v>0</v>
      </c>
      <c r="D59" s="53">
        <f>D5</f>
        <v>0</v>
      </c>
      <c r="E59" s="52">
        <f>E49+E42+E22+E14+E6</f>
        <v>1190.4695454545454</v>
      </c>
      <c r="I59"/>
      <c r="K59"/>
      <c r="L59"/>
      <c r="M59"/>
      <c r="N59"/>
      <c r="O59"/>
      <c r="P59"/>
      <c r="Q59"/>
      <c r="R59"/>
    </row>
    <row r="61" spans="2:18" x14ac:dyDescent="0.25">
      <c r="C61" t="s">
        <v>316</v>
      </c>
      <c r="D61" s="54">
        <v>12</v>
      </c>
      <c r="E61" s="129">
        <f>E59/D61</f>
        <v>99.205795454545452</v>
      </c>
    </row>
  </sheetData>
  <mergeCells count="1">
    <mergeCell ref="B3:E3"/>
  </mergeCells>
  <pageMargins left="0.39370078740157483" right="0" top="0" bottom="0" header="0" footer="0"/>
  <pageSetup paperSize="9" scale="6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5" sqref="A5"/>
    </sheetView>
  </sheetViews>
  <sheetFormatPr defaultRowHeight="15" x14ac:dyDescent="0.25"/>
  <cols>
    <col min="1" max="1" width="43.140625" bestFit="1" customWidth="1"/>
    <col min="2" max="2" width="10.5703125" style="129" bestFit="1" customWidth="1"/>
    <col min="4" max="4" width="10.5703125" style="129" bestFit="1" customWidth="1"/>
    <col min="5" max="5" width="9.5703125" bestFit="1" customWidth="1"/>
  </cols>
  <sheetData>
    <row r="1" spans="1:5" x14ac:dyDescent="0.25">
      <c r="C1" s="167">
        <v>0.15</v>
      </c>
    </row>
    <row r="2" spans="1:5" x14ac:dyDescent="0.25">
      <c r="A2" t="s">
        <v>408</v>
      </c>
      <c r="B2" s="129">
        <f>790*5</f>
        <v>3950</v>
      </c>
      <c r="D2" s="129">
        <f>(B2*$C$1)+B2</f>
        <v>4542.5</v>
      </c>
    </row>
    <row r="3" spans="1:5" x14ac:dyDescent="0.25">
      <c r="A3" t="s">
        <v>395</v>
      </c>
      <c r="B3" s="129">
        <v>1100</v>
      </c>
      <c r="D3" s="129">
        <f t="shared" ref="D3:D21" si="0">(B3*$C$1)+B3</f>
        <v>1265</v>
      </c>
    </row>
    <row r="4" spans="1:5" x14ac:dyDescent="0.25">
      <c r="A4" t="s">
        <v>396</v>
      </c>
      <c r="B4" s="129">
        <v>1790</v>
      </c>
      <c r="D4" s="129">
        <f t="shared" si="0"/>
        <v>2058.5</v>
      </c>
      <c r="E4" s="70">
        <f>SUM(D2:D4)</f>
        <v>7866</v>
      </c>
    </row>
    <row r="5" spans="1:5" x14ac:dyDescent="0.25">
      <c r="A5" t="s">
        <v>403</v>
      </c>
      <c r="B5" s="129">
        <v>1508</v>
      </c>
      <c r="D5" s="129">
        <f t="shared" si="0"/>
        <v>1734.2</v>
      </c>
    </row>
    <row r="6" spans="1:5" x14ac:dyDescent="0.25">
      <c r="A6" t="s">
        <v>397</v>
      </c>
      <c r="B6" s="129">
        <v>1640</v>
      </c>
      <c r="D6" s="129">
        <f t="shared" si="0"/>
        <v>1886</v>
      </c>
    </row>
    <row r="7" spans="1:5" x14ac:dyDescent="0.25">
      <c r="A7" t="s">
        <v>398</v>
      </c>
      <c r="B7" s="129">
        <v>930</v>
      </c>
      <c r="D7" s="129">
        <f t="shared" si="0"/>
        <v>1069.5</v>
      </c>
    </row>
    <row r="8" spans="1:5" x14ac:dyDescent="0.25">
      <c r="A8" t="s">
        <v>399</v>
      </c>
      <c r="B8" s="129">
        <v>3900</v>
      </c>
      <c r="D8" s="129">
        <f t="shared" si="0"/>
        <v>4485</v>
      </c>
    </row>
    <row r="9" spans="1:5" x14ac:dyDescent="0.25">
      <c r="A9" t="s">
        <v>400</v>
      </c>
      <c r="B9" s="129">
        <f>649*2</f>
        <v>1298</v>
      </c>
      <c r="D9" s="136">
        <f t="shared" si="0"/>
        <v>1492.7</v>
      </c>
    </row>
    <row r="10" spans="1:5" x14ac:dyDescent="0.25">
      <c r="A10" t="s">
        <v>401</v>
      </c>
      <c r="B10" s="129">
        <v>330</v>
      </c>
      <c r="D10" s="136">
        <f t="shared" si="0"/>
        <v>379.5</v>
      </c>
    </row>
    <row r="11" spans="1:5" x14ac:dyDescent="0.25">
      <c r="A11" t="s">
        <v>402</v>
      </c>
      <c r="B11" s="129">
        <f>2300+2500</f>
        <v>4800</v>
      </c>
      <c r="D11" s="136">
        <f t="shared" si="0"/>
        <v>5520</v>
      </c>
    </row>
    <row r="12" spans="1:5" x14ac:dyDescent="0.25">
      <c r="A12" t="s">
        <v>404</v>
      </c>
      <c r="B12" s="129">
        <v>2000</v>
      </c>
      <c r="D12" s="129">
        <f t="shared" si="0"/>
        <v>2300</v>
      </c>
    </row>
    <row r="13" spans="1:5" x14ac:dyDescent="0.25">
      <c r="A13" t="s">
        <v>405</v>
      </c>
      <c r="B13" s="129">
        <v>2571</v>
      </c>
      <c r="D13" s="129">
        <f t="shared" si="0"/>
        <v>2956.65</v>
      </c>
    </row>
    <row r="14" spans="1:5" x14ac:dyDescent="0.25">
      <c r="A14" t="s">
        <v>406</v>
      </c>
      <c r="B14" s="129">
        <f>116*10</f>
        <v>1160</v>
      </c>
      <c r="D14" s="129">
        <f t="shared" si="0"/>
        <v>1334</v>
      </c>
    </row>
    <row r="15" spans="1:5" x14ac:dyDescent="0.25">
      <c r="A15" t="s">
        <v>407</v>
      </c>
      <c r="B15" s="129">
        <v>1100</v>
      </c>
      <c r="D15" s="129">
        <f t="shared" si="0"/>
        <v>1265</v>
      </c>
    </row>
    <row r="16" spans="1:5" x14ac:dyDescent="0.25">
      <c r="A16" t="s">
        <v>409</v>
      </c>
      <c r="B16" s="129">
        <v>2000</v>
      </c>
      <c r="D16" s="129">
        <f t="shared" si="0"/>
        <v>2300</v>
      </c>
    </row>
    <row r="17" spans="1:6" x14ac:dyDescent="0.25">
      <c r="A17" t="s">
        <v>410</v>
      </c>
      <c r="B17" s="129">
        <f>300*2</f>
        <v>600</v>
      </c>
      <c r="D17" s="129">
        <f t="shared" si="0"/>
        <v>690</v>
      </c>
    </row>
    <row r="18" spans="1:6" x14ac:dyDescent="0.25">
      <c r="A18" t="s">
        <v>411</v>
      </c>
      <c r="B18" s="129">
        <f>84*4</f>
        <v>336</v>
      </c>
      <c r="D18" s="168">
        <f t="shared" si="0"/>
        <v>386.4</v>
      </c>
    </row>
    <row r="19" spans="1:6" x14ac:dyDescent="0.25">
      <c r="A19" t="s">
        <v>412</v>
      </c>
      <c r="B19" s="129">
        <f>39.9*15</f>
        <v>598.5</v>
      </c>
      <c r="D19" s="129">
        <f t="shared" si="0"/>
        <v>688.27499999999998</v>
      </c>
    </row>
    <row r="20" spans="1:6" x14ac:dyDescent="0.25">
      <c r="A20" t="s">
        <v>413</v>
      </c>
      <c r="B20" s="129">
        <f>1000+1000</f>
        <v>2000</v>
      </c>
      <c r="D20" s="129">
        <f t="shared" si="0"/>
        <v>2300</v>
      </c>
    </row>
    <row r="21" spans="1:6" x14ac:dyDescent="0.25">
      <c r="D21" s="129">
        <f t="shared" si="0"/>
        <v>0</v>
      </c>
    </row>
    <row r="22" spans="1:6" x14ac:dyDescent="0.25">
      <c r="B22" s="129">
        <f>SUM(B2:B21)</f>
        <v>33611.5</v>
      </c>
      <c r="D22" s="129">
        <f>SUM(D2:D21)</f>
        <v>38653.225000000006</v>
      </c>
      <c r="E22" s="70">
        <f>D22/110</f>
        <v>351.39295454545459</v>
      </c>
      <c r="F22" s="70">
        <f>E22/6</f>
        <v>58.565492424242429</v>
      </c>
    </row>
    <row r="23" spans="1:6" x14ac:dyDescent="0.25">
      <c r="E23" t="s">
        <v>414</v>
      </c>
      <c r="F23" t="s">
        <v>415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76"/>
  <sheetViews>
    <sheetView workbookViewId="0">
      <selection activeCell="F63" sqref="F63"/>
    </sheetView>
  </sheetViews>
  <sheetFormatPr defaultRowHeight="15" x14ac:dyDescent="0.25"/>
  <cols>
    <col min="1" max="1" width="13.28515625" bestFit="1" customWidth="1"/>
    <col min="2" max="2" width="10.5703125" bestFit="1" customWidth="1"/>
    <col min="3" max="3" width="10.140625" hidden="1" customWidth="1"/>
    <col min="4" max="4" width="18.42578125" style="90" hidden="1" customWidth="1"/>
    <col min="5" max="5" width="0" hidden="1" customWidth="1"/>
    <col min="6" max="6" width="16" bestFit="1" customWidth="1"/>
    <col min="7" max="7" width="15.85546875" style="33" bestFit="1" customWidth="1"/>
    <col min="8" max="8" width="8.85546875" style="33"/>
    <col min="9" max="9" width="0" style="33" hidden="1" customWidth="1"/>
    <col min="10" max="10" width="18.42578125" style="33" hidden="1" customWidth="1"/>
    <col min="11" max="11" width="0" style="33" hidden="1" customWidth="1"/>
    <col min="12" max="12" width="16" style="33" bestFit="1" customWidth="1"/>
    <col min="13" max="13" width="8.85546875" style="33"/>
  </cols>
  <sheetData>
    <row r="1" spans="1:14" x14ac:dyDescent="0.25">
      <c r="A1" s="39">
        <f>'Previsão Orçamentária '!F53</f>
        <v>673706.86584354274</v>
      </c>
      <c r="B1" s="70">
        <f>(A1/12)</f>
        <v>56142.238820295228</v>
      </c>
      <c r="C1" s="70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25">
      <c r="A2" s="73" t="s">
        <v>74</v>
      </c>
      <c r="B2" s="73" t="s">
        <v>75</v>
      </c>
      <c r="D2" s="74">
        <f>56-4+56</f>
        <v>108</v>
      </c>
      <c r="E2" s="74" t="e">
        <f>(#REF!/D2)-F2</f>
        <v>#REF!</v>
      </c>
      <c r="F2" s="72"/>
      <c r="G2" s="72"/>
      <c r="H2" s="72"/>
      <c r="I2" s="72"/>
      <c r="J2" s="72"/>
      <c r="K2" s="72"/>
      <c r="L2" s="72"/>
      <c r="M2" s="72"/>
      <c r="N2" s="72"/>
    </row>
    <row r="4" spans="1:14" x14ac:dyDescent="0.25">
      <c r="A4" s="435" t="s">
        <v>76</v>
      </c>
      <c r="B4" s="436"/>
      <c r="C4" s="436"/>
      <c r="D4" s="436"/>
      <c r="E4" s="436"/>
      <c r="F4" s="437"/>
      <c r="G4" s="438" t="s">
        <v>77</v>
      </c>
      <c r="H4" s="439"/>
      <c r="I4" s="439"/>
      <c r="J4" s="439"/>
      <c r="K4" s="439"/>
      <c r="L4" s="440"/>
    </row>
    <row r="5" spans="1:14" x14ac:dyDescent="0.25">
      <c r="A5" s="75" t="s">
        <v>78</v>
      </c>
      <c r="B5" s="75" t="s">
        <v>79</v>
      </c>
      <c r="C5" s="75" t="s">
        <v>80</v>
      </c>
      <c r="D5" s="76" t="s">
        <v>81</v>
      </c>
      <c r="E5" s="75" t="s">
        <v>82</v>
      </c>
      <c r="F5" s="77" t="s">
        <v>83</v>
      </c>
      <c r="G5" s="75" t="s">
        <v>78</v>
      </c>
      <c r="H5" s="75" t="s">
        <v>79</v>
      </c>
      <c r="I5" s="75" t="s">
        <v>80</v>
      </c>
      <c r="J5" s="76" t="s">
        <v>81</v>
      </c>
      <c r="K5" s="75" t="s">
        <v>82</v>
      </c>
      <c r="L5" s="77" t="s">
        <v>83</v>
      </c>
    </row>
    <row r="6" spans="1:14" x14ac:dyDescent="0.25">
      <c r="A6" s="78">
        <v>101</v>
      </c>
      <c r="B6" s="78">
        <v>56</v>
      </c>
      <c r="C6" s="78">
        <v>1.1087E-2</v>
      </c>
      <c r="D6" s="79">
        <f>($B$1*C6)+(655.74/108)</f>
        <v>628.52066846727985</v>
      </c>
      <c r="E6" s="78">
        <v>1</v>
      </c>
      <c r="F6" s="80">
        <f>$B$1/109</f>
        <v>515.06641119536903</v>
      </c>
      <c r="G6" s="81">
        <v>101</v>
      </c>
      <c r="H6" s="81">
        <v>83</v>
      </c>
      <c r="I6" s="81">
        <v>1.1047E-2</v>
      </c>
      <c r="J6" s="79">
        <f>($B$1*I6)+(655.74/108)</f>
        <v>626.27497891446808</v>
      </c>
      <c r="K6" s="78">
        <v>1</v>
      </c>
      <c r="L6" s="80">
        <f t="shared" ref="L6:L26" si="0">$B$1/109</f>
        <v>515.06641119536903</v>
      </c>
      <c r="M6" s="120"/>
    </row>
    <row r="7" spans="1:14" x14ac:dyDescent="0.25">
      <c r="A7" s="78">
        <v>102</v>
      </c>
      <c r="B7" s="78">
        <v>57</v>
      </c>
      <c r="C7" s="78">
        <v>9.6970000000000008E-3</v>
      </c>
      <c r="D7" s="79">
        <f>($B$1*C7)+(655.74/108)</f>
        <v>550.48295650706962</v>
      </c>
      <c r="E7" s="78">
        <v>1</v>
      </c>
      <c r="F7" s="80">
        <f>$B$1/109</f>
        <v>515.06641119536903</v>
      </c>
      <c r="G7" s="81">
        <v>102</v>
      </c>
      <c r="H7" s="81">
        <v>84</v>
      </c>
      <c r="I7" s="81">
        <v>9.1439999999999994E-3</v>
      </c>
      <c r="J7" s="79">
        <f t="shared" ref="J7:J26" si="1">($B$1*I7)+(655.74/108)</f>
        <v>519.4362984394462</v>
      </c>
      <c r="K7" s="78">
        <v>1</v>
      </c>
      <c r="L7" s="80">
        <f t="shared" si="0"/>
        <v>515.06641119536903</v>
      </c>
      <c r="M7" s="120"/>
    </row>
    <row r="8" spans="1:14" x14ac:dyDescent="0.25">
      <c r="A8" s="78">
        <v>103</v>
      </c>
      <c r="B8" s="78">
        <v>58</v>
      </c>
      <c r="C8" s="78">
        <v>9.6860000000000002E-3</v>
      </c>
      <c r="D8" s="79">
        <f>($B$1*C8)+(655.74/108)</f>
        <v>549.86539188004633</v>
      </c>
      <c r="E8" s="78">
        <v>1</v>
      </c>
      <c r="F8" s="80">
        <f>$B$1/109</f>
        <v>515.06641119536903</v>
      </c>
      <c r="G8" s="81">
        <v>103</v>
      </c>
      <c r="H8" s="81">
        <v>85</v>
      </c>
      <c r="I8" s="81">
        <v>9.1170000000000001E-3</v>
      </c>
      <c r="J8" s="79">
        <f t="shared" si="1"/>
        <v>517.92045799129824</v>
      </c>
      <c r="K8" s="78">
        <v>1</v>
      </c>
      <c r="L8" s="80">
        <f t="shared" si="0"/>
        <v>515.06641119536903</v>
      </c>
      <c r="M8" s="120"/>
    </row>
    <row r="9" spans="1:14" x14ac:dyDescent="0.25">
      <c r="A9" s="78">
        <v>104</v>
      </c>
      <c r="B9" s="78">
        <v>59</v>
      </c>
      <c r="C9" s="78">
        <v>1.1179E-2</v>
      </c>
      <c r="D9" s="79">
        <f>($B$1*C9)+(655.74/108)</f>
        <v>633.68575443874704</v>
      </c>
      <c r="E9" s="78">
        <v>1</v>
      </c>
      <c r="F9" s="80">
        <f>$B$1/109</f>
        <v>515.06641119536903</v>
      </c>
      <c r="G9" s="81">
        <v>104</v>
      </c>
      <c r="H9" s="81">
        <v>86</v>
      </c>
      <c r="I9" s="81">
        <v>1.0819E-2</v>
      </c>
      <c r="J9" s="79">
        <f t="shared" si="1"/>
        <v>613.47454846344078</v>
      </c>
      <c r="K9" s="78">
        <v>1</v>
      </c>
      <c r="L9" s="80">
        <f t="shared" si="0"/>
        <v>515.06641119536903</v>
      </c>
      <c r="M9" s="120"/>
    </row>
    <row r="10" spans="1:14" x14ac:dyDescent="0.25">
      <c r="A10" s="78">
        <v>105</v>
      </c>
      <c r="B10" s="78" t="s">
        <v>84</v>
      </c>
      <c r="C10" s="118">
        <v>0</v>
      </c>
      <c r="D10" s="82">
        <f>$B$1*C10</f>
        <v>0</v>
      </c>
      <c r="E10" s="78"/>
      <c r="F10" s="82"/>
      <c r="G10" s="81">
        <v>105</v>
      </c>
      <c r="H10" s="81">
        <v>87</v>
      </c>
      <c r="I10" s="81">
        <v>9.5670000000000009E-3</v>
      </c>
      <c r="J10" s="79">
        <f t="shared" si="1"/>
        <v>543.18446546043117</v>
      </c>
      <c r="K10" s="78">
        <v>1</v>
      </c>
      <c r="L10" s="80">
        <f t="shared" si="0"/>
        <v>515.06641119536903</v>
      </c>
      <c r="M10" s="120"/>
    </row>
    <row r="11" spans="1:14" x14ac:dyDescent="0.25">
      <c r="A11" s="78">
        <v>106</v>
      </c>
      <c r="B11" s="78">
        <v>60</v>
      </c>
      <c r="C11" s="78">
        <v>8.2679999999999993E-3</v>
      </c>
      <c r="D11" s="79">
        <f>($B$1*C11)+(655.74/108)</f>
        <v>470.25569723286759</v>
      </c>
      <c r="E11" s="78">
        <v>1</v>
      </c>
      <c r="F11" s="80">
        <f>$B$1/109</f>
        <v>515.06641119536903</v>
      </c>
      <c r="G11" s="81">
        <v>106</v>
      </c>
      <c r="H11" s="81">
        <v>88</v>
      </c>
      <c r="I11" s="81">
        <v>6.1549999999999999E-3</v>
      </c>
      <c r="J11" s="79">
        <f t="shared" si="1"/>
        <v>351.62714660558379</v>
      </c>
      <c r="K11" s="78">
        <v>1</v>
      </c>
      <c r="L11" s="80">
        <f t="shared" si="0"/>
        <v>515.06641119536903</v>
      </c>
      <c r="M11" s="120"/>
    </row>
    <row r="12" spans="1:14" x14ac:dyDescent="0.25">
      <c r="A12" s="78">
        <v>107</v>
      </c>
      <c r="B12" s="78">
        <v>61</v>
      </c>
      <c r="C12" s="78">
        <v>1.0045E-2</v>
      </c>
      <c r="D12" s="79">
        <f>($B$1*C12)+(655.74/108)</f>
        <v>570.02045561653233</v>
      </c>
      <c r="E12" s="78">
        <v>1</v>
      </c>
      <c r="F12" s="80">
        <f>$B$1/109</f>
        <v>515.06641119536903</v>
      </c>
      <c r="G12" s="81">
        <v>107</v>
      </c>
      <c r="H12" s="81">
        <v>89</v>
      </c>
      <c r="I12" s="81">
        <v>8.5349999999999992E-3</v>
      </c>
      <c r="J12" s="79">
        <f t="shared" si="1"/>
        <v>485.2456749978864</v>
      </c>
      <c r="K12" s="78">
        <v>1</v>
      </c>
      <c r="L12" s="80">
        <f t="shared" si="0"/>
        <v>515.06641119536903</v>
      </c>
      <c r="M12" s="120"/>
    </row>
    <row r="13" spans="1:14" x14ac:dyDescent="0.25">
      <c r="A13" s="78">
        <v>108</v>
      </c>
      <c r="B13" s="78" t="s">
        <v>133</v>
      </c>
      <c r="C13" s="78">
        <v>0</v>
      </c>
      <c r="D13" s="82">
        <f>$B$1*C13</f>
        <v>0</v>
      </c>
      <c r="E13" s="78"/>
      <c r="F13" s="82"/>
      <c r="G13" s="81">
        <v>108</v>
      </c>
      <c r="H13" s="81">
        <v>90</v>
      </c>
      <c r="I13" s="81">
        <v>1.1322E-2</v>
      </c>
      <c r="J13" s="79">
        <f t="shared" si="1"/>
        <v>641.71409459004929</v>
      </c>
      <c r="K13" s="78">
        <v>1</v>
      </c>
      <c r="L13" s="80">
        <f t="shared" si="0"/>
        <v>515.06641119536903</v>
      </c>
      <c r="M13" s="120"/>
    </row>
    <row r="14" spans="1:14" x14ac:dyDescent="0.25">
      <c r="A14" s="78">
        <v>201</v>
      </c>
      <c r="B14" s="78">
        <v>62</v>
      </c>
      <c r="C14" s="78">
        <v>9.4909999999999994E-3</v>
      </c>
      <c r="D14" s="79">
        <f>($B$1*C14)+(655.74/108)</f>
        <v>538.91765531008866</v>
      </c>
      <c r="E14" s="78">
        <v>1</v>
      </c>
      <c r="F14" s="80">
        <f t="shared" ref="F14:F61" si="2">$B$1/109</f>
        <v>515.06641119536903</v>
      </c>
      <c r="G14" s="81">
        <v>201</v>
      </c>
      <c r="H14" s="81">
        <v>91</v>
      </c>
      <c r="I14" s="81">
        <v>9.4909999999999994E-3</v>
      </c>
      <c r="J14" s="79">
        <f t="shared" si="1"/>
        <v>538.91765531008866</v>
      </c>
      <c r="K14" s="78">
        <v>1</v>
      </c>
      <c r="L14" s="80">
        <f t="shared" si="0"/>
        <v>515.06641119536903</v>
      </c>
      <c r="M14" s="120"/>
    </row>
    <row r="15" spans="1:14" x14ac:dyDescent="0.25">
      <c r="A15" s="78">
        <v>202</v>
      </c>
      <c r="B15" s="78">
        <v>63</v>
      </c>
      <c r="C15" s="78">
        <v>8.123E-3</v>
      </c>
      <c r="D15" s="117">
        <f>($B$1*C15)*0</f>
        <v>0</v>
      </c>
      <c r="E15" s="78"/>
      <c r="F15" s="80">
        <f t="shared" si="2"/>
        <v>515.06641119536903</v>
      </c>
      <c r="G15" s="81">
        <v>202</v>
      </c>
      <c r="H15" s="81">
        <v>92</v>
      </c>
      <c r="I15" s="81">
        <v>8.123E-3</v>
      </c>
      <c r="J15" s="79">
        <f t="shared" si="1"/>
        <v>462.11507260392477</v>
      </c>
      <c r="K15" s="78">
        <v>1</v>
      </c>
      <c r="L15" s="80">
        <f t="shared" si="0"/>
        <v>515.06641119536903</v>
      </c>
      <c r="M15" s="120"/>
    </row>
    <row r="16" spans="1:14" x14ac:dyDescent="0.25">
      <c r="A16" s="78">
        <v>203</v>
      </c>
      <c r="B16" s="78">
        <v>64</v>
      </c>
      <c r="C16" s="78">
        <v>8.123E-3</v>
      </c>
      <c r="D16" s="79">
        <f t="shared" ref="D16:D61" si="3">($B$1*C16)+(655.74/108)</f>
        <v>462.11507260392477</v>
      </c>
      <c r="E16" s="78">
        <v>1</v>
      </c>
      <c r="F16" s="80">
        <f t="shared" si="2"/>
        <v>515.06641119536903</v>
      </c>
      <c r="G16" s="81">
        <v>203</v>
      </c>
      <c r="H16" s="81">
        <v>93</v>
      </c>
      <c r="I16" s="81">
        <v>8.123E-3</v>
      </c>
      <c r="J16" s="79">
        <f t="shared" si="1"/>
        <v>462.11507260392477</v>
      </c>
      <c r="K16" s="78">
        <v>1</v>
      </c>
      <c r="L16" s="80">
        <f t="shared" si="0"/>
        <v>515.06641119536903</v>
      </c>
      <c r="M16" s="120"/>
    </row>
    <row r="17" spans="1:13" x14ac:dyDescent="0.25">
      <c r="A17" s="78">
        <v>204</v>
      </c>
      <c r="B17" s="78">
        <v>65</v>
      </c>
      <c r="C17" s="78">
        <v>9.4909999999999994E-3</v>
      </c>
      <c r="D17" s="79">
        <f t="shared" si="3"/>
        <v>538.91765531008866</v>
      </c>
      <c r="E17" s="78">
        <v>1</v>
      </c>
      <c r="F17" s="80">
        <f t="shared" si="2"/>
        <v>515.06641119536903</v>
      </c>
      <c r="G17" s="81">
        <v>204</v>
      </c>
      <c r="H17" s="81">
        <v>94</v>
      </c>
      <c r="I17" s="81">
        <v>9.4909999999999994E-3</v>
      </c>
      <c r="J17" s="79">
        <f t="shared" si="1"/>
        <v>538.91765531008866</v>
      </c>
      <c r="K17" s="78">
        <v>1</v>
      </c>
      <c r="L17" s="80">
        <f t="shared" si="0"/>
        <v>515.06641119536903</v>
      </c>
      <c r="M17" s="120"/>
    </row>
    <row r="18" spans="1:13" x14ac:dyDescent="0.25">
      <c r="A18" s="78">
        <v>205</v>
      </c>
      <c r="B18" s="78">
        <v>66</v>
      </c>
      <c r="C18" s="78">
        <v>9.4909999999999994E-3</v>
      </c>
      <c r="D18" s="79">
        <f t="shared" si="3"/>
        <v>538.91765531008866</v>
      </c>
      <c r="E18" s="78">
        <v>1</v>
      </c>
      <c r="F18" s="80">
        <f t="shared" si="2"/>
        <v>515.06641119536903</v>
      </c>
      <c r="G18" s="81">
        <v>205</v>
      </c>
      <c r="H18" s="81">
        <v>95</v>
      </c>
      <c r="I18" s="81">
        <v>9.4909999999999994E-3</v>
      </c>
      <c r="J18" s="79">
        <f t="shared" si="1"/>
        <v>538.91765531008866</v>
      </c>
      <c r="K18" s="78">
        <v>1</v>
      </c>
      <c r="L18" s="80">
        <f t="shared" si="0"/>
        <v>515.06641119536903</v>
      </c>
      <c r="M18" s="120"/>
    </row>
    <row r="19" spans="1:13" x14ac:dyDescent="0.25">
      <c r="A19" s="78">
        <v>206</v>
      </c>
      <c r="B19" s="78">
        <v>67</v>
      </c>
      <c r="C19" s="78">
        <v>7.9209999999999992E-3</v>
      </c>
      <c r="D19" s="79">
        <f t="shared" si="3"/>
        <v>450.77434036222513</v>
      </c>
      <c r="E19" s="78"/>
      <c r="F19" s="80">
        <f t="shared" si="2"/>
        <v>515.06641119536903</v>
      </c>
      <c r="G19" s="81">
        <v>206</v>
      </c>
      <c r="H19" s="81">
        <v>96</v>
      </c>
      <c r="I19" s="81">
        <v>7.9209999999999992E-3</v>
      </c>
      <c r="J19" s="79">
        <f t="shared" si="1"/>
        <v>450.77434036222513</v>
      </c>
      <c r="K19" s="78">
        <v>1</v>
      </c>
      <c r="L19" s="80">
        <f t="shared" si="0"/>
        <v>515.06641119536903</v>
      </c>
      <c r="M19" s="120"/>
    </row>
    <row r="20" spans="1:13" x14ac:dyDescent="0.25">
      <c r="A20" s="78">
        <v>207</v>
      </c>
      <c r="B20" s="78">
        <v>68</v>
      </c>
      <c r="C20" s="78">
        <v>7.9209999999999992E-3</v>
      </c>
      <c r="D20" s="79">
        <f t="shared" si="3"/>
        <v>450.77434036222513</v>
      </c>
      <c r="E20" s="78">
        <v>1</v>
      </c>
      <c r="F20" s="80">
        <f t="shared" si="2"/>
        <v>515.06641119536903</v>
      </c>
      <c r="G20" s="81">
        <v>207</v>
      </c>
      <c r="H20" s="81">
        <v>97</v>
      </c>
      <c r="I20" s="81">
        <v>7.9209999999999992E-3</v>
      </c>
      <c r="J20" s="79">
        <f t="shared" si="1"/>
        <v>450.77434036222513</v>
      </c>
      <c r="K20" s="78">
        <v>1</v>
      </c>
      <c r="L20" s="80">
        <f t="shared" si="0"/>
        <v>515.06641119536903</v>
      </c>
      <c r="M20" s="120"/>
    </row>
    <row r="21" spans="1:13" x14ac:dyDescent="0.25">
      <c r="A21" s="78">
        <v>208</v>
      </c>
      <c r="B21" s="78">
        <v>69</v>
      </c>
      <c r="C21" s="78">
        <v>9.4909999999999994E-3</v>
      </c>
      <c r="D21" s="79">
        <f t="shared" si="3"/>
        <v>538.91765531008866</v>
      </c>
      <c r="E21" s="78">
        <v>1</v>
      </c>
      <c r="F21" s="80">
        <f t="shared" si="2"/>
        <v>515.06641119536903</v>
      </c>
      <c r="G21" s="81">
        <v>208</v>
      </c>
      <c r="H21" s="81">
        <v>98</v>
      </c>
      <c r="I21" s="81">
        <v>9.4909999999999994E-3</v>
      </c>
      <c r="J21" s="79">
        <f t="shared" si="1"/>
        <v>538.91765531008866</v>
      </c>
      <c r="K21" s="78">
        <v>1</v>
      </c>
      <c r="L21" s="80">
        <f t="shared" si="0"/>
        <v>515.06641119536903</v>
      </c>
      <c r="M21" s="120"/>
    </row>
    <row r="22" spans="1:13" x14ac:dyDescent="0.25">
      <c r="A22" s="78">
        <v>301</v>
      </c>
      <c r="B22" s="78">
        <v>70</v>
      </c>
      <c r="C22" s="78">
        <v>9.4909999999999994E-3</v>
      </c>
      <c r="D22" s="79">
        <f t="shared" si="3"/>
        <v>538.91765531008866</v>
      </c>
      <c r="E22" s="78">
        <v>1</v>
      </c>
      <c r="F22" s="80">
        <f t="shared" si="2"/>
        <v>515.06641119536903</v>
      </c>
      <c r="G22" s="81">
        <v>301</v>
      </c>
      <c r="H22" s="81">
        <v>1</v>
      </c>
      <c r="I22" s="81">
        <v>9.9120000000000007E-3</v>
      </c>
      <c r="J22" s="79">
        <f t="shared" si="1"/>
        <v>562.553537853433</v>
      </c>
      <c r="K22" s="78">
        <v>1</v>
      </c>
      <c r="L22" s="80">
        <f t="shared" si="0"/>
        <v>515.06641119536903</v>
      </c>
      <c r="M22" s="120"/>
    </row>
    <row r="23" spans="1:13" x14ac:dyDescent="0.25">
      <c r="A23" s="78">
        <v>302</v>
      </c>
      <c r="B23" s="78">
        <v>71</v>
      </c>
      <c r="C23" s="78">
        <v>8.123E-3</v>
      </c>
      <c r="D23" s="79">
        <f t="shared" si="3"/>
        <v>462.11507260392477</v>
      </c>
      <c r="E23" s="78">
        <v>1</v>
      </c>
      <c r="F23" s="80">
        <f t="shared" si="2"/>
        <v>515.06641119536903</v>
      </c>
      <c r="G23" s="81">
        <v>302</v>
      </c>
      <c r="H23" s="81">
        <v>99</v>
      </c>
      <c r="I23" s="81">
        <v>8.123E-3</v>
      </c>
      <c r="J23" s="79">
        <f t="shared" si="1"/>
        <v>462.11507260392477</v>
      </c>
      <c r="K23" s="78">
        <v>1</v>
      </c>
      <c r="L23" s="80">
        <f t="shared" si="0"/>
        <v>515.06641119536903</v>
      </c>
      <c r="M23" s="120"/>
    </row>
    <row r="24" spans="1:13" x14ac:dyDescent="0.25">
      <c r="A24" s="78">
        <v>303</v>
      </c>
      <c r="B24" s="78">
        <v>72</v>
      </c>
      <c r="C24" s="78">
        <v>8.123E-3</v>
      </c>
      <c r="D24" s="79">
        <f t="shared" si="3"/>
        <v>462.11507260392477</v>
      </c>
      <c r="E24" s="78">
        <v>1</v>
      </c>
      <c r="F24" s="80">
        <f t="shared" si="2"/>
        <v>515.06641119536903</v>
      </c>
      <c r="G24" s="81">
        <v>303</v>
      </c>
      <c r="H24" s="81">
        <v>100</v>
      </c>
      <c r="I24" s="81">
        <v>8.123E-3</v>
      </c>
      <c r="J24" s="79">
        <f t="shared" si="1"/>
        <v>462.11507260392477</v>
      </c>
      <c r="K24" s="78">
        <v>1</v>
      </c>
      <c r="L24" s="80">
        <f t="shared" si="0"/>
        <v>515.06641119536903</v>
      </c>
      <c r="M24" s="120"/>
    </row>
    <row r="25" spans="1:13" x14ac:dyDescent="0.25">
      <c r="A25" s="78">
        <v>304</v>
      </c>
      <c r="B25" s="78">
        <v>29</v>
      </c>
      <c r="C25" s="78">
        <v>9.9120000000000007E-3</v>
      </c>
      <c r="D25" s="79">
        <f t="shared" si="3"/>
        <v>562.553537853433</v>
      </c>
      <c r="E25" s="78">
        <v>1</v>
      </c>
      <c r="F25" s="80">
        <f t="shared" si="2"/>
        <v>515.06641119536903</v>
      </c>
      <c r="G25" s="81">
        <v>304</v>
      </c>
      <c r="H25" s="81">
        <v>2</v>
      </c>
      <c r="I25" s="81">
        <v>9.9120000000000007E-3</v>
      </c>
      <c r="J25" s="79">
        <f t="shared" si="1"/>
        <v>562.553537853433</v>
      </c>
      <c r="K25" s="78">
        <v>1</v>
      </c>
      <c r="L25" s="80">
        <f t="shared" si="0"/>
        <v>515.06641119536903</v>
      </c>
      <c r="M25" s="120"/>
    </row>
    <row r="26" spans="1:13" x14ac:dyDescent="0.25">
      <c r="A26" s="78">
        <v>305</v>
      </c>
      <c r="B26" s="78">
        <v>30</v>
      </c>
      <c r="C26" s="78">
        <v>9.9120000000000007E-3</v>
      </c>
      <c r="D26" s="79">
        <f t="shared" si="3"/>
        <v>562.553537853433</v>
      </c>
      <c r="E26" s="78">
        <v>1</v>
      </c>
      <c r="F26" s="80">
        <f t="shared" si="2"/>
        <v>515.06641119536903</v>
      </c>
      <c r="G26" s="81">
        <v>305</v>
      </c>
      <c r="H26" s="81">
        <v>3</v>
      </c>
      <c r="I26" s="81">
        <v>9.9120000000000007E-3</v>
      </c>
      <c r="J26" s="79">
        <f t="shared" si="1"/>
        <v>562.553537853433</v>
      </c>
      <c r="K26" s="78">
        <v>1</v>
      </c>
      <c r="L26" s="80">
        <f t="shared" si="0"/>
        <v>515.06641119536903</v>
      </c>
      <c r="M26" s="120"/>
    </row>
    <row r="27" spans="1:13" x14ac:dyDescent="0.25">
      <c r="A27" s="78">
        <v>306</v>
      </c>
      <c r="B27" s="78">
        <v>73</v>
      </c>
      <c r="C27" s="78">
        <v>7.9209999999999992E-3</v>
      </c>
      <c r="D27" s="79">
        <f t="shared" si="3"/>
        <v>450.77434036222513</v>
      </c>
      <c r="E27" s="78">
        <v>1</v>
      </c>
      <c r="F27" s="80">
        <f t="shared" si="2"/>
        <v>515.06641119536903</v>
      </c>
      <c r="G27" s="81">
        <v>306</v>
      </c>
      <c r="H27" s="81">
        <v>101</v>
      </c>
      <c r="I27" s="81">
        <v>7.9209999999999992E-3</v>
      </c>
      <c r="J27" s="117">
        <f>($B$1*I27)*0</f>
        <v>0</v>
      </c>
      <c r="K27" s="78">
        <v>1</v>
      </c>
      <c r="L27" s="119">
        <f>($B$1/108)*0</f>
        <v>0</v>
      </c>
      <c r="M27" s="120"/>
    </row>
    <row r="28" spans="1:13" x14ac:dyDescent="0.25">
      <c r="A28" s="78">
        <v>307</v>
      </c>
      <c r="B28" s="78">
        <v>74</v>
      </c>
      <c r="C28" s="78">
        <v>7.9209999999999992E-3</v>
      </c>
      <c r="D28" s="79">
        <f t="shared" si="3"/>
        <v>450.77434036222513</v>
      </c>
      <c r="E28" s="78">
        <v>1</v>
      </c>
      <c r="F28" s="80">
        <f t="shared" si="2"/>
        <v>515.06641119536903</v>
      </c>
      <c r="G28" s="81">
        <v>307</v>
      </c>
      <c r="H28" s="81">
        <v>102</v>
      </c>
      <c r="I28" s="81">
        <v>7.9209999999999992E-3</v>
      </c>
      <c r="J28" s="79">
        <f t="shared" ref="J28:J61" si="4">($B$1*I28)+(655.74/108)</f>
        <v>450.77434036222513</v>
      </c>
      <c r="K28" s="78">
        <v>1</v>
      </c>
      <c r="L28" s="80">
        <f t="shared" ref="L28:L61" si="5">$B$1/109</f>
        <v>515.06641119536903</v>
      </c>
      <c r="M28" s="120"/>
    </row>
    <row r="29" spans="1:13" x14ac:dyDescent="0.25">
      <c r="A29" s="78">
        <v>308</v>
      </c>
      <c r="B29" s="78">
        <v>31</v>
      </c>
      <c r="C29" s="78">
        <v>9.9120000000000007E-3</v>
      </c>
      <c r="D29" s="79">
        <f t="shared" si="3"/>
        <v>562.553537853433</v>
      </c>
      <c r="E29" s="78">
        <v>1</v>
      </c>
      <c r="F29" s="80">
        <f t="shared" si="2"/>
        <v>515.06641119536903</v>
      </c>
      <c r="G29" s="81">
        <v>308</v>
      </c>
      <c r="H29" s="81">
        <v>4</v>
      </c>
      <c r="I29" s="81">
        <v>9.9120000000000007E-3</v>
      </c>
      <c r="J29" s="79">
        <f t="shared" si="4"/>
        <v>562.553537853433</v>
      </c>
      <c r="K29" s="78">
        <v>1</v>
      </c>
      <c r="L29" s="80">
        <f t="shared" si="5"/>
        <v>515.06641119536903</v>
      </c>
      <c r="M29" s="120"/>
    </row>
    <row r="30" spans="1:13" x14ac:dyDescent="0.25">
      <c r="A30" s="78">
        <v>401</v>
      </c>
      <c r="B30" s="78">
        <v>32</v>
      </c>
      <c r="C30" s="78">
        <v>9.9120000000000007E-3</v>
      </c>
      <c r="D30" s="79">
        <f t="shared" si="3"/>
        <v>562.553537853433</v>
      </c>
      <c r="E30" s="78">
        <v>1</v>
      </c>
      <c r="F30" s="80">
        <f t="shared" si="2"/>
        <v>515.06641119536903</v>
      </c>
      <c r="G30" s="81">
        <v>401</v>
      </c>
      <c r="H30" s="81">
        <v>5</v>
      </c>
      <c r="I30" s="81">
        <v>9.9120000000000007E-3</v>
      </c>
      <c r="J30" s="79">
        <f t="shared" si="4"/>
        <v>562.553537853433</v>
      </c>
      <c r="K30" s="78">
        <v>1</v>
      </c>
      <c r="L30" s="80">
        <f t="shared" si="5"/>
        <v>515.06641119536903</v>
      </c>
      <c r="M30" s="120"/>
    </row>
    <row r="31" spans="1:13" x14ac:dyDescent="0.25">
      <c r="A31" s="78">
        <v>402</v>
      </c>
      <c r="B31" s="78">
        <v>75</v>
      </c>
      <c r="C31" s="78">
        <v>8.123E-3</v>
      </c>
      <c r="D31" s="79">
        <f t="shared" si="3"/>
        <v>462.11507260392477</v>
      </c>
      <c r="E31" s="78">
        <v>1</v>
      </c>
      <c r="F31" s="80">
        <f t="shared" si="2"/>
        <v>515.06641119536903</v>
      </c>
      <c r="G31" s="81">
        <v>402</v>
      </c>
      <c r="H31" s="81">
        <v>103</v>
      </c>
      <c r="I31" s="81">
        <v>8.123E-3</v>
      </c>
      <c r="J31" s="79">
        <f t="shared" si="4"/>
        <v>462.11507260392477</v>
      </c>
      <c r="K31" s="78">
        <v>1</v>
      </c>
      <c r="L31" s="80">
        <f t="shared" si="5"/>
        <v>515.06641119536903</v>
      </c>
      <c r="M31" s="120"/>
    </row>
    <row r="32" spans="1:13" x14ac:dyDescent="0.25">
      <c r="A32" s="78">
        <v>403</v>
      </c>
      <c r="B32" s="78">
        <v>76</v>
      </c>
      <c r="C32" s="78">
        <v>8.123E-3</v>
      </c>
      <c r="D32" s="79">
        <f t="shared" si="3"/>
        <v>462.11507260392477</v>
      </c>
      <c r="E32" s="78">
        <v>1</v>
      </c>
      <c r="F32" s="80">
        <f t="shared" si="2"/>
        <v>515.06641119536903</v>
      </c>
      <c r="G32" s="81">
        <v>403</v>
      </c>
      <c r="H32" s="81">
        <v>104</v>
      </c>
      <c r="I32" s="81">
        <v>8.123E-3</v>
      </c>
      <c r="J32" s="79">
        <f t="shared" si="4"/>
        <v>462.11507260392477</v>
      </c>
      <c r="K32" s="78">
        <v>1</v>
      </c>
      <c r="L32" s="80">
        <f t="shared" si="5"/>
        <v>515.06641119536903</v>
      </c>
      <c r="M32" s="120"/>
    </row>
    <row r="33" spans="1:13" x14ac:dyDescent="0.25">
      <c r="A33" s="78">
        <v>404</v>
      </c>
      <c r="B33" s="78">
        <v>33</v>
      </c>
      <c r="C33" s="78">
        <v>9.9120000000000007E-3</v>
      </c>
      <c r="D33" s="79">
        <f t="shared" si="3"/>
        <v>562.553537853433</v>
      </c>
      <c r="E33" s="78">
        <v>1</v>
      </c>
      <c r="F33" s="80">
        <f t="shared" si="2"/>
        <v>515.06641119536903</v>
      </c>
      <c r="G33" s="81">
        <v>404</v>
      </c>
      <c r="H33" s="81">
        <v>6</v>
      </c>
      <c r="I33" s="81">
        <v>9.9120000000000007E-3</v>
      </c>
      <c r="J33" s="79">
        <f t="shared" si="4"/>
        <v>562.553537853433</v>
      </c>
      <c r="K33" s="78">
        <v>1</v>
      </c>
      <c r="L33" s="80">
        <f t="shared" si="5"/>
        <v>515.06641119536903</v>
      </c>
      <c r="M33" s="120"/>
    </row>
    <row r="34" spans="1:13" x14ac:dyDescent="0.25">
      <c r="A34" s="78">
        <v>405</v>
      </c>
      <c r="B34" s="78">
        <v>34</v>
      </c>
      <c r="C34" s="78">
        <v>9.9120000000000007E-3</v>
      </c>
      <c r="D34" s="79">
        <f t="shared" si="3"/>
        <v>562.553537853433</v>
      </c>
      <c r="E34" s="78">
        <v>1</v>
      </c>
      <c r="F34" s="80">
        <f t="shared" si="2"/>
        <v>515.06641119536903</v>
      </c>
      <c r="G34" s="81">
        <v>405</v>
      </c>
      <c r="H34" s="81" t="s">
        <v>85</v>
      </c>
      <c r="I34" s="81">
        <v>9.9120000000000007E-3</v>
      </c>
      <c r="J34" s="79">
        <f t="shared" si="4"/>
        <v>562.553537853433</v>
      </c>
      <c r="K34" s="78">
        <v>1</v>
      </c>
      <c r="L34" s="80">
        <f t="shared" si="5"/>
        <v>515.06641119536903</v>
      </c>
      <c r="M34" s="120"/>
    </row>
    <row r="35" spans="1:13" x14ac:dyDescent="0.25">
      <c r="A35" s="78">
        <v>406</v>
      </c>
      <c r="B35" s="78">
        <v>77</v>
      </c>
      <c r="C35" s="78">
        <v>7.9209999999999992E-3</v>
      </c>
      <c r="D35" s="79">
        <f t="shared" si="3"/>
        <v>450.77434036222513</v>
      </c>
      <c r="E35" s="78">
        <v>1</v>
      </c>
      <c r="F35" s="80">
        <f t="shared" si="2"/>
        <v>515.06641119536903</v>
      </c>
      <c r="G35" s="81">
        <v>406</v>
      </c>
      <c r="H35" s="81">
        <v>105</v>
      </c>
      <c r="I35" s="81">
        <v>7.9209999999999992E-3</v>
      </c>
      <c r="J35" s="79">
        <f t="shared" si="4"/>
        <v>450.77434036222513</v>
      </c>
      <c r="K35" s="78">
        <v>1</v>
      </c>
      <c r="L35" s="80">
        <f t="shared" si="5"/>
        <v>515.06641119536903</v>
      </c>
      <c r="M35" s="120"/>
    </row>
    <row r="36" spans="1:13" x14ac:dyDescent="0.25">
      <c r="A36" s="78">
        <v>407</v>
      </c>
      <c r="B36" s="78">
        <v>78</v>
      </c>
      <c r="C36" s="78">
        <v>7.9209999999999992E-3</v>
      </c>
      <c r="D36" s="79">
        <f t="shared" si="3"/>
        <v>450.77434036222513</v>
      </c>
      <c r="E36" s="78">
        <v>1</v>
      </c>
      <c r="F36" s="80">
        <f t="shared" si="2"/>
        <v>515.06641119536903</v>
      </c>
      <c r="G36" s="81">
        <v>407</v>
      </c>
      <c r="H36" s="81">
        <v>106</v>
      </c>
      <c r="I36" s="81">
        <v>7.9209999999999992E-3</v>
      </c>
      <c r="J36" s="79">
        <f t="shared" si="4"/>
        <v>450.77434036222513</v>
      </c>
      <c r="K36" s="78">
        <v>1</v>
      </c>
      <c r="L36" s="80">
        <f t="shared" si="5"/>
        <v>515.06641119536903</v>
      </c>
      <c r="M36" s="120"/>
    </row>
    <row r="37" spans="1:13" x14ac:dyDescent="0.25">
      <c r="A37" s="78">
        <v>408</v>
      </c>
      <c r="B37" s="78">
        <v>35</v>
      </c>
      <c r="C37" s="78">
        <v>9.9120000000000007E-3</v>
      </c>
      <c r="D37" s="79">
        <f t="shared" si="3"/>
        <v>562.553537853433</v>
      </c>
      <c r="E37" s="78">
        <v>1</v>
      </c>
      <c r="F37" s="80">
        <f t="shared" si="2"/>
        <v>515.06641119536903</v>
      </c>
      <c r="G37" s="81">
        <v>408</v>
      </c>
      <c r="H37" s="81">
        <v>8</v>
      </c>
      <c r="I37" s="81">
        <v>9.9120000000000007E-3</v>
      </c>
      <c r="J37" s="79">
        <f t="shared" si="4"/>
        <v>562.553537853433</v>
      </c>
      <c r="K37" s="78">
        <v>1</v>
      </c>
      <c r="L37" s="80">
        <f t="shared" si="5"/>
        <v>515.06641119536903</v>
      </c>
      <c r="M37" s="120"/>
    </row>
    <row r="38" spans="1:13" x14ac:dyDescent="0.25">
      <c r="A38" s="78">
        <v>501</v>
      </c>
      <c r="B38" s="78">
        <v>36</v>
      </c>
      <c r="C38" s="78">
        <v>9.9120000000000007E-3</v>
      </c>
      <c r="D38" s="79">
        <f t="shared" si="3"/>
        <v>562.553537853433</v>
      </c>
      <c r="E38" s="78">
        <v>1</v>
      </c>
      <c r="F38" s="80">
        <f t="shared" si="2"/>
        <v>515.06641119536903</v>
      </c>
      <c r="G38" s="81">
        <v>501</v>
      </c>
      <c r="H38" s="81">
        <v>9</v>
      </c>
      <c r="I38" s="81">
        <v>9.9120000000000007E-3</v>
      </c>
      <c r="J38" s="79">
        <f t="shared" si="4"/>
        <v>562.553537853433</v>
      </c>
      <c r="K38" s="78">
        <v>1</v>
      </c>
      <c r="L38" s="80">
        <f t="shared" si="5"/>
        <v>515.06641119536903</v>
      </c>
      <c r="M38" s="120"/>
    </row>
    <row r="39" spans="1:13" x14ac:dyDescent="0.25">
      <c r="A39" s="78">
        <v>502</v>
      </c>
      <c r="B39" s="78">
        <v>79</v>
      </c>
      <c r="C39" s="78">
        <v>8.123E-3</v>
      </c>
      <c r="D39" s="79">
        <f t="shared" si="3"/>
        <v>462.11507260392477</v>
      </c>
      <c r="E39" s="78">
        <v>1</v>
      </c>
      <c r="F39" s="80">
        <f t="shared" si="2"/>
        <v>515.06641119536903</v>
      </c>
      <c r="G39" s="81">
        <v>502</v>
      </c>
      <c r="H39" s="81">
        <v>107</v>
      </c>
      <c r="I39" s="81">
        <v>8.123E-3</v>
      </c>
      <c r="J39" s="79">
        <f t="shared" si="4"/>
        <v>462.11507260392477</v>
      </c>
      <c r="K39" s="78">
        <v>1</v>
      </c>
      <c r="L39" s="80">
        <f t="shared" si="5"/>
        <v>515.06641119536903</v>
      </c>
      <c r="M39" s="120"/>
    </row>
    <row r="40" spans="1:13" x14ac:dyDescent="0.25">
      <c r="A40" s="78">
        <v>503</v>
      </c>
      <c r="B40" s="78">
        <v>80</v>
      </c>
      <c r="C40" s="78">
        <v>8.123E-3</v>
      </c>
      <c r="D40" s="79">
        <f t="shared" si="3"/>
        <v>462.11507260392477</v>
      </c>
      <c r="E40" s="78">
        <v>1</v>
      </c>
      <c r="F40" s="80">
        <f t="shared" si="2"/>
        <v>515.06641119536903</v>
      </c>
      <c r="G40" s="81">
        <v>503</v>
      </c>
      <c r="H40" s="81">
        <v>108</v>
      </c>
      <c r="I40" s="81">
        <v>8.123E-3</v>
      </c>
      <c r="J40" s="79">
        <f t="shared" si="4"/>
        <v>462.11507260392477</v>
      </c>
      <c r="K40" s="78">
        <v>1</v>
      </c>
      <c r="L40" s="80">
        <f t="shared" si="5"/>
        <v>515.06641119536903</v>
      </c>
      <c r="M40" s="120"/>
    </row>
    <row r="41" spans="1:13" x14ac:dyDescent="0.25">
      <c r="A41" s="78">
        <v>504</v>
      </c>
      <c r="B41" s="78">
        <v>37</v>
      </c>
      <c r="C41" s="78">
        <v>9.9120000000000007E-3</v>
      </c>
      <c r="D41" s="79">
        <f t="shared" si="3"/>
        <v>562.553537853433</v>
      </c>
      <c r="E41" s="78">
        <v>1</v>
      </c>
      <c r="F41" s="80">
        <f t="shared" si="2"/>
        <v>515.06641119536903</v>
      </c>
      <c r="G41" s="81">
        <v>504</v>
      </c>
      <c r="H41" s="81">
        <v>10</v>
      </c>
      <c r="I41" s="81">
        <v>9.9120000000000007E-3</v>
      </c>
      <c r="J41" s="79">
        <f t="shared" si="4"/>
        <v>562.553537853433</v>
      </c>
      <c r="K41" s="78">
        <v>1</v>
      </c>
      <c r="L41" s="80">
        <f t="shared" si="5"/>
        <v>515.06641119536903</v>
      </c>
      <c r="M41" s="120"/>
    </row>
    <row r="42" spans="1:13" x14ac:dyDescent="0.25">
      <c r="A42" s="78">
        <v>505</v>
      </c>
      <c r="B42" s="78">
        <v>38</v>
      </c>
      <c r="C42" s="78">
        <v>9.9120000000000007E-3</v>
      </c>
      <c r="D42" s="79">
        <f t="shared" si="3"/>
        <v>562.553537853433</v>
      </c>
      <c r="E42" s="78">
        <v>1</v>
      </c>
      <c r="F42" s="80">
        <f t="shared" si="2"/>
        <v>515.06641119536903</v>
      </c>
      <c r="G42" s="81">
        <v>505</v>
      </c>
      <c r="H42" s="81">
        <v>11</v>
      </c>
      <c r="I42" s="81">
        <v>9.9120000000000007E-3</v>
      </c>
      <c r="J42" s="79">
        <f t="shared" si="4"/>
        <v>562.553537853433</v>
      </c>
      <c r="K42" s="78">
        <v>1</v>
      </c>
      <c r="L42" s="80">
        <f t="shared" si="5"/>
        <v>515.06641119536903</v>
      </c>
      <c r="M42" s="120"/>
    </row>
    <row r="43" spans="1:13" x14ac:dyDescent="0.25">
      <c r="A43" s="78">
        <v>506</v>
      </c>
      <c r="B43" s="78">
        <v>81</v>
      </c>
      <c r="C43" s="78">
        <v>7.9209999999999992E-3</v>
      </c>
      <c r="D43" s="79">
        <f t="shared" si="3"/>
        <v>450.77434036222513</v>
      </c>
      <c r="E43" s="78">
        <v>1</v>
      </c>
      <c r="F43" s="80">
        <f t="shared" si="2"/>
        <v>515.06641119536903</v>
      </c>
      <c r="G43" s="81">
        <v>506</v>
      </c>
      <c r="H43" s="81">
        <v>109</v>
      </c>
      <c r="I43" s="81">
        <v>7.9209999999999992E-3</v>
      </c>
      <c r="J43" s="79">
        <f t="shared" si="4"/>
        <v>450.77434036222513</v>
      </c>
      <c r="K43" s="78">
        <v>1</v>
      </c>
      <c r="L43" s="80">
        <f t="shared" si="5"/>
        <v>515.06641119536903</v>
      </c>
      <c r="M43" s="120"/>
    </row>
    <row r="44" spans="1:13" x14ac:dyDescent="0.25">
      <c r="A44" s="78">
        <v>507</v>
      </c>
      <c r="B44" s="78">
        <v>82</v>
      </c>
      <c r="C44" s="78">
        <v>7.9209999999999992E-3</v>
      </c>
      <c r="D44" s="79">
        <f t="shared" si="3"/>
        <v>450.77434036222513</v>
      </c>
      <c r="E44" s="78">
        <v>1</v>
      </c>
      <c r="F44" s="80">
        <f t="shared" si="2"/>
        <v>515.06641119536903</v>
      </c>
      <c r="G44" s="81">
        <v>507</v>
      </c>
      <c r="H44" s="81">
        <v>110</v>
      </c>
      <c r="I44" s="81">
        <v>7.9209999999999992E-3</v>
      </c>
      <c r="J44" s="79">
        <f t="shared" si="4"/>
        <v>450.77434036222513</v>
      </c>
      <c r="K44" s="78">
        <v>1</v>
      </c>
      <c r="L44" s="80">
        <f t="shared" si="5"/>
        <v>515.06641119536903</v>
      </c>
      <c r="M44" s="120"/>
    </row>
    <row r="45" spans="1:13" x14ac:dyDescent="0.25">
      <c r="A45" s="78">
        <v>508</v>
      </c>
      <c r="B45" s="78">
        <v>39</v>
      </c>
      <c r="C45" s="78">
        <v>9.9120000000000007E-3</v>
      </c>
      <c r="D45" s="79">
        <f t="shared" si="3"/>
        <v>562.553537853433</v>
      </c>
      <c r="E45" s="78">
        <v>1</v>
      </c>
      <c r="F45" s="80">
        <f t="shared" si="2"/>
        <v>515.06641119536903</v>
      </c>
      <c r="G45" s="81">
        <v>508</v>
      </c>
      <c r="H45" s="81">
        <v>12</v>
      </c>
      <c r="I45" s="81">
        <v>9.9120000000000007E-3</v>
      </c>
      <c r="J45" s="79">
        <f t="shared" si="4"/>
        <v>562.553537853433</v>
      </c>
      <c r="K45" s="78">
        <v>1</v>
      </c>
      <c r="L45" s="80">
        <f t="shared" si="5"/>
        <v>515.06641119536903</v>
      </c>
      <c r="M45" s="120"/>
    </row>
    <row r="46" spans="1:13" x14ac:dyDescent="0.25">
      <c r="A46" s="78">
        <v>601</v>
      </c>
      <c r="B46" s="78">
        <v>40</v>
      </c>
      <c r="C46" s="78">
        <v>9.9120000000000007E-3</v>
      </c>
      <c r="D46" s="79">
        <f t="shared" si="3"/>
        <v>562.553537853433</v>
      </c>
      <c r="E46" s="78">
        <v>1</v>
      </c>
      <c r="F46" s="80">
        <f t="shared" si="2"/>
        <v>515.06641119536903</v>
      </c>
      <c r="G46" s="81">
        <v>601</v>
      </c>
      <c r="H46" s="81">
        <v>13</v>
      </c>
      <c r="I46" s="81">
        <v>9.9120000000000007E-3</v>
      </c>
      <c r="J46" s="79">
        <f t="shared" si="4"/>
        <v>562.553537853433</v>
      </c>
      <c r="K46" s="78">
        <v>1</v>
      </c>
      <c r="L46" s="80">
        <f t="shared" si="5"/>
        <v>515.06641119536903</v>
      </c>
      <c r="M46" s="120"/>
    </row>
    <row r="47" spans="1:13" x14ac:dyDescent="0.25">
      <c r="A47" s="78">
        <v>602</v>
      </c>
      <c r="B47" s="78">
        <v>41</v>
      </c>
      <c r="C47" s="78">
        <v>8.5450000000000005E-3</v>
      </c>
      <c r="D47" s="79">
        <f t="shared" si="3"/>
        <v>485.80709738608942</v>
      </c>
      <c r="E47" s="78">
        <v>1</v>
      </c>
      <c r="F47" s="80">
        <f t="shared" si="2"/>
        <v>515.06641119536903</v>
      </c>
      <c r="G47" s="81">
        <v>602</v>
      </c>
      <c r="H47" s="81">
        <v>14</v>
      </c>
      <c r="I47" s="81">
        <v>8.5450000000000005E-3</v>
      </c>
      <c r="J47" s="79">
        <f t="shared" si="4"/>
        <v>485.80709738608942</v>
      </c>
      <c r="K47" s="78">
        <v>1</v>
      </c>
      <c r="L47" s="80">
        <f t="shared" si="5"/>
        <v>515.06641119536903</v>
      </c>
      <c r="M47" s="120"/>
    </row>
    <row r="48" spans="1:13" x14ac:dyDescent="0.25">
      <c r="A48" s="78">
        <v>603</v>
      </c>
      <c r="B48" s="78">
        <v>42</v>
      </c>
      <c r="C48" s="78">
        <v>8.5450000000000005E-3</v>
      </c>
      <c r="D48" s="79">
        <f t="shared" si="3"/>
        <v>485.80709738608942</v>
      </c>
      <c r="E48" s="78">
        <v>1</v>
      </c>
      <c r="F48" s="80">
        <f t="shared" si="2"/>
        <v>515.06641119536903</v>
      </c>
      <c r="G48" s="81">
        <v>603</v>
      </c>
      <c r="H48" s="81">
        <v>15</v>
      </c>
      <c r="I48" s="81">
        <v>8.5450000000000005E-3</v>
      </c>
      <c r="J48" s="79">
        <f t="shared" si="4"/>
        <v>485.80709738608942</v>
      </c>
      <c r="K48" s="78">
        <v>1</v>
      </c>
      <c r="L48" s="80">
        <f t="shared" si="5"/>
        <v>515.06641119536903</v>
      </c>
      <c r="M48" s="120"/>
    </row>
    <row r="49" spans="1:13" x14ac:dyDescent="0.25">
      <c r="A49" s="78">
        <v>604</v>
      </c>
      <c r="B49" s="78">
        <v>43</v>
      </c>
      <c r="C49" s="78">
        <v>9.9120000000000007E-3</v>
      </c>
      <c r="D49" s="79">
        <f t="shared" si="3"/>
        <v>562.553537853433</v>
      </c>
      <c r="E49" s="78">
        <v>1</v>
      </c>
      <c r="F49" s="80">
        <f t="shared" si="2"/>
        <v>515.06641119536903</v>
      </c>
      <c r="G49" s="81">
        <v>604</v>
      </c>
      <c r="H49" s="81">
        <v>16</v>
      </c>
      <c r="I49" s="81">
        <v>9.9120000000000007E-3</v>
      </c>
      <c r="J49" s="79">
        <f t="shared" si="4"/>
        <v>562.553537853433</v>
      </c>
      <c r="K49" s="78">
        <v>1</v>
      </c>
      <c r="L49" s="80">
        <f t="shared" si="5"/>
        <v>515.06641119536903</v>
      </c>
      <c r="M49" s="120"/>
    </row>
    <row r="50" spans="1:13" x14ac:dyDescent="0.25">
      <c r="A50" s="78">
        <v>605</v>
      </c>
      <c r="B50" s="78">
        <v>44</v>
      </c>
      <c r="C50" s="78">
        <v>9.9120000000000007E-3</v>
      </c>
      <c r="D50" s="79">
        <f t="shared" si="3"/>
        <v>562.553537853433</v>
      </c>
      <c r="E50" s="78">
        <v>1</v>
      </c>
      <c r="F50" s="80">
        <f t="shared" si="2"/>
        <v>515.06641119536903</v>
      </c>
      <c r="G50" s="81">
        <v>605</v>
      </c>
      <c r="H50" s="81">
        <v>17</v>
      </c>
      <c r="I50" s="81">
        <v>9.9120000000000007E-3</v>
      </c>
      <c r="J50" s="79">
        <f t="shared" si="4"/>
        <v>562.553537853433</v>
      </c>
      <c r="K50" s="78">
        <v>1</v>
      </c>
      <c r="L50" s="80">
        <f t="shared" si="5"/>
        <v>515.06641119536903</v>
      </c>
      <c r="M50" s="120"/>
    </row>
    <row r="51" spans="1:13" x14ac:dyDescent="0.25">
      <c r="A51" s="78">
        <v>606</v>
      </c>
      <c r="B51" s="78">
        <v>45</v>
      </c>
      <c r="C51" s="78">
        <v>8.3420000000000005E-3</v>
      </c>
      <c r="D51" s="79">
        <f t="shared" si="3"/>
        <v>474.41022290556947</v>
      </c>
      <c r="E51" s="78">
        <v>1</v>
      </c>
      <c r="F51" s="80">
        <f t="shared" si="2"/>
        <v>515.06641119536903</v>
      </c>
      <c r="G51" s="81">
        <v>606</v>
      </c>
      <c r="H51" s="81">
        <v>18</v>
      </c>
      <c r="I51" s="81">
        <v>8.3420000000000005E-3</v>
      </c>
      <c r="J51" s="79">
        <f t="shared" si="4"/>
        <v>474.41022290556947</v>
      </c>
      <c r="K51" s="78">
        <v>1</v>
      </c>
      <c r="L51" s="80">
        <f t="shared" si="5"/>
        <v>515.06641119536903</v>
      </c>
      <c r="M51" s="120"/>
    </row>
    <row r="52" spans="1:13" x14ac:dyDescent="0.25">
      <c r="A52" s="78">
        <v>607</v>
      </c>
      <c r="B52" s="78">
        <v>46</v>
      </c>
      <c r="C52" s="78">
        <v>8.3420000000000005E-3</v>
      </c>
      <c r="D52" s="79">
        <f t="shared" si="3"/>
        <v>474.41022290556947</v>
      </c>
      <c r="E52" s="78">
        <v>1</v>
      </c>
      <c r="F52" s="80">
        <f t="shared" si="2"/>
        <v>515.06641119536903</v>
      </c>
      <c r="G52" s="81">
        <v>607</v>
      </c>
      <c r="H52" s="81">
        <v>19</v>
      </c>
      <c r="I52" s="81">
        <v>8.3420000000000005E-3</v>
      </c>
      <c r="J52" s="79">
        <f t="shared" si="4"/>
        <v>474.41022290556947</v>
      </c>
      <c r="K52" s="78">
        <v>1</v>
      </c>
      <c r="L52" s="80">
        <f t="shared" si="5"/>
        <v>515.06641119536903</v>
      </c>
      <c r="M52" s="120"/>
    </row>
    <row r="53" spans="1:13" x14ac:dyDescent="0.25">
      <c r="A53" s="78">
        <v>608</v>
      </c>
      <c r="B53" s="78">
        <v>47</v>
      </c>
      <c r="C53" s="78">
        <v>9.9120000000000007E-3</v>
      </c>
      <c r="D53" s="79">
        <f t="shared" si="3"/>
        <v>562.553537853433</v>
      </c>
      <c r="E53" s="78">
        <v>1</v>
      </c>
      <c r="F53" s="80">
        <f t="shared" si="2"/>
        <v>515.06641119536903</v>
      </c>
      <c r="G53" s="81">
        <v>608</v>
      </c>
      <c r="H53" s="81">
        <v>20</v>
      </c>
      <c r="I53" s="81">
        <v>9.9120000000000007E-3</v>
      </c>
      <c r="J53" s="79">
        <f t="shared" si="4"/>
        <v>562.553537853433</v>
      </c>
      <c r="K53" s="78">
        <v>1</v>
      </c>
      <c r="L53" s="80">
        <f t="shared" si="5"/>
        <v>515.06641119536903</v>
      </c>
      <c r="M53" s="120"/>
    </row>
    <row r="54" spans="1:13" x14ac:dyDescent="0.25">
      <c r="A54" s="78">
        <v>701</v>
      </c>
      <c r="B54" s="78" t="s">
        <v>86</v>
      </c>
      <c r="C54" s="78">
        <v>1.0300999999999999E-2</v>
      </c>
      <c r="D54" s="79">
        <f t="shared" si="3"/>
        <v>584.39286875452785</v>
      </c>
      <c r="E54" s="78">
        <v>1</v>
      </c>
      <c r="F54" s="80">
        <f t="shared" si="2"/>
        <v>515.06641119536903</v>
      </c>
      <c r="G54" s="81">
        <v>701</v>
      </c>
      <c r="H54" s="81">
        <v>21</v>
      </c>
      <c r="I54" s="81">
        <v>9.9120000000000007E-3</v>
      </c>
      <c r="J54" s="79">
        <f t="shared" si="4"/>
        <v>562.553537853433</v>
      </c>
      <c r="K54" s="78">
        <v>1</v>
      </c>
      <c r="L54" s="80">
        <f t="shared" si="5"/>
        <v>515.06641119536903</v>
      </c>
      <c r="M54" s="120"/>
    </row>
    <row r="55" spans="1:13" x14ac:dyDescent="0.25">
      <c r="A55" s="78">
        <v>702</v>
      </c>
      <c r="B55" s="78">
        <v>49</v>
      </c>
      <c r="C55" s="78">
        <v>8.5450000000000005E-3</v>
      </c>
      <c r="D55" s="79">
        <f t="shared" si="3"/>
        <v>485.80709738608942</v>
      </c>
      <c r="E55" s="78">
        <v>1</v>
      </c>
      <c r="F55" s="80">
        <f t="shared" si="2"/>
        <v>515.06641119536903</v>
      </c>
      <c r="G55" s="81">
        <v>702</v>
      </c>
      <c r="H55" s="81">
        <v>22</v>
      </c>
      <c r="I55" s="81">
        <v>8.5450000000000005E-3</v>
      </c>
      <c r="J55" s="79">
        <f t="shared" si="4"/>
        <v>485.80709738608942</v>
      </c>
      <c r="K55" s="78">
        <v>1</v>
      </c>
      <c r="L55" s="80">
        <f t="shared" si="5"/>
        <v>515.06641119536903</v>
      </c>
      <c r="M55" s="120"/>
    </row>
    <row r="56" spans="1:13" x14ac:dyDescent="0.25">
      <c r="A56" s="78">
        <v>703</v>
      </c>
      <c r="B56" s="78">
        <v>50</v>
      </c>
      <c r="C56" s="78">
        <v>8.5450000000000005E-3</v>
      </c>
      <c r="D56" s="79">
        <f t="shared" si="3"/>
        <v>485.80709738608942</v>
      </c>
      <c r="E56" s="78">
        <v>1</v>
      </c>
      <c r="F56" s="80">
        <f t="shared" si="2"/>
        <v>515.06641119536903</v>
      </c>
      <c r="G56" s="81">
        <v>703</v>
      </c>
      <c r="H56" s="81">
        <v>23</v>
      </c>
      <c r="I56" s="81">
        <v>8.5450000000000005E-3</v>
      </c>
      <c r="J56" s="79">
        <f t="shared" si="4"/>
        <v>485.80709738608942</v>
      </c>
      <c r="K56" s="78">
        <v>1</v>
      </c>
      <c r="L56" s="80">
        <f t="shared" si="5"/>
        <v>515.06641119536903</v>
      </c>
      <c r="M56" s="120"/>
    </row>
    <row r="57" spans="1:13" x14ac:dyDescent="0.25">
      <c r="A57" s="78">
        <v>704</v>
      </c>
      <c r="B57" s="78">
        <v>51</v>
      </c>
      <c r="C57" s="78">
        <v>9.9120000000000007E-3</v>
      </c>
      <c r="D57" s="79">
        <f t="shared" si="3"/>
        <v>562.553537853433</v>
      </c>
      <c r="E57" s="78">
        <v>1</v>
      </c>
      <c r="F57" s="80">
        <f t="shared" si="2"/>
        <v>515.06641119536903</v>
      </c>
      <c r="G57" s="81">
        <v>704</v>
      </c>
      <c r="H57" s="81">
        <v>24</v>
      </c>
      <c r="I57" s="81">
        <v>9.9120000000000007E-3</v>
      </c>
      <c r="J57" s="79">
        <f t="shared" si="4"/>
        <v>562.553537853433</v>
      </c>
      <c r="K57" s="78">
        <v>1</v>
      </c>
      <c r="L57" s="80">
        <f t="shared" si="5"/>
        <v>515.06641119536903</v>
      </c>
      <c r="M57" s="120"/>
    </row>
    <row r="58" spans="1:13" x14ac:dyDescent="0.25">
      <c r="A58" s="78">
        <v>705</v>
      </c>
      <c r="B58" s="78">
        <v>52</v>
      </c>
      <c r="C58" s="78">
        <v>9.9120000000000007E-3</v>
      </c>
      <c r="D58" s="79">
        <f t="shared" si="3"/>
        <v>562.553537853433</v>
      </c>
      <c r="E58" s="78">
        <v>1</v>
      </c>
      <c r="F58" s="80">
        <f t="shared" si="2"/>
        <v>515.06641119536903</v>
      </c>
      <c r="G58" s="81">
        <v>705</v>
      </c>
      <c r="H58" s="81">
        <v>25</v>
      </c>
      <c r="I58" s="81">
        <v>9.9120000000000007E-3</v>
      </c>
      <c r="J58" s="79">
        <f t="shared" si="4"/>
        <v>562.553537853433</v>
      </c>
      <c r="K58" s="78">
        <v>1</v>
      </c>
      <c r="L58" s="80">
        <f t="shared" si="5"/>
        <v>515.06641119536903</v>
      </c>
      <c r="M58" s="120"/>
    </row>
    <row r="59" spans="1:13" x14ac:dyDescent="0.25">
      <c r="A59" s="78">
        <v>706</v>
      </c>
      <c r="B59" s="78">
        <v>53</v>
      </c>
      <c r="C59" s="78">
        <v>8.3420000000000005E-3</v>
      </c>
      <c r="D59" s="79">
        <f t="shared" si="3"/>
        <v>474.41022290556947</v>
      </c>
      <c r="E59" s="78">
        <v>1</v>
      </c>
      <c r="F59" s="80">
        <f t="shared" si="2"/>
        <v>515.06641119536903</v>
      </c>
      <c r="G59" s="81">
        <v>706</v>
      </c>
      <c r="H59" s="81">
        <v>26</v>
      </c>
      <c r="I59" s="81">
        <v>8.3420000000000005E-3</v>
      </c>
      <c r="J59" s="79">
        <f t="shared" si="4"/>
        <v>474.41022290556947</v>
      </c>
      <c r="K59" s="78">
        <v>1</v>
      </c>
      <c r="L59" s="80">
        <f t="shared" si="5"/>
        <v>515.06641119536903</v>
      </c>
      <c r="M59" s="120"/>
    </row>
    <row r="60" spans="1:13" x14ac:dyDescent="0.25">
      <c r="A60" s="78">
        <v>707</v>
      </c>
      <c r="B60" s="78">
        <v>54</v>
      </c>
      <c r="C60" s="78">
        <v>8.3420000000000005E-3</v>
      </c>
      <c r="D60" s="79">
        <f t="shared" si="3"/>
        <v>474.41022290556947</v>
      </c>
      <c r="E60" s="78">
        <v>1</v>
      </c>
      <c r="F60" s="80">
        <f t="shared" si="2"/>
        <v>515.06641119536903</v>
      </c>
      <c r="G60" s="81">
        <v>707</v>
      </c>
      <c r="H60" s="81">
        <v>27</v>
      </c>
      <c r="I60" s="81">
        <v>8.3420000000000005E-3</v>
      </c>
      <c r="J60" s="79">
        <f t="shared" si="4"/>
        <v>474.41022290556947</v>
      </c>
      <c r="K60" s="78">
        <v>1</v>
      </c>
      <c r="L60" s="80">
        <f t="shared" si="5"/>
        <v>515.06641119536903</v>
      </c>
      <c r="M60" s="120"/>
    </row>
    <row r="61" spans="1:13" x14ac:dyDescent="0.25">
      <c r="A61" s="78">
        <v>708</v>
      </c>
      <c r="B61" s="78" t="s">
        <v>87</v>
      </c>
      <c r="C61" s="78">
        <v>1.0068000000000001E-2</v>
      </c>
      <c r="D61" s="79">
        <f t="shared" si="3"/>
        <v>571.31172710939916</v>
      </c>
      <c r="E61" s="78">
        <v>1</v>
      </c>
      <c r="F61" s="80">
        <f t="shared" si="2"/>
        <v>515.06641119536903</v>
      </c>
      <c r="G61" s="81">
        <v>708</v>
      </c>
      <c r="H61" s="81">
        <v>28</v>
      </c>
      <c r="I61" s="81">
        <v>9.9120000000000007E-3</v>
      </c>
      <c r="J61" s="79">
        <f t="shared" si="4"/>
        <v>562.553537853433</v>
      </c>
      <c r="K61" s="78">
        <v>1</v>
      </c>
      <c r="L61" s="80">
        <f t="shared" si="5"/>
        <v>515.06641119536903</v>
      </c>
      <c r="M61" s="120"/>
    </row>
    <row r="62" spans="1:13" s="33" customFormat="1" x14ac:dyDescent="0.25">
      <c r="A62" s="83" t="s">
        <v>88</v>
      </c>
      <c r="B62" s="83"/>
      <c r="C62" s="83">
        <f>SUM(C6:C61)</f>
        <v>0.49218999999999996</v>
      </c>
      <c r="D62" s="84">
        <f>SUM(D6:D61)</f>
        <v>27498.403452357175</v>
      </c>
      <c r="E62" s="83">
        <f>SUM(E6:E61)</f>
        <v>52</v>
      </c>
      <c r="F62" s="85">
        <f>SUM(F6:F61)</f>
        <v>27813.586204549945</v>
      </c>
      <c r="G62" s="83"/>
      <c r="H62" s="83"/>
      <c r="I62" s="83">
        <f>SUM(I6:I61)</f>
        <v>0.50780999999999987</v>
      </c>
      <c r="J62" s="84">
        <f>SUM(J6:J61)</f>
        <v>28398.82928830522</v>
      </c>
      <c r="K62" s="83">
        <f>SUM(K6:K61)</f>
        <v>56</v>
      </c>
      <c r="L62" s="85">
        <f>SUM(L6:L61)</f>
        <v>28328.652615745315</v>
      </c>
      <c r="M62" s="120"/>
    </row>
    <row r="63" spans="1:13" x14ac:dyDescent="0.25">
      <c r="A63" s="86" t="s">
        <v>89</v>
      </c>
      <c r="B63" s="86"/>
      <c r="C63" s="86">
        <f>C62+I62</f>
        <v>0.99999999999999978</v>
      </c>
      <c r="D63" s="87">
        <f>D62+J62</f>
        <v>55897.232740662395</v>
      </c>
      <c r="E63" s="86">
        <f>E62+K62</f>
        <v>108</v>
      </c>
      <c r="F63" s="88">
        <f>F62+L62</f>
        <v>56142.238820295257</v>
      </c>
      <c r="G63" s="86"/>
      <c r="H63" s="86"/>
      <c r="I63" s="86"/>
      <c r="J63" s="87"/>
      <c r="K63" s="86">
        <f>K62+E62</f>
        <v>108</v>
      </c>
      <c r="L63" s="86"/>
      <c r="M63" s="120"/>
    </row>
    <row r="64" spans="1:13" x14ac:dyDescent="0.25">
      <c r="C64" s="89" t="s">
        <v>90</v>
      </c>
      <c r="D64" s="90">
        <f>D63-B1</f>
        <v>-245.00607963283255</v>
      </c>
      <c r="E64" s="70"/>
      <c r="F64" s="70">
        <f>F63-B1</f>
        <v>0</v>
      </c>
      <c r="M64" s="120"/>
    </row>
    <row r="65" spans="5:8" x14ac:dyDescent="0.25">
      <c r="E65" s="91"/>
    </row>
    <row r="69" spans="5:8" x14ac:dyDescent="0.25">
      <c r="F69">
        <f>54-29</f>
        <v>25</v>
      </c>
    </row>
    <row r="70" spans="5:8" x14ac:dyDescent="0.25">
      <c r="F70">
        <v>29</v>
      </c>
      <c r="G70" s="33" t="s">
        <v>134</v>
      </c>
    </row>
    <row r="72" spans="5:8" x14ac:dyDescent="0.25">
      <c r="F72">
        <v>30</v>
      </c>
    </row>
    <row r="73" spans="5:8" x14ac:dyDescent="0.25">
      <c r="F73">
        <f>56-F72</f>
        <v>26</v>
      </c>
      <c r="G73" s="33" t="s">
        <v>134</v>
      </c>
    </row>
    <row r="75" spans="5:8" x14ac:dyDescent="0.25">
      <c r="F75">
        <f>F70+F73</f>
        <v>55</v>
      </c>
      <c r="G75" s="33" t="s">
        <v>134</v>
      </c>
    </row>
    <row r="76" spans="5:8" x14ac:dyDescent="0.25">
      <c r="F76">
        <f>F70+F72</f>
        <v>59</v>
      </c>
      <c r="G76" s="33" t="s">
        <v>135</v>
      </c>
      <c r="H76" s="33">
        <v>50</v>
      </c>
    </row>
  </sheetData>
  <autoFilter ref="A5:L64"/>
  <mergeCells count="2">
    <mergeCell ref="A4:F4"/>
    <mergeCell ref="G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8"/>
  <sheetViews>
    <sheetView topLeftCell="F1" workbookViewId="0">
      <selection activeCell="S11" sqref="S11"/>
    </sheetView>
  </sheetViews>
  <sheetFormatPr defaultRowHeight="15" x14ac:dyDescent="0.25"/>
  <cols>
    <col min="1" max="1" width="16" hidden="1" customWidth="1"/>
    <col min="2" max="2" width="16" customWidth="1"/>
    <col min="3" max="3" width="18.42578125" style="90" hidden="1" customWidth="1"/>
    <col min="4" max="4" width="16" bestFit="1" customWidth="1"/>
    <col min="5" max="9" width="16" customWidth="1"/>
    <col min="10" max="10" width="15.85546875" style="33" hidden="1" customWidth="1"/>
    <col min="11" max="11" width="16" style="33" bestFit="1" customWidth="1"/>
    <col min="12" max="12" width="18.42578125" style="33" hidden="1" customWidth="1"/>
    <col min="13" max="13" width="16" style="33" bestFit="1" customWidth="1"/>
    <col min="14" max="18" width="16" customWidth="1"/>
  </cols>
  <sheetData>
    <row r="1" spans="1:23" x14ac:dyDescent="0.25">
      <c r="A1" s="39"/>
      <c r="B1" s="39"/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23" x14ac:dyDescent="0.25">
      <c r="A2" s="73"/>
      <c r="B2" s="73"/>
      <c r="C2" s="74"/>
      <c r="D2" s="72"/>
      <c r="E2" s="72"/>
      <c r="F2" s="72"/>
      <c r="G2" s="72"/>
      <c r="H2" s="72"/>
      <c r="I2" s="72"/>
      <c r="J2" s="72"/>
      <c r="K2" s="123" t="s">
        <v>251</v>
      </c>
      <c r="L2" s="72"/>
      <c r="M2" s="72"/>
      <c r="N2" s="72"/>
      <c r="O2" s="72"/>
      <c r="P2" s="72"/>
      <c r="Q2" s="72"/>
      <c r="R2" s="72"/>
    </row>
    <row r="3" spans="1:23" x14ac:dyDescent="0.25">
      <c r="B3" s="123" t="s">
        <v>140</v>
      </c>
      <c r="I3" s="447" t="s">
        <v>255</v>
      </c>
      <c r="J3" s="447"/>
      <c r="K3" s="447"/>
      <c r="L3" s="447"/>
      <c r="M3" s="447"/>
      <c r="R3" s="447" t="s">
        <v>255</v>
      </c>
      <c r="S3" s="447"/>
      <c r="T3" s="447"/>
      <c r="U3" s="447"/>
      <c r="V3" s="447"/>
      <c r="W3" s="447"/>
    </row>
    <row r="4" spans="1:23" x14ac:dyDescent="0.25">
      <c r="A4" s="441" t="s">
        <v>76</v>
      </c>
      <c r="B4" s="442"/>
      <c r="C4" s="442"/>
      <c r="D4" s="443"/>
      <c r="E4" s="121"/>
      <c r="F4" s="121"/>
      <c r="G4" s="121"/>
      <c r="H4" s="121"/>
      <c r="I4" s="121"/>
      <c r="J4" s="444" t="s">
        <v>77</v>
      </c>
      <c r="K4" s="445"/>
      <c r="L4" s="445"/>
      <c r="M4" s="446"/>
      <c r="N4" s="121"/>
      <c r="O4" s="121"/>
      <c r="P4" s="121"/>
      <c r="Q4" s="121"/>
      <c r="R4" s="121"/>
    </row>
    <row r="5" spans="1:23" x14ac:dyDescent="0.25">
      <c r="A5" s="75" t="s">
        <v>78</v>
      </c>
      <c r="B5" s="75" t="s">
        <v>78</v>
      </c>
      <c r="C5" s="76" t="s">
        <v>81</v>
      </c>
      <c r="D5" s="77" t="s">
        <v>83</v>
      </c>
      <c r="E5" s="130" t="s">
        <v>137</v>
      </c>
      <c r="F5" s="130" t="s">
        <v>138</v>
      </c>
      <c r="G5" s="77" t="s">
        <v>136</v>
      </c>
      <c r="H5" s="133" t="s">
        <v>252</v>
      </c>
      <c r="I5" s="77" t="s">
        <v>139</v>
      </c>
      <c r="J5" s="75" t="s">
        <v>78</v>
      </c>
      <c r="K5" s="75" t="s">
        <v>78</v>
      </c>
      <c r="L5" s="76" t="s">
        <v>81</v>
      </c>
      <c r="M5" s="77" t="s">
        <v>83</v>
      </c>
      <c r="N5" s="77" t="s">
        <v>137</v>
      </c>
      <c r="O5" s="77" t="s">
        <v>138</v>
      </c>
      <c r="P5" s="77" t="s">
        <v>136</v>
      </c>
      <c r="Q5" s="133" t="s">
        <v>252</v>
      </c>
      <c r="R5" s="77" t="s">
        <v>139</v>
      </c>
    </row>
    <row r="6" spans="1:23" x14ac:dyDescent="0.25">
      <c r="A6" s="78">
        <v>101</v>
      </c>
      <c r="B6" s="78" t="s">
        <v>236</v>
      </c>
      <c r="C6" s="79">
        <f>VLOOKUP(A6,Rateio!A:L,4,0)</f>
        <v>628.52066846727985</v>
      </c>
      <c r="D6" s="80">
        <f>VLOOKUP(A6,Rateio!A:L,6,0)</f>
        <v>515.06641119536903</v>
      </c>
      <c r="E6" s="131">
        <f>0</f>
        <v>0</v>
      </c>
      <c r="F6" s="131">
        <v>0</v>
      </c>
      <c r="G6" s="80">
        <f>D6+E6+F6</f>
        <v>515.06641119536903</v>
      </c>
      <c r="H6" s="134">
        <f>IF(ISERROR(VLOOKUP(B6,BASE!$C$3:$D$109,2,0)),0,(VLOOKUP(B6,BASE!$C$3:$D$109,2,0)))</f>
        <v>0</v>
      </c>
      <c r="I6" s="80">
        <f>G6-H6</f>
        <v>515.06641119536903</v>
      </c>
      <c r="J6" s="81">
        <v>101</v>
      </c>
      <c r="K6" s="79" t="str">
        <f>J6&amp;$K$2</f>
        <v>101B</v>
      </c>
      <c r="L6" s="79">
        <f>VLOOKUP(J6,Rateio!G:L,4,0)</f>
        <v>626.27497891446808</v>
      </c>
      <c r="M6" s="80">
        <f>VLOOKUP(J6,Rateio!G:L,6,0)</f>
        <v>515.06641119536903</v>
      </c>
      <c r="N6" s="131">
        <v>0</v>
      </c>
      <c r="O6" s="131">
        <v>0</v>
      </c>
      <c r="P6" s="80">
        <f>M6+N6+O6</f>
        <v>515.06641119536903</v>
      </c>
      <c r="Q6" s="134">
        <f>IF(ISERROR(VLOOKUP(K6,BASE!$C$3:$D$109,2,0)),0,(VLOOKUP(K6,BASE!$C$3:$D$109,2,0)))</f>
        <v>377.13</v>
      </c>
      <c r="R6" s="80">
        <f>P6-Q6</f>
        <v>137.93641119536903</v>
      </c>
    </row>
    <row r="7" spans="1:23" x14ac:dyDescent="0.25">
      <c r="A7" s="78">
        <v>102</v>
      </c>
      <c r="B7" s="78" t="s">
        <v>147</v>
      </c>
      <c r="C7" s="79">
        <f>VLOOKUP(A7,Rateio!A:L,4,0)</f>
        <v>550.48295650706962</v>
      </c>
      <c r="D7" s="80">
        <f>VLOOKUP(A7,Rateio!A:L,6,0)</f>
        <v>515.06641119536903</v>
      </c>
      <c r="E7" s="131">
        <f>28.98</f>
        <v>28.98</v>
      </c>
      <c r="F7" s="131">
        <v>22.82</v>
      </c>
      <c r="G7" s="80">
        <f t="shared" ref="G7:G61" si="0">D7+E7+F7</f>
        <v>566.8664111953691</v>
      </c>
      <c r="H7" s="134">
        <f>IF(ISERROR(VLOOKUP(B7,BASE!$C$3:$D$109,2,0)),0,(VLOOKUP(B7,BASE!$C$3:$D$109,2,0)))</f>
        <v>430.38</v>
      </c>
      <c r="I7" s="80">
        <f t="shared" ref="H7:I61" si="1">G7-H7</f>
        <v>136.4864111953691</v>
      </c>
      <c r="J7" s="81">
        <v>102</v>
      </c>
      <c r="K7" s="79" t="str">
        <f t="shared" ref="K7:K61" si="2">J7&amp;$K$2</f>
        <v>102B</v>
      </c>
      <c r="L7" s="79">
        <f>VLOOKUP(J7,Rateio!G:L,4,0)</f>
        <v>519.4362984394462</v>
      </c>
      <c r="M7" s="80">
        <f>VLOOKUP(J7,Rateio!G:L,6,0)</f>
        <v>515.06641119536903</v>
      </c>
      <c r="N7" s="131">
        <v>0</v>
      </c>
      <c r="O7" s="131">
        <v>0</v>
      </c>
      <c r="P7" s="80">
        <f t="shared" ref="P7:P61" si="3">M7+N7+O7</f>
        <v>515.06641119536903</v>
      </c>
      <c r="Q7" s="134">
        <f>IF(ISERROR(VLOOKUP(K7,BASE!$C$3:$D$109,2,0)),0,(VLOOKUP(K7,BASE!$C$3:$D$109,2,0)))</f>
        <v>0</v>
      </c>
      <c r="R7" s="80">
        <f t="shared" ref="R7:R61" si="4">P7-Q7</f>
        <v>515.06641119536903</v>
      </c>
    </row>
    <row r="8" spans="1:23" x14ac:dyDescent="0.25">
      <c r="A8" s="78">
        <v>103</v>
      </c>
      <c r="B8" s="78" t="s">
        <v>148</v>
      </c>
      <c r="C8" s="79">
        <f>VLOOKUP(A8,Rateio!A:L,4,0)</f>
        <v>549.86539188004633</v>
      </c>
      <c r="D8" s="80">
        <f>VLOOKUP(A8,Rateio!A:L,6,0)</f>
        <v>515.06641119536903</v>
      </c>
      <c r="E8" s="131">
        <f>54.29</f>
        <v>54.29</v>
      </c>
      <c r="F8" s="131">
        <v>74.53</v>
      </c>
      <c r="G8" s="80">
        <f t="shared" si="0"/>
        <v>643.88641119536896</v>
      </c>
      <c r="H8" s="134">
        <f>IF(ISERROR(VLOOKUP(B8,BASE!$C$3:$D$109,2,0)),0,(VLOOKUP(B8,BASE!$C$3:$D$109,2,0)))</f>
        <v>555.91</v>
      </c>
      <c r="I8" s="80">
        <f t="shared" si="1"/>
        <v>87.976411195368996</v>
      </c>
      <c r="J8" s="81">
        <v>103</v>
      </c>
      <c r="K8" s="79" t="str">
        <f t="shared" si="2"/>
        <v>103B</v>
      </c>
      <c r="L8" s="79">
        <f>VLOOKUP(J8,Rateio!G:L,4,0)</f>
        <v>517.92045799129824</v>
      </c>
      <c r="M8" s="80">
        <f>VLOOKUP(J8,Rateio!G:L,6,0)</f>
        <v>515.06641119536903</v>
      </c>
      <c r="N8" s="131">
        <v>32.630000000000003</v>
      </c>
      <c r="O8" s="131">
        <v>9.4499999999999993</v>
      </c>
      <c r="P8" s="80">
        <f t="shared" si="3"/>
        <v>557.14641119536907</v>
      </c>
      <c r="Q8" s="134">
        <f>IF(ISERROR(VLOOKUP(K8,BASE!$C$3:$D$109,2,0)),0,(VLOOKUP(K8,BASE!$C$3:$D$109,2,0)))</f>
        <v>415.35</v>
      </c>
      <c r="R8" s="80">
        <f t="shared" si="4"/>
        <v>141.79641119536905</v>
      </c>
    </row>
    <row r="9" spans="1:23" x14ac:dyDescent="0.25">
      <c r="A9" s="78">
        <v>104</v>
      </c>
      <c r="B9" s="78" t="s">
        <v>150</v>
      </c>
      <c r="C9" s="79">
        <f>VLOOKUP(A9,Rateio!A:L,4,0)</f>
        <v>633.68575443874704</v>
      </c>
      <c r="D9" s="80">
        <f>VLOOKUP(A9,Rateio!A:L,6,0)</f>
        <v>515.06641119536903</v>
      </c>
      <c r="E9" s="131">
        <f>33.25</f>
        <v>33.25</v>
      </c>
      <c r="F9" s="131">
        <v>89.68</v>
      </c>
      <c r="G9" s="80">
        <f t="shared" si="0"/>
        <v>637.99641119536909</v>
      </c>
      <c r="H9" s="134">
        <f>IF(ISERROR(VLOOKUP(B9,BASE!$C$3:$D$109,2,0)),0,(VLOOKUP(B9,BASE!$C$3:$D$109,2,0)))</f>
        <v>516.99</v>
      </c>
      <c r="I9" s="80">
        <f t="shared" si="1"/>
        <v>121.00641119536908</v>
      </c>
      <c r="J9" s="81">
        <v>104</v>
      </c>
      <c r="K9" s="79" t="str">
        <f t="shared" si="2"/>
        <v>104B</v>
      </c>
      <c r="L9" s="79">
        <f>VLOOKUP(J9,Rateio!G:L,4,0)</f>
        <v>613.47454846344078</v>
      </c>
      <c r="M9" s="80">
        <f>VLOOKUP(J9,Rateio!G:L,6,0)</f>
        <v>515.06641119536903</v>
      </c>
      <c r="N9" s="131">
        <v>81.99</v>
      </c>
      <c r="O9" s="131">
        <v>87.31</v>
      </c>
      <c r="P9" s="80">
        <f t="shared" si="3"/>
        <v>684.36641119536898</v>
      </c>
      <c r="Q9" s="134">
        <f>IF(ISERROR(VLOOKUP(K9,BASE!$C$3:$D$109,2,0)),0,(VLOOKUP(K9,BASE!$C$3:$D$109,2,0)))</f>
        <v>432.16</v>
      </c>
      <c r="R9" s="80">
        <f t="shared" si="4"/>
        <v>252.20641119536896</v>
      </c>
    </row>
    <row r="10" spans="1:23" x14ac:dyDescent="0.25">
      <c r="A10" s="78">
        <v>105</v>
      </c>
      <c r="B10" s="78" t="s">
        <v>237</v>
      </c>
      <c r="C10" s="82">
        <f>VLOOKUP(A10,Rateio!A:L,4,0)</f>
        <v>0</v>
      </c>
      <c r="D10" s="82">
        <f>VLOOKUP(A10,Rateio!A:L,6,0)</f>
        <v>0</v>
      </c>
      <c r="E10" s="82">
        <v>0</v>
      </c>
      <c r="F10" s="82">
        <v>0</v>
      </c>
      <c r="G10" s="82">
        <f t="shared" si="0"/>
        <v>0</v>
      </c>
      <c r="H10" s="82">
        <f t="shared" si="1"/>
        <v>0</v>
      </c>
      <c r="I10" s="82">
        <f t="shared" si="1"/>
        <v>0</v>
      </c>
      <c r="J10" s="81">
        <v>105</v>
      </c>
      <c r="K10" s="79" t="str">
        <f t="shared" si="2"/>
        <v>105B</v>
      </c>
      <c r="L10" s="79">
        <f>VLOOKUP(J10,Rateio!G:L,4,0)</f>
        <v>543.18446546043117</v>
      </c>
      <c r="M10" s="80">
        <f>VLOOKUP(J10,Rateio!G:L,6,0)</f>
        <v>515.06641119536903</v>
      </c>
      <c r="N10" s="131">
        <v>5.51</v>
      </c>
      <c r="O10" s="131">
        <v>0</v>
      </c>
      <c r="P10" s="80">
        <f t="shared" si="3"/>
        <v>520.57641119536902</v>
      </c>
      <c r="Q10" s="134">
        <f>IF(ISERROR(VLOOKUP(K10,BASE!$C$3:$D$109,2,0)),0,(VLOOKUP(K10,BASE!$C$3:$D$109,2,0)))</f>
        <v>0</v>
      </c>
      <c r="R10" s="80">
        <f t="shared" si="4"/>
        <v>520.57641119536902</v>
      </c>
    </row>
    <row r="11" spans="1:23" x14ac:dyDescent="0.25">
      <c r="A11" s="78">
        <v>106</v>
      </c>
      <c r="B11" s="78" t="s">
        <v>152</v>
      </c>
      <c r="C11" s="79">
        <f>VLOOKUP(A11,Rateio!A:L,4,0)</f>
        <v>470.25569723286759</v>
      </c>
      <c r="D11" s="80">
        <f>VLOOKUP(A11,Rateio!A:L,6,0)</f>
        <v>515.06641119536903</v>
      </c>
      <c r="E11" s="131">
        <f>17.24</f>
        <v>17.239999999999998</v>
      </c>
      <c r="F11" s="131">
        <v>1.53</v>
      </c>
      <c r="G11" s="80">
        <f t="shared" si="0"/>
        <v>533.83641119536901</v>
      </c>
      <c r="H11" s="134">
        <f>IF(ISERROR(VLOOKUP(B11,BASE!$C$3:$D$109,2,0)),0,(VLOOKUP(B11,BASE!$C$3:$D$109,2,0)))</f>
        <v>367.06</v>
      </c>
      <c r="I11" s="80">
        <f t="shared" si="1"/>
        <v>166.77641119536901</v>
      </c>
      <c r="J11" s="81">
        <v>106</v>
      </c>
      <c r="K11" s="79" t="str">
        <f t="shared" si="2"/>
        <v>106B</v>
      </c>
      <c r="L11" s="79">
        <f>VLOOKUP(J11,Rateio!G:L,4,0)</f>
        <v>351.62714660558379</v>
      </c>
      <c r="M11" s="80">
        <f>VLOOKUP(J11,Rateio!G:L,6,0)</f>
        <v>515.06641119536903</v>
      </c>
      <c r="N11" s="131">
        <v>28.03</v>
      </c>
      <c r="O11" s="131">
        <v>11.26</v>
      </c>
      <c r="P11" s="80">
        <f t="shared" si="3"/>
        <v>554.35641119536899</v>
      </c>
      <c r="Q11" s="134">
        <f>IF(ISERROR(VLOOKUP(K11,BASE!$C$3:$D$109,2,0)),0,(VLOOKUP(K11,BASE!$C$3:$D$109,2,0)))</f>
        <v>404.75</v>
      </c>
      <c r="R11" s="80">
        <f t="shared" si="4"/>
        <v>149.60641119536899</v>
      </c>
    </row>
    <row r="12" spans="1:23" x14ac:dyDescent="0.25">
      <c r="A12" s="78">
        <v>107</v>
      </c>
      <c r="B12" s="78" t="s">
        <v>238</v>
      </c>
      <c r="C12" s="79">
        <f>VLOOKUP(A12,Rateio!A:L,4,0)</f>
        <v>570.02045561653233</v>
      </c>
      <c r="D12" s="80">
        <f>VLOOKUP(A12,Rateio!A:L,6,0)</f>
        <v>515.06641119536903</v>
      </c>
      <c r="E12" s="131">
        <f>0</f>
        <v>0</v>
      </c>
      <c r="F12" s="131">
        <v>0</v>
      </c>
      <c r="G12" s="80">
        <f t="shared" si="0"/>
        <v>515.06641119536903</v>
      </c>
      <c r="H12" s="134">
        <f>IF(ISERROR(VLOOKUP(B12,BASE!$C$3:$D$109,2,0)),0,(VLOOKUP(B12,BASE!$C$3:$D$109,2,0)))</f>
        <v>0</v>
      </c>
      <c r="I12" s="80">
        <f t="shared" si="1"/>
        <v>515.06641119536903</v>
      </c>
      <c r="J12" s="81">
        <v>107</v>
      </c>
      <c r="K12" s="79" t="str">
        <f t="shared" si="2"/>
        <v>107B</v>
      </c>
      <c r="L12" s="79">
        <f>VLOOKUP(J12,Rateio!G:L,4,0)</f>
        <v>485.2456749978864</v>
      </c>
      <c r="M12" s="80">
        <f>VLOOKUP(J12,Rateio!G:L,6,0)</f>
        <v>515.06641119536903</v>
      </c>
      <c r="N12" s="131">
        <v>18.670000000000002</v>
      </c>
      <c r="O12" s="131">
        <v>51.02</v>
      </c>
      <c r="P12" s="80">
        <f t="shared" si="3"/>
        <v>584.75641119536897</v>
      </c>
      <c r="Q12" s="134">
        <f>IF(ISERROR(VLOOKUP(K12,BASE!$C$3:$D$109,2,0)),0,(VLOOKUP(K12,BASE!$C$3:$D$109,2,0)))</f>
        <v>419.46</v>
      </c>
      <c r="R12" s="80">
        <f t="shared" si="4"/>
        <v>165.29641119536899</v>
      </c>
    </row>
    <row r="13" spans="1:23" x14ac:dyDescent="0.25">
      <c r="A13" s="78">
        <v>108</v>
      </c>
      <c r="B13" s="78" t="s">
        <v>239</v>
      </c>
      <c r="C13" s="82">
        <f>VLOOKUP(A13,Rateio!A:L,4,0)</f>
        <v>0</v>
      </c>
      <c r="D13" s="82">
        <f>VLOOKUP(A13,Rateio!A:L,6,0)</f>
        <v>0</v>
      </c>
      <c r="E13" s="82"/>
      <c r="F13" s="82">
        <v>0</v>
      </c>
      <c r="G13" s="82">
        <f t="shared" si="0"/>
        <v>0</v>
      </c>
      <c r="H13" s="82">
        <f t="shared" si="1"/>
        <v>0</v>
      </c>
      <c r="I13" s="82">
        <f t="shared" si="1"/>
        <v>0</v>
      </c>
      <c r="J13" s="81">
        <v>108</v>
      </c>
      <c r="K13" s="79" t="str">
        <f t="shared" si="2"/>
        <v>108B</v>
      </c>
      <c r="L13" s="79">
        <f>VLOOKUP(J13,Rateio!G:L,4,0)</f>
        <v>641.71409459004929</v>
      </c>
      <c r="M13" s="80">
        <f>VLOOKUP(J13,Rateio!G:L,6,0)</f>
        <v>515.06641119536903</v>
      </c>
      <c r="N13" s="131">
        <v>0</v>
      </c>
      <c r="O13" s="131">
        <v>0</v>
      </c>
      <c r="P13" s="80">
        <f t="shared" si="3"/>
        <v>515.06641119536903</v>
      </c>
      <c r="Q13" s="134">
        <f>IF(ISERROR(VLOOKUP(K13,BASE!$C$3:$D$109,2,0)),0,(VLOOKUP(K13,BASE!$C$3:$D$109,2,0)))</f>
        <v>369.54</v>
      </c>
      <c r="R13" s="80">
        <f t="shared" si="4"/>
        <v>145.52641119536901</v>
      </c>
    </row>
    <row r="14" spans="1:23" x14ac:dyDescent="0.25">
      <c r="A14" s="78">
        <v>201</v>
      </c>
      <c r="B14" s="78" t="s">
        <v>156</v>
      </c>
      <c r="C14" s="79">
        <f>VLOOKUP(A14,Rateio!A:L,4,0)</f>
        <v>538.91765531008866</v>
      </c>
      <c r="D14" s="80">
        <f>VLOOKUP(A14,Rateio!A:L,6,0)</f>
        <v>515.06641119536903</v>
      </c>
      <c r="E14" s="131">
        <f>66.22</f>
        <v>66.22</v>
      </c>
      <c r="F14" s="131">
        <v>57.12</v>
      </c>
      <c r="G14" s="80">
        <f t="shared" si="0"/>
        <v>638.40641119536906</v>
      </c>
      <c r="H14" s="134">
        <f>IF(ISERROR(VLOOKUP(B14,BASE!$C$3:$D$109,2,0)),0,(VLOOKUP(B14,BASE!$C$3:$D$109,2,0)))</f>
        <v>483.64</v>
      </c>
      <c r="I14" s="80">
        <f t="shared" si="1"/>
        <v>154.76641119536907</v>
      </c>
      <c r="J14" s="81">
        <v>201</v>
      </c>
      <c r="K14" s="79" t="str">
        <f t="shared" si="2"/>
        <v>201B</v>
      </c>
      <c r="L14" s="79">
        <f>VLOOKUP(J14,Rateio!G:L,4,0)</f>
        <v>538.91765531008866</v>
      </c>
      <c r="M14" s="80">
        <f>VLOOKUP(J14,Rateio!G:L,6,0)</f>
        <v>515.06641119536903</v>
      </c>
      <c r="N14" s="131">
        <v>49.92</v>
      </c>
      <c r="O14" s="131">
        <v>13.67</v>
      </c>
      <c r="P14" s="80">
        <f t="shared" si="3"/>
        <v>578.65641119536895</v>
      </c>
      <c r="Q14" s="134">
        <f>IF(ISERROR(VLOOKUP(K14,BASE!$C$3:$D$109,2,0)),0,(VLOOKUP(K14,BASE!$C$3:$D$109,2,0)))</f>
        <v>430.82</v>
      </c>
      <c r="R14" s="80">
        <f t="shared" si="4"/>
        <v>147.83641119536895</v>
      </c>
    </row>
    <row r="15" spans="1:23" x14ac:dyDescent="0.25">
      <c r="A15" s="78">
        <v>202</v>
      </c>
      <c r="B15" s="78" t="s">
        <v>158</v>
      </c>
      <c r="C15" s="79">
        <f>VLOOKUP(A15,Rateio!A:L,4,0)</f>
        <v>0</v>
      </c>
      <c r="D15" s="80">
        <f>VLOOKUP(A15,Rateio!A:L,6,0)</f>
        <v>515.06641119536903</v>
      </c>
      <c r="E15" s="131">
        <f>41.14</f>
        <v>41.14</v>
      </c>
      <c r="F15" s="131">
        <v>48.06</v>
      </c>
      <c r="G15" s="80">
        <f t="shared" si="0"/>
        <v>604.26641119536907</v>
      </c>
      <c r="H15" s="134">
        <f>IF(ISERROR(VLOOKUP(B15,BASE!$C$3:$D$109,2,0)),0,(VLOOKUP(B15,BASE!$C$3:$D$109,2,0)))</f>
        <v>454.46000000000004</v>
      </c>
      <c r="I15" s="80">
        <f t="shared" si="1"/>
        <v>149.80641119536904</v>
      </c>
      <c r="J15" s="81">
        <v>202</v>
      </c>
      <c r="K15" s="79" t="str">
        <f t="shared" si="2"/>
        <v>202B</v>
      </c>
      <c r="L15" s="79">
        <f>VLOOKUP(J15,Rateio!G:L,4,0)</f>
        <v>462.11507260392477</v>
      </c>
      <c r="M15" s="80">
        <f>VLOOKUP(J15,Rateio!G:L,6,0)</f>
        <v>515.06641119536903</v>
      </c>
      <c r="N15" s="131">
        <v>24.51</v>
      </c>
      <c r="O15" s="131">
        <v>4.71</v>
      </c>
      <c r="P15" s="80">
        <f t="shared" si="3"/>
        <v>544.28641119536906</v>
      </c>
      <c r="Q15" s="134">
        <f>IF(ISERROR(VLOOKUP(K15,BASE!$C$3:$D$109,2,0)),0,(VLOOKUP(K15,BASE!$C$3:$D$109,2,0)))</f>
        <v>400.11</v>
      </c>
      <c r="R15" s="80">
        <f t="shared" si="4"/>
        <v>144.17641119536904</v>
      </c>
    </row>
    <row r="16" spans="1:23" x14ac:dyDescent="0.25">
      <c r="A16" s="78">
        <v>203</v>
      </c>
      <c r="B16" s="78" t="s">
        <v>160</v>
      </c>
      <c r="C16" s="79">
        <f>VLOOKUP(A16,Rateio!A:L,4,0)</f>
        <v>462.11507260392477</v>
      </c>
      <c r="D16" s="80">
        <f>VLOOKUP(A16,Rateio!A:L,6,0)</f>
        <v>515.06641119536903</v>
      </c>
      <c r="E16" s="131">
        <v>28.98</v>
      </c>
      <c r="F16" s="131">
        <v>0</v>
      </c>
      <c r="G16" s="80">
        <f t="shared" si="0"/>
        <v>544.04641119536905</v>
      </c>
      <c r="H16" s="134">
        <f>IF(ISERROR(VLOOKUP(B16,BASE!$C$3:$D$109,2,0)),0,(VLOOKUP(B16,BASE!$C$3:$D$109,2,0)))</f>
        <v>393.68</v>
      </c>
      <c r="I16" s="80">
        <f t="shared" si="1"/>
        <v>150.36641119536904</v>
      </c>
      <c r="J16" s="81">
        <v>203</v>
      </c>
      <c r="K16" s="79" t="str">
        <f t="shared" si="2"/>
        <v>203B</v>
      </c>
      <c r="L16" s="79">
        <f>VLOOKUP(J16,Rateio!G:L,4,0)</f>
        <v>462.11507260392477</v>
      </c>
      <c r="M16" s="80">
        <f>VLOOKUP(J16,Rateio!G:L,6,0)</f>
        <v>515.06641119536903</v>
      </c>
      <c r="N16" s="131">
        <v>56.95</v>
      </c>
      <c r="O16" s="131">
        <v>57.4</v>
      </c>
      <c r="P16" s="80">
        <f t="shared" si="3"/>
        <v>629.41641119536905</v>
      </c>
      <c r="Q16" s="134">
        <f>IF(ISERROR(VLOOKUP(K16,BASE!$C$3:$D$109,2,0)),0,(VLOOKUP(K16,BASE!$C$3:$D$109,2,0)))</f>
        <v>198.48</v>
      </c>
      <c r="R16" s="80">
        <f t="shared" si="4"/>
        <v>430.93641119536903</v>
      </c>
    </row>
    <row r="17" spans="1:18" x14ac:dyDescent="0.25">
      <c r="A17" s="78">
        <v>204</v>
      </c>
      <c r="B17" s="78" t="s">
        <v>240</v>
      </c>
      <c r="C17" s="79">
        <f>VLOOKUP(A17,Rateio!A:L,4,0)</f>
        <v>538.91765531008866</v>
      </c>
      <c r="D17" s="80">
        <f>VLOOKUP(A17,Rateio!A:L,6,0)</f>
        <v>515.06641119536903</v>
      </c>
      <c r="E17" s="131">
        <v>46.46</v>
      </c>
      <c r="F17" s="131">
        <v>14.12</v>
      </c>
      <c r="G17" s="80">
        <f t="shared" si="0"/>
        <v>575.64641119536907</v>
      </c>
      <c r="H17" s="134">
        <f>IF(ISERROR(VLOOKUP(B17,BASE!$C$3:$D$109,2,0)),0,(VLOOKUP(B17,BASE!$C$3:$D$109,2,0)))</f>
        <v>0</v>
      </c>
      <c r="I17" s="80">
        <f t="shared" si="1"/>
        <v>575.64641119536907</v>
      </c>
      <c r="J17" s="81">
        <v>204</v>
      </c>
      <c r="K17" s="79" t="str">
        <f t="shared" si="2"/>
        <v>204B</v>
      </c>
      <c r="L17" s="79">
        <f>VLOOKUP(J17,Rateio!G:L,4,0)</f>
        <v>538.91765531008866</v>
      </c>
      <c r="M17" s="80">
        <f>VLOOKUP(J17,Rateio!G:L,6,0)</f>
        <v>515.06641119536903</v>
      </c>
      <c r="N17" s="131">
        <v>0</v>
      </c>
      <c r="O17" s="131">
        <v>0</v>
      </c>
      <c r="P17" s="80">
        <f t="shared" si="3"/>
        <v>515.06641119536903</v>
      </c>
      <c r="Q17" s="134">
        <f>IF(ISERROR(VLOOKUP(K17,BASE!$C$3:$D$109,2,0)),0,(VLOOKUP(K17,BASE!$C$3:$D$109,2,0)))</f>
        <v>368.05</v>
      </c>
      <c r="R17" s="80">
        <f t="shared" si="4"/>
        <v>147.01641119536902</v>
      </c>
    </row>
    <row r="18" spans="1:18" x14ac:dyDescent="0.25">
      <c r="A18" s="78">
        <v>205</v>
      </c>
      <c r="B18" s="78" t="s">
        <v>241</v>
      </c>
      <c r="C18" s="79">
        <f>VLOOKUP(A18,Rateio!A:L,4,0)</f>
        <v>538.91765531008866</v>
      </c>
      <c r="D18" s="80">
        <f>VLOOKUP(A18,Rateio!A:L,6,0)</f>
        <v>515.06641119536903</v>
      </c>
      <c r="E18" s="131">
        <v>0</v>
      </c>
      <c r="F18" s="131">
        <v>0</v>
      </c>
      <c r="G18" s="80">
        <f t="shared" si="0"/>
        <v>515.06641119536903</v>
      </c>
      <c r="H18" s="134">
        <f>IF(ISERROR(VLOOKUP(B18,BASE!$C$3:$D$109,2,0)),0,(VLOOKUP(B18,BASE!$C$3:$D$109,2,0)))</f>
        <v>0</v>
      </c>
      <c r="I18" s="80">
        <f t="shared" si="1"/>
        <v>515.06641119536903</v>
      </c>
      <c r="J18" s="81">
        <v>205</v>
      </c>
      <c r="K18" s="79" t="str">
        <f t="shared" si="2"/>
        <v>205B</v>
      </c>
      <c r="L18" s="79">
        <f>VLOOKUP(J18,Rateio!G:L,4,0)</f>
        <v>538.91765531008866</v>
      </c>
      <c r="M18" s="80">
        <f>VLOOKUP(J18,Rateio!G:L,6,0)</f>
        <v>515.06641119536903</v>
      </c>
      <c r="N18" s="131">
        <v>11.5</v>
      </c>
      <c r="O18" s="131">
        <v>4.75</v>
      </c>
      <c r="P18" s="80">
        <f t="shared" si="3"/>
        <v>531.31641119536903</v>
      </c>
      <c r="Q18" s="134">
        <f>IF(ISERROR(VLOOKUP(K18,BASE!$C$3:$D$109,2,0)),0,(VLOOKUP(K18,BASE!$C$3:$D$109,2,0)))</f>
        <v>0</v>
      </c>
      <c r="R18" s="80">
        <f t="shared" si="4"/>
        <v>531.31641119536903</v>
      </c>
    </row>
    <row r="19" spans="1:18" x14ac:dyDescent="0.25">
      <c r="A19" s="78">
        <v>206</v>
      </c>
      <c r="B19" s="78" t="s">
        <v>163</v>
      </c>
      <c r="C19" s="79">
        <f>VLOOKUP(A19,Rateio!A:L,4,0)</f>
        <v>450.77434036222513</v>
      </c>
      <c r="D19" s="80">
        <f>VLOOKUP(A19,Rateio!A:L,6,0)</f>
        <v>515.06641119536903</v>
      </c>
      <c r="E19" s="131">
        <v>30.16</v>
      </c>
      <c r="F19" s="131">
        <v>29.79</v>
      </c>
      <c r="G19" s="80">
        <f t="shared" si="0"/>
        <v>575.01641119536896</v>
      </c>
      <c r="H19" s="134">
        <f>IF(ISERROR(VLOOKUP(B19,BASE!$C$3:$D$109,2,0)),0,(VLOOKUP(B19,BASE!$C$3:$D$109,2,0)))</f>
        <v>148.41</v>
      </c>
      <c r="I19" s="80">
        <f t="shared" si="1"/>
        <v>426.60641119536899</v>
      </c>
      <c r="J19" s="81">
        <v>206</v>
      </c>
      <c r="K19" s="79" t="str">
        <f t="shared" si="2"/>
        <v>206B</v>
      </c>
      <c r="L19" s="79">
        <f>VLOOKUP(J19,Rateio!G:L,4,0)</f>
        <v>450.77434036222513</v>
      </c>
      <c r="M19" s="80">
        <f>VLOOKUP(J19,Rateio!G:L,6,0)</f>
        <v>515.06641119536903</v>
      </c>
      <c r="N19" s="131">
        <v>13.63</v>
      </c>
      <c r="O19" s="131">
        <v>4.9800000000000004</v>
      </c>
      <c r="P19" s="80">
        <f t="shared" si="3"/>
        <v>533.67641119536904</v>
      </c>
      <c r="Q19" s="134">
        <f>IF(ISERROR(VLOOKUP(K19,BASE!$C$3:$D$109,2,0)),0,(VLOOKUP(K19,BASE!$C$3:$D$109,2,0)))</f>
        <v>386.11</v>
      </c>
      <c r="R19" s="80">
        <f t="shared" si="4"/>
        <v>147.56641119536903</v>
      </c>
    </row>
    <row r="20" spans="1:18" x14ac:dyDescent="0.25">
      <c r="A20" s="78">
        <v>207</v>
      </c>
      <c r="B20" s="78" t="s">
        <v>165</v>
      </c>
      <c r="C20" s="79">
        <f>VLOOKUP(A20,Rateio!A:L,4,0)</f>
        <v>450.77434036222513</v>
      </c>
      <c r="D20" s="80">
        <f>VLOOKUP(A20,Rateio!A:L,6,0)</f>
        <v>515.06641119536903</v>
      </c>
      <c r="E20" s="131">
        <v>70.16</v>
      </c>
      <c r="F20" s="131">
        <v>51.42</v>
      </c>
      <c r="G20" s="80">
        <f t="shared" si="0"/>
        <v>636.64641119536896</v>
      </c>
      <c r="H20" s="134">
        <f>IF(ISERROR(VLOOKUP(B20,BASE!$C$3:$D$109,2,0)),0,(VLOOKUP(B20,BASE!$C$3:$D$109,2,0)))</f>
        <v>429.81</v>
      </c>
      <c r="I20" s="80">
        <f t="shared" si="1"/>
        <v>206.83641119536895</v>
      </c>
      <c r="J20" s="81">
        <v>207</v>
      </c>
      <c r="K20" s="79" t="str">
        <f t="shared" si="2"/>
        <v>207B</v>
      </c>
      <c r="L20" s="79">
        <f>VLOOKUP(J20,Rateio!G:L,4,0)</f>
        <v>450.77434036222513</v>
      </c>
      <c r="M20" s="80">
        <f>VLOOKUP(J20,Rateio!G:L,6,0)</f>
        <v>515.06641119536903</v>
      </c>
      <c r="N20" s="131">
        <v>34.770000000000003</v>
      </c>
      <c r="O20" s="131">
        <v>58.69</v>
      </c>
      <c r="P20" s="80">
        <f t="shared" si="3"/>
        <v>608.52641119536906</v>
      </c>
      <c r="Q20" s="134">
        <f>IF(ISERROR(VLOOKUP(K20,BASE!$C$3:$D$109,2,0)),0,(VLOOKUP(K20,BASE!$C$3:$D$109,2,0)))</f>
        <v>392.24</v>
      </c>
      <c r="R20" s="80">
        <f t="shared" si="4"/>
        <v>216.28641119536906</v>
      </c>
    </row>
    <row r="21" spans="1:18" x14ac:dyDescent="0.25">
      <c r="A21" s="78">
        <v>208</v>
      </c>
      <c r="B21" s="78" t="s">
        <v>167</v>
      </c>
      <c r="C21" s="79">
        <f>VLOOKUP(A21,Rateio!A:L,4,0)</f>
        <v>538.91765531008866</v>
      </c>
      <c r="D21" s="80">
        <f>VLOOKUP(A21,Rateio!A:L,6,0)</f>
        <v>515.06641119536903</v>
      </c>
      <c r="E21" s="131">
        <v>62.46</v>
      </c>
      <c r="F21" s="131">
        <v>54.66</v>
      </c>
      <c r="G21" s="80">
        <f t="shared" si="0"/>
        <v>632.18641119536903</v>
      </c>
      <c r="H21" s="134">
        <f>IF(ISERROR(VLOOKUP(B21,BASE!$C$3:$D$109,2,0)),0,(VLOOKUP(B21,BASE!$C$3:$D$109,2,0)))</f>
        <v>497.95</v>
      </c>
      <c r="I21" s="80">
        <f t="shared" si="1"/>
        <v>134.23641119536904</v>
      </c>
      <c r="J21" s="81">
        <v>208</v>
      </c>
      <c r="K21" s="79" t="str">
        <f t="shared" si="2"/>
        <v>208B</v>
      </c>
      <c r="L21" s="79">
        <f>VLOOKUP(J21,Rateio!G:L,4,0)</f>
        <v>538.91765531008866</v>
      </c>
      <c r="M21" s="80">
        <f>VLOOKUP(J21,Rateio!G:L,6,0)</f>
        <v>515.06641119536903</v>
      </c>
      <c r="N21" s="131">
        <v>66.260000000000005</v>
      </c>
      <c r="O21" s="131">
        <v>74.31</v>
      </c>
      <c r="P21" s="80">
        <f t="shared" si="3"/>
        <v>655.63641119536896</v>
      </c>
      <c r="Q21" s="134">
        <f>IF(ISERROR(VLOOKUP(K21,BASE!$C$3:$D$109,2,0)),0,(VLOOKUP(K21,BASE!$C$3:$D$109,2,0)))</f>
        <v>491.18</v>
      </c>
      <c r="R21" s="80">
        <f t="shared" si="4"/>
        <v>164.45641119536896</v>
      </c>
    </row>
    <row r="22" spans="1:18" x14ac:dyDescent="0.25">
      <c r="A22" s="78">
        <v>301</v>
      </c>
      <c r="B22" s="78" t="s">
        <v>169</v>
      </c>
      <c r="C22" s="79">
        <f>VLOOKUP(A22,Rateio!A:L,4,0)</f>
        <v>538.91765531008866</v>
      </c>
      <c r="D22" s="80">
        <f>VLOOKUP(A22,Rateio!A:L,6,0)</f>
        <v>515.06641119536903</v>
      </c>
      <c r="E22" s="131">
        <v>94.05</v>
      </c>
      <c r="F22" s="131">
        <v>88.01</v>
      </c>
      <c r="G22" s="80">
        <f t="shared" si="0"/>
        <v>697.12641119536897</v>
      </c>
      <c r="H22" s="134">
        <f>IF(ISERROR(VLOOKUP(B22,BASE!$C$3:$D$109,2,0)),0,(VLOOKUP(B22,BASE!$C$3:$D$109,2,0)))</f>
        <v>593.70000000000005</v>
      </c>
      <c r="I22" s="80">
        <f t="shared" si="1"/>
        <v>103.42641119536893</v>
      </c>
      <c r="J22" s="81">
        <v>301</v>
      </c>
      <c r="K22" s="79" t="str">
        <f t="shared" si="2"/>
        <v>301B</v>
      </c>
      <c r="L22" s="79">
        <f>VLOOKUP(J22,Rateio!G:L,4,0)</f>
        <v>562.553537853433</v>
      </c>
      <c r="M22" s="80">
        <f>VLOOKUP(J22,Rateio!G:L,6,0)</f>
        <v>515.06641119536903</v>
      </c>
      <c r="N22" s="131">
        <v>4.18</v>
      </c>
      <c r="O22" s="131">
        <v>0</v>
      </c>
      <c r="P22" s="80">
        <f t="shared" si="3"/>
        <v>519.24641119536898</v>
      </c>
      <c r="Q22" s="134">
        <f>IF(ISERROR(VLOOKUP(K22,BASE!$C$3:$D$109,2,0)),0,(VLOOKUP(K22,BASE!$C$3:$D$109,2,0)))</f>
        <v>368.39</v>
      </c>
      <c r="R22" s="80">
        <f t="shared" si="4"/>
        <v>150.85641119536899</v>
      </c>
    </row>
    <row r="23" spans="1:18" x14ac:dyDescent="0.25">
      <c r="A23" s="78">
        <v>302</v>
      </c>
      <c r="B23" s="78" t="s">
        <v>171</v>
      </c>
      <c r="C23" s="79">
        <f>VLOOKUP(A23,Rateio!A:L,4,0)</f>
        <v>462.11507260392477</v>
      </c>
      <c r="D23" s="80">
        <f>VLOOKUP(A23,Rateio!A:L,6,0)</f>
        <v>515.06641119536903</v>
      </c>
      <c r="E23" s="131">
        <v>21.38</v>
      </c>
      <c r="F23" s="131">
        <v>17.64</v>
      </c>
      <c r="G23" s="80">
        <f t="shared" si="0"/>
        <v>554.08641119536901</v>
      </c>
      <c r="H23" s="134">
        <f>IF(ISERROR(VLOOKUP(B23,BASE!$C$3:$D$109,2,0)),0,(VLOOKUP(B23,BASE!$C$3:$D$109,2,0)))</f>
        <v>418.48</v>
      </c>
      <c r="I23" s="80">
        <f t="shared" si="1"/>
        <v>135.60641119536899</v>
      </c>
      <c r="J23" s="81">
        <v>302</v>
      </c>
      <c r="K23" s="79" t="str">
        <f t="shared" si="2"/>
        <v>302B</v>
      </c>
      <c r="L23" s="79">
        <f>VLOOKUP(J23,Rateio!G:L,4,0)</f>
        <v>462.11507260392477</v>
      </c>
      <c r="M23" s="80">
        <f>VLOOKUP(J23,Rateio!G:L,6,0)</f>
        <v>515.06641119536903</v>
      </c>
      <c r="N23" s="131">
        <v>41.99</v>
      </c>
      <c r="O23" s="131">
        <v>60.84</v>
      </c>
      <c r="P23" s="80">
        <f t="shared" si="3"/>
        <v>617.89641119536907</v>
      </c>
      <c r="Q23" s="134">
        <f>IF(ISERROR(VLOOKUP(K23,BASE!$C$3:$D$109,2,0)),0,(VLOOKUP(K23,BASE!$C$3:$D$109,2,0)))</f>
        <v>437.78</v>
      </c>
      <c r="R23" s="80">
        <f t="shared" si="4"/>
        <v>180.1164111953691</v>
      </c>
    </row>
    <row r="24" spans="1:18" x14ac:dyDescent="0.25">
      <c r="A24" s="78">
        <v>303</v>
      </c>
      <c r="B24" s="78" t="s">
        <v>144</v>
      </c>
      <c r="C24" s="79">
        <f>VLOOKUP(A24,Rateio!A:L,4,0)</f>
        <v>462.11507260392477</v>
      </c>
      <c r="D24" s="80">
        <f>VLOOKUP(A24,Rateio!A:L,6,0)</f>
        <v>515.06641119536903</v>
      </c>
      <c r="E24" s="131">
        <v>82.46</v>
      </c>
      <c r="F24" s="131">
        <v>88.53</v>
      </c>
      <c r="G24" s="80">
        <f t="shared" si="0"/>
        <v>686.05641119536904</v>
      </c>
      <c r="H24" s="134">
        <f>IF(ISERROR(VLOOKUP(B24,BASE!$C$3:$D$109,2,0)),0,(VLOOKUP(B24,BASE!$C$3:$D$109,2,0)))</f>
        <v>506.57</v>
      </c>
      <c r="I24" s="80">
        <f t="shared" si="1"/>
        <v>179.48641119536904</v>
      </c>
      <c r="J24" s="81">
        <v>303</v>
      </c>
      <c r="K24" s="79" t="str">
        <f t="shared" si="2"/>
        <v>303B</v>
      </c>
      <c r="L24" s="79">
        <f>VLOOKUP(J24,Rateio!G:L,4,0)</f>
        <v>462.11507260392477</v>
      </c>
      <c r="M24" s="80">
        <f>VLOOKUP(J24,Rateio!G:L,6,0)</f>
        <v>515.06641119536903</v>
      </c>
      <c r="N24" s="131">
        <v>63.32</v>
      </c>
      <c r="O24" s="131">
        <v>66.16</v>
      </c>
      <c r="P24" s="80">
        <f t="shared" si="3"/>
        <v>644.54641119536905</v>
      </c>
      <c r="Q24" s="134">
        <f>IF(ISERROR(VLOOKUP(K24,BASE!$C$3:$D$109,2,0)),0,(VLOOKUP(K24,BASE!$C$3:$D$109,2,0)))</f>
        <v>479.48</v>
      </c>
      <c r="R24" s="80">
        <f t="shared" si="4"/>
        <v>165.06641119536903</v>
      </c>
    </row>
    <row r="25" spans="1:18" x14ac:dyDescent="0.25">
      <c r="A25" s="78">
        <v>304</v>
      </c>
      <c r="B25" s="78" t="s">
        <v>242</v>
      </c>
      <c r="C25" s="79">
        <f>VLOOKUP(A25,Rateio!A:L,4,0)</f>
        <v>562.553537853433</v>
      </c>
      <c r="D25" s="80">
        <f>VLOOKUP(A25,Rateio!A:L,6,0)</f>
        <v>515.06641119536903</v>
      </c>
      <c r="E25" s="131">
        <v>43.99</v>
      </c>
      <c r="F25" s="131">
        <v>35.9</v>
      </c>
      <c r="G25" s="80">
        <f t="shared" si="0"/>
        <v>594.95641119536901</v>
      </c>
      <c r="H25" s="134">
        <f>IF(ISERROR(VLOOKUP(B25,BASE!$C$3:$D$109,2,0)),0,(VLOOKUP(B25,BASE!$C$3:$D$109,2,0)))</f>
        <v>0</v>
      </c>
      <c r="I25" s="80">
        <f t="shared" si="1"/>
        <v>594.95641119536901</v>
      </c>
      <c r="J25" s="81">
        <v>304</v>
      </c>
      <c r="K25" s="79" t="str">
        <f t="shared" si="2"/>
        <v>304B</v>
      </c>
      <c r="L25" s="79">
        <f>VLOOKUP(J25,Rateio!G:L,4,0)</f>
        <v>562.553537853433</v>
      </c>
      <c r="M25" s="80">
        <f>VLOOKUP(J25,Rateio!G:L,6,0)</f>
        <v>515.06641119536903</v>
      </c>
      <c r="N25" s="131">
        <v>4.6100000000000003</v>
      </c>
      <c r="O25" s="131">
        <v>0</v>
      </c>
      <c r="P25" s="80">
        <f t="shared" si="3"/>
        <v>519.67641119536904</v>
      </c>
      <c r="Q25" s="134">
        <f>IF(ISERROR(VLOOKUP(K25,BASE!$C$3:$D$109,2,0)),0,(VLOOKUP(K25,BASE!$C$3:$D$109,2,0)))</f>
        <v>368.39</v>
      </c>
      <c r="R25" s="80">
        <f t="shared" si="4"/>
        <v>151.28641119536906</v>
      </c>
    </row>
    <row r="26" spans="1:18" x14ac:dyDescent="0.25">
      <c r="A26" s="78">
        <v>305</v>
      </c>
      <c r="B26" s="78" t="s">
        <v>175</v>
      </c>
      <c r="C26" s="79">
        <f>VLOOKUP(A26,Rateio!A:L,4,0)</f>
        <v>562.553537853433</v>
      </c>
      <c r="D26" s="80">
        <f>VLOOKUP(A26,Rateio!A:L,6,0)</f>
        <v>515.06641119536903</v>
      </c>
      <c r="E26" s="131">
        <v>52.73</v>
      </c>
      <c r="F26" s="131">
        <v>0</v>
      </c>
      <c r="G26" s="80">
        <f t="shared" si="0"/>
        <v>567.79641119536905</v>
      </c>
      <c r="H26" s="134">
        <f>IF(ISERROR(VLOOKUP(B26,BASE!$C$3:$D$109,2,0)),0,(VLOOKUP(B26,BASE!$C$3:$D$109,2,0)))</f>
        <v>425.23</v>
      </c>
      <c r="I26" s="80">
        <f t="shared" si="1"/>
        <v>142.56641119536903</v>
      </c>
      <c r="J26" s="81">
        <v>305</v>
      </c>
      <c r="K26" s="79" t="str">
        <f t="shared" si="2"/>
        <v>305B</v>
      </c>
      <c r="L26" s="79">
        <f>VLOOKUP(J26,Rateio!G:L,4,0)</f>
        <v>562.553537853433</v>
      </c>
      <c r="M26" s="80">
        <f>VLOOKUP(J26,Rateio!G:L,6,0)</f>
        <v>515.06641119536903</v>
      </c>
      <c r="N26" s="131">
        <v>41.47</v>
      </c>
      <c r="O26" s="131">
        <v>38.869999999999997</v>
      </c>
      <c r="P26" s="80">
        <f t="shared" si="3"/>
        <v>595.40641119536906</v>
      </c>
      <c r="Q26" s="134">
        <f>IF(ISERROR(VLOOKUP(K26,BASE!$C$3:$D$109,2,0)),0,(VLOOKUP(K26,BASE!$C$3:$D$109,2,0)))</f>
        <v>444.07</v>
      </c>
      <c r="R26" s="80">
        <f t="shared" si="4"/>
        <v>151.33641119536907</v>
      </c>
    </row>
    <row r="27" spans="1:18" x14ac:dyDescent="0.25">
      <c r="A27" s="78">
        <v>306</v>
      </c>
      <c r="B27" s="78" t="s">
        <v>177</v>
      </c>
      <c r="C27" s="79">
        <f>VLOOKUP(A27,Rateio!A:L,4,0)</f>
        <v>450.77434036222513</v>
      </c>
      <c r="D27" s="80">
        <f>VLOOKUP(A27,Rateio!A:L,6,0)</f>
        <v>515.06641119536903</v>
      </c>
      <c r="E27" s="131">
        <v>43.04</v>
      </c>
      <c r="F27" s="131">
        <v>7.83</v>
      </c>
      <c r="G27" s="80">
        <f t="shared" si="0"/>
        <v>565.93641119536903</v>
      </c>
      <c r="H27" s="134">
        <f>IF(ISERROR(VLOOKUP(B27,BASE!$C$3:$D$109,2,0)),0,(VLOOKUP(B27,BASE!$C$3:$D$109,2,0)))</f>
        <v>412.36</v>
      </c>
      <c r="I27" s="80">
        <f t="shared" si="1"/>
        <v>153.57641119536902</v>
      </c>
      <c r="J27" s="81">
        <v>306</v>
      </c>
      <c r="K27" s="79" t="str">
        <f t="shared" si="2"/>
        <v>306B</v>
      </c>
      <c r="L27" s="79">
        <f>VLOOKUP(J27,Rateio!G:L,4,0)</f>
        <v>0</v>
      </c>
      <c r="M27" s="80">
        <f>VLOOKUP(J27,Rateio!G:L,6,0)</f>
        <v>0</v>
      </c>
      <c r="N27" s="131">
        <v>26.46</v>
      </c>
      <c r="O27" s="131">
        <v>16.2</v>
      </c>
      <c r="P27" s="80">
        <f t="shared" si="3"/>
        <v>42.66</v>
      </c>
      <c r="Q27" s="134">
        <f>IF(ISERROR(VLOOKUP(K27,BASE!$C$3:$D$109,2,0)),0,(VLOOKUP(K27,BASE!$C$3:$D$109,2,0)))</f>
        <v>428.63</v>
      </c>
      <c r="R27" s="80">
        <f t="shared" si="4"/>
        <v>-385.97</v>
      </c>
    </row>
    <row r="28" spans="1:18" x14ac:dyDescent="0.25">
      <c r="A28" s="78">
        <v>307</v>
      </c>
      <c r="B28" s="78" t="s">
        <v>179</v>
      </c>
      <c r="C28" s="79">
        <f>VLOOKUP(A28,Rateio!A:L,4,0)</f>
        <v>450.77434036222513</v>
      </c>
      <c r="D28" s="80">
        <f>VLOOKUP(A28,Rateio!A:L,6,0)</f>
        <v>515.06641119536903</v>
      </c>
      <c r="E28" s="131">
        <v>34.82</v>
      </c>
      <c r="F28" s="131">
        <v>18.54</v>
      </c>
      <c r="G28" s="80">
        <f t="shared" si="0"/>
        <v>568.42641119536904</v>
      </c>
      <c r="H28" s="134">
        <f>IF(ISERROR(VLOOKUP(B28,BASE!$C$3:$D$109,2,0)),0,(VLOOKUP(B28,BASE!$C$3:$D$109,2,0)))</f>
        <v>414.95</v>
      </c>
      <c r="I28" s="80">
        <f t="shared" si="1"/>
        <v>153.47641119536905</v>
      </c>
      <c r="J28" s="81">
        <v>307</v>
      </c>
      <c r="K28" s="79" t="str">
        <f t="shared" si="2"/>
        <v>307B</v>
      </c>
      <c r="L28" s="79">
        <f>VLOOKUP(J28,Rateio!G:L,4,0)</f>
        <v>450.77434036222513</v>
      </c>
      <c r="M28" s="80">
        <f>VLOOKUP(J28,Rateio!G:L,6,0)</f>
        <v>515.06641119536903</v>
      </c>
      <c r="N28" s="131">
        <v>9.8800000000000008</v>
      </c>
      <c r="O28" s="131">
        <v>0</v>
      </c>
      <c r="P28" s="80">
        <f t="shared" si="3"/>
        <v>524.94641119536902</v>
      </c>
      <c r="Q28" s="134">
        <f>IF(ISERROR(VLOOKUP(K28,BASE!$C$3:$D$109,2,0)),0,(VLOOKUP(K28,BASE!$C$3:$D$109,2,0)))</f>
        <v>377.04</v>
      </c>
      <c r="R28" s="80">
        <f t="shared" si="4"/>
        <v>147.906411195369</v>
      </c>
    </row>
    <row r="29" spans="1:18" x14ac:dyDescent="0.25">
      <c r="A29" s="78">
        <v>308</v>
      </c>
      <c r="B29" s="78" t="s">
        <v>243</v>
      </c>
      <c r="C29" s="79">
        <f>VLOOKUP(A29,Rateio!A:L,4,0)</f>
        <v>562.553537853433</v>
      </c>
      <c r="D29" s="80">
        <f>VLOOKUP(A29,Rateio!A:L,6,0)</f>
        <v>515.06641119536903</v>
      </c>
      <c r="E29" s="131">
        <v>0</v>
      </c>
      <c r="F29" s="131">
        <v>0</v>
      </c>
      <c r="G29" s="80">
        <f t="shared" si="0"/>
        <v>515.06641119536903</v>
      </c>
      <c r="H29" s="134">
        <f>IF(ISERROR(VLOOKUP(B29,BASE!$C$3:$D$109,2,0)),0,(VLOOKUP(B29,BASE!$C$3:$D$109,2,0)))</f>
        <v>0</v>
      </c>
      <c r="I29" s="80">
        <f t="shared" si="1"/>
        <v>515.06641119536903</v>
      </c>
      <c r="J29" s="81">
        <v>308</v>
      </c>
      <c r="K29" s="79" t="str">
        <f t="shared" si="2"/>
        <v>308B</v>
      </c>
      <c r="L29" s="79">
        <f>VLOOKUP(J29,Rateio!G:L,4,0)</f>
        <v>562.553537853433</v>
      </c>
      <c r="M29" s="80">
        <f>VLOOKUP(J29,Rateio!G:L,6,0)</f>
        <v>515.06641119536903</v>
      </c>
      <c r="N29" s="131">
        <v>56.1</v>
      </c>
      <c r="O29" s="131">
        <v>72.42</v>
      </c>
      <c r="P29" s="80">
        <f t="shared" si="3"/>
        <v>643.58641119536901</v>
      </c>
      <c r="Q29" s="134">
        <f>IF(ISERROR(VLOOKUP(K29,BASE!$C$3:$D$109,2,0)),0,(VLOOKUP(K29,BASE!$C$3:$D$109,2,0)))</f>
        <v>472.65</v>
      </c>
      <c r="R29" s="80">
        <f t="shared" si="4"/>
        <v>170.93641119536903</v>
      </c>
    </row>
    <row r="30" spans="1:18" x14ac:dyDescent="0.25">
      <c r="A30" s="78">
        <v>401</v>
      </c>
      <c r="B30" s="78" t="s">
        <v>244</v>
      </c>
      <c r="C30" s="79">
        <f>VLOOKUP(A30,Rateio!A:L,4,0)</f>
        <v>562.553537853433</v>
      </c>
      <c r="D30" s="80">
        <f>VLOOKUP(A30,Rateio!A:L,6,0)</f>
        <v>515.06641119536903</v>
      </c>
      <c r="E30" s="131">
        <v>0</v>
      </c>
      <c r="F30" s="131">
        <v>0</v>
      </c>
      <c r="G30" s="80">
        <f t="shared" si="0"/>
        <v>515.06641119536903</v>
      </c>
      <c r="H30" s="134">
        <f>IF(ISERROR(VLOOKUP(B30,BASE!$C$3:$D$109,2,0)),0,(VLOOKUP(B30,BASE!$C$3:$D$109,2,0)))</f>
        <v>0</v>
      </c>
      <c r="I30" s="80">
        <f t="shared" si="1"/>
        <v>515.06641119536903</v>
      </c>
      <c r="J30" s="81">
        <v>401</v>
      </c>
      <c r="K30" s="79" t="str">
        <f t="shared" si="2"/>
        <v>401B</v>
      </c>
      <c r="L30" s="79">
        <f>VLOOKUP(J30,Rateio!G:L,4,0)</f>
        <v>562.553537853433</v>
      </c>
      <c r="M30" s="80">
        <f>VLOOKUP(J30,Rateio!G:L,6,0)</f>
        <v>515.06641119536903</v>
      </c>
      <c r="N30" s="131">
        <v>0</v>
      </c>
      <c r="O30" s="131">
        <v>0</v>
      </c>
      <c r="P30" s="80">
        <f t="shared" si="3"/>
        <v>515.06641119536903</v>
      </c>
      <c r="Q30" s="134">
        <f>IF(ISERROR(VLOOKUP(K30,BASE!$C$3:$D$109,2,0)),0,(VLOOKUP(K30,BASE!$C$3:$D$109,2,0)))</f>
        <v>368.39</v>
      </c>
      <c r="R30" s="80">
        <f t="shared" si="4"/>
        <v>146.67641119536904</v>
      </c>
    </row>
    <row r="31" spans="1:18" x14ac:dyDescent="0.25">
      <c r="A31" s="78">
        <v>402</v>
      </c>
      <c r="B31" s="78" t="s">
        <v>183</v>
      </c>
      <c r="C31" s="79">
        <f>VLOOKUP(A31,Rateio!A:L,4,0)</f>
        <v>462.11507260392477</v>
      </c>
      <c r="D31" s="80">
        <f>VLOOKUP(A31,Rateio!A:L,6,0)</f>
        <v>515.06641119536903</v>
      </c>
      <c r="E31" s="131">
        <v>0</v>
      </c>
      <c r="F31" s="131">
        <v>0</v>
      </c>
      <c r="G31" s="80">
        <f t="shared" si="0"/>
        <v>515.06641119536903</v>
      </c>
      <c r="H31" s="134">
        <f>IF(ISERROR(VLOOKUP(B31,BASE!$C$3:$D$109,2,0)),0,(VLOOKUP(B31,BASE!$C$3:$D$109,2,0)))</f>
        <v>366.94</v>
      </c>
      <c r="I31" s="80">
        <f t="shared" si="1"/>
        <v>148.12641119536903</v>
      </c>
      <c r="J31" s="81">
        <v>402</v>
      </c>
      <c r="K31" s="79" t="str">
        <f t="shared" si="2"/>
        <v>402B</v>
      </c>
      <c r="L31" s="79">
        <f>VLOOKUP(J31,Rateio!G:L,4,0)</f>
        <v>462.11507260392477</v>
      </c>
      <c r="M31" s="80">
        <f>VLOOKUP(J31,Rateio!G:L,6,0)</f>
        <v>515.06641119536903</v>
      </c>
      <c r="N31" s="131">
        <v>0</v>
      </c>
      <c r="O31" s="131">
        <v>0</v>
      </c>
      <c r="P31" s="80">
        <f t="shared" si="3"/>
        <v>515.06641119536903</v>
      </c>
      <c r="Q31" s="134">
        <f>IF(ISERROR(VLOOKUP(K31,BASE!$C$3:$D$109,2,0)),0,(VLOOKUP(K31,BASE!$C$3:$D$109,2,0)))</f>
        <v>366.94</v>
      </c>
      <c r="R31" s="80">
        <f t="shared" si="4"/>
        <v>148.12641119536903</v>
      </c>
    </row>
    <row r="32" spans="1:18" x14ac:dyDescent="0.25">
      <c r="A32" s="78">
        <v>403</v>
      </c>
      <c r="B32" s="78" t="s">
        <v>185</v>
      </c>
      <c r="C32" s="79">
        <f>VLOOKUP(A32,Rateio!A:L,4,0)</f>
        <v>462.11507260392477</v>
      </c>
      <c r="D32" s="80">
        <f>VLOOKUP(A32,Rateio!A:L,6,0)</f>
        <v>515.06641119536903</v>
      </c>
      <c r="E32" s="131">
        <v>0</v>
      </c>
      <c r="F32" s="131">
        <v>0</v>
      </c>
      <c r="G32" s="80">
        <f t="shared" si="0"/>
        <v>515.06641119536903</v>
      </c>
      <c r="H32" s="134">
        <f>IF(ISERROR(VLOOKUP(B32,BASE!$C$3:$D$109,2,0)),0,(VLOOKUP(B32,BASE!$C$3:$D$109,2,0)))</f>
        <v>366.94</v>
      </c>
      <c r="I32" s="80">
        <f t="shared" si="1"/>
        <v>148.12641119536903</v>
      </c>
      <c r="J32" s="81">
        <v>403</v>
      </c>
      <c r="K32" s="79" t="str">
        <f t="shared" si="2"/>
        <v>403B</v>
      </c>
      <c r="L32" s="79">
        <f>VLOOKUP(J32,Rateio!G:L,4,0)</f>
        <v>462.11507260392477</v>
      </c>
      <c r="M32" s="80">
        <f>VLOOKUP(J32,Rateio!G:L,6,0)</f>
        <v>515.06641119536903</v>
      </c>
      <c r="N32" s="131">
        <v>0</v>
      </c>
      <c r="O32" s="131">
        <v>0</v>
      </c>
      <c r="P32" s="80">
        <f t="shared" si="3"/>
        <v>515.06641119536903</v>
      </c>
      <c r="Q32" s="134">
        <f>IF(ISERROR(VLOOKUP(K32,BASE!$C$3:$D$109,2,0)),0,(VLOOKUP(K32,BASE!$C$3:$D$109,2,0)))</f>
        <v>369.08</v>
      </c>
      <c r="R32" s="80">
        <f t="shared" si="4"/>
        <v>145.98641119536904</v>
      </c>
    </row>
    <row r="33" spans="1:18" x14ac:dyDescent="0.25">
      <c r="A33" s="78">
        <v>404</v>
      </c>
      <c r="B33" s="78" t="s">
        <v>187</v>
      </c>
      <c r="C33" s="79">
        <f>VLOOKUP(A33,Rateio!A:L,4,0)</f>
        <v>562.553537853433</v>
      </c>
      <c r="D33" s="80">
        <f>VLOOKUP(A33,Rateio!A:L,6,0)</f>
        <v>515.06641119536903</v>
      </c>
      <c r="E33" s="131">
        <v>0</v>
      </c>
      <c r="F33" s="131">
        <v>0</v>
      </c>
      <c r="G33" s="80">
        <f t="shared" si="0"/>
        <v>515.06641119536903</v>
      </c>
      <c r="H33" s="134">
        <f>IF(ISERROR(VLOOKUP(B33,BASE!$C$3:$D$109,2,0)),0,(VLOOKUP(B33,BASE!$C$3:$D$109,2,0)))</f>
        <v>368.39</v>
      </c>
      <c r="I33" s="80">
        <f t="shared" si="1"/>
        <v>146.67641119536904</v>
      </c>
      <c r="J33" s="81">
        <v>404</v>
      </c>
      <c r="K33" s="79" t="str">
        <f t="shared" si="2"/>
        <v>404B</v>
      </c>
      <c r="L33" s="79">
        <f>VLOOKUP(J33,Rateio!G:L,4,0)</f>
        <v>562.553537853433</v>
      </c>
      <c r="M33" s="80">
        <f>VLOOKUP(J33,Rateio!G:L,6,0)</f>
        <v>515.06641119536903</v>
      </c>
      <c r="N33" s="131">
        <v>0</v>
      </c>
      <c r="O33" s="131">
        <v>0</v>
      </c>
      <c r="P33" s="80">
        <f t="shared" si="3"/>
        <v>515.06641119536903</v>
      </c>
      <c r="Q33" s="134">
        <f>IF(ISERROR(VLOOKUP(K33,BASE!$C$3:$D$109,2,0)),0,(VLOOKUP(K33,BASE!$C$3:$D$109,2,0)))</f>
        <v>368.39</v>
      </c>
      <c r="R33" s="80">
        <f t="shared" si="4"/>
        <v>146.67641119536904</v>
      </c>
    </row>
    <row r="34" spans="1:18" x14ac:dyDescent="0.25">
      <c r="A34" s="78">
        <v>405</v>
      </c>
      <c r="B34" s="78" t="s">
        <v>189</v>
      </c>
      <c r="C34" s="79">
        <f>VLOOKUP(A34,Rateio!A:L,4,0)</f>
        <v>562.553537853433</v>
      </c>
      <c r="D34" s="80">
        <f>VLOOKUP(A34,Rateio!A:L,6,0)</f>
        <v>515.06641119536903</v>
      </c>
      <c r="E34" s="131">
        <v>0</v>
      </c>
      <c r="F34" s="131">
        <v>0</v>
      </c>
      <c r="G34" s="80">
        <f t="shared" si="0"/>
        <v>515.06641119536903</v>
      </c>
      <c r="H34" s="134">
        <f>IF(ISERROR(VLOOKUP(B34,BASE!$C$3:$D$109,2,0)),0,(VLOOKUP(B34,BASE!$C$3:$D$109,2,0)))</f>
        <v>368.39</v>
      </c>
      <c r="I34" s="80">
        <f t="shared" si="1"/>
        <v>146.67641119536904</v>
      </c>
      <c r="J34" s="81">
        <v>405</v>
      </c>
      <c r="K34" s="79" t="str">
        <f t="shared" si="2"/>
        <v>405B</v>
      </c>
      <c r="L34" s="79">
        <f>VLOOKUP(J34,Rateio!G:L,4,0)</f>
        <v>562.553537853433</v>
      </c>
      <c r="M34" s="80">
        <f>VLOOKUP(J34,Rateio!G:L,6,0)</f>
        <v>515.06641119536903</v>
      </c>
      <c r="N34" s="131">
        <v>0</v>
      </c>
      <c r="O34" s="131">
        <v>9.02</v>
      </c>
      <c r="P34" s="80">
        <f t="shared" si="3"/>
        <v>524.08641119536901</v>
      </c>
      <c r="Q34" s="134">
        <f>IF(ISERROR(VLOOKUP(K34,BASE!$C$3:$D$109,2,0)),0,(VLOOKUP(K34,BASE!$C$3:$D$109,2,0)))</f>
        <v>389.94</v>
      </c>
      <c r="R34" s="80">
        <f t="shared" si="4"/>
        <v>134.14641119536901</v>
      </c>
    </row>
    <row r="35" spans="1:18" x14ac:dyDescent="0.25">
      <c r="A35" s="78">
        <v>406</v>
      </c>
      <c r="B35" s="78" t="s">
        <v>191</v>
      </c>
      <c r="C35" s="79">
        <f>VLOOKUP(A35,Rateio!A:L,4,0)</f>
        <v>450.77434036222513</v>
      </c>
      <c r="D35" s="80">
        <f>VLOOKUP(A35,Rateio!A:L,6,0)</f>
        <v>515.06641119536903</v>
      </c>
      <c r="E35" s="131">
        <v>0</v>
      </c>
      <c r="F35" s="131">
        <v>0</v>
      </c>
      <c r="G35" s="80">
        <f t="shared" si="0"/>
        <v>515.06641119536903</v>
      </c>
      <c r="H35" s="134">
        <f>IF(ISERROR(VLOOKUP(B35,BASE!$C$3:$D$109,2,0)),0,(VLOOKUP(B35,BASE!$C$3:$D$109,2,0)))</f>
        <v>366.78</v>
      </c>
      <c r="I35" s="80">
        <f t="shared" si="1"/>
        <v>148.28641119536906</v>
      </c>
      <c r="J35" s="81">
        <v>406</v>
      </c>
      <c r="K35" s="79" t="str">
        <f t="shared" si="2"/>
        <v>406B</v>
      </c>
      <c r="L35" s="79">
        <f>VLOOKUP(J35,Rateio!G:L,4,0)</f>
        <v>450.77434036222513</v>
      </c>
      <c r="M35" s="80">
        <f>VLOOKUP(J35,Rateio!G:L,6,0)</f>
        <v>515.06641119536903</v>
      </c>
      <c r="N35" s="131">
        <v>0</v>
      </c>
      <c r="O35" s="131">
        <v>0</v>
      </c>
      <c r="P35" s="80">
        <f t="shared" si="3"/>
        <v>515.06641119536903</v>
      </c>
      <c r="Q35" s="134">
        <f>IF(ISERROR(VLOOKUP(K35,BASE!$C$3:$D$109,2,0)),0,(VLOOKUP(K35,BASE!$C$3:$D$109,2,0)))</f>
        <v>366.78</v>
      </c>
      <c r="R35" s="80">
        <f t="shared" si="4"/>
        <v>148.28641119536906</v>
      </c>
    </row>
    <row r="36" spans="1:18" x14ac:dyDescent="0.25">
      <c r="A36" s="78">
        <v>407</v>
      </c>
      <c r="B36" s="78" t="s">
        <v>193</v>
      </c>
      <c r="C36" s="79">
        <f>VLOOKUP(A36,Rateio!A:L,4,0)</f>
        <v>450.77434036222513</v>
      </c>
      <c r="D36" s="80">
        <f>VLOOKUP(A36,Rateio!A:L,6,0)</f>
        <v>515.06641119536903</v>
      </c>
      <c r="E36" s="131">
        <v>0</v>
      </c>
      <c r="F36" s="131">
        <v>0</v>
      </c>
      <c r="G36" s="80">
        <f t="shared" si="0"/>
        <v>515.06641119536903</v>
      </c>
      <c r="H36" s="134">
        <f>IF(ISERROR(VLOOKUP(B36,BASE!$C$3:$D$109,2,0)),0,(VLOOKUP(B36,BASE!$C$3:$D$109,2,0)))</f>
        <v>366.78</v>
      </c>
      <c r="I36" s="80">
        <f t="shared" si="1"/>
        <v>148.28641119536906</v>
      </c>
      <c r="J36" s="81">
        <v>407</v>
      </c>
      <c r="K36" s="79" t="str">
        <f t="shared" si="2"/>
        <v>407B</v>
      </c>
      <c r="L36" s="79">
        <f>VLOOKUP(J36,Rateio!G:L,4,0)</f>
        <v>450.77434036222513</v>
      </c>
      <c r="M36" s="80">
        <f>VLOOKUP(J36,Rateio!G:L,6,0)</f>
        <v>515.06641119536903</v>
      </c>
      <c r="N36" s="131">
        <v>0</v>
      </c>
      <c r="O36" s="131">
        <v>0</v>
      </c>
      <c r="P36" s="80">
        <f t="shared" si="3"/>
        <v>515.06641119536903</v>
      </c>
      <c r="Q36" s="134">
        <f>IF(ISERROR(VLOOKUP(K36,BASE!$C$3:$D$109,2,0)),0,(VLOOKUP(K36,BASE!$C$3:$D$109,2,0)))</f>
        <v>366.78</v>
      </c>
      <c r="R36" s="80">
        <f t="shared" si="4"/>
        <v>148.28641119536906</v>
      </c>
    </row>
    <row r="37" spans="1:18" x14ac:dyDescent="0.25">
      <c r="A37" s="78">
        <v>408</v>
      </c>
      <c r="B37" s="78" t="s">
        <v>195</v>
      </c>
      <c r="C37" s="79">
        <f>VLOOKUP(A37,Rateio!A:L,4,0)</f>
        <v>562.553537853433</v>
      </c>
      <c r="D37" s="80">
        <f>VLOOKUP(A37,Rateio!A:L,6,0)</f>
        <v>515.06641119536903</v>
      </c>
      <c r="E37" s="131">
        <v>0</v>
      </c>
      <c r="F37" s="131">
        <v>0</v>
      </c>
      <c r="G37" s="80">
        <f t="shared" si="0"/>
        <v>515.06641119536903</v>
      </c>
      <c r="H37" s="134">
        <f>IF(ISERROR(VLOOKUP(B37,BASE!$C$3:$D$109,2,0)),0,(VLOOKUP(B37,BASE!$C$3:$D$109,2,0)))</f>
        <v>368.39</v>
      </c>
      <c r="I37" s="80">
        <f t="shared" si="1"/>
        <v>146.67641119536904</v>
      </c>
      <c r="J37" s="81">
        <v>408</v>
      </c>
      <c r="K37" s="79" t="str">
        <f t="shared" si="2"/>
        <v>408B</v>
      </c>
      <c r="L37" s="79">
        <f>VLOOKUP(J37,Rateio!G:L,4,0)</f>
        <v>562.553537853433</v>
      </c>
      <c r="M37" s="80">
        <f>VLOOKUP(J37,Rateio!G:L,6,0)</f>
        <v>515.06641119536903</v>
      </c>
      <c r="N37" s="131">
        <v>0</v>
      </c>
      <c r="O37" s="131">
        <v>0</v>
      </c>
      <c r="P37" s="80">
        <f t="shared" si="3"/>
        <v>515.06641119536903</v>
      </c>
      <c r="Q37" s="134">
        <f>IF(ISERROR(VLOOKUP(K37,BASE!$C$3:$D$109,2,0)),0,(VLOOKUP(K37,BASE!$C$3:$D$109,2,0)))</f>
        <v>368.39</v>
      </c>
      <c r="R37" s="80">
        <f t="shared" si="4"/>
        <v>146.67641119536904</v>
      </c>
    </row>
    <row r="38" spans="1:18" x14ac:dyDescent="0.25">
      <c r="A38" s="78">
        <v>501</v>
      </c>
      <c r="B38" s="78" t="s">
        <v>197</v>
      </c>
      <c r="C38" s="79">
        <f>VLOOKUP(A38,Rateio!A:L,4,0)</f>
        <v>562.553537853433</v>
      </c>
      <c r="D38" s="80">
        <f>VLOOKUP(A38,Rateio!A:L,6,0)</f>
        <v>515.06641119536903</v>
      </c>
      <c r="E38" s="131">
        <v>112.12</v>
      </c>
      <c r="F38" s="131">
        <v>129.47</v>
      </c>
      <c r="G38" s="80">
        <f t="shared" si="0"/>
        <v>756.65641119536906</v>
      </c>
      <c r="H38" s="134">
        <f>IF(ISERROR(VLOOKUP(B38,BASE!$C$3:$D$109,2,0)),0,(VLOOKUP(B38,BASE!$C$3:$D$109,2,0)))</f>
        <v>602.66999999999996</v>
      </c>
      <c r="I38" s="80">
        <f t="shared" si="1"/>
        <v>153.9864111953691</v>
      </c>
      <c r="J38" s="81">
        <v>501</v>
      </c>
      <c r="K38" s="79" t="str">
        <f t="shared" si="2"/>
        <v>501B</v>
      </c>
      <c r="L38" s="79">
        <f>VLOOKUP(J38,Rateio!G:L,4,0)</f>
        <v>562.553537853433</v>
      </c>
      <c r="M38" s="80">
        <f>VLOOKUP(J38,Rateio!G:L,6,0)</f>
        <v>515.06641119536903</v>
      </c>
      <c r="N38" s="131">
        <v>120.22</v>
      </c>
      <c r="O38" s="131">
        <v>105.6</v>
      </c>
      <c r="P38" s="80">
        <f t="shared" si="3"/>
        <v>740.88641119536908</v>
      </c>
      <c r="Q38" s="134">
        <f>IF(ISERROR(VLOOKUP(K38,BASE!$C$3:$D$109,2,0)),0,(VLOOKUP(K38,BASE!$C$3:$D$109,2,0)))</f>
        <v>619.26</v>
      </c>
      <c r="R38" s="80">
        <f t="shared" si="4"/>
        <v>121.62641119536909</v>
      </c>
    </row>
    <row r="39" spans="1:18" x14ac:dyDescent="0.25">
      <c r="A39" s="78">
        <v>502</v>
      </c>
      <c r="B39" s="78" t="s">
        <v>199</v>
      </c>
      <c r="C39" s="79">
        <f>VLOOKUP(A39,Rateio!A:L,4,0)</f>
        <v>462.11507260392477</v>
      </c>
      <c r="D39" s="80">
        <f>VLOOKUP(A39,Rateio!A:L,6,0)</f>
        <v>515.06641119536903</v>
      </c>
      <c r="E39" s="131">
        <v>57.52</v>
      </c>
      <c r="F39" s="131">
        <v>32.99</v>
      </c>
      <c r="G39" s="80">
        <f t="shared" si="0"/>
        <v>605.57641119536902</v>
      </c>
      <c r="H39" s="134">
        <f>IF(ISERROR(VLOOKUP(B39,BASE!$C$3:$D$109,2,0)),0,(VLOOKUP(B39,BASE!$C$3:$D$109,2,0)))</f>
        <v>510.43</v>
      </c>
      <c r="I39" s="80">
        <f t="shared" si="1"/>
        <v>95.146411195369012</v>
      </c>
      <c r="J39" s="81">
        <v>502</v>
      </c>
      <c r="K39" s="79" t="str">
        <f t="shared" si="2"/>
        <v>502B</v>
      </c>
      <c r="L39" s="79">
        <f>VLOOKUP(J39,Rateio!G:L,4,0)</f>
        <v>462.11507260392477</v>
      </c>
      <c r="M39" s="80">
        <f>VLOOKUP(J39,Rateio!G:L,6,0)</f>
        <v>515.06641119536903</v>
      </c>
      <c r="N39" s="131">
        <v>54.53</v>
      </c>
      <c r="O39" s="131">
        <v>34.33</v>
      </c>
      <c r="P39" s="80">
        <f t="shared" si="3"/>
        <v>603.92641119536904</v>
      </c>
      <c r="Q39" s="134">
        <f>IF(ISERROR(VLOOKUP(K39,BASE!$C$3:$D$109,2,0)),0,(VLOOKUP(K39,BASE!$C$3:$D$109,2,0)))</f>
        <v>437.4</v>
      </c>
      <c r="R39" s="80">
        <f t="shared" si="4"/>
        <v>166.52641119536906</v>
      </c>
    </row>
    <row r="40" spans="1:18" x14ac:dyDescent="0.25">
      <c r="A40" s="78">
        <v>503</v>
      </c>
      <c r="B40" s="78" t="s">
        <v>234</v>
      </c>
      <c r="C40" s="79">
        <f>VLOOKUP(A40,Rateio!A:L,4,0)</f>
        <v>462.11507260392477</v>
      </c>
      <c r="D40" s="80">
        <f>VLOOKUP(A40,Rateio!A:L,6,0)</f>
        <v>515.06641119536903</v>
      </c>
      <c r="E40" s="131">
        <v>100.51</v>
      </c>
      <c r="F40" s="131">
        <v>106.69</v>
      </c>
      <c r="G40" s="80">
        <f t="shared" si="0"/>
        <v>722.26641119536907</v>
      </c>
      <c r="H40" s="134">
        <f>IF(ISERROR(VLOOKUP(B40,BASE!$C$3:$D$109,2,0)),0,(VLOOKUP(B40,BASE!$C$3:$D$109,2,0)))</f>
        <v>581.58000000000004</v>
      </c>
      <c r="I40" s="80">
        <f t="shared" si="1"/>
        <v>140.68641119536903</v>
      </c>
      <c r="J40" s="81">
        <v>503</v>
      </c>
      <c r="K40" s="79" t="str">
        <f t="shared" si="2"/>
        <v>503B</v>
      </c>
      <c r="L40" s="79">
        <f>VLOOKUP(J40,Rateio!G:L,4,0)</f>
        <v>462.11507260392477</v>
      </c>
      <c r="M40" s="80">
        <f>VLOOKUP(J40,Rateio!G:L,6,0)</f>
        <v>515.06641119536903</v>
      </c>
      <c r="N40" s="131">
        <v>43.89</v>
      </c>
      <c r="O40" s="131">
        <v>35.46</v>
      </c>
      <c r="P40" s="80">
        <f t="shared" si="3"/>
        <v>594.41641119536905</v>
      </c>
      <c r="Q40" s="134">
        <f>IF(ISERROR(VLOOKUP(K40,BASE!$C$3:$D$109,2,0)),0,(VLOOKUP(K40,BASE!$C$3:$D$109,2,0)))</f>
        <v>433.24</v>
      </c>
      <c r="R40" s="80">
        <f t="shared" si="4"/>
        <v>161.17641119536904</v>
      </c>
    </row>
    <row r="41" spans="1:18" x14ac:dyDescent="0.25">
      <c r="A41" s="78">
        <v>504</v>
      </c>
      <c r="B41" s="78" t="s">
        <v>202</v>
      </c>
      <c r="C41" s="79">
        <f>VLOOKUP(A41,Rateio!A:L,4,0)</f>
        <v>562.553537853433</v>
      </c>
      <c r="D41" s="80">
        <f>VLOOKUP(A41,Rateio!A:L,6,0)</f>
        <v>515.06641119536903</v>
      </c>
      <c r="E41" s="131">
        <v>52.25</v>
      </c>
      <c r="F41" s="131">
        <v>53.15</v>
      </c>
      <c r="G41" s="80">
        <f t="shared" si="0"/>
        <v>620.46641119536901</v>
      </c>
      <c r="H41" s="134">
        <f>IF(ISERROR(VLOOKUP(B41,BASE!$C$3:$D$109,2,0)),0,(VLOOKUP(B41,BASE!$C$3:$D$109,2,0)))</f>
        <v>474.67</v>
      </c>
      <c r="I41" s="80">
        <f t="shared" si="1"/>
        <v>145.79641119536899</v>
      </c>
      <c r="J41" s="81">
        <v>504</v>
      </c>
      <c r="K41" s="79" t="str">
        <f t="shared" si="2"/>
        <v>504B</v>
      </c>
      <c r="L41" s="79">
        <f>VLOOKUP(J41,Rateio!G:L,4,0)</f>
        <v>562.553537853433</v>
      </c>
      <c r="M41" s="80">
        <f>VLOOKUP(J41,Rateio!G:L,6,0)</f>
        <v>515.06641119536903</v>
      </c>
      <c r="N41" s="131">
        <v>39.9</v>
      </c>
      <c r="O41" s="131">
        <v>20.14</v>
      </c>
      <c r="P41" s="80">
        <f t="shared" si="3"/>
        <v>575.10641119536899</v>
      </c>
      <c r="Q41" s="134">
        <f>IF(ISERROR(VLOOKUP(K41,BASE!$C$3:$D$109,2,0)),0,(VLOOKUP(K41,BASE!$C$3:$D$109,2,0)))</f>
        <v>428.91</v>
      </c>
      <c r="R41" s="80">
        <f t="shared" si="4"/>
        <v>146.19641119536897</v>
      </c>
    </row>
    <row r="42" spans="1:18" x14ac:dyDescent="0.25">
      <c r="A42" s="78">
        <v>505</v>
      </c>
      <c r="B42" s="78" t="s">
        <v>204</v>
      </c>
      <c r="C42" s="79">
        <f>VLOOKUP(A42,Rateio!A:L,4,0)</f>
        <v>562.553537853433</v>
      </c>
      <c r="D42" s="80">
        <f>VLOOKUP(A42,Rateio!A:L,6,0)</f>
        <v>515.06641119536903</v>
      </c>
      <c r="E42" s="131">
        <v>30.26</v>
      </c>
      <c r="F42" s="131">
        <v>32.619999999999997</v>
      </c>
      <c r="G42" s="80">
        <f t="shared" si="0"/>
        <v>577.94641119536902</v>
      </c>
      <c r="H42" s="134">
        <f>IF(ISERROR(VLOOKUP(B42,BASE!$C$3:$D$109,2,0)),0,(VLOOKUP(B42,BASE!$C$3:$D$109,2,0)))</f>
        <v>426.54</v>
      </c>
      <c r="I42" s="80">
        <f t="shared" si="1"/>
        <v>151.406411195369</v>
      </c>
      <c r="J42" s="81">
        <v>505</v>
      </c>
      <c r="K42" s="79" t="str">
        <f t="shared" si="2"/>
        <v>505B</v>
      </c>
      <c r="L42" s="79">
        <f>VLOOKUP(J42,Rateio!G:L,4,0)</f>
        <v>562.553537853433</v>
      </c>
      <c r="M42" s="80">
        <f>VLOOKUP(J42,Rateio!G:L,6,0)</f>
        <v>515.06641119536903</v>
      </c>
      <c r="N42" s="131">
        <v>38.479999999999997</v>
      </c>
      <c r="O42" s="131">
        <v>7.32</v>
      </c>
      <c r="P42" s="80">
        <f t="shared" si="3"/>
        <v>560.8664111953691</v>
      </c>
      <c r="Q42" s="134">
        <f>IF(ISERROR(VLOOKUP(K42,BASE!$C$3:$D$109,2,0)),0,(VLOOKUP(K42,BASE!$C$3:$D$109,2,0)))</f>
        <v>413.08</v>
      </c>
      <c r="R42" s="80">
        <f t="shared" si="4"/>
        <v>147.78641119536911</v>
      </c>
    </row>
    <row r="43" spans="1:18" x14ac:dyDescent="0.25">
      <c r="A43" s="78">
        <v>506</v>
      </c>
      <c r="B43" s="78" t="s">
        <v>206</v>
      </c>
      <c r="C43" s="79">
        <f>VLOOKUP(A43,Rateio!A:L,4,0)</f>
        <v>450.77434036222513</v>
      </c>
      <c r="D43" s="80">
        <f>VLOOKUP(A43,Rateio!A:L,6,0)</f>
        <v>515.06641119536903</v>
      </c>
      <c r="E43" s="131">
        <v>11.69</v>
      </c>
      <c r="F43" s="131">
        <v>14.39</v>
      </c>
      <c r="G43" s="80">
        <f t="shared" si="0"/>
        <v>541.14641119536907</v>
      </c>
      <c r="H43" s="134">
        <f>IF(ISERROR(VLOOKUP(B43,BASE!$C$3:$D$109,2,0)),0,(VLOOKUP(B43,BASE!$C$3:$D$109,2,0)))</f>
        <v>389.13</v>
      </c>
      <c r="I43" s="80">
        <f t="shared" si="1"/>
        <v>152.01641119536907</v>
      </c>
      <c r="J43" s="81">
        <v>506</v>
      </c>
      <c r="K43" s="79" t="str">
        <f t="shared" si="2"/>
        <v>506B</v>
      </c>
      <c r="L43" s="79">
        <f>VLOOKUP(J43,Rateio!G:L,4,0)</f>
        <v>450.77434036222513</v>
      </c>
      <c r="M43" s="80">
        <f>VLOOKUP(J43,Rateio!G:L,6,0)</f>
        <v>515.06641119536903</v>
      </c>
      <c r="N43" s="131">
        <v>44.56</v>
      </c>
      <c r="O43" s="131">
        <v>39.31</v>
      </c>
      <c r="P43" s="80">
        <f t="shared" si="3"/>
        <v>598.93641119536892</v>
      </c>
      <c r="Q43" s="134">
        <f>IF(ISERROR(VLOOKUP(K43,BASE!$C$3:$D$109,2,0)),0,(VLOOKUP(K43,BASE!$C$3:$D$109,2,0)))</f>
        <v>450.58</v>
      </c>
      <c r="R43" s="80">
        <f t="shared" si="4"/>
        <v>148.35641119536893</v>
      </c>
    </row>
    <row r="44" spans="1:18" x14ac:dyDescent="0.25">
      <c r="A44" s="78">
        <v>507</v>
      </c>
      <c r="B44" s="78" t="s">
        <v>208</v>
      </c>
      <c r="C44" s="79">
        <f>VLOOKUP(A44,Rateio!A:L,4,0)</f>
        <v>450.77434036222513</v>
      </c>
      <c r="D44" s="80">
        <f>VLOOKUP(A44,Rateio!A:L,6,0)</f>
        <v>515.06641119536903</v>
      </c>
      <c r="E44" s="131">
        <v>39.090000000000003</v>
      </c>
      <c r="F44" s="131">
        <v>58.67</v>
      </c>
      <c r="G44" s="80">
        <f t="shared" si="0"/>
        <v>612.82641119536902</v>
      </c>
      <c r="H44" s="134">
        <f>IF(ISERROR(VLOOKUP(B44,BASE!$C$3:$D$109,2,0)),0,(VLOOKUP(B44,BASE!$C$3:$D$109,2,0)))</f>
        <v>453.55</v>
      </c>
      <c r="I44" s="80">
        <f t="shared" si="1"/>
        <v>159.27641119536901</v>
      </c>
      <c r="J44" s="81">
        <v>507</v>
      </c>
      <c r="K44" s="79" t="str">
        <f t="shared" si="2"/>
        <v>507B</v>
      </c>
      <c r="L44" s="79">
        <f>VLOOKUP(J44,Rateio!G:L,4,0)</f>
        <v>450.77434036222513</v>
      </c>
      <c r="M44" s="80">
        <f>VLOOKUP(J44,Rateio!G:L,6,0)</f>
        <v>515.06641119536903</v>
      </c>
      <c r="N44" s="131">
        <v>56.86</v>
      </c>
      <c r="O44" s="131">
        <v>83.84</v>
      </c>
      <c r="P44" s="80">
        <f t="shared" si="3"/>
        <v>655.76641119536907</v>
      </c>
      <c r="Q44" s="134">
        <f>IF(ISERROR(VLOOKUP(K44,BASE!$C$3:$D$109,2,0)),0,(VLOOKUP(K44,BASE!$C$3:$D$109,2,0)))</f>
        <v>0</v>
      </c>
      <c r="R44" s="80">
        <f t="shared" si="4"/>
        <v>655.76641119536907</v>
      </c>
    </row>
    <row r="45" spans="1:18" x14ac:dyDescent="0.25">
      <c r="A45" s="78">
        <v>508</v>
      </c>
      <c r="B45" s="78" t="s">
        <v>209</v>
      </c>
      <c r="C45" s="79">
        <f>VLOOKUP(A45,Rateio!A:L,4,0)</f>
        <v>562.553537853433</v>
      </c>
      <c r="D45" s="80">
        <f>VLOOKUP(A45,Rateio!A:L,6,0)</f>
        <v>515.06641119536903</v>
      </c>
      <c r="E45" s="131">
        <v>0</v>
      </c>
      <c r="F45" s="131">
        <v>0</v>
      </c>
      <c r="G45" s="80">
        <f t="shared" si="0"/>
        <v>515.06641119536903</v>
      </c>
      <c r="H45" s="134">
        <f>IF(ISERROR(VLOOKUP(B45,BASE!$C$3:$D$109,2,0)),0,(VLOOKUP(B45,BASE!$C$3:$D$109,2,0)))</f>
        <v>368.39</v>
      </c>
      <c r="I45" s="80">
        <f t="shared" si="1"/>
        <v>146.67641119536904</v>
      </c>
      <c r="J45" s="81">
        <v>508</v>
      </c>
      <c r="K45" s="79" t="str">
        <f t="shared" si="2"/>
        <v>508B</v>
      </c>
      <c r="L45" s="79">
        <f>VLOOKUP(J45,Rateio!G:L,4,0)</f>
        <v>562.553537853433</v>
      </c>
      <c r="M45" s="80">
        <f>VLOOKUP(J45,Rateio!G:L,6,0)</f>
        <v>515.06641119536903</v>
      </c>
      <c r="N45" s="131">
        <v>48.45</v>
      </c>
      <c r="O45" s="131">
        <v>69.290000000000006</v>
      </c>
      <c r="P45" s="80">
        <f t="shared" si="3"/>
        <v>632.80641119536904</v>
      </c>
      <c r="Q45" s="134">
        <f>IF(ISERROR(VLOOKUP(K45,BASE!$C$3:$D$109,2,0)),0,(VLOOKUP(K45,BASE!$C$3:$D$109,2,0)))</f>
        <v>468.41</v>
      </c>
      <c r="R45" s="80">
        <f t="shared" si="4"/>
        <v>164.39641119536901</v>
      </c>
    </row>
    <row r="46" spans="1:18" x14ac:dyDescent="0.25">
      <c r="A46" s="78">
        <v>601</v>
      </c>
      <c r="B46" s="78" t="s">
        <v>211</v>
      </c>
      <c r="C46" s="79">
        <f>VLOOKUP(A46,Rateio!A:L,4,0)</f>
        <v>562.553537853433</v>
      </c>
      <c r="D46" s="80">
        <f>VLOOKUP(A46,Rateio!A:L,6,0)</f>
        <v>515.06641119536903</v>
      </c>
      <c r="E46" s="131">
        <v>31.92</v>
      </c>
      <c r="F46" s="131">
        <v>34.799999999999997</v>
      </c>
      <c r="G46" s="80">
        <f t="shared" si="0"/>
        <v>581.78641119536894</v>
      </c>
      <c r="H46" s="134">
        <f>IF(ISERROR(VLOOKUP(B46,BASE!$C$3:$D$109,2,0)),0,(VLOOKUP(B46,BASE!$C$3:$D$109,2,0)))</f>
        <v>430.94</v>
      </c>
      <c r="I46" s="80">
        <f t="shared" si="1"/>
        <v>150.84641119536894</v>
      </c>
      <c r="J46" s="81">
        <v>601</v>
      </c>
      <c r="K46" s="79" t="str">
        <f t="shared" si="2"/>
        <v>601B</v>
      </c>
      <c r="L46" s="79">
        <f>VLOOKUP(J46,Rateio!G:L,4,0)</f>
        <v>562.553537853433</v>
      </c>
      <c r="M46" s="80">
        <f>VLOOKUP(J46,Rateio!G:L,6,0)</f>
        <v>515.06641119536903</v>
      </c>
      <c r="N46" s="131">
        <v>74.81</v>
      </c>
      <c r="O46" s="131">
        <v>70.650000000000006</v>
      </c>
      <c r="P46" s="80">
        <f t="shared" si="3"/>
        <v>660.52641119536895</v>
      </c>
      <c r="Q46" s="134">
        <f>IF(ISERROR(VLOOKUP(K46,BASE!$C$3:$D$109,2,0)),0,(VLOOKUP(K46,BASE!$C$3:$D$109,2,0)))</f>
        <v>0</v>
      </c>
      <c r="R46" s="80">
        <f t="shared" si="4"/>
        <v>660.52641119536895</v>
      </c>
    </row>
    <row r="47" spans="1:18" x14ac:dyDescent="0.25">
      <c r="A47" s="78">
        <v>602</v>
      </c>
      <c r="B47" s="78" t="s">
        <v>245</v>
      </c>
      <c r="C47" s="79">
        <f>VLOOKUP(A47,Rateio!A:L,4,0)</f>
        <v>485.80709738608942</v>
      </c>
      <c r="D47" s="80">
        <f>VLOOKUP(A47,Rateio!A:L,6,0)</f>
        <v>515.06641119536903</v>
      </c>
      <c r="E47" s="131">
        <v>0</v>
      </c>
      <c r="F47" s="131">
        <v>0</v>
      </c>
      <c r="G47" s="80">
        <f t="shared" si="0"/>
        <v>515.06641119536903</v>
      </c>
      <c r="H47" s="134">
        <f>IF(ISERROR(VLOOKUP(B47,BASE!$C$3:$D$109,2,0)),0,(VLOOKUP(B47,BASE!$C$3:$D$109,2,0)))</f>
        <v>0</v>
      </c>
      <c r="I47" s="80">
        <f t="shared" si="1"/>
        <v>515.06641119536903</v>
      </c>
      <c r="J47" s="81">
        <v>602</v>
      </c>
      <c r="K47" s="79" t="str">
        <f t="shared" si="2"/>
        <v>602B</v>
      </c>
      <c r="L47" s="79">
        <f>VLOOKUP(J47,Rateio!G:L,4,0)</f>
        <v>485.80709738608942</v>
      </c>
      <c r="M47" s="80">
        <f>VLOOKUP(J47,Rateio!G:L,6,0)</f>
        <v>515.06641119536903</v>
      </c>
      <c r="N47" s="131">
        <v>16.53</v>
      </c>
      <c r="O47" s="131">
        <v>3.04</v>
      </c>
      <c r="P47" s="80">
        <f t="shared" si="3"/>
        <v>534.63641119536896</v>
      </c>
      <c r="Q47" s="134">
        <f>IF(ISERROR(VLOOKUP(K47,BASE!$C$3:$D$109,2,0)),0,(VLOOKUP(K47,BASE!$C$3:$D$109,2,0)))</f>
        <v>367.28</v>
      </c>
      <c r="R47" s="80">
        <f t="shared" si="4"/>
        <v>167.35641119536899</v>
      </c>
    </row>
    <row r="48" spans="1:18" x14ac:dyDescent="0.25">
      <c r="A48" s="78">
        <v>603</v>
      </c>
      <c r="B48" s="78" t="s">
        <v>246</v>
      </c>
      <c r="C48" s="79">
        <f>VLOOKUP(A48,Rateio!A:L,4,0)</f>
        <v>485.80709738608942</v>
      </c>
      <c r="D48" s="80">
        <f>VLOOKUP(A48,Rateio!A:L,6,0)</f>
        <v>515.06641119536903</v>
      </c>
      <c r="E48" s="131">
        <v>0</v>
      </c>
      <c r="F48" s="131">
        <v>0</v>
      </c>
      <c r="G48" s="80">
        <f t="shared" si="0"/>
        <v>515.06641119536903</v>
      </c>
      <c r="H48" s="134">
        <f>IF(ISERROR(VLOOKUP(B48,BASE!$C$3:$D$109,2,0)),0,(VLOOKUP(B48,BASE!$C$3:$D$109,2,0)))</f>
        <v>0</v>
      </c>
      <c r="I48" s="80">
        <f t="shared" si="1"/>
        <v>515.06641119536903</v>
      </c>
      <c r="J48" s="81">
        <v>603</v>
      </c>
      <c r="K48" s="79" t="str">
        <f t="shared" si="2"/>
        <v>603B</v>
      </c>
      <c r="L48" s="79">
        <f>VLOOKUP(J48,Rateio!G:L,4,0)</f>
        <v>485.80709738608942</v>
      </c>
      <c r="M48" s="80">
        <f>VLOOKUP(J48,Rateio!G:L,6,0)</f>
        <v>515.06641119536903</v>
      </c>
      <c r="N48" s="131">
        <v>73.06</v>
      </c>
      <c r="O48" s="131">
        <v>76.8</v>
      </c>
      <c r="P48" s="80">
        <f t="shared" si="3"/>
        <v>664.92641119536893</v>
      </c>
      <c r="Q48" s="134">
        <f>IF(ISERROR(VLOOKUP(K48,BASE!$C$3:$D$109,2,0)),0,(VLOOKUP(K48,BASE!$C$3:$D$109,2,0)))</f>
        <v>470.46</v>
      </c>
      <c r="R48" s="80">
        <f t="shared" si="4"/>
        <v>194.46641119536895</v>
      </c>
    </row>
    <row r="49" spans="1:18" x14ac:dyDescent="0.25">
      <c r="A49" s="78">
        <v>604</v>
      </c>
      <c r="B49" s="78" t="s">
        <v>214</v>
      </c>
      <c r="C49" s="79">
        <f>VLOOKUP(A49,Rateio!A:L,4,0)</f>
        <v>562.553537853433</v>
      </c>
      <c r="D49" s="80">
        <f>VLOOKUP(A49,Rateio!A:L,6,0)</f>
        <v>515.06641119536903</v>
      </c>
      <c r="E49" s="131">
        <v>46.41</v>
      </c>
      <c r="F49" s="131">
        <v>46.21</v>
      </c>
      <c r="G49" s="80">
        <f t="shared" si="0"/>
        <v>607.68641119536903</v>
      </c>
      <c r="H49" s="134">
        <f>IF(ISERROR(VLOOKUP(B49,BASE!$C$3:$D$109,2,0)),0,(VLOOKUP(B49,BASE!$C$3:$D$109,2,0)))</f>
        <v>501.53</v>
      </c>
      <c r="I49" s="80">
        <f t="shared" si="1"/>
        <v>106.15641119536906</v>
      </c>
      <c r="J49" s="81">
        <v>604</v>
      </c>
      <c r="K49" s="79" t="str">
        <f t="shared" si="2"/>
        <v>604B</v>
      </c>
      <c r="L49" s="79">
        <f>VLOOKUP(J49,Rateio!G:L,4,0)</f>
        <v>562.553537853433</v>
      </c>
      <c r="M49" s="80">
        <f>VLOOKUP(J49,Rateio!G:L,6,0)</f>
        <v>515.06641119536903</v>
      </c>
      <c r="N49" s="131">
        <v>51.49</v>
      </c>
      <c r="O49" s="131">
        <v>58.45</v>
      </c>
      <c r="P49" s="80">
        <f t="shared" si="3"/>
        <v>625.00641119536908</v>
      </c>
      <c r="Q49" s="134">
        <f>IF(ISERROR(VLOOKUP(K49,BASE!$C$3:$D$109,2,0)),0,(VLOOKUP(K49,BASE!$C$3:$D$109,2,0)))</f>
        <v>445.65</v>
      </c>
      <c r="R49" s="80">
        <f t="shared" si="4"/>
        <v>179.35641119536911</v>
      </c>
    </row>
    <row r="50" spans="1:18" x14ac:dyDescent="0.25">
      <c r="A50" s="78">
        <v>605</v>
      </c>
      <c r="B50" s="78" t="s">
        <v>216</v>
      </c>
      <c r="C50" s="79">
        <f>VLOOKUP(A50,Rateio!A:L,4,0)</f>
        <v>562.553537853433</v>
      </c>
      <c r="D50" s="80">
        <f>VLOOKUP(A50,Rateio!A:L,6,0)</f>
        <v>515.06641119536903</v>
      </c>
      <c r="E50" s="131">
        <v>20.47</v>
      </c>
      <c r="F50" s="131">
        <v>14.62</v>
      </c>
      <c r="G50" s="80">
        <f t="shared" si="0"/>
        <v>550.15641119536906</v>
      </c>
      <c r="H50" s="134">
        <f>IF(ISERROR(VLOOKUP(B50,BASE!$C$3:$D$109,2,0)),0,(VLOOKUP(B50,BASE!$C$3:$D$109,2,0)))</f>
        <v>368.39</v>
      </c>
      <c r="I50" s="80">
        <f t="shared" si="1"/>
        <v>181.76641119536907</v>
      </c>
      <c r="J50" s="81">
        <v>605</v>
      </c>
      <c r="K50" s="79" t="str">
        <f t="shared" si="2"/>
        <v>605B</v>
      </c>
      <c r="L50" s="79">
        <f>VLOOKUP(J50,Rateio!G:L,4,0)</f>
        <v>562.553537853433</v>
      </c>
      <c r="M50" s="80">
        <f>VLOOKUP(J50,Rateio!G:L,6,0)</f>
        <v>515.06641119536903</v>
      </c>
      <c r="N50" s="131">
        <v>25.27</v>
      </c>
      <c r="O50" s="131">
        <v>10.34</v>
      </c>
      <c r="P50" s="80">
        <f t="shared" si="3"/>
        <v>550.67641119536904</v>
      </c>
      <c r="Q50" s="134">
        <f>IF(ISERROR(VLOOKUP(K50,BASE!$C$3:$D$109,2,0)),0,(VLOOKUP(K50,BASE!$C$3:$D$109,2,0)))</f>
        <v>413.38</v>
      </c>
      <c r="R50" s="80">
        <f t="shared" si="4"/>
        <v>137.29641119536905</v>
      </c>
    </row>
    <row r="51" spans="1:18" x14ac:dyDescent="0.25">
      <c r="A51" s="78">
        <v>606</v>
      </c>
      <c r="B51" s="78" t="s">
        <v>218</v>
      </c>
      <c r="C51" s="79">
        <f>VLOOKUP(A51,Rateio!A:L,4,0)</f>
        <v>474.41022290556947</v>
      </c>
      <c r="D51" s="80">
        <f>VLOOKUP(A51,Rateio!A:L,6,0)</f>
        <v>515.06641119536903</v>
      </c>
      <c r="E51" s="131">
        <v>41.04</v>
      </c>
      <c r="F51" s="131">
        <v>15.53</v>
      </c>
      <c r="G51" s="80">
        <f t="shared" si="0"/>
        <v>571.63641119536896</v>
      </c>
      <c r="H51" s="134">
        <f>IF(ISERROR(VLOOKUP(B51,BASE!$C$3:$D$109,2,0)),0,(VLOOKUP(B51,BASE!$C$3:$D$109,2,0)))</f>
        <v>422.87</v>
      </c>
      <c r="I51" s="80">
        <f t="shared" si="1"/>
        <v>148.76641119536896</v>
      </c>
      <c r="J51" s="81">
        <v>606</v>
      </c>
      <c r="K51" s="79" t="str">
        <f t="shared" si="2"/>
        <v>606B</v>
      </c>
      <c r="L51" s="79">
        <f>VLOOKUP(J51,Rateio!G:L,4,0)</f>
        <v>474.41022290556947</v>
      </c>
      <c r="M51" s="80">
        <f>VLOOKUP(J51,Rateio!G:L,6,0)</f>
        <v>515.06641119536903</v>
      </c>
      <c r="N51" s="131">
        <v>20.71</v>
      </c>
      <c r="O51" s="131">
        <v>2.74</v>
      </c>
      <c r="P51" s="80">
        <f t="shared" si="3"/>
        <v>538.51641119536907</v>
      </c>
      <c r="Q51" s="134">
        <f>IF(ISERROR(VLOOKUP(K51,BASE!$C$3:$D$109,2,0)),0,(VLOOKUP(K51,BASE!$C$3:$D$109,2,0)))</f>
        <v>390.88</v>
      </c>
      <c r="R51" s="80">
        <f t="shared" si="4"/>
        <v>147.63641119536908</v>
      </c>
    </row>
    <row r="52" spans="1:18" x14ac:dyDescent="0.25">
      <c r="A52" s="78">
        <v>607</v>
      </c>
      <c r="B52" s="78" t="s">
        <v>220</v>
      </c>
      <c r="C52" s="79">
        <f>VLOOKUP(A52,Rateio!A:L,4,0)</f>
        <v>474.41022290556947</v>
      </c>
      <c r="D52" s="80">
        <f>VLOOKUP(A52,Rateio!A:L,6,0)</f>
        <v>515.06641119536903</v>
      </c>
      <c r="E52" s="131">
        <v>47.31</v>
      </c>
      <c r="F52" s="131">
        <v>47.98</v>
      </c>
      <c r="G52" s="80">
        <f t="shared" si="0"/>
        <v>610.35641119536899</v>
      </c>
      <c r="H52" s="134">
        <f>IF(ISERROR(VLOOKUP(B52,BASE!$C$3:$D$109,2,0)),0,(VLOOKUP(B52,BASE!$C$3:$D$109,2,0)))</f>
        <v>488.27</v>
      </c>
      <c r="I52" s="80">
        <f t="shared" si="1"/>
        <v>122.08641119536901</v>
      </c>
      <c r="J52" s="81">
        <v>607</v>
      </c>
      <c r="K52" s="79" t="str">
        <f t="shared" si="2"/>
        <v>607B</v>
      </c>
      <c r="L52" s="79">
        <f>VLOOKUP(J52,Rateio!G:L,4,0)</f>
        <v>474.41022290556947</v>
      </c>
      <c r="M52" s="80">
        <f>VLOOKUP(J52,Rateio!G:L,6,0)</f>
        <v>515.06641119536903</v>
      </c>
      <c r="N52" s="131">
        <v>54.2</v>
      </c>
      <c r="O52" s="131">
        <v>9.65</v>
      </c>
      <c r="P52" s="80">
        <f t="shared" si="3"/>
        <v>578.91641119536905</v>
      </c>
      <c r="Q52" s="134">
        <f>IF(ISERROR(VLOOKUP(K52,BASE!$C$3:$D$109,2,0)),0,(VLOOKUP(K52,BASE!$C$3:$D$109,2,0)))</f>
        <v>419.8</v>
      </c>
      <c r="R52" s="80">
        <f t="shared" si="4"/>
        <v>159.11641119536904</v>
      </c>
    </row>
    <row r="53" spans="1:18" x14ac:dyDescent="0.25">
      <c r="A53" s="78">
        <v>608</v>
      </c>
      <c r="B53" s="78" t="s">
        <v>247</v>
      </c>
      <c r="C53" s="79">
        <f>VLOOKUP(A53,Rateio!A:L,4,0)</f>
        <v>562.553537853433</v>
      </c>
      <c r="D53" s="80">
        <f>VLOOKUP(A53,Rateio!A:L,6,0)</f>
        <v>515.06641119536903</v>
      </c>
      <c r="E53" s="131">
        <v>0</v>
      </c>
      <c r="F53" s="131">
        <v>0</v>
      </c>
      <c r="G53" s="80">
        <f t="shared" si="0"/>
        <v>515.06641119536903</v>
      </c>
      <c r="H53" s="134">
        <f>IF(ISERROR(VLOOKUP(B53,BASE!$C$3:$D$109,2,0)),0,(VLOOKUP(B53,BASE!$C$3:$D$109,2,0)))</f>
        <v>0</v>
      </c>
      <c r="I53" s="80">
        <f t="shared" si="1"/>
        <v>515.06641119536903</v>
      </c>
      <c r="J53" s="81">
        <v>608</v>
      </c>
      <c r="K53" s="79" t="str">
        <f t="shared" si="2"/>
        <v>608B</v>
      </c>
      <c r="L53" s="79">
        <f>VLOOKUP(J53,Rateio!G:L,4,0)</f>
        <v>562.553537853433</v>
      </c>
      <c r="M53" s="80">
        <f>VLOOKUP(J53,Rateio!G:L,6,0)</f>
        <v>515.06641119536903</v>
      </c>
      <c r="N53" s="131">
        <v>26.41</v>
      </c>
      <c r="O53" s="131">
        <v>24.67</v>
      </c>
      <c r="P53" s="80">
        <f t="shared" si="3"/>
        <v>566.14641119536896</v>
      </c>
      <c r="Q53" s="134">
        <f>IF(ISERROR(VLOOKUP(K53,BASE!$C$3:$D$109,2,0)),0,(VLOOKUP(K53,BASE!$C$3:$D$109,2,0)))</f>
        <v>409.13</v>
      </c>
      <c r="R53" s="80">
        <f t="shared" si="4"/>
        <v>157.01641119536896</v>
      </c>
    </row>
    <row r="54" spans="1:18" x14ac:dyDescent="0.25">
      <c r="A54" s="78">
        <v>701</v>
      </c>
      <c r="B54" s="78" t="s">
        <v>223</v>
      </c>
      <c r="C54" s="79">
        <f>VLOOKUP(A54,Rateio!A:L,4,0)</f>
        <v>584.39286875452785</v>
      </c>
      <c r="D54" s="80">
        <f>VLOOKUP(A54,Rateio!A:L,6,0)</f>
        <v>515.06641119536903</v>
      </c>
      <c r="E54" s="131">
        <v>0</v>
      </c>
      <c r="F54" s="131">
        <v>0</v>
      </c>
      <c r="G54" s="80">
        <f t="shared" si="0"/>
        <v>515.06641119536903</v>
      </c>
      <c r="H54" s="134">
        <f>IF(ISERROR(VLOOKUP(B54,BASE!$C$3:$D$109,2,0)),0,(VLOOKUP(B54,BASE!$C$3:$D$109,2,0)))</f>
        <v>368.71</v>
      </c>
      <c r="I54" s="80">
        <f t="shared" si="1"/>
        <v>146.35641119536905</v>
      </c>
      <c r="J54" s="81">
        <v>701</v>
      </c>
      <c r="K54" s="79" t="str">
        <f t="shared" si="2"/>
        <v>701B</v>
      </c>
      <c r="L54" s="79">
        <f>VLOOKUP(J54,Rateio!G:L,4,0)</f>
        <v>562.553537853433</v>
      </c>
      <c r="M54" s="80">
        <f>VLOOKUP(J54,Rateio!G:L,6,0)</f>
        <v>515.06641119536903</v>
      </c>
      <c r="N54" s="131">
        <v>63.22</v>
      </c>
      <c r="O54" s="131">
        <v>73.02</v>
      </c>
      <c r="P54" s="80">
        <f t="shared" si="3"/>
        <v>651.30641119536904</v>
      </c>
      <c r="Q54" s="134">
        <f>IF(ISERROR(VLOOKUP(K54,BASE!$C$3:$D$109,2,0)),0,(VLOOKUP(K54,BASE!$C$3:$D$109,2,0)))</f>
        <v>482.88</v>
      </c>
      <c r="R54" s="80">
        <f t="shared" si="4"/>
        <v>168.42641119536904</v>
      </c>
    </row>
    <row r="55" spans="1:18" x14ac:dyDescent="0.25">
      <c r="A55" s="78">
        <v>702</v>
      </c>
      <c r="B55" s="78" t="s">
        <v>225</v>
      </c>
      <c r="C55" s="79">
        <f>VLOOKUP(A55,Rateio!A:L,4,0)</f>
        <v>485.80709738608942</v>
      </c>
      <c r="D55" s="80">
        <f>VLOOKUP(A55,Rateio!A:L,6,0)</f>
        <v>515.06641119536903</v>
      </c>
      <c r="E55" s="131">
        <v>29.69</v>
      </c>
      <c r="F55" s="131">
        <v>6.61</v>
      </c>
      <c r="G55" s="80">
        <f t="shared" si="0"/>
        <v>551.3664111953691</v>
      </c>
      <c r="H55" s="134">
        <f>IF(ISERROR(VLOOKUP(B55,BASE!$C$3:$D$109,2,0)),0,(VLOOKUP(B55,BASE!$C$3:$D$109,2,0)))</f>
        <v>400.35</v>
      </c>
      <c r="I55" s="80">
        <f t="shared" si="1"/>
        <v>151.01641119536907</v>
      </c>
      <c r="J55" s="81">
        <v>702</v>
      </c>
      <c r="K55" s="79" t="str">
        <f t="shared" si="2"/>
        <v>702B</v>
      </c>
      <c r="L55" s="79">
        <f>VLOOKUP(J55,Rateio!G:L,4,0)</f>
        <v>485.80709738608942</v>
      </c>
      <c r="M55" s="80">
        <f>VLOOKUP(J55,Rateio!G:L,6,0)</f>
        <v>515.06641119536903</v>
      </c>
      <c r="N55" s="131">
        <v>47.69</v>
      </c>
      <c r="O55" s="131">
        <v>46.16</v>
      </c>
      <c r="P55" s="80">
        <f t="shared" si="3"/>
        <v>608.91641119536905</v>
      </c>
      <c r="Q55" s="134">
        <f>IF(ISERROR(VLOOKUP(K55,BASE!$C$3:$D$109,2,0)),0,(VLOOKUP(K55,BASE!$C$3:$D$109,2,0)))</f>
        <v>452.96</v>
      </c>
      <c r="R55" s="80">
        <f t="shared" si="4"/>
        <v>155.95641119536907</v>
      </c>
    </row>
    <row r="56" spans="1:18" x14ac:dyDescent="0.25">
      <c r="A56" s="78">
        <v>703</v>
      </c>
      <c r="B56" s="78" t="s">
        <v>227</v>
      </c>
      <c r="C56" s="79">
        <f>VLOOKUP(A56,Rateio!A:L,4,0)</f>
        <v>485.80709738608942</v>
      </c>
      <c r="D56" s="80">
        <f>VLOOKUP(A56,Rateio!A:L,6,0)</f>
        <v>515.06641119536903</v>
      </c>
      <c r="E56" s="131">
        <v>66.5</v>
      </c>
      <c r="F56" s="131">
        <v>59.37</v>
      </c>
      <c r="G56" s="80">
        <f t="shared" si="0"/>
        <v>640.93641119536903</v>
      </c>
      <c r="H56" s="134">
        <f>IF(ISERROR(VLOOKUP(B56,BASE!$C$3:$D$109,2,0)),0,(VLOOKUP(B56,BASE!$C$3:$D$109,2,0)))</f>
        <v>501.45000000000005</v>
      </c>
      <c r="I56" s="80">
        <f t="shared" si="1"/>
        <v>139.48641119536899</v>
      </c>
      <c r="J56" s="81">
        <v>703</v>
      </c>
      <c r="K56" s="79" t="str">
        <f t="shared" si="2"/>
        <v>703B</v>
      </c>
      <c r="L56" s="79">
        <f>VLOOKUP(J56,Rateio!G:L,4,0)</f>
        <v>485.80709738608942</v>
      </c>
      <c r="M56" s="80">
        <f>VLOOKUP(J56,Rateio!G:L,6,0)</f>
        <v>515.06641119536903</v>
      </c>
      <c r="N56" s="131">
        <v>64.22</v>
      </c>
      <c r="O56" s="131">
        <v>70.97</v>
      </c>
      <c r="P56" s="80">
        <f t="shared" si="3"/>
        <v>650.25641119536908</v>
      </c>
      <c r="Q56" s="134">
        <f>IF(ISERROR(VLOOKUP(K56,BASE!$C$3:$D$109,2,0)),0,(VLOOKUP(K56,BASE!$C$3:$D$109,2,0)))</f>
        <v>481.83</v>
      </c>
      <c r="R56" s="80">
        <f t="shared" si="4"/>
        <v>168.4264111953691</v>
      </c>
    </row>
    <row r="57" spans="1:18" x14ac:dyDescent="0.25">
      <c r="A57" s="78">
        <v>704</v>
      </c>
      <c r="B57" s="78" t="s">
        <v>248</v>
      </c>
      <c r="C57" s="79">
        <f>VLOOKUP(A57,Rateio!A:L,4,0)</f>
        <v>562.553537853433</v>
      </c>
      <c r="D57" s="80">
        <f>VLOOKUP(A57,Rateio!A:L,6,0)</f>
        <v>515.06641119536903</v>
      </c>
      <c r="E57" s="131">
        <v>0</v>
      </c>
      <c r="F57" s="131">
        <v>0</v>
      </c>
      <c r="G57" s="80">
        <f t="shared" si="0"/>
        <v>515.06641119536903</v>
      </c>
      <c r="H57" s="134">
        <f>IF(ISERROR(VLOOKUP(B57,BASE!$C$3:$D$109,2,0)),0,(VLOOKUP(B57,BASE!$C$3:$D$109,2,0)))</f>
        <v>0</v>
      </c>
      <c r="I57" s="80">
        <f t="shared" si="1"/>
        <v>515.06641119536903</v>
      </c>
      <c r="J57" s="81">
        <v>704</v>
      </c>
      <c r="K57" s="79" t="str">
        <f t="shared" si="2"/>
        <v>704B</v>
      </c>
      <c r="L57" s="79">
        <f>VLOOKUP(J57,Rateio!G:L,4,0)</f>
        <v>562.553537853433</v>
      </c>
      <c r="M57" s="80">
        <f>VLOOKUP(J57,Rateio!G:L,6,0)</f>
        <v>515.06641119536903</v>
      </c>
      <c r="N57" s="131">
        <v>0</v>
      </c>
      <c r="O57" s="131">
        <v>0</v>
      </c>
      <c r="P57" s="80">
        <f t="shared" si="3"/>
        <v>515.06641119536903</v>
      </c>
      <c r="Q57" s="134">
        <f>IF(ISERROR(VLOOKUP(K57,BASE!$C$3:$D$109,2,0)),0,(VLOOKUP(K57,BASE!$C$3:$D$109,2,0)))</f>
        <v>368.39</v>
      </c>
      <c r="R57" s="80">
        <f t="shared" si="4"/>
        <v>146.67641119536904</v>
      </c>
    </row>
    <row r="58" spans="1:18" x14ac:dyDescent="0.25">
      <c r="A58" s="78">
        <v>705</v>
      </c>
      <c r="B58" s="78" t="s">
        <v>249</v>
      </c>
      <c r="C58" s="79">
        <f>VLOOKUP(A58,Rateio!A:L,4,0)</f>
        <v>562.553537853433</v>
      </c>
      <c r="D58" s="80">
        <f>VLOOKUP(A58,Rateio!A:L,6,0)</f>
        <v>515.06641119536903</v>
      </c>
      <c r="E58" s="131">
        <v>0</v>
      </c>
      <c r="F58" s="131">
        <v>0</v>
      </c>
      <c r="G58" s="80">
        <f t="shared" si="0"/>
        <v>515.06641119536903</v>
      </c>
      <c r="H58" s="134">
        <f>IF(ISERROR(VLOOKUP(B58,BASE!$C$3:$D$109,2,0)),0,(VLOOKUP(B58,BASE!$C$3:$D$109,2,0)))</f>
        <v>0</v>
      </c>
      <c r="I58" s="80">
        <f t="shared" si="1"/>
        <v>515.06641119536903</v>
      </c>
      <c r="J58" s="81">
        <v>705</v>
      </c>
      <c r="K58" s="79" t="str">
        <f t="shared" si="2"/>
        <v>705B</v>
      </c>
      <c r="L58" s="79">
        <f>VLOOKUP(J58,Rateio!G:L,4,0)</f>
        <v>562.553537853433</v>
      </c>
      <c r="M58" s="80">
        <f>VLOOKUP(J58,Rateio!G:L,6,0)</f>
        <v>515.06641119536903</v>
      </c>
      <c r="N58" s="131">
        <v>0</v>
      </c>
      <c r="O58" s="131">
        <v>0</v>
      </c>
      <c r="P58" s="80">
        <f t="shared" si="3"/>
        <v>515.06641119536903</v>
      </c>
      <c r="Q58" s="134">
        <f>IF(ISERROR(VLOOKUP(K58,BASE!$C$3:$D$109,2,0)),0,(VLOOKUP(K58,BASE!$C$3:$D$109,2,0)))</f>
        <v>368.39</v>
      </c>
      <c r="R58" s="80">
        <f t="shared" si="4"/>
        <v>146.67641119536904</v>
      </c>
    </row>
    <row r="59" spans="1:18" x14ac:dyDescent="0.25">
      <c r="A59" s="78">
        <v>706</v>
      </c>
      <c r="B59" s="78" t="s">
        <v>145</v>
      </c>
      <c r="C59" s="79">
        <f>VLOOKUP(A59,Rateio!A:L,4,0)</f>
        <v>474.41022290556947</v>
      </c>
      <c r="D59" s="80">
        <f>VLOOKUP(A59,Rateio!A:L,6,0)</f>
        <v>515.06641119536903</v>
      </c>
      <c r="E59" s="131">
        <v>15.65</v>
      </c>
      <c r="F59" s="131">
        <v>38.700000000000003</v>
      </c>
      <c r="G59" s="80">
        <f t="shared" si="0"/>
        <v>569.41641119536905</v>
      </c>
      <c r="H59" s="134">
        <f>IF(ISERROR(VLOOKUP(B59,BASE!$C$3:$D$109,2,0)),0,(VLOOKUP(B59,BASE!$C$3:$D$109,2,0)))</f>
        <v>405.73</v>
      </c>
      <c r="I59" s="80">
        <f t="shared" si="1"/>
        <v>163.68641119536903</v>
      </c>
      <c r="J59" s="81">
        <v>706</v>
      </c>
      <c r="K59" s="79" t="str">
        <f t="shared" si="2"/>
        <v>706B</v>
      </c>
      <c r="L59" s="79">
        <f>VLOOKUP(J59,Rateio!G:L,4,0)</f>
        <v>474.41022290556947</v>
      </c>
      <c r="M59" s="80">
        <f>VLOOKUP(J59,Rateio!G:L,6,0)</f>
        <v>515.06641119536903</v>
      </c>
      <c r="N59" s="131">
        <v>0</v>
      </c>
      <c r="O59" s="131">
        <v>0</v>
      </c>
      <c r="P59" s="80">
        <f t="shared" si="3"/>
        <v>515.06641119536903</v>
      </c>
      <c r="Q59" s="134">
        <f>IF(ISERROR(VLOOKUP(K59,BASE!$C$3:$D$109,2,0)),0,(VLOOKUP(K59,BASE!$C$3:$D$109,2,0)))</f>
        <v>0</v>
      </c>
      <c r="R59" s="80">
        <f t="shared" si="4"/>
        <v>515.06641119536903</v>
      </c>
    </row>
    <row r="60" spans="1:18" x14ac:dyDescent="0.25">
      <c r="A60" s="78">
        <v>707</v>
      </c>
      <c r="B60" s="78" t="s">
        <v>250</v>
      </c>
      <c r="C60" s="79">
        <f>VLOOKUP(A60,Rateio!A:L,4,0)</f>
        <v>474.41022290556947</v>
      </c>
      <c r="D60" s="80">
        <f>VLOOKUP(A60,Rateio!A:L,6,0)</f>
        <v>515.06641119536903</v>
      </c>
      <c r="E60" s="131">
        <v>0</v>
      </c>
      <c r="F60" s="131">
        <v>0</v>
      </c>
      <c r="G60" s="80">
        <f t="shared" si="0"/>
        <v>515.06641119536903</v>
      </c>
      <c r="H60" s="134">
        <f>IF(ISERROR(VLOOKUP(B60,BASE!$C$3:$D$109,2,0)),0,(VLOOKUP(B60,BASE!$C$3:$D$109,2,0)))</f>
        <v>0</v>
      </c>
      <c r="I60" s="80">
        <f t="shared" si="1"/>
        <v>515.06641119536903</v>
      </c>
      <c r="J60" s="81">
        <v>707</v>
      </c>
      <c r="K60" s="79" t="str">
        <f t="shared" si="2"/>
        <v>707B</v>
      </c>
      <c r="L60" s="79">
        <f>VLOOKUP(J60,Rateio!G:L,4,0)</f>
        <v>474.41022290556947</v>
      </c>
      <c r="M60" s="80">
        <f>VLOOKUP(J60,Rateio!G:L,6,0)</f>
        <v>515.06641119536903</v>
      </c>
      <c r="N60" s="131">
        <v>43.04</v>
      </c>
      <c r="O60" s="131">
        <v>0</v>
      </c>
      <c r="P60" s="80">
        <f t="shared" si="3"/>
        <v>558.10641119536899</v>
      </c>
      <c r="Q60" s="134">
        <f>IF(ISERROR(VLOOKUP(K60,BASE!$C$3:$D$109,2,0)),0,(VLOOKUP(K60,BASE!$C$3:$D$109,2,0)))</f>
        <v>367.12</v>
      </c>
      <c r="R60" s="80">
        <f t="shared" si="4"/>
        <v>190.98641119536899</v>
      </c>
    </row>
    <row r="61" spans="1:18" x14ac:dyDescent="0.25">
      <c r="A61" s="78">
        <v>708</v>
      </c>
      <c r="B61" s="78" t="s">
        <v>232</v>
      </c>
      <c r="C61" s="79">
        <f>VLOOKUP(A61,Rateio!A:L,4,0)</f>
        <v>571.31172710939916</v>
      </c>
      <c r="D61" s="80">
        <f>VLOOKUP(A61,Rateio!A:L,6,0)</f>
        <v>515.06641119536903</v>
      </c>
      <c r="E61" s="131">
        <v>32.82</v>
      </c>
      <c r="F61" s="131">
        <v>25.96</v>
      </c>
      <c r="G61" s="80">
        <f t="shared" si="0"/>
        <v>573.84641119536911</v>
      </c>
      <c r="H61" s="134">
        <f>IF(ISERROR(VLOOKUP(B61,BASE!$C$3:$D$109,2,0)),0,(VLOOKUP(B61,BASE!$C$3:$D$109,2,0)))</f>
        <v>450.78</v>
      </c>
      <c r="I61" s="80">
        <f t="shared" si="1"/>
        <v>123.06641119536914</v>
      </c>
      <c r="J61" s="81">
        <v>708</v>
      </c>
      <c r="K61" s="79" t="str">
        <f t="shared" si="2"/>
        <v>708B</v>
      </c>
      <c r="L61" s="79">
        <f>VLOOKUP(J61,Rateio!G:L,4,0)</f>
        <v>562.553537853433</v>
      </c>
      <c r="M61" s="80">
        <f>VLOOKUP(J61,Rateio!G:L,6,0)</f>
        <v>515.06641119536903</v>
      </c>
      <c r="N61" s="131">
        <v>0</v>
      </c>
      <c r="O61" s="131">
        <v>0</v>
      </c>
      <c r="P61" s="80">
        <f t="shared" si="3"/>
        <v>515.06641119536903</v>
      </c>
      <c r="Q61" s="134">
        <f>IF(ISERROR(VLOOKUP(K61,BASE!$C$3:$D$109,2,0)),0,(VLOOKUP(K61,BASE!$C$3:$D$109,2,0)))</f>
        <v>368.39</v>
      </c>
      <c r="R61" s="80">
        <f t="shared" si="4"/>
        <v>146.67641119536904</v>
      </c>
    </row>
    <row r="62" spans="1:18" s="33" customFormat="1" x14ac:dyDescent="0.25">
      <c r="A62" s="83" t="s">
        <v>88</v>
      </c>
      <c r="B62" s="83"/>
      <c r="C62" s="84">
        <f t="shared" ref="C62:K62" si="5">SUM(C6:C61)</f>
        <v>27498.403452357175</v>
      </c>
      <c r="D62" s="85">
        <f t="shared" si="5"/>
        <v>27813.586204549945</v>
      </c>
      <c r="E62" s="85">
        <f t="shared" si="5"/>
        <v>1587.0600000000002</v>
      </c>
      <c r="F62" s="85">
        <f t="shared" si="5"/>
        <v>1417.9399999999998</v>
      </c>
      <c r="G62" s="85">
        <f t="shared" si="5"/>
        <v>30818.586204549931</v>
      </c>
      <c r="H62" s="85">
        <f t="shared" si="5"/>
        <v>17768.169999999998</v>
      </c>
      <c r="I62" s="85">
        <f t="shared" si="5"/>
        <v>13050.416204549922</v>
      </c>
      <c r="J62" s="83">
        <f t="shared" si="5"/>
        <v>22652</v>
      </c>
      <c r="K62" s="84">
        <f t="shared" si="5"/>
        <v>0</v>
      </c>
      <c r="L62" s="84">
        <f>SUM(L6:L61)</f>
        <v>28398.82928830522</v>
      </c>
      <c r="M62" s="84">
        <f t="shared" ref="M62:R62" si="6">SUM(M6:M61)</f>
        <v>28328.652615745315</v>
      </c>
      <c r="N62" s="84">
        <f t="shared" si="6"/>
        <v>1679.92</v>
      </c>
      <c r="O62" s="84">
        <f t="shared" si="6"/>
        <v>1482.8400000000004</v>
      </c>
      <c r="P62" s="84">
        <f t="shared" si="6"/>
        <v>31491.412615745296</v>
      </c>
      <c r="Q62" s="84">
        <f t="shared" si="6"/>
        <v>20483.919999999998</v>
      </c>
      <c r="R62" s="84">
        <f t="shared" si="6"/>
        <v>11007.492615745301</v>
      </c>
    </row>
    <row r="63" spans="1:18" x14ac:dyDescent="0.25">
      <c r="E63" s="122">
        <f>E62+N62</f>
        <v>3266.9800000000005</v>
      </c>
      <c r="F63" s="70">
        <f>F62+O62</f>
        <v>2900.78</v>
      </c>
      <c r="N63" s="122"/>
    </row>
    <row r="67" spans="7:7" x14ac:dyDescent="0.25">
      <c r="G67" s="70">
        <f>G62+P62</f>
        <v>62309.998820295223</v>
      </c>
    </row>
    <row r="68" spans="7:7" x14ac:dyDescent="0.25">
      <c r="G68" s="70">
        <f>H62+Q62</f>
        <v>38252.089999999997</v>
      </c>
    </row>
  </sheetData>
  <mergeCells count="4">
    <mergeCell ref="A4:D4"/>
    <mergeCell ref="J4:M4"/>
    <mergeCell ref="I3:M3"/>
    <mergeCell ref="R3:W3"/>
  </mergeCells>
  <conditionalFormatting sqref="I6:I61">
    <cfRule type="cellIs" dxfId="7" priority="3" operator="lessThan">
      <formula>1</formula>
    </cfRule>
  </conditionalFormatting>
  <conditionalFormatting sqref="R6">
    <cfRule type="cellIs" dxfId="6" priority="2" operator="lessThan">
      <formula>1</formula>
    </cfRule>
  </conditionalFormatting>
  <conditionalFormatting sqref="R7:R61">
    <cfRule type="cellIs" dxfId="5" priority="1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3"/>
  <sheetViews>
    <sheetView topLeftCell="G1" workbookViewId="0">
      <selection activeCell="U12" sqref="U12"/>
    </sheetView>
  </sheetViews>
  <sheetFormatPr defaultRowHeight="15" x14ac:dyDescent="0.25"/>
  <cols>
    <col min="1" max="1" width="16" hidden="1" customWidth="1"/>
    <col min="2" max="2" width="16" customWidth="1"/>
    <col min="3" max="3" width="18.42578125" style="90" hidden="1" customWidth="1"/>
    <col min="4" max="4" width="16" bestFit="1" customWidth="1"/>
    <col min="5" max="9" width="16" customWidth="1"/>
    <col min="10" max="10" width="15.85546875" style="33" hidden="1" customWidth="1"/>
    <col min="11" max="11" width="16" style="33" bestFit="1" customWidth="1"/>
    <col min="12" max="12" width="18.42578125" style="33" hidden="1" customWidth="1"/>
    <col min="13" max="13" width="16" style="33" bestFit="1" customWidth="1"/>
    <col min="14" max="18" width="16" customWidth="1"/>
  </cols>
  <sheetData>
    <row r="1" spans="1:22" x14ac:dyDescent="0.25">
      <c r="A1" s="39"/>
      <c r="B1" s="39"/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22" x14ac:dyDescent="0.25">
      <c r="A2" s="73"/>
      <c r="B2" s="73"/>
      <c r="C2" s="74"/>
      <c r="D2" s="72"/>
      <c r="E2" s="72"/>
      <c r="F2" s="72"/>
      <c r="G2" s="72"/>
      <c r="H2" s="72"/>
      <c r="I2" s="72"/>
      <c r="J2" s="72"/>
      <c r="K2" s="123" t="s">
        <v>251</v>
      </c>
      <c r="L2" s="72"/>
      <c r="M2" s="72"/>
      <c r="N2" s="72"/>
      <c r="O2" s="72"/>
      <c r="P2" s="72"/>
      <c r="Q2" s="72"/>
      <c r="R2" s="72"/>
    </row>
    <row r="3" spans="1:22" x14ac:dyDescent="0.25">
      <c r="B3" s="123" t="s">
        <v>140</v>
      </c>
      <c r="I3" s="447" t="s">
        <v>255</v>
      </c>
      <c r="J3" s="447"/>
      <c r="K3" s="447"/>
      <c r="L3" s="447"/>
      <c r="M3" s="447"/>
      <c r="R3" s="447" t="s">
        <v>255</v>
      </c>
      <c r="S3" s="447"/>
      <c r="T3" s="447"/>
      <c r="U3" s="447"/>
      <c r="V3" s="447"/>
    </row>
    <row r="4" spans="1:22" x14ac:dyDescent="0.25">
      <c r="A4" s="441" t="s">
        <v>76</v>
      </c>
      <c r="B4" s="442"/>
      <c r="C4" s="442"/>
      <c r="D4" s="442"/>
      <c r="E4" s="442"/>
      <c r="F4" s="442"/>
      <c r="G4" s="442"/>
      <c r="H4" s="442"/>
      <c r="I4" s="443"/>
      <c r="J4" s="444" t="s">
        <v>77</v>
      </c>
      <c r="K4" s="445"/>
      <c r="L4" s="445"/>
      <c r="M4" s="445"/>
      <c r="N4" s="445"/>
      <c r="O4" s="445"/>
      <c r="P4" s="445"/>
      <c r="Q4" s="445"/>
      <c r="R4" s="445"/>
    </row>
    <row r="5" spans="1:22" x14ac:dyDescent="0.25">
      <c r="A5" s="75" t="s">
        <v>78</v>
      </c>
      <c r="B5" s="75" t="s">
        <v>78</v>
      </c>
      <c r="C5" s="76" t="s">
        <v>81</v>
      </c>
      <c r="D5" s="77" t="s">
        <v>83</v>
      </c>
      <c r="E5" s="130" t="s">
        <v>137</v>
      </c>
      <c r="F5" s="130" t="s">
        <v>138</v>
      </c>
      <c r="G5" s="77" t="s">
        <v>136</v>
      </c>
      <c r="H5" s="133" t="s">
        <v>252</v>
      </c>
      <c r="I5" s="77" t="s">
        <v>139</v>
      </c>
      <c r="J5" s="75" t="s">
        <v>78</v>
      </c>
      <c r="K5" s="75" t="s">
        <v>78</v>
      </c>
      <c r="L5" s="76" t="s">
        <v>81</v>
      </c>
      <c r="M5" s="77" t="s">
        <v>83</v>
      </c>
      <c r="N5" s="77" t="s">
        <v>137</v>
      </c>
      <c r="O5" s="77" t="s">
        <v>138</v>
      </c>
      <c r="P5" s="77" t="s">
        <v>254</v>
      </c>
      <c r="Q5" s="133" t="s">
        <v>252</v>
      </c>
      <c r="R5" s="77" t="s">
        <v>139</v>
      </c>
    </row>
    <row r="6" spans="1:22" x14ac:dyDescent="0.25">
      <c r="A6" s="78">
        <v>101</v>
      </c>
      <c r="B6" s="78" t="s">
        <v>236</v>
      </c>
      <c r="C6" s="79">
        <f>VLOOKUP(A6,Rateio!A:L,4,0)</f>
        <v>628.52066846727985</v>
      </c>
      <c r="D6" s="80">
        <f>VLOOKUP(A6,Rateio!A:L,6,0)</f>
        <v>515.06641119536903</v>
      </c>
      <c r="E6" s="131">
        <v>0</v>
      </c>
      <c r="F6" s="131">
        <v>0</v>
      </c>
      <c r="G6" s="80">
        <f>D6+E6+F6</f>
        <v>515.06641119536903</v>
      </c>
      <c r="H6" s="134">
        <f>IF(ISERROR(VLOOKUP(B6,BASE!$H$3:$I$109,2,0)),0,(VLOOKUP(B6,BASE!$H$3:$I$109,2,0)))</f>
        <v>0</v>
      </c>
      <c r="I6" s="80">
        <f>G6-H6</f>
        <v>515.06641119536903</v>
      </c>
      <c r="J6" s="81">
        <v>101</v>
      </c>
      <c r="K6" s="79" t="str">
        <f>J6&amp;$K$2</f>
        <v>101B</v>
      </c>
      <c r="L6" s="79">
        <f>VLOOKUP(J6,Rateio!G:L,4,0)</f>
        <v>626.27497891446808</v>
      </c>
      <c r="M6" s="80">
        <f>VLOOKUP(J6,Rateio!G:L,6,0)</f>
        <v>515.06641119536903</v>
      </c>
      <c r="N6" s="131">
        <v>0</v>
      </c>
      <c r="O6" s="131">
        <v>0</v>
      </c>
      <c r="P6" s="80">
        <f>M6+N6+O6</f>
        <v>515.06641119536903</v>
      </c>
      <c r="Q6" s="134">
        <f>IF(ISERROR(VLOOKUP(K6,BASE!$H$3:$I$109,2,0)),0,(VLOOKUP(K6,BASE!$H$3:$I$109,2,0)))</f>
        <v>376.75</v>
      </c>
      <c r="R6" s="80">
        <f>P6-Q6</f>
        <v>138.31641119536903</v>
      </c>
    </row>
    <row r="7" spans="1:22" x14ac:dyDescent="0.25">
      <c r="A7" s="78">
        <v>102</v>
      </c>
      <c r="B7" s="78" t="s">
        <v>147</v>
      </c>
      <c r="C7" s="79">
        <f>VLOOKUP(A7,Rateio!A:L,4,0)</f>
        <v>550.48295650706962</v>
      </c>
      <c r="D7" s="80">
        <f>VLOOKUP(A7,Rateio!A:L,6,0)</f>
        <v>515.06641119536903</v>
      </c>
      <c r="E7" s="131">
        <v>46.36</v>
      </c>
      <c r="F7" s="131">
        <v>35.159999999999997</v>
      </c>
      <c r="G7" s="80">
        <f t="shared" ref="G7:G61" si="0">D7+E7+F7</f>
        <v>596.58641119536901</v>
      </c>
      <c r="H7" s="134">
        <f>IF(ISERROR(VLOOKUP(B7,BASE!$H$3:$I$109,2,0)),0,(VLOOKUP(B7,BASE!$H$3:$I$109,2,0)))</f>
        <v>427.46</v>
      </c>
      <c r="I7" s="80">
        <f t="shared" ref="I7:I22" si="1">G7-H7</f>
        <v>169.12641119536903</v>
      </c>
      <c r="J7" s="81">
        <v>102</v>
      </c>
      <c r="K7" s="79" t="str">
        <f t="shared" ref="K7:K61" si="2">J7&amp;$K$2</f>
        <v>102B</v>
      </c>
      <c r="L7" s="79">
        <f>VLOOKUP(J7,Rateio!G:L,4,0)</f>
        <v>519.4362984394462</v>
      </c>
      <c r="M7" s="80">
        <f>VLOOKUP(J7,Rateio!G:L,6,0)</f>
        <v>515.06641119536903</v>
      </c>
      <c r="N7" s="131">
        <v>0</v>
      </c>
      <c r="O7" s="131">
        <v>0</v>
      </c>
      <c r="P7" s="80">
        <f t="shared" ref="P7:P61" si="3">M7+N7+O7</f>
        <v>515.06641119536903</v>
      </c>
      <c r="Q7" s="134">
        <f>IF(ISERROR(VLOOKUP(K7,BASE!$H$3:$I$109,2,0)),0,(VLOOKUP(K7,BASE!$H$3:$I$109,2,0)))</f>
        <v>0</v>
      </c>
      <c r="R7" s="80">
        <f t="shared" ref="R7:R61" si="4">P7-Q7</f>
        <v>515.06641119536903</v>
      </c>
    </row>
    <row r="8" spans="1:22" x14ac:dyDescent="0.25">
      <c r="A8" s="78">
        <v>103</v>
      </c>
      <c r="B8" s="78" t="s">
        <v>148</v>
      </c>
      <c r="C8" s="79">
        <f>VLOOKUP(A8,Rateio!A:L,4,0)</f>
        <v>549.86539188004633</v>
      </c>
      <c r="D8" s="80">
        <f>VLOOKUP(A8,Rateio!A:L,6,0)</f>
        <v>515.06641119536903</v>
      </c>
      <c r="E8" s="131">
        <v>69.64</v>
      </c>
      <c r="F8" s="131">
        <v>86.55</v>
      </c>
      <c r="G8" s="80">
        <f t="shared" si="0"/>
        <v>671.25641119536897</v>
      </c>
      <c r="H8" s="134">
        <f>IF(ISERROR(VLOOKUP(B8,BASE!$H$3:$I$109,2,0)),0,(VLOOKUP(B8,BASE!$H$3:$I$109,2,0)))</f>
        <v>504.47</v>
      </c>
      <c r="I8" s="80">
        <f t="shared" si="1"/>
        <v>166.78641119536894</v>
      </c>
      <c r="J8" s="81">
        <v>103</v>
      </c>
      <c r="K8" s="79" t="str">
        <f t="shared" si="2"/>
        <v>103B</v>
      </c>
      <c r="L8" s="79">
        <f>VLOOKUP(J8,Rateio!G:L,4,0)</f>
        <v>517.92045799129824</v>
      </c>
      <c r="M8" s="80">
        <f>VLOOKUP(J8,Rateio!G:L,6,0)</f>
        <v>515.06641119536903</v>
      </c>
      <c r="N8" s="131">
        <v>72.39</v>
      </c>
      <c r="O8" s="131">
        <v>28.53</v>
      </c>
      <c r="P8" s="80">
        <f t="shared" si="3"/>
        <v>615.98641119536899</v>
      </c>
      <c r="Q8" s="134">
        <f>IF(ISERROR(VLOOKUP(K8,BASE!$H$3:$I$109,2,0)),0,(VLOOKUP(K8,BASE!$H$3:$I$109,2,0)))</f>
        <v>417.27</v>
      </c>
      <c r="R8" s="80">
        <f t="shared" si="4"/>
        <v>198.71641119536901</v>
      </c>
    </row>
    <row r="9" spans="1:22" x14ac:dyDescent="0.25">
      <c r="A9" s="78">
        <v>104</v>
      </c>
      <c r="B9" s="78" t="s">
        <v>150</v>
      </c>
      <c r="C9" s="79">
        <f>VLOOKUP(A9,Rateio!A:L,4,0)</f>
        <v>633.68575443874704</v>
      </c>
      <c r="D9" s="80">
        <f>VLOOKUP(A9,Rateio!A:L,6,0)</f>
        <v>515.06641119536903</v>
      </c>
      <c r="E9" s="131">
        <v>135.57</v>
      </c>
      <c r="F9" s="131">
        <v>94.26</v>
      </c>
      <c r="G9" s="80">
        <f t="shared" si="0"/>
        <v>744.89641119536896</v>
      </c>
      <c r="H9" s="134">
        <f>IF(ISERROR(VLOOKUP(B9,BASE!$H$3:$I$109,2,0)),0,(VLOOKUP(B9,BASE!$H$3:$I$109,2,0)))</f>
        <v>499.79</v>
      </c>
      <c r="I9" s="80">
        <f t="shared" si="1"/>
        <v>245.10641119536893</v>
      </c>
      <c r="J9" s="81">
        <v>104</v>
      </c>
      <c r="K9" s="79" t="str">
        <f t="shared" si="2"/>
        <v>104B</v>
      </c>
      <c r="L9" s="79">
        <f>VLOOKUP(J9,Rateio!G:L,4,0)</f>
        <v>613.47454846344078</v>
      </c>
      <c r="M9" s="80">
        <f>VLOOKUP(J9,Rateio!G:L,6,0)</f>
        <v>515.06641119536903</v>
      </c>
      <c r="N9" s="131">
        <v>105.36</v>
      </c>
      <c r="O9" s="131">
        <v>111.45</v>
      </c>
      <c r="P9" s="80">
        <f t="shared" si="3"/>
        <v>731.87641119536909</v>
      </c>
      <c r="Q9" s="134">
        <f>IF(ISERROR(VLOOKUP(K9,BASE!$H$3:$I$109,2,0)),0,(VLOOKUP(K9,BASE!$H$3:$I$109,2,0)))</f>
        <v>545.87</v>
      </c>
      <c r="R9" s="80">
        <f t="shared" si="4"/>
        <v>186.00641119536908</v>
      </c>
    </row>
    <row r="10" spans="1:22" x14ac:dyDescent="0.25">
      <c r="A10" s="78">
        <v>105</v>
      </c>
      <c r="B10" s="78" t="s">
        <v>237</v>
      </c>
      <c r="C10" s="82">
        <f>VLOOKUP(A10,Rateio!A:L,4,0)</f>
        <v>0</v>
      </c>
      <c r="D10" s="82">
        <f>VLOOKUP(A10,Rateio!A:L,6,0)</f>
        <v>0</v>
      </c>
      <c r="E10" s="82">
        <v>0</v>
      </c>
      <c r="F10" s="82">
        <v>0</v>
      </c>
      <c r="G10" s="82">
        <f t="shared" si="0"/>
        <v>0</v>
      </c>
      <c r="H10" s="82">
        <f>IF(ISERROR(VLOOKUP(B10,BASE!$H$3:$I$109,2,0)),0,(VLOOKUP(B10,BASE!$H$3:$I$109,2,0)))</f>
        <v>0</v>
      </c>
      <c r="I10" s="82">
        <f t="shared" si="1"/>
        <v>0</v>
      </c>
      <c r="J10" s="81">
        <v>105</v>
      </c>
      <c r="K10" s="79" t="str">
        <f t="shared" si="2"/>
        <v>105B</v>
      </c>
      <c r="L10" s="79">
        <f>VLOOKUP(J10,Rateio!G:L,4,0)</f>
        <v>543.18446546043117</v>
      </c>
      <c r="M10" s="80">
        <f>VLOOKUP(J10,Rateio!G:L,6,0)</f>
        <v>515.06641119536903</v>
      </c>
      <c r="N10" s="131">
        <v>6.6</v>
      </c>
      <c r="O10" s="131">
        <v>0</v>
      </c>
      <c r="P10" s="80">
        <f t="shared" si="3"/>
        <v>521.66641119536905</v>
      </c>
      <c r="Q10" s="134">
        <f>IF(ISERROR(VLOOKUP(K10,BASE!$H$3:$I$109,2,0)),0,(VLOOKUP(K10,BASE!$H$3:$I$109,2,0)))</f>
        <v>0</v>
      </c>
      <c r="R10" s="80">
        <f t="shared" si="4"/>
        <v>521.66641119536905</v>
      </c>
    </row>
    <row r="11" spans="1:22" x14ac:dyDescent="0.25">
      <c r="A11" s="78">
        <v>106</v>
      </c>
      <c r="B11" s="78" t="s">
        <v>152</v>
      </c>
      <c r="C11" s="79">
        <f>VLOOKUP(A11,Rateio!A:L,4,0)</f>
        <v>470.25569723286759</v>
      </c>
      <c r="D11" s="80">
        <f>VLOOKUP(A11,Rateio!A:L,6,0)</f>
        <v>515.06641119536903</v>
      </c>
      <c r="E11" s="132">
        <v>23.09</v>
      </c>
      <c r="F11" s="131">
        <v>0</v>
      </c>
      <c r="G11" s="80">
        <f t="shared" si="0"/>
        <v>538.15641119536906</v>
      </c>
      <c r="H11" s="134">
        <f>IF(ISERROR(VLOOKUP(B11,BASE!$H$3:$I$109,2,0)),0,(VLOOKUP(B11,BASE!$H$3:$I$109,2,0)))</f>
        <v>0</v>
      </c>
      <c r="I11" s="80">
        <f t="shared" si="1"/>
        <v>538.15641119536906</v>
      </c>
      <c r="J11" s="81">
        <v>106</v>
      </c>
      <c r="K11" s="79" t="str">
        <f t="shared" si="2"/>
        <v>106B</v>
      </c>
      <c r="L11" s="79">
        <f>VLOOKUP(J11,Rateio!G:L,4,0)</f>
        <v>351.62714660558379</v>
      </c>
      <c r="M11" s="80">
        <f>VLOOKUP(J11,Rateio!G:L,6,0)</f>
        <v>515.06641119536903</v>
      </c>
      <c r="N11" s="131">
        <v>33.01</v>
      </c>
      <c r="O11" s="131">
        <v>9.5399999999999991</v>
      </c>
      <c r="P11" s="80">
        <f t="shared" si="3"/>
        <v>557.61641119536898</v>
      </c>
      <c r="Q11" s="134">
        <f>IF(ISERROR(VLOOKUP(K11,BASE!$H$3:$I$109,2,0)),0,(VLOOKUP(K11,BASE!$H$3:$I$109,2,0)))</f>
        <v>412.07</v>
      </c>
      <c r="R11" s="80">
        <f t="shared" si="4"/>
        <v>145.54641119536899</v>
      </c>
    </row>
    <row r="12" spans="1:22" x14ac:dyDescent="0.25">
      <c r="A12" s="78">
        <v>107</v>
      </c>
      <c r="B12" s="78" t="s">
        <v>238</v>
      </c>
      <c r="C12" s="79">
        <f>VLOOKUP(A12,Rateio!A:L,4,0)</f>
        <v>570.02045561653233</v>
      </c>
      <c r="D12" s="80">
        <f>VLOOKUP(A12,Rateio!A:L,6,0)</f>
        <v>515.06641119536903</v>
      </c>
      <c r="E12" s="131">
        <v>0</v>
      </c>
      <c r="F12" s="131">
        <v>0</v>
      </c>
      <c r="G12" s="80">
        <f t="shared" si="0"/>
        <v>515.06641119536903</v>
      </c>
      <c r="H12" s="134">
        <f>IF(ISERROR(VLOOKUP(B12,BASE!$H$3:$I$109,2,0)),0,(VLOOKUP(B12,BASE!$H$3:$I$109,2,0)))</f>
        <v>0</v>
      </c>
      <c r="I12" s="80">
        <f t="shared" si="1"/>
        <v>515.06641119536903</v>
      </c>
      <c r="J12" s="81">
        <v>107</v>
      </c>
      <c r="K12" s="79" t="str">
        <f t="shared" si="2"/>
        <v>107B</v>
      </c>
      <c r="L12" s="79">
        <f>VLOOKUP(J12,Rateio!G:L,4,0)</f>
        <v>485.2456749978864</v>
      </c>
      <c r="M12" s="80">
        <f>VLOOKUP(J12,Rateio!G:L,6,0)</f>
        <v>515.06641119536903</v>
      </c>
      <c r="N12" s="131">
        <v>14.44</v>
      </c>
      <c r="O12" s="131">
        <v>69.67</v>
      </c>
      <c r="P12" s="80">
        <f t="shared" si="3"/>
        <v>599.17641119536904</v>
      </c>
      <c r="Q12" s="134">
        <f>IF(ISERROR(VLOOKUP(K12,BASE!$H$3:$I$109,2,0)),0,(VLOOKUP(K12,BASE!$H$3:$I$109,2,0)))</f>
        <v>453.62</v>
      </c>
      <c r="R12" s="80">
        <f t="shared" si="4"/>
        <v>145.55641119536904</v>
      </c>
    </row>
    <row r="13" spans="1:22" x14ac:dyDescent="0.25">
      <c r="A13" s="78">
        <v>108</v>
      </c>
      <c r="B13" s="78" t="s">
        <v>239</v>
      </c>
      <c r="C13" s="82">
        <f>VLOOKUP(A13,Rateio!A:L,4,0)</f>
        <v>0</v>
      </c>
      <c r="D13" s="82">
        <f>VLOOKUP(A13,Rateio!A:L,6,0)</f>
        <v>0</v>
      </c>
      <c r="E13" s="82">
        <v>0</v>
      </c>
      <c r="F13" s="82">
        <v>0</v>
      </c>
      <c r="G13" s="82">
        <f t="shared" si="0"/>
        <v>0</v>
      </c>
      <c r="H13" s="82">
        <f>IF(ISERROR(VLOOKUP(B13,BASE!$H$3:$I$109,2,0)),0,(VLOOKUP(B13,BASE!$H$3:$I$109,2,0)))</f>
        <v>0</v>
      </c>
      <c r="I13" s="82">
        <f t="shared" si="1"/>
        <v>0</v>
      </c>
      <c r="J13" s="81">
        <v>108</v>
      </c>
      <c r="K13" s="79" t="str">
        <f t="shared" si="2"/>
        <v>108B</v>
      </c>
      <c r="L13" s="79">
        <f>VLOOKUP(J13,Rateio!G:L,4,0)</f>
        <v>641.71409459004929</v>
      </c>
      <c r="M13" s="80">
        <f>VLOOKUP(J13,Rateio!G:L,6,0)</f>
        <v>515.06641119536903</v>
      </c>
      <c r="N13" s="131">
        <v>0</v>
      </c>
      <c r="O13" s="131">
        <v>0</v>
      </c>
      <c r="P13" s="80">
        <f t="shared" si="3"/>
        <v>515.06641119536903</v>
      </c>
      <c r="Q13" s="134">
        <f>IF(ISERROR(VLOOKUP(K13,BASE!$H$3:$I$109,2,0)),0,(VLOOKUP(K13,BASE!$H$3:$I$109,2,0)))</f>
        <v>376.98</v>
      </c>
      <c r="R13" s="80">
        <f t="shared" si="4"/>
        <v>138.08641119536901</v>
      </c>
    </row>
    <row r="14" spans="1:22" x14ac:dyDescent="0.25">
      <c r="A14" s="78">
        <v>201</v>
      </c>
      <c r="B14" s="78" t="s">
        <v>156</v>
      </c>
      <c r="C14" s="79">
        <f>VLOOKUP(A14,Rateio!A:L,4,0)</f>
        <v>538.91765531008866</v>
      </c>
      <c r="D14" s="80">
        <f>VLOOKUP(A14,Rateio!A:L,6,0)</f>
        <v>515.06641119536903</v>
      </c>
      <c r="E14" s="131">
        <v>85.07</v>
      </c>
      <c r="F14" s="131">
        <v>68.52</v>
      </c>
      <c r="G14" s="80">
        <f t="shared" si="0"/>
        <v>668.65641119536895</v>
      </c>
      <c r="H14" s="134">
        <f>IF(ISERROR(VLOOKUP(B14,BASE!$H$3:$I$109,2,0)),0,(VLOOKUP(B14,BASE!$H$3:$I$109,2,0)))</f>
        <v>498.83</v>
      </c>
      <c r="I14" s="80">
        <f t="shared" si="1"/>
        <v>169.82641119536896</v>
      </c>
      <c r="J14" s="81">
        <v>201</v>
      </c>
      <c r="K14" s="79" t="str">
        <f t="shared" si="2"/>
        <v>201B</v>
      </c>
      <c r="L14" s="79">
        <f>VLOOKUP(J14,Rateio!G:L,4,0)</f>
        <v>538.91765531008866</v>
      </c>
      <c r="M14" s="80">
        <f>VLOOKUP(J14,Rateio!G:L,6,0)</f>
        <v>515.06641119536903</v>
      </c>
      <c r="N14" s="131">
        <v>64.599999999999994</v>
      </c>
      <c r="O14" s="131">
        <v>15.06</v>
      </c>
      <c r="P14" s="80">
        <f t="shared" si="3"/>
        <v>594.726411195369</v>
      </c>
      <c r="Q14" s="134">
        <f>IF(ISERROR(VLOOKUP(K14,BASE!$H$3:$I$109,2,0)),0,(VLOOKUP(K14,BASE!$H$3:$I$109,2,0)))</f>
        <v>439.08</v>
      </c>
      <c r="R14" s="80">
        <f t="shared" si="4"/>
        <v>155.64641119536901</v>
      </c>
    </row>
    <row r="15" spans="1:22" x14ac:dyDescent="0.25">
      <c r="A15" s="78">
        <v>202</v>
      </c>
      <c r="B15" s="78" t="s">
        <v>158</v>
      </c>
      <c r="C15" s="79">
        <f>VLOOKUP(A15,Rateio!A:L,4,0)</f>
        <v>0</v>
      </c>
      <c r="D15" s="80">
        <f>VLOOKUP(A15,Rateio!A:L,6,0)</f>
        <v>515.06641119536903</v>
      </c>
      <c r="E15" s="131">
        <v>49.5</v>
      </c>
      <c r="F15" s="132">
        <v>41.98</v>
      </c>
      <c r="G15" s="80">
        <f t="shared" si="0"/>
        <v>606.54641119536905</v>
      </c>
      <c r="H15" s="134">
        <f>IF(ISERROR(VLOOKUP(B15,BASE!$H$3:$I$109,2,0)),0,(VLOOKUP(B15,BASE!$H$3:$I$109,2,0)))</f>
        <v>463.58</v>
      </c>
      <c r="I15" s="80">
        <f t="shared" si="1"/>
        <v>142.96641119536906</v>
      </c>
      <c r="J15" s="81">
        <v>202</v>
      </c>
      <c r="K15" s="79" t="str">
        <f t="shared" si="2"/>
        <v>202B</v>
      </c>
      <c r="L15" s="79">
        <f>VLOOKUP(J15,Rateio!G:L,4,0)</f>
        <v>462.11507260392477</v>
      </c>
      <c r="M15" s="80">
        <f>VLOOKUP(J15,Rateio!G:L,6,0)</f>
        <v>515.06641119536903</v>
      </c>
      <c r="N15" s="131">
        <v>36.01</v>
      </c>
      <c r="O15" s="131">
        <v>6.93</v>
      </c>
      <c r="P15" s="80">
        <f t="shared" si="3"/>
        <v>558.00641119536897</v>
      </c>
      <c r="Q15" s="134">
        <f>IF(ISERROR(VLOOKUP(K15,BASE!$H$3:$I$109,2,0)),0,(VLOOKUP(K15,BASE!$H$3:$I$109,2,0)))</f>
        <v>403.6</v>
      </c>
      <c r="R15" s="80">
        <f t="shared" si="4"/>
        <v>154.40641119536895</v>
      </c>
    </row>
    <row r="16" spans="1:22" x14ac:dyDescent="0.25">
      <c r="A16" s="78">
        <v>203</v>
      </c>
      <c r="B16" s="78" t="s">
        <v>160</v>
      </c>
      <c r="C16" s="79">
        <f>VLOOKUP(A16,Rateio!A:L,4,0)</f>
        <v>462.11507260392477</v>
      </c>
      <c r="D16" s="80">
        <f>VLOOKUP(A16,Rateio!A:L,6,0)</f>
        <v>515.06641119536903</v>
      </c>
      <c r="E16" s="135">
        <v>29.83</v>
      </c>
      <c r="F16" s="131">
        <v>0</v>
      </c>
      <c r="G16" s="80">
        <f t="shared" si="0"/>
        <v>544.89641119536907</v>
      </c>
      <c r="H16" s="134">
        <f>IF(ISERROR(VLOOKUP(B16,BASE!$H$3:$I$109,2,0)),0,(VLOOKUP(B16,BASE!$H$3:$I$109,2,0)))</f>
        <v>403.36</v>
      </c>
      <c r="I16" s="80">
        <f t="shared" si="1"/>
        <v>141.53641119536906</v>
      </c>
      <c r="J16" s="81">
        <v>203</v>
      </c>
      <c r="K16" s="79" t="str">
        <f t="shared" si="2"/>
        <v>203B</v>
      </c>
      <c r="L16" s="79">
        <f>VLOOKUP(J16,Rateio!G:L,4,0)</f>
        <v>462.11507260392477</v>
      </c>
      <c r="M16" s="80">
        <f>VLOOKUP(J16,Rateio!G:L,6,0)</f>
        <v>515.06641119536903</v>
      </c>
      <c r="N16" s="131">
        <v>57.62</v>
      </c>
      <c r="O16" s="131">
        <v>60.21</v>
      </c>
      <c r="P16" s="80">
        <f t="shared" si="3"/>
        <v>632.89641119536907</v>
      </c>
      <c r="Q16" s="134">
        <f>IF(ISERROR(VLOOKUP(K16,BASE!$H$3:$I$109,2,0)),0,(VLOOKUP(K16,BASE!$H$3:$I$109,2,0)))</f>
        <v>240.65</v>
      </c>
      <c r="R16" s="80">
        <f t="shared" si="4"/>
        <v>392.24641119536909</v>
      </c>
    </row>
    <row r="17" spans="1:18" x14ac:dyDescent="0.25">
      <c r="A17" s="78">
        <v>204</v>
      </c>
      <c r="B17" s="78" t="s">
        <v>240</v>
      </c>
      <c r="C17" s="79">
        <f>VLOOKUP(A17,Rateio!A:L,4,0)</f>
        <v>538.91765531008866</v>
      </c>
      <c r="D17" s="80">
        <f>VLOOKUP(A17,Rateio!A:L,6,0)</f>
        <v>515.06641119536903</v>
      </c>
      <c r="E17" s="135">
        <v>54.86</v>
      </c>
      <c r="F17" s="131">
        <v>23.45</v>
      </c>
      <c r="G17" s="80">
        <f t="shared" si="0"/>
        <v>593.37641119536909</v>
      </c>
      <c r="H17" s="134">
        <f>IF(ISERROR(VLOOKUP(B17,BASE!$H$3:$I$109,2,0)),0,(VLOOKUP(B17,BASE!$H$3:$I$109,2,0)))</f>
        <v>0</v>
      </c>
      <c r="I17" s="80">
        <f t="shared" si="1"/>
        <v>593.37641119536909</v>
      </c>
      <c r="J17" s="81">
        <v>204</v>
      </c>
      <c r="K17" s="79" t="str">
        <f t="shared" si="2"/>
        <v>204B</v>
      </c>
      <c r="L17" s="79">
        <f>VLOOKUP(J17,Rateio!G:L,4,0)</f>
        <v>538.91765531008866</v>
      </c>
      <c r="M17" s="80">
        <f>VLOOKUP(J17,Rateio!G:L,6,0)</f>
        <v>515.06641119536903</v>
      </c>
      <c r="N17" s="131">
        <v>0</v>
      </c>
      <c r="O17" s="131">
        <v>0</v>
      </c>
      <c r="P17" s="80">
        <f t="shared" si="3"/>
        <v>515.06641119536903</v>
      </c>
      <c r="Q17" s="134">
        <f>IF(ISERROR(VLOOKUP(K17,BASE!$H$3:$I$109,2,0)),0,(VLOOKUP(K17,BASE!$H$3:$I$109,2,0)))</f>
        <v>0</v>
      </c>
      <c r="R17" s="80">
        <f t="shared" si="4"/>
        <v>515.06641119536903</v>
      </c>
    </row>
    <row r="18" spans="1:18" x14ac:dyDescent="0.25">
      <c r="A18" s="78">
        <v>205</v>
      </c>
      <c r="B18" s="78" t="s">
        <v>241</v>
      </c>
      <c r="C18" s="79">
        <f>VLOOKUP(A18,Rateio!A:L,4,0)</f>
        <v>538.91765531008866</v>
      </c>
      <c r="D18" s="80">
        <f>VLOOKUP(A18,Rateio!A:L,6,0)</f>
        <v>515.06641119536903</v>
      </c>
      <c r="E18" s="135">
        <v>0</v>
      </c>
      <c r="F18" s="131">
        <v>0</v>
      </c>
      <c r="G18" s="80">
        <f t="shared" si="0"/>
        <v>515.06641119536903</v>
      </c>
      <c r="H18" s="134">
        <f>IF(ISERROR(VLOOKUP(B18,BASE!$H$3:$I$109,2,0)),0,(VLOOKUP(B18,BASE!$H$3:$I$109,2,0)))</f>
        <v>0</v>
      </c>
      <c r="I18" s="80">
        <f t="shared" si="1"/>
        <v>515.06641119536903</v>
      </c>
      <c r="J18" s="81">
        <v>205</v>
      </c>
      <c r="K18" s="79" t="str">
        <f t="shared" si="2"/>
        <v>205B</v>
      </c>
      <c r="L18" s="79">
        <f>VLOOKUP(J18,Rateio!G:L,4,0)</f>
        <v>538.91765531008866</v>
      </c>
      <c r="M18" s="80">
        <f>VLOOKUP(J18,Rateio!G:L,6,0)</f>
        <v>515.06641119536903</v>
      </c>
      <c r="N18" s="131">
        <v>8.4600000000000009</v>
      </c>
      <c r="O18" s="131">
        <v>5.29</v>
      </c>
      <c r="P18" s="80">
        <f t="shared" si="3"/>
        <v>528.81641119536903</v>
      </c>
      <c r="Q18" s="134">
        <f>IF(ISERROR(VLOOKUP(K18,BASE!$H$3:$I$109,2,0)),0,(VLOOKUP(K18,BASE!$H$3:$I$109,2,0)))</f>
        <v>0</v>
      </c>
      <c r="R18" s="80">
        <f t="shared" si="4"/>
        <v>528.81641119536903</v>
      </c>
    </row>
    <row r="19" spans="1:18" x14ac:dyDescent="0.25">
      <c r="A19" s="78">
        <v>206</v>
      </c>
      <c r="B19" s="78" t="s">
        <v>163</v>
      </c>
      <c r="C19" s="79">
        <f>VLOOKUP(A19,Rateio!A:L,4,0)</f>
        <v>450.77434036222513</v>
      </c>
      <c r="D19" s="80">
        <f>VLOOKUP(A19,Rateio!A:L,6,0)</f>
        <v>515.06641119536903</v>
      </c>
      <c r="E19" s="135">
        <v>31.59</v>
      </c>
      <c r="F19" s="131">
        <v>37.869999999999997</v>
      </c>
      <c r="G19" s="80">
        <f t="shared" si="0"/>
        <v>584.52641119536906</v>
      </c>
      <c r="H19" s="134">
        <f>IF(ISERROR(VLOOKUP(B19,BASE!$H$3:$I$109,2,0)),0,(VLOOKUP(B19,BASE!$H$3:$I$109,2,0)))</f>
        <v>712.91</v>
      </c>
      <c r="I19" s="80">
        <f t="shared" si="1"/>
        <v>-128.3835888046309</v>
      </c>
      <c r="J19" s="81">
        <v>206</v>
      </c>
      <c r="K19" s="79" t="str">
        <f t="shared" si="2"/>
        <v>206B</v>
      </c>
      <c r="L19" s="79">
        <f>VLOOKUP(J19,Rateio!G:L,4,0)</f>
        <v>450.77434036222513</v>
      </c>
      <c r="M19" s="80">
        <f>VLOOKUP(J19,Rateio!G:L,6,0)</f>
        <v>515.06641119536903</v>
      </c>
      <c r="N19" s="131">
        <v>15.25</v>
      </c>
      <c r="O19" s="131">
        <v>6.37</v>
      </c>
      <c r="P19" s="80">
        <f t="shared" si="3"/>
        <v>536.68641119536903</v>
      </c>
      <c r="Q19" s="134">
        <f>IF(ISERROR(VLOOKUP(K19,BASE!$H$3:$I$109,2,0)),0,(VLOOKUP(K19,BASE!$H$3:$I$109,2,0)))</f>
        <v>392.83</v>
      </c>
      <c r="R19" s="80">
        <f t="shared" si="4"/>
        <v>143.85641119536905</v>
      </c>
    </row>
    <row r="20" spans="1:18" x14ac:dyDescent="0.25">
      <c r="A20" s="78">
        <v>207</v>
      </c>
      <c r="B20" s="78" t="s">
        <v>165</v>
      </c>
      <c r="C20" s="79">
        <f>VLOOKUP(A20,Rateio!A:L,4,0)</f>
        <v>450.77434036222513</v>
      </c>
      <c r="D20" s="80">
        <f>VLOOKUP(A20,Rateio!A:L,6,0)</f>
        <v>515.06641119536903</v>
      </c>
      <c r="E20" s="135">
        <v>84.93</v>
      </c>
      <c r="F20" s="131">
        <v>67.72</v>
      </c>
      <c r="G20" s="80">
        <f t="shared" si="0"/>
        <v>667.71641119536912</v>
      </c>
      <c r="H20" s="134">
        <f>IF(ISERROR(VLOOKUP(B20,BASE!$H$3:$I$109,2,0)),0,(VLOOKUP(B20,BASE!$H$3:$I$109,2,0)))</f>
        <v>495.8</v>
      </c>
      <c r="I20" s="80">
        <f t="shared" si="1"/>
        <v>171.91641119536911</v>
      </c>
      <c r="J20" s="81">
        <v>207</v>
      </c>
      <c r="K20" s="79" t="str">
        <f t="shared" si="2"/>
        <v>207B</v>
      </c>
      <c r="L20" s="79">
        <f>VLOOKUP(J20,Rateio!G:L,4,0)</f>
        <v>450.77434036222513</v>
      </c>
      <c r="M20" s="80">
        <f>VLOOKUP(J20,Rateio!G:L,6,0)</f>
        <v>515.06641119536903</v>
      </c>
      <c r="N20" s="131">
        <v>41.42</v>
      </c>
      <c r="O20" s="131">
        <v>52.11</v>
      </c>
      <c r="P20" s="80">
        <f t="shared" si="3"/>
        <v>608.596411195369</v>
      </c>
      <c r="Q20" s="134">
        <f>IF(ISERROR(VLOOKUP(K20,BASE!$H$3:$I$109,2,0)),0,(VLOOKUP(K20,BASE!$H$3:$I$109,2,0)))</f>
        <v>467.68</v>
      </c>
      <c r="R20" s="80">
        <f t="shared" si="4"/>
        <v>140.91641119536899</v>
      </c>
    </row>
    <row r="21" spans="1:18" x14ac:dyDescent="0.25">
      <c r="A21" s="78">
        <v>208</v>
      </c>
      <c r="B21" s="78" t="s">
        <v>167</v>
      </c>
      <c r="C21" s="79">
        <f>VLOOKUP(A21,Rateio!A:L,4,0)</f>
        <v>538.91765531008866</v>
      </c>
      <c r="D21" s="80">
        <f>VLOOKUP(A21,Rateio!A:L,6,0)</f>
        <v>515.06641119536903</v>
      </c>
      <c r="E21" s="135">
        <v>73.77</v>
      </c>
      <c r="F21" s="131">
        <v>60.44</v>
      </c>
      <c r="G21" s="80">
        <f t="shared" si="0"/>
        <v>649.27641119536906</v>
      </c>
      <c r="H21" s="134">
        <f>IF(ISERROR(VLOOKUP(B21,BASE!$H$3:$I$109,2,0)),0,(VLOOKUP(B21,BASE!$H$3:$I$109,2,0)))</f>
        <v>492.61</v>
      </c>
      <c r="I21" s="80">
        <f t="shared" si="1"/>
        <v>156.66641119536905</v>
      </c>
      <c r="J21" s="81">
        <v>208</v>
      </c>
      <c r="K21" s="79" t="str">
        <f t="shared" si="2"/>
        <v>208B</v>
      </c>
      <c r="L21" s="79">
        <f>VLOOKUP(J21,Rateio!G:L,4,0)</f>
        <v>538.91765531008866</v>
      </c>
      <c r="M21" s="80">
        <f>VLOOKUP(J21,Rateio!G:L,6,0)</f>
        <v>515.06641119536903</v>
      </c>
      <c r="N21" s="131">
        <v>80.94</v>
      </c>
      <c r="O21" s="131">
        <v>89.11</v>
      </c>
      <c r="P21" s="80">
        <f t="shared" si="3"/>
        <v>685.1164111953691</v>
      </c>
      <c r="Q21" s="134">
        <f>IF(ISERROR(VLOOKUP(K21,BASE!$H$3:$I$109,2,0)),0,(VLOOKUP(K21,BASE!$H$3:$I$109,2,0)))</f>
        <v>516.05999999999995</v>
      </c>
      <c r="R21" s="80">
        <f t="shared" si="4"/>
        <v>169.05641119536915</v>
      </c>
    </row>
    <row r="22" spans="1:18" x14ac:dyDescent="0.25">
      <c r="A22" s="78">
        <v>301</v>
      </c>
      <c r="B22" s="78" t="s">
        <v>169</v>
      </c>
      <c r="C22" s="79">
        <f>VLOOKUP(A22,Rateio!A:L,4,0)</f>
        <v>538.91765531008866</v>
      </c>
      <c r="D22" s="80">
        <f>VLOOKUP(A22,Rateio!A:L,6,0)</f>
        <v>515.06641119536903</v>
      </c>
      <c r="E22" s="135">
        <v>120.98</v>
      </c>
      <c r="F22" s="131">
        <v>111.35</v>
      </c>
      <c r="G22" s="80">
        <f t="shared" si="0"/>
        <v>747.39641119536907</v>
      </c>
      <c r="H22" s="134">
        <f>IF(ISERROR(VLOOKUP(B22,BASE!$H$3:$I$109,2,0)),0,(VLOOKUP(B22,BASE!$H$3:$I$109,2,0)))</f>
        <v>557.54999999999995</v>
      </c>
      <c r="I22" s="80">
        <f t="shared" si="1"/>
        <v>189.84641119536911</v>
      </c>
      <c r="J22" s="81">
        <v>301</v>
      </c>
      <c r="K22" s="79" t="str">
        <f t="shared" si="2"/>
        <v>301B</v>
      </c>
      <c r="L22" s="79">
        <f>VLOOKUP(J22,Rateio!G:L,4,0)</f>
        <v>562.553537853433</v>
      </c>
      <c r="M22" s="80">
        <f>VLOOKUP(J22,Rateio!G:L,6,0)</f>
        <v>515.06641119536903</v>
      </c>
      <c r="N22" s="131">
        <v>4.8</v>
      </c>
      <c r="O22" s="131">
        <v>0</v>
      </c>
      <c r="P22" s="80">
        <f t="shared" si="3"/>
        <v>519.86641119536898</v>
      </c>
      <c r="Q22" s="134">
        <f>IF(ISERROR(VLOOKUP(K22,BASE!$H$3:$I$109,2,0)),0,(VLOOKUP(K22,BASE!$H$3:$I$109,2,0)))</f>
        <v>380.01</v>
      </c>
      <c r="R22" s="80">
        <f t="shared" si="4"/>
        <v>139.85641119536899</v>
      </c>
    </row>
    <row r="23" spans="1:18" x14ac:dyDescent="0.25">
      <c r="A23" s="78">
        <v>302</v>
      </c>
      <c r="B23" s="78" t="s">
        <v>171</v>
      </c>
      <c r="C23" s="79">
        <f>VLOOKUP(A23,Rateio!A:L,4,0)</f>
        <v>462.11507260392477</v>
      </c>
      <c r="D23" s="80">
        <f>VLOOKUP(A23,Rateio!A:L,6,0)</f>
        <v>515.06641119536903</v>
      </c>
      <c r="E23" s="135">
        <v>29.31</v>
      </c>
      <c r="F23" s="131">
        <v>27.6</v>
      </c>
      <c r="G23" s="80">
        <f t="shared" si="0"/>
        <v>571.976411195369</v>
      </c>
      <c r="H23" s="134">
        <f>IF(ISERROR(VLOOKUP(B23,BASE!$H$3:$I$109,2,0)),0,(VLOOKUP(B23,BASE!$H$3:$I$109,2,0)))</f>
        <v>413.45</v>
      </c>
      <c r="I23" s="80">
        <f t="shared" ref="I23:I61" si="5">G23-H23</f>
        <v>158.52641119536901</v>
      </c>
      <c r="J23" s="81">
        <v>302</v>
      </c>
      <c r="K23" s="79" t="str">
        <f t="shared" si="2"/>
        <v>302B</v>
      </c>
      <c r="L23" s="79">
        <f>VLOOKUP(J23,Rateio!G:L,4,0)</f>
        <v>462.11507260392477</v>
      </c>
      <c r="M23" s="80">
        <f>VLOOKUP(J23,Rateio!G:L,6,0)</f>
        <v>515.06641119536903</v>
      </c>
      <c r="N23" s="131">
        <v>55.58</v>
      </c>
      <c r="O23" s="131">
        <v>14.96</v>
      </c>
      <c r="P23" s="80">
        <f t="shared" si="3"/>
        <v>585.60641119536911</v>
      </c>
      <c r="Q23" s="134">
        <f>IF(ISERROR(VLOOKUP(K23,BASE!$H$3:$I$109,2,0)),0,(VLOOKUP(K23,BASE!$H$3:$I$109,2,0)))</f>
        <v>477.21</v>
      </c>
      <c r="R23" s="80">
        <f t="shared" si="4"/>
        <v>108.39641119536913</v>
      </c>
    </row>
    <row r="24" spans="1:18" x14ac:dyDescent="0.25">
      <c r="A24" s="78">
        <v>303</v>
      </c>
      <c r="B24" s="78" t="s">
        <v>144</v>
      </c>
      <c r="C24" s="79">
        <f>VLOOKUP(A24,Rateio!A:L,4,0)</f>
        <v>462.11507260392477</v>
      </c>
      <c r="D24" s="80">
        <f>VLOOKUP(A24,Rateio!A:L,6,0)</f>
        <v>515.06641119536903</v>
      </c>
      <c r="E24" s="135">
        <v>77.239999999999995</v>
      </c>
      <c r="F24" s="131">
        <v>75.510000000000005</v>
      </c>
      <c r="G24" s="80">
        <f t="shared" si="0"/>
        <v>667.81641119536903</v>
      </c>
      <c r="H24" s="134">
        <f>IF(ISERROR(VLOOKUP(B24,BASE!$H$3:$I$109,2,0)),0,(VLOOKUP(B24,BASE!$H$3:$I$109,2,0)))</f>
        <v>524.32000000000005</v>
      </c>
      <c r="I24" s="80">
        <f t="shared" si="5"/>
        <v>143.49641119536898</v>
      </c>
      <c r="J24" s="81">
        <v>303</v>
      </c>
      <c r="K24" s="79" t="str">
        <f t="shared" si="2"/>
        <v>303B</v>
      </c>
      <c r="L24" s="79">
        <f>VLOOKUP(J24,Rateio!G:L,4,0)</f>
        <v>462.11507260392477</v>
      </c>
      <c r="M24" s="80">
        <f>VLOOKUP(J24,Rateio!G:L,6,0)</f>
        <v>515.06641119536903</v>
      </c>
      <c r="N24" s="131">
        <v>68.64</v>
      </c>
      <c r="O24" s="131">
        <v>81.069999999999993</v>
      </c>
      <c r="P24" s="80">
        <f t="shared" si="3"/>
        <v>664.77641119536906</v>
      </c>
      <c r="Q24" s="134">
        <f>IF(ISERROR(VLOOKUP(K24,BASE!$H$3:$I$109,2,0)),0,(VLOOKUP(K24,BASE!$H$3:$I$109,2,0)))</f>
        <v>503.86</v>
      </c>
      <c r="R24" s="80">
        <f t="shared" si="4"/>
        <v>160.91641119536905</v>
      </c>
    </row>
    <row r="25" spans="1:18" x14ac:dyDescent="0.25">
      <c r="A25" s="78">
        <v>304</v>
      </c>
      <c r="B25" s="78" t="s">
        <v>242</v>
      </c>
      <c r="C25" s="79">
        <f>VLOOKUP(A25,Rateio!A:L,4,0)</f>
        <v>562.553537853433</v>
      </c>
      <c r="D25" s="80">
        <f>VLOOKUP(A25,Rateio!A:L,6,0)</f>
        <v>515.06641119536903</v>
      </c>
      <c r="E25" s="135">
        <v>45.84</v>
      </c>
      <c r="F25" s="131">
        <v>38.22</v>
      </c>
      <c r="G25" s="80">
        <f t="shared" si="0"/>
        <v>599.12641119536909</v>
      </c>
      <c r="H25" s="134">
        <f>IF(ISERROR(VLOOKUP(B25,BASE!$H$3:$I$109,2,0)),0,(VLOOKUP(B25,BASE!$H$3:$I$109,2,0)))</f>
        <v>455.72</v>
      </c>
      <c r="I25" s="80">
        <f t="shared" si="5"/>
        <v>143.40641119536906</v>
      </c>
      <c r="J25" s="81">
        <v>304</v>
      </c>
      <c r="K25" s="79" t="str">
        <f t="shared" si="2"/>
        <v>304B</v>
      </c>
      <c r="L25" s="79">
        <f>VLOOKUP(J25,Rateio!G:L,4,0)</f>
        <v>562.553537853433</v>
      </c>
      <c r="M25" s="80">
        <f>VLOOKUP(J25,Rateio!G:L,6,0)</f>
        <v>515.06641119536903</v>
      </c>
      <c r="N25" s="131">
        <v>6.46</v>
      </c>
      <c r="O25" s="131">
        <v>0</v>
      </c>
      <c r="P25" s="80">
        <f t="shared" si="3"/>
        <v>521.52641119536906</v>
      </c>
      <c r="Q25" s="134">
        <f>IF(ISERROR(VLOOKUP(K25,BASE!$H$3:$I$109,2,0)),0,(VLOOKUP(K25,BASE!$H$3:$I$109,2,0)))</f>
        <v>380.44</v>
      </c>
      <c r="R25" s="80">
        <f t="shared" si="4"/>
        <v>141.08641119536907</v>
      </c>
    </row>
    <row r="26" spans="1:18" x14ac:dyDescent="0.25">
      <c r="A26" s="78">
        <v>305</v>
      </c>
      <c r="B26" s="78" t="s">
        <v>175</v>
      </c>
      <c r="C26" s="79">
        <f>VLOOKUP(A26,Rateio!A:L,4,0)</f>
        <v>562.553537853433</v>
      </c>
      <c r="D26" s="80">
        <f>VLOOKUP(A26,Rateio!A:L,6,0)</f>
        <v>515.06641119536903</v>
      </c>
      <c r="E26" s="135">
        <v>74.290000000000006</v>
      </c>
      <c r="F26" s="131">
        <v>0</v>
      </c>
      <c r="G26" s="80">
        <f t="shared" si="0"/>
        <v>589.35641119536899</v>
      </c>
      <c r="H26" s="134">
        <f>IF(ISERROR(VLOOKUP(B26,BASE!$H$3:$I$109,2,0)),0,(VLOOKUP(B26,BASE!$H$3:$I$109,2,0)))</f>
        <v>0</v>
      </c>
      <c r="I26" s="80">
        <f t="shared" si="5"/>
        <v>589.35641119536899</v>
      </c>
      <c r="J26" s="81">
        <v>305</v>
      </c>
      <c r="K26" s="79" t="str">
        <f t="shared" si="2"/>
        <v>305B</v>
      </c>
      <c r="L26" s="79">
        <f>VLOOKUP(J26,Rateio!G:L,4,0)</f>
        <v>562.553537853433</v>
      </c>
      <c r="M26" s="80">
        <f>VLOOKUP(J26,Rateio!G:L,6,0)</f>
        <v>515.06641119536903</v>
      </c>
      <c r="N26" s="131">
        <v>53.39</v>
      </c>
      <c r="O26" s="131">
        <v>52.96</v>
      </c>
      <c r="P26" s="80">
        <f t="shared" si="3"/>
        <v>621.41641119536905</v>
      </c>
      <c r="Q26" s="134">
        <f>IF(ISERROR(VLOOKUP(K26,BASE!$H$3:$I$109,2,0)),0,(VLOOKUP(K26,BASE!$H$3:$I$109,2,0)))</f>
        <v>456.17</v>
      </c>
      <c r="R26" s="80">
        <f t="shared" si="4"/>
        <v>165.24641119536903</v>
      </c>
    </row>
    <row r="27" spans="1:18" x14ac:dyDescent="0.25">
      <c r="A27" s="78">
        <v>306</v>
      </c>
      <c r="B27" s="78" t="s">
        <v>177</v>
      </c>
      <c r="C27" s="79">
        <f>VLOOKUP(A27,Rateio!A:L,4,0)</f>
        <v>450.77434036222513</v>
      </c>
      <c r="D27" s="80">
        <f>VLOOKUP(A27,Rateio!A:L,6,0)</f>
        <v>515.06641119536903</v>
      </c>
      <c r="E27" s="135">
        <v>52.92</v>
      </c>
      <c r="F27" s="131">
        <v>6.89</v>
      </c>
      <c r="G27" s="80">
        <f t="shared" si="0"/>
        <v>574.87641119536897</v>
      </c>
      <c r="H27" s="134">
        <f>IF(ISERROR(VLOOKUP(B27,BASE!$H$3:$I$109,2,0)),0,(VLOOKUP(B27,BASE!$H$3:$I$109,2,0)))</f>
        <v>425.09</v>
      </c>
      <c r="I27" s="80">
        <f t="shared" si="5"/>
        <v>149.786411195369</v>
      </c>
      <c r="J27" s="81">
        <v>306</v>
      </c>
      <c r="K27" s="79" t="str">
        <f t="shared" si="2"/>
        <v>306B</v>
      </c>
      <c r="L27" s="79">
        <f>VLOOKUP(J27,Rateio!G:L,4,0)</f>
        <v>0</v>
      </c>
      <c r="M27" s="80">
        <f>VLOOKUP(J27,Rateio!G:L,6,0)</f>
        <v>0</v>
      </c>
      <c r="N27" s="131">
        <v>60.23</v>
      </c>
      <c r="O27" s="131">
        <v>39.520000000000003</v>
      </c>
      <c r="P27" s="80">
        <f t="shared" si="3"/>
        <v>99.75</v>
      </c>
      <c r="Q27" s="134">
        <f>IF(ISERROR(VLOOKUP(K27,BASE!$H$3:$I$109,2,0)),0,(VLOOKUP(K27,BASE!$H$3:$I$109,2,0)))</f>
        <v>416.88</v>
      </c>
      <c r="R27" s="80">
        <f t="shared" si="4"/>
        <v>-317.13</v>
      </c>
    </row>
    <row r="28" spans="1:18" x14ac:dyDescent="0.25">
      <c r="A28" s="78">
        <v>307</v>
      </c>
      <c r="B28" s="78" t="s">
        <v>179</v>
      </c>
      <c r="C28" s="79">
        <f>VLOOKUP(A28,Rateio!A:L,4,0)</f>
        <v>450.77434036222513</v>
      </c>
      <c r="D28" s="80">
        <f>VLOOKUP(A28,Rateio!A:L,6,0)</f>
        <v>515.06641119536903</v>
      </c>
      <c r="E28" s="135">
        <v>35.01</v>
      </c>
      <c r="F28" s="131">
        <v>15.34</v>
      </c>
      <c r="G28" s="80">
        <f t="shared" si="0"/>
        <v>565.41641119536905</v>
      </c>
      <c r="H28" s="134">
        <f>IF(ISERROR(VLOOKUP(B28,BASE!$H$3:$I$109,2,0)),0,(VLOOKUP(B28,BASE!$H$3:$I$109,2,0)))</f>
        <v>427.58</v>
      </c>
      <c r="I28" s="80">
        <f t="shared" si="5"/>
        <v>137.83641119536907</v>
      </c>
      <c r="J28" s="81">
        <v>307</v>
      </c>
      <c r="K28" s="79" t="str">
        <f t="shared" si="2"/>
        <v>307B</v>
      </c>
      <c r="L28" s="79">
        <f>VLOOKUP(J28,Rateio!G:L,4,0)</f>
        <v>450.77434036222513</v>
      </c>
      <c r="M28" s="80">
        <f>VLOOKUP(J28,Rateio!G:L,6,0)</f>
        <v>515.06641119536903</v>
      </c>
      <c r="N28" s="131">
        <v>8.7899999999999991</v>
      </c>
      <c r="O28" s="131">
        <v>0</v>
      </c>
      <c r="P28" s="80">
        <f t="shared" si="3"/>
        <v>523.85641119536899</v>
      </c>
      <c r="Q28" s="134">
        <f>IF(ISERROR(VLOOKUP(K28,BASE!$H$3:$I$109,2,0)),0,(VLOOKUP(K28,BASE!$H$3:$I$109,2,0)))</f>
        <v>392.09000000000003</v>
      </c>
      <c r="R28" s="80">
        <f t="shared" si="4"/>
        <v>131.76641119536896</v>
      </c>
    </row>
    <row r="29" spans="1:18" x14ac:dyDescent="0.25">
      <c r="A29" s="78">
        <v>308</v>
      </c>
      <c r="B29" s="78" t="s">
        <v>243</v>
      </c>
      <c r="C29" s="79">
        <f>VLOOKUP(A29,Rateio!A:L,4,0)</f>
        <v>562.553537853433</v>
      </c>
      <c r="D29" s="80">
        <f>VLOOKUP(A29,Rateio!A:L,6,0)</f>
        <v>515.06641119536903</v>
      </c>
      <c r="E29" s="131">
        <v>0</v>
      </c>
      <c r="F29" s="131">
        <v>0</v>
      </c>
      <c r="G29" s="80">
        <f t="shared" si="0"/>
        <v>515.06641119536903</v>
      </c>
      <c r="H29" s="134">
        <f>IF(ISERROR(VLOOKUP(B29,BASE!$H$3:$I$109,2,0)),0,(VLOOKUP(B29,BASE!$H$3:$I$109,2,0)))</f>
        <v>0</v>
      </c>
      <c r="I29" s="80">
        <f t="shared" si="5"/>
        <v>515.06641119536903</v>
      </c>
      <c r="J29" s="81">
        <v>308</v>
      </c>
      <c r="K29" s="79" t="str">
        <f t="shared" si="2"/>
        <v>308B</v>
      </c>
      <c r="L29" s="79">
        <f>VLOOKUP(J29,Rateio!G:L,4,0)</f>
        <v>562.553537853433</v>
      </c>
      <c r="M29" s="80">
        <f>VLOOKUP(J29,Rateio!G:L,6,0)</f>
        <v>515.06641119536903</v>
      </c>
      <c r="N29" s="131">
        <v>43.32</v>
      </c>
      <c r="O29" s="131">
        <v>24.68</v>
      </c>
      <c r="P29" s="80">
        <f t="shared" si="3"/>
        <v>583.06641119536903</v>
      </c>
      <c r="Q29" s="134">
        <f>IF(ISERROR(VLOOKUP(K29,BASE!$H$3:$I$109,2,0)),0,(VLOOKUP(K29,BASE!$H$3:$I$109,2,0)))</f>
        <v>504.35</v>
      </c>
      <c r="R29" s="80">
        <f t="shared" si="4"/>
        <v>78.716411195369005</v>
      </c>
    </row>
    <row r="30" spans="1:18" x14ac:dyDescent="0.25">
      <c r="A30" s="78">
        <v>401</v>
      </c>
      <c r="B30" s="78" t="s">
        <v>244</v>
      </c>
      <c r="C30" s="79">
        <f>VLOOKUP(A30,Rateio!A:L,4,0)</f>
        <v>562.553537853433</v>
      </c>
      <c r="D30" s="80">
        <f>VLOOKUP(A30,Rateio!A:L,6,0)</f>
        <v>515.06641119536903</v>
      </c>
      <c r="E30" s="131">
        <v>0</v>
      </c>
      <c r="F30" s="131">
        <v>0</v>
      </c>
      <c r="G30" s="80">
        <f t="shared" si="0"/>
        <v>515.06641119536903</v>
      </c>
      <c r="H30" s="134">
        <f>IF(ISERROR(VLOOKUP(B30,BASE!$H$3:$I$109,2,0)),0,(VLOOKUP(B30,BASE!$H$3:$I$109,2,0)))</f>
        <v>0</v>
      </c>
      <c r="I30" s="80">
        <f t="shared" si="5"/>
        <v>515.06641119536903</v>
      </c>
      <c r="J30" s="81">
        <v>401</v>
      </c>
      <c r="K30" s="79" t="str">
        <f t="shared" si="2"/>
        <v>401B</v>
      </c>
      <c r="L30" s="79">
        <f>VLOOKUP(J30,Rateio!G:L,4,0)</f>
        <v>562.553537853433</v>
      </c>
      <c r="M30" s="80">
        <f>VLOOKUP(J30,Rateio!G:L,6,0)</f>
        <v>515.06641119536903</v>
      </c>
      <c r="N30" s="131">
        <v>0</v>
      </c>
      <c r="O30" s="131">
        <v>0</v>
      </c>
      <c r="P30" s="80">
        <f t="shared" si="3"/>
        <v>515.06641119536903</v>
      </c>
      <c r="Q30" s="134">
        <f>IF(ISERROR(VLOOKUP(K30,BASE!$H$3:$I$109,2,0)),0,(VLOOKUP(K30,BASE!$H$3:$I$109,2,0)))</f>
        <v>0</v>
      </c>
      <c r="R30" s="80">
        <f t="shared" si="4"/>
        <v>515.06641119536903</v>
      </c>
    </row>
    <row r="31" spans="1:18" x14ac:dyDescent="0.25">
      <c r="A31" s="78">
        <v>402</v>
      </c>
      <c r="B31" s="78" t="s">
        <v>183</v>
      </c>
      <c r="C31" s="79">
        <f>VLOOKUP(A31,Rateio!A:L,4,0)</f>
        <v>462.11507260392477</v>
      </c>
      <c r="D31" s="80">
        <f>VLOOKUP(A31,Rateio!A:L,6,0)</f>
        <v>515.06641119536903</v>
      </c>
      <c r="E31" s="131">
        <v>0</v>
      </c>
      <c r="F31" s="131">
        <v>0</v>
      </c>
      <c r="G31" s="80">
        <f t="shared" si="0"/>
        <v>515.06641119536903</v>
      </c>
      <c r="H31" s="134">
        <f>IF(ISERROR(VLOOKUP(B31,BASE!$H$3:$I$109,2,0)),0,(VLOOKUP(B31,BASE!$H$3:$I$109,2,0)))</f>
        <v>0</v>
      </c>
      <c r="I31" s="80">
        <f t="shared" si="5"/>
        <v>515.06641119536903</v>
      </c>
      <c r="J31" s="81">
        <v>402</v>
      </c>
      <c r="K31" s="79" t="str">
        <f t="shared" si="2"/>
        <v>402B</v>
      </c>
      <c r="L31" s="79">
        <f>VLOOKUP(J31,Rateio!G:L,4,0)</f>
        <v>462.11507260392477</v>
      </c>
      <c r="M31" s="80">
        <f>VLOOKUP(J31,Rateio!G:L,6,0)</f>
        <v>515.06641119536903</v>
      </c>
      <c r="N31" s="131">
        <v>0</v>
      </c>
      <c r="O31" s="131">
        <v>0</v>
      </c>
      <c r="P31" s="80">
        <f t="shared" si="3"/>
        <v>515.06641119536903</v>
      </c>
      <c r="Q31" s="134">
        <f>IF(ISERROR(VLOOKUP(K31,BASE!$H$3:$I$109,2,0)),0,(VLOOKUP(K31,BASE!$H$3:$I$109,2,0)))</f>
        <v>0</v>
      </c>
      <c r="R31" s="80">
        <f t="shared" si="4"/>
        <v>515.06641119536903</v>
      </c>
    </row>
    <row r="32" spans="1:18" x14ac:dyDescent="0.25">
      <c r="A32" s="78">
        <v>403</v>
      </c>
      <c r="B32" s="78" t="s">
        <v>185</v>
      </c>
      <c r="C32" s="79">
        <f>VLOOKUP(A32,Rateio!A:L,4,0)</f>
        <v>462.11507260392477</v>
      </c>
      <c r="D32" s="80">
        <f>VLOOKUP(A32,Rateio!A:L,6,0)</f>
        <v>515.06641119536903</v>
      </c>
      <c r="E32" s="131">
        <v>0</v>
      </c>
      <c r="F32" s="131">
        <v>0</v>
      </c>
      <c r="G32" s="80">
        <f t="shared" si="0"/>
        <v>515.06641119536903</v>
      </c>
      <c r="H32" s="134">
        <f>IF(ISERROR(VLOOKUP(B32,BASE!$H$3:$I$109,2,0)),0,(VLOOKUP(B32,BASE!$H$3:$I$109,2,0)))</f>
        <v>0</v>
      </c>
      <c r="I32" s="80">
        <f t="shared" si="5"/>
        <v>515.06641119536903</v>
      </c>
      <c r="J32" s="81">
        <v>403</v>
      </c>
      <c r="K32" s="79" t="str">
        <f t="shared" si="2"/>
        <v>403B</v>
      </c>
      <c r="L32" s="79">
        <f>VLOOKUP(J32,Rateio!G:L,4,0)</f>
        <v>462.11507260392477</v>
      </c>
      <c r="M32" s="80">
        <f>VLOOKUP(J32,Rateio!G:L,6,0)</f>
        <v>515.06641119536903</v>
      </c>
      <c r="N32" s="131">
        <v>0</v>
      </c>
      <c r="O32" s="131">
        <v>0</v>
      </c>
      <c r="P32" s="80">
        <f t="shared" si="3"/>
        <v>515.06641119536903</v>
      </c>
      <c r="Q32" s="134">
        <f>IF(ISERROR(VLOOKUP(K32,BASE!$H$3:$I$109,2,0)),0,(VLOOKUP(K32,BASE!$H$3:$I$109,2,0)))</f>
        <v>0</v>
      </c>
      <c r="R32" s="80">
        <f t="shared" si="4"/>
        <v>515.06641119536903</v>
      </c>
    </row>
    <row r="33" spans="1:18" x14ac:dyDescent="0.25">
      <c r="A33" s="78">
        <v>404</v>
      </c>
      <c r="B33" s="78" t="s">
        <v>187</v>
      </c>
      <c r="C33" s="79">
        <f>VLOOKUP(A33,Rateio!A:L,4,0)</f>
        <v>562.553537853433</v>
      </c>
      <c r="D33" s="80">
        <f>VLOOKUP(A33,Rateio!A:L,6,0)</f>
        <v>515.06641119536903</v>
      </c>
      <c r="E33" s="131">
        <v>0</v>
      </c>
      <c r="F33" s="131">
        <v>0</v>
      </c>
      <c r="G33" s="80">
        <f t="shared" si="0"/>
        <v>515.06641119536903</v>
      </c>
      <c r="H33" s="134">
        <f>IF(ISERROR(VLOOKUP(B33,BASE!$H$3:$I$109,2,0)),0,(VLOOKUP(B33,BASE!$H$3:$I$109,2,0)))</f>
        <v>0</v>
      </c>
      <c r="I33" s="80">
        <f t="shared" si="5"/>
        <v>515.06641119536903</v>
      </c>
      <c r="J33" s="81">
        <v>404</v>
      </c>
      <c r="K33" s="79" t="str">
        <f t="shared" si="2"/>
        <v>404B</v>
      </c>
      <c r="L33" s="79">
        <f>VLOOKUP(J33,Rateio!G:L,4,0)</f>
        <v>562.553537853433</v>
      </c>
      <c r="M33" s="80">
        <f>VLOOKUP(J33,Rateio!G:L,6,0)</f>
        <v>515.06641119536903</v>
      </c>
      <c r="N33" s="131">
        <v>0</v>
      </c>
      <c r="O33" s="131">
        <v>0</v>
      </c>
      <c r="P33" s="80">
        <f t="shared" si="3"/>
        <v>515.06641119536903</v>
      </c>
      <c r="Q33" s="134">
        <f>IF(ISERROR(VLOOKUP(K33,BASE!$H$3:$I$109,2,0)),0,(VLOOKUP(K33,BASE!$H$3:$I$109,2,0)))</f>
        <v>0</v>
      </c>
      <c r="R33" s="80">
        <f t="shared" si="4"/>
        <v>515.06641119536903</v>
      </c>
    </row>
    <row r="34" spans="1:18" x14ac:dyDescent="0.25">
      <c r="A34" s="78">
        <v>405</v>
      </c>
      <c r="B34" s="78" t="s">
        <v>189</v>
      </c>
      <c r="C34" s="79">
        <f>VLOOKUP(A34,Rateio!A:L,4,0)</f>
        <v>562.553537853433</v>
      </c>
      <c r="D34" s="80">
        <f>VLOOKUP(A34,Rateio!A:L,6,0)</f>
        <v>515.06641119536903</v>
      </c>
      <c r="E34" s="131">
        <v>0</v>
      </c>
      <c r="F34" s="131">
        <v>0</v>
      </c>
      <c r="G34" s="80">
        <f t="shared" si="0"/>
        <v>515.06641119536903</v>
      </c>
      <c r="H34" s="134">
        <f>IF(ISERROR(VLOOKUP(B34,BASE!$H$3:$I$109,2,0)),0,(VLOOKUP(B34,BASE!$H$3:$I$109,2,0)))</f>
        <v>0</v>
      </c>
      <c r="I34" s="80">
        <f t="shared" si="5"/>
        <v>515.06641119536903</v>
      </c>
      <c r="J34" s="81">
        <v>405</v>
      </c>
      <c r="K34" s="79" t="str">
        <f t="shared" si="2"/>
        <v>405B</v>
      </c>
      <c r="L34" s="79">
        <f>VLOOKUP(J34,Rateio!G:L,4,0)</f>
        <v>562.553537853433</v>
      </c>
      <c r="M34" s="80">
        <f>VLOOKUP(J34,Rateio!G:L,6,0)</f>
        <v>515.06641119536903</v>
      </c>
      <c r="N34" s="131">
        <v>0</v>
      </c>
      <c r="O34" s="131">
        <v>22.44</v>
      </c>
      <c r="P34" s="80">
        <f t="shared" si="3"/>
        <v>537.50641119536908</v>
      </c>
      <c r="Q34" s="134">
        <f>IF(ISERROR(VLOOKUP(K34,BASE!$H$3:$I$109,2,0)),0,(VLOOKUP(K34,BASE!$H$3:$I$109,2,0)))</f>
        <v>384.85</v>
      </c>
      <c r="R34" s="80">
        <f t="shared" si="4"/>
        <v>152.65641119536906</v>
      </c>
    </row>
    <row r="35" spans="1:18" x14ac:dyDescent="0.25">
      <c r="A35" s="78">
        <v>406</v>
      </c>
      <c r="B35" s="78" t="s">
        <v>191</v>
      </c>
      <c r="C35" s="79">
        <f>VLOOKUP(A35,Rateio!A:L,4,0)</f>
        <v>450.77434036222513</v>
      </c>
      <c r="D35" s="80">
        <f>VLOOKUP(A35,Rateio!A:L,6,0)</f>
        <v>515.06641119536903</v>
      </c>
      <c r="E35" s="131">
        <v>0</v>
      </c>
      <c r="F35" s="131">
        <v>0</v>
      </c>
      <c r="G35" s="80">
        <f t="shared" si="0"/>
        <v>515.06641119536903</v>
      </c>
      <c r="H35" s="134">
        <f>IF(ISERROR(VLOOKUP(B35,BASE!$H$3:$I$109,2,0)),0,(VLOOKUP(B35,BASE!$H$3:$I$109,2,0)))</f>
        <v>0</v>
      </c>
      <c r="I35" s="80">
        <f t="shared" si="5"/>
        <v>515.06641119536903</v>
      </c>
      <c r="J35" s="81">
        <v>406</v>
      </c>
      <c r="K35" s="79" t="str">
        <f t="shared" si="2"/>
        <v>406B</v>
      </c>
      <c r="L35" s="79">
        <f>VLOOKUP(J35,Rateio!G:L,4,0)</f>
        <v>450.77434036222513</v>
      </c>
      <c r="M35" s="80">
        <f>VLOOKUP(J35,Rateio!G:L,6,0)</f>
        <v>515.06641119536903</v>
      </c>
      <c r="N35" s="131">
        <v>0</v>
      </c>
      <c r="O35" s="131">
        <v>0</v>
      </c>
      <c r="P35" s="80">
        <f t="shared" si="3"/>
        <v>515.06641119536903</v>
      </c>
      <c r="Q35" s="134">
        <f>IF(ISERROR(VLOOKUP(K35,BASE!$H$3:$I$109,2,0)),0,(VLOOKUP(K35,BASE!$H$3:$I$109,2,0)))</f>
        <v>0</v>
      </c>
      <c r="R35" s="80">
        <f t="shared" si="4"/>
        <v>515.06641119536903</v>
      </c>
    </row>
    <row r="36" spans="1:18" x14ac:dyDescent="0.25">
      <c r="A36" s="78">
        <v>407</v>
      </c>
      <c r="B36" s="78" t="s">
        <v>193</v>
      </c>
      <c r="C36" s="79">
        <f>VLOOKUP(A36,Rateio!A:L,4,0)</f>
        <v>450.77434036222513</v>
      </c>
      <c r="D36" s="80">
        <f>VLOOKUP(A36,Rateio!A:L,6,0)</f>
        <v>515.06641119536903</v>
      </c>
      <c r="E36" s="131">
        <v>0</v>
      </c>
      <c r="F36" s="131">
        <v>0</v>
      </c>
      <c r="G36" s="80">
        <f t="shared" si="0"/>
        <v>515.06641119536903</v>
      </c>
      <c r="H36" s="134">
        <f>IF(ISERROR(VLOOKUP(B36,BASE!$H$3:$I$109,2,0)),0,(VLOOKUP(B36,BASE!$H$3:$I$109,2,0)))</f>
        <v>0</v>
      </c>
      <c r="I36" s="80">
        <f t="shared" si="5"/>
        <v>515.06641119536903</v>
      </c>
      <c r="J36" s="81">
        <v>407</v>
      </c>
      <c r="K36" s="79" t="str">
        <f t="shared" si="2"/>
        <v>407B</v>
      </c>
      <c r="L36" s="79">
        <f>VLOOKUP(J36,Rateio!G:L,4,0)</f>
        <v>450.77434036222513</v>
      </c>
      <c r="M36" s="80">
        <f>VLOOKUP(J36,Rateio!G:L,6,0)</f>
        <v>515.06641119536903</v>
      </c>
      <c r="N36" s="131">
        <v>0</v>
      </c>
      <c r="O36" s="131">
        <v>0</v>
      </c>
      <c r="P36" s="80">
        <f t="shared" si="3"/>
        <v>515.06641119536903</v>
      </c>
      <c r="Q36" s="134">
        <f>IF(ISERROR(VLOOKUP(K36,BASE!$H$3:$I$109,2,0)),0,(VLOOKUP(K36,BASE!$H$3:$I$109,2,0)))</f>
        <v>0</v>
      </c>
      <c r="R36" s="80">
        <f t="shared" si="4"/>
        <v>515.06641119536903</v>
      </c>
    </row>
    <row r="37" spans="1:18" x14ac:dyDescent="0.25">
      <c r="A37" s="78">
        <v>408</v>
      </c>
      <c r="B37" s="78" t="s">
        <v>195</v>
      </c>
      <c r="C37" s="79">
        <f>VLOOKUP(A37,Rateio!A:L,4,0)</f>
        <v>562.553537853433</v>
      </c>
      <c r="D37" s="80">
        <f>VLOOKUP(A37,Rateio!A:L,6,0)</f>
        <v>515.06641119536903</v>
      </c>
      <c r="E37" s="131">
        <v>0</v>
      </c>
      <c r="F37" s="131">
        <v>0</v>
      </c>
      <c r="G37" s="80">
        <f t="shared" si="0"/>
        <v>515.06641119536903</v>
      </c>
      <c r="H37" s="134">
        <f>IF(ISERROR(VLOOKUP(B37,BASE!$H$3:$I$109,2,0)),0,(VLOOKUP(B37,BASE!$H$3:$I$109,2,0)))</f>
        <v>0</v>
      </c>
      <c r="I37" s="80">
        <f t="shared" si="5"/>
        <v>515.06641119536903</v>
      </c>
      <c r="J37" s="81">
        <v>408</v>
      </c>
      <c r="K37" s="79" t="str">
        <f t="shared" si="2"/>
        <v>408B</v>
      </c>
      <c r="L37" s="79">
        <f>VLOOKUP(J37,Rateio!G:L,4,0)</f>
        <v>562.553537853433</v>
      </c>
      <c r="M37" s="80">
        <f>VLOOKUP(J37,Rateio!G:L,6,0)</f>
        <v>515.06641119536903</v>
      </c>
      <c r="N37" s="131">
        <v>0</v>
      </c>
      <c r="O37" s="131">
        <v>0</v>
      </c>
      <c r="P37" s="80">
        <f t="shared" si="3"/>
        <v>515.06641119536903</v>
      </c>
      <c r="Q37" s="134">
        <f>IF(ISERROR(VLOOKUP(K37,BASE!$H$3:$I$109,2,0)),0,(VLOOKUP(K37,BASE!$H$3:$I$109,2,0)))</f>
        <v>0</v>
      </c>
      <c r="R37" s="80">
        <f t="shared" si="4"/>
        <v>515.06641119536903</v>
      </c>
    </row>
    <row r="38" spans="1:18" x14ac:dyDescent="0.25">
      <c r="A38" s="78">
        <v>501</v>
      </c>
      <c r="B38" s="78" t="s">
        <v>197</v>
      </c>
      <c r="C38" s="79">
        <f>VLOOKUP(A38,Rateio!A:L,4,0)</f>
        <v>562.553537853433</v>
      </c>
      <c r="D38" s="80">
        <f>VLOOKUP(A38,Rateio!A:L,6,0)</f>
        <v>515.06641119536903</v>
      </c>
      <c r="E38" s="131">
        <v>139.51</v>
      </c>
      <c r="F38" s="131">
        <v>152.84</v>
      </c>
      <c r="G38" s="80">
        <f t="shared" si="0"/>
        <v>807.41641119536905</v>
      </c>
      <c r="H38" s="134">
        <f>IF(ISERROR(VLOOKUP(B38,BASE!$H$3:$I$109,2,0)),0,(VLOOKUP(B38,BASE!$H$3:$I$109,2,0)))</f>
        <v>617.91999999999996</v>
      </c>
      <c r="I38" s="80">
        <f t="shared" si="5"/>
        <v>189.49641119536909</v>
      </c>
      <c r="J38" s="81">
        <v>501</v>
      </c>
      <c r="K38" s="79" t="str">
        <f t="shared" si="2"/>
        <v>501B</v>
      </c>
      <c r="L38" s="79">
        <f>VLOOKUP(J38,Rateio!G:L,4,0)</f>
        <v>562.553537853433</v>
      </c>
      <c r="M38" s="80">
        <f>VLOOKUP(J38,Rateio!G:L,6,0)</f>
        <v>515.06641119536903</v>
      </c>
      <c r="N38" s="131">
        <v>162.21</v>
      </c>
      <c r="O38" s="131">
        <v>125.21</v>
      </c>
      <c r="P38" s="80">
        <f t="shared" si="3"/>
        <v>802.4864111953691</v>
      </c>
      <c r="Q38" s="134">
        <f>IF(ISERROR(VLOOKUP(K38,BASE!$H$3:$I$109,2,0)),0,(VLOOKUP(K38,BASE!$H$3:$I$109,2,0)))</f>
        <v>601.65</v>
      </c>
      <c r="R38" s="80">
        <f t="shared" si="4"/>
        <v>200.83641119536912</v>
      </c>
    </row>
    <row r="39" spans="1:18" x14ac:dyDescent="0.25">
      <c r="A39" s="78">
        <v>502</v>
      </c>
      <c r="B39" s="78" t="s">
        <v>199</v>
      </c>
      <c r="C39" s="79">
        <f>VLOOKUP(A39,Rateio!A:L,4,0)</f>
        <v>462.11507260392477</v>
      </c>
      <c r="D39" s="80">
        <f>VLOOKUP(A39,Rateio!A:L,6,0)</f>
        <v>515.06641119536903</v>
      </c>
      <c r="E39" s="131">
        <v>87.02</v>
      </c>
      <c r="F39" s="131">
        <v>52.78</v>
      </c>
      <c r="G39" s="80">
        <f t="shared" si="0"/>
        <v>654.86641119536898</v>
      </c>
      <c r="H39" s="134">
        <f>IF(ISERROR(VLOOKUP(B39,BASE!$H$3:$I$109,2,0)),0,(VLOOKUP(B39,BASE!$H$3:$I$109,2,0)))</f>
        <v>464.89</v>
      </c>
      <c r="I39" s="80">
        <f t="shared" si="5"/>
        <v>189.976411195369</v>
      </c>
      <c r="J39" s="81">
        <v>502</v>
      </c>
      <c r="K39" s="79" t="str">
        <f t="shared" si="2"/>
        <v>502B</v>
      </c>
      <c r="L39" s="79">
        <f>VLOOKUP(J39,Rateio!G:L,4,0)</f>
        <v>462.11507260392477</v>
      </c>
      <c r="M39" s="80">
        <f>VLOOKUP(J39,Rateio!G:L,6,0)</f>
        <v>515.06641119536903</v>
      </c>
      <c r="N39" s="131">
        <v>58.24</v>
      </c>
      <c r="O39" s="131">
        <v>44.51</v>
      </c>
      <c r="P39" s="80">
        <f t="shared" si="3"/>
        <v>617.81641119536903</v>
      </c>
      <c r="Q39" s="134">
        <f>IF(ISERROR(VLOOKUP(K39,BASE!$H$3:$I$109,2,0)),0,(VLOOKUP(K39,BASE!$H$3:$I$109,2,0)))</f>
        <v>463.24</v>
      </c>
      <c r="R39" s="80">
        <f t="shared" si="4"/>
        <v>154.57641119536902</v>
      </c>
    </row>
    <row r="40" spans="1:18" x14ac:dyDescent="0.25">
      <c r="A40" s="78">
        <v>503</v>
      </c>
      <c r="B40" s="78" t="s">
        <v>234</v>
      </c>
      <c r="C40" s="79">
        <f>VLOOKUP(A40,Rateio!A:L,4,0)</f>
        <v>462.11507260392477</v>
      </c>
      <c r="D40" s="80">
        <f>VLOOKUP(A40,Rateio!A:L,6,0)</f>
        <v>515.06641119536903</v>
      </c>
      <c r="E40" s="131">
        <v>118.47</v>
      </c>
      <c r="F40" s="131">
        <v>109.31</v>
      </c>
      <c r="G40" s="80">
        <f t="shared" si="0"/>
        <v>742.846411195369</v>
      </c>
      <c r="H40" s="134">
        <f>IF(ISERROR(VLOOKUP(B40,BASE!$H$3:$I$109,2,0)),0,(VLOOKUP(B40,BASE!$H$3:$I$109,2,0)))</f>
        <v>0</v>
      </c>
      <c r="I40" s="80">
        <f t="shared" si="5"/>
        <v>742.846411195369</v>
      </c>
      <c r="J40" s="81">
        <v>503</v>
      </c>
      <c r="K40" s="79" t="str">
        <f t="shared" si="2"/>
        <v>503B</v>
      </c>
      <c r="L40" s="79">
        <f>VLOOKUP(J40,Rateio!G:L,4,0)</f>
        <v>462.11507260392477</v>
      </c>
      <c r="M40" s="80">
        <f>VLOOKUP(J40,Rateio!G:L,6,0)</f>
        <v>515.06641119536903</v>
      </c>
      <c r="N40" s="131">
        <v>55.77</v>
      </c>
      <c r="O40" s="131">
        <v>43.16</v>
      </c>
      <c r="P40" s="80">
        <f t="shared" si="3"/>
        <v>613.99641119536898</v>
      </c>
      <c r="Q40" s="134">
        <f>IF(ISERROR(VLOOKUP(K40,BASE!$H$3:$I$109,2,0)),0,(VLOOKUP(K40,BASE!$H$3:$I$109,2,0)))</f>
        <v>453.73</v>
      </c>
      <c r="R40" s="80">
        <f t="shared" si="4"/>
        <v>160.26641119536896</v>
      </c>
    </row>
    <row r="41" spans="1:18" x14ac:dyDescent="0.25">
      <c r="A41" s="78">
        <v>504</v>
      </c>
      <c r="B41" s="78" t="s">
        <v>202</v>
      </c>
      <c r="C41" s="79">
        <f>VLOOKUP(A41,Rateio!A:L,4,0)</f>
        <v>562.553537853433</v>
      </c>
      <c r="D41" s="80">
        <f>VLOOKUP(A41,Rateio!A:L,6,0)</f>
        <v>515.06641119536903</v>
      </c>
      <c r="E41" s="131">
        <v>70.209999999999994</v>
      </c>
      <c r="F41" s="131">
        <v>65.44</v>
      </c>
      <c r="G41" s="80">
        <f t="shared" si="0"/>
        <v>650.71641119536912</v>
      </c>
      <c r="H41" s="134">
        <f>IF(ISERROR(VLOOKUP(B41,BASE!$H$3:$I$109,2,0)),0,(VLOOKUP(B41,BASE!$H$3:$I$109,2,0)))</f>
        <v>481.23</v>
      </c>
      <c r="I41" s="80">
        <f t="shared" si="5"/>
        <v>169.4864111953691</v>
      </c>
      <c r="J41" s="81">
        <v>504</v>
      </c>
      <c r="K41" s="79" t="str">
        <f t="shared" si="2"/>
        <v>504B</v>
      </c>
      <c r="L41" s="79">
        <f>VLOOKUP(J41,Rateio!G:L,4,0)</f>
        <v>562.553537853433</v>
      </c>
      <c r="M41" s="80">
        <f>VLOOKUP(J41,Rateio!G:L,6,0)</f>
        <v>515.06641119536903</v>
      </c>
      <c r="N41" s="131">
        <v>57.81</v>
      </c>
      <c r="O41" s="131">
        <v>27.12</v>
      </c>
      <c r="P41" s="80">
        <f t="shared" si="3"/>
        <v>599.99641119536898</v>
      </c>
      <c r="Q41" s="134">
        <f>IF(ISERROR(VLOOKUP(K41,BASE!$H$3:$I$109,2,0)),0,(VLOOKUP(K41,BASE!$H$3:$I$109,2,0)))</f>
        <v>435.87</v>
      </c>
      <c r="R41" s="80">
        <f t="shared" si="4"/>
        <v>164.12641119536897</v>
      </c>
    </row>
    <row r="42" spans="1:18" x14ac:dyDescent="0.25">
      <c r="A42" s="78">
        <v>505</v>
      </c>
      <c r="B42" s="78" t="s">
        <v>204</v>
      </c>
      <c r="C42" s="79">
        <f>VLOOKUP(A42,Rateio!A:L,4,0)</f>
        <v>562.553537853433</v>
      </c>
      <c r="D42" s="80">
        <f>VLOOKUP(A42,Rateio!A:L,6,0)</f>
        <v>515.06641119536903</v>
      </c>
      <c r="E42" s="131">
        <v>38.76</v>
      </c>
      <c r="F42" s="131">
        <v>34.29</v>
      </c>
      <c r="G42" s="80">
        <f t="shared" si="0"/>
        <v>588.11641119536898</v>
      </c>
      <c r="H42" s="134">
        <f>IF(ISERROR(VLOOKUP(B42,BASE!$H$3:$I$109,2,0)),0,(VLOOKUP(B42,BASE!$H$3:$I$109,2,0)))</f>
        <v>438.71</v>
      </c>
      <c r="I42" s="80">
        <f t="shared" si="5"/>
        <v>149.406411195369</v>
      </c>
      <c r="J42" s="81">
        <v>505</v>
      </c>
      <c r="K42" s="79" t="str">
        <f t="shared" si="2"/>
        <v>505B</v>
      </c>
      <c r="L42" s="79">
        <f>VLOOKUP(J42,Rateio!G:L,4,0)</f>
        <v>562.553537853433</v>
      </c>
      <c r="M42" s="80">
        <f>VLOOKUP(J42,Rateio!G:L,6,0)</f>
        <v>515.06641119536903</v>
      </c>
      <c r="N42" s="131">
        <v>49.73</v>
      </c>
      <c r="O42" s="131">
        <v>15.6</v>
      </c>
      <c r="P42" s="80">
        <f t="shared" si="3"/>
        <v>580.39641119536907</v>
      </c>
      <c r="Q42" s="134">
        <f>IF(ISERROR(VLOOKUP(K42,BASE!$H$3:$I$109,2,0)),0,(VLOOKUP(K42,BASE!$H$3:$I$109,2,0)))</f>
        <v>421.63</v>
      </c>
      <c r="R42" s="80">
        <f t="shared" si="4"/>
        <v>158.76641119536907</v>
      </c>
    </row>
    <row r="43" spans="1:18" x14ac:dyDescent="0.25">
      <c r="A43" s="78">
        <v>506</v>
      </c>
      <c r="B43" s="78" t="s">
        <v>206</v>
      </c>
      <c r="C43" s="79">
        <f>VLOOKUP(A43,Rateio!A:L,4,0)</f>
        <v>450.77434036222513</v>
      </c>
      <c r="D43" s="80">
        <f>VLOOKUP(A43,Rateio!A:L,6,0)</f>
        <v>515.06641119536903</v>
      </c>
      <c r="E43" s="131">
        <v>13.3</v>
      </c>
      <c r="F43" s="131">
        <v>17.18</v>
      </c>
      <c r="G43" s="80">
        <f t="shared" si="0"/>
        <v>545.54641119536893</v>
      </c>
      <c r="H43" s="134">
        <f>IF(ISERROR(VLOOKUP(B43,BASE!$H$3:$I$109,2,0)),0,(VLOOKUP(B43,BASE!$H$3:$I$109,2,0)))</f>
        <v>400.3</v>
      </c>
      <c r="I43" s="80">
        <f t="shared" si="5"/>
        <v>145.24641119536892</v>
      </c>
      <c r="J43" s="81">
        <v>506</v>
      </c>
      <c r="K43" s="79" t="str">
        <f t="shared" si="2"/>
        <v>506B</v>
      </c>
      <c r="L43" s="79">
        <f>VLOOKUP(J43,Rateio!G:L,4,0)</f>
        <v>450.77434036222513</v>
      </c>
      <c r="M43" s="80">
        <f>VLOOKUP(J43,Rateio!G:L,6,0)</f>
        <v>515.06641119536903</v>
      </c>
      <c r="N43" s="131">
        <v>41.18</v>
      </c>
      <c r="O43" s="131">
        <v>38.99</v>
      </c>
      <c r="P43" s="80">
        <f t="shared" si="3"/>
        <v>595.23641119536899</v>
      </c>
      <c r="Q43" s="134">
        <f>IF(ISERROR(VLOOKUP(K43,BASE!$H$3:$I$109,2,0)),0,(VLOOKUP(K43,BASE!$H$3:$I$109,2,0)))</f>
        <v>458.09</v>
      </c>
      <c r="R43" s="80">
        <f t="shared" si="4"/>
        <v>137.14641119536901</v>
      </c>
    </row>
    <row r="44" spans="1:18" x14ac:dyDescent="0.25">
      <c r="A44" s="78">
        <v>507</v>
      </c>
      <c r="B44" s="78" t="s">
        <v>208</v>
      </c>
      <c r="C44" s="79">
        <f>VLOOKUP(A44,Rateio!A:L,4,0)</f>
        <v>450.77434036222513</v>
      </c>
      <c r="D44" s="80">
        <f>VLOOKUP(A44,Rateio!A:L,6,0)</f>
        <v>515.06641119536903</v>
      </c>
      <c r="E44" s="131">
        <v>9.5</v>
      </c>
      <c r="F44" s="131">
        <v>63.15</v>
      </c>
      <c r="G44" s="80">
        <f t="shared" si="0"/>
        <v>587.71641119536901</v>
      </c>
      <c r="H44" s="134">
        <f>IF(ISERROR(VLOOKUP(B44,BASE!$H$3:$I$109,2,0)),0,(VLOOKUP(B44,BASE!$H$3:$I$109,2,0)))</f>
        <v>471.98</v>
      </c>
      <c r="I44" s="80">
        <f t="shared" si="5"/>
        <v>115.73641119536899</v>
      </c>
      <c r="J44" s="81">
        <v>507</v>
      </c>
      <c r="K44" s="79" t="str">
        <f t="shared" si="2"/>
        <v>507B</v>
      </c>
      <c r="L44" s="79">
        <f>VLOOKUP(J44,Rateio!G:L,4,0)</f>
        <v>450.77434036222513</v>
      </c>
      <c r="M44" s="80">
        <f>VLOOKUP(J44,Rateio!G:L,6,0)</f>
        <v>515.06641119536903</v>
      </c>
      <c r="N44" s="131">
        <v>47.98</v>
      </c>
      <c r="O44" s="131">
        <v>71.47</v>
      </c>
      <c r="P44" s="80">
        <f t="shared" si="3"/>
        <v>634.51641119536907</v>
      </c>
      <c r="Q44" s="134">
        <f>IF(ISERROR(VLOOKUP(K44,BASE!$H$3:$I$109,2,0)),0,(VLOOKUP(K44,BASE!$H$3:$I$109,2,0)))</f>
        <v>0</v>
      </c>
      <c r="R44" s="80">
        <f t="shared" si="4"/>
        <v>634.51641119536907</v>
      </c>
    </row>
    <row r="45" spans="1:18" x14ac:dyDescent="0.25">
      <c r="A45" s="78">
        <v>508</v>
      </c>
      <c r="B45" s="78" t="s">
        <v>209</v>
      </c>
      <c r="C45" s="79">
        <f>VLOOKUP(A45,Rateio!A:L,4,0)</f>
        <v>562.553537853433</v>
      </c>
      <c r="D45" s="80">
        <f>VLOOKUP(A45,Rateio!A:L,6,0)</f>
        <v>515.06641119536903</v>
      </c>
      <c r="E45" s="131">
        <v>0</v>
      </c>
      <c r="F45" s="131">
        <v>0</v>
      </c>
      <c r="G45" s="80">
        <f t="shared" si="0"/>
        <v>515.06641119536903</v>
      </c>
      <c r="H45" s="134">
        <f>IF(ISERROR(VLOOKUP(B45,BASE!$H$3:$I$109,2,0)),0,(VLOOKUP(B45,BASE!$H$3:$I$109,2,0)))</f>
        <v>375.83</v>
      </c>
      <c r="I45" s="80">
        <f t="shared" si="5"/>
        <v>139.23641119536904</v>
      </c>
      <c r="J45" s="81">
        <v>508</v>
      </c>
      <c r="K45" s="79" t="str">
        <f t="shared" si="2"/>
        <v>508B</v>
      </c>
      <c r="L45" s="79">
        <f>VLOOKUP(J45,Rateio!G:L,4,0)</f>
        <v>562.553537853433</v>
      </c>
      <c r="M45" s="80">
        <f>VLOOKUP(J45,Rateio!G:L,6,0)</f>
        <v>515.06641119536903</v>
      </c>
      <c r="N45" s="131">
        <v>53.15</v>
      </c>
      <c r="O45" s="131">
        <v>74.73</v>
      </c>
      <c r="P45" s="80">
        <f t="shared" si="3"/>
        <v>642.94641119536902</v>
      </c>
      <c r="Q45" s="134">
        <f>IF(ISERROR(VLOOKUP(K45,BASE!$H$3:$I$109,2,0)),0,(VLOOKUP(K45,BASE!$H$3:$I$109,2,0)))</f>
        <v>493.57</v>
      </c>
      <c r="R45" s="80">
        <f t="shared" si="4"/>
        <v>149.37641119536903</v>
      </c>
    </row>
    <row r="46" spans="1:18" x14ac:dyDescent="0.25">
      <c r="A46" s="78">
        <v>601</v>
      </c>
      <c r="B46" s="78" t="s">
        <v>211</v>
      </c>
      <c r="C46" s="79">
        <f>VLOOKUP(A46,Rateio!A:L,4,0)</f>
        <v>562.553537853433</v>
      </c>
      <c r="D46" s="80">
        <f>VLOOKUP(A46,Rateio!A:L,6,0)</f>
        <v>515.06641119536903</v>
      </c>
      <c r="E46" s="131">
        <v>39.950000000000003</v>
      </c>
      <c r="F46" s="131">
        <v>41.26</v>
      </c>
      <c r="G46" s="80">
        <f t="shared" si="0"/>
        <v>596.27641119536906</v>
      </c>
      <c r="H46" s="134">
        <f>IF(ISERROR(VLOOKUP(B46,BASE!$H$3:$I$109,2,0)),0,(VLOOKUP(B46,BASE!$H$3:$I$109,2,0)))</f>
        <v>442.55</v>
      </c>
      <c r="I46" s="80">
        <f t="shared" si="5"/>
        <v>153.72641119536905</v>
      </c>
      <c r="J46" s="81">
        <v>601</v>
      </c>
      <c r="K46" s="79" t="str">
        <f t="shared" si="2"/>
        <v>601B</v>
      </c>
      <c r="L46" s="79">
        <f>VLOOKUP(J46,Rateio!G:L,4,0)</f>
        <v>562.553537853433</v>
      </c>
      <c r="M46" s="80">
        <f>VLOOKUP(J46,Rateio!G:L,6,0)</f>
        <v>515.06641119536903</v>
      </c>
      <c r="N46" s="131">
        <v>92.53</v>
      </c>
      <c r="O46" s="131">
        <v>87.25</v>
      </c>
      <c r="P46" s="80">
        <f t="shared" si="3"/>
        <v>694.846411195369</v>
      </c>
      <c r="Q46" s="134">
        <f>IF(ISERROR(VLOOKUP(K46,BASE!$H$3:$I$109,2,0)),0,(VLOOKUP(K46,BASE!$H$3:$I$109,2,0)))</f>
        <v>0</v>
      </c>
      <c r="R46" s="80">
        <f t="shared" si="4"/>
        <v>694.846411195369</v>
      </c>
    </row>
    <row r="47" spans="1:18" x14ac:dyDescent="0.25">
      <c r="A47" s="78">
        <v>602</v>
      </c>
      <c r="B47" s="78" t="s">
        <v>245</v>
      </c>
      <c r="C47" s="79">
        <f>VLOOKUP(A47,Rateio!A:L,4,0)</f>
        <v>485.80709738608942</v>
      </c>
      <c r="D47" s="80">
        <f>VLOOKUP(A47,Rateio!A:L,6,0)</f>
        <v>515.06641119536903</v>
      </c>
      <c r="E47" s="131">
        <v>0</v>
      </c>
      <c r="F47" s="131">
        <v>0</v>
      </c>
      <c r="G47" s="80">
        <f t="shared" si="0"/>
        <v>515.06641119536903</v>
      </c>
      <c r="H47" s="134">
        <f>IF(ISERROR(VLOOKUP(B47,BASE!$H$3:$I$109,2,0)),0,(VLOOKUP(B47,BASE!$H$3:$I$109,2,0)))</f>
        <v>0</v>
      </c>
      <c r="I47" s="80">
        <f t="shared" si="5"/>
        <v>515.06641119536903</v>
      </c>
      <c r="J47" s="81">
        <v>602</v>
      </c>
      <c r="K47" s="79" t="str">
        <f t="shared" si="2"/>
        <v>602B</v>
      </c>
      <c r="L47" s="79">
        <f>VLOOKUP(J47,Rateio!G:L,4,0)</f>
        <v>485.80709738608942</v>
      </c>
      <c r="M47" s="80">
        <f>VLOOKUP(J47,Rateio!G:L,6,0)</f>
        <v>515.06641119536903</v>
      </c>
      <c r="N47" s="131">
        <v>24.27</v>
      </c>
      <c r="O47" s="131">
        <v>4.3600000000000003</v>
      </c>
      <c r="P47" s="80">
        <f t="shared" si="3"/>
        <v>543.69641119536902</v>
      </c>
      <c r="Q47" s="134">
        <f>IF(ISERROR(VLOOKUP(K47,BASE!$H$3:$I$109,2,0)),0,(VLOOKUP(K47,BASE!$H$3:$I$109,2,0)))</f>
        <v>394.29</v>
      </c>
      <c r="R47" s="80">
        <f t="shared" si="4"/>
        <v>149.406411195369</v>
      </c>
    </row>
    <row r="48" spans="1:18" x14ac:dyDescent="0.25">
      <c r="A48" s="78">
        <v>603</v>
      </c>
      <c r="B48" s="78" t="s">
        <v>246</v>
      </c>
      <c r="C48" s="79">
        <f>VLOOKUP(A48,Rateio!A:L,4,0)</f>
        <v>485.80709738608942</v>
      </c>
      <c r="D48" s="80">
        <f>VLOOKUP(A48,Rateio!A:L,6,0)</f>
        <v>515.06641119536903</v>
      </c>
      <c r="E48" s="131">
        <v>0</v>
      </c>
      <c r="F48" s="131">
        <v>2.2400000000000002</v>
      </c>
      <c r="G48" s="80">
        <f t="shared" si="0"/>
        <v>517.30641119536904</v>
      </c>
      <c r="H48" s="134">
        <f>IF(ISERROR(VLOOKUP(B48,BASE!$H$3:$I$109,2,0)),0,(VLOOKUP(B48,BASE!$H$3:$I$109,2,0)))</f>
        <v>0</v>
      </c>
      <c r="I48" s="80">
        <f t="shared" si="5"/>
        <v>517.30641119536904</v>
      </c>
      <c r="J48" s="81">
        <v>603</v>
      </c>
      <c r="K48" s="79" t="str">
        <f t="shared" si="2"/>
        <v>603B</v>
      </c>
      <c r="L48" s="79">
        <f>VLOOKUP(J48,Rateio!G:L,4,0)</f>
        <v>485.80709738608942</v>
      </c>
      <c r="M48" s="80">
        <f>VLOOKUP(J48,Rateio!G:L,6,0)</f>
        <v>515.06641119536903</v>
      </c>
      <c r="N48" s="131">
        <v>60.23</v>
      </c>
      <c r="O48" s="131">
        <v>59.02</v>
      </c>
      <c r="P48" s="80">
        <f t="shared" si="3"/>
        <v>634.31641119536903</v>
      </c>
      <c r="Q48" s="134">
        <f>IF(ISERROR(VLOOKUP(K48,BASE!$H$3:$I$109,2,0)),0,(VLOOKUP(K48,BASE!$H$3:$I$109,2,0)))</f>
        <v>524.58000000000004</v>
      </c>
      <c r="R48" s="80">
        <f t="shared" si="4"/>
        <v>109.73641119536899</v>
      </c>
    </row>
    <row r="49" spans="1:18" x14ac:dyDescent="0.25">
      <c r="A49" s="78">
        <v>604</v>
      </c>
      <c r="B49" s="78" t="s">
        <v>214</v>
      </c>
      <c r="C49" s="79">
        <f>VLOOKUP(A49,Rateio!A:L,4,0)</f>
        <v>562.553537853433</v>
      </c>
      <c r="D49" s="80">
        <f>VLOOKUP(A49,Rateio!A:L,6,0)</f>
        <v>515.06641119536903</v>
      </c>
      <c r="E49" s="131">
        <v>55.29</v>
      </c>
      <c r="F49" s="131">
        <v>68.849999999999994</v>
      </c>
      <c r="G49" s="80">
        <f t="shared" si="0"/>
        <v>639.20641119536901</v>
      </c>
      <c r="H49" s="134">
        <f>IF(ISERROR(VLOOKUP(B49,BASE!$H$3:$I$109,2,0)),0,(VLOOKUP(B49,BASE!$H$3:$I$109,2,0)))</f>
        <v>468.45</v>
      </c>
      <c r="I49" s="80">
        <f t="shared" si="5"/>
        <v>170.75641119536903</v>
      </c>
      <c r="J49" s="81">
        <v>604</v>
      </c>
      <c r="K49" s="79" t="str">
        <f t="shared" si="2"/>
        <v>604B</v>
      </c>
      <c r="L49" s="79">
        <f>VLOOKUP(J49,Rateio!G:L,4,0)</f>
        <v>562.553537853433</v>
      </c>
      <c r="M49" s="80">
        <f>VLOOKUP(J49,Rateio!G:L,6,0)</f>
        <v>515.06641119536903</v>
      </c>
      <c r="N49" s="131">
        <v>73.72</v>
      </c>
      <c r="O49" s="131">
        <v>85.14</v>
      </c>
      <c r="P49" s="80">
        <f t="shared" si="3"/>
        <v>673.92641119536904</v>
      </c>
      <c r="Q49" s="134">
        <f>IF(ISERROR(VLOOKUP(K49,BASE!$H$3:$I$109,2,0)),0,(VLOOKUP(K49,BASE!$H$3:$I$109,2,0)))</f>
        <v>485.77</v>
      </c>
      <c r="R49" s="80">
        <f t="shared" si="4"/>
        <v>188.15641119536906</v>
      </c>
    </row>
    <row r="50" spans="1:18" x14ac:dyDescent="0.25">
      <c r="A50" s="78">
        <v>605</v>
      </c>
      <c r="B50" s="78" t="s">
        <v>216</v>
      </c>
      <c r="C50" s="79">
        <f>VLOOKUP(A50,Rateio!A:L,4,0)</f>
        <v>562.553537853433</v>
      </c>
      <c r="D50" s="80">
        <f>VLOOKUP(A50,Rateio!A:L,6,0)</f>
        <v>515.06641119536903</v>
      </c>
      <c r="E50" s="131">
        <v>56</v>
      </c>
      <c r="F50" s="131">
        <v>45.29</v>
      </c>
      <c r="G50" s="80">
        <f t="shared" si="0"/>
        <v>616.35641119536899</v>
      </c>
      <c r="H50" s="134">
        <f>IF(ISERROR(VLOOKUP(B50,BASE!$H$3:$I$109,2,0)),0,(VLOOKUP(B50,BASE!$H$3:$I$109,2,0)))</f>
        <v>410.92</v>
      </c>
      <c r="I50" s="80">
        <f t="shared" si="5"/>
        <v>205.43641119536898</v>
      </c>
      <c r="J50" s="81">
        <v>605</v>
      </c>
      <c r="K50" s="79" t="str">
        <f t="shared" si="2"/>
        <v>605B</v>
      </c>
      <c r="L50" s="79">
        <f>VLOOKUP(J50,Rateio!G:L,4,0)</f>
        <v>562.553537853433</v>
      </c>
      <c r="M50" s="80">
        <f>VLOOKUP(J50,Rateio!G:L,6,0)</f>
        <v>515.06641119536903</v>
      </c>
      <c r="N50" s="131">
        <v>24.61</v>
      </c>
      <c r="O50" s="131">
        <v>7.38</v>
      </c>
      <c r="P50" s="80">
        <f t="shared" si="3"/>
        <v>547.05641119536904</v>
      </c>
      <c r="Q50" s="134">
        <f>IF(ISERROR(VLOOKUP(K50,BASE!$H$3:$I$109,2,0)),0,(VLOOKUP(K50,BASE!$H$3:$I$109,2,0)))</f>
        <v>411.44</v>
      </c>
      <c r="R50" s="80">
        <f t="shared" si="4"/>
        <v>135.61641119536904</v>
      </c>
    </row>
    <row r="51" spans="1:18" x14ac:dyDescent="0.25">
      <c r="A51" s="78">
        <v>606</v>
      </c>
      <c r="B51" s="78" t="s">
        <v>218</v>
      </c>
      <c r="C51" s="79">
        <f>VLOOKUP(A51,Rateio!A:L,4,0)</f>
        <v>474.41022290556947</v>
      </c>
      <c r="D51" s="80">
        <f>VLOOKUP(A51,Rateio!A:L,6,0)</f>
        <v>515.06641119536903</v>
      </c>
      <c r="E51" s="131">
        <v>48.12</v>
      </c>
      <c r="F51" s="131">
        <v>15.42</v>
      </c>
      <c r="G51" s="80">
        <f t="shared" si="0"/>
        <v>578.60641119536899</v>
      </c>
      <c r="H51" s="134">
        <f>IF(ISERROR(VLOOKUP(B51,BASE!$H$3:$I$109,2,0)),0,(VLOOKUP(B51,BASE!$H$3:$I$109,2,0)))</f>
        <v>431.13</v>
      </c>
      <c r="I51" s="80">
        <f t="shared" si="5"/>
        <v>147.476411195369</v>
      </c>
      <c r="J51" s="81">
        <v>606</v>
      </c>
      <c r="K51" s="79" t="str">
        <f t="shared" si="2"/>
        <v>606B</v>
      </c>
      <c r="L51" s="79">
        <f>VLOOKUP(J51,Rateio!G:L,4,0)</f>
        <v>474.41022290556947</v>
      </c>
      <c r="M51" s="80">
        <f>VLOOKUP(J51,Rateio!G:L,6,0)</f>
        <v>515.06641119536903</v>
      </c>
      <c r="N51" s="131">
        <v>30.4</v>
      </c>
      <c r="O51" s="131">
        <v>4.79</v>
      </c>
      <c r="P51" s="80">
        <f t="shared" si="3"/>
        <v>550.25641119536897</v>
      </c>
      <c r="Q51" s="134">
        <f>IF(ISERROR(VLOOKUP(K51,BASE!$H$3:$I$109,2,0)),0,(VLOOKUP(K51,BASE!$H$3:$I$109,2,0)))</f>
        <v>398.01</v>
      </c>
      <c r="R51" s="80">
        <f t="shared" si="4"/>
        <v>152.24641119536898</v>
      </c>
    </row>
    <row r="52" spans="1:18" x14ac:dyDescent="0.25">
      <c r="A52" s="78">
        <v>607</v>
      </c>
      <c r="B52" s="78" t="s">
        <v>220</v>
      </c>
      <c r="C52" s="79">
        <f>VLOOKUP(A52,Rateio!A:L,4,0)</f>
        <v>474.41022290556947</v>
      </c>
      <c r="D52" s="80">
        <f>VLOOKUP(A52,Rateio!A:L,6,0)</f>
        <v>515.06641119536903</v>
      </c>
      <c r="E52" s="131">
        <v>56.62</v>
      </c>
      <c r="F52" s="131">
        <v>52.25</v>
      </c>
      <c r="G52" s="80">
        <f t="shared" si="0"/>
        <v>623.93641119536903</v>
      </c>
      <c r="H52" s="134">
        <f>IF(ISERROR(VLOOKUP(B52,BASE!$H$3:$I$109,2,0)),0,(VLOOKUP(B52,BASE!$H$3:$I$109,2,0)))</f>
        <v>469.85</v>
      </c>
      <c r="I52" s="80">
        <f t="shared" si="5"/>
        <v>154.08641119536901</v>
      </c>
      <c r="J52" s="81">
        <v>607</v>
      </c>
      <c r="K52" s="79" t="str">
        <f t="shared" si="2"/>
        <v>607B</v>
      </c>
      <c r="L52" s="79">
        <f>VLOOKUP(J52,Rateio!G:L,4,0)</f>
        <v>474.41022290556947</v>
      </c>
      <c r="M52" s="80">
        <f>VLOOKUP(J52,Rateio!G:L,6,0)</f>
        <v>515.06641119536903</v>
      </c>
      <c r="N52" s="131">
        <v>53.55</v>
      </c>
      <c r="O52" s="131">
        <v>18</v>
      </c>
      <c r="P52" s="80">
        <f t="shared" si="3"/>
        <v>586.61641119536898</v>
      </c>
      <c r="Q52" s="134">
        <f>IF(ISERROR(VLOOKUP(K52,BASE!$H$3:$I$109,2,0)),0,(VLOOKUP(K52,BASE!$H$3:$I$109,2,0)))</f>
        <v>438.41</v>
      </c>
      <c r="R52" s="80">
        <f t="shared" si="4"/>
        <v>148.20641119536896</v>
      </c>
    </row>
    <row r="53" spans="1:18" x14ac:dyDescent="0.25">
      <c r="A53" s="78">
        <v>608</v>
      </c>
      <c r="B53" s="78" t="s">
        <v>247</v>
      </c>
      <c r="C53" s="79">
        <f>VLOOKUP(A53,Rateio!A:L,4,0)</f>
        <v>562.553537853433</v>
      </c>
      <c r="D53" s="80">
        <f>VLOOKUP(A53,Rateio!A:L,6,0)</f>
        <v>515.06641119536903</v>
      </c>
      <c r="E53" s="131">
        <v>0</v>
      </c>
      <c r="F53" s="131">
        <v>0</v>
      </c>
      <c r="G53" s="80">
        <f t="shared" si="0"/>
        <v>515.06641119536903</v>
      </c>
      <c r="H53" s="134">
        <f>IF(ISERROR(VLOOKUP(B53,BASE!$H$3:$I$109,2,0)),0,(VLOOKUP(B53,BASE!$H$3:$I$109,2,0)))</f>
        <v>0</v>
      </c>
      <c r="I53" s="80">
        <f t="shared" si="5"/>
        <v>515.06641119536903</v>
      </c>
      <c r="J53" s="81">
        <v>608</v>
      </c>
      <c r="K53" s="79" t="str">
        <f t="shared" si="2"/>
        <v>608B</v>
      </c>
      <c r="L53" s="79">
        <f>VLOOKUP(J53,Rateio!G:L,4,0)</f>
        <v>562.553537853433</v>
      </c>
      <c r="M53" s="80">
        <f>VLOOKUP(J53,Rateio!G:L,6,0)</f>
        <v>515.06641119536903</v>
      </c>
      <c r="N53" s="131">
        <v>31.59</v>
      </c>
      <c r="O53" s="131">
        <v>26.61</v>
      </c>
      <c r="P53" s="80">
        <f t="shared" si="3"/>
        <v>573.26641119536907</v>
      </c>
      <c r="Q53" s="134">
        <f>IF(ISERROR(VLOOKUP(K53,BASE!$H$3:$I$109,2,0)),0,(VLOOKUP(K53,BASE!$H$3:$I$109,2,0)))</f>
        <v>426.91</v>
      </c>
      <c r="R53" s="80">
        <f t="shared" si="4"/>
        <v>146.35641119536905</v>
      </c>
    </row>
    <row r="54" spans="1:18" x14ac:dyDescent="0.25">
      <c r="A54" s="78">
        <v>701</v>
      </c>
      <c r="B54" s="78" t="s">
        <v>223</v>
      </c>
      <c r="C54" s="79">
        <f>VLOOKUP(A54,Rateio!A:L,4,0)</f>
        <v>584.39286875452785</v>
      </c>
      <c r="D54" s="80">
        <f>VLOOKUP(A54,Rateio!A:L,6,0)</f>
        <v>515.06641119536903</v>
      </c>
      <c r="E54" s="131">
        <v>0</v>
      </c>
      <c r="F54" s="131">
        <v>0</v>
      </c>
      <c r="G54" s="80">
        <f t="shared" si="0"/>
        <v>515.06641119536903</v>
      </c>
      <c r="H54" s="134">
        <f>IF(ISERROR(VLOOKUP(B54,BASE!$H$3:$I$109,2,0)),0,(VLOOKUP(B54,BASE!$H$3:$I$109,2,0)))</f>
        <v>376.15</v>
      </c>
      <c r="I54" s="80">
        <f t="shared" si="5"/>
        <v>138.91641119536905</v>
      </c>
      <c r="J54" s="81">
        <v>701</v>
      </c>
      <c r="K54" s="79" t="str">
        <f t="shared" si="2"/>
        <v>701B</v>
      </c>
      <c r="L54" s="79">
        <f>VLOOKUP(J54,Rateio!G:L,4,0)</f>
        <v>562.553537853433</v>
      </c>
      <c r="M54" s="80">
        <f>VLOOKUP(J54,Rateio!G:L,6,0)</f>
        <v>515.06641119536903</v>
      </c>
      <c r="N54" s="131">
        <v>43.18</v>
      </c>
      <c r="O54" s="131">
        <v>44.51</v>
      </c>
      <c r="P54" s="80">
        <f t="shared" si="3"/>
        <v>602.75641119536897</v>
      </c>
      <c r="Q54" s="134">
        <f>IF(ISERROR(VLOOKUP(K54,BASE!$H$3:$I$109,2,0)),0,(VLOOKUP(K54,BASE!$H$3:$I$109,2,0)))</f>
        <v>512.07000000000005</v>
      </c>
      <c r="R54" s="80">
        <f t="shared" si="4"/>
        <v>90.686411195368919</v>
      </c>
    </row>
    <row r="55" spans="1:18" x14ac:dyDescent="0.25">
      <c r="A55" s="78">
        <v>702</v>
      </c>
      <c r="B55" s="78" t="s">
        <v>225</v>
      </c>
      <c r="C55" s="79">
        <f>VLOOKUP(A55,Rateio!A:L,4,0)</f>
        <v>485.80709738608942</v>
      </c>
      <c r="D55" s="80">
        <f>VLOOKUP(A55,Rateio!A:L,6,0)</f>
        <v>515.06641119536903</v>
      </c>
      <c r="E55" s="131">
        <v>32.590000000000003</v>
      </c>
      <c r="F55" s="131">
        <v>9.6300000000000008</v>
      </c>
      <c r="G55" s="80">
        <f t="shared" si="0"/>
        <v>557.28641119536906</v>
      </c>
      <c r="H55" s="134">
        <f>IF(ISERROR(VLOOKUP(B55,BASE!$H$3:$I$109,2,0)),0,(VLOOKUP(B55,BASE!$H$3:$I$109,2,0)))</f>
        <v>411.02</v>
      </c>
      <c r="I55" s="80">
        <f t="shared" si="5"/>
        <v>146.26641119536907</v>
      </c>
      <c r="J55" s="81">
        <v>702</v>
      </c>
      <c r="K55" s="79" t="str">
        <f t="shared" si="2"/>
        <v>702B</v>
      </c>
      <c r="L55" s="79">
        <f>VLOOKUP(J55,Rateio!G:L,4,0)</f>
        <v>485.80709738608942</v>
      </c>
      <c r="M55" s="80">
        <f>VLOOKUP(J55,Rateio!G:L,6,0)</f>
        <v>515.06641119536903</v>
      </c>
      <c r="N55" s="131">
        <f>60.94-0.3-0.6</f>
        <v>60.04</v>
      </c>
      <c r="O55" s="131">
        <v>61.1</v>
      </c>
      <c r="P55" s="80">
        <f t="shared" si="3"/>
        <v>636.20641119536901</v>
      </c>
      <c r="Q55" s="134">
        <f>IF(ISERROR(VLOOKUP(K55,BASE!$H$3:$I$109,2,0)),0,(VLOOKUP(K55,BASE!$H$3:$I$109,2,0)))</f>
        <v>468.57</v>
      </c>
      <c r="R55" s="80">
        <f t="shared" si="4"/>
        <v>167.63641119536902</v>
      </c>
    </row>
    <row r="56" spans="1:18" x14ac:dyDescent="0.25">
      <c r="A56" s="78">
        <v>703</v>
      </c>
      <c r="B56" s="78" t="s">
        <v>227</v>
      </c>
      <c r="C56" s="79">
        <f>VLOOKUP(A56,Rateio!A:L,4,0)</f>
        <v>485.80709738608942</v>
      </c>
      <c r="D56" s="80">
        <f>VLOOKUP(A56,Rateio!A:L,6,0)</f>
        <v>515.06641119536903</v>
      </c>
      <c r="E56" s="131">
        <v>77.62</v>
      </c>
      <c r="F56" s="131">
        <v>72.680000000000007</v>
      </c>
      <c r="G56" s="80">
        <f t="shared" si="0"/>
        <v>665.36641119536898</v>
      </c>
      <c r="H56" s="134">
        <f>IF(ISERROR(VLOOKUP(B56,BASE!$H$3:$I$109,2,0)),0,(VLOOKUP(B56,BASE!$H$3:$I$109,2,0)))</f>
        <v>511.97999999999996</v>
      </c>
      <c r="I56" s="80">
        <f t="shared" si="5"/>
        <v>153.38641119536902</v>
      </c>
      <c r="J56" s="81">
        <v>703</v>
      </c>
      <c r="K56" s="79" t="str">
        <f t="shared" si="2"/>
        <v>703B</v>
      </c>
      <c r="L56" s="79">
        <f>VLOOKUP(J56,Rateio!G:L,4,0)</f>
        <v>485.80709738608942</v>
      </c>
      <c r="M56" s="80">
        <f>VLOOKUP(J56,Rateio!G:L,6,0)</f>
        <v>515.06641119536903</v>
      </c>
      <c r="N56" s="131">
        <v>60.33</v>
      </c>
      <c r="O56" s="131">
        <v>59.57</v>
      </c>
      <c r="P56" s="80">
        <f t="shared" si="3"/>
        <v>634.96641119536912</v>
      </c>
      <c r="Q56" s="134">
        <f>IF(ISERROR(VLOOKUP(K56,BASE!$H$3:$I$109,2,0)),0,(VLOOKUP(K56,BASE!$H$3:$I$109,2,0)))</f>
        <v>0</v>
      </c>
      <c r="R56" s="80">
        <f t="shared" si="4"/>
        <v>634.96641119536912</v>
      </c>
    </row>
    <row r="57" spans="1:18" x14ac:dyDescent="0.25">
      <c r="A57" s="78">
        <v>704</v>
      </c>
      <c r="B57" s="78" t="s">
        <v>248</v>
      </c>
      <c r="C57" s="79">
        <f>VLOOKUP(A57,Rateio!A:L,4,0)</f>
        <v>562.553537853433</v>
      </c>
      <c r="D57" s="80">
        <f>VLOOKUP(A57,Rateio!A:L,6,0)</f>
        <v>515.06641119536903</v>
      </c>
      <c r="E57" s="131">
        <v>0</v>
      </c>
      <c r="F57" s="131">
        <v>0</v>
      </c>
      <c r="G57" s="80">
        <f t="shared" si="0"/>
        <v>515.06641119536903</v>
      </c>
      <c r="H57" s="134">
        <f>IF(ISERROR(VLOOKUP(B57,BASE!$H$3:$I$109,2,0)),0,(VLOOKUP(B57,BASE!$H$3:$I$109,2,0)))</f>
        <v>0</v>
      </c>
      <c r="I57" s="80">
        <f t="shared" si="5"/>
        <v>515.06641119536903</v>
      </c>
      <c r="J57" s="81">
        <v>704</v>
      </c>
      <c r="K57" s="79" t="str">
        <f t="shared" si="2"/>
        <v>704B</v>
      </c>
      <c r="L57" s="79">
        <f>VLOOKUP(J57,Rateio!G:L,4,0)</f>
        <v>562.553537853433</v>
      </c>
      <c r="M57" s="80">
        <f>VLOOKUP(J57,Rateio!G:L,6,0)</f>
        <v>515.06641119536903</v>
      </c>
      <c r="N57" s="131">
        <v>0</v>
      </c>
      <c r="O57" s="131">
        <v>0</v>
      </c>
      <c r="P57" s="80">
        <f t="shared" si="3"/>
        <v>515.06641119536903</v>
      </c>
      <c r="Q57" s="134">
        <f>IF(ISERROR(VLOOKUP(K57,BASE!$H$3:$I$109,2,0)),0,(VLOOKUP(K57,BASE!$H$3:$I$109,2,0)))</f>
        <v>375.83</v>
      </c>
      <c r="R57" s="80">
        <f t="shared" si="4"/>
        <v>139.23641119536904</v>
      </c>
    </row>
    <row r="58" spans="1:18" x14ac:dyDescent="0.25">
      <c r="A58" s="78">
        <v>705</v>
      </c>
      <c r="B58" s="78" t="s">
        <v>249</v>
      </c>
      <c r="C58" s="79">
        <f>VLOOKUP(A58,Rateio!A:L,4,0)</f>
        <v>562.553537853433</v>
      </c>
      <c r="D58" s="80">
        <f>VLOOKUP(A58,Rateio!A:L,6,0)</f>
        <v>515.06641119536903</v>
      </c>
      <c r="E58" s="131">
        <v>0</v>
      </c>
      <c r="F58" s="131">
        <v>0</v>
      </c>
      <c r="G58" s="80">
        <f t="shared" si="0"/>
        <v>515.06641119536903</v>
      </c>
      <c r="H58" s="134">
        <f>IF(ISERROR(VLOOKUP(B58,BASE!$H$3:$I$109,2,0)),0,(VLOOKUP(B58,BASE!$H$3:$I$109,2,0)))</f>
        <v>269.20999999999998</v>
      </c>
      <c r="I58" s="80">
        <f t="shared" si="5"/>
        <v>245.85641119536905</v>
      </c>
      <c r="J58" s="81">
        <v>705</v>
      </c>
      <c r="K58" s="79" t="str">
        <f t="shared" si="2"/>
        <v>705B</v>
      </c>
      <c r="L58" s="79">
        <f>VLOOKUP(J58,Rateio!G:L,4,0)</f>
        <v>562.553537853433</v>
      </c>
      <c r="M58" s="80">
        <f>VLOOKUP(J58,Rateio!G:L,6,0)</f>
        <v>515.06641119536903</v>
      </c>
      <c r="N58" s="131">
        <v>0</v>
      </c>
      <c r="O58" s="131">
        <v>0</v>
      </c>
      <c r="P58" s="80">
        <f t="shared" si="3"/>
        <v>515.06641119536903</v>
      </c>
      <c r="Q58" s="134">
        <f>IF(ISERROR(VLOOKUP(K58,BASE!$H$3:$I$109,2,0)),0,(VLOOKUP(K58,BASE!$H$3:$I$109,2,0)))</f>
        <v>375.83</v>
      </c>
      <c r="R58" s="80">
        <f t="shared" si="4"/>
        <v>139.23641119536904</v>
      </c>
    </row>
    <row r="59" spans="1:18" x14ac:dyDescent="0.25">
      <c r="A59" s="78">
        <v>706</v>
      </c>
      <c r="B59" s="78" t="s">
        <v>145</v>
      </c>
      <c r="C59" s="79">
        <f>VLOOKUP(A59,Rateio!A:L,4,0)</f>
        <v>474.41022290556947</v>
      </c>
      <c r="D59" s="80">
        <f>VLOOKUP(A59,Rateio!A:L,6,0)</f>
        <v>515.06641119536903</v>
      </c>
      <c r="E59" s="131">
        <v>0</v>
      </c>
      <c r="F59" s="131">
        <v>44.13</v>
      </c>
      <c r="G59" s="80">
        <f t="shared" si="0"/>
        <v>559.19641119536902</v>
      </c>
      <c r="H59" s="134">
        <f>IF(ISERROR(VLOOKUP(B59,BASE!$H$3:$I$109,2,0)),0,(VLOOKUP(B59,BASE!$H$3:$I$109,2,0)))</f>
        <v>422.58000000000004</v>
      </c>
      <c r="I59" s="80">
        <f t="shared" si="5"/>
        <v>136.61641119536898</v>
      </c>
      <c r="J59" s="81">
        <v>706</v>
      </c>
      <c r="K59" s="79" t="str">
        <f t="shared" si="2"/>
        <v>706B</v>
      </c>
      <c r="L59" s="79">
        <f>VLOOKUP(J59,Rateio!G:L,4,0)</f>
        <v>474.41022290556947</v>
      </c>
      <c r="M59" s="80">
        <f>VLOOKUP(J59,Rateio!G:L,6,0)</f>
        <v>515.06641119536903</v>
      </c>
      <c r="N59" s="131">
        <v>0</v>
      </c>
      <c r="O59" s="131">
        <v>0</v>
      </c>
      <c r="P59" s="80">
        <f t="shared" si="3"/>
        <v>515.06641119536903</v>
      </c>
      <c r="Q59" s="134">
        <f>IF(ISERROR(VLOOKUP(K59,BASE!$H$3:$I$109,2,0)),0,(VLOOKUP(K59,BASE!$H$3:$I$109,2,0)))</f>
        <v>0</v>
      </c>
      <c r="R59" s="80">
        <f t="shared" si="4"/>
        <v>515.06641119536903</v>
      </c>
    </row>
    <row r="60" spans="1:18" x14ac:dyDescent="0.25">
      <c r="A60" s="78">
        <v>707</v>
      </c>
      <c r="B60" s="78" t="s">
        <v>250</v>
      </c>
      <c r="C60" s="79">
        <f>VLOOKUP(A60,Rateio!A:L,4,0)</f>
        <v>474.41022290556947</v>
      </c>
      <c r="D60" s="80">
        <f>VLOOKUP(A60,Rateio!A:L,6,0)</f>
        <v>515.06641119536903</v>
      </c>
      <c r="E60" s="131">
        <v>0</v>
      </c>
      <c r="F60" s="131">
        <v>0</v>
      </c>
      <c r="G60" s="80">
        <f t="shared" si="0"/>
        <v>515.06641119536903</v>
      </c>
      <c r="H60" s="134">
        <f>IF(ISERROR(VLOOKUP(B60,BASE!$H$3:$I$109,2,0)),0,(VLOOKUP(B60,BASE!$H$3:$I$109,2,0)))</f>
        <v>0</v>
      </c>
      <c r="I60" s="80">
        <f t="shared" si="5"/>
        <v>515.06641119536903</v>
      </c>
      <c r="J60" s="81">
        <v>707</v>
      </c>
      <c r="K60" s="79" t="str">
        <f t="shared" si="2"/>
        <v>707B</v>
      </c>
      <c r="L60" s="79">
        <f>VLOOKUP(J60,Rateio!G:L,4,0)</f>
        <v>474.41022290556947</v>
      </c>
      <c r="M60" s="80">
        <f>VLOOKUP(J60,Rateio!G:L,6,0)</f>
        <v>515.06641119536903</v>
      </c>
      <c r="N60" s="131">
        <v>40.61</v>
      </c>
      <c r="O60" s="131">
        <v>0</v>
      </c>
      <c r="P60" s="80">
        <f t="shared" si="3"/>
        <v>555.67641119536904</v>
      </c>
      <c r="Q60" s="134">
        <f>IF(ISERROR(VLOOKUP(K60,BASE!$H$3:$I$109,2,0)),0,(VLOOKUP(K60,BASE!$H$3:$I$109,2,0)))</f>
        <v>417.6</v>
      </c>
      <c r="R60" s="80">
        <f t="shared" si="4"/>
        <v>138.07641119536902</v>
      </c>
    </row>
    <row r="61" spans="1:18" x14ac:dyDescent="0.25">
      <c r="A61" s="78">
        <v>708</v>
      </c>
      <c r="B61" s="78" t="s">
        <v>232</v>
      </c>
      <c r="C61" s="79">
        <f>VLOOKUP(A61,Rateio!A:L,4,0)</f>
        <v>571.31172710939916</v>
      </c>
      <c r="D61" s="80">
        <f>VLOOKUP(A61,Rateio!A:L,6,0)</f>
        <v>515.06641119536903</v>
      </c>
      <c r="E61" s="131">
        <v>46.5</v>
      </c>
      <c r="F61" s="131">
        <v>36.79</v>
      </c>
      <c r="G61" s="80">
        <f t="shared" si="0"/>
        <v>598.35641119536899</v>
      </c>
      <c r="H61" s="134">
        <f>IF(ISERROR(VLOOKUP(B61,BASE!$H$3:$I$109,2,0)),0,(VLOOKUP(B61,BASE!$H$3:$I$109,2,0)))</f>
        <v>434.74</v>
      </c>
      <c r="I61" s="80">
        <f t="shared" si="5"/>
        <v>163.61641119536898</v>
      </c>
      <c r="J61" s="81">
        <v>708</v>
      </c>
      <c r="K61" s="79" t="str">
        <f t="shared" si="2"/>
        <v>708B</v>
      </c>
      <c r="L61" s="79">
        <f>VLOOKUP(J61,Rateio!G:L,4,0)</f>
        <v>562.553537853433</v>
      </c>
      <c r="M61" s="80">
        <f>VLOOKUP(J61,Rateio!G:L,6,0)</f>
        <v>515.06641119536903</v>
      </c>
      <c r="N61" s="131">
        <v>0</v>
      </c>
      <c r="O61" s="131">
        <v>0</v>
      </c>
      <c r="P61" s="80">
        <f t="shared" si="3"/>
        <v>515.06641119536903</v>
      </c>
      <c r="Q61" s="134">
        <f>IF(ISERROR(VLOOKUP(K61,BASE!$H$3:$I$109,2,0)),0,(VLOOKUP(K61,BASE!$H$3:$I$109,2,0)))</f>
        <v>375.83</v>
      </c>
      <c r="R61" s="80">
        <f t="shared" si="4"/>
        <v>139.23641119536904</v>
      </c>
    </row>
    <row r="62" spans="1:18" s="33" customFormat="1" x14ac:dyDescent="0.25">
      <c r="A62" s="83" t="s">
        <v>88</v>
      </c>
      <c r="B62" s="83"/>
      <c r="C62" s="84">
        <f t="shared" ref="C62:K62" si="6">SUM(C6:C61)</f>
        <v>27498.403452357175</v>
      </c>
      <c r="D62" s="85">
        <f t="shared" si="6"/>
        <v>27813.586204549945</v>
      </c>
      <c r="E62" s="85">
        <f t="shared" si="6"/>
        <v>2009.2599999999998</v>
      </c>
      <c r="F62" s="85">
        <f t="shared" si="6"/>
        <v>1674.3900000000006</v>
      </c>
      <c r="G62" s="85">
        <f t="shared" si="6"/>
        <v>31497.236204549921</v>
      </c>
      <c r="H62" s="85">
        <f t="shared" si="6"/>
        <v>15201.959999999995</v>
      </c>
      <c r="I62" s="85">
        <f t="shared" si="6"/>
        <v>16295.27620454992</v>
      </c>
      <c r="J62" s="83">
        <f t="shared" si="6"/>
        <v>22652</v>
      </c>
      <c r="K62" s="84">
        <f t="shared" si="6"/>
        <v>0</v>
      </c>
      <c r="L62" s="84">
        <f>SUM(L6:L61)</f>
        <v>28398.82928830522</v>
      </c>
      <c r="M62" s="84">
        <f t="shared" ref="M62:R62" si="7">SUM(M6:M61)</f>
        <v>28328.652615745315</v>
      </c>
      <c r="N62" s="84">
        <f t="shared" si="7"/>
        <v>1958.4399999999998</v>
      </c>
      <c r="O62" s="84">
        <f t="shared" si="7"/>
        <v>1588.4199999999998</v>
      </c>
      <c r="P62" s="84">
        <f t="shared" si="7"/>
        <v>31875.512615745305</v>
      </c>
      <c r="Q62" s="84">
        <f t="shared" si="7"/>
        <v>17871.240000000002</v>
      </c>
      <c r="R62" s="84">
        <f t="shared" si="7"/>
        <v>14004.272615745296</v>
      </c>
    </row>
    <row r="63" spans="1:18" x14ac:dyDescent="0.25">
      <c r="E63" s="122">
        <f>E62+N62</f>
        <v>3967.7</v>
      </c>
      <c r="F63" s="70">
        <f>F62+O62</f>
        <v>3262.8100000000004</v>
      </c>
      <c r="N63" s="122"/>
    </row>
    <row r="70" spans="7:7" x14ac:dyDescent="0.25">
      <c r="G70" t="s">
        <v>256</v>
      </c>
    </row>
    <row r="71" spans="7:7" x14ac:dyDescent="0.25">
      <c r="G71" s="70">
        <f>G62+P62</f>
        <v>63372.748820295223</v>
      </c>
    </row>
    <row r="72" spans="7:7" x14ac:dyDescent="0.25">
      <c r="G72" t="s">
        <v>257</v>
      </c>
    </row>
    <row r="73" spans="7:7" x14ac:dyDescent="0.25">
      <c r="G73" s="70">
        <f>H62+Q62</f>
        <v>33073.199999999997</v>
      </c>
    </row>
  </sheetData>
  <mergeCells count="4">
    <mergeCell ref="J4:R4"/>
    <mergeCell ref="A4:I4"/>
    <mergeCell ref="I3:M3"/>
    <mergeCell ref="R3:V3"/>
  </mergeCells>
  <conditionalFormatting sqref="I6:I61">
    <cfRule type="cellIs" dxfId="4" priority="3" operator="lessThan">
      <formula>1</formula>
    </cfRule>
  </conditionalFormatting>
  <conditionalFormatting sqref="R6">
    <cfRule type="cellIs" dxfId="3" priority="2" operator="lessThan">
      <formula>1</formula>
    </cfRule>
  </conditionalFormatting>
  <conditionalFormatting sqref="R7:R61">
    <cfRule type="cellIs" dxfId="2" priority="1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37" workbookViewId="0">
      <selection activeCell="F3" sqref="F3:I93"/>
    </sheetView>
  </sheetViews>
  <sheetFormatPr defaultRowHeight="15" x14ac:dyDescent="0.25"/>
  <cols>
    <col min="1" max="2" width="10.7109375" bestFit="1" customWidth="1"/>
    <col min="3" max="3" width="5.28515625" bestFit="1" customWidth="1"/>
    <col min="4" max="4" width="8" bestFit="1" customWidth="1"/>
    <col min="6" max="7" width="10.7109375" bestFit="1" customWidth="1"/>
    <col min="8" max="8" width="5.28515625" bestFit="1" customWidth="1"/>
    <col min="9" max="9" width="8" bestFit="1" customWidth="1"/>
  </cols>
  <sheetData>
    <row r="1" spans="1:9" x14ac:dyDescent="0.25">
      <c r="A1" s="448" t="s">
        <v>235</v>
      </c>
      <c r="B1" s="448"/>
      <c r="C1" s="448"/>
      <c r="D1" s="448"/>
      <c r="F1" s="448" t="s">
        <v>253</v>
      </c>
      <c r="G1" s="448"/>
      <c r="H1" s="448"/>
      <c r="I1" s="448"/>
    </row>
    <row r="2" spans="1:9" ht="30" x14ac:dyDescent="0.25">
      <c r="A2" s="124" t="s">
        <v>141</v>
      </c>
      <c r="B2" s="125" t="s">
        <v>142</v>
      </c>
      <c r="C2" s="124" t="s">
        <v>143</v>
      </c>
      <c r="D2" s="126" t="s">
        <v>89</v>
      </c>
      <c r="F2" s="124" t="s">
        <v>141</v>
      </c>
      <c r="G2" s="125" t="s">
        <v>142</v>
      </c>
      <c r="H2" s="124" t="s">
        <v>143</v>
      </c>
      <c r="I2" s="126" t="s">
        <v>89</v>
      </c>
    </row>
    <row r="3" spans="1:9" x14ac:dyDescent="0.25">
      <c r="A3" s="127">
        <v>42248</v>
      </c>
      <c r="B3" s="128">
        <v>42186</v>
      </c>
      <c r="C3" t="s">
        <v>144</v>
      </c>
      <c r="D3" s="129">
        <v>506.57</v>
      </c>
      <c r="F3" s="127">
        <v>42278</v>
      </c>
      <c r="G3" s="128">
        <v>41821</v>
      </c>
      <c r="H3" t="s">
        <v>249</v>
      </c>
      <c r="I3" s="129">
        <v>269.20999999999998</v>
      </c>
    </row>
    <row r="4" spans="1:9" x14ac:dyDescent="0.25">
      <c r="A4" s="127">
        <v>42248</v>
      </c>
      <c r="B4" s="128">
        <v>42217</v>
      </c>
      <c r="C4" t="s">
        <v>144</v>
      </c>
      <c r="D4" s="129">
        <v>535.95000000000005</v>
      </c>
      <c r="F4" s="127">
        <v>42278</v>
      </c>
      <c r="G4" s="128">
        <v>41852</v>
      </c>
      <c r="H4" t="s">
        <v>249</v>
      </c>
      <c r="I4" s="129">
        <v>269.20999999999998</v>
      </c>
    </row>
    <row r="5" spans="1:9" x14ac:dyDescent="0.25">
      <c r="A5" s="127">
        <v>42248</v>
      </c>
      <c r="B5" s="128">
        <v>42217</v>
      </c>
      <c r="C5" t="s">
        <v>145</v>
      </c>
      <c r="D5" s="129">
        <v>405.73</v>
      </c>
      <c r="F5" s="127">
        <v>42278</v>
      </c>
      <c r="G5" s="128">
        <v>41883</v>
      </c>
      <c r="H5" t="s">
        <v>249</v>
      </c>
      <c r="I5" s="129">
        <v>269.20999999999998</v>
      </c>
    </row>
    <row r="6" spans="1:9" x14ac:dyDescent="0.25">
      <c r="A6" s="127">
        <v>42248</v>
      </c>
      <c r="B6" s="128">
        <v>42248</v>
      </c>
      <c r="C6" t="s">
        <v>146</v>
      </c>
      <c r="D6" s="129">
        <v>377.13</v>
      </c>
      <c r="F6" s="127">
        <v>42278</v>
      </c>
      <c r="G6" s="128">
        <v>41913</v>
      </c>
      <c r="H6" t="s">
        <v>249</v>
      </c>
      <c r="I6" s="129">
        <v>269.20999999999998</v>
      </c>
    </row>
    <row r="7" spans="1:9" x14ac:dyDescent="0.25">
      <c r="A7" s="127">
        <v>42248</v>
      </c>
      <c r="B7" s="128">
        <v>42248</v>
      </c>
      <c r="C7" t="s">
        <v>147</v>
      </c>
      <c r="D7" s="129">
        <v>430.38</v>
      </c>
      <c r="F7" s="127">
        <v>42278</v>
      </c>
      <c r="G7" s="128">
        <v>41944</v>
      </c>
      <c r="H7" t="s">
        <v>249</v>
      </c>
      <c r="I7" s="129">
        <v>269.20999999999998</v>
      </c>
    </row>
    <row r="8" spans="1:9" x14ac:dyDescent="0.25">
      <c r="A8" s="127">
        <v>42248</v>
      </c>
      <c r="B8" s="128">
        <v>42248</v>
      </c>
      <c r="C8" t="s">
        <v>148</v>
      </c>
      <c r="D8" s="129">
        <v>555.91</v>
      </c>
      <c r="F8" s="127">
        <v>42278</v>
      </c>
      <c r="G8" s="128">
        <v>41974</v>
      </c>
      <c r="H8" t="s">
        <v>249</v>
      </c>
      <c r="I8" s="129">
        <v>269.20999999999998</v>
      </c>
    </row>
    <row r="9" spans="1:9" x14ac:dyDescent="0.25">
      <c r="A9" s="127">
        <v>42248</v>
      </c>
      <c r="B9" s="128">
        <v>42248</v>
      </c>
      <c r="C9" t="s">
        <v>149</v>
      </c>
      <c r="D9" s="129">
        <v>415.35</v>
      </c>
      <c r="F9" s="127">
        <v>42278</v>
      </c>
      <c r="G9" s="128">
        <v>42005</v>
      </c>
      <c r="H9" t="s">
        <v>249</v>
      </c>
      <c r="I9" s="129">
        <v>269.20999999999998</v>
      </c>
    </row>
    <row r="10" spans="1:9" x14ac:dyDescent="0.25">
      <c r="A10" s="127">
        <v>42248</v>
      </c>
      <c r="B10" s="128">
        <v>42248</v>
      </c>
      <c r="C10" t="s">
        <v>150</v>
      </c>
      <c r="D10" s="129">
        <v>516.99</v>
      </c>
      <c r="F10" s="127">
        <v>42278</v>
      </c>
      <c r="G10" s="128">
        <v>42036</v>
      </c>
      <c r="H10" t="s">
        <v>249</v>
      </c>
      <c r="I10" s="129">
        <v>269.20999999999998</v>
      </c>
    </row>
    <row r="11" spans="1:9" x14ac:dyDescent="0.25">
      <c r="A11" s="127">
        <v>42248</v>
      </c>
      <c r="B11" s="128">
        <v>42248</v>
      </c>
      <c r="C11" t="s">
        <v>151</v>
      </c>
      <c r="D11" s="129">
        <v>432.16</v>
      </c>
      <c r="F11" s="127">
        <v>42278</v>
      </c>
      <c r="G11" s="128">
        <v>42064</v>
      </c>
      <c r="H11" t="s">
        <v>249</v>
      </c>
      <c r="I11" s="129">
        <v>269.20999999999998</v>
      </c>
    </row>
    <row r="12" spans="1:9" x14ac:dyDescent="0.25">
      <c r="A12" s="127">
        <v>42248</v>
      </c>
      <c r="B12" s="128">
        <v>42248</v>
      </c>
      <c r="C12" t="s">
        <v>152</v>
      </c>
      <c r="D12" s="129">
        <v>367.06</v>
      </c>
      <c r="F12" s="127">
        <v>42278</v>
      </c>
      <c r="G12" s="128">
        <v>42095</v>
      </c>
      <c r="H12" t="s">
        <v>249</v>
      </c>
      <c r="I12" s="129">
        <v>269.20999999999998</v>
      </c>
    </row>
    <row r="13" spans="1:9" x14ac:dyDescent="0.25">
      <c r="A13" s="127">
        <v>42248</v>
      </c>
      <c r="B13" s="128">
        <v>42248</v>
      </c>
      <c r="C13" t="s">
        <v>153</v>
      </c>
      <c r="D13" s="129">
        <v>404.75</v>
      </c>
      <c r="F13" s="127">
        <v>42278</v>
      </c>
      <c r="G13" s="128">
        <v>42125</v>
      </c>
      <c r="H13" t="s">
        <v>249</v>
      </c>
      <c r="I13" s="129">
        <v>269.20999999999998</v>
      </c>
    </row>
    <row r="14" spans="1:9" x14ac:dyDescent="0.25">
      <c r="A14" s="127">
        <v>42248</v>
      </c>
      <c r="B14" s="128">
        <v>42248</v>
      </c>
      <c r="C14" t="s">
        <v>154</v>
      </c>
      <c r="D14" s="129">
        <v>419.46</v>
      </c>
      <c r="F14" s="127">
        <v>42278</v>
      </c>
      <c r="G14" s="128">
        <v>42156</v>
      </c>
      <c r="H14" t="s">
        <v>249</v>
      </c>
      <c r="I14" s="129">
        <v>269.20999999999998</v>
      </c>
    </row>
    <row r="15" spans="1:9" x14ac:dyDescent="0.25">
      <c r="A15" s="127">
        <v>42248</v>
      </c>
      <c r="B15" s="128">
        <v>42248</v>
      </c>
      <c r="C15" t="s">
        <v>155</v>
      </c>
      <c r="D15" s="129">
        <v>369.54</v>
      </c>
      <c r="F15" s="127">
        <v>42278</v>
      </c>
      <c r="G15" s="128">
        <v>42186</v>
      </c>
      <c r="H15" t="s">
        <v>249</v>
      </c>
      <c r="I15" s="129">
        <v>269.20999999999998</v>
      </c>
    </row>
    <row r="16" spans="1:9" x14ac:dyDescent="0.25">
      <c r="A16" s="127">
        <v>42248</v>
      </c>
      <c r="B16" s="128">
        <v>42248</v>
      </c>
      <c r="C16" t="s">
        <v>156</v>
      </c>
      <c r="D16" s="129">
        <v>483.64</v>
      </c>
      <c r="F16" s="127">
        <v>42278</v>
      </c>
      <c r="G16" s="128">
        <v>42217</v>
      </c>
      <c r="H16" t="s">
        <v>227</v>
      </c>
      <c r="I16" s="129">
        <v>511.97999999999996</v>
      </c>
    </row>
    <row r="17" spans="1:9" x14ac:dyDescent="0.25">
      <c r="A17" s="127">
        <v>42248</v>
      </c>
      <c r="B17" s="128">
        <v>42248</v>
      </c>
      <c r="C17" t="s">
        <v>157</v>
      </c>
      <c r="D17" s="129">
        <v>430.82</v>
      </c>
      <c r="F17" s="127">
        <v>42278</v>
      </c>
      <c r="G17" s="128">
        <v>42217</v>
      </c>
      <c r="H17" t="s">
        <v>249</v>
      </c>
      <c r="I17" s="129">
        <v>269.20999999999998</v>
      </c>
    </row>
    <row r="18" spans="1:9" x14ac:dyDescent="0.25">
      <c r="A18" s="127">
        <v>42248</v>
      </c>
      <c r="B18" s="128">
        <v>42248</v>
      </c>
      <c r="C18" t="s">
        <v>158</v>
      </c>
      <c r="D18" s="129">
        <v>454.46000000000004</v>
      </c>
      <c r="F18" s="127">
        <v>42278</v>
      </c>
      <c r="G18" s="128">
        <v>42248</v>
      </c>
      <c r="H18" t="s">
        <v>144</v>
      </c>
      <c r="I18" s="129">
        <v>524.32000000000005</v>
      </c>
    </row>
    <row r="19" spans="1:9" x14ac:dyDescent="0.25">
      <c r="A19" s="127">
        <v>42248</v>
      </c>
      <c r="B19" s="128">
        <v>42248</v>
      </c>
      <c r="C19" t="s">
        <v>159</v>
      </c>
      <c r="D19" s="129">
        <v>400.11</v>
      </c>
      <c r="F19" s="127">
        <v>42278</v>
      </c>
      <c r="G19" s="128">
        <v>42248</v>
      </c>
      <c r="H19" t="s">
        <v>145</v>
      </c>
      <c r="I19" s="129">
        <v>422.58000000000004</v>
      </c>
    </row>
    <row r="20" spans="1:9" x14ac:dyDescent="0.25">
      <c r="A20" s="127">
        <v>42248</v>
      </c>
      <c r="B20" s="128">
        <v>42248</v>
      </c>
      <c r="C20" t="s">
        <v>160</v>
      </c>
      <c r="D20" s="129">
        <v>393.68</v>
      </c>
      <c r="F20" s="127">
        <v>42278</v>
      </c>
      <c r="G20" s="128">
        <v>42248</v>
      </c>
      <c r="H20" t="s">
        <v>249</v>
      </c>
      <c r="I20" s="129">
        <v>269.20999999999998</v>
      </c>
    </row>
    <row r="21" spans="1:9" x14ac:dyDescent="0.25">
      <c r="A21" s="127">
        <v>42248</v>
      </c>
      <c r="B21" s="128">
        <v>42248</v>
      </c>
      <c r="C21" t="s">
        <v>161</v>
      </c>
      <c r="D21" s="129">
        <v>198.48</v>
      </c>
      <c r="F21" s="127">
        <v>42278</v>
      </c>
      <c r="G21" s="128">
        <v>42278</v>
      </c>
      <c r="H21" t="s">
        <v>146</v>
      </c>
      <c r="I21" s="129">
        <v>376.75</v>
      </c>
    </row>
    <row r="22" spans="1:9" x14ac:dyDescent="0.25">
      <c r="A22" s="127">
        <v>42248</v>
      </c>
      <c r="B22" s="128">
        <v>42248</v>
      </c>
      <c r="C22" t="s">
        <v>162</v>
      </c>
      <c r="D22" s="129">
        <v>368.05</v>
      </c>
      <c r="F22" s="127">
        <v>42278</v>
      </c>
      <c r="G22" s="128">
        <v>42278</v>
      </c>
      <c r="H22" t="s">
        <v>147</v>
      </c>
      <c r="I22" s="129">
        <v>427.46</v>
      </c>
    </row>
    <row r="23" spans="1:9" x14ac:dyDescent="0.25">
      <c r="A23" s="127">
        <v>42248</v>
      </c>
      <c r="B23" s="128">
        <v>42248</v>
      </c>
      <c r="C23" t="s">
        <v>163</v>
      </c>
      <c r="D23" s="129">
        <v>148.41</v>
      </c>
      <c r="F23" s="127">
        <v>42278</v>
      </c>
      <c r="G23" s="128">
        <v>42278</v>
      </c>
      <c r="H23" t="s">
        <v>148</v>
      </c>
      <c r="I23" s="129">
        <v>504.47</v>
      </c>
    </row>
    <row r="24" spans="1:9" x14ac:dyDescent="0.25">
      <c r="A24" s="127">
        <v>42248</v>
      </c>
      <c r="B24" s="128">
        <v>42248</v>
      </c>
      <c r="C24" t="s">
        <v>164</v>
      </c>
      <c r="D24" s="129">
        <v>386.11</v>
      </c>
      <c r="F24" s="127">
        <v>42278</v>
      </c>
      <c r="G24" s="128">
        <v>42278</v>
      </c>
      <c r="H24" t="s">
        <v>149</v>
      </c>
      <c r="I24" s="129">
        <v>417.27</v>
      </c>
    </row>
    <row r="25" spans="1:9" x14ac:dyDescent="0.25">
      <c r="A25" s="127">
        <v>42248</v>
      </c>
      <c r="B25" s="128">
        <v>42248</v>
      </c>
      <c r="C25" t="s">
        <v>165</v>
      </c>
      <c r="D25" s="129">
        <v>429.81</v>
      </c>
      <c r="F25" s="127">
        <v>42278</v>
      </c>
      <c r="G25" s="128">
        <v>42278</v>
      </c>
      <c r="H25" t="s">
        <v>150</v>
      </c>
      <c r="I25" s="129">
        <v>499.79</v>
      </c>
    </row>
    <row r="26" spans="1:9" x14ac:dyDescent="0.25">
      <c r="A26" s="127">
        <v>42248</v>
      </c>
      <c r="B26" s="128">
        <v>42248</v>
      </c>
      <c r="C26" t="s">
        <v>166</v>
      </c>
      <c r="D26" s="129">
        <v>392.24</v>
      </c>
      <c r="F26" s="127">
        <v>42278</v>
      </c>
      <c r="G26" s="128">
        <v>42278</v>
      </c>
      <c r="H26" t="s">
        <v>151</v>
      </c>
      <c r="I26" s="129">
        <v>545.87</v>
      </c>
    </row>
    <row r="27" spans="1:9" x14ac:dyDescent="0.25">
      <c r="A27" s="127">
        <v>42248</v>
      </c>
      <c r="B27" s="128">
        <v>42248</v>
      </c>
      <c r="C27" t="s">
        <v>167</v>
      </c>
      <c r="D27" s="129">
        <v>497.95</v>
      </c>
      <c r="F27" s="127">
        <v>42278</v>
      </c>
      <c r="G27" s="128">
        <v>42278</v>
      </c>
      <c r="H27" t="s">
        <v>153</v>
      </c>
      <c r="I27" s="129">
        <v>412.07</v>
      </c>
    </row>
    <row r="28" spans="1:9" x14ac:dyDescent="0.25">
      <c r="A28" s="127">
        <v>42248</v>
      </c>
      <c r="B28" s="128">
        <v>42248</v>
      </c>
      <c r="C28" t="s">
        <v>168</v>
      </c>
      <c r="D28" s="129">
        <v>491.18</v>
      </c>
      <c r="F28" s="127">
        <v>42278</v>
      </c>
      <c r="G28" s="128">
        <v>42278</v>
      </c>
      <c r="H28" t="s">
        <v>154</v>
      </c>
      <c r="I28" s="129">
        <v>453.62</v>
      </c>
    </row>
    <row r="29" spans="1:9" x14ac:dyDescent="0.25">
      <c r="A29" s="127">
        <v>42248</v>
      </c>
      <c r="B29" s="128">
        <v>42248</v>
      </c>
      <c r="C29" t="s">
        <v>169</v>
      </c>
      <c r="D29" s="129">
        <v>593.70000000000005</v>
      </c>
      <c r="F29" s="127">
        <v>42278</v>
      </c>
      <c r="G29" s="128">
        <v>42278</v>
      </c>
      <c r="H29" t="s">
        <v>155</v>
      </c>
      <c r="I29" s="129">
        <v>376.98</v>
      </c>
    </row>
    <row r="30" spans="1:9" x14ac:dyDescent="0.25">
      <c r="A30" s="127">
        <v>42248</v>
      </c>
      <c r="B30" s="128">
        <v>42248</v>
      </c>
      <c r="C30" t="s">
        <v>170</v>
      </c>
      <c r="D30" s="129">
        <v>368.39</v>
      </c>
      <c r="F30" s="127">
        <v>42278</v>
      </c>
      <c r="G30" s="128">
        <v>42278</v>
      </c>
      <c r="H30" t="s">
        <v>156</v>
      </c>
      <c r="I30" s="129">
        <v>498.83</v>
      </c>
    </row>
    <row r="31" spans="1:9" x14ac:dyDescent="0.25">
      <c r="A31" s="127">
        <v>42248</v>
      </c>
      <c r="B31" s="128">
        <v>42248</v>
      </c>
      <c r="C31" t="s">
        <v>171</v>
      </c>
      <c r="D31" s="129">
        <v>418.48</v>
      </c>
      <c r="F31" s="127">
        <v>42278</v>
      </c>
      <c r="G31" s="128">
        <v>42278</v>
      </c>
      <c r="H31" t="s">
        <v>157</v>
      </c>
      <c r="I31" s="129">
        <v>439.08</v>
      </c>
    </row>
    <row r="32" spans="1:9" x14ac:dyDescent="0.25">
      <c r="A32" s="127">
        <v>42248</v>
      </c>
      <c r="B32" s="128">
        <v>42248</v>
      </c>
      <c r="C32" t="s">
        <v>172</v>
      </c>
      <c r="D32" s="129">
        <v>437.78</v>
      </c>
      <c r="F32" s="127">
        <v>42278</v>
      </c>
      <c r="G32" s="128">
        <v>42278</v>
      </c>
      <c r="H32" t="s">
        <v>158</v>
      </c>
      <c r="I32" s="129">
        <v>463.58</v>
      </c>
    </row>
    <row r="33" spans="1:9" x14ac:dyDescent="0.25">
      <c r="A33" s="127">
        <v>42248</v>
      </c>
      <c r="B33" s="128">
        <v>42248</v>
      </c>
      <c r="C33" t="s">
        <v>173</v>
      </c>
      <c r="D33" s="129">
        <v>479.48</v>
      </c>
      <c r="F33" s="127">
        <v>42278</v>
      </c>
      <c r="G33" s="128">
        <v>42278</v>
      </c>
      <c r="H33" t="s">
        <v>159</v>
      </c>
      <c r="I33" s="129">
        <v>403.6</v>
      </c>
    </row>
    <row r="34" spans="1:9" x14ac:dyDescent="0.25">
      <c r="A34" s="127">
        <v>42248</v>
      </c>
      <c r="B34" s="128">
        <v>42248</v>
      </c>
      <c r="C34" t="s">
        <v>174</v>
      </c>
      <c r="D34" s="129">
        <v>368.39</v>
      </c>
      <c r="F34" s="127">
        <v>42278</v>
      </c>
      <c r="G34" s="128">
        <v>42278</v>
      </c>
      <c r="H34" t="s">
        <v>160</v>
      </c>
      <c r="I34" s="129">
        <v>403.36</v>
      </c>
    </row>
    <row r="35" spans="1:9" x14ac:dyDescent="0.25">
      <c r="A35" s="127">
        <v>42248</v>
      </c>
      <c r="B35" s="128">
        <v>42248</v>
      </c>
      <c r="C35" t="s">
        <v>175</v>
      </c>
      <c r="D35" s="129">
        <v>425.23</v>
      </c>
      <c r="F35" s="127">
        <v>42278</v>
      </c>
      <c r="G35" s="128">
        <v>42278</v>
      </c>
      <c r="H35" t="s">
        <v>161</v>
      </c>
      <c r="I35" s="129">
        <v>240.65</v>
      </c>
    </row>
    <row r="36" spans="1:9" x14ac:dyDescent="0.25">
      <c r="A36" s="127">
        <v>42248</v>
      </c>
      <c r="B36" s="128">
        <v>42248</v>
      </c>
      <c r="C36" t="s">
        <v>176</v>
      </c>
      <c r="D36" s="129">
        <v>444.07</v>
      </c>
      <c r="F36" s="127">
        <v>42278</v>
      </c>
      <c r="G36" s="128">
        <v>42278</v>
      </c>
      <c r="H36" t="s">
        <v>163</v>
      </c>
      <c r="I36" s="129">
        <v>712.91</v>
      </c>
    </row>
    <row r="37" spans="1:9" x14ac:dyDescent="0.25">
      <c r="A37" s="127">
        <v>42248</v>
      </c>
      <c r="B37" s="128">
        <v>42248</v>
      </c>
      <c r="C37" t="s">
        <v>177</v>
      </c>
      <c r="D37" s="129">
        <v>412.36</v>
      </c>
      <c r="F37" s="127">
        <v>42278</v>
      </c>
      <c r="G37" s="128">
        <v>42278</v>
      </c>
      <c r="H37" t="s">
        <v>164</v>
      </c>
      <c r="I37" s="129">
        <v>392.83</v>
      </c>
    </row>
    <row r="38" spans="1:9" x14ac:dyDescent="0.25">
      <c r="A38" s="127">
        <v>42248</v>
      </c>
      <c r="B38" s="128">
        <v>42248</v>
      </c>
      <c r="C38" t="s">
        <v>178</v>
      </c>
      <c r="D38" s="129">
        <v>428.63</v>
      </c>
      <c r="F38" s="127">
        <v>42278</v>
      </c>
      <c r="G38" s="128">
        <v>42278</v>
      </c>
      <c r="H38" t="s">
        <v>165</v>
      </c>
      <c r="I38" s="129">
        <v>495.8</v>
      </c>
    </row>
    <row r="39" spans="1:9" x14ac:dyDescent="0.25">
      <c r="A39" s="127">
        <v>42248</v>
      </c>
      <c r="B39" s="128">
        <v>42248</v>
      </c>
      <c r="C39" t="s">
        <v>179</v>
      </c>
      <c r="D39" s="129">
        <v>414.95</v>
      </c>
      <c r="F39" s="127">
        <v>42278</v>
      </c>
      <c r="G39" s="128">
        <v>42278</v>
      </c>
      <c r="H39" t="s">
        <v>166</v>
      </c>
      <c r="I39" s="129">
        <v>467.68</v>
      </c>
    </row>
    <row r="40" spans="1:9" x14ac:dyDescent="0.25">
      <c r="A40" s="127">
        <v>42248</v>
      </c>
      <c r="B40" s="128">
        <v>42248</v>
      </c>
      <c r="C40" t="s">
        <v>180</v>
      </c>
      <c r="D40" s="129">
        <v>377.04</v>
      </c>
      <c r="F40" s="127">
        <v>42278</v>
      </c>
      <c r="G40" s="128">
        <v>42278</v>
      </c>
      <c r="H40" t="s">
        <v>167</v>
      </c>
      <c r="I40" s="129">
        <v>492.61</v>
      </c>
    </row>
    <row r="41" spans="1:9" x14ac:dyDescent="0.25">
      <c r="A41" s="127">
        <v>42248</v>
      </c>
      <c r="B41" s="128">
        <v>42248</v>
      </c>
      <c r="C41" t="s">
        <v>181</v>
      </c>
      <c r="D41" s="129">
        <v>472.65</v>
      </c>
      <c r="F41" s="127">
        <v>42278</v>
      </c>
      <c r="G41" s="128">
        <v>42278</v>
      </c>
      <c r="H41" t="s">
        <v>168</v>
      </c>
      <c r="I41" s="129">
        <v>516.05999999999995</v>
      </c>
    </row>
    <row r="42" spans="1:9" x14ac:dyDescent="0.25">
      <c r="A42" s="127">
        <v>42248</v>
      </c>
      <c r="B42" s="128">
        <v>42248</v>
      </c>
      <c r="C42" t="s">
        <v>182</v>
      </c>
      <c r="D42" s="129">
        <v>368.39</v>
      </c>
      <c r="F42" s="127">
        <v>42278</v>
      </c>
      <c r="G42" s="128">
        <v>42278</v>
      </c>
      <c r="H42" t="s">
        <v>169</v>
      </c>
      <c r="I42" s="129">
        <v>557.54999999999995</v>
      </c>
    </row>
    <row r="43" spans="1:9" x14ac:dyDescent="0.25">
      <c r="A43" s="127">
        <v>42248</v>
      </c>
      <c r="B43" s="128">
        <v>42248</v>
      </c>
      <c r="C43" t="s">
        <v>183</v>
      </c>
      <c r="D43" s="129">
        <v>366.94</v>
      </c>
      <c r="F43" s="127">
        <v>42278</v>
      </c>
      <c r="G43" s="128">
        <v>42278</v>
      </c>
      <c r="H43" t="s">
        <v>170</v>
      </c>
      <c r="I43" s="129">
        <v>380.01</v>
      </c>
    </row>
    <row r="44" spans="1:9" x14ac:dyDescent="0.25">
      <c r="A44" s="127">
        <v>42248</v>
      </c>
      <c r="B44" s="128">
        <v>42248</v>
      </c>
      <c r="C44" t="s">
        <v>184</v>
      </c>
      <c r="D44" s="129">
        <v>366.94</v>
      </c>
      <c r="F44" s="127">
        <v>42278</v>
      </c>
      <c r="G44" s="128">
        <v>42278</v>
      </c>
      <c r="H44" t="s">
        <v>171</v>
      </c>
      <c r="I44" s="129">
        <v>413.45</v>
      </c>
    </row>
    <row r="45" spans="1:9" x14ac:dyDescent="0.25">
      <c r="A45" s="127">
        <v>42248</v>
      </c>
      <c r="B45" s="128">
        <v>42248</v>
      </c>
      <c r="C45" t="s">
        <v>185</v>
      </c>
      <c r="D45" s="129">
        <v>366.94</v>
      </c>
      <c r="F45" s="127">
        <v>42278</v>
      </c>
      <c r="G45" s="128">
        <v>42278</v>
      </c>
      <c r="H45" t="s">
        <v>172</v>
      </c>
      <c r="I45" s="129">
        <v>477.21</v>
      </c>
    </row>
    <row r="46" spans="1:9" x14ac:dyDescent="0.25">
      <c r="A46" s="127">
        <v>42248</v>
      </c>
      <c r="B46" s="128">
        <v>42248</v>
      </c>
      <c r="C46" t="s">
        <v>186</v>
      </c>
      <c r="D46" s="129">
        <v>369.08</v>
      </c>
      <c r="F46" s="127">
        <v>42278</v>
      </c>
      <c r="G46" s="128">
        <v>42278</v>
      </c>
      <c r="H46" t="s">
        <v>173</v>
      </c>
      <c r="I46" s="129">
        <v>503.86</v>
      </c>
    </row>
    <row r="47" spans="1:9" x14ac:dyDescent="0.25">
      <c r="A47" s="127">
        <v>42248</v>
      </c>
      <c r="B47" s="128">
        <v>42248</v>
      </c>
      <c r="C47" t="s">
        <v>187</v>
      </c>
      <c r="D47" s="129">
        <v>368.39</v>
      </c>
      <c r="F47" s="127">
        <v>42278</v>
      </c>
      <c r="G47" s="128">
        <v>42278</v>
      </c>
      <c r="H47" t="s">
        <v>242</v>
      </c>
      <c r="I47" s="129">
        <v>455.72</v>
      </c>
    </row>
    <row r="48" spans="1:9" x14ac:dyDescent="0.25">
      <c r="A48" s="127">
        <v>42248</v>
      </c>
      <c r="B48" s="128">
        <v>42248</v>
      </c>
      <c r="C48" t="s">
        <v>188</v>
      </c>
      <c r="D48" s="129">
        <v>368.39</v>
      </c>
      <c r="F48" s="127">
        <v>42278</v>
      </c>
      <c r="G48" s="128">
        <v>42278</v>
      </c>
      <c r="H48" t="s">
        <v>174</v>
      </c>
      <c r="I48" s="129">
        <v>380.44</v>
      </c>
    </row>
    <row r="49" spans="1:9" x14ac:dyDescent="0.25">
      <c r="A49" s="127">
        <v>42248</v>
      </c>
      <c r="B49" s="128">
        <v>42248</v>
      </c>
      <c r="C49" t="s">
        <v>189</v>
      </c>
      <c r="D49" s="129">
        <v>368.39</v>
      </c>
      <c r="F49" s="127">
        <v>42278</v>
      </c>
      <c r="G49" s="128">
        <v>42278</v>
      </c>
      <c r="H49" t="s">
        <v>176</v>
      </c>
      <c r="I49" s="129">
        <v>456.17</v>
      </c>
    </row>
    <row r="50" spans="1:9" x14ac:dyDescent="0.25">
      <c r="A50" s="127">
        <v>42248</v>
      </c>
      <c r="B50" s="128">
        <v>42248</v>
      </c>
      <c r="C50" t="s">
        <v>190</v>
      </c>
      <c r="D50" s="129">
        <v>389.94</v>
      </c>
      <c r="F50" s="127">
        <v>42278</v>
      </c>
      <c r="G50" s="128">
        <v>42278</v>
      </c>
      <c r="H50" t="s">
        <v>177</v>
      </c>
      <c r="I50" s="129">
        <v>425.09</v>
      </c>
    </row>
    <row r="51" spans="1:9" x14ac:dyDescent="0.25">
      <c r="A51" s="127">
        <v>42248</v>
      </c>
      <c r="B51" s="128">
        <v>42248</v>
      </c>
      <c r="C51" t="s">
        <v>191</v>
      </c>
      <c r="D51" s="129">
        <v>366.78</v>
      </c>
      <c r="F51" s="127">
        <v>42278</v>
      </c>
      <c r="G51" s="128">
        <v>42278</v>
      </c>
      <c r="H51" t="s">
        <v>178</v>
      </c>
      <c r="I51" s="129">
        <v>416.88</v>
      </c>
    </row>
    <row r="52" spans="1:9" x14ac:dyDescent="0.25">
      <c r="A52" s="127">
        <v>42248</v>
      </c>
      <c r="B52" s="128">
        <v>42248</v>
      </c>
      <c r="C52" t="s">
        <v>192</v>
      </c>
      <c r="D52" s="129">
        <v>366.78</v>
      </c>
      <c r="F52" s="127">
        <v>42278</v>
      </c>
      <c r="G52" s="128">
        <v>42278</v>
      </c>
      <c r="H52" t="s">
        <v>179</v>
      </c>
      <c r="I52" s="129">
        <v>427.58</v>
      </c>
    </row>
    <row r="53" spans="1:9" x14ac:dyDescent="0.25">
      <c r="A53" s="127">
        <v>42248</v>
      </c>
      <c r="B53" s="128">
        <v>42248</v>
      </c>
      <c r="C53" t="s">
        <v>193</v>
      </c>
      <c r="D53" s="129">
        <v>366.78</v>
      </c>
      <c r="F53" s="127">
        <v>42278</v>
      </c>
      <c r="G53" s="128">
        <v>42278</v>
      </c>
      <c r="H53" t="s">
        <v>180</v>
      </c>
      <c r="I53" s="129">
        <v>392.09000000000003</v>
      </c>
    </row>
    <row r="54" spans="1:9" x14ac:dyDescent="0.25">
      <c r="A54" s="127">
        <v>42248</v>
      </c>
      <c r="B54" s="128">
        <v>42248</v>
      </c>
      <c r="C54" t="s">
        <v>194</v>
      </c>
      <c r="D54" s="129">
        <v>366.78</v>
      </c>
      <c r="F54" s="127">
        <v>42278</v>
      </c>
      <c r="G54" s="128">
        <v>42278</v>
      </c>
      <c r="H54" t="s">
        <v>181</v>
      </c>
      <c r="I54" s="129">
        <v>504.35</v>
      </c>
    </row>
    <row r="55" spans="1:9" x14ac:dyDescent="0.25">
      <c r="A55" s="127">
        <v>42248</v>
      </c>
      <c r="B55" s="128">
        <v>42248</v>
      </c>
      <c r="C55" t="s">
        <v>195</v>
      </c>
      <c r="D55" s="129">
        <v>368.39</v>
      </c>
      <c r="F55" s="127">
        <v>42278</v>
      </c>
      <c r="G55" s="128">
        <v>42278</v>
      </c>
      <c r="H55" t="s">
        <v>190</v>
      </c>
      <c r="I55" s="129">
        <v>384.85</v>
      </c>
    </row>
    <row r="56" spans="1:9" x14ac:dyDescent="0.25">
      <c r="A56" s="127">
        <v>42248</v>
      </c>
      <c r="B56" s="128">
        <v>42248</v>
      </c>
      <c r="C56" t="s">
        <v>196</v>
      </c>
      <c r="D56" s="129">
        <v>368.39</v>
      </c>
      <c r="F56" s="127">
        <v>42278</v>
      </c>
      <c r="G56" s="128">
        <v>42278</v>
      </c>
      <c r="H56" t="s">
        <v>197</v>
      </c>
      <c r="I56" s="129">
        <v>617.91999999999996</v>
      </c>
    </row>
    <row r="57" spans="1:9" x14ac:dyDescent="0.25">
      <c r="A57" s="127">
        <v>42248</v>
      </c>
      <c r="B57" s="128">
        <v>42248</v>
      </c>
      <c r="C57" t="s">
        <v>197</v>
      </c>
      <c r="D57" s="129">
        <v>602.66999999999996</v>
      </c>
      <c r="F57" s="127">
        <v>42278</v>
      </c>
      <c r="G57" s="128">
        <v>42278</v>
      </c>
      <c r="H57" t="s">
        <v>198</v>
      </c>
      <c r="I57" s="129">
        <v>601.65</v>
      </c>
    </row>
    <row r="58" spans="1:9" x14ac:dyDescent="0.25">
      <c r="A58" s="127">
        <v>42248</v>
      </c>
      <c r="B58" s="128">
        <v>42248</v>
      </c>
      <c r="C58" t="s">
        <v>198</v>
      </c>
      <c r="D58" s="129">
        <v>619.26</v>
      </c>
      <c r="F58" s="127">
        <v>42278</v>
      </c>
      <c r="G58" s="128">
        <v>42278</v>
      </c>
      <c r="H58" t="s">
        <v>199</v>
      </c>
      <c r="I58" s="129">
        <v>464.89</v>
      </c>
    </row>
    <row r="59" spans="1:9" x14ac:dyDescent="0.25">
      <c r="A59" s="127">
        <v>42248</v>
      </c>
      <c r="B59" s="128">
        <v>42248</v>
      </c>
      <c r="C59" t="s">
        <v>199</v>
      </c>
      <c r="D59" s="129">
        <v>510.43</v>
      </c>
      <c r="F59" s="127">
        <v>42278</v>
      </c>
      <c r="G59" s="128">
        <v>42278</v>
      </c>
      <c r="H59" t="s">
        <v>200</v>
      </c>
      <c r="I59" s="129">
        <v>463.24</v>
      </c>
    </row>
    <row r="60" spans="1:9" x14ac:dyDescent="0.25">
      <c r="A60" s="127">
        <v>42248</v>
      </c>
      <c r="B60" s="128">
        <v>42248</v>
      </c>
      <c r="C60" t="s">
        <v>200</v>
      </c>
      <c r="D60" s="129">
        <v>437.4</v>
      </c>
      <c r="F60" s="127">
        <v>42278</v>
      </c>
      <c r="G60" s="128">
        <v>42278</v>
      </c>
      <c r="H60" t="s">
        <v>201</v>
      </c>
      <c r="I60" s="129">
        <v>453.73</v>
      </c>
    </row>
    <row r="61" spans="1:9" x14ac:dyDescent="0.25">
      <c r="A61" s="127">
        <v>42248</v>
      </c>
      <c r="B61" s="128">
        <v>42248</v>
      </c>
      <c r="C61" t="s">
        <v>201</v>
      </c>
      <c r="D61" s="129">
        <v>433.24</v>
      </c>
      <c r="F61" s="127">
        <v>42278</v>
      </c>
      <c r="G61" s="128">
        <v>42278</v>
      </c>
      <c r="H61" t="s">
        <v>202</v>
      </c>
      <c r="I61" s="129">
        <v>481.23</v>
      </c>
    </row>
    <row r="62" spans="1:9" x14ac:dyDescent="0.25">
      <c r="A62" s="127">
        <v>42248</v>
      </c>
      <c r="B62" s="128">
        <v>42248</v>
      </c>
      <c r="C62" t="s">
        <v>202</v>
      </c>
      <c r="D62" s="129">
        <v>474.67</v>
      </c>
      <c r="F62" s="127">
        <v>42278</v>
      </c>
      <c r="G62" s="128">
        <v>42278</v>
      </c>
      <c r="H62" t="s">
        <v>203</v>
      </c>
      <c r="I62" s="129">
        <v>435.87</v>
      </c>
    </row>
    <row r="63" spans="1:9" x14ac:dyDescent="0.25">
      <c r="A63" s="127">
        <v>42248</v>
      </c>
      <c r="B63" s="128">
        <v>42248</v>
      </c>
      <c r="C63" t="s">
        <v>203</v>
      </c>
      <c r="D63" s="129">
        <v>428.91</v>
      </c>
      <c r="F63" s="127">
        <v>42278</v>
      </c>
      <c r="G63" s="128">
        <v>42278</v>
      </c>
      <c r="H63" t="s">
        <v>204</v>
      </c>
      <c r="I63" s="129">
        <v>438.71</v>
      </c>
    </row>
    <row r="64" spans="1:9" x14ac:dyDescent="0.25">
      <c r="A64" s="127">
        <v>42248</v>
      </c>
      <c r="B64" s="128">
        <v>42248</v>
      </c>
      <c r="C64" t="s">
        <v>204</v>
      </c>
      <c r="D64" s="129">
        <v>426.54</v>
      </c>
      <c r="F64" s="127">
        <v>42278</v>
      </c>
      <c r="G64" s="128">
        <v>42278</v>
      </c>
      <c r="H64" t="s">
        <v>205</v>
      </c>
      <c r="I64" s="129">
        <v>421.63</v>
      </c>
    </row>
    <row r="65" spans="1:9" x14ac:dyDescent="0.25">
      <c r="A65" s="127">
        <v>42248</v>
      </c>
      <c r="B65" s="128">
        <v>42248</v>
      </c>
      <c r="C65" t="s">
        <v>205</v>
      </c>
      <c r="D65" s="129">
        <v>413.08</v>
      </c>
      <c r="F65" s="127">
        <v>42278</v>
      </c>
      <c r="G65" s="128">
        <v>42278</v>
      </c>
      <c r="H65" t="s">
        <v>206</v>
      </c>
      <c r="I65" s="129">
        <v>400.3</v>
      </c>
    </row>
    <row r="66" spans="1:9" x14ac:dyDescent="0.25">
      <c r="A66" s="127">
        <v>42248</v>
      </c>
      <c r="B66" s="128">
        <v>42248</v>
      </c>
      <c r="C66" t="s">
        <v>206</v>
      </c>
      <c r="D66" s="129">
        <v>389.13</v>
      </c>
      <c r="F66" s="127">
        <v>42278</v>
      </c>
      <c r="G66" s="128">
        <v>42278</v>
      </c>
      <c r="H66" t="s">
        <v>207</v>
      </c>
      <c r="I66" s="129">
        <v>458.09</v>
      </c>
    </row>
    <row r="67" spans="1:9" x14ac:dyDescent="0.25">
      <c r="A67" s="127">
        <v>42248</v>
      </c>
      <c r="B67" s="128">
        <v>42248</v>
      </c>
      <c r="C67" t="s">
        <v>207</v>
      </c>
      <c r="D67" s="129">
        <v>450.58</v>
      </c>
      <c r="F67" s="127">
        <v>42278</v>
      </c>
      <c r="G67" s="128">
        <v>42278</v>
      </c>
      <c r="H67" t="s">
        <v>208</v>
      </c>
      <c r="I67" s="129">
        <v>471.98</v>
      </c>
    </row>
    <row r="68" spans="1:9" x14ac:dyDescent="0.25">
      <c r="A68" s="127">
        <v>42248</v>
      </c>
      <c r="B68" s="128">
        <v>42248</v>
      </c>
      <c r="C68" t="s">
        <v>208</v>
      </c>
      <c r="D68" s="129">
        <v>453.55</v>
      </c>
      <c r="F68" s="127">
        <v>42278</v>
      </c>
      <c r="G68" s="128">
        <v>42278</v>
      </c>
      <c r="H68" t="s">
        <v>209</v>
      </c>
      <c r="I68" s="129">
        <v>375.83</v>
      </c>
    </row>
    <row r="69" spans="1:9" x14ac:dyDescent="0.25">
      <c r="A69" s="127">
        <v>42248</v>
      </c>
      <c r="B69" s="128">
        <v>42248</v>
      </c>
      <c r="C69" t="s">
        <v>209</v>
      </c>
      <c r="D69" s="129">
        <v>368.39</v>
      </c>
      <c r="F69" s="127">
        <v>42278</v>
      </c>
      <c r="G69" s="128">
        <v>42278</v>
      </c>
      <c r="H69" t="s">
        <v>210</v>
      </c>
      <c r="I69" s="129">
        <v>493.57</v>
      </c>
    </row>
    <row r="70" spans="1:9" x14ac:dyDescent="0.25">
      <c r="A70" s="127">
        <v>42248</v>
      </c>
      <c r="B70" s="128">
        <v>42248</v>
      </c>
      <c r="C70" t="s">
        <v>210</v>
      </c>
      <c r="D70" s="129">
        <v>468.41</v>
      </c>
      <c r="F70" s="127">
        <v>42278</v>
      </c>
      <c r="G70" s="127">
        <v>42278</v>
      </c>
      <c r="H70" t="s">
        <v>211</v>
      </c>
      <c r="I70" s="129">
        <v>442.55</v>
      </c>
    </row>
    <row r="71" spans="1:9" x14ac:dyDescent="0.25">
      <c r="A71" s="127">
        <v>42248</v>
      </c>
      <c r="B71" s="128">
        <v>42248</v>
      </c>
      <c r="C71" t="s">
        <v>211</v>
      </c>
      <c r="D71" s="129">
        <v>430.94</v>
      </c>
      <c r="F71" s="127">
        <v>42278</v>
      </c>
      <c r="G71" s="127">
        <v>42278</v>
      </c>
      <c r="H71" t="s">
        <v>212</v>
      </c>
      <c r="I71" s="129">
        <v>394.29</v>
      </c>
    </row>
    <row r="72" spans="1:9" x14ac:dyDescent="0.25">
      <c r="A72" s="127">
        <v>42248</v>
      </c>
      <c r="B72" s="128">
        <v>42248</v>
      </c>
      <c r="C72" t="s">
        <v>212</v>
      </c>
      <c r="D72" s="129">
        <v>367.28</v>
      </c>
      <c r="F72" s="127">
        <v>42278</v>
      </c>
      <c r="G72" s="128">
        <v>42278</v>
      </c>
      <c r="H72" t="s">
        <v>213</v>
      </c>
      <c r="I72" s="129">
        <v>524.58000000000004</v>
      </c>
    </row>
    <row r="73" spans="1:9" x14ac:dyDescent="0.25">
      <c r="A73" s="127">
        <v>42248</v>
      </c>
      <c r="B73" s="128">
        <v>42248</v>
      </c>
      <c r="C73" t="s">
        <v>213</v>
      </c>
      <c r="D73" s="129">
        <v>470.46</v>
      </c>
      <c r="F73" s="127">
        <v>42278</v>
      </c>
      <c r="G73" s="128">
        <v>42278</v>
      </c>
      <c r="H73" t="s">
        <v>214</v>
      </c>
      <c r="I73" s="129">
        <v>468.45</v>
      </c>
    </row>
    <row r="74" spans="1:9" x14ac:dyDescent="0.25">
      <c r="A74" s="127">
        <v>42248</v>
      </c>
      <c r="B74" s="128">
        <v>42248</v>
      </c>
      <c r="C74" t="s">
        <v>214</v>
      </c>
      <c r="D74" s="129">
        <v>501.53</v>
      </c>
      <c r="F74" s="127">
        <v>42278</v>
      </c>
      <c r="G74" s="128">
        <v>42278</v>
      </c>
      <c r="H74" t="s">
        <v>215</v>
      </c>
      <c r="I74" s="129">
        <v>485.77</v>
      </c>
    </row>
    <row r="75" spans="1:9" x14ac:dyDescent="0.25">
      <c r="A75" s="127">
        <v>42248</v>
      </c>
      <c r="B75" s="128">
        <v>42248</v>
      </c>
      <c r="C75" t="s">
        <v>215</v>
      </c>
      <c r="D75" s="129">
        <v>445.65</v>
      </c>
      <c r="F75" s="127">
        <v>42278</v>
      </c>
      <c r="G75" s="128">
        <v>42278</v>
      </c>
      <c r="H75" t="s">
        <v>216</v>
      </c>
      <c r="I75" s="129">
        <v>410.92</v>
      </c>
    </row>
    <row r="76" spans="1:9" x14ac:dyDescent="0.25">
      <c r="A76" s="127">
        <v>42248</v>
      </c>
      <c r="B76" s="128">
        <v>42248</v>
      </c>
      <c r="C76" t="s">
        <v>216</v>
      </c>
      <c r="D76" s="129">
        <v>368.39</v>
      </c>
      <c r="F76" s="127">
        <v>42278</v>
      </c>
      <c r="G76" s="128">
        <v>42278</v>
      </c>
      <c r="H76" t="s">
        <v>217</v>
      </c>
      <c r="I76" s="129">
        <v>411.44</v>
      </c>
    </row>
    <row r="77" spans="1:9" x14ac:dyDescent="0.25">
      <c r="A77" s="127">
        <v>42248</v>
      </c>
      <c r="B77" s="128">
        <v>42248</v>
      </c>
      <c r="C77" t="s">
        <v>217</v>
      </c>
      <c r="D77" s="129">
        <v>413.38</v>
      </c>
      <c r="F77" s="127">
        <v>42278</v>
      </c>
      <c r="G77" s="128">
        <v>42278</v>
      </c>
      <c r="H77" t="s">
        <v>218</v>
      </c>
      <c r="I77" s="129">
        <v>431.13</v>
      </c>
    </row>
    <row r="78" spans="1:9" x14ac:dyDescent="0.25">
      <c r="A78" s="127">
        <v>42248</v>
      </c>
      <c r="B78" s="128">
        <v>42248</v>
      </c>
      <c r="C78" t="s">
        <v>218</v>
      </c>
      <c r="D78" s="129">
        <v>422.87</v>
      </c>
      <c r="F78" s="127">
        <v>42278</v>
      </c>
      <c r="G78" s="128">
        <v>42278</v>
      </c>
      <c r="H78" t="s">
        <v>219</v>
      </c>
      <c r="I78" s="129">
        <v>398.01</v>
      </c>
    </row>
    <row r="79" spans="1:9" x14ac:dyDescent="0.25">
      <c r="A79" s="127">
        <v>42248</v>
      </c>
      <c r="B79" s="128">
        <v>42248</v>
      </c>
      <c r="C79" t="s">
        <v>219</v>
      </c>
      <c r="D79" s="129">
        <v>390.88</v>
      </c>
      <c r="F79" s="127">
        <v>42278</v>
      </c>
      <c r="G79" s="128">
        <v>42278</v>
      </c>
      <c r="H79" t="s">
        <v>220</v>
      </c>
      <c r="I79" s="129">
        <v>469.85</v>
      </c>
    </row>
    <row r="80" spans="1:9" x14ac:dyDescent="0.25">
      <c r="A80" s="127">
        <v>42248</v>
      </c>
      <c r="B80" s="128">
        <v>42248</v>
      </c>
      <c r="C80" t="s">
        <v>220</v>
      </c>
      <c r="D80" s="129">
        <v>488.27</v>
      </c>
      <c r="F80" s="127">
        <v>42278</v>
      </c>
      <c r="G80" s="128">
        <v>42278</v>
      </c>
      <c r="H80" t="s">
        <v>221</v>
      </c>
      <c r="I80" s="129">
        <v>438.41</v>
      </c>
    </row>
    <row r="81" spans="1:9" x14ac:dyDescent="0.25">
      <c r="A81" s="127">
        <v>42248</v>
      </c>
      <c r="B81" s="128">
        <v>42248</v>
      </c>
      <c r="C81" t="s">
        <v>221</v>
      </c>
      <c r="D81" s="129">
        <v>419.8</v>
      </c>
      <c r="F81" s="127">
        <v>42278</v>
      </c>
      <c r="G81" s="128">
        <v>42278</v>
      </c>
      <c r="H81" t="s">
        <v>222</v>
      </c>
      <c r="I81" s="129">
        <v>426.91</v>
      </c>
    </row>
    <row r="82" spans="1:9" x14ac:dyDescent="0.25">
      <c r="A82" s="127">
        <v>42248</v>
      </c>
      <c r="B82" s="128">
        <v>42248</v>
      </c>
      <c r="C82" t="s">
        <v>222</v>
      </c>
      <c r="D82" s="129">
        <v>409.13</v>
      </c>
      <c r="F82" s="127">
        <v>42278</v>
      </c>
      <c r="G82" s="128">
        <v>42278</v>
      </c>
      <c r="H82" t="s">
        <v>223</v>
      </c>
      <c r="I82" s="129">
        <v>376.15</v>
      </c>
    </row>
    <row r="83" spans="1:9" x14ac:dyDescent="0.25">
      <c r="A83" s="127">
        <v>42248</v>
      </c>
      <c r="B83" s="128">
        <v>42248</v>
      </c>
      <c r="C83" t="s">
        <v>223</v>
      </c>
      <c r="D83" s="129">
        <v>368.71</v>
      </c>
      <c r="F83" s="127">
        <v>42278</v>
      </c>
      <c r="G83" s="128">
        <v>42278</v>
      </c>
      <c r="H83" t="s">
        <v>224</v>
      </c>
      <c r="I83" s="129">
        <v>512.07000000000005</v>
      </c>
    </row>
    <row r="84" spans="1:9" x14ac:dyDescent="0.25">
      <c r="A84" s="127">
        <v>42248</v>
      </c>
      <c r="B84" s="128">
        <v>42248</v>
      </c>
      <c r="C84" t="s">
        <v>224</v>
      </c>
      <c r="D84" s="129">
        <v>482.88</v>
      </c>
      <c r="F84" s="127">
        <v>42278</v>
      </c>
      <c r="G84" s="128">
        <v>42278</v>
      </c>
      <c r="H84" t="s">
        <v>225</v>
      </c>
      <c r="I84" s="129">
        <v>411.02</v>
      </c>
    </row>
    <row r="85" spans="1:9" x14ac:dyDescent="0.25">
      <c r="A85" s="127">
        <v>42248</v>
      </c>
      <c r="B85" s="128">
        <v>42248</v>
      </c>
      <c r="C85" t="s">
        <v>225</v>
      </c>
      <c r="D85" s="129">
        <v>400.35</v>
      </c>
      <c r="F85" s="127">
        <v>42278</v>
      </c>
      <c r="G85" s="128">
        <v>42278</v>
      </c>
      <c r="H85" t="s">
        <v>226</v>
      </c>
      <c r="I85" s="129">
        <v>468.57</v>
      </c>
    </row>
    <row r="86" spans="1:9" x14ac:dyDescent="0.25">
      <c r="A86" s="127">
        <v>42248</v>
      </c>
      <c r="B86" s="128">
        <v>42248</v>
      </c>
      <c r="C86" t="s">
        <v>226</v>
      </c>
      <c r="D86" s="129">
        <v>452.96</v>
      </c>
      <c r="F86" s="127">
        <v>42278</v>
      </c>
      <c r="G86" s="128">
        <v>42278</v>
      </c>
      <c r="H86" t="s">
        <v>227</v>
      </c>
      <c r="I86" s="129">
        <v>500.59</v>
      </c>
    </row>
    <row r="87" spans="1:9" x14ac:dyDescent="0.25">
      <c r="A87" s="127">
        <v>42248</v>
      </c>
      <c r="B87" s="128">
        <v>42248</v>
      </c>
      <c r="C87" t="s">
        <v>227</v>
      </c>
      <c r="D87" s="129">
        <v>501.45000000000005</v>
      </c>
      <c r="F87" s="127">
        <v>42278</v>
      </c>
      <c r="G87" s="128">
        <v>42278</v>
      </c>
      <c r="H87" t="s">
        <v>229</v>
      </c>
      <c r="I87" s="129">
        <v>375.83</v>
      </c>
    </row>
    <row r="88" spans="1:9" x14ac:dyDescent="0.25">
      <c r="A88" s="127">
        <v>42248</v>
      </c>
      <c r="B88" s="128">
        <v>42248</v>
      </c>
      <c r="C88" t="s">
        <v>228</v>
      </c>
      <c r="D88" s="129">
        <v>481.83</v>
      </c>
      <c r="F88" s="127">
        <v>42278</v>
      </c>
      <c r="G88" s="128">
        <v>42278</v>
      </c>
      <c r="H88" t="s">
        <v>230</v>
      </c>
      <c r="I88" s="129">
        <v>375.83</v>
      </c>
    </row>
    <row r="89" spans="1:9" x14ac:dyDescent="0.25">
      <c r="A89" s="127">
        <v>42248</v>
      </c>
      <c r="B89" s="128">
        <v>42248</v>
      </c>
      <c r="C89" t="s">
        <v>229</v>
      </c>
      <c r="D89" s="129">
        <v>368.39</v>
      </c>
      <c r="F89" s="127">
        <v>42278</v>
      </c>
      <c r="G89" s="128">
        <v>42278</v>
      </c>
      <c r="H89" t="s">
        <v>145</v>
      </c>
      <c r="I89" s="129">
        <v>428.41</v>
      </c>
    </row>
    <row r="90" spans="1:9" x14ac:dyDescent="0.25">
      <c r="A90" s="127">
        <v>42248</v>
      </c>
      <c r="B90" s="128">
        <v>42248</v>
      </c>
      <c r="C90" t="s">
        <v>230</v>
      </c>
      <c r="D90" s="129">
        <v>368.39</v>
      </c>
      <c r="F90" s="127">
        <v>42278</v>
      </c>
      <c r="G90" s="128">
        <v>42278</v>
      </c>
      <c r="H90" t="s">
        <v>231</v>
      </c>
      <c r="I90" s="129">
        <v>417.6</v>
      </c>
    </row>
    <row r="91" spans="1:9" x14ac:dyDescent="0.25">
      <c r="A91" s="127">
        <v>42248</v>
      </c>
      <c r="B91" s="128">
        <v>42248</v>
      </c>
      <c r="C91" t="s">
        <v>231</v>
      </c>
      <c r="D91" s="129">
        <v>367.12</v>
      </c>
      <c r="F91" s="127">
        <v>42278</v>
      </c>
      <c r="G91" s="128">
        <v>42278</v>
      </c>
      <c r="H91" t="s">
        <v>232</v>
      </c>
      <c r="I91" s="129">
        <v>434.74</v>
      </c>
    </row>
    <row r="92" spans="1:9" x14ac:dyDescent="0.25">
      <c r="A92" s="127">
        <v>42248</v>
      </c>
      <c r="B92" s="128">
        <v>42248</v>
      </c>
      <c r="C92" t="s">
        <v>232</v>
      </c>
      <c r="D92" s="129">
        <v>450.78</v>
      </c>
      <c r="F92" s="127">
        <v>42278</v>
      </c>
      <c r="G92" s="128">
        <v>42278</v>
      </c>
      <c r="H92" t="s">
        <v>233</v>
      </c>
      <c r="I92" s="129">
        <v>375.83</v>
      </c>
    </row>
    <row r="93" spans="1:9" x14ac:dyDescent="0.25">
      <c r="A93" s="127">
        <v>42248</v>
      </c>
      <c r="B93" s="128">
        <v>42248</v>
      </c>
      <c r="C93" t="s">
        <v>233</v>
      </c>
      <c r="D93" s="129">
        <v>368.39</v>
      </c>
      <c r="F93" s="127">
        <v>42278</v>
      </c>
      <c r="G93" s="128">
        <v>42278</v>
      </c>
      <c r="H93" t="s">
        <v>249</v>
      </c>
      <c r="I93" s="129">
        <v>645.04</v>
      </c>
    </row>
    <row r="94" spans="1:9" x14ac:dyDescent="0.25">
      <c r="A94" s="127">
        <v>42248</v>
      </c>
      <c r="B94" s="128">
        <v>42278</v>
      </c>
      <c r="C94" t="s">
        <v>182</v>
      </c>
      <c r="D94" s="129">
        <v>375.83</v>
      </c>
    </row>
    <row r="95" spans="1:9" x14ac:dyDescent="0.25">
      <c r="A95" s="127">
        <v>42248</v>
      </c>
      <c r="B95" s="128">
        <v>42278</v>
      </c>
      <c r="C95" t="s">
        <v>183</v>
      </c>
      <c r="D95" s="129">
        <v>374.38</v>
      </c>
    </row>
    <row r="96" spans="1:9" x14ac:dyDescent="0.25">
      <c r="A96" s="127">
        <v>42248</v>
      </c>
      <c r="B96" s="128">
        <v>42278</v>
      </c>
      <c r="C96" t="s">
        <v>184</v>
      </c>
      <c r="D96" s="129">
        <v>374.38</v>
      </c>
    </row>
    <row r="97" spans="1:4" x14ac:dyDescent="0.25">
      <c r="A97" s="127">
        <v>42248</v>
      </c>
      <c r="B97" s="128">
        <v>42278</v>
      </c>
      <c r="C97" t="s">
        <v>185</v>
      </c>
      <c r="D97" s="129">
        <v>374.38</v>
      </c>
    </row>
    <row r="98" spans="1:4" x14ac:dyDescent="0.25">
      <c r="A98" s="127">
        <v>42248</v>
      </c>
      <c r="B98" s="128">
        <v>42278</v>
      </c>
      <c r="C98" t="s">
        <v>186</v>
      </c>
      <c r="D98" s="129">
        <v>374.38</v>
      </c>
    </row>
    <row r="99" spans="1:4" x14ac:dyDescent="0.25">
      <c r="A99" s="127">
        <v>42248</v>
      </c>
      <c r="B99" s="128">
        <v>42278</v>
      </c>
      <c r="C99" t="s">
        <v>187</v>
      </c>
      <c r="D99" s="129">
        <v>375.83</v>
      </c>
    </row>
    <row r="100" spans="1:4" x14ac:dyDescent="0.25">
      <c r="A100" s="127">
        <v>42248</v>
      </c>
      <c r="B100" s="128">
        <v>42278</v>
      </c>
      <c r="C100" t="s">
        <v>188</v>
      </c>
      <c r="D100" s="129">
        <v>375.83</v>
      </c>
    </row>
    <row r="101" spans="1:4" x14ac:dyDescent="0.25">
      <c r="A101" s="127">
        <v>42248</v>
      </c>
      <c r="B101" s="128">
        <v>42278</v>
      </c>
      <c r="C101" t="s">
        <v>189</v>
      </c>
      <c r="D101" s="129">
        <v>375.83</v>
      </c>
    </row>
    <row r="102" spans="1:4" x14ac:dyDescent="0.25">
      <c r="A102" s="127">
        <v>42248</v>
      </c>
      <c r="B102" s="128">
        <v>42278</v>
      </c>
      <c r="C102" t="s">
        <v>191</v>
      </c>
      <c r="D102" s="129">
        <v>374.22</v>
      </c>
    </row>
    <row r="103" spans="1:4" x14ac:dyDescent="0.25">
      <c r="A103" s="127">
        <v>42248</v>
      </c>
      <c r="B103" s="128">
        <v>42278</v>
      </c>
      <c r="C103" t="s">
        <v>192</v>
      </c>
      <c r="D103" s="129">
        <v>374.22</v>
      </c>
    </row>
    <row r="104" spans="1:4" x14ac:dyDescent="0.25">
      <c r="A104" s="127">
        <v>42248</v>
      </c>
      <c r="B104" s="128">
        <v>42278</v>
      </c>
      <c r="C104" t="s">
        <v>193</v>
      </c>
      <c r="D104" s="129">
        <v>374.22</v>
      </c>
    </row>
    <row r="105" spans="1:4" x14ac:dyDescent="0.25">
      <c r="A105" s="127">
        <v>42248</v>
      </c>
      <c r="B105" s="128">
        <v>42278</v>
      </c>
      <c r="C105" t="s">
        <v>194</v>
      </c>
      <c r="D105" s="129">
        <v>374.22</v>
      </c>
    </row>
    <row r="106" spans="1:4" x14ac:dyDescent="0.25">
      <c r="A106" s="127">
        <v>42248</v>
      </c>
      <c r="B106" s="128">
        <v>42278</v>
      </c>
      <c r="C106" t="s">
        <v>195</v>
      </c>
      <c r="D106" s="129">
        <v>375.83</v>
      </c>
    </row>
    <row r="107" spans="1:4" x14ac:dyDescent="0.25">
      <c r="A107" s="127">
        <v>42248</v>
      </c>
      <c r="B107" s="128">
        <v>42278</v>
      </c>
      <c r="C107" t="s">
        <v>196</v>
      </c>
      <c r="D107" s="129">
        <v>375.83</v>
      </c>
    </row>
    <row r="108" spans="1:4" x14ac:dyDescent="0.25">
      <c r="A108" s="127">
        <v>42248</v>
      </c>
      <c r="B108" s="128">
        <v>42278</v>
      </c>
      <c r="C108" t="s">
        <v>234</v>
      </c>
      <c r="D108" s="129">
        <v>581.58000000000004</v>
      </c>
    </row>
    <row r="109" spans="1:4" x14ac:dyDescent="0.25">
      <c r="A109" s="127">
        <v>42248</v>
      </c>
      <c r="B109" s="128">
        <v>42278</v>
      </c>
      <c r="C109" t="s">
        <v>228</v>
      </c>
      <c r="D109" s="129">
        <v>509.91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15" sqref="A15"/>
    </sheetView>
  </sheetViews>
  <sheetFormatPr defaultRowHeight="15" x14ac:dyDescent="0.25"/>
  <cols>
    <col min="1" max="1" width="51.140625" bestFit="1" customWidth="1"/>
  </cols>
  <sheetData>
    <row r="1" spans="1:5" x14ac:dyDescent="0.25">
      <c r="A1" s="92" t="s">
        <v>93</v>
      </c>
      <c r="B1" s="93" t="s">
        <v>94</v>
      </c>
      <c r="C1" s="94"/>
      <c r="E1" s="102" t="s">
        <v>101</v>
      </c>
    </row>
    <row r="2" spans="1:5" x14ac:dyDescent="0.25">
      <c r="A2" s="95"/>
      <c r="B2" s="96"/>
      <c r="C2" s="97"/>
      <c r="E2" t="s">
        <v>102</v>
      </c>
    </row>
    <row r="3" spans="1:5" x14ac:dyDescent="0.25">
      <c r="A3" s="95"/>
      <c r="B3" s="96"/>
      <c r="C3" s="97"/>
    </row>
    <row r="4" spans="1:5" x14ac:dyDescent="0.25">
      <c r="A4" s="95" t="s">
        <v>95</v>
      </c>
      <c r="B4" s="96"/>
      <c r="C4" s="97"/>
    </row>
    <row r="5" spans="1:5" x14ac:dyDescent="0.25">
      <c r="A5" s="95" t="s">
        <v>96</v>
      </c>
      <c r="B5" s="96"/>
      <c r="C5" s="97"/>
    </row>
    <row r="6" spans="1:5" x14ac:dyDescent="0.25">
      <c r="A6" s="95" t="s">
        <v>97</v>
      </c>
      <c r="B6" s="96"/>
      <c r="C6" s="97"/>
    </row>
    <row r="7" spans="1:5" x14ac:dyDescent="0.25">
      <c r="A7" s="95" t="s">
        <v>98</v>
      </c>
      <c r="B7" s="96"/>
      <c r="C7" s="97"/>
    </row>
    <row r="8" spans="1:5" x14ac:dyDescent="0.25">
      <c r="A8" s="95" t="s">
        <v>99</v>
      </c>
      <c r="B8" s="96"/>
      <c r="C8" s="97"/>
    </row>
    <row r="9" spans="1:5" x14ac:dyDescent="0.25">
      <c r="A9" s="95"/>
      <c r="B9" s="96"/>
      <c r="C9" s="97"/>
    </row>
    <row r="10" spans="1:5" x14ac:dyDescent="0.25">
      <c r="A10" s="98" t="s">
        <v>100</v>
      </c>
      <c r="B10" s="96"/>
      <c r="C10" s="97"/>
    </row>
    <row r="11" spans="1:5" x14ac:dyDescent="0.25">
      <c r="A11" s="98" t="s">
        <v>97</v>
      </c>
      <c r="B11" s="96"/>
      <c r="C11" s="97"/>
    </row>
    <row r="12" spans="1:5" x14ac:dyDescent="0.25">
      <c r="A12" s="99"/>
      <c r="B12" s="100"/>
      <c r="C12" s="101"/>
    </row>
    <row r="15" spans="1:5" x14ac:dyDescent="0.25">
      <c r="A15" t="s">
        <v>258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K9" sqref="K9"/>
    </sheetView>
  </sheetViews>
  <sheetFormatPr defaultColWidth="9.140625" defaultRowHeight="15" x14ac:dyDescent="0.25"/>
  <cols>
    <col min="1" max="3" width="9.140625" style="1"/>
    <col min="4" max="4" width="13.5703125" style="1" customWidth="1"/>
    <col min="5" max="9" width="9.140625" style="1"/>
    <col min="10" max="10" width="16" style="1" bestFit="1" customWidth="1"/>
    <col min="11" max="11" width="20" style="1" bestFit="1" customWidth="1"/>
    <col min="12" max="12" width="2.85546875" style="1" customWidth="1"/>
    <col min="13" max="15" width="9.140625" style="1"/>
    <col min="16" max="16" width="12" style="1" customWidth="1"/>
    <col min="17" max="16384" width="9.140625" style="1"/>
  </cols>
  <sheetData>
    <row r="1" spans="1:21" x14ac:dyDescent="0.25">
      <c r="A1" s="453" t="s">
        <v>130</v>
      </c>
      <c r="B1" s="454"/>
      <c r="C1" s="454"/>
      <c r="D1" s="454"/>
      <c r="E1" s="454"/>
      <c r="F1" s="454"/>
      <c r="G1" s="454"/>
      <c r="H1" s="454"/>
      <c r="I1" s="455"/>
      <c r="J1" s="462" t="s">
        <v>78</v>
      </c>
      <c r="K1" s="449" t="s">
        <v>120</v>
      </c>
      <c r="M1" s="453" t="s">
        <v>107</v>
      </c>
      <c r="N1" s="454"/>
      <c r="O1" s="454"/>
      <c r="P1" s="454"/>
      <c r="Q1" s="454"/>
      <c r="R1" s="454"/>
      <c r="S1" s="454"/>
      <c r="T1" s="454"/>
      <c r="U1" s="455"/>
    </row>
    <row r="2" spans="1:21" x14ac:dyDescent="0.25">
      <c r="A2" s="456"/>
      <c r="B2" s="457"/>
      <c r="C2" s="457"/>
      <c r="D2" s="457"/>
      <c r="E2" s="457"/>
      <c r="F2" s="457"/>
      <c r="G2" s="457"/>
      <c r="H2" s="457"/>
      <c r="I2" s="458"/>
      <c r="J2" s="463"/>
      <c r="K2" s="450"/>
      <c r="M2" s="456"/>
      <c r="N2" s="457"/>
      <c r="O2" s="457"/>
      <c r="P2" s="457"/>
      <c r="Q2" s="457"/>
      <c r="R2" s="457"/>
      <c r="S2" s="457"/>
      <c r="T2" s="457"/>
      <c r="U2" s="458"/>
    </row>
    <row r="3" spans="1:21" ht="30" customHeight="1" x14ac:dyDescent="0.25">
      <c r="A3" s="103" t="s">
        <v>103</v>
      </c>
      <c r="B3" s="104"/>
      <c r="C3" s="104"/>
      <c r="D3" s="104"/>
      <c r="E3" s="459" t="s">
        <v>109</v>
      </c>
      <c r="F3" s="460"/>
      <c r="G3" s="460"/>
      <c r="H3" s="460"/>
      <c r="I3" s="461"/>
      <c r="J3" s="115" t="s">
        <v>121</v>
      </c>
      <c r="K3" s="115" t="s">
        <v>122</v>
      </c>
      <c r="M3" s="103" t="s">
        <v>103</v>
      </c>
      <c r="N3" s="104"/>
      <c r="O3" s="104"/>
      <c r="P3" s="104"/>
      <c r="Q3" s="459"/>
      <c r="R3" s="460"/>
      <c r="S3" s="460"/>
      <c r="T3" s="460"/>
      <c r="U3" s="461"/>
    </row>
    <row r="4" spans="1:21" ht="30" customHeight="1" x14ac:dyDescent="0.25">
      <c r="A4" s="103" t="s">
        <v>104</v>
      </c>
      <c r="B4" s="104"/>
      <c r="C4" s="104"/>
      <c r="D4" s="104"/>
      <c r="E4" s="451" t="s">
        <v>111</v>
      </c>
      <c r="F4" s="429"/>
      <c r="G4" s="429"/>
      <c r="H4" s="429"/>
      <c r="I4" s="452"/>
      <c r="J4" s="115" t="s">
        <v>110</v>
      </c>
      <c r="K4" s="115" t="s">
        <v>123</v>
      </c>
      <c r="L4" s="105"/>
      <c r="M4" s="103" t="s">
        <v>104</v>
      </c>
      <c r="N4" s="104"/>
      <c r="O4" s="104"/>
      <c r="P4" s="104"/>
      <c r="Q4" s="451"/>
      <c r="R4" s="429"/>
      <c r="S4" s="429"/>
      <c r="T4" s="429"/>
      <c r="U4" s="452"/>
    </row>
    <row r="5" spans="1:21" ht="30" customHeight="1" x14ac:dyDescent="0.25">
      <c r="A5" s="103" t="s">
        <v>105</v>
      </c>
      <c r="B5" s="104"/>
      <c r="C5" s="104"/>
      <c r="D5" s="104"/>
      <c r="E5" s="451" t="s">
        <v>112</v>
      </c>
      <c r="F5" s="429"/>
      <c r="G5" s="429"/>
      <c r="H5" s="429"/>
      <c r="I5" s="452"/>
      <c r="J5" s="115" t="s">
        <v>113</v>
      </c>
      <c r="K5" s="115" t="s">
        <v>124</v>
      </c>
      <c r="L5" s="105"/>
      <c r="M5" s="103" t="s">
        <v>105</v>
      </c>
      <c r="N5" s="104"/>
      <c r="O5" s="104"/>
      <c r="P5" s="104"/>
      <c r="Q5" s="451"/>
      <c r="R5" s="429"/>
      <c r="S5" s="429"/>
      <c r="T5" s="429"/>
      <c r="U5" s="452"/>
    </row>
    <row r="6" spans="1:21" ht="30" customHeight="1" x14ac:dyDescent="0.25">
      <c r="A6" s="103" t="s">
        <v>105</v>
      </c>
      <c r="B6" s="104"/>
      <c r="C6" s="104"/>
      <c r="D6" s="104"/>
      <c r="E6" s="451" t="s">
        <v>114</v>
      </c>
      <c r="F6" s="429"/>
      <c r="G6" s="429"/>
      <c r="H6" s="429"/>
      <c r="I6" s="452"/>
      <c r="J6" s="115" t="s">
        <v>115</v>
      </c>
      <c r="K6" s="115" t="s">
        <v>125</v>
      </c>
      <c r="L6" s="105"/>
      <c r="M6" s="103" t="s">
        <v>105</v>
      </c>
      <c r="N6" s="104"/>
      <c r="O6" s="104"/>
      <c r="P6" s="104"/>
      <c r="Q6" s="451"/>
      <c r="R6" s="429"/>
      <c r="S6" s="429"/>
      <c r="T6" s="429"/>
      <c r="U6" s="452"/>
    </row>
    <row r="7" spans="1:21" ht="30" customHeight="1" x14ac:dyDescent="0.25">
      <c r="A7" s="103" t="s">
        <v>105</v>
      </c>
      <c r="B7" s="104"/>
      <c r="C7" s="104"/>
      <c r="D7" s="104"/>
      <c r="E7" s="451" t="s">
        <v>116</v>
      </c>
      <c r="F7" s="429"/>
      <c r="G7" s="429"/>
      <c r="H7" s="429"/>
      <c r="I7" s="452"/>
      <c r="J7" s="115" t="s">
        <v>117</v>
      </c>
      <c r="K7" s="115" t="s">
        <v>126</v>
      </c>
      <c r="L7" s="105"/>
      <c r="M7" s="103" t="s">
        <v>105</v>
      </c>
      <c r="N7" s="104"/>
      <c r="O7" s="104"/>
      <c r="P7" s="104"/>
      <c r="Q7" s="451"/>
      <c r="R7" s="429"/>
      <c r="S7" s="429"/>
      <c r="T7" s="429"/>
      <c r="U7" s="452"/>
    </row>
    <row r="8" spans="1:21" ht="30" customHeight="1" x14ac:dyDescent="0.25">
      <c r="A8" s="103" t="s">
        <v>106</v>
      </c>
      <c r="B8" s="104"/>
      <c r="C8" s="104"/>
      <c r="D8" s="104"/>
      <c r="E8" s="451" t="s">
        <v>118</v>
      </c>
      <c r="F8" s="429"/>
      <c r="G8" s="429"/>
      <c r="H8" s="429"/>
      <c r="I8" s="452"/>
      <c r="J8" s="115" t="s">
        <v>119</v>
      </c>
      <c r="K8" s="115"/>
      <c r="L8" s="105"/>
      <c r="M8" s="106" t="s">
        <v>106</v>
      </c>
      <c r="N8" s="107"/>
      <c r="O8" s="107"/>
      <c r="P8" s="107"/>
      <c r="Q8" s="464"/>
      <c r="R8" s="465"/>
      <c r="S8" s="465"/>
      <c r="T8" s="465"/>
      <c r="U8" s="466"/>
    </row>
    <row r="9" spans="1:21" ht="30" customHeight="1" x14ac:dyDescent="0.25">
      <c r="A9" s="103" t="s">
        <v>131</v>
      </c>
      <c r="B9" s="104"/>
      <c r="C9" s="104"/>
      <c r="D9" s="104"/>
      <c r="E9" s="108"/>
      <c r="F9" s="109"/>
      <c r="G9" s="109"/>
      <c r="H9" s="109"/>
      <c r="I9" s="110"/>
      <c r="J9" s="115"/>
      <c r="K9" s="115"/>
      <c r="L9" s="105"/>
      <c r="M9" s="106"/>
      <c r="N9" s="107"/>
      <c r="O9" s="107"/>
      <c r="P9" s="107"/>
      <c r="Q9" s="111"/>
      <c r="R9" s="112"/>
      <c r="S9" s="112"/>
      <c r="T9" s="112"/>
      <c r="U9" s="113"/>
    </row>
    <row r="10" spans="1:21" ht="30" customHeight="1" x14ac:dyDescent="0.25">
      <c r="A10" s="106" t="s">
        <v>127</v>
      </c>
      <c r="B10" s="107"/>
      <c r="C10" s="107"/>
      <c r="D10" s="107"/>
      <c r="E10" s="464" t="s">
        <v>128</v>
      </c>
      <c r="F10" s="465"/>
      <c r="G10" s="465"/>
      <c r="H10" s="465"/>
      <c r="I10" s="466"/>
      <c r="J10" s="116"/>
      <c r="K10" s="116" t="s">
        <v>129</v>
      </c>
      <c r="L10" s="105"/>
      <c r="M10" s="106" t="s">
        <v>106</v>
      </c>
      <c r="N10" s="107"/>
      <c r="O10" s="107"/>
      <c r="P10" s="107"/>
      <c r="Q10" s="464"/>
      <c r="R10" s="465"/>
      <c r="S10" s="465"/>
      <c r="T10" s="465"/>
      <c r="U10" s="466"/>
    </row>
    <row r="12" spans="1:21" x14ac:dyDescent="0.25">
      <c r="A12" s="453" t="s">
        <v>107</v>
      </c>
      <c r="B12" s="454"/>
      <c r="C12" s="454"/>
      <c r="D12" s="454"/>
      <c r="E12" s="454"/>
      <c r="F12" s="454"/>
      <c r="G12" s="454"/>
      <c r="H12" s="454"/>
      <c r="I12" s="455"/>
      <c r="J12" s="114"/>
      <c r="K12" s="114"/>
      <c r="M12" s="453" t="s">
        <v>107</v>
      </c>
      <c r="N12" s="454"/>
      <c r="O12" s="454"/>
      <c r="P12" s="454"/>
      <c r="Q12" s="454"/>
      <c r="R12" s="454"/>
      <c r="S12" s="454"/>
      <c r="T12" s="454"/>
      <c r="U12" s="455"/>
    </row>
    <row r="13" spans="1:21" x14ac:dyDescent="0.25">
      <c r="A13" s="456"/>
      <c r="B13" s="457"/>
      <c r="C13" s="457"/>
      <c r="D13" s="457"/>
      <c r="E13" s="457"/>
      <c r="F13" s="457"/>
      <c r="G13" s="457"/>
      <c r="H13" s="457"/>
      <c r="I13" s="458"/>
      <c r="J13" s="114"/>
      <c r="K13" s="114"/>
      <c r="M13" s="456"/>
      <c r="N13" s="457"/>
      <c r="O13" s="457"/>
      <c r="P13" s="457"/>
      <c r="Q13" s="457"/>
      <c r="R13" s="457"/>
      <c r="S13" s="457"/>
      <c r="T13" s="457"/>
      <c r="U13" s="458"/>
    </row>
    <row r="14" spans="1:21" ht="30" customHeight="1" x14ac:dyDescent="0.25">
      <c r="A14" s="103" t="s">
        <v>103</v>
      </c>
      <c r="B14" s="104"/>
      <c r="C14" s="104"/>
      <c r="D14" s="104"/>
      <c r="E14" s="459"/>
      <c r="F14" s="460"/>
      <c r="G14" s="460"/>
      <c r="H14" s="460"/>
      <c r="I14" s="461"/>
      <c r="J14" s="103"/>
      <c r="K14" s="103"/>
      <c r="M14" s="103" t="s">
        <v>103</v>
      </c>
      <c r="N14" s="104"/>
      <c r="O14" s="104"/>
      <c r="P14" s="104"/>
      <c r="Q14" s="459"/>
      <c r="R14" s="460"/>
      <c r="S14" s="460"/>
      <c r="T14" s="460"/>
      <c r="U14" s="461"/>
    </row>
    <row r="15" spans="1:21" ht="30" customHeight="1" x14ac:dyDescent="0.25">
      <c r="A15" s="103" t="s">
        <v>104</v>
      </c>
      <c r="B15" s="104"/>
      <c r="C15" s="104"/>
      <c r="D15" s="104"/>
      <c r="E15" s="451"/>
      <c r="F15" s="429"/>
      <c r="G15" s="429"/>
      <c r="H15" s="429"/>
      <c r="I15" s="452"/>
      <c r="J15" s="103"/>
      <c r="K15" s="103"/>
      <c r="M15" s="103" t="s">
        <v>104</v>
      </c>
      <c r="N15" s="104"/>
      <c r="O15" s="104"/>
      <c r="P15" s="104"/>
      <c r="Q15" s="451"/>
      <c r="R15" s="429"/>
      <c r="S15" s="429"/>
      <c r="T15" s="429"/>
      <c r="U15" s="452"/>
    </row>
    <row r="16" spans="1:21" ht="30" customHeight="1" x14ac:dyDescent="0.25">
      <c r="A16" s="103" t="s">
        <v>104</v>
      </c>
      <c r="B16" s="104"/>
      <c r="C16" s="104"/>
      <c r="D16" s="104"/>
      <c r="E16" s="451"/>
      <c r="F16" s="429"/>
      <c r="G16" s="429"/>
      <c r="H16" s="429"/>
      <c r="I16" s="452"/>
      <c r="J16" s="103"/>
      <c r="K16" s="103"/>
      <c r="M16" s="103" t="s">
        <v>104</v>
      </c>
      <c r="N16" s="104"/>
      <c r="O16" s="104"/>
      <c r="P16" s="104"/>
      <c r="Q16" s="451"/>
      <c r="R16" s="429"/>
      <c r="S16" s="429"/>
      <c r="T16" s="429"/>
      <c r="U16" s="452"/>
    </row>
    <row r="17" spans="1:21" ht="30" customHeight="1" x14ac:dyDescent="0.25">
      <c r="A17" s="103" t="s">
        <v>105</v>
      </c>
      <c r="B17" s="104"/>
      <c r="C17" s="104"/>
      <c r="D17" s="104"/>
      <c r="E17" s="451"/>
      <c r="F17" s="429"/>
      <c r="G17" s="429"/>
      <c r="H17" s="429"/>
      <c r="I17" s="452"/>
      <c r="J17" s="103"/>
      <c r="K17" s="103"/>
      <c r="M17" s="103" t="s">
        <v>105</v>
      </c>
      <c r="N17" s="104"/>
      <c r="O17" s="104"/>
      <c r="P17" s="104"/>
      <c r="Q17" s="451"/>
      <c r="R17" s="429"/>
      <c r="S17" s="429"/>
      <c r="T17" s="429"/>
      <c r="U17" s="452"/>
    </row>
    <row r="18" spans="1:21" ht="30" customHeight="1" x14ac:dyDescent="0.25">
      <c r="A18" s="103" t="s">
        <v>105</v>
      </c>
      <c r="B18" s="104"/>
      <c r="C18" s="104"/>
      <c r="D18" s="104"/>
      <c r="E18" s="451"/>
      <c r="F18" s="429"/>
      <c r="G18" s="429"/>
      <c r="H18" s="429"/>
      <c r="I18" s="452"/>
      <c r="J18" s="103"/>
      <c r="K18" s="103"/>
      <c r="M18" s="103" t="s">
        <v>105</v>
      </c>
      <c r="N18" s="104"/>
      <c r="O18" s="104"/>
      <c r="P18" s="104"/>
      <c r="Q18" s="451"/>
      <c r="R18" s="429"/>
      <c r="S18" s="429"/>
      <c r="T18" s="429"/>
      <c r="U18" s="452"/>
    </row>
    <row r="19" spans="1:21" ht="30" customHeight="1" x14ac:dyDescent="0.25">
      <c r="A19" s="103" t="s">
        <v>105</v>
      </c>
      <c r="B19" s="104"/>
      <c r="C19" s="104"/>
      <c r="D19" s="104"/>
      <c r="E19" s="451"/>
      <c r="F19" s="429"/>
      <c r="G19" s="429"/>
      <c r="H19" s="429"/>
      <c r="I19" s="452"/>
      <c r="J19" s="103"/>
      <c r="K19" s="103"/>
      <c r="M19" s="103" t="s">
        <v>105</v>
      </c>
      <c r="N19" s="104"/>
      <c r="O19" s="104"/>
      <c r="P19" s="104"/>
      <c r="Q19" s="451"/>
      <c r="R19" s="429"/>
      <c r="S19" s="429"/>
      <c r="T19" s="429"/>
      <c r="U19" s="452"/>
    </row>
    <row r="20" spans="1:21" ht="30" customHeight="1" x14ac:dyDescent="0.25">
      <c r="A20" s="103" t="s">
        <v>106</v>
      </c>
      <c r="B20" s="104"/>
      <c r="C20" s="104"/>
      <c r="D20" s="104"/>
      <c r="E20" s="451"/>
      <c r="F20" s="429"/>
      <c r="G20" s="429"/>
      <c r="H20" s="429"/>
      <c r="I20" s="452"/>
      <c r="J20" s="103"/>
      <c r="K20" s="103"/>
      <c r="M20" s="103" t="s">
        <v>106</v>
      </c>
      <c r="N20" s="104"/>
      <c r="O20" s="104"/>
      <c r="P20" s="104"/>
      <c r="Q20" s="451"/>
      <c r="R20" s="429"/>
      <c r="S20" s="429"/>
      <c r="T20" s="429"/>
      <c r="U20" s="452"/>
    </row>
    <row r="21" spans="1:21" ht="30" customHeight="1" x14ac:dyDescent="0.25">
      <c r="A21" s="106" t="s">
        <v>106</v>
      </c>
      <c r="B21" s="107"/>
      <c r="C21" s="107"/>
      <c r="D21" s="107"/>
      <c r="E21" s="464"/>
      <c r="F21" s="465"/>
      <c r="G21" s="465"/>
      <c r="H21" s="465"/>
      <c r="I21" s="466"/>
      <c r="J21" s="106"/>
      <c r="K21" s="106"/>
      <c r="M21" s="106" t="s">
        <v>106</v>
      </c>
      <c r="N21" s="107"/>
      <c r="O21" s="107"/>
      <c r="P21" s="107"/>
      <c r="Q21" s="464"/>
      <c r="R21" s="465"/>
      <c r="S21" s="465"/>
      <c r="T21" s="465"/>
      <c r="U21" s="466"/>
    </row>
  </sheetData>
  <mergeCells count="36">
    <mergeCell ref="E17:I17"/>
    <mergeCell ref="E18:I18"/>
    <mergeCell ref="E19:I19"/>
    <mergeCell ref="E20:I20"/>
    <mergeCell ref="E21:I21"/>
    <mergeCell ref="Q17:U17"/>
    <mergeCell ref="Q18:U18"/>
    <mergeCell ref="Q19:U19"/>
    <mergeCell ref="Q20:U20"/>
    <mergeCell ref="Q21:U21"/>
    <mergeCell ref="E15:I15"/>
    <mergeCell ref="M12:U13"/>
    <mergeCell ref="Q14:U14"/>
    <mergeCell ref="Q15:U15"/>
    <mergeCell ref="Q16:U16"/>
    <mergeCell ref="E16:I16"/>
    <mergeCell ref="Q10:U10"/>
    <mergeCell ref="A12:I13"/>
    <mergeCell ref="E14:I14"/>
    <mergeCell ref="Q8:U8"/>
    <mergeCell ref="E7:I7"/>
    <mergeCell ref="E10:I10"/>
    <mergeCell ref="K1:K2"/>
    <mergeCell ref="E8:I8"/>
    <mergeCell ref="Q6:U6"/>
    <mergeCell ref="Q7:U7"/>
    <mergeCell ref="A1:I2"/>
    <mergeCell ref="E3:I3"/>
    <mergeCell ref="E4:I4"/>
    <mergeCell ref="E5:I5"/>
    <mergeCell ref="J1:J2"/>
    <mergeCell ref="M1:U2"/>
    <mergeCell ref="Q3:U3"/>
    <mergeCell ref="Q4:U4"/>
    <mergeCell ref="Q5:U5"/>
    <mergeCell ref="E6:I6"/>
  </mergeCells>
  <pageMargins left="0.511811024" right="0.511811024" top="0.78740157499999996" bottom="0.78740157499999996" header="0.31496062000000002" footer="0.31496062000000002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B2" sqref="B2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6" width="9.28515625" bestFit="1" customWidth="1"/>
    <col min="13" max="13" width="9.140625" style="129"/>
    <col min="14" max="14" width="10.5703125" bestFit="1" customWidth="1"/>
    <col min="15" max="15" width="16.28515625" bestFit="1" customWidth="1"/>
    <col min="16" max="16" width="12.140625" bestFit="1" customWidth="1"/>
    <col min="20" max="20" width="11.28515625" bestFit="1" customWidth="1"/>
  </cols>
  <sheetData>
    <row r="1" spans="1:22" x14ac:dyDescent="0.25">
      <c r="A1" t="s">
        <v>278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276</v>
      </c>
      <c r="M1" s="129" t="s">
        <v>268</v>
      </c>
      <c r="N1" s="144">
        <f>1/3</f>
        <v>0.33333333333333331</v>
      </c>
      <c r="Q1" s="137"/>
      <c r="S1" s="137"/>
      <c r="U1" s="448"/>
      <c r="V1" s="448"/>
    </row>
    <row r="2" spans="1:22" x14ac:dyDescent="0.25">
      <c r="A2" s="139">
        <v>8</v>
      </c>
      <c r="B2" s="140">
        <f>1212.17+484.87</f>
        <v>1697.04</v>
      </c>
      <c r="C2" s="140">
        <f>B2*8%</f>
        <v>135.76320000000001</v>
      </c>
      <c r="D2" s="140">
        <f>C2*8%</f>
        <v>10.861056000000001</v>
      </c>
      <c r="E2" s="140" t="e">
        <f>(#REF!/12)*40%</f>
        <v>#REF!</v>
      </c>
      <c r="F2" s="140">
        <f>($B2/12)</f>
        <v>141.41999999999999</v>
      </c>
      <c r="G2" s="140">
        <f>($B2/12)*$N$1</f>
        <v>47.139999999999993</v>
      </c>
      <c r="H2" s="139">
        <f>15*26</f>
        <v>390</v>
      </c>
      <c r="I2" s="139">
        <f>3.35*50</f>
        <v>167.5</v>
      </c>
      <c r="J2" s="139">
        <v>80</v>
      </c>
      <c r="K2" s="139">
        <v>100</v>
      </c>
      <c r="L2" s="139"/>
      <c r="M2" s="140"/>
      <c r="N2" s="141" t="e">
        <f>SUM(B2:M2)</f>
        <v>#REF!</v>
      </c>
      <c r="O2" s="139" t="s">
        <v>84</v>
      </c>
      <c r="P2" s="137"/>
      <c r="Q2" s="137"/>
      <c r="R2" s="137"/>
      <c r="S2" s="137"/>
      <c r="T2" s="137"/>
      <c r="U2" s="137"/>
      <c r="V2" s="137"/>
    </row>
    <row r="3" spans="1:22" x14ac:dyDescent="0.25">
      <c r="B3" s="129"/>
      <c r="C3" s="129"/>
      <c r="D3" s="129"/>
      <c r="E3" s="129"/>
      <c r="F3" s="129"/>
      <c r="N3" s="142"/>
    </row>
    <row r="4" spans="1:22" x14ac:dyDescent="0.25">
      <c r="H4" s="129"/>
      <c r="N4" s="142"/>
    </row>
    <row r="5" spans="1:22" x14ac:dyDescent="0.25">
      <c r="N5" s="143" t="e">
        <f>SUM(N2:N2)</f>
        <v>#REF!</v>
      </c>
    </row>
    <row r="6" spans="1:22" x14ac:dyDescent="0.25">
      <c r="B6" s="70">
        <f>B2*40%</f>
        <v>678.81600000000003</v>
      </c>
    </row>
    <row r="9" spans="1:22" x14ac:dyDescent="0.25">
      <c r="B9" t="s">
        <v>459</v>
      </c>
    </row>
    <row r="13" spans="1:22" x14ac:dyDescent="0.25">
      <c r="D13" t="s">
        <v>272</v>
      </c>
    </row>
    <row r="14" spans="1:22" ht="15.75" thickBot="1" x14ac:dyDescent="0.3"/>
    <row r="15" spans="1:22" ht="18.75" thickBot="1" x14ac:dyDescent="0.3">
      <c r="B15" s="138" t="s">
        <v>75</v>
      </c>
    </row>
    <row r="16" spans="1:22" x14ac:dyDescent="0.25">
      <c r="B16" s="28"/>
    </row>
    <row r="17" spans="2:16" ht="98.25" customHeight="1" x14ac:dyDescent="0.25">
      <c r="B17" s="469" t="s">
        <v>269</v>
      </c>
      <c r="C17" s="470"/>
      <c r="D17" s="470"/>
      <c r="E17" s="470"/>
      <c r="F17" s="470"/>
      <c r="G17" s="470"/>
      <c r="H17" s="470"/>
      <c r="I17" s="470"/>
      <c r="J17" s="470"/>
      <c r="K17" s="470"/>
      <c r="L17" s="470"/>
      <c r="M17" s="470"/>
      <c r="N17" s="470"/>
      <c r="O17" s="470"/>
      <c r="P17" s="470"/>
    </row>
    <row r="18" spans="2:16" ht="93" customHeight="1" x14ac:dyDescent="0.25">
      <c r="B18" s="469" t="s">
        <v>270</v>
      </c>
      <c r="C18" s="470"/>
      <c r="D18" s="470"/>
      <c r="E18" s="470"/>
      <c r="F18" s="470"/>
      <c r="G18" s="470"/>
      <c r="H18" s="470"/>
      <c r="I18" s="470"/>
      <c r="J18" s="470"/>
      <c r="K18" s="470"/>
      <c r="L18" s="470"/>
      <c r="M18" s="470"/>
      <c r="N18" s="470"/>
      <c r="O18" s="470"/>
      <c r="P18" s="470"/>
    </row>
    <row r="19" spans="2:16" ht="81.75" customHeight="1" x14ac:dyDescent="0.25">
      <c r="B19" s="469" t="s">
        <v>271</v>
      </c>
      <c r="C19" s="470"/>
      <c r="D19" s="470"/>
      <c r="E19" s="470"/>
      <c r="F19" s="470"/>
      <c r="G19" s="470"/>
      <c r="H19" s="470"/>
      <c r="I19" s="470"/>
      <c r="J19" s="470"/>
      <c r="K19" s="470"/>
      <c r="L19" s="470"/>
      <c r="M19" s="470"/>
      <c r="N19" s="470"/>
      <c r="O19" s="470"/>
      <c r="P19" s="470"/>
    </row>
    <row r="28" spans="2:16" ht="23.25" x14ac:dyDescent="0.25">
      <c r="B28" s="467" t="s">
        <v>273</v>
      </c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</row>
    <row r="30" spans="2:16" ht="180.75" customHeight="1" x14ac:dyDescent="0.25">
      <c r="B30" s="468" t="s">
        <v>274</v>
      </c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</row>
    <row r="32" spans="2:16" x14ac:dyDescent="0.25">
      <c r="B32" t="s">
        <v>275</v>
      </c>
    </row>
  </sheetData>
  <mergeCells count="6">
    <mergeCell ref="U1:V1"/>
    <mergeCell ref="B28:P28"/>
    <mergeCell ref="B30:P30"/>
    <mergeCell ref="B17:P17"/>
    <mergeCell ref="B18:P18"/>
    <mergeCell ref="B19:P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7:A64"/>
  <sheetViews>
    <sheetView topLeftCell="A44" workbookViewId="0">
      <selection activeCell="A40" sqref="A40:F64"/>
    </sheetView>
  </sheetViews>
  <sheetFormatPr defaultRowHeight="15" x14ac:dyDescent="0.25"/>
  <sheetData>
    <row r="27" ht="29.25" customHeight="1" x14ac:dyDescent="0.25"/>
    <row r="40" spans="1:1" x14ac:dyDescent="0.25">
      <c r="A40" t="s">
        <v>321</v>
      </c>
    </row>
    <row r="41" spans="1:1" x14ac:dyDescent="0.25">
      <c r="A41" t="s">
        <v>322</v>
      </c>
    </row>
    <row r="42" spans="1:1" x14ac:dyDescent="0.25">
      <c r="A42" t="s">
        <v>323</v>
      </c>
    </row>
    <row r="43" spans="1:1" x14ac:dyDescent="0.25">
      <c r="A43" t="s">
        <v>324</v>
      </c>
    </row>
    <row r="44" spans="1:1" x14ac:dyDescent="0.25">
      <c r="A44" t="s">
        <v>325</v>
      </c>
    </row>
    <row r="45" spans="1:1" x14ac:dyDescent="0.25">
      <c r="A45" t="s">
        <v>326</v>
      </c>
    </row>
    <row r="46" spans="1:1" x14ac:dyDescent="0.25">
      <c r="A46" t="s">
        <v>327</v>
      </c>
    </row>
    <row r="47" spans="1:1" x14ac:dyDescent="0.25">
      <c r="A47" t="s">
        <v>328</v>
      </c>
    </row>
    <row r="48" spans="1:1" x14ac:dyDescent="0.25">
      <c r="A48" t="s">
        <v>329</v>
      </c>
    </row>
    <row r="49" spans="1:1" x14ac:dyDescent="0.25">
      <c r="A49" t="s">
        <v>330</v>
      </c>
    </row>
    <row r="50" spans="1:1" x14ac:dyDescent="0.25">
      <c r="A50" t="s">
        <v>331</v>
      </c>
    </row>
    <row r="51" spans="1:1" x14ac:dyDescent="0.25">
      <c r="A51" t="s">
        <v>332</v>
      </c>
    </row>
    <row r="52" spans="1:1" x14ac:dyDescent="0.25">
      <c r="A52" t="s">
        <v>333</v>
      </c>
    </row>
    <row r="53" spans="1:1" x14ac:dyDescent="0.25">
      <c r="A53" t="s">
        <v>334</v>
      </c>
    </row>
    <row r="54" spans="1:1" x14ac:dyDescent="0.25">
      <c r="A54" t="s">
        <v>335</v>
      </c>
    </row>
    <row r="55" spans="1:1" x14ac:dyDescent="0.25">
      <c r="A55" t="s">
        <v>336</v>
      </c>
    </row>
    <row r="56" spans="1:1" x14ac:dyDescent="0.25">
      <c r="A56" t="s">
        <v>337</v>
      </c>
    </row>
    <row r="57" spans="1:1" x14ac:dyDescent="0.25">
      <c r="A57" t="s">
        <v>338</v>
      </c>
    </row>
    <row r="58" spans="1:1" x14ac:dyDescent="0.25">
      <c r="A58" t="s">
        <v>339</v>
      </c>
    </row>
    <row r="59" spans="1:1" x14ac:dyDescent="0.25">
      <c r="A59" t="s">
        <v>340</v>
      </c>
    </row>
    <row r="60" spans="1:1" x14ac:dyDescent="0.25">
      <c r="A60" t="s">
        <v>341</v>
      </c>
    </row>
    <row r="61" spans="1:1" x14ac:dyDescent="0.25">
      <c r="A61" t="s">
        <v>342</v>
      </c>
    </row>
    <row r="62" spans="1:1" x14ac:dyDescent="0.25">
      <c r="A62" t="s">
        <v>343</v>
      </c>
    </row>
    <row r="63" spans="1:1" x14ac:dyDescent="0.25">
      <c r="A63" t="s">
        <v>344</v>
      </c>
    </row>
    <row r="64" spans="1:1" x14ac:dyDescent="0.25">
      <c r="A64" t="s">
        <v>345</v>
      </c>
    </row>
  </sheetData>
  <pageMargins left="0.511811024" right="0.511811024" top="0.78740157499999996" bottom="0.78740157499999996" header="0.31496062000000002" footer="0.31496062000000002"/>
  <pageSetup paperSize="9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D29" sqref="D29"/>
    </sheetView>
  </sheetViews>
  <sheetFormatPr defaultRowHeight="15" x14ac:dyDescent="0.25"/>
  <cols>
    <col min="2" max="2" width="40.5703125" bestFit="1" customWidth="1"/>
    <col min="3" max="3" width="16.5703125" bestFit="1" customWidth="1"/>
  </cols>
  <sheetData>
    <row r="1" spans="1:10" x14ac:dyDescent="0.25">
      <c r="A1">
        <v>2</v>
      </c>
      <c r="B1" t="s">
        <v>346</v>
      </c>
      <c r="C1" t="s">
        <v>347</v>
      </c>
      <c r="D1">
        <v>19</v>
      </c>
      <c r="J1">
        <v>99187885</v>
      </c>
    </row>
    <row r="2" spans="1:10" x14ac:dyDescent="0.25">
      <c r="A2">
        <v>2</v>
      </c>
      <c r="B2" t="s">
        <v>348</v>
      </c>
      <c r="C2" t="s">
        <v>349</v>
      </c>
      <c r="D2">
        <v>19</v>
      </c>
    </row>
    <row r="3" spans="1:10" x14ac:dyDescent="0.25">
      <c r="A3">
        <v>2</v>
      </c>
      <c r="B3" t="s">
        <v>350</v>
      </c>
      <c r="C3" t="s">
        <v>351</v>
      </c>
      <c r="D3">
        <v>25.8</v>
      </c>
    </row>
    <row r="4" spans="1:10" x14ac:dyDescent="0.25">
      <c r="A4">
        <v>1</v>
      </c>
      <c r="B4" t="s">
        <v>352</v>
      </c>
      <c r="C4" t="s">
        <v>353</v>
      </c>
      <c r="D4">
        <v>4.8499999999999996</v>
      </c>
    </row>
    <row r="5" spans="1:10" x14ac:dyDescent="0.25">
      <c r="A5">
        <v>2</v>
      </c>
      <c r="B5" t="s">
        <v>354</v>
      </c>
      <c r="C5" t="s">
        <v>355</v>
      </c>
      <c r="D5">
        <v>19</v>
      </c>
    </row>
    <row r="6" spans="1:10" x14ac:dyDescent="0.25">
      <c r="A6">
        <v>4</v>
      </c>
      <c r="B6" t="s">
        <v>356</v>
      </c>
      <c r="C6" t="s">
        <v>357</v>
      </c>
      <c r="D6">
        <v>32</v>
      </c>
    </row>
    <row r="7" spans="1:10" x14ac:dyDescent="0.25">
      <c r="A7">
        <v>2</v>
      </c>
      <c r="B7" t="s">
        <v>358</v>
      </c>
      <c r="C7" t="s">
        <v>359</v>
      </c>
      <c r="D7">
        <v>12.5</v>
      </c>
    </row>
    <row r="8" spans="1:10" x14ac:dyDescent="0.25">
      <c r="A8">
        <v>1</v>
      </c>
      <c r="B8" t="s">
        <v>360</v>
      </c>
      <c r="C8">
        <v>0</v>
      </c>
      <c r="D8">
        <v>39.9</v>
      </c>
    </row>
    <row r="9" spans="1:10" x14ac:dyDescent="0.25">
      <c r="A9">
        <v>1</v>
      </c>
      <c r="B9" t="s">
        <v>361</v>
      </c>
      <c r="C9" t="s">
        <v>362</v>
      </c>
      <c r="D9">
        <v>2.4500000000000002</v>
      </c>
    </row>
    <row r="10" spans="1:10" x14ac:dyDescent="0.25">
      <c r="A10">
        <v>4</v>
      </c>
      <c r="B10" t="s">
        <v>363</v>
      </c>
      <c r="C10" t="s">
        <v>364</v>
      </c>
      <c r="D10">
        <v>5.8</v>
      </c>
    </row>
    <row r="11" spans="1:10" x14ac:dyDescent="0.25">
      <c r="A11">
        <v>4</v>
      </c>
      <c r="B11" t="s">
        <v>365</v>
      </c>
      <c r="C11" t="s">
        <v>366</v>
      </c>
      <c r="D11">
        <v>20.8</v>
      </c>
    </row>
    <row r="12" spans="1:10" x14ac:dyDescent="0.25">
      <c r="A12">
        <v>1</v>
      </c>
      <c r="B12" t="s">
        <v>367</v>
      </c>
      <c r="C12" t="s">
        <v>368</v>
      </c>
      <c r="D12">
        <v>99.9</v>
      </c>
    </row>
    <row r="13" spans="1:10" x14ac:dyDescent="0.25">
      <c r="A13">
        <v>2</v>
      </c>
      <c r="B13" t="s">
        <v>369</v>
      </c>
      <c r="C13" t="s">
        <v>370</v>
      </c>
      <c r="D13">
        <v>77.8</v>
      </c>
    </row>
    <row r="14" spans="1:10" x14ac:dyDescent="0.25">
      <c r="A14">
        <v>2</v>
      </c>
      <c r="B14" t="s">
        <v>371</v>
      </c>
      <c r="C14" t="s">
        <v>372</v>
      </c>
      <c r="D14">
        <v>16.899999999999999</v>
      </c>
    </row>
    <row r="15" spans="1:10" x14ac:dyDescent="0.25">
      <c r="A15">
        <v>1</v>
      </c>
      <c r="B15" t="s">
        <v>373</v>
      </c>
      <c r="C15" t="s">
        <v>374</v>
      </c>
      <c r="D15">
        <v>5.7</v>
      </c>
    </row>
    <row r="16" spans="1:10" x14ac:dyDescent="0.25">
      <c r="A16">
        <v>1</v>
      </c>
      <c r="B16" t="s">
        <v>375</v>
      </c>
    </row>
    <row r="17" spans="1:4" x14ac:dyDescent="0.25">
      <c r="A17">
        <v>1</v>
      </c>
      <c r="B17" t="s">
        <v>376</v>
      </c>
      <c r="C17">
        <v>0.9</v>
      </c>
      <c r="D17">
        <v>39.9</v>
      </c>
    </row>
    <row r="18" spans="1:4" x14ac:dyDescent="0.25">
      <c r="A18">
        <v>1</v>
      </c>
      <c r="B18" t="s">
        <v>377</v>
      </c>
      <c r="C18" t="s">
        <v>378</v>
      </c>
      <c r="D18">
        <v>4.9000000000000004</v>
      </c>
    </row>
    <row r="19" spans="1:4" x14ac:dyDescent="0.25">
      <c r="A19">
        <v>1</v>
      </c>
      <c r="B19" t="s">
        <v>379</v>
      </c>
      <c r="C19" t="s">
        <v>380</v>
      </c>
      <c r="D19">
        <v>4.5</v>
      </c>
    </row>
    <row r="20" spans="1:4" x14ac:dyDescent="0.25">
      <c r="A20">
        <v>1</v>
      </c>
      <c r="B20" t="s">
        <v>381</v>
      </c>
      <c r="C20" t="s">
        <v>382</v>
      </c>
      <c r="D20">
        <v>7.99</v>
      </c>
    </row>
    <row r="21" spans="1:4" x14ac:dyDescent="0.25">
      <c r="A21">
        <v>1</v>
      </c>
      <c r="B21" t="s">
        <v>383</v>
      </c>
      <c r="C21" t="s">
        <v>384</v>
      </c>
      <c r="D21">
        <v>21.99</v>
      </c>
    </row>
    <row r="22" spans="1:4" x14ac:dyDescent="0.25">
      <c r="A22">
        <v>1</v>
      </c>
      <c r="B22" t="s">
        <v>385</v>
      </c>
      <c r="C22" t="s">
        <v>386</v>
      </c>
      <c r="D22">
        <v>9.9</v>
      </c>
    </row>
    <row r="23" spans="1:4" x14ac:dyDescent="0.25">
      <c r="A23">
        <v>1</v>
      </c>
      <c r="B23" t="s">
        <v>387</v>
      </c>
      <c r="C23" t="s">
        <v>388</v>
      </c>
      <c r="D23">
        <v>27.9</v>
      </c>
    </row>
    <row r="24" spans="1:4" x14ac:dyDescent="0.25">
      <c r="A24">
        <v>1</v>
      </c>
      <c r="B24" t="s">
        <v>389</v>
      </c>
      <c r="C24" t="s">
        <v>390</v>
      </c>
      <c r="D24">
        <v>6.75</v>
      </c>
    </row>
    <row r="25" spans="1:4" x14ac:dyDescent="0.25">
      <c r="A25">
        <v>7</v>
      </c>
      <c r="B25" t="s">
        <v>391</v>
      </c>
      <c r="C25">
        <v>7.9</v>
      </c>
      <c r="D25">
        <f>A25*C25</f>
        <v>55.300000000000004</v>
      </c>
    </row>
    <row r="26" spans="1:4" x14ac:dyDescent="0.25">
      <c r="A26">
        <v>7</v>
      </c>
      <c r="B26" t="s">
        <v>392</v>
      </c>
      <c r="C26">
        <v>15.99</v>
      </c>
      <c r="D26">
        <f>A26*C26</f>
        <v>111.93</v>
      </c>
    </row>
    <row r="27" spans="1:4" x14ac:dyDescent="0.25">
      <c r="D27" s="136">
        <f>SUM(D1:D26)</f>
        <v>692.45999999999981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124"/>
  <sheetViews>
    <sheetView topLeftCell="D3" zoomScale="148" zoomScaleNormal="148" workbookViewId="0">
      <selection activeCell="G12" sqref="G12"/>
    </sheetView>
  </sheetViews>
  <sheetFormatPr defaultRowHeight="15" x14ac:dyDescent="0.25"/>
  <cols>
    <col min="1" max="1" width="3.7109375" customWidth="1"/>
    <col min="2" max="2" width="66.28515625" customWidth="1"/>
    <col min="3" max="3" width="23.5703125" bestFit="1" customWidth="1"/>
    <col min="4" max="4" width="9.140625" style="54" customWidth="1"/>
    <col min="5" max="5" width="23.85546875" customWidth="1"/>
    <col min="6" max="6" width="30.85546875" style="129" customWidth="1"/>
    <col min="7" max="8" width="10.5703125" style="129" bestFit="1" customWidth="1"/>
    <col min="10" max="10" width="12.28515625" style="129" bestFit="1" customWidth="1"/>
    <col min="11" max="11" width="9.5703125" bestFit="1" customWidth="1"/>
    <col min="12" max="12" width="10.5703125" bestFit="1" customWidth="1"/>
    <col min="13" max="13" width="23.28515625" hidden="1" customWidth="1"/>
    <col min="14" max="15" width="11.5703125" hidden="1" customWidth="1"/>
    <col min="16" max="16" width="10.5703125" hidden="1" customWidth="1"/>
    <col min="17" max="18" width="0" hidden="1" customWidth="1"/>
    <col min="254" max="254" width="5.7109375" customWidth="1"/>
    <col min="255" max="255" width="3.42578125" customWidth="1"/>
    <col min="256" max="256" width="3.7109375" customWidth="1"/>
    <col min="257" max="257" width="105" bestFit="1" customWidth="1"/>
    <col min="258" max="258" width="20.7109375" bestFit="1" customWidth="1"/>
    <col min="510" max="510" width="5.7109375" customWidth="1"/>
    <col min="511" max="511" width="3.42578125" customWidth="1"/>
    <col min="512" max="512" width="3.7109375" customWidth="1"/>
    <col min="513" max="513" width="105" bestFit="1" customWidth="1"/>
    <col min="514" max="514" width="20.7109375" bestFit="1" customWidth="1"/>
    <col min="766" max="766" width="5.7109375" customWidth="1"/>
    <col min="767" max="767" width="3.42578125" customWidth="1"/>
    <col min="768" max="768" width="3.7109375" customWidth="1"/>
    <col min="769" max="769" width="105" bestFit="1" customWidth="1"/>
    <col min="770" max="770" width="20.7109375" bestFit="1" customWidth="1"/>
    <col min="1022" max="1022" width="5.7109375" customWidth="1"/>
    <col min="1023" max="1023" width="3.42578125" customWidth="1"/>
    <col min="1024" max="1024" width="3.7109375" customWidth="1"/>
    <col min="1025" max="1025" width="105" bestFit="1" customWidth="1"/>
    <col min="1026" max="1026" width="20.7109375" bestFit="1" customWidth="1"/>
    <col min="1278" max="1278" width="5.7109375" customWidth="1"/>
    <col min="1279" max="1279" width="3.42578125" customWidth="1"/>
    <col min="1280" max="1280" width="3.7109375" customWidth="1"/>
    <col min="1281" max="1281" width="105" bestFit="1" customWidth="1"/>
    <col min="1282" max="1282" width="20.7109375" bestFit="1" customWidth="1"/>
    <col min="1534" max="1534" width="5.7109375" customWidth="1"/>
    <col min="1535" max="1535" width="3.42578125" customWidth="1"/>
    <col min="1536" max="1536" width="3.7109375" customWidth="1"/>
    <col min="1537" max="1537" width="105" bestFit="1" customWidth="1"/>
    <col min="1538" max="1538" width="20.7109375" bestFit="1" customWidth="1"/>
    <col min="1790" max="1790" width="5.7109375" customWidth="1"/>
    <col min="1791" max="1791" width="3.42578125" customWidth="1"/>
    <col min="1792" max="1792" width="3.7109375" customWidth="1"/>
    <col min="1793" max="1793" width="105" bestFit="1" customWidth="1"/>
    <col min="1794" max="1794" width="20.7109375" bestFit="1" customWidth="1"/>
    <col min="2046" max="2046" width="5.7109375" customWidth="1"/>
    <col min="2047" max="2047" width="3.42578125" customWidth="1"/>
    <col min="2048" max="2048" width="3.7109375" customWidth="1"/>
    <col min="2049" max="2049" width="105" bestFit="1" customWidth="1"/>
    <col min="2050" max="2050" width="20.7109375" bestFit="1" customWidth="1"/>
    <col min="2302" max="2302" width="5.7109375" customWidth="1"/>
    <col min="2303" max="2303" width="3.42578125" customWidth="1"/>
    <col min="2304" max="2304" width="3.7109375" customWidth="1"/>
    <col min="2305" max="2305" width="105" bestFit="1" customWidth="1"/>
    <col min="2306" max="2306" width="20.7109375" bestFit="1" customWidth="1"/>
    <col min="2558" max="2558" width="5.7109375" customWidth="1"/>
    <col min="2559" max="2559" width="3.42578125" customWidth="1"/>
    <col min="2560" max="2560" width="3.7109375" customWidth="1"/>
    <col min="2561" max="2561" width="105" bestFit="1" customWidth="1"/>
    <col min="2562" max="2562" width="20.7109375" bestFit="1" customWidth="1"/>
    <col min="2814" max="2814" width="5.7109375" customWidth="1"/>
    <col min="2815" max="2815" width="3.42578125" customWidth="1"/>
    <col min="2816" max="2816" width="3.7109375" customWidth="1"/>
    <col min="2817" max="2817" width="105" bestFit="1" customWidth="1"/>
    <col min="2818" max="2818" width="20.7109375" bestFit="1" customWidth="1"/>
    <col min="3070" max="3070" width="5.7109375" customWidth="1"/>
    <col min="3071" max="3071" width="3.42578125" customWidth="1"/>
    <col min="3072" max="3072" width="3.7109375" customWidth="1"/>
    <col min="3073" max="3073" width="105" bestFit="1" customWidth="1"/>
    <col min="3074" max="3074" width="20.7109375" bestFit="1" customWidth="1"/>
    <col min="3326" max="3326" width="5.7109375" customWidth="1"/>
    <col min="3327" max="3327" width="3.42578125" customWidth="1"/>
    <col min="3328" max="3328" width="3.7109375" customWidth="1"/>
    <col min="3329" max="3329" width="105" bestFit="1" customWidth="1"/>
    <col min="3330" max="3330" width="20.7109375" bestFit="1" customWidth="1"/>
    <col min="3582" max="3582" width="5.7109375" customWidth="1"/>
    <col min="3583" max="3583" width="3.42578125" customWidth="1"/>
    <col min="3584" max="3584" width="3.7109375" customWidth="1"/>
    <col min="3585" max="3585" width="105" bestFit="1" customWidth="1"/>
    <col min="3586" max="3586" width="20.7109375" bestFit="1" customWidth="1"/>
    <col min="3838" max="3838" width="5.7109375" customWidth="1"/>
    <col min="3839" max="3839" width="3.42578125" customWidth="1"/>
    <col min="3840" max="3840" width="3.7109375" customWidth="1"/>
    <col min="3841" max="3841" width="105" bestFit="1" customWidth="1"/>
    <col min="3842" max="3842" width="20.7109375" bestFit="1" customWidth="1"/>
    <col min="4094" max="4094" width="5.7109375" customWidth="1"/>
    <col min="4095" max="4095" width="3.42578125" customWidth="1"/>
    <col min="4096" max="4096" width="3.7109375" customWidth="1"/>
    <col min="4097" max="4097" width="105" bestFit="1" customWidth="1"/>
    <col min="4098" max="4098" width="20.7109375" bestFit="1" customWidth="1"/>
    <col min="4350" max="4350" width="5.7109375" customWidth="1"/>
    <col min="4351" max="4351" width="3.42578125" customWidth="1"/>
    <col min="4352" max="4352" width="3.7109375" customWidth="1"/>
    <col min="4353" max="4353" width="105" bestFit="1" customWidth="1"/>
    <col min="4354" max="4354" width="20.7109375" bestFit="1" customWidth="1"/>
    <col min="4606" max="4606" width="5.7109375" customWidth="1"/>
    <col min="4607" max="4607" width="3.42578125" customWidth="1"/>
    <col min="4608" max="4608" width="3.7109375" customWidth="1"/>
    <col min="4609" max="4609" width="105" bestFit="1" customWidth="1"/>
    <col min="4610" max="4610" width="20.7109375" bestFit="1" customWidth="1"/>
    <col min="4862" max="4862" width="5.7109375" customWidth="1"/>
    <col min="4863" max="4863" width="3.42578125" customWidth="1"/>
    <col min="4864" max="4864" width="3.7109375" customWidth="1"/>
    <col min="4865" max="4865" width="105" bestFit="1" customWidth="1"/>
    <col min="4866" max="4866" width="20.7109375" bestFit="1" customWidth="1"/>
    <col min="5118" max="5118" width="5.7109375" customWidth="1"/>
    <col min="5119" max="5119" width="3.42578125" customWidth="1"/>
    <col min="5120" max="5120" width="3.7109375" customWidth="1"/>
    <col min="5121" max="5121" width="105" bestFit="1" customWidth="1"/>
    <col min="5122" max="5122" width="20.7109375" bestFit="1" customWidth="1"/>
    <col min="5374" max="5374" width="5.7109375" customWidth="1"/>
    <col min="5375" max="5375" width="3.42578125" customWidth="1"/>
    <col min="5376" max="5376" width="3.7109375" customWidth="1"/>
    <col min="5377" max="5377" width="105" bestFit="1" customWidth="1"/>
    <col min="5378" max="5378" width="20.7109375" bestFit="1" customWidth="1"/>
    <col min="5630" max="5630" width="5.7109375" customWidth="1"/>
    <col min="5631" max="5631" width="3.42578125" customWidth="1"/>
    <col min="5632" max="5632" width="3.7109375" customWidth="1"/>
    <col min="5633" max="5633" width="105" bestFit="1" customWidth="1"/>
    <col min="5634" max="5634" width="20.7109375" bestFit="1" customWidth="1"/>
    <col min="5886" max="5886" width="5.7109375" customWidth="1"/>
    <col min="5887" max="5887" width="3.42578125" customWidth="1"/>
    <col min="5888" max="5888" width="3.7109375" customWidth="1"/>
    <col min="5889" max="5889" width="105" bestFit="1" customWidth="1"/>
    <col min="5890" max="5890" width="20.7109375" bestFit="1" customWidth="1"/>
    <col min="6142" max="6142" width="5.7109375" customWidth="1"/>
    <col min="6143" max="6143" width="3.42578125" customWidth="1"/>
    <col min="6144" max="6144" width="3.7109375" customWidth="1"/>
    <col min="6145" max="6145" width="105" bestFit="1" customWidth="1"/>
    <col min="6146" max="6146" width="20.7109375" bestFit="1" customWidth="1"/>
    <col min="6398" max="6398" width="5.7109375" customWidth="1"/>
    <col min="6399" max="6399" width="3.42578125" customWidth="1"/>
    <col min="6400" max="6400" width="3.7109375" customWidth="1"/>
    <col min="6401" max="6401" width="105" bestFit="1" customWidth="1"/>
    <col min="6402" max="6402" width="20.7109375" bestFit="1" customWidth="1"/>
    <col min="6654" max="6654" width="5.7109375" customWidth="1"/>
    <col min="6655" max="6655" width="3.42578125" customWidth="1"/>
    <col min="6656" max="6656" width="3.7109375" customWidth="1"/>
    <col min="6657" max="6657" width="105" bestFit="1" customWidth="1"/>
    <col min="6658" max="6658" width="20.7109375" bestFit="1" customWidth="1"/>
    <col min="6910" max="6910" width="5.7109375" customWidth="1"/>
    <col min="6911" max="6911" width="3.42578125" customWidth="1"/>
    <col min="6912" max="6912" width="3.7109375" customWidth="1"/>
    <col min="6913" max="6913" width="105" bestFit="1" customWidth="1"/>
    <col min="6914" max="6914" width="20.7109375" bestFit="1" customWidth="1"/>
    <col min="7166" max="7166" width="5.7109375" customWidth="1"/>
    <col min="7167" max="7167" width="3.42578125" customWidth="1"/>
    <col min="7168" max="7168" width="3.7109375" customWidth="1"/>
    <col min="7169" max="7169" width="105" bestFit="1" customWidth="1"/>
    <col min="7170" max="7170" width="20.7109375" bestFit="1" customWidth="1"/>
    <col min="7422" max="7422" width="5.7109375" customWidth="1"/>
    <col min="7423" max="7423" width="3.42578125" customWidth="1"/>
    <col min="7424" max="7424" width="3.7109375" customWidth="1"/>
    <col min="7425" max="7425" width="105" bestFit="1" customWidth="1"/>
    <col min="7426" max="7426" width="20.7109375" bestFit="1" customWidth="1"/>
    <col min="7678" max="7678" width="5.7109375" customWidth="1"/>
    <col min="7679" max="7679" width="3.42578125" customWidth="1"/>
    <col min="7680" max="7680" width="3.7109375" customWidth="1"/>
    <col min="7681" max="7681" width="105" bestFit="1" customWidth="1"/>
    <col min="7682" max="7682" width="20.7109375" bestFit="1" customWidth="1"/>
    <col min="7934" max="7934" width="5.7109375" customWidth="1"/>
    <col min="7935" max="7935" width="3.42578125" customWidth="1"/>
    <col min="7936" max="7936" width="3.7109375" customWidth="1"/>
    <col min="7937" max="7937" width="105" bestFit="1" customWidth="1"/>
    <col min="7938" max="7938" width="20.7109375" bestFit="1" customWidth="1"/>
    <col min="8190" max="8190" width="5.7109375" customWidth="1"/>
    <col min="8191" max="8191" width="3.42578125" customWidth="1"/>
    <col min="8192" max="8192" width="3.7109375" customWidth="1"/>
    <col min="8193" max="8193" width="105" bestFit="1" customWidth="1"/>
    <col min="8194" max="8194" width="20.7109375" bestFit="1" customWidth="1"/>
    <col min="8446" max="8446" width="5.7109375" customWidth="1"/>
    <col min="8447" max="8447" width="3.42578125" customWidth="1"/>
    <col min="8448" max="8448" width="3.7109375" customWidth="1"/>
    <col min="8449" max="8449" width="105" bestFit="1" customWidth="1"/>
    <col min="8450" max="8450" width="20.7109375" bestFit="1" customWidth="1"/>
    <col min="8702" max="8702" width="5.7109375" customWidth="1"/>
    <col min="8703" max="8703" width="3.42578125" customWidth="1"/>
    <col min="8704" max="8704" width="3.7109375" customWidth="1"/>
    <col min="8705" max="8705" width="105" bestFit="1" customWidth="1"/>
    <col min="8706" max="8706" width="20.7109375" bestFit="1" customWidth="1"/>
    <col min="8958" max="8958" width="5.7109375" customWidth="1"/>
    <col min="8959" max="8959" width="3.42578125" customWidth="1"/>
    <col min="8960" max="8960" width="3.7109375" customWidth="1"/>
    <col min="8961" max="8961" width="105" bestFit="1" customWidth="1"/>
    <col min="8962" max="8962" width="20.7109375" bestFit="1" customWidth="1"/>
    <col min="9214" max="9214" width="5.7109375" customWidth="1"/>
    <col min="9215" max="9215" width="3.42578125" customWidth="1"/>
    <col min="9216" max="9216" width="3.7109375" customWidth="1"/>
    <col min="9217" max="9217" width="105" bestFit="1" customWidth="1"/>
    <col min="9218" max="9218" width="20.7109375" bestFit="1" customWidth="1"/>
    <col min="9470" max="9470" width="5.7109375" customWidth="1"/>
    <col min="9471" max="9471" width="3.42578125" customWidth="1"/>
    <col min="9472" max="9472" width="3.7109375" customWidth="1"/>
    <col min="9473" max="9473" width="105" bestFit="1" customWidth="1"/>
    <col min="9474" max="9474" width="20.7109375" bestFit="1" customWidth="1"/>
    <col min="9726" max="9726" width="5.7109375" customWidth="1"/>
    <col min="9727" max="9727" width="3.42578125" customWidth="1"/>
    <col min="9728" max="9728" width="3.7109375" customWidth="1"/>
    <col min="9729" max="9729" width="105" bestFit="1" customWidth="1"/>
    <col min="9730" max="9730" width="20.7109375" bestFit="1" customWidth="1"/>
    <col min="9982" max="9982" width="5.7109375" customWidth="1"/>
    <col min="9983" max="9983" width="3.42578125" customWidth="1"/>
    <col min="9984" max="9984" width="3.7109375" customWidth="1"/>
    <col min="9985" max="9985" width="105" bestFit="1" customWidth="1"/>
    <col min="9986" max="9986" width="20.7109375" bestFit="1" customWidth="1"/>
    <col min="10238" max="10238" width="5.7109375" customWidth="1"/>
    <col min="10239" max="10239" width="3.42578125" customWidth="1"/>
    <col min="10240" max="10240" width="3.7109375" customWidth="1"/>
    <col min="10241" max="10241" width="105" bestFit="1" customWidth="1"/>
    <col min="10242" max="10242" width="20.7109375" bestFit="1" customWidth="1"/>
    <col min="10494" max="10494" width="5.7109375" customWidth="1"/>
    <col min="10495" max="10495" width="3.42578125" customWidth="1"/>
    <col min="10496" max="10496" width="3.7109375" customWidth="1"/>
    <col min="10497" max="10497" width="105" bestFit="1" customWidth="1"/>
    <col min="10498" max="10498" width="20.7109375" bestFit="1" customWidth="1"/>
    <col min="10750" max="10750" width="5.7109375" customWidth="1"/>
    <col min="10751" max="10751" width="3.42578125" customWidth="1"/>
    <col min="10752" max="10752" width="3.7109375" customWidth="1"/>
    <col min="10753" max="10753" width="105" bestFit="1" customWidth="1"/>
    <col min="10754" max="10754" width="20.7109375" bestFit="1" customWidth="1"/>
    <col min="11006" max="11006" width="5.7109375" customWidth="1"/>
    <col min="11007" max="11007" width="3.42578125" customWidth="1"/>
    <col min="11008" max="11008" width="3.7109375" customWidth="1"/>
    <col min="11009" max="11009" width="105" bestFit="1" customWidth="1"/>
    <col min="11010" max="11010" width="20.7109375" bestFit="1" customWidth="1"/>
    <col min="11262" max="11262" width="5.7109375" customWidth="1"/>
    <col min="11263" max="11263" width="3.42578125" customWidth="1"/>
    <col min="11264" max="11264" width="3.7109375" customWidth="1"/>
    <col min="11265" max="11265" width="105" bestFit="1" customWidth="1"/>
    <col min="11266" max="11266" width="20.7109375" bestFit="1" customWidth="1"/>
    <col min="11518" max="11518" width="5.7109375" customWidth="1"/>
    <col min="11519" max="11519" width="3.42578125" customWidth="1"/>
    <col min="11520" max="11520" width="3.7109375" customWidth="1"/>
    <col min="11521" max="11521" width="105" bestFit="1" customWidth="1"/>
    <col min="11522" max="11522" width="20.7109375" bestFit="1" customWidth="1"/>
    <col min="11774" max="11774" width="5.7109375" customWidth="1"/>
    <col min="11775" max="11775" width="3.42578125" customWidth="1"/>
    <col min="11776" max="11776" width="3.7109375" customWidth="1"/>
    <col min="11777" max="11777" width="105" bestFit="1" customWidth="1"/>
    <col min="11778" max="11778" width="20.7109375" bestFit="1" customWidth="1"/>
    <col min="12030" max="12030" width="5.7109375" customWidth="1"/>
    <col min="12031" max="12031" width="3.42578125" customWidth="1"/>
    <col min="12032" max="12032" width="3.7109375" customWidth="1"/>
    <col min="12033" max="12033" width="105" bestFit="1" customWidth="1"/>
    <col min="12034" max="12034" width="20.7109375" bestFit="1" customWidth="1"/>
    <col min="12286" max="12286" width="5.7109375" customWidth="1"/>
    <col min="12287" max="12287" width="3.42578125" customWidth="1"/>
    <col min="12288" max="12288" width="3.7109375" customWidth="1"/>
    <col min="12289" max="12289" width="105" bestFit="1" customWidth="1"/>
    <col min="12290" max="12290" width="20.7109375" bestFit="1" customWidth="1"/>
    <col min="12542" max="12542" width="5.7109375" customWidth="1"/>
    <col min="12543" max="12543" width="3.42578125" customWidth="1"/>
    <col min="12544" max="12544" width="3.7109375" customWidth="1"/>
    <col min="12545" max="12545" width="105" bestFit="1" customWidth="1"/>
    <col min="12546" max="12546" width="20.7109375" bestFit="1" customWidth="1"/>
    <col min="12798" max="12798" width="5.7109375" customWidth="1"/>
    <col min="12799" max="12799" width="3.42578125" customWidth="1"/>
    <col min="12800" max="12800" width="3.7109375" customWidth="1"/>
    <col min="12801" max="12801" width="105" bestFit="1" customWidth="1"/>
    <col min="12802" max="12802" width="20.7109375" bestFit="1" customWidth="1"/>
    <col min="13054" max="13054" width="5.7109375" customWidth="1"/>
    <col min="13055" max="13055" width="3.42578125" customWidth="1"/>
    <col min="13056" max="13056" width="3.7109375" customWidth="1"/>
    <col min="13057" max="13057" width="105" bestFit="1" customWidth="1"/>
    <col min="13058" max="13058" width="20.7109375" bestFit="1" customWidth="1"/>
    <col min="13310" max="13310" width="5.7109375" customWidth="1"/>
    <col min="13311" max="13311" width="3.42578125" customWidth="1"/>
    <col min="13312" max="13312" width="3.7109375" customWidth="1"/>
    <col min="13313" max="13313" width="105" bestFit="1" customWidth="1"/>
    <col min="13314" max="13314" width="20.7109375" bestFit="1" customWidth="1"/>
    <col min="13566" max="13566" width="5.7109375" customWidth="1"/>
    <col min="13567" max="13567" width="3.42578125" customWidth="1"/>
    <col min="13568" max="13568" width="3.7109375" customWidth="1"/>
    <col min="13569" max="13569" width="105" bestFit="1" customWidth="1"/>
    <col min="13570" max="13570" width="20.7109375" bestFit="1" customWidth="1"/>
    <col min="13822" max="13822" width="5.7109375" customWidth="1"/>
    <col min="13823" max="13823" width="3.42578125" customWidth="1"/>
    <col min="13824" max="13824" width="3.7109375" customWidth="1"/>
    <col min="13825" max="13825" width="105" bestFit="1" customWidth="1"/>
    <col min="13826" max="13826" width="20.7109375" bestFit="1" customWidth="1"/>
    <col min="14078" max="14078" width="5.7109375" customWidth="1"/>
    <col min="14079" max="14079" width="3.42578125" customWidth="1"/>
    <col min="14080" max="14080" width="3.7109375" customWidth="1"/>
    <col min="14081" max="14081" width="105" bestFit="1" customWidth="1"/>
    <col min="14082" max="14082" width="20.7109375" bestFit="1" customWidth="1"/>
    <col min="14334" max="14334" width="5.7109375" customWidth="1"/>
    <col min="14335" max="14335" width="3.42578125" customWidth="1"/>
    <col min="14336" max="14336" width="3.7109375" customWidth="1"/>
    <col min="14337" max="14337" width="105" bestFit="1" customWidth="1"/>
    <col min="14338" max="14338" width="20.7109375" bestFit="1" customWidth="1"/>
    <col min="14590" max="14590" width="5.7109375" customWidth="1"/>
    <col min="14591" max="14591" width="3.42578125" customWidth="1"/>
    <col min="14592" max="14592" width="3.7109375" customWidth="1"/>
    <col min="14593" max="14593" width="105" bestFit="1" customWidth="1"/>
    <col min="14594" max="14594" width="20.7109375" bestFit="1" customWidth="1"/>
    <col min="14846" max="14846" width="5.7109375" customWidth="1"/>
    <col min="14847" max="14847" width="3.42578125" customWidth="1"/>
    <col min="14848" max="14848" width="3.7109375" customWidth="1"/>
    <col min="14849" max="14849" width="105" bestFit="1" customWidth="1"/>
    <col min="14850" max="14850" width="20.7109375" bestFit="1" customWidth="1"/>
    <col min="15102" max="15102" width="5.7109375" customWidth="1"/>
    <col min="15103" max="15103" width="3.42578125" customWidth="1"/>
    <col min="15104" max="15104" width="3.7109375" customWidth="1"/>
    <col min="15105" max="15105" width="105" bestFit="1" customWidth="1"/>
    <col min="15106" max="15106" width="20.7109375" bestFit="1" customWidth="1"/>
    <col min="15358" max="15358" width="5.7109375" customWidth="1"/>
    <col min="15359" max="15359" width="3.42578125" customWidth="1"/>
    <col min="15360" max="15360" width="3.7109375" customWidth="1"/>
    <col min="15361" max="15361" width="105" bestFit="1" customWidth="1"/>
    <col min="15362" max="15362" width="20.7109375" bestFit="1" customWidth="1"/>
    <col min="15614" max="15614" width="5.7109375" customWidth="1"/>
    <col min="15615" max="15615" width="3.42578125" customWidth="1"/>
    <col min="15616" max="15616" width="3.7109375" customWidth="1"/>
    <col min="15617" max="15617" width="105" bestFit="1" customWidth="1"/>
    <col min="15618" max="15618" width="20.7109375" bestFit="1" customWidth="1"/>
    <col min="15870" max="15870" width="5.7109375" customWidth="1"/>
    <col min="15871" max="15871" width="3.42578125" customWidth="1"/>
    <col min="15872" max="15872" width="3.7109375" customWidth="1"/>
    <col min="15873" max="15873" width="105" bestFit="1" customWidth="1"/>
    <col min="15874" max="15874" width="20.7109375" bestFit="1" customWidth="1"/>
    <col min="16126" max="16126" width="5.7109375" customWidth="1"/>
    <col min="16127" max="16127" width="3.42578125" customWidth="1"/>
    <col min="16128" max="16128" width="3.7109375" customWidth="1"/>
    <col min="16129" max="16129" width="105" bestFit="1" customWidth="1"/>
    <col min="16130" max="16130" width="20.7109375" bestFit="1" customWidth="1"/>
  </cols>
  <sheetData>
    <row r="1" spans="2:16" x14ac:dyDescent="0.25">
      <c r="B1" s="1"/>
      <c r="C1" s="1"/>
      <c r="D1" s="2"/>
      <c r="E1" s="1"/>
    </row>
    <row r="2" spans="2:16" ht="34.5" customHeight="1" x14ac:dyDescent="0.5">
      <c r="B2" s="3"/>
      <c r="C2" s="1"/>
      <c r="D2" s="2"/>
      <c r="E2" s="1"/>
    </row>
    <row r="3" spans="2:16" ht="34.5" customHeight="1" thickBot="1" x14ac:dyDescent="0.55000000000000004">
      <c r="B3" s="434" t="s">
        <v>0</v>
      </c>
      <c r="C3" s="434"/>
      <c r="D3" s="434"/>
      <c r="E3" s="434"/>
      <c r="F3" s="159" t="s">
        <v>297</v>
      </c>
      <c r="G3" s="160">
        <v>301.69899498456789</v>
      </c>
      <c r="H3" s="176" t="s">
        <v>455</v>
      </c>
    </row>
    <row r="4" spans="2:16" ht="27" thickBot="1" x14ac:dyDescent="0.45">
      <c r="B4" s="4" t="s">
        <v>1</v>
      </c>
      <c r="C4" s="5" t="s">
        <v>2</v>
      </c>
      <c r="D4" s="6" t="s">
        <v>3</v>
      </c>
      <c r="E4" s="152" t="s">
        <v>4</v>
      </c>
      <c r="F4" s="155" t="s">
        <v>300</v>
      </c>
      <c r="G4" s="156">
        <f>G3*G62%</f>
        <v>17.746913580246915</v>
      </c>
    </row>
    <row r="5" spans="2:16" s="10" customFormat="1" ht="21.75" thickBot="1" x14ac:dyDescent="0.4">
      <c r="B5" s="7" t="s">
        <v>5</v>
      </c>
      <c r="C5" s="8">
        <f>SUM(C6:C8)</f>
        <v>724.8</v>
      </c>
      <c r="D5" s="9">
        <f>SUM(D6:D8)</f>
        <v>36</v>
      </c>
      <c r="E5" s="153">
        <f>SUM(E6:E8)</f>
        <v>8697.6</v>
      </c>
      <c r="F5" s="155" t="s">
        <v>301</v>
      </c>
      <c r="G5" s="156">
        <f>G3*G64%</f>
        <v>15.972222222222223</v>
      </c>
      <c r="H5" s="129"/>
      <c r="J5" s="145"/>
      <c r="M5" s="11" t="s">
        <v>6</v>
      </c>
      <c r="N5" s="12" t="s">
        <v>7</v>
      </c>
      <c r="O5" s="13" t="s">
        <v>8</v>
      </c>
      <c r="P5" s="14" t="s">
        <v>9</v>
      </c>
    </row>
    <row r="6" spans="2:16" x14ac:dyDescent="0.25">
      <c r="B6" s="67" t="s">
        <v>10</v>
      </c>
      <c r="C6" s="15">
        <f>302*2</f>
        <v>604</v>
      </c>
      <c r="D6" s="16">
        <v>12</v>
      </c>
      <c r="E6" s="154">
        <f>(C6*D6)</f>
        <v>7248</v>
      </c>
      <c r="F6" s="157" t="s">
        <v>302</v>
      </c>
      <c r="G6" s="158">
        <f>G3-G4-G5</f>
        <v>267.97985918209872</v>
      </c>
      <c r="M6" s="17" t="s">
        <v>11</v>
      </c>
      <c r="N6" s="18">
        <v>60808.717399999987</v>
      </c>
      <c r="O6" s="19">
        <v>60900</v>
      </c>
      <c r="P6" s="20">
        <f>O6-N6</f>
        <v>91.28260000001319</v>
      </c>
    </row>
    <row r="7" spans="2:16" ht="21" x14ac:dyDescent="0.35">
      <c r="B7" s="68" t="s">
        <v>73</v>
      </c>
      <c r="C7" s="15">
        <v>0</v>
      </c>
      <c r="D7" s="16">
        <v>12</v>
      </c>
      <c r="E7" s="15">
        <f>(C7*D7)</f>
        <v>0</v>
      </c>
      <c r="G7" s="169">
        <f>1000/108</f>
        <v>9.2592592592592595</v>
      </c>
      <c r="H7" s="169" t="s">
        <v>457</v>
      </c>
      <c r="I7" s="145"/>
      <c r="J7" s="10"/>
      <c r="K7" s="10"/>
      <c r="M7" s="17"/>
      <c r="N7" s="18"/>
      <c r="O7" s="19"/>
      <c r="P7" s="20"/>
    </row>
    <row r="8" spans="2:16" ht="15.75" thickBot="1" x14ac:dyDescent="0.3">
      <c r="B8" s="69" t="s">
        <v>12</v>
      </c>
      <c r="C8" s="15">
        <f>SUM(C6:C7)*20%</f>
        <v>120.80000000000001</v>
      </c>
      <c r="D8" s="16">
        <v>12</v>
      </c>
      <c r="E8" s="15">
        <f>C8*D8</f>
        <v>1449.6000000000001</v>
      </c>
      <c r="G8" s="169">
        <f>1147/108</f>
        <v>10.62037037037037</v>
      </c>
      <c r="H8" s="169" t="s">
        <v>456</v>
      </c>
      <c r="I8" s="146"/>
      <c r="J8" s="24"/>
      <c r="K8" s="24"/>
      <c r="M8" s="17" t="s">
        <v>13</v>
      </c>
      <c r="N8" s="18">
        <v>36840.718000000001</v>
      </c>
      <c r="O8" s="19">
        <v>30900</v>
      </c>
      <c r="P8" s="20">
        <f t="shared" ref="P8:P36" si="0">O8-N8</f>
        <v>-5940.7180000000008</v>
      </c>
    </row>
    <row r="9" spans="2:16" s="10" customFormat="1" ht="21.75" thickBot="1" x14ac:dyDescent="0.4">
      <c r="B9" s="7" t="s">
        <v>14</v>
      </c>
      <c r="C9" s="8">
        <f>SUM(C10:C37)</f>
        <v>34400.987500000003</v>
      </c>
      <c r="D9" s="9">
        <f>SUM(D10:D37)</f>
        <v>468</v>
      </c>
      <c r="E9" s="8">
        <f>SUM(E10:E38)</f>
        <v>238608.05</v>
      </c>
      <c r="F9" s="145"/>
      <c r="G9" s="177">
        <f>G3+G7+G8</f>
        <v>321.57862461419751</v>
      </c>
      <c r="H9" s="177" t="s">
        <v>421</v>
      </c>
      <c r="I9" s="146"/>
      <c r="J9" s="24"/>
      <c r="K9" s="24"/>
      <c r="M9" s="17" t="s">
        <v>15</v>
      </c>
      <c r="N9" s="18">
        <v>5979.07</v>
      </c>
      <c r="O9" s="19">
        <v>5880</v>
      </c>
      <c r="P9" s="20">
        <f t="shared" si="0"/>
        <v>-99.069999999999709</v>
      </c>
    </row>
    <row r="10" spans="2:16" s="24" customFormat="1" x14ac:dyDescent="0.25">
      <c r="B10" s="21" t="s">
        <v>16</v>
      </c>
      <c r="C10" s="22">
        <f>10875+(10875*10%)</f>
        <v>11962.5</v>
      </c>
      <c r="D10" s="23">
        <v>12</v>
      </c>
      <c r="E10" s="22">
        <f>(C10*D10)</f>
        <v>143550</v>
      </c>
      <c r="F10" s="146"/>
      <c r="G10" s="169">
        <f>(G9*13%)+G9</f>
        <v>363.38384581404318</v>
      </c>
      <c r="H10" s="169" t="s">
        <v>422</v>
      </c>
      <c r="I10" s="146"/>
      <c r="M10" s="17" t="s">
        <v>17</v>
      </c>
      <c r="N10" s="25">
        <v>5400</v>
      </c>
      <c r="O10" s="19">
        <v>5400</v>
      </c>
      <c r="P10" s="20">
        <f t="shared" si="0"/>
        <v>0</v>
      </c>
    </row>
    <row r="11" spans="2:16" s="24" customFormat="1" x14ac:dyDescent="0.25">
      <c r="B11" s="21" t="s">
        <v>424</v>
      </c>
      <c r="C11" s="26">
        <f>-C10*11.5%</f>
        <v>-1375.6875</v>
      </c>
      <c r="D11" s="27">
        <v>12</v>
      </c>
      <c r="E11" s="26">
        <f>(C11*D11)</f>
        <v>-16508.25</v>
      </c>
      <c r="F11" s="146"/>
      <c r="G11" s="169">
        <v>9.26</v>
      </c>
      <c r="H11" s="169" t="s">
        <v>423</v>
      </c>
      <c r="I11" s="146"/>
      <c r="J11" s="36"/>
      <c r="K11" s="36"/>
      <c r="M11" s="17" t="s">
        <v>420</v>
      </c>
      <c r="N11" s="18">
        <v>14816.099999999999</v>
      </c>
      <c r="O11" s="19">
        <v>1200</v>
      </c>
      <c r="P11" s="20">
        <f t="shared" si="0"/>
        <v>-13616.099999999999</v>
      </c>
    </row>
    <row r="12" spans="2:16" s="24" customFormat="1" x14ac:dyDescent="0.25">
      <c r="B12" s="21" t="s">
        <v>18</v>
      </c>
      <c r="C12" s="26">
        <f>5450+(5450*10%)</f>
        <v>5995</v>
      </c>
      <c r="D12" s="27">
        <v>12</v>
      </c>
      <c r="E12" s="26">
        <f>(C12*D12)</f>
        <v>71940</v>
      </c>
      <c r="F12" s="146"/>
      <c r="G12" s="178">
        <f>SUM(G10:G11)</f>
        <v>372.64384581404317</v>
      </c>
      <c r="H12" s="179" t="s">
        <v>89</v>
      </c>
      <c r="I12" s="146"/>
      <c r="M12" s="17" t="s">
        <v>19</v>
      </c>
      <c r="N12" s="18">
        <v>7000</v>
      </c>
      <c r="O12" s="19">
        <v>4200</v>
      </c>
      <c r="P12" s="20">
        <f t="shared" si="0"/>
        <v>-2800</v>
      </c>
    </row>
    <row r="13" spans="2:16" s="24" customFormat="1" x14ac:dyDescent="0.25">
      <c r="B13" s="21" t="s">
        <v>424</v>
      </c>
      <c r="C13" s="26">
        <f>-C12*11.5%</f>
        <v>-689.42500000000007</v>
      </c>
      <c r="D13" s="27">
        <v>12</v>
      </c>
      <c r="E13" s="26">
        <f>(C13*D13)</f>
        <v>-8273.1</v>
      </c>
      <c r="F13" s="146"/>
      <c r="G13" s="180"/>
      <c r="H13" s="181"/>
      <c r="I13" s="129"/>
      <c r="J13"/>
      <c r="K13"/>
      <c r="M13" s="17" t="s">
        <v>419</v>
      </c>
      <c r="N13" s="18">
        <v>1000.94</v>
      </c>
      <c r="O13" s="19">
        <v>2400</v>
      </c>
      <c r="P13" s="20">
        <f t="shared" si="0"/>
        <v>1399.06</v>
      </c>
    </row>
    <row r="14" spans="2:16" s="24" customFormat="1" x14ac:dyDescent="0.25">
      <c r="B14" s="28" t="s">
        <v>20</v>
      </c>
      <c r="C14" s="26">
        <v>250</v>
      </c>
      <c r="D14" s="27">
        <v>36</v>
      </c>
      <c r="E14" s="26">
        <f t="shared" ref="E14:E36" si="1">C14*D14</f>
        <v>9000</v>
      </c>
      <c r="F14" s="146"/>
      <c r="G14" s="182" t="s">
        <v>458</v>
      </c>
      <c r="H14" s="183"/>
      <c r="J14" s="146"/>
      <c r="M14" s="17" t="s">
        <v>21</v>
      </c>
      <c r="N14" s="18">
        <v>0</v>
      </c>
      <c r="O14" s="19">
        <v>0</v>
      </c>
      <c r="P14" s="20">
        <f t="shared" si="0"/>
        <v>0</v>
      </c>
    </row>
    <row r="15" spans="2:16" s="24" customFormat="1" x14ac:dyDescent="0.25">
      <c r="B15" s="28" t="s">
        <v>132</v>
      </c>
      <c r="C15" s="26">
        <v>350</v>
      </c>
      <c r="D15" s="27">
        <v>12</v>
      </c>
      <c r="E15" s="26">
        <f t="shared" si="1"/>
        <v>4200</v>
      </c>
      <c r="F15" s="146"/>
      <c r="G15" s="146"/>
      <c r="H15" s="146"/>
      <c r="J15" s="146"/>
      <c r="K15" s="36"/>
      <c r="L15" s="36"/>
      <c r="M15" s="17" t="s">
        <v>22</v>
      </c>
      <c r="N15" s="18">
        <v>0</v>
      </c>
      <c r="O15" s="19">
        <v>1200</v>
      </c>
      <c r="P15" s="20">
        <f t="shared" si="0"/>
        <v>1200</v>
      </c>
    </row>
    <row r="16" spans="2:16" s="24" customFormat="1" x14ac:dyDescent="0.25">
      <c r="B16" s="28" t="s">
        <v>425</v>
      </c>
      <c r="C16" s="26">
        <f>(C14+C15)*11%</f>
        <v>66</v>
      </c>
      <c r="D16" s="27">
        <v>12</v>
      </c>
      <c r="E16" s="26">
        <f>(C16*D16)*-1</f>
        <v>-792</v>
      </c>
      <c r="F16" s="146"/>
      <c r="G16" s="146"/>
      <c r="H16" s="146"/>
      <c r="J16" s="146"/>
      <c r="M16" s="17" t="s">
        <v>426</v>
      </c>
      <c r="N16" s="18">
        <v>640.79999999999995</v>
      </c>
      <c r="O16" s="19">
        <v>240</v>
      </c>
      <c r="P16" s="20">
        <f t="shared" si="0"/>
        <v>-400.79999999999995</v>
      </c>
    </row>
    <row r="17" spans="2:16" s="24" customFormat="1" x14ac:dyDescent="0.25">
      <c r="B17" s="29" t="s">
        <v>427</v>
      </c>
      <c r="C17" s="26">
        <f>600+300+750</f>
        <v>1650</v>
      </c>
      <c r="D17" s="27">
        <v>1</v>
      </c>
      <c r="E17" s="26">
        <f t="shared" si="1"/>
        <v>1650</v>
      </c>
      <c r="F17" s="170" t="s">
        <v>428</v>
      </c>
      <c r="G17" s="146"/>
      <c r="H17" s="146"/>
      <c r="J17" s="146"/>
      <c r="M17" s="17" t="s">
        <v>23</v>
      </c>
      <c r="N17" s="18">
        <v>1470</v>
      </c>
      <c r="O17" s="19">
        <v>360</v>
      </c>
      <c r="P17" s="20">
        <f t="shared" si="0"/>
        <v>-1110</v>
      </c>
    </row>
    <row r="18" spans="2:16" x14ac:dyDescent="0.25">
      <c r="B18" s="29" t="s">
        <v>24</v>
      </c>
      <c r="C18" s="26">
        <f>708+(708*10%)</f>
        <v>778.8</v>
      </c>
      <c r="D18" s="27">
        <v>12</v>
      </c>
      <c r="E18" s="26">
        <f t="shared" si="1"/>
        <v>9345.5999999999985</v>
      </c>
      <c r="M18" s="17" t="s">
        <v>25</v>
      </c>
      <c r="N18" s="18">
        <v>0</v>
      </c>
      <c r="O18" s="31">
        <f>3000+((90*110)*2)</f>
        <v>22800</v>
      </c>
      <c r="P18" s="20">
        <f t="shared" si="0"/>
        <v>22800</v>
      </c>
    </row>
    <row r="19" spans="2:16" x14ac:dyDescent="0.25">
      <c r="B19" s="29" t="s">
        <v>108</v>
      </c>
      <c r="C19" s="30">
        <v>800</v>
      </c>
      <c r="D19" s="27">
        <v>3</v>
      </c>
      <c r="E19" s="26">
        <f t="shared" si="1"/>
        <v>2400</v>
      </c>
      <c r="M19" s="17"/>
      <c r="N19" s="18"/>
      <c r="O19" s="31"/>
      <c r="P19" s="20"/>
    </row>
    <row r="20" spans="2:16" s="32" customFormat="1" ht="21" x14ac:dyDescent="0.35">
      <c r="B20" s="29" t="s">
        <v>26</v>
      </c>
      <c r="C20" s="30">
        <v>8900</v>
      </c>
      <c r="D20" s="27">
        <v>1</v>
      </c>
      <c r="E20" s="26">
        <f t="shared" si="1"/>
        <v>8900</v>
      </c>
      <c r="F20" s="147"/>
      <c r="G20" s="147"/>
      <c r="H20" s="147"/>
      <c r="J20" s="147"/>
      <c r="M20" s="17" t="s">
        <v>27</v>
      </c>
      <c r="N20" s="18">
        <v>0</v>
      </c>
      <c r="O20" s="19">
        <v>0</v>
      </c>
      <c r="P20" s="20">
        <f t="shared" si="0"/>
        <v>0</v>
      </c>
    </row>
    <row r="21" spans="2:16" x14ac:dyDescent="0.25">
      <c r="B21" s="29" t="s">
        <v>28</v>
      </c>
      <c r="C21" s="30">
        <v>0</v>
      </c>
      <c r="D21" s="27">
        <v>2</v>
      </c>
      <c r="E21" s="26">
        <f t="shared" si="1"/>
        <v>0</v>
      </c>
      <c r="M21" s="17" t="s">
        <v>29</v>
      </c>
      <c r="N21" s="18">
        <v>230</v>
      </c>
      <c r="O21" s="19">
        <v>0</v>
      </c>
      <c r="P21" s="20">
        <f t="shared" si="0"/>
        <v>-230</v>
      </c>
    </row>
    <row r="22" spans="2:16" x14ac:dyDescent="0.25">
      <c r="B22" s="29" t="s">
        <v>30</v>
      </c>
      <c r="C22" s="30">
        <v>18</v>
      </c>
      <c r="D22" s="27">
        <v>300</v>
      </c>
      <c r="E22" s="26">
        <f t="shared" si="1"/>
        <v>5400</v>
      </c>
      <c r="M22" s="17" t="s">
        <v>31</v>
      </c>
      <c r="N22" s="18">
        <v>0</v>
      </c>
      <c r="O22" s="19">
        <v>0</v>
      </c>
      <c r="P22" s="20">
        <f t="shared" si="0"/>
        <v>0</v>
      </c>
    </row>
    <row r="23" spans="2:16" s="33" customFormat="1" x14ac:dyDescent="0.25">
      <c r="B23" s="29" t="s">
        <v>32</v>
      </c>
      <c r="C23" s="30">
        <v>150</v>
      </c>
      <c r="D23" s="27">
        <v>12</v>
      </c>
      <c r="E23" s="26">
        <f t="shared" si="1"/>
        <v>1800</v>
      </c>
      <c r="F23" s="129"/>
      <c r="G23" s="129"/>
      <c r="H23" s="129"/>
      <c r="J23" s="129"/>
      <c r="M23" s="17" t="s">
        <v>33</v>
      </c>
      <c r="N23" s="18">
        <v>0</v>
      </c>
      <c r="O23" s="19">
        <v>0</v>
      </c>
      <c r="P23" s="20">
        <f t="shared" si="0"/>
        <v>0</v>
      </c>
    </row>
    <row r="24" spans="2:16" s="33" customFormat="1" x14ac:dyDescent="0.25">
      <c r="B24" s="29" t="s">
        <v>429</v>
      </c>
      <c r="C24" s="30">
        <v>1500</v>
      </c>
      <c r="D24" s="27">
        <v>1</v>
      </c>
      <c r="E24" s="26">
        <f t="shared" si="1"/>
        <v>1500</v>
      </c>
      <c r="F24" s="129"/>
      <c r="G24" s="129"/>
      <c r="H24" s="129"/>
      <c r="J24" s="129"/>
      <c r="M24" s="17" t="s">
        <v>34</v>
      </c>
      <c r="N24" s="18">
        <v>0</v>
      </c>
      <c r="O24" s="19">
        <v>2967.9</v>
      </c>
      <c r="P24" s="20">
        <f t="shared" si="0"/>
        <v>2967.9</v>
      </c>
    </row>
    <row r="25" spans="2:16" s="33" customFormat="1" x14ac:dyDescent="0.25">
      <c r="B25" s="29" t="s">
        <v>416</v>
      </c>
      <c r="C25" s="30">
        <f>(490*3)+1470*10%</f>
        <v>1617</v>
      </c>
      <c r="D25" s="27">
        <v>1</v>
      </c>
      <c r="E25" s="26">
        <f t="shared" si="1"/>
        <v>1617</v>
      </c>
      <c r="F25" s="129"/>
      <c r="G25" s="129"/>
      <c r="H25" s="129"/>
      <c r="J25" s="129"/>
      <c r="M25" s="17" t="s">
        <v>35</v>
      </c>
      <c r="N25" s="18">
        <v>0</v>
      </c>
      <c r="O25" s="19">
        <v>0</v>
      </c>
      <c r="P25" s="20">
        <f t="shared" si="0"/>
        <v>0</v>
      </c>
    </row>
    <row r="26" spans="2:16" s="33" customFormat="1" x14ac:dyDescent="0.25">
      <c r="B26" s="29" t="s">
        <v>430</v>
      </c>
      <c r="C26" s="30">
        <f>150*6</f>
        <v>900</v>
      </c>
      <c r="D26" s="27">
        <v>1</v>
      </c>
      <c r="E26" s="26">
        <f t="shared" si="1"/>
        <v>900</v>
      </c>
      <c r="F26" s="129"/>
      <c r="G26" s="129"/>
      <c r="H26" s="129"/>
      <c r="J26" s="129"/>
      <c r="M26" s="17" t="s">
        <v>431</v>
      </c>
      <c r="N26" s="25">
        <v>15149.68</v>
      </c>
      <c r="O26" s="19">
        <v>0</v>
      </c>
      <c r="P26" s="20">
        <f t="shared" si="0"/>
        <v>-15149.68</v>
      </c>
    </row>
    <row r="27" spans="2:16" s="33" customFormat="1" x14ac:dyDescent="0.25">
      <c r="B27" s="29" t="s">
        <v>36</v>
      </c>
      <c r="C27" s="30">
        <v>0</v>
      </c>
      <c r="D27" s="27">
        <v>1</v>
      </c>
      <c r="E27" s="26">
        <f t="shared" si="1"/>
        <v>0</v>
      </c>
      <c r="F27" s="129"/>
      <c r="G27" s="129"/>
      <c r="H27" s="129"/>
      <c r="J27" s="129"/>
      <c r="M27" s="17" t="s">
        <v>37</v>
      </c>
      <c r="N27" s="18">
        <v>336.67</v>
      </c>
      <c r="O27" s="19">
        <v>0</v>
      </c>
      <c r="P27" s="20">
        <f t="shared" si="0"/>
        <v>-336.67</v>
      </c>
    </row>
    <row r="28" spans="2:16" s="33" customFormat="1" x14ac:dyDescent="0.25">
      <c r="B28" s="29" t="s">
        <v>38</v>
      </c>
      <c r="C28" s="30">
        <f>300/3</f>
        <v>100</v>
      </c>
      <c r="D28" s="27">
        <v>3</v>
      </c>
      <c r="E28" s="26">
        <f t="shared" si="1"/>
        <v>300</v>
      </c>
      <c r="F28" s="129"/>
      <c r="G28" s="129"/>
      <c r="H28" s="129"/>
      <c r="J28" s="129"/>
      <c r="M28" s="17" t="s">
        <v>39</v>
      </c>
      <c r="N28" s="18">
        <v>7903.8099999999995</v>
      </c>
      <c r="O28" s="19">
        <v>0</v>
      </c>
      <c r="P28" s="20">
        <f t="shared" si="0"/>
        <v>-7903.8099999999995</v>
      </c>
    </row>
    <row r="29" spans="2:16" s="33" customFormat="1" x14ac:dyDescent="0.25">
      <c r="B29" s="29" t="s">
        <v>432</v>
      </c>
      <c r="C29" s="30">
        <v>0</v>
      </c>
      <c r="D29" s="27">
        <v>1</v>
      </c>
      <c r="E29" s="26">
        <f t="shared" si="1"/>
        <v>0</v>
      </c>
      <c r="F29" s="129"/>
      <c r="G29" s="129"/>
      <c r="H29" s="129"/>
      <c r="J29" s="129"/>
      <c r="M29" s="17" t="s">
        <v>433</v>
      </c>
      <c r="N29" s="25">
        <v>1637.2</v>
      </c>
      <c r="O29" s="19">
        <v>0</v>
      </c>
      <c r="P29" s="20">
        <f t="shared" si="0"/>
        <v>-1637.2</v>
      </c>
    </row>
    <row r="30" spans="2:16" s="33" customFormat="1" x14ac:dyDescent="0.25">
      <c r="B30" s="29" t="s">
        <v>40</v>
      </c>
      <c r="C30" s="30">
        <v>50</v>
      </c>
      <c r="D30" s="27">
        <f>12/2</f>
        <v>6</v>
      </c>
      <c r="E30" s="26">
        <f t="shared" si="1"/>
        <v>300</v>
      </c>
      <c r="F30" s="129"/>
      <c r="G30" s="129"/>
      <c r="H30" s="129"/>
      <c r="J30" s="129"/>
      <c r="M30" s="17" t="s">
        <v>41</v>
      </c>
      <c r="N30" s="18">
        <v>700</v>
      </c>
      <c r="O30" s="19">
        <v>0</v>
      </c>
      <c r="P30" s="20">
        <f t="shared" si="0"/>
        <v>-700</v>
      </c>
    </row>
    <row r="31" spans="2:16" s="33" customFormat="1" x14ac:dyDescent="0.25">
      <c r="B31" s="29" t="s">
        <v>42</v>
      </c>
      <c r="C31" s="30">
        <v>300</v>
      </c>
      <c r="D31" s="27">
        <v>1</v>
      </c>
      <c r="E31" s="26">
        <f t="shared" si="1"/>
        <v>300</v>
      </c>
      <c r="F31" s="129"/>
      <c r="G31" s="129"/>
      <c r="H31" s="129"/>
      <c r="J31" s="129"/>
      <c r="M31" s="17" t="s">
        <v>43</v>
      </c>
      <c r="N31" s="18">
        <v>1889.03</v>
      </c>
      <c r="O31" s="19">
        <v>0</v>
      </c>
      <c r="P31" s="20">
        <f t="shared" si="0"/>
        <v>-1889.03</v>
      </c>
    </row>
    <row r="32" spans="2:16" s="33" customFormat="1" x14ac:dyDescent="0.25">
      <c r="B32" s="29" t="s">
        <v>44</v>
      </c>
      <c r="C32" s="30">
        <v>0</v>
      </c>
      <c r="D32" s="27">
        <v>3</v>
      </c>
      <c r="E32" s="26">
        <f t="shared" si="1"/>
        <v>0</v>
      </c>
      <c r="F32" s="129"/>
      <c r="G32" s="129"/>
      <c r="H32" s="129"/>
      <c r="J32" s="129"/>
      <c r="M32" s="17" t="s">
        <v>45</v>
      </c>
      <c r="N32" s="18">
        <v>400</v>
      </c>
      <c r="O32" s="19">
        <v>0</v>
      </c>
      <c r="P32" s="20">
        <f t="shared" si="0"/>
        <v>-400</v>
      </c>
    </row>
    <row r="33" spans="2:16" s="33" customFormat="1" x14ac:dyDescent="0.25">
      <c r="B33" s="29" t="s">
        <v>46</v>
      </c>
      <c r="C33" s="30">
        <v>0</v>
      </c>
      <c r="D33" s="27">
        <v>3</v>
      </c>
      <c r="E33" s="26">
        <f t="shared" si="1"/>
        <v>0</v>
      </c>
      <c r="F33" s="129"/>
      <c r="G33" s="129"/>
      <c r="H33" s="129"/>
      <c r="J33" s="129"/>
      <c r="M33" s="17" t="s">
        <v>47</v>
      </c>
      <c r="N33" s="18">
        <v>269.04000000000002</v>
      </c>
      <c r="O33" s="19">
        <v>0</v>
      </c>
      <c r="P33" s="20">
        <f t="shared" si="0"/>
        <v>-269.04000000000002</v>
      </c>
    </row>
    <row r="34" spans="2:16" s="33" customFormat="1" x14ac:dyDescent="0.25">
      <c r="B34" s="29" t="s">
        <v>434</v>
      </c>
      <c r="C34" s="30">
        <v>0</v>
      </c>
      <c r="D34" s="27">
        <v>6</v>
      </c>
      <c r="E34" s="26">
        <f t="shared" si="1"/>
        <v>0</v>
      </c>
      <c r="F34" s="129"/>
      <c r="G34" s="129"/>
      <c r="H34" s="129"/>
      <c r="J34" s="129"/>
      <c r="M34" s="17" t="s">
        <v>435</v>
      </c>
      <c r="N34" s="25">
        <v>10894.6</v>
      </c>
      <c r="O34" s="19">
        <v>0</v>
      </c>
      <c r="P34" s="20">
        <f t="shared" si="0"/>
        <v>-10894.6</v>
      </c>
    </row>
    <row r="35" spans="2:16" s="33" customFormat="1" x14ac:dyDescent="0.25">
      <c r="B35" s="29" t="s">
        <v>48</v>
      </c>
      <c r="C35" s="30">
        <f>89.9*12</f>
        <v>1078.8000000000002</v>
      </c>
      <c r="D35" s="27">
        <v>1</v>
      </c>
      <c r="E35" s="26">
        <f t="shared" si="1"/>
        <v>1078.8000000000002</v>
      </c>
      <c r="F35" s="129"/>
      <c r="G35" s="129"/>
      <c r="H35" s="129"/>
      <c r="J35" s="129"/>
      <c r="M35" s="17" t="s">
        <v>49</v>
      </c>
      <c r="N35" s="18">
        <v>644</v>
      </c>
      <c r="O35" s="19">
        <v>0</v>
      </c>
      <c r="P35" s="20">
        <f t="shared" si="0"/>
        <v>-644</v>
      </c>
    </row>
    <row r="36" spans="2:16" s="33" customFormat="1" x14ac:dyDescent="0.25">
      <c r="B36" s="29" t="s">
        <v>436</v>
      </c>
      <c r="C36" s="30">
        <v>0</v>
      </c>
      <c r="D36" s="27">
        <v>1</v>
      </c>
      <c r="E36" s="26">
        <f t="shared" si="1"/>
        <v>0</v>
      </c>
      <c r="F36" s="129"/>
      <c r="G36" s="129"/>
      <c r="H36" s="129"/>
      <c r="J36" s="129"/>
      <c r="M36" s="17" t="s">
        <v>50</v>
      </c>
      <c r="N36" s="18">
        <v>445</v>
      </c>
      <c r="O36" s="19">
        <v>0</v>
      </c>
      <c r="P36" s="20">
        <f t="shared" si="0"/>
        <v>-445</v>
      </c>
    </row>
    <row r="37" spans="2:16" s="33" customFormat="1" ht="15.75" thickBot="1" x14ac:dyDescent="0.3">
      <c r="B37" s="29" t="s">
        <v>437</v>
      </c>
      <c r="C37" s="34"/>
      <c r="D37" s="35"/>
      <c r="E37" s="34"/>
      <c r="F37" s="129"/>
      <c r="G37" s="129"/>
      <c r="H37" s="129"/>
      <c r="J37" s="129"/>
      <c r="M37" s="171" t="s">
        <v>438</v>
      </c>
      <c r="N37" s="172">
        <v>0</v>
      </c>
      <c r="O37" s="173">
        <v>0</v>
      </c>
      <c r="P37" s="174">
        <f>O37-N37</f>
        <v>0</v>
      </c>
    </row>
    <row r="38" spans="2:16" s="24" customFormat="1" ht="15.75" thickBot="1" x14ac:dyDescent="0.3">
      <c r="B38" s="29"/>
      <c r="C38" s="34"/>
      <c r="D38" s="35"/>
      <c r="E38" s="34"/>
      <c r="F38" s="146"/>
      <c r="G38" s="146"/>
      <c r="H38" s="146"/>
      <c r="J38" s="146"/>
      <c r="N38" s="36">
        <f>SUM(N6:N37)</f>
        <v>174455.37540000002</v>
      </c>
      <c r="O38" s="36">
        <f>SUM(O6:O37)</f>
        <v>138447.9</v>
      </c>
      <c r="P38" s="36">
        <f>SUM(P6:P37)</f>
        <v>-36007.475399999988</v>
      </c>
    </row>
    <row r="39" spans="2:16" s="37" customFormat="1" ht="21.75" thickBot="1" x14ac:dyDescent="0.4">
      <c r="B39" s="8" t="s">
        <v>51</v>
      </c>
      <c r="C39" s="8">
        <f>SUM(C40:C56)</f>
        <v>6981.5</v>
      </c>
      <c r="D39" s="9">
        <f>SUM(D40:D56)</f>
        <v>130</v>
      </c>
      <c r="E39" s="8">
        <f>SUM(E40:E58)</f>
        <v>54696</v>
      </c>
      <c r="F39" s="148"/>
      <c r="G39" s="148"/>
      <c r="H39" s="148"/>
      <c r="J39" s="148"/>
    </row>
    <row r="40" spans="2:16" x14ac:dyDescent="0.25">
      <c r="B40" s="29" t="s">
        <v>439</v>
      </c>
      <c r="C40" s="15">
        <v>1100</v>
      </c>
      <c r="D40" s="16">
        <v>12</v>
      </c>
      <c r="E40" s="15">
        <f t="shared" ref="E40:E57" si="2">C40*D40</f>
        <v>13200</v>
      </c>
      <c r="M40" s="38">
        <f>O38</f>
        <v>138447.9</v>
      </c>
      <c r="N40" s="39"/>
    </row>
    <row r="41" spans="2:16" x14ac:dyDescent="0.25">
      <c r="B41" s="21" t="s">
        <v>424</v>
      </c>
      <c r="C41" s="15">
        <f>C40*11.5%</f>
        <v>126.5</v>
      </c>
      <c r="D41" s="16">
        <v>12</v>
      </c>
      <c r="E41" s="40">
        <f>(C41*D41)*-1</f>
        <v>-1518</v>
      </c>
      <c r="M41" s="39">
        <f>O38*20%</f>
        <v>27689.58</v>
      </c>
      <c r="N41" s="175">
        <v>0.2</v>
      </c>
      <c r="O41" t="s">
        <v>440</v>
      </c>
    </row>
    <row r="42" spans="2:16" x14ac:dyDescent="0.25">
      <c r="B42" s="29" t="s">
        <v>52</v>
      </c>
      <c r="C42" s="40">
        <v>0</v>
      </c>
      <c r="D42" s="16">
        <v>3</v>
      </c>
      <c r="E42" s="40">
        <f t="shared" si="2"/>
        <v>0</v>
      </c>
      <c r="M42" s="39">
        <f>SUM(M40:M41)</f>
        <v>166137.47999999998</v>
      </c>
      <c r="N42" s="39"/>
    </row>
    <row r="43" spans="2:16" x14ac:dyDescent="0.25">
      <c r="B43" s="29" t="s">
        <v>53</v>
      </c>
      <c r="C43" s="40">
        <v>0</v>
      </c>
      <c r="D43" s="16">
        <v>4</v>
      </c>
      <c r="E43" s="40">
        <f t="shared" si="2"/>
        <v>0</v>
      </c>
    </row>
    <row r="44" spans="2:16" x14ac:dyDescent="0.25">
      <c r="B44" s="29" t="s">
        <v>54</v>
      </c>
      <c r="C44" s="40">
        <v>0</v>
      </c>
      <c r="D44" s="16">
        <v>12</v>
      </c>
      <c r="E44" s="40">
        <f t="shared" si="2"/>
        <v>0</v>
      </c>
    </row>
    <row r="45" spans="2:16" x14ac:dyDescent="0.25">
      <c r="B45" s="29" t="s">
        <v>441</v>
      </c>
      <c r="C45" s="40">
        <v>900</v>
      </c>
      <c r="D45" s="16">
        <v>2</v>
      </c>
      <c r="E45" s="40">
        <f t="shared" si="2"/>
        <v>1800</v>
      </c>
    </row>
    <row r="46" spans="2:16" x14ac:dyDescent="0.25">
      <c r="B46" s="29" t="s">
        <v>55</v>
      </c>
      <c r="C46" s="40">
        <f>60+35+10</f>
        <v>105</v>
      </c>
      <c r="D46" s="16">
        <v>12</v>
      </c>
      <c r="E46" s="40">
        <f t="shared" si="2"/>
        <v>1260</v>
      </c>
    </row>
    <row r="47" spans="2:16" x14ac:dyDescent="0.25">
      <c r="B47" s="29" t="s">
        <v>56</v>
      </c>
      <c r="C47" s="40">
        <v>50</v>
      </c>
      <c r="D47" s="16">
        <v>12</v>
      </c>
      <c r="E47" s="40">
        <f t="shared" si="2"/>
        <v>600</v>
      </c>
    </row>
    <row r="48" spans="2:16" x14ac:dyDescent="0.25">
      <c r="B48" s="29" t="s">
        <v>57</v>
      </c>
      <c r="C48" s="40">
        <v>286</v>
      </c>
      <c r="D48" s="16">
        <v>1</v>
      </c>
      <c r="E48" s="40">
        <f t="shared" si="2"/>
        <v>286</v>
      </c>
    </row>
    <row r="49" spans="2:8" customFormat="1" x14ac:dyDescent="0.25">
      <c r="B49" s="29" t="s">
        <v>58</v>
      </c>
      <c r="C49" s="40">
        <v>200</v>
      </c>
      <c r="D49" s="16">
        <v>1</v>
      </c>
      <c r="E49" s="40">
        <f t="shared" si="2"/>
        <v>200</v>
      </c>
      <c r="F49" s="129"/>
      <c r="G49" s="129"/>
      <c r="H49" s="129"/>
    </row>
    <row r="50" spans="2:8" customFormat="1" x14ac:dyDescent="0.25">
      <c r="B50" s="29" t="s">
        <v>59</v>
      </c>
      <c r="C50" s="40">
        <f>(1580*30%)+1580</f>
        <v>2054</v>
      </c>
      <c r="D50" s="16">
        <v>12</v>
      </c>
      <c r="E50" s="40">
        <f t="shared" si="2"/>
        <v>24648</v>
      </c>
      <c r="F50" s="129"/>
      <c r="G50" s="129"/>
      <c r="H50" s="129"/>
    </row>
    <row r="51" spans="2:8" customFormat="1" x14ac:dyDescent="0.25">
      <c r="B51" s="29" t="s">
        <v>60</v>
      </c>
      <c r="C51" s="40">
        <v>500</v>
      </c>
      <c r="D51" s="16">
        <v>12</v>
      </c>
      <c r="E51" s="40">
        <f t="shared" si="2"/>
        <v>6000</v>
      </c>
      <c r="F51" s="129"/>
      <c r="G51" s="129"/>
      <c r="H51" s="129"/>
    </row>
    <row r="52" spans="2:8" customFormat="1" x14ac:dyDescent="0.25">
      <c r="B52" s="29" t="s">
        <v>61</v>
      </c>
      <c r="C52" s="40">
        <v>500</v>
      </c>
      <c r="D52" s="16">
        <v>4</v>
      </c>
      <c r="E52" s="40">
        <f t="shared" si="2"/>
        <v>2000</v>
      </c>
      <c r="F52" s="129"/>
      <c r="G52" s="129"/>
      <c r="H52" s="129"/>
    </row>
    <row r="53" spans="2:8" customFormat="1" x14ac:dyDescent="0.25">
      <c r="B53" s="29" t="s">
        <v>62</v>
      </c>
      <c r="C53" s="40">
        <v>150</v>
      </c>
      <c r="D53" s="16">
        <v>12</v>
      </c>
      <c r="E53" s="40">
        <f t="shared" si="2"/>
        <v>1800</v>
      </c>
      <c r="F53" s="129"/>
      <c r="G53" s="129"/>
      <c r="H53" s="129"/>
    </row>
    <row r="54" spans="2:8" customFormat="1" x14ac:dyDescent="0.25">
      <c r="B54" s="29" t="s">
        <v>63</v>
      </c>
      <c r="C54" s="40">
        <v>60</v>
      </c>
      <c r="D54" s="16">
        <v>12</v>
      </c>
      <c r="E54" s="40">
        <f t="shared" si="2"/>
        <v>720</v>
      </c>
      <c r="F54" s="129"/>
      <c r="G54" s="129"/>
      <c r="H54" s="129"/>
    </row>
    <row r="55" spans="2:8" customFormat="1" x14ac:dyDescent="0.25">
      <c r="B55" s="29" t="s">
        <v>277</v>
      </c>
      <c r="C55" s="40">
        <f>100</f>
        <v>100</v>
      </c>
      <c r="D55" s="16">
        <v>3</v>
      </c>
      <c r="E55" s="40">
        <f t="shared" si="2"/>
        <v>300</v>
      </c>
      <c r="F55" s="129"/>
      <c r="G55" s="129"/>
      <c r="H55" s="129"/>
    </row>
    <row r="56" spans="2:8" customFormat="1" x14ac:dyDescent="0.25">
      <c r="B56" s="29" t="s">
        <v>64</v>
      </c>
      <c r="C56" s="40">
        <v>850</v>
      </c>
      <c r="D56" s="16">
        <f>12/3</f>
        <v>4</v>
      </c>
      <c r="E56" s="40">
        <f t="shared" si="2"/>
        <v>3400</v>
      </c>
      <c r="F56" s="129"/>
      <c r="G56" s="129"/>
      <c r="H56" s="129"/>
    </row>
    <row r="57" spans="2:8" customFormat="1" x14ac:dyDescent="0.25">
      <c r="B57" s="29" t="s">
        <v>91</v>
      </c>
      <c r="C57" s="40">
        <v>0</v>
      </c>
      <c r="D57" s="41">
        <v>12</v>
      </c>
      <c r="E57" s="40">
        <f t="shared" si="2"/>
        <v>0</v>
      </c>
      <c r="F57" s="129"/>
      <c r="G57" s="129"/>
      <c r="H57" s="129"/>
    </row>
    <row r="58" spans="2:8" customFormat="1" ht="15.75" thickBot="1" x14ac:dyDescent="0.3">
      <c r="B58" s="42"/>
      <c r="C58" s="40"/>
      <c r="D58" s="41"/>
      <c r="E58" s="40"/>
      <c r="F58" s="129"/>
      <c r="G58" s="129"/>
      <c r="H58" s="129"/>
    </row>
    <row r="59" spans="2:8" customFormat="1" ht="29.25" thickBot="1" x14ac:dyDescent="0.5">
      <c r="B59" s="43" t="s">
        <v>65</v>
      </c>
      <c r="C59" s="44">
        <f>C39+C9+C5</f>
        <v>42107.287500000006</v>
      </c>
      <c r="D59" s="45">
        <f>D39+D9+D5</f>
        <v>634</v>
      </c>
      <c r="E59" s="44">
        <f>E39+E9+E5</f>
        <v>302001.64999999997</v>
      </c>
      <c r="F59" s="161">
        <f>(E59*15%)+E59</f>
        <v>347301.89749999996</v>
      </c>
      <c r="G59" s="162"/>
      <c r="H59" s="162"/>
    </row>
    <row r="60" spans="2:8" customFormat="1" ht="21.75" thickBot="1" x14ac:dyDescent="0.4">
      <c r="B60" s="46"/>
      <c r="C60" s="1"/>
      <c r="D60" s="2"/>
      <c r="E60" s="1"/>
      <c r="F60" s="162"/>
      <c r="G60" s="162"/>
      <c r="H60" s="162"/>
    </row>
    <row r="61" spans="2:8" customFormat="1" ht="27" thickBot="1" x14ac:dyDescent="0.45">
      <c r="B61" s="55" t="s">
        <v>71</v>
      </c>
      <c r="C61" s="56">
        <f>SUM(C62:C64)</f>
        <v>3166.666666666667</v>
      </c>
      <c r="D61" s="57">
        <f>SUM(D62:D64)</f>
        <v>36</v>
      </c>
      <c r="E61" s="56">
        <f>SUM(E62:E64)</f>
        <v>38000</v>
      </c>
      <c r="F61" s="162"/>
      <c r="G61" s="162"/>
      <c r="H61" s="162"/>
    </row>
    <row r="62" spans="2:8" customFormat="1" x14ac:dyDescent="0.25">
      <c r="B62" s="29" t="s">
        <v>72</v>
      </c>
      <c r="C62" s="50">
        <f>20000/12</f>
        <v>1666.6666666666667</v>
      </c>
      <c r="D62" s="51">
        <v>12</v>
      </c>
      <c r="E62" s="50">
        <f>C62*D62</f>
        <v>20000</v>
      </c>
      <c r="F62" s="162">
        <f>(E62*15%)+E62</f>
        <v>23000</v>
      </c>
      <c r="G62" s="162">
        <f>(F62/$F$70)*100</f>
        <v>5.882324394602203</v>
      </c>
      <c r="H62" s="162"/>
    </row>
    <row r="63" spans="2:8" customFormat="1" x14ac:dyDescent="0.25">
      <c r="B63" s="29" t="s">
        <v>442</v>
      </c>
      <c r="C63" s="50"/>
      <c r="D63" s="51">
        <v>12</v>
      </c>
      <c r="E63" s="50">
        <f>C63*D63</f>
        <v>0</v>
      </c>
      <c r="F63" s="162"/>
      <c r="G63" s="162"/>
      <c r="H63" s="162"/>
    </row>
    <row r="64" spans="2:8" customFormat="1" ht="15.75" thickBot="1" x14ac:dyDescent="0.3">
      <c r="B64" s="29" t="s">
        <v>443</v>
      </c>
      <c r="C64" s="58">
        <v>1500</v>
      </c>
      <c r="D64" s="59">
        <v>12</v>
      </c>
      <c r="E64" s="58">
        <f>C64*D64</f>
        <v>18000</v>
      </c>
      <c r="F64" s="162">
        <f>(E64*15%)+E64</f>
        <v>20700</v>
      </c>
      <c r="G64" s="162">
        <f>(F64/$F$70)*100</f>
        <v>5.2940919551419832</v>
      </c>
      <c r="H64" s="162"/>
    </row>
    <row r="65" spans="2:10" ht="29.25" thickBot="1" x14ac:dyDescent="0.5">
      <c r="B65" s="43" t="s">
        <v>65</v>
      </c>
      <c r="C65" s="52">
        <f>C61</f>
        <v>3166.666666666667</v>
      </c>
      <c r="D65" s="53">
        <f>D61</f>
        <v>36</v>
      </c>
      <c r="E65" s="52">
        <f>E61</f>
        <v>38000</v>
      </c>
      <c r="F65" s="161">
        <f>(E65*15%)+E65</f>
        <v>43700</v>
      </c>
      <c r="G65" s="162">
        <f>(F65/$F$70)*100</f>
        <v>11.176416349744187</v>
      </c>
      <c r="H65" s="162"/>
    </row>
    <row r="66" spans="2:10" x14ac:dyDescent="0.25">
      <c r="F66" s="162"/>
      <c r="G66" s="162"/>
      <c r="H66" s="162"/>
    </row>
    <row r="67" spans="2:10" ht="15.75" thickBot="1" x14ac:dyDescent="0.3">
      <c r="F67" s="162"/>
      <c r="G67" s="162"/>
      <c r="H67" s="162"/>
    </row>
    <row r="68" spans="2:10" s="33" customFormat="1" ht="29.25" thickBot="1" x14ac:dyDescent="0.5">
      <c r="B68" s="60" t="s">
        <v>444</v>
      </c>
      <c r="C68" s="61">
        <f>C59+C65</f>
        <v>45273.95416666667</v>
      </c>
      <c r="D68" s="62">
        <f>D65+D124+D59</f>
        <v>670</v>
      </c>
      <c r="E68" s="61">
        <f>(E59+E65)</f>
        <v>340001.64999999997</v>
      </c>
      <c r="F68" s="162"/>
      <c r="G68" s="162"/>
      <c r="H68" s="162"/>
      <c r="J68" s="129"/>
    </row>
    <row r="69" spans="2:10" s="33" customFormat="1" ht="29.25" thickBot="1" x14ac:dyDescent="0.5">
      <c r="B69" s="63" t="s">
        <v>445</v>
      </c>
      <c r="C69" s="64">
        <f>C68*15%</f>
        <v>6791.0931250000003</v>
      </c>
      <c r="D69" s="65"/>
      <c r="E69" s="64">
        <f>E68*15%</f>
        <v>51000.24749999999</v>
      </c>
      <c r="F69" s="162"/>
      <c r="G69" s="162"/>
      <c r="H69" s="162"/>
      <c r="J69" s="129"/>
    </row>
    <row r="70" spans="2:10" s="33" customFormat="1" ht="29.25" thickBot="1" x14ac:dyDescent="0.5">
      <c r="B70" s="60" t="s">
        <v>444</v>
      </c>
      <c r="C70" s="61">
        <f>C68+C69</f>
        <v>52065.047291666669</v>
      </c>
      <c r="D70" s="62"/>
      <c r="E70" s="61">
        <f>E68+E69</f>
        <v>391001.89749999996</v>
      </c>
      <c r="F70" s="161">
        <f>(G3*108)*12</f>
        <v>391001.89749999996</v>
      </c>
      <c r="G70" s="162"/>
      <c r="H70" s="162"/>
      <c r="J70" s="129"/>
    </row>
    <row r="72" spans="2:10" x14ac:dyDescent="0.25">
      <c r="E72" s="66"/>
    </row>
    <row r="73" spans="2:10" ht="15.75" thickBot="1" x14ac:dyDescent="0.3">
      <c r="E73" s="66"/>
    </row>
    <row r="74" spans="2:10" ht="27" thickBot="1" x14ac:dyDescent="0.45">
      <c r="B74" s="4" t="s">
        <v>66</v>
      </c>
      <c r="C74" s="5" t="s">
        <v>279</v>
      </c>
      <c r="D74" s="6" t="s">
        <v>3</v>
      </c>
      <c r="E74" s="5" t="s">
        <v>2</v>
      </c>
    </row>
    <row r="75" spans="2:10" ht="21.75" thickBot="1" x14ac:dyDescent="0.4">
      <c r="B75" s="47" t="s">
        <v>67</v>
      </c>
      <c r="C75" s="48"/>
      <c r="D75" s="49"/>
      <c r="E75" s="48"/>
    </row>
    <row r="76" spans="2:10" x14ac:dyDescent="0.25">
      <c r="B76" s="149" t="s">
        <v>280</v>
      </c>
      <c r="C76" s="150">
        <f>SUM(C77:C82)</f>
        <v>19813</v>
      </c>
      <c r="D76" s="151"/>
      <c r="E76" s="150">
        <f>SUM(E77:E82)</f>
        <v>207.13590909090911</v>
      </c>
    </row>
    <row r="77" spans="2:10" x14ac:dyDescent="0.25">
      <c r="B77" s="29" t="s">
        <v>92</v>
      </c>
      <c r="C77" s="50">
        <v>5063</v>
      </c>
      <c r="D77" s="51">
        <v>110</v>
      </c>
      <c r="E77" s="50">
        <f t="shared" ref="E77:E82" si="3">(C77/D77)*15%+(C77/D77)</f>
        <v>52.931363636363635</v>
      </c>
      <c r="F77" s="129" t="s">
        <v>446</v>
      </c>
    </row>
    <row r="78" spans="2:10" x14ac:dyDescent="0.25">
      <c r="B78" s="29" t="s">
        <v>281</v>
      </c>
      <c r="C78" s="50"/>
      <c r="D78" s="51">
        <v>110</v>
      </c>
      <c r="E78" s="50">
        <f t="shared" si="3"/>
        <v>0</v>
      </c>
    </row>
    <row r="79" spans="2:10" x14ac:dyDescent="0.25">
      <c r="B79" s="29" t="s">
        <v>282</v>
      </c>
      <c r="C79" s="50">
        <v>8000</v>
      </c>
      <c r="D79" s="51">
        <v>110</v>
      </c>
      <c r="E79" s="50">
        <f t="shared" si="3"/>
        <v>83.63636363636364</v>
      </c>
    </row>
    <row r="80" spans="2:10" x14ac:dyDescent="0.25">
      <c r="B80" s="29" t="s">
        <v>290</v>
      </c>
      <c r="C80" s="50">
        <v>3000</v>
      </c>
      <c r="D80" s="51">
        <v>110</v>
      </c>
      <c r="E80" s="50">
        <f t="shared" si="3"/>
        <v>31.363636363636363</v>
      </c>
    </row>
    <row r="81" spans="2:5" customFormat="1" x14ac:dyDescent="0.25">
      <c r="B81" s="29" t="s">
        <v>298</v>
      </c>
      <c r="C81" s="50">
        <v>3750</v>
      </c>
      <c r="D81" s="51">
        <v>110</v>
      </c>
      <c r="E81" s="50">
        <f t="shared" si="3"/>
        <v>39.20454545454546</v>
      </c>
    </row>
    <row r="82" spans="2:5" customFormat="1" x14ac:dyDescent="0.25">
      <c r="B82" s="29" t="s">
        <v>299</v>
      </c>
      <c r="C82" s="50"/>
      <c r="D82" s="51">
        <v>110</v>
      </c>
      <c r="E82" s="50">
        <f t="shared" si="3"/>
        <v>0</v>
      </c>
    </row>
    <row r="83" spans="2:5" customFormat="1" x14ac:dyDescent="0.25">
      <c r="B83" s="149" t="s">
        <v>283</v>
      </c>
      <c r="C83" s="150">
        <f>SUM(C84:C91)</f>
        <v>10850</v>
      </c>
      <c r="D83" s="151"/>
      <c r="E83" s="150">
        <f>SUM(E84:E91)</f>
        <v>113.43181818181817</v>
      </c>
    </row>
    <row r="84" spans="2:5" customFormat="1" x14ac:dyDescent="0.25">
      <c r="B84" s="163" t="s">
        <v>70</v>
      </c>
      <c r="C84" s="164">
        <f>700+600</f>
        <v>1300</v>
      </c>
      <c r="D84" s="165">
        <v>110</v>
      </c>
      <c r="E84" s="164">
        <f>(C84/D84)*15%+(C84/D84)</f>
        <v>13.590909090909092</v>
      </c>
    </row>
    <row r="85" spans="2:5" customFormat="1" x14ac:dyDescent="0.25">
      <c r="B85" s="163" t="s">
        <v>284</v>
      </c>
      <c r="C85" s="164">
        <v>3950</v>
      </c>
      <c r="D85" s="165">
        <v>110</v>
      </c>
      <c r="E85" s="164">
        <f>(C85/D85)*15%+(C85/D85)</f>
        <v>41.29545454545454</v>
      </c>
    </row>
    <row r="86" spans="2:5" customFormat="1" x14ac:dyDescent="0.25">
      <c r="B86" s="29" t="s">
        <v>447</v>
      </c>
      <c r="C86" s="50">
        <f>1800*2</f>
        <v>3600</v>
      </c>
      <c r="D86" s="51">
        <v>110</v>
      </c>
      <c r="E86" s="50">
        <f>(C86/D86)*15%+(C86/D86)</f>
        <v>37.636363636363633</v>
      </c>
    </row>
    <row r="87" spans="2:5" customFormat="1" x14ac:dyDescent="0.25">
      <c r="B87" s="29" t="s">
        <v>448</v>
      </c>
      <c r="C87" s="50"/>
      <c r="D87" s="51"/>
      <c r="E87" s="50"/>
    </row>
    <row r="88" spans="2:5" customFormat="1" x14ac:dyDescent="0.25">
      <c r="B88" s="29" t="s">
        <v>449</v>
      </c>
      <c r="C88" s="50">
        <v>2000</v>
      </c>
      <c r="D88" s="51">
        <v>110</v>
      </c>
      <c r="E88" s="50">
        <f>(C88/D88)*15%+(C88/D88)</f>
        <v>20.90909090909091</v>
      </c>
    </row>
    <row r="89" spans="2:5" customFormat="1" x14ac:dyDescent="0.25">
      <c r="B89" s="29" t="s">
        <v>285</v>
      </c>
      <c r="C89" s="50"/>
      <c r="D89" s="51">
        <v>110</v>
      </c>
      <c r="E89" s="50">
        <f>(C89/D89)*15%+(C89/D89)</f>
        <v>0</v>
      </c>
    </row>
    <row r="90" spans="2:5" customFormat="1" x14ac:dyDescent="0.25">
      <c r="B90" s="29"/>
      <c r="C90" s="50"/>
      <c r="D90" s="51"/>
      <c r="E90" s="50"/>
    </row>
    <row r="91" spans="2:5" customFormat="1" x14ac:dyDescent="0.25">
      <c r="B91" s="29"/>
      <c r="C91" s="50"/>
      <c r="D91" s="51"/>
      <c r="E91" s="50"/>
    </row>
    <row r="92" spans="2:5" customFormat="1" x14ac:dyDescent="0.25">
      <c r="B92" s="149" t="s">
        <v>286</v>
      </c>
      <c r="C92" s="150">
        <f>SUM(C93:C103)</f>
        <v>11968</v>
      </c>
      <c r="D92" s="151"/>
      <c r="E92" s="150">
        <f>SUM(E93:E103)</f>
        <v>125.11999999999999</v>
      </c>
    </row>
    <row r="93" spans="2:5" customFormat="1" x14ac:dyDescent="0.25">
      <c r="B93" s="29" t="s">
        <v>68</v>
      </c>
      <c r="C93" s="50">
        <v>3900</v>
      </c>
      <c r="D93" s="51">
        <v>110</v>
      </c>
      <c r="E93" s="50">
        <f t="shared" ref="E93:E101" si="4">(C93/D93)*15%+(C93/D93)</f>
        <v>40.772727272727273</v>
      </c>
    </row>
    <row r="94" spans="2:5" customFormat="1" x14ac:dyDescent="0.25">
      <c r="B94" s="29" t="s">
        <v>450</v>
      </c>
      <c r="C94" s="50">
        <v>1000</v>
      </c>
      <c r="D94" s="51">
        <v>110</v>
      </c>
      <c r="E94" s="50">
        <f t="shared" si="4"/>
        <v>10.454545454545455</v>
      </c>
    </row>
    <row r="95" spans="2:5" customFormat="1" x14ac:dyDescent="0.25">
      <c r="B95" s="29" t="s">
        <v>287</v>
      </c>
      <c r="C95" s="50">
        <v>1600</v>
      </c>
      <c r="D95" s="51">
        <v>110</v>
      </c>
      <c r="E95" s="50">
        <f t="shared" si="4"/>
        <v>16.727272727272727</v>
      </c>
    </row>
    <row r="96" spans="2:5" customFormat="1" x14ac:dyDescent="0.25">
      <c r="B96" s="29" t="s">
        <v>305</v>
      </c>
      <c r="C96" s="50">
        <v>1500</v>
      </c>
      <c r="D96" s="51">
        <v>110</v>
      </c>
      <c r="E96" s="50">
        <f t="shared" si="4"/>
        <v>15.681818181818182</v>
      </c>
    </row>
    <row r="97" spans="2:5" customFormat="1" x14ac:dyDescent="0.25">
      <c r="B97" s="29" t="s">
        <v>288</v>
      </c>
      <c r="C97" s="50">
        <v>2571</v>
      </c>
      <c r="D97" s="51">
        <v>110</v>
      </c>
      <c r="E97" s="50">
        <f t="shared" si="4"/>
        <v>26.87863636363636</v>
      </c>
    </row>
    <row r="98" spans="2:5" customFormat="1" x14ac:dyDescent="0.25">
      <c r="B98" s="29" t="s">
        <v>451</v>
      </c>
      <c r="C98" s="50">
        <f>199*3</f>
        <v>597</v>
      </c>
      <c r="D98" s="51">
        <v>110</v>
      </c>
      <c r="E98" s="50">
        <f t="shared" si="4"/>
        <v>6.2413636363636371</v>
      </c>
    </row>
    <row r="99" spans="2:5" customFormat="1" x14ac:dyDescent="0.25">
      <c r="B99" s="29" t="s">
        <v>452</v>
      </c>
      <c r="C99" s="50">
        <f>44*10</f>
        <v>440</v>
      </c>
      <c r="D99" s="51">
        <v>110</v>
      </c>
      <c r="E99" s="50">
        <f t="shared" si="4"/>
        <v>4.5999999999999996</v>
      </c>
    </row>
    <row r="100" spans="2:5" customFormat="1" x14ac:dyDescent="0.25">
      <c r="B100" s="29" t="s">
        <v>289</v>
      </c>
      <c r="C100" s="50">
        <v>0</v>
      </c>
      <c r="D100" s="51">
        <v>110</v>
      </c>
      <c r="E100" s="50">
        <f t="shared" si="4"/>
        <v>0</v>
      </c>
    </row>
    <row r="101" spans="2:5" customFormat="1" x14ac:dyDescent="0.25">
      <c r="B101" s="29" t="s">
        <v>453</v>
      </c>
      <c r="C101" s="50"/>
      <c r="D101" s="51">
        <v>110</v>
      </c>
      <c r="E101" s="50">
        <f t="shared" si="4"/>
        <v>0</v>
      </c>
    </row>
    <row r="102" spans="2:5" customFormat="1" x14ac:dyDescent="0.25">
      <c r="B102" s="29" t="s">
        <v>69</v>
      </c>
      <c r="C102" s="50"/>
      <c r="D102" s="51"/>
      <c r="E102" s="50"/>
    </row>
    <row r="103" spans="2:5" customFormat="1" x14ac:dyDescent="0.25">
      <c r="B103" s="163" t="s">
        <v>303</v>
      </c>
      <c r="C103" s="164">
        <f>180*2</f>
        <v>360</v>
      </c>
      <c r="D103" s="165">
        <v>110</v>
      </c>
      <c r="E103" s="164">
        <f>(C103/D103)*15%+(C103/D103)</f>
        <v>3.7636363636363637</v>
      </c>
    </row>
    <row r="104" spans="2:5" customFormat="1" x14ac:dyDescent="0.25">
      <c r="B104" s="29" t="s">
        <v>306</v>
      </c>
      <c r="C104" s="50">
        <f>55*10</f>
        <v>550</v>
      </c>
      <c r="D104" s="51">
        <v>110</v>
      </c>
      <c r="E104" s="50">
        <f>(C104/D104)*15%+(C104/D104)</f>
        <v>5.75</v>
      </c>
    </row>
    <row r="105" spans="2:5" customFormat="1" x14ac:dyDescent="0.25">
      <c r="B105" s="29"/>
      <c r="C105" s="50"/>
      <c r="D105" s="51"/>
      <c r="E105" s="50"/>
    </row>
    <row r="106" spans="2:5" customFormat="1" x14ac:dyDescent="0.25">
      <c r="B106" s="29"/>
      <c r="C106" s="50"/>
      <c r="D106" s="51"/>
      <c r="E106" s="50"/>
    </row>
    <row r="107" spans="2:5" customFormat="1" x14ac:dyDescent="0.25">
      <c r="B107" s="149" t="s">
        <v>296</v>
      </c>
      <c r="C107" s="150">
        <f>SUM(C108:C112)</f>
        <v>36000</v>
      </c>
      <c r="D107" s="151"/>
      <c r="E107" s="150">
        <f>SUM(E108:E112)</f>
        <v>376.36363636363637</v>
      </c>
    </row>
    <row r="108" spans="2:5" customFormat="1" x14ac:dyDescent="0.25">
      <c r="B108" s="29" t="s">
        <v>292</v>
      </c>
      <c r="C108" s="50">
        <v>30000</v>
      </c>
      <c r="D108" s="51">
        <v>110</v>
      </c>
      <c r="E108" s="50">
        <f>(C108/D108)*15%+(C108/D108)</f>
        <v>313.63636363636368</v>
      </c>
    </row>
    <row r="109" spans="2:5" customFormat="1" x14ac:dyDescent="0.25">
      <c r="B109" s="29" t="s">
        <v>293</v>
      </c>
      <c r="C109" s="50">
        <v>5000</v>
      </c>
      <c r="D109" s="51">
        <v>110</v>
      </c>
      <c r="E109" s="50">
        <f>(C109/D109)*15%+(C109/D109)</f>
        <v>52.272727272727273</v>
      </c>
    </row>
    <row r="110" spans="2:5" customFormat="1" x14ac:dyDescent="0.25">
      <c r="B110" s="29" t="s">
        <v>294</v>
      </c>
      <c r="C110" s="50"/>
      <c r="D110" s="51">
        <v>110</v>
      </c>
      <c r="E110" s="50">
        <f>(C110/D110)*15%+(C110/D110)</f>
        <v>0</v>
      </c>
    </row>
    <row r="111" spans="2:5" customFormat="1" x14ac:dyDescent="0.25">
      <c r="B111" s="29" t="s">
        <v>295</v>
      </c>
      <c r="C111" s="50"/>
      <c r="D111" s="51">
        <v>110</v>
      </c>
      <c r="E111" s="50">
        <f>(C111/D111)*15%+(C111/D111)</f>
        <v>0</v>
      </c>
    </row>
    <row r="112" spans="2:5" customFormat="1" x14ac:dyDescent="0.25">
      <c r="B112" s="29" t="s">
        <v>454</v>
      </c>
      <c r="C112" s="50">
        <v>1000</v>
      </c>
      <c r="D112" s="51">
        <v>110</v>
      </c>
      <c r="E112" s="50">
        <f>(C112/D112)*15%+(C112/D112)</f>
        <v>10.454545454545455</v>
      </c>
    </row>
    <row r="113" spans="2:5" customFormat="1" x14ac:dyDescent="0.25">
      <c r="B113" s="29"/>
      <c r="C113" s="50"/>
      <c r="D113" s="51"/>
      <c r="E113" s="50"/>
    </row>
    <row r="114" spans="2:5" customFormat="1" x14ac:dyDescent="0.25">
      <c r="B114" s="149" t="s">
        <v>291</v>
      </c>
      <c r="C114" s="150">
        <f>SUM(C115:C118)</f>
        <v>5000</v>
      </c>
      <c r="D114" s="151"/>
      <c r="E114" s="150">
        <f>SUM(E115:E118)</f>
        <v>52.272727272727273</v>
      </c>
    </row>
    <row r="115" spans="2:5" customFormat="1" x14ac:dyDescent="0.25">
      <c r="B115" s="29" t="s">
        <v>304</v>
      </c>
      <c r="C115" s="50">
        <v>5000</v>
      </c>
      <c r="D115" s="51">
        <v>110</v>
      </c>
      <c r="E115" s="50">
        <f>(C115/D115)*15%+(C115/D115)</f>
        <v>52.272727272727273</v>
      </c>
    </row>
    <row r="116" spans="2:5" customFormat="1" x14ac:dyDescent="0.25">
      <c r="B116" s="29"/>
      <c r="C116" s="50"/>
      <c r="D116" s="51"/>
      <c r="E116" s="50"/>
    </row>
    <row r="117" spans="2:5" customFormat="1" x14ac:dyDescent="0.25">
      <c r="B117" s="29"/>
      <c r="C117" s="50"/>
      <c r="D117" s="51"/>
      <c r="E117" s="50"/>
    </row>
    <row r="118" spans="2:5" customFormat="1" x14ac:dyDescent="0.25">
      <c r="B118" s="29"/>
      <c r="C118" s="50"/>
      <c r="D118" s="51"/>
      <c r="E118" s="50"/>
    </row>
    <row r="119" spans="2:5" customFormat="1" x14ac:dyDescent="0.25">
      <c r="B119" s="29"/>
      <c r="C119" s="50"/>
      <c r="D119" s="51"/>
      <c r="E119" s="50"/>
    </row>
    <row r="120" spans="2:5" customFormat="1" x14ac:dyDescent="0.25">
      <c r="B120" s="29"/>
      <c r="C120" s="50"/>
      <c r="D120" s="51"/>
      <c r="E120" s="50"/>
    </row>
    <row r="121" spans="2:5" customFormat="1" x14ac:dyDescent="0.25">
      <c r="B121" s="29"/>
      <c r="C121" s="50"/>
      <c r="D121" s="51"/>
      <c r="E121" s="50"/>
    </row>
    <row r="122" spans="2:5" customFormat="1" x14ac:dyDescent="0.25">
      <c r="B122" s="29"/>
      <c r="C122" s="50"/>
      <c r="D122" s="51"/>
      <c r="E122" s="50"/>
    </row>
    <row r="123" spans="2:5" customFormat="1" ht="15.75" thickBot="1" x14ac:dyDescent="0.3">
      <c r="B123" s="29"/>
      <c r="C123" s="50"/>
      <c r="D123" s="51"/>
      <c r="E123" s="50"/>
    </row>
    <row r="124" spans="2:5" customFormat="1" ht="29.25" thickBot="1" x14ac:dyDescent="0.5">
      <c r="B124" s="43" t="s">
        <v>65</v>
      </c>
      <c r="C124" s="52">
        <f>C75</f>
        <v>0</v>
      </c>
      <c r="D124" s="53">
        <f>D75</f>
        <v>0</v>
      </c>
      <c r="E124" s="52">
        <f>E75</f>
        <v>0</v>
      </c>
    </row>
  </sheetData>
  <mergeCells count="1">
    <mergeCell ref="B3:E3"/>
  </mergeCells>
  <conditionalFormatting sqref="P14:P37">
    <cfRule type="cellIs" dxfId="1" priority="2" operator="lessThan">
      <formula>-1</formula>
    </cfRule>
  </conditionalFormatting>
  <conditionalFormatting sqref="P6:P13">
    <cfRule type="cellIs" dxfId="0" priority="1" operator="lessThan">
      <formula>-1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</vt:i4>
      </vt:variant>
    </vt:vector>
  </HeadingPairs>
  <TitlesOfParts>
    <vt:vector size="19" baseType="lpstr">
      <vt:lpstr>Previsão Orçamentária </vt:lpstr>
      <vt:lpstr>Folha de Pagamento</vt:lpstr>
      <vt:lpstr>APLICAÇÕES</vt:lpstr>
      <vt:lpstr>taxa distribuidia por n de apto</vt:lpstr>
      <vt:lpstr>Previsão estraordinária</vt:lpstr>
      <vt:lpstr>sugestão</vt:lpstr>
      <vt:lpstr>Rateio</vt:lpstr>
      <vt:lpstr>SETEMBRO</vt:lpstr>
      <vt:lpstr>OUTUBRO</vt:lpstr>
      <vt:lpstr>BASE</vt:lpstr>
      <vt:lpstr>Plan1</vt:lpstr>
      <vt:lpstr>Plan2</vt:lpstr>
      <vt:lpstr>Plan3</vt:lpstr>
      <vt:lpstr>Plan4</vt:lpstr>
      <vt:lpstr>Plan5</vt:lpstr>
      <vt:lpstr>2016</vt:lpstr>
      <vt:lpstr>Plan2!Area_de_impressao</vt:lpstr>
      <vt:lpstr>'Previsão estraordinária'!Area_de_impressao</vt:lpstr>
      <vt:lpstr>'Previsão Orçamentária '!Area_de_impressao</vt:lpstr>
    </vt:vector>
  </TitlesOfParts>
  <Company>ALSTOM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BLOMBERG Patricia -EXT</dc:creator>
  <cp:lastModifiedBy>user</cp:lastModifiedBy>
  <cp:lastPrinted>2018-06-11T22:57:09Z</cp:lastPrinted>
  <dcterms:created xsi:type="dcterms:W3CDTF">2015-09-14T17:39:27Z</dcterms:created>
  <dcterms:modified xsi:type="dcterms:W3CDTF">2018-06-12T01:51:47Z</dcterms:modified>
</cp:coreProperties>
</file>