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9045" tabRatio="803" firstSheet="2" activeTab="3"/>
  </bookViews>
  <sheets>
    <sheet name="Modelo Imprimir" sheetId="18" state="hidden" r:id="rId1"/>
    <sheet name="Depreciação" sheetId="14" state="hidden" r:id="rId2"/>
    <sheet name="Modelo Fluxo de Caixa" sheetId="9" r:id="rId3"/>
    <sheet name="Modelo Mutação" sheetId="19" r:id="rId4"/>
  </sheets>
  <definedNames>
    <definedName name="_xlnm.Print_Area" localSheetId="2">'Modelo Fluxo de Caixa'!$B$2:$L$46</definedName>
    <definedName name="_xlnm.Print_Area" localSheetId="3">'Modelo Mutação'!$B$1:$K$25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9" l="1"/>
  <c r="G24" i="19"/>
  <c r="F24" i="19"/>
  <c r="E24" i="19"/>
  <c r="D24" i="19"/>
  <c r="J23" i="19"/>
  <c r="I24" i="19"/>
  <c r="J20" i="19"/>
  <c r="J19" i="19"/>
  <c r="J18" i="19"/>
  <c r="J17" i="19"/>
  <c r="J16" i="19"/>
  <c r="J15" i="19"/>
  <c r="J14" i="19"/>
  <c r="J12" i="19"/>
  <c r="J11" i="19"/>
  <c r="J10" i="19"/>
  <c r="C24" i="19"/>
  <c r="J8" i="19"/>
  <c r="J7" i="19"/>
  <c r="J6" i="19"/>
  <c r="J5" i="19"/>
  <c r="J4" i="19"/>
  <c r="J3" i="19"/>
  <c r="J24" i="19" l="1"/>
  <c r="J22" i="19"/>
  <c r="J9" i="19"/>
  <c r="X21" i="18"/>
  <c r="V20" i="18"/>
  <c r="X18" i="18"/>
  <c r="X16" i="18"/>
  <c r="X15" i="18"/>
  <c r="W14" i="18"/>
  <c r="X14" i="18" s="1"/>
  <c r="W13" i="18"/>
  <c r="X13" i="18" s="1"/>
  <c r="W12" i="18"/>
  <c r="X12" i="18" s="1"/>
  <c r="W11" i="18"/>
  <c r="X11" i="18" s="1"/>
  <c r="W10" i="18"/>
  <c r="X10" i="18" s="1"/>
  <c r="X9" i="18"/>
  <c r="X8" i="18"/>
  <c r="X7" i="18"/>
  <c r="AA7" i="18" l="1"/>
  <c r="AA8" i="18"/>
  <c r="AA9" i="18" l="1"/>
  <c r="G24" i="9" l="1"/>
  <c r="K24" i="9" s="1"/>
  <c r="G25" i="9" l="1"/>
  <c r="K25" i="9" s="1"/>
  <c r="L29" i="9" l="1"/>
  <c r="L40" i="9"/>
  <c r="H40" i="9"/>
  <c r="H29" i="9"/>
  <c r="L22" i="9" l="1"/>
  <c r="L42" i="9" s="1"/>
  <c r="H22" i="9"/>
  <c r="H42" i="9" s="1"/>
  <c r="D31" i="9" l="1"/>
  <c r="D17" i="9"/>
  <c r="D33" i="9" l="1"/>
</calcChain>
</file>

<file path=xl/sharedStrings.xml><?xml version="1.0" encoding="utf-8"?>
<sst xmlns="http://schemas.openxmlformats.org/spreadsheetml/2006/main" count="220" uniqueCount="118">
  <si>
    <t>Estoques</t>
  </si>
  <si>
    <t>Total</t>
  </si>
  <si>
    <t>Fornecedores</t>
  </si>
  <si>
    <t>DEMONSTRAÇÃO DAS MUTAÇÕES DO PATRIMONIO LIQUIDO</t>
  </si>
  <si>
    <t>DEMONSTRAÇÃO DAS ENTRADAS E SAÍDAS DE CAIXA</t>
  </si>
  <si>
    <t>PARA O EXERCICIO FINDO EM 31/12/2014</t>
  </si>
  <si>
    <t>TOTAL</t>
  </si>
  <si>
    <t>INICIAL</t>
  </si>
  <si>
    <t>FINAL</t>
  </si>
  <si>
    <t>ENTRADAS</t>
  </si>
  <si>
    <t>Aumento de capital</t>
  </si>
  <si>
    <t>Duplicatas a Receber</t>
  </si>
  <si>
    <t>Aumento de Capital</t>
  </si>
  <si>
    <t>Impostos a Pagar</t>
  </si>
  <si>
    <t>Outras Contas a Receber</t>
  </si>
  <si>
    <t>Salários a Pagar</t>
  </si>
  <si>
    <t>Dividendos Pagos</t>
  </si>
  <si>
    <t>SAÍDAS</t>
  </si>
  <si>
    <t>Financiamentos</t>
  </si>
  <si>
    <t>Despesas administrativas</t>
  </si>
  <si>
    <t>Despesas Industriais</t>
  </si>
  <si>
    <t>Despesas Comerciais</t>
  </si>
  <si>
    <t>Capital</t>
  </si>
  <si>
    <t>Dividendos</t>
  </si>
  <si>
    <t>Depreciação</t>
  </si>
  <si>
    <t>Aumento do saldo de caixa</t>
  </si>
  <si>
    <t>(+) Saldo inicial de caixa</t>
  </si>
  <si>
    <t>(=) saldo final de caixa</t>
  </si>
  <si>
    <t>Itens</t>
  </si>
  <si>
    <t>Taxa Anual</t>
  </si>
  <si>
    <t>Vida Util</t>
  </si>
  <si>
    <t>Edificios</t>
  </si>
  <si>
    <t>25 anos</t>
  </si>
  <si>
    <t>Máquinas e Equipamentos</t>
  </si>
  <si>
    <t>10 anos</t>
  </si>
  <si>
    <t>Instalações</t>
  </si>
  <si>
    <t>Móveis e Utensílios</t>
  </si>
  <si>
    <t>Veículos</t>
  </si>
  <si>
    <t>5 anos</t>
  </si>
  <si>
    <t>Informática</t>
  </si>
  <si>
    <t>Reserva de Capital</t>
  </si>
  <si>
    <t>Ajustes de exercícios anteriores</t>
  </si>
  <si>
    <t>Correção monetária</t>
  </si>
  <si>
    <t>Proposta da administração para o lucro</t>
  </si>
  <si>
    <t>Transferência para reservas</t>
  </si>
  <si>
    <t>&gt; Reserva de Capital</t>
  </si>
  <si>
    <t>CMV</t>
  </si>
  <si>
    <t>Reserva de Lucros</t>
  </si>
  <si>
    <t>Reserva Estatutária</t>
  </si>
  <si>
    <t>&gt; Com reserva de capital</t>
  </si>
  <si>
    <t>&gt; Com reserva de lucros</t>
  </si>
  <si>
    <t>&gt; Com reserva estatutária</t>
  </si>
  <si>
    <t>&gt; Com lucros / prejuizos acumulados</t>
  </si>
  <si>
    <t>&gt; Com aporte de capital</t>
  </si>
  <si>
    <t>Lucro / Prejuízo Líquido do exercício</t>
  </si>
  <si>
    <t>&gt; Reserva de Lucros</t>
  </si>
  <si>
    <t>&gt; Reserva estatutária</t>
  </si>
  <si>
    <t>Saldo em 31/12/x2</t>
  </si>
  <si>
    <t>Ativo (Investimentos / Imobilizado / Diferido)</t>
  </si>
  <si>
    <t>Custo da mercadoria vendida</t>
  </si>
  <si>
    <t>Financiamentos LP</t>
  </si>
  <si>
    <t>Empréstimos</t>
  </si>
  <si>
    <t>Empréstimos a receber</t>
  </si>
  <si>
    <t>Emprestimos LP</t>
  </si>
  <si>
    <t>Lucros / Prejuizo Acumulados</t>
  </si>
  <si>
    <t>FINDO EM 31/12/20x2</t>
  </si>
  <si>
    <t>Saldo Inicial 20x1</t>
  </si>
  <si>
    <t>Juros sobre Financiamento</t>
  </si>
  <si>
    <t>IR e CSLL</t>
  </si>
  <si>
    <t>&gt; Dividendos a distribuir</t>
  </si>
  <si>
    <t>Receita Operacional Bruta</t>
  </si>
  <si>
    <t>Grupo de Ativo</t>
  </si>
  <si>
    <t>Deduções</t>
  </si>
  <si>
    <t>Despesas</t>
  </si>
  <si>
    <t>Demonstração dos Fluxos de Caixas - Método Direto</t>
  </si>
  <si>
    <t>Atividades Operacionais</t>
  </si>
  <si>
    <t>Caixa Liquido - Atividades Operacionais</t>
  </si>
  <si>
    <t>Juros Recebidos</t>
  </si>
  <si>
    <t>Juros Pagos</t>
  </si>
  <si>
    <t>Dividendos Recebidos</t>
  </si>
  <si>
    <t>Caixa Liquido - Atividades Investimentos</t>
  </si>
  <si>
    <t>Caixa Liquido - Atividades Financiamentos</t>
  </si>
  <si>
    <t>Aumento / Redução Liquido do Caixa</t>
  </si>
  <si>
    <t>Saldo Inicio do Caixa</t>
  </si>
  <si>
    <t>Saldo Final do Caixa</t>
  </si>
  <si>
    <t>Ajustes de Resultado</t>
  </si>
  <si>
    <t>Demonstração dos Fluxos de Caixas - Método Indireto</t>
  </si>
  <si>
    <t>Lucro / Prejuizo antes do IR / CSLL</t>
  </si>
  <si>
    <t>Duplicatas a Receber LP</t>
  </si>
  <si>
    <t>Empréstimos a Receber LP</t>
  </si>
  <si>
    <t>Receita Operacional Liquida</t>
  </si>
  <si>
    <t>Empréstimos a Pagar</t>
  </si>
  <si>
    <t>Financiamentos a Pagar</t>
  </si>
  <si>
    <t>Financiamentos a Pagar LP</t>
  </si>
  <si>
    <t>Despesa Administrativas</t>
  </si>
  <si>
    <t>Despesa Industriais</t>
  </si>
  <si>
    <t>Despesa Comerciais</t>
  </si>
  <si>
    <t>Despesa Marketing</t>
  </si>
  <si>
    <t>Depesa Logistica</t>
  </si>
  <si>
    <t>Fornecedores a Pagar LP</t>
  </si>
  <si>
    <t>Fornecedores a Pagar</t>
  </si>
  <si>
    <t>SAIDAS</t>
  </si>
  <si>
    <t>Atividades de Investimentos</t>
  </si>
  <si>
    <t>Atividades de Financiamentos</t>
  </si>
  <si>
    <t>PARA O EXERCICIO FINDO</t>
  </si>
  <si>
    <t>Capital Social</t>
  </si>
  <si>
    <t>Reserva Legal</t>
  </si>
  <si>
    <t>Reserva de Contingência</t>
  </si>
  <si>
    <t>Lucros / Prejuizos Acumulados</t>
  </si>
  <si>
    <t>&gt; Com lucro e reservas</t>
  </si>
  <si>
    <t>&gt; Dinheiro dos sócios</t>
  </si>
  <si>
    <t>Distribuições</t>
  </si>
  <si>
    <t>&gt; Reserva Legal</t>
  </si>
  <si>
    <t>&gt; Reserva Estatutária</t>
  </si>
  <si>
    <t>&gt; Reserva de Contingência</t>
  </si>
  <si>
    <t>&gt; Dividencos a distribuir</t>
  </si>
  <si>
    <t>Saldo em 31/12/X1</t>
  </si>
  <si>
    <t>Saldo em 31/12/X2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</si>
</sst>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2">
    <xf numFmtId="0" fontId="0" fillId="0" borderId="0" xfId="0"/>
    <xf numFmtId="0" fontId="0" fillId="0" borderId="6" xfId="0" applyBorder="1"/>
    <xf numFmtId="0" fontId="0" fillId="0" borderId="0" xfId="0" applyBorder="1"/>
    <xf numFmtId="0" fontId="3" fillId="0" borderId="0" xfId="0" applyFont="1"/>
    <xf numFmtId="43" fontId="3" fillId="0" borderId="0" xfId="1" applyFont="1"/>
    <xf numFmtId="0" fontId="3" fillId="0" borderId="0" xfId="0" applyFont="1" applyBorder="1"/>
    <xf numFmtId="0" fontId="3" fillId="0" borderId="2" xfId="0" applyFont="1" applyBorder="1"/>
    <xf numFmtId="43" fontId="3" fillId="0" borderId="11" xfId="1" applyFont="1" applyBorder="1"/>
    <xf numFmtId="43" fontId="3" fillId="0" borderId="0" xfId="1" applyFont="1" applyBorder="1"/>
    <xf numFmtId="0" fontId="3" fillId="0" borderId="6" xfId="0" applyFont="1" applyBorder="1"/>
    <xf numFmtId="43" fontId="3" fillId="0" borderId="12" xfId="1" applyFont="1" applyBorder="1"/>
    <xf numFmtId="0" fontId="3" fillId="0" borderId="1" xfId="0" applyFont="1" applyBorder="1"/>
    <xf numFmtId="43" fontId="0" fillId="0" borderId="12" xfId="1" applyFont="1" applyBorder="1"/>
    <xf numFmtId="43" fontId="3" fillId="0" borderId="13" xfId="1" applyFont="1" applyBorder="1"/>
    <xf numFmtId="43" fontId="2" fillId="0" borderId="0" xfId="1" applyFont="1"/>
    <xf numFmtId="43" fontId="0" fillId="0" borderId="12" xfId="1" applyFont="1" applyBorder="1" applyAlignment="1">
      <alignment horizontal="left"/>
    </xf>
    <xf numFmtId="9" fontId="0" fillId="0" borderId="12" xfId="1" applyNumberFormat="1" applyFont="1" applyBorder="1"/>
    <xf numFmtId="43" fontId="3" fillId="0" borderId="6" xfId="1" applyFont="1" applyBorder="1"/>
    <xf numFmtId="0" fontId="3" fillId="0" borderId="0" xfId="0" applyFont="1" applyFill="1" applyBorder="1"/>
    <xf numFmtId="0" fontId="3" fillId="0" borderId="12" xfId="0" applyFont="1" applyBorder="1" applyAlignment="1">
      <alignment vertical="center"/>
    </xf>
    <xf numFmtId="0" fontId="3" fillId="0" borderId="0" xfId="0" applyFont="1" applyAlignment="1">
      <alignment vertical="center"/>
    </xf>
    <xf numFmtId="43" fontId="3" fillId="0" borderId="0" xfId="1" applyFont="1" applyAlignment="1">
      <alignment vertical="center"/>
    </xf>
    <xf numFmtId="43" fontId="3" fillId="0" borderId="10" xfId="1" applyFont="1" applyBorder="1" applyAlignment="1">
      <alignment vertical="center"/>
    </xf>
    <xf numFmtId="43" fontId="3" fillId="0" borderId="0" xfId="0" applyNumberFormat="1" applyFont="1" applyAlignment="1">
      <alignment vertical="center"/>
    </xf>
    <xf numFmtId="0" fontId="3" fillId="0" borderId="3" xfId="0" applyFont="1" applyBorder="1" applyAlignment="1">
      <alignment vertical="center"/>
    </xf>
    <xf numFmtId="43" fontId="3" fillId="0" borderId="6" xfId="1" applyFont="1" applyBorder="1" applyAlignment="1">
      <alignment vertical="center"/>
    </xf>
    <xf numFmtId="43" fontId="3" fillId="0" borderId="11" xfId="1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43" fontId="3" fillId="0" borderId="0" xfId="1" applyFont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43" fontId="3" fillId="0" borderId="10" xfId="1" applyFont="1" applyBorder="1" applyAlignment="1">
      <alignment vertical="center" wrapText="1"/>
    </xf>
    <xf numFmtId="43" fontId="3" fillId="0" borderId="3" xfId="1" applyFont="1" applyBorder="1" applyAlignment="1">
      <alignment vertical="center" wrapText="1"/>
    </xf>
    <xf numFmtId="43" fontId="3" fillId="0" borderId="5" xfId="1" applyFont="1" applyBorder="1" applyAlignment="1">
      <alignment vertical="center" wrapText="1"/>
    </xf>
    <xf numFmtId="0" fontId="3" fillId="0" borderId="6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43" fontId="3" fillId="0" borderId="12" xfId="1" applyFont="1" applyBorder="1" applyAlignment="1">
      <alignment vertical="center"/>
    </xf>
    <xf numFmtId="43" fontId="3" fillId="0" borderId="7" xfId="1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43" fontId="3" fillId="0" borderId="8" xfId="1" applyFont="1" applyBorder="1" applyAlignment="1">
      <alignment vertical="center"/>
    </xf>
    <xf numFmtId="43" fontId="3" fillId="0" borderId="9" xfId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43" fontId="3" fillId="0" borderId="0" xfId="1" applyFont="1" applyBorder="1" applyAlignment="1">
      <alignment vertical="center"/>
    </xf>
    <xf numFmtId="0" fontId="5" fillId="0" borderId="15" xfId="0" applyFont="1" applyFill="1" applyBorder="1" applyAlignment="1">
      <alignment vertical="center"/>
    </xf>
    <xf numFmtId="43" fontId="5" fillId="0" borderId="0" xfId="1" applyFont="1" applyBorder="1" applyAlignment="1">
      <alignment vertical="center"/>
    </xf>
    <xf numFmtId="43" fontId="3" fillId="0" borderId="14" xfId="1" applyFont="1" applyBorder="1" applyAlignment="1">
      <alignment vertical="center"/>
    </xf>
    <xf numFmtId="43" fontId="3" fillId="0" borderId="0" xfId="0" applyNumberFormat="1" applyFont="1" applyBorder="1"/>
    <xf numFmtId="43" fontId="5" fillId="0" borderId="15" xfId="0" applyNumberFormat="1" applyFont="1" applyBorder="1"/>
    <xf numFmtId="0" fontId="5" fillId="0" borderId="15" xfId="0" applyFont="1" applyBorder="1"/>
    <xf numFmtId="0" fontId="5" fillId="0" borderId="0" xfId="0" applyFont="1" applyBorder="1"/>
    <xf numFmtId="0" fontId="3" fillId="0" borderId="14" xfId="0" applyFont="1" applyBorder="1"/>
    <xf numFmtId="43" fontId="2" fillId="0" borderId="0" xfId="1" applyFont="1" applyAlignment="1">
      <alignment vertical="center"/>
    </xf>
    <xf numFmtId="43" fontId="2" fillId="0" borderId="0" xfId="1" applyFont="1" applyBorder="1"/>
    <xf numFmtId="43" fontId="5" fillId="0" borderId="0" xfId="0" applyNumberFormat="1" applyFont="1" applyBorder="1"/>
    <xf numFmtId="0" fontId="5" fillId="0" borderId="15" xfId="0" applyFont="1" applyFill="1" applyBorder="1"/>
    <xf numFmtId="43" fontId="5" fillId="0" borderId="15" xfId="1" applyFont="1" applyBorder="1"/>
    <xf numFmtId="43" fontId="5" fillId="0" borderId="0" xfId="1" applyFont="1" applyBorder="1"/>
    <xf numFmtId="43" fontId="3" fillId="0" borderId="14" xfId="1" applyFont="1" applyBorder="1"/>
    <xf numFmtId="0" fontId="3" fillId="0" borderId="0" xfId="0" applyFont="1" applyAlignment="1">
      <alignment horizontal="center"/>
    </xf>
    <xf numFmtId="43" fontId="3" fillId="0" borderId="0" xfId="1" applyFont="1" applyAlignment="1">
      <alignment horizontal="center"/>
    </xf>
    <xf numFmtId="0" fontId="3" fillId="0" borderId="4" xfId="0" applyFont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5" fillId="0" borderId="16" xfId="0" applyFont="1" applyFill="1" applyBorder="1" applyAlignment="1">
      <alignment vertical="center"/>
    </xf>
    <xf numFmtId="43" fontId="5" fillId="0" borderId="17" xfId="0" applyNumberFormat="1" applyFont="1" applyBorder="1"/>
    <xf numFmtId="0" fontId="3" fillId="0" borderId="6" xfId="0" applyFont="1" applyFill="1" applyBorder="1"/>
    <xf numFmtId="43" fontId="5" fillId="0" borderId="7" xfId="0" applyNumberFormat="1" applyFont="1" applyBorder="1"/>
    <xf numFmtId="0" fontId="5" fillId="0" borderId="16" xfId="0" applyFont="1" applyFill="1" applyBorder="1"/>
    <xf numFmtId="0" fontId="5" fillId="0" borderId="6" xfId="0" applyFont="1" applyBorder="1"/>
    <xf numFmtId="43" fontId="5" fillId="0" borderId="7" xfId="1" applyFont="1" applyBorder="1" applyAlignment="1">
      <alignment vertical="center"/>
    </xf>
    <xf numFmtId="0" fontId="5" fillId="0" borderId="16" xfId="0" applyFont="1" applyBorder="1"/>
    <xf numFmtId="0" fontId="3" fillId="0" borderId="8" xfId="0" applyFont="1" applyBorder="1"/>
    <xf numFmtId="0" fontId="0" fillId="0" borderId="6" xfId="0" applyFill="1" applyBorder="1"/>
    <xf numFmtId="0" fontId="4" fillId="0" borderId="16" xfId="0" applyFont="1" applyFill="1" applyBorder="1"/>
    <xf numFmtId="0" fontId="4" fillId="0" borderId="6" xfId="0" applyFont="1" applyBorder="1"/>
    <xf numFmtId="0" fontId="4" fillId="0" borderId="16" xfId="0" applyFont="1" applyBorder="1"/>
    <xf numFmtId="0" fontId="0" fillId="0" borderId="8" xfId="0" applyBorder="1"/>
    <xf numFmtId="0" fontId="3" fillId="0" borderId="0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2" xfId="0" applyFont="1" applyFill="1" applyBorder="1" applyAlignment="1">
      <alignment horizontal="center" vertical="center" wrapText="1"/>
    </xf>
    <xf numFmtId="43" fontId="3" fillId="0" borderId="12" xfId="1" applyFont="1" applyFill="1" applyBorder="1" applyAlignment="1">
      <alignment horizontal="center" vertical="center" wrapText="1"/>
    </xf>
    <xf numFmtId="43" fontId="3" fillId="0" borderId="0" xfId="1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12" xfId="0" applyFont="1" applyFill="1" applyBorder="1" applyAlignment="1">
      <alignment vertical="center"/>
    </xf>
    <xf numFmtId="43" fontId="3" fillId="0" borderId="12" xfId="1" applyFont="1" applyFill="1" applyBorder="1" applyAlignment="1">
      <alignment vertical="center"/>
    </xf>
    <xf numFmtId="43" fontId="3" fillId="0" borderId="0" xfId="1" applyFont="1" applyFill="1" applyAlignment="1">
      <alignment vertical="center"/>
    </xf>
    <xf numFmtId="0" fontId="3" fillId="0" borderId="0" xfId="0" applyFont="1" applyFill="1" applyAlignment="1">
      <alignment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77"/>
  <sheetViews>
    <sheetView showGridLines="0" workbookViewId="0">
      <selection activeCell="C1" sqref="C1"/>
    </sheetView>
  </sheetViews>
  <sheetFormatPr defaultRowHeight="15" x14ac:dyDescent="0.25"/>
  <cols>
    <col min="1" max="1" width="1.7109375" style="20" customWidth="1"/>
    <col min="2" max="2" width="37.7109375" style="20" bestFit="1" customWidth="1"/>
    <col min="3" max="6" width="12.7109375" style="20" customWidth="1"/>
    <col min="7" max="7" width="14.5703125" style="20" bestFit="1" customWidth="1"/>
    <col min="8" max="8" width="12.7109375" style="20" customWidth="1"/>
    <col min="9" max="9" width="1.7109375" style="20" customWidth="1"/>
    <col min="10" max="10" width="11.140625" style="20" customWidth="1"/>
    <col min="11" max="11" width="41.28515625" style="20" bestFit="1" customWidth="1"/>
    <col min="12" max="12" width="12.7109375" style="21" bestFit="1" customWidth="1"/>
    <col min="13" max="13" width="2" style="20" customWidth="1"/>
    <col min="14" max="14" width="1.7109375" style="21" customWidth="1"/>
    <col min="15" max="15" width="39.5703125" style="3" customWidth="1"/>
    <col min="16" max="16" width="12.7109375" style="4" bestFit="1" customWidth="1"/>
    <col min="17" max="17" width="14" style="21" bestFit="1" customWidth="1"/>
    <col min="18" max="19" width="1.7109375" style="21" customWidth="1"/>
    <col min="20" max="21" width="9.140625" style="21"/>
    <col min="22" max="22" width="11.5703125" style="21" bestFit="1" customWidth="1"/>
    <col min="23" max="24" width="10.42578125" style="21" bestFit="1" customWidth="1"/>
    <col min="25" max="25" width="9.140625" style="21"/>
    <col min="26" max="26" width="11.85546875" style="21" bestFit="1" customWidth="1"/>
    <col min="27" max="27" width="10.42578125" style="21" bestFit="1" customWidth="1"/>
    <col min="28" max="16384" width="9.140625" style="21"/>
  </cols>
  <sheetData>
    <row r="2" spans="1:27" x14ac:dyDescent="0.25">
      <c r="B2" s="87" t="s">
        <v>3</v>
      </c>
      <c r="C2" s="87"/>
      <c r="D2" s="87"/>
      <c r="E2" s="87"/>
      <c r="F2" s="87"/>
      <c r="G2" s="87"/>
      <c r="H2" s="87"/>
      <c r="J2" s="87" t="s">
        <v>4</v>
      </c>
      <c r="K2" s="87"/>
      <c r="L2" s="87"/>
      <c r="S2" s="30"/>
    </row>
    <row r="3" spans="1:27" x14ac:dyDescent="0.25">
      <c r="B3" s="86" t="s">
        <v>65</v>
      </c>
      <c r="C3" s="86"/>
      <c r="D3" s="86"/>
      <c r="E3" s="86"/>
      <c r="F3" s="86"/>
      <c r="G3" s="86"/>
      <c r="H3" s="86"/>
      <c r="J3" s="87" t="s">
        <v>5</v>
      </c>
      <c r="K3" s="87"/>
      <c r="L3" s="87"/>
    </row>
    <row r="4" spans="1:27" x14ac:dyDescent="0.25">
      <c r="B4" s="23"/>
    </row>
    <row r="5" spans="1:27" s="30" customFormat="1" ht="45" x14ac:dyDescent="0.25">
      <c r="A5" s="27"/>
      <c r="B5" s="31"/>
      <c r="C5" s="32" t="s">
        <v>22</v>
      </c>
      <c r="D5" s="32" t="s">
        <v>40</v>
      </c>
      <c r="E5" s="32" t="s">
        <v>47</v>
      </c>
      <c r="F5" s="32" t="s">
        <v>48</v>
      </c>
      <c r="G5" s="32" t="s">
        <v>64</v>
      </c>
      <c r="H5" s="33" t="s">
        <v>6</v>
      </c>
      <c r="I5" s="27"/>
      <c r="J5" s="28" t="s">
        <v>9</v>
      </c>
      <c r="K5" s="29"/>
      <c r="L5" s="34"/>
      <c r="M5" s="27"/>
      <c r="N5" s="35"/>
      <c r="O5" s="85" t="s">
        <v>86</v>
      </c>
      <c r="P5" s="85"/>
      <c r="Q5" s="85"/>
      <c r="R5" s="36"/>
      <c r="S5" s="21"/>
    </row>
    <row r="6" spans="1:27" x14ac:dyDescent="0.25">
      <c r="B6" s="40" t="s">
        <v>66</v>
      </c>
      <c r="C6" s="26"/>
      <c r="D6" s="26"/>
      <c r="E6" s="26"/>
      <c r="F6" s="26"/>
      <c r="G6" s="26"/>
      <c r="H6" s="26"/>
      <c r="J6" s="37"/>
      <c r="K6" s="38" t="s">
        <v>90</v>
      </c>
      <c r="L6" s="26"/>
      <c r="N6" s="25"/>
      <c r="O6" s="84" t="s">
        <v>75</v>
      </c>
      <c r="P6" s="8"/>
      <c r="Q6" s="50"/>
      <c r="R6" s="42"/>
      <c r="Z6" s="21" t="s">
        <v>7</v>
      </c>
      <c r="AA6" s="21">
        <v>100</v>
      </c>
    </row>
    <row r="7" spans="1:27" x14ac:dyDescent="0.25">
      <c r="B7" s="43"/>
      <c r="C7" s="26"/>
      <c r="D7" s="26"/>
      <c r="E7" s="26"/>
      <c r="F7" s="26"/>
      <c r="G7" s="26"/>
      <c r="H7" s="26"/>
      <c r="J7" s="37"/>
      <c r="K7" s="39" t="s">
        <v>0</v>
      </c>
      <c r="L7" s="26"/>
      <c r="N7" s="25"/>
      <c r="O7" s="38" t="s">
        <v>87</v>
      </c>
      <c r="P7" s="50"/>
      <c r="Q7" s="50"/>
      <c r="R7" s="42"/>
      <c r="V7" s="21">
        <v>15000</v>
      </c>
      <c r="X7" s="21">
        <f>V7*60%</f>
        <v>9000</v>
      </c>
      <c r="Z7" s="21" t="s">
        <v>9</v>
      </c>
      <c r="AA7" s="21">
        <f>X7+X15+X16</f>
        <v>9123</v>
      </c>
    </row>
    <row r="8" spans="1:27" x14ac:dyDescent="0.25">
      <c r="B8" s="19" t="s">
        <v>41</v>
      </c>
      <c r="C8" s="41"/>
      <c r="D8" s="41"/>
      <c r="E8" s="41"/>
      <c r="F8" s="41"/>
      <c r="G8" s="41"/>
      <c r="H8" s="41"/>
      <c r="J8" s="37"/>
      <c r="K8" s="39" t="s">
        <v>14</v>
      </c>
      <c r="L8" s="26"/>
      <c r="N8" s="25"/>
      <c r="O8" s="38" t="s">
        <v>24</v>
      </c>
      <c r="P8" s="50"/>
      <c r="Q8" s="50"/>
      <c r="R8" s="42"/>
      <c r="V8" s="21">
        <v>-4125</v>
      </c>
      <c r="X8" s="21">
        <f>V8*70%</f>
        <v>-2887.5</v>
      </c>
      <c r="Z8" s="21" t="s">
        <v>101</v>
      </c>
      <c r="AA8" s="21">
        <f>SUM(X8:X14,X18)</f>
        <v>-9181.4119999999984</v>
      </c>
    </row>
    <row r="9" spans="1:27" x14ac:dyDescent="0.25">
      <c r="B9" s="19"/>
      <c r="C9" s="41"/>
      <c r="D9" s="41"/>
      <c r="E9" s="41"/>
      <c r="F9" s="41"/>
      <c r="G9" s="41"/>
      <c r="H9" s="41"/>
      <c r="J9" s="37"/>
      <c r="K9" s="39" t="s">
        <v>2</v>
      </c>
      <c r="L9" s="26"/>
      <c r="N9" s="25"/>
      <c r="O9" s="38"/>
      <c r="P9" s="50"/>
      <c r="Q9" s="50"/>
      <c r="R9" s="42"/>
      <c r="V9" s="21">
        <v>-4800</v>
      </c>
      <c r="X9" s="21">
        <f>V9*100%</f>
        <v>-4800</v>
      </c>
      <c r="Z9" s="21" t="s">
        <v>8</v>
      </c>
      <c r="AA9" s="21">
        <f>SUM(AA6:AA8)</f>
        <v>41.588000000001557</v>
      </c>
    </row>
    <row r="10" spans="1:27" x14ac:dyDescent="0.25">
      <c r="B10" s="19" t="s">
        <v>42</v>
      </c>
      <c r="C10" s="41"/>
      <c r="D10" s="41"/>
      <c r="E10" s="41"/>
      <c r="F10" s="41"/>
      <c r="G10" s="41"/>
      <c r="H10" s="41"/>
      <c r="J10" s="37"/>
      <c r="K10" s="39" t="s">
        <v>61</v>
      </c>
      <c r="L10" s="26"/>
      <c r="N10" s="25"/>
      <c r="O10" s="38"/>
      <c r="P10" s="50"/>
      <c r="Q10" s="50"/>
      <c r="R10" s="42"/>
      <c r="V10" s="21">
        <v>-890</v>
      </c>
      <c r="W10" s="21">
        <f>(V10*4%)</f>
        <v>-35.6</v>
      </c>
      <c r="X10" s="21">
        <f>(V10-W10)*25%</f>
        <v>-213.6</v>
      </c>
    </row>
    <row r="11" spans="1:27" x14ac:dyDescent="0.25">
      <c r="B11" s="19"/>
      <c r="C11" s="41"/>
      <c r="D11" s="41"/>
      <c r="E11" s="41"/>
      <c r="F11" s="41"/>
      <c r="G11" s="41"/>
      <c r="H11" s="41"/>
      <c r="J11" s="37"/>
      <c r="K11" s="39" t="s">
        <v>18</v>
      </c>
      <c r="L11" s="26"/>
      <c r="N11" s="25"/>
      <c r="O11" s="38"/>
      <c r="P11" s="50"/>
      <c r="Q11" s="50"/>
      <c r="R11" s="42"/>
      <c r="V11" s="21">
        <v>-560</v>
      </c>
      <c r="W11" s="21">
        <f>(V11*2%)</f>
        <v>-11.200000000000001</v>
      </c>
      <c r="X11" s="21">
        <f>(V11-W11)*50%</f>
        <v>-274.39999999999998</v>
      </c>
    </row>
    <row r="12" spans="1:27" x14ac:dyDescent="0.25">
      <c r="B12" s="19" t="s">
        <v>10</v>
      </c>
      <c r="C12" s="41"/>
      <c r="D12" s="41"/>
      <c r="E12" s="41"/>
      <c r="F12" s="41"/>
      <c r="G12" s="41"/>
      <c r="H12" s="41"/>
      <c r="J12" s="37"/>
      <c r="K12" s="38" t="s">
        <v>22</v>
      </c>
      <c r="L12" s="26"/>
      <c r="N12" s="25"/>
      <c r="O12" s="44"/>
      <c r="P12" s="8"/>
      <c r="Q12" s="50"/>
      <c r="R12" s="42"/>
      <c r="V12" s="21">
        <v>-1566</v>
      </c>
      <c r="W12" s="21">
        <f>(V12*14%)</f>
        <v>-219.24</v>
      </c>
      <c r="X12" s="21">
        <f>(V12-W12)*45%</f>
        <v>-606.04200000000003</v>
      </c>
    </row>
    <row r="13" spans="1:27" x14ac:dyDescent="0.25">
      <c r="B13" s="19" t="s">
        <v>49</v>
      </c>
      <c r="C13" s="41"/>
      <c r="D13" s="41"/>
      <c r="E13" s="41"/>
      <c r="F13" s="41"/>
      <c r="G13" s="41"/>
      <c r="H13" s="41"/>
      <c r="J13" s="37"/>
      <c r="K13" s="39" t="s">
        <v>11</v>
      </c>
      <c r="L13" s="26"/>
      <c r="N13" s="25"/>
      <c r="O13" s="38"/>
      <c r="P13" s="50"/>
      <c r="Q13" s="50"/>
      <c r="R13" s="42"/>
      <c r="V13" s="21">
        <v>-678</v>
      </c>
      <c r="W13" s="21">
        <f>(V13*10%)</f>
        <v>-67.8</v>
      </c>
      <c r="X13" s="21">
        <f>(V13-W13)*25%</f>
        <v>-152.55000000000001</v>
      </c>
    </row>
    <row r="14" spans="1:27" x14ac:dyDescent="0.25">
      <c r="B14" s="19" t="s">
        <v>50</v>
      </c>
      <c r="C14" s="41"/>
      <c r="D14" s="41"/>
      <c r="E14" s="41"/>
      <c r="F14" s="41"/>
      <c r="G14" s="41"/>
      <c r="H14" s="41"/>
      <c r="J14" s="37"/>
      <c r="K14" s="39" t="s">
        <v>62</v>
      </c>
      <c r="L14" s="26"/>
      <c r="N14" s="25"/>
      <c r="O14" s="38"/>
      <c r="P14" s="8"/>
      <c r="Q14" s="50"/>
      <c r="R14" s="42"/>
      <c r="V14" s="21">
        <v>-968</v>
      </c>
      <c r="W14" s="21">
        <f>(V14*4%)</f>
        <v>-38.72</v>
      </c>
      <c r="X14" s="21">
        <f>(V14-W14)*25%</f>
        <v>-232.32</v>
      </c>
    </row>
    <row r="15" spans="1:27" x14ac:dyDescent="0.25">
      <c r="B15" s="19" t="s">
        <v>51</v>
      </c>
      <c r="C15" s="41"/>
      <c r="D15" s="41"/>
      <c r="E15" s="41"/>
      <c r="F15" s="41"/>
      <c r="G15" s="41"/>
      <c r="H15" s="41"/>
      <c r="J15" s="37"/>
      <c r="K15" s="38" t="s">
        <v>58</v>
      </c>
      <c r="L15" s="26"/>
      <c r="N15" s="25"/>
      <c r="O15" s="38"/>
      <c r="P15" s="8"/>
      <c r="Q15" s="50"/>
      <c r="R15" s="42"/>
      <c r="V15" s="21">
        <v>200</v>
      </c>
      <c r="X15" s="21">
        <f>V15*50%</f>
        <v>100</v>
      </c>
    </row>
    <row r="16" spans="1:27" x14ac:dyDescent="0.25">
      <c r="B16" s="19" t="s">
        <v>52</v>
      </c>
      <c r="C16" s="41"/>
      <c r="D16" s="41"/>
      <c r="E16" s="41"/>
      <c r="F16" s="41"/>
      <c r="G16" s="41"/>
      <c r="H16" s="41"/>
      <c r="J16" s="37"/>
      <c r="K16" s="39" t="s">
        <v>13</v>
      </c>
      <c r="L16" s="26"/>
      <c r="N16" s="25"/>
      <c r="O16" s="38"/>
      <c r="P16" s="8"/>
      <c r="Q16" s="50"/>
      <c r="R16" s="42"/>
      <c r="V16" s="21">
        <v>23</v>
      </c>
      <c r="X16" s="21">
        <f>V16*100%</f>
        <v>23</v>
      </c>
    </row>
    <row r="17" spans="2:24" x14ac:dyDescent="0.25">
      <c r="B17" s="19" t="s">
        <v>53</v>
      </c>
      <c r="C17" s="41"/>
      <c r="D17" s="41"/>
      <c r="E17" s="41"/>
      <c r="F17" s="41"/>
      <c r="G17" s="41"/>
      <c r="H17" s="41"/>
      <c r="J17" s="37"/>
      <c r="K17" s="38"/>
      <c r="L17" s="26"/>
      <c r="N17" s="25"/>
      <c r="O17" s="38"/>
      <c r="P17" s="8"/>
      <c r="Q17" s="50"/>
      <c r="R17" s="42"/>
      <c r="V17" s="21">
        <v>-150</v>
      </c>
    </row>
    <row r="18" spans="2:24" x14ac:dyDescent="0.25">
      <c r="B18" s="19"/>
      <c r="C18" s="41"/>
      <c r="D18" s="41"/>
      <c r="E18" s="41"/>
      <c r="F18" s="41"/>
      <c r="G18" s="41"/>
      <c r="H18" s="41"/>
      <c r="J18" s="37" t="s">
        <v>1</v>
      </c>
      <c r="K18" s="38"/>
      <c r="L18" s="26"/>
      <c r="N18" s="25"/>
      <c r="O18" s="38"/>
      <c r="P18" s="8"/>
      <c r="Q18" s="50"/>
      <c r="R18" s="42"/>
      <c r="V18" s="21">
        <v>-15</v>
      </c>
      <c r="X18" s="21">
        <f>V18*100%</f>
        <v>-15</v>
      </c>
    </row>
    <row r="19" spans="2:24" ht="15.75" thickBot="1" x14ac:dyDescent="0.3">
      <c r="B19" s="19" t="s">
        <v>54</v>
      </c>
      <c r="C19" s="41"/>
      <c r="D19" s="41"/>
      <c r="E19" s="41"/>
      <c r="F19" s="41"/>
      <c r="G19" s="41"/>
      <c r="H19" s="41"/>
      <c r="J19" s="37"/>
      <c r="K19" s="38"/>
      <c r="L19" s="26"/>
      <c r="N19" s="25"/>
      <c r="O19" s="51" t="s">
        <v>76</v>
      </c>
      <c r="P19" s="55"/>
      <c r="Q19" s="55"/>
      <c r="R19" s="42"/>
      <c r="V19" s="21">
        <v>-353.04</v>
      </c>
    </row>
    <row r="20" spans="2:24" ht="15.75" thickTop="1" x14ac:dyDescent="0.25">
      <c r="B20" s="19"/>
      <c r="C20" s="41"/>
      <c r="D20" s="41"/>
      <c r="E20" s="41"/>
      <c r="F20" s="41"/>
      <c r="G20" s="41"/>
      <c r="H20" s="41"/>
      <c r="J20" s="37" t="s">
        <v>17</v>
      </c>
      <c r="K20" s="38"/>
      <c r="L20" s="26"/>
      <c r="N20" s="25"/>
      <c r="O20" s="84" t="s">
        <v>102</v>
      </c>
      <c r="P20" s="8"/>
      <c r="Q20" s="50"/>
      <c r="R20" s="42"/>
      <c r="V20" s="21">
        <f>SUM(V7:V19)</f>
        <v>1117.96</v>
      </c>
    </row>
    <row r="21" spans="2:24" x14ac:dyDescent="0.25">
      <c r="B21" s="19" t="s">
        <v>43</v>
      </c>
      <c r="C21" s="41"/>
      <c r="D21" s="41"/>
      <c r="E21" s="41"/>
      <c r="F21" s="41"/>
      <c r="G21" s="41"/>
      <c r="H21" s="41"/>
      <c r="J21" s="37"/>
      <c r="K21" s="38" t="s">
        <v>59</v>
      </c>
      <c r="L21" s="26"/>
      <c r="N21" s="25"/>
      <c r="O21" s="38" t="s">
        <v>62</v>
      </c>
      <c r="P21" s="54"/>
      <c r="Q21" s="50"/>
      <c r="R21" s="42"/>
      <c r="X21" s="21" t="e">
        <f>soma</f>
        <v>#NAME?</v>
      </c>
    </row>
    <row r="22" spans="2:24" x14ac:dyDescent="0.25">
      <c r="B22" s="19" t="s">
        <v>44</v>
      </c>
      <c r="C22" s="41"/>
      <c r="D22" s="41"/>
      <c r="E22" s="41"/>
      <c r="F22" s="41"/>
      <c r="G22" s="41"/>
      <c r="H22" s="41"/>
      <c r="J22" s="37"/>
      <c r="K22" s="38" t="s">
        <v>94</v>
      </c>
      <c r="L22" s="26"/>
      <c r="N22" s="25"/>
      <c r="O22" s="5" t="s">
        <v>71</v>
      </c>
      <c r="P22" s="54"/>
      <c r="Q22" s="50"/>
      <c r="R22" s="42"/>
    </row>
    <row r="23" spans="2:24" x14ac:dyDescent="0.25">
      <c r="B23" s="19" t="s">
        <v>45</v>
      </c>
      <c r="C23" s="41"/>
      <c r="D23" s="41"/>
      <c r="E23" s="41"/>
      <c r="F23" s="41"/>
      <c r="G23" s="41"/>
      <c r="H23" s="41"/>
      <c r="J23" s="37"/>
      <c r="K23" s="38" t="s">
        <v>95</v>
      </c>
      <c r="L23" s="26"/>
      <c r="N23" s="25"/>
      <c r="O23" s="5" t="s">
        <v>77</v>
      </c>
      <c r="P23" s="5"/>
      <c r="Q23" s="50"/>
      <c r="R23" s="42"/>
    </row>
    <row r="24" spans="2:24" x14ac:dyDescent="0.25">
      <c r="B24" s="19" t="s">
        <v>55</v>
      </c>
      <c r="C24" s="41"/>
      <c r="D24" s="41"/>
      <c r="E24" s="41"/>
      <c r="F24" s="41"/>
      <c r="G24" s="41"/>
      <c r="H24" s="41"/>
      <c r="J24" s="37"/>
      <c r="K24" s="44" t="s">
        <v>96</v>
      </c>
      <c r="L24" s="26"/>
      <c r="N24" s="25"/>
      <c r="O24" s="18" t="s">
        <v>79</v>
      </c>
      <c r="P24" s="5"/>
      <c r="Q24" s="61"/>
      <c r="R24" s="42"/>
    </row>
    <row r="25" spans="2:24" x14ac:dyDescent="0.25">
      <c r="B25" s="19" t="s">
        <v>56</v>
      </c>
      <c r="C25" s="41"/>
      <c r="D25" s="41"/>
      <c r="E25" s="41"/>
      <c r="F25" s="41"/>
      <c r="G25" s="41"/>
      <c r="H25" s="41"/>
      <c r="J25" s="37"/>
      <c r="K25" s="38" t="s">
        <v>97</v>
      </c>
      <c r="L25" s="26"/>
      <c r="N25" s="25"/>
      <c r="O25" s="18"/>
      <c r="P25" s="5"/>
      <c r="Q25" s="61"/>
      <c r="R25" s="42"/>
    </row>
    <row r="26" spans="2:24" ht="15.75" thickBot="1" x14ac:dyDescent="0.3">
      <c r="B26" s="19" t="s">
        <v>69</v>
      </c>
      <c r="C26" s="41"/>
      <c r="D26" s="41"/>
      <c r="E26" s="41"/>
      <c r="F26" s="41"/>
      <c r="G26" s="41"/>
      <c r="H26" s="41"/>
      <c r="J26" s="37"/>
      <c r="K26" s="39" t="s">
        <v>98</v>
      </c>
      <c r="L26" s="26"/>
      <c r="N26" s="25"/>
      <c r="O26" s="62" t="s">
        <v>80</v>
      </c>
      <c r="P26" s="55"/>
      <c r="Q26" s="55"/>
      <c r="R26" s="42"/>
    </row>
    <row r="27" spans="2:24" ht="15.75" thickTop="1" x14ac:dyDescent="0.25">
      <c r="B27" s="19"/>
      <c r="C27" s="41"/>
      <c r="D27" s="41"/>
      <c r="E27" s="41"/>
      <c r="F27" s="41"/>
      <c r="G27" s="41"/>
      <c r="H27" s="41"/>
      <c r="J27" s="37"/>
      <c r="K27" s="39" t="s">
        <v>67</v>
      </c>
      <c r="L27" s="26"/>
      <c r="M27" s="21"/>
      <c r="N27" s="25"/>
      <c r="O27" s="84" t="s">
        <v>103</v>
      </c>
      <c r="P27" s="8"/>
      <c r="Q27" s="50"/>
      <c r="R27" s="42"/>
    </row>
    <row r="28" spans="2:24" x14ac:dyDescent="0.25">
      <c r="B28" s="49" t="s">
        <v>57</v>
      </c>
      <c r="C28" s="41"/>
      <c r="D28" s="41"/>
      <c r="E28" s="41"/>
      <c r="F28" s="41"/>
      <c r="G28" s="41"/>
      <c r="H28" s="41"/>
      <c r="J28" s="37"/>
      <c r="K28" s="38" t="s">
        <v>68</v>
      </c>
      <c r="L28" s="26"/>
      <c r="N28" s="25"/>
      <c r="O28" s="38" t="s">
        <v>61</v>
      </c>
      <c r="P28" s="8"/>
      <c r="Q28" s="50"/>
      <c r="R28" s="42"/>
    </row>
    <row r="29" spans="2:24" x14ac:dyDescent="0.25">
      <c r="J29" s="37"/>
      <c r="K29" s="39" t="s">
        <v>11</v>
      </c>
      <c r="L29" s="26"/>
      <c r="N29" s="25"/>
      <c r="O29" s="5" t="s">
        <v>18</v>
      </c>
      <c r="P29" s="8"/>
      <c r="Q29" s="50"/>
      <c r="R29" s="42"/>
    </row>
    <row r="30" spans="2:24" x14ac:dyDescent="0.25">
      <c r="J30" s="37"/>
      <c r="K30" s="39" t="s">
        <v>62</v>
      </c>
      <c r="L30" s="26"/>
      <c r="N30" s="25"/>
      <c r="O30" s="5" t="s">
        <v>60</v>
      </c>
      <c r="P30" s="8"/>
      <c r="Q30" s="50"/>
      <c r="R30" s="42"/>
    </row>
    <row r="31" spans="2:24" x14ac:dyDescent="0.25">
      <c r="B31" s="23"/>
      <c r="J31" s="37"/>
      <c r="K31" s="38" t="s">
        <v>58</v>
      </c>
      <c r="L31" s="26"/>
      <c r="N31" s="25"/>
      <c r="O31" s="18" t="s">
        <v>63</v>
      </c>
      <c r="P31" s="8"/>
      <c r="Q31" s="50"/>
      <c r="R31" s="42"/>
    </row>
    <row r="32" spans="2:24" x14ac:dyDescent="0.25">
      <c r="J32" s="37"/>
      <c r="K32" s="39" t="s">
        <v>13</v>
      </c>
      <c r="L32" s="26"/>
      <c r="N32" s="25"/>
      <c r="O32" s="5" t="s">
        <v>78</v>
      </c>
      <c r="P32" s="8"/>
      <c r="Q32" s="50"/>
      <c r="R32" s="42"/>
    </row>
    <row r="33" spans="10:18" x14ac:dyDescent="0.25">
      <c r="J33" s="37"/>
      <c r="K33" s="39" t="s">
        <v>15</v>
      </c>
      <c r="L33" s="26"/>
      <c r="N33" s="25"/>
      <c r="O33" s="18" t="s">
        <v>12</v>
      </c>
      <c r="P33" s="8"/>
      <c r="Q33" s="61"/>
      <c r="R33" s="42"/>
    </row>
    <row r="34" spans="10:18" x14ac:dyDescent="0.25">
      <c r="J34" s="37"/>
      <c r="K34" s="39" t="s">
        <v>60</v>
      </c>
      <c r="L34" s="26"/>
      <c r="N34" s="25"/>
      <c r="O34" s="5" t="s">
        <v>85</v>
      </c>
      <c r="P34" s="8"/>
      <c r="Q34" s="50"/>
      <c r="R34" s="42"/>
    </row>
    <row r="35" spans="10:18" x14ac:dyDescent="0.25">
      <c r="J35" s="37"/>
      <c r="K35" s="39" t="s">
        <v>63</v>
      </c>
      <c r="L35" s="26"/>
      <c r="N35" s="25"/>
      <c r="O35" s="38" t="s">
        <v>16</v>
      </c>
      <c r="P35" s="8"/>
      <c r="Q35" s="50"/>
      <c r="R35" s="42"/>
    </row>
    <row r="36" spans="10:18" x14ac:dyDescent="0.25">
      <c r="J36" s="37"/>
      <c r="K36" s="38" t="s">
        <v>16</v>
      </c>
      <c r="L36" s="26"/>
      <c r="N36" s="25"/>
      <c r="O36" s="38"/>
      <c r="P36" s="8"/>
      <c r="Q36" s="50"/>
      <c r="R36" s="42"/>
    </row>
    <row r="37" spans="10:18" ht="15.75" thickBot="1" x14ac:dyDescent="0.3">
      <c r="J37" s="37"/>
      <c r="K37" s="38"/>
      <c r="L37" s="26"/>
      <c r="N37" s="25"/>
      <c r="O37" s="51" t="s">
        <v>81</v>
      </c>
      <c r="P37" s="55"/>
      <c r="Q37" s="55"/>
      <c r="R37" s="42"/>
    </row>
    <row r="38" spans="10:18" ht="15.75" thickTop="1" x14ac:dyDescent="0.25">
      <c r="J38" s="25" t="s">
        <v>1</v>
      </c>
      <c r="K38" s="38"/>
      <c r="L38" s="26"/>
      <c r="N38" s="25"/>
      <c r="O38" s="5"/>
      <c r="P38" s="8"/>
      <c r="Q38" s="50"/>
      <c r="R38" s="42"/>
    </row>
    <row r="39" spans="10:18" ht="15.75" thickBot="1" x14ac:dyDescent="0.3">
      <c r="J39" s="25"/>
      <c r="K39" s="38"/>
      <c r="L39" s="26"/>
      <c r="N39" s="25"/>
      <c r="O39" s="51"/>
      <c r="P39" s="63"/>
      <c r="Q39" s="55"/>
      <c r="R39" s="42"/>
    </row>
    <row r="40" spans="10:18" ht="15.75" thickTop="1" x14ac:dyDescent="0.25">
      <c r="J40" s="37" t="s">
        <v>25</v>
      </c>
      <c r="K40" s="38"/>
      <c r="L40" s="26"/>
      <c r="N40" s="25"/>
      <c r="O40" s="5"/>
      <c r="P40" s="8"/>
      <c r="Q40" s="50"/>
      <c r="R40" s="42"/>
    </row>
    <row r="41" spans="10:18" x14ac:dyDescent="0.25">
      <c r="J41" s="37" t="s">
        <v>26</v>
      </c>
      <c r="K41" s="38"/>
      <c r="L41" s="26"/>
      <c r="N41" s="25"/>
      <c r="O41" s="57" t="s">
        <v>83</v>
      </c>
      <c r="P41" s="64"/>
      <c r="Q41" s="52"/>
      <c r="R41" s="42"/>
    </row>
    <row r="42" spans="10:18" ht="15.75" thickBot="1" x14ac:dyDescent="0.3">
      <c r="J42" s="47" t="s">
        <v>27</v>
      </c>
      <c r="K42" s="48"/>
      <c r="L42" s="41"/>
      <c r="N42" s="25"/>
      <c r="O42" s="56" t="s">
        <v>84</v>
      </c>
      <c r="P42" s="63"/>
      <c r="Q42" s="55"/>
      <c r="R42" s="42"/>
    </row>
    <row r="43" spans="10:18" ht="15.75" thickTop="1" x14ac:dyDescent="0.25">
      <c r="N43" s="45"/>
      <c r="O43" s="58"/>
      <c r="P43" s="65"/>
      <c r="Q43" s="53"/>
      <c r="R43" s="46"/>
    </row>
    <row r="44" spans="10:18" x14ac:dyDescent="0.25">
      <c r="O44" s="5"/>
      <c r="P44" s="8"/>
    </row>
    <row r="45" spans="10:18" x14ac:dyDescent="0.25">
      <c r="O45" s="5"/>
      <c r="P45" s="8"/>
    </row>
    <row r="46" spans="10:18" x14ac:dyDescent="0.25">
      <c r="O46" s="5"/>
      <c r="P46" s="8"/>
    </row>
    <row r="47" spans="10:18" x14ac:dyDescent="0.25">
      <c r="O47" s="5"/>
      <c r="P47" s="8"/>
    </row>
    <row r="48" spans="10:18" x14ac:dyDescent="0.25">
      <c r="O48" s="5"/>
      <c r="P48" s="8"/>
    </row>
    <row r="49" spans="15:16" x14ac:dyDescent="0.25">
      <c r="O49" s="5"/>
      <c r="P49" s="8"/>
    </row>
    <row r="50" spans="15:16" x14ac:dyDescent="0.25">
      <c r="O50" s="5"/>
      <c r="P50" s="8"/>
    </row>
    <row r="51" spans="15:16" x14ac:dyDescent="0.25">
      <c r="O51" s="5"/>
      <c r="P51" s="8"/>
    </row>
    <row r="52" spans="15:16" x14ac:dyDescent="0.25">
      <c r="O52" s="5"/>
      <c r="P52" s="8"/>
    </row>
    <row r="53" spans="15:16" x14ac:dyDescent="0.25">
      <c r="O53" s="5"/>
      <c r="P53" s="8"/>
    </row>
    <row r="54" spans="15:16" x14ac:dyDescent="0.25">
      <c r="O54" s="5"/>
      <c r="P54" s="8"/>
    </row>
    <row r="55" spans="15:16" x14ac:dyDescent="0.25">
      <c r="O55" s="5"/>
      <c r="P55" s="8"/>
    </row>
    <row r="56" spans="15:16" x14ac:dyDescent="0.25">
      <c r="O56" s="5"/>
      <c r="P56" s="8"/>
    </row>
    <row r="57" spans="15:16" x14ac:dyDescent="0.25">
      <c r="O57" s="5"/>
      <c r="P57" s="8"/>
    </row>
    <row r="58" spans="15:16" x14ac:dyDescent="0.25">
      <c r="O58" s="5"/>
      <c r="P58" s="8"/>
    </row>
    <row r="59" spans="15:16" x14ac:dyDescent="0.25">
      <c r="O59" s="5"/>
      <c r="P59" s="8"/>
    </row>
    <row r="60" spans="15:16" x14ac:dyDescent="0.25">
      <c r="O60" s="5"/>
      <c r="P60" s="8"/>
    </row>
    <row r="61" spans="15:16" x14ac:dyDescent="0.25">
      <c r="O61" s="5"/>
      <c r="P61" s="8"/>
    </row>
    <row r="62" spans="15:16" x14ac:dyDescent="0.25">
      <c r="O62" s="5"/>
      <c r="P62" s="8"/>
    </row>
    <row r="63" spans="15:16" x14ac:dyDescent="0.25">
      <c r="O63" s="5"/>
      <c r="P63" s="8"/>
    </row>
    <row r="64" spans="15:16" x14ac:dyDescent="0.25">
      <c r="O64" s="5"/>
      <c r="P64" s="8"/>
    </row>
    <row r="65" spans="15:16" x14ac:dyDescent="0.25">
      <c r="O65" s="5"/>
      <c r="P65" s="8"/>
    </row>
    <row r="66" spans="15:16" x14ac:dyDescent="0.25">
      <c r="O66" s="5"/>
      <c r="P66" s="8"/>
    </row>
    <row r="67" spans="15:16" x14ac:dyDescent="0.25">
      <c r="O67" s="5"/>
      <c r="P67" s="8"/>
    </row>
    <row r="68" spans="15:16" x14ac:dyDescent="0.25">
      <c r="O68" s="5"/>
      <c r="P68" s="8"/>
    </row>
    <row r="69" spans="15:16" x14ac:dyDescent="0.25">
      <c r="O69" s="5"/>
      <c r="P69" s="8"/>
    </row>
    <row r="70" spans="15:16" x14ac:dyDescent="0.25">
      <c r="O70" s="5"/>
      <c r="P70" s="8"/>
    </row>
    <row r="71" spans="15:16" x14ac:dyDescent="0.25">
      <c r="O71" s="5"/>
      <c r="P71" s="8"/>
    </row>
    <row r="72" spans="15:16" x14ac:dyDescent="0.25">
      <c r="O72" s="5"/>
      <c r="P72" s="8"/>
    </row>
    <row r="73" spans="15:16" x14ac:dyDescent="0.25">
      <c r="O73" s="5"/>
      <c r="P73" s="8"/>
    </row>
    <row r="74" spans="15:16" x14ac:dyDescent="0.25">
      <c r="O74" s="5"/>
      <c r="P74" s="8"/>
    </row>
    <row r="75" spans="15:16" x14ac:dyDescent="0.25">
      <c r="O75" s="5"/>
      <c r="P75" s="8"/>
    </row>
    <row r="76" spans="15:16" x14ac:dyDescent="0.25">
      <c r="O76" s="5"/>
      <c r="P76" s="8"/>
    </row>
    <row r="77" spans="15:16" x14ac:dyDescent="0.25">
      <c r="O77" s="5"/>
      <c r="P77" s="8"/>
    </row>
  </sheetData>
  <mergeCells count="5">
    <mergeCell ref="O5:Q5"/>
    <mergeCell ref="B3:H3"/>
    <mergeCell ref="J3:L3"/>
    <mergeCell ref="B2:H2"/>
    <mergeCell ref="J2:L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8"/>
  <sheetViews>
    <sheetView showGridLines="0" workbookViewId="0">
      <selection activeCell="A7" sqref="A7"/>
    </sheetView>
  </sheetViews>
  <sheetFormatPr defaultRowHeight="15" x14ac:dyDescent="0.25"/>
  <cols>
    <col min="1" max="1" width="26.28515625" bestFit="1" customWidth="1"/>
    <col min="2" max="2" width="12" bestFit="1" customWidth="1"/>
    <col min="3" max="3" width="10" bestFit="1" customWidth="1"/>
  </cols>
  <sheetData>
    <row r="2" spans="1:3" x14ac:dyDescent="0.25">
      <c r="A2" s="12" t="s">
        <v>28</v>
      </c>
      <c r="B2" s="12" t="s">
        <v>29</v>
      </c>
      <c r="C2" s="12" t="s">
        <v>30</v>
      </c>
    </row>
    <row r="3" spans="1:3" x14ac:dyDescent="0.25">
      <c r="A3" s="15" t="s">
        <v>31</v>
      </c>
      <c r="B3" s="16">
        <v>0.04</v>
      </c>
      <c r="C3" s="12" t="s">
        <v>32</v>
      </c>
    </row>
    <row r="4" spans="1:3" x14ac:dyDescent="0.25">
      <c r="A4" s="15" t="s">
        <v>33</v>
      </c>
      <c r="B4" s="16">
        <v>0.1</v>
      </c>
      <c r="C4" s="12" t="s">
        <v>34</v>
      </c>
    </row>
    <row r="5" spans="1:3" x14ac:dyDescent="0.25">
      <c r="A5" s="15" t="s">
        <v>35</v>
      </c>
      <c r="B5" s="16">
        <v>0.1</v>
      </c>
      <c r="C5" s="12" t="s">
        <v>34</v>
      </c>
    </row>
    <row r="6" spans="1:3" x14ac:dyDescent="0.25">
      <c r="A6" s="15" t="s">
        <v>36</v>
      </c>
      <c r="B6" s="16">
        <v>0.1</v>
      </c>
      <c r="C6" s="12" t="s">
        <v>34</v>
      </c>
    </row>
    <row r="7" spans="1:3" x14ac:dyDescent="0.25">
      <c r="A7" s="15" t="s">
        <v>37</v>
      </c>
      <c r="B7" s="16">
        <v>0.2</v>
      </c>
      <c r="C7" s="12" t="s">
        <v>38</v>
      </c>
    </row>
    <row r="8" spans="1:3" x14ac:dyDescent="0.25">
      <c r="A8" s="15" t="s">
        <v>39</v>
      </c>
      <c r="B8" s="16">
        <v>0.2</v>
      </c>
      <c r="C8" s="12" t="s">
        <v>38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80"/>
  <sheetViews>
    <sheetView showGridLines="0" topLeftCell="A27" zoomScale="85" zoomScaleNormal="85" workbookViewId="0">
      <selection activeCell="B55" sqref="B55"/>
    </sheetView>
  </sheetViews>
  <sheetFormatPr defaultRowHeight="15" x14ac:dyDescent="0.25"/>
  <cols>
    <col min="1" max="1" width="1.7109375" style="3" customWidth="1"/>
    <col min="2" max="2" width="11.140625" style="3" customWidth="1"/>
    <col min="3" max="3" width="44.28515625" style="3" bestFit="1" customWidth="1"/>
    <col min="4" max="4" width="11.7109375" style="4" bestFit="1" customWidth="1"/>
    <col min="5" max="5" width="2.85546875" style="4" customWidth="1"/>
    <col min="6" max="6" width="39.5703125" customWidth="1"/>
    <col min="7" max="7" width="12.7109375" style="3" bestFit="1" customWidth="1"/>
    <col min="8" max="8" width="14" style="21" bestFit="1" customWidth="1"/>
    <col min="9" max="9" width="1.7109375" style="21" customWidth="1"/>
    <col min="10" max="10" width="39.5703125" customWidth="1"/>
    <col min="11" max="11" width="12.7109375" style="14" bestFit="1" customWidth="1"/>
    <col min="12" max="12" width="14" style="59" bestFit="1" customWidth="1"/>
    <col min="13" max="16384" width="9.140625" style="4"/>
  </cols>
  <sheetData>
    <row r="2" spans="1:12" x14ac:dyDescent="0.25">
      <c r="B2" s="93" t="s">
        <v>4</v>
      </c>
      <c r="C2" s="93"/>
      <c r="D2" s="93"/>
    </row>
    <row r="3" spans="1:12" x14ac:dyDescent="0.25">
      <c r="B3" s="93" t="s">
        <v>104</v>
      </c>
      <c r="C3" s="93"/>
      <c r="D3" s="93"/>
    </row>
    <row r="4" spans="1:12" s="67" customFormat="1" ht="18.75" x14ac:dyDescent="0.25">
      <c r="A4" s="66"/>
      <c r="B4" s="66"/>
      <c r="C4" s="66"/>
      <c r="F4" s="90" t="s">
        <v>74</v>
      </c>
      <c r="G4" s="91"/>
      <c r="H4" s="92"/>
      <c r="I4" s="21"/>
      <c r="J4" s="88" t="s">
        <v>86</v>
      </c>
      <c r="K4" s="85"/>
      <c r="L4" s="89"/>
    </row>
    <row r="5" spans="1:12" s="21" customFormat="1" x14ac:dyDescent="0.25">
      <c r="A5" s="20"/>
      <c r="B5" s="24" t="s">
        <v>9</v>
      </c>
      <c r="C5" s="68"/>
      <c r="D5" s="22"/>
      <c r="F5" s="1" t="s">
        <v>75</v>
      </c>
      <c r="G5" s="5"/>
      <c r="H5" s="42"/>
      <c r="I5" s="30"/>
      <c r="J5" s="9" t="s">
        <v>75</v>
      </c>
      <c r="K5" s="8"/>
      <c r="L5" s="42"/>
    </row>
    <row r="6" spans="1:12" x14ac:dyDescent="0.25">
      <c r="B6" s="9"/>
      <c r="C6" s="5" t="s">
        <v>90</v>
      </c>
      <c r="D6" s="7"/>
      <c r="F6" s="37" t="s">
        <v>70</v>
      </c>
      <c r="G6" s="50"/>
      <c r="H6" s="42"/>
      <c r="J6" s="37" t="s">
        <v>87</v>
      </c>
      <c r="K6" s="50"/>
      <c r="L6" s="42"/>
    </row>
    <row r="7" spans="1:12" x14ac:dyDescent="0.25">
      <c r="B7" s="9"/>
      <c r="C7" s="5" t="s">
        <v>0</v>
      </c>
      <c r="D7" s="7"/>
      <c r="F7" s="37" t="s">
        <v>11</v>
      </c>
      <c r="G7" s="50"/>
      <c r="H7" s="42"/>
      <c r="J7" s="37" t="s">
        <v>24</v>
      </c>
      <c r="K7" s="50"/>
      <c r="L7" s="42"/>
    </row>
    <row r="8" spans="1:12" x14ac:dyDescent="0.25">
      <c r="B8" s="9"/>
      <c r="C8" s="5" t="s">
        <v>88</v>
      </c>
      <c r="D8" s="7"/>
      <c r="F8" s="37" t="s">
        <v>14</v>
      </c>
      <c r="G8" s="50"/>
      <c r="H8" s="42"/>
      <c r="J8" s="37" t="s">
        <v>11</v>
      </c>
      <c r="K8" s="50"/>
      <c r="L8" s="42"/>
    </row>
    <row r="9" spans="1:12" x14ac:dyDescent="0.25">
      <c r="B9" s="9"/>
      <c r="C9" s="5" t="s">
        <v>100</v>
      </c>
      <c r="D9" s="7"/>
      <c r="F9" s="9" t="s">
        <v>88</v>
      </c>
      <c r="G9" s="50"/>
      <c r="H9" s="42"/>
      <c r="J9" s="37" t="s">
        <v>14</v>
      </c>
      <c r="K9" s="50"/>
      <c r="L9" s="42"/>
    </row>
    <row r="10" spans="1:12" x14ac:dyDescent="0.25">
      <c r="B10" s="9"/>
      <c r="C10" s="5" t="s">
        <v>91</v>
      </c>
      <c r="D10" s="7"/>
      <c r="F10" s="37" t="s">
        <v>72</v>
      </c>
      <c r="G10" s="50"/>
      <c r="H10" s="42"/>
      <c r="J10" s="9" t="s">
        <v>88</v>
      </c>
      <c r="K10" s="50"/>
      <c r="L10" s="42"/>
    </row>
    <row r="11" spans="1:12" x14ac:dyDescent="0.25">
      <c r="B11" s="9"/>
      <c r="C11" s="5" t="s">
        <v>15</v>
      </c>
      <c r="D11" s="7"/>
      <c r="F11" s="37" t="s">
        <v>46</v>
      </c>
      <c r="G11" s="50"/>
      <c r="H11" s="42"/>
      <c r="J11" s="9" t="s">
        <v>100</v>
      </c>
      <c r="K11" s="50"/>
      <c r="L11" s="42"/>
    </row>
    <row r="12" spans="1:12" x14ac:dyDescent="0.25">
      <c r="B12" s="9"/>
      <c r="C12" s="5" t="s">
        <v>93</v>
      </c>
      <c r="D12" s="7"/>
      <c r="F12" s="37" t="s">
        <v>73</v>
      </c>
      <c r="G12" s="50"/>
      <c r="H12" s="42"/>
      <c r="J12" s="9" t="s">
        <v>99</v>
      </c>
      <c r="K12" s="50"/>
      <c r="L12" s="42"/>
    </row>
    <row r="13" spans="1:12" x14ac:dyDescent="0.25">
      <c r="B13" s="9"/>
      <c r="C13" s="5" t="s">
        <v>99</v>
      </c>
      <c r="D13" s="7"/>
      <c r="F13" s="9" t="s">
        <v>100</v>
      </c>
      <c r="G13" s="50"/>
      <c r="H13" s="42"/>
      <c r="J13" s="37" t="s">
        <v>15</v>
      </c>
      <c r="K13" s="50"/>
      <c r="L13" s="42"/>
    </row>
    <row r="14" spans="1:12" x14ac:dyDescent="0.25">
      <c r="B14" s="9"/>
      <c r="C14" s="5" t="s">
        <v>22</v>
      </c>
      <c r="D14" s="7"/>
      <c r="F14" s="9" t="s">
        <v>99</v>
      </c>
      <c r="G14" s="50"/>
      <c r="H14" s="42"/>
      <c r="J14" s="37" t="s">
        <v>0</v>
      </c>
      <c r="K14" s="50"/>
      <c r="L14" s="42"/>
    </row>
    <row r="15" spans="1:12" x14ac:dyDescent="0.25">
      <c r="B15" s="9"/>
      <c r="C15" s="5" t="s">
        <v>58</v>
      </c>
      <c r="D15" s="7"/>
      <c r="F15" s="37" t="s">
        <v>15</v>
      </c>
      <c r="G15" s="50"/>
      <c r="H15" s="42"/>
      <c r="J15" s="37" t="s">
        <v>13</v>
      </c>
      <c r="K15" s="50"/>
      <c r="L15" s="42"/>
    </row>
    <row r="16" spans="1:12" x14ac:dyDescent="0.25">
      <c r="B16" s="9"/>
      <c r="C16" s="5"/>
      <c r="D16" s="7"/>
      <c r="F16" s="37" t="s">
        <v>0</v>
      </c>
      <c r="G16" s="50"/>
      <c r="H16" s="42"/>
      <c r="J16" s="37"/>
      <c r="K16" s="50"/>
      <c r="L16" s="42"/>
    </row>
    <row r="17" spans="2:12" x14ac:dyDescent="0.25">
      <c r="B17" s="9" t="s">
        <v>1</v>
      </c>
      <c r="C17" s="5"/>
      <c r="D17" s="7">
        <f>SUM(D6:D15)</f>
        <v>0</v>
      </c>
      <c r="F17" s="37" t="s">
        <v>77</v>
      </c>
      <c r="G17" s="50"/>
      <c r="H17" s="42"/>
      <c r="J17" s="37"/>
      <c r="K17" s="50"/>
      <c r="L17" s="42"/>
    </row>
    <row r="18" spans="2:12" x14ac:dyDescent="0.25">
      <c r="B18" s="9"/>
      <c r="C18" s="5"/>
      <c r="D18" s="7"/>
      <c r="F18" s="69" t="s">
        <v>78</v>
      </c>
      <c r="G18" s="50"/>
      <c r="H18" s="42"/>
      <c r="J18" s="69"/>
      <c r="K18" s="50"/>
      <c r="L18" s="42"/>
    </row>
    <row r="19" spans="2:12" x14ac:dyDescent="0.25">
      <c r="B19" s="9" t="s">
        <v>17</v>
      </c>
      <c r="C19" s="5"/>
      <c r="D19" s="7"/>
      <c r="F19" s="37" t="s">
        <v>68</v>
      </c>
      <c r="G19" s="50"/>
      <c r="H19" s="42"/>
      <c r="J19" s="37"/>
      <c r="K19" s="50"/>
      <c r="L19" s="42"/>
    </row>
    <row r="20" spans="2:12" x14ac:dyDescent="0.25">
      <c r="B20" s="9"/>
      <c r="C20" s="5" t="s">
        <v>59</v>
      </c>
      <c r="D20" s="7"/>
      <c r="F20" s="37" t="s">
        <v>13</v>
      </c>
      <c r="G20" s="50"/>
      <c r="H20" s="42"/>
      <c r="J20" s="37"/>
      <c r="K20" s="50"/>
      <c r="L20" s="42"/>
    </row>
    <row r="21" spans="2:12" x14ac:dyDescent="0.25">
      <c r="B21" s="9"/>
      <c r="C21" s="5" t="s">
        <v>19</v>
      </c>
      <c r="D21" s="7"/>
      <c r="F21" s="1"/>
      <c r="G21" s="5"/>
      <c r="H21" s="42"/>
      <c r="J21" s="37"/>
      <c r="K21" s="8"/>
      <c r="L21" s="42"/>
    </row>
    <row r="22" spans="2:12" ht="15.75" thickBot="1" x14ac:dyDescent="0.3">
      <c r="B22" s="9"/>
      <c r="C22" s="5" t="s">
        <v>20</v>
      </c>
      <c r="D22" s="7"/>
      <c r="F22" s="70" t="s">
        <v>76</v>
      </c>
      <c r="G22" s="55"/>
      <c r="H22" s="71">
        <f>SUM(G6:G21)</f>
        <v>0</v>
      </c>
      <c r="J22" s="70" t="s">
        <v>76</v>
      </c>
      <c r="K22" s="55"/>
      <c r="L22" s="71">
        <f>SUM(K6:K21)</f>
        <v>0</v>
      </c>
    </row>
    <row r="23" spans="2:12" ht="15.75" thickTop="1" x14ac:dyDescent="0.25">
      <c r="B23" s="9"/>
      <c r="C23" s="18" t="s">
        <v>21</v>
      </c>
      <c r="D23" s="7"/>
      <c r="F23" s="1"/>
      <c r="G23" s="5"/>
      <c r="H23" s="42"/>
      <c r="J23" s="37"/>
      <c r="K23" s="8"/>
      <c r="L23" s="42"/>
    </row>
    <row r="24" spans="2:12" x14ac:dyDescent="0.25">
      <c r="B24" s="9"/>
      <c r="C24" s="5" t="s">
        <v>11</v>
      </c>
      <c r="D24" s="7"/>
      <c r="F24" s="9" t="s">
        <v>89</v>
      </c>
      <c r="G24" s="54">
        <f>D26</f>
        <v>0</v>
      </c>
      <c r="H24" s="42"/>
      <c r="J24" s="9" t="s">
        <v>89</v>
      </c>
      <c r="K24" s="54">
        <f>G24</f>
        <v>0</v>
      </c>
      <c r="L24" s="42"/>
    </row>
    <row r="25" spans="2:12" x14ac:dyDescent="0.25">
      <c r="B25" s="9"/>
      <c r="C25" s="5" t="s">
        <v>14</v>
      </c>
      <c r="D25" s="7"/>
      <c r="F25" s="9" t="s">
        <v>58</v>
      </c>
      <c r="G25" s="54">
        <f>D29</f>
        <v>0</v>
      </c>
      <c r="H25" s="42"/>
      <c r="J25" s="9" t="s">
        <v>58</v>
      </c>
      <c r="K25" s="54">
        <f>G25</f>
        <v>0</v>
      </c>
      <c r="L25" s="42"/>
    </row>
    <row r="26" spans="2:12" x14ac:dyDescent="0.25">
      <c r="B26" s="9"/>
      <c r="C26" s="5" t="s">
        <v>89</v>
      </c>
      <c r="D26" s="7"/>
      <c r="F26" s="1" t="s">
        <v>77</v>
      </c>
      <c r="G26" s="5"/>
      <c r="H26" s="42"/>
      <c r="J26" s="9" t="s">
        <v>77</v>
      </c>
      <c r="K26" s="5"/>
      <c r="L26" s="42"/>
    </row>
    <row r="27" spans="2:12" x14ac:dyDescent="0.25">
      <c r="B27" s="9"/>
      <c r="C27" s="5" t="s">
        <v>13</v>
      </c>
      <c r="D27" s="7"/>
      <c r="F27" s="79" t="s">
        <v>79</v>
      </c>
      <c r="G27" s="5"/>
      <c r="H27" s="42"/>
      <c r="J27" s="72" t="s">
        <v>79</v>
      </c>
      <c r="K27" s="5"/>
      <c r="L27" s="73"/>
    </row>
    <row r="28" spans="2:12" x14ac:dyDescent="0.25">
      <c r="B28" s="9"/>
      <c r="C28" s="5" t="s">
        <v>23</v>
      </c>
      <c r="D28" s="7"/>
      <c r="F28" s="1"/>
      <c r="G28" s="5"/>
      <c r="H28" s="42"/>
      <c r="J28" s="72"/>
      <c r="K28" s="5"/>
      <c r="L28" s="73"/>
    </row>
    <row r="29" spans="2:12" ht="15.75" thickBot="1" x14ac:dyDescent="0.3">
      <c r="B29" s="9"/>
      <c r="C29" s="5" t="s">
        <v>58</v>
      </c>
      <c r="D29" s="7"/>
      <c r="F29" s="80" t="s">
        <v>80</v>
      </c>
      <c r="G29" s="55"/>
      <c r="H29" s="71">
        <f>SUM(G24:G28)</f>
        <v>0</v>
      </c>
      <c r="J29" s="74" t="s">
        <v>80</v>
      </c>
      <c r="K29" s="55"/>
      <c r="L29" s="71">
        <f>SUM(K24:K28)</f>
        <v>0</v>
      </c>
    </row>
    <row r="30" spans="2:12" ht="15.75" thickTop="1" x14ac:dyDescent="0.25">
      <c r="B30" s="9"/>
      <c r="C30" s="18"/>
      <c r="D30" s="7"/>
      <c r="F30" s="1"/>
      <c r="G30" s="5"/>
      <c r="H30" s="42"/>
      <c r="J30" s="9"/>
      <c r="K30" s="8"/>
      <c r="L30" s="42"/>
    </row>
    <row r="31" spans="2:12" x14ac:dyDescent="0.25">
      <c r="B31" s="17" t="s">
        <v>1</v>
      </c>
      <c r="C31" s="5"/>
      <c r="D31" s="7">
        <f>SUM(D20:D30)</f>
        <v>0</v>
      </c>
      <c r="F31" s="37" t="s">
        <v>91</v>
      </c>
      <c r="G31" s="54"/>
      <c r="H31" s="42"/>
      <c r="J31" s="37" t="s">
        <v>91</v>
      </c>
      <c r="K31" s="54"/>
      <c r="L31" s="42"/>
    </row>
    <row r="32" spans="2:12" x14ac:dyDescent="0.25">
      <c r="B32" s="17"/>
      <c r="C32" s="5"/>
      <c r="D32" s="7"/>
      <c r="F32" s="37" t="s">
        <v>92</v>
      </c>
      <c r="G32" s="54"/>
      <c r="H32" s="42"/>
      <c r="J32" s="37" t="s">
        <v>92</v>
      </c>
      <c r="K32" s="54"/>
      <c r="L32" s="42"/>
    </row>
    <row r="33" spans="2:12" x14ac:dyDescent="0.25">
      <c r="B33" s="9" t="s">
        <v>25</v>
      </c>
      <c r="C33" s="5"/>
      <c r="D33" s="7">
        <f>D17+D31</f>
        <v>0</v>
      </c>
      <c r="F33" s="37" t="s">
        <v>93</v>
      </c>
      <c r="G33" s="54"/>
      <c r="H33" s="42"/>
      <c r="J33" s="37" t="s">
        <v>93</v>
      </c>
      <c r="K33" s="54"/>
      <c r="L33" s="42"/>
    </row>
    <row r="34" spans="2:12" x14ac:dyDescent="0.25">
      <c r="B34" s="9" t="s">
        <v>26</v>
      </c>
      <c r="C34" s="5"/>
      <c r="D34" s="13"/>
      <c r="F34" s="37" t="s">
        <v>63</v>
      </c>
      <c r="G34" s="54"/>
      <c r="H34" s="42"/>
      <c r="J34" s="37" t="s">
        <v>63</v>
      </c>
      <c r="K34" s="54"/>
      <c r="L34" s="42"/>
    </row>
    <row r="35" spans="2:12" x14ac:dyDescent="0.25">
      <c r="B35" s="11" t="s">
        <v>27</v>
      </c>
      <c r="C35" s="6"/>
      <c r="D35" s="10"/>
      <c r="F35" s="69" t="s">
        <v>78</v>
      </c>
      <c r="G35" s="54"/>
      <c r="H35" s="42"/>
      <c r="J35" s="69" t="s">
        <v>78</v>
      </c>
      <c r="K35" s="54"/>
      <c r="L35" s="42"/>
    </row>
    <row r="36" spans="2:12" x14ac:dyDescent="0.25">
      <c r="F36" s="37" t="s">
        <v>12</v>
      </c>
      <c r="G36" s="54"/>
      <c r="H36" s="42"/>
      <c r="J36" s="37" t="s">
        <v>12</v>
      </c>
      <c r="K36" s="54"/>
      <c r="L36" s="73"/>
    </row>
    <row r="37" spans="2:12" x14ac:dyDescent="0.25">
      <c r="D37" s="7"/>
      <c r="F37" s="37" t="s">
        <v>85</v>
      </c>
      <c r="G37" s="54"/>
      <c r="H37" s="42"/>
      <c r="J37" s="37" t="s">
        <v>85</v>
      </c>
      <c r="K37" s="54"/>
      <c r="L37" s="42"/>
    </row>
    <row r="38" spans="2:12" x14ac:dyDescent="0.25">
      <c r="F38" s="37" t="s">
        <v>16</v>
      </c>
      <c r="G38" s="54"/>
      <c r="H38" s="42"/>
      <c r="J38" s="37" t="s">
        <v>16</v>
      </c>
      <c r="K38" s="54"/>
      <c r="L38" s="42"/>
    </row>
    <row r="39" spans="2:12" x14ac:dyDescent="0.25">
      <c r="F39" s="1"/>
      <c r="G39" s="5"/>
      <c r="H39" s="42"/>
      <c r="J39" s="37"/>
      <c r="K39" s="8"/>
      <c r="L39" s="42"/>
    </row>
    <row r="40" spans="2:12" ht="15.75" thickBot="1" x14ac:dyDescent="0.3">
      <c r="F40" s="70" t="s">
        <v>81</v>
      </c>
      <c r="G40" s="55"/>
      <c r="H40" s="71">
        <f>SUM(G31:G39)</f>
        <v>0</v>
      </c>
      <c r="J40" s="70" t="s">
        <v>81</v>
      </c>
      <c r="K40" s="55"/>
      <c r="L40" s="71">
        <f>SUM(K31:K39)</f>
        <v>0</v>
      </c>
    </row>
    <row r="41" spans="2:12" ht="15.75" thickTop="1" x14ac:dyDescent="0.25">
      <c r="F41" s="1"/>
      <c r="G41" s="5"/>
      <c r="H41" s="42"/>
      <c r="J41" s="9"/>
      <c r="K41" s="8"/>
      <c r="L41" s="42"/>
    </row>
    <row r="42" spans="2:12" ht="15.75" thickBot="1" x14ac:dyDescent="0.3">
      <c r="F42" s="70" t="s">
        <v>82</v>
      </c>
      <c r="G42" s="56"/>
      <c r="H42" s="71">
        <f>H22+H29+H40</f>
        <v>0</v>
      </c>
      <c r="J42" s="70"/>
      <c r="K42" s="63"/>
      <c r="L42" s="71">
        <f>SUM(L6:L41)</f>
        <v>0</v>
      </c>
    </row>
    <row r="43" spans="2:12" ht="15.75" thickTop="1" x14ac:dyDescent="0.25">
      <c r="F43" s="1"/>
      <c r="G43" s="5"/>
      <c r="H43" s="42"/>
      <c r="J43" s="9"/>
      <c r="K43" s="8"/>
      <c r="L43" s="42"/>
    </row>
    <row r="44" spans="2:12" x14ac:dyDescent="0.25">
      <c r="F44" s="81" t="s">
        <v>83</v>
      </c>
      <c r="G44" s="57"/>
      <c r="H44" s="76"/>
      <c r="J44" s="75" t="s">
        <v>83</v>
      </c>
      <c r="K44" s="64"/>
      <c r="L44" s="76"/>
    </row>
    <row r="45" spans="2:12" ht="15.75" thickBot="1" x14ac:dyDescent="0.3">
      <c r="F45" s="82" t="s">
        <v>84</v>
      </c>
      <c r="G45" s="55"/>
      <c r="H45" s="71"/>
      <c r="J45" s="77" t="s">
        <v>84</v>
      </c>
      <c r="K45" s="63"/>
      <c r="L45" s="71"/>
    </row>
    <row r="46" spans="2:12" ht="15.75" thickTop="1" x14ac:dyDescent="0.25">
      <c r="F46" s="83"/>
      <c r="G46" s="58"/>
      <c r="H46" s="46"/>
      <c r="J46" s="78"/>
      <c r="K46" s="65"/>
      <c r="L46" s="46"/>
    </row>
    <row r="47" spans="2:12" x14ac:dyDescent="0.25">
      <c r="F47" s="2"/>
      <c r="G47" s="5"/>
      <c r="J47" s="5"/>
      <c r="K47" s="8"/>
      <c r="L47" s="21"/>
    </row>
    <row r="48" spans="2:12" x14ac:dyDescent="0.25">
      <c r="F48" s="2"/>
      <c r="G48" s="5"/>
      <c r="J48" s="2"/>
      <c r="K48" s="60"/>
    </row>
    <row r="49" spans="6:11" x14ac:dyDescent="0.25">
      <c r="F49" s="2"/>
      <c r="G49" s="5"/>
      <c r="J49" s="2"/>
      <c r="K49" s="60"/>
    </row>
    <row r="50" spans="6:11" x14ac:dyDescent="0.25">
      <c r="F50" s="2"/>
      <c r="G50" s="5"/>
      <c r="J50" s="2"/>
      <c r="K50" s="60"/>
    </row>
    <row r="51" spans="6:11" x14ac:dyDescent="0.25">
      <c r="F51" s="2"/>
      <c r="G51" s="5"/>
      <c r="J51" s="2"/>
      <c r="K51" s="60"/>
    </row>
    <row r="52" spans="6:11" x14ac:dyDescent="0.25">
      <c r="F52" s="2"/>
      <c r="G52" s="5"/>
      <c r="J52" s="2"/>
      <c r="K52" s="60"/>
    </row>
    <row r="53" spans="6:11" x14ac:dyDescent="0.25">
      <c r="F53" s="2"/>
      <c r="G53" s="5"/>
      <c r="J53" s="2"/>
      <c r="K53" s="60"/>
    </row>
    <row r="54" spans="6:11" x14ac:dyDescent="0.25">
      <c r="F54" s="2"/>
      <c r="G54" s="5"/>
      <c r="J54" s="2"/>
      <c r="K54" s="60"/>
    </row>
    <row r="55" spans="6:11" x14ac:dyDescent="0.25">
      <c r="F55" s="2"/>
      <c r="G55" s="5"/>
      <c r="J55" s="2"/>
      <c r="K55" s="60"/>
    </row>
    <row r="56" spans="6:11" x14ac:dyDescent="0.25">
      <c r="F56" s="2"/>
      <c r="G56" s="5"/>
      <c r="J56" s="2"/>
      <c r="K56" s="60"/>
    </row>
    <row r="57" spans="6:11" x14ac:dyDescent="0.25">
      <c r="F57" s="2"/>
      <c r="G57" s="5"/>
      <c r="J57" s="2"/>
      <c r="K57" s="60"/>
    </row>
    <row r="58" spans="6:11" x14ac:dyDescent="0.25">
      <c r="F58" s="2"/>
      <c r="G58" s="5"/>
      <c r="J58" s="2"/>
      <c r="K58" s="60"/>
    </row>
    <row r="59" spans="6:11" x14ac:dyDescent="0.25">
      <c r="F59" s="2"/>
      <c r="G59" s="5"/>
      <c r="J59" s="2"/>
      <c r="K59" s="60"/>
    </row>
    <row r="60" spans="6:11" x14ac:dyDescent="0.25">
      <c r="F60" s="2"/>
      <c r="G60" s="5"/>
      <c r="J60" s="2"/>
      <c r="K60" s="60"/>
    </row>
    <row r="61" spans="6:11" x14ac:dyDescent="0.25">
      <c r="F61" s="2"/>
      <c r="G61" s="5"/>
      <c r="J61" s="2"/>
      <c r="K61" s="60"/>
    </row>
    <row r="62" spans="6:11" x14ac:dyDescent="0.25">
      <c r="F62" s="2"/>
      <c r="G62" s="5"/>
      <c r="J62" s="2"/>
      <c r="K62" s="60"/>
    </row>
    <row r="63" spans="6:11" x14ac:dyDescent="0.25">
      <c r="F63" s="2"/>
      <c r="G63" s="5"/>
      <c r="J63" s="2"/>
      <c r="K63" s="60"/>
    </row>
    <row r="64" spans="6:11" x14ac:dyDescent="0.25">
      <c r="F64" s="2"/>
      <c r="G64" s="5"/>
      <c r="J64" s="2"/>
      <c r="K64" s="60"/>
    </row>
    <row r="65" spans="6:11" x14ac:dyDescent="0.25">
      <c r="F65" s="2"/>
      <c r="G65" s="5"/>
      <c r="J65" s="2"/>
      <c r="K65" s="60"/>
    </row>
    <row r="66" spans="6:11" x14ac:dyDescent="0.25">
      <c r="F66" s="2"/>
      <c r="G66" s="5"/>
      <c r="J66" s="2"/>
      <c r="K66" s="60"/>
    </row>
    <row r="67" spans="6:11" x14ac:dyDescent="0.25">
      <c r="F67" s="2"/>
      <c r="G67" s="5"/>
      <c r="J67" s="2"/>
      <c r="K67" s="60"/>
    </row>
    <row r="68" spans="6:11" x14ac:dyDescent="0.25">
      <c r="F68" s="2"/>
      <c r="G68" s="5"/>
      <c r="J68" s="2"/>
      <c r="K68" s="60"/>
    </row>
    <row r="69" spans="6:11" x14ac:dyDescent="0.25">
      <c r="F69" s="2"/>
      <c r="G69" s="5"/>
      <c r="J69" s="2"/>
      <c r="K69" s="60"/>
    </row>
    <row r="70" spans="6:11" x14ac:dyDescent="0.25">
      <c r="F70" s="2"/>
      <c r="G70" s="5"/>
      <c r="J70" s="2"/>
      <c r="K70" s="60"/>
    </row>
    <row r="71" spans="6:11" x14ac:dyDescent="0.25">
      <c r="F71" s="2"/>
      <c r="G71" s="5"/>
      <c r="J71" s="2"/>
      <c r="K71" s="60"/>
    </row>
    <row r="72" spans="6:11" x14ac:dyDescent="0.25">
      <c r="F72" s="2"/>
      <c r="G72" s="5"/>
      <c r="J72" s="2"/>
      <c r="K72" s="60"/>
    </row>
    <row r="73" spans="6:11" x14ac:dyDescent="0.25">
      <c r="F73" s="2"/>
      <c r="G73" s="5"/>
      <c r="J73" s="2"/>
      <c r="K73" s="60"/>
    </row>
    <row r="74" spans="6:11" x14ac:dyDescent="0.25">
      <c r="F74" s="2"/>
      <c r="G74" s="5"/>
      <c r="J74" s="2"/>
      <c r="K74" s="60"/>
    </row>
    <row r="75" spans="6:11" x14ac:dyDescent="0.25">
      <c r="F75" s="2"/>
      <c r="G75" s="5"/>
      <c r="J75" s="2"/>
      <c r="K75" s="60"/>
    </row>
    <row r="76" spans="6:11" x14ac:dyDescent="0.25">
      <c r="F76" s="2"/>
      <c r="G76" s="5"/>
      <c r="J76" s="2"/>
      <c r="K76" s="60"/>
    </row>
    <row r="77" spans="6:11" x14ac:dyDescent="0.25">
      <c r="F77" s="2"/>
      <c r="G77" s="5"/>
      <c r="J77" s="2"/>
      <c r="K77" s="60"/>
    </row>
    <row r="78" spans="6:11" x14ac:dyDescent="0.25">
      <c r="F78" s="2"/>
      <c r="G78" s="5"/>
      <c r="J78" s="2"/>
      <c r="K78" s="60"/>
    </row>
    <row r="79" spans="6:11" x14ac:dyDescent="0.25">
      <c r="F79" s="2"/>
      <c r="G79" s="5"/>
      <c r="J79" s="2"/>
      <c r="K79" s="60"/>
    </row>
    <row r="80" spans="6:11" x14ac:dyDescent="0.25">
      <c r="F80" s="2"/>
      <c r="G80" s="5"/>
      <c r="J80" s="2"/>
      <c r="K80" s="60"/>
    </row>
  </sheetData>
  <mergeCells count="4">
    <mergeCell ref="J4:L4"/>
    <mergeCell ref="F4:H4"/>
    <mergeCell ref="B3:D3"/>
    <mergeCell ref="B2:D2"/>
  </mergeCells>
  <pageMargins left="0" right="0" top="0" bottom="0" header="0.31496062992125984" footer="0.31496062992125984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R24"/>
  <sheetViews>
    <sheetView tabSelected="1" topLeftCell="A13" workbookViewId="0">
      <selection activeCell="B28" sqref="B28"/>
    </sheetView>
  </sheetViews>
  <sheetFormatPr defaultRowHeight="15" x14ac:dyDescent="0.25"/>
  <cols>
    <col min="1" max="1" width="2.5703125" style="101" customWidth="1"/>
    <col min="2" max="2" width="42.42578125" style="101" bestFit="1" customWidth="1"/>
    <col min="3" max="10" width="15.7109375" style="100" customWidth="1"/>
    <col min="11" max="11" width="2.140625" style="100" customWidth="1"/>
    <col min="12" max="16384" width="9.140625" style="101"/>
  </cols>
  <sheetData>
    <row r="2" spans="2:18" s="97" customFormat="1" ht="45" x14ac:dyDescent="0.25">
      <c r="B2" s="94"/>
      <c r="C2" s="95" t="s">
        <v>105</v>
      </c>
      <c r="D2" s="95" t="s">
        <v>40</v>
      </c>
      <c r="E2" s="95" t="s">
        <v>106</v>
      </c>
      <c r="F2" s="95" t="s">
        <v>48</v>
      </c>
      <c r="G2" s="95" t="s">
        <v>47</v>
      </c>
      <c r="H2" s="95" t="s">
        <v>107</v>
      </c>
      <c r="I2" s="95" t="s">
        <v>108</v>
      </c>
      <c r="J2" s="95" t="s">
        <v>1</v>
      </c>
      <c r="K2" s="96"/>
    </row>
    <row r="3" spans="2:18" x14ac:dyDescent="0.25">
      <c r="B3" s="98" t="s">
        <v>116</v>
      </c>
      <c r="C3" s="99"/>
      <c r="D3" s="99"/>
      <c r="E3" s="99"/>
      <c r="F3" s="99"/>
      <c r="G3" s="99"/>
      <c r="H3" s="99"/>
      <c r="I3" s="99"/>
      <c r="J3" s="99">
        <f t="shared" ref="J3:J12" si="0">SUM(C3:I3)</f>
        <v>0</v>
      </c>
    </row>
    <row r="4" spans="2:18" x14ac:dyDescent="0.25">
      <c r="B4" s="98" t="s">
        <v>41</v>
      </c>
      <c r="C4" s="99"/>
      <c r="D4" s="99"/>
      <c r="E4" s="99"/>
      <c r="F4" s="99"/>
      <c r="G4" s="99"/>
      <c r="H4" s="99"/>
      <c r="I4" s="99"/>
      <c r="J4" s="99">
        <f t="shared" si="0"/>
        <v>0</v>
      </c>
    </row>
    <row r="5" spans="2:18" x14ac:dyDescent="0.25">
      <c r="B5" s="98"/>
      <c r="C5" s="99"/>
      <c r="D5" s="99"/>
      <c r="E5" s="99"/>
      <c r="F5" s="99"/>
      <c r="G5" s="99"/>
      <c r="H5" s="99"/>
      <c r="I5" s="99"/>
      <c r="J5" s="99">
        <f t="shared" si="0"/>
        <v>0</v>
      </c>
    </row>
    <row r="6" spans="2:18" x14ac:dyDescent="0.25">
      <c r="B6" s="98" t="s">
        <v>42</v>
      </c>
      <c r="C6" s="99"/>
      <c r="D6" s="99"/>
      <c r="E6" s="99"/>
      <c r="F6" s="99"/>
      <c r="G6" s="99"/>
      <c r="H6" s="99"/>
      <c r="I6" s="99"/>
      <c r="J6" s="99">
        <f t="shared" si="0"/>
        <v>0</v>
      </c>
    </row>
    <row r="7" spans="2:18" x14ac:dyDescent="0.25">
      <c r="B7" s="98"/>
      <c r="C7" s="99"/>
      <c r="D7" s="99"/>
      <c r="E7" s="99"/>
      <c r="F7" s="99"/>
      <c r="G7" s="99"/>
      <c r="H7" s="99"/>
      <c r="I7" s="99"/>
      <c r="J7" s="99">
        <f t="shared" si="0"/>
        <v>0</v>
      </c>
    </row>
    <row r="8" spans="2:18" x14ac:dyDescent="0.25">
      <c r="B8" s="98" t="s">
        <v>10</v>
      </c>
      <c r="C8" s="99"/>
      <c r="D8" s="99"/>
      <c r="E8" s="99"/>
      <c r="F8" s="99"/>
      <c r="G8" s="99"/>
      <c r="H8" s="99"/>
      <c r="I8" s="99"/>
      <c r="J8" s="99">
        <f t="shared" si="0"/>
        <v>0</v>
      </c>
    </row>
    <row r="9" spans="2:18" x14ac:dyDescent="0.25">
      <c r="B9" s="98" t="s">
        <v>109</v>
      </c>
      <c r="C9" s="99"/>
      <c r="D9" s="99"/>
      <c r="E9" s="99"/>
      <c r="F9" s="99"/>
      <c r="G9" s="99"/>
      <c r="H9" s="99"/>
      <c r="I9" s="99"/>
      <c r="J9" s="99">
        <f t="shared" si="0"/>
        <v>0</v>
      </c>
    </row>
    <row r="10" spans="2:18" x14ac:dyDescent="0.25">
      <c r="B10" s="98" t="s">
        <v>110</v>
      </c>
      <c r="C10" s="99"/>
      <c r="D10" s="99"/>
      <c r="E10" s="99"/>
      <c r="F10" s="99"/>
      <c r="G10" s="99"/>
      <c r="H10" s="99"/>
      <c r="I10" s="99"/>
      <c r="J10" s="99">
        <f t="shared" si="0"/>
        <v>0</v>
      </c>
    </row>
    <row r="11" spans="2:18" x14ac:dyDescent="0.25">
      <c r="B11" s="98"/>
      <c r="C11" s="99"/>
      <c r="D11" s="99"/>
      <c r="E11" s="99"/>
      <c r="F11" s="99"/>
      <c r="G11" s="99"/>
      <c r="H11" s="99"/>
      <c r="I11" s="99"/>
      <c r="J11" s="99">
        <f t="shared" si="0"/>
        <v>0</v>
      </c>
    </row>
    <row r="12" spans="2:18" s="100" customFormat="1" x14ac:dyDescent="0.25">
      <c r="B12" s="98" t="s">
        <v>54</v>
      </c>
      <c r="C12" s="99"/>
      <c r="D12" s="99"/>
      <c r="E12" s="99"/>
      <c r="F12" s="99"/>
      <c r="G12" s="99"/>
      <c r="H12" s="99"/>
      <c r="I12" s="99"/>
      <c r="J12" s="99">
        <f t="shared" si="0"/>
        <v>0</v>
      </c>
      <c r="L12" s="101"/>
      <c r="M12" s="101"/>
      <c r="N12" s="101"/>
      <c r="O12" s="101"/>
      <c r="P12" s="101"/>
      <c r="Q12" s="101"/>
      <c r="R12" s="101"/>
    </row>
    <row r="13" spans="2:18" s="100" customFormat="1" x14ac:dyDescent="0.25">
      <c r="B13" s="98"/>
      <c r="C13" s="99"/>
      <c r="D13" s="99"/>
      <c r="E13" s="99"/>
      <c r="F13" s="99"/>
      <c r="G13" s="99"/>
      <c r="H13" s="99"/>
      <c r="I13" s="99"/>
      <c r="J13" s="99"/>
      <c r="L13" s="101"/>
      <c r="M13" s="101"/>
      <c r="N13" s="101"/>
      <c r="O13" s="101"/>
      <c r="P13" s="101"/>
      <c r="Q13" s="101"/>
      <c r="R13" s="101"/>
    </row>
    <row r="14" spans="2:18" s="100" customFormat="1" x14ac:dyDescent="0.25">
      <c r="B14" s="98" t="s">
        <v>43</v>
      </c>
      <c r="C14" s="99"/>
      <c r="D14" s="99"/>
      <c r="E14" s="99"/>
      <c r="F14" s="99"/>
      <c r="G14" s="99"/>
      <c r="H14" s="99"/>
      <c r="I14" s="99"/>
      <c r="J14" s="99">
        <f>SUM(C14:I14)</f>
        <v>0</v>
      </c>
      <c r="L14" s="101"/>
      <c r="M14" s="101"/>
      <c r="N14" s="101"/>
      <c r="O14" s="101"/>
      <c r="P14" s="101"/>
      <c r="Q14" s="101"/>
      <c r="R14" s="101"/>
    </row>
    <row r="15" spans="2:18" s="100" customFormat="1" x14ac:dyDescent="0.25">
      <c r="B15" s="98" t="s">
        <v>111</v>
      </c>
      <c r="C15" s="99"/>
      <c r="D15" s="99"/>
      <c r="E15" s="99"/>
      <c r="F15" s="99"/>
      <c r="G15" s="99"/>
      <c r="H15" s="99"/>
      <c r="I15" s="99"/>
      <c r="J15" s="99">
        <f>SUM(C15:I15)</f>
        <v>0</v>
      </c>
      <c r="L15" s="101"/>
      <c r="M15" s="101"/>
      <c r="N15" s="101"/>
      <c r="O15" s="101"/>
      <c r="P15" s="101"/>
      <c r="Q15" s="101"/>
      <c r="R15" s="101"/>
    </row>
    <row r="16" spans="2:18" s="100" customFormat="1" x14ac:dyDescent="0.25">
      <c r="B16" s="98" t="s">
        <v>45</v>
      </c>
      <c r="C16" s="99"/>
      <c r="D16" s="99"/>
      <c r="E16" s="99"/>
      <c r="F16" s="99"/>
      <c r="G16" s="99"/>
      <c r="H16" s="99"/>
      <c r="I16" s="99"/>
      <c r="J16" s="99">
        <f>SUM(C16:I16)</f>
        <v>0</v>
      </c>
      <c r="L16" s="101"/>
      <c r="M16" s="101"/>
      <c r="N16" s="101"/>
      <c r="O16" s="101"/>
      <c r="P16" s="101"/>
      <c r="Q16" s="101"/>
      <c r="R16" s="101"/>
    </row>
    <row r="17" spans="2:18" s="100" customFormat="1" x14ac:dyDescent="0.25">
      <c r="B17" s="98" t="s">
        <v>112</v>
      </c>
      <c r="C17" s="99"/>
      <c r="D17" s="99"/>
      <c r="E17" s="99"/>
      <c r="F17" s="99"/>
      <c r="G17" s="99"/>
      <c r="H17" s="99"/>
      <c r="I17" s="99"/>
      <c r="J17" s="99">
        <f t="shared" ref="J17:J20" si="1">SUM(C17:I17)</f>
        <v>0</v>
      </c>
      <c r="L17" s="101"/>
      <c r="M17" s="101"/>
      <c r="N17" s="101"/>
      <c r="O17" s="101"/>
      <c r="P17" s="101"/>
      <c r="Q17" s="101"/>
      <c r="R17" s="101"/>
    </row>
    <row r="18" spans="2:18" s="100" customFormat="1" x14ac:dyDescent="0.25">
      <c r="B18" s="98" t="s">
        <v>113</v>
      </c>
      <c r="C18" s="99"/>
      <c r="D18" s="99"/>
      <c r="E18" s="99"/>
      <c r="F18" s="99"/>
      <c r="G18" s="99"/>
      <c r="H18" s="99"/>
      <c r="I18" s="99"/>
      <c r="J18" s="99">
        <f t="shared" si="1"/>
        <v>0</v>
      </c>
      <c r="L18" s="101"/>
      <c r="M18" s="101"/>
      <c r="N18" s="101"/>
      <c r="O18" s="101"/>
      <c r="P18" s="101"/>
      <c r="Q18" s="101"/>
      <c r="R18" s="101"/>
    </row>
    <row r="19" spans="2:18" s="100" customFormat="1" x14ac:dyDescent="0.25">
      <c r="B19" s="98" t="s">
        <v>55</v>
      </c>
      <c r="C19" s="99"/>
      <c r="D19" s="99"/>
      <c r="E19" s="99"/>
      <c r="F19" s="99"/>
      <c r="G19" s="99"/>
      <c r="H19" s="99"/>
      <c r="I19" s="99"/>
      <c r="J19" s="99">
        <f t="shared" si="1"/>
        <v>0</v>
      </c>
      <c r="L19" s="101"/>
      <c r="M19" s="101"/>
      <c r="N19" s="101"/>
      <c r="O19" s="101"/>
      <c r="P19" s="101"/>
      <c r="Q19" s="101"/>
      <c r="R19" s="101"/>
    </row>
    <row r="20" spans="2:18" s="100" customFormat="1" x14ac:dyDescent="0.25">
      <c r="B20" s="98" t="s">
        <v>114</v>
      </c>
      <c r="C20" s="99"/>
      <c r="D20" s="99"/>
      <c r="E20" s="99"/>
      <c r="F20" s="99"/>
      <c r="G20" s="99"/>
      <c r="H20" s="99"/>
      <c r="I20" s="99"/>
      <c r="J20" s="99">
        <f t="shared" si="1"/>
        <v>0</v>
      </c>
      <c r="L20" s="101"/>
      <c r="M20" s="101"/>
      <c r="N20" s="101"/>
      <c r="O20" s="101"/>
      <c r="P20" s="101"/>
      <c r="Q20" s="101"/>
      <c r="R20" s="101"/>
    </row>
    <row r="21" spans="2:18" s="100" customFormat="1" x14ac:dyDescent="0.25">
      <c r="B21" s="98"/>
      <c r="C21" s="99"/>
      <c r="D21" s="99"/>
      <c r="E21" s="99"/>
      <c r="F21" s="99"/>
      <c r="G21" s="99"/>
      <c r="H21" s="99"/>
      <c r="I21" s="99"/>
      <c r="J21" s="99"/>
      <c r="L21" s="101"/>
      <c r="M21" s="101"/>
      <c r="N21" s="101"/>
      <c r="O21" s="101"/>
      <c r="P21" s="101"/>
      <c r="Q21" s="101"/>
      <c r="R21" s="101"/>
    </row>
    <row r="22" spans="2:18" s="100" customFormat="1" x14ac:dyDescent="0.25">
      <c r="B22" s="98" t="s">
        <v>115</v>
      </c>
      <c r="C22" s="99"/>
      <c r="D22" s="99"/>
      <c r="E22" s="99"/>
      <c r="F22" s="99"/>
      <c r="G22" s="99"/>
      <c r="H22" s="99"/>
      <c r="I22" s="99"/>
      <c r="J22" s="99">
        <f>SUM(C22:I22)</f>
        <v>0</v>
      </c>
      <c r="L22" s="101"/>
      <c r="M22" s="101"/>
      <c r="N22" s="101"/>
      <c r="O22" s="101"/>
      <c r="P22" s="101"/>
      <c r="Q22" s="101"/>
      <c r="R22" s="101"/>
    </row>
    <row r="23" spans="2:18" s="100" customFormat="1" x14ac:dyDescent="0.25">
      <c r="B23" s="98"/>
      <c r="C23" s="99"/>
      <c r="D23" s="99"/>
      <c r="E23" s="99"/>
      <c r="F23" s="99"/>
      <c r="G23" s="99"/>
      <c r="H23" s="99"/>
      <c r="I23" s="99"/>
      <c r="J23" s="99">
        <f>SUM(C23:I23)</f>
        <v>0</v>
      </c>
      <c r="L23" s="101"/>
      <c r="M23" s="101"/>
      <c r="N23" s="101"/>
      <c r="O23" s="101"/>
      <c r="P23" s="101"/>
      <c r="Q23" s="101"/>
      <c r="R23" s="101"/>
    </row>
    <row r="24" spans="2:18" x14ac:dyDescent="0.25">
      <c r="B24" s="98" t="s">
        <v>117</v>
      </c>
      <c r="C24" s="99">
        <f t="shared" ref="C24:H24" si="2">SUM(C3:C23)</f>
        <v>0</v>
      </c>
      <c r="D24" s="99">
        <f t="shared" si="2"/>
        <v>0</v>
      </c>
      <c r="E24" s="99">
        <f t="shared" si="2"/>
        <v>0</v>
      </c>
      <c r="F24" s="99">
        <f t="shared" si="2"/>
        <v>0</v>
      </c>
      <c r="G24" s="99">
        <f t="shared" si="2"/>
        <v>0</v>
      </c>
      <c r="H24" s="99">
        <f t="shared" si="2"/>
        <v>0</v>
      </c>
      <c r="I24" s="99">
        <f>SUM(I3:I23)</f>
        <v>0</v>
      </c>
      <c r="J24" s="99">
        <f>SUM(C24:I24)</f>
        <v>0</v>
      </c>
    </row>
  </sheetData>
  <pageMargins left="0.51181102362204722" right="0.51181102362204722" top="0.78740157480314965" bottom="0.78740157480314965" header="0.31496062992125984" footer="0.31496062992125984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Modelo Imprimir</vt:lpstr>
      <vt:lpstr>Depreciação</vt:lpstr>
      <vt:lpstr>Modelo Fluxo de Caixa</vt:lpstr>
      <vt:lpstr>Modelo Mutação</vt:lpstr>
      <vt:lpstr>'Modelo Fluxo de Caixa'!Area_de_impressao</vt:lpstr>
      <vt:lpstr>'Modelo Mutação'!Area_de_impressao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</dc:creator>
  <cp:lastModifiedBy>User</cp:lastModifiedBy>
  <cp:lastPrinted>2017-08-21T23:14:39Z</cp:lastPrinted>
  <dcterms:created xsi:type="dcterms:W3CDTF">2015-04-04T01:42:23Z</dcterms:created>
  <dcterms:modified xsi:type="dcterms:W3CDTF">2017-08-21T23:14:43Z</dcterms:modified>
</cp:coreProperties>
</file>