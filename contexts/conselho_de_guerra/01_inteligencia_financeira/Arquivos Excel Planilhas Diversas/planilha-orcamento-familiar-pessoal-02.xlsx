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2.xml" ContentType="application/vnd.openxmlformats-officedocument.drawing+xml"/>
  <Override PartName="/xl/charts/chart25.xml" ContentType="application/vnd.openxmlformats-officedocument.drawingml.chart+xml"/>
  <Override PartName="/xl/drawings/drawing3.xml" ContentType="application/vnd.openxmlformats-officedocument.drawing+xml"/>
  <Override PartName="/xl/charts/chart26.xml" ContentType="application/vnd.openxmlformats-officedocument.drawingml.chart+xml"/>
  <Override PartName="/xl/drawings/drawing4.xml" ContentType="application/vnd.openxmlformats-officedocument.drawing+xml"/>
  <Override PartName="/xl/charts/chart27.xml" ContentType="application/vnd.openxmlformats-officedocument.drawingml.chart+xml"/>
  <Override PartName="/xl/drawings/drawing5.xml" ContentType="application/vnd.openxmlformats-officedocument.drawing+xml"/>
  <Override PartName="/xl/charts/chart28.xml" ContentType="application/vnd.openxmlformats-officedocument.drawingml.chart+xml"/>
  <Override PartName="/xl/drawings/drawing6.xml" ContentType="application/vnd.openxmlformats-officedocument.drawing+xml"/>
  <Override PartName="/xl/charts/chart29.xml" ContentType="application/vnd.openxmlformats-officedocument.drawingml.chart+xml"/>
  <Override PartName="/xl/drawings/drawing7.xml" ContentType="application/vnd.openxmlformats-officedocument.drawing+xml"/>
  <Override PartName="/xl/charts/chart30.xml" ContentType="application/vnd.openxmlformats-officedocument.drawingml.chart+xml"/>
  <Override PartName="/xl/drawings/drawing8.xml" ContentType="application/vnd.openxmlformats-officedocument.drawing+xml"/>
  <Override PartName="/xl/charts/chart31.xml" ContentType="application/vnd.openxmlformats-officedocument.drawingml.chart+xml"/>
  <Override PartName="/xl/drawings/drawing9.xml" ContentType="application/vnd.openxmlformats-officedocument.drawing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drawings/drawing11.xml" ContentType="application/vnd.openxmlformats-officedocument.drawing+xml"/>
  <Override PartName="/xl/charts/chart34.xml" ContentType="application/vnd.openxmlformats-officedocument.drawingml.chart+xml"/>
  <Override PartName="/xl/drawings/drawing12.xml" ContentType="application/vnd.openxmlformats-officedocument.drawing+xml"/>
  <Override PartName="/xl/charts/chart35.xml" ContentType="application/vnd.openxmlformats-officedocument.drawingml.chart+xml"/>
  <Override PartName="/xl/drawings/drawing13.xml" ContentType="application/vnd.openxmlformats-officedocument.drawing+xml"/>
  <Override PartName="/xl/charts/chart3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6380" windowHeight="8190" tabRatio="441"/>
  </bookViews>
  <sheets>
    <sheet name="ANUAL" sheetId="1" r:id="rId1"/>
    <sheet name="M1" sheetId="2" r:id="rId2"/>
    <sheet name="M2" sheetId="3" r:id="rId3"/>
    <sheet name="M3" sheetId="4" r:id="rId4"/>
    <sheet name="M4" sheetId="5" r:id="rId5"/>
    <sheet name="M5" sheetId="6" r:id="rId6"/>
    <sheet name="M6" sheetId="7" r:id="rId7"/>
    <sheet name="M7" sheetId="8" r:id="rId8"/>
    <sheet name="M8" sheetId="9" r:id="rId9"/>
    <sheet name="M9" sheetId="10" r:id="rId10"/>
    <sheet name="M10" sheetId="11" r:id="rId11"/>
    <sheet name="M11" sheetId="12" r:id="rId12"/>
    <sheet name="M12" sheetId="13" r:id="rId13"/>
  </sheets>
  <definedNames>
    <definedName name="_xlnm.Print_Area" localSheetId="0">ANUAL!$A$5:$R$517</definedName>
    <definedName name="_xlnm.Print_Area" localSheetId="1">'M1'!$A$1:$V$126</definedName>
    <definedName name="_xlnm.Print_Area" localSheetId="10">'M10'!$A$1:$V$126</definedName>
    <definedName name="_xlnm.Print_Area" localSheetId="11">'M11'!$A$1:$V$126</definedName>
    <definedName name="_xlnm.Print_Area" localSheetId="12">'M12'!$A$1:$V$126</definedName>
    <definedName name="_xlnm.Print_Area" localSheetId="2">'M2'!$A$1:$V$126</definedName>
    <definedName name="_xlnm.Print_Area" localSheetId="3">'M3'!$A$1:$V$126</definedName>
    <definedName name="_xlnm.Print_Area" localSheetId="4">'M4'!$A$1:$V$126</definedName>
    <definedName name="_xlnm.Print_Area" localSheetId="5">'M5'!$A$1:$V$126</definedName>
    <definedName name="_xlnm.Print_Area" localSheetId="6">'M6'!$A$1:$V$126</definedName>
    <definedName name="_xlnm.Print_Area" localSheetId="7">'M7'!$A$1:$V$126</definedName>
    <definedName name="_xlnm.Print_Area" localSheetId="8">'M8'!$A$1:$V$126</definedName>
    <definedName name="_xlnm.Print_Area" localSheetId="9">'M9'!$A$1:$V$126</definedName>
  </definedNames>
  <calcPr calcId="152511"/>
</workbook>
</file>

<file path=xl/calcChain.xml><?xml version="1.0" encoding="utf-8"?>
<calcChain xmlns="http://schemas.openxmlformats.org/spreadsheetml/2006/main">
  <c r="L119" i="1" l="1"/>
  <c r="F119" i="1"/>
  <c r="B119" i="1"/>
  <c r="L88" i="1"/>
  <c r="F88" i="1"/>
  <c r="B88" i="1"/>
  <c r="L67" i="1"/>
  <c r="F67" i="1"/>
  <c r="B67" i="1"/>
  <c r="L46" i="1"/>
  <c r="F46" i="1"/>
  <c r="B46" i="1"/>
  <c r="L26" i="1"/>
  <c r="F26" i="1"/>
  <c r="B26" i="1"/>
  <c r="D49" i="7"/>
  <c r="C49" i="7"/>
  <c r="D48" i="7"/>
  <c r="C48" i="7"/>
  <c r="D47" i="7"/>
  <c r="C47" i="7"/>
  <c r="D49" i="8"/>
  <c r="C49" i="8"/>
  <c r="D48" i="8"/>
  <c r="C48" i="8"/>
  <c r="D47" i="8"/>
  <c r="C47" i="8"/>
  <c r="D49" i="9"/>
  <c r="C49" i="9"/>
  <c r="D48" i="9"/>
  <c r="C48" i="9"/>
  <c r="D47" i="9"/>
  <c r="C47" i="9"/>
  <c r="D49" i="10"/>
  <c r="C49" i="10"/>
  <c r="D48" i="10"/>
  <c r="C48" i="10"/>
  <c r="D47" i="10"/>
  <c r="C47" i="10"/>
  <c r="D49" i="11"/>
  <c r="C49" i="11"/>
  <c r="D48" i="11"/>
  <c r="C48" i="11"/>
  <c r="D47" i="11"/>
  <c r="C47" i="11"/>
  <c r="D49" i="12"/>
  <c r="C49" i="12"/>
  <c r="D48" i="12"/>
  <c r="C48" i="12"/>
  <c r="D47" i="12"/>
  <c r="C47" i="12"/>
  <c r="D49" i="13"/>
  <c r="C49" i="13"/>
  <c r="D48" i="13"/>
  <c r="C48" i="13"/>
  <c r="D47" i="13"/>
  <c r="C47" i="13"/>
  <c r="D49" i="6"/>
  <c r="C49" i="6"/>
  <c r="D48" i="6"/>
  <c r="C48" i="6"/>
  <c r="D47" i="6"/>
  <c r="C47" i="6"/>
  <c r="L27" i="2"/>
  <c r="K27" i="2"/>
  <c r="J27" i="2"/>
  <c r="J10" i="2" s="1"/>
  <c r="L27" i="13"/>
  <c r="K27" i="13"/>
  <c r="J27" i="13"/>
  <c r="L27" i="12"/>
  <c r="K27" i="12"/>
  <c r="J27" i="12"/>
  <c r="L27" i="11"/>
  <c r="K27" i="11"/>
  <c r="J27" i="11"/>
  <c r="L27" i="10"/>
  <c r="K27" i="10"/>
  <c r="J27" i="10"/>
  <c r="L27" i="9"/>
  <c r="K27" i="9"/>
  <c r="J27" i="9"/>
  <c r="L27" i="8"/>
  <c r="K27" i="8"/>
  <c r="J27" i="8"/>
  <c r="L27" i="7"/>
  <c r="K27" i="7"/>
  <c r="J27" i="7"/>
  <c r="L27" i="6"/>
  <c r="K27" i="6"/>
  <c r="J27" i="6"/>
  <c r="L27" i="5"/>
  <c r="K27" i="5"/>
  <c r="J27" i="5"/>
  <c r="L27" i="4"/>
  <c r="K27" i="4"/>
  <c r="J27" i="4"/>
  <c r="L27" i="3"/>
  <c r="K27" i="3"/>
  <c r="J27" i="3"/>
  <c r="B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116" i="1"/>
  <c r="A117" i="1"/>
  <c r="B133" i="1"/>
  <c r="B259" i="1"/>
  <c r="C267" i="1"/>
  <c r="D267" i="1"/>
  <c r="D308" i="1" s="1"/>
  <c r="D349" i="1" s="1"/>
  <c r="C268" i="1"/>
  <c r="D268" i="1"/>
  <c r="D309" i="1" s="1"/>
  <c r="D350" i="1" s="1"/>
  <c r="C269" i="1"/>
  <c r="D269" i="1"/>
  <c r="D310" i="1" s="1"/>
  <c r="C270" i="1"/>
  <c r="D270" i="1"/>
  <c r="D311" i="1" s="1"/>
  <c r="D352" i="1" s="1"/>
  <c r="C271" i="1"/>
  <c r="D271" i="1"/>
  <c r="D312" i="1" s="1"/>
  <c r="C272" i="1"/>
  <c r="D272" i="1"/>
  <c r="D313" i="1" s="1"/>
  <c r="D354" i="1" s="1"/>
  <c r="C273" i="1"/>
  <c r="D273" i="1"/>
  <c r="D314" i="1" s="1"/>
  <c r="D355" i="1" s="1"/>
  <c r="C274" i="1"/>
  <c r="D274" i="1"/>
  <c r="D315" i="1" s="1"/>
  <c r="C275" i="1"/>
  <c r="D275" i="1"/>
  <c r="D316" i="1" s="1"/>
  <c r="D357" i="1" s="1"/>
  <c r="C276" i="1"/>
  <c r="D276" i="1"/>
  <c r="D317" i="1" s="1"/>
  <c r="D358" i="1" s="1"/>
  <c r="C277" i="1"/>
  <c r="D277" i="1"/>
  <c r="D318" i="1" s="1"/>
  <c r="C278" i="1"/>
  <c r="D278" i="1"/>
  <c r="D319" i="1" s="1"/>
  <c r="D360" i="1" s="1"/>
  <c r="C308" i="1"/>
  <c r="C349" i="1" s="1"/>
  <c r="C309" i="1"/>
  <c r="C350" i="1" s="1"/>
  <c r="C310" i="1"/>
  <c r="C351" i="1" s="1"/>
  <c r="D351" i="1"/>
  <c r="C311" i="1"/>
  <c r="C352" i="1"/>
  <c r="C312" i="1"/>
  <c r="C353" i="1" s="1"/>
  <c r="D353" i="1"/>
  <c r="C313" i="1"/>
  <c r="C354" i="1"/>
  <c r="C314" i="1"/>
  <c r="C355" i="1"/>
  <c r="C315" i="1"/>
  <c r="C356" i="1" s="1"/>
  <c r="D356" i="1"/>
  <c r="C316" i="1"/>
  <c r="C357" i="1"/>
  <c r="C317" i="1"/>
  <c r="C358" i="1" s="1"/>
  <c r="C318" i="1"/>
  <c r="C359" i="1" s="1"/>
  <c r="D359" i="1"/>
  <c r="C319" i="1"/>
  <c r="C360" i="1"/>
  <c r="B387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B1" i="2"/>
  <c r="C9" i="2"/>
  <c r="C28" i="2" s="1"/>
  <c r="D9" i="2"/>
  <c r="D28" i="2" s="1"/>
  <c r="X9" i="2"/>
  <c r="C10" i="2"/>
  <c r="C29" i="2" s="1"/>
  <c r="D10" i="2"/>
  <c r="D29" i="2" s="1"/>
  <c r="X10" i="2"/>
  <c r="C11" i="2"/>
  <c r="C30" i="2" s="1"/>
  <c r="D11" i="2"/>
  <c r="D30" i="2" s="1"/>
  <c r="X11" i="2"/>
  <c r="C12" i="2"/>
  <c r="C31" i="2" s="1"/>
  <c r="D12" i="2"/>
  <c r="D31" i="2" s="1"/>
  <c r="X12" i="2"/>
  <c r="C13" i="2"/>
  <c r="C32" i="2" s="1"/>
  <c r="D13" i="2"/>
  <c r="D32" i="2" s="1"/>
  <c r="X13" i="2"/>
  <c r="C14" i="2"/>
  <c r="C33" i="2" s="1"/>
  <c r="D14" i="2"/>
  <c r="D33" i="2" s="1"/>
  <c r="X14" i="2"/>
  <c r="C15" i="2"/>
  <c r="C34" i="2" s="1"/>
  <c r="D15" i="2"/>
  <c r="D34" i="2" s="1"/>
  <c r="X15" i="2"/>
  <c r="C16" i="2"/>
  <c r="C35" i="2" s="1"/>
  <c r="D16" i="2"/>
  <c r="D35" i="2" s="1"/>
  <c r="X16" i="2"/>
  <c r="C17" i="2"/>
  <c r="C36" i="2" s="1"/>
  <c r="D17" i="2"/>
  <c r="D36" i="2" s="1"/>
  <c r="X17" i="2"/>
  <c r="C18" i="2"/>
  <c r="C37" i="2" s="1"/>
  <c r="D18" i="2"/>
  <c r="D37" i="2" s="1"/>
  <c r="X18" i="2"/>
  <c r="C19" i="2"/>
  <c r="C38" i="2" s="1"/>
  <c r="D19" i="2"/>
  <c r="D38" i="2" s="1"/>
  <c r="X19" i="2"/>
  <c r="C20" i="2"/>
  <c r="C39" i="2" s="1"/>
  <c r="D20" i="2"/>
  <c r="D39" i="2" s="1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C47" i="2"/>
  <c r="D47" i="2"/>
  <c r="X47" i="2"/>
  <c r="C48" i="2"/>
  <c r="D48" i="2"/>
  <c r="X48" i="2"/>
  <c r="C49" i="2"/>
  <c r="D49" i="2"/>
  <c r="X49" i="2"/>
  <c r="X50" i="2"/>
  <c r="X51" i="2"/>
  <c r="X52" i="2"/>
  <c r="X53" i="2"/>
  <c r="X54" i="2"/>
  <c r="X55" i="2"/>
  <c r="X56" i="2"/>
  <c r="C57" i="2"/>
  <c r="D57" i="2"/>
  <c r="G57" i="2"/>
  <c r="X57" i="2"/>
  <c r="C58" i="2"/>
  <c r="D58" i="2"/>
  <c r="G58" i="2"/>
  <c r="X58" i="2"/>
  <c r="C59" i="2"/>
  <c r="D59" i="2"/>
  <c r="G59" i="2"/>
  <c r="X59" i="2"/>
  <c r="C60" i="2"/>
  <c r="D60" i="2"/>
  <c r="G60" i="2"/>
  <c r="X60" i="2"/>
  <c r="C61" i="2"/>
  <c r="D61" i="2"/>
  <c r="G61" i="2"/>
  <c r="X61" i="2"/>
  <c r="C62" i="2"/>
  <c r="D62" i="2"/>
  <c r="G62" i="2"/>
  <c r="X62" i="2"/>
  <c r="C63" i="2"/>
  <c r="D63" i="2"/>
  <c r="G63" i="2"/>
  <c r="X63" i="2"/>
  <c r="C64" i="2"/>
  <c r="D64" i="2"/>
  <c r="G64" i="2"/>
  <c r="X64" i="2"/>
  <c r="C65" i="2"/>
  <c r="D65" i="2"/>
  <c r="G65" i="2"/>
  <c r="X65" i="2"/>
  <c r="C66" i="2"/>
  <c r="D66" i="2"/>
  <c r="G66" i="2"/>
  <c r="X66" i="2"/>
  <c r="C67" i="2"/>
  <c r="D67" i="2"/>
  <c r="G67" i="2"/>
  <c r="X67" i="2"/>
  <c r="C68" i="2"/>
  <c r="D68" i="2"/>
  <c r="G68" i="2"/>
  <c r="X68" i="2"/>
  <c r="C69" i="2"/>
  <c r="D69" i="2"/>
  <c r="G69" i="2"/>
  <c r="X69" i="2"/>
  <c r="C70" i="2"/>
  <c r="D70" i="2"/>
  <c r="G70" i="2"/>
  <c r="X70" i="2"/>
  <c r="C71" i="2"/>
  <c r="D71" i="2"/>
  <c r="G71" i="2"/>
  <c r="X71" i="2"/>
  <c r="C72" i="2"/>
  <c r="D72" i="2"/>
  <c r="G72" i="2"/>
  <c r="X72" i="2"/>
  <c r="C73" i="2"/>
  <c r="D73" i="2"/>
  <c r="G73" i="2"/>
  <c r="X73" i="2"/>
  <c r="C74" i="2"/>
  <c r="D74" i="2"/>
  <c r="G74" i="2"/>
  <c r="X74" i="2"/>
  <c r="C75" i="2"/>
  <c r="D75" i="2"/>
  <c r="G75" i="2"/>
  <c r="X75" i="2"/>
  <c r="C76" i="2"/>
  <c r="D76" i="2"/>
  <c r="G76" i="2"/>
  <c r="X76" i="2"/>
  <c r="C77" i="2"/>
  <c r="D77" i="2"/>
  <c r="G77" i="2"/>
  <c r="X77" i="2"/>
  <c r="C78" i="2"/>
  <c r="D78" i="2"/>
  <c r="G78" i="2"/>
  <c r="X78" i="2"/>
  <c r="C79" i="2"/>
  <c r="D79" i="2"/>
  <c r="G79" i="2"/>
  <c r="X79" i="2"/>
  <c r="C80" i="2"/>
  <c r="D80" i="2"/>
  <c r="G80" i="2"/>
  <c r="X80" i="2"/>
  <c r="C81" i="2"/>
  <c r="D81" i="2"/>
  <c r="G81" i="2"/>
  <c r="X81" i="2"/>
  <c r="C82" i="2"/>
  <c r="D82" i="2"/>
  <c r="G82" i="2"/>
  <c r="X82" i="2"/>
  <c r="C83" i="2"/>
  <c r="D83" i="2"/>
  <c r="G83" i="2"/>
  <c r="X83" i="2"/>
  <c r="C84" i="2"/>
  <c r="D84" i="2"/>
  <c r="G84" i="2"/>
  <c r="X84" i="2"/>
  <c r="C85" i="2"/>
  <c r="D85" i="2"/>
  <c r="G85" i="2"/>
  <c r="X85" i="2"/>
  <c r="C86" i="2"/>
  <c r="D86" i="2"/>
  <c r="G86" i="2"/>
  <c r="X86" i="2"/>
  <c r="C87" i="2"/>
  <c r="D87" i="2"/>
  <c r="G87" i="2"/>
  <c r="X87" i="2"/>
  <c r="C88" i="2"/>
  <c r="D88" i="2"/>
  <c r="G88" i="2"/>
  <c r="X88" i="2"/>
  <c r="C9" i="11"/>
  <c r="C28" i="11" s="1"/>
  <c r="D9" i="11"/>
  <c r="D28" i="11" s="1"/>
  <c r="X9" i="11"/>
  <c r="C10" i="11"/>
  <c r="C29" i="11" s="1"/>
  <c r="D10" i="11"/>
  <c r="D29" i="11" s="1"/>
  <c r="X10" i="11"/>
  <c r="C11" i="11"/>
  <c r="C30" i="11" s="1"/>
  <c r="D11" i="11"/>
  <c r="D30" i="11" s="1"/>
  <c r="X11" i="11"/>
  <c r="C12" i="11"/>
  <c r="C31" i="11" s="1"/>
  <c r="D12" i="11"/>
  <c r="D31" i="11" s="1"/>
  <c r="X12" i="11"/>
  <c r="C13" i="11"/>
  <c r="C32" i="11" s="1"/>
  <c r="D13" i="11"/>
  <c r="D32" i="11" s="1"/>
  <c r="X13" i="11"/>
  <c r="C14" i="11"/>
  <c r="C33" i="11" s="1"/>
  <c r="D14" i="11"/>
  <c r="D33" i="11" s="1"/>
  <c r="X14" i="11"/>
  <c r="C15" i="11"/>
  <c r="C34" i="11" s="1"/>
  <c r="D15" i="11"/>
  <c r="D34" i="11" s="1"/>
  <c r="X15" i="11"/>
  <c r="C16" i="11"/>
  <c r="C35" i="11" s="1"/>
  <c r="D16" i="11"/>
  <c r="D35" i="11" s="1"/>
  <c r="X16" i="11"/>
  <c r="C17" i="11"/>
  <c r="C36" i="11" s="1"/>
  <c r="D17" i="11"/>
  <c r="D36" i="11" s="1"/>
  <c r="X17" i="11"/>
  <c r="C18" i="11"/>
  <c r="C37" i="11" s="1"/>
  <c r="D18" i="11"/>
  <c r="D37" i="11" s="1"/>
  <c r="X18" i="11"/>
  <c r="C19" i="11"/>
  <c r="C38" i="11" s="1"/>
  <c r="D19" i="11"/>
  <c r="D38" i="11" s="1"/>
  <c r="X19" i="11"/>
  <c r="C20" i="11"/>
  <c r="C39" i="11" s="1"/>
  <c r="D20" i="11"/>
  <c r="D39" i="11" s="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C57" i="11"/>
  <c r="D57" i="11"/>
  <c r="G57" i="11"/>
  <c r="X57" i="11"/>
  <c r="C58" i="11"/>
  <c r="D58" i="11"/>
  <c r="G58" i="11"/>
  <c r="X58" i="11"/>
  <c r="C59" i="11"/>
  <c r="D59" i="11"/>
  <c r="G59" i="11"/>
  <c r="X59" i="11"/>
  <c r="C60" i="11"/>
  <c r="D60" i="11"/>
  <c r="G60" i="11"/>
  <c r="X60" i="11"/>
  <c r="C61" i="11"/>
  <c r="D61" i="11"/>
  <c r="G61" i="11"/>
  <c r="X61" i="11"/>
  <c r="C62" i="11"/>
  <c r="D62" i="11"/>
  <c r="G62" i="11"/>
  <c r="X62" i="11"/>
  <c r="C63" i="11"/>
  <c r="D63" i="11"/>
  <c r="G63" i="11"/>
  <c r="X63" i="11"/>
  <c r="C64" i="11"/>
  <c r="D64" i="11"/>
  <c r="G64" i="11"/>
  <c r="X64" i="11"/>
  <c r="C65" i="11"/>
  <c r="D65" i="11"/>
  <c r="G65" i="11"/>
  <c r="X65" i="11"/>
  <c r="C66" i="11"/>
  <c r="D66" i="11"/>
  <c r="G66" i="11"/>
  <c r="X66" i="11"/>
  <c r="C67" i="11"/>
  <c r="D67" i="11"/>
  <c r="G67" i="11"/>
  <c r="X67" i="11"/>
  <c r="C68" i="11"/>
  <c r="D68" i="11"/>
  <c r="G68" i="11"/>
  <c r="X68" i="11"/>
  <c r="C69" i="11"/>
  <c r="D69" i="11"/>
  <c r="G69" i="11"/>
  <c r="X69" i="11"/>
  <c r="C70" i="11"/>
  <c r="D70" i="11"/>
  <c r="G70" i="11"/>
  <c r="X70" i="11"/>
  <c r="C71" i="11"/>
  <c r="D71" i="11"/>
  <c r="G71" i="11"/>
  <c r="X71" i="11"/>
  <c r="C72" i="11"/>
  <c r="D72" i="11"/>
  <c r="G72" i="11"/>
  <c r="X72" i="11"/>
  <c r="C73" i="11"/>
  <c r="D73" i="11"/>
  <c r="G73" i="11"/>
  <c r="X73" i="11"/>
  <c r="C74" i="11"/>
  <c r="D74" i="11"/>
  <c r="G74" i="11"/>
  <c r="X74" i="11"/>
  <c r="C75" i="11"/>
  <c r="D75" i="11"/>
  <c r="G75" i="11"/>
  <c r="X75" i="11"/>
  <c r="C76" i="11"/>
  <c r="D76" i="11"/>
  <c r="G76" i="11"/>
  <c r="X76" i="11"/>
  <c r="C77" i="11"/>
  <c r="D77" i="11"/>
  <c r="G77" i="11"/>
  <c r="X77" i="11"/>
  <c r="C78" i="11"/>
  <c r="D78" i="11"/>
  <c r="G78" i="11"/>
  <c r="X78" i="11"/>
  <c r="C79" i="11"/>
  <c r="D79" i="11"/>
  <c r="G79" i="11"/>
  <c r="X79" i="11"/>
  <c r="C80" i="11"/>
  <c r="D80" i="11"/>
  <c r="G80" i="11"/>
  <c r="X80" i="11"/>
  <c r="C81" i="11"/>
  <c r="D81" i="11"/>
  <c r="G81" i="11"/>
  <c r="X81" i="11"/>
  <c r="C82" i="11"/>
  <c r="D82" i="11"/>
  <c r="G82" i="11"/>
  <c r="X82" i="11"/>
  <c r="C83" i="11"/>
  <c r="D83" i="11"/>
  <c r="G83" i="11"/>
  <c r="X83" i="11"/>
  <c r="C84" i="11"/>
  <c r="D84" i="11"/>
  <c r="G84" i="11"/>
  <c r="X84" i="11"/>
  <c r="C85" i="11"/>
  <c r="D85" i="11"/>
  <c r="G85" i="11"/>
  <c r="X85" i="11"/>
  <c r="C86" i="11"/>
  <c r="D86" i="11"/>
  <c r="G86" i="11"/>
  <c r="X86" i="11"/>
  <c r="C87" i="11"/>
  <c r="D87" i="11"/>
  <c r="G87" i="11"/>
  <c r="X87" i="11"/>
  <c r="C88" i="11"/>
  <c r="D88" i="11"/>
  <c r="G88" i="11"/>
  <c r="X88" i="11"/>
  <c r="C9" i="12"/>
  <c r="C28" i="12" s="1"/>
  <c r="D9" i="12"/>
  <c r="D28" i="12" s="1"/>
  <c r="X9" i="12"/>
  <c r="C10" i="12"/>
  <c r="C29" i="12" s="1"/>
  <c r="D10" i="12"/>
  <c r="D29" i="12" s="1"/>
  <c r="X10" i="12"/>
  <c r="C11" i="12"/>
  <c r="C30" i="12" s="1"/>
  <c r="D11" i="12"/>
  <c r="D30" i="12" s="1"/>
  <c r="X11" i="12"/>
  <c r="C12" i="12"/>
  <c r="C31" i="12" s="1"/>
  <c r="D12" i="12"/>
  <c r="D31" i="12" s="1"/>
  <c r="X12" i="12"/>
  <c r="C13" i="12"/>
  <c r="C32" i="12" s="1"/>
  <c r="D13" i="12"/>
  <c r="D32" i="12" s="1"/>
  <c r="X13" i="12"/>
  <c r="C14" i="12"/>
  <c r="D14" i="12"/>
  <c r="D33" i="12" s="1"/>
  <c r="X14" i="12"/>
  <c r="C15" i="12"/>
  <c r="C34" i="12" s="1"/>
  <c r="D15" i="12"/>
  <c r="X15" i="12"/>
  <c r="C16" i="12"/>
  <c r="C35" i="12" s="1"/>
  <c r="D16" i="12"/>
  <c r="D35" i="12" s="1"/>
  <c r="X16" i="12"/>
  <c r="C17" i="12"/>
  <c r="C36" i="12" s="1"/>
  <c r="D17" i="12"/>
  <c r="D36" i="12" s="1"/>
  <c r="X17" i="12"/>
  <c r="C18" i="12"/>
  <c r="C37" i="12" s="1"/>
  <c r="D18" i="12"/>
  <c r="D37" i="12" s="1"/>
  <c r="X18" i="12"/>
  <c r="C19" i="12"/>
  <c r="C38" i="12" s="1"/>
  <c r="D19" i="12"/>
  <c r="D38" i="12" s="1"/>
  <c r="X19" i="12"/>
  <c r="C20" i="12"/>
  <c r="C39" i="12" s="1"/>
  <c r="D20" i="12"/>
  <c r="D39" i="12" s="1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C33" i="12"/>
  <c r="X33" i="12"/>
  <c r="D34" i="12"/>
  <c r="X34" i="12"/>
  <c r="X35" i="12"/>
  <c r="X36" i="12"/>
  <c r="X37" i="12"/>
  <c r="X38" i="12"/>
  <c r="X39" i="12"/>
  <c r="X40" i="12"/>
  <c r="X41" i="12"/>
  <c r="X42" i="12"/>
  <c r="X43" i="12"/>
  <c r="X44" i="12"/>
  <c r="X45" i="12"/>
  <c r="X46" i="12"/>
  <c r="X47" i="12"/>
  <c r="X48" i="12"/>
  <c r="X49" i="12"/>
  <c r="X50" i="12"/>
  <c r="X51" i="12"/>
  <c r="X52" i="12"/>
  <c r="X53" i="12"/>
  <c r="X54" i="12"/>
  <c r="X55" i="12"/>
  <c r="X56" i="12"/>
  <c r="C57" i="12"/>
  <c r="D57" i="12"/>
  <c r="G57" i="12"/>
  <c r="X57" i="12"/>
  <c r="C58" i="12"/>
  <c r="D58" i="12"/>
  <c r="G58" i="12"/>
  <c r="X58" i="12"/>
  <c r="C59" i="12"/>
  <c r="D59" i="12"/>
  <c r="G59" i="12"/>
  <c r="X59" i="12"/>
  <c r="C60" i="12"/>
  <c r="D60" i="12"/>
  <c r="G60" i="12"/>
  <c r="X60" i="12"/>
  <c r="C61" i="12"/>
  <c r="D61" i="12"/>
  <c r="G61" i="12"/>
  <c r="X61" i="12"/>
  <c r="C62" i="12"/>
  <c r="D62" i="12"/>
  <c r="G62" i="12"/>
  <c r="X62" i="12"/>
  <c r="C63" i="12"/>
  <c r="D63" i="12"/>
  <c r="G63" i="12"/>
  <c r="X63" i="12"/>
  <c r="C64" i="12"/>
  <c r="D64" i="12"/>
  <c r="G64" i="12"/>
  <c r="X64" i="12"/>
  <c r="C65" i="12"/>
  <c r="D65" i="12"/>
  <c r="G65" i="12"/>
  <c r="X65" i="12"/>
  <c r="C66" i="12"/>
  <c r="D66" i="12"/>
  <c r="G66" i="12"/>
  <c r="X66" i="12"/>
  <c r="C67" i="12"/>
  <c r="D67" i="12"/>
  <c r="G67" i="12"/>
  <c r="X67" i="12"/>
  <c r="C68" i="12"/>
  <c r="D68" i="12"/>
  <c r="G68" i="12"/>
  <c r="X68" i="12"/>
  <c r="C69" i="12"/>
  <c r="D69" i="12"/>
  <c r="G69" i="12"/>
  <c r="X69" i="12"/>
  <c r="C70" i="12"/>
  <c r="D70" i="12"/>
  <c r="G70" i="12"/>
  <c r="X70" i="12"/>
  <c r="C71" i="12"/>
  <c r="D71" i="12"/>
  <c r="G71" i="12"/>
  <c r="X71" i="12"/>
  <c r="C72" i="12"/>
  <c r="D72" i="12"/>
  <c r="G72" i="12"/>
  <c r="X72" i="12"/>
  <c r="C73" i="12"/>
  <c r="D73" i="12"/>
  <c r="G73" i="12"/>
  <c r="X73" i="12"/>
  <c r="C74" i="12"/>
  <c r="D74" i="12"/>
  <c r="G74" i="12"/>
  <c r="X74" i="12"/>
  <c r="C75" i="12"/>
  <c r="D75" i="12"/>
  <c r="G75" i="12"/>
  <c r="X75" i="12"/>
  <c r="C76" i="12"/>
  <c r="D76" i="12"/>
  <c r="G76" i="12"/>
  <c r="X76" i="12"/>
  <c r="C77" i="12"/>
  <c r="D77" i="12"/>
  <c r="G77" i="12"/>
  <c r="X77" i="12"/>
  <c r="C78" i="12"/>
  <c r="D78" i="12"/>
  <c r="G78" i="12"/>
  <c r="X78" i="12"/>
  <c r="C79" i="12"/>
  <c r="D79" i="12"/>
  <c r="G79" i="12"/>
  <c r="X79" i="12"/>
  <c r="C80" i="12"/>
  <c r="D80" i="12"/>
  <c r="G80" i="12"/>
  <c r="X80" i="12"/>
  <c r="C81" i="12"/>
  <c r="D81" i="12"/>
  <c r="G81" i="12"/>
  <c r="X81" i="12"/>
  <c r="C82" i="12"/>
  <c r="D82" i="12"/>
  <c r="G82" i="12"/>
  <c r="X82" i="12"/>
  <c r="C83" i="12"/>
  <c r="D83" i="12"/>
  <c r="G83" i="12"/>
  <c r="X83" i="12"/>
  <c r="C84" i="12"/>
  <c r="D84" i="12"/>
  <c r="G84" i="12"/>
  <c r="X84" i="12"/>
  <c r="C85" i="12"/>
  <c r="D85" i="12"/>
  <c r="G85" i="12"/>
  <c r="X85" i="12"/>
  <c r="C86" i="12"/>
  <c r="D86" i="12"/>
  <c r="G86" i="12"/>
  <c r="X86" i="12"/>
  <c r="C87" i="12"/>
  <c r="D87" i="12"/>
  <c r="G87" i="12"/>
  <c r="X87" i="12"/>
  <c r="C88" i="12"/>
  <c r="D88" i="12"/>
  <c r="G88" i="12"/>
  <c r="X88" i="12"/>
  <c r="C9" i="13"/>
  <c r="C28" i="13" s="1"/>
  <c r="D9" i="13"/>
  <c r="D28" i="13" s="1"/>
  <c r="X9" i="13"/>
  <c r="C10" i="13"/>
  <c r="D10" i="13"/>
  <c r="X10" i="13"/>
  <c r="C11" i="13"/>
  <c r="C30" i="13" s="1"/>
  <c r="L30" i="13" s="1"/>
  <c r="D11" i="13"/>
  <c r="X11" i="13"/>
  <c r="C12" i="13"/>
  <c r="C31" i="13" s="1"/>
  <c r="D12" i="13"/>
  <c r="D31" i="13" s="1"/>
  <c r="X12" i="13"/>
  <c r="C13" i="13"/>
  <c r="C32" i="13" s="1"/>
  <c r="D13" i="13"/>
  <c r="D32" i="13" s="1"/>
  <c r="X13" i="13"/>
  <c r="C14" i="13"/>
  <c r="D14" i="13"/>
  <c r="X14" i="13"/>
  <c r="C15" i="13"/>
  <c r="D15" i="13"/>
  <c r="X15" i="13"/>
  <c r="C16" i="13"/>
  <c r="C35" i="13" s="1"/>
  <c r="D16" i="13"/>
  <c r="D35" i="13" s="1"/>
  <c r="X16" i="13"/>
  <c r="C17" i="13"/>
  <c r="D17" i="13"/>
  <c r="D36" i="13" s="1"/>
  <c r="X17" i="13"/>
  <c r="C18" i="13"/>
  <c r="D18" i="13"/>
  <c r="D37" i="13" s="1"/>
  <c r="X18" i="13"/>
  <c r="C19" i="13"/>
  <c r="C38" i="13" s="1"/>
  <c r="D19" i="13"/>
  <c r="X19" i="13"/>
  <c r="C20" i="13"/>
  <c r="C39" i="13" s="1"/>
  <c r="D20" i="13"/>
  <c r="D39" i="13" s="1"/>
  <c r="X20" i="13"/>
  <c r="X21" i="13"/>
  <c r="X22" i="13"/>
  <c r="X23" i="13"/>
  <c r="X24" i="13"/>
  <c r="X25" i="13"/>
  <c r="X26" i="13"/>
  <c r="X27" i="13"/>
  <c r="X28" i="13"/>
  <c r="C29" i="13"/>
  <c r="D29" i="13"/>
  <c r="X29" i="13"/>
  <c r="D30" i="13"/>
  <c r="X30" i="13"/>
  <c r="X31" i="13"/>
  <c r="X32" i="13"/>
  <c r="C33" i="13"/>
  <c r="D33" i="13"/>
  <c r="X33" i="13"/>
  <c r="C34" i="13"/>
  <c r="L34" i="13" s="1"/>
  <c r="D34" i="13"/>
  <c r="X34" i="13"/>
  <c r="X35" i="13"/>
  <c r="C36" i="13"/>
  <c r="X36" i="13"/>
  <c r="C37" i="13"/>
  <c r="X37" i="13"/>
  <c r="D38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C57" i="13"/>
  <c r="D57" i="13"/>
  <c r="G57" i="13"/>
  <c r="X57" i="13"/>
  <c r="C58" i="13"/>
  <c r="D58" i="13"/>
  <c r="G58" i="13"/>
  <c r="X58" i="13"/>
  <c r="C59" i="13"/>
  <c r="D59" i="13"/>
  <c r="G59" i="13"/>
  <c r="X59" i="13"/>
  <c r="C60" i="13"/>
  <c r="D60" i="13"/>
  <c r="G60" i="13"/>
  <c r="X60" i="13"/>
  <c r="C61" i="13"/>
  <c r="D61" i="13"/>
  <c r="G61" i="13"/>
  <c r="X61" i="13"/>
  <c r="C62" i="13"/>
  <c r="D62" i="13"/>
  <c r="G62" i="13"/>
  <c r="X62" i="13"/>
  <c r="C63" i="13"/>
  <c r="D63" i="13"/>
  <c r="G63" i="13"/>
  <c r="X63" i="13"/>
  <c r="C64" i="13"/>
  <c r="D64" i="13"/>
  <c r="G64" i="13"/>
  <c r="X64" i="13"/>
  <c r="C65" i="13"/>
  <c r="D65" i="13"/>
  <c r="G65" i="13"/>
  <c r="X65" i="13"/>
  <c r="C66" i="13"/>
  <c r="D66" i="13"/>
  <c r="G66" i="13"/>
  <c r="X66" i="13"/>
  <c r="C67" i="13"/>
  <c r="D67" i="13"/>
  <c r="G67" i="13"/>
  <c r="X67" i="13"/>
  <c r="C68" i="13"/>
  <c r="D68" i="13"/>
  <c r="G68" i="13"/>
  <c r="X68" i="13"/>
  <c r="C69" i="13"/>
  <c r="D69" i="13"/>
  <c r="G69" i="13"/>
  <c r="X69" i="13"/>
  <c r="C70" i="13"/>
  <c r="D70" i="13"/>
  <c r="G70" i="13"/>
  <c r="X70" i="13"/>
  <c r="C71" i="13"/>
  <c r="D71" i="13"/>
  <c r="G71" i="13"/>
  <c r="X71" i="13"/>
  <c r="C72" i="13"/>
  <c r="D72" i="13"/>
  <c r="G72" i="13"/>
  <c r="X72" i="13"/>
  <c r="C73" i="13"/>
  <c r="D73" i="13"/>
  <c r="G73" i="13"/>
  <c r="X73" i="13"/>
  <c r="C74" i="13"/>
  <c r="D74" i="13"/>
  <c r="G74" i="13"/>
  <c r="X74" i="13"/>
  <c r="C75" i="13"/>
  <c r="D75" i="13"/>
  <c r="G75" i="13"/>
  <c r="X75" i="13"/>
  <c r="C76" i="13"/>
  <c r="D76" i="13"/>
  <c r="G76" i="13"/>
  <c r="X76" i="13"/>
  <c r="C77" i="13"/>
  <c r="D77" i="13"/>
  <c r="G77" i="13"/>
  <c r="X77" i="13"/>
  <c r="C78" i="13"/>
  <c r="D78" i="13"/>
  <c r="G78" i="13"/>
  <c r="X78" i="13"/>
  <c r="C79" i="13"/>
  <c r="D79" i="13"/>
  <c r="G79" i="13"/>
  <c r="X79" i="13"/>
  <c r="C80" i="13"/>
  <c r="D80" i="13"/>
  <c r="G80" i="13"/>
  <c r="X80" i="13"/>
  <c r="C81" i="13"/>
  <c r="D81" i="13"/>
  <c r="G81" i="13"/>
  <c r="X81" i="13"/>
  <c r="C82" i="13"/>
  <c r="D82" i="13"/>
  <c r="G82" i="13"/>
  <c r="X82" i="13"/>
  <c r="C83" i="13"/>
  <c r="D83" i="13"/>
  <c r="G83" i="13"/>
  <c r="X83" i="13"/>
  <c r="C84" i="13"/>
  <c r="D84" i="13"/>
  <c r="G84" i="13"/>
  <c r="X84" i="13"/>
  <c r="C85" i="13"/>
  <c r="D85" i="13"/>
  <c r="G85" i="13"/>
  <c r="X85" i="13"/>
  <c r="C86" i="13"/>
  <c r="D86" i="13"/>
  <c r="G86" i="13"/>
  <c r="X86" i="13"/>
  <c r="C87" i="13"/>
  <c r="D87" i="13"/>
  <c r="G87" i="13"/>
  <c r="X87" i="13"/>
  <c r="C88" i="13"/>
  <c r="D88" i="13"/>
  <c r="G88" i="13"/>
  <c r="X88" i="13"/>
  <c r="B2" i="3"/>
  <c r="C9" i="3"/>
  <c r="D9" i="3"/>
  <c r="X9" i="3"/>
  <c r="C10" i="3"/>
  <c r="C29" i="3" s="1"/>
  <c r="D10" i="3"/>
  <c r="D29" i="3" s="1"/>
  <c r="X10" i="3"/>
  <c r="C11" i="3"/>
  <c r="D11" i="3"/>
  <c r="D30" i="3" s="1"/>
  <c r="X11" i="3"/>
  <c r="C12" i="3"/>
  <c r="D12" i="3"/>
  <c r="D31" i="3" s="1"/>
  <c r="X12" i="3"/>
  <c r="C13" i="3"/>
  <c r="D13" i="3"/>
  <c r="X13" i="3"/>
  <c r="C14" i="3"/>
  <c r="C33" i="3" s="1"/>
  <c r="D14" i="3"/>
  <c r="D33" i="3" s="1"/>
  <c r="X14" i="3"/>
  <c r="C15" i="3"/>
  <c r="C34" i="3" s="1"/>
  <c r="L34" i="3" s="1"/>
  <c r="D15" i="3"/>
  <c r="D34" i="3" s="1"/>
  <c r="X15" i="3"/>
  <c r="C16" i="3"/>
  <c r="D16" i="3"/>
  <c r="X16" i="3"/>
  <c r="C17" i="3"/>
  <c r="D17" i="3"/>
  <c r="X17" i="3"/>
  <c r="C18" i="3"/>
  <c r="C37" i="3" s="1"/>
  <c r="D18" i="3"/>
  <c r="D37" i="3" s="1"/>
  <c r="X18" i="3"/>
  <c r="C19" i="3"/>
  <c r="C38" i="3" s="1"/>
  <c r="D19" i="3"/>
  <c r="D38" i="3" s="1"/>
  <c r="X19" i="3"/>
  <c r="C20" i="3"/>
  <c r="D20" i="3"/>
  <c r="X20" i="3"/>
  <c r="X21" i="3"/>
  <c r="X22" i="3"/>
  <c r="X23" i="3"/>
  <c r="X24" i="3"/>
  <c r="X25" i="3"/>
  <c r="X26" i="3"/>
  <c r="X27" i="3"/>
  <c r="D28" i="3"/>
  <c r="X28" i="3"/>
  <c r="X29" i="3"/>
  <c r="C30" i="3"/>
  <c r="X30" i="3"/>
  <c r="C31" i="3"/>
  <c r="X31" i="3"/>
  <c r="D32" i="3"/>
  <c r="X32" i="3"/>
  <c r="X33" i="3"/>
  <c r="X34" i="3"/>
  <c r="C35" i="3"/>
  <c r="L35" i="3" s="1"/>
  <c r="D35" i="3"/>
  <c r="X35" i="3"/>
  <c r="D36" i="3"/>
  <c r="X36" i="3"/>
  <c r="X37" i="3"/>
  <c r="X38" i="3"/>
  <c r="C39" i="3"/>
  <c r="D39" i="3"/>
  <c r="X39" i="3"/>
  <c r="X40" i="3"/>
  <c r="X41" i="3"/>
  <c r="X42" i="3"/>
  <c r="X43" i="3"/>
  <c r="X44" i="3"/>
  <c r="X45" i="3"/>
  <c r="X46" i="3"/>
  <c r="C47" i="3"/>
  <c r="D47" i="3"/>
  <c r="X47" i="3"/>
  <c r="C48" i="3"/>
  <c r="D48" i="3"/>
  <c r="X48" i="3"/>
  <c r="C49" i="3"/>
  <c r="D49" i="3"/>
  <c r="X49" i="3"/>
  <c r="X50" i="3"/>
  <c r="X51" i="3"/>
  <c r="X52" i="3"/>
  <c r="X53" i="3"/>
  <c r="X54" i="3"/>
  <c r="X55" i="3"/>
  <c r="X56" i="3"/>
  <c r="C57" i="3"/>
  <c r="D57" i="3"/>
  <c r="G57" i="3"/>
  <c r="X57" i="3"/>
  <c r="C58" i="3"/>
  <c r="D58" i="3"/>
  <c r="G58" i="3"/>
  <c r="X58" i="3"/>
  <c r="C59" i="3"/>
  <c r="D59" i="3"/>
  <c r="G59" i="3"/>
  <c r="X59" i="3"/>
  <c r="C60" i="3"/>
  <c r="D60" i="3"/>
  <c r="G60" i="3"/>
  <c r="X60" i="3"/>
  <c r="C61" i="3"/>
  <c r="D61" i="3"/>
  <c r="G61" i="3"/>
  <c r="X61" i="3"/>
  <c r="C62" i="3"/>
  <c r="D62" i="3"/>
  <c r="G62" i="3"/>
  <c r="X62" i="3"/>
  <c r="C63" i="3"/>
  <c r="D63" i="3"/>
  <c r="G63" i="3"/>
  <c r="X63" i="3"/>
  <c r="C64" i="3"/>
  <c r="D64" i="3"/>
  <c r="G64" i="3"/>
  <c r="X64" i="3"/>
  <c r="C65" i="3"/>
  <c r="D65" i="3"/>
  <c r="G65" i="3"/>
  <c r="X65" i="3"/>
  <c r="C66" i="3"/>
  <c r="D66" i="3"/>
  <c r="G66" i="3"/>
  <c r="X66" i="3"/>
  <c r="C67" i="3"/>
  <c r="D67" i="3"/>
  <c r="G67" i="3"/>
  <c r="X67" i="3"/>
  <c r="C68" i="3"/>
  <c r="D68" i="3"/>
  <c r="G68" i="3"/>
  <c r="X68" i="3"/>
  <c r="C69" i="3"/>
  <c r="D69" i="3"/>
  <c r="G69" i="3"/>
  <c r="X69" i="3"/>
  <c r="C70" i="3"/>
  <c r="D70" i="3"/>
  <c r="G70" i="3"/>
  <c r="X70" i="3"/>
  <c r="C71" i="3"/>
  <c r="D71" i="3"/>
  <c r="G71" i="3"/>
  <c r="X71" i="3"/>
  <c r="C72" i="3"/>
  <c r="D72" i="3"/>
  <c r="G72" i="3"/>
  <c r="X72" i="3"/>
  <c r="C73" i="3"/>
  <c r="D73" i="3"/>
  <c r="G73" i="3"/>
  <c r="X73" i="3"/>
  <c r="C74" i="3"/>
  <c r="D74" i="3"/>
  <c r="G74" i="3"/>
  <c r="X74" i="3"/>
  <c r="C75" i="3"/>
  <c r="D75" i="3"/>
  <c r="G75" i="3"/>
  <c r="X75" i="3"/>
  <c r="C76" i="3"/>
  <c r="D76" i="3"/>
  <c r="G76" i="3"/>
  <c r="X76" i="3"/>
  <c r="C77" i="3"/>
  <c r="D77" i="3"/>
  <c r="G77" i="3"/>
  <c r="X77" i="3"/>
  <c r="C78" i="3"/>
  <c r="D78" i="3"/>
  <c r="G78" i="3"/>
  <c r="X78" i="3"/>
  <c r="C79" i="3"/>
  <c r="D79" i="3"/>
  <c r="G79" i="3"/>
  <c r="X79" i="3"/>
  <c r="C80" i="3"/>
  <c r="D80" i="3"/>
  <c r="G80" i="3"/>
  <c r="X80" i="3"/>
  <c r="C81" i="3"/>
  <c r="D81" i="3"/>
  <c r="G81" i="3"/>
  <c r="X81" i="3"/>
  <c r="C82" i="3"/>
  <c r="D82" i="3"/>
  <c r="G82" i="3"/>
  <c r="X82" i="3"/>
  <c r="C83" i="3"/>
  <c r="D83" i="3"/>
  <c r="G83" i="3"/>
  <c r="X83" i="3"/>
  <c r="C84" i="3"/>
  <c r="D84" i="3"/>
  <c r="G84" i="3"/>
  <c r="X84" i="3"/>
  <c r="C85" i="3"/>
  <c r="D85" i="3"/>
  <c r="G85" i="3"/>
  <c r="X85" i="3"/>
  <c r="C86" i="3"/>
  <c r="D86" i="3"/>
  <c r="G86" i="3"/>
  <c r="X86" i="3"/>
  <c r="C87" i="3"/>
  <c r="D87" i="3"/>
  <c r="G87" i="3"/>
  <c r="X87" i="3"/>
  <c r="C88" i="3"/>
  <c r="D88" i="3"/>
  <c r="G88" i="3"/>
  <c r="X88" i="3"/>
  <c r="C9" i="4"/>
  <c r="C28" i="4" s="1"/>
  <c r="D9" i="4"/>
  <c r="X9" i="4"/>
  <c r="C10" i="4"/>
  <c r="C29" i="4" s="1"/>
  <c r="D10" i="4"/>
  <c r="X10" i="4"/>
  <c r="C11" i="4"/>
  <c r="D11" i="4"/>
  <c r="D30" i="4" s="1"/>
  <c r="X11" i="4"/>
  <c r="C12" i="4"/>
  <c r="D12" i="4"/>
  <c r="X12" i="4"/>
  <c r="C13" i="4"/>
  <c r="C32" i="4" s="1"/>
  <c r="D13" i="4"/>
  <c r="D32" i="4" s="1"/>
  <c r="X13" i="4"/>
  <c r="C14" i="4"/>
  <c r="C33" i="4" s="1"/>
  <c r="D14" i="4"/>
  <c r="D33" i="4" s="1"/>
  <c r="X14" i="4"/>
  <c r="C15" i="4"/>
  <c r="D15" i="4"/>
  <c r="D34" i="4" s="1"/>
  <c r="X15" i="4"/>
  <c r="C16" i="4"/>
  <c r="C35" i="4" s="1"/>
  <c r="K35" i="4" s="1"/>
  <c r="D16" i="4"/>
  <c r="X16" i="4"/>
  <c r="C17" i="4"/>
  <c r="C36" i="4" s="1"/>
  <c r="D17" i="4"/>
  <c r="D36" i="4" s="1"/>
  <c r="X17" i="4"/>
  <c r="C18" i="4"/>
  <c r="C37" i="4" s="1"/>
  <c r="D18" i="4"/>
  <c r="X18" i="4"/>
  <c r="C19" i="4"/>
  <c r="D19" i="4"/>
  <c r="D38" i="4" s="1"/>
  <c r="X19" i="4"/>
  <c r="C20" i="4"/>
  <c r="C39" i="4" s="1"/>
  <c r="K39" i="4" s="1"/>
  <c r="D20" i="4"/>
  <c r="X20" i="4"/>
  <c r="X21" i="4"/>
  <c r="X22" i="4"/>
  <c r="X23" i="4"/>
  <c r="X24" i="4"/>
  <c r="X25" i="4"/>
  <c r="X26" i="4"/>
  <c r="X27" i="4"/>
  <c r="D28" i="4"/>
  <c r="X28" i="4"/>
  <c r="D29" i="4"/>
  <c r="X29" i="4"/>
  <c r="C30" i="4"/>
  <c r="X30" i="4"/>
  <c r="C31" i="4"/>
  <c r="K31" i="4" s="1"/>
  <c r="D31" i="4"/>
  <c r="X31" i="4"/>
  <c r="X32" i="4"/>
  <c r="X33" i="4"/>
  <c r="C34" i="4"/>
  <c r="X34" i="4"/>
  <c r="D35" i="4"/>
  <c r="X35" i="4"/>
  <c r="X36" i="4"/>
  <c r="D37" i="4"/>
  <c r="X37" i="4"/>
  <c r="C38" i="4"/>
  <c r="K38" i="4" s="1"/>
  <c r="X38" i="4"/>
  <c r="D39" i="4"/>
  <c r="X39" i="4"/>
  <c r="X40" i="4"/>
  <c r="X41" i="4"/>
  <c r="X42" i="4"/>
  <c r="X43" i="4"/>
  <c r="X44" i="4"/>
  <c r="X45" i="4"/>
  <c r="X46" i="4"/>
  <c r="C47" i="4"/>
  <c r="D47" i="4"/>
  <c r="X47" i="4"/>
  <c r="C48" i="4"/>
  <c r="D48" i="4"/>
  <c r="X48" i="4"/>
  <c r="C49" i="4"/>
  <c r="D49" i="4"/>
  <c r="X49" i="4"/>
  <c r="X50" i="4"/>
  <c r="X51" i="4"/>
  <c r="X52" i="4"/>
  <c r="X53" i="4"/>
  <c r="X54" i="4"/>
  <c r="X55" i="4"/>
  <c r="X56" i="4"/>
  <c r="C57" i="4"/>
  <c r="D57" i="4"/>
  <c r="G57" i="4"/>
  <c r="X57" i="4"/>
  <c r="C58" i="4"/>
  <c r="D58" i="4"/>
  <c r="G58" i="4"/>
  <c r="X58" i="4"/>
  <c r="C59" i="4"/>
  <c r="D59" i="4"/>
  <c r="G59" i="4"/>
  <c r="X59" i="4"/>
  <c r="C60" i="4"/>
  <c r="D60" i="4"/>
  <c r="G60" i="4"/>
  <c r="X60" i="4"/>
  <c r="C61" i="4"/>
  <c r="D61" i="4"/>
  <c r="G61" i="4"/>
  <c r="X61" i="4"/>
  <c r="C62" i="4"/>
  <c r="D62" i="4"/>
  <c r="G62" i="4"/>
  <c r="X62" i="4"/>
  <c r="C63" i="4"/>
  <c r="D63" i="4"/>
  <c r="G63" i="4"/>
  <c r="X63" i="4"/>
  <c r="C64" i="4"/>
  <c r="D64" i="4"/>
  <c r="G64" i="4"/>
  <c r="X64" i="4"/>
  <c r="C65" i="4"/>
  <c r="D65" i="4"/>
  <c r="G65" i="4"/>
  <c r="X65" i="4"/>
  <c r="C66" i="4"/>
  <c r="D66" i="4"/>
  <c r="G66" i="4"/>
  <c r="X66" i="4"/>
  <c r="C67" i="4"/>
  <c r="D67" i="4"/>
  <c r="G67" i="4"/>
  <c r="X67" i="4"/>
  <c r="C68" i="4"/>
  <c r="D68" i="4"/>
  <c r="G68" i="4"/>
  <c r="X68" i="4"/>
  <c r="C69" i="4"/>
  <c r="D69" i="4"/>
  <c r="G69" i="4"/>
  <c r="X69" i="4"/>
  <c r="C70" i="4"/>
  <c r="D70" i="4"/>
  <c r="G70" i="4"/>
  <c r="X70" i="4"/>
  <c r="C71" i="4"/>
  <c r="D71" i="4"/>
  <c r="G71" i="4"/>
  <c r="X71" i="4"/>
  <c r="C72" i="4"/>
  <c r="D72" i="4"/>
  <c r="G72" i="4"/>
  <c r="X72" i="4"/>
  <c r="C73" i="4"/>
  <c r="D73" i="4"/>
  <c r="G73" i="4"/>
  <c r="X73" i="4"/>
  <c r="C74" i="4"/>
  <c r="D74" i="4"/>
  <c r="G74" i="4"/>
  <c r="X74" i="4"/>
  <c r="C75" i="4"/>
  <c r="D75" i="4"/>
  <c r="G75" i="4"/>
  <c r="X75" i="4"/>
  <c r="C76" i="4"/>
  <c r="D76" i="4"/>
  <c r="G76" i="4"/>
  <c r="X76" i="4"/>
  <c r="C77" i="4"/>
  <c r="D77" i="4"/>
  <c r="G77" i="4"/>
  <c r="X77" i="4"/>
  <c r="C78" i="4"/>
  <c r="D78" i="4"/>
  <c r="G78" i="4"/>
  <c r="X78" i="4"/>
  <c r="C79" i="4"/>
  <c r="D79" i="4"/>
  <c r="G79" i="4"/>
  <c r="X79" i="4"/>
  <c r="C80" i="4"/>
  <c r="D80" i="4"/>
  <c r="G80" i="4"/>
  <c r="X80" i="4"/>
  <c r="C81" i="4"/>
  <c r="D81" i="4"/>
  <c r="G81" i="4"/>
  <c r="X81" i="4"/>
  <c r="C82" i="4"/>
  <c r="D82" i="4"/>
  <c r="G82" i="4"/>
  <c r="X82" i="4"/>
  <c r="C83" i="4"/>
  <c r="D83" i="4"/>
  <c r="G83" i="4"/>
  <c r="X83" i="4"/>
  <c r="C84" i="4"/>
  <c r="D84" i="4"/>
  <c r="G84" i="4"/>
  <c r="X84" i="4"/>
  <c r="C85" i="4"/>
  <c r="D85" i="4"/>
  <c r="G85" i="4"/>
  <c r="X85" i="4"/>
  <c r="C86" i="4"/>
  <c r="D86" i="4"/>
  <c r="G86" i="4"/>
  <c r="X86" i="4"/>
  <c r="C87" i="4"/>
  <c r="D87" i="4"/>
  <c r="G87" i="4"/>
  <c r="X87" i="4"/>
  <c r="C88" i="4"/>
  <c r="D88" i="4"/>
  <c r="G88" i="4"/>
  <c r="X88" i="4"/>
  <c r="C9" i="5"/>
  <c r="D9" i="5"/>
  <c r="X9" i="5"/>
  <c r="C10" i="5"/>
  <c r="C29" i="5" s="1"/>
  <c r="D10" i="5"/>
  <c r="D29" i="5" s="1"/>
  <c r="X10" i="5"/>
  <c r="C11" i="5"/>
  <c r="D11" i="5"/>
  <c r="D30" i="5" s="1"/>
  <c r="X11" i="5"/>
  <c r="C12" i="5"/>
  <c r="C31" i="5" s="1"/>
  <c r="D12" i="5"/>
  <c r="X12" i="5"/>
  <c r="C13" i="5"/>
  <c r="D13" i="5"/>
  <c r="D32" i="5" s="1"/>
  <c r="X13" i="5"/>
  <c r="C14" i="5"/>
  <c r="C33" i="5" s="1"/>
  <c r="D14" i="5"/>
  <c r="D33" i="5" s="1"/>
  <c r="X14" i="5"/>
  <c r="C15" i="5"/>
  <c r="D15" i="5"/>
  <c r="D34" i="5" s="1"/>
  <c r="X15" i="5"/>
  <c r="C16" i="5"/>
  <c r="C35" i="5" s="1"/>
  <c r="D16" i="5"/>
  <c r="X16" i="5"/>
  <c r="C17" i="5"/>
  <c r="D17" i="5"/>
  <c r="X17" i="5"/>
  <c r="C18" i="5"/>
  <c r="C37" i="5" s="1"/>
  <c r="D18" i="5"/>
  <c r="D37" i="5" s="1"/>
  <c r="X18" i="5"/>
  <c r="C19" i="5"/>
  <c r="D19" i="5"/>
  <c r="D38" i="5" s="1"/>
  <c r="X19" i="5"/>
  <c r="C20" i="5"/>
  <c r="C39" i="5" s="1"/>
  <c r="D20" i="5"/>
  <c r="X20" i="5"/>
  <c r="X21" i="5"/>
  <c r="X22" i="5"/>
  <c r="X23" i="5"/>
  <c r="X24" i="5"/>
  <c r="X25" i="5"/>
  <c r="X26" i="5"/>
  <c r="X27" i="5"/>
  <c r="D28" i="5"/>
  <c r="X28" i="5"/>
  <c r="X29" i="5"/>
  <c r="C30" i="5"/>
  <c r="X30" i="5"/>
  <c r="D31" i="5"/>
  <c r="X31" i="5"/>
  <c r="X32" i="5"/>
  <c r="X33" i="5"/>
  <c r="C34" i="5"/>
  <c r="X34" i="5"/>
  <c r="D35" i="5"/>
  <c r="X35" i="5"/>
  <c r="D36" i="5"/>
  <c r="X36" i="5"/>
  <c r="X37" i="5"/>
  <c r="C38" i="5"/>
  <c r="X38" i="5"/>
  <c r="D39" i="5"/>
  <c r="X39" i="5"/>
  <c r="X40" i="5"/>
  <c r="X41" i="5"/>
  <c r="X42" i="5"/>
  <c r="X43" i="5"/>
  <c r="X44" i="5"/>
  <c r="X45" i="5"/>
  <c r="X46" i="5"/>
  <c r="C47" i="5"/>
  <c r="D47" i="5"/>
  <c r="X47" i="5"/>
  <c r="C48" i="5"/>
  <c r="D48" i="5"/>
  <c r="X48" i="5"/>
  <c r="C49" i="5"/>
  <c r="D49" i="5"/>
  <c r="X49" i="5"/>
  <c r="X50" i="5"/>
  <c r="X51" i="5"/>
  <c r="X52" i="5"/>
  <c r="X53" i="5"/>
  <c r="X54" i="5"/>
  <c r="X55" i="5"/>
  <c r="X56" i="5"/>
  <c r="C57" i="5"/>
  <c r="D57" i="5"/>
  <c r="G57" i="5"/>
  <c r="X57" i="5"/>
  <c r="C58" i="5"/>
  <c r="D58" i="5"/>
  <c r="G58" i="5"/>
  <c r="X58" i="5"/>
  <c r="C59" i="5"/>
  <c r="D59" i="5"/>
  <c r="G59" i="5"/>
  <c r="X59" i="5"/>
  <c r="C60" i="5"/>
  <c r="D60" i="5"/>
  <c r="G60" i="5"/>
  <c r="X60" i="5"/>
  <c r="C61" i="5"/>
  <c r="D61" i="5"/>
  <c r="G61" i="5"/>
  <c r="X61" i="5"/>
  <c r="C62" i="5"/>
  <c r="D62" i="5"/>
  <c r="G62" i="5"/>
  <c r="X62" i="5"/>
  <c r="C63" i="5"/>
  <c r="D63" i="5"/>
  <c r="G63" i="5"/>
  <c r="X63" i="5"/>
  <c r="C64" i="5"/>
  <c r="D64" i="5"/>
  <c r="G64" i="5"/>
  <c r="X64" i="5"/>
  <c r="C65" i="5"/>
  <c r="D65" i="5"/>
  <c r="G65" i="5"/>
  <c r="X65" i="5"/>
  <c r="C66" i="5"/>
  <c r="D66" i="5"/>
  <c r="G66" i="5"/>
  <c r="X66" i="5"/>
  <c r="C67" i="5"/>
  <c r="D67" i="5"/>
  <c r="G67" i="5"/>
  <c r="X67" i="5"/>
  <c r="C68" i="5"/>
  <c r="D68" i="5"/>
  <c r="G68" i="5"/>
  <c r="X68" i="5"/>
  <c r="C69" i="5"/>
  <c r="D69" i="5"/>
  <c r="G69" i="5"/>
  <c r="X69" i="5"/>
  <c r="C70" i="5"/>
  <c r="D70" i="5"/>
  <c r="G70" i="5"/>
  <c r="X70" i="5"/>
  <c r="C71" i="5"/>
  <c r="D71" i="5"/>
  <c r="G71" i="5"/>
  <c r="X71" i="5"/>
  <c r="C72" i="5"/>
  <c r="D72" i="5"/>
  <c r="G72" i="5"/>
  <c r="X72" i="5"/>
  <c r="C73" i="5"/>
  <c r="D73" i="5"/>
  <c r="G73" i="5"/>
  <c r="X73" i="5"/>
  <c r="C74" i="5"/>
  <c r="D74" i="5"/>
  <c r="G74" i="5"/>
  <c r="X74" i="5"/>
  <c r="C75" i="5"/>
  <c r="D75" i="5"/>
  <c r="G75" i="5"/>
  <c r="X75" i="5"/>
  <c r="C76" i="5"/>
  <c r="D76" i="5"/>
  <c r="G76" i="5"/>
  <c r="X76" i="5"/>
  <c r="C77" i="5"/>
  <c r="D77" i="5"/>
  <c r="G77" i="5"/>
  <c r="X77" i="5"/>
  <c r="C78" i="5"/>
  <c r="D78" i="5"/>
  <c r="G78" i="5"/>
  <c r="X78" i="5"/>
  <c r="C79" i="5"/>
  <c r="D79" i="5"/>
  <c r="G79" i="5"/>
  <c r="X79" i="5"/>
  <c r="C80" i="5"/>
  <c r="D80" i="5"/>
  <c r="G80" i="5"/>
  <c r="X80" i="5"/>
  <c r="C81" i="5"/>
  <c r="D81" i="5"/>
  <c r="G81" i="5"/>
  <c r="X81" i="5"/>
  <c r="C82" i="5"/>
  <c r="D82" i="5"/>
  <c r="G82" i="5"/>
  <c r="X82" i="5"/>
  <c r="C83" i="5"/>
  <c r="D83" i="5"/>
  <c r="G83" i="5"/>
  <c r="X83" i="5"/>
  <c r="C84" i="5"/>
  <c r="D84" i="5"/>
  <c r="G84" i="5"/>
  <c r="X84" i="5"/>
  <c r="C85" i="5"/>
  <c r="D85" i="5"/>
  <c r="G85" i="5"/>
  <c r="X85" i="5"/>
  <c r="C86" i="5"/>
  <c r="D86" i="5"/>
  <c r="G86" i="5"/>
  <c r="X86" i="5"/>
  <c r="C87" i="5"/>
  <c r="D87" i="5"/>
  <c r="G87" i="5"/>
  <c r="X87" i="5"/>
  <c r="C88" i="5"/>
  <c r="D88" i="5"/>
  <c r="G88" i="5"/>
  <c r="X88" i="5"/>
  <c r="C9" i="6"/>
  <c r="C28" i="6" s="1"/>
  <c r="D9" i="6"/>
  <c r="X9" i="6"/>
  <c r="C10" i="6"/>
  <c r="C29" i="6" s="1"/>
  <c r="D10" i="6"/>
  <c r="X10" i="6"/>
  <c r="C11" i="6"/>
  <c r="D11" i="6"/>
  <c r="D30" i="6" s="1"/>
  <c r="X11" i="6"/>
  <c r="C12" i="6"/>
  <c r="D12" i="6"/>
  <c r="X12" i="6"/>
  <c r="C13" i="6"/>
  <c r="C32" i="6" s="1"/>
  <c r="D13" i="6"/>
  <c r="D32" i="6" s="1"/>
  <c r="X13" i="6"/>
  <c r="C14" i="6"/>
  <c r="C33" i="6" s="1"/>
  <c r="D14" i="6"/>
  <c r="D33" i="6" s="1"/>
  <c r="X14" i="6"/>
  <c r="C15" i="6"/>
  <c r="D15" i="6"/>
  <c r="D34" i="6" s="1"/>
  <c r="X15" i="6"/>
  <c r="C16" i="6"/>
  <c r="D16" i="6"/>
  <c r="X16" i="6"/>
  <c r="C17" i="6"/>
  <c r="C36" i="6" s="1"/>
  <c r="D17" i="6"/>
  <c r="D36" i="6" s="1"/>
  <c r="X17" i="6"/>
  <c r="C18" i="6"/>
  <c r="C37" i="6" s="1"/>
  <c r="D18" i="6"/>
  <c r="X18" i="6"/>
  <c r="C19" i="6"/>
  <c r="D19" i="6"/>
  <c r="D38" i="6" s="1"/>
  <c r="X19" i="6"/>
  <c r="C20" i="6"/>
  <c r="C39" i="6" s="1"/>
  <c r="K39" i="6" s="1"/>
  <c r="D20" i="6"/>
  <c r="X20" i="6"/>
  <c r="X21" i="6"/>
  <c r="X22" i="6"/>
  <c r="X23" i="6"/>
  <c r="X24" i="6"/>
  <c r="X25" i="6"/>
  <c r="X26" i="6"/>
  <c r="X27" i="6"/>
  <c r="D28" i="6"/>
  <c r="X28" i="6"/>
  <c r="D29" i="6"/>
  <c r="X29" i="6"/>
  <c r="C30" i="6"/>
  <c r="K30" i="6" s="1"/>
  <c r="X30" i="6"/>
  <c r="C31" i="6"/>
  <c r="K31" i="6" s="1"/>
  <c r="D31" i="6"/>
  <c r="X31" i="6"/>
  <c r="X32" i="6"/>
  <c r="X33" i="6"/>
  <c r="C34" i="6"/>
  <c r="X34" i="6"/>
  <c r="C35" i="6"/>
  <c r="D35" i="6"/>
  <c r="X35" i="6"/>
  <c r="X36" i="6"/>
  <c r="D37" i="6"/>
  <c r="X37" i="6"/>
  <c r="C38" i="6"/>
  <c r="X38" i="6"/>
  <c r="D39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C57" i="6"/>
  <c r="G57" i="6" s="1"/>
  <c r="D57" i="6"/>
  <c r="X57" i="6"/>
  <c r="C58" i="6"/>
  <c r="G58" i="6" s="1"/>
  <c r="D58" i="6"/>
  <c r="X58" i="6"/>
  <c r="C59" i="6"/>
  <c r="G59" i="6" s="1"/>
  <c r="D59" i="6"/>
  <c r="X59" i="6"/>
  <c r="C60" i="6"/>
  <c r="G60" i="6" s="1"/>
  <c r="D60" i="6"/>
  <c r="X60" i="6"/>
  <c r="C61" i="6"/>
  <c r="G61" i="6" s="1"/>
  <c r="D61" i="6"/>
  <c r="X61" i="6"/>
  <c r="C62" i="6"/>
  <c r="G62" i="6" s="1"/>
  <c r="D62" i="6"/>
  <c r="X62" i="6"/>
  <c r="C63" i="6"/>
  <c r="G63" i="6" s="1"/>
  <c r="D63" i="6"/>
  <c r="X63" i="6"/>
  <c r="C64" i="6"/>
  <c r="G64" i="6" s="1"/>
  <c r="D64" i="6"/>
  <c r="X64" i="6"/>
  <c r="C65" i="6"/>
  <c r="G65" i="6" s="1"/>
  <c r="D65" i="6"/>
  <c r="X65" i="6"/>
  <c r="C66" i="6"/>
  <c r="G66" i="6" s="1"/>
  <c r="D66" i="6"/>
  <c r="X66" i="6"/>
  <c r="C67" i="6"/>
  <c r="G67" i="6" s="1"/>
  <c r="D67" i="6"/>
  <c r="X67" i="6"/>
  <c r="C68" i="6"/>
  <c r="G68" i="6" s="1"/>
  <c r="D68" i="6"/>
  <c r="X68" i="6"/>
  <c r="C69" i="6"/>
  <c r="G69" i="6" s="1"/>
  <c r="D69" i="6"/>
  <c r="X69" i="6"/>
  <c r="C70" i="6"/>
  <c r="G70" i="6" s="1"/>
  <c r="D70" i="6"/>
  <c r="X70" i="6"/>
  <c r="C71" i="6"/>
  <c r="G71" i="6" s="1"/>
  <c r="D71" i="6"/>
  <c r="X71" i="6"/>
  <c r="C72" i="6"/>
  <c r="G72" i="6" s="1"/>
  <c r="D72" i="6"/>
  <c r="X72" i="6"/>
  <c r="C73" i="6"/>
  <c r="G73" i="6" s="1"/>
  <c r="D73" i="6"/>
  <c r="X73" i="6"/>
  <c r="C74" i="6"/>
  <c r="G74" i="6" s="1"/>
  <c r="D74" i="6"/>
  <c r="X74" i="6"/>
  <c r="C75" i="6"/>
  <c r="G75" i="6" s="1"/>
  <c r="D75" i="6"/>
  <c r="X75" i="6"/>
  <c r="C76" i="6"/>
  <c r="G76" i="6" s="1"/>
  <c r="D76" i="6"/>
  <c r="X76" i="6"/>
  <c r="C77" i="6"/>
  <c r="G77" i="6" s="1"/>
  <c r="D77" i="6"/>
  <c r="X77" i="6"/>
  <c r="C78" i="6"/>
  <c r="G78" i="6" s="1"/>
  <c r="D78" i="6"/>
  <c r="X78" i="6"/>
  <c r="C79" i="6"/>
  <c r="G79" i="6" s="1"/>
  <c r="D79" i="6"/>
  <c r="X79" i="6"/>
  <c r="C80" i="6"/>
  <c r="G80" i="6" s="1"/>
  <c r="D80" i="6"/>
  <c r="X80" i="6"/>
  <c r="C81" i="6"/>
  <c r="G81" i="6" s="1"/>
  <c r="D81" i="6"/>
  <c r="X81" i="6"/>
  <c r="C82" i="6"/>
  <c r="G82" i="6" s="1"/>
  <c r="D82" i="6"/>
  <c r="X82" i="6"/>
  <c r="C83" i="6"/>
  <c r="G83" i="6" s="1"/>
  <c r="D83" i="6"/>
  <c r="X83" i="6"/>
  <c r="C84" i="6"/>
  <c r="G84" i="6" s="1"/>
  <c r="D84" i="6"/>
  <c r="X84" i="6"/>
  <c r="C85" i="6"/>
  <c r="G85" i="6" s="1"/>
  <c r="D85" i="6"/>
  <c r="X85" i="6"/>
  <c r="C86" i="6"/>
  <c r="G86" i="6" s="1"/>
  <c r="D86" i="6"/>
  <c r="X86" i="6"/>
  <c r="C87" i="6"/>
  <c r="G87" i="6" s="1"/>
  <c r="D87" i="6"/>
  <c r="X87" i="6"/>
  <c r="C88" i="6"/>
  <c r="G88" i="6" s="1"/>
  <c r="D88" i="6"/>
  <c r="X88" i="6"/>
  <c r="C9" i="7"/>
  <c r="C28" i="7" s="1"/>
  <c r="D9" i="7"/>
  <c r="D28" i="7" s="1"/>
  <c r="X9" i="7"/>
  <c r="C10" i="7"/>
  <c r="C29" i="7" s="1"/>
  <c r="D10" i="7"/>
  <c r="D29" i="7" s="1"/>
  <c r="X10" i="7"/>
  <c r="C11" i="7"/>
  <c r="C30" i="7" s="1"/>
  <c r="D11" i="7"/>
  <c r="D30" i="7" s="1"/>
  <c r="X11" i="7"/>
  <c r="C12" i="7"/>
  <c r="C31" i="7" s="1"/>
  <c r="D12" i="7"/>
  <c r="D31" i="7" s="1"/>
  <c r="X12" i="7"/>
  <c r="C13" i="7"/>
  <c r="D13" i="7"/>
  <c r="D32" i="7" s="1"/>
  <c r="X13" i="7"/>
  <c r="C14" i="7"/>
  <c r="D14" i="7"/>
  <c r="D33" i="7" s="1"/>
  <c r="X14" i="7"/>
  <c r="C15" i="7"/>
  <c r="C34" i="7" s="1"/>
  <c r="D15" i="7"/>
  <c r="X15" i="7"/>
  <c r="C16" i="7"/>
  <c r="D16" i="7"/>
  <c r="D35" i="7" s="1"/>
  <c r="X16" i="7"/>
  <c r="C17" i="7"/>
  <c r="C36" i="7" s="1"/>
  <c r="J36" i="7" s="1"/>
  <c r="D17" i="7"/>
  <c r="X17" i="7"/>
  <c r="C18" i="7"/>
  <c r="D18" i="7"/>
  <c r="D37" i="7" s="1"/>
  <c r="X18" i="7"/>
  <c r="C19" i="7"/>
  <c r="C38" i="7" s="1"/>
  <c r="D19" i="7"/>
  <c r="X19" i="7"/>
  <c r="C20" i="7"/>
  <c r="D20" i="7"/>
  <c r="D39" i="7" s="1"/>
  <c r="X20" i="7"/>
  <c r="X21" i="7"/>
  <c r="X22" i="7"/>
  <c r="X23" i="7"/>
  <c r="X24" i="7"/>
  <c r="X25" i="7"/>
  <c r="X26" i="7"/>
  <c r="X27" i="7"/>
  <c r="X28" i="7"/>
  <c r="X29" i="7"/>
  <c r="X30" i="7"/>
  <c r="X31" i="7"/>
  <c r="C32" i="7"/>
  <c r="X32" i="7"/>
  <c r="C33" i="7"/>
  <c r="X33" i="7"/>
  <c r="D34" i="7"/>
  <c r="X34" i="7"/>
  <c r="C35" i="7"/>
  <c r="X35" i="7"/>
  <c r="D36" i="7"/>
  <c r="X36" i="7"/>
  <c r="C37" i="7"/>
  <c r="X37" i="7"/>
  <c r="D38" i="7"/>
  <c r="X38" i="7"/>
  <c r="C39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C57" i="7"/>
  <c r="D57" i="7"/>
  <c r="G57" i="7"/>
  <c r="X57" i="7"/>
  <c r="C58" i="7"/>
  <c r="D58" i="7"/>
  <c r="G58" i="7"/>
  <c r="X58" i="7"/>
  <c r="C59" i="7"/>
  <c r="D59" i="7"/>
  <c r="G59" i="7"/>
  <c r="X59" i="7"/>
  <c r="C60" i="7"/>
  <c r="D60" i="7"/>
  <c r="G60" i="7"/>
  <c r="X60" i="7"/>
  <c r="C61" i="7"/>
  <c r="D61" i="7"/>
  <c r="G61" i="7"/>
  <c r="X61" i="7"/>
  <c r="C62" i="7"/>
  <c r="D62" i="7"/>
  <c r="G62" i="7"/>
  <c r="X62" i="7"/>
  <c r="C63" i="7"/>
  <c r="D63" i="7"/>
  <c r="G63" i="7"/>
  <c r="X63" i="7"/>
  <c r="C64" i="7"/>
  <c r="D64" i="7"/>
  <c r="G64" i="7"/>
  <c r="X64" i="7"/>
  <c r="C65" i="7"/>
  <c r="D65" i="7"/>
  <c r="G65" i="7"/>
  <c r="X65" i="7"/>
  <c r="C66" i="7"/>
  <c r="D66" i="7"/>
  <c r="G66" i="7"/>
  <c r="X66" i="7"/>
  <c r="C67" i="7"/>
  <c r="D67" i="7"/>
  <c r="G67" i="7"/>
  <c r="X67" i="7"/>
  <c r="C68" i="7"/>
  <c r="D68" i="7"/>
  <c r="G68" i="7"/>
  <c r="X68" i="7"/>
  <c r="C69" i="7"/>
  <c r="D69" i="7"/>
  <c r="G69" i="7"/>
  <c r="X69" i="7"/>
  <c r="C70" i="7"/>
  <c r="D70" i="7"/>
  <c r="G70" i="7"/>
  <c r="X70" i="7"/>
  <c r="C71" i="7"/>
  <c r="D71" i="7"/>
  <c r="G71" i="7"/>
  <c r="X71" i="7"/>
  <c r="C72" i="7"/>
  <c r="D72" i="7"/>
  <c r="G72" i="7"/>
  <c r="X72" i="7"/>
  <c r="C73" i="7"/>
  <c r="D73" i="7"/>
  <c r="G73" i="7"/>
  <c r="X73" i="7"/>
  <c r="C74" i="7"/>
  <c r="D74" i="7"/>
  <c r="G74" i="7"/>
  <c r="X74" i="7"/>
  <c r="C75" i="7"/>
  <c r="D75" i="7"/>
  <c r="G75" i="7"/>
  <c r="X75" i="7"/>
  <c r="C76" i="7"/>
  <c r="D76" i="7"/>
  <c r="G76" i="7"/>
  <c r="X76" i="7"/>
  <c r="C77" i="7"/>
  <c r="D77" i="7"/>
  <c r="G77" i="7"/>
  <c r="X77" i="7"/>
  <c r="C78" i="7"/>
  <c r="D78" i="7"/>
  <c r="G78" i="7"/>
  <c r="X78" i="7"/>
  <c r="C79" i="7"/>
  <c r="D79" i="7"/>
  <c r="G79" i="7"/>
  <c r="X79" i="7"/>
  <c r="C80" i="7"/>
  <c r="D80" i="7"/>
  <c r="G80" i="7"/>
  <c r="X80" i="7"/>
  <c r="C81" i="7"/>
  <c r="D81" i="7"/>
  <c r="G81" i="7"/>
  <c r="X81" i="7"/>
  <c r="C82" i="7"/>
  <c r="D82" i="7"/>
  <c r="G82" i="7"/>
  <c r="X82" i="7"/>
  <c r="C83" i="7"/>
  <c r="D83" i="7"/>
  <c r="G83" i="7"/>
  <c r="X83" i="7"/>
  <c r="C84" i="7"/>
  <c r="D84" i="7"/>
  <c r="G84" i="7"/>
  <c r="X84" i="7"/>
  <c r="C85" i="7"/>
  <c r="D85" i="7"/>
  <c r="G85" i="7"/>
  <c r="X85" i="7"/>
  <c r="C86" i="7"/>
  <c r="D86" i="7"/>
  <c r="G86" i="7"/>
  <c r="X86" i="7"/>
  <c r="C87" i="7"/>
  <c r="D87" i="7"/>
  <c r="G87" i="7"/>
  <c r="X87" i="7"/>
  <c r="C88" i="7"/>
  <c r="D88" i="7"/>
  <c r="G88" i="7"/>
  <c r="X88" i="7"/>
  <c r="C9" i="8"/>
  <c r="D9" i="8"/>
  <c r="X9" i="8"/>
  <c r="C10" i="8"/>
  <c r="D10" i="8"/>
  <c r="D29" i="8" s="1"/>
  <c r="X10" i="8"/>
  <c r="C11" i="8"/>
  <c r="D11" i="8"/>
  <c r="D30" i="8" s="1"/>
  <c r="X11" i="8"/>
  <c r="C12" i="8"/>
  <c r="K12" i="8" s="1"/>
  <c r="D12" i="8"/>
  <c r="D31" i="8" s="1"/>
  <c r="X12" i="8"/>
  <c r="C13" i="8"/>
  <c r="D13" i="8"/>
  <c r="X13" i="8"/>
  <c r="C14" i="8"/>
  <c r="D14" i="8"/>
  <c r="D33" i="8" s="1"/>
  <c r="X14" i="8"/>
  <c r="C15" i="8"/>
  <c r="C34" i="8" s="1"/>
  <c r="K34" i="8" s="1"/>
  <c r="D15" i="8"/>
  <c r="D34" i="8" s="1"/>
  <c r="X15" i="8"/>
  <c r="C16" i="8"/>
  <c r="K16" i="8" s="1"/>
  <c r="D16" i="8"/>
  <c r="D35" i="8" s="1"/>
  <c r="X16" i="8"/>
  <c r="C17" i="8"/>
  <c r="D17" i="8"/>
  <c r="X17" i="8"/>
  <c r="C18" i="8"/>
  <c r="D18" i="8"/>
  <c r="D37" i="8" s="1"/>
  <c r="X18" i="8"/>
  <c r="C19" i="8"/>
  <c r="D19" i="8"/>
  <c r="D38" i="8" s="1"/>
  <c r="X19" i="8"/>
  <c r="C20" i="8"/>
  <c r="K20" i="8" s="1"/>
  <c r="D20" i="8"/>
  <c r="D39" i="8" s="1"/>
  <c r="X20" i="8"/>
  <c r="X21" i="8"/>
  <c r="X22" i="8"/>
  <c r="X23" i="8"/>
  <c r="X24" i="8"/>
  <c r="X25" i="8"/>
  <c r="X26" i="8"/>
  <c r="X27" i="8"/>
  <c r="D28" i="8"/>
  <c r="X28" i="8"/>
  <c r="X29" i="8"/>
  <c r="C30" i="8"/>
  <c r="K30" i="8" s="1"/>
  <c r="X30" i="8"/>
  <c r="C31" i="8"/>
  <c r="K31" i="8" s="1"/>
  <c r="X31" i="8"/>
  <c r="D32" i="8"/>
  <c r="X32" i="8"/>
  <c r="X33" i="8"/>
  <c r="X34" i="8"/>
  <c r="C35" i="8"/>
  <c r="X35" i="8"/>
  <c r="D36" i="8"/>
  <c r="X36" i="8"/>
  <c r="X37" i="8"/>
  <c r="C38" i="8"/>
  <c r="K38" i="8" s="1"/>
  <c r="X38" i="8"/>
  <c r="C39" i="8"/>
  <c r="K39" i="8" s="1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C57" i="8"/>
  <c r="G57" i="8" s="1"/>
  <c r="D57" i="8"/>
  <c r="X57" i="8"/>
  <c r="C58" i="8"/>
  <c r="G58" i="8" s="1"/>
  <c r="D58" i="8"/>
  <c r="X58" i="8"/>
  <c r="C59" i="8"/>
  <c r="G59" i="8" s="1"/>
  <c r="D59" i="8"/>
  <c r="X59" i="8"/>
  <c r="C60" i="8"/>
  <c r="G60" i="8" s="1"/>
  <c r="D60" i="8"/>
  <c r="X60" i="8"/>
  <c r="C61" i="8"/>
  <c r="G61" i="8" s="1"/>
  <c r="D61" i="8"/>
  <c r="X61" i="8"/>
  <c r="C62" i="8"/>
  <c r="G62" i="8" s="1"/>
  <c r="D62" i="8"/>
  <c r="X62" i="8"/>
  <c r="C63" i="8"/>
  <c r="G63" i="8" s="1"/>
  <c r="D63" i="8"/>
  <c r="X63" i="8"/>
  <c r="C64" i="8"/>
  <c r="G64" i="8" s="1"/>
  <c r="D64" i="8"/>
  <c r="X64" i="8"/>
  <c r="C65" i="8"/>
  <c r="G65" i="8" s="1"/>
  <c r="D65" i="8"/>
  <c r="X65" i="8"/>
  <c r="C66" i="8"/>
  <c r="G66" i="8" s="1"/>
  <c r="D66" i="8"/>
  <c r="X66" i="8"/>
  <c r="C67" i="8"/>
  <c r="G67" i="8" s="1"/>
  <c r="D67" i="8"/>
  <c r="X67" i="8"/>
  <c r="C68" i="8"/>
  <c r="G68" i="8" s="1"/>
  <c r="D68" i="8"/>
  <c r="X68" i="8"/>
  <c r="C69" i="8"/>
  <c r="G69" i="8" s="1"/>
  <c r="D69" i="8"/>
  <c r="X69" i="8"/>
  <c r="C70" i="8"/>
  <c r="G70" i="8" s="1"/>
  <c r="D70" i="8"/>
  <c r="X70" i="8"/>
  <c r="C71" i="8"/>
  <c r="G71" i="8" s="1"/>
  <c r="D71" i="8"/>
  <c r="X71" i="8"/>
  <c r="C72" i="8"/>
  <c r="G72" i="8" s="1"/>
  <c r="D72" i="8"/>
  <c r="X72" i="8"/>
  <c r="C73" i="8"/>
  <c r="G73" i="8" s="1"/>
  <c r="D73" i="8"/>
  <c r="X73" i="8"/>
  <c r="C74" i="8"/>
  <c r="G74" i="8" s="1"/>
  <c r="D74" i="8"/>
  <c r="X74" i="8"/>
  <c r="C75" i="8"/>
  <c r="G75" i="8" s="1"/>
  <c r="D75" i="8"/>
  <c r="X75" i="8"/>
  <c r="C76" i="8"/>
  <c r="G76" i="8" s="1"/>
  <c r="D76" i="8"/>
  <c r="X76" i="8"/>
  <c r="C77" i="8"/>
  <c r="G77" i="8" s="1"/>
  <c r="D77" i="8"/>
  <c r="X77" i="8"/>
  <c r="C78" i="8"/>
  <c r="G78" i="8" s="1"/>
  <c r="D78" i="8"/>
  <c r="X78" i="8"/>
  <c r="C79" i="8"/>
  <c r="G79" i="8" s="1"/>
  <c r="D79" i="8"/>
  <c r="X79" i="8"/>
  <c r="C80" i="8"/>
  <c r="G80" i="8" s="1"/>
  <c r="D80" i="8"/>
  <c r="X80" i="8"/>
  <c r="C81" i="8"/>
  <c r="G81" i="8" s="1"/>
  <c r="D81" i="8"/>
  <c r="X81" i="8"/>
  <c r="C82" i="8"/>
  <c r="G82" i="8" s="1"/>
  <c r="D82" i="8"/>
  <c r="X82" i="8"/>
  <c r="C83" i="8"/>
  <c r="G83" i="8" s="1"/>
  <c r="D83" i="8"/>
  <c r="X83" i="8"/>
  <c r="C84" i="8"/>
  <c r="G84" i="8" s="1"/>
  <c r="D84" i="8"/>
  <c r="X84" i="8"/>
  <c r="C85" i="8"/>
  <c r="G85" i="8" s="1"/>
  <c r="D85" i="8"/>
  <c r="X85" i="8"/>
  <c r="C86" i="8"/>
  <c r="G86" i="8" s="1"/>
  <c r="D86" i="8"/>
  <c r="X86" i="8"/>
  <c r="C87" i="8"/>
  <c r="G87" i="8" s="1"/>
  <c r="D87" i="8"/>
  <c r="X87" i="8"/>
  <c r="C88" i="8"/>
  <c r="G88" i="8" s="1"/>
  <c r="D88" i="8"/>
  <c r="X88" i="8"/>
  <c r="C9" i="9"/>
  <c r="C28" i="9" s="1"/>
  <c r="J28" i="9" s="1"/>
  <c r="D9" i="9"/>
  <c r="D28" i="9" s="1"/>
  <c r="X9" i="9"/>
  <c r="C10" i="9"/>
  <c r="D10" i="9"/>
  <c r="D29" i="9" s="1"/>
  <c r="X10" i="9"/>
  <c r="C11" i="9"/>
  <c r="D11" i="9"/>
  <c r="X11" i="9"/>
  <c r="C12" i="9"/>
  <c r="C31" i="9" s="1"/>
  <c r="L31" i="9" s="1"/>
  <c r="D12" i="9"/>
  <c r="D31" i="9" s="1"/>
  <c r="X12" i="9"/>
  <c r="C13" i="9"/>
  <c r="C32" i="9" s="1"/>
  <c r="D13" i="9"/>
  <c r="D32" i="9" s="1"/>
  <c r="X13" i="9"/>
  <c r="C14" i="9"/>
  <c r="D14" i="9"/>
  <c r="X14" i="9"/>
  <c r="C15" i="9"/>
  <c r="D15" i="9"/>
  <c r="X15" i="9"/>
  <c r="C16" i="9"/>
  <c r="C35" i="9" s="1"/>
  <c r="L35" i="9" s="1"/>
  <c r="D16" i="9"/>
  <c r="D35" i="9" s="1"/>
  <c r="X16" i="9"/>
  <c r="C17" i="9"/>
  <c r="D17" i="9"/>
  <c r="D36" i="9" s="1"/>
  <c r="X17" i="9"/>
  <c r="C18" i="9"/>
  <c r="D18" i="9"/>
  <c r="D37" i="9" s="1"/>
  <c r="X18" i="9"/>
  <c r="C19" i="9"/>
  <c r="L19" i="9" s="1"/>
  <c r="D19" i="9"/>
  <c r="X19" i="9"/>
  <c r="C20" i="9"/>
  <c r="C39" i="9" s="1"/>
  <c r="L39" i="9" s="1"/>
  <c r="D20" i="9"/>
  <c r="D39" i="9" s="1"/>
  <c r="X20" i="9"/>
  <c r="X21" i="9"/>
  <c r="X22" i="9"/>
  <c r="X23" i="9"/>
  <c r="X24" i="9"/>
  <c r="X25" i="9"/>
  <c r="X26" i="9"/>
  <c r="X27" i="9"/>
  <c r="X28" i="9"/>
  <c r="C29" i="9"/>
  <c r="J29" i="9" s="1"/>
  <c r="X29" i="9"/>
  <c r="D30" i="9"/>
  <c r="X30" i="9"/>
  <c r="X31" i="9"/>
  <c r="X32" i="9"/>
  <c r="C33" i="9"/>
  <c r="J33" i="9" s="1"/>
  <c r="D33" i="9"/>
  <c r="X33" i="9"/>
  <c r="D34" i="9"/>
  <c r="X34" i="9"/>
  <c r="X35" i="9"/>
  <c r="X36" i="9"/>
  <c r="C37" i="9"/>
  <c r="J37" i="9" s="1"/>
  <c r="X37" i="9"/>
  <c r="D38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C57" i="9"/>
  <c r="D57" i="9"/>
  <c r="G57" i="9"/>
  <c r="X57" i="9"/>
  <c r="C58" i="9"/>
  <c r="D58" i="9"/>
  <c r="G58" i="9"/>
  <c r="X58" i="9"/>
  <c r="C59" i="9"/>
  <c r="D59" i="9"/>
  <c r="G59" i="9"/>
  <c r="X59" i="9"/>
  <c r="C60" i="9"/>
  <c r="D60" i="9"/>
  <c r="G60" i="9"/>
  <c r="X60" i="9"/>
  <c r="C61" i="9"/>
  <c r="D61" i="9"/>
  <c r="G61" i="9"/>
  <c r="X61" i="9"/>
  <c r="C62" i="9"/>
  <c r="D62" i="9"/>
  <c r="G62" i="9"/>
  <c r="X62" i="9"/>
  <c r="C63" i="9"/>
  <c r="D63" i="9"/>
  <c r="G63" i="9"/>
  <c r="X63" i="9"/>
  <c r="C64" i="9"/>
  <c r="D64" i="9"/>
  <c r="G64" i="9"/>
  <c r="X64" i="9"/>
  <c r="C65" i="9"/>
  <c r="D65" i="9"/>
  <c r="G65" i="9"/>
  <c r="X65" i="9"/>
  <c r="C66" i="9"/>
  <c r="D66" i="9"/>
  <c r="G66" i="9"/>
  <c r="X66" i="9"/>
  <c r="C67" i="9"/>
  <c r="D67" i="9"/>
  <c r="G67" i="9"/>
  <c r="X67" i="9"/>
  <c r="C68" i="9"/>
  <c r="D68" i="9"/>
  <c r="G68" i="9"/>
  <c r="X68" i="9"/>
  <c r="C69" i="9"/>
  <c r="D69" i="9"/>
  <c r="G69" i="9"/>
  <c r="X69" i="9"/>
  <c r="C70" i="9"/>
  <c r="D70" i="9"/>
  <c r="G70" i="9"/>
  <c r="X70" i="9"/>
  <c r="C71" i="9"/>
  <c r="D71" i="9"/>
  <c r="G71" i="9"/>
  <c r="X71" i="9"/>
  <c r="C72" i="9"/>
  <c r="D72" i="9"/>
  <c r="G72" i="9"/>
  <c r="X72" i="9"/>
  <c r="C73" i="9"/>
  <c r="D73" i="9"/>
  <c r="G73" i="9"/>
  <c r="X73" i="9"/>
  <c r="C74" i="9"/>
  <c r="D74" i="9"/>
  <c r="G74" i="9"/>
  <c r="X74" i="9"/>
  <c r="C75" i="9"/>
  <c r="D75" i="9"/>
  <c r="G75" i="9"/>
  <c r="X75" i="9"/>
  <c r="C76" i="9"/>
  <c r="D76" i="9"/>
  <c r="G76" i="9"/>
  <c r="X76" i="9"/>
  <c r="C77" i="9"/>
  <c r="D77" i="9"/>
  <c r="G77" i="9"/>
  <c r="X77" i="9"/>
  <c r="C78" i="9"/>
  <c r="D78" i="9"/>
  <c r="G78" i="9"/>
  <c r="X78" i="9"/>
  <c r="C79" i="9"/>
  <c r="D79" i="9"/>
  <c r="G79" i="9"/>
  <c r="X79" i="9"/>
  <c r="C80" i="9"/>
  <c r="D80" i="9"/>
  <c r="G80" i="9"/>
  <c r="X80" i="9"/>
  <c r="C81" i="9"/>
  <c r="D81" i="9"/>
  <c r="G81" i="9"/>
  <c r="X81" i="9"/>
  <c r="C82" i="9"/>
  <c r="D82" i="9"/>
  <c r="G82" i="9"/>
  <c r="X82" i="9"/>
  <c r="C83" i="9"/>
  <c r="D83" i="9"/>
  <c r="G83" i="9"/>
  <c r="X83" i="9"/>
  <c r="C84" i="9"/>
  <c r="D84" i="9"/>
  <c r="G84" i="9"/>
  <c r="X84" i="9"/>
  <c r="C85" i="9"/>
  <c r="D85" i="9"/>
  <c r="G85" i="9"/>
  <c r="X85" i="9"/>
  <c r="C86" i="9"/>
  <c r="D86" i="9"/>
  <c r="G86" i="9"/>
  <c r="X86" i="9"/>
  <c r="C87" i="9"/>
  <c r="D87" i="9"/>
  <c r="G87" i="9"/>
  <c r="X87" i="9"/>
  <c r="C88" i="9"/>
  <c r="D88" i="9"/>
  <c r="G88" i="9"/>
  <c r="X88" i="9"/>
  <c r="C9" i="10"/>
  <c r="D9" i="10"/>
  <c r="D28" i="10" s="1"/>
  <c r="X9" i="10"/>
  <c r="C10" i="10"/>
  <c r="D10" i="10"/>
  <c r="X10" i="10"/>
  <c r="C11" i="10"/>
  <c r="D11" i="10"/>
  <c r="D30" i="10" s="1"/>
  <c r="X11" i="10"/>
  <c r="C12" i="10"/>
  <c r="D12" i="10"/>
  <c r="X12" i="10"/>
  <c r="C13" i="10"/>
  <c r="K13" i="10" s="1"/>
  <c r="D13" i="10"/>
  <c r="D32" i="10" s="1"/>
  <c r="X13" i="10"/>
  <c r="C14" i="10"/>
  <c r="D14" i="10"/>
  <c r="X14" i="10"/>
  <c r="C15" i="10"/>
  <c r="D15" i="10"/>
  <c r="D34" i="10" s="1"/>
  <c r="X15" i="10"/>
  <c r="C16" i="10"/>
  <c r="D16" i="10"/>
  <c r="X16" i="10"/>
  <c r="C17" i="10"/>
  <c r="K17" i="10" s="1"/>
  <c r="D17" i="10"/>
  <c r="D36" i="10" s="1"/>
  <c r="X17" i="10"/>
  <c r="C18" i="10"/>
  <c r="D18" i="10"/>
  <c r="X18" i="10"/>
  <c r="C19" i="10"/>
  <c r="D19" i="10"/>
  <c r="D38" i="10" s="1"/>
  <c r="X19" i="10"/>
  <c r="C20" i="10"/>
  <c r="D20" i="10"/>
  <c r="X20" i="10"/>
  <c r="X21" i="10"/>
  <c r="X22" i="10"/>
  <c r="X23" i="10"/>
  <c r="X24" i="10"/>
  <c r="X25" i="10"/>
  <c r="X26" i="10"/>
  <c r="X27" i="10"/>
  <c r="X28" i="10"/>
  <c r="D29" i="10"/>
  <c r="X29" i="10"/>
  <c r="C30" i="10"/>
  <c r="K30" i="10" s="1"/>
  <c r="X30" i="10"/>
  <c r="D31" i="10"/>
  <c r="X31" i="10"/>
  <c r="C32" i="10"/>
  <c r="K32" i="10" s="1"/>
  <c r="X32" i="10"/>
  <c r="D33" i="10"/>
  <c r="X33" i="10"/>
  <c r="C34" i="10"/>
  <c r="K34" i="10" s="1"/>
  <c r="X34" i="10"/>
  <c r="D35" i="10"/>
  <c r="X35" i="10"/>
  <c r="C36" i="10"/>
  <c r="K36" i="10" s="1"/>
  <c r="X36" i="10"/>
  <c r="D37" i="10"/>
  <c r="X37" i="10"/>
  <c r="C38" i="10"/>
  <c r="K38" i="10" s="1"/>
  <c r="X38" i="10"/>
  <c r="D39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C57" i="10"/>
  <c r="G57" i="10" s="1"/>
  <c r="D57" i="10"/>
  <c r="X57" i="10"/>
  <c r="C58" i="10"/>
  <c r="G58" i="10" s="1"/>
  <c r="D58" i="10"/>
  <c r="X58" i="10"/>
  <c r="C59" i="10"/>
  <c r="G59" i="10" s="1"/>
  <c r="D59" i="10"/>
  <c r="X59" i="10"/>
  <c r="C60" i="10"/>
  <c r="G60" i="10" s="1"/>
  <c r="D60" i="10"/>
  <c r="X60" i="10"/>
  <c r="C61" i="10"/>
  <c r="G61" i="10" s="1"/>
  <c r="D61" i="10"/>
  <c r="X61" i="10"/>
  <c r="C62" i="10"/>
  <c r="G62" i="10" s="1"/>
  <c r="D62" i="10"/>
  <c r="X62" i="10"/>
  <c r="C63" i="10"/>
  <c r="G63" i="10" s="1"/>
  <c r="D63" i="10"/>
  <c r="X63" i="10"/>
  <c r="C64" i="10"/>
  <c r="G64" i="10" s="1"/>
  <c r="D64" i="10"/>
  <c r="X64" i="10"/>
  <c r="C65" i="10"/>
  <c r="G65" i="10" s="1"/>
  <c r="D65" i="10"/>
  <c r="X65" i="10"/>
  <c r="C66" i="10"/>
  <c r="G66" i="10" s="1"/>
  <c r="D66" i="10"/>
  <c r="X66" i="10"/>
  <c r="C67" i="10"/>
  <c r="G67" i="10" s="1"/>
  <c r="D67" i="10"/>
  <c r="X67" i="10"/>
  <c r="C68" i="10"/>
  <c r="G68" i="10" s="1"/>
  <c r="D68" i="10"/>
  <c r="X68" i="10"/>
  <c r="C69" i="10"/>
  <c r="G69" i="10" s="1"/>
  <c r="D69" i="10"/>
  <c r="X69" i="10"/>
  <c r="C70" i="10"/>
  <c r="G70" i="10" s="1"/>
  <c r="D70" i="10"/>
  <c r="X70" i="10"/>
  <c r="C71" i="10"/>
  <c r="G71" i="10" s="1"/>
  <c r="D71" i="10"/>
  <c r="X71" i="10"/>
  <c r="C72" i="10"/>
  <c r="G72" i="10" s="1"/>
  <c r="D72" i="10"/>
  <c r="X72" i="10"/>
  <c r="C73" i="10"/>
  <c r="G73" i="10" s="1"/>
  <c r="D73" i="10"/>
  <c r="X73" i="10"/>
  <c r="C74" i="10"/>
  <c r="G74" i="10" s="1"/>
  <c r="D74" i="10"/>
  <c r="X74" i="10"/>
  <c r="C75" i="10"/>
  <c r="G75" i="10" s="1"/>
  <c r="D75" i="10"/>
  <c r="X75" i="10"/>
  <c r="C76" i="10"/>
  <c r="G76" i="10" s="1"/>
  <c r="D76" i="10"/>
  <c r="X76" i="10"/>
  <c r="C77" i="10"/>
  <c r="G77" i="10" s="1"/>
  <c r="D77" i="10"/>
  <c r="X77" i="10"/>
  <c r="C78" i="10"/>
  <c r="G78" i="10" s="1"/>
  <c r="D78" i="10"/>
  <c r="X78" i="10"/>
  <c r="C79" i="10"/>
  <c r="G79" i="10" s="1"/>
  <c r="D79" i="10"/>
  <c r="X79" i="10"/>
  <c r="C80" i="10"/>
  <c r="G80" i="10" s="1"/>
  <c r="D80" i="10"/>
  <c r="X80" i="10"/>
  <c r="C81" i="10"/>
  <c r="G81" i="10" s="1"/>
  <c r="D81" i="10"/>
  <c r="X81" i="10"/>
  <c r="C82" i="10"/>
  <c r="G82" i="10" s="1"/>
  <c r="D82" i="10"/>
  <c r="X82" i="10"/>
  <c r="C83" i="10"/>
  <c r="G83" i="10" s="1"/>
  <c r="D83" i="10"/>
  <c r="X83" i="10"/>
  <c r="C84" i="10"/>
  <c r="G84" i="10" s="1"/>
  <c r="D84" i="10"/>
  <c r="X84" i="10"/>
  <c r="C85" i="10"/>
  <c r="G85" i="10" s="1"/>
  <c r="D85" i="10"/>
  <c r="X85" i="10"/>
  <c r="C86" i="10"/>
  <c r="G86" i="10" s="1"/>
  <c r="D86" i="10"/>
  <c r="X86" i="10"/>
  <c r="C87" i="10"/>
  <c r="G87" i="10" s="1"/>
  <c r="D87" i="10"/>
  <c r="X87" i="10"/>
  <c r="C88" i="10"/>
  <c r="G88" i="10" s="1"/>
  <c r="D88" i="10"/>
  <c r="X88" i="10"/>
  <c r="AK8" i="10"/>
  <c r="AK28" i="10" s="1"/>
  <c r="AJ8" i="10"/>
  <c r="K19" i="10"/>
  <c r="AH8" i="10"/>
  <c r="AF8" i="10"/>
  <c r="AF44" i="10" s="1"/>
  <c r="K15" i="10"/>
  <c r="AE8" i="10"/>
  <c r="AD8" i="10"/>
  <c r="AC8" i="10"/>
  <c r="AC12" i="10" s="1"/>
  <c r="AB8" i="10"/>
  <c r="K11" i="10"/>
  <c r="L37" i="9"/>
  <c r="J35" i="9"/>
  <c r="L33" i="9"/>
  <c r="J31" i="9"/>
  <c r="L28" i="9"/>
  <c r="AK8" i="9"/>
  <c r="J20" i="9"/>
  <c r="AI8" i="9"/>
  <c r="L18" i="9"/>
  <c r="J18" i="9"/>
  <c r="L17" i="9"/>
  <c r="J17" i="9"/>
  <c r="AG8" i="9"/>
  <c r="J16" i="9"/>
  <c r="AE8" i="9"/>
  <c r="L14" i="9"/>
  <c r="J14" i="9"/>
  <c r="AD8" i="9"/>
  <c r="L13" i="9"/>
  <c r="J13" i="9"/>
  <c r="AC8" i="9"/>
  <c r="J12" i="9"/>
  <c r="L11" i="9"/>
  <c r="AA8" i="9"/>
  <c r="L10" i="9"/>
  <c r="J10" i="9"/>
  <c r="Z8" i="9"/>
  <c r="Z11" i="9" s="1"/>
  <c r="L9" i="9"/>
  <c r="J9" i="9"/>
  <c r="J38" i="8"/>
  <c r="K35" i="8"/>
  <c r="J31" i="8"/>
  <c r="AK8" i="8"/>
  <c r="AJ8" i="8"/>
  <c r="K19" i="8"/>
  <c r="AI8" i="8"/>
  <c r="AG8" i="8"/>
  <c r="AF8" i="8"/>
  <c r="K15" i="8"/>
  <c r="AE8" i="8"/>
  <c r="AC8" i="8"/>
  <c r="AB8" i="8"/>
  <c r="K11" i="8"/>
  <c r="AA8" i="8"/>
  <c r="J39" i="7"/>
  <c r="L39" i="7"/>
  <c r="J37" i="7"/>
  <c r="L37" i="7"/>
  <c r="L36" i="7"/>
  <c r="J35" i="7"/>
  <c r="L35" i="7"/>
  <c r="J34" i="7"/>
  <c r="L34" i="7"/>
  <c r="J33" i="7"/>
  <c r="L33" i="7"/>
  <c r="J32" i="7"/>
  <c r="L32" i="7"/>
  <c r="J31" i="7"/>
  <c r="L31" i="7"/>
  <c r="J28" i="7"/>
  <c r="L28" i="7"/>
  <c r="AK8" i="7"/>
  <c r="L20" i="7"/>
  <c r="J20" i="7"/>
  <c r="AJ8" i="7"/>
  <c r="L19" i="7"/>
  <c r="J19" i="7"/>
  <c r="AI8" i="7"/>
  <c r="L18" i="7"/>
  <c r="J18" i="7"/>
  <c r="AH8" i="7"/>
  <c r="L17" i="7"/>
  <c r="J17" i="7"/>
  <c r="AG8" i="7"/>
  <c r="L16" i="7"/>
  <c r="J16" i="7"/>
  <c r="AF8" i="7"/>
  <c r="L15" i="7"/>
  <c r="J15" i="7"/>
  <c r="AE8" i="7"/>
  <c r="L14" i="7"/>
  <c r="J14" i="7"/>
  <c r="AD8" i="7"/>
  <c r="L13" i="7"/>
  <c r="J13" i="7"/>
  <c r="AC8" i="7"/>
  <c r="L12" i="7"/>
  <c r="J12" i="7"/>
  <c r="AB8" i="7"/>
  <c r="L11" i="7"/>
  <c r="J11" i="7"/>
  <c r="AA8" i="7"/>
  <c r="L10" i="7"/>
  <c r="J10" i="7"/>
  <c r="Z8" i="7"/>
  <c r="Z14" i="7" s="1"/>
  <c r="L9" i="7"/>
  <c r="J9" i="7"/>
  <c r="K38" i="6"/>
  <c r="K37" i="6"/>
  <c r="K36" i="6"/>
  <c r="K35" i="6"/>
  <c r="K34" i="6"/>
  <c r="K33" i="6"/>
  <c r="K32" i="6"/>
  <c r="K29" i="6"/>
  <c r="K28" i="6"/>
  <c r="AK8" i="6"/>
  <c r="K20" i="6"/>
  <c r="AJ8" i="6"/>
  <c r="K19" i="6"/>
  <c r="AI8" i="6"/>
  <c r="K18" i="6"/>
  <c r="AH8" i="6"/>
  <c r="K17" i="6"/>
  <c r="AG8" i="6"/>
  <c r="K16" i="6"/>
  <c r="AF8" i="6"/>
  <c r="K15" i="6"/>
  <c r="AE8" i="6"/>
  <c r="K14" i="6"/>
  <c r="AD8" i="6"/>
  <c r="K13" i="6"/>
  <c r="AC8" i="6"/>
  <c r="K12" i="6"/>
  <c r="AB8" i="6"/>
  <c r="K11" i="6"/>
  <c r="AA8" i="6"/>
  <c r="K10" i="6"/>
  <c r="Z8" i="6"/>
  <c r="Z9" i="6" s="1"/>
  <c r="K9" i="6"/>
  <c r="J39" i="5"/>
  <c r="L39" i="5"/>
  <c r="J38" i="5"/>
  <c r="L38" i="5"/>
  <c r="J37" i="5"/>
  <c r="L37" i="5"/>
  <c r="J35" i="5"/>
  <c r="L35" i="5"/>
  <c r="J33" i="5"/>
  <c r="L33" i="5"/>
  <c r="J31" i="5"/>
  <c r="L31" i="5"/>
  <c r="J30" i="5"/>
  <c r="L30" i="5"/>
  <c r="J29" i="5"/>
  <c r="L29" i="5"/>
  <c r="AK8" i="5"/>
  <c r="L20" i="5"/>
  <c r="J20" i="5"/>
  <c r="AJ8" i="5"/>
  <c r="L19" i="5"/>
  <c r="J19" i="5"/>
  <c r="AI8" i="5"/>
  <c r="L18" i="5"/>
  <c r="J18" i="5"/>
  <c r="AG8" i="5"/>
  <c r="L16" i="5"/>
  <c r="J16" i="5"/>
  <c r="AF8" i="5"/>
  <c r="L15" i="5"/>
  <c r="J15" i="5"/>
  <c r="AE8" i="5"/>
  <c r="L14" i="5"/>
  <c r="J14" i="5"/>
  <c r="AC8" i="5"/>
  <c r="L12" i="5"/>
  <c r="J12" i="5"/>
  <c r="AB8" i="5"/>
  <c r="L11" i="5"/>
  <c r="J11" i="5"/>
  <c r="AA8" i="5"/>
  <c r="L10" i="5"/>
  <c r="J10" i="5"/>
  <c r="K37" i="4"/>
  <c r="K36" i="4"/>
  <c r="K34" i="4"/>
  <c r="K33" i="4"/>
  <c r="K32" i="4"/>
  <c r="K30" i="4"/>
  <c r="K29" i="4"/>
  <c r="K28" i="4"/>
  <c r="AK8" i="4"/>
  <c r="K20" i="4"/>
  <c r="AJ8" i="4"/>
  <c r="K19" i="4"/>
  <c r="AI8" i="4"/>
  <c r="K18" i="4"/>
  <c r="AH8" i="4"/>
  <c r="K17" i="4"/>
  <c r="AG8" i="4"/>
  <c r="K16" i="4"/>
  <c r="AF8" i="4"/>
  <c r="K15" i="4"/>
  <c r="AE8" i="4"/>
  <c r="K14" i="4"/>
  <c r="AD8" i="4"/>
  <c r="K13" i="4"/>
  <c r="AC8" i="4"/>
  <c r="K12" i="4"/>
  <c r="AB8" i="4"/>
  <c r="K11" i="4"/>
  <c r="AA8" i="4"/>
  <c r="K10" i="4"/>
  <c r="Z8" i="4"/>
  <c r="K9" i="4"/>
  <c r="J39" i="3"/>
  <c r="L39" i="3"/>
  <c r="J38" i="3"/>
  <c r="L38" i="3"/>
  <c r="J37" i="3"/>
  <c r="L37" i="3"/>
  <c r="J35" i="3"/>
  <c r="J34" i="3"/>
  <c r="J33" i="3"/>
  <c r="L33" i="3"/>
  <c r="J31" i="3"/>
  <c r="L31" i="3"/>
  <c r="J30" i="3"/>
  <c r="K30" i="3"/>
  <c r="L30" i="3"/>
  <c r="J29" i="3"/>
  <c r="L29" i="3"/>
  <c r="AK8" i="3"/>
  <c r="L20" i="3"/>
  <c r="J20" i="3"/>
  <c r="AJ8" i="3"/>
  <c r="L19" i="3"/>
  <c r="J19" i="3"/>
  <c r="AI8" i="3"/>
  <c r="L18" i="3"/>
  <c r="J18" i="3"/>
  <c r="AH8" i="3"/>
  <c r="J17" i="3"/>
  <c r="AG8" i="3"/>
  <c r="L16" i="3"/>
  <c r="J16" i="3"/>
  <c r="AF8" i="3"/>
  <c r="L15" i="3"/>
  <c r="J15" i="3"/>
  <c r="AE8" i="3"/>
  <c r="L14" i="3"/>
  <c r="J14" i="3"/>
  <c r="AD8" i="3"/>
  <c r="J13" i="3"/>
  <c r="AC8" i="3"/>
  <c r="L12" i="3"/>
  <c r="J12" i="3"/>
  <c r="AB8" i="3"/>
  <c r="L11" i="3"/>
  <c r="J11" i="3"/>
  <c r="AA8" i="3"/>
  <c r="L10" i="3"/>
  <c r="J10" i="3"/>
  <c r="Z8" i="3"/>
  <c r="J9" i="3"/>
  <c r="J39" i="13"/>
  <c r="L39" i="13"/>
  <c r="J38" i="13"/>
  <c r="L38" i="13"/>
  <c r="J37" i="13"/>
  <c r="L37" i="13"/>
  <c r="J36" i="13"/>
  <c r="L36" i="13"/>
  <c r="J35" i="13"/>
  <c r="L35" i="13"/>
  <c r="J34" i="13"/>
  <c r="J33" i="13"/>
  <c r="L33" i="13"/>
  <c r="J32" i="13"/>
  <c r="L32" i="13"/>
  <c r="J31" i="13"/>
  <c r="L31" i="13"/>
  <c r="J30" i="13"/>
  <c r="J29" i="13"/>
  <c r="L29" i="13"/>
  <c r="J28" i="13"/>
  <c r="L28" i="13"/>
  <c r="AK8" i="13"/>
  <c r="L20" i="13"/>
  <c r="J20" i="13"/>
  <c r="AJ8" i="13"/>
  <c r="L19" i="13"/>
  <c r="J19" i="13"/>
  <c r="AI8" i="13"/>
  <c r="L18" i="13"/>
  <c r="J18" i="13"/>
  <c r="AH8" i="13"/>
  <c r="L17" i="13"/>
  <c r="J17" i="13"/>
  <c r="AG8" i="13"/>
  <c r="L16" i="13"/>
  <c r="J16" i="13"/>
  <c r="AF8" i="13"/>
  <c r="L15" i="13"/>
  <c r="J15" i="13"/>
  <c r="AE8" i="13"/>
  <c r="L14" i="13"/>
  <c r="J14" i="13"/>
  <c r="AD8" i="13"/>
  <c r="L13" i="13"/>
  <c r="J13" i="13"/>
  <c r="AC8" i="13"/>
  <c r="L12" i="13"/>
  <c r="J12" i="13"/>
  <c r="AB8" i="13"/>
  <c r="L11" i="13"/>
  <c r="J11" i="13"/>
  <c r="AA8" i="13"/>
  <c r="L10" i="13"/>
  <c r="J10" i="13"/>
  <c r="Z8" i="13"/>
  <c r="L9" i="13"/>
  <c r="J9" i="13"/>
  <c r="K39" i="12"/>
  <c r="K38" i="12"/>
  <c r="K37" i="12"/>
  <c r="K36" i="12"/>
  <c r="K35" i="12"/>
  <c r="K34" i="12"/>
  <c r="K33" i="12"/>
  <c r="K32" i="12"/>
  <c r="K31" i="12"/>
  <c r="K30" i="12"/>
  <c r="K29" i="12"/>
  <c r="K28" i="12"/>
  <c r="AK8" i="12"/>
  <c r="K20" i="12"/>
  <c r="AJ8" i="12"/>
  <c r="K19" i="12"/>
  <c r="AI8" i="12"/>
  <c r="K18" i="12"/>
  <c r="AH8" i="12"/>
  <c r="K17" i="12"/>
  <c r="AG8" i="12"/>
  <c r="K16" i="12"/>
  <c r="AF8" i="12"/>
  <c r="K15" i="12"/>
  <c r="J15" i="12"/>
  <c r="AE8" i="12"/>
  <c r="K14" i="12"/>
  <c r="AD8" i="12"/>
  <c r="K13" i="12"/>
  <c r="AC8" i="12"/>
  <c r="K12" i="12"/>
  <c r="AB8" i="12"/>
  <c r="K11" i="12"/>
  <c r="AA8" i="12"/>
  <c r="K10" i="12"/>
  <c r="Z8" i="12"/>
  <c r="K9" i="12"/>
  <c r="J39" i="11"/>
  <c r="L39" i="11"/>
  <c r="J38" i="11"/>
  <c r="L38" i="11"/>
  <c r="J37" i="11"/>
  <c r="L37" i="11"/>
  <c r="J36" i="11"/>
  <c r="L36" i="11"/>
  <c r="J35" i="11"/>
  <c r="L35" i="11"/>
  <c r="J34" i="11"/>
  <c r="L34" i="11"/>
  <c r="J33" i="11"/>
  <c r="L33" i="11"/>
  <c r="J32" i="11"/>
  <c r="L32" i="11"/>
  <c r="J31" i="11"/>
  <c r="L31" i="11"/>
  <c r="J30" i="11"/>
  <c r="K30" i="11"/>
  <c r="L30" i="11"/>
  <c r="J29" i="11"/>
  <c r="L29" i="11"/>
  <c r="J28" i="11"/>
  <c r="L28" i="11"/>
  <c r="AK8" i="11"/>
  <c r="L20" i="11"/>
  <c r="J20" i="11"/>
  <c r="AJ8" i="11"/>
  <c r="L19" i="11"/>
  <c r="J19" i="11"/>
  <c r="AI8" i="11"/>
  <c r="L18" i="11"/>
  <c r="J18" i="11"/>
  <c r="AH8" i="11"/>
  <c r="L17" i="11"/>
  <c r="J17" i="11"/>
  <c r="AG8" i="11"/>
  <c r="L16" i="11"/>
  <c r="J16" i="11"/>
  <c r="AF8" i="11"/>
  <c r="L15" i="11"/>
  <c r="J15" i="11"/>
  <c r="AE8" i="11"/>
  <c r="L14" i="11"/>
  <c r="J14" i="11"/>
  <c r="AD8" i="11"/>
  <c r="L13" i="11"/>
  <c r="J13" i="11"/>
  <c r="AC8" i="11"/>
  <c r="L12" i="11"/>
  <c r="J12" i="11"/>
  <c r="AB8" i="11"/>
  <c r="L11" i="11"/>
  <c r="J11" i="11"/>
  <c r="AA8" i="11"/>
  <c r="L10" i="11"/>
  <c r="J10" i="11"/>
  <c r="Z8" i="11"/>
  <c r="L9" i="11"/>
  <c r="J9" i="11"/>
  <c r="K39" i="2"/>
  <c r="K38" i="2"/>
  <c r="K37" i="2"/>
  <c r="K36" i="2"/>
  <c r="K35" i="2"/>
  <c r="K34" i="2"/>
  <c r="K33" i="2"/>
  <c r="K32" i="2"/>
  <c r="K31" i="2"/>
  <c r="K30" i="2"/>
  <c r="K29" i="2"/>
  <c r="K28" i="2"/>
  <c r="AK8" i="2"/>
  <c r="K20" i="2"/>
  <c r="AJ8" i="2"/>
  <c r="K19" i="2"/>
  <c r="AI8" i="2"/>
  <c r="K18" i="2"/>
  <c r="J18" i="2"/>
  <c r="AH8" i="2"/>
  <c r="K17" i="2"/>
  <c r="AG8" i="2"/>
  <c r="K16" i="2"/>
  <c r="AF8" i="2"/>
  <c r="K15" i="2"/>
  <c r="AE8" i="2"/>
  <c r="K14" i="2"/>
  <c r="AD8" i="2"/>
  <c r="K13" i="2"/>
  <c r="AC8" i="2"/>
  <c r="K12" i="2"/>
  <c r="AB8" i="2"/>
  <c r="K11" i="2"/>
  <c r="AA8" i="2"/>
  <c r="K10" i="2"/>
  <c r="Z8" i="2"/>
  <c r="K9" i="2"/>
  <c r="AK17" i="10"/>
  <c r="AK39" i="10"/>
  <c r="AK60" i="10"/>
  <c r="AK81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H9" i="10"/>
  <c r="AH11" i="10"/>
  <c r="AH12" i="10"/>
  <c r="AH13" i="10"/>
  <c r="AH15" i="10"/>
  <c r="AH16" i="10"/>
  <c r="AH17" i="10"/>
  <c r="AH19" i="10"/>
  <c r="AH20" i="10"/>
  <c r="AH21" i="10"/>
  <c r="AH23" i="10"/>
  <c r="AH24" i="10"/>
  <c r="AH25" i="10"/>
  <c r="AH27" i="10"/>
  <c r="AH28" i="10"/>
  <c r="AH29" i="10"/>
  <c r="AH31" i="10"/>
  <c r="AH32" i="10"/>
  <c r="AH33" i="10"/>
  <c r="AH35" i="10"/>
  <c r="AH36" i="10"/>
  <c r="AH37" i="10"/>
  <c r="AH39" i="10"/>
  <c r="AH40" i="10"/>
  <c r="AH41" i="10"/>
  <c r="AH43" i="10"/>
  <c r="AH44" i="10"/>
  <c r="AH45" i="10"/>
  <c r="AH47" i="10"/>
  <c r="AH48" i="10"/>
  <c r="AH49" i="10"/>
  <c r="AH51" i="10"/>
  <c r="AH52" i="10"/>
  <c r="AH53" i="10"/>
  <c r="AH55" i="10"/>
  <c r="AH56" i="10"/>
  <c r="AH57" i="10"/>
  <c r="AH59" i="10"/>
  <c r="AH60" i="10"/>
  <c r="AH61" i="10"/>
  <c r="AH63" i="10"/>
  <c r="AH64" i="10"/>
  <c r="AH65" i="10"/>
  <c r="AH67" i="10"/>
  <c r="AH68" i="10"/>
  <c r="AH69" i="10"/>
  <c r="AH71" i="10"/>
  <c r="AH72" i="10"/>
  <c r="AH73" i="10"/>
  <c r="AH75" i="10"/>
  <c r="AH76" i="10"/>
  <c r="AH77" i="10"/>
  <c r="AH79" i="10"/>
  <c r="AH80" i="10"/>
  <c r="AH81" i="10"/>
  <c r="AH83" i="10"/>
  <c r="AH84" i="10"/>
  <c r="AH85" i="10"/>
  <c r="AH87" i="10"/>
  <c r="AH88" i="10"/>
  <c r="AF12" i="10"/>
  <c r="AF33" i="10"/>
  <c r="AF55" i="10"/>
  <c r="AF76" i="10"/>
  <c r="AE17" i="10"/>
  <c r="AE39" i="10"/>
  <c r="AE60" i="10"/>
  <c r="AE81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C23" i="10"/>
  <c r="AC44" i="10"/>
  <c r="AC65" i="10"/>
  <c r="AC87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K18" i="9"/>
  <c r="AK28" i="9"/>
  <c r="AK39" i="9"/>
  <c r="AK50" i="9"/>
  <c r="AK60" i="9"/>
  <c r="AK71" i="9"/>
  <c r="AK82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78" i="9"/>
  <c r="AG79" i="9"/>
  <c r="AG80" i="9"/>
  <c r="AG81" i="9"/>
  <c r="AG82" i="9"/>
  <c r="AG83" i="9"/>
  <c r="AG84" i="9"/>
  <c r="AG85" i="9"/>
  <c r="AG86" i="9"/>
  <c r="AG87" i="9"/>
  <c r="AG88" i="9"/>
  <c r="AE10" i="9"/>
  <c r="AE11" i="9"/>
  <c r="AE12" i="9"/>
  <c r="AE14" i="9"/>
  <c r="AE15" i="9"/>
  <c r="AE16" i="9"/>
  <c r="AE18" i="9"/>
  <c r="AE19" i="9"/>
  <c r="AE20" i="9"/>
  <c r="AE22" i="9"/>
  <c r="AE23" i="9"/>
  <c r="AE24" i="9"/>
  <c r="AE26" i="9"/>
  <c r="AE27" i="9"/>
  <c r="AE28" i="9"/>
  <c r="AE30" i="9"/>
  <c r="AE31" i="9"/>
  <c r="AE32" i="9"/>
  <c r="AE34" i="9"/>
  <c r="AE35" i="9"/>
  <c r="AE36" i="9"/>
  <c r="AE38" i="9"/>
  <c r="AE39" i="9"/>
  <c r="AE40" i="9"/>
  <c r="AE42" i="9"/>
  <c r="AE43" i="9"/>
  <c r="AE44" i="9"/>
  <c r="AE46" i="9"/>
  <c r="AE47" i="9"/>
  <c r="AE48" i="9"/>
  <c r="AE50" i="9"/>
  <c r="AE51" i="9"/>
  <c r="AE52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Z15" i="9"/>
  <c r="Z23" i="9"/>
  <c r="Z31" i="9"/>
  <c r="Z39" i="9"/>
  <c r="Z47" i="9"/>
  <c r="Z55" i="9"/>
  <c r="Z63" i="9"/>
  <c r="Z71" i="9"/>
  <c r="Z79" i="9"/>
  <c r="Z87" i="9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56" i="7"/>
  <c r="AK57" i="7"/>
  <c r="AK58" i="7"/>
  <c r="AK59" i="7"/>
  <c r="AK60" i="7"/>
  <c r="AK61" i="7"/>
  <c r="AK62" i="7"/>
  <c r="AK63" i="7"/>
  <c r="AK64" i="7"/>
  <c r="AK65" i="7"/>
  <c r="AK66" i="7"/>
  <c r="AK67" i="7"/>
  <c r="AK68" i="7"/>
  <c r="AK69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35" i="7"/>
  <c r="AJ36" i="7"/>
  <c r="AJ37" i="7"/>
  <c r="AJ38" i="7"/>
  <c r="AJ39" i="7"/>
  <c r="AJ40" i="7"/>
  <c r="AJ41" i="7"/>
  <c r="AJ42" i="7"/>
  <c r="AJ43" i="7"/>
  <c r="AJ44" i="7"/>
  <c r="AJ45" i="7"/>
  <c r="AJ46" i="7"/>
  <c r="AJ47" i="7"/>
  <c r="AJ48" i="7"/>
  <c r="AJ49" i="7"/>
  <c r="AJ50" i="7"/>
  <c r="AJ51" i="7"/>
  <c r="AJ52" i="7"/>
  <c r="AJ53" i="7"/>
  <c r="AJ54" i="7"/>
  <c r="AJ55" i="7"/>
  <c r="AJ56" i="7"/>
  <c r="AJ57" i="7"/>
  <c r="AJ58" i="7"/>
  <c r="AJ59" i="7"/>
  <c r="AJ60" i="7"/>
  <c r="AJ61" i="7"/>
  <c r="AJ62" i="7"/>
  <c r="AJ63" i="7"/>
  <c r="AJ64" i="7"/>
  <c r="AJ65" i="7"/>
  <c r="AJ66" i="7"/>
  <c r="AJ67" i="7"/>
  <c r="AJ68" i="7"/>
  <c r="AJ69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I54" i="7"/>
  <c r="AI55" i="7"/>
  <c r="AI56" i="7"/>
  <c r="AI57" i="7"/>
  <c r="AI58" i="7"/>
  <c r="AI59" i="7"/>
  <c r="AI60" i="7"/>
  <c r="AI61" i="7"/>
  <c r="AI62" i="7"/>
  <c r="AI63" i="7"/>
  <c r="AI64" i="7"/>
  <c r="AI65" i="7"/>
  <c r="AI66" i="7"/>
  <c r="AI67" i="7"/>
  <c r="AI68" i="7"/>
  <c r="AI69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Z10" i="7"/>
  <c r="Z18" i="7"/>
  <c r="Z24" i="7"/>
  <c r="Z28" i="7"/>
  <c r="Z32" i="7"/>
  <c r="Z36" i="7"/>
  <c r="Z40" i="7"/>
  <c r="Z44" i="7"/>
  <c r="Z48" i="7"/>
  <c r="Z52" i="7"/>
  <c r="Z56" i="7"/>
  <c r="Z60" i="7"/>
  <c r="Z64" i="7"/>
  <c r="Z68" i="7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Z11" i="6"/>
  <c r="Z15" i="6"/>
  <c r="Z19" i="6"/>
  <c r="Z23" i="6"/>
  <c r="Z27" i="6"/>
  <c r="Z31" i="6"/>
  <c r="Z35" i="6"/>
  <c r="Z39" i="6"/>
  <c r="Z43" i="6"/>
  <c r="Z47" i="6"/>
  <c r="Z50" i="6"/>
  <c r="Z52" i="6"/>
  <c r="Z54" i="6"/>
  <c r="Z56" i="6"/>
  <c r="Z58" i="6"/>
  <c r="Z60" i="6"/>
  <c r="Z62" i="6"/>
  <c r="Z64" i="6"/>
  <c r="Z66" i="6"/>
  <c r="Z68" i="6"/>
  <c r="Z70" i="6"/>
  <c r="Z72" i="6"/>
  <c r="Z74" i="6"/>
  <c r="Z76" i="6"/>
  <c r="Z78" i="6"/>
  <c r="Z80" i="6"/>
  <c r="Z82" i="6"/>
  <c r="Z84" i="6"/>
  <c r="Z86" i="6"/>
  <c r="Z88" i="6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G9" i="4"/>
  <c r="AG13" i="4"/>
  <c r="AG17" i="4"/>
  <c r="AG21" i="4"/>
  <c r="AG25" i="4"/>
  <c r="AG29" i="4"/>
  <c r="AG33" i="4"/>
  <c r="AG37" i="4"/>
  <c r="AG41" i="4"/>
  <c r="AG45" i="4"/>
  <c r="AG49" i="4"/>
  <c r="AG53" i="4"/>
  <c r="AG57" i="4"/>
  <c r="AG61" i="4"/>
  <c r="AG65" i="4"/>
  <c r="AG69" i="4"/>
  <c r="AG73" i="4"/>
  <c r="AG77" i="4"/>
  <c r="AG81" i="4"/>
  <c r="AG85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C9" i="4"/>
  <c r="AC11" i="4"/>
  <c r="AC13" i="4"/>
  <c r="AC15" i="4"/>
  <c r="AC17" i="4"/>
  <c r="AC19" i="4"/>
  <c r="AC21" i="4"/>
  <c r="AC23" i="4"/>
  <c r="AC25" i="4"/>
  <c r="AC27" i="4"/>
  <c r="AC29" i="4"/>
  <c r="AC31" i="4"/>
  <c r="AC33" i="4"/>
  <c r="AC35" i="4"/>
  <c r="AC37" i="4"/>
  <c r="AC39" i="4"/>
  <c r="AC41" i="4"/>
  <c r="AC43" i="4"/>
  <c r="AC45" i="4"/>
  <c r="AC47" i="4"/>
  <c r="AC49" i="4"/>
  <c r="AC51" i="4"/>
  <c r="AC53" i="4"/>
  <c r="AC55" i="4"/>
  <c r="AC57" i="4"/>
  <c r="AC59" i="4"/>
  <c r="AC61" i="4"/>
  <c r="AC63" i="4"/>
  <c r="AC65" i="4"/>
  <c r="AC67" i="4"/>
  <c r="AC69" i="4"/>
  <c r="AC71" i="4"/>
  <c r="AC73" i="4"/>
  <c r="AC75" i="4"/>
  <c r="AC77" i="4"/>
  <c r="AC79" i="4"/>
  <c r="AC81" i="4"/>
  <c r="AC83" i="4"/>
  <c r="AC85" i="4"/>
  <c r="AC87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AK9" i="13"/>
  <c r="AK10" i="13"/>
  <c r="AK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39" i="13"/>
  <c r="AK40" i="13"/>
  <c r="AK41" i="13"/>
  <c r="AK42" i="13"/>
  <c r="AK43" i="13"/>
  <c r="AK44" i="13"/>
  <c r="AK45" i="13"/>
  <c r="AK46" i="13"/>
  <c r="AK47" i="13"/>
  <c r="AK48" i="13"/>
  <c r="AK49" i="13"/>
  <c r="AK50" i="13"/>
  <c r="AK51" i="13"/>
  <c r="AK52" i="13"/>
  <c r="AK53" i="13"/>
  <c r="AK54" i="13"/>
  <c r="AK55" i="13"/>
  <c r="AK56" i="13"/>
  <c r="AK57" i="13"/>
  <c r="AK58" i="13"/>
  <c r="AK59" i="13"/>
  <c r="AK60" i="13"/>
  <c r="AK61" i="13"/>
  <c r="AK62" i="13"/>
  <c r="AK63" i="13"/>
  <c r="AK64" i="13"/>
  <c r="AK65" i="13"/>
  <c r="AK66" i="13"/>
  <c r="AK67" i="13"/>
  <c r="AK68" i="13"/>
  <c r="AK69" i="13"/>
  <c r="AK70" i="13"/>
  <c r="AK71" i="13"/>
  <c r="AK72" i="13"/>
  <c r="AK73" i="13"/>
  <c r="AK74" i="13"/>
  <c r="AK75" i="13"/>
  <c r="AK76" i="13"/>
  <c r="AK77" i="13"/>
  <c r="AK78" i="13"/>
  <c r="AK79" i="13"/>
  <c r="AK80" i="13"/>
  <c r="AK81" i="13"/>
  <c r="AK82" i="13"/>
  <c r="AK83" i="13"/>
  <c r="AK84" i="13"/>
  <c r="AK85" i="13"/>
  <c r="AK86" i="13"/>
  <c r="AK87" i="13"/>
  <c r="AK88" i="13"/>
  <c r="AJ9" i="13"/>
  <c r="AJ10" i="13"/>
  <c r="AJ11" i="13"/>
  <c r="AJ12" i="13"/>
  <c r="AJ13" i="13"/>
  <c r="AJ14" i="13"/>
  <c r="AJ15" i="13"/>
  <c r="AJ16" i="13"/>
  <c r="AJ17" i="13"/>
  <c r="AJ18" i="13"/>
  <c r="AJ19" i="13"/>
  <c r="AJ20" i="13"/>
  <c r="AJ21" i="13"/>
  <c r="AJ22" i="13"/>
  <c r="AJ23" i="13"/>
  <c r="AJ24" i="13"/>
  <c r="AJ25" i="13"/>
  <c r="AJ26" i="13"/>
  <c r="AJ27" i="13"/>
  <c r="AJ28" i="13"/>
  <c r="AJ29" i="13"/>
  <c r="AJ30" i="13"/>
  <c r="AJ31" i="13"/>
  <c r="AJ32" i="13"/>
  <c r="AJ33" i="13"/>
  <c r="AJ34" i="13"/>
  <c r="AJ35" i="13"/>
  <c r="AJ36" i="13"/>
  <c r="AJ37" i="13"/>
  <c r="AJ38" i="13"/>
  <c r="AJ39" i="13"/>
  <c r="AJ40" i="13"/>
  <c r="AJ41" i="13"/>
  <c r="AJ42" i="13"/>
  <c r="AJ43" i="13"/>
  <c r="AJ44" i="13"/>
  <c r="AJ45" i="13"/>
  <c r="AJ46" i="13"/>
  <c r="AJ47" i="13"/>
  <c r="AJ48" i="13"/>
  <c r="AJ49" i="13"/>
  <c r="AJ50" i="13"/>
  <c r="AJ51" i="13"/>
  <c r="AJ52" i="13"/>
  <c r="AJ53" i="13"/>
  <c r="AJ54" i="13"/>
  <c r="AJ55" i="13"/>
  <c r="AJ56" i="13"/>
  <c r="AJ57" i="13"/>
  <c r="AJ58" i="13"/>
  <c r="AJ59" i="13"/>
  <c r="AJ60" i="13"/>
  <c r="AJ61" i="13"/>
  <c r="AJ62" i="13"/>
  <c r="AJ63" i="13"/>
  <c r="AJ64" i="13"/>
  <c r="AJ65" i="13"/>
  <c r="AJ66" i="13"/>
  <c r="AJ67" i="13"/>
  <c r="AJ68" i="13"/>
  <c r="AJ69" i="13"/>
  <c r="AJ70" i="13"/>
  <c r="AJ71" i="13"/>
  <c r="AJ72" i="13"/>
  <c r="AJ73" i="13"/>
  <c r="AJ74" i="13"/>
  <c r="AJ75" i="13"/>
  <c r="AJ76" i="13"/>
  <c r="AJ77" i="13"/>
  <c r="AJ78" i="13"/>
  <c r="AJ79" i="13"/>
  <c r="AJ80" i="13"/>
  <c r="AJ81" i="13"/>
  <c r="AJ82" i="13"/>
  <c r="AJ83" i="13"/>
  <c r="AJ84" i="13"/>
  <c r="AJ85" i="13"/>
  <c r="AJ86" i="13"/>
  <c r="AJ87" i="13"/>
  <c r="AJ88" i="13"/>
  <c r="AI9" i="13"/>
  <c r="AI10" i="13"/>
  <c r="AI11" i="13"/>
  <c r="AI12" i="13"/>
  <c r="AI13" i="13"/>
  <c r="AI14" i="13"/>
  <c r="AI15" i="13"/>
  <c r="AI16" i="13"/>
  <c r="AI17" i="13"/>
  <c r="AI18" i="13"/>
  <c r="AI19" i="13"/>
  <c r="AI20" i="13"/>
  <c r="AI21" i="13"/>
  <c r="AI22" i="13"/>
  <c r="AI23" i="13"/>
  <c r="AI24" i="13"/>
  <c r="AI25" i="13"/>
  <c r="AI26" i="13"/>
  <c r="AI27" i="13"/>
  <c r="AI28" i="13"/>
  <c r="AI29" i="13"/>
  <c r="AI30" i="13"/>
  <c r="AI31" i="13"/>
  <c r="AI32" i="13"/>
  <c r="AI33" i="13"/>
  <c r="AI34" i="13"/>
  <c r="AI35" i="13"/>
  <c r="AI36" i="13"/>
  <c r="AI37" i="13"/>
  <c r="AI38" i="13"/>
  <c r="AI39" i="13"/>
  <c r="AI40" i="13"/>
  <c r="AI41" i="13"/>
  <c r="AI42" i="13"/>
  <c r="AI43" i="13"/>
  <c r="AI44" i="13"/>
  <c r="AI45" i="13"/>
  <c r="AI46" i="13"/>
  <c r="AI47" i="13"/>
  <c r="AI48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I64" i="13"/>
  <c r="AI65" i="13"/>
  <c r="AI66" i="13"/>
  <c r="AI67" i="13"/>
  <c r="AI68" i="13"/>
  <c r="AI69" i="13"/>
  <c r="AI70" i="13"/>
  <c r="AI71" i="13"/>
  <c r="AI72" i="13"/>
  <c r="AI73" i="13"/>
  <c r="AI74" i="13"/>
  <c r="AI75" i="13"/>
  <c r="AI76" i="13"/>
  <c r="AI77" i="13"/>
  <c r="AI78" i="13"/>
  <c r="AI79" i="13"/>
  <c r="AI80" i="13"/>
  <c r="AI81" i="13"/>
  <c r="AI82" i="13"/>
  <c r="AI83" i="13"/>
  <c r="AI84" i="13"/>
  <c r="AI85" i="13"/>
  <c r="AI86" i="13"/>
  <c r="AI87" i="13"/>
  <c r="AI8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G9" i="13"/>
  <c r="AG10" i="13"/>
  <c r="AG11" i="13"/>
  <c r="AG12" i="13"/>
  <c r="AG13" i="13"/>
  <c r="AG14" i="13"/>
  <c r="AG15" i="13"/>
  <c r="AG16" i="13"/>
  <c r="AG17" i="13"/>
  <c r="AG18" i="13"/>
  <c r="AG19" i="13"/>
  <c r="AG20" i="13"/>
  <c r="AG21" i="13"/>
  <c r="AG22" i="13"/>
  <c r="AG23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37" i="13"/>
  <c r="AG38" i="13"/>
  <c r="AG39" i="13"/>
  <c r="AG40" i="13"/>
  <c r="AG41" i="13"/>
  <c r="AG42" i="13"/>
  <c r="AG43" i="13"/>
  <c r="AG44" i="13"/>
  <c r="AG45" i="13"/>
  <c r="AG46" i="13"/>
  <c r="AG47" i="13"/>
  <c r="AG48" i="13"/>
  <c r="AG49" i="13"/>
  <c r="AG50" i="13"/>
  <c r="AG51" i="13"/>
  <c r="AG52" i="13"/>
  <c r="AG53" i="13"/>
  <c r="AG54" i="13"/>
  <c r="AG55" i="13"/>
  <c r="AG56" i="13"/>
  <c r="AG57" i="13"/>
  <c r="AG58" i="13"/>
  <c r="AG59" i="13"/>
  <c r="AG60" i="13"/>
  <c r="AG61" i="13"/>
  <c r="AG62" i="13"/>
  <c r="AG63" i="13"/>
  <c r="AG64" i="13"/>
  <c r="AG65" i="13"/>
  <c r="AG66" i="13"/>
  <c r="AG67" i="13"/>
  <c r="AG68" i="13"/>
  <c r="AG69" i="13"/>
  <c r="AG70" i="13"/>
  <c r="AG71" i="13"/>
  <c r="AG72" i="13"/>
  <c r="AG73" i="13"/>
  <c r="AG74" i="13"/>
  <c r="AG75" i="13"/>
  <c r="AG76" i="13"/>
  <c r="AG77" i="13"/>
  <c r="AG78" i="13"/>
  <c r="AG79" i="13"/>
  <c r="AG80" i="13"/>
  <c r="AG81" i="13"/>
  <c r="AG82" i="13"/>
  <c r="AG83" i="13"/>
  <c r="AG84" i="13"/>
  <c r="AG85" i="13"/>
  <c r="AG86" i="13"/>
  <c r="AG87" i="13"/>
  <c r="AG8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39" i="13"/>
  <c r="AD40" i="13"/>
  <c r="AD41" i="13"/>
  <c r="AD42" i="13"/>
  <c r="AD43" i="13"/>
  <c r="AD44" i="13"/>
  <c r="AD45" i="13"/>
  <c r="AD46" i="13"/>
  <c r="AD47" i="13"/>
  <c r="AD48" i="13"/>
  <c r="AD49" i="13"/>
  <c r="AD50" i="13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65" i="13"/>
  <c r="AD66" i="13"/>
  <c r="AD67" i="13"/>
  <c r="AD68" i="13"/>
  <c r="AD69" i="13"/>
  <c r="AD70" i="13"/>
  <c r="AD71" i="13"/>
  <c r="AD72" i="13"/>
  <c r="AD73" i="13"/>
  <c r="AD74" i="13"/>
  <c r="AD75" i="13"/>
  <c r="AD76" i="13"/>
  <c r="AD77" i="13"/>
  <c r="AD78" i="13"/>
  <c r="AD79" i="13"/>
  <c r="AD80" i="13"/>
  <c r="AD81" i="13"/>
  <c r="AD82" i="13"/>
  <c r="AD83" i="13"/>
  <c r="AD84" i="13"/>
  <c r="AD85" i="13"/>
  <c r="AD86" i="13"/>
  <c r="AD87" i="13"/>
  <c r="AD88" i="13"/>
  <c r="AC9" i="13"/>
  <c r="AC10" i="13"/>
  <c r="AC11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39" i="13"/>
  <c r="AC40" i="13"/>
  <c r="AC41" i="13"/>
  <c r="AC42" i="13"/>
  <c r="AC43" i="13"/>
  <c r="AC44" i="13"/>
  <c r="AC45" i="13"/>
  <c r="AC46" i="13"/>
  <c r="AC47" i="13"/>
  <c r="AC48" i="13"/>
  <c r="AC49" i="13"/>
  <c r="AC50" i="13"/>
  <c r="AC51" i="13"/>
  <c r="AC52" i="13"/>
  <c r="AC53" i="13"/>
  <c r="AC54" i="13"/>
  <c r="AC55" i="13"/>
  <c r="AC56" i="13"/>
  <c r="AC57" i="13"/>
  <c r="AC58" i="13"/>
  <c r="AC59" i="13"/>
  <c r="AC60" i="13"/>
  <c r="AC61" i="13"/>
  <c r="AC62" i="13"/>
  <c r="AC63" i="13"/>
  <c r="AC64" i="13"/>
  <c r="AC65" i="13"/>
  <c r="AC66" i="13"/>
  <c r="AC67" i="13"/>
  <c r="AC68" i="13"/>
  <c r="AC69" i="13"/>
  <c r="AC70" i="13"/>
  <c r="AC71" i="13"/>
  <c r="AC72" i="13"/>
  <c r="AC73" i="13"/>
  <c r="AC74" i="13"/>
  <c r="AC75" i="13"/>
  <c r="AC76" i="13"/>
  <c r="AC77" i="13"/>
  <c r="AC78" i="13"/>
  <c r="AC79" i="13"/>
  <c r="AC80" i="13"/>
  <c r="AC81" i="13"/>
  <c r="AC82" i="13"/>
  <c r="AC83" i="13"/>
  <c r="AC84" i="13"/>
  <c r="AC85" i="13"/>
  <c r="AC86" i="13"/>
  <c r="AC87" i="13"/>
  <c r="AC88" i="13"/>
  <c r="AB9" i="13"/>
  <c r="AB10" i="13"/>
  <c r="AB11" i="13"/>
  <c r="AB12" i="13"/>
  <c r="AB13" i="13"/>
  <c r="AB14" i="13"/>
  <c r="AB15" i="13"/>
  <c r="AB16" i="13"/>
  <c r="AB17" i="13"/>
  <c r="AB18" i="13"/>
  <c r="AB19" i="13"/>
  <c r="AB20" i="13"/>
  <c r="AB21" i="13"/>
  <c r="AB22" i="13"/>
  <c r="AB23" i="13"/>
  <c r="AB24" i="13"/>
  <c r="AB25" i="13"/>
  <c r="AB26" i="13"/>
  <c r="AB27" i="13"/>
  <c r="AB28" i="13"/>
  <c r="AB29" i="13"/>
  <c r="AB30" i="13"/>
  <c r="AB31" i="13"/>
  <c r="AB32" i="13"/>
  <c r="AB33" i="13"/>
  <c r="AB34" i="13"/>
  <c r="AB35" i="13"/>
  <c r="AB36" i="13"/>
  <c r="AB37" i="13"/>
  <c r="AB38" i="13"/>
  <c r="AB39" i="13"/>
  <c r="AB40" i="13"/>
  <c r="AB41" i="13"/>
  <c r="AB42" i="13"/>
  <c r="AB43" i="13"/>
  <c r="AB44" i="13"/>
  <c r="AB45" i="13"/>
  <c r="AB46" i="13"/>
  <c r="AB47" i="13"/>
  <c r="AB48" i="13"/>
  <c r="AB49" i="13"/>
  <c r="AB50" i="13"/>
  <c r="AB51" i="13"/>
  <c r="AB52" i="13"/>
  <c r="AB53" i="13"/>
  <c r="AB54" i="13"/>
  <c r="AB55" i="13"/>
  <c r="AB56" i="13"/>
  <c r="AB57" i="13"/>
  <c r="AB58" i="13"/>
  <c r="AB59" i="13"/>
  <c r="AB60" i="13"/>
  <c r="AB61" i="13"/>
  <c r="AB62" i="13"/>
  <c r="AB63" i="13"/>
  <c r="AB64" i="13"/>
  <c r="AB65" i="13"/>
  <c r="AB66" i="13"/>
  <c r="AB67" i="13"/>
  <c r="AB68" i="13"/>
  <c r="AB69" i="13"/>
  <c r="AB70" i="13"/>
  <c r="AB71" i="13"/>
  <c r="AB72" i="13"/>
  <c r="AB73" i="13"/>
  <c r="AB74" i="13"/>
  <c r="AB75" i="13"/>
  <c r="AB76" i="13"/>
  <c r="AB77" i="13"/>
  <c r="AB78" i="13"/>
  <c r="AB79" i="13"/>
  <c r="AB80" i="13"/>
  <c r="AB81" i="13"/>
  <c r="AB82" i="13"/>
  <c r="AB83" i="13"/>
  <c r="AB84" i="13"/>
  <c r="AB85" i="13"/>
  <c r="AB86" i="13"/>
  <c r="AB87" i="13"/>
  <c r="AB8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65" i="13"/>
  <c r="AA66" i="13"/>
  <c r="AA67" i="13"/>
  <c r="AA68" i="13"/>
  <c r="AA69" i="13"/>
  <c r="AA70" i="13"/>
  <c r="AA71" i="13"/>
  <c r="AA72" i="13"/>
  <c r="AA73" i="13"/>
  <c r="AA74" i="13"/>
  <c r="AA75" i="13"/>
  <c r="AA76" i="13"/>
  <c r="AA77" i="13"/>
  <c r="AA78" i="13"/>
  <c r="AA79" i="13"/>
  <c r="AA80" i="13"/>
  <c r="AA81" i="13"/>
  <c r="AA82" i="13"/>
  <c r="AA83" i="13"/>
  <c r="AA84" i="13"/>
  <c r="AA85" i="13"/>
  <c r="AA86" i="13"/>
  <c r="AA87" i="13"/>
  <c r="AA8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Z34" i="13"/>
  <c r="Z35" i="13"/>
  <c r="Z36" i="13"/>
  <c r="Z37" i="13"/>
  <c r="Z38" i="13"/>
  <c r="Z39" i="13"/>
  <c r="Z40" i="13"/>
  <c r="Z41" i="13"/>
  <c r="Z42" i="13"/>
  <c r="Z43" i="13"/>
  <c r="Z44" i="13"/>
  <c r="Z45" i="13"/>
  <c r="Z46" i="13"/>
  <c r="Z47" i="13"/>
  <c r="Z48" i="13"/>
  <c r="Z49" i="13"/>
  <c r="Z50" i="13"/>
  <c r="Z51" i="13"/>
  <c r="Z52" i="13"/>
  <c r="Z53" i="13"/>
  <c r="Z54" i="13"/>
  <c r="Z55" i="13"/>
  <c r="Z56" i="13"/>
  <c r="Z57" i="13"/>
  <c r="Z58" i="13"/>
  <c r="Z59" i="13"/>
  <c r="Z60" i="13"/>
  <c r="Z61" i="13"/>
  <c r="Z62" i="13"/>
  <c r="Z63" i="13"/>
  <c r="Z64" i="13"/>
  <c r="Z65" i="13"/>
  <c r="Z66" i="13"/>
  <c r="Z67" i="13"/>
  <c r="Z68" i="13"/>
  <c r="Z69" i="13"/>
  <c r="Z70" i="13"/>
  <c r="Z71" i="13"/>
  <c r="Z72" i="13"/>
  <c r="Z73" i="13"/>
  <c r="Z74" i="13"/>
  <c r="Z75" i="13"/>
  <c r="Z76" i="13"/>
  <c r="Z77" i="13"/>
  <c r="Z78" i="13"/>
  <c r="Z79" i="13"/>
  <c r="Z80" i="13"/>
  <c r="Z81" i="13"/>
  <c r="Z82" i="13"/>
  <c r="Z83" i="13"/>
  <c r="Z84" i="13"/>
  <c r="Z85" i="13"/>
  <c r="Z86" i="13"/>
  <c r="Z87" i="13"/>
  <c r="Z88" i="13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33" i="12"/>
  <c r="AK34" i="12"/>
  <c r="AK35" i="12"/>
  <c r="AK36" i="12"/>
  <c r="AK37" i="12"/>
  <c r="AK38" i="12"/>
  <c r="AK39" i="12"/>
  <c r="AK40" i="12"/>
  <c r="AK41" i="12"/>
  <c r="AK42" i="12"/>
  <c r="AK43" i="12"/>
  <c r="AK44" i="12"/>
  <c r="AK45" i="12"/>
  <c r="AK46" i="12"/>
  <c r="AK47" i="12"/>
  <c r="AK48" i="12"/>
  <c r="AK49" i="12"/>
  <c r="AK50" i="12"/>
  <c r="AK51" i="12"/>
  <c r="AK52" i="12"/>
  <c r="AK53" i="12"/>
  <c r="AK54" i="12"/>
  <c r="AK55" i="12"/>
  <c r="AK56" i="12"/>
  <c r="AK57" i="12"/>
  <c r="AK58" i="12"/>
  <c r="AK59" i="12"/>
  <c r="AK60" i="12"/>
  <c r="AK61" i="12"/>
  <c r="AK62" i="12"/>
  <c r="AK63" i="12"/>
  <c r="AK64" i="12"/>
  <c r="AK65" i="12"/>
  <c r="AK66" i="12"/>
  <c r="AK67" i="12"/>
  <c r="AK68" i="12"/>
  <c r="AK69" i="12"/>
  <c r="AK70" i="12"/>
  <c r="AK71" i="12"/>
  <c r="AK72" i="12"/>
  <c r="AK73" i="12"/>
  <c r="AK74" i="12"/>
  <c r="AK75" i="12"/>
  <c r="AK76" i="12"/>
  <c r="AK77" i="12"/>
  <c r="AK78" i="12"/>
  <c r="AK79" i="12"/>
  <c r="AJ9" i="12"/>
  <c r="AJ10" i="12"/>
  <c r="AJ12" i="12"/>
  <c r="AJ13" i="12"/>
  <c r="AJ14" i="12"/>
  <c r="AJ16" i="12"/>
  <c r="AJ17" i="12"/>
  <c r="AJ18" i="12"/>
  <c r="AJ20" i="12"/>
  <c r="AJ21" i="12"/>
  <c r="AJ22" i="12"/>
  <c r="AJ24" i="12"/>
  <c r="AJ25" i="12"/>
  <c r="AJ26" i="12"/>
  <c r="AJ28" i="12"/>
  <c r="AJ29" i="12"/>
  <c r="AJ30" i="12"/>
  <c r="AJ32" i="12"/>
  <c r="AJ33" i="12"/>
  <c r="AJ34" i="12"/>
  <c r="AJ36" i="12"/>
  <c r="AJ37" i="12"/>
  <c r="AJ38" i="12"/>
  <c r="AJ40" i="12"/>
  <c r="AJ41" i="12"/>
  <c r="AJ42" i="12"/>
  <c r="AJ44" i="12"/>
  <c r="AJ45" i="12"/>
  <c r="AJ46" i="12"/>
  <c r="AJ48" i="12"/>
  <c r="AJ49" i="12"/>
  <c r="AJ50" i="12"/>
  <c r="AJ52" i="12"/>
  <c r="AJ53" i="12"/>
  <c r="AJ54" i="12"/>
  <c r="AJ56" i="12"/>
  <c r="AJ57" i="12"/>
  <c r="AJ58" i="12"/>
  <c r="AJ60" i="12"/>
  <c r="AJ61" i="12"/>
  <c r="AJ62" i="12"/>
  <c r="AJ64" i="12"/>
  <c r="AJ65" i="12"/>
  <c r="AJ66" i="12"/>
  <c r="AJ67" i="12"/>
  <c r="AJ68" i="12"/>
  <c r="AJ69" i="12"/>
  <c r="AJ70" i="12"/>
  <c r="AJ71" i="12"/>
  <c r="AJ72" i="12"/>
  <c r="AJ73" i="12"/>
  <c r="AJ74" i="12"/>
  <c r="AJ75" i="12"/>
  <c r="AJ76" i="12"/>
  <c r="AJ77" i="12"/>
  <c r="AJ78" i="12"/>
  <c r="AJ79" i="12"/>
  <c r="AI9" i="12"/>
  <c r="AI10" i="12"/>
  <c r="AI11" i="12"/>
  <c r="AI12" i="12"/>
  <c r="AI13" i="12"/>
  <c r="AI14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27" i="12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41" i="12"/>
  <c r="AI42" i="12"/>
  <c r="AI43" i="12"/>
  <c r="AI44" i="12"/>
  <c r="AI45" i="12"/>
  <c r="AI46" i="12"/>
  <c r="AI47" i="12"/>
  <c r="AI48" i="12"/>
  <c r="AI49" i="12"/>
  <c r="AI50" i="12"/>
  <c r="AI51" i="12"/>
  <c r="AI52" i="12"/>
  <c r="AI53" i="12"/>
  <c r="AI54" i="12"/>
  <c r="AI55" i="12"/>
  <c r="AI56" i="12"/>
  <c r="AI57" i="12"/>
  <c r="AI58" i="12"/>
  <c r="AI59" i="12"/>
  <c r="AI60" i="12"/>
  <c r="AI61" i="12"/>
  <c r="AI62" i="12"/>
  <c r="AI63" i="12"/>
  <c r="AI64" i="12"/>
  <c r="AI65" i="12"/>
  <c r="AI66" i="12"/>
  <c r="AI67" i="12"/>
  <c r="AI68" i="12"/>
  <c r="AI69" i="12"/>
  <c r="AI70" i="12"/>
  <c r="AI71" i="12"/>
  <c r="AI72" i="12"/>
  <c r="AI73" i="12"/>
  <c r="AI74" i="12"/>
  <c r="AI75" i="12"/>
  <c r="AI76" i="12"/>
  <c r="AI77" i="12"/>
  <c r="AI78" i="12"/>
  <c r="AI79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64" i="12"/>
  <c r="AH65" i="12"/>
  <c r="AH66" i="12"/>
  <c r="AH67" i="12"/>
  <c r="AH68" i="12"/>
  <c r="AH69" i="12"/>
  <c r="AH70" i="12"/>
  <c r="AH71" i="12"/>
  <c r="AH72" i="12"/>
  <c r="AH73" i="12"/>
  <c r="AH74" i="12"/>
  <c r="AH75" i="12"/>
  <c r="AH76" i="12"/>
  <c r="AH77" i="12"/>
  <c r="AH78" i="12"/>
  <c r="AH79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G38" i="12"/>
  <c r="AG39" i="12"/>
  <c r="AG40" i="12"/>
  <c r="AG41" i="12"/>
  <c r="AG42" i="12"/>
  <c r="AG43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58" i="12"/>
  <c r="AG59" i="12"/>
  <c r="AG60" i="12"/>
  <c r="AG61" i="12"/>
  <c r="AG62" i="12"/>
  <c r="AG63" i="12"/>
  <c r="AG64" i="12"/>
  <c r="AG65" i="12"/>
  <c r="AG66" i="12"/>
  <c r="AG67" i="12"/>
  <c r="AG68" i="12"/>
  <c r="AG69" i="12"/>
  <c r="AG70" i="12"/>
  <c r="AG71" i="12"/>
  <c r="AG72" i="12"/>
  <c r="AG73" i="12"/>
  <c r="AG74" i="12"/>
  <c r="AG75" i="12"/>
  <c r="AG76" i="12"/>
  <c r="AG77" i="12"/>
  <c r="AG78" i="12"/>
  <c r="AG79" i="12"/>
  <c r="AF12" i="12"/>
  <c r="AF16" i="12"/>
  <c r="AF20" i="12"/>
  <c r="AF24" i="12"/>
  <c r="AF28" i="12"/>
  <c r="AF32" i="12"/>
  <c r="AF36" i="12"/>
  <c r="AF40" i="12"/>
  <c r="AF44" i="12"/>
  <c r="AF48" i="12"/>
  <c r="AF52" i="12"/>
  <c r="AF56" i="12"/>
  <c r="AF60" i="12"/>
  <c r="AF64" i="12"/>
  <c r="AF68" i="12"/>
  <c r="AF72" i="12"/>
  <c r="AF76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62" i="12"/>
  <c r="AE63" i="12"/>
  <c r="AE64" i="12"/>
  <c r="AE65" i="12"/>
  <c r="AE66" i="12"/>
  <c r="AE67" i="12"/>
  <c r="AE68" i="12"/>
  <c r="AE69" i="12"/>
  <c r="AE70" i="12"/>
  <c r="AE71" i="12"/>
  <c r="AE72" i="12"/>
  <c r="AE73" i="12"/>
  <c r="AE74" i="12"/>
  <c r="AE75" i="12"/>
  <c r="AE76" i="12"/>
  <c r="AE77" i="12"/>
  <c r="AE78" i="12"/>
  <c r="AE79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34" i="12"/>
  <c r="AD35" i="12"/>
  <c r="AD36" i="12"/>
  <c r="AD37" i="12"/>
  <c r="AD38" i="12"/>
  <c r="AD39" i="12"/>
  <c r="AD40" i="12"/>
  <c r="AD41" i="12"/>
  <c r="AD42" i="12"/>
  <c r="AD43" i="12"/>
  <c r="AD44" i="12"/>
  <c r="AD45" i="12"/>
  <c r="AD46" i="12"/>
  <c r="AD47" i="12"/>
  <c r="AD48" i="12"/>
  <c r="AD49" i="12"/>
  <c r="AD50" i="12"/>
  <c r="AD51" i="12"/>
  <c r="AD52" i="12"/>
  <c r="AD53" i="12"/>
  <c r="AD54" i="12"/>
  <c r="AD55" i="12"/>
  <c r="AD56" i="12"/>
  <c r="AD57" i="12"/>
  <c r="AD58" i="12"/>
  <c r="AD59" i="12"/>
  <c r="AD60" i="12"/>
  <c r="AD61" i="12"/>
  <c r="AD62" i="12"/>
  <c r="AD63" i="12"/>
  <c r="AD64" i="12"/>
  <c r="AD65" i="12"/>
  <c r="AD66" i="12"/>
  <c r="AD67" i="12"/>
  <c r="AD68" i="12"/>
  <c r="AD69" i="12"/>
  <c r="AD70" i="12"/>
  <c r="AD71" i="12"/>
  <c r="AD72" i="12"/>
  <c r="AD73" i="12"/>
  <c r="AD74" i="12"/>
  <c r="AD75" i="12"/>
  <c r="AD76" i="12"/>
  <c r="AD77" i="12"/>
  <c r="AD78" i="12"/>
  <c r="AD79" i="12"/>
  <c r="AD80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C72" i="12"/>
  <c r="AC73" i="12"/>
  <c r="AC74" i="12"/>
  <c r="AC75" i="12"/>
  <c r="AC76" i="12"/>
  <c r="AC77" i="12"/>
  <c r="AC78" i="12"/>
  <c r="AC79" i="12"/>
  <c r="AC80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AB71" i="12"/>
  <c r="AB72" i="12"/>
  <c r="AB73" i="12"/>
  <c r="AB74" i="12"/>
  <c r="AB75" i="12"/>
  <c r="AB76" i="12"/>
  <c r="AB77" i="12"/>
  <c r="AB78" i="12"/>
  <c r="AB79" i="12"/>
  <c r="AB80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68" i="12"/>
  <c r="Z69" i="12"/>
  <c r="Z70" i="12"/>
  <c r="Z71" i="12"/>
  <c r="Z72" i="12"/>
  <c r="Z73" i="12"/>
  <c r="Z74" i="12"/>
  <c r="Z75" i="12"/>
  <c r="Z76" i="12"/>
  <c r="Z77" i="12"/>
  <c r="Z78" i="12"/>
  <c r="Z79" i="12"/>
  <c r="Z80" i="12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33" i="11"/>
  <c r="AK34" i="11"/>
  <c r="AK35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33" i="11"/>
  <c r="AH34" i="11"/>
  <c r="AH35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33" i="11"/>
  <c r="AG34" i="11"/>
  <c r="AG35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3" i="11"/>
  <c r="AD34" i="11"/>
  <c r="AD35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AK9" i="2"/>
  <c r="AK10" i="2"/>
  <c r="AK11" i="2"/>
  <c r="AK12" i="2"/>
  <c r="AK13" i="2"/>
  <c r="AJ9" i="2"/>
  <c r="AJ10" i="2"/>
  <c r="AJ11" i="2"/>
  <c r="AJ12" i="2"/>
  <c r="AJ13" i="2"/>
  <c r="AI12" i="2"/>
  <c r="AH9" i="2"/>
  <c r="AH10" i="2"/>
  <c r="AH11" i="2"/>
  <c r="AH12" i="2"/>
  <c r="AH13" i="2"/>
  <c r="AH14" i="2"/>
  <c r="AG9" i="2"/>
  <c r="AG10" i="2"/>
  <c r="AG11" i="2"/>
  <c r="AG12" i="2"/>
  <c r="AG13" i="2"/>
  <c r="AG14" i="2"/>
  <c r="AF9" i="2"/>
  <c r="AF10" i="2"/>
  <c r="AF11" i="2"/>
  <c r="AF12" i="2"/>
  <c r="AF13" i="2"/>
  <c r="AF14" i="2"/>
  <c r="AE9" i="2"/>
  <c r="AE10" i="2"/>
  <c r="AE11" i="2"/>
  <c r="AE12" i="2"/>
  <c r="AE13" i="2"/>
  <c r="AE14" i="2"/>
  <c r="AD9" i="2"/>
  <c r="AD10" i="2"/>
  <c r="AD11" i="2"/>
  <c r="AD12" i="2"/>
  <c r="AD13" i="2"/>
  <c r="AD14" i="2"/>
  <c r="AC9" i="2"/>
  <c r="AC10" i="2"/>
  <c r="AC11" i="2"/>
  <c r="AC12" i="2"/>
  <c r="AC13" i="2"/>
  <c r="AC14" i="2"/>
  <c r="AB9" i="2"/>
  <c r="AB10" i="2"/>
  <c r="AB11" i="2"/>
  <c r="AB12" i="2"/>
  <c r="AB13" i="2"/>
  <c r="AB14" i="2"/>
  <c r="AA10" i="2"/>
  <c r="AA12" i="2"/>
  <c r="AA14" i="2"/>
  <c r="Z9" i="2"/>
  <c r="Z10" i="2"/>
  <c r="Z11" i="2"/>
  <c r="Z12" i="2"/>
  <c r="Z13" i="2"/>
  <c r="Z14" i="2"/>
  <c r="AK19" i="2"/>
  <c r="AK18" i="2"/>
  <c r="AJ18" i="2"/>
  <c r="AK17" i="2"/>
  <c r="AJ17" i="2"/>
  <c r="AI17" i="2"/>
  <c r="AK16" i="2"/>
  <c r="AJ16" i="2"/>
  <c r="AH16" i="2"/>
  <c r="AK15" i="2"/>
  <c r="AJ15" i="2"/>
  <c r="AH15" i="2"/>
  <c r="AG15" i="2"/>
  <c r="AK14" i="2"/>
  <c r="AJ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AA15" i="2"/>
  <c r="AA17" i="2"/>
  <c r="AA19" i="2"/>
  <c r="AA21" i="2"/>
  <c r="AA23" i="2"/>
  <c r="AA25" i="2"/>
  <c r="AA27" i="2"/>
  <c r="AA29" i="2"/>
  <c r="AA31" i="2"/>
  <c r="AA33" i="2"/>
  <c r="AA35" i="2"/>
  <c r="AA37" i="2"/>
  <c r="AA39" i="2"/>
  <c r="AA41" i="2"/>
  <c r="AA43" i="2"/>
  <c r="AA45" i="2"/>
  <c r="AA47" i="2"/>
  <c r="AA49" i="2"/>
  <c r="AA51" i="2"/>
  <c r="AA53" i="2"/>
  <c r="AA55" i="2"/>
  <c r="AA57" i="2"/>
  <c r="AA59" i="2"/>
  <c r="AA61" i="2"/>
  <c r="AA63" i="2"/>
  <c r="AA65" i="2"/>
  <c r="AA67" i="2"/>
  <c r="AA69" i="2"/>
  <c r="AA71" i="2"/>
  <c r="AA73" i="2"/>
  <c r="AA75" i="2"/>
  <c r="AA77" i="2"/>
  <c r="AA79" i="2"/>
  <c r="AA81" i="2"/>
  <c r="AA83" i="2"/>
  <c r="AA85" i="2"/>
  <c r="AA87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I19" i="2"/>
  <c r="AI23" i="2"/>
  <c r="AI27" i="2"/>
  <c r="AI31" i="2"/>
  <c r="AI35" i="2"/>
  <c r="AI39" i="2"/>
  <c r="AI43" i="2"/>
  <c r="AI47" i="2"/>
  <c r="AI51" i="2"/>
  <c r="AI55" i="2"/>
  <c r="AI59" i="2"/>
  <c r="AI63" i="2"/>
  <c r="AI67" i="2"/>
  <c r="AI71" i="2"/>
  <c r="AI75" i="2"/>
  <c r="AI79" i="2"/>
  <c r="AI83" i="2"/>
  <c r="AI87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AA36" i="11"/>
  <c r="AA37" i="11"/>
  <c r="AA38" i="11"/>
  <c r="AA39" i="11"/>
  <c r="AA40" i="11"/>
  <c r="AA41" i="11"/>
  <c r="AA42" i="11"/>
  <c r="AA43" i="11"/>
  <c r="AA44" i="11"/>
  <c r="AA45" i="11"/>
  <c r="AA46" i="11"/>
  <c r="AA47" i="11"/>
  <c r="AA48" i="11"/>
  <c r="AA49" i="11"/>
  <c r="AA50" i="11"/>
  <c r="AA51" i="11"/>
  <c r="AA52" i="11"/>
  <c r="AA53" i="11"/>
  <c r="AA54" i="11"/>
  <c r="AA55" i="11"/>
  <c r="AA56" i="11"/>
  <c r="AA57" i="11"/>
  <c r="AA58" i="11"/>
  <c r="AA59" i="11"/>
  <c r="AA60" i="11"/>
  <c r="AA61" i="11"/>
  <c r="AA62" i="11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AA80" i="11"/>
  <c r="AA81" i="11"/>
  <c r="AA82" i="11"/>
  <c r="AA83" i="11"/>
  <c r="AA84" i="11"/>
  <c r="AA85" i="11"/>
  <c r="AA86" i="11"/>
  <c r="AA87" i="11"/>
  <c r="AA88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D36" i="11"/>
  <c r="AD37" i="11"/>
  <c r="AD38" i="11"/>
  <c r="AD39" i="11"/>
  <c r="AD40" i="11"/>
  <c r="AD41" i="11"/>
  <c r="AD42" i="11"/>
  <c r="AD43" i="11"/>
  <c r="AD44" i="11"/>
  <c r="AD45" i="11"/>
  <c r="AD46" i="11"/>
  <c r="AD47" i="11"/>
  <c r="AD48" i="11"/>
  <c r="AD49" i="11"/>
  <c r="AD50" i="11"/>
  <c r="AD51" i="11"/>
  <c r="AD52" i="11"/>
  <c r="AD53" i="11"/>
  <c r="AD54" i="11"/>
  <c r="AD55" i="11"/>
  <c r="AD56" i="11"/>
  <c r="AD57" i="11"/>
  <c r="AD58" i="11"/>
  <c r="AD59" i="11"/>
  <c r="AD60" i="11"/>
  <c r="AD61" i="11"/>
  <c r="AD62" i="11"/>
  <c r="AD63" i="11"/>
  <c r="AD64" i="11"/>
  <c r="AD65" i="11"/>
  <c r="AD66" i="11"/>
  <c r="AD67" i="11"/>
  <c r="AD68" i="11"/>
  <c r="AD69" i="11"/>
  <c r="AD70" i="11"/>
  <c r="AD71" i="11"/>
  <c r="AD72" i="11"/>
  <c r="AD73" i="11"/>
  <c r="AD74" i="11"/>
  <c r="AD75" i="11"/>
  <c r="AD76" i="11"/>
  <c r="AD77" i="11"/>
  <c r="AD78" i="11"/>
  <c r="AD79" i="11"/>
  <c r="AD80" i="11"/>
  <c r="AD81" i="11"/>
  <c r="AD82" i="11"/>
  <c r="AD83" i="11"/>
  <c r="AD84" i="11"/>
  <c r="AD85" i="11"/>
  <c r="AD86" i="11"/>
  <c r="AD87" i="11"/>
  <c r="AD88" i="11"/>
  <c r="AE36" i="11"/>
  <c r="AE37" i="11"/>
  <c r="AE38" i="11"/>
  <c r="AE39" i="11"/>
  <c r="AE40" i="11"/>
  <c r="AE41" i="11"/>
  <c r="AE42" i="11"/>
  <c r="AE43" i="11"/>
  <c r="AE44" i="11"/>
  <c r="AE45" i="11"/>
  <c r="AE46" i="11"/>
  <c r="AE47" i="11"/>
  <c r="AE48" i="11"/>
  <c r="AE49" i="11"/>
  <c r="AE50" i="11"/>
  <c r="AE51" i="11"/>
  <c r="AE52" i="11"/>
  <c r="AE53" i="11"/>
  <c r="AE54" i="11"/>
  <c r="AE55" i="11"/>
  <c r="AE56" i="11"/>
  <c r="AE57" i="11"/>
  <c r="AE58" i="11"/>
  <c r="AE59" i="11"/>
  <c r="AE60" i="11"/>
  <c r="AE61" i="11"/>
  <c r="AE62" i="11"/>
  <c r="AE63" i="11"/>
  <c r="AE64" i="11"/>
  <c r="AE65" i="11"/>
  <c r="AE66" i="11"/>
  <c r="AE67" i="11"/>
  <c r="AE68" i="11"/>
  <c r="AE69" i="11"/>
  <c r="AE70" i="11"/>
  <c r="AE71" i="11"/>
  <c r="AE72" i="11"/>
  <c r="AE73" i="11"/>
  <c r="AE74" i="11"/>
  <c r="AE75" i="11"/>
  <c r="AE76" i="11"/>
  <c r="AE77" i="11"/>
  <c r="AE78" i="11"/>
  <c r="AE79" i="11"/>
  <c r="AE80" i="11"/>
  <c r="AE81" i="11"/>
  <c r="AE82" i="11"/>
  <c r="AE83" i="11"/>
  <c r="AE84" i="11"/>
  <c r="AE85" i="11"/>
  <c r="AE86" i="11"/>
  <c r="AE87" i="11"/>
  <c r="AE88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3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F71" i="11"/>
  <c r="AF72" i="11"/>
  <c r="AF73" i="11"/>
  <c r="AF74" i="11"/>
  <c r="AF75" i="11"/>
  <c r="AF76" i="11"/>
  <c r="AF77" i="11"/>
  <c r="AF78" i="11"/>
  <c r="AF79" i="11"/>
  <c r="AF80" i="11"/>
  <c r="AF81" i="11"/>
  <c r="AF82" i="11"/>
  <c r="AF83" i="11"/>
  <c r="AF84" i="11"/>
  <c r="AF85" i="11"/>
  <c r="AF86" i="11"/>
  <c r="AF87" i="11"/>
  <c r="AF88" i="11"/>
  <c r="AG36" i="11"/>
  <c r="AG37" i="11"/>
  <c r="AG38" i="11"/>
  <c r="AG39" i="11"/>
  <c r="AG40" i="11"/>
  <c r="AG41" i="11"/>
  <c r="AG42" i="11"/>
  <c r="AG43" i="11"/>
  <c r="AG44" i="11"/>
  <c r="AG45" i="11"/>
  <c r="AG46" i="11"/>
  <c r="AG47" i="11"/>
  <c r="AG48" i="11"/>
  <c r="AG49" i="11"/>
  <c r="AG50" i="11"/>
  <c r="AG51" i="11"/>
  <c r="AG52" i="11"/>
  <c r="AG53" i="11"/>
  <c r="AG54" i="11"/>
  <c r="AG55" i="11"/>
  <c r="AG56" i="11"/>
  <c r="AG57" i="11"/>
  <c r="AG58" i="11"/>
  <c r="AG59" i="11"/>
  <c r="AG60" i="11"/>
  <c r="AG61" i="11"/>
  <c r="AG62" i="11"/>
  <c r="AG63" i="11"/>
  <c r="AG64" i="11"/>
  <c r="AG65" i="11"/>
  <c r="AG66" i="11"/>
  <c r="AG67" i="11"/>
  <c r="AG68" i="11"/>
  <c r="AG69" i="11"/>
  <c r="AG70" i="11"/>
  <c r="AG71" i="11"/>
  <c r="E35" i="11" s="1"/>
  <c r="AG72" i="11"/>
  <c r="AG73" i="11"/>
  <c r="AG74" i="11"/>
  <c r="AG75" i="11"/>
  <c r="AG76" i="11"/>
  <c r="AG77" i="11"/>
  <c r="AG78" i="11"/>
  <c r="AG79" i="11"/>
  <c r="AG80" i="11"/>
  <c r="AG81" i="11"/>
  <c r="AG82" i="11"/>
  <c r="AG83" i="11"/>
  <c r="AG84" i="11"/>
  <c r="AG85" i="11"/>
  <c r="AG86" i="11"/>
  <c r="AG87" i="11"/>
  <c r="AG88" i="11"/>
  <c r="AH36" i="11"/>
  <c r="AH37" i="11"/>
  <c r="AH38" i="11"/>
  <c r="AH39" i="11"/>
  <c r="AH40" i="11"/>
  <c r="AH41" i="11"/>
  <c r="AH42" i="11"/>
  <c r="AH43" i="11"/>
  <c r="AH44" i="11"/>
  <c r="AH45" i="11"/>
  <c r="AH46" i="11"/>
  <c r="AH47" i="11"/>
  <c r="AH48" i="11"/>
  <c r="AH49" i="11"/>
  <c r="AH50" i="11"/>
  <c r="AH51" i="11"/>
  <c r="AH52" i="11"/>
  <c r="AH53" i="11"/>
  <c r="AH54" i="11"/>
  <c r="AH55" i="11"/>
  <c r="AH56" i="11"/>
  <c r="AH57" i="11"/>
  <c r="AH58" i="11"/>
  <c r="AH59" i="11"/>
  <c r="AH60" i="11"/>
  <c r="AH61" i="11"/>
  <c r="AH62" i="11"/>
  <c r="AH63" i="11"/>
  <c r="AH64" i="11"/>
  <c r="AH65" i="11"/>
  <c r="AH66" i="11"/>
  <c r="AH67" i="11"/>
  <c r="AH68" i="11"/>
  <c r="AH69" i="11"/>
  <c r="AH70" i="11"/>
  <c r="AH71" i="11"/>
  <c r="AH72" i="11"/>
  <c r="AH73" i="11"/>
  <c r="AH74" i="11"/>
  <c r="AH75" i="11"/>
  <c r="AH76" i="11"/>
  <c r="AH77" i="11"/>
  <c r="AH78" i="11"/>
  <c r="AH79" i="11"/>
  <c r="AH80" i="11"/>
  <c r="AH81" i="11"/>
  <c r="AH82" i="11"/>
  <c r="AH83" i="11"/>
  <c r="AH84" i="11"/>
  <c r="AH85" i="11"/>
  <c r="AH86" i="11"/>
  <c r="AH87" i="11"/>
  <c r="AH88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K36" i="11"/>
  <c r="AK37" i="11"/>
  <c r="E39" i="11" s="1"/>
  <c r="AK38" i="11"/>
  <c r="AK39" i="11"/>
  <c r="AK40" i="11"/>
  <c r="AK41" i="11"/>
  <c r="AK42" i="11"/>
  <c r="AK43" i="11"/>
  <c r="AK44" i="11"/>
  <c r="AK45" i="11"/>
  <c r="AK46" i="11"/>
  <c r="AK47" i="11"/>
  <c r="AK48" i="11"/>
  <c r="AK49" i="11"/>
  <c r="AK50" i="11"/>
  <c r="AK51" i="11"/>
  <c r="AK52" i="11"/>
  <c r="AK53" i="11"/>
  <c r="AK54" i="11"/>
  <c r="AK55" i="11"/>
  <c r="AK56" i="11"/>
  <c r="AK57" i="11"/>
  <c r="AK58" i="11"/>
  <c r="AK59" i="11"/>
  <c r="AK60" i="11"/>
  <c r="AK61" i="11"/>
  <c r="AK62" i="11"/>
  <c r="AK63" i="11"/>
  <c r="AK64" i="11"/>
  <c r="AK65" i="11"/>
  <c r="AK66" i="11"/>
  <c r="AK67" i="11"/>
  <c r="AK68" i="11"/>
  <c r="AK69" i="11"/>
  <c r="AK70" i="11"/>
  <c r="AK71" i="11"/>
  <c r="AK72" i="11"/>
  <c r="AK73" i="11"/>
  <c r="AK74" i="11"/>
  <c r="AK75" i="11"/>
  <c r="AK76" i="11"/>
  <c r="AK77" i="11"/>
  <c r="AK78" i="11"/>
  <c r="AK79" i="11"/>
  <c r="AK80" i="11"/>
  <c r="AK81" i="11"/>
  <c r="AK82" i="11"/>
  <c r="AK83" i="11"/>
  <c r="AK84" i="11"/>
  <c r="AK85" i="11"/>
  <c r="AK86" i="11"/>
  <c r="AK87" i="11"/>
  <c r="AK88" i="11"/>
  <c r="Z81" i="12"/>
  <c r="Z82" i="12"/>
  <c r="Z83" i="12"/>
  <c r="Z84" i="12"/>
  <c r="Z85" i="12"/>
  <c r="Z86" i="12"/>
  <c r="Z87" i="12"/>
  <c r="Z88" i="12"/>
  <c r="AA81" i="12"/>
  <c r="AA82" i="12"/>
  <c r="AA83" i="12"/>
  <c r="AA84" i="12"/>
  <c r="AA85" i="12"/>
  <c r="AA86" i="12"/>
  <c r="AA87" i="12"/>
  <c r="AA88" i="12"/>
  <c r="AB81" i="12"/>
  <c r="E30" i="12" s="1"/>
  <c r="AB82" i="12"/>
  <c r="AB83" i="12"/>
  <c r="AB84" i="12"/>
  <c r="AB85" i="12"/>
  <c r="AB86" i="12"/>
  <c r="AB87" i="12"/>
  <c r="AB88" i="12"/>
  <c r="AC81" i="12"/>
  <c r="AC82" i="12"/>
  <c r="AC83" i="12"/>
  <c r="AC84" i="12"/>
  <c r="AC85" i="12"/>
  <c r="AC86" i="12"/>
  <c r="AC87" i="12"/>
  <c r="AC88" i="12"/>
  <c r="AD81" i="12"/>
  <c r="AD82" i="12"/>
  <c r="AD83" i="12"/>
  <c r="AD84" i="12"/>
  <c r="AD85" i="12"/>
  <c r="AD86" i="12"/>
  <c r="AD87" i="12"/>
  <c r="AD88" i="12"/>
  <c r="AE80" i="12"/>
  <c r="E33" i="12" s="1"/>
  <c r="AE81" i="12"/>
  <c r="AE82" i="12"/>
  <c r="AE83" i="12"/>
  <c r="AE84" i="12"/>
  <c r="AE85" i="12"/>
  <c r="AE86" i="12"/>
  <c r="AE87" i="12"/>
  <c r="AE88" i="12"/>
  <c r="AF82" i="12"/>
  <c r="AF86" i="12"/>
  <c r="AG80" i="12"/>
  <c r="AG81" i="12"/>
  <c r="AG82" i="12"/>
  <c r="AG83" i="12"/>
  <c r="AG84" i="12"/>
  <c r="AG85" i="12"/>
  <c r="AG86" i="12"/>
  <c r="AG87" i="12"/>
  <c r="AG88" i="12"/>
  <c r="AH80" i="12"/>
  <c r="AH81" i="12"/>
  <c r="AH82" i="12"/>
  <c r="AH83" i="12"/>
  <c r="AH84" i="12"/>
  <c r="AH85" i="12"/>
  <c r="AH86" i="12"/>
  <c r="AH87" i="12"/>
  <c r="AH88" i="12"/>
  <c r="AI80" i="12"/>
  <c r="AI81" i="12"/>
  <c r="E37" i="12" s="1"/>
  <c r="AI82" i="12"/>
  <c r="AI83" i="12"/>
  <c r="AI84" i="12"/>
  <c r="AI85" i="12"/>
  <c r="AI86" i="12"/>
  <c r="AI87" i="12"/>
  <c r="AI88" i="12"/>
  <c r="AJ80" i="12"/>
  <c r="AJ81" i="12"/>
  <c r="AJ82" i="12"/>
  <c r="AJ83" i="12"/>
  <c r="AJ84" i="12"/>
  <c r="AJ85" i="12"/>
  <c r="AJ86" i="12"/>
  <c r="AJ87" i="12"/>
  <c r="AJ88" i="12"/>
  <c r="AK80" i="12"/>
  <c r="AK81" i="12"/>
  <c r="AK82" i="12"/>
  <c r="AK83" i="12"/>
  <c r="AK84" i="12"/>
  <c r="AK85" i="12"/>
  <c r="AK86" i="12"/>
  <c r="AK87" i="12"/>
  <c r="AK88" i="12"/>
  <c r="Z79" i="3"/>
  <c r="Z80" i="3"/>
  <c r="Z81" i="3"/>
  <c r="Z82" i="3"/>
  <c r="Z83" i="3"/>
  <c r="Z84" i="3"/>
  <c r="Z85" i="3"/>
  <c r="Z86" i="3"/>
  <c r="Z87" i="3"/>
  <c r="Z88" i="3"/>
  <c r="AA79" i="3"/>
  <c r="AA80" i="3"/>
  <c r="AA81" i="3"/>
  <c r="AA82" i="3"/>
  <c r="AA83" i="3"/>
  <c r="AA84" i="3"/>
  <c r="AA85" i="3"/>
  <c r="AA86" i="3"/>
  <c r="AA87" i="3"/>
  <c r="AA88" i="3"/>
  <c r="AB79" i="3"/>
  <c r="AB80" i="3"/>
  <c r="AB81" i="3"/>
  <c r="AB82" i="3"/>
  <c r="AB83" i="3"/>
  <c r="AB84" i="3"/>
  <c r="AB85" i="3"/>
  <c r="AB86" i="3"/>
  <c r="AB87" i="3"/>
  <c r="AB88" i="3"/>
  <c r="AC79" i="3"/>
  <c r="E31" i="3" s="1"/>
  <c r="AC80" i="3"/>
  <c r="AC81" i="3"/>
  <c r="AC82" i="3"/>
  <c r="AC83" i="3"/>
  <c r="AC84" i="3"/>
  <c r="AC85" i="3"/>
  <c r="AC86" i="3"/>
  <c r="AC87" i="3"/>
  <c r="AC88" i="3"/>
  <c r="AD79" i="3"/>
  <c r="AD80" i="3"/>
  <c r="AD81" i="3"/>
  <c r="AD82" i="3"/>
  <c r="AD83" i="3"/>
  <c r="AD84" i="3"/>
  <c r="AD85" i="3"/>
  <c r="AD86" i="3"/>
  <c r="AD87" i="3"/>
  <c r="AD88" i="3"/>
  <c r="AE78" i="3"/>
  <c r="AE79" i="3"/>
  <c r="AE80" i="3"/>
  <c r="AE81" i="3"/>
  <c r="AE82" i="3"/>
  <c r="AE83" i="3"/>
  <c r="AE84" i="3"/>
  <c r="AE85" i="3"/>
  <c r="AE86" i="3"/>
  <c r="AE87" i="3"/>
  <c r="AE88" i="3"/>
  <c r="AF78" i="3"/>
  <c r="AF79" i="3"/>
  <c r="AF80" i="3"/>
  <c r="AF81" i="3"/>
  <c r="AF82" i="3"/>
  <c r="AF83" i="3"/>
  <c r="AF84" i="3"/>
  <c r="AF85" i="3"/>
  <c r="AF86" i="3"/>
  <c r="AF87" i="3"/>
  <c r="AF88" i="3"/>
  <c r="AG78" i="3"/>
  <c r="E35" i="3" s="1"/>
  <c r="AG79" i="3"/>
  <c r="AG80" i="3"/>
  <c r="AG81" i="3"/>
  <c r="AG82" i="3"/>
  <c r="AG83" i="3"/>
  <c r="AG84" i="3"/>
  <c r="AG85" i="3"/>
  <c r="AG86" i="3"/>
  <c r="AG87" i="3"/>
  <c r="AG88" i="3"/>
  <c r="AH78" i="3"/>
  <c r="AH79" i="3"/>
  <c r="AH80" i="3"/>
  <c r="AH81" i="3"/>
  <c r="AH82" i="3"/>
  <c r="AH83" i="3"/>
  <c r="AH84" i="3"/>
  <c r="AH85" i="3"/>
  <c r="AH86" i="3"/>
  <c r="AH87" i="3"/>
  <c r="AH88" i="3"/>
  <c r="AI78" i="3"/>
  <c r="AI79" i="3"/>
  <c r="AI80" i="3"/>
  <c r="AI81" i="3"/>
  <c r="AI82" i="3"/>
  <c r="AI83" i="3"/>
  <c r="AI84" i="3"/>
  <c r="AI85" i="3"/>
  <c r="AI86" i="3"/>
  <c r="AI87" i="3"/>
  <c r="AI88" i="3"/>
  <c r="AJ78" i="3"/>
  <c r="AJ79" i="3"/>
  <c r="AJ80" i="3"/>
  <c r="AJ81" i="3"/>
  <c r="AJ82" i="3"/>
  <c r="AJ83" i="3"/>
  <c r="AJ84" i="3"/>
  <c r="AJ85" i="3"/>
  <c r="AJ86" i="3"/>
  <c r="AJ87" i="3"/>
  <c r="AJ88" i="3"/>
  <c r="AK78" i="3"/>
  <c r="E39" i="3" s="1"/>
  <c r="AK79" i="3"/>
  <c r="AK80" i="3"/>
  <c r="AK81" i="3"/>
  <c r="AK82" i="3"/>
  <c r="AK83" i="3"/>
  <c r="AK84" i="3"/>
  <c r="AK85" i="3"/>
  <c r="AK86" i="3"/>
  <c r="AK87" i="3"/>
  <c r="AK88" i="3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I70" i="7"/>
  <c r="AI71" i="7"/>
  <c r="AI72" i="7"/>
  <c r="AI73" i="7"/>
  <c r="AI74" i="7"/>
  <c r="AI75" i="7"/>
  <c r="AI76" i="7"/>
  <c r="AI77" i="7"/>
  <c r="AI78" i="7"/>
  <c r="AI79" i="7"/>
  <c r="AI80" i="7"/>
  <c r="AI81" i="7"/>
  <c r="AI82" i="7"/>
  <c r="AI83" i="7"/>
  <c r="AI84" i="7"/>
  <c r="AI85" i="7"/>
  <c r="AI86" i="7"/>
  <c r="AI87" i="7"/>
  <c r="AI88" i="7"/>
  <c r="AJ70" i="7"/>
  <c r="AJ71" i="7"/>
  <c r="AJ72" i="7"/>
  <c r="AJ73" i="7"/>
  <c r="AJ74" i="7"/>
  <c r="AJ75" i="7"/>
  <c r="AJ76" i="7"/>
  <c r="AJ77" i="7"/>
  <c r="AJ78" i="7"/>
  <c r="AJ79" i="7"/>
  <c r="AJ80" i="7"/>
  <c r="AJ81" i="7"/>
  <c r="AJ82" i="7"/>
  <c r="AJ83" i="7"/>
  <c r="AJ84" i="7"/>
  <c r="AJ85" i="7"/>
  <c r="AJ86" i="7"/>
  <c r="AJ87" i="7"/>
  <c r="AJ88" i="7"/>
  <c r="AK70" i="7"/>
  <c r="E39" i="7" s="1"/>
  <c r="AK71" i="7"/>
  <c r="AK72" i="7"/>
  <c r="AK73" i="7"/>
  <c r="AK74" i="7"/>
  <c r="AK75" i="7"/>
  <c r="AK76" i="7"/>
  <c r="AK77" i="7"/>
  <c r="AK78" i="7"/>
  <c r="AK79" i="7"/>
  <c r="AK80" i="7"/>
  <c r="AK81" i="7"/>
  <c r="AK82" i="7"/>
  <c r="AK83" i="7"/>
  <c r="AK84" i="7"/>
  <c r="AK85" i="7"/>
  <c r="AK86" i="7"/>
  <c r="AK87" i="7"/>
  <c r="AK88" i="7"/>
  <c r="F11" i="2"/>
  <c r="E30" i="2"/>
  <c r="E31" i="2"/>
  <c r="E32" i="2"/>
  <c r="E33" i="2"/>
  <c r="E34" i="2"/>
  <c r="E35" i="2"/>
  <c r="E38" i="2"/>
  <c r="E39" i="2"/>
  <c r="E29" i="11"/>
  <c r="E30" i="11"/>
  <c r="E31" i="11"/>
  <c r="E33" i="11"/>
  <c r="E37" i="11"/>
  <c r="E29" i="12"/>
  <c r="E48" i="12" s="1"/>
  <c r="E31" i="12"/>
  <c r="E35" i="12"/>
  <c r="E39" i="12"/>
  <c r="E29" i="13"/>
  <c r="E30" i="13"/>
  <c r="E31" i="13"/>
  <c r="E33" i="13"/>
  <c r="E35" i="13"/>
  <c r="E37" i="13"/>
  <c r="E39" i="13"/>
  <c r="E29" i="3"/>
  <c r="E33" i="3"/>
  <c r="E37" i="3"/>
  <c r="E29" i="4"/>
  <c r="E33" i="4"/>
  <c r="E37" i="4"/>
  <c r="E39" i="4"/>
  <c r="E29" i="5"/>
  <c r="E31" i="5"/>
  <c r="E33" i="5"/>
  <c r="E35" i="5"/>
  <c r="E37" i="5"/>
  <c r="E39" i="5"/>
  <c r="E29" i="6"/>
  <c r="E48" i="6" s="1"/>
  <c r="E30" i="6"/>
  <c r="E31" i="6"/>
  <c r="E33" i="6"/>
  <c r="E35" i="6"/>
  <c r="E37" i="6"/>
  <c r="E39" i="6"/>
  <c r="E29" i="7"/>
  <c r="E30" i="7"/>
  <c r="E31" i="7"/>
  <c r="E33" i="7"/>
  <c r="E35" i="7"/>
  <c r="E37" i="7"/>
  <c r="E29" i="8"/>
  <c r="F29" i="8"/>
  <c r="E30" i="8"/>
  <c r="F30" i="8"/>
  <c r="E31" i="8"/>
  <c r="F31" i="8"/>
  <c r="E33" i="8"/>
  <c r="F33" i="8"/>
  <c r="E34" i="8"/>
  <c r="F34" i="8"/>
  <c r="E35" i="8"/>
  <c r="F35" i="8"/>
  <c r="E37" i="8"/>
  <c r="F37" i="8"/>
  <c r="E38" i="8"/>
  <c r="F38" i="8"/>
  <c r="E39" i="8"/>
  <c r="F39" i="8"/>
  <c r="E29" i="9"/>
  <c r="F29" i="9"/>
  <c r="E31" i="9"/>
  <c r="F31" i="9"/>
  <c r="E32" i="9"/>
  <c r="F32" i="9"/>
  <c r="E35" i="9"/>
  <c r="F35" i="9"/>
  <c r="E37" i="9"/>
  <c r="F37" i="9"/>
  <c r="E30" i="10"/>
  <c r="F30" i="10"/>
  <c r="E32" i="10"/>
  <c r="F32" i="10"/>
  <c r="E38" i="10"/>
  <c r="F38" i="10"/>
  <c r="E147" i="1"/>
  <c r="E155" i="1"/>
  <c r="E163" i="1"/>
  <c r="E171" i="1"/>
  <c r="N147" i="1"/>
  <c r="N155" i="1"/>
  <c r="N163" i="1"/>
  <c r="N171" i="1"/>
  <c r="O147" i="1"/>
  <c r="O155" i="1"/>
  <c r="O163" i="1"/>
  <c r="O171" i="1"/>
  <c r="E141" i="1"/>
  <c r="E149" i="1"/>
  <c r="E157" i="1"/>
  <c r="E165" i="1"/>
  <c r="N141" i="1"/>
  <c r="N149" i="1"/>
  <c r="N157" i="1"/>
  <c r="N165" i="1"/>
  <c r="O141" i="1"/>
  <c r="O149" i="1"/>
  <c r="O157" i="1"/>
  <c r="O165" i="1"/>
  <c r="P141" i="1"/>
  <c r="E152" i="1"/>
  <c r="E168" i="1"/>
  <c r="N152" i="1"/>
  <c r="N168" i="1"/>
  <c r="O152" i="1"/>
  <c r="O168" i="1"/>
  <c r="P148" i="1"/>
  <c r="P156" i="1"/>
  <c r="P164" i="1"/>
  <c r="P172" i="1"/>
  <c r="F148" i="1"/>
  <c r="F156" i="1"/>
  <c r="F164" i="1"/>
  <c r="F172" i="1"/>
  <c r="G148" i="1"/>
  <c r="G156" i="1"/>
  <c r="G164" i="1"/>
  <c r="G172" i="1"/>
  <c r="H148" i="1"/>
  <c r="H156" i="1"/>
  <c r="H164" i="1"/>
  <c r="H172" i="1"/>
  <c r="I148" i="1"/>
  <c r="I156" i="1"/>
  <c r="I164" i="1"/>
  <c r="I172" i="1"/>
  <c r="J148" i="1"/>
  <c r="J156" i="1"/>
  <c r="J164" i="1"/>
  <c r="J172" i="1"/>
  <c r="K148" i="1"/>
  <c r="K156" i="1"/>
  <c r="K164" i="1"/>
  <c r="K172" i="1"/>
  <c r="L148" i="1"/>
  <c r="L156" i="1"/>
  <c r="L164" i="1"/>
  <c r="L172" i="1"/>
  <c r="M148" i="1"/>
  <c r="M156" i="1"/>
  <c r="M164" i="1"/>
  <c r="M172" i="1"/>
  <c r="L312" i="1"/>
  <c r="M312" i="1"/>
  <c r="L271" i="1"/>
  <c r="M271" i="1"/>
  <c r="E146" i="1"/>
  <c r="E162" i="1"/>
  <c r="N146" i="1"/>
  <c r="N162" i="1"/>
  <c r="O146" i="1"/>
  <c r="O162" i="1"/>
  <c r="P145" i="1"/>
  <c r="P153" i="1"/>
  <c r="P161" i="1"/>
  <c r="P169" i="1"/>
  <c r="F145" i="1"/>
  <c r="F153" i="1"/>
  <c r="F161" i="1"/>
  <c r="F169" i="1"/>
  <c r="G145" i="1"/>
  <c r="G153" i="1"/>
  <c r="G161" i="1"/>
  <c r="G169" i="1"/>
  <c r="H145" i="1"/>
  <c r="H153" i="1"/>
  <c r="H161" i="1"/>
  <c r="H169" i="1"/>
  <c r="I145" i="1"/>
  <c r="I153" i="1"/>
  <c r="I161" i="1"/>
  <c r="I169" i="1"/>
  <c r="J145" i="1"/>
  <c r="J153" i="1"/>
  <c r="J161" i="1"/>
  <c r="J169" i="1"/>
  <c r="K145" i="1"/>
  <c r="K153" i="1"/>
  <c r="K161" i="1"/>
  <c r="K169" i="1"/>
  <c r="L145" i="1"/>
  <c r="L153" i="1"/>
  <c r="L161" i="1"/>
  <c r="L169" i="1"/>
  <c r="M145" i="1"/>
  <c r="M153" i="1"/>
  <c r="M161" i="1"/>
  <c r="M169" i="1"/>
  <c r="K309" i="1"/>
  <c r="K317" i="1"/>
  <c r="L317" i="1"/>
  <c r="I268" i="1"/>
  <c r="N268" i="1"/>
  <c r="N276" i="1"/>
  <c r="O272" i="1"/>
  <c r="P268" i="1"/>
  <c r="P276" i="1"/>
  <c r="F274" i="1"/>
  <c r="G272" i="1"/>
  <c r="H270" i="1"/>
  <c r="H278" i="1"/>
  <c r="I276" i="1"/>
  <c r="J272" i="1"/>
  <c r="K268" i="1"/>
  <c r="K276" i="1"/>
  <c r="L276" i="1"/>
  <c r="E156" i="1"/>
  <c r="E172" i="1"/>
  <c r="N156" i="1"/>
  <c r="N172" i="1"/>
  <c r="O156" i="1"/>
  <c r="O172" i="1"/>
  <c r="P150" i="1"/>
  <c r="P158" i="1"/>
  <c r="P166" i="1"/>
  <c r="F142" i="1"/>
  <c r="F150" i="1"/>
  <c r="F158" i="1"/>
  <c r="F166" i="1"/>
  <c r="G142" i="1"/>
  <c r="G150" i="1"/>
  <c r="E151" i="1"/>
  <c r="E167" i="1"/>
  <c r="N151" i="1"/>
  <c r="N167" i="1"/>
  <c r="O151" i="1"/>
  <c r="O167" i="1"/>
  <c r="E145" i="1"/>
  <c r="E161" i="1"/>
  <c r="N145" i="1"/>
  <c r="N161" i="1"/>
  <c r="O145" i="1"/>
  <c r="O161" i="1"/>
  <c r="E144" i="1"/>
  <c r="N144" i="1"/>
  <c r="O144" i="1"/>
  <c r="P144" i="1"/>
  <c r="P160" i="1"/>
  <c r="F144" i="1"/>
  <c r="F160" i="1"/>
  <c r="G144" i="1"/>
  <c r="G160" i="1"/>
  <c r="H144" i="1"/>
  <c r="H160" i="1"/>
  <c r="I144" i="1"/>
  <c r="I160" i="1"/>
  <c r="J144" i="1"/>
  <c r="J160" i="1"/>
  <c r="K144" i="1"/>
  <c r="K160" i="1"/>
  <c r="L144" i="1"/>
  <c r="L160" i="1"/>
  <c r="M144" i="1"/>
  <c r="M160" i="1"/>
  <c r="E271" i="1"/>
  <c r="E170" i="1"/>
  <c r="N170" i="1"/>
  <c r="O170" i="1"/>
  <c r="P157" i="1"/>
  <c r="F141" i="1"/>
  <c r="F157" i="1"/>
  <c r="G141" i="1"/>
  <c r="G157" i="1"/>
  <c r="H141" i="1"/>
  <c r="H157" i="1"/>
  <c r="I141" i="1"/>
  <c r="I157" i="1"/>
  <c r="J141" i="1"/>
  <c r="J157" i="1"/>
  <c r="K141" i="1"/>
  <c r="K157" i="1"/>
  <c r="L141" i="1"/>
  <c r="L157" i="1"/>
  <c r="M141" i="1"/>
  <c r="M157" i="1"/>
  <c r="L309" i="1"/>
  <c r="E272" i="1"/>
  <c r="O268" i="1"/>
  <c r="P272" i="1"/>
  <c r="F278" i="1"/>
  <c r="H274" i="1"/>
  <c r="J268" i="1"/>
  <c r="K272" i="1"/>
  <c r="E148" i="1"/>
  <c r="N148" i="1"/>
  <c r="O148" i="1"/>
  <c r="P146" i="1"/>
  <c r="P162" i="1"/>
  <c r="F146" i="1"/>
  <c r="F162" i="1"/>
  <c r="G146" i="1"/>
  <c r="G158" i="1"/>
  <c r="G166" i="1"/>
  <c r="H142" i="1"/>
  <c r="H150" i="1"/>
  <c r="H158" i="1"/>
  <c r="H166" i="1"/>
  <c r="I142" i="1"/>
  <c r="I150" i="1"/>
  <c r="I158" i="1"/>
  <c r="I166" i="1"/>
  <c r="J142" i="1"/>
  <c r="J150" i="1"/>
  <c r="J158" i="1"/>
  <c r="J166" i="1"/>
  <c r="K142" i="1"/>
  <c r="K150" i="1"/>
  <c r="K158" i="1"/>
  <c r="K166" i="1"/>
  <c r="L142" i="1"/>
  <c r="L150" i="1"/>
  <c r="L158" i="1"/>
  <c r="L166" i="1"/>
  <c r="M142" i="1"/>
  <c r="M150" i="1"/>
  <c r="M158" i="1"/>
  <c r="M166" i="1"/>
  <c r="K314" i="1"/>
  <c r="M310" i="1"/>
  <c r="E269" i="1"/>
  <c r="E273" i="1"/>
  <c r="N269" i="1"/>
  <c r="P269" i="1"/>
  <c r="K269" i="1"/>
  <c r="K277" i="1"/>
  <c r="M277" i="1"/>
  <c r="E142" i="1"/>
  <c r="E158" i="1"/>
  <c r="N142" i="1"/>
  <c r="N158" i="1"/>
  <c r="O142" i="1"/>
  <c r="O158" i="1"/>
  <c r="P142" i="1"/>
  <c r="P151" i="1"/>
  <c r="P159" i="1"/>
  <c r="P167" i="1"/>
  <c r="F143" i="1"/>
  <c r="F151" i="1"/>
  <c r="F159" i="1"/>
  <c r="F167" i="1"/>
  <c r="G143" i="1"/>
  <c r="G151" i="1"/>
  <c r="G159" i="1"/>
  <c r="G167" i="1"/>
  <c r="H143" i="1"/>
  <c r="H151" i="1"/>
  <c r="H159" i="1"/>
  <c r="H167" i="1"/>
  <c r="I143" i="1"/>
  <c r="I151" i="1"/>
  <c r="I159" i="1"/>
  <c r="I167" i="1"/>
  <c r="J143" i="1"/>
  <c r="J151" i="1"/>
  <c r="J159" i="1"/>
  <c r="J167" i="1"/>
  <c r="K143" i="1"/>
  <c r="K151" i="1"/>
  <c r="K159" i="1"/>
  <c r="K167" i="1"/>
  <c r="L143" i="1"/>
  <c r="L151" i="1"/>
  <c r="L159" i="1"/>
  <c r="L167" i="1"/>
  <c r="M143" i="1"/>
  <c r="M151" i="1"/>
  <c r="M159" i="1"/>
  <c r="M167" i="1"/>
  <c r="K311" i="1"/>
  <c r="K319" i="1"/>
  <c r="L315" i="1"/>
  <c r="H268" i="1"/>
  <c r="K270" i="1"/>
  <c r="J270" i="1"/>
  <c r="O274" i="1"/>
  <c r="I270" i="1"/>
  <c r="K278" i="1"/>
  <c r="N274" i="1"/>
  <c r="F272" i="1"/>
  <c r="I274" i="1"/>
  <c r="L270" i="1"/>
  <c r="P270" i="1"/>
  <c r="H272" i="1"/>
  <c r="L274" i="1"/>
  <c r="P274" i="1"/>
  <c r="K274" i="1"/>
  <c r="E143" i="1"/>
  <c r="E159" i="1"/>
  <c r="N143" i="1"/>
  <c r="N159" i="1"/>
  <c r="O143" i="1"/>
  <c r="O159" i="1"/>
  <c r="P143" i="1"/>
  <c r="E153" i="1"/>
  <c r="E169" i="1"/>
  <c r="N153" i="1"/>
  <c r="N169" i="1"/>
  <c r="O153" i="1"/>
  <c r="O169" i="1"/>
  <c r="E160" i="1"/>
  <c r="N160" i="1"/>
  <c r="O160" i="1"/>
  <c r="P152" i="1"/>
  <c r="P168" i="1"/>
  <c r="F152" i="1"/>
  <c r="F168" i="1"/>
  <c r="G152" i="1"/>
  <c r="G168" i="1"/>
  <c r="H152" i="1"/>
  <c r="H168" i="1"/>
  <c r="I152" i="1"/>
  <c r="I168" i="1"/>
  <c r="J152" i="1"/>
  <c r="J168" i="1"/>
  <c r="K152" i="1"/>
  <c r="K168" i="1"/>
  <c r="L152" i="1"/>
  <c r="L168" i="1"/>
  <c r="M152" i="1"/>
  <c r="M168" i="1"/>
  <c r="E154" i="1"/>
  <c r="N154" i="1"/>
  <c r="O154" i="1"/>
  <c r="P149" i="1"/>
  <c r="P165" i="1"/>
  <c r="F149" i="1"/>
  <c r="F165" i="1"/>
  <c r="G149" i="1"/>
  <c r="G165" i="1"/>
  <c r="H149" i="1"/>
  <c r="H165" i="1"/>
  <c r="I149" i="1"/>
  <c r="I165" i="1"/>
  <c r="J149" i="1"/>
  <c r="J165" i="1"/>
  <c r="K149" i="1"/>
  <c r="K165" i="1"/>
  <c r="L149" i="1"/>
  <c r="L165" i="1"/>
  <c r="M149" i="1"/>
  <c r="M165" i="1"/>
  <c r="K313" i="1"/>
  <c r="G268" i="1"/>
  <c r="N272" i="1"/>
  <c r="O276" i="1"/>
  <c r="F270" i="1"/>
  <c r="G276" i="1"/>
  <c r="I272" i="1"/>
  <c r="J276" i="1"/>
  <c r="L268" i="1"/>
  <c r="E164" i="1"/>
  <c r="N164" i="1"/>
  <c r="O164" i="1"/>
  <c r="P154" i="1"/>
  <c r="P170" i="1"/>
  <c r="F154" i="1"/>
  <c r="F170" i="1"/>
  <c r="G154" i="1"/>
  <c r="G162" i="1"/>
  <c r="G170" i="1"/>
  <c r="H146" i="1"/>
  <c r="H154" i="1"/>
  <c r="H162" i="1"/>
  <c r="H170" i="1"/>
  <c r="I146" i="1"/>
  <c r="I154" i="1"/>
  <c r="I162" i="1"/>
  <c r="I170" i="1"/>
  <c r="J146" i="1"/>
  <c r="J154" i="1"/>
  <c r="J162" i="1"/>
  <c r="J170" i="1"/>
  <c r="K146" i="1"/>
  <c r="K154" i="1"/>
  <c r="K162" i="1"/>
  <c r="K170" i="1"/>
  <c r="L146" i="1"/>
  <c r="L154" i="1"/>
  <c r="L162" i="1"/>
  <c r="L170" i="1"/>
  <c r="M146" i="1"/>
  <c r="M154" i="1"/>
  <c r="M162" i="1"/>
  <c r="M170" i="1"/>
  <c r="K310" i="1"/>
  <c r="K318" i="1"/>
  <c r="M318" i="1"/>
  <c r="I269" i="1"/>
  <c r="E277" i="1"/>
  <c r="O269" i="1"/>
  <c r="J269" i="1"/>
  <c r="K273" i="1"/>
  <c r="M269" i="1"/>
  <c r="E150" i="1"/>
  <c r="E166" i="1"/>
  <c r="N150" i="1"/>
  <c r="N166" i="1"/>
  <c r="O150" i="1"/>
  <c r="O166" i="1"/>
  <c r="P147" i="1"/>
  <c r="P155" i="1"/>
  <c r="P163" i="1"/>
  <c r="P171" i="1"/>
  <c r="F147" i="1"/>
  <c r="F155" i="1"/>
  <c r="F163" i="1"/>
  <c r="F171" i="1"/>
  <c r="G147" i="1"/>
  <c r="G155" i="1"/>
  <c r="G163" i="1"/>
  <c r="G171" i="1"/>
  <c r="H147" i="1"/>
  <c r="H155" i="1"/>
  <c r="H163" i="1"/>
  <c r="H171" i="1"/>
  <c r="I147" i="1"/>
  <c r="I155" i="1"/>
  <c r="I163" i="1"/>
  <c r="I171" i="1"/>
  <c r="J147" i="1"/>
  <c r="J155" i="1"/>
  <c r="J163" i="1"/>
  <c r="J171" i="1"/>
  <c r="K147" i="1"/>
  <c r="K155" i="1"/>
  <c r="K163" i="1"/>
  <c r="K171" i="1"/>
  <c r="L147" i="1"/>
  <c r="L155" i="1"/>
  <c r="L163" i="1"/>
  <c r="L171" i="1"/>
  <c r="M147" i="1"/>
  <c r="M155" i="1"/>
  <c r="M163" i="1"/>
  <c r="M171" i="1"/>
  <c r="K315" i="1"/>
  <c r="L311" i="1"/>
  <c r="F268" i="1"/>
  <c r="N278" i="1"/>
  <c r="E278" i="1"/>
  <c r="N270" i="1"/>
  <c r="P278" i="1"/>
  <c r="J274" i="1"/>
  <c r="E270" i="1"/>
  <c r="O278" i="1"/>
  <c r="G278" i="1"/>
  <c r="J278" i="1"/>
  <c r="E274" i="1"/>
  <c r="F276" i="1"/>
  <c r="I278" i="1"/>
  <c r="O270" i="1"/>
  <c r="H276" i="1"/>
  <c r="F15" i="2" l="1"/>
  <c r="G35" i="9"/>
  <c r="G31" i="9"/>
  <c r="G39" i="8"/>
  <c r="G37" i="8"/>
  <c r="G35" i="8"/>
  <c r="Z87" i="6"/>
  <c r="Z85" i="6"/>
  <c r="Z83" i="6"/>
  <c r="Z81" i="6"/>
  <c r="Z79" i="6"/>
  <c r="Z77" i="6"/>
  <c r="Z75" i="6"/>
  <c r="Z73" i="6"/>
  <c r="Z71" i="6"/>
  <c r="Z69" i="6"/>
  <c r="Z67" i="6"/>
  <c r="Z65" i="6"/>
  <c r="Z63" i="6"/>
  <c r="Z61" i="6"/>
  <c r="Z59" i="6"/>
  <c r="Z57" i="6"/>
  <c r="Z55" i="6"/>
  <c r="Z53" i="6"/>
  <c r="Z51" i="6"/>
  <c r="Z49" i="6"/>
  <c r="Z45" i="6"/>
  <c r="Z41" i="6"/>
  <c r="Z37" i="6"/>
  <c r="Z33" i="6"/>
  <c r="Z29" i="6"/>
  <c r="Z25" i="6"/>
  <c r="Z21" i="6"/>
  <c r="Z17" i="6"/>
  <c r="Z13" i="6"/>
  <c r="Z66" i="7"/>
  <c r="Z62" i="7"/>
  <c r="Z58" i="7"/>
  <c r="Z54" i="7"/>
  <c r="Z50" i="7"/>
  <c r="Z46" i="7"/>
  <c r="Z42" i="7"/>
  <c r="Z38" i="7"/>
  <c r="Z34" i="7"/>
  <c r="Z30" i="7"/>
  <c r="Z26" i="7"/>
  <c r="Z22" i="7"/>
  <c r="Z83" i="9"/>
  <c r="Z75" i="9"/>
  <c r="Z67" i="9"/>
  <c r="Z59" i="9"/>
  <c r="Z51" i="9"/>
  <c r="Z43" i="9"/>
  <c r="Z35" i="9"/>
  <c r="Z27" i="9"/>
  <c r="Z19" i="9"/>
  <c r="Z10" i="6"/>
  <c r="Z12" i="6"/>
  <c r="Z14" i="6"/>
  <c r="Z16" i="6"/>
  <c r="Z18" i="6"/>
  <c r="Z20" i="6"/>
  <c r="Z22" i="6"/>
  <c r="Z24" i="6"/>
  <c r="Z26" i="6"/>
  <c r="Z28" i="6"/>
  <c r="Z30" i="6"/>
  <c r="Z32" i="6"/>
  <c r="Z34" i="6"/>
  <c r="Z36" i="6"/>
  <c r="Z38" i="6"/>
  <c r="Z40" i="6"/>
  <c r="Z42" i="6"/>
  <c r="Z44" i="6"/>
  <c r="Z46" i="6"/>
  <c r="Z48" i="6"/>
  <c r="Z9" i="7"/>
  <c r="Z11" i="7"/>
  <c r="Z13" i="7"/>
  <c r="Z15" i="7"/>
  <c r="Z17" i="7"/>
  <c r="Z19" i="7"/>
  <c r="Z21" i="7"/>
  <c r="Z12" i="7"/>
  <c r="Z16" i="7"/>
  <c r="Z20" i="7"/>
  <c r="Z23" i="7"/>
  <c r="Z25" i="7"/>
  <c r="Z27" i="7"/>
  <c r="Z29" i="7"/>
  <c r="Z31" i="7"/>
  <c r="Z33" i="7"/>
  <c r="Z35" i="7"/>
  <c r="Z37" i="7"/>
  <c r="Z39" i="7"/>
  <c r="Z41" i="7"/>
  <c r="Z43" i="7"/>
  <c r="Z45" i="7"/>
  <c r="Z47" i="7"/>
  <c r="Z49" i="7"/>
  <c r="Z51" i="7"/>
  <c r="Z53" i="7"/>
  <c r="Z55" i="7"/>
  <c r="Z57" i="7"/>
  <c r="Z59" i="7"/>
  <c r="Z61" i="7"/>
  <c r="Z63" i="7"/>
  <c r="Z65" i="7"/>
  <c r="Z67" i="7"/>
  <c r="Z69" i="7"/>
  <c r="Z10" i="9"/>
  <c r="Z12" i="9"/>
  <c r="Z14" i="9"/>
  <c r="Z16" i="9"/>
  <c r="Z18" i="9"/>
  <c r="Z20" i="9"/>
  <c r="Z22" i="9"/>
  <c r="Z24" i="9"/>
  <c r="Z26" i="9"/>
  <c r="Z28" i="9"/>
  <c r="Z30" i="9"/>
  <c r="Z32" i="9"/>
  <c r="Z34" i="9"/>
  <c r="Z36" i="9"/>
  <c r="Z38" i="9"/>
  <c r="Z40" i="9"/>
  <c r="Z42" i="9"/>
  <c r="Z44" i="9"/>
  <c r="Z46" i="9"/>
  <c r="Z48" i="9"/>
  <c r="Z50" i="9"/>
  <c r="Z52" i="9"/>
  <c r="Z54" i="9"/>
  <c r="Z56" i="9"/>
  <c r="Z58" i="9"/>
  <c r="Z60" i="9"/>
  <c r="Z62" i="9"/>
  <c r="Z64" i="9"/>
  <c r="Z66" i="9"/>
  <c r="Z68" i="9"/>
  <c r="Z70" i="9"/>
  <c r="Z72" i="9"/>
  <c r="Z74" i="9"/>
  <c r="Z76" i="9"/>
  <c r="Z78" i="9"/>
  <c r="Z80" i="9"/>
  <c r="Z82" i="9"/>
  <c r="Z84" i="9"/>
  <c r="Z86" i="9"/>
  <c r="Z88" i="9"/>
  <c r="Z9" i="9"/>
  <c r="Z13" i="9"/>
  <c r="Z17" i="9"/>
  <c r="Z21" i="9"/>
  <c r="Z25" i="9"/>
  <c r="Z29" i="9"/>
  <c r="Z33" i="9"/>
  <c r="Z37" i="9"/>
  <c r="Z41" i="9"/>
  <c r="Z45" i="9"/>
  <c r="Z49" i="9"/>
  <c r="Z53" i="9"/>
  <c r="Z57" i="9"/>
  <c r="Z61" i="9"/>
  <c r="Z65" i="9"/>
  <c r="Z69" i="9"/>
  <c r="Z73" i="9"/>
  <c r="Z77" i="9"/>
  <c r="Z81" i="9"/>
  <c r="Z85" i="9"/>
  <c r="K9" i="10"/>
  <c r="C28" i="10"/>
  <c r="K28" i="10" s="1"/>
  <c r="Z8" i="10"/>
  <c r="E48" i="4"/>
  <c r="F29" i="6"/>
  <c r="G29" i="6" s="1"/>
  <c r="F30" i="6"/>
  <c r="F29" i="7"/>
  <c r="G29" i="7" s="1"/>
  <c r="F30" i="7"/>
  <c r="C38" i="9"/>
  <c r="B1" i="3"/>
  <c r="B2" i="4"/>
  <c r="F29" i="11"/>
  <c r="G29" i="11" s="1"/>
  <c r="F30" i="11"/>
  <c r="E32" i="11"/>
  <c r="E36" i="11"/>
  <c r="E28" i="12"/>
  <c r="F29" i="12"/>
  <c r="G29" i="12" s="1"/>
  <c r="F30" i="12"/>
  <c r="G30" i="12" s="1"/>
  <c r="F29" i="13"/>
  <c r="F30" i="13"/>
  <c r="G30" i="13" s="1"/>
  <c r="E32" i="13"/>
  <c r="E36" i="13"/>
  <c r="C36" i="9"/>
  <c r="AH8" i="9"/>
  <c r="J32" i="9"/>
  <c r="L32" i="9"/>
  <c r="F13" i="2"/>
  <c r="G37" i="9"/>
  <c r="G29" i="13"/>
  <c r="F12" i="2"/>
  <c r="G29" i="9"/>
  <c r="G31" i="8"/>
  <c r="G29" i="8"/>
  <c r="G32" i="10"/>
  <c r="G38" i="8"/>
  <c r="G33" i="8"/>
  <c r="F16" i="2"/>
  <c r="F14" i="2"/>
  <c r="F17" i="2"/>
  <c r="F20" i="2"/>
  <c r="G38" i="10"/>
  <c r="G30" i="10"/>
  <c r="G32" i="9"/>
  <c r="G34" i="8"/>
  <c r="R166" i="1"/>
  <c r="R158" i="1"/>
  <c r="R150" i="1"/>
  <c r="R142" i="1"/>
  <c r="R172" i="1"/>
  <c r="R164" i="1"/>
  <c r="R156" i="1"/>
  <c r="R148" i="1"/>
  <c r="R170" i="1"/>
  <c r="R162" i="1"/>
  <c r="R154" i="1"/>
  <c r="R146" i="1"/>
  <c r="R168" i="1"/>
  <c r="R160" i="1"/>
  <c r="R152" i="1"/>
  <c r="R144" i="1"/>
  <c r="R169" i="1"/>
  <c r="R165" i="1"/>
  <c r="R161" i="1"/>
  <c r="R157" i="1"/>
  <c r="R153" i="1"/>
  <c r="R149" i="1"/>
  <c r="R145" i="1"/>
  <c r="R141" i="1"/>
  <c r="R171" i="1"/>
  <c r="R167" i="1"/>
  <c r="R163" i="1"/>
  <c r="R159" i="1"/>
  <c r="R155" i="1"/>
  <c r="R151" i="1"/>
  <c r="R147" i="1"/>
  <c r="R143" i="1"/>
  <c r="G30" i="7"/>
  <c r="E49" i="13"/>
  <c r="G30" i="11"/>
  <c r="E49" i="11"/>
  <c r="G9" i="2"/>
  <c r="F28" i="2"/>
  <c r="F33" i="11"/>
  <c r="F34" i="11"/>
  <c r="F37" i="11"/>
  <c r="F38" i="11"/>
  <c r="F35" i="12"/>
  <c r="F28" i="3"/>
  <c r="F30" i="3"/>
  <c r="F32" i="3"/>
  <c r="F33" i="3"/>
  <c r="G33" i="3" s="1"/>
  <c r="F36" i="3"/>
  <c r="F37" i="3"/>
  <c r="F28" i="4"/>
  <c r="F29" i="4"/>
  <c r="F30" i="4"/>
  <c r="F32" i="4"/>
  <c r="F33" i="4"/>
  <c r="F34" i="4"/>
  <c r="F36" i="4"/>
  <c r="F37" i="4"/>
  <c r="G37" i="4" s="1"/>
  <c r="F38" i="4"/>
  <c r="F39" i="4"/>
  <c r="F29" i="5"/>
  <c r="G29" i="5" s="1"/>
  <c r="F30" i="5"/>
  <c r="F31" i="5"/>
  <c r="F33" i="5"/>
  <c r="F34" i="5"/>
  <c r="F35" i="5"/>
  <c r="F37" i="5"/>
  <c r="F38" i="5"/>
  <c r="F39" i="5"/>
  <c r="F28" i="6"/>
  <c r="F31" i="6"/>
  <c r="F32" i="6"/>
  <c r="F33" i="6"/>
  <c r="F34" i="6"/>
  <c r="F35" i="6"/>
  <c r="F36" i="6"/>
  <c r="F37" i="6"/>
  <c r="G37" i="6" s="1"/>
  <c r="F38" i="6"/>
  <c r="F39" i="6"/>
  <c r="F28" i="7"/>
  <c r="F31" i="7"/>
  <c r="F32" i="7"/>
  <c r="F35" i="7"/>
  <c r="F36" i="7"/>
  <c r="F39" i="7"/>
  <c r="AI9" i="2"/>
  <c r="AI13" i="2"/>
  <c r="AI16" i="2"/>
  <c r="AI15" i="2"/>
  <c r="AI18" i="2"/>
  <c r="AI22" i="2"/>
  <c r="AI26" i="2"/>
  <c r="AI30" i="2"/>
  <c r="AI34" i="2"/>
  <c r="AI38" i="2"/>
  <c r="AI42" i="2"/>
  <c r="AI46" i="2"/>
  <c r="AI50" i="2"/>
  <c r="AI54" i="2"/>
  <c r="AI58" i="2"/>
  <c r="AI62" i="2"/>
  <c r="AI66" i="2"/>
  <c r="AI70" i="2"/>
  <c r="AI74" i="2"/>
  <c r="AI78" i="2"/>
  <c r="AI82" i="2"/>
  <c r="AI86" i="2"/>
  <c r="AI11" i="2"/>
  <c r="AI20" i="2"/>
  <c r="AI24" i="2"/>
  <c r="AI28" i="2"/>
  <c r="AI32" i="2"/>
  <c r="AI36" i="2"/>
  <c r="AI40" i="2"/>
  <c r="AI44" i="2"/>
  <c r="AI48" i="2"/>
  <c r="AI52" i="2"/>
  <c r="AI56" i="2"/>
  <c r="AI60" i="2"/>
  <c r="AI64" i="2"/>
  <c r="AI68" i="2"/>
  <c r="AI72" i="2"/>
  <c r="AI76" i="2"/>
  <c r="AI80" i="2"/>
  <c r="AI84" i="2"/>
  <c r="AI88" i="2"/>
  <c r="AF9" i="12"/>
  <c r="AF13" i="12"/>
  <c r="AF17" i="12"/>
  <c r="AF21" i="12"/>
  <c r="AF25" i="12"/>
  <c r="AF29" i="12"/>
  <c r="AF33" i="12"/>
  <c r="AF37" i="12"/>
  <c r="AF41" i="12"/>
  <c r="AF45" i="12"/>
  <c r="AF49" i="12"/>
  <c r="AF53" i="12"/>
  <c r="AF57" i="12"/>
  <c r="AF61" i="12"/>
  <c r="AF65" i="12"/>
  <c r="AF69" i="12"/>
  <c r="AF73" i="12"/>
  <c r="AF77" i="12"/>
  <c r="AF81" i="12"/>
  <c r="AF85" i="12"/>
  <c r="AF11" i="12"/>
  <c r="AF15" i="12"/>
  <c r="AF19" i="12"/>
  <c r="AF23" i="12"/>
  <c r="AF27" i="12"/>
  <c r="AF31" i="12"/>
  <c r="AF35" i="12"/>
  <c r="AF39" i="12"/>
  <c r="AF43" i="12"/>
  <c r="AF47" i="12"/>
  <c r="AF51" i="12"/>
  <c r="AF55" i="12"/>
  <c r="AF59" i="12"/>
  <c r="AF63" i="12"/>
  <c r="AF67" i="12"/>
  <c r="AF71" i="12"/>
  <c r="AF75" i="12"/>
  <c r="AF79" i="12"/>
  <c r="AF83" i="12"/>
  <c r="AF87" i="12"/>
  <c r="AK9" i="9"/>
  <c r="AK13" i="9"/>
  <c r="AK17" i="9"/>
  <c r="AK21" i="9"/>
  <c r="AK25" i="9"/>
  <c r="AK29" i="9"/>
  <c r="AK33" i="9"/>
  <c r="AK37" i="9"/>
  <c r="AK41" i="9"/>
  <c r="AK45" i="9"/>
  <c r="AK49" i="9"/>
  <c r="AK53" i="9"/>
  <c r="AK57" i="9"/>
  <c r="AK61" i="9"/>
  <c r="AK65" i="9"/>
  <c r="AK69" i="9"/>
  <c r="AK73" i="9"/>
  <c r="AK77" i="9"/>
  <c r="AK81" i="9"/>
  <c r="AK85" i="9"/>
  <c r="AK11" i="9"/>
  <c r="AK16" i="9"/>
  <c r="AK22" i="9"/>
  <c r="AK27" i="9"/>
  <c r="AK32" i="9"/>
  <c r="AK38" i="9"/>
  <c r="AK43" i="9"/>
  <c r="AK48" i="9"/>
  <c r="AK54" i="9"/>
  <c r="AK59" i="9"/>
  <c r="AK64" i="9"/>
  <c r="AK70" i="9"/>
  <c r="AK75" i="9"/>
  <c r="AK80" i="9"/>
  <c r="AK86" i="9"/>
  <c r="AK14" i="9"/>
  <c r="AK19" i="9"/>
  <c r="AK24" i="9"/>
  <c r="AK30" i="9"/>
  <c r="AK35" i="9"/>
  <c r="AK40" i="9"/>
  <c r="AK46" i="9"/>
  <c r="AK51" i="9"/>
  <c r="AK56" i="9"/>
  <c r="AK62" i="9"/>
  <c r="AK67" i="9"/>
  <c r="AK72" i="9"/>
  <c r="AK78" i="9"/>
  <c r="AK83" i="9"/>
  <c r="AK88" i="9"/>
  <c r="AK15" i="9"/>
  <c r="AK26" i="9"/>
  <c r="AK36" i="9"/>
  <c r="AK47" i="9"/>
  <c r="AK58" i="9"/>
  <c r="AK68" i="9"/>
  <c r="AK79" i="9"/>
  <c r="AK10" i="9"/>
  <c r="AK20" i="9"/>
  <c r="AK31" i="9"/>
  <c r="AK42" i="9"/>
  <c r="AK52" i="9"/>
  <c r="AK63" i="9"/>
  <c r="AK74" i="9"/>
  <c r="AK84" i="9"/>
  <c r="AE10" i="10"/>
  <c r="AE14" i="10"/>
  <c r="AE18" i="10"/>
  <c r="AE22" i="10"/>
  <c r="AE26" i="10"/>
  <c r="AE30" i="10"/>
  <c r="AE34" i="10"/>
  <c r="AE38" i="10"/>
  <c r="AE42" i="10"/>
  <c r="AE46" i="10"/>
  <c r="AE50" i="10"/>
  <c r="AE54" i="10"/>
  <c r="AE58" i="10"/>
  <c r="AE62" i="10"/>
  <c r="AE66" i="10"/>
  <c r="AE70" i="10"/>
  <c r="AE74" i="10"/>
  <c r="AE78" i="10"/>
  <c r="AE82" i="10"/>
  <c r="AE86" i="10"/>
  <c r="AE13" i="10"/>
  <c r="AE19" i="10"/>
  <c r="AE24" i="10"/>
  <c r="AE29" i="10"/>
  <c r="AE35" i="10"/>
  <c r="AE40" i="10"/>
  <c r="AE45" i="10"/>
  <c r="AE51" i="10"/>
  <c r="AE56" i="10"/>
  <c r="AE61" i="10"/>
  <c r="AE67" i="10"/>
  <c r="AE72" i="10"/>
  <c r="AE77" i="10"/>
  <c r="AE83" i="10"/>
  <c r="AE88" i="10"/>
  <c r="AE11" i="10"/>
  <c r="AE16" i="10"/>
  <c r="AE21" i="10"/>
  <c r="AE27" i="10"/>
  <c r="AE32" i="10"/>
  <c r="AE37" i="10"/>
  <c r="AE43" i="10"/>
  <c r="AE48" i="10"/>
  <c r="AE53" i="10"/>
  <c r="AE59" i="10"/>
  <c r="AE64" i="10"/>
  <c r="AE69" i="10"/>
  <c r="AE75" i="10"/>
  <c r="AE80" i="10"/>
  <c r="AE85" i="10"/>
  <c r="AE15" i="10"/>
  <c r="AE25" i="10"/>
  <c r="AE36" i="10"/>
  <c r="AE47" i="10"/>
  <c r="AE57" i="10"/>
  <c r="AE68" i="10"/>
  <c r="AE79" i="10"/>
  <c r="AE9" i="10"/>
  <c r="AE20" i="10"/>
  <c r="AE31" i="10"/>
  <c r="AE41" i="10"/>
  <c r="AE52" i="10"/>
  <c r="AE63" i="10"/>
  <c r="AE73" i="10"/>
  <c r="AE84" i="10"/>
  <c r="AE23" i="10"/>
  <c r="AE44" i="10"/>
  <c r="AE65" i="10"/>
  <c r="AE87" i="10"/>
  <c r="AE12" i="10"/>
  <c r="AE33" i="10"/>
  <c r="AE55" i="10"/>
  <c r="AE76" i="10"/>
  <c r="L38" i="9"/>
  <c r="J38" i="9"/>
  <c r="K17" i="8"/>
  <c r="C36" i="8"/>
  <c r="K36" i="8" s="1"/>
  <c r="AH8" i="8"/>
  <c r="K13" i="8"/>
  <c r="C32" i="8"/>
  <c r="K32" i="8" s="1"/>
  <c r="AD8" i="8"/>
  <c r="K9" i="8"/>
  <c r="C28" i="8"/>
  <c r="K28" i="8" s="1"/>
  <c r="Z8" i="8"/>
  <c r="J36" i="4"/>
  <c r="J32" i="4"/>
  <c r="J28" i="4"/>
  <c r="J38" i="4"/>
  <c r="J34" i="4"/>
  <c r="J30" i="4"/>
  <c r="J20" i="4"/>
  <c r="J19" i="4"/>
  <c r="J18" i="4"/>
  <c r="J39" i="4"/>
  <c r="J15" i="4"/>
  <c r="J11" i="4"/>
  <c r="J29" i="4"/>
  <c r="J17" i="4"/>
  <c r="J13" i="4"/>
  <c r="J9" i="4"/>
  <c r="J14" i="4"/>
  <c r="J10" i="4"/>
  <c r="J12" i="4"/>
  <c r="K39" i="5"/>
  <c r="K35" i="5"/>
  <c r="K31" i="5"/>
  <c r="K37" i="5"/>
  <c r="K33" i="5"/>
  <c r="K29" i="5"/>
  <c r="K20" i="5"/>
  <c r="K19" i="5"/>
  <c r="K18" i="5"/>
  <c r="K12" i="5"/>
  <c r="K11" i="5"/>
  <c r="K10" i="5"/>
  <c r="K34" i="5"/>
  <c r="K16" i="5"/>
  <c r="K15" i="5"/>
  <c r="K14" i="5"/>
  <c r="K38" i="5"/>
  <c r="K30" i="5"/>
  <c r="K13" i="5"/>
  <c r="K17" i="5"/>
  <c r="K9" i="5"/>
  <c r="L38" i="6"/>
  <c r="L34" i="6"/>
  <c r="L30" i="6"/>
  <c r="L20" i="6"/>
  <c r="L19" i="6"/>
  <c r="L18" i="6"/>
  <c r="L17" i="6"/>
  <c r="L16" i="6"/>
  <c r="L15" i="6"/>
  <c r="L14" i="6"/>
  <c r="L13" i="6"/>
  <c r="L12" i="6"/>
  <c r="L11" i="6"/>
  <c r="L10" i="6"/>
  <c r="L9" i="6"/>
  <c r="L36" i="6"/>
  <c r="L32" i="6"/>
  <c r="L28" i="6"/>
  <c r="L31" i="6"/>
  <c r="L29" i="6"/>
  <c r="J35" i="8"/>
  <c r="J20" i="8"/>
  <c r="J19" i="8"/>
  <c r="J14" i="8"/>
  <c r="J9" i="8"/>
  <c r="J36" i="8"/>
  <c r="J34" i="8"/>
  <c r="J17" i="8"/>
  <c r="J12" i="8"/>
  <c r="J11" i="8"/>
  <c r="J39" i="8"/>
  <c r="J32" i="8"/>
  <c r="J10" i="8"/>
  <c r="J30" i="8"/>
  <c r="J16" i="8"/>
  <c r="J15" i="8"/>
  <c r="J13" i="8"/>
  <c r="J18" i="8"/>
  <c r="K36" i="9"/>
  <c r="K32" i="9"/>
  <c r="K28" i="9"/>
  <c r="K20" i="9"/>
  <c r="K19" i="9"/>
  <c r="K18" i="9"/>
  <c r="K17" i="9"/>
  <c r="K16" i="9"/>
  <c r="K15" i="9"/>
  <c r="K14" i="9"/>
  <c r="K13" i="9"/>
  <c r="K12" i="9"/>
  <c r="K11" i="9"/>
  <c r="K10" i="9"/>
  <c r="K9" i="9"/>
  <c r="K35" i="9"/>
  <c r="K33" i="9"/>
  <c r="K39" i="9"/>
  <c r="K31" i="9"/>
  <c r="K37" i="9"/>
  <c r="K29" i="9"/>
  <c r="L30" i="10"/>
  <c r="L28" i="10"/>
  <c r="L17" i="10"/>
  <c r="L12" i="10"/>
  <c r="L38" i="10"/>
  <c r="L36" i="10"/>
  <c r="L20" i="10"/>
  <c r="L15" i="10"/>
  <c r="L14" i="10"/>
  <c r="L9" i="10"/>
  <c r="L34" i="10"/>
  <c r="L16" i="10"/>
  <c r="L32" i="10"/>
  <c r="L19" i="10"/>
  <c r="L13" i="10"/>
  <c r="L11" i="10"/>
  <c r="L10" i="10"/>
  <c r="L18" i="10"/>
  <c r="J36" i="12"/>
  <c r="J32" i="12"/>
  <c r="J28" i="12"/>
  <c r="J39" i="12"/>
  <c r="J31" i="12"/>
  <c r="J20" i="12"/>
  <c r="J16" i="12"/>
  <c r="J12" i="12"/>
  <c r="J35" i="12"/>
  <c r="J18" i="12"/>
  <c r="J14" i="12"/>
  <c r="J10" i="12"/>
  <c r="J38" i="12"/>
  <c r="J34" i="12"/>
  <c r="J30" i="12"/>
  <c r="J17" i="12"/>
  <c r="J9" i="12"/>
  <c r="J37" i="12"/>
  <c r="J33" i="12"/>
  <c r="J29" i="12"/>
  <c r="J13" i="12"/>
  <c r="J11" i="12"/>
  <c r="J19" i="12"/>
  <c r="K39" i="13"/>
  <c r="K35" i="13"/>
  <c r="K31" i="13"/>
  <c r="K38" i="13"/>
  <c r="K32" i="13"/>
  <c r="K36" i="13"/>
  <c r="K28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34" i="13"/>
  <c r="K33" i="13"/>
  <c r="K30" i="13"/>
  <c r="K37" i="13"/>
  <c r="K29" i="13"/>
  <c r="L38" i="2"/>
  <c r="L34" i="2"/>
  <c r="L30" i="2"/>
  <c r="L20" i="2"/>
  <c r="L19" i="2"/>
  <c r="L18" i="2"/>
  <c r="L17" i="2"/>
  <c r="L16" i="2"/>
  <c r="L15" i="2"/>
  <c r="L14" i="2"/>
  <c r="L13" i="2"/>
  <c r="L12" i="2"/>
  <c r="L11" i="2"/>
  <c r="L10" i="2"/>
  <c r="L9" i="2"/>
  <c r="L36" i="2"/>
  <c r="L33" i="2"/>
  <c r="L28" i="2"/>
  <c r="L37" i="2"/>
  <c r="L32" i="2"/>
  <c r="L29" i="2"/>
  <c r="L39" i="2"/>
  <c r="L31" i="2"/>
  <c r="L35" i="2"/>
  <c r="G29" i="4"/>
  <c r="G30" i="8"/>
  <c r="E36" i="7"/>
  <c r="E32" i="7"/>
  <c r="E38" i="6"/>
  <c r="E34" i="6"/>
  <c r="E28" i="6"/>
  <c r="E36" i="4"/>
  <c r="E32" i="4"/>
  <c r="E28" i="4"/>
  <c r="E36" i="3"/>
  <c r="E32" i="3"/>
  <c r="E28" i="3"/>
  <c r="AF84" i="12"/>
  <c r="AI85" i="2"/>
  <c r="AI77" i="2"/>
  <c r="AI69" i="2"/>
  <c r="AI61" i="2"/>
  <c r="AI53" i="2"/>
  <c r="AI45" i="2"/>
  <c r="AI37" i="2"/>
  <c r="AI29" i="2"/>
  <c r="AI21" i="2"/>
  <c r="G11" i="2"/>
  <c r="F30" i="2"/>
  <c r="G30" i="2" s="1"/>
  <c r="G13" i="2"/>
  <c r="F32" i="2"/>
  <c r="G15" i="2"/>
  <c r="F34" i="2"/>
  <c r="G34" i="2" s="1"/>
  <c r="G17" i="2"/>
  <c r="F36" i="2"/>
  <c r="AI10" i="2"/>
  <c r="AF74" i="12"/>
  <c r="AF66" i="12"/>
  <c r="AF58" i="12"/>
  <c r="AF50" i="12"/>
  <c r="AF42" i="12"/>
  <c r="AF34" i="12"/>
  <c r="AF26" i="12"/>
  <c r="AF18" i="12"/>
  <c r="AF10" i="12"/>
  <c r="AK76" i="9"/>
  <c r="AK55" i="9"/>
  <c r="AK34" i="9"/>
  <c r="AK12" i="9"/>
  <c r="AC55" i="10"/>
  <c r="AE49" i="10"/>
  <c r="AF87" i="10"/>
  <c r="AK71" i="10"/>
  <c r="AG12" i="4"/>
  <c r="AG16" i="4"/>
  <c r="AG20" i="4"/>
  <c r="AG24" i="4"/>
  <c r="AG28" i="4"/>
  <c r="AG32" i="4"/>
  <c r="AG36" i="4"/>
  <c r="AG40" i="4"/>
  <c r="AG44" i="4"/>
  <c r="AG48" i="4"/>
  <c r="AG52" i="4"/>
  <c r="AG56" i="4"/>
  <c r="AG60" i="4"/>
  <c r="AG64" i="4"/>
  <c r="AG68" i="4"/>
  <c r="AG72" i="4"/>
  <c r="AG76" i="4"/>
  <c r="AG80" i="4"/>
  <c r="AG84" i="4"/>
  <c r="AG88" i="4"/>
  <c r="AG10" i="4"/>
  <c r="AG14" i="4"/>
  <c r="AG18" i="4"/>
  <c r="AG22" i="4"/>
  <c r="AG26" i="4"/>
  <c r="AG30" i="4"/>
  <c r="AG34" i="4"/>
  <c r="AG38" i="4"/>
  <c r="AG42" i="4"/>
  <c r="AG46" i="4"/>
  <c r="AG50" i="4"/>
  <c r="AG54" i="4"/>
  <c r="AG58" i="4"/>
  <c r="AG62" i="4"/>
  <c r="AG66" i="4"/>
  <c r="AG70" i="4"/>
  <c r="AG74" i="4"/>
  <c r="AG78" i="4"/>
  <c r="AG82" i="4"/>
  <c r="AG86" i="4"/>
  <c r="AG15" i="4"/>
  <c r="AG23" i="4"/>
  <c r="AG31" i="4"/>
  <c r="AG39" i="4"/>
  <c r="AG47" i="4"/>
  <c r="AG55" i="4"/>
  <c r="AG63" i="4"/>
  <c r="AG71" i="4"/>
  <c r="AG79" i="4"/>
  <c r="AG87" i="4"/>
  <c r="AG11" i="4"/>
  <c r="AG19" i="4"/>
  <c r="AG27" i="4"/>
  <c r="AG35" i="4"/>
  <c r="AG43" i="4"/>
  <c r="AG51" i="4"/>
  <c r="AG59" i="4"/>
  <c r="AG67" i="4"/>
  <c r="AG75" i="4"/>
  <c r="AG83" i="4"/>
  <c r="J31" i="4"/>
  <c r="J33" i="4"/>
  <c r="J35" i="4"/>
  <c r="J37" i="4"/>
  <c r="L33" i="6"/>
  <c r="L35" i="6"/>
  <c r="L37" i="6"/>
  <c r="L39" i="6"/>
  <c r="G30" i="6"/>
  <c r="E36" i="2"/>
  <c r="G32" i="2"/>
  <c r="E28" i="2"/>
  <c r="G19" i="2"/>
  <c r="F38" i="2"/>
  <c r="G38" i="2" s="1"/>
  <c r="G20" i="2"/>
  <c r="F39" i="2"/>
  <c r="F28" i="11"/>
  <c r="F31" i="11"/>
  <c r="F32" i="11"/>
  <c r="F35" i="11"/>
  <c r="F36" i="11"/>
  <c r="F39" i="11"/>
  <c r="F28" i="12"/>
  <c r="F31" i="12"/>
  <c r="F32" i="12"/>
  <c r="F33" i="12"/>
  <c r="G33" i="12" s="1"/>
  <c r="F36" i="12"/>
  <c r="F37" i="12"/>
  <c r="F39" i="12"/>
  <c r="F28" i="13"/>
  <c r="F31" i="13"/>
  <c r="F32" i="13"/>
  <c r="F33" i="13"/>
  <c r="G33" i="13" s="1"/>
  <c r="F34" i="13"/>
  <c r="F35" i="13"/>
  <c r="F36" i="13"/>
  <c r="F37" i="13"/>
  <c r="G37" i="13" s="1"/>
  <c r="F38" i="13"/>
  <c r="F39" i="13"/>
  <c r="F29" i="3"/>
  <c r="F31" i="3"/>
  <c r="F34" i="3"/>
  <c r="F35" i="3"/>
  <c r="F38" i="3"/>
  <c r="F39" i="3"/>
  <c r="F33" i="7"/>
  <c r="G33" i="7" s="1"/>
  <c r="F34" i="7"/>
  <c r="F37" i="7"/>
  <c r="F38" i="7"/>
  <c r="K38" i="9"/>
  <c r="AC10" i="10"/>
  <c r="AC14" i="10"/>
  <c r="AC18" i="10"/>
  <c r="AC22" i="10"/>
  <c r="AC26" i="10"/>
  <c r="AC30" i="10"/>
  <c r="AC34" i="10"/>
  <c r="AC38" i="10"/>
  <c r="AC42" i="10"/>
  <c r="AC46" i="10"/>
  <c r="AC50" i="10"/>
  <c r="AC54" i="10"/>
  <c r="AC58" i="10"/>
  <c r="AC62" i="10"/>
  <c r="AC66" i="10"/>
  <c r="AC70" i="10"/>
  <c r="AC74" i="10"/>
  <c r="AC78" i="10"/>
  <c r="AC82" i="10"/>
  <c r="AC86" i="10"/>
  <c r="AC13" i="10"/>
  <c r="AC19" i="10"/>
  <c r="AC24" i="10"/>
  <c r="AC29" i="10"/>
  <c r="AC35" i="10"/>
  <c r="AC40" i="10"/>
  <c r="AC45" i="10"/>
  <c r="AC51" i="10"/>
  <c r="AC56" i="10"/>
  <c r="AC61" i="10"/>
  <c r="AC67" i="10"/>
  <c r="AC72" i="10"/>
  <c r="AC77" i="10"/>
  <c r="AC83" i="10"/>
  <c r="AC88" i="10"/>
  <c r="AC11" i="10"/>
  <c r="AC16" i="10"/>
  <c r="AC21" i="10"/>
  <c r="AC27" i="10"/>
  <c r="AC32" i="10"/>
  <c r="AC37" i="10"/>
  <c r="AC43" i="10"/>
  <c r="AC48" i="10"/>
  <c r="AC53" i="10"/>
  <c r="AC59" i="10"/>
  <c r="AC64" i="10"/>
  <c r="AC69" i="10"/>
  <c r="AC75" i="10"/>
  <c r="AC80" i="10"/>
  <c r="AC85" i="10"/>
  <c r="AC9" i="10"/>
  <c r="AC20" i="10"/>
  <c r="AC31" i="10"/>
  <c r="AC41" i="10"/>
  <c r="AC52" i="10"/>
  <c r="AC63" i="10"/>
  <c r="AC73" i="10"/>
  <c r="AC84" i="10"/>
  <c r="AC15" i="10"/>
  <c r="AC25" i="10"/>
  <c r="AC36" i="10"/>
  <c r="AC47" i="10"/>
  <c r="AC57" i="10"/>
  <c r="AC68" i="10"/>
  <c r="AC79" i="10"/>
  <c r="AC28" i="10"/>
  <c r="AC49" i="10"/>
  <c r="AC71" i="10"/>
  <c r="AC17" i="10"/>
  <c r="AC39" i="10"/>
  <c r="AC60" i="10"/>
  <c r="AC81" i="10"/>
  <c r="AF10" i="10"/>
  <c r="AF14" i="10"/>
  <c r="AF18" i="10"/>
  <c r="AF22" i="10"/>
  <c r="AF26" i="10"/>
  <c r="AF30" i="10"/>
  <c r="AF34" i="10"/>
  <c r="AF38" i="10"/>
  <c r="AF42" i="10"/>
  <c r="AF46" i="10"/>
  <c r="AF50" i="10"/>
  <c r="AF54" i="10"/>
  <c r="AF58" i="10"/>
  <c r="AF62" i="10"/>
  <c r="AF66" i="10"/>
  <c r="AF70" i="10"/>
  <c r="AF74" i="10"/>
  <c r="AF78" i="10"/>
  <c r="AF82" i="10"/>
  <c r="AF86" i="10"/>
  <c r="AF13" i="10"/>
  <c r="AF19" i="10"/>
  <c r="AF24" i="10"/>
  <c r="AF29" i="10"/>
  <c r="AF35" i="10"/>
  <c r="AF40" i="10"/>
  <c r="AF45" i="10"/>
  <c r="AF51" i="10"/>
  <c r="AF56" i="10"/>
  <c r="AF61" i="10"/>
  <c r="AF67" i="10"/>
  <c r="AF72" i="10"/>
  <c r="AF77" i="10"/>
  <c r="AF83" i="10"/>
  <c r="AF88" i="10"/>
  <c r="AF11" i="10"/>
  <c r="AF16" i="10"/>
  <c r="AF21" i="10"/>
  <c r="AF27" i="10"/>
  <c r="AF32" i="10"/>
  <c r="AF37" i="10"/>
  <c r="AF43" i="10"/>
  <c r="AF48" i="10"/>
  <c r="AF53" i="10"/>
  <c r="AF59" i="10"/>
  <c r="AF64" i="10"/>
  <c r="AF69" i="10"/>
  <c r="AF75" i="10"/>
  <c r="AF80" i="10"/>
  <c r="AF85" i="10"/>
  <c r="AF9" i="10"/>
  <c r="AF20" i="10"/>
  <c r="AF31" i="10"/>
  <c r="AF41" i="10"/>
  <c r="AF52" i="10"/>
  <c r="AF63" i="10"/>
  <c r="AF73" i="10"/>
  <c r="AF84" i="10"/>
  <c r="AF15" i="10"/>
  <c r="AF25" i="10"/>
  <c r="AF36" i="10"/>
  <c r="AF47" i="10"/>
  <c r="AF57" i="10"/>
  <c r="AF68" i="10"/>
  <c r="AF79" i="10"/>
  <c r="AF17" i="10"/>
  <c r="AF39" i="10"/>
  <c r="AF60" i="10"/>
  <c r="AF81" i="10"/>
  <c r="AF28" i="10"/>
  <c r="AF49" i="10"/>
  <c r="AF71" i="10"/>
  <c r="AK10" i="10"/>
  <c r="AK14" i="10"/>
  <c r="AK18" i="10"/>
  <c r="AK22" i="10"/>
  <c r="AK26" i="10"/>
  <c r="AK30" i="10"/>
  <c r="AK34" i="10"/>
  <c r="AK38" i="10"/>
  <c r="AK42" i="10"/>
  <c r="AK46" i="10"/>
  <c r="AK50" i="10"/>
  <c r="AK54" i="10"/>
  <c r="AK58" i="10"/>
  <c r="AK62" i="10"/>
  <c r="AK66" i="10"/>
  <c r="AK70" i="10"/>
  <c r="AK74" i="10"/>
  <c r="AK78" i="10"/>
  <c r="AK82" i="10"/>
  <c r="AK86" i="10"/>
  <c r="AK13" i="10"/>
  <c r="AK19" i="10"/>
  <c r="AK24" i="10"/>
  <c r="AK29" i="10"/>
  <c r="AK35" i="10"/>
  <c r="AK40" i="10"/>
  <c r="AK45" i="10"/>
  <c r="AK51" i="10"/>
  <c r="AK56" i="10"/>
  <c r="AK61" i="10"/>
  <c r="AK67" i="10"/>
  <c r="AK72" i="10"/>
  <c r="AK77" i="10"/>
  <c r="AK83" i="10"/>
  <c r="AK88" i="10"/>
  <c r="AK11" i="10"/>
  <c r="AK16" i="10"/>
  <c r="AK21" i="10"/>
  <c r="AK27" i="10"/>
  <c r="AK32" i="10"/>
  <c r="AK37" i="10"/>
  <c r="AK43" i="10"/>
  <c r="AK48" i="10"/>
  <c r="AK53" i="10"/>
  <c r="AK59" i="10"/>
  <c r="AK64" i="10"/>
  <c r="AK69" i="10"/>
  <c r="AK75" i="10"/>
  <c r="AK80" i="10"/>
  <c r="AK85" i="10"/>
  <c r="AK15" i="10"/>
  <c r="AK25" i="10"/>
  <c r="AK36" i="10"/>
  <c r="AK47" i="10"/>
  <c r="AK57" i="10"/>
  <c r="AK68" i="10"/>
  <c r="AK79" i="10"/>
  <c r="AK9" i="10"/>
  <c r="AK20" i="10"/>
  <c r="AK31" i="10"/>
  <c r="AK41" i="10"/>
  <c r="AK52" i="10"/>
  <c r="AK63" i="10"/>
  <c r="AK73" i="10"/>
  <c r="AK84" i="10"/>
  <c r="AK23" i="10"/>
  <c r="AK44" i="10"/>
  <c r="AK65" i="10"/>
  <c r="AK87" i="10"/>
  <c r="AK12" i="10"/>
  <c r="AK33" i="10"/>
  <c r="AK55" i="10"/>
  <c r="AK76" i="10"/>
  <c r="K39" i="3"/>
  <c r="K35" i="3"/>
  <c r="K31" i="3"/>
  <c r="K34" i="3"/>
  <c r="K29" i="3"/>
  <c r="K13" i="3"/>
  <c r="K12" i="3"/>
  <c r="K11" i="3"/>
  <c r="K10" i="3"/>
  <c r="K38" i="3"/>
  <c r="K33" i="3"/>
  <c r="K20" i="3"/>
  <c r="K19" i="3"/>
  <c r="K18" i="3"/>
  <c r="K17" i="3"/>
  <c r="K16" i="3"/>
  <c r="K15" i="3"/>
  <c r="K14" i="3"/>
  <c r="K37" i="3"/>
  <c r="K9" i="3"/>
  <c r="L38" i="4"/>
  <c r="L34" i="4"/>
  <c r="L30" i="4"/>
  <c r="L20" i="4"/>
  <c r="L19" i="4"/>
  <c r="L18" i="4"/>
  <c r="L17" i="4"/>
  <c r="L16" i="4"/>
  <c r="L15" i="4"/>
  <c r="L14" i="4"/>
  <c r="L13" i="4"/>
  <c r="L12" i="4"/>
  <c r="L11" i="4"/>
  <c r="L10" i="4"/>
  <c r="L9" i="4"/>
  <c r="L36" i="4"/>
  <c r="L32" i="4"/>
  <c r="L28" i="4"/>
  <c r="L31" i="4"/>
  <c r="L29" i="4"/>
  <c r="L39" i="4"/>
  <c r="J36" i="6"/>
  <c r="J32" i="6"/>
  <c r="J28" i="6"/>
  <c r="J38" i="6"/>
  <c r="J34" i="6"/>
  <c r="J30" i="6"/>
  <c r="J20" i="6"/>
  <c r="J19" i="6"/>
  <c r="J18" i="6"/>
  <c r="J17" i="6"/>
  <c r="J16" i="6"/>
  <c r="J15" i="6"/>
  <c r="J14" i="6"/>
  <c r="J13" i="6"/>
  <c r="J12" i="6"/>
  <c r="J11" i="6"/>
  <c r="J10" i="6"/>
  <c r="J9" i="6"/>
  <c r="J29" i="6"/>
  <c r="J39" i="6"/>
  <c r="K36" i="7"/>
  <c r="K32" i="7"/>
  <c r="K28" i="7"/>
  <c r="K20" i="7"/>
  <c r="K19" i="7"/>
  <c r="K18" i="7"/>
  <c r="K17" i="7"/>
  <c r="K16" i="7"/>
  <c r="K15" i="7"/>
  <c r="K37" i="7"/>
  <c r="K34" i="7"/>
  <c r="K31" i="7"/>
  <c r="K39" i="7"/>
  <c r="K38" i="7"/>
  <c r="K30" i="7"/>
  <c r="K14" i="7"/>
  <c r="K13" i="7"/>
  <c r="K12" i="7"/>
  <c r="K11" i="7"/>
  <c r="K10" i="7"/>
  <c r="K9" i="7"/>
  <c r="K33" i="7"/>
  <c r="K29" i="7"/>
  <c r="K35" i="7"/>
  <c r="L39" i="8"/>
  <c r="L35" i="8"/>
  <c r="L31" i="8"/>
  <c r="L34" i="8"/>
  <c r="L32" i="8"/>
  <c r="L16" i="8"/>
  <c r="L11" i="8"/>
  <c r="L10" i="8"/>
  <c r="L19" i="8"/>
  <c r="L18" i="8"/>
  <c r="L13" i="8"/>
  <c r="L17" i="8"/>
  <c r="L15" i="8"/>
  <c r="L14" i="8"/>
  <c r="L12" i="8"/>
  <c r="L38" i="8"/>
  <c r="L30" i="8"/>
  <c r="L28" i="8"/>
  <c r="L20" i="8"/>
  <c r="J38" i="10"/>
  <c r="J16" i="10"/>
  <c r="J15" i="10"/>
  <c r="J10" i="10"/>
  <c r="J32" i="10"/>
  <c r="J30" i="10"/>
  <c r="J18" i="10"/>
  <c r="J13" i="10"/>
  <c r="J36" i="10"/>
  <c r="J20" i="10"/>
  <c r="J19" i="10"/>
  <c r="J14" i="10"/>
  <c r="J12" i="10"/>
  <c r="J11" i="10"/>
  <c r="J34" i="10"/>
  <c r="J28" i="10"/>
  <c r="J17" i="10"/>
  <c r="J9" i="10"/>
  <c r="K39" i="11"/>
  <c r="K35" i="11"/>
  <c r="K31" i="11"/>
  <c r="K37" i="11"/>
  <c r="K34" i="11"/>
  <c r="K32" i="11"/>
  <c r="K29" i="11"/>
  <c r="K38" i="11"/>
  <c r="K33" i="11"/>
  <c r="K28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36" i="11"/>
  <c r="L38" i="12"/>
  <c r="L34" i="12"/>
  <c r="L30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35" i="12"/>
  <c r="L39" i="12"/>
  <c r="L31" i="12"/>
  <c r="L37" i="12"/>
  <c r="L33" i="12"/>
  <c r="L29" i="12"/>
  <c r="L36" i="12"/>
  <c r="L32" i="12"/>
  <c r="L28" i="12"/>
  <c r="J36" i="2"/>
  <c r="J32" i="2"/>
  <c r="J28" i="2"/>
  <c r="J37" i="2"/>
  <c r="J34" i="2"/>
  <c r="J29" i="2"/>
  <c r="J17" i="2"/>
  <c r="J13" i="2"/>
  <c r="J9" i="2"/>
  <c r="J38" i="2"/>
  <c r="J33" i="2"/>
  <c r="J30" i="2"/>
  <c r="J19" i="2"/>
  <c r="J15" i="2"/>
  <c r="J11" i="2"/>
  <c r="J35" i="2"/>
  <c r="J16" i="2"/>
  <c r="J39" i="2"/>
  <c r="J31" i="2"/>
  <c r="J20" i="2"/>
  <c r="J12" i="2"/>
  <c r="J14" i="2"/>
  <c r="F9" i="2"/>
  <c r="E38" i="7"/>
  <c r="E34" i="7"/>
  <c r="E28" i="7"/>
  <c r="E36" i="6"/>
  <c r="E32" i="6"/>
  <c r="E38" i="5"/>
  <c r="E34" i="5"/>
  <c r="E30" i="5"/>
  <c r="E38" i="4"/>
  <c r="E34" i="4"/>
  <c r="E30" i="4"/>
  <c r="E38" i="3"/>
  <c r="E34" i="3"/>
  <c r="E30" i="3"/>
  <c r="E38" i="13"/>
  <c r="E34" i="13"/>
  <c r="E28" i="13"/>
  <c r="E36" i="12"/>
  <c r="E32" i="12"/>
  <c r="E38" i="11"/>
  <c r="E34" i="11"/>
  <c r="E28" i="11"/>
  <c r="F19" i="2"/>
  <c r="AF88" i="12"/>
  <c r="AF80" i="12"/>
  <c r="AI81" i="2"/>
  <c r="AI73" i="2"/>
  <c r="AI65" i="2"/>
  <c r="AI57" i="2"/>
  <c r="AI49" i="2"/>
  <c r="AI41" i="2"/>
  <c r="AI33" i="2"/>
  <c r="AI25" i="2"/>
  <c r="G12" i="2"/>
  <c r="F31" i="2"/>
  <c r="G14" i="2"/>
  <c r="F33" i="2"/>
  <c r="G33" i="2" s="1"/>
  <c r="G16" i="2"/>
  <c r="F35" i="2"/>
  <c r="AI14" i="2"/>
  <c r="AF78" i="12"/>
  <c r="AF70" i="12"/>
  <c r="AF62" i="12"/>
  <c r="AF54" i="12"/>
  <c r="AF46" i="12"/>
  <c r="AF38" i="12"/>
  <c r="AF30" i="12"/>
  <c r="AF22" i="12"/>
  <c r="AF14" i="12"/>
  <c r="AK87" i="9"/>
  <c r="AK66" i="9"/>
  <c r="AK44" i="9"/>
  <c r="AK23" i="9"/>
  <c r="AC76" i="10"/>
  <c r="AC33" i="10"/>
  <c r="AE71" i="10"/>
  <c r="AE28" i="10"/>
  <c r="AF65" i="10"/>
  <c r="AF23" i="10"/>
  <c r="AK49" i="10"/>
  <c r="AA9" i="2"/>
  <c r="AA13" i="2"/>
  <c r="AA16" i="2"/>
  <c r="AA20" i="2"/>
  <c r="AA24" i="2"/>
  <c r="AA28" i="2"/>
  <c r="AA32" i="2"/>
  <c r="AA36" i="2"/>
  <c r="AA40" i="2"/>
  <c r="AA44" i="2"/>
  <c r="AA48" i="2"/>
  <c r="AA52" i="2"/>
  <c r="AA56" i="2"/>
  <c r="AA60" i="2"/>
  <c r="AA64" i="2"/>
  <c r="AA68" i="2"/>
  <c r="AA72" i="2"/>
  <c r="AA76" i="2"/>
  <c r="AA80" i="2"/>
  <c r="AA84" i="2"/>
  <c r="AA88" i="2"/>
  <c r="AA11" i="2"/>
  <c r="AA18" i="2"/>
  <c r="AA22" i="2"/>
  <c r="AA26" i="2"/>
  <c r="AA30" i="2"/>
  <c r="AA34" i="2"/>
  <c r="AA38" i="2"/>
  <c r="AA42" i="2"/>
  <c r="AA46" i="2"/>
  <c r="AA50" i="2"/>
  <c r="AA54" i="2"/>
  <c r="AA58" i="2"/>
  <c r="AA62" i="2"/>
  <c r="AA66" i="2"/>
  <c r="AA70" i="2"/>
  <c r="AA74" i="2"/>
  <c r="AA78" i="2"/>
  <c r="AA82" i="2"/>
  <c r="AA86" i="2"/>
  <c r="J16" i="4"/>
  <c r="L33" i="4"/>
  <c r="L35" i="4"/>
  <c r="L37" i="4"/>
  <c r="J31" i="6"/>
  <c r="J33" i="6"/>
  <c r="J35" i="6"/>
  <c r="J37" i="6"/>
  <c r="L9" i="8"/>
  <c r="AJ11" i="12"/>
  <c r="AJ15" i="12"/>
  <c r="AJ19" i="12"/>
  <c r="AJ23" i="12"/>
  <c r="AJ27" i="12"/>
  <c r="AJ31" i="12"/>
  <c r="AJ35" i="12"/>
  <c r="AJ39" i="12"/>
  <c r="AJ43" i="12"/>
  <c r="AJ47" i="12"/>
  <c r="AJ51" i="12"/>
  <c r="AJ55" i="12"/>
  <c r="AJ59" i="12"/>
  <c r="AJ63" i="12"/>
  <c r="AC12" i="4"/>
  <c r="AC16" i="4"/>
  <c r="AC20" i="4"/>
  <c r="AC24" i="4"/>
  <c r="AC28" i="4"/>
  <c r="AC32" i="4"/>
  <c r="AC36" i="4"/>
  <c r="AC40" i="4"/>
  <c r="AC44" i="4"/>
  <c r="AC48" i="4"/>
  <c r="AC52" i="4"/>
  <c r="AC56" i="4"/>
  <c r="AC60" i="4"/>
  <c r="AC64" i="4"/>
  <c r="AC68" i="4"/>
  <c r="AC72" i="4"/>
  <c r="AC76" i="4"/>
  <c r="AC80" i="4"/>
  <c r="AC84" i="4"/>
  <c r="AC88" i="4"/>
  <c r="AC10" i="4"/>
  <c r="AC14" i="4"/>
  <c r="AC18" i="4"/>
  <c r="AC22" i="4"/>
  <c r="AC26" i="4"/>
  <c r="AC30" i="4"/>
  <c r="AC34" i="4"/>
  <c r="AC38" i="4"/>
  <c r="AC42" i="4"/>
  <c r="AC46" i="4"/>
  <c r="AC50" i="4"/>
  <c r="AC54" i="4"/>
  <c r="AC58" i="4"/>
  <c r="AC62" i="4"/>
  <c r="AC66" i="4"/>
  <c r="AC70" i="4"/>
  <c r="AC74" i="4"/>
  <c r="AC78" i="4"/>
  <c r="AC82" i="4"/>
  <c r="AC86" i="4"/>
  <c r="AE9" i="9"/>
  <c r="AE13" i="9"/>
  <c r="AE17" i="9"/>
  <c r="AE21" i="9"/>
  <c r="AE25" i="9"/>
  <c r="AE29" i="9"/>
  <c r="AE33" i="9"/>
  <c r="AE37" i="9"/>
  <c r="AE41" i="9"/>
  <c r="AE45" i="9"/>
  <c r="AE49" i="9"/>
  <c r="AE53" i="9"/>
  <c r="J19" i="9"/>
  <c r="AJ8" i="9"/>
  <c r="J15" i="9"/>
  <c r="AF8" i="9"/>
  <c r="L15" i="9"/>
  <c r="C34" i="9"/>
  <c r="K34" i="9" s="1"/>
  <c r="J11" i="9"/>
  <c r="AB8" i="9"/>
  <c r="C36" i="5"/>
  <c r="L17" i="5"/>
  <c r="J17" i="5"/>
  <c r="AH8" i="5"/>
  <c r="C32" i="5"/>
  <c r="L13" i="5"/>
  <c r="J13" i="5"/>
  <c r="AD8" i="5"/>
  <c r="C28" i="5"/>
  <c r="L9" i="5"/>
  <c r="J9" i="5"/>
  <c r="Z8" i="5"/>
  <c r="C30" i="9"/>
  <c r="K30" i="9" s="1"/>
  <c r="Z10" i="10"/>
  <c r="Z14" i="10"/>
  <c r="Z18" i="10"/>
  <c r="Z22" i="10"/>
  <c r="Z26" i="10"/>
  <c r="Z30" i="10"/>
  <c r="Z34" i="10"/>
  <c r="Z38" i="10"/>
  <c r="Z42" i="10"/>
  <c r="AH10" i="10"/>
  <c r="AH14" i="10"/>
  <c r="AH18" i="10"/>
  <c r="AH22" i="10"/>
  <c r="AH26" i="10"/>
  <c r="AH30" i="10"/>
  <c r="AH34" i="10"/>
  <c r="AH38" i="10"/>
  <c r="AH42" i="10"/>
  <c r="AH46" i="10"/>
  <c r="AH50" i="10"/>
  <c r="AH54" i="10"/>
  <c r="AH58" i="10"/>
  <c r="AH62" i="10"/>
  <c r="AH66" i="10"/>
  <c r="AH70" i="10"/>
  <c r="AH74" i="10"/>
  <c r="AH78" i="10"/>
  <c r="AH82" i="10"/>
  <c r="AH86" i="10"/>
  <c r="K20" i="10"/>
  <c r="C39" i="10"/>
  <c r="K39" i="10" s="1"/>
  <c r="K16" i="10"/>
  <c r="C35" i="10"/>
  <c r="AG8" i="10"/>
  <c r="K12" i="10"/>
  <c r="C31" i="10"/>
  <c r="K31" i="10" s="1"/>
  <c r="J38" i="7"/>
  <c r="L38" i="7"/>
  <c r="L30" i="7"/>
  <c r="J30" i="7"/>
  <c r="J29" i="7"/>
  <c r="L29" i="7"/>
  <c r="L34" i="5"/>
  <c r="J34" i="5"/>
  <c r="C37" i="10"/>
  <c r="K37" i="10" s="1"/>
  <c r="K18" i="10"/>
  <c r="AI8" i="10"/>
  <c r="C33" i="10"/>
  <c r="K14" i="10"/>
  <c r="C29" i="10"/>
  <c r="K29" i="10" s="1"/>
  <c r="K10" i="10"/>
  <c r="AA8" i="10"/>
  <c r="C36" i="3"/>
  <c r="L17" i="3"/>
  <c r="C32" i="3"/>
  <c r="L13" i="3"/>
  <c r="C28" i="3"/>
  <c r="L9" i="3"/>
  <c r="L12" i="9"/>
  <c r="L16" i="9"/>
  <c r="L20" i="9"/>
  <c r="L29" i="9"/>
  <c r="J39" i="9"/>
  <c r="C37" i="8"/>
  <c r="K37" i="8" s="1"/>
  <c r="K18" i="8"/>
  <c r="C33" i="8"/>
  <c r="K33" i="8" s="1"/>
  <c r="K14" i="8"/>
  <c r="C29" i="8"/>
  <c r="K29" i="8" s="1"/>
  <c r="K10" i="8"/>
  <c r="L352" i="1"/>
  <c r="K358" i="1"/>
  <c r="L356" i="1"/>
  <c r="K360" i="1"/>
  <c r="K356" i="1"/>
  <c r="I310" i="1"/>
  <c r="J310" i="1"/>
  <c r="J350" i="1"/>
  <c r="N310" i="1"/>
  <c r="N275" i="1"/>
  <c r="O309" i="1"/>
  <c r="P309" i="1"/>
  <c r="P271" i="1"/>
  <c r="P350" i="1"/>
  <c r="L358" i="1"/>
  <c r="K352" i="1"/>
  <c r="M351" i="1"/>
  <c r="L353" i="1"/>
  <c r="M359" i="1"/>
  <c r="K359" i="1"/>
  <c r="E308" i="1"/>
  <c r="F312" i="1"/>
  <c r="G312" i="1"/>
  <c r="H309" i="1"/>
  <c r="H319" i="1"/>
  <c r="I317" i="1"/>
  <c r="J319" i="1"/>
  <c r="I267" i="1"/>
  <c r="E312" i="1"/>
  <c r="O351" i="1"/>
  <c r="E318" i="1"/>
  <c r="N319" i="1"/>
  <c r="O319" i="1"/>
  <c r="P317" i="1"/>
  <c r="F319" i="1"/>
  <c r="O350" i="1"/>
  <c r="H273" i="1"/>
  <c r="P277" i="1"/>
  <c r="E311" i="1"/>
  <c r="H350" i="1"/>
  <c r="E354" i="1"/>
  <c r="N313" i="1"/>
  <c r="F313" i="1"/>
  <c r="G313" i="1"/>
  <c r="H310" i="1"/>
  <c r="I308" i="1"/>
  <c r="I318" i="1"/>
  <c r="G350" i="1"/>
  <c r="G275" i="1"/>
  <c r="E15" i="1"/>
  <c r="E19" i="1"/>
  <c r="E359" i="1"/>
  <c r="E24" i="1"/>
  <c r="N312" i="1"/>
  <c r="O316" i="1"/>
  <c r="P314" i="1"/>
  <c r="F314" i="1"/>
  <c r="I275" i="1"/>
  <c r="F277" i="1"/>
  <c r="N277" i="1"/>
  <c r="E18" i="1"/>
  <c r="N314" i="1"/>
  <c r="F316" i="1"/>
  <c r="G314" i="1"/>
  <c r="H311" i="1"/>
  <c r="I311" i="1"/>
  <c r="I319" i="1"/>
  <c r="I350" i="1"/>
  <c r="G271" i="1"/>
  <c r="E310" i="1"/>
  <c r="E275" i="1"/>
  <c r="E319" i="1"/>
  <c r="O311" i="1"/>
  <c r="P311" i="1"/>
  <c r="P319" i="1"/>
  <c r="J314" i="1"/>
  <c r="I271" i="1"/>
  <c r="F273" i="1"/>
  <c r="N273" i="1"/>
  <c r="N350" i="1"/>
  <c r="P351" i="1"/>
  <c r="E9" i="3"/>
  <c r="F310" i="1"/>
  <c r="G319" i="1"/>
  <c r="H318" i="1"/>
  <c r="I316" i="1"/>
  <c r="J316" i="1"/>
  <c r="I273" i="1"/>
  <c r="E17" i="1"/>
  <c r="E21" i="1"/>
  <c r="I351" i="1"/>
  <c r="E23" i="1"/>
  <c r="N308" i="1"/>
  <c r="O312" i="1"/>
  <c r="P316" i="1"/>
  <c r="F318" i="1"/>
  <c r="J273" i="1"/>
  <c r="G273" i="1"/>
  <c r="O275" i="1"/>
  <c r="E16" i="1"/>
  <c r="E20" i="1"/>
  <c r="F354" i="1"/>
  <c r="O354" i="1"/>
  <c r="G358" i="1"/>
  <c r="E19" i="3"/>
  <c r="P312" i="1"/>
  <c r="J317" i="1"/>
  <c r="F269" i="1"/>
  <c r="E12" i="3"/>
  <c r="P354" i="1"/>
  <c r="I309" i="1"/>
  <c r="J309" i="1"/>
  <c r="N309" i="1"/>
  <c r="N271" i="1"/>
  <c r="O267" i="1"/>
  <c r="O310" i="1"/>
  <c r="P310" i="1"/>
  <c r="P275" i="1"/>
  <c r="K350" i="1"/>
  <c r="L350" i="1"/>
  <c r="K354" i="1"/>
  <c r="M353" i="1"/>
  <c r="K355" i="1"/>
  <c r="N318" i="1"/>
  <c r="G308" i="1"/>
  <c r="G316" i="1"/>
  <c r="H314" i="1"/>
  <c r="I313" i="1"/>
  <c r="J311" i="1"/>
  <c r="J275" i="1"/>
  <c r="F275" i="1"/>
  <c r="E316" i="1"/>
  <c r="E353" i="1"/>
  <c r="N311" i="1"/>
  <c r="O313" i="1"/>
  <c r="P313" i="1"/>
  <c r="F311" i="1"/>
  <c r="J318" i="1"/>
  <c r="J267" i="1"/>
  <c r="G269" i="1"/>
  <c r="O271" i="1"/>
  <c r="E315" i="1"/>
  <c r="I358" i="1"/>
  <c r="N351" i="1"/>
  <c r="O315" i="1"/>
  <c r="G309" i="1"/>
  <c r="G317" i="1"/>
  <c r="H315" i="1"/>
  <c r="I314" i="1"/>
  <c r="J312" i="1"/>
  <c r="J271" i="1"/>
  <c r="F271" i="1"/>
  <c r="E11" i="3"/>
  <c r="E15" i="3"/>
  <c r="E351" i="1"/>
  <c r="E20" i="3"/>
  <c r="O308" i="1"/>
  <c r="P308" i="1"/>
  <c r="P318" i="1"/>
  <c r="J313" i="1"/>
  <c r="H269" i="1"/>
  <c r="P273" i="1"/>
  <c r="E14" i="3"/>
  <c r="J351" i="1"/>
  <c r="F308" i="1"/>
  <c r="G310" i="1"/>
  <c r="G318" i="1"/>
  <c r="H317" i="1"/>
  <c r="I315" i="1"/>
  <c r="J315" i="1"/>
  <c r="I277" i="1"/>
  <c r="F267" i="1"/>
  <c r="E314" i="1"/>
  <c r="E267" i="1"/>
  <c r="N315" i="1"/>
  <c r="O317" i="1"/>
  <c r="P315" i="1"/>
  <c r="F315" i="1"/>
  <c r="J277" i="1"/>
  <c r="G277" i="1"/>
  <c r="P267" i="1"/>
  <c r="E313" i="1"/>
  <c r="P358" i="1"/>
  <c r="E13" i="1"/>
  <c r="N317" i="1"/>
  <c r="F317" i="1"/>
  <c r="H313" i="1"/>
  <c r="I312" i="1"/>
  <c r="J308" i="1"/>
  <c r="K351" i="1"/>
  <c r="G267" i="1"/>
  <c r="E13" i="3"/>
  <c r="E17" i="3"/>
  <c r="E355" i="1"/>
  <c r="N316" i="1"/>
  <c r="F309" i="1"/>
  <c r="H277" i="1"/>
  <c r="N267" i="1"/>
  <c r="E16" i="3"/>
  <c r="J354" i="1"/>
  <c r="G28" i="12" l="1"/>
  <c r="Z11" i="10"/>
  <c r="Z13" i="10"/>
  <c r="Z16" i="10"/>
  <c r="Z19" i="10"/>
  <c r="Z21" i="10"/>
  <c r="Z24" i="10"/>
  <c r="Z27" i="10"/>
  <c r="Z29" i="10"/>
  <c r="Z32" i="10"/>
  <c r="Z35" i="10"/>
  <c r="Z37" i="10"/>
  <c r="Z40" i="10"/>
  <c r="Z43" i="10"/>
  <c r="Z45" i="10"/>
  <c r="Z47" i="10"/>
  <c r="Z49" i="10"/>
  <c r="Z51" i="10"/>
  <c r="Z53" i="10"/>
  <c r="Z55" i="10"/>
  <c r="Z57" i="10"/>
  <c r="Z59" i="10"/>
  <c r="Z61" i="10"/>
  <c r="Z63" i="10"/>
  <c r="Z65" i="10"/>
  <c r="Z67" i="10"/>
  <c r="Z69" i="10"/>
  <c r="Z71" i="10"/>
  <c r="Z73" i="10"/>
  <c r="Z75" i="10"/>
  <c r="Z77" i="10"/>
  <c r="Z79" i="10"/>
  <c r="Z81" i="10"/>
  <c r="Z83" i="10"/>
  <c r="Z85" i="10"/>
  <c r="Z87" i="10"/>
  <c r="Z12" i="10"/>
  <c r="Z17" i="10"/>
  <c r="Z23" i="10"/>
  <c r="Z28" i="10"/>
  <c r="Z33" i="10"/>
  <c r="Z39" i="10"/>
  <c r="Z44" i="10"/>
  <c r="Z48" i="10"/>
  <c r="Z52" i="10"/>
  <c r="Z56" i="10"/>
  <c r="Z60" i="10"/>
  <c r="Z64" i="10"/>
  <c r="Z68" i="10"/>
  <c r="Z72" i="10"/>
  <c r="Z76" i="10"/>
  <c r="Z80" i="10"/>
  <c r="Z84" i="10"/>
  <c r="Z88" i="10"/>
  <c r="Z9" i="10"/>
  <c r="Z20" i="10"/>
  <c r="Z31" i="10"/>
  <c r="Z41" i="10"/>
  <c r="Z50" i="10"/>
  <c r="Z58" i="10"/>
  <c r="Z66" i="10"/>
  <c r="Z74" i="10"/>
  <c r="Z82" i="10"/>
  <c r="Z15" i="10"/>
  <c r="Z25" i="10"/>
  <c r="Z36" i="10"/>
  <c r="Z46" i="10"/>
  <c r="Z54" i="10"/>
  <c r="Z62" i="10"/>
  <c r="Z70" i="10"/>
  <c r="Z78" i="10"/>
  <c r="Z86" i="10"/>
  <c r="F28" i="9"/>
  <c r="E28" i="9"/>
  <c r="J39" i="10"/>
  <c r="AH10" i="9"/>
  <c r="AH12" i="9"/>
  <c r="AH14" i="9"/>
  <c r="AH16" i="9"/>
  <c r="AH18" i="9"/>
  <c r="AH20" i="9"/>
  <c r="AH22" i="9"/>
  <c r="AH24" i="9"/>
  <c r="AH26" i="9"/>
  <c r="AH28" i="9"/>
  <c r="AH30" i="9"/>
  <c r="AH32" i="9"/>
  <c r="AH34" i="9"/>
  <c r="AH36" i="9"/>
  <c r="AH38" i="9"/>
  <c r="AH40" i="9"/>
  <c r="AH42" i="9"/>
  <c r="AH44" i="9"/>
  <c r="AH46" i="9"/>
  <c r="AH48" i="9"/>
  <c r="AH50" i="9"/>
  <c r="AH52" i="9"/>
  <c r="AH54" i="9"/>
  <c r="AH56" i="9"/>
  <c r="AH58" i="9"/>
  <c r="AH60" i="9"/>
  <c r="AH62" i="9"/>
  <c r="AH64" i="9"/>
  <c r="AH66" i="9"/>
  <c r="AH68" i="9"/>
  <c r="AH70" i="9"/>
  <c r="AH72" i="9"/>
  <c r="AH74" i="9"/>
  <c r="AH76" i="9"/>
  <c r="AH78" i="9"/>
  <c r="AH80" i="9"/>
  <c r="AH82" i="9"/>
  <c r="AH84" i="9"/>
  <c r="AH86" i="9"/>
  <c r="AH88" i="9"/>
  <c r="AH9" i="9"/>
  <c r="AH11" i="9"/>
  <c r="AH13" i="9"/>
  <c r="AH15" i="9"/>
  <c r="AH17" i="9"/>
  <c r="AH19" i="9"/>
  <c r="AH21" i="9"/>
  <c r="AH23" i="9"/>
  <c r="AH25" i="9"/>
  <c r="AH27" i="9"/>
  <c r="AH29" i="9"/>
  <c r="AH31" i="9"/>
  <c r="AH33" i="9"/>
  <c r="AH35" i="9"/>
  <c r="AH37" i="9"/>
  <c r="AH39" i="9"/>
  <c r="AH41" i="9"/>
  <c r="AH43" i="9"/>
  <c r="AH45" i="9"/>
  <c r="AH47" i="9"/>
  <c r="AH49" i="9"/>
  <c r="AH51" i="9"/>
  <c r="AH53" i="9"/>
  <c r="AH55" i="9"/>
  <c r="AH57" i="9"/>
  <c r="AH59" i="9"/>
  <c r="AH61" i="9"/>
  <c r="AH63" i="9"/>
  <c r="AH65" i="9"/>
  <c r="AH67" i="9"/>
  <c r="AH69" i="9"/>
  <c r="AH71" i="9"/>
  <c r="AH73" i="9"/>
  <c r="AH75" i="9"/>
  <c r="AH77" i="9"/>
  <c r="AH79" i="9"/>
  <c r="AH81" i="9"/>
  <c r="AH83" i="9"/>
  <c r="AH85" i="9"/>
  <c r="AH87" i="9"/>
  <c r="F49" i="13"/>
  <c r="B2" i="5"/>
  <c r="B1" i="4"/>
  <c r="F48" i="6"/>
  <c r="F31" i="4"/>
  <c r="E38" i="12"/>
  <c r="J37" i="10"/>
  <c r="L39" i="10"/>
  <c r="J36" i="9"/>
  <c r="L36" i="9"/>
  <c r="F48" i="12"/>
  <c r="F49" i="11"/>
  <c r="F16" i="3"/>
  <c r="G16" i="3"/>
  <c r="E402" i="1"/>
  <c r="F12" i="3"/>
  <c r="G12" i="3"/>
  <c r="E398" i="1"/>
  <c r="F19" i="3"/>
  <c r="G19" i="3"/>
  <c r="E405" i="1"/>
  <c r="F17" i="3"/>
  <c r="G17" i="3"/>
  <c r="E403" i="1"/>
  <c r="F13" i="3"/>
  <c r="G13" i="3"/>
  <c r="E399" i="1"/>
  <c r="G9" i="3"/>
  <c r="F9" i="3"/>
  <c r="E395" i="1"/>
  <c r="E400" i="1"/>
  <c r="F14" i="3"/>
  <c r="G14" i="3"/>
  <c r="F20" i="3"/>
  <c r="G20" i="3"/>
  <c r="E406" i="1"/>
  <c r="F15" i="3"/>
  <c r="G15" i="3"/>
  <c r="E401" i="1"/>
  <c r="G11" i="3"/>
  <c r="F11" i="3"/>
  <c r="E397" i="1"/>
  <c r="J28" i="5"/>
  <c r="L28" i="5"/>
  <c r="J36" i="5"/>
  <c r="L36" i="5"/>
  <c r="AA10" i="10"/>
  <c r="AA14" i="10"/>
  <c r="AA18" i="10"/>
  <c r="AA22" i="10"/>
  <c r="AA26" i="10"/>
  <c r="AA30" i="10"/>
  <c r="AA34" i="10"/>
  <c r="AA38" i="10"/>
  <c r="AA42" i="10"/>
  <c r="AA46" i="10"/>
  <c r="AA50" i="10"/>
  <c r="AA54" i="10"/>
  <c r="AA58" i="10"/>
  <c r="AA62" i="10"/>
  <c r="AA66" i="10"/>
  <c r="AA70" i="10"/>
  <c r="AA74" i="10"/>
  <c r="AA78" i="10"/>
  <c r="AA82" i="10"/>
  <c r="AA86" i="10"/>
  <c r="AA13" i="10"/>
  <c r="AA19" i="10"/>
  <c r="AA24" i="10"/>
  <c r="AA29" i="10"/>
  <c r="AA35" i="10"/>
  <c r="AA40" i="10"/>
  <c r="AA45" i="10"/>
  <c r="AA51" i="10"/>
  <c r="AA56" i="10"/>
  <c r="AA61" i="10"/>
  <c r="AA67" i="10"/>
  <c r="AA72" i="10"/>
  <c r="AA77" i="10"/>
  <c r="AA83" i="10"/>
  <c r="AA88" i="10"/>
  <c r="AA11" i="10"/>
  <c r="AA16" i="10"/>
  <c r="AA21" i="10"/>
  <c r="AA27" i="10"/>
  <c r="AA32" i="10"/>
  <c r="AA37" i="10"/>
  <c r="AA43" i="10"/>
  <c r="AA15" i="10"/>
  <c r="AA25" i="10"/>
  <c r="AA36" i="10"/>
  <c r="AA47" i="10"/>
  <c r="AA53" i="10"/>
  <c r="AA60" i="10"/>
  <c r="AA68" i="10"/>
  <c r="AA75" i="10"/>
  <c r="AA81" i="10"/>
  <c r="AA9" i="10"/>
  <c r="AA20" i="10"/>
  <c r="AA31" i="10"/>
  <c r="AA41" i="10"/>
  <c r="AA49" i="10"/>
  <c r="AA57" i="10"/>
  <c r="AA64" i="10"/>
  <c r="AA71" i="10"/>
  <c r="AA79" i="10"/>
  <c r="AA85" i="10"/>
  <c r="AA12" i="10"/>
  <c r="AA33" i="10"/>
  <c r="AA52" i="10"/>
  <c r="AA65" i="10"/>
  <c r="AA80" i="10"/>
  <c r="AA23" i="10"/>
  <c r="AA44" i="10"/>
  <c r="AA59" i="10"/>
  <c r="AA73" i="10"/>
  <c r="AA87" i="10"/>
  <c r="AA39" i="10"/>
  <c r="AA69" i="10"/>
  <c r="AA48" i="10"/>
  <c r="AA76" i="10"/>
  <c r="AA17" i="10"/>
  <c r="AA55" i="10"/>
  <c r="AA84" i="10"/>
  <c r="AA28" i="10"/>
  <c r="AA63" i="10"/>
  <c r="K33" i="10"/>
  <c r="L33" i="10"/>
  <c r="F49" i="7"/>
  <c r="E49" i="7"/>
  <c r="AG10" i="10"/>
  <c r="AG14" i="10"/>
  <c r="AG18" i="10"/>
  <c r="AG22" i="10"/>
  <c r="AG26" i="10"/>
  <c r="AG30" i="10"/>
  <c r="AG34" i="10"/>
  <c r="AG38" i="10"/>
  <c r="AG42" i="10"/>
  <c r="AG46" i="10"/>
  <c r="AG50" i="10"/>
  <c r="AG54" i="10"/>
  <c r="AG58" i="10"/>
  <c r="AG62" i="10"/>
  <c r="AG66" i="10"/>
  <c r="AG70" i="10"/>
  <c r="AG74" i="10"/>
  <c r="AG78" i="10"/>
  <c r="AG82" i="10"/>
  <c r="AG86" i="10"/>
  <c r="AG13" i="10"/>
  <c r="AG19" i="10"/>
  <c r="AG24" i="10"/>
  <c r="AG29" i="10"/>
  <c r="AG35" i="10"/>
  <c r="AG40" i="10"/>
  <c r="AG45" i="10"/>
  <c r="AG51" i="10"/>
  <c r="AG56" i="10"/>
  <c r="AG61" i="10"/>
  <c r="AG67" i="10"/>
  <c r="AG72" i="10"/>
  <c r="AG77" i="10"/>
  <c r="AG83" i="10"/>
  <c r="AG88" i="10"/>
  <c r="AG11" i="10"/>
  <c r="AG16" i="10"/>
  <c r="AG21" i="10"/>
  <c r="AG27" i="10"/>
  <c r="AG32" i="10"/>
  <c r="AG37" i="10"/>
  <c r="AG43" i="10"/>
  <c r="AG48" i="10"/>
  <c r="AG53" i="10"/>
  <c r="AG59" i="10"/>
  <c r="AG64" i="10"/>
  <c r="AG69" i="10"/>
  <c r="AG75" i="10"/>
  <c r="AG80" i="10"/>
  <c r="AG85" i="10"/>
  <c r="AG15" i="10"/>
  <c r="AG25" i="10"/>
  <c r="AG36" i="10"/>
  <c r="AG47" i="10"/>
  <c r="AG57" i="10"/>
  <c r="AG68" i="10"/>
  <c r="AG79" i="10"/>
  <c r="AG9" i="10"/>
  <c r="AG20" i="10"/>
  <c r="AG31" i="10"/>
  <c r="AG41" i="10"/>
  <c r="AG52" i="10"/>
  <c r="AG63" i="10"/>
  <c r="AG73" i="10"/>
  <c r="AG84" i="10"/>
  <c r="AG12" i="10"/>
  <c r="AG33" i="10"/>
  <c r="AG55" i="10"/>
  <c r="AG76" i="10"/>
  <c r="AG23" i="10"/>
  <c r="AG44" i="10"/>
  <c r="AG65" i="10"/>
  <c r="AG87" i="10"/>
  <c r="AG17" i="10"/>
  <c r="AG60" i="10"/>
  <c r="AG28" i="10"/>
  <c r="AG71" i="10"/>
  <c r="AG39" i="10"/>
  <c r="AG81" i="10"/>
  <c r="AG49" i="10"/>
  <c r="F36" i="10"/>
  <c r="E36" i="10"/>
  <c r="G28" i="11"/>
  <c r="E47" i="11"/>
  <c r="G36" i="12"/>
  <c r="G30" i="3"/>
  <c r="G34" i="4"/>
  <c r="G38" i="5"/>
  <c r="G34" i="7"/>
  <c r="F47" i="2"/>
  <c r="E47" i="2"/>
  <c r="F48" i="11"/>
  <c r="E48" i="11"/>
  <c r="J31" i="10"/>
  <c r="L37" i="8"/>
  <c r="F38" i="12"/>
  <c r="F47" i="11"/>
  <c r="E35" i="4"/>
  <c r="G28" i="4"/>
  <c r="G34" i="6"/>
  <c r="F48" i="13"/>
  <c r="E48" i="13"/>
  <c r="J33" i="8"/>
  <c r="F49" i="6"/>
  <c r="E49" i="6"/>
  <c r="K36" i="5"/>
  <c r="AD10" i="8"/>
  <c r="AD14" i="8"/>
  <c r="AD18" i="8"/>
  <c r="AD22" i="8"/>
  <c r="AD26" i="8"/>
  <c r="AD30" i="8"/>
  <c r="AD34" i="8"/>
  <c r="AD38" i="8"/>
  <c r="AD42" i="8"/>
  <c r="AD46" i="8"/>
  <c r="AD50" i="8"/>
  <c r="AD54" i="8"/>
  <c r="AD58" i="8"/>
  <c r="AD62" i="8"/>
  <c r="AD66" i="8"/>
  <c r="AD70" i="8"/>
  <c r="AD74" i="8"/>
  <c r="AD78" i="8"/>
  <c r="AD82" i="8"/>
  <c r="AD86" i="8"/>
  <c r="AD12" i="8"/>
  <c r="AD16" i="8"/>
  <c r="AD20" i="8"/>
  <c r="AD24" i="8"/>
  <c r="AD28" i="8"/>
  <c r="AD32" i="8"/>
  <c r="AD36" i="8"/>
  <c r="AD40" i="8"/>
  <c r="AD44" i="8"/>
  <c r="AD48" i="8"/>
  <c r="AD52" i="8"/>
  <c r="AD56" i="8"/>
  <c r="AD60" i="8"/>
  <c r="AD64" i="8"/>
  <c r="AD68" i="8"/>
  <c r="AD72" i="8"/>
  <c r="AD76" i="8"/>
  <c r="AD80" i="8"/>
  <c r="AD84" i="8"/>
  <c r="AD88" i="8"/>
  <c r="AD9" i="8"/>
  <c r="AD17" i="8"/>
  <c r="AD25" i="8"/>
  <c r="AD33" i="8"/>
  <c r="AD41" i="8"/>
  <c r="AD49" i="8"/>
  <c r="AD57" i="8"/>
  <c r="AD65" i="8"/>
  <c r="AD73" i="8"/>
  <c r="AD81" i="8"/>
  <c r="AD13" i="8"/>
  <c r="AD21" i="8"/>
  <c r="AD29" i="8"/>
  <c r="AD37" i="8"/>
  <c r="AD45" i="8"/>
  <c r="AD53" i="8"/>
  <c r="AD61" i="8"/>
  <c r="AD69" i="8"/>
  <c r="AD77" i="8"/>
  <c r="AD85" i="8"/>
  <c r="AD15" i="8"/>
  <c r="AD31" i="8"/>
  <c r="AD47" i="8"/>
  <c r="AD63" i="8"/>
  <c r="AD79" i="8"/>
  <c r="AD19" i="8"/>
  <c r="AD35" i="8"/>
  <c r="AD51" i="8"/>
  <c r="AD67" i="8"/>
  <c r="AD83" i="8"/>
  <c r="AD23" i="8"/>
  <c r="AD39" i="8"/>
  <c r="AD55" i="8"/>
  <c r="AD71" i="8"/>
  <c r="AD87" i="8"/>
  <c r="AD11" i="8"/>
  <c r="AD27" i="8"/>
  <c r="AD43" i="8"/>
  <c r="AD59" i="8"/>
  <c r="AD75" i="8"/>
  <c r="F47" i="7"/>
  <c r="G39" i="4"/>
  <c r="F35" i="4"/>
  <c r="G37" i="11"/>
  <c r="J32" i="3"/>
  <c r="L32" i="3"/>
  <c r="AI10" i="10"/>
  <c r="AI14" i="10"/>
  <c r="AI18" i="10"/>
  <c r="AI22" i="10"/>
  <c r="AI26" i="10"/>
  <c r="AI30" i="10"/>
  <c r="AI34" i="10"/>
  <c r="AI38" i="10"/>
  <c r="AI42" i="10"/>
  <c r="AI46" i="10"/>
  <c r="AI50" i="10"/>
  <c r="AI54" i="10"/>
  <c r="AI58" i="10"/>
  <c r="AI62" i="10"/>
  <c r="AI66" i="10"/>
  <c r="AI70" i="10"/>
  <c r="AI74" i="10"/>
  <c r="AI78" i="10"/>
  <c r="AI82" i="10"/>
  <c r="AI86" i="10"/>
  <c r="AI13" i="10"/>
  <c r="AI19" i="10"/>
  <c r="AI24" i="10"/>
  <c r="AI29" i="10"/>
  <c r="AI35" i="10"/>
  <c r="AI40" i="10"/>
  <c r="AI45" i="10"/>
  <c r="AI51" i="10"/>
  <c r="AI56" i="10"/>
  <c r="AI61" i="10"/>
  <c r="AI67" i="10"/>
  <c r="AI72" i="10"/>
  <c r="AI77" i="10"/>
  <c r="AI83" i="10"/>
  <c r="AI88" i="10"/>
  <c r="AI11" i="10"/>
  <c r="AI16" i="10"/>
  <c r="AI21" i="10"/>
  <c r="AI27" i="10"/>
  <c r="AI32" i="10"/>
  <c r="AI37" i="10"/>
  <c r="AI43" i="10"/>
  <c r="AI48" i="10"/>
  <c r="AI53" i="10"/>
  <c r="AI59" i="10"/>
  <c r="AI64" i="10"/>
  <c r="AI69" i="10"/>
  <c r="AI75" i="10"/>
  <c r="AI80" i="10"/>
  <c r="AI85" i="10"/>
  <c r="AI9" i="10"/>
  <c r="AI20" i="10"/>
  <c r="AI31" i="10"/>
  <c r="AI41" i="10"/>
  <c r="AI52" i="10"/>
  <c r="AI63" i="10"/>
  <c r="AI73" i="10"/>
  <c r="AI84" i="10"/>
  <c r="AI15" i="10"/>
  <c r="AI25" i="10"/>
  <c r="AI36" i="10"/>
  <c r="AI47" i="10"/>
  <c r="AI57" i="10"/>
  <c r="AI68" i="10"/>
  <c r="AI79" i="10"/>
  <c r="AI28" i="10"/>
  <c r="AI49" i="10"/>
  <c r="AI71" i="10"/>
  <c r="AI17" i="10"/>
  <c r="AI39" i="10"/>
  <c r="AI60" i="10"/>
  <c r="AI81" i="10"/>
  <c r="AI12" i="10"/>
  <c r="AI55" i="10"/>
  <c r="AI23" i="10"/>
  <c r="AI65" i="10"/>
  <c r="AI33" i="10"/>
  <c r="AI76" i="10"/>
  <c r="AI44" i="10"/>
  <c r="AI87" i="10"/>
  <c r="K35" i="10"/>
  <c r="J35" i="10"/>
  <c r="F28" i="10"/>
  <c r="E28" i="10"/>
  <c r="L34" i="9"/>
  <c r="J34" i="9"/>
  <c r="AJ9" i="9"/>
  <c r="AJ13" i="9"/>
  <c r="AJ17" i="9"/>
  <c r="AJ21" i="9"/>
  <c r="AJ25" i="9"/>
  <c r="AJ29" i="9"/>
  <c r="AJ33" i="9"/>
  <c r="AJ37" i="9"/>
  <c r="AJ41" i="9"/>
  <c r="AJ45" i="9"/>
  <c r="AJ49" i="9"/>
  <c r="AJ53" i="9"/>
  <c r="AJ57" i="9"/>
  <c r="AJ61" i="9"/>
  <c r="AJ65" i="9"/>
  <c r="AJ69" i="9"/>
  <c r="AJ73" i="9"/>
  <c r="AJ77" i="9"/>
  <c r="AJ81" i="9"/>
  <c r="AJ85" i="9"/>
  <c r="AJ11" i="9"/>
  <c r="AJ16" i="9"/>
  <c r="AJ22" i="9"/>
  <c r="AJ27" i="9"/>
  <c r="AJ32" i="9"/>
  <c r="AJ38" i="9"/>
  <c r="AJ43" i="9"/>
  <c r="AJ48" i="9"/>
  <c r="AJ54" i="9"/>
  <c r="AJ59" i="9"/>
  <c r="AJ64" i="9"/>
  <c r="AJ70" i="9"/>
  <c r="AJ75" i="9"/>
  <c r="AJ80" i="9"/>
  <c r="AJ86" i="9"/>
  <c r="AJ14" i="9"/>
  <c r="AJ19" i="9"/>
  <c r="AJ24" i="9"/>
  <c r="AJ30" i="9"/>
  <c r="AJ35" i="9"/>
  <c r="AJ40" i="9"/>
  <c r="AJ46" i="9"/>
  <c r="AJ51" i="9"/>
  <c r="AJ56" i="9"/>
  <c r="AJ62" i="9"/>
  <c r="AJ67" i="9"/>
  <c r="AJ72" i="9"/>
  <c r="AJ78" i="9"/>
  <c r="AJ83" i="9"/>
  <c r="AJ88" i="9"/>
  <c r="AJ10" i="9"/>
  <c r="AJ20" i="9"/>
  <c r="AJ31" i="9"/>
  <c r="AJ42" i="9"/>
  <c r="AJ52" i="9"/>
  <c r="AJ63" i="9"/>
  <c r="AJ74" i="9"/>
  <c r="AJ84" i="9"/>
  <c r="AJ15" i="9"/>
  <c r="AJ26" i="9"/>
  <c r="AJ36" i="9"/>
  <c r="AJ47" i="9"/>
  <c r="AJ58" i="9"/>
  <c r="AJ68" i="9"/>
  <c r="AJ79" i="9"/>
  <c r="AJ28" i="9"/>
  <c r="AJ50" i="9"/>
  <c r="AJ71" i="9"/>
  <c r="AJ12" i="9"/>
  <c r="AJ34" i="9"/>
  <c r="AJ55" i="9"/>
  <c r="AJ76" i="9"/>
  <c r="AJ18" i="9"/>
  <c r="AJ39" i="9"/>
  <c r="AJ60" i="9"/>
  <c r="AJ82" i="9"/>
  <c r="AJ23" i="9"/>
  <c r="AJ44" i="9"/>
  <c r="AJ66" i="9"/>
  <c r="AJ87" i="9"/>
  <c r="G10" i="2"/>
  <c r="F29" i="2"/>
  <c r="F10" i="2"/>
  <c r="E29" i="2"/>
  <c r="G34" i="11"/>
  <c r="G28" i="13"/>
  <c r="E47" i="13"/>
  <c r="G34" i="3"/>
  <c r="G38" i="4"/>
  <c r="G32" i="6"/>
  <c r="G38" i="7"/>
  <c r="F48" i="7"/>
  <c r="E48" i="7"/>
  <c r="F47" i="6"/>
  <c r="E47" i="6"/>
  <c r="G35" i="3"/>
  <c r="G39" i="13"/>
  <c r="G35" i="13"/>
  <c r="G31" i="13"/>
  <c r="G31" i="12"/>
  <c r="G35" i="11"/>
  <c r="G39" i="2"/>
  <c r="G28" i="2"/>
  <c r="G47" i="2" s="1"/>
  <c r="G36" i="2"/>
  <c r="G28" i="3"/>
  <c r="G32" i="4"/>
  <c r="G38" i="6"/>
  <c r="F49" i="2"/>
  <c r="E49" i="2"/>
  <c r="G49" i="2"/>
  <c r="L37" i="10"/>
  <c r="E48" i="9"/>
  <c r="F48" i="9"/>
  <c r="J28" i="8"/>
  <c r="J37" i="8"/>
  <c r="K28" i="5"/>
  <c r="Z10" i="8"/>
  <c r="Z14" i="8"/>
  <c r="Z18" i="8"/>
  <c r="Z22" i="8"/>
  <c r="Z26" i="8"/>
  <c r="Z30" i="8"/>
  <c r="Z34" i="8"/>
  <c r="Z38" i="8"/>
  <c r="Z42" i="8"/>
  <c r="Z46" i="8"/>
  <c r="Z50" i="8"/>
  <c r="Z54" i="8"/>
  <c r="Z58" i="8"/>
  <c r="Z62" i="8"/>
  <c r="Z66" i="8"/>
  <c r="Z70" i="8"/>
  <c r="Z74" i="8"/>
  <c r="Z78" i="8"/>
  <c r="Z82" i="8"/>
  <c r="Z86" i="8"/>
  <c r="Z12" i="8"/>
  <c r="Z16" i="8"/>
  <c r="Z20" i="8"/>
  <c r="Z24" i="8"/>
  <c r="Z28" i="8"/>
  <c r="Z32" i="8"/>
  <c r="Z36" i="8"/>
  <c r="Z40" i="8"/>
  <c r="Z44" i="8"/>
  <c r="Z48" i="8"/>
  <c r="Z52" i="8"/>
  <c r="Z56" i="8"/>
  <c r="Z60" i="8"/>
  <c r="Z64" i="8"/>
  <c r="Z68" i="8"/>
  <c r="Z72" i="8"/>
  <c r="Z76" i="8"/>
  <c r="Z80" i="8"/>
  <c r="Z84" i="8"/>
  <c r="Z88" i="8"/>
  <c r="Z9" i="8"/>
  <c r="Z17" i="8"/>
  <c r="Z25" i="8"/>
  <c r="Z33" i="8"/>
  <c r="Z41" i="8"/>
  <c r="Z49" i="8"/>
  <c r="Z57" i="8"/>
  <c r="Z65" i="8"/>
  <c r="Z73" i="8"/>
  <c r="Z81" i="8"/>
  <c r="Z13" i="8"/>
  <c r="Z21" i="8"/>
  <c r="Z29" i="8"/>
  <c r="Z37" i="8"/>
  <c r="Z45" i="8"/>
  <c r="Z53" i="8"/>
  <c r="Z61" i="8"/>
  <c r="Z69" i="8"/>
  <c r="Z77" i="8"/>
  <c r="Z85" i="8"/>
  <c r="Z15" i="8"/>
  <c r="Z31" i="8"/>
  <c r="Z47" i="8"/>
  <c r="Z63" i="8"/>
  <c r="Z79" i="8"/>
  <c r="Z19" i="8"/>
  <c r="Z35" i="8"/>
  <c r="Z51" i="8"/>
  <c r="Z67" i="8"/>
  <c r="Z83" i="8"/>
  <c r="Z23" i="8"/>
  <c r="Z39" i="8"/>
  <c r="Z55" i="8"/>
  <c r="Z71" i="8"/>
  <c r="Z87" i="8"/>
  <c r="Z11" i="8"/>
  <c r="Z27" i="8"/>
  <c r="Z43" i="8"/>
  <c r="Z59" i="8"/>
  <c r="Z75" i="8"/>
  <c r="F39" i="9"/>
  <c r="E39" i="9"/>
  <c r="F34" i="12"/>
  <c r="E34" i="12"/>
  <c r="G35" i="7"/>
  <c r="G39" i="6"/>
  <c r="G35" i="6"/>
  <c r="G31" i="6"/>
  <c r="G31" i="5"/>
  <c r="G37" i="12"/>
  <c r="G33" i="5"/>
  <c r="J30" i="9"/>
  <c r="L30" i="9"/>
  <c r="J32" i="5"/>
  <c r="L32" i="5"/>
  <c r="F33" i="9"/>
  <c r="E33" i="9"/>
  <c r="E31" i="4"/>
  <c r="G38" i="11"/>
  <c r="G34" i="13"/>
  <c r="G38" i="3"/>
  <c r="G30" i="5"/>
  <c r="G36" i="6"/>
  <c r="J29" i="10"/>
  <c r="L29" i="8"/>
  <c r="F34" i="10"/>
  <c r="E34" i="10"/>
  <c r="F31" i="10"/>
  <c r="E31" i="10"/>
  <c r="F47" i="13"/>
  <c r="G32" i="3"/>
  <c r="G36" i="4"/>
  <c r="G32" i="7"/>
  <c r="L29" i="10"/>
  <c r="L31" i="10"/>
  <c r="F47" i="4"/>
  <c r="E47" i="4"/>
  <c r="E48" i="8"/>
  <c r="F48" i="8"/>
  <c r="G18" i="2"/>
  <c r="F37" i="2"/>
  <c r="F18" i="2"/>
  <c r="E37" i="2"/>
  <c r="G35" i="5"/>
  <c r="F48" i="4"/>
  <c r="G35" i="12"/>
  <c r="G36" i="11"/>
  <c r="G33" i="4"/>
  <c r="G29" i="3"/>
  <c r="G37" i="7"/>
  <c r="J28" i="3"/>
  <c r="L28" i="3"/>
  <c r="J36" i="3"/>
  <c r="L36" i="3"/>
  <c r="Z12" i="5"/>
  <c r="Z16" i="5"/>
  <c r="Z20" i="5"/>
  <c r="Z24" i="5"/>
  <c r="Z28" i="5"/>
  <c r="Z32" i="5"/>
  <c r="Z36" i="5"/>
  <c r="Z40" i="5"/>
  <c r="Z44" i="5"/>
  <c r="Z48" i="5"/>
  <c r="Z52" i="5"/>
  <c r="Z56" i="5"/>
  <c r="Z60" i="5"/>
  <c r="Z64" i="5"/>
  <c r="Z68" i="5"/>
  <c r="Z72" i="5"/>
  <c r="Z76" i="5"/>
  <c r="Z80" i="5"/>
  <c r="Z84" i="5"/>
  <c r="Z88" i="5"/>
  <c r="Z10" i="5"/>
  <c r="Z14" i="5"/>
  <c r="Z18" i="5"/>
  <c r="Z22" i="5"/>
  <c r="Z26" i="5"/>
  <c r="Z30" i="5"/>
  <c r="Z34" i="5"/>
  <c r="Z38" i="5"/>
  <c r="Z42" i="5"/>
  <c r="Z46" i="5"/>
  <c r="Z50" i="5"/>
  <c r="Z54" i="5"/>
  <c r="Z58" i="5"/>
  <c r="Z62" i="5"/>
  <c r="Z66" i="5"/>
  <c r="Z70" i="5"/>
  <c r="Z74" i="5"/>
  <c r="Z78" i="5"/>
  <c r="Z82" i="5"/>
  <c r="Z86" i="5"/>
  <c r="Z15" i="5"/>
  <c r="Z23" i="5"/>
  <c r="Z31" i="5"/>
  <c r="Z39" i="5"/>
  <c r="Z47" i="5"/>
  <c r="Z55" i="5"/>
  <c r="Z63" i="5"/>
  <c r="Z71" i="5"/>
  <c r="Z79" i="5"/>
  <c r="Z87" i="5"/>
  <c r="Z11" i="5"/>
  <c r="Z19" i="5"/>
  <c r="Z27" i="5"/>
  <c r="Z35" i="5"/>
  <c r="Z43" i="5"/>
  <c r="Z51" i="5"/>
  <c r="Z59" i="5"/>
  <c r="Z67" i="5"/>
  <c r="Z75" i="5"/>
  <c r="Z83" i="5"/>
  <c r="Z13" i="5"/>
  <c r="Z29" i="5"/>
  <c r="Z45" i="5"/>
  <c r="Z61" i="5"/>
  <c r="Z77" i="5"/>
  <c r="Z17" i="5"/>
  <c r="Z33" i="5"/>
  <c r="Z49" i="5"/>
  <c r="Z65" i="5"/>
  <c r="Z81" i="5"/>
  <c r="Z21" i="5"/>
  <c r="Z37" i="5"/>
  <c r="Z53" i="5"/>
  <c r="Z69" i="5"/>
  <c r="Z85" i="5"/>
  <c r="Z9" i="5"/>
  <c r="Z25" i="5"/>
  <c r="Z41" i="5"/>
  <c r="Z57" i="5"/>
  <c r="Z73" i="5"/>
  <c r="AD12" i="5"/>
  <c r="AD16" i="5"/>
  <c r="AD20" i="5"/>
  <c r="AD24" i="5"/>
  <c r="AD28" i="5"/>
  <c r="AD32" i="5"/>
  <c r="AD36" i="5"/>
  <c r="AD40" i="5"/>
  <c r="AD44" i="5"/>
  <c r="AD48" i="5"/>
  <c r="AD52" i="5"/>
  <c r="AD56" i="5"/>
  <c r="AD60" i="5"/>
  <c r="AD64" i="5"/>
  <c r="AD68" i="5"/>
  <c r="AD72" i="5"/>
  <c r="AD76" i="5"/>
  <c r="AD80" i="5"/>
  <c r="AD84" i="5"/>
  <c r="AD88" i="5"/>
  <c r="AD10" i="5"/>
  <c r="AD14" i="5"/>
  <c r="AD18" i="5"/>
  <c r="AD22" i="5"/>
  <c r="AD26" i="5"/>
  <c r="AD30" i="5"/>
  <c r="AD34" i="5"/>
  <c r="AD38" i="5"/>
  <c r="AD42" i="5"/>
  <c r="AD46" i="5"/>
  <c r="AD50" i="5"/>
  <c r="AD54" i="5"/>
  <c r="AD58" i="5"/>
  <c r="AD62" i="5"/>
  <c r="AD66" i="5"/>
  <c r="AD70" i="5"/>
  <c r="AD74" i="5"/>
  <c r="AD78" i="5"/>
  <c r="AD82" i="5"/>
  <c r="AD86" i="5"/>
  <c r="AD15" i="5"/>
  <c r="AD23" i="5"/>
  <c r="AD31" i="5"/>
  <c r="AD39" i="5"/>
  <c r="AD47" i="5"/>
  <c r="AD55" i="5"/>
  <c r="AD63" i="5"/>
  <c r="AD71" i="5"/>
  <c r="AD79" i="5"/>
  <c r="AD87" i="5"/>
  <c r="AD11" i="5"/>
  <c r="AD19" i="5"/>
  <c r="AD27" i="5"/>
  <c r="AD35" i="5"/>
  <c r="AD43" i="5"/>
  <c r="AD51" i="5"/>
  <c r="AD59" i="5"/>
  <c r="AD67" i="5"/>
  <c r="AD75" i="5"/>
  <c r="AD83" i="5"/>
  <c r="AD13" i="5"/>
  <c r="AD29" i="5"/>
  <c r="AD45" i="5"/>
  <c r="AD61" i="5"/>
  <c r="AD77" i="5"/>
  <c r="AD17" i="5"/>
  <c r="AD33" i="5"/>
  <c r="AD49" i="5"/>
  <c r="AD65" i="5"/>
  <c r="AD81" i="5"/>
  <c r="AD21" i="5"/>
  <c r="AD37" i="5"/>
  <c r="AD53" i="5"/>
  <c r="AD69" i="5"/>
  <c r="AD85" i="5"/>
  <c r="AD9" i="5"/>
  <c r="AD25" i="5"/>
  <c r="AD41" i="5"/>
  <c r="AD57" i="5"/>
  <c r="AD73" i="5"/>
  <c r="AH12" i="5"/>
  <c r="AH16" i="5"/>
  <c r="AH20" i="5"/>
  <c r="AH24" i="5"/>
  <c r="AH28" i="5"/>
  <c r="AH32" i="5"/>
  <c r="AH36" i="5"/>
  <c r="AH40" i="5"/>
  <c r="AH44" i="5"/>
  <c r="AH48" i="5"/>
  <c r="AH52" i="5"/>
  <c r="AH56" i="5"/>
  <c r="AH60" i="5"/>
  <c r="AH64" i="5"/>
  <c r="AH68" i="5"/>
  <c r="AH72" i="5"/>
  <c r="AH76" i="5"/>
  <c r="AH80" i="5"/>
  <c r="AH84" i="5"/>
  <c r="AH88" i="5"/>
  <c r="AH10" i="5"/>
  <c r="AH14" i="5"/>
  <c r="AH18" i="5"/>
  <c r="AH22" i="5"/>
  <c r="AH26" i="5"/>
  <c r="AH30" i="5"/>
  <c r="AH34" i="5"/>
  <c r="AH38" i="5"/>
  <c r="AH42" i="5"/>
  <c r="AH46" i="5"/>
  <c r="AH50" i="5"/>
  <c r="AH54" i="5"/>
  <c r="AH58" i="5"/>
  <c r="AH62" i="5"/>
  <c r="AH66" i="5"/>
  <c r="AH70" i="5"/>
  <c r="AH74" i="5"/>
  <c r="AH78" i="5"/>
  <c r="AH82" i="5"/>
  <c r="AH86" i="5"/>
  <c r="AH15" i="5"/>
  <c r="AH23" i="5"/>
  <c r="AH31" i="5"/>
  <c r="AH39" i="5"/>
  <c r="AH47" i="5"/>
  <c r="AH55" i="5"/>
  <c r="AH63" i="5"/>
  <c r="AH71" i="5"/>
  <c r="AH79" i="5"/>
  <c r="AH87" i="5"/>
  <c r="AH11" i="5"/>
  <c r="AH19" i="5"/>
  <c r="AH27" i="5"/>
  <c r="AH35" i="5"/>
  <c r="AH43" i="5"/>
  <c r="AH51" i="5"/>
  <c r="AH59" i="5"/>
  <c r="AH67" i="5"/>
  <c r="AH75" i="5"/>
  <c r="AH83" i="5"/>
  <c r="AH13" i="5"/>
  <c r="AH29" i="5"/>
  <c r="AH45" i="5"/>
  <c r="AH61" i="5"/>
  <c r="AH77" i="5"/>
  <c r="AH17" i="5"/>
  <c r="AH33" i="5"/>
  <c r="AH49" i="5"/>
  <c r="AH65" i="5"/>
  <c r="AH81" i="5"/>
  <c r="AH21" i="5"/>
  <c r="AH37" i="5"/>
  <c r="AH53" i="5"/>
  <c r="AH69" i="5"/>
  <c r="AH85" i="5"/>
  <c r="AH9" i="5"/>
  <c r="AH25" i="5"/>
  <c r="AH41" i="5"/>
  <c r="AH57" i="5"/>
  <c r="AH73" i="5"/>
  <c r="AB10" i="9"/>
  <c r="AB14" i="9"/>
  <c r="AB18" i="9"/>
  <c r="AB22" i="9"/>
  <c r="AB26" i="9"/>
  <c r="AB30" i="9"/>
  <c r="AB34" i="9"/>
  <c r="AB38" i="9"/>
  <c r="AB42" i="9"/>
  <c r="AB46" i="9"/>
  <c r="AB50" i="9"/>
  <c r="AB54" i="9"/>
  <c r="AB58" i="9"/>
  <c r="AB62" i="9"/>
  <c r="AB66" i="9"/>
  <c r="AB70" i="9"/>
  <c r="AB74" i="9"/>
  <c r="AB78" i="9"/>
  <c r="AB82" i="9"/>
  <c r="AB86" i="9"/>
  <c r="AB12" i="9"/>
  <c r="AB16" i="9"/>
  <c r="AB20" i="9"/>
  <c r="AB24" i="9"/>
  <c r="AB28" i="9"/>
  <c r="AB32" i="9"/>
  <c r="AB36" i="9"/>
  <c r="AB40" i="9"/>
  <c r="AB44" i="9"/>
  <c r="AB48" i="9"/>
  <c r="AB52" i="9"/>
  <c r="AB56" i="9"/>
  <c r="AB60" i="9"/>
  <c r="AB64" i="9"/>
  <c r="AB68" i="9"/>
  <c r="AB72" i="9"/>
  <c r="AB76" i="9"/>
  <c r="AB80" i="9"/>
  <c r="AB84" i="9"/>
  <c r="AB88" i="9"/>
  <c r="AB9" i="9"/>
  <c r="AB17" i="9"/>
  <c r="AB25" i="9"/>
  <c r="AB33" i="9"/>
  <c r="AB41" i="9"/>
  <c r="AB49" i="9"/>
  <c r="AB57" i="9"/>
  <c r="AB65" i="9"/>
  <c r="AB73" i="9"/>
  <c r="AB81" i="9"/>
  <c r="AB13" i="9"/>
  <c r="AB21" i="9"/>
  <c r="AB29" i="9"/>
  <c r="AB37" i="9"/>
  <c r="AB45" i="9"/>
  <c r="AB53" i="9"/>
  <c r="AB61" i="9"/>
  <c r="AB69" i="9"/>
  <c r="AB77" i="9"/>
  <c r="AB85" i="9"/>
  <c r="AB15" i="9"/>
  <c r="AB31" i="9"/>
  <c r="AB47" i="9"/>
  <c r="AB63" i="9"/>
  <c r="AB79" i="9"/>
  <c r="AB19" i="9"/>
  <c r="AB35" i="9"/>
  <c r="AB51" i="9"/>
  <c r="AB67" i="9"/>
  <c r="AB83" i="9"/>
  <c r="AB23" i="9"/>
  <c r="AB39" i="9"/>
  <c r="AB55" i="9"/>
  <c r="AB71" i="9"/>
  <c r="AB87" i="9"/>
  <c r="AB11" i="9"/>
  <c r="AB27" i="9"/>
  <c r="AB43" i="9"/>
  <c r="AB59" i="9"/>
  <c r="AB75" i="9"/>
  <c r="AF9" i="9"/>
  <c r="AF13" i="9"/>
  <c r="AF17" i="9"/>
  <c r="AF21" i="9"/>
  <c r="AF25" i="9"/>
  <c r="AF29" i="9"/>
  <c r="AF33" i="9"/>
  <c r="AF37" i="9"/>
  <c r="AF41" i="9"/>
  <c r="AF45" i="9"/>
  <c r="AF49" i="9"/>
  <c r="AF53" i="9"/>
  <c r="AF57" i="9"/>
  <c r="AF61" i="9"/>
  <c r="AF65" i="9"/>
  <c r="AF69" i="9"/>
  <c r="AF73" i="9"/>
  <c r="AF77" i="9"/>
  <c r="AF81" i="9"/>
  <c r="AF85" i="9"/>
  <c r="AF11" i="9"/>
  <c r="AF16" i="9"/>
  <c r="AF22" i="9"/>
  <c r="AF27" i="9"/>
  <c r="AF32" i="9"/>
  <c r="AF38" i="9"/>
  <c r="AF43" i="9"/>
  <c r="AF48" i="9"/>
  <c r="AF54" i="9"/>
  <c r="AF59" i="9"/>
  <c r="AF64" i="9"/>
  <c r="AF70" i="9"/>
  <c r="AF75" i="9"/>
  <c r="AF80" i="9"/>
  <c r="AF86" i="9"/>
  <c r="AF14" i="9"/>
  <c r="AF19" i="9"/>
  <c r="AF24" i="9"/>
  <c r="AF30" i="9"/>
  <c r="AF35" i="9"/>
  <c r="AF40" i="9"/>
  <c r="AF46" i="9"/>
  <c r="AF51" i="9"/>
  <c r="AF56" i="9"/>
  <c r="AF62" i="9"/>
  <c r="AF67" i="9"/>
  <c r="AF72" i="9"/>
  <c r="AF78" i="9"/>
  <c r="AF83" i="9"/>
  <c r="AF88" i="9"/>
  <c r="AF15" i="9"/>
  <c r="AF26" i="9"/>
  <c r="AF36" i="9"/>
  <c r="AF47" i="9"/>
  <c r="AF58" i="9"/>
  <c r="AF68" i="9"/>
  <c r="AF79" i="9"/>
  <c r="AF10" i="9"/>
  <c r="AF20" i="9"/>
  <c r="AF31" i="9"/>
  <c r="AF42" i="9"/>
  <c r="AF52" i="9"/>
  <c r="AF63" i="9"/>
  <c r="AF74" i="9"/>
  <c r="AF84" i="9"/>
  <c r="AF12" i="9"/>
  <c r="AF34" i="9"/>
  <c r="AF55" i="9"/>
  <c r="AF76" i="9"/>
  <c r="AF18" i="9"/>
  <c r="AF39" i="9"/>
  <c r="AF60" i="9"/>
  <c r="AF82" i="9"/>
  <c r="AF23" i="9"/>
  <c r="AF44" i="9"/>
  <c r="AF66" i="9"/>
  <c r="AF87" i="9"/>
  <c r="AF28" i="9"/>
  <c r="AF50" i="9"/>
  <c r="AF71" i="9"/>
  <c r="G35" i="2"/>
  <c r="G31" i="2"/>
  <c r="G32" i="12"/>
  <c r="G38" i="13"/>
  <c r="G30" i="4"/>
  <c r="G34" i="5"/>
  <c r="G28" i="7"/>
  <c r="E47" i="7"/>
  <c r="F49" i="12"/>
  <c r="E49" i="12"/>
  <c r="J33" i="10"/>
  <c r="L36" i="8"/>
  <c r="L33" i="8"/>
  <c r="F49" i="4"/>
  <c r="E49" i="4"/>
  <c r="K36" i="3"/>
  <c r="K28" i="3"/>
  <c r="K32" i="3"/>
  <c r="F39" i="10"/>
  <c r="E39" i="10"/>
  <c r="G39" i="3"/>
  <c r="G31" i="3"/>
  <c r="G39" i="12"/>
  <c r="G39" i="11"/>
  <c r="G31" i="11"/>
  <c r="G36" i="3"/>
  <c r="G28" i="6"/>
  <c r="G36" i="7"/>
  <c r="F47" i="12"/>
  <c r="E47" i="12"/>
  <c r="L35" i="10"/>
  <c r="E49" i="10" s="1"/>
  <c r="J29" i="8"/>
  <c r="K32" i="5"/>
  <c r="AH10" i="8"/>
  <c r="AH14" i="8"/>
  <c r="AH18" i="8"/>
  <c r="AH22" i="8"/>
  <c r="AH26" i="8"/>
  <c r="AH30" i="8"/>
  <c r="AH34" i="8"/>
  <c r="AH38" i="8"/>
  <c r="AH42" i="8"/>
  <c r="AH46" i="8"/>
  <c r="AH50" i="8"/>
  <c r="AH54" i="8"/>
  <c r="AH58" i="8"/>
  <c r="AH62" i="8"/>
  <c r="AH66" i="8"/>
  <c r="AH70" i="8"/>
  <c r="AH74" i="8"/>
  <c r="AH78" i="8"/>
  <c r="AH82" i="8"/>
  <c r="AH86" i="8"/>
  <c r="AH12" i="8"/>
  <c r="AH16" i="8"/>
  <c r="AH20" i="8"/>
  <c r="AH24" i="8"/>
  <c r="AH28" i="8"/>
  <c r="AH32" i="8"/>
  <c r="AH36" i="8"/>
  <c r="AH40" i="8"/>
  <c r="AH44" i="8"/>
  <c r="AH48" i="8"/>
  <c r="AH52" i="8"/>
  <c r="AH56" i="8"/>
  <c r="AH60" i="8"/>
  <c r="AH64" i="8"/>
  <c r="AH68" i="8"/>
  <c r="AH72" i="8"/>
  <c r="AH76" i="8"/>
  <c r="AH80" i="8"/>
  <c r="AH84" i="8"/>
  <c r="AH88" i="8"/>
  <c r="AH9" i="8"/>
  <c r="AH17" i="8"/>
  <c r="AH25" i="8"/>
  <c r="AH33" i="8"/>
  <c r="AH41" i="8"/>
  <c r="AH49" i="8"/>
  <c r="AH57" i="8"/>
  <c r="AH65" i="8"/>
  <c r="AH73" i="8"/>
  <c r="AH81" i="8"/>
  <c r="AH13" i="8"/>
  <c r="AH21" i="8"/>
  <c r="AH29" i="8"/>
  <c r="AH37" i="8"/>
  <c r="AH45" i="8"/>
  <c r="AH53" i="8"/>
  <c r="AH61" i="8"/>
  <c r="AH69" i="8"/>
  <c r="AH77" i="8"/>
  <c r="AH85" i="8"/>
  <c r="AH15" i="8"/>
  <c r="AH31" i="8"/>
  <c r="AH47" i="8"/>
  <c r="AH63" i="8"/>
  <c r="AH79" i="8"/>
  <c r="AH19" i="8"/>
  <c r="AH35" i="8"/>
  <c r="AH51" i="8"/>
  <c r="AH67" i="8"/>
  <c r="AH83" i="8"/>
  <c r="AH23" i="8"/>
  <c r="AH39" i="8"/>
  <c r="AH55" i="8"/>
  <c r="AH71" i="8"/>
  <c r="AH87" i="8"/>
  <c r="AH11" i="8"/>
  <c r="AH27" i="8"/>
  <c r="AH43" i="8"/>
  <c r="AH59" i="8"/>
  <c r="AH75" i="8"/>
  <c r="F33" i="10"/>
  <c r="E33" i="10"/>
  <c r="G39" i="7"/>
  <c r="G31" i="7"/>
  <c r="G39" i="5"/>
  <c r="G32" i="13"/>
  <c r="G33" i="11"/>
  <c r="G37" i="5"/>
  <c r="G32" i="11"/>
  <c r="G33" i="6"/>
  <c r="G37" i="3"/>
  <c r="G36" i="13"/>
  <c r="O349" i="1"/>
  <c r="L267" i="1"/>
  <c r="L308" i="1"/>
  <c r="O277" i="1"/>
  <c r="P356" i="1"/>
  <c r="P353" i="1"/>
  <c r="F19" i="1"/>
  <c r="G274" i="1"/>
  <c r="G359" i="1"/>
  <c r="E117" i="1"/>
  <c r="M273" i="1"/>
  <c r="H356" i="1"/>
  <c r="M278" i="1"/>
  <c r="E20" i="4"/>
  <c r="P349" i="1"/>
  <c r="E357" i="1"/>
  <c r="N359" i="1"/>
  <c r="P359" i="1"/>
  <c r="H358" i="1"/>
  <c r="E9" i="4"/>
  <c r="M316" i="1"/>
  <c r="P360" i="1"/>
  <c r="I356" i="1"/>
  <c r="M270" i="1"/>
  <c r="F352" i="1"/>
  <c r="N353" i="1"/>
  <c r="E115" i="1"/>
  <c r="G311" i="1"/>
  <c r="F16" i="1"/>
  <c r="F18" i="1"/>
  <c r="M275" i="1"/>
  <c r="N358" i="1"/>
  <c r="F355" i="1"/>
  <c r="E360" i="1"/>
  <c r="O273" i="1"/>
  <c r="L272" i="1"/>
  <c r="M314" i="1"/>
  <c r="J358" i="1"/>
  <c r="H355" i="1"/>
  <c r="O360" i="1"/>
  <c r="M272" i="1"/>
  <c r="I354" i="1"/>
  <c r="E16" i="4"/>
  <c r="E13" i="4"/>
  <c r="E15" i="4"/>
  <c r="G355" i="1"/>
  <c r="G360" i="1"/>
  <c r="E10" i="3"/>
  <c r="N355" i="1"/>
  <c r="P352" i="1"/>
  <c r="I359" i="1"/>
  <c r="L319" i="1"/>
  <c r="H352" i="1"/>
  <c r="H351" i="1"/>
  <c r="F353" i="1"/>
  <c r="E18" i="3"/>
  <c r="N357" i="1"/>
  <c r="J349" i="1"/>
  <c r="J360" i="1"/>
  <c r="F21" i="1"/>
  <c r="F24" i="1"/>
  <c r="H359" i="1"/>
  <c r="G315" i="1"/>
  <c r="E309" i="1"/>
  <c r="I353" i="1"/>
  <c r="O352" i="1"/>
  <c r="L278" i="1"/>
  <c r="O358" i="1"/>
  <c r="I357" i="1"/>
  <c r="G357" i="1"/>
  <c r="G354" i="1"/>
  <c r="F360" i="1"/>
  <c r="J352" i="1"/>
  <c r="P357" i="1"/>
  <c r="E19" i="4"/>
  <c r="F13" i="1"/>
  <c r="F15" i="1"/>
  <c r="O357" i="1"/>
  <c r="O318" i="1"/>
  <c r="J359" i="1"/>
  <c r="N356" i="1"/>
  <c r="O314" i="1"/>
  <c r="H354" i="1"/>
  <c r="P355" i="1"/>
  <c r="J353" i="1"/>
  <c r="F350" i="1"/>
  <c r="G351" i="1"/>
  <c r="F357" i="1"/>
  <c r="H360" i="1"/>
  <c r="N360" i="1"/>
  <c r="N354" i="1"/>
  <c r="E12" i="4"/>
  <c r="E14" i="4"/>
  <c r="F351" i="1"/>
  <c r="E268" i="1"/>
  <c r="G353" i="1"/>
  <c r="I352" i="1"/>
  <c r="F359" i="1"/>
  <c r="E276" i="1"/>
  <c r="E352" i="1"/>
  <c r="M319" i="1"/>
  <c r="I349" i="1"/>
  <c r="F20" i="1"/>
  <c r="F17" i="1"/>
  <c r="N349" i="1"/>
  <c r="M308" i="1"/>
  <c r="E14" i="1"/>
  <c r="E349" i="1"/>
  <c r="J356" i="1"/>
  <c r="G270" i="1"/>
  <c r="E22" i="1"/>
  <c r="O353" i="1"/>
  <c r="F358" i="1"/>
  <c r="E17" i="4"/>
  <c r="G349" i="1"/>
  <c r="M267" i="1"/>
  <c r="F356" i="1"/>
  <c r="I360" i="1"/>
  <c r="M311" i="1"/>
  <c r="E317" i="1"/>
  <c r="N352" i="1"/>
  <c r="F23" i="1"/>
  <c r="E11" i="4"/>
  <c r="J355" i="1"/>
  <c r="I355" i="1"/>
  <c r="F349" i="1"/>
  <c r="L313" i="1"/>
  <c r="O356" i="1"/>
  <c r="E356" i="1"/>
  <c r="M313" i="1"/>
  <c r="J357" i="1"/>
  <c r="G28" i="9" l="1"/>
  <c r="F49" i="8"/>
  <c r="E49" i="8"/>
  <c r="F47" i="10"/>
  <c r="F36" i="9"/>
  <c r="E36" i="9"/>
  <c r="F49" i="10"/>
  <c r="B2" i="6"/>
  <c r="B1" i="5"/>
  <c r="F397" i="1"/>
  <c r="F11" i="4"/>
  <c r="G11" i="4"/>
  <c r="F395" i="1"/>
  <c r="F9" i="4"/>
  <c r="G9" i="4"/>
  <c r="G47" i="4"/>
  <c r="G19" i="4"/>
  <c r="F19" i="4"/>
  <c r="F405" i="1"/>
  <c r="F20" i="4"/>
  <c r="G20" i="4"/>
  <c r="F406" i="1"/>
  <c r="G17" i="4"/>
  <c r="F17" i="4"/>
  <c r="F403" i="1"/>
  <c r="F18" i="3"/>
  <c r="G18" i="3"/>
  <c r="E404" i="1"/>
  <c r="E396" i="1"/>
  <c r="F10" i="3"/>
  <c r="G10" i="3"/>
  <c r="G15" i="4"/>
  <c r="F15" i="4"/>
  <c r="F401" i="1"/>
  <c r="G13" i="4"/>
  <c r="F13" i="4"/>
  <c r="F399" i="1"/>
  <c r="F16" i="4"/>
  <c r="G16" i="4"/>
  <c r="F402" i="1"/>
  <c r="F14" i="4"/>
  <c r="G14" i="4"/>
  <c r="F400" i="1"/>
  <c r="F12" i="4"/>
  <c r="G12" i="4"/>
  <c r="F398" i="1"/>
  <c r="F36" i="8"/>
  <c r="E36" i="8"/>
  <c r="F34" i="9"/>
  <c r="E34" i="9"/>
  <c r="E30" i="9"/>
  <c r="F30" i="9"/>
  <c r="F49" i="9" s="1"/>
  <c r="G31" i="10"/>
  <c r="F47" i="9"/>
  <c r="E47" i="9"/>
  <c r="F49" i="5"/>
  <c r="E49" i="5"/>
  <c r="G48" i="3"/>
  <c r="F48" i="3"/>
  <c r="E48" i="3"/>
  <c r="F36" i="5"/>
  <c r="E36" i="5"/>
  <c r="F32" i="5"/>
  <c r="E32" i="5"/>
  <c r="F28" i="5"/>
  <c r="F47" i="5" s="1"/>
  <c r="E28" i="5"/>
  <c r="F49" i="3"/>
  <c r="E49" i="3"/>
  <c r="G49" i="3"/>
  <c r="G39" i="9"/>
  <c r="F48" i="2"/>
  <c r="G28" i="10"/>
  <c r="G38" i="12"/>
  <c r="G39" i="10"/>
  <c r="F47" i="3"/>
  <c r="G47" i="3"/>
  <c r="E47" i="3"/>
  <c r="G34" i="10"/>
  <c r="G31" i="4"/>
  <c r="F28" i="8"/>
  <c r="F47" i="8" s="1"/>
  <c r="E28" i="8"/>
  <c r="F38" i="9"/>
  <c r="E38" i="9"/>
  <c r="F37" i="10"/>
  <c r="E37" i="10"/>
  <c r="G35" i="4"/>
  <c r="E29" i="10"/>
  <c r="F29" i="10"/>
  <c r="G33" i="10"/>
  <c r="G49" i="4"/>
  <c r="G37" i="2"/>
  <c r="G33" i="9"/>
  <c r="G34" i="12"/>
  <c r="F48" i="5"/>
  <c r="E48" i="5"/>
  <c r="E48" i="2"/>
  <c r="G29" i="2"/>
  <c r="F32" i="8"/>
  <c r="E32" i="8"/>
  <c r="E47" i="10"/>
  <c r="G36" i="10"/>
  <c r="F35" i="10"/>
  <c r="E35" i="10"/>
  <c r="L349" i="1"/>
  <c r="L275" i="1"/>
  <c r="E14" i="5"/>
  <c r="M352" i="1"/>
  <c r="K308" i="1"/>
  <c r="E350" i="1"/>
  <c r="E10" i="4"/>
  <c r="G20" i="1"/>
  <c r="L354" i="1"/>
  <c r="G15" i="1"/>
  <c r="G115" i="1"/>
  <c r="G19" i="1"/>
  <c r="L269" i="1"/>
  <c r="H308" i="1"/>
  <c r="M355" i="1"/>
  <c r="G356" i="1"/>
  <c r="O355" i="1"/>
  <c r="M274" i="1"/>
  <c r="G23" i="1"/>
  <c r="G24" i="1"/>
  <c r="G16" i="1"/>
  <c r="L310" i="1"/>
  <c r="H275" i="1"/>
  <c r="G352" i="1"/>
  <c r="G117" i="1"/>
  <c r="F117" i="1"/>
  <c r="O359" i="1"/>
  <c r="M317" i="1"/>
  <c r="M357" i="1"/>
  <c r="E9" i="5"/>
  <c r="G21" i="1"/>
  <c r="E18" i="4"/>
  <c r="G17" i="1"/>
  <c r="H271" i="1"/>
  <c r="K267" i="1"/>
  <c r="M315" i="1"/>
  <c r="L316" i="1"/>
  <c r="G18" i="1"/>
  <c r="H312" i="1"/>
  <c r="E358" i="1"/>
  <c r="F14" i="1"/>
  <c r="E16" i="5"/>
  <c r="M276" i="1"/>
  <c r="K312" i="1"/>
  <c r="E11" i="5"/>
  <c r="E15" i="5"/>
  <c r="K316" i="1"/>
  <c r="H316" i="1"/>
  <c r="L360" i="1"/>
  <c r="L318" i="1"/>
  <c r="M354" i="1"/>
  <c r="K271" i="1"/>
  <c r="E19" i="5"/>
  <c r="E20" i="5"/>
  <c r="E12" i="5"/>
  <c r="K275" i="1"/>
  <c r="F116" i="1"/>
  <c r="H267" i="1"/>
  <c r="L277" i="1"/>
  <c r="L314" i="1"/>
  <c r="M349" i="1"/>
  <c r="F115" i="1"/>
  <c r="M268" i="1"/>
  <c r="G13" i="1"/>
  <c r="E17" i="5"/>
  <c r="F22" i="1"/>
  <c r="E13" i="5"/>
  <c r="L273" i="1"/>
  <c r="M360" i="1"/>
  <c r="M309" i="1"/>
  <c r="B2" i="7" l="1"/>
  <c r="B1" i="6"/>
  <c r="G36" i="9"/>
  <c r="G399" i="1"/>
  <c r="G13" i="5"/>
  <c r="F13" i="5"/>
  <c r="F18" i="4"/>
  <c r="G18" i="4"/>
  <c r="F404" i="1"/>
  <c r="G403" i="1"/>
  <c r="G17" i="5"/>
  <c r="F17" i="5"/>
  <c r="G9" i="5"/>
  <c r="F9" i="5"/>
  <c r="G395" i="1"/>
  <c r="G398" i="1"/>
  <c r="F12" i="5"/>
  <c r="G12" i="5"/>
  <c r="G406" i="1"/>
  <c r="F20" i="5"/>
  <c r="G20" i="5"/>
  <c r="G405" i="1"/>
  <c r="G19" i="5"/>
  <c r="F19" i="5"/>
  <c r="G401" i="1"/>
  <c r="G15" i="5"/>
  <c r="F15" i="5"/>
  <c r="F11" i="5"/>
  <c r="G11" i="5"/>
  <c r="G49" i="5"/>
  <c r="G397" i="1"/>
  <c r="G402" i="1"/>
  <c r="F16" i="5"/>
  <c r="G16" i="5"/>
  <c r="F10" i="4"/>
  <c r="G10" i="4"/>
  <c r="G48" i="4"/>
  <c r="F396" i="1"/>
  <c r="G400" i="1"/>
  <c r="F14" i="5"/>
  <c r="G14" i="5"/>
  <c r="F48" i="10"/>
  <c r="G28" i="8"/>
  <c r="G32" i="5"/>
  <c r="G34" i="9"/>
  <c r="G29" i="10"/>
  <c r="E48" i="10"/>
  <c r="G38" i="9"/>
  <c r="G28" i="5"/>
  <c r="G36" i="5"/>
  <c r="G36" i="8"/>
  <c r="G35" i="10"/>
  <c r="G32" i="8"/>
  <c r="E47" i="5"/>
  <c r="G30" i="9"/>
  <c r="E49" i="9"/>
  <c r="G37" i="10"/>
  <c r="G48" i="2"/>
  <c r="E47" i="8"/>
  <c r="L357" i="1"/>
  <c r="G22" i="1"/>
  <c r="G14" i="1"/>
  <c r="H349" i="1"/>
  <c r="M358" i="1"/>
  <c r="E13" i="6"/>
  <c r="E9" i="6"/>
  <c r="E20" i="6"/>
  <c r="H15" i="1"/>
  <c r="E12" i="6"/>
  <c r="E15" i="6"/>
  <c r="H20" i="1"/>
  <c r="M350" i="1"/>
  <c r="L351" i="1"/>
  <c r="E17" i="6"/>
  <c r="E19" i="6"/>
  <c r="L359" i="1"/>
  <c r="G116" i="1"/>
  <c r="E14" i="6"/>
  <c r="H357" i="1"/>
  <c r="E18" i="5"/>
  <c r="E10" i="5"/>
  <c r="H353" i="1"/>
  <c r="K353" i="1"/>
  <c r="H17" i="1"/>
  <c r="H13" i="1"/>
  <c r="H24" i="1"/>
  <c r="E11" i="6"/>
  <c r="H16" i="1"/>
  <c r="H19" i="1"/>
  <c r="H117" i="1"/>
  <c r="E16" i="6"/>
  <c r="K357" i="1"/>
  <c r="H21" i="1"/>
  <c r="H23" i="1"/>
  <c r="K349" i="1"/>
  <c r="M356" i="1"/>
  <c r="H18" i="1"/>
  <c r="L355" i="1"/>
  <c r="E116" i="1"/>
  <c r="B1" i="7" l="1"/>
  <c r="B2" i="8"/>
  <c r="F14" i="6"/>
  <c r="G14" i="6"/>
  <c r="H400" i="1"/>
  <c r="G19" i="6"/>
  <c r="F19" i="6"/>
  <c r="H405" i="1"/>
  <c r="G17" i="6"/>
  <c r="F17" i="6"/>
  <c r="H403" i="1"/>
  <c r="F16" i="6"/>
  <c r="G16" i="6"/>
  <c r="H402" i="1"/>
  <c r="G15" i="6"/>
  <c r="F15" i="6"/>
  <c r="H401" i="1"/>
  <c r="F12" i="6"/>
  <c r="G12" i="6"/>
  <c r="H398" i="1"/>
  <c r="H397" i="1"/>
  <c r="G11" i="6"/>
  <c r="F11" i="6"/>
  <c r="G49" i="6"/>
  <c r="F20" i="6"/>
  <c r="G20" i="6"/>
  <c r="H406" i="1"/>
  <c r="F9" i="6"/>
  <c r="G9" i="6"/>
  <c r="G47" i="6"/>
  <c r="H395" i="1"/>
  <c r="G13" i="6"/>
  <c r="F13" i="6"/>
  <c r="H399" i="1"/>
  <c r="G396" i="1"/>
  <c r="F10" i="5"/>
  <c r="G10" i="5"/>
  <c r="G48" i="5"/>
  <c r="G404" i="1"/>
  <c r="F18" i="5"/>
  <c r="G18" i="5"/>
  <c r="G47" i="5"/>
  <c r="E15" i="7"/>
  <c r="E12" i="7"/>
  <c r="H115" i="1"/>
  <c r="I18" i="1"/>
  <c r="E13" i="7"/>
  <c r="E17" i="7"/>
  <c r="E16" i="7"/>
  <c r="I13" i="1"/>
  <c r="H14" i="1"/>
  <c r="H22" i="1"/>
  <c r="E19" i="7"/>
  <c r="E11" i="7"/>
  <c r="E20" i="7"/>
  <c r="I115" i="1"/>
  <c r="I19" i="1"/>
  <c r="I16" i="1"/>
  <c r="E14" i="7"/>
  <c r="I117" i="1"/>
  <c r="I17" i="1"/>
  <c r="I21" i="1"/>
  <c r="I20" i="1"/>
  <c r="E9" i="7"/>
  <c r="E10" i="6"/>
  <c r="E18" i="6"/>
  <c r="I23" i="1"/>
  <c r="I15" i="1"/>
  <c r="I24" i="1"/>
  <c r="H116" i="1"/>
  <c r="B2" i="9" l="1"/>
  <c r="B1" i="8"/>
  <c r="I406" i="1"/>
  <c r="F20" i="7"/>
  <c r="G20" i="7"/>
  <c r="I397" i="1"/>
  <c r="F11" i="7"/>
  <c r="G11" i="7"/>
  <c r="G49" i="7"/>
  <c r="I405" i="1"/>
  <c r="G19" i="7"/>
  <c r="F19" i="7"/>
  <c r="F18" i="6"/>
  <c r="G18" i="6"/>
  <c r="H404" i="1"/>
  <c r="G10" i="6"/>
  <c r="F10" i="6"/>
  <c r="G48" i="6"/>
  <c r="H396" i="1"/>
  <c r="G9" i="7"/>
  <c r="F9" i="7"/>
  <c r="G47" i="7"/>
  <c r="I395" i="1"/>
  <c r="I402" i="1"/>
  <c r="F16" i="7"/>
  <c r="G16" i="7"/>
  <c r="I403" i="1"/>
  <c r="G17" i="7"/>
  <c r="F17" i="7"/>
  <c r="I399" i="1"/>
  <c r="G13" i="7"/>
  <c r="F13" i="7"/>
  <c r="I400" i="1"/>
  <c r="F14" i="7"/>
  <c r="G14" i="7"/>
  <c r="I398" i="1"/>
  <c r="F12" i="7"/>
  <c r="G12" i="7"/>
  <c r="I401" i="1"/>
  <c r="G15" i="7"/>
  <c r="F15" i="7"/>
  <c r="J23" i="1"/>
  <c r="J17" i="1"/>
  <c r="J18" i="1"/>
  <c r="J15" i="1"/>
  <c r="E10" i="7"/>
  <c r="J13" i="1"/>
  <c r="J21" i="1"/>
  <c r="J19" i="1"/>
  <c r="I22" i="1"/>
  <c r="E20" i="8"/>
  <c r="J117" i="1"/>
  <c r="E16" i="8"/>
  <c r="E12" i="8"/>
  <c r="E19" i="8"/>
  <c r="E13" i="8"/>
  <c r="E14" i="8"/>
  <c r="E11" i="8"/>
  <c r="I14" i="1"/>
  <c r="E9" i="8"/>
  <c r="E17" i="8"/>
  <c r="E15" i="8"/>
  <c r="E18" i="7"/>
  <c r="J115" i="1"/>
  <c r="J24" i="1"/>
  <c r="I116" i="1"/>
  <c r="J20" i="1"/>
  <c r="J16" i="1"/>
  <c r="B2" i="10" l="1"/>
  <c r="B1" i="9"/>
  <c r="J398" i="1"/>
  <c r="F12" i="8"/>
  <c r="G12" i="8"/>
  <c r="J402" i="1"/>
  <c r="F16" i="8"/>
  <c r="G16" i="8"/>
  <c r="J406" i="1"/>
  <c r="F20" i="8"/>
  <c r="G20" i="8"/>
  <c r="I404" i="1"/>
  <c r="F18" i="7"/>
  <c r="G18" i="7"/>
  <c r="J401" i="1"/>
  <c r="G15" i="8"/>
  <c r="F15" i="8"/>
  <c r="J403" i="1"/>
  <c r="G17" i="8"/>
  <c r="F17" i="8"/>
  <c r="J395" i="1"/>
  <c r="F9" i="8"/>
  <c r="G9" i="8"/>
  <c r="G47" i="8"/>
  <c r="F10" i="7"/>
  <c r="G10" i="7"/>
  <c r="G48" i="7"/>
  <c r="I396" i="1"/>
  <c r="J397" i="1"/>
  <c r="G11" i="8"/>
  <c r="F11" i="8"/>
  <c r="G49" i="8"/>
  <c r="J400" i="1"/>
  <c r="F14" i="8"/>
  <c r="G14" i="8"/>
  <c r="J399" i="1"/>
  <c r="G13" i="8"/>
  <c r="F13" i="8"/>
  <c r="J405" i="1"/>
  <c r="G19" i="8"/>
  <c r="F19" i="8"/>
  <c r="E20" i="9"/>
  <c r="E17" i="9"/>
  <c r="E9" i="9"/>
  <c r="J116" i="1"/>
  <c r="K18" i="1"/>
  <c r="K20" i="1"/>
  <c r="K19" i="1"/>
  <c r="K117" i="1"/>
  <c r="K23" i="1"/>
  <c r="K16" i="1"/>
  <c r="K17" i="1"/>
  <c r="J22" i="1"/>
  <c r="J14" i="1"/>
  <c r="K15" i="1"/>
  <c r="K24" i="1"/>
  <c r="K21" i="1"/>
  <c r="K13" i="1"/>
  <c r="E14" i="9"/>
  <c r="E16" i="9"/>
  <c r="E15" i="9"/>
  <c r="K115" i="1"/>
  <c r="E19" i="9"/>
  <c r="E12" i="9"/>
  <c r="E13" i="9"/>
  <c r="E18" i="8"/>
  <c r="E10" i="8"/>
  <c r="E11" i="9"/>
  <c r="B1" i="10" l="1"/>
  <c r="B2" i="11"/>
  <c r="K397" i="1"/>
  <c r="F11" i="9"/>
  <c r="G11" i="9"/>
  <c r="G49" i="9"/>
  <c r="J396" i="1"/>
  <c r="G10" i="8"/>
  <c r="F10" i="8"/>
  <c r="G48" i="8"/>
  <c r="J404" i="1"/>
  <c r="F18" i="8"/>
  <c r="G18" i="8"/>
  <c r="K399" i="1"/>
  <c r="G13" i="9"/>
  <c r="F13" i="9"/>
  <c r="K398" i="1"/>
  <c r="F12" i="9"/>
  <c r="G12" i="9"/>
  <c r="K405" i="1"/>
  <c r="G19" i="9"/>
  <c r="F19" i="9"/>
  <c r="K401" i="1"/>
  <c r="G15" i="9"/>
  <c r="F15" i="9"/>
  <c r="K402" i="1"/>
  <c r="F16" i="9"/>
  <c r="G16" i="9"/>
  <c r="K400" i="1"/>
  <c r="F14" i="9"/>
  <c r="G14" i="9"/>
  <c r="K395" i="1"/>
  <c r="G9" i="9"/>
  <c r="F9" i="9"/>
  <c r="G47" i="9"/>
  <c r="K403" i="1"/>
  <c r="G17" i="9"/>
  <c r="F17" i="9"/>
  <c r="K406" i="1"/>
  <c r="F20" i="9"/>
  <c r="G20" i="9"/>
  <c r="E15" i="10"/>
  <c r="E13" i="10"/>
  <c r="E12" i="10"/>
  <c r="E14" i="10"/>
  <c r="L115" i="1"/>
  <c r="K14" i="1"/>
  <c r="L19" i="1"/>
  <c r="L20" i="1"/>
  <c r="L15" i="1"/>
  <c r="K22" i="1"/>
  <c r="L23" i="1"/>
  <c r="L13" i="1"/>
  <c r="L21" i="1"/>
  <c r="L24" i="1"/>
  <c r="K116" i="1"/>
  <c r="L17" i="1"/>
  <c r="L16" i="1"/>
  <c r="L18" i="1"/>
  <c r="E10" i="9"/>
  <c r="E16" i="10"/>
  <c r="E11" i="10"/>
  <c r="E18" i="9"/>
  <c r="E19" i="10"/>
  <c r="E9" i="10"/>
  <c r="E17" i="10"/>
  <c r="E20" i="10"/>
  <c r="L117" i="1"/>
  <c r="B1" i="11" l="1"/>
  <c r="B2" i="12"/>
  <c r="L406" i="1"/>
  <c r="F20" i="10"/>
  <c r="G20" i="10"/>
  <c r="L403" i="1"/>
  <c r="G17" i="10"/>
  <c r="F17" i="10"/>
  <c r="L395" i="1"/>
  <c r="F9" i="10"/>
  <c r="G9" i="10"/>
  <c r="G47" i="10"/>
  <c r="L405" i="1"/>
  <c r="G19" i="10"/>
  <c r="F19" i="10"/>
  <c r="K404" i="1"/>
  <c r="F18" i="9"/>
  <c r="G18" i="9"/>
  <c r="L397" i="1"/>
  <c r="G11" i="10"/>
  <c r="F11" i="10"/>
  <c r="G49" i="10"/>
  <c r="L402" i="1"/>
  <c r="F16" i="10"/>
  <c r="G16" i="10"/>
  <c r="L401" i="1"/>
  <c r="G15" i="10"/>
  <c r="F15" i="10"/>
  <c r="K396" i="1"/>
  <c r="F10" i="9"/>
  <c r="G10" i="9"/>
  <c r="G48" i="9"/>
  <c r="L400" i="1"/>
  <c r="F14" i="10"/>
  <c r="G14" i="10"/>
  <c r="L398" i="1"/>
  <c r="F12" i="10"/>
  <c r="G12" i="10"/>
  <c r="L399" i="1"/>
  <c r="G13" i="10"/>
  <c r="F13" i="10"/>
  <c r="M24" i="1"/>
  <c r="E20" i="11"/>
  <c r="E16" i="11"/>
  <c r="E19" i="11"/>
  <c r="E18" i="10"/>
  <c r="M117" i="1"/>
  <c r="M16" i="1"/>
  <c r="M21" i="1"/>
  <c r="M13" i="1"/>
  <c r="M19" i="1"/>
  <c r="L14" i="1"/>
  <c r="M18" i="1"/>
  <c r="E11" i="11"/>
  <c r="L116" i="1"/>
  <c r="M17" i="1"/>
  <c r="M20" i="1"/>
  <c r="M23" i="1"/>
  <c r="L22" i="1"/>
  <c r="E12" i="11"/>
  <c r="E17" i="11"/>
  <c r="E9" i="11"/>
  <c r="E15" i="11"/>
  <c r="E10" i="10"/>
  <c r="E14" i="11"/>
  <c r="M115" i="1"/>
  <c r="M15" i="1"/>
  <c r="E13" i="11"/>
  <c r="B1" i="12" l="1"/>
  <c r="B2" i="13"/>
  <c r="B1" i="13" s="1"/>
  <c r="M399" i="1"/>
  <c r="F13" i="11"/>
  <c r="G13" i="11"/>
  <c r="M397" i="1"/>
  <c r="G11" i="11"/>
  <c r="F11" i="11"/>
  <c r="G49" i="11"/>
  <c r="M400" i="1"/>
  <c r="G14" i="11"/>
  <c r="F14" i="11"/>
  <c r="L396" i="1"/>
  <c r="G10" i="10"/>
  <c r="F10" i="10"/>
  <c r="G48" i="10"/>
  <c r="M401" i="1"/>
  <c r="F15" i="11"/>
  <c r="G15" i="11"/>
  <c r="M395" i="1"/>
  <c r="F9" i="11"/>
  <c r="G9" i="11"/>
  <c r="G47" i="11"/>
  <c r="M403" i="1"/>
  <c r="F17" i="11"/>
  <c r="G17" i="11"/>
  <c r="M398" i="1"/>
  <c r="G12" i="11"/>
  <c r="F12" i="11"/>
  <c r="L404" i="1"/>
  <c r="F18" i="10"/>
  <c r="G18" i="10"/>
  <c r="M405" i="1"/>
  <c r="F19" i="11"/>
  <c r="G19" i="11"/>
  <c r="M402" i="1"/>
  <c r="G16" i="11"/>
  <c r="F16" i="11"/>
  <c r="M406" i="1"/>
  <c r="G20" i="11"/>
  <c r="F20" i="11"/>
  <c r="N15" i="1"/>
  <c r="M22" i="1"/>
  <c r="N17" i="1"/>
  <c r="E10" i="11"/>
  <c r="E11" i="12"/>
  <c r="E14" i="12"/>
  <c r="E15" i="12"/>
  <c r="N115" i="1"/>
  <c r="N23" i="1"/>
  <c r="E12" i="12"/>
  <c r="E18" i="11"/>
  <c r="E20" i="12"/>
  <c r="E9" i="12"/>
  <c r="E17" i="12"/>
  <c r="E13" i="12"/>
  <c r="N117" i="1"/>
  <c r="N20" i="1"/>
  <c r="M14" i="1"/>
  <c r="N18" i="1"/>
  <c r="N19" i="1"/>
  <c r="E19" i="12"/>
  <c r="M116" i="1"/>
  <c r="N16" i="1"/>
  <c r="N24" i="1"/>
  <c r="N13" i="1"/>
  <c r="N21" i="1"/>
  <c r="E16" i="12"/>
  <c r="M396" i="1" l="1"/>
  <c r="G10" i="11"/>
  <c r="F10" i="11"/>
  <c r="G48" i="11"/>
  <c r="N402" i="1"/>
  <c r="G16" i="12"/>
  <c r="F16" i="12"/>
  <c r="N399" i="1"/>
  <c r="F13" i="12"/>
  <c r="G13" i="12"/>
  <c r="N403" i="1"/>
  <c r="F17" i="12"/>
  <c r="G17" i="12"/>
  <c r="N395" i="1"/>
  <c r="G9" i="12"/>
  <c r="F9" i="12"/>
  <c r="G47" i="12"/>
  <c r="N406" i="1"/>
  <c r="G20" i="12"/>
  <c r="F20" i="12"/>
  <c r="M404" i="1"/>
  <c r="G18" i="11"/>
  <c r="F18" i="11"/>
  <c r="N398" i="1"/>
  <c r="G12" i="12"/>
  <c r="F12" i="12"/>
  <c r="N405" i="1"/>
  <c r="F19" i="12"/>
  <c r="G19" i="12"/>
  <c r="N401" i="1"/>
  <c r="F15" i="12"/>
  <c r="G15" i="12"/>
  <c r="N400" i="1"/>
  <c r="G14" i="12"/>
  <c r="F14" i="12"/>
  <c r="N397" i="1"/>
  <c r="F11" i="12"/>
  <c r="G11" i="12"/>
  <c r="G49" i="12"/>
  <c r="E10" i="12"/>
  <c r="E15" i="13"/>
  <c r="E17" i="13"/>
  <c r="O115" i="1"/>
  <c r="O16" i="1"/>
  <c r="O23" i="1"/>
  <c r="N14" i="1"/>
  <c r="O20" i="1"/>
  <c r="O17" i="1"/>
  <c r="N22" i="1"/>
  <c r="O18" i="1"/>
  <c r="O15" i="1"/>
  <c r="O13" i="1"/>
  <c r="O24" i="1"/>
  <c r="N116" i="1"/>
  <c r="O19" i="1"/>
  <c r="O21" i="1"/>
  <c r="E12" i="13"/>
  <c r="E19" i="13"/>
  <c r="E16" i="13"/>
  <c r="E13" i="13"/>
  <c r="E18" i="12"/>
  <c r="E14" i="13"/>
  <c r="E11" i="13"/>
  <c r="E9" i="13"/>
  <c r="E20" i="13"/>
  <c r="O117" i="1"/>
  <c r="O401" i="1" l="1"/>
  <c r="F15" i="13"/>
  <c r="G15" i="13"/>
  <c r="O406" i="1"/>
  <c r="G20" i="13"/>
  <c r="F20" i="13"/>
  <c r="O395" i="1"/>
  <c r="F9" i="13"/>
  <c r="G9" i="13"/>
  <c r="G47" i="13"/>
  <c r="O397" i="1"/>
  <c r="G11" i="13"/>
  <c r="F11" i="13"/>
  <c r="G49" i="13"/>
  <c r="O400" i="1"/>
  <c r="G14" i="13"/>
  <c r="F14" i="13"/>
  <c r="N404" i="1"/>
  <c r="G18" i="12"/>
  <c r="F18" i="12"/>
  <c r="O399" i="1"/>
  <c r="F13" i="13"/>
  <c r="G13" i="13"/>
  <c r="O402" i="1"/>
  <c r="G16" i="13"/>
  <c r="F16" i="13"/>
  <c r="N396" i="1"/>
  <c r="F10" i="12"/>
  <c r="G10" i="12"/>
  <c r="G48" i="12"/>
  <c r="O405" i="1"/>
  <c r="F19" i="13"/>
  <c r="G19" i="13"/>
  <c r="O398" i="1"/>
  <c r="G12" i="13"/>
  <c r="F12" i="13"/>
  <c r="O403" i="1"/>
  <c r="F17" i="13"/>
  <c r="G17" i="13"/>
  <c r="P13" i="1"/>
  <c r="P24" i="1"/>
  <c r="P20" i="1"/>
  <c r="O14" i="1"/>
  <c r="P115" i="1"/>
  <c r="O116" i="1"/>
  <c r="E18" i="13"/>
  <c r="P17" i="1"/>
  <c r="P21" i="1"/>
  <c r="P18" i="1"/>
  <c r="E10" i="13"/>
  <c r="P23" i="1"/>
  <c r="P117" i="1"/>
  <c r="P19" i="1"/>
  <c r="O22" i="1"/>
  <c r="P16" i="1"/>
  <c r="P15" i="1"/>
  <c r="P400" i="1" l="1"/>
  <c r="P397" i="1"/>
  <c r="P403" i="1"/>
  <c r="P398" i="1"/>
  <c r="P399" i="1"/>
  <c r="O404" i="1"/>
  <c r="G18" i="13"/>
  <c r="F18" i="13"/>
  <c r="P401" i="1"/>
  <c r="P405" i="1"/>
  <c r="O396" i="1"/>
  <c r="G10" i="13"/>
  <c r="F10" i="13"/>
  <c r="G48" i="13"/>
  <c r="P402" i="1"/>
  <c r="P395" i="1"/>
  <c r="P406" i="1"/>
  <c r="P116" i="1"/>
  <c r="P14" i="1"/>
  <c r="P22" i="1"/>
  <c r="P396" i="1" l="1"/>
  <c r="P404" i="1"/>
</calcChain>
</file>

<file path=xl/sharedStrings.xml><?xml version="1.0" encoding="utf-8"?>
<sst xmlns="http://schemas.openxmlformats.org/spreadsheetml/2006/main" count="747" uniqueCount="114">
  <si>
    <t>INFORME O ANO DO ORÇAMENTO</t>
  </si>
  <si>
    <t>&lt;--- ÁREA DE IMPRESSÃO INICIA NA PRÓXIMA LINHA ---&gt;</t>
  </si>
  <si>
    <t>&gt;&gt;</t>
  </si>
  <si>
    <t>SALDO MENSAL POR CONTA</t>
  </si>
  <si>
    <t>CONTAS</t>
  </si>
  <si>
    <t>DESCRIÇÃO</t>
  </si>
  <si>
    <t>SALDO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</si>
  <si>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</si>
  <si>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</si>
  <si>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</si>
  <si>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</si>
  <si>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</si>
  <si>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</si>
  <si>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</si>
  <si>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</si>
  <si>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</si>
  <si>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</si>
  <si>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</si>
  <si>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</si>
  <si>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HISTÓRICO DE SALDOS POR GRUPO</t>
  </si>
  <si>
    <t>GRUPO</t>
  </si>
  <si>
    <t>CC</t>
  </si>
  <si>
    <t>CONTA CORRENTE</t>
  </si>
  <si>
    <t>INV</t>
  </si>
  <si>
    <t>APLICAÇÕES DE INVESTIMENTO</t>
  </si>
  <si>
    <t>DINH</t>
  </si>
  <si>
    <t>EM ESPÉCIE</t>
  </si>
  <si>
    <t>ACOMPANHAMENTO DE DESPESAS</t>
  </si>
  <si>
    <t>CÓDIGO</t>
  </si>
  <si>
    <t>1º TRIMESTRE</t>
  </si>
  <si>
    <t>2º TRIMESTRE</t>
  </si>
  <si>
    <t>3º TRIMESTRE</t>
  </si>
  <si>
    <t>4º TRIMESTRE</t>
  </si>
  <si>
    <t>M01</t>
  </si>
  <si>
    <t>MORADIA – CONDOMÍNIO</t>
  </si>
  <si>
    <t>M02</t>
  </si>
  <si>
    <t>MORADIA – IPTU</t>
  </si>
  <si>
    <t>M03</t>
  </si>
  <si>
    <t>MORADIA – ALUGUEL</t>
  </si>
  <si>
    <t>M04</t>
  </si>
  <si>
    <t>MORADIA – REFORMA</t>
  </si>
  <si>
    <t>U01</t>
  </si>
  <si>
    <t>UTILITIES – ENERGIA ELÉTRICA</t>
  </si>
  <si>
    <t>U02</t>
  </si>
  <si>
    <t>UTILITIES – ÁGUA POTÁVEL</t>
  </si>
  <si>
    <t>U03</t>
  </si>
  <si>
    <t>UTILITIES – DIVERSOS (ÁGUA, GÁS, SERV. GERAIS)</t>
  </si>
  <si>
    <t>S01</t>
  </si>
  <si>
    <t>SAÚDE – PLANO DE SAÚDE</t>
  </si>
  <si>
    <t>S02</t>
  </si>
  <si>
    <t>SAÚDE – REMÉDIOS</t>
  </si>
  <si>
    <t>S03</t>
  </si>
  <si>
    <t>SAÚDE – ACADEMIA</t>
  </si>
  <si>
    <t>C01</t>
  </si>
  <si>
    <t>COMPRAS</t>
  </si>
  <si>
    <t>L01</t>
  </si>
  <si>
    <t>LAZER</t>
  </si>
  <si>
    <t>A01</t>
  </si>
  <si>
    <t>ALIMENTAÇÃO – ALMOÇO</t>
  </si>
  <si>
    <t>A02</t>
  </si>
  <si>
    <t>ALIMENTAÇÃO – COMPRA MENSAL</t>
  </si>
  <si>
    <t>A03</t>
  </si>
  <si>
    <t>ALIMENTAÇÃO – FEIRAS SEMANAIS</t>
  </si>
  <si>
    <t>T01</t>
  </si>
  <si>
    <t>TELECOM – CELULAR</t>
  </si>
  <si>
    <t>T02</t>
  </si>
  <si>
    <t>TELECOM – INTERNET</t>
  </si>
  <si>
    <t>T03</t>
  </si>
  <si>
    <t>TELECOM – FIXO</t>
  </si>
  <si>
    <t>R01</t>
  </si>
  <si>
    <t>CARRO – SEGURO</t>
  </si>
  <si>
    <t>R02</t>
  </si>
  <si>
    <t>CARRO – COMBUSTÍVEL</t>
  </si>
  <si>
    <t>R03</t>
  </si>
  <si>
    <t>CARRO – CONSERTOS</t>
  </si>
  <si>
    <t>R04</t>
  </si>
  <si>
    <t>CARRO – PRESTAÇOES</t>
  </si>
  <si>
    <t>B01</t>
  </si>
  <si>
    <t>BANCO – TAXAS, JUROS ETC.</t>
  </si>
  <si>
    <t>E01</t>
  </si>
  <si>
    <t>EDUCAÇÃO / TREINAMENTO</t>
  </si>
  <si>
    <t>V01</t>
  </si>
  <si>
    <t>VIAGEM</t>
  </si>
  <si>
    <t>P01</t>
  </si>
  <si>
    <t>PESSOAL – DÍZIMO</t>
  </si>
  <si>
    <t>---</t>
  </si>
  <si>
    <t>HISTÓRICO DE MOVIMENTAÇÕES (ENTRADAS)</t>
  </si>
  <si>
    <t>ENTRADA</t>
  </si>
  <si>
    <t>HISTÓRICO DE MOVIMENTAÇÕES (SAÍDAS)</t>
  </si>
  <si>
    <t>SAÍDA</t>
  </si>
  <si>
    <t>HISTÓRICO DE MOVIMENTAÇÕES (VARIAÇÕES)</t>
  </si>
  <si>
    <t>SALDO MENSAL DAS CONTAS</t>
  </si>
  <si>
    <t>&lt;&lt;</t>
  </si>
  <si>
    <t>MOVIMENTAÇÕES DO MÊS</t>
  </si>
  <si>
    <t>CONTA</t>
  </si>
  <si>
    <t>DATA</t>
  </si>
  <si>
    <t>TRANFERÊNCIAS</t>
  </si>
  <si>
    <t>VALOR</t>
  </si>
  <si>
    <t>CODIGO</t>
  </si>
  <si>
    <t>ANTERIOR</t>
  </si>
  <si>
    <t>ATUAL</t>
  </si>
  <si>
    <t>PREVISTO</t>
  </si>
  <si>
    <t>TIPO</t>
  </si>
  <si>
    <t>VARIAÇÃO MENSAL POR CONTA</t>
  </si>
  <si>
    <t>TRANSFERÊNCIAS</t>
  </si>
  <si>
    <t>VARIAÇÃO</t>
  </si>
  <si>
    <t>MOVIMENTAÇÕES DO MÊS POR GRUPO DE CONTAS</t>
  </si>
  <si>
    <t>LISTA DE CONTAS</t>
  </si>
  <si>
    <t>INV1</t>
  </si>
  <si>
    <t>DINH1</t>
  </si>
  <si>
    <t>CONTA CORRENTE BANCO 1</t>
  </si>
  <si>
    <t>POUPANÇA BANCO 1</t>
  </si>
  <si>
    <t>CARTÃO DE CRÉDITO 1</t>
  </si>
  <si>
    <t>CRED1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</si>
</sst>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ORÇAMENTO FAMILIAR - &quot;0000"/>
    <numFmt numFmtId="165" formatCode="#,###.00"/>
    <numFmt numFmtId="166" formatCode="yyyy&quot; - &quot;mmmm"/>
    <numFmt numFmtId="167" formatCode="dd/mm/yy"/>
  </numFmts>
  <fonts count="31" x14ac:knownFonts="1">
    <font>
      <sz val="10"/>
      <name val="Arial"/>
      <family val="2"/>
    </font>
    <font>
      <i/>
      <sz val="10"/>
      <color indexed="46"/>
      <name val="Arial"/>
      <family val="2"/>
    </font>
    <font>
      <b/>
      <sz val="12"/>
      <color indexed="60"/>
      <name val="Trebuchet MS"/>
      <family val="2"/>
    </font>
    <font>
      <b/>
      <u/>
      <sz val="10"/>
      <color indexed="12"/>
      <name val="Arial"/>
      <family val="2"/>
    </font>
    <font>
      <b/>
      <sz val="14"/>
      <name val="Trebuchet MS"/>
      <family val="2"/>
    </font>
    <font>
      <b/>
      <sz val="9"/>
      <color indexed="60"/>
      <name val="Trebuchet MS"/>
      <family val="2"/>
    </font>
    <font>
      <b/>
      <sz val="9"/>
      <name val="Trebuchet MS"/>
      <family val="2"/>
    </font>
    <font>
      <sz val="9"/>
      <name val="Arial"/>
      <family val="2"/>
    </font>
    <font>
      <b/>
      <sz val="18"/>
      <name val="Trebuchet MS"/>
      <family val="2"/>
    </font>
    <font>
      <sz val="10"/>
      <color indexed="42"/>
      <name val="Arial"/>
      <family val="2"/>
    </font>
    <font>
      <sz val="14"/>
      <name val="Trebuchet MS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sz val="14"/>
      <color indexed="9"/>
      <name val="Trebuchet MS"/>
      <family val="2"/>
    </font>
    <font>
      <sz val="10"/>
      <color indexed="55"/>
      <name val="Arial"/>
      <family val="2"/>
    </font>
    <font>
      <b/>
      <sz val="10"/>
      <color indexed="9"/>
      <name val="Arial"/>
      <family val="2"/>
    </font>
    <font>
      <sz val="10"/>
      <color indexed="54"/>
      <name val="Arial"/>
      <family val="2"/>
    </font>
    <font>
      <i/>
      <sz val="10"/>
      <color indexed="57"/>
      <name val="Arial"/>
      <family val="2"/>
    </font>
    <font>
      <i/>
      <sz val="10"/>
      <color indexed="25"/>
      <name val="Arial"/>
      <family val="2"/>
    </font>
    <font>
      <i/>
      <sz val="10"/>
      <color indexed="8"/>
      <name val="Arial"/>
      <family val="2"/>
    </font>
    <font>
      <b/>
      <sz val="8"/>
      <color indexed="61"/>
      <name val="Trebuchet MS"/>
      <family val="2"/>
    </font>
    <font>
      <i/>
      <sz val="10"/>
      <color indexed="61"/>
      <name val="Arial"/>
      <family val="2"/>
    </font>
    <font>
      <i/>
      <sz val="10"/>
      <color indexed="17"/>
      <name val="Arial"/>
      <family val="2"/>
    </font>
    <font>
      <sz val="10"/>
      <color indexed="61"/>
      <name val="Arial"/>
      <family val="2"/>
    </font>
    <font>
      <sz val="10"/>
      <color indexed="17"/>
      <name val="Arial"/>
      <family val="2"/>
    </font>
    <font>
      <sz val="10"/>
      <color indexed="21"/>
      <name val="Arial"/>
      <family val="2"/>
    </font>
    <font>
      <b/>
      <sz val="11"/>
      <name val="Arial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44"/>
        <bgColor indexed="49"/>
      </patternFill>
    </fill>
    <fill>
      <patternFill patternType="solid">
        <fgColor indexed="56"/>
        <bgColor indexed="63"/>
      </patternFill>
    </fill>
    <fill>
      <patternFill patternType="solid">
        <fgColor indexed="42"/>
        <bgColor indexed="41"/>
      </patternFill>
    </fill>
    <fill>
      <patternFill patternType="solid">
        <fgColor indexed="54"/>
        <bgColor indexed="23"/>
      </patternFill>
    </fill>
    <fill>
      <patternFill patternType="solid">
        <fgColor indexed="50"/>
        <bgColor indexed="51"/>
      </patternFill>
    </fill>
    <fill>
      <patternFill patternType="solid">
        <fgColor indexed="52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0"/>
        <bgColor indexed="37"/>
      </patternFill>
    </fill>
    <fill>
      <patternFill patternType="solid">
        <fgColor indexed="37"/>
        <bgColor indexed="60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49"/>
        <bgColor indexed="44"/>
      </patternFill>
    </fill>
    <fill>
      <patternFill patternType="solid">
        <fgColor indexed="53"/>
        <bgColor indexed="29"/>
      </patternFill>
    </fill>
    <fill>
      <patternFill patternType="solid">
        <fgColor indexed="51"/>
        <bgColor indexed="13"/>
      </patternFill>
    </fill>
    <fill>
      <patternFill patternType="solid">
        <fgColor indexed="62"/>
        <bgColor indexed="28"/>
      </patternFill>
    </fill>
    <fill>
      <patternFill patternType="solid">
        <fgColor indexed="30"/>
        <bgColor indexed="21"/>
      </patternFill>
    </fill>
    <fill>
      <patternFill patternType="solid">
        <fgColor indexed="31"/>
        <bgColor indexed="47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4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41"/>
      </patternFill>
    </fill>
    <fill>
      <patternFill patternType="solid">
        <fgColor rgb="FF0070C0"/>
        <bgColor indexed="63"/>
      </patternFill>
    </fill>
    <fill>
      <patternFill patternType="solid">
        <fgColor rgb="FFFF0000"/>
        <bgColor indexed="61"/>
      </patternFill>
    </fill>
    <fill>
      <patternFill patternType="solid">
        <fgColor rgb="FFFFC000"/>
        <bgColor indexed="13"/>
      </patternFill>
    </fill>
    <fill>
      <patternFill patternType="solid">
        <fgColor rgb="FF00B050"/>
        <bgColor indexed="23"/>
      </patternFill>
    </fill>
    <fill>
      <patternFill patternType="solid">
        <fgColor rgb="FF7030A0"/>
        <bgColor indexed="28"/>
      </patternFill>
    </fill>
    <fill>
      <patternFill patternType="solid">
        <fgColor rgb="FF00B0F0"/>
        <bgColor indexed="44"/>
      </patternFill>
    </fill>
    <fill>
      <patternFill patternType="solid">
        <fgColor theme="9" tint="-0.249977111117893"/>
        <bgColor indexed="63"/>
      </patternFill>
    </fill>
    <fill>
      <patternFill patternType="solid">
        <fgColor theme="5" tint="0.59999389629810485"/>
        <bgColor indexed="51"/>
      </patternFill>
    </fill>
    <fill>
      <patternFill patternType="solid">
        <fgColor rgb="FFFFFF00"/>
        <bgColor indexed="28"/>
      </patternFill>
    </fill>
    <fill>
      <patternFill patternType="solid">
        <fgColor theme="0" tint="-0.14999847407452621"/>
        <bgColor indexed="53"/>
      </patternFill>
    </fill>
    <fill>
      <patternFill patternType="solid">
        <fgColor theme="4" tint="0.39997558519241921"/>
        <bgColor indexed="60"/>
      </patternFill>
    </fill>
    <fill>
      <patternFill patternType="solid">
        <fgColor theme="5" tint="-0.249977111117893"/>
        <bgColor indexed="21"/>
      </patternFill>
    </fill>
    <fill>
      <patternFill patternType="solid">
        <fgColor rgb="FF0070C0"/>
        <bgColor indexed="21"/>
      </patternFill>
    </fill>
    <fill>
      <patternFill patternType="solid">
        <fgColor rgb="FF00B050"/>
        <bgColor indexed="51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indexed="19"/>
      </bottom>
      <diagonal/>
    </border>
    <border>
      <left/>
      <right/>
      <top style="hair">
        <color indexed="19"/>
      </top>
      <bottom style="thin">
        <color theme="0" tint="-0.499984740745262"/>
      </bottom>
      <diagonal/>
    </border>
    <border>
      <left/>
      <right style="hair">
        <color indexed="19"/>
      </right>
      <top style="thin">
        <color theme="0" tint="-0.499984740745262"/>
      </top>
      <bottom/>
      <diagonal/>
    </border>
  </borders>
  <cellStyleXfs count="2">
    <xf numFmtId="0" fontId="0" fillId="0" borderId="0"/>
    <xf numFmtId="0" fontId="1" fillId="0" borderId="0" applyNumberFormat="0" applyFill="0" applyBorder="0">
      <alignment vertical="center"/>
      <protection hidden="1"/>
    </xf>
  </cellStyleXfs>
  <cellXfs count="312">
    <xf numFmtId="0" fontId="0" fillId="0" borderId="0" xfId="0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0" fillId="2" borderId="0" xfId="0" applyFill="1" applyBorder="1" applyAlignment="1" applyProtection="1">
      <alignment horizontal="left" vertical="center"/>
      <protection hidden="1"/>
    </xf>
    <xf numFmtId="0" fontId="0" fillId="2" borderId="0" xfId="0" applyFill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0" fillId="3" borderId="0" xfId="0" applyFill="1" applyBorder="1" applyAlignment="1" applyProtection="1">
      <alignment horizontal="left" vertical="center"/>
      <protection hidden="1"/>
    </xf>
    <xf numFmtId="0" fontId="0" fillId="3" borderId="0" xfId="0" applyFill="1" applyBorder="1" applyAlignment="1" applyProtection="1">
      <alignment vertical="center"/>
      <protection hidden="1"/>
    </xf>
    <xf numFmtId="165" fontId="16" fillId="0" borderId="0" xfId="0" applyNumberFormat="1" applyFont="1" applyAlignment="1" applyProtection="1">
      <alignment vertical="center"/>
      <protection hidden="1"/>
    </xf>
    <xf numFmtId="0" fontId="18" fillId="4" borderId="0" xfId="0" applyFont="1" applyFill="1" applyAlignment="1" applyProtection="1">
      <alignment vertical="center"/>
      <protection hidden="1"/>
    </xf>
    <xf numFmtId="0" fontId="0" fillId="5" borderId="0" xfId="0" applyFont="1" applyFill="1" applyBorder="1" applyAlignment="1" applyProtection="1">
      <alignment vertical="center"/>
      <protection hidden="1"/>
    </xf>
    <xf numFmtId="0" fontId="0" fillId="6" borderId="0" xfId="0" applyFill="1" applyBorder="1" applyAlignment="1" applyProtection="1">
      <alignment horizontal="left" vertical="center"/>
      <protection hidden="1"/>
    </xf>
    <xf numFmtId="0" fontId="0" fillId="6" borderId="0" xfId="0" applyFill="1" applyBorder="1" applyAlignment="1" applyProtection="1">
      <alignment vertical="center"/>
      <protection hidden="1"/>
    </xf>
    <xf numFmtId="0" fontId="0" fillId="7" borderId="0" xfId="0" applyFill="1" applyBorder="1" applyAlignment="1" applyProtection="1">
      <alignment horizontal="left" vertical="center"/>
      <protection hidden="1"/>
    </xf>
    <xf numFmtId="0" fontId="0" fillId="7" borderId="0" xfId="0" applyFill="1" applyBorder="1" applyAlignment="1" applyProtection="1">
      <alignment vertical="center"/>
      <protection hidden="1"/>
    </xf>
    <xf numFmtId="0" fontId="0" fillId="8" borderId="0" xfId="0" applyFill="1" applyBorder="1" applyAlignment="1" applyProtection="1">
      <alignment horizontal="left" vertical="center"/>
      <protection hidden="1"/>
    </xf>
    <xf numFmtId="0" fontId="0" fillId="8" borderId="0" xfId="0" applyFill="1" applyBorder="1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right"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0" fillId="9" borderId="0" xfId="0" applyFill="1" applyAlignment="1" applyProtection="1">
      <alignment vertical="center"/>
      <protection hidden="1"/>
    </xf>
    <xf numFmtId="0" fontId="1" fillId="0" borderId="0" xfId="1" applyProtection="1">
      <alignment vertical="center"/>
      <protection hidden="1"/>
    </xf>
    <xf numFmtId="0" fontId="13" fillId="0" borderId="0" xfId="0" applyFont="1" applyFill="1" applyAlignment="1" applyProtection="1">
      <alignment horizontal="left" vertical="center"/>
      <protection hidden="1"/>
    </xf>
    <xf numFmtId="0" fontId="17" fillId="10" borderId="6" xfId="0" applyFont="1" applyFill="1" applyBorder="1" applyAlignment="1" applyProtection="1">
      <alignment vertical="center"/>
      <protection hidden="1"/>
    </xf>
    <xf numFmtId="0" fontId="17" fillId="10" borderId="7" xfId="0" applyFont="1" applyFill="1" applyBorder="1" applyAlignment="1" applyProtection="1">
      <alignment vertical="center"/>
      <protection hidden="1"/>
    </xf>
    <xf numFmtId="0" fontId="17" fillId="10" borderId="7" xfId="0" applyFont="1" applyFill="1" applyBorder="1" applyAlignment="1" applyProtection="1">
      <alignment horizontal="center" vertical="center"/>
      <protection hidden="1"/>
    </xf>
    <xf numFmtId="0" fontId="17" fillId="10" borderId="8" xfId="0" applyFont="1" applyFill="1" applyBorder="1" applyAlignment="1" applyProtection="1">
      <alignment vertical="center"/>
      <protection hidden="1"/>
    </xf>
    <xf numFmtId="0" fontId="17" fillId="10" borderId="9" xfId="0" applyFont="1" applyFill="1" applyBorder="1" applyAlignment="1" applyProtection="1">
      <alignment vertical="center"/>
      <protection hidden="1"/>
    </xf>
    <xf numFmtId="0" fontId="17" fillId="10" borderId="10" xfId="0" applyFont="1" applyFill="1" applyBorder="1" applyAlignment="1" applyProtection="1">
      <alignment vertical="center"/>
      <protection hidden="1"/>
    </xf>
    <xf numFmtId="0" fontId="17" fillId="10" borderId="10" xfId="0" applyFont="1" applyFill="1" applyBorder="1" applyAlignment="1" applyProtection="1">
      <alignment horizontal="center" vertical="center"/>
      <protection hidden="1"/>
    </xf>
    <xf numFmtId="0" fontId="17" fillId="10" borderId="11" xfId="0" applyFont="1" applyFill="1" applyBorder="1" applyAlignment="1" applyProtection="1">
      <alignment vertical="center"/>
      <protection hidden="1"/>
    </xf>
    <xf numFmtId="0" fontId="17" fillId="10" borderId="12" xfId="0" applyFont="1" applyFill="1" applyBorder="1" applyAlignment="1" applyProtection="1">
      <alignment vertical="center"/>
      <protection hidden="1"/>
    </xf>
    <xf numFmtId="0" fontId="17" fillId="10" borderId="13" xfId="0" applyFont="1" applyFill="1" applyBorder="1" applyAlignment="1" applyProtection="1">
      <alignment vertical="center"/>
      <protection hidden="1"/>
    </xf>
    <xf numFmtId="0" fontId="15" fillId="10" borderId="12" xfId="0" applyFont="1" applyFill="1" applyBorder="1" applyAlignment="1" applyProtection="1">
      <alignment vertical="center"/>
      <protection hidden="1"/>
    </xf>
    <xf numFmtId="0" fontId="15" fillId="10" borderId="13" xfId="0" applyFont="1" applyFill="1" applyBorder="1" applyAlignment="1" applyProtection="1">
      <alignment vertical="center"/>
      <protection hidden="1"/>
    </xf>
    <xf numFmtId="0" fontId="0" fillId="4" borderId="14" xfId="0" applyFill="1" applyBorder="1" applyAlignment="1" applyProtection="1">
      <alignment vertical="center"/>
      <protection hidden="1"/>
    </xf>
    <xf numFmtId="0" fontId="17" fillId="10" borderId="15" xfId="0" applyFont="1" applyFill="1" applyBorder="1" applyAlignment="1" applyProtection="1">
      <alignment vertical="center"/>
      <protection hidden="1"/>
    </xf>
    <xf numFmtId="0" fontId="0" fillId="4" borderId="9" xfId="0" applyFill="1" applyBorder="1" applyAlignment="1" applyProtection="1">
      <alignment vertical="center"/>
      <protection hidden="1"/>
    </xf>
    <xf numFmtId="0" fontId="23" fillId="0" borderId="16" xfId="0" applyFont="1" applyBorder="1" applyAlignment="1" applyProtection="1">
      <alignment horizontal="center" vertical="center"/>
      <protection hidden="1"/>
    </xf>
    <xf numFmtId="0" fontId="24" fillId="0" borderId="16" xfId="0" applyFont="1" applyBorder="1" applyAlignment="1" applyProtection="1">
      <alignment horizontal="center" vertical="center"/>
      <protection hidden="1"/>
    </xf>
    <xf numFmtId="167" fontId="0" fillId="21" borderId="7" xfId="0" applyNumberFormat="1" applyFill="1" applyBorder="1" applyAlignment="1" applyProtection="1">
      <alignment horizontal="center" vertical="center"/>
      <protection locked="0"/>
    </xf>
    <xf numFmtId="0" fontId="0" fillId="21" borderId="7" xfId="0" applyFill="1" applyBorder="1" applyAlignment="1" applyProtection="1">
      <alignment vertical="center"/>
      <protection locked="0"/>
    </xf>
    <xf numFmtId="0" fontId="25" fillId="21" borderId="7" xfId="0" applyFont="1" applyFill="1" applyBorder="1" applyAlignment="1" applyProtection="1">
      <alignment horizontal="center" vertical="center"/>
      <protection locked="0"/>
    </xf>
    <xf numFmtId="0" fontId="26" fillId="21" borderId="7" xfId="0" applyFont="1" applyFill="1" applyBorder="1" applyAlignment="1" applyProtection="1">
      <alignment horizontal="center" vertical="center"/>
      <protection locked="0"/>
    </xf>
    <xf numFmtId="165" fontId="0" fillId="21" borderId="7" xfId="0" applyNumberFormat="1" applyFill="1" applyBorder="1" applyAlignment="1" applyProtection="1">
      <alignment vertical="center"/>
      <protection locked="0"/>
    </xf>
    <xf numFmtId="0" fontId="27" fillId="21" borderId="7" xfId="0" applyFont="1" applyFill="1" applyBorder="1" applyAlignment="1" applyProtection="1">
      <alignment horizontal="center" vertical="center"/>
      <protection locked="0"/>
    </xf>
    <xf numFmtId="167" fontId="0" fillId="22" borderId="7" xfId="0" applyNumberFormat="1" applyFill="1" applyBorder="1" applyAlignment="1" applyProtection="1">
      <alignment horizontal="center" vertical="center"/>
      <protection locked="0"/>
    </xf>
    <xf numFmtId="0" fontId="0" fillId="22" borderId="7" xfId="0" applyFill="1" applyBorder="1" applyAlignment="1" applyProtection="1">
      <alignment vertical="center"/>
      <protection locked="0"/>
    </xf>
    <xf numFmtId="0" fontId="25" fillId="22" borderId="7" xfId="0" applyFont="1" applyFill="1" applyBorder="1" applyAlignment="1" applyProtection="1">
      <alignment horizontal="center" vertical="center"/>
      <protection locked="0"/>
    </xf>
    <xf numFmtId="0" fontId="26" fillId="22" borderId="7" xfId="0" applyFont="1" applyFill="1" applyBorder="1" applyAlignment="1" applyProtection="1">
      <alignment horizontal="center" vertical="center"/>
      <protection locked="0"/>
    </xf>
    <xf numFmtId="165" fontId="0" fillId="22" borderId="7" xfId="0" applyNumberFormat="1" applyFill="1" applyBorder="1" applyAlignment="1" applyProtection="1">
      <alignment vertical="center"/>
      <protection locked="0"/>
    </xf>
    <xf numFmtId="0" fontId="27" fillId="22" borderId="7" xfId="0" applyFont="1" applyFill="1" applyBorder="1" applyAlignment="1" applyProtection="1">
      <alignment horizontal="center" vertical="center"/>
      <protection locked="0"/>
    </xf>
    <xf numFmtId="0" fontId="0" fillId="21" borderId="11" xfId="0" applyFill="1" applyBorder="1" applyAlignment="1" applyProtection="1">
      <alignment vertical="center"/>
      <protection hidden="1"/>
    </xf>
    <xf numFmtId="0" fontId="0" fillId="21" borderId="13" xfId="0" applyFill="1" applyBorder="1" applyAlignment="1" applyProtection="1">
      <alignment vertical="center"/>
      <protection hidden="1"/>
    </xf>
    <xf numFmtId="0" fontId="0" fillId="21" borderId="15" xfId="0" applyFill="1" applyBorder="1" applyAlignment="1" applyProtection="1">
      <alignment vertical="center"/>
      <protection hidden="1"/>
    </xf>
    <xf numFmtId="0" fontId="0" fillId="21" borderId="9" xfId="0" applyFill="1" applyBorder="1" applyAlignment="1" applyProtection="1">
      <alignment vertical="center"/>
      <protection hidden="1"/>
    </xf>
    <xf numFmtId="0" fontId="0" fillId="21" borderId="12" xfId="0" applyFill="1" applyBorder="1" applyAlignment="1" applyProtection="1">
      <alignment vertical="center"/>
      <protection hidden="1"/>
    </xf>
    <xf numFmtId="0" fontId="0" fillId="21" borderId="14" xfId="0" applyFill="1" applyBorder="1" applyAlignment="1" applyProtection="1">
      <alignment vertical="center"/>
      <protection hidden="1"/>
    </xf>
    <xf numFmtId="165" fontId="17" fillId="10" borderId="7" xfId="0" applyNumberFormat="1" applyFont="1" applyFill="1" applyBorder="1" applyAlignment="1" applyProtection="1">
      <alignment vertical="center"/>
      <protection hidden="1"/>
    </xf>
    <xf numFmtId="0" fontId="11" fillId="2" borderId="9" xfId="0" applyFont="1" applyFill="1" applyBorder="1" applyAlignment="1" applyProtection="1">
      <alignment vertical="center"/>
      <protection hidden="1"/>
    </xf>
    <xf numFmtId="0" fontId="11" fillId="2" borderId="10" xfId="0" applyFont="1" applyFill="1" applyBorder="1" applyAlignment="1" applyProtection="1">
      <alignment horizontal="left" vertical="center"/>
      <protection hidden="1"/>
    </xf>
    <xf numFmtId="0" fontId="11" fillId="2" borderId="10" xfId="0" applyFont="1" applyFill="1" applyBorder="1" applyAlignment="1" applyProtection="1">
      <alignment vertical="center"/>
      <protection hidden="1"/>
    </xf>
    <xf numFmtId="0" fontId="11" fillId="2" borderId="11" xfId="0" applyFont="1" applyFill="1" applyBorder="1" applyAlignment="1" applyProtection="1">
      <alignment vertical="center"/>
      <protection hidden="1"/>
    </xf>
    <xf numFmtId="0" fontId="11" fillId="2" borderId="12" xfId="0" applyFont="1" applyFill="1" applyBorder="1" applyAlignment="1" applyProtection="1">
      <alignment vertical="center"/>
      <protection hidden="1"/>
    </xf>
    <xf numFmtId="0" fontId="11" fillId="2" borderId="13" xfId="0" applyFont="1" applyFill="1" applyBorder="1" applyAlignment="1" applyProtection="1">
      <alignment vertical="center"/>
      <protection hidden="1"/>
    </xf>
    <xf numFmtId="0" fontId="4" fillId="2" borderId="12" xfId="0" applyFont="1" applyFill="1" applyBorder="1" applyAlignment="1" applyProtection="1">
      <alignment vertical="center"/>
      <protection hidden="1"/>
    </xf>
    <xf numFmtId="0" fontId="4" fillId="2" borderId="13" xfId="0" applyFont="1" applyFill="1" applyBorder="1" applyAlignment="1" applyProtection="1">
      <alignment vertical="center"/>
      <protection hidden="1"/>
    </xf>
    <xf numFmtId="0" fontId="11" fillId="2" borderId="15" xfId="0" applyFont="1" applyFill="1" applyBorder="1" applyAlignment="1" applyProtection="1">
      <alignment vertical="center"/>
      <protection hidden="1"/>
    </xf>
    <xf numFmtId="0" fontId="11" fillId="6" borderId="9" xfId="0" applyFont="1" applyFill="1" applyBorder="1" applyAlignment="1" applyProtection="1">
      <alignment vertical="center"/>
      <protection hidden="1"/>
    </xf>
    <xf numFmtId="0" fontId="11" fillId="6" borderId="10" xfId="0" applyFont="1" applyFill="1" applyBorder="1" applyAlignment="1" applyProtection="1">
      <alignment horizontal="left" vertical="center"/>
      <protection hidden="1"/>
    </xf>
    <xf numFmtId="0" fontId="11" fillId="6" borderId="10" xfId="0" applyFont="1" applyFill="1" applyBorder="1" applyAlignment="1" applyProtection="1">
      <alignment vertical="center"/>
      <protection hidden="1"/>
    </xf>
    <xf numFmtId="0" fontId="11" fillId="6" borderId="11" xfId="0" applyFont="1" applyFill="1" applyBorder="1" applyAlignment="1" applyProtection="1">
      <alignment vertical="center"/>
      <protection hidden="1"/>
    </xf>
    <xf numFmtId="0" fontId="11" fillId="6" borderId="12" xfId="0" applyFont="1" applyFill="1" applyBorder="1" applyAlignment="1" applyProtection="1">
      <alignment vertical="center"/>
      <protection hidden="1"/>
    </xf>
    <xf numFmtId="0" fontId="11" fillId="6" borderId="13" xfId="0" applyFont="1" applyFill="1" applyBorder="1" applyAlignment="1" applyProtection="1">
      <alignment vertical="center"/>
      <protection hidden="1"/>
    </xf>
    <xf numFmtId="0" fontId="11" fillId="6" borderId="15" xfId="0" applyFont="1" applyFill="1" applyBorder="1" applyAlignment="1" applyProtection="1">
      <alignment vertical="center"/>
      <protection hidden="1"/>
    </xf>
    <xf numFmtId="0" fontId="17" fillId="5" borderId="9" xfId="0" applyFont="1" applyFill="1" applyBorder="1" applyAlignment="1" applyProtection="1">
      <alignment vertical="center"/>
      <protection hidden="1"/>
    </xf>
    <xf numFmtId="0" fontId="17" fillId="5" borderId="10" xfId="0" applyFont="1" applyFill="1" applyBorder="1" applyAlignment="1" applyProtection="1">
      <alignment horizontal="left" vertical="center"/>
      <protection hidden="1"/>
    </xf>
    <xf numFmtId="0" fontId="17" fillId="5" borderId="10" xfId="0" applyFont="1" applyFill="1" applyBorder="1" applyAlignment="1" applyProtection="1">
      <alignment vertical="center"/>
      <protection hidden="1"/>
    </xf>
    <xf numFmtId="0" fontId="17" fillId="5" borderId="11" xfId="0" applyFont="1" applyFill="1" applyBorder="1" applyAlignment="1" applyProtection="1">
      <alignment vertical="center"/>
      <protection hidden="1"/>
    </xf>
    <xf numFmtId="0" fontId="17" fillId="5" borderId="12" xfId="0" applyFont="1" applyFill="1" applyBorder="1" applyAlignment="1" applyProtection="1">
      <alignment vertical="center"/>
      <protection hidden="1"/>
    </xf>
    <xf numFmtId="0" fontId="17" fillId="5" borderId="13" xfId="0" applyFont="1" applyFill="1" applyBorder="1" applyAlignment="1" applyProtection="1">
      <alignment vertical="center"/>
      <protection hidden="1"/>
    </xf>
    <xf numFmtId="0" fontId="17" fillId="5" borderId="15" xfId="0" applyFont="1" applyFill="1" applyBorder="1" applyAlignment="1" applyProtection="1">
      <alignment vertical="center"/>
      <protection hidden="1"/>
    </xf>
    <xf numFmtId="0" fontId="11" fillId="7" borderId="9" xfId="0" applyFont="1" applyFill="1" applyBorder="1" applyAlignment="1" applyProtection="1">
      <alignment vertical="center"/>
      <protection hidden="1"/>
    </xf>
    <xf numFmtId="0" fontId="11" fillId="7" borderId="10" xfId="0" applyFont="1" applyFill="1" applyBorder="1" applyAlignment="1" applyProtection="1">
      <alignment horizontal="left" vertical="center"/>
      <protection hidden="1"/>
    </xf>
    <xf numFmtId="0" fontId="11" fillId="7" borderId="10" xfId="0" applyFont="1" applyFill="1" applyBorder="1" applyAlignment="1" applyProtection="1">
      <alignment vertical="center"/>
      <protection hidden="1"/>
    </xf>
    <xf numFmtId="0" fontId="11" fillId="7" borderId="11" xfId="0" applyFont="1" applyFill="1" applyBorder="1" applyAlignment="1" applyProtection="1">
      <alignment vertical="center"/>
      <protection hidden="1"/>
    </xf>
    <xf numFmtId="0" fontId="11" fillId="7" borderId="12" xfId="0" applyFont="1" applyFill="1" applyBorder="1" applyAlignment="1" applyProtection="1">
      <alignment vertical="center"/>
      <protection hidden="1"/>
    </xf>
    <xf numFmtId="0" fontId="11" fillId="7" borderId="13" xfId="0" applyFont="1" applyFill="1" applyBorder="1" applyAlignment="1" applyProtection="1">
      <alignment vertical="center"/>
      <protection hidden="1"/>
    </xf>
    <xf numFmtId="0" fontId="11" fillId="7" borderId="15" xfId="0" applyFont="1" applyFill="1" applyBorder="1" applyAlignment="1" applyProtection="1">
      <alignment vertical="center"/>
      <protection hidden="1"/>
    </xf>
    <xf numFmtId="0" fontId="12" fillId="12" borderId="16" xfId="0" applyFont="1" applyFill="1" applyBorder="1" applyAlignment="1" applyProtection="1">
      <alignment horizontal="center" vertical="center"/>
      <protection hidden="1"/>
    </xf>
    <xf numFmtId="0" fontId="24" fillId="12" borderId="16" xfId="0" applyFont="1" applyFill="1" applyBorder="1" applyAlignment="1" applyProtection="1">
      <alignment horizontal="center" vertical="center"/>
      <protection hidden="1"/>
    </xf>
    <xf numFmtId="0" fontId="20" fillId="12" borderId="16" xfId="0" applyFont="1" applyFill="1" applyBorder="1" applyAlignment="1" applyProtection="1">
      <alignment horizontal="center" vertical="center"/>
      <protection hidden="1"/>
    </xf>
    <xf numFmtId="0" fontId="27" fillId="21" borderId="7" xfId="0" applyFont="1" applyFill="1" applyBorder="1" applyAlignment="1" applyProtection="1">
      <alignment horizontal="left" vertical="center"/>
      <protection hidden="1"/>
    </xf>
    <xf numFmtId="165" fontId="0" fillId="21" borderId="7" xfId="0" applyNumberFormat="1" applyFill="1" applyBorder="1" applyAlignment="1" applyProtection="1">
      <alignment vertical="center"/>
      <protection hidden="1"/>
    </xf>
    <xf numFmtId="0" fontId="27" fillId="23" borderId="7" xfId="0" applyFont="1" applyFill="1" applyBorder="1" applyAlignment="1" applyProtection="1">
      <alignment horizontal="left" vertical="center"/>
      <protection hidden="1"/>
    </xf>
    <xf numFmtId="165" fontId="0" fillId="23" borderId="7" xfId="0" applyNumberFormat="1" applyFill="1" applyBorder="1" applyAlignment="1" applyProtection="1">
      <alignment vertical="center"/>
      <protection hidden="1"/>
    </xf>
    <xf numFmtId="0" fontId="17" fillId="5" borderId="6" xfId="0" applyFont="1" applyFill="1" applyBorder="1" applyAlignment="1" applyProtection="1">
      <alignment vertical="center"/>
      <protection hidden="1"/>
    </xf>
    <xf numFmtId="0" fontId="17" fillId="5" borderId="7" xfId="0" applyFont="1" applyFill="1" applyBorder="1" applyAlignment="1" applyProtection="1">
      <alignment horizontal="left" vertical="center"/>
      <protection hidden="1"/>
    </xf>
    <xf numFmtId="0" fontId="17" fillId="5" borderId="7" xfId="0" applyFont="1" applyFill="1" applyBorder="1" applyAlignment="1" applyProtection="1">
      <alignment vertical="center"/>
      <protection hidden="1"/>
    </xf>
    <xf numFmtId="0" fontId="17" fillId="5" borderId="8" xfId="0" applyFont="1" applyFill="1" applyBorder="1" applyAlignment="1" applyProtection="1">
      <alignment vertical="center"/>
      <protection hidden="1"/>
    </xf>
    <xf numFmtId="0" fontId="11" fillId="7" borderId="6" xfId="0" applyFont="1" applyFill="1" applyBorder="1" applyAlignment="1" applyProtection="1">
      <alignment vertical="center"/>
      <protection hidden="1"/>
    </xf>
    <xf numFmtId="0" fontId="11" fillId="7" borderId="7" xfId="0" applyFont="1" applyFill="1" applyBorder="1" applyAlignment="1" applyProtection="1">
      <alignment horizontal="left" vertical="center"/>
      <protection hidden="1"/>
    </xf>
    <xf numFmtId="0" fontId="11" fillId="7" borderId="7" xfId="0" applyFont="1" applyFill="1" applyBorder="1" applyAlignment="1" applyProtection="1">
      <alignment vertical="center"/>
      <protection hidden="1"/>
    </xf>
    <xf numFmtId="0" fontId="11" fillId="7" borderId="8" xfId="0" applyFont="1" applyFill="1" applyBorder="1" applyAlignment="1" applyProtection="1">
      <alignment vertical="center"/>
      <protection hidden="1"/>
    </xf>
    <xf numFmtId="0" fontId="0" fillId="11" borderId="7" xfId="0" applyFont="1" applyFill="1" applyBorder="1" applyAlignment="1" applyProtection="1">
      <alignment horizontal="left" vertical="center"/>
      <protection hidden="1"/>
    </xf>
    <xf numFmtId="165" fontId="0" fillId="11" borderId="7" xfId="0" applyNumberFormat="1" applyFont="1" applyFill="1" applyBorder="1" applyAlignment="1" applyProtection="1">
      <alignment vertical="center"/>
      <protection hidden="1"/>
    </xf>
    <xf numFmtId="0" fontId="0" fillId="21" borderId="7" xfId="0" applyFont="1" applyFill="1" applyBorder="1" applyAlignment="1" applyProtection="1">
      <alignment horizontal="left" vertical="center"/>
      <protection hidden="1"/>
    </xf>
    <xf numFmtId="0" fontId="0" fillId="21" borderId="7" xfId="0" applyFont="1" applyFill="1" applyBorder="1" applyAlignment="1" applyProtection="1">
      <alignment vertical="center"/>
      <protection hidden="1"/>
    </xf>
    <xf numFmtId="165" fontId="0" fillId="21" borderId="7" xfId="0" applyNumberFormat="1" applyFont="1" applyFill="1" applyBorder="1" applyAlignment="1" applyProtection="1">
      <alignment vertical="center"/>
      <protection hidden="1"/>
    </xf>
    <xf numFmtId="0" fontId="0" fillId="22" borderId="7" xfId="0" applyFont="1" applyFill="1" applyBorder="1" applyAlignment="1" applyProtection="1">
      <alignment horizontal="left" vertical="center"/>
      <protection hidden="1"/>
    </xf>
    <xf numFmtId="0" fontId="0" fillId="22" borderId="7" xfId="0" applyFont="1" applyFill="1" applyBorder="1" applyAlignment="1" applyProtection="1">
      <alignment vertical="center"/>
      <protection hidden="1"/>
    </xf>
    <xf numFmtId="165" fontId="0" fillId="22" borderId="7" xfId="0" applyNumberFormat="1" applyFont="1" applyFill="1" applyBorder="1" applyAlignment="1" applyProtection="1">
      <alignment vertical="center"/>
      <protection hidden="1"/>
    </xf>
    <xf numFmtId="0" fontId="0" fillId="22" borderId="10" xfId="0" applyFont="1" applyFill="1" applyBorder="1" applyAlignment="1" applyProtection="1">
      <alignment horizontal="left" vertical="center"/>
      <protection hidden="1"/>
    </xf>
    <xf numFmtId="0" fontId="0" fillId="22" borderId="10" xfId="0" applyFont="1" applyFill="1" applyBorder="1" applyAlignment="1" applyProtection="1">
      <alignment vertical="center"/>
      <protection hidden="1"/>
    </xf>
    <xf numFmtId="165" fontId="0" fillId="22" borderId="10" xfId="0" applyNumberFormat="1" applyFont="1" applyFill="1" applyBorder="1" applyAlignment="1" applyProtection="1">
      <alignment vertical="center"/>
      <protection hidden="1"/>
    </xf>
    <xf numFmtId="0" fontId="11" fillId="6" borderId="6" xfId="0" applyFont="1" applyFill="1" applyBorder="1" applyAlignment="1" applyProtection="1">
      <alignment vertical="center"/>
      <protection hidden="1"/>
    </xf>
    <xf numFmtId="0" fontId="11" fillId="6" borderId="7" xfId="0" applyFont="1" applyFill="1" applyBorder="1" applyAlignment="1" applyProtection="1">
      <alignment horizontal="left" vertical="center"/>
      <protection hidden="1"/>
    </xf>
    <xf numFmtId="0" fontId="11" fillId="6" borderId="7" xfId="0" applyFont="1" applyFill="1" applyBorder="1" applyAlignment="1" applyProtection="1">
      <alignment vertical="center"/>
      <protection hidden="1"/>
    </xf>
    <xf numFmtId="0" fontId="11" fillId="6" borderId="8" xfId="0" applyFont="1" applyFill="1" applyBorder="1" applyAlignment="1" applyProtection="1">
      <alignment vertical="center"/>
      <protection hidden="1"/>
    </xf>
    <xf numFmtId="0" fontId="11" fillId="2" borderId="6" xfId="0" applyFont="1" applyFill="1" applyBorder="1" applyAlignment="1" applyProtection="1">
      <alignment vertical="center"/>
      <protection hidden="1"/>
    </xf>
    <xf numFmtId="0" fontId="11" fillId="2" borderId="7" xfId="0" applyFont="1" applyFill="1" applyBorder="1" applyAlignment="1" applyProtection="1">
      <alignment horizontal="left" vertical="center"/>
      <protection hidden="1"/>
    </xf>
    <xf numFmtId="0" fontId="11" fillId="2" borderId="7" xfId="0" applyFont="1" applyFill="1" applyBorder="1" applyAlignment="1" applyProtection="1">
      <alignment vertical="center"/>
      <protection hidden="1"/>
    </xf>
    <xf numFmtId="0" fontId="11" fillId="2" borderId="8" xfId="0" applyFont="1" applyFill="1" applyBorder="1" applyAlignment="1" applyProtection="1">
      <alignment vertical="center"/>
      <protection hidden="1"/>
    </xf>
    <xf numFmtId="165" fontId="0" fillId="24" borderId="7" xfId="0" applyNumberFormat="1" applyFont="1" applyFill="1" applyBorder="1" applyAlignment="1" applyProtection="1">
      <alignment vertical="center"/>
      <protection locked="0"/>
    </xf>
    <xf numFmtId="165" fontId="0" fillId="25" borderId="7" xfId="0" applyNumberFormat="1" applyFont="1" applyFill="1" applyBorder="1" applyAlignment="1" applyProtection="1">
      <alignment vertical="center"/>
      <protection locked="0"/>
    </xf>
    <xf numFmtId="0" fontId="0" fillId="2" borderId="9" xfId="0" applyFill="1" applyBorder="1" applyAlignment="1" applyProtection="1">
      <alignment vertical="center"/>
      <protection hidden="1"/>
    </xf>
    <xf numFmtId="0" fontId="0" fillId="2" borderId="10" xfId="0" applyFill="1" applyBorder="1" applyAlignment="1" applyProtection="1">
      <alignment horizontal="left" vertical="center"/>
      <protection hidden="1"/>
    </xf>
    <xf numFmtId="0" fontId="0" fillId="2" borderId="10" xfId="0" applyFill="1" applyBorder="1" applyAlignment="1" applyProtection="1">
      <alignment vertical="center"/>
      <protection hidden="1"/>
    </xf>
    <xf numFmtId="0" fontId="0" fillId="2" borderId="11" xfId="0" applyFill="1" applyBorder="1" applyAlignment="1" applyProtection="1">
      <alignment vertical="center"/>
      <protection hidden="1"/>
    </xf>
    <xf numFmtId="0" fontId="0" fillId="2" borderId="12" xfId="0" applyFill="1" applyBorder="1" applyAlignment="1" applyProtection="1">
      <alignment vertical="center"/>
      <protection hidden="1"/>
    </xf>
    <xf numFmtId="0" fontId="0" fillId="2" borderId="13" xfId="0" applyFill="1" applyBorder="1" applyAlignment="1" applyProtection="1">
      <alignment vertical="center"/>
      <protection hidden="1"/>
    </xf>
    <xf numFmtId="0" fontId="10" fillId="2" borderId="12" xfId="0" applyFont="1" applyFill="1" applyBorder="1" applyAlignment="1" applyProtection="1">
      <alignment vertical="center"/>
      <protection hidden="1"/>
    </xf>
    <xf numFmtId="0" fontId="0" fillId="2" borderId="14" xfId="0" applyFill="1" applyBorder="1" applyAlignment="1" applyProtection="1">
      <alignment vertical="center"/>
      <protection hidden="1"/>
    </xf>
    <xf numFmtId="0" fontId="0" fillId="2" borderId="17" xfId="0" applyFill="1" applyBorder="1" applyAlignment="1" applyProtection="1">
      <alignment horizontal="left" vertical="center"/>
      <protection hidden="1"/>
    </xf>
    <xf numFmtId="0" fontId="0" fillId="2" borderId="17" xfId="0" applyFill="1" applyBorder="1" applyAlignment="1" applyProtection="1">
      <alignment vertical="center"/>
      <protection hidden="1"/>
    </xf>
    <xf numFmtId="0" fontId="0" fillId="2" borderId="15" xfId="0" applyFill="1" applyBorder="1" applyAlignment="1" applyProtection="1">
      <alignment vertical="center"/>
      <protection hidden="1"/>
    </xf>
    <xf numFmtId="0" fontId="13" fillId="21" borderId="12" xfId="0" applyFont="1" applyFill="1" applyBorder="1" applyAlignment="1" applyProtection="1">
      <alignment vertical="center"/>
      <protection hidden="1"/>
    </xf>
    <xf numFmtId="0" fontId="0" fillId="21" borderId="13" xfId="0" applyFont="1" applyFill="1" applyBorder="1" applyAlignment="1" applyProtection="1">
      <alignment vertical="center"/>
      <protection hidden="1"/>
    </xf>
    <xf numFmtId="0" fontId="13" fillId="21" borderId="14" xfId="0" applyFont="1" applyFill="1" applyBorder="1" applyAlignment="1" applyProtection="1">
      <alignment vertical="center"/>
      <protection hidden="1"/>
    </xf>
    <xf numFmtId="0" fontId="0" fillId="21" borderId="15" xfId="0" applyFont="1" applyFill="1" applyBorder="1" applyAlignment="1" applyProtection="1">
      <alignment vertical="center"/>
      <protection hidden="1"/>
    </xf>
    <xf numFmtId="165" fontId="0" fillId="21" borderId="17" xfId="0" applyNumberFormat="1" applyFont="1" applyFill="1" applyBorder="1" applyAlignment="1" applyProtection="1">
      <alignment vertical="center"/>
      <protection hidden="1"/>
    </xf>
    <xf numFmtId="0" fontId="13" fillId="21" borderId="9" xfId="0" applyFont="1" applyFill="1" applyBorder="1" applyAlignment="1" applyProtection="1">
      <alignment vertical="center"/>
      <protection hidden="1"/>
    </xf>
    <xf numFmtId="0" fontId="14" fillId="13" borderId="7" xfId="0" applyFont="1" applyFill="1" applyBorder="1" applyAlignment="1" applyProtection="1">
      <alignment horizontal="left" vertical="center"/>
      <protection locked="0"/>
    </xf>
    <xf numFmtId="0" fontId="14" fillId="13" borderId="7" xfId="0" applyFont="1" applyFill="1" applyBorder="1" applyAlignment="1" applyProtection="1">
      <alignment vertical="center"/>
      <protection locked="0"/>
    </xf>
    <xf numFmtId="0" fontId="14" fillId="14" borderId="7" xfId="0" applyFont="1" applyFill="1" applyBorder="1" applyAlignment="1" applyProtection="1">
      <alignment horizontal="left" vertical="center"/>
      <protection locked="0"/>
    </xf>
    <xf numFmtId="0" fontId="14" fillId="14" borderId="7" xfId="0" applyFont="1" applyFill="1" applyBorder="1" applyAlignment="1" applyProtection="1">
      <alignment vertical="center"/>
      <protection locked="0"/>
    </xf>
    <xf numFmtId="0" fontId="2" fillId="11" borderId="1" xfId="0" applyFont="1" applyFill="1" applyBorder="1" applyAlignment="1" applyProtection="1">
      <alignment horizontal="center" vertical="center"/>
      <protection hidden="1"/>
    </xf>
    <xf numFmtId="0" fontId="4" fillId="11" borderId="2" xfId="0" applyFont="1" applyFill="1" applyBorder="1" applyAlignment="1" applyProtection="1">
      <alignment vertical="center"/>
      <protection hidden="1"/>
    </xf>
    <xf numFmtId="0" fontId="13" fillId="3" borderId="9" xfId="0" applyFont="1" applyFill="1" applyBorder="1" applyAlignment="1" applyProtection="1">
      <alignment vertical="center"/>
      <protection hidden="1"/>
    </xf>
    <xf numFmtId="0" fontId="13" fillId="3" borderId="10" xfId="0" applyFont="1" applyFill="1" applyBorder="1" applyAlignment="1" applyProtection="1">
      <alignment horizontal="left" vertical="center"/>
      <protection hidden="1"/>
    </xf>
    <xf numFmtId="0" fontId="13" fillId="3" borderId="10" xfId="0" applyFont="1" applyFill="1" applyBorder="1" applyAlignment="1" applyProtection="1">
      <alignment vertical="center"/>
      <protection hidden="1"/>
    </xf>
    <xf numFmtId="0" fontId="13" fillId="3" borderId="11" xfId="0" applyFont="1" applyFill="1" applyBorder="1" applyAlignment="1" applyProtection="1">
      <alignment vertical="center"/>
      <protection hidden="1"/>
    </xf>
    <xf numFmtId="0" fontId="13" fillId="3" borderId="12" xfId="0" applyFont="1" applyFill="1" applyBorder="1" applyAlignment="1" applyProtection="1">
      <alignment vertical="center"/>
      <protection hidden="1"/>
    </xf>
    <xf numFmtId="0" fontId="13" fillId="3" borderId="13" xfId="0" applyFont="1" applyFill="1" applyBorder="1" applyAlignment="1" applyProtection="1">
      <alignment vertical="center"/>
      <protection hidden="1"/>
    </xf>
    <xf numFmtId="0" fontId="0" fillId="3" borderId="13" xfId="0" applyFont="1" applyFill="1" applyBorder="1" applyAlignment="1" applyProtection="1">
      <alignment vertical="center"/>
      <protection hidden="1"/>
    </xf>
    <xf numFmtId="0" fontId="0" fillId="3" borderId="12" xfId="0" applyFill="1" applyBorder="1" applyAlignment="1" applyProtection="1">
      <alignment vertical="center"/>
      <protection hidden="1"/>
    </xf>
    <xf numFmtId="0" fontId="0" fillId="3" borderId="13" xfId="0" applyFill="1" applyBorder="1" applyAlignment="1" applyProtection="1">
      <alignment vertical="center"/>
      <protection hidden="1"/>
    </xf>
    <xf numFmtId="0" fontId="14" fillId="13" borderId="10" xfId="0" applyFont="1" applyFill="1" applyBorder="1" applyAlignment="1" applyProtection="1">
      <alignment horizontal="left" vertical="center"/>
      <protection locked="0"/>
    </xf>
    <xf numFmtId="0" fontId="14" fillId="13" borderId="10" xfId="0" applyFont="1" applyFill="1" applyBorder="1" applyAlignment="1" applyProtection="1">
      <alignment vertical="center"/>
      <protection locked="0"/>
    </xf>
    <xf numFmtId="165" fontId="0" fillId="21" borderId="10" xfId="0" applyNumberFormat="1" applyFont="1" applyFill="1" applyBorder="1" applyAlignment="1" applyProtection="1">
      <alignment vertical="center"/>
      <protection hidden="1"/>
    </xf>
    <xf numFmtId="0" fontId="0" fillId="3" borderId="9" xfId="0" applyFill="1" applyBorder="1" applyAlignment="1" applyProtection="1">
      <alignment vertical="center"/>
      <protection hidden="1"/>
    </xf>
    <xf numFmtId="0" fontId="0" fillId="3" borderId="10" xfId="0" applyFill="1" applyBorder="1" applyAlignment="1" applyProtection="1">
      <alignment horizontal="left" vertical="center"/>
      <protection hidden="1"/>
    </xf>
    <xf numFmtId="0" fontId="0" fillId="3" borderId="10" xfId="0" applyFill="1" applyBorder="1" applyAlignment="1" applyProtection="1">
      <alignment vertical="center"/>
      <protection hidden="1"/>
    </xf>
    <xf numFmtId="0" fontId="0" fillId="3" borderId="11" xfId="0" applyFill="1" applyBorder="1" applyAlignment="1" applyProtection="1">
      <alignment vertical="center"/>
      <protection hidden="1"/>
    </xf>
    <xf numFmtId="0" fontId="0" fillId="5" borderId="9" xfId="0" applyFill="1" applyBorder="1" applyAlignment="1" applyProtection="1">
      <alignment vertical="center"/>
      <protection hidden="1"/>
    </xf>
    <xf numFmtId="0" fontId="0" fillId="5" borderId="10" xfId="0" applyFill="1" applyBorder="1" applyAlignment="1" applyProtection="1">
      <alignment vertical="center"/>
      <protection hidden="1"/>
    </xf>
    <xf numFmtId="0" fontId="0" fillId="5" borderId="11" xfId="0" applyFill="1" applyBorder="1" applyAlignment="1" applyProtection="1">
      <alignment vertical="center"/>
      <protection hidden="1"/>
    </xf>
    <xf numFmtId="0" fontId="0" fillId="5" borderId="12" xfId="0" applyFont="1" applyFill="1" applyBorder="1" applyAlignment="1" applyProtection="1">
      <alignment vertical="center"/>
      <protection hidden="1"/>
    </xf>
    <xf numFmtId="0" fontId="0" fillId="5" borderId="13" xfId="0" applyFont="1" applyFill="1" applyBorder="1" applyAlignment="1" applyProtection="1">
      <alignment vertical="center"/>
      <protection hidden="1"/>
    </xf>
    <xf numFmtId="0" fontId="12" fillId="15" borderId="16" xfId="0" applyFont="1" applyFill="1" applyBorder="1" applyAlignment="1" applyProtection="1">
      <alignment horizontal="center" vertical="center"/>
      <protection hidden="1"/>
    </xf>
    <xf numFmtId="0" fontId="12" fillId="16" borderId="16" xfId="0" applyFont="1" applyFill="1" applyBorder="1" applyAlignment="1" applyProtection="1">
      <alignment horizontal="center" vertical="center"/>
      <protection hidden="1"/>
    </xf>
    <xf numFmtId="0" fontId="12" fillId="8" borderId="16" xfId="0" applyFont="1" applyFill="1" applyBorder="1" applyAlignment="1" applyProtection="1">
      <alignment horizontal="center" vertical="center"/>
      <protection hidden="1"/>
    </xf>
    <xf numFmtId="0" fontId="12" fillId="17" borderId="16" xfId="0" applyFont="1" applyFill="1" applyBorder="1" applyAlignment="1" applyProtection="1">
      <alignment horizontal="center" vertical="center"/>
      <protection hidden="1"/>
    </xf>
    <xf numFmtId="0" fontId="14" fillId="13" borderId="17" xfId="0" applyFont="1" applyFill="1" applyBorder="1" applyAlignment="1" applyProtection="1">
      <alignment horizontal="left" vertical="center"/>
      <protection locked="0"/>
    </xf>
    <xf numFmtId="0" fontId="14" fillId="13" borderId="17" xfId="0" applyFont="1" applyFill="1" applyBorder="1" applyAlignment="1" applyProtection="1">
      <alignment vertical="center"/>
      <protection locked="0"/>
    </xf>
    <xf numFmtId="0" fontId="0" fillId="5" borderId="15" xfId="0" applyFont="1" applyFill="1" applyBorder="1" applyAlignment="1" applyProtection="1">
      <alignment vertical="center"/>
      <protection hidden="1"/>
    </xf>
    <xf numFmtId="0" fontId="0" fillId="3" borderId="18" xfId="0" applyFont="1" applyFill="1" applyBorder="1" applyAlignment="1" applyProtection="1">
      <alignment vertical="center"/>
      <protection hidden="1"/>
    </xf>
    <xf numFmtId="0" fontId="14" fillId="14" borderId="10" xfId="0" applyFont="1" applyFill="1" applyBorder="1" applyAlignment="1" applyProtection="1">
      <alignment horizontal="left" vertical="center"/>
      <protection locked="0"/>
    </xf>
    <xf numFmtId="0" fontId="14" fillId="14" borderId="10" xfId="0" applyFont="1" applyFill="1" applyBorder="1" applyAlignment="1" applyProtection="1">
      <alignment vertical="center"/>
      <protection locked="0"/>
    </xf>
    <xf numFmtId="165" fontId="0" fillId="11" borderId="10" xfId="0" applyNumberFormat="1" applyFont="1" applyFill="1" applyBorder="1" applyAlignment="1" applyProtection="1">
      <alignment vertical="center"/>
      <protection hidden="1"/>
    </xf>
    <xf numFmtId="0" fontId="0" fillId="5" borderId="9" xfId="0" applyFont="1" applyFill="1" applyBorder="1" applyAlignment="1" applyProtection="1">
      <alignment vertical="center"/>
      <protection hidden="1"/>
    </xf>
    <xf numFmtId="0" fontId="0" fillId="5" borderId="10" xfId="0" applyFont="1" applyFill="1" applyBorder="1" applyAlignment="1" applyProtection="1">
      <alignment vertical="center"/>
      <protection hidden="1"/>
    </xf>
    <xf numFmtId="0" fontId="0" fillId="5" borderId="11" xfId="0" applyFont="1" applyFill="1" applyBorder="1" applyAlignment="1" applyProtection="1">
      <alignment vertical="center"/>
      <protection hidden="1"/>
    </xf>
    <xf numFmtId="0" fontId="0" fillId="5" borderId="12" xfId="0" applyFill="1" applyBorder="1" applyAlignment="1" applyProtection="1">
      <alignment vertical="center"/>
      <protection hidden="1"/>
    </xf>
    <xf numFmtId="0" fontId="0" fillId="5" borderId="0" xfId="0" applyFill="1" applyBorder="1" applyAlignment="1" applyProtection="1">
      <alignment horizontal="left" vertical="center"/>
      <protection hidden="1"/>
    </xf>
    <xf numFmtId="0" fontId="0" fillId="5" borderId="0" xfId="0" applyFill="1" applyBorder="1" applyAlignment="1" applyProtection="1">
      <alignment vertical="center"/>
      <protection hidden="1"/>
    </xf>
    <xf numFmtId="0" fontId="0" fillId="5" borderId="13" xfId="0" applyFill="1" applyBorder="1" applyAlignment="1" applyProtection="1">
      <alignment vertical="center"/>
      <protection hidden="1"/>
    </xf>
    <xf numFmtId="0" fontId="0" fillId="5" borderId="12" xfId="0" applyFill="1" applyBorder="1" applyProtection="1">
      <protection hidden="1"/>
    </xf>
    <xf numFmtId="0" fontId="0" fillId="5" borderId="0" xfId="0" applyFill="1" applyBorder="1" applyProtection="1">
      <protection hidden="1"/>
    </xf>
    <xf numFmtId="0" fontId="0" fillId="5" borderId="13" xfId="0" applyFill="1" applyBorder="1" applyProtection="1">
      <protection hidden="1"/>
    </xf>
    <xf numFmtId="0" fontId="9" fillId="5" borderId="12" xfId="0" applyFont="1" applyFill="1" applyBorder="1" applyAlignment="1" applyProtection="1">
      <alignment horizontal="left" vertical="center"/>
      <protection hidden="1"/>
    </xf>
    <xf numFmtId="0" fontId="21" fillId="12" borderId="16" xfId="0" applyFont="1" applyFill="1" applyBorder="1" applyAlignment="1" applyProtection="1">
      <alignment horizontal="center" vertical="center"/>
      <protection hidden="1"/>
    </xf>
    <xf numFmtId="0" fontId="0" fillId="8" borderId="9" xfId="0" applyFill="1" applyBorder="1" applyAlignment="1" applyProtection="1">
      <alignment vertical="center"/>
      <protection hidden="1"/>
    </xf>
    <xf numFmtId="0" fontId="0" fillId="8" borderId="10" xfId="0" applyFill="1" applyBorder="1" applyAlignment="1" applyProtection="1">
      <alignment horizontal="left" vertical="center"/>
      <protection hidden="1"/>
    </xf>
    <xf numFmtId="0" fontId="0" fillId="8" borderId="11" xfId="0" applyFill="1" applyBorder="1" applyAlignment="1" applyProtection="1">
      <alignment vertical="center"/>
      <protection hidden="1"/>
    </xf>
    <xf numFmtId="0" fontId="0" fillId="8" borderId="12" xfId="0" applyFont="1" applyFill="1" applyBorder="1" applyAlignment="1" applyProtection="1">
      <alignment vertical="center"/>
      <protection hidden="1"/>
    </xf>
    <xf numFmtId="0" fontId="0" fillId="8" borderId="13" xfId="0" applyFont="1" applyFill="1" applyBorder="1" applyAlignment="1" applyProtection="1">
      <alignment vertical="center"/>
      <protection hidden="1"/>
    </xf>
    <xf numFmtId="40" fontId="0" fillId="21" borderId="7" xfId="0" applyNumberFormat="1" applyFont="1" applyFill="1" applyBorder="1" applyAlignment="1" applyProtection="1">
      <alignment vertical="center"/>
      <protection hidden="1"/>
    </xf>
    <xf numFmtId="40" fontId="0" fillId="11" borderId="7" xfId="0" applyNumberFormat="1" applyFont="1" applyFill="1" applyBorder="1" applyAlignment="1" applyProtection="1">
      <alignment vertical="center"/>
      <protection hidden="1"/>
    </xf>
    <xf numFmtId="0" fontId="0" fillId="8" borderId="18" xfId="0" applyFont="1" applyFill="1" applyBorder="1" applyAlignment="1" applyProtection="1">
      <alignment vertical="center"/>
      <protection hidden="1"/>
    </xf>
    <xf numFmtId="0" fontId="0" fillId="8" borderId="10" xfId="0" applyFill="1" applyBorder="1" applyAlignment="1" applyProtection="1">
      <alignment vertical="center"/>
      <protection hidden="1"/>
    </xf>
    <xf numFmtId="0" fontId="0" fillId="8" borderId="12" xfId="0" applyFill="1" applyBorder="1" applyAlignment="1" applyProtection="1">
      <alignment vertical="center"/>
      <protection hidden="1"/>
    </xf>
    <xf numFmtId="0" fontId="0" fillId="8" borderId="13" xfId="0" applyFill="1" applyBorder="1" applyAlignment="1" applyProtection="1">
      <alignment vertical="center"/>
      <protection hidden="1"/>
    </xf>
    <xf numFmtId="0" fontId="0" fillId="7" borderId="9" xfId="0" applyFill="1" applyBorder="1" applyAlignment="1" applyProtection="1">
      <alignment vertical="center"/>
      <protection hidden="1"/>
    </xf>
    <xf numFmtId="0" fontId="0" fillId="7" borderId="10" xfId="0" applyFill="1" applyBorder="1" applyAlignment="1" applyProtection="1">
      <alignment horizontal="left" vertical="center"/>
      <protection hidden="1"/>
    </xf>
    <xf numFmtId="0" fontId="0" fillId="7" borderId="11" xfId="0" applyFill="1" applyBorder="1" applyAlignment="1" applyProtection="1">
      <alignment vertical="center"/>
      <protection hidden="1"/>
    </xf>
    <xf numFmtId="0" fontId="0" fillId="7" borderId="12" xfId="0" applyFont="1" applyFill="1" applyBorder="1" applyAlignment="1" applyProtection="1">
      <alignment vertical="center"/>
      <protection hidden="1"/>
    </xf>
    <xf numFmtId="0" fontId="0" fillId="7" borderId="13" xfId="0" applyFont="1" applyFill="1" applyBorder="1" applyAlignment="1" applyProtection="1">
      <alignment vertical="center"/>
      <protection hidden="1"/>
    </xf>
    <xf numFmtId="0" fontId="0" fillId="7" borderId="12" xfId="0" applyFill="1" applyBorder="1" applyAlignment="1" applyProtection="1">
      <alignment vertical="center"/>
      <protection hidden="1"/>
    </xf>
    <xf numFmtId="0" fontId="0" fillId="7" borderId="13" xfId="0" applyFill="1" applyBorder="1" applyAlignment="1" applyProtection="1">
      <alignment vertical="center"/>
      <protection hidden="1"/>
    </xf>
    <xf numFmtId="0" fontId="0" fillId="7" borderId="14" xfId="0" applyFill="1" applyBorder="1" applyAlignment="1" applyProtection="1">
      <alignment vertical="center"/>
      <protection hidden="1"/>
    </xf>
    <xf numFmtId="0" fontId="0" fillId="7" borderId="17" xfId="0" applyFill="1" applyBorder="1" applyAlignment="1" applyProtection="1">
      <alignment horizontal="left" vertical="center"/>
      <protection hidden="1"/>
    </xf>
    <xf numFmtId="0" fontId="0" fillId="7" borderId="17" xfId="0" applyFill="1" applyBorder="1" applyAlignment="1" applyProtection="1">
      <alignment vertical="center"/>
      <protection hidden="1"/>
    </xf>
    <xf numFmtId="0" fontId="0" fillId="7" borderId="15" xfId="0" applyFill="1" applyBorder="1" applyAlignment="1" applyProtection="1">
      <alignment vertical="center"/>
      <protection hidden="1"/>
    </xf>
    <xf numFmtId="0" fontId="0" fillId="21" borderId="17" xfId="0" applyFont="1" applyFill="1" applyBorder="1" applyAlignment="1" applyProtection="1">
      <alignment horizontal="left" vertical="center"/>
      <protection hidden="1"/>
    </xf>
    <xf numFmtId="0" fontId="0" fillId="7" borderId="15" xfId="0" applyFont="1" applyFill="1" applyBorder="1" applyAlignment="1" applyProtection="1">
      <alignment vertical="center"/>
      <protection hidden="1"/>
    </xf>
    <xf numFmtId="0" fontId="0" fillId="6" borderId="9" xfId="0" applyFill="1" applyBorder="1" applyAlignment="1" applyProtection="1">
      <alignment vertical="center"/>
      <protection hidden="1"/>
    </xf>
    <xf numFmtId="0" fontId="0" fillId="6" borderId="10" xfId="0" applyFill="1" applyBorder="1" applyAlignment="1" applyProtection="1">
      <alignment horizontal="left" vertical="center"/>
      <protection hidden="1"/>
    </xf>
    <xf numFmtId="0" fontId="0" fillId="6" borderId="11" xfId="0" applyFill="1" applyBorder="1" applyAlignment="1" applyProtection="1">
      <alignment vertical="center"/>
      <protection hidden="1"/>
    </xf>
    <xf numFmtId="0" fontId="0" fillId="6" borderId="12" xfId="0" applyFont="1" applyFill="1" applyBorder="1" applyAlignment="1" applyProtection="1">
      <alignment vertical="center"/>
      <protection hidden="1"/>
    </xf>
    <xf numFmtId="0" fontId="0" fillId="6" borderId="13" xfId="0" applyFont="1" applyFill="1" applyBorder="1" applyAlignment="1" applyProtection="1">
      <alignment vertical="center"/>
      <protection hidden="1"/>
    </xf>
    <xf numFmtId="0" fontId="0" fillId="6" borderId="12" xfId="0" applyFill="1" applyBorder="1" applyAlignment="1" applyProtection="1">
      <alignment vertical="center"/>
      <protection hidden="1"/>
    </xf>
    <xf numFmtId="0" fontId="0" fillId="6" borderId="13" xfId="0" applyFill="1" applyBorder="1" applyAlignment="1" applyProtection="1">
      <alignment vertical="center"/>
      <protection hidden="1"/>
    </xf>
    <xf numFmtId="0" fontId="0" fillId="6" borderId="14" xfId="0" applyFill="1" applyBorder="1" applyAlignment="1" applyProtection="1">
      <alignment vertical="center"/>
      <protection hidden="1"/>
    </xf>
    <xf numFmtId="0" fontId="0" fillId="6" borderId="17" xfId="0" applyFill="1" applyBorder="1" applyAlignment="1" applyProtection="1">
      <alignment horizontal="left" vertical="center"/>
      <protection hidden="1"/>
    </xf>
    <xf numFmtId="0" fontId="0" fillId="6" borderId="17" xfId="0" applyFill="1" applyBorder="1" applyAlignment="1" applyProtection="1">
      <alignment vertical="center"/>
      <protection hidden="1"/>
    </xf>
    <xf numFmtId="0" fontId="0" fillId="6" borderId="15" xfId="0" applyFill="1" applyBorder="1" applyAlignment="1" applyProtection="1">
      <alignment vertical="center"/>
      <protection hidden="1"/>
    </xf>
    <xf numFmtId="0" fontId="19" fillId="12" borderId="6" xfId="0" applyFont="1" applyFill="1" applyBorder="1" applyAlignment="1" applyProtection="1">
      <alignment horizontal="center" vertical="center"/>
      <protection hidden="1"/>
    </xf>
    <xf numFmtId="0" fontId="19" fillId="12" borderId="7" xfId="0" applyFont="1" applyFill="1" applyBorder="1" applyAlignment="1" applyProtection="1">
      <alignment horizontal="center" vertical="center"/>
      <protection hidden="1"/>
    </xf>
    <xf numFmtId="0" fontId="19" fillId="12" borderId="8" xfId="0" applyFont="1" applyFill="1" applyBorder="1" applyAlignment="1" applyProtection="1">
      <alignment horizontal="center" vertical="center"/>
      <protection hidden="1"/>
    </xf>
    <xf numFmtId="0" fontId="0" fillId="6" borderId="18" xfId="0" applyFont="1" applyFill="1" applyBorder="1" applyAlignment="1" applyProtection="1">
      <alignment vertical="center"/>
      <protection hidden="1"/>
    </xf>
    <xf numFmtId="0" fontId="0" fillId="21" borderId="7" xfId="0" applyFont="1" applyFill="1" applyBorder="1" applyAlignment="1" applyProtection="1">
      <alignment vertical="center"/>
      <protection hidden="1"/>
    </xf>
    <xf numFmtId="0" fontId="14" fillId="13" borderId="7" xfId="0" quotePrefix="1" applyFont="1" applyFill="1" applyBorder="1" applyAlignment="1" applyProtection="1">
      <alignment horizontal="left" vertical="center"/>
      <protection locked="0"/>
    </xf>
    <xf numFmtId="0" fontId="14" fillId="14" borderId="7" xfId="0" quotePrefix="1" applyFont="1" applyFill="1" applyBorder="1" applyAlignment="1" applyProtection="1">
      <alignment horizontal="left" vertical="center"/>
      <protection locked="0"/>
    </xf>
    <xf numFmtId="0" fontId="11" fillId="2" borderId="0" xfId="0" applyFont="1" applyFill="1" applyBorder="1" applyAlignment="1" applyProtection="1">
      <alignment vertical="center"/>
      <protection hidden="1"/>
    </xf>
    <xf numFmtId="0" fontId="28" fillId="2" borderId="12" xfId="0" applyFont="1" applyFill="1" applyBorder="1" applyAlignment="1" applyProtection="1">
      <alignment vertical="center"/>
      <protection hidden="1"/>
    </xf>
    <xf numFmtId="0" fontId="28" fillId="2" borderId="0" xfId="0" applyFont="1" applyFill="1" applyBorder="1" applyAlignment="1" applyProtection="1">
      <alignment vertical="center"/>
      <protection hidden="1"/>
    </xf>
    <xf numFmtId="0" fontId="25" fillId="22" borderId="7" xfId="0" quotePrefix="1" applyFont="1" applyFill="1" applyBorder="1" applyAlignment="1" applyProtection="1">
      <alignment horizontal="center" vertical="center"/>
      <protection locked="0"/>
    </xf>
    <xf numFmtId="0" fontId="26" fillId="22" borderId="7" xfId="0" quotePrefix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hidden="1"/>
    </xf>
    <xf numFmtId="0" fontId="13" fillId="26" borderId="16" xfId="0" applyFont="1" applyFill="1" applyBorder="1" applyAlignment="1" applyProtection="1">
      <alignment horizontal="center" vertical="center"/>
      <protection hidden="1"/>
    </xf>
    <xf numFmtId="0" fontId="13" fillId="27" borderId="16" xfId="0" applyFont="1" applyFill="1" applyBorder="1" applyAlignment="1" applyProtection="1">
      <alignment horizontal="center" vertical="center"/>
      <protection hidden="1"/>
    </xf>
    <xf numFmtId="0" fontId="14" fillId="28" borderId="16" xfId="0" applyFont="1" applyFill="1" applyBorder="1" applyAlignment="1" applyProtection="1">
      <alignment horizontal="center" vertical="center"/>
      <protection hidden="1"/>
    </xf>
    <xf numFmtId="0" fontId="13" fillId="29" borderId="16" xfId="0" applyFont="1" applyFill="1" applyBorder="1" applyAlignment="1" applyProtection="1">
      <alignment horizontal="center" vertical="center"/>
      <protection hidden="1"/>
    </xf>
    <xf numFmtId="0" fontId="13" fillId="30" borderId="16" xfId="0" applyFont="1" applyFill="1" applyBorder="1" applyAlignment="1" applyProtection="1">
      <alignment horizontal="center" vertical="center"/>
      <protection hidden="1"/>
    </xf>
    <xf numFmtId="0" fontId="14" fillId="31" borderId="16" xfId="0" applyFont="1" applyFill="1" applyBorder="1" applyAlignment="1" applyProtection="1">
      <alignment horizontal="center" vertical="center"/>
      <protection hidden="1"/>
    </xf>
    <xf numFmtId="0" fontId="13" fillId="32" borderId="16" xfId="0" applyFont="1" applyFill="1" applyBorder="1" applyAlignment="1" applyProtection="1">
      <alignment horizontal="center" vertical="center"/>
      <protection hidden="1"/>
    </xf>
    <xf numFmtId="0" fontId="14" fillId="33" borderId="16" xfId="0" applyFont="1" applyFill="1" applyBorder="1" applyAlignment="1" applyProtection="1">
      <alignment horizontal="center" vertical="center"/>
      <protection hidden="1"/>
    </xf>
    <xf numFmtId="0" fontId="0" fillId="34" borderId="16" xfId="0" applyFont="1" applyFill="1" applyBorder="1" applyAlignment="1" applyProtection="1">
      <alignment horizontal="center" vertical="center"/>
      <protection hidden="1"/>
    </xf>
    <xf numFmtId="0" fontId="14" fillId="35" borderId="16" xfId="0" applyFont="1" applyFill="1" applyBorder="1" applyAlignment="1" applyProtection="1">
      <alignment horizontal="center" vertical="center"/>
      <protection hidden="1"/>
    </xf>
    <xf numFmtId="0" fontId="0" fillId="36" borderId="16" xfId="0" applyFont="1" applyFill="1" applyBorder="1" applyAlignment="1" applyProtection="1">
      <alignment horizontal="center" vertical="center"/>
      <protection hidden="1"/>
    </xf>
    <xf numFmtId="0" fontId="13" fillId="37" borderId="16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13" fillId="38" borderId="6" xfId="0" applyFont="1" applyFill="1" applyBorder="1" applyAlignment="1" applyProtection="1">
      <alignment horizontal="center" vertical="center"/>
      <protection hidden="1"/>
    </xf>
    <xf numFmtId="0" fontId="13" fillId="27" borderId="6" xfId="0" applyFont="1" applyFill="1" applyBorder="1" applyAlignment="1" applyProtection="1">
      <alignment horizontal="center" vertical="center"/>
      <protection hidden="1"/>
    </xf>
    <xf numFmtId="0" fontId="29" fillId="39" borderId="6" xfId="0" applyFont="1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8" fillId="4" borderId="0" xfId="0" applyFont="1" applyFill="1" applyAlignment="1" applyProtection="1">
      <alignment horizontal="center" vertical="center"/>
      <protection hidden="1"/>
    </xf>
    <xf numFmtId="0" fontId="30" fillId="3" borderId="12" xfId="0" applyFont="1" applyFill="1" applyBorder="1" applyAlignment="1" applyProtection="1">
      <alignment horizontal="center" vertical="center"/>
      <protection hidden="1"/>
    </xf>
    <xf numFmtId="0" fontId="30" fillId="3" borderId="0" xfId="0" applyFont="1" applyFill="1" applyBorder="1" applyAlignment="1" applyProtection="1">
      <alignment horizontal="center" vertical="center"/>
      <protection hidden="1"/>
    </xf>
    <xf numFmtId="0" fontId="28" fillId="2" borderId="12" xfId="0" applyFont="1" applyFill="1" applyBorder="1" applyAlignment="1" applyProtection="1">
      <alignment horizontal="center" vertical="center"/>
      <protection hidden="1"/>
    </xf>
    <xf numFmtId="0" fontId="28" fillId="2" borderId="0" xfId="0" applyFont="1" applyFill="1" applyBorder="1" applyAlignment="1" applyProtection="1">
      <alignment horizontal="center" vertical="center"/>
      <protection hidden="1"/>
    </xf>
    <xf numFmtId="0" fontId="11" fillId="4" borderId="10" xfId="0" applyFont="1" applyFill="1" applyBorder="1" applyAlignment="1" applyProtection="1">
      <alignment horizontal="left" vertical="center"/>
      <protection hidden="1"/>
    </xf>
    <xf numFmtId="0" fontId="11" fillId="4" borderId="17" xfId="0" applyFont="1" applyFill="1" applyBorder="1" applyAlignment="1" applyProtection="1">
      <alignment horizontal="left" vertical="center"/>
      <protection hidden="1"/>
    </xf>
    <xf numFmtId="0" fontId="11" fillId="4" borderId="10" xfId="0" applyFont="1" applyFill="1" applyBorder="1" applyAlignment="1" applyProtection="1">
      <alignment vertical="center"/>
      <protection hidden="1"/>
    </xf>
    <xf numFmtId="0" fontId="11" fillId="4" borderId="17" xfId="0" applyFont="1" applyFill="1" applyBorder="1" applyAlignment="1" applyProtection="1">
      <alignment vertical="center"/>
      <protection hidden="1"/>
    </xf>
    <xf numFmtId="0" fontId="11" fillId="4" borderId="10" xfId="0" applyFont="1" applyFill="1" applyBorder="1" applyAlignment="1" applyProtection="1">
      <alignment horizontal="center" vertical="center"/>
      <protection hidden="1"/>
    </xf>
    <xf numFmtId="0" fontId="11" fillId="4" borderId="11" xfId="0" applyFont="1" applyFill="1" applyBorder="1" applyAlignment="1" applyProtection="1">
      <alignment horizontal="center" vertical="center"/>
      <protection hidden="1"/>
    </xf>
    <xf numFmtId="0" fontId="4" fillId="8" borderId="0" xfId="0" applyFont="1" applyFill="1" applyBorder="1" applyAlignment="1" applyProtection="1">
      <alignment horizontal="left" vertical="center"/>
      <protection hidden="1"/>
    </xf>
    <xf numFmtId="0" fontId="11" fillId="4" borderId="19" xfId="0" applyFont="1" applyFill="1" applyBorder="1" applyAlignment="1" applyProtection="1">
      <alignment horizontal="left" vertical="center"/>
      <protection hidden="1"/>
    </xf>
    <xf numFmtId="0" fontId="11" fillId="4" borderId="20" xfId="0" applyFont="1" applyFill="1" applyBorder="1" applyAlignment="1" applyProtection="1">
      <alignment horizontal="left" vertical="center"/>
      <protection hidden="1"/>
    </xf>
    <xf numFmtId="0" fontId="11" fillId="4" borderId="19" xfId="0" applyFont="1" applyFill="1" applyBorder="1" applyAlignment="1" applyProtection="1">
      <alignment vertical="center"/>
      <protection hidden="1"/>
    </xf>
    <xf numFmtId="0" fontId="11" fillId="4" borderId="20" xfId="0" applyFont="1" applyFill="1" applyBorder="1" applyAlignment="1" applyProtection="1">
      <alignment vertical="center"/>
      <protection hidden="1"/>
    </xf>
    <xf numFmtId="0" fontId="11" fillId="4" borderId="21" xfId="0" applyFont="1" applyFill="1" applyBorder="1" applyAlignment="1" applyProtection="1">
      <alignment horizontal="center" vertical="center"/>
      <protection hidden="1"/>
    </xf>
    <xf numFmtId="164" fontId="8" fillId="11" borderId="3" xfId="0" applyNumberFormat="1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Border="1" applyAlignment="1" applyProtection="1">
      <alignment vertical="center"/>
      <protection hidden="1"/>
    </xf>
    <xf numFmtId="0" fontId="4" fillId="6" borderId="0" xfId="0" applyFont="1" applyFill="1" applyBorder="1" applyAlignment="1" applyProtection="1">
      <alignment horizontal="left" vertical="center"/>
      <protection hidden="1"/>
    </xf>
    <xf numFmtId="0" fontId="4" fillId="7" borderId="0" xfId="0" applyFont="1" applyFill="1" applyBorder="1" applyAlignment="1" applyProtection="1">
      <alignment horizontal="left" vertical="center"/>
      <protection hidden="1"/>
    </xf>
    <xf numFmtId="0" fontId="17" fillId="19" borderId="16" xfId="0" applyFont="1" applyFill="1" applyBorder="1" applyAlignment="1" applyProtection="1">
      <alignment horizontal="center" vertical="center"/>
      <protection hidden="1"/>
    </xf>
    <xf numFmtId="0" fontId="17" fillId="10" borderId="16" xfId="0" applyFont="1" applyFill="1" applyBorder="1" applyAlignment="1" applyProtection="1">
      <alignment horizontal="center" vertical="center"/>
      <protection hidden="1"/>
    </xf>
    <xf numFmtId="0" fontId="17" fillId="18" borderId="16" xfId="0" applyFont="1" applyFill="1" applyBorder="1" applyAlignment="1" applyProtection="1">
      <alignment horizontal="center" vertical="center"/>
      <protection hidden="1"/>
    </xf>
    <xf numFmtId="0" fontId="17" fillId="7" borderId="16" xfId="0" applyFont="1" applyFill="1" applyBorder="1" applyAlignment="1" applyProtection="1">
      <alignment horizontal="center" vertical="center"/>
      <protection hidden="1"/>
    </xf>
    <xf numFmtId="0" fontId="15" fillId="5" borderId="0" xfId="0" applyFont="1" applyFill="1" applyBorder="1" applyAlignment="1" applyProtection="1">
      <alignment vertical="center"/>
      <protection hidden="1"/>
    </xf>
    <xf numFmtId="0" fontId="5" fillId="20" borderId="4" xfId="0" applyFont="1" applyFill="1" applyBorder="1" applyAlignment="1" applyProtection="1">
      <alignment horizontal="center" vertical="center"/>
      <protection hidden="1"/>
    </xf>
    <xf numFmtId="0" fontId="15" fillId="3" borderId="0" xfId="0" applyFont="1" applyFill="1" applyBorder="1" applyAlignment="1" applyProtection="1">
      <alignment horizontal="left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3" fillId="12" borderId="0" xfId="0" applyFont="1" applyFill="1" applyBorder="1" applyAlignment="1" applyProtection="1">
      <alignment horizontal="center" vertical="center"/>
      <protection hidden="1"/>
    </xf>
    <xf numFmtId="0" fontId="4" fillId="11" borderId="0" xfId="0" applyFont="1" applyFill="1" applyAlignment="1" applyProtection="1">
      <alignment vertical="center"/>
      <protection hidden="1"/>
    </xf>
    <xf numFmtId="0" fontId="0" fillId="11" borderId="0" xfId="0" applyFill="1" applyProtection="1">
      <protection hidden="1"/>
    </xf>
    <xf numFmtId="0" fontId="4" fillId="0" borderId="5" xfId="0" applyFont="1" applyBorder="1" applyAlignment="1" applyProtection="1">
      <alignment horizontal="left" vertical="center"/>
      <protection hidden="1"/>
    </xf>
    <xf numFmtId="0" fontId="4" fillId="0" borderId="4" xfId="0" applyFont="1" applyBorder="1" applyAlignment="1" applyProtection="1">
      <alignment horizontal="left" vertical="center"/>
      <protection hidden="1"/>
    </xf>
    <xf numFmtId="0" fontId="4" fillId="14" borderId="5" xfId="0" applyFont="1" applyFill="1" applyBorder="1" applyAlignment="1" applyProtection="1">
      <alignment horizontal="center" vertical="center"/>
      <protection locked="0"/>
    </xf>
    <xf numFmtId="0" fontId="4" fillId="14" borderId="4" xfId="0" applyFont="1" applyFill="1" applyBorder="1" applyAlignment="1" applyProtection="1">
      <alignment horizontal="center" vertical="center"/>
      <protection locked="0"/>
    </xf>
    <xf numFmtId="0" fontId="0" fillId="23" borderId="7" xfId="0" applyFont="1" applyFill="1" applyBorder="1" applyAlignment="1" applyProtection="1">
      <alignment vertical="center"/>
      <protection hidden="1"/>
    </xf>
    <xf numFmtId="0" fontId="0" fillId="21" borderId="7" xfId="0" applyFont="1" applyFill="1" applyBorder="1" applyAlignment="1" applyProtection="1">
      <alignment vertical="center"/>
      <protection hidden="1"/>
    </xf>
    <xf numFmtId="0" fontId="15" fillId="5" borderId="0" xfId="0" applyFont="1" applyFill="1" applyBorder="1" applyAlignment="1" applyProtection="1">
      <alignment horizontal="left" vertical="center"/>
      <protection hidden="1"/>
    </xf>
    <xf numFmtId="0" fontId="11" fillId="4" borderId="15" xfId="0" applyFont="1" applyFill="1" applyBorder="1" applyAlignment="1" applyProtection="1">
      <alignment horizontal="center" vertical="center"/>
      <protection hidden="1"/>
    </xf>
    <xf numFmtId="0" fontId="11" fillId="4" borderId="17" xfId="0" applyFont="1" applyFill="1" applyBorder="1" applyAlignment="1" applyProtection="1">
      <alignment horizontal="center" vertical="center"/>
      <protection hidden="1"/>
    </xf>
    <xf numFmtId="166" fontId="4" fillId="0" borderId="0" xfId="0" applyNumberFormat="1" applyFont="1" applyAlignment="1" applyProtection="1">
      <alignment horizontal="left" vertical="center"/>
      <protection hidden="1"/>
    </xf>
    <xf numFmtId="0" fontId="4" fillId="2" borderId="0" xfId="0" applyFont="1" applyFill="1" applyBorder="1" applyAlignment="1" applyProtection="1">
      <alignment horizontal="left" vertical="center"/>
      <protection hidden="1"/>
    </xf>
    <xf numFmtId="0" fontId="15" fillId="10" borderId="0" xfId="0" applyFont="1" applyFill="1" applyBorder="1" applyAlignment="1" applyProtection="1">
      <alignment vertical="center"/>
      <protection hidden="1"/>
    </xf>
    <xf numFmtId="0" fontId="0" fillId="4" borderId="10" xfId="0" applyFill="1" applyBorder="1" applyAlignment="1" applyProtection="1">
      <alignment vertical="center"/>
      <protection hidden="1"/>
    </xf>
    <xf numFmtId="0" fontId="0" fillId="4" borderId="17" xfId="0" applyFill="1" applyBorder="1" applyAlignment="1" applyProtection="1">
      <alignment vertical="center"/>
      <protection hidden="1"/>
    </xf>
  </cellXfs>
  <cellStyles count="2">
    <cellStyle name="data-futura" xfId="1"/>
    <cellStyle name="Normal" xfId="0" builtinId="0"/>
  </cellStyles>
  <dxfs count="62"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  <dxf>
      <font>
        <b val="0"/>
        <i/>
        <condense val="0"/>
        <extend val="0"/>
        <color indexed="4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E0021"/>
      <rgbColor rgb="0000AE00"/>
      <rgbColor rgb="00000080"/>
      <rgbColor rgb="00888A85"/>
      <rgbColor rgb="00800080"/>
      <rgbColor rgb="00008080"/>
      <rgbColor rgb="00C0C0C0"/>
      <rgbColor rgb="00808080"/>
      <rgbColor rgb="009999CC"/>
      <rgbColor rgb="00EF2929"/>
      <rgbColor rgb="00FFFFCC"/>
      <rgbColor rgb="00F2F2F2"/>
      <rgbColor rgb="00660066"/>
      <rgbColor rgb="00FF420E"/>
      <rgbColor rgb="000084D1"/>
      <rgbColor rgb="00CCCCCC"/>
      <rgbColor rgb="00000080"/>
      <rgbColor rgb="00FF00FF"/>
      <rgbColor rgb="00FFFF00"/>
      <rgbColor rgb="0000FFFF"/>
      <rgbColor rgb="00800080"/>
      <rgbColor rgb="00C5000B"/>
      <rgbColor rgb="00008080"/>
      <rgbColor rgb="000000FF"/>
      <rgbColor rgb="0000CCFF"/>
      <rgbColor rgb="00EEEEEC"/>
      <rgbColor rgb="00E6E6E6"/>
      <rgbColor rgb="00FFFF99"/>
      <rgbColor rgb="0099CCFF"/>
      <rgbColor rgb="00BABDB6"/>
      <rgbColor rgb="00B3B3B3"/>
      <rgbColor rgb="00D3D7CF"/>
      <rgbColor rgb="003366FF"/>
      <rgbColor rgb="0083CAFF"/>
      <rgbColor rgb="00AECF00"/>
      <rgbColor rgb="00FFD320"/>
      <rgbColor rgb="00FF950E"/>
      <rgbColor rgb="00FF6633"/>
      <rgbColor rgb="00666666"/>
      <rgbColor rgb="00999999"/>
      <rgbColor rgb="00004586"/>
      <rgbColor rgb="00579D1C"/>
      <rgbColor rgb="00003300"/>
      <rgbColor rgb="00314004"/>
      <rgbColor rgb="00DC2300"/>
      <rgbColor rgb="00FF3333"/>
      <rgbColor rgb="004B1F6F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44479495268164E-2"/>
          <c:y val="0.14880425155004431"/>
          <c:w val="0.87634069400630921"/>
          <c:h val="0.610829577495278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ANUAL!$C$13</c:f>
              <c:strCache>
                <c:ptCount val="1"/>
              </c:strCache>
            </c:strRef>
          </c:tx>
          <c:spPr>
            <a:solidFill>
              <a:srgbClr val="0070C0"/>
            </a:solidFill>
          </c:spPr>
          <c:invertIfNegative val="0"/>
          <c:cat>
            <c:strRef>
              <c:f>ANUAL!$E$12:$P$12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ANUAL!$E$13:$P$13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6678160"/>
        <c:axId val="206678552"/>
      </c:barChart>
      <c:catAx>
        <c:axId val="20667816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06678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678552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06678160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44479495268164E-2"/>
          <c:y val="0.14880425155004431"/>
          <c:w val="0.87634069400630921"/>
          <c:h val="0.610829577495278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ANUAL!$C$14</c:f>
              <c:strCache>
                <c:ptCount val="1"/>
                <c:pt idx="0">
                  <c:v>INV1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ANUAL!$E$12:$P$12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ANUAL!$E$14:$P$14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0773000"/>
        <c:axId val="260775744"/>
      </c:barChart>
      <c:catAx>
        <c:axId val="2607730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07757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0775744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0773000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44479495268164E-2"/>
          <c:y val="0.14880425155004431"/>
          <c:w val="0.87634069400630921"/>
          <c:h val="0.60725905962680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ANUAL!$C$15</c:f>
              <c:strCache>
                <c:ptCount val="1"/>
                <c:pt idx="0">
                  <c:v>DINH1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ANUAL!$E$12:$P$12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ANUAL!$E$15:$P$15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0773392"/>
        <c:axId val="260776136"/>
      </c:barChart>
      <c:catAx>
        <c:axId val="2607733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0776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0776136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0773392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44479495268164E-2"/>
          <c:y val="0.14880425155004431"/>
          <c:w val="0.87634069400630921"/>
          <c:h val="0.582265434547487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ANUAL!$C$16</c:f>
              <c:strCache>
                <c:ptCount val="1"/>
                <c:pt idx="0">
                  <c:v>CRED1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Ref>
              <c:f>ANUAL!$E$12:$P$12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ANUAL!$E$16:$P$16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0779272"/>
        <c:axId val="260776528"/>
      </c:barChart>
      <c:catAx>
        <c:axId val="260779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0776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0776528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0779272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44479495268164E-2"/>
          <c:y val="0.14880425155004431"/>
          <c:w val="0.87634069400630921"/>
          <c:h val="0.585835952415961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ANUAL!$C$17</c:f>
              <c:strCache>
                <c:ptCount val="1"/>
                <c:pt idx="0">
                  <c:v>---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ANUAL!$E$12:$P$12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ANUAL!$E$17:$P$17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0774176"/>
        <c:axId val="260774960"/>
      </c:barChart>
      <c:catAx>
        <c:axId val="2607741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0774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0774960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0774176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44479495268164E-2"/>
          <c:y val="0.14880425155004431"/>
          <c:w val="0.87634069400630921"/>
          <c:h val="0.585835952415961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ANUAL!$C$18</c:f>
              <c:strCache>
                <c:ptCount val="1"/>
                <c:pt idx="0">
                  <c:v>---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cat>
            <c:strRef>
              <c:f>ANUAL!$E$12:$P$12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ANUAL!$E$18:$P$18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0775352"/>
        <c:axId val="260778880"/>
      </c:barChart>
      <c:catAx>
        <c:axId val="26077535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0778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0778880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0775352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44479495268164E-2"/>
          <c:y val="0.14880425155004431"/>
          <c:w val="0.87634069400630921"/>
          <c:h val="0.596547506021383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ANUAL!$C$19</c:f>
              <c:strCache>
                <c:ptCount val="1"/>
                <c:pt idx="0">
                  <c:v>---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ANUAL!$E$12:$P$12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ANUAL!$E$19:$P$19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1049784"/>
        <c:axId val="261054880"/>
      </c:barChart>
      <c:catAx>
        <c:axId val="2610497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054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054880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049784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44479495268164E-2"/>
          <c:y val="0.14880425155004431"/>
          <c:w val="0.87634069400630921"/>
          <c:h val="0.59297698815290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ANUAL!$C$20</c:f>
              <c:strCache>
                <c:ptCount val="1"/>
                <c:pt idx="0">
                  <c:v>---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cat>
            <c:strRef>
              <c:f>ANUAL!$E$12:$P$12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ANUAL!$E$20:$P$20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1052136"/>
        <c:axId val="261053312"/>
      </c:barChart>
      <c:catAx>
        <c:axId val="2610521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053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053312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052136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44479495268164E-2"/>
          <c:y val="0.14880425155004431"/>
          <c:w val="0.87634069400630921"/>
          <c:h val="0.59179871725631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ANUAL!$C$21</c:f>
              <c:strCache>
                <c:ptCount val="1"/>
                <c:pt idx="0">
                  <c:v>---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cat>
            <c:strRef>
              <c:f>ANUAL!$E$12:$P$12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ANUAL!$E$21:$P$21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1050176"/>
        <c:axId val="261054096"/>
      </c:barChart>
      <c:catAx>
        <c:axId val="2610501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054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054096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050176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44479495268164E-2"/>
          <c:y val="0.14880425155004431"/>
          <c:w val="0.87634069400630921"/>
          <c:h val="0.60965130659868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ANUAL!$C$22</c:f>
              <c:strCache>
                <c:ptCount val="1"/>
                <c:pt idx="0">
                  <c:v>---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invertIfNegative val="0"/>
          <c:cat>
            <c:strRef>
              <c:f>ANUAL!$E$12:$P$12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ANUAL!$E$22:$P$22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1050568"/>
        <c:axId val="261048216"/>
      </c:barChart>
      <c:catAx>
        <c:axId val="2610505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048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048216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050568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44479495268164E-2"/>
          <c:y val="0.14880425155004431"/>
          <c:w val="0.87634069400630921"/>
          <c:h val="0.606080788730208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ANUAL!$C$23</c:f>
              <c:strCache>
                <c:ptCount val="1"/>
                <c:pt idx="0">
                  <c:v>---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ANUAL!$E$12:$P$12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ANUAL!$E$23:$P$23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1049392"/>
        <c:axId val="261052528"/>
      </c:barChart>
      <c:catAx>
        <c:axId val="2610493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052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052528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049392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44479495268164E-2"/>
          <c:y val="0.14880425155004431"/>
          <c:w val="0.87634069400630921"/>
          <c:h val="0.606080788730208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ANUAL!$C$24</c:f>
              <c:strCache>
                <c:ptCount val="1"/>
                <c:pt idx="0">
                  <c:v>---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ANUAL!$E$12:$P$12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ANUAL!$E$24:$P$24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1053704"/>
        <c:axId val="261054488"/>
      </c:barChart>
      <c:catAx>
        <c:axId val="2610537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054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054488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053704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Acompanhamento Anual de Despesas
(valores trimestrais por tipo de despesa)</a:t>
            </a:r>
          </a:p>
        </c:rich>
      </c:tx>
      <c:layout>
        <c:manualLayout>
          <c:xMode val="edge"/>
          <c:yMode val="edge"/>
          <c:x val="0.38521026343278997"/>
          <c:y val="3.631639162513592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0875866414618789E-2"/>
          <c:y val="0.17320120637656186"/>
          <c:w val="0.93868877928669259"/>
          <c:h val="0.588108573890564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ANUAL!$E$140</c:f>
              <c:strCache>
                <c:ptCount val="1"/>
                <c:pt idx="0">
                  <c:v>Janeiro</c:v>
                </c:pt>
              </c:strCache>
            </c:strRef>
          </c:tx>
          <c:spPr>
            <a:solidFill>
              <a:srgbClr val="0066FF"/>
            </a:solidFill>
          </c:spPr>
          <c:invertIfNegative val="0"/>
          <c:cat>
            <c:strRef>
              <c:f>ANUAL!$D$141:$D$172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ANUAL!$E$141:$E$172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1"/>
          <c:order val="1"/>
          <c:tx>
            <c:strRef>
              <c:f>ANUAL!$F$140</c:f>
              <c:strCache>
                <c:ptCount val="1"/>
                <c:pt idx="0">
                  <c:v>Fevereiro</c:v>
                </c:pt>
              </c:strCache>
            </c:strRef>
          </c:tx>
          <c:spPr>
            <a:solidFill>
              <a:srgbClr val="0066FF"/>
            </a:solidFill>
          </c:spPr>
          <c:invertIfNegative val="0"/>
          <c:cat>
            <c:strRef>
              <c:f>ANUAL!$D$141:$D$172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ANUAL!$F$141:$F$172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ANUAL!$G$140</c:f>
              <c:strCache>
                <c:ptCount val="1"/>
                <c:pt idx="0">
                  <c:v>Março</c:v>
                </c:pt>
              </c:strCache>
            </c:strRef>
          </c:tx>
          <c:spPr>
            <a:solidFill>
              <a:srgbClr val="0066FF"/>
            </a:solidFill>
          </c:spPr>
          <c:invertIfNegative val="0"/>
          <c:cat>
            <c:strRef>
              <c:f>ANUAL!$D$141:$D$172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ANUAL!$G$141:$G$172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3"/>
          <c:order val="3"/>
          <c:tx>
            <c:strRef>
              <c:f>ANUAL!$H$140</c:f>
              <c:strCache>
                <c:ptCount val="1"/>
                <c:pt idx="0">
                  <c:v>Abril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ANUAL!$D$141:$D$172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ANUAL!$H$141:$H$172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ANUAL!$I$140</c:f>
              <c:strCache>
                <c:ptCount val="1"/>
                <c:pt idx="0">
                  <c:v>Maio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ANUAL!$D$141:$D$172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ANUAL!$I$141:$I$172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strRef>
              <c:f>ANUAL!$J$140</c:f>
              <c:strCache>
                <c:ptCount val="1"/>
                <c:pt idx="0">
                  <c:v>Junho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ANUAL!$D$141:$D$172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ANUAL!$J$141:$J$172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6"/>
          <c:order val="6"/>
          <c:tx>
            <c:strRef>
              <c:f>ANUAL!$K$140</c:f>
              <c:strCache>
                <c:ptCount val="1"/>
                <c:pt idx="0">
                  <c:v>Julho</c:v>
                </c:pt>
              </c:strCache>
            </c:strRef>
          </c:tx>
          <c:spPr>
            <a:solidFill>
              <a:srgbClr val="5F2987"/>
            </a:solidFill>
          </c:spPr>
          <c:invertIfNegative val="0"/>
          <c:cat>
            <c:strRef>
              <c:f>ANUAL!$D$141:$D$172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ANUAL!$K$141:$K$172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7"/>
          <c:order val="7"/>
          <c:tx>
            <c:strRef>
              <c:f>ANUAL!$L$140</c:f>
              <c:strCache>
                <c:ptCount val="1"/>
                <c:pt idx="0">
                  <c:v>Agosto</c:v>
                </c:pt>
              </c:strCache>
            </c:strRef>
          </c:tx>
          <c:spPr>
            <a:solidFill>
              <a:srgbClr val="5F2987"/>
            </a:solidFill>
          </c:spPr>
          <c:invertIfNegative val="0"/>
          <c:cat>
            <c:strRef>
              <c:f>ANUAL!$D$141:$D$172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ANUAL!$L$141:$L$172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8"/>
          <c:order val="8"/>
          <c:tx>
            <c:strRef>
              <c:f>ANUAL!$M$140</c:f>
              <c:strCache>
                <c:ptCount val="1"/>
                <c:pt idx="0">
                  <c:v>Setembro</c:v>
                </c:pt>
              </c:strCache>
            </c:strRef>
          </c:tx>
          <c:spPr>
            <a:solidFill>
              <a:srgbClr val="5F2987"/>
            </a:solidFill>
          </c:spPr>
          <c:invertIfNegative val="0"/>
          <c:cat>
            <c:strRef>
              <c:f>ANUAL!$D$141:$D$172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ANUAL!$M$141:$M$172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9"/>
          <c:order val="9"/>
          <c:tx>
            <c:strRef>
              <c:f>ANUAL!$N$140</c:f>
              <c:strCache>
                <c:ptCount val="1"/>
                <c:pt idx="0">
                  <c:v>Outubro</c:v>
                </c:pt>
              </c:strCache>
            </c:strRef>
          </c:tx>
          <c:spPr>
            <a:solidFill>
              <a:srgbClr val="FF6600"/>
            </a:solidFill>
          </c:spPr>
          <c:invertIfNegative val="0"/>
          <c:cat>
            <c:strRef>
              <c:f>ANUAL!$D$141:$D$172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ANUAL!$N$141:$N$172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10"/>
          <c:order val="10"/>
          <c:tx>
            <c:strRef>
              <c:f>ANUAL!$O$140</c:f>
              <c:strCache>
                <c:ptCount val="1"/>
                <c:pt idx="0">
                  <c:v>Novembro</c:v>
                </c:pt>
              </c:strCache>
            </c:strRef>
          </c:tx>
          <c:spPr>
            <a:solidFill>
              <a:srgbClr val="FF6600"/>
            </a:solidFill>
          </c:spPr>
          <c:invertIfNegative val="0"/>
          <c:cat>
            <c:strRef>
              <c:f>ANUAL!$D$141:$D$172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ANUAL!$O$141:$O$172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11"/>
          <c:order val="11"/>
          <c:tx>
            <c:strRef>
              <c:f>ANUAL!$P$140</c:f>
              <c:strCache>
                <c:ptCount val="1"/>
                <c:pt idx="0">
                  <c:v>Dezembro</c:v>
                </c:pt>
              </c:strCache>
            </c:strRef>
          </c:tx>
          <c:spPr>
            <a:solidFill>
              <a:srgbClr val="FF6600"/>
            </a:solidFill>
          </c:spPr>
          <c:invertIfNegative val="0"/>
          <c:cat>
            <c:strRef>
              <c:f>ANUAL!$D$141:$D$172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ANUAL!$P$141:$P$172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61702376"/>
        <c:axId val="261703944"/>
      </c:barChart>
      <c:catAx>
        <c:axId val="261702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703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703944"/>
        <c:scaling>
          <c:orientation val="minMax"/>
        </c:scaling>
        <c:delete val="0"/>
        <c:axPos val="l"/>
        <c:majorGridlines/>
        <c:minorGridlines>
          <c:spPr>
            <a:ln>
              <a:solidFill>
                <a:schemeClr val="bg1">
                  <a:lumMod val="85000"/>
                </a:schemeClr>
              </a:solidFill>
            </a:ln>
          </c:spPr>
        </c:minorGridlines>
        <c:numFmt formatCode="#,###.00" sourceLinked="1"/>
        <c:majorTickMark val="out"/>
        <c:minorTickMark val="out"/>
        <c:tickLblPos val="low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702376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Acompanhamento Mensal de Despesas
(somatório mensal por tipo de despesa)</a:t>
            </a:r>
          </a:p>
        </c:rich>
      </c:tx>
      <c:layout>
        <c:manualLayout>
          <c:xMode val="edge"/>
          <c:yMode val="edge"/>
          <c:x val="0.26337023241356305"/>
          <c:y val="3.67005111203204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0875866414618789E-2"/>
          <c:y val="0.16912074042911232"/>
          <c:w val="0.71567641769928858"/>
          <c:h val="0.728228859907446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ANUAL!$D$141</c:f>
              <c:strCache>
                <c:ptCount val="1"/>
                <c:pt idx="0">
                  <c:v>MORADIA – CONDOMÍNIO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ANUAL!$E$141:$P$141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ANUAL!$D$142</c:f>
              <c:strCache>
                <c:ptCount val="1"/>
                <c:pt idx="0">
                  <c:v>MORADIA – IPTU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ANUAL!$E$142:$P$142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ANUAL!$D$143</c:f>
              <c:strCache>
                <c:ptCount val="1"/>
                <c:pt idx="0">
                  <c:v>MORADIA – ALUGUEL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ANUAL!$E$143:$P$143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ANUAL!$D$144</c:f>
              <c:strCache>
                <c:ptCount val="1"/>
                <c:pt idx="0">
                  <c:v>MORADIA – REFORMA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ANUAL!$E$144:$P$144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ANUAL!$D$145</c:f>
              <c:strCache>
                <c:ptCount val="1"/>
                <c:pt idx="0">
                  <c:v>UTILITIES – ENERGIA ELÉTRICA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ANUAL!$E$145:$P$145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ANUAL!$D$146</c:f>
              <c:strCache>
                <c:ptCount val="1"/>
                <c:pt idx="0">
                  <c:v>UTILITIES – ÁGUA POTÁVEL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ANUAL!$E$146:$P$146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ANUAL!$D$147</c:f>
              <c:strCache>
                <c:ptCount val="1"/>
                <c:pt idx="0">
                  <c:v>UTILITIES – DIVERSOS (ÁGUA, GÁS, SERV. GERAIS)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ANUAL!$E$147:$P$147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7"/>
          <c:order val="7"/>
          <c:tx>
            <c:strRef>
              <c:f>ANUAL!$D$148</c:f>
              <c:strCache>
                <c:ptCount val="1"/>
                <c:pt idx="0">
                  <c:v>SAÚDE – PLANO DE SAÚDE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ANUAL!$E$148:$P$148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8"/>
          <c:order val="8"/>
          <c:tx>
            <c:strRef>
              <c:f>ANUAL!$D$149</c:f>
              <c:strCache>
                <c:ptCount val="1"/>
                <c:pt idx="0">
                  <c:v>SAÚDE – REMÉDIOS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ANUAL!$E$149:$P$149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9"/>
          <c:order val="9"/>
          <c:tx>
            <c:strRef>
              <c:f>ANUAL!$D$150</c:f>
              <c:strCache>
                <c:ptCount val="1"/>
                <c:pt idx="0">
                  <c:v>SAÚDE – ACADEMIA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ANUAL!$E$150:$P$150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0"/>
          <c:order val="10"/>
          <c:tx>
            <c:strRef>
              <c:f>ANUAL!$D$151</c:f>
              <c:strCache>
                <c:ptCount val="1"/>
                <c:pt idx="0">
                  <c:v>COMPRAS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ANUAL!$E$151:$P$151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1"/>
          <c:order val="11"/>
          <c:tx>
            <c:strRef>
              <c:f>ANUAL!$D$152</c:f>
              <c:strCache>
                <c:ptCount val="1"/>
                <c:pt idx="0">
                  <c:v>LAZER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ANUAL!$E$152:$P$152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2"/>
          <c:order val="12"/>
          <c:tx>
            <c:strRef>
              <c:f>ANUAL!$D$153</c:f>
              <c:strCache>
                <c:ptCount val="1"/>
                <c:pt idx="0">
                  <c:v>ALIMENTAÇÃO – ALMOÇO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ANUAL!$E$153:$P$153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3"/>
          <c:order val="13"/>
          <c:tx>
            <c:strRef>
              <c:f>ANUAL!$D$154</c:f>
              <c:strCache>
                <c:ptCount val="1"/>
                <c:pt idx="0">
                  <c:v>ALIMENTAÇÃO – COMPRA MENSAL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ANUAL!$E$154:$P$154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4"/>
          <c:order val="14"/>
          <c:tx>
            <c:strRef>
              <c:f>ANUAL!$D$155</c:f>
              <c:strCache>
                <c:ptCount val="1"/>
                <c:pt idx="0">
                  <c:v>ALIMENTAÇÃO – FEIRAS SEMANAIS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ANUAL!$E$155:$P$155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5"/>
          <c:order val="15"/>
          <c:tx>
            <c:strRef>
              <c:f>ANUAL!$D$156</c:f>
              <c:strCache>
                <c:ptCount val="1"/>
                <c:pt idx="0">
                  <c:v>TELECOM – CELULAR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ANUAL!$E$156:$P$156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6"/>
          <c:order val="16"/>
          <c:tx>
            <c:strRef>
              <c:f>ANUAL!$D$157</c:f>
              <c:strCache>
                <c:ptCount val="1"/>
                <c:pt idx="0">
                  <c:v>TELECOM – INTERNET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ANUAL!$E$157:$P$157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7"/>
          <c:order val="17"/>
          <c:tx>
            <c:strRef>
              <c:f>ANUAL!$D$158</c:f>
              <c:strCache>
                <c:ptCount val="1"/>
                <c:pt idx="0">
                  <c:v>TELECOM – FIXO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ANUAL!$E$158:$P$158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8"/>
          <c:order val="18"/>
          <c:tx>
            <c:strRef>
              <c:f>ANUAL!$D$159</c:f>
              <c:strCache>
                <c:ptCount val="1"/>
                <c:pt idx="0">
                  <c:v>CARRO – SEGURO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ANUAL!$E$159:$P$159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9"/>
          <c:order val="19"/>
          <c:tx>
            <c:strRef>
              <c:f>ANUAL!$D$160</c:f>
              <c:strCache>
                <c:ptCount val="1"/>
                <c:pt idx="0">
                  <c:v>CARRO – COMBUSTÍVEL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ANUAL!$E$160:$P$160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0"/>
          <c:order val="20"/>
          <c:tx>
            <c:strRef>
              <c:f>ANUAL!$D$161</c:f>
              <c:strCache>
                <c:ptCount val="1"/>
                <c:pt idx="0">
                  <c:v>CARRO – CONSERTOS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ANUAL!$E$161:$P$161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1"/>
          <c:order val="21"/>
          <c:tx>
            <c:strRef>
              <c:f>ANUAL!$D$162</c:f>
              <c:strCache>
                <c:ptCount val="1"/>
                <c:pt idx="0">
                  <c:v>CARRO – PRESTAÇOES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ANUAL!$E$162:$P$162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2"/>
          <c:order val="22"/>
          <c:tx>
            <c:strRef>
              <c:f>ANUAL!$D$163</c:f>
              <c:strCache>
                <c:ptCount val="1"/>
                <c:pt idx="0">
                  <c:v>BANCO – TAXAS, JUROS ETC.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ANUAL!$E$163:$P$163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3"/>
          <c:order val="23"/>
          <c:tx>
            <c:strRef>
              <c:f>ANUAL!$D$164</c:f>
              <c:strCache>
                <c:ptCount val="1"/>
                <c:pt idx="0">
                  <c:v>EDUCAÇÃO / TREINAMENTO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ANUAL!$E$164:$P$164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4"/>
          <c:order val="24"/>
          <c:tx>
            <c:strRef>
              <c:f>ANUAL!$D$165</c:f>
              <c:strCache>
                <c:ptCount val="1"/>
                <c:pt idx="0">
                  <c:v>VIAGEM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ANUAL!$E$165:$P$165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5"/>
          <c:order val="25"/>
          <c:tx>
            <c:strRef>
              <c:f>ANUAL!$D$166</c:f>
              <c:strCache>
                <c:ptCount val="1"/>
                <c:pt idx="0">
                  <c:v>PESSOAL – DÍZIMO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ANUAL!$E$166:$P$166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6"/>
          <c:order val="26"/>
          <c:tx>
            <c:strRef>
              <c:f>ANUAL!$D$167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ANUAL!$E$167:$P$167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7"/>
          <c:order val="27"/>
          <c:tx>
            <c:strRef>
              <c:f>ANUAL!$D$168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ANUAL!$E$168:$P$168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8"/>
          <c:order val="28"/>
          <c:tx>
            <c:strRef>
              <c:f>ANUAL!$D$169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ANUAL!$E$169:$P$169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9"/>
          <c:order val="29"/>
          <c:tx>
            <c:strRef>
              <c:f>ANUAL!$D$170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ANUAL!$E$170:$P$170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0"/>
          <c:order val="30"/>
          <c:tx>
            <c:strRef>
              <c:f>ANUAL!$D$171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ANUAL!$E$171:$P$171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1"/>
          <c:order val="31"/>
          <c:tx>
            <c:strRef>
              <c:f>ANUAL!$D$172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ANUAL!$E$140:$P$140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ANUAL!$E$172:$P$172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61696888"/>
        <c:axId val="261701592"/>
      </c:barChart>
      <c:catAx>
        <c:axId val="26169688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701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701592"/>
        <c:scaling>
          <c:orientation val="minMax"/>
        </c:scaling>
        <c:delete val="0"/>
        <c:axPos val="l"/>
        <c:majorGridlines/>
        <c:minorGridlines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696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76493040166386383"/>
          <c:y val="1.7832849841138278E-2"/>
          <c:w val="0.99466313217833802"/>
          <c:h val="0.95489086890454478"/>
        </c:manualLayout>
      </c:layout>
      <c:overlay val="1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8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Histórico de Movimentações (Entradas)</a:t>
            </a:r>
          </a:p>
        </c:rich>
      </c:tx>
      <c:layout>
        <c:manualLayout>
          <c:xMode val="edge"/>
          <c:yMode val="edge"/>
          <c:x val="0.41978665768383228"/>
          <c:y val="3.2800663075010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3884124660112945E-2"/>
          <c:y val="0.2270815811606392"/>
          <c:w val="0.88463217994165066"/>
          <c:h val="0.625735912531539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ANUAL!$C$267</c:f>
              <c:strCache>
                <c:ptCount val="1"/>
                <c:pt idx="0">
                  <c:v>0</c:v>
                </c:pt>
              </c:strCache>
            </c:strRef>
          </c:tx>
          <c:invertIfNegative val="0"/>
          <c:cat>
            <c:strRef>
              <c:f>ANUAL!$E$266:$P$266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ANUAL!$E$267:$P$267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ANUAL!$C$268</c:f>
              <c:strCache>
                <c:ptCount val="1"/>
                <c:pt idx="0">
                  <c:v>INV1</c:v>
                </c:pt>
              </c:strCache>
            </c:strRef>
          </c:tx>
          <c:invertIfNegative val="0"/>
          <c:cat>
            <c:strRef>
              <c:f>ANUAL!$E$266:$P$266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ANUAL!$E$268:$P$268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ANUAL!$C$269</c:f>
              <c:strCache>
                <c:ptCount val="1"/>
                <c:pt idx="0">
                  <c:v>DINH1</c:v>
                </c:pt>
              </c:strCache>
            </c:strRef>
          </c:tx>
          <c:invertIfNegative val="0"/>
          <c:cat>
            <c:strRef>
              <c:f>ANUAL!$E$266:$P$266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ANUAL!$E$269:$P$269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ANUAL!$C$270</c:f>
              <c:strCache>
                <c:ptCount val="1"/>
                <c:pt idx="0">
                  <c:v>CRED1</c:v>
                </c:pt>
              </c:strCache>
            </c:strRef>
          </c:tx>
          <c:invertIfNegative val="0"/>
          <c:cat>
            <c:strRef>
              <c:f>ANUAL!$E$266:$P$266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ANUAL!$E$270:$P$270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ANUAL!$C$271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ANUAL!$E$266:$P$266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ANUAL!$E$271:$P$271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ANUAL!$C$272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ANUAL!$E$266:$P$266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ANUAL!$E$272:$P$272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ANUAL!$C$273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ANUAL!$E$266:$P$266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ANUAL!$E$273:$P$273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7"/>
          <c:order val="7"/>
          <c:tx>
            <c:strRef>
              <c:f>ANUAL!$C$274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ANUAL!$E$266:$P$266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ANUAL!$E$274:$P$274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8"/>
          <c:order val="8"/>
          <c:tx>
            <c:strRef>
              <c:f>ANUAL!$C$275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ANUAL!$E$266:$P$266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ANUAL!$E$275:$P$275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9"/>
          <c:order val="9"/>
          <c:tx>
            <c:strRef>
              <c:f>ANUAL!$C$276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ANUAL!$E$266:$P$266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ANUAL!$E$276:$P$276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0"/>
          <c:order val="10"/>
          <c:tx>
            <c:strRef>
              <c:f>ANUAL!$C$277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ANUAL!$E$266:$P$266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ANUAL!$E$277:$P$277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1"/>
          <c:order val="11"/>
          <c:tx>
            <c:strRef>
              <c:f>ANUAL!$C$278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ANUAL!$E$266:$P$266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ANUAL!$E$278:$P$278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61702768"/>
        <c:axId val="261703160"/>
      </c:barChart>
      <c:catAx>
        <c:axId val="2617027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703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703160"/>
        <c:scaling>
          <c:orientation val="minMax"/>
        </c:scaling>
        <c:delete val="0"/>
        <c:axPos val="l"/>
        <c:majorGridlines/>
        <c:minorGridlines>
          <c:spPr>
            <a:ln>
              <a:solidFill>
                <a:schemeClr val="bg1">
                  <a:lumMod val="85000"/>
                </a:schemeClr>
              </a:solidFill>
            </a:ln>
          </c:spPr>
        </c:minorGridlines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70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4192036155908321"/>
          <c:y val="2.0944329327255148E-2"/>
          <c:w val="0.99463809002484316"/>
          <c:h val="0.93995717640558085"/>
        </c:manualLayout>
      </c:layout>
      <c:overlay val="1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0"/>
    <c:dispBlanksAs val="gap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8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1º TRIMESTRE</a:t>
            </a:r>
          </a:p>
        </c:rich>
      </c:tx>
      <c:layout>
        <c:manualLayout>
          <c:xMode val="edge"/>
          <c:yMode val="edge"/>
          <c:x val="0.46849314396448105"/>
          <c:y val="3.18867185800669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141201264488934E-2"/>
          <c:y val="0.14391098783296846"/>
          <c:w val="0.85689073002420879"/>
          <c:h val="0.701084678345540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ANUAL!$E$394</c:f>
              <c:strCache>
                <c:ptCount val="1"/>
                <c:pt idx="0">
                  <c:v>Janeiro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ANUAL!$E$395:$E$406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ANUAL!$F$394</c:f>
              <c:strCache>
                <c:ptCount val="1"/>
                <c:pt idx="0">
                  <c:v>Fevereiro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ANUAL!$F$395:$F$406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ANUAL!$G$394</c:f>
              <c:strCache>
                <c:ptCount val="1"/>
                <c:pt idx="0">
                  <c:v>Março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ANUAL!$G$395:$G$406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ANUAL!$H$394</c:f>
              <c:strCache>
                <c:ptCount val="1"/>
                <c:pt idx="0">
                  <c:v>Abril</c:v>
                </c:pt>
              </c:strCache>
            </c:strRef>
          </c:tx>
          <c:spPr>
            <a:pattFill prst="dkDnDiag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ANUAL!$H$395:$H$406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20"/>
        <c:axId val="261696496"/>
        <c:axId val="261698064"/>
      </c:barChart>
      <c:catAx>
        <c:axId val="26169649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6980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698064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696496"/>
        <c:crosses val="autoZero"/>
        <c:crossBetween val="between"/>
      </c:valAx>
    </c:plotArea>
    <c:legend>
      <c:legendPos val="r"/>
      <c:overlay val="1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0"/>
    <c:dispBlanksAs val="gap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8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2º TRIMESTRE</a:t>
            </a:r>
          </a:p>
        </c:rich>
      </c:tx>
      <c:layout>
        <c:manualLayout>
          <c:xMode val="edge"/>
          <c:yMode val="edge"/>
          <c:x val="0.46849314396448105"/>
          <c:y val="3.18867185800669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141201264488934E-2"/>
          <c:y val="0.17247513078075985"/>
          <c:w val="0.85599827130042483"/>
          <c:h val="0.6725205353977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ANUAL!$G$394</c:f>
              <c:strCache>
                <c:ptCount val="1"/>
                <c:pt idx="0">
                  <c:v>Março</c:v>
                </c:pt>
              </c:strCache>
            </c:strRef>
          </c:tx>
          <c:spPr>
            <a:pattFill prst="dkDnDiag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ANUAL!$G$395:$G$406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ANUAL!$H$394</c:f>
              <c:strCache>
                <c:ptCount val="1"/>
                <c:pt idx="0">
                  <c:v>Abril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ANUAL!$H$395:$H$406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ANUAL!$I$394</c:f>
              <c:strCache>
                <c:ptCount val="1"/>
                <c:pt idx="0">
                  <c:v>Maio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ANUAL!$I$395:$I$406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ANUAL!$J$394</c:f>
              <c:strCache>
                <c:ptCount val="1"/>
                <c:pt idx="0">
                  <c:v>Junho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ANUAL!$J$395:$J$406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20"/>
        <c:axId val="261697280"/>
        <c:axId val="261698456"/>
      </c:barChart>
      <c:catAx>
        <c:axId val="26169728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698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698456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69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1703163272815191"/>
          <c:y val="0.39550064529226664"/>
          <c:w val="0.98572066342174514"/>
          <c:h val="0.70233117269181133"/>
        </c:manualLayout>
      </c:layout>
      <c:overlay val="1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0"/>
    <c:dispBlanksAs val="gap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8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3º TRIMESTRE</a:t>
            </a:r>
          </a:p>
        </c:rich>
      </c:tx>
      <c:layout>
        <c:manualLayout>
          <c:xMode val="edge"/>
          <c:yMode val="edge"/>
          <c:x val="0.46849314396448105"/>
          <c:y val="3.18867185800669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141201264488934E-2"/>
          <c:y val="0.22246238093939491"/>
          <c:w val="0.85599827130042483"/>
          <c:h val="0.622533285239113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ANUAL!$J$394</c:f>
              <c:strCache>
                <c:ptCount val="1"/>
                <c:pt idx="0">
                  <c:v>Junho</c:v>
                </c:pt>
              </c:strCache>
            </c:strRef>
          </c:tx>
          <c:spPr>
            <a:pattFill prst="dkDnDiag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ANUAL!$J$395:$J$406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ANUAL!$K$394</c:f>
              <c:strCache>
                <c:ptCount val="1"/>
                <c:pt idx="0">
                  <c:v>Julho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ANUAL!$K$395:$K$406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ANUAL!$L$394</c:f>
              <c:strCache>
                <c:ptCount val="1"/>
                <c:pt idx="0">
                  <c:v>Agosto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ANUAL!$L$395:$L$406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ANUAL!$M$394</c:f>
              <c:strCache>
                <c:ptCount val="1"/>
                <c:pt idx="0">
                  <c:v>Setembro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ANUAL!$M$395:$M$406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1697672"/>
        <c:axId val="261698848"/>
      </c:barChart>
      <c:catAx>
        <c:axId val="2616976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698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698848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16976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0"/>
    <c:dispBlanksAs val="gap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4º TRIMESTRE</a:t>
            </a:r>
          </a:p>
        </c:rich>
      </c:tx>
      <c:layout>
        <c:manualLayout>
          <c:xMode val="edge"/>
          <c:yMode val="edge"/>
          <c:x val="0.46849314396448105"/>
          <c:y val="3.18867185800669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141201264488934E-2"/>
          <c:y val="0.20103927372855127"/>
          <c:w val="0.85778318874799286"/>
          <c:h val="0.643956392449957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ANUAL!$M$394</c:f>
              <c:strCache>
                <c:ptCount val="1"/>
                <c:pt idx="0">
                  <c:v>Setembro</c:v>
                </c:pt>
              </c:strCache>
            </c:strRef>
          </c:tx>
          <c:spPr>
            <a:pattFill prst="dkDnDiag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ANUAL!$M$395:$M$406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ANUAL!$N$394</c:f>
              <c:strCache>
                <c:ptCount val="1"/>
                <c:pt idx="0">
                  <c:v>Outubro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ANUAL!$N$395:$N$406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ANUAL!$O$394</c:f>
              <c:strCache>
                <c:ptCount val="1"/>
                <c:pt idx="0">
                  <c:v>Novembro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ANUAL!$O$395:$O$406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ANUAL!$P$394</c:f>
              <c:strCache>
                <c:ptCount val="1"/>
                <c:pt idx="0">
                  <c:v>Dezembro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ANUAL!$C$395:$C$406</c:f>
              <c:strCache>
                <c:ptCount val="12"/>
                <c:pt idx="0">
                  <c:v>0</c:v>
                </c:pt>
                <c:pt idx="1">
                  <c:v>INV1</c:v>
                </c:pt>
                <c:pt idx="2">
                  <c:v>DINH1</c:v>
                </c:pt>
                <c:pt idx="3">
                  <c:v>CRED1</c:v>
                </c:pt>
                <c:pt idx="4">
                  <c:v>---</c:v>
                </c:pt>
                <c:pt idx="5">
                  <c:v>---</c:v>
                </c:pt>
                <c:pt idx="6">
                  <c:v>---</c:v>
                </c:pt>
                <c:pt idx="7">
                  <c:v>---</c:v>
                </c:pt>
                <c:pt idx="8">
                  <c:v>---</c:v>
                </c:pt>
                <c:pt idx="9">
                  <c:v>---</c:v>
                </c:pt>
                <c:pt idx="10">
                  <c:v>---</c:v>
                </c:pt>
                <c:pt idx="11">
                  <c:v>---</c:v>
                </c:pt>
              </c:strCache>
            </c:strRef>
          </c:cat>
          <c:val>
            <c:numRef>
              <c:f>ANUAL!$P$395:$P$406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60776920"/>
        <c:axId val="260780056"/>
      </c:barChart>
      <c:catAx>
        <c:axId val="26077692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0780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0780056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0776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8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Histórico de Movimentações (Saídas)</a:t>
            </a:r>
          </a:p>
        </c:rich>
      </c:tx>
      <c:layout>
        <c:manualLayout>
          <c:xMode val="edge"/>
          <c:yMode val="edge"/>
          <c:x val="0.41978669054328072"/>
          <c:y val="3.2800663075010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3884124660112945E-2"/>
          <c:y val="0.2270815811606392"/>
          <c:w val="0.88463217994165022"/>
          <c:h val="0.625735912531539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ANUAL!$C$308</c:f>
              <c:strCache>
                <c:ptCount val="1"/>
                <c:pt idx="0">
                  <c:v>0</c:v>
                </c:pt>
              </c:strCache>
            </c:strRef>
          </c:tx>
          <c:invertIfNegative val="0"/>
          <c:cat>
            <c:strRef>
              <c:f>ANUAL!$E$307:$P$307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ANUAL!$E$308:$P$308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ANUAL!$C$309</c:f>
              <c:strCache>
                <c:ptCount val="1"/>
                <c:pt idx="0">
                  <c:v>INV1</c:v>
                </c:pt>
              </c:strCache>
            </c:strRef>
          </c:tx>
          <c:invertIfNegative val="0"/>
          <c:cat>
            <c:strRef>
              <c:f>ANUAL!$E$307:$P$307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ANUAL!$E$309:$P$309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ANUAL!$C$310</c:f>
              <c:strCache>
                <c:ptCount val="1"/>
                <c:pt idx="0">
                  <c:v>DINH1</c:v>
                </c:pt>
              </c:strCache>
            </c:strRef>
          </c:tx>
          <c:invertIfNegative val="0"/>
          <c:cat>
            <c:strRef>
              <c:f>ANUAL!$E$307:$P$307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ANUAL!$E$310:$P$310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ANUAL!$C$311</c:f>
              <c:strCache>
                <c:ptCount val="1"/>
                <c:pt idx="0">
                  <c:v>CRED1</c:v>
                </c:pt>
              </c:strCache>
            </c:strRef>
          </c:tx>
          <c:invertIfNegative val="0"/>
          <c:cat>
            <c:strRef>
              <c:f>ANUAL!$E$307:$P$307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ANUAL!$E$311:$P$311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ANUAL!$C$312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ANUAL!$E$307:$P$307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ANUAL!$E$312:$P$312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ANUAL!$C$313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ANUAL!$E$307:$P$307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ANUAL!$E$313:$P$313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ANUAL!$C$314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ANUAL!$E$307:$P$307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ANUAL!$E$314:$P$314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7"/>
          <c:order val="7"/>
          <c:tx>
            <c:strRef>
              <c:f>ANUAL!$C$315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ANUAL!$E$307:$P$307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ANUAL!$E$315:$P$315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8"/>
          <c:order val="8"/>
          <c:tx>
            <c:strRef>
              <c:f>ANUAL!$C$316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ANUAL!$E$307:$P$307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ANUAL!$E$316:$P$316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9"/>
          <c:order val="9"/>
          <c:tx>
            <c:strRef>
              <c:f>ANUAL!$C$317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ANUAL!$E$307:$P$307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ANUAL!$E$317:$P$317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0"/>
          <c:order val="10"/>
          <c:tx>
            <c:strRef>
              <c:f>ANUAL!$C$318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ANUAL!$E$307:$P$307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ANUAL!$E$318:$P$318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1"/>
          <c:order val="11"/>
          <c:tx>
            <c:strRef>
              <c:f>ANUAL!$C$319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ANUAL!$E$307:$P$307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ANUAL!$E$319:$P$319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60778096"/>
        <c:axId val="260772608"/>
      </c:barChart>
      <c:catAx>
        <c:axId val="26077809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0772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0772608"/>
        <c:scaling>
          <c:orientation val="minMax"/>
        </c:scaling>
        <c:delete val="0"/>
        <c:axPos val="l"/>
        <c:majorGridlines/>
        <c:minorGridlines>
          <c:spPr>
            <a:ln>
              <a:solidFill>
                <a:schemeClr val="bg1">
                  <a:lumMod val="85000"/>
                </a:schemeClr>
              </a:solidFill>
            </a:ln>
          </c:spPr>
        </c:minorGridlines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077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4188144207726543"/>
          <c:y val="3.114850117419533E-2"/>
          <c:w val="0.99463450346298687"/>
          <c:h val="0.93995717640558096"/>
        </c:manualLayout>
      </c:layout>
      <c:overlay val="1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0"/>
    <c:dispBlanksAs val="gap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33" r="0.75000000000000033" t="1" header="0.51180555555555562" footer="0.51180555555555562"/>
    <c:pageSetup firstPageNumber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8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Histórico de Movimentações (Variações)</a:t>
            </a:r>
          </a:p>
        </c:rich>
      </c:tx>
      <c:layout>
        <c:manualLayout>
          <c:xMode val="edge"/>
          <c:yMode val="edge"/>
          <c:x val="0.41978669054328072"/>
          <c:y val="3.28006005901147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3884124660112945E-2"/>
          <c:y val="0.2270815811606392"/>
          <c:w val="0.88463217994164978"/>
          <c:h val="0.625735912531540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ANUAL!$C$349</c:f>
              <c:strCache>
                <c:ptCount val="1"/>
                <c:pt idx="0">
                  <c:v>0</c:v>
                </c:pt>
              </c:strCache>
            </c:strRef>
          </c:tx>
          <c:invertIfNegative val="0"/>
          <c:cat>
            <c:strRef>
              <c:f>ANUAL!$E$348:$P$348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ANUAL!$E$349:$P$349</c:f>
              <c:numCache>
                <c:formatCode>#,##0.00_);[Red]\(#,##0.00\)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ANUAL!$C$350</c:f>
              <c:strCache>
                <c:ptCount val="1"/>
                <c:pt idx="0">
                  <c:v>INV1</c:v>
                </c:pt>
              </c:strCache>
            </c:strRef>
          </c:tx>
          <c:invertIfNegative val="0"/>
          <c:cat>
            <c:strRef>
              <c:f>ANUAL!$E$348:$P$348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ANUAL!$E$350:$P$350</c:f>
              <c:numCache>
                <c:formatCode>#,##0.00_);[Red]\(#,##0.00\)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ANUAL!$C$351</c:f>
              <c:strCache>
                <c:ptCount val="1"/>
                <c:pt idx="0">
                  <c:v>DINH1</c:v>
                </c:pt>
              </c:strCache>
            </c:strRef>
          </c:tx>
          <c:invertIfNegative val="0"/>
          <c:cat>
            <c:strRef>
              <c:f>ANUAL!$E$348:$P$348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ANUAL!$E$351:$P$351</c:f>
              <c:numCache>
                <c:formatCode>#,##0.00_);[Red]\(#,##0.00\)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ANUAL!$C$352</c:f>
              <c:strCache>
                <c:ptCount val="1"/>
                <c:pt idx="0">
                  <c:v>CRED1</c:v>
                </c:pt>
              </c:strCache>
            </c:strRef>
          </c:tx>
          <c:invertIfNegative val="0"/>
          <c:cat>
            <c:strRef>
              <c:f>ANUAL!$E$348:$P$348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ANUAL!$E$352:$P$352</c:f>
              <c:numCache>
                <c:formatCode>#,##0.00_);[Red]\(#,##0.00\)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ANUAL!$C$353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ANUAL!$E$348:$P$348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ANUAL!$E$353:$P$353</c:f>
              <c:numCache>
                <c:formatCode>#,##0.00_);[Red]\(#,##0.00\)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strRef>
              <c:f>ANUAL!$C$354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ANUAL!$E$348:$P$348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ANUAL!$E$354:$P$354</c:f>
              <c:numCache>
                <c:formatCode>#,##0.00_);[Red]\(#,##0.00\)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ANUAL!$C$355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ANUAL!$E$348:$P$348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ANUAL!$E$355:$P$355</c:f>
              <c:numCache>
                <c:formatCode>#,##0.00_);[Red]\(#,##0.00\)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7"/>
          <c:order val="7"/>
          <c:tx>
            <c:strRef>
              <c:f>ANUAL!$C$356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ANUAL!$E$348:$P$348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ANUAL!$E$356:$P$356</c:f>
              <c:numCache>
                <c:formatCode>#,##0.00_);[Red]\(#,##0.00\)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8"/>
          <c:order val="8"/>
          <c:tx>
            <c:strRef>
              <c:f>ANUAL!$C$357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ANUAL!$E$348:$P$348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ANUAL!$E$357:$P$357</c:f>
              <c:numCache>
                <c:formatCode>#,##0.00_);[Red]\(#,##0.00\)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9"/>
          <c:order val="9"/>
          <c:tx>
            <c:strRef>
              <c:f>ANUAL!$C$358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ANUAL!$E$348:$P$348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ANUAL!$E$358:$P$358</c:f>
              <c:numCache>
                <c:formatCode>#,##0.00_);[Red]\(#,##0.00\)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0"/>
          <c:order val="10"/>
          <c:tx>
            <c:strRef>
              <c:f>ANUAL!$C$359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ANUAL!$E$348:$P$348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ANUAL!$E$359:$P$359</c:f>
              <c:numCache>
                <c:formatCode>#,##0.00_);[Red]\(#,##0.00\)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1"/>
          <c:order val="11"/>
          <c:tx>
            <c:strRef>
              <c:f>ANUAL!$C$360</c:f>
              <c:strCache>
                <c:ptCount val="1"/>
                <c:pt idx="0">
                  <c:v>---</c:v>
                </c:pt>
              </c:strCache>
            </c:strRef>
          </c:tx>
          <c:invertIfNegative val="0"/>
          <c:cat>
            <c:strRef>
              <c:f>ANUAL!$E$348:$P$348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ANUAL!$E$360:$P$360</c:f>
              <c:numCache>
                <c:formatCode>#,##0.00_);[Red]\(#,##0.00\)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62793136"/>
        <c:axId val="262797448"/>
      </c:barChart>
      <c:catAx>
        <c:axId val="2627931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2797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2797448"/>
        <c:scaling>
          <c:orientation val="minMax"/>
        </c:scaling>
        <c:delete val="0"/>
        <c:axPos val="l"/>
        <c:majorGridlines/>
        <c:minorGridlines>
          <c:spPr>
            <a:ln>
              <a:solidFill>
                <a:schemeClr val="bg1">
                  <a:lumMod val="85000"/>
                </a:schemeClr>
              </a:solidFill>
            </a:ln>
          </c:spPr>
        </c:minorGridlines>
        <c:numFmt formatCode="#,##0.00_);[Red]\(#,##0.00\)" sourceLinked="1"/>
        <c:majorTickMark val="out"/>
        <c:minorTickMark val="none"/>
        <c:tickLblPos val="low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279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4188144207726543"/>
          <c:y val="2.7856207552769872E-2"/>
          <c:w val="0.99463450346298687"/>
          <c:h val="0.93633814620179123"/>
        </c:manualLayout>
      </c:layout>
      <c:overlay val="1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0"/>
    <c:dispBlanksAs val="gap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56" r="0.75000000000000056" t="1" header="0.51180555555555562" footer="0.51180555555555562"/>
    <c:pageSetup firstPageNumber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20820189274446"/>
          <c:y val="7.7967930716076744E-2"/>
          <c:w val="0.86687697160883292"/>
          <c:h val="0.575447833612801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ANUAL!$C$115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strRef>
              <c:f>ANUAL!$E$114:$P$114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ANUAL!$E$115:$P$115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2794704"/>
        <c:axId val="262796664"/>
      </c:barChart>
      <c:catAx>
        <c:axId val="2627947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27966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2796664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2794704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20820189274446"/>
          <c:y val="7.1146651947057313E-2"/>
          <c:w val="0.86687697160883292"/>
          <c:h val="0.616433189583450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ANUAL!$C$116</c:f>
              <c:strCache>
                <c:ptCount val="1"/>
                <c:pt idx="0">
                  <c:v>INV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ANUAL!$E$114:$P$114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ANUAL!$E$116:$P$116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2797056"/>
        <c:axId val="262791176"/>
      </c:barChart>
      <c:catAx>
        <c:axId val="26279705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27911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2791176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2797056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20820189274446"/>
          <c:y val="7.1146651947057313E-2"/>
          <c:w val="0.86687697160883292"/>
          <c:h val="0.616433189583450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ANUAL!$C$117</c:f>
              <c:strCache>
                <c:ptCount val="1"/>
                <c:pt idx="0">
                  <c:v>DINH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Ref>
              <c:f>ANUAL!$E$114:$P$114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ANUAL!$E$117:$P$117</c:f>
              <c:numCache>
                <c:formatCode>#,###.00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62672424"/>
        <c:axId val="262677128"/>
      </c:barChart>
      <c:catAx>
        <c:axId val="26267242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2677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2677128"/>
        <c:scaling>
          <c:orientation val="minMax"/>
        </c:scaling>
        <c:delete val="0"/>
        <c:axPos val="l"/>
        <c:numFmt formatCode="#,###.00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62672424"/>
        <c:crosses val="autoZero"/>
        <c:crossBetween val="between"/>
      </c:valAx>
    </c:plotArea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Participação das Despesas</a:t>
            </a:r>
          </a:p>
        </c:rich>
      </c:tx>
      <c:layout>
        <c:manualLayout>
          <c:xMode val="edge"/>
          <c:yMode val="edge"/>
          <c:x val="0.59632608672919873"/>
          <c:y val="2.3013228874028936E-2"/>
        </c:manualLayout>
      </c:layout>
      <c:overlay val="0"/>
    </c:title>
    <c:autoTitleDeleted val="0"/>
    <c:view3D>
      <c:rotX val="75"/>
      <c:rotY val="18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1514118439437394E-2"/>
          <c:y val="9.8182524506430599E-2"/>
          <c:w val="0.32987221657366267"/>
          <c:h val="0.8398618405382417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Pt>
            <c:idx val="17"/>
            <c:bubble3D val="0"/>
          </c:dPt>
          <c:dPt>
            <c:idx val="18"/>
            <c:bubble3D val="0"/>
          </c:dPt>
          <c:dPt>
            <c:idx val="19"/>
            <c:bubble3D val="0"/>
          </c:dPt>
          <c:dPt>
            <c:idx val="20"/>
            <c:bubble3D val="0"/>
          </c:dPt>
          <c:dPt>
            <c:idx val="21"/>
            <c:bubble3D val="0"/>
          </c:dPt>
          <c:dPt>
            <c:idx val="22"/>
            <c:bubble3D val="0"/>
          </c:dPt>
          <c:dPt>
            <c:idx val="23"/>
            <c:bubble3D val="0"/>
          </c:dPt>
          <c:dPt>
            <c:idx val="24"/>
            <c:bubble3D val="0"/>
          </c:dPt>
          <c:dPt>
            <c:idx val="25"/>
            <c:bubble3D val="0"/>
          </c:dPt>
          <c:dPt>
            <c:idx val="26"/>
            <c:bubble3D val="0"/>
          </c:dPt>
          <c:dPt>
            <c:idx val="27"/>
            <c:bubble3D val="0"/>
          </c:dPt>
          <c:dPt>
            <c:idx val="28"/>
            <c:bubble3D val="0"/>
          </c:dPt>
          <c:dPt>
            <c:idx val="29"/>
            <c:bubble3D val="0"/>
          </c:dPt>
          <c:dPt>
            <c:idx val="30"/>
            <c:bubble3D val="0"/>
          </c:dPt>
          <c:dPt>
            <c:idx val="31"/>
            <c:bubble3D val="0"/>
          </c:dPt>
          <c:dLbls>
            <c:spPr>
              <a:solidFill>
                <a:srgbClr val="FF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'M1'!$D$57:$D$88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'M1'!$G$57:$G$88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371410247025899"/>
          <c:y val="0.13026479730234725"/>
          <c:w val="0.99543725361023105"/>
          <c:h val="0.93443947647247616"/>
        </c:manualLayout>
      </c:layout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11" r="0.75000000000000011" t="1" header="0.51180555555555562" footer="0.51180555555555562"/>
    <c:pageSetup firstPageNumber="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Participação das Despesas</a:t>
            </a:r>
          </a:p>
        </c:rich>
      </c:tx>
      <c:layout>
        <c:manualLayout>
          <c:xMode val="edge"/>
          <c:yMode val="edge"/>
          <c:x val="0.59632608631286721"/>
          <c:y val="2.3013228874028936E-2"/>
        </c:manualLayout>
      </c:layout>
      <c:overlay val="0"/>
    </c:title>
    <c:autoTitleDeleted val="0"/>
    <c:view3D>
      <c:rotX val="75"/>
      <c:rotY val="18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1514118439437387E-2"/>
          <c:y val="9.8182524506430627E-2"/>
          <c:w val="0.32987221657366311"/>
          <c:h val="0.8398618405382422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Pt>
            <c:idx val="17"/>
            <c:bubble3D val="0"/>
          </c:dPt>
          <c:dPt>
            <c:idx val="18"/>
            <c:bubble3D val="0"/>
          </c:dPt>
          <c:dPt>
            <c:idx val="19"/>
            <c:bubble3D val="0"/>
          </c:dPt>
          <c:dPt>
            <c:idx val="20"/>
            <c:bubble3D val="0"/>
          </c:dPt>
          <c:dPt>
            <c:idx val="21"/>
            <c:bubble3D val="0"/>
          </c:dPt>
          <c:dPt>
            <c:idx val="22"/>
            <c:bubble3D val="0"/>
          </c:dPt>
          <c:dPt>
            <c:idx val="23"/>
            <c:bubble3D val="0"/>
          </c:dPt>
          <c:dPt>
            <c:idx val="24"/>
            <c:bubble3D val="0"/>
          </c:dPt>
          <c:dPt>
            <c:idx val="25"/>
            <c:bubble3D val="0"/>
          </c:dPt>
          <c:dPt>
            <c:idx val="26"/>
            <c:bubble3D val="0"/>
          </c:dPt>
          <c:dPt>
            <c:idx val="27"/>
            <c:bubble3D val="0"/>
          </c:dPt>
          <c:dPt>
            <c:idx val="28"/>
            <c:bubble3D val="0"/>
          </c:dPt>
          <c:dPt>
            <c:idx val="29"/>
            <c:bubble3D val="0"/>
          </c:dPt>
          <c:dPt>
            <c:idx val="30"/>
            <c:bubble3D val="0"/>
          </c:dPt>
          <c:dPt>
            <c:idx val="31"/>
            <c:bubble3D val="0"/>
          </c:dPt>
          <c:dLbls>
            <c:spPr>
              <a:solidFill>
                <a:srgbClr val="FF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'M2'!$D$57:$D$88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'M2'!$G$57:$G$88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37140936347787"/>
          <c:y val="0.13026479730234725"/>
          <c:w val="0.99543728566775869"/>
          <c:h val="0.93443947647247616"/>
        </c:manualLayout>
      </c:layout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56" r="0.75000000000000056" t="1" header="0.51180555555555562" footer="0.51180555555555562"/>
    <c:pageSetup firstPageNumber="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Participação das Despesas</a:t>
            </a:r>
          </a:p>
        </c:rich>
      </c:tx>
      <c:layout>
        <c:manualLayout>
          <c:xMode val="edge"/>
          <c:yMode val="edge"/>
          <c:x val="0.5963260846530517"/>
          <c:y val="2.3013123359580053E-2"/>
        </c:manualLayout>
      </c:layout>
      <c:overlay val="0"/>
    </c:title>
    <c:autoTitleDeleted val="0"/>
    <c:view3D>
      <c:rotX val="75"/>
      <c:rotY val="18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1514118439437387E-2"/>
          <c:y val="9.8182524506430627E-2"/>
          <c:w val="0.32987221657366356"/>
          <c:h val="0.83986184053824264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Pt>
            <c:idx val="17"/>
            <c:bubble3D val="0"/>
          </c:dPt>
          <c:dPt>
            <c:idx val="18"/>
            <c:bubble3D val="0"/>
          </c:dPt>
          <c:dPt>
            <c:idx val="19"/>
            <c:bubble3D val="0"/>
          </c:dPt>
          <c:dPt>
            <c:idx val="20"/>
            <c:bubble3D val="0"/>
          </c:dPt>
          <c:dPt>
            <c:idx val="21"/>
            <c:bubble3D val="0"/>
          </c:dPt>
          <c:dPt>
            <c:idx val="22"/>
            <c:bubble3D val="0"/>
          </c:dPt>
          <c:dPt>
            <c:idx val="23"/>
            <c:bubble3D val="0"/>
          </c:dPt>
          <c:dPt>
            <c:idx val="24"/>
            <c:bubble3D val="0"/>
          </c:dPt>
          <c:dPt>
            <c:idx val="25"/>
            <c:bubble3D val="0"/>
          </c:dPt>
          <c:dPt>
            <c:idx val="26"/>
            <c:bubble3D val="0"/>
          </c:dPt>
          <c:dPt>
            <c:idx val="27"/>
            <c:bubble3D val="0"/>
          </c:dPt>
          <c:dPt>
            <c:idx val="28"/>
            <c:bubble3D val="0"/>
          </c:dPt>
          <c:dPt>
            <c:idx val="29"/>
            <c:bubble3D val="0"/>
          </c:dPt>
          <c:dPt>
            <c:idx val="30"/>
            <c:bubble3D val="0"/>
          </c:dPt>
          <c:dPt>
            <c:idx val="31"/>
            <c:bubble3D val="0"/>
          </c:dPt>
          <c:dLbls>
            <c:spPr>
              <a:solidFill>
                <a:srgbClr val="FF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'M3'!$D$57:$D$88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'M3'!$G$57:$G$88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371405840980665"/>
          <c:y val="0.13026469291338583"/>
          <c:w val="0.99543720502839195"/>
          <c:h val="0.93443930708661416"/>
        </c:manualLayout>
      </c:layout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111" r="0.75000000000000111" t="1" header="0.51180555555555562" footer="0.51180555555555562"/>
    <c:pageSetup firstPageNumber="0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Participação das Despesas</a:t>
            </a:r>
          </a:p>
        </c:rich>
      </c:tx>
      <c:layout>
        <c:manualLayout>
          <c:xMode val="edge"/>
          <c:yMode val="edge"/>
          <c:x val="0.5963260846530517"/>
          <c:y val="2.3013123359580053E-2"/>
        </c:manualLayout>
      </c:layout>
      <c:overlay val="0"/>
    </c:title>
    <c:autoTitleDeleted val="0"/>
    <c:view3D>
      <c:rotX val="75"/>
      <c:rotY val="18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1514118439437387E-2"/>
          <c:y val="9.8182524506430627E-2"/>
          <c:w val="0.32987221657366356"/>
          <c:h val="0.83986184053824264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Pt>
            <c:idx val="17"/>
            <c:bubble3D val="0"/>
          </c:dPt>
          <c:dPt>
            <c:idx val="18"/>
            <c:bubble3D val="0"/>
          </c:dPt>
          <c:dPt>
            <c:idx val="19"/>
            <c:bubble3D val="0"/>
          </c:dPt>
          <c:dPt>
            <c:idx val="20"/>
            <c:bubble3D val="0"/>
          </c:dPt>
          <c:dPt>
            <c:idx val="21"/>
            <c:bubble3D val="0"/>
          </c:dPt>
          <c:dPt>
            <c:idx val="22"/>
            <c:bubble3D val="0"/>
          </c:dPt>
          <c:dPt>
            <c:idx val="23"/>
            <c:bubble3D val="0"/>
          </c:dPt>
          <c:dPt>
            <c:idx val="24"/>
            <c:bubble3D val="0"/>
          </c:dPt>
          <c:dPt>
            <c:idx val="25"/>
            <c:bubble3D val="0"/>
          </c:dPt>
          <c:dPt>
            <c:idx val="26"/>
            <c:bubble3D val="0"/>
          </c:dPt>
          <c:dPt>
            <c:idx val="27"/>
            <c:bubble3D val="0"/>
          </c:dPt>
          <c:dPt>
            <c:idx val="28"/>
            <c:bubble3D val="0"/>
          </c:dPt>
          <c:dPt>
            <c:idx val="29"/>
            <c:bubble3D val="0"/>
          </c:dPt>
          <c:dPt>
            <c:idx val="30"/>
            <c:bubble3D val="0"/>
          </c:dPt>
          <c:dPt>
            <c:idx val="31"/>
            <c:bubble3D val="0"/>
          </c:dPt>
          <c:dLbls>
            <c:spPr>
              <a:solidFill>
                <a:srgbClr val="FF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'M4'!$D$57:$D$88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'M4'!$G$57:$G$88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371405840980665"/>
          <c:y val="0.13026469291338583"/>
          <c:w val="0.99543720502839195"/>
          <c:h val="0.93443930708661416"/>
        </c:manualLayout>
      </c:layout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111" r="0.75000000000000111" t="1" header="0.51180555555555562" footer="0.51180555555555562"/>
    <c:pageSetup firstPageNumber="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Participação das Despesas</a:t>
            </a:r>
          </a:p>
        </c:rich>
      </c:tx>
      <c:layout>
        <c:manualLayout>
          <c:xMode val="edge"/>
          <c:yMode val="edge"/>
          <c:x val="0.59632608423947009"/>
          <c:y val="2.301318970199815E-2"/>
        </c:manualLayout>
      </c:layout>
      <c:overlay val="0"/>
    </c:title>
    <c:autoTitleDeleted val="0"/>
    <c:view3D>
      <c:rotX val="75"/>
      <c:rotY val="18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1514118439437387E-2"/>
          <c:y val="9.8182524506430627E-2"/>
          <c:w val="0.32987221657366356"/>
          <c:h val="0.83986184053824264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Pt>
            <c:idx val="17"/>
            <c:bubble3D val="0"/>
          </c:dPt>
          <c:dPt>
            <c:idx val="18"/>
            <c:bubble3D val="0"/>
          </c:dPt>
          <c:dPt>
            <c:idx val="19"/>
            <c:bubble3D val="0"/>
          </c:dPt>
          <c:dPt>
            <c:idx val="20"/>
            <c:bubble3D val="0"/>
          </c:dPt>
          <c:dPt>
            <c:idx val="21"/>
            <c:bubble3D val="0"/>
          </c:dPt>
          <c:dPt>
            <c:idx val="22"/>
            <c:bubble3D val="0"/>
          </c:dPt>
          <c:dPt>
            <c:idx val="23"/>
            <c:bubble3D val="0"/>
          </c:dPt>
          <c:dPt>
            <c:idx val="24"/>
            <c:bubble3D val="0"/>
          </c:dPt>
          <c:dPt>
            <c:idx val="25"/>
            <c:bubble3D val="0"/>
          </c:dPt>
          <c:dPt>
            <c:idx val="26"/>
            <c:bubble3D val="0"/>
          </c:dPt>
          <c:dPt>
            <c:idx val="27"/>
            <c:bubble3D val="0"/>
          </c:dPt>
          <c:dPt>
            <c:idx val="28"/>
            <c:bubble3D val="0"/>
          </c:dPt>
          <c:dPt>
            <c:idx val="29"/>
            <c:bubble3D val="0"/>
          </c:dPt>
          <c:dPt>
            <c:idx val="30"/>
            <c:bubble3D val="0"/>
          </c:dPt>
          <c:dPt>
            <c:idx val="31"/>
            <c:bubble3D val="0"/>
          </c:dPt>
          <c:dLbls>
            <c:spPr>
              <a:solidFill>
                <a:srgbClr val="FF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'M5'!$D$57:$D$88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'M5'!$G$57:$G$88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371404963268484"/>
          <c:y val="0.1302648306402458"/>
          <c:w val="0.99543723701204012"/>
          <c:h val="0.93443942729907581"/>
        </c:manualLayout>
      </c:layout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111" r="0.75000000000000111" t="1" header="0.51180555555555562" footer="0.51180555555555562"/>
    <c:pageSetup firstPageNumber="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Participação das Despesas</a:t>
            </a:r>
          </a:p>
        </c:rich>
      </c:tx>
      <c:layout>
        <c:manualLayout>
          <c:xMode val="edge"/>
          <c:yMode val="edge"/>
          <c:x val="0.5963260821797407"/>
          <c:y val="2.3013218513848913E-2"/>
        </c:manualLayout>
      </c:layout>
      <c:overlay val="0"/>
    </c:title>
    <c:autoTitleDeleted val="0"/>
    <c:view3D>
      <c:rotX val="75"/>
      <c:rotY val="18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1514118439437387E-2"/>
          <c:y val="9.8182524506430627E-2"/>
          <c:w val="0.32987221657366356"/>
          <c:h val="0.83986184053824264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Pt>
            <c:idx val="17"/>
            <c:bubble3D val="0"/>
          </c:dPt>
          <c:dPt>
            <c:idx val="18"/>
            <c:bubble3D val="0"/>
          </c:dPt>
          <c:dPt>
            <c:idx val="19"/>
            <c:bubble3D val="0"/>
          </c:dPt>
          <c:dPt>
            <c:idx val="20"/>
            <c:bubble3D val="0"/>
          </c:dPt>
          <c:dPt>
            <c:idx val="21"/>
            <c:bubble3D val="0"/>
          </c:dPt>
          <c:dPt>
            <c:idx val="22"/>
            <c:bubble3D val="0"/>
          </c:dPt>
          <c:dPt>
            <c:idx val="23"/>
            <c:bubble3D val="0"/>
          </c:dPt>
          <c:dPt>
            <c:idx val="24"/>
            <c:bubble3D val="0"/>
          </c:dPt>
          <c:dPt>
            <c:idx val="25"/>
            <c:bubble3D val="0"/>
          </c:dPt>
          <c:dPt>
            <c:idx val="26"/>
            <c:bubble3D val="0"/>
          </c:dPt>
          <c:dPt>
            <c:idx val="27"/>
            <c:bubble3D val="0"/>
          </c:dPt>
          <c:dPt>
            <c:idx val="28"/>
            <c:bubble3D val="0"/>
          </c:dPt>
          <c:dPt>
            <c:idx val="29"/>
            <c:bubble3D val="0"/>
          </c:dPt>
          <c:dPt>
            <c:idx val="30"/>
            <c:bubble3D val="0"/>
          </c:dPt>
          <c:dPt>
            <c:idx val="31"/>
            <c:bubble3D val="0"/>
          </c:dPt>
          <c:dLbls>
            <c:spPr>
              <a:solidFill>
                <a:srgbClr val="FF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'M6'!$D$57:$D$88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'M6'!$G$57:$G$88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371407512755694"/>
          <c:y val="0.13026476675309848"/>
          <c:w val="0.9954372578839642"/>
          <c:h val="0.93443934311836396"/>
        </c:manualLayout>
      </c:layout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111" r="0.75000000000000111" t="1" header="0.51180555555555562" footer="0.51180555555555562"/>
    <c:pageSetup firstPageNumber="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Participação das Despesas</a:t>
            </a:r>
          </a:p>
        </c:rich>
      </c:tx>
      <c:layout>
        <c:manualLayout>
          <c:xMode val="edge"/>
          <c:yMode val="edge"/>
          <c:x val="0.5963260821797407"/>
          <c:y val="2.3013218513848913E-2"/>
        </c:manualLayout>
      </c:layout>
      <c:overlay val="0"/>
    </c:title>
    <c:autoTitleDeleted val="0"/>
    <c:view3D>
      <c:rotX val="75"/>
      <c:rotY val="18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1514118439437387E-2"/>
          <c:y val="9.8182524506430627E-2"/>
          <c:w val="0.32987221657366356"/>
          <c:h val="0.83986184053824264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Pt>
            <c:idx val="17"/>
            <c:bubble3D val="0"/>
          </c:dPt>
          <c:dPt>
            <c:idx val="18"/>
            <c:bubble3D val="0"/>
          </c:dPt>
          <c:dPt>
            <c:idx val="19"/>
            <c:bubble3D val="0"/>
          </c:dPt>
          <c:dPt>
            <c:idx val="20"/>
            <c:bubble3D val="0"/>
          </c:dPt>
          <c:dPt>
            <c:idx val="21"/>
            <c:bubble3D val="0"/>
          </c:dPt>
          <c:dPt>
            <c:idx val="22"/>
            <c:bubble3D val="0"/>
          </c:dPt>
          <c:dPt>
            <c:idx val="23"/>
            <c:bubble3D val="0"/>
          </c:dPt>
          <c:dPt>
            <c:idx val="24"/>
            <c:bubble3D val="0"/>
          </c:dPt>
          <c:dPt>
            <c:idx val="25"/>
            <c:bubble3D val="0"/>
          </c:dPt>
          <c:dPt>
            <c:idx val="26"/>
            <c:bubble3D val="0"/>
          </c:dPt>
          <c:dPt>
            <c:idx val="27"/>
            <c:bubble3D val="0"/>
          </c:dPt>
          <c:dPt>
            <c:idx val="28"/>
            <c:bubble3D val="0"/>
          </c:dPt>
          <c:dPt>
            <c:idx val="29"/>
            <c:bubble3D val="0"/>
          </c:dPt>
          <c:dPt>
            <c:idx val="30"/>
            <c:bubble3D val="0"/>
          </c:dPt>
          <c:dPt>
            <c:idx val="31"/>
            <c:bubble3D val="0"/>
          </c:dPt>
          <c:dLbls>
            <c:spPr>
              <a:solidFill>
                <a:srgbClr val="FF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'M7'!$D$57:$D$88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'M7'!$G$57:$G$88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371407512755694"/>
          <c:y val="0.13026476675309848"/>
          <c:w val="0.9954372578839642"/>
          <c:h val="0.93443934311836396"/>
        </c:manualLayout>
      </c:layout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111" r="0.75000000000000111" t="1" header="0.51180555555555562" footer="0.51180555555555562"/>
    <c:pageSetup firstPageNumber="0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Participação das Despesas</a:t>
            </a:r>
          </a:p>
        </c:rich>
      </c:tx>
      <c:layout>
        <c:manualLayout>
          <c:xMode val="edge"/>
          <c:yMode val="edge"/>
          <c:x val="0.59632608631286721"/>
          <c:y val="2.3013228874028936E-2"/>
        </c:manualLayout>
      </c:layout>
      <c:overlay val="0"/>
    </c:title>
    <c:autoTitleDeleted val="0"/>
    <c:view3D>
      <c:rotX val="75"/>
      <c:rotY val="18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1514118439437387E-2"/>
          <c:y val="9.8182524506430627E-2"/>
          <c:w val="0.32987221657366333"/>
          <c:h val="0.83986184053824242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Pt>
            <c:idx val="17"/>
            <c:bubble3D val="0"/>
          </c:dPt>
          <c:dPt>
            <c:idx val="18"/>
            <c:bubble3D val="0"/>
          </c:dPt>
          <c:dPt>
            <c:idx val="19"/>
            <c:bubble3D val="0"/>
          </c:dPt>
          <c:dPt>
            <c:idx val="20"/>
            <c:bubble3D val="0"/>
          </c:dPt>
          <c:dPt>
            <c:idx val="21"/>
            <c:bubble3D val="0"/>
          </c:dPt>
          <c:dPt>
            <c:idx val="22"/>
            <c:bubble3D val="0"/>
          </c:dPt>
          <c:dPt>
            <c:idx val="23"/>
            <c:bubble3D val="0"/>
          </c:dPt>
          <c:dPt>
            <c:idx val="24"/>
            <c:bubble3D val="0"/>
          </c:dPt>
          <c:dPt>
            <c:idx val="25"/>
            <c:bubble3D val="0"/>
          </c:dPt>
          <c:dPt>
            <c:idx val="26"/>
            <c:bubble3D val="0"/>
          </c:dPt>
          <c:dPt>
            <c:idx val="27"/>
            <c:bubble3D val="0"/>
          </c:dPt>
          <c:dPt>
            <c:idx val="28"/>
            <c:bubble3D val="0"/>
          </c:dPt>
          <c:dPt>
            <c:idx val="29"/>
            <c:bubble3D val="0"/>
          </c:dPt>
          <c:dPt>
            <c:idx val="30"/>
            <c:bubble3D val="0"/>
          </c:dPt>
          <c:dPt>
            <c:idx val="31"/>
            <c:bubble3D val="0"/>
          </c:dPt>
          <c:dLbls>
            <c:spPr>
              <a:solidFill>
                <a:srgbClr val="FF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'M8'!$D$57:$D$88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'M8'!$G$57:$G$88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37140936347787"/>
          <c:y val="0.13026479730234725"/>
          <c:w val="0.99543728566775869"/>
          <c:h val="0.93443947647247616"/>
        </c:manualLayout>
      </c:layout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89" r="0.75000000000000089" t="1" header="0.51180555555555562" footer="0.51180555555555562"/>
    <c:pageSetup firstPageNumber="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Participação das Despesas</a:t>
            </a:r>
          </a:p>
        </c:rich>
      </c:tx>
      <c:layout>
        <c:manualLayout>
          <c:xMode val="edge"/>
          <c:yMode val="edge"/>
          <c:x val="0.59632608631286721"/>
          <c:y val="2.3013228874028936E-2"/>
        </c:manualLayout>
      </c:layout>
      <c:overlay val="0"/>
    </c:title>
    <c:autoTitleDeleted val="0"/>
    <c:view3D>
      <c:rotX val="75"/>
      <c:rotY val="18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1514118439437387E-2"/>
          <c:y val="9.8182524506430627E-2"/>
          <c:w val="0.32987221657366333"/>
          <c:h val="0.83986184053824242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Pt>
            <c:idx val="17"/>
            <c:bubble3D val="0"/>
          </c:dPt>
          <c:dPt>
            <c:idx val="18"/>
            <c:bubble3D val="0"/>
          </c:dPt>
          <c:dPt>
            <c:idx val="19"/>
            <c:bubble3D val="0"/>
          </c:dPt>
          <c:dPt>
            <c:idx val="20"/>
            <c:bubble3D val="0"/>
          </c:dPt>
          <c:dPt>
            <c:idx val="21"/>
            <c:bubble3D val="0"/>
          </c:dPt>
          <c:dPt>
            <c:idx val="22"/>
            <c:bubble3D val="0"/>
          </c:dPt>
          <c:dPt>
            <c:idx val="23"/>
            <c:bubble3D val="0"/>
          </c:dPt>
          <c:dPt>
            <c:idx val="24"/>
            <c:bubble3D val="0"/>
          </c:dPt>
          <c:dPt>
            <c:idx val="25"/>
            <c:bubble3D val="0"/>
          </c:dPt>
          <c:dPt>
            <c:idx val="26"/>
            <c:bubble3D val="0"/>
          </c:dPt>
          <c:dPt>
            <c:idx val="27"/>
            <c:bubble3D val="0"/>
          </c:dPt>
          <c:dPt>
            <c:idx val="28"/>
            <c:bubble3D val="0"/>
          </c:dPt>
          <c:dPt>
            <c:idx val="29"/>
            <c:bubble3D val="0"/>
          </c:dPt>
          <c:dPt>
            <c:idx val="30"/>
            <c:bubble3D val="0"/>
          </c:dPt>
          <c:dPt>
            <c:idx val="31"/>
            <c:bubble3D val="0"/>
          </c:dPt>
          <c:dLbls>
            <c:spPr>
              <a:solidFill>
                <a:srgbClr val="FF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'M9'!$D$57:$D$88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'M9'!$G$57:$G$88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37140936347787"/>
          <c:y val="0.13026479730234725"/>
          <c:w val="0.99543728566775869"/>
          <c:h val="0.93443947647247616"/>
        </c:manualLayout>
      </c:layout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89" r="0.75000000000000089" t="1" header="0.51180555555555562" footer="0.51180555555555562"/>
    <c:pageSetup firstPageNumber="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Participação das Despesas</a:t>
            </a:r>
          </a:p>
        </c:rich>
      </c:tx>
      <c:layout>
        <c:manualLayout>
          <c:xMode val="edge"/>
          <c:yMode val="edge"/>
          <c:x val="0.59632608631286721"/>
          <c:y val="2.3013228874028936E-2"/>
        </c:manualLayout>
      </c:layout>
      <c:overlay val="0"/>
    </c:title>
    <c:autoTitleDeleted val="0"/>
    <c:view3D>
      <c:rotX val="75"/>
      <c:rotY val="18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1514118439437387E-2"/>
          <c:y val="9.8182524506430627E-2"/>
          <c:w val="0.32987221657366333"/>
          <c:h val="0.83986184053824242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Pt>
            <c:idx val="17"/>
            <c:bubble3D val="0"/>
          </c:dPt>
          <c:dPt>
            <c:idx val="18"/>
            <c:bubble3D val="0"/>
          </c:dPt>
          <c:dPt>
            <c:idx val="19"/>
            <c:bubble3D val="0"/>
          </c:dPt>
          <c:dPt>
            <c:idx val="20"/>
            <c:bubble3D val="0"/>
          </c:dPt>
          <c:dPt>
            <c:idx val="21"/>
            <c:bubble3D val="0"/>
          </c:dPt>
          <c:dPt>
            <c:idx val="22"/>
            <c:bubble3D val="0"/>
          </c:dPt>
          <c:dPt>
            <c:idx val="23"/>
            <c:bubble3D val="0"/>
          </c:dPt>
          <c:dPt>
            <c:idx val="24"/>
            <c:bubble3D val="0"/>
          </c:dPt>
          <c:dPt>
            <c:idx val="25"/>
            <c:bubble3D val="0"/>
          </c:dPt>
          <c:dPt>
            <c:idx val="26"/>
            <c:bubble3D val="0"/>
          </c:dPt>
          <c:dPt>
            <c:idx val="27"/>
            <c:bubble3D val="0"/>
          </c:dPt>
          <c:dPt>
            <c:idx val="28"/>
            <c:bubble3D val="0"/>
          </c:dPt>
          <c:dPt>
            <c:idx val="29"/>
            <c:bubble3D val="0"/>
          </c:dPt>
          <c:dPt>
            <c:idx val="30"/>
            <c:bubble3D val="0"/>
          </c:dPt>
          <c:dPt>
            <c:idx val="31"/>
            <c:bubble3D val="0"/>
          </c:dPt>
          <c:dLbls>
            <c:spPr>
              <a:solidFill>
                <a:srgbClr val="FF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'M10'!$D$57:$D$88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'M10'!$G$57:$G$88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37140936347787"/>
          <c:y val="0.13026479730234725"/>
          <c:w val="0.99543728566775869"/>
          <c:h val="0.93443947647247616"/>
        </c:manualLayout>
      </c:layout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89" r="0.75000000000000089" t="1" header="0.51180555555555562" footer="0.51180555555555562"/>
    <c:pageSetup firstPageNumber="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Participação das Despesas</a:t>
            </a:r>
          </a:p>
        </c:rich>
      </c:tx>
      <c:layout>
        <c:manualLayout>
          <c:xMode val="edge"/>
          <c:yMode val="edge"/>
          <c:x val="0.59632608631286721"/>
          <c:y val="2.3013228874028936E-2"/>
        </c:manualLayout>
      </c:layout>
      <c:overlay val="0"/>
    </c:title>
    <c:autoTitleDeleted val="0"/>
    <c:view3D>
      <c:rotX val="75"/>
      <c:rotY val="18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1514118439437387E-2"/>
          <c:y val="9.8182524506430627E-2"/>
          <c:w val="0.32987221657366333"/>
          <c:h val="0.83986184053824242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Pt>
            <c:idx val="17"/>
            <c:bubble3D val="0"/>
          </c:dPt>
          <c:dPt>
            <c:idx val="18"/>
            <c:bubble3D val="0"/>
          </c:dPt>
          <c:dPt>
            <c:idx val="19"/>
            <c:bubble3D val="0"/>
          </c:dPt>
          <c:dPt>
            <c:idx val="20"/>
            <c:bubble3D val="0"/>
          </c:dPt>
          <c:dPt>
            <c:idx val="21"/>
            <c:bubble3D val="0"/>
          </c:dPt>
          <c:dPt>
            <c:idx val="22"/>
            <c:bubble3D val="0"/>
          </c:dPt>
          <c:dPt>
            <c:idx val="23"/>
            <c:bubble3D val="0"/>
          </c:dPt>
          <c:dPt>
            <c:idx val="24"/>
            <c:bubble3D val="0"/>
          </c:dPt>
          <c:dPt>
            <c:idx val="25"/>
            <c:bubble3D val="0"/>
          </c:dPt>
          <c:dPt>
            <c:idx val="26"/>
            <c:bubble3D val="0"/>
          </c:dPt>
          <c:dPt>
            <c:idx val="27"/>
            <c:bubble3D val="0"/>
          </c:dPt>
          <c:dPt>
            <c:idx val="28"/>
            <c:bubble3D val="0"/>
          </c:dPt>
          <c:dPt>
            <c:idx val="29"/>
            <c:bubble3D val="0"/>
          </c:dPt>
          <c:dPt>
            <c:idx val="30"/>
            <c:bubble3D val="0"/>
          </c:dPt>
          <c:dPt>
            <c:idx val="31"/>
            <c:bubble3D val="0"/>
          </c:dPt>
          <c:dLbls>
            <c:spPr>
              <a:solidFill>
                <a:srgbClr val="FF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'M11'!$D$57:$D$88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'M11'!$G$57:$G$88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37140936347787"/>
          <c:y val="0.13026479730234725"/>
          <c:w val="0.99543728566775869"/>
          <c:h val="0.93443947647247616"/>
        </c:manualLayout>
      </c:layout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89" r="0.75000000000000089" t="1" header="0.51180555555555562" footer="0.51180555555555562"/>
    <c:pageSetup firstPageNumber="0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Participação das Despesas</a:t>
            </a:r>
          </a:p>
        </c:rich>
      </c:tx>
      <c:layout>
        <c:manualLayout>
          <c:xMode val="edge"/>
          <c:yMode val="edge"/>
          <c:x val="0.59632608631286721"/>
          <c:y val="2.3013228874028936E-2"/>
        </c:manualLayout>
      </c:layout>
      <c:overlay val="0"/>
    </c:title>
    <c:autoTitleDeleted val="0"/>
    <c:view3D>
      <c:rotX val="75"/>
      <c:rotY val="18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1514118439437387E-2"/>
          <c:y val="9.8182524506430627E-2"/>
          <c:w val="0.32987221657366333"/>
          <c:h val="0.83986184053824242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Pt>
            <c:idx val="17"/>
            <c:bubble3D val="0"/>
          </c:dPt>
          <c:dPt>
            <c:idx val="18"/>
            <c:bubble3D val="0"/>
          </c:dPt>
          <c:dPt>
            <c:idx val="19"/>
            <c:bubble3D val="0"/>
          </c:dPt>
          <c:dPt>
            <c:idx val="20"/>
            <c:bubble3D val="0"/>
          </c:dPt>
          <c:dPt>
            <c:idx val="21"/>
            <c:bubble3D val="0"/>
          </c:dPt>
          <c:dPt>
            <c:idx val="22"/>
            <c:bubble3D val="0"/>
          </c:dPt>
          <c:dPt>
            <c:idx val="23"/>
            <c:bubble3D val="0"/>
          </c:dPt>
          <c:dPt>
            <c:idx val="24"/>
            <c:bubble3D val="0"/>
          </c:dPt>
          <c:dPt>
            <c:idx val="25"/>
            <c:bubble3D val="0"/>
          </c:dPt>
          <c:dPt>
            <c:idx val="26"/>
            <c:bubble3D val="0"/>
          </c:dPt>
          <c:dPt>
            <c:idx val="27"/>
            <c:bubble3D val="0"/>
          </c:dPt>
          <c:dPt>
            <c:idx val="28"/>
            <c:bubble3D val="0"/>
          </c:dPt>
          <c:dPt>
            <c:idx val="29"/>
            <c:bubble3D val="0"/>
          </c:dPt>
          <c:dPt>
            <c:idx val="30"/>
            <c:bubble3D val="0"/>
          </c:dPt>
          <c:dPt>
            <c:idx val="31"/>
            <c:bubble3D val="0"/>
          </c:dPt>
          <c:dLbls>
            <c:spPr>
              <a:solidFill>
                <a:srgbClr val="FF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'M12'!$D$57:$D$88</c:f>
              <c:strCache>
                <c:ptCount val="32"/>
                <c:pt idx="0">
                  <c:v>MORADIA – CONDOMÍNIO</c:v>
                </c:pt>
                <c:pt idx="1">
                  <c:v>MORADIA – IPTU</c:v>
                </c:pt>
                <c:pt idx="2">
                  <c:v>MORADIA – ALUGUEL</c:v>
                </c:pt>
                <c:pt idx="3">
                  <c:v>MORADIA – REFORMA</c:v>
                </c:pt>
                <c:pt idx="4">
                  <c:v>UTILITIES – ENERGIA ELÉTRICA</c:v>
                </c:pt>
                <c:pt idx="5">
                  <c:v>UTILITIES – ÁGUA POTÁVEL</c:v>
                </c:pt>
                <c:pt idx="6">
                  <c:v>UTILITIES – DIVERSOS (ÁGUA, GÁS, SERV. GERAIS)</c:v>
                </c:pt>
                <c:pt idx="7">
                  <c:v>SAÚDE – PLANO DE SAÚDE</c:v>
                </c:pt>
                <c:pt idx="8">
                  <c:v>SAÚDE – REMÉDIOS</c:v>
                </c:pt>
                <c:pt idx="9">
                  <c:v>SAÚDE – ACADEMIA</c:v>
                </c:pt>
                <c:pt idx="10">
                  <c:v>COMPRAS</c:v>
                </c:pt>
                <c:pt idx="11">
                  <c:v>LAZER</c:v>
                </c:pt>
                <c:pt idx="12">
                  <c:v>ALIMENTAÇÃO – ALMOÇO</c:v>
                </c:pt>
                <c:pt idx="13">
                  <c:v>ALIMENTAÇÃO – COMPRA MENSAL</c:v>
                </c:pt>
                <c:pt idx="14">
                  <c:v>ALIMENTAÇÃO – FEIRAS SEMANAIS</c:v>
                </c:pt>
                <c:pt idx="15">
                  <c:v>TELECOM – CELULAR</c:v>
                </c:pt>
                <c:pt idx="16">
                  <c:v>TELECOM – INTERNET</c:v>
                </c:pt>
                <c:pt idx="17">
                  <c:v>TELECOM – FIXO</c:v>
                </c:pt>
                <c:pt idx="18">
                  <c:v>CARRO – SEGURO</c:v>
                </c:pt>
                <c:pt idx="19">
                  <c:v>CARRO – COMBUSTÍVEL</c:v>
                </c:pt>
                <c:pt idx="20">
                  <c:v>CARRO – CONSERTOS</c:v>
                </c:pt>
                <c:pt idx="21">
                  <c:v>CARRO – PRESTAÇOES</c:v>
                </c:pt>
                <c:pt idx="22">
                  <c:v>BANCO – TAXAS, JUROS ETC.</c:v>
                </c:pt>
                <c:pt idx="23">
                  <c:v>EDUCAÇÃO / TREINAMENTO</c:v>
                </c:pt>
                <c:pt idx="24">
                  <c:v>VIAGEM</c:v>
                </c:pt>
                <c:pt idx="25">
                  <c:v>PESSOAL – DÍZIMO</c:v>
                </c:pt>
                <c:pt idx="26">
                  <c:v>---</c:v>
                </c:pt>
                <c:pt idx="27">
                  <c:v>---</c:v>
                </c:pt>
                <c:pt idx="28">
                  <c:v>---</c:v>
                </c:pt>
                <c:pt idx="29">
                  <c:v>---</c:v>
                </c:pt>
                <c:pt idx="30">
                  <c:v>---</c:v>
                </c:pt>
                <c:pt idx="31">
                  <c:v>---</c:v>
                </c:pt>
              </c:strCache>
            </c:strRef>
          </c:cat>
          <c:val>
            <c:numRef>
              <c:f>'M12'!$G$57:$G$88</c:f>
              <c:numCache>
                <c:formatCode>#,###.00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37140936347787"/>
          <c:y val="0.13026479730234725"/>
          <c:w val="0.99543728566775869"/>
          <c:h val="0.93443947647247616"/>
        </c:manualLayout>
      </c:layout>
      <c:overlay val="0"/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1" l="0.75000000000000089" r="0.75000000000000089" t="1" header="0.51180555555555562" footer="0.51180555555555562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25</xdr:row>
      <xdr:rowOff>342900</xdr:rowOff>
    </xdr:from>
    <xdr:to>
      <xdr:col>4</xdr:col>
      <xdr:colOff>762000</xdr:colOff>
      <xdr:row>43</xdr:row>
      <xdr:rowOff>152400</xdr:rowOff>
    </xdr:to>
    <xdr:graphicFrame macro="">
      <xdr:nvGraphicFramePr>
        <xdr:cNvPr id="14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752475</xdr:colOff>
      <xdr:row>25</xdr:row>
      <xdr:rowOff>352425</xdr:rowOff>
    </xdr:from>
    <xdr:to>
      <xdr:col>10</xdr:col>
      <xdr:colOff>438150</xdr:colOff>
      <xdr:row>43</xdr:row>
      <xdr:rowOff>152400</xdr:rowOff>
    </xdr:to>
    <xdr:graphicFrame macro="">
      <xdr:nvGraphicFramePr>
        <xdr:cNvPr id="14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428625</xdr:colOff>
      <xdr:row>25</xdr:row>
      <xdr:rowOff>352425</xdr:rowOff>
    </xdr:from>
    <xdr:to>
      <xdr:col>16</xdr:col>
      <xdr:colOff>114300</xdr:colOff>
      <xdr:row>43</xdr:row>
      <xdr:rowOff>142875</xdr:rowOff>
    </xdr:to>
    <xdr:graphicFrame macro="">
      <xdr:nvGraphicFramePr>
        <xdr:cNvPr id="142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46</xdr:row>
      <xdr:rowOff>161925</xdr:rowOff>
    </xdr:from>
    <xdr:to>
      <xdr:col>4</xdr:col>
      <xdr:colOff>762000</xdr:colOff>
      <xdr:row>65</xdr:row>
      <xdr:rowOff>0</xdr:rowOff>
    </xdr:to>
    <xdr:graphicFrame macro="">
      <xdr:nvGraphicFramePr>
        <xdr:cNvPr id="1428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752475</xdr:colOff>
      <xdr:row>47</xdr:row>
      <xdr:rowOff>0</xdr:rowOff>
    </xdr:from>
    <xdr:to>
      <xdr:col>10</xdr:col>
      <xdr:colOff>438150</xdr:colOff>
      <xdr:row>65</xdr:row>
      <xdr:rowOff>0</xdr:rowOff>
    </xdr:to>
    <xdr:graphicFrame macro="">
      <xdr:nvGraphicFramePr>
        <xdr:cNvPr id="1429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438150</xdr:colOff>
      <xdr:row>46</xdr:row>
      <xdr:rowOff>161925</xdr:rowOff>
    </xdr:from>
    <xdr:to>
      <xdr:col>16</xdr:col>
      <xdr:colOff>123825</xdr:colOff>
      <xdr:row>65</xdr:row>
      <xdr:rowOff>0</xdr:rowOff>
    </xdr:to>
    <xdr:graphicFrame macro="">
      <xdr:nvGraphicFramePr>
        <xdr:cNvPr id="1430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38100</xdr:colOff>
      <xdr:row>68</xdr:row>
      <xdr:rowOff>19050</xdr:rowOff>
    </xdr:from>
    <xdr:to>
      <xdr:col>4</xdr:col>
      <xdr:colOff>762000</xdr:colOff>
      <xdr:row>86</xdr:row>
      <xdr:rowOff>9525</xdr:rowOff>
    </xdr:to>
    <xdr:graphicFrame macro="">
      <xdr:nvGraphicFramePr>
        <xdr:cNvPr id="1431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752475</xdr:colOff>
      <xdr:row>68</xdr:row>
      <xdr:rowOff>19050</xdr:rowOff>
    </xdr:from>
    <xdr:to>
      <xdr:col>10</xdr:col>
      <xdr:colOff>438150</xdr:colOff>
      <xdr:row>86</xdr:row>
      <xdr:rowOff>9525</xdr:rowOff>
    </xdr:to>
    <xdr:graphicFrame macro="">
      <xdr:nvGraphicFramePr>
        <xdr:cNvPr id="143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438150</xdr:colOff>
      <xdr:row>68</xdr:row>
      <xdr:rowOff>19050</xdr:rowOff>
    </xdr:from>
    <xdr:to>
      <xdr:col>16</xdr:col>
      <xdr:colOff>123825</xdr:colOff>
      <xdr:row>86</xdr:row>
      <xdr:rowOff>9525</xdr:rowOff>
    </xdr:to>
    <xdr:graphicFrame macro="">
      <xdr:nvGraphicFramePr>
        <xdr:cNvPr id="1433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38100</xdr:colOff>
      <xdr:row>88</xdr:row>
      <xdr:rowOff>152400</xdr:rowOff>
    </xdr:from>
    <xdr:to>
      <xdr:col>4</xdr:col>
      <xdr:colOff>762000</xdr:colOff>
      <xdr:row>106</xdr:row>
      <xdr:rowOff>142875</xdr:rowOff>
    </xdr:to>
    <xdr:graphicFrame macro="">
      <xdr:nvGraphicFramePr>
        <xdr:cNvPr id="143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752475</xdr:colOff>
      <xdr:row>88</xdr:row>
      <xdr:rowOff>152400</xdr:rowOff>
    </xdr:from>
    <xdr:to>
      <xdr:col>10</xdr:col>
      <xdr:colOff>438150</xdr:colOff>
      <xdr:row>106</xdr:row>
      <xdr:rowOff>142875</xdr:rowOff>
    </xdr:to>
    <xdr:graphicFrame macro="">
      <xdr:nvGraphicFramePr>
        <xdr:cNvPr id="1435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438150</xdr:colOff>
      <xdr:row>88</xdr:row>
      <xdr:rowOff>152400</xdr:rowOff>
    </xdr:from>
    <xdr:to>
      <xdr:col>16</xdr:col>
      <xdr:colOff>123825</xdr:colOff>
      <xdr:row>106</xdr:row>
      <xdr:rowOff>142875</xdr:rowOff>
    </xdr:to>
    <xdr:graphicFrame macro="">
      <xdr:nvGraphicFramePr>
        <xdr:cNvPr id="1436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76200</xdr:colOff>
      <xdr:row>172</xdr:row>
      <xdr:rowOff>133350</xdr:rowOff>
    </xdr:from>
    <xdr:to>
      <xdr:col>16</xdr:col>
      <xdr:colOff>85725</xdr:colOff>
      <xdr:row>213</xdr:row>
      <xdr:rowOff>161925</xdr:rowOff>
    </xdr:to>
    <xdr:graphicFrame macro="">
      <xdr:nvGraphicFramePr>
        <xdr:cNvPr id="1437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38100</xdr:colOff>
      <xdr:row>214</xdr:row>
      <xdr:rowOff>161925</xdr:rowOff>
    </xdr:from>
    <xdr:to>
      <xdr:col>16</xdr:col>
      <xdr:colOff>123825</xdr:colOff>
      <xdr:row>257</xdr:row>
      <xdr:rowOff>28575</xdr:rowOff>
    </xdr:to>
    <xdr:graphicFrame macro="">
      <xdr:nvGraphicFramePr>
        <xdr:cNvPr id="1438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66675</xdr:colOff>
      <xdr:row>278</xdr:row>
      <xdr:rowOff>85725</xdr:rowOff>
    </xdr:from>
    <xdr:to>
      <xdr:col>16</xdr:col>
      <xdr:colOff>85725</xdr:colOff>
      <xdr:row>299</xdr:row>
      <xdr:rowOff>104775</xdr:rowOff>
    </xdr:to>
    <xdr:graphicFrame macro="">
      <xdr:nvGraphicFramePr>
        <xdr:cNvPr id="1440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38100</xdr:colOff>
      <xdr:row>407</xdr:row>
      <xdr:rowOff>9525</xdr:rowOff>
    </xdr:from>
    <xdr:to>
      <xdr:col>16</xdr:col>
      <xdr:colOff>76200</xdr:colOff>
      <xdr:row>427</xdr:row>
      <xdr:rowOff>28575</xdr:rowOff>
    </xdr:to>
    <xdr:graphicFrame macro="">
      <xdr:nvGraphicFramePr>
        <xdr:cNvPr id="1441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38100</xdr:colOff>
      <xdr:row>427</xdr:row>
      <xdr:rowOff>76200</xdr:rowOff>
    </xdr:from>
    <xdr:to>
      <xdr:col>16</xdr:col>
      <xdr:colOff>76200</xdr:colOff>
      <xdr:row>447</xdr:row>
      <xdr:rowOff>95250</xdr:rowOff>
    </xdr:to>
    <xdr:graphicFrame macro="">
      <xdr:nvGraphicFramePr>
        <xdr:cNvPr id="1442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38100</xdr:colOff>
      <xdr:row>447</xdr:row>
      <xdr:rowOff>142875</xdr:rowOff>
    </xdr:from>
    <xdr:to>
      <xdr:col>16</xdr:col>
      <xdr:colOff>76200</xdr:colOff>
      <xdr:row>467</xdr:row>
      <xdr:rowOff>161925</xdr:rowOff>
    </xdr:to>
    <xdr:graphicFrame macro="">
      <xdr:nvGraphicFramePr>
        <xdr:cNvPr id="1443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38100</xdr:colOff>
      <xdr:row>468</xdr:row>
      <xdr:rowOff>76200</xdr:rowOff>
    </xdr:from>
    <xdr:to>
      <xdr:col>16</xdr:col>
      <xdr:colOff>76200</xdr:colOff>
      <xdr:row>488</xdr:row>
      <xdr:rowOff>95250</xdr:rowOff>
    </xdr:to>
    <xdr:graphicFrame macro="">
      <xdr:nvGraphicFramePr>
        <xdr:cNvPr id="1444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85725</xdr:colOff>
      <xdr:row>319</xdr:row>
      <xdr:rowOff>104775</xdr:rowOff>
    </xdr:from>
    <xdr:to>
      <xdr:col>16</xdr:col>
      <xdr:colOff>95250</xdr:colOff>
      <xdr:row>340</xdr:row>
      <xdr:rowOff>123825</xdr:rowOff>
    </xdr:to>
    <xdr:graphicFrame macro="">
      <xdr:nvGraphicFramePr>
        <xdr:cNvPr id="1445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85725</xdr:colOff>
      <xdr:row>360</xdr:row>
      <xdr:rowOff>85725</xdr:rowOff>
    </xdr:from>
    <xdr:to>
      <xdr:col>16</xdr:col>
      <xdr:colOff>95250</xdr:colOff>
      <xdr:row>385</xdr:row>
      <xdr:rowOff>95250</xdr:rowOff>
    </xdr:to>
    <xdr:graphicFrame macro="">
      <xdr:nvGraphicFramePr>
        <xdr:cNvPr id="1446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absolute">
    <xdr:from>
      <xdr:col>1</xdr:col>
      <xdr:colOff>38100</xdr:colOff>
      <xdr:row>119</xdr:row>
      <xdr:rowOff>9525</xdr:rowOff>
    </xdr:from>
    <xdr:to>
      <xdr:col>4</xdr:col>
      <xdr:colOff>762000</xdr:colOff>
      <xdr:row>131</xdr:row>
      <xdr:rowOff>142875</xdr:rowOff>
    </xdr:to>
    <xdr:graphicFrame macro="">
      <xdr:nvGraphicFramePr>
        <xdr:cNvPr id="1447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absolute">
    <xdr:from>
      <xdr:col>4</xdr:col>
      <xdr:colOff>752475</xdr:colOff>
      <xdr:row>119</xdr:row>
      <xdr:rowOff>9525</xdr:rowOff>
    </xdr:from>
    <xdr:to>
      <xdr:col>10</xdr:col>
      <xdr:colOff>438150</xdr:colOff>
      <xdr:row>131</xdr:row>
      <xdr:rowOff>142875</xdr:rowOff>
    </xdr:to>
    <xdr:graphicFrame macro="">
      <xdr:nvGraphicFramePr>
        <xdr:cNvPr id="1448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absolute">
    <xdr:from>
      <xdr:col>10</xdr:col>
      <xdr:colOff>438150</xdr:colOff>
      <xdr:row>119</xdr:row>
      <xdr:rowOff>9525</xdr:rowOff>
    </xdr:from>
    <xdr:to>
      <xdr:col>16</xdr:col>
      <xdr:colOff>123825</xdr:colOff>
      <xdr:row>131</xdr:row>
      <xdr:rowOff>142875</xdr:rowOff>
    </xdr:to>
    <xdr:graphicFrame macro="">
      <xdr:nvGraphicFramePr>
        <xdr:cNvPr id="1449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19050</xdr:rowOff>
    </xdr:from>
    <xdr:to>
      <xdr:col>22</xdr:col>
      <xdr:colOff>0</xdr:colOff>
      <xdr:row>124</xdr:row>
      <xdr:rowOff>47625</xdr:rowOff>
    </xdr:to>
    <xdr:graphicFrame macro="">
      <xdr:nvGraphicFramePr>
        <xdr:cNvPr id="266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22</xdr:col>
      <xdr:colOff>9525</xdr:colOff>
      <xdr:row>124</xdr:row>
      <xdr:rowOff>28575</xdr:rowOff>
    </xdr:to>
    <xdr:graphicFrame macro="">
      <xdr:nvGraphicFramePr>
        <xdr:cNvPr id="2868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22</xdr:col>
      <xdr:colOff>47625</xdr:colOff>
      <xdr:row>125</xdr:row>
      <xdr:rowOff>123825</xdr:rowOff>
    </xdr:to>
    <xdr:graphicFrame macro="">
      <xdr:nvGraphicFramePr>
        <xdr:cNvPr id="3073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22</xdr:col>
      <xdr:colOff>47625</xdr:colOff>
      <xdr:row>125</xdr:row>
      <xdr:rowOff>123825</xdr:rowOff>
    </xdr:to>
    <xdr:graphicFrame macro="">
      <xdr:nvGraphicFramePr>
        <xdr:cNvPr id="3278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22</xdr:col>
      <xdr:colOff>57150</xdr:colOff>
      <xdr:row>126</xdr:row>
      <xdr:rowOff>28575</xdr:rowOff>
    </xdr:to>
    <xdr:graphicFrame macro="">
      <xdr:nvGraphicFramePr>
        <xdr:cNvPr id="348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22</xdr:col>
      <xdr:colOff>104775</xdr:colOff>
      <xdr:row>127</xdr:row>
      <xdr:rowOff>133350</xdr:rowOff>
    </xdr:to>
    <xdr:graphicFrame macro="">
      <xdr:nvGraphicFramePr>
        <xdr:cNvPr id="3688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22</xdr:col>
      <xdr:colOff>104775</xdr:colOff>
      <xdr:row>127</xdr:row>
      <xdr:rowOff>133350</xdr:rowOff>
    </xdr:to>
    <xdr:graphicFrame macro="">
      <xdr:nvGraphicFramePr>
        <xdr:cNvPr id="389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22</xdr:col>
      <xdr:colOff>9525</xdr:colOff>
      <xdr:row>124</xdr:row>
      <xdr:rowOff>28575</xdr:rowOff>
    </xdr:to>
    <xdr:graphicFrame macro="">
      <xdr:nvGraphicFramePr>
        <xdr:cNvPr id="4097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22</xdr:col>
      <xdr:colOff>9525</xdr:colOff>
      <xdr:row>124</xdr:row>
      <xdr:rowOff>28575</xdr:rowOff>
    </xdr:to>
    <xdr:graphicFrame macro="">
      <xdr:nvGraphicFramePr>
        <xdr:cNvPr id="43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22</xdr:col>
      <xdr:colOff>9525</xdr:colOff>
      <xdr:row>124</xdr:row>
      <xdr:rowOff>28575</xdr:rowOff>
    </xdr:to>
    <xdr:graphicFrame macro="">
      <xdr:nvGraphicFramePr>
        <xdr:cNvPr id="450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22</xdr:col>
      <xdr:colOff>9525</xdr:colOff>
      <xdr:row>124</xdr:row>
      <xdr:rowOff>28575</xdr:rowOff>
    </xdr:to>
    <xdr:graphicFrame macro="">
      <xdr:nvGraphicFramePr>
        <xdr:cNvPr id="471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22</xdr:col>
      <xdr:colOff>9525</xdr:colOff>
      <xdr:row>124</xdr:row>
      <xdr:rowOff>28575</xdr:rowOff>
    </xdr:to>
    <xdr:graphicFrame macro="">
      <xdr:nvGraphicFramePr>
        <xdr:cNvPr id="491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89"/>
  <sheetViews>
    <sheetView tabSelected="1" zoomScale="70" zoomScaleNormal="70" zoomScalePageLayoutView="40" workbookViewId="0">
      <pane ySplit="4" topLeftCell="A5" activePane="bottomLeft" state="frozen"/>
      <selection pane="bottomLeft" activeCell="T11" sqref="T11"/>
    </sheetView>
  </sheetViews>
  <sheetFormatPr defaultColWidth="11.5703125" defaultRowHeight="12.75" x14ac:dyDescent="0.2"/>
  <cols>
    <col min="1" max="1" width="4.140625" style="24" customWidth="1"/>
    <col min="2" max="2" width="2.5703125" style="1" customWidth="1"/>
    <col min="3" max="3" width="9.140625" style="2" customWidth="1"/>
    <col min="4" max="4" width="49.140625" style="1" customWidth="1"/>
    <col min="5" max="16" width="12.7109375" style="1" customWidth="1"/>
    <col min="17" max="17" width="2.5703125" style="1" customWidth="1"/>
    <col min="18" max="18" width="10.140625" style="1" customWidth="1"/>
    <col min="19" max="226" width="11.5703125" style="1"/>
    <col min="227" max="16384" width="11.5703125" style="3"/>
  </cols>
  <sheetData>
    <row r="1" spans="1:256" s="4" customFormat="1" ht="43.9" customHeight="1" x14ac:dyDescent="0.2">
      <c r="A1" s="294"/>
      <c r="B1" s="294"/>
      <c r="C1" s="294"/>
      <c r="D1" s="294"/>
      <c r="E1" s="295"/>
      <c r="F1" s="295"/>
      <c r="G1" s="295"/>
      <c r="H1" s="295"/>
      <c r="I1" s="295"/>
      <c r="J1" s="295"/>
      <c r="K1" s="296"/>
      <c r="L1" s="296"/>
      <c r="M1" s="296"/>
      <c r="N1" s="296"/>
      <c r="O1" s="296"/>
      <c r="P1" s="296"/>
      <c r="HR1" s="1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4" customFormat="1" ht="17.100000000000001" customHeight="1" x14ac:dyDescent="0.2">
      <c r="A2" s="294"/>
      <c r="B2" s="294"/>
      <c r="C2" s="294"/>
      <c r="D2" s="294"/>
      <c r="E2" s="295"/>
      <c r="F2" s="295"/>
      <c r="G2" s="295"/>
      <c r="H2" s="295"/>
      <c r="I2" s="295"/>
      <c r="J2" s="295"/>
      <c r="K2" s="297"/>
      <c r="L2" s="298" t="s">
        <v>0</v>
      </c>
      <c r="M2" s="298"/>
      <c r="N2" s="298"/>
      <c r="O2" s="298"/>
      <c r="P2" s="300">
        <v>2010</v>
      </c>
      <c r="HR2" s="1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1:256" s="4" customFormat="1" ht="17.100000000000001" customHeight="1" x14ac:dyDescent="0.2">
      <c r="A3" s="294"/>
      <c r="B3" s="294"/>
      <c r="C3" s="294"/>
      <c r="D3" s="294"/>
      <c r="E3" s="295"/>
      <c r="F3" s="295"/>
      <c r="G3" s="295"/>
      <c r="H3" s="295"/>
      <c r="I3" s="295"/>
      <c r="J3" s="295"/>
      <c r="K3" s="297"/>
      <c r="L3" s="299"/>
      <c r="M3" s="299"/>
      <c r="N3" s="299"/>
      <c r="O3" s="299"/>
      <c r="P3" s="301"/>
      <c r="HR3" s="1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</row>
    <row r="4" spans="1:256" s="5" customFormat="1" ht="11.45" customHeight="1" x14ac:dyDescent="0.2">
      <c r="A4" s="292" t="s">
        <v>1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HR4" s="6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</row>
    <row r="5" spans="1:256" s="4" customFormat="1" ht="42.6" customHeight="1" x14ac:dyDescent="0.2">
      <c r="A5" s="155" t="s">
        <v>2</v>
      </c>
      <c r="B5" s="283">
        <f>P$2</f>
        <v>2010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156"/>
      <c r="HR5" s="1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pans="1:256" ht="14.1" customHeight="1" x14ac:dyDescent="0.2">
      <c r="B6" s="8"/>
    </row>
    <row r="7" spans="1:256" ht="14.1" customHeight="1" x14ac:dyDescent="0.2"/>
    <row r="8" spans="1:256" ht="14.1" customHeight="1" x14ac:dyDescent="0.2">
      <c r="B8" s="134"/>
      <c r="C8" s="135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7"/>
    </row>
    <row r="9" spans="1:256" ht="14.1" customHeight="1" x14ac:dyDescent="0.2">
      <c r="B9" s="138"/>
      <c r="C9" s="284" t="s">
        <v>3</v>
      </c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139"/>
    </row>
    <row r="10" spans="1:256" s="9" customFormat="1" ht="14.1" customHeight="1" x14ac:dyDescent="0.2">
      <c r="A10" s="248"/>
      <c r="B10" s="140"/>
      <c r="C10" s="284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4"/>
      <c r="Q10" s="139"/>
      <c r="R10" s="1"/>
      <c r="HP10" s="1"/>
      <c r="HQ10" s="1"/>
      <c r="HR10" s="1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</row>
    <row r="11" spans="1:256" ht="14.1" customHeight="1" x14ac:dyDescent="0.2">
      <c r="B11" s="46"/>
      <c r="C11" s="278" t="s">
        <v>94</v>
      </c>
      <c r="D11" s="280" t="s">
        <v>5</v>
      </c>
      <c r="E11" s="275" t="s">
        <v>6</v>
      </c>
      <c r="F11" s="275"/>
      <c r="G11" s="275"/>
      <c r="H11" s="275"/>
      <c r="I11" s="275"/>
      <c r="J11" s="275"/>
      <c r="K11" s="275"/>
      <c r="L11" s="275"/>
      <c r="M11" s="275"/>
      <c r="N11" s="275"/>
      <c r="O11" s="275"/>
      <c r="P11" s="276"/>
      <c r="Q11" s="139"/>
    </row>
    <row r="12" spans="1:256" ht="14.1" customHeight="1" x14ac:dyDescent="0.2">
      <c r="B12" s="44"/>
      <c r="C12" s="279"/>
      <c r="D12" s="281"/>
      <c r="E12" s="98" t="s">
        <v>7</v>
      </c>
      <c r="F12" s="98" t="s">
        <v>8</v>
      </c>
      <c r="G12" s="98" t="s">
        <v>9</v>
      </c>
      <c r="H12" s="98" t="s">
        <v>10</v>
      </c>
      <c r="I12" s="98" t="s">
        <v>11</v>
      </c>
      <c r="J12" s="98" t="s">
        <v>12</v>
      </c>
      <c r="K12" s="98" t="s">
        <v>13</v>
      </c>
      <c r="L12" s="98" t="s">
        <v>14</v>
      </c>
      <c r="M12" s="98" t="s">
        <v>15</v>
      </c>
      <c r="N12" s="98" t="s">
        <v>16</v>
      </c>
      <c r="O12" s="98" t="s">
        <v>17</v>
      </c>
      <c r="P12" s="98" t="s">
        <v>18</v>
      </c>
      <c r="Q12" s="144"/>
    </row>
    <row r="13" spans="1:256" ht="14.1" customHeight="1" x14ac:dyDescent="0.2">
      <c r="A13" s="249">
        <v>1</v>
      </c>
      <c r="B13" s="150"/>
      <c r="C13" s="151"/>
      <c r="D13" s="152" t="s">
        <v>110</v>
      </c>
      <c r="E13" s="149">
        <f ca="1">INDIRECT("M"&amp;COLUMN()-4&amp;"!G"&amp;ROW()-4)</f>
        <v>0</v>
      </c>
      <c r="F13" s="149">
        <f t="shared" ref="F13:P24" ca="1" si="0">INDIRECT("M"&amp;COLUMN()-4&amp;"!G"&amp;ROW()-4)</f>
        <v>0</v>
      </c>
      <c r="G13" s="149">
        <f t="shared" ca="1" si="0"/>
        <v>0</v>
      </c>
      <c r="H13" s="149">
        <f t="shared" ca="1" si="0"/>
        <v>0</v>
      </c>
      <c r="I13" s="149">
        <f t="shared" ca="1" si="0"/>
        <v>0</v>
      </c>
      <c r="J13" s="149">
        <f t="shared" ca="1" si="0"/>
        <v>0</v>
      </c>
      <c r="K13" s="149">
        <f t="shared" ca="1" si="0"/>
        <v>0</v>
      </c>
      <c r="L13" s="149">
        <f t="shared" ca="1" si="0"/>
        <v>0</v>
      </c>
      <c r="M13" s="149">
        <f t="shared" ca="1" si="0"/>
        <v>0</v>
      </c>
      <c r="N13" s="149">
        <f t="shared" ca="1" si="0"/>
        <v>0</v>
      </c>
      <c r="O13" s="149">
        <f t="shared" ca="1" si="0"/>
        <v>0</v>
      </c>
      <c r="P13" s="149">
        <f t="shared" ca="1" si="0"/>
        <v>0</v>
      </c>
      <c r="Q13" s="146"/>
    </row>
    <row r="14" spans="1:256" ht="14.1" customHeight="1" x14ac:dyDescent="0.2">
      <c r="A14" s="250">
        <f t="shared" ref="A14:A24" si="1">A13+1</f>
        <v>2</v>
      </c>
      <c r="B14" s="145"/>
      <c r="C14" s="153" t="s">
        <v>108</v>
      </c>
      <c r="D14" s="154" t="s">
        <v>111</v>
      </c>
      <c r="E14" s="114">
        <f t="shared" ref="E14:E24" ca="1" si="2">INDIRECT("M"&amp;COLUMN()-4&amp;"!G"&amp;ROW()-4)</f>
        <v>0</v>
      </c>
      <c r="F14" s="114">
        <f t="shared" ca="1" si="0"/>
        <v>0</v>
      </c>
      <c r="G14" s="114">
        <f t="shared" ca="1" si="0"/>
        <v>0</v>
      </c>
      <c r="H14" s="114">
        <f t="shared" ca="1" si="0"/>
        <v>0</v>
      </c>
      <c r="I14" s="114">
        <f t="shared" ca="1" si="0"/>
        <v>0</v>
      </c>
      <c r="J14" s="114">
        <f t="shared" ca="1" si="0"/>
        <v>0</v>
      </c>
      <c r="K14" s="114">
        <f t="shared" ca="1" si="0"/>
        <v>0</v>
      </c>
      <c r="L14" s="114">
        <f t="shared" ca="1" si="0"/>
        <v>0</v>
      </c>
      <c r="M14" s="114">
        <f t="shared" ca="1" si="0"/>
        <v>0</v>
      </c>
      <c r="N14" s="114">
        <f t="shared" ca="1" si="0"/>
        <v>0</v>
      </c>
      <c r="O14" s="114">
        <f t="shared" ca="1" si="0"/>
        <v>0</v>
      </c>
      <c r="P14" s="114">
        <f t="shared" ca="1" si="0"/>
        <v>0</v>
      </c>
      <c r="Q14" s="146"/>
    </row>
    <row r="15" spans="1:256" ht="14.1" customHeight="1" x14ac:dyDescent="0.2">
      <c r="A15" s="251">
        <f t="shared" si="1"/>
        <v>3</v>
      </c>
      <c r="B15" s="145"/>
      <c r="C15" s="151" t="s">
        <v>109</v>
      </c>
      <c r="D15" s="152" t="s">
        <v>26</v>
      </c>
      <c r="E15" s="117">
        <f t="shared" ca="1" si="2"/>
        <v>0</v>
      </c>
      <c r="F15" s="117">
        <f t="shared" ca="1" si="0"/>
        <v>0</v>
      </c>
      <c r="G15" s="117">
        <f t="shared" ca="1" si="0"/>
        <v>0</v>
      </c>
      <c r="H15" s="117">
        <f t="shared" ca="1" si="0"/>
        <v>0</v>
      </c>
      <c r="I15" s="117">
        <f t="shared" ca="1" si="0"/>
        <v>0</v>
      </c>
      <c r="J15" s="117">
        <f t="shared" ca="1" si="0"/>
        <v>0</v>
      </c>
      <c r="K15" s="117">
        <f t="shared" ca="1" si="0"/>
        <v>0</v>
      </c>
      <c r="L15" s="117">
        <f t="shared" ca="1" si="0"/>
        <v>0</v>
      </c>
      <c r="M15" s="117">
        <f t="shared" ca="1" si="0"/>
        <v>0</v>
      </c>
      <c r="N15" s="117">
        <f t="shared" ca="1" si="0"/>
        <v>0</v>
      </c>
      <c r="O15" s="117">
        <f t="shared" ca="1" si="0"/>
        <v>0</v>
      </c>
      <c r="P15" s="117">
        <f t="shared" ca="1" si="0"/>
        <v>0</v>
      </c>
      <c r="Q15" s="146"/>
    </row>
    <row r="16" spans="1:256" ht="14.1" customHeight="1" x14ac:dyDescent="0.2">
      <c r="A16" s="252">
        <f t="shared" si="1"/>
        <v>4</v>
      </c>
      <c r="B16" s="145"/>
      <c r="C16" s="153" t="s">
        <v>113</v>
      </c>
      <c r="D16" s="154" t="s">
        <v>112</v>
      </c>
      <c r="E16" s="114">
        <f t="shared" ca="1" si="2"/>
        <v>0</v>
      </c>
      <c r="F16" s="114">
        <f t="shared" ca="1" si="0"/>
        <v>0</v>
      </c>
      <c r="G16" s="114">
        <f t="shared" ca="1" si="0"/>
        <v>0</v>
      </c>
      <c r="H16" s="114">
        <f t="shared" ca="1" si="0"/>
        <v>0</v>
      </c>
      <c r="I16" s="114">
        <f t="shared" ca="1" si="0"/>
        <v>0</v>
      </c>
      <c r="J16" s="114">
        <f t="shared" ca="1" si="0"/>
        <v>0</v>
      </c>
      <c r="K16" s="114">
        <f t="shared" ca="1" si="0"/>
        <v>0</v>
      </c>
      <c r="L16" s="114">
        <f t="shared" ca="1" si="0"/>
        <v>0</v>
      </c>
      <c r="M16" s="114">
        <f t="shared" ca="1" si="0"/>
        <v>0</v>
      </c>
      <c r="N16" s="114">
        <f t="shared" ca="1" si="0"/>
        <v>0</v>
      </c>
      <c r="O16" s="114">
        <f t="shared" ca="1" si="0"/>
        <v>0</v>
      </c>
      <c r="P16" s="114">
        <f t="shared" ca="1" si="0"/>
        <v>0</v>
      </c>
      <c r="Q16" s="146"/>
    </row>
    <row r="17" spans="1:17" ht="14.1" customHeight="1" x14ac:dyDescent="0.2">
      <c r="A17" s="253">
        <f t="shared" si="1"/>
        <v>5</v>
      </c>
      <c r="B17" s="145"/>
      <c r="C17" s="241" t="s">
        <v>85</v>
      </c>
      <c r="D17" s="152"/>
      <c r="E17" s="117">
        <f t="shared" ca="1" si="2"/>
        <v>0</v>
      </c>
      <c r="F17" s="117">
        <f t="shared" ca="1" si="0"/>
        <v>0</v>
      </c>
      <c r="G17" s="117">
        <f t="shared" ca="1" si="0"/>
        <v>0</v>
      </c>
      <c r="H17" s="117">
        <f t="shared" ca="1" si="0"/>
        <v>0</v>
      </c>
      <c r="I17" s="117">
        <f t="shared" ca="1" si="0"/>
        <v>0</v>
      </c>
      <c r="J17" s="117">
        <f t="shared" ca="1" si="0"/>
        <v>0</v>
      </c>
      <c r="K17" s="117">
        <f t="shared" ca="1" si="0"/>
        <v>0</v>
      </c>
      <c r="L17" s="117">
        <f t="shared" ca="1" si="0"/>
        <v>0</v>
      </c>
      <c r="M17" s="117">
        <f t="shared" ca="1" si="0"/>
        <v>0</v>
      </c>
      <c r="N17" s="117">
        <f t="shared" ca="1" si="0"/>
        <v>0</v>
      </c>
      <c r="O17" s="117">
        <f t="shared" ca="1" si="0"/>
        <v>0</v>
      </c>
      <c r="P17" s="117">
        <f t="shared" ca="1" si="0"/>
        <v>0</v>
      </c>
      <c r="Q17" s="146"/>
    </row>
    <row r="18" spans="1:17" ht="14.1" customHeight="1" x14ac:dyDescent="0.2">
      <c r="A18" s="254">
        <f t="shared" si="1"/>
        <v>6</v>
      </c>
      <c r="B18" s="145"/>
      <c r="C18" s="242" t="s">
        <v>85</v>
      </c>
      <c r="D18" s="154"/>
      <c r="E18" s="114">
        <f t="shared" ca="1" si="2"/>
        <v>0</v>
      </c>
      <c r="F18" s="114">
        <f t="shared" ca="1" si="0"/>
        <v>0</v>
      </c>
      <c r="G18" s="114">
        <f t="shared" ca="1" si="0"/>
        <v>0</v>
      </c>
      <c r="H18" s="114">
        <f t="shared" ca="1" si="0"/>
        <v>0</v>
      </c>
      <c r="I18" s="114">
        <f t="shared" ca="1" si="0"/>
        <v>0</v>
      </c>
      <c r="J18" s="114">
        <f t="shared" ca="1" si="0"/>
        <v>0</v>
      </c>
      <c r="K18" s="114">
        <f t="shared" ca="1" si="0"/>
        <v>0</v>
      </c>
      <c r="L18" s="114">
        <f t="shared" ca="1" si="0"/>
        <v>0</v>
      </c>
      <c r="M18" s="114">
        <f t="shared" ca="1" si="0"/>
        <v>0</v>
      </c>
      <c r="N18" s="114">
        <f t="shared" ca="1" si="0"/>
        <v>0</v>
      </c>
      <c r="O18" s="114">
        <f t="shared" ca="1" si="0"/>
        <v>0</v>
      </c>
      <c r="P18" s="114">
        <f t="shared" ca="1" si="0"/>
        <v>0</v>
      </c>
      <c r="Q18" s="146"/>
    </row>
    <row r="19" spans="1:17" ht="14.1" customHeight="1" x14ac:dyDescent="0.2">
      <c r="A19" s="255">
        <f t="shared" si="1"/>
        <v>7</v>
      </c>
      <c r="B19" s="145"/>
      <c r="C19" s="241" t="s">
        <v>85</v>
      </c>
      <c r="D19" s="152"/>
      <c r="E19" s="117">
        <f t="shared" ca="1" si="2"/>
        <v>0</v>
      </c>
      <c r="F19" s="117">
        <f t="shared" ca="1" si="0"/>
        <v>0</v>
      </c>
      <c r="G19" s="117">
        <f t="shared" ca="1" si="0"/>
        <v>0</v>
      </c>
      <c r="H19" s="117">
        <f t="shared" ca="1" si="0"/>
        <v>0</v>
      </c>
      <c r="I19" s="117">
        <f t="shared" ca="1" si="0"/>
        <v>0</v>
      </c>
      <c r="J19" s="117">
        <f t="shared" ca="1" si="0"/>
        <v>0</v>
      </c>
      <c r="K19" s="117">
        <f t="shared" ca="1" si="0"/>
        <v>0</v>
      </c>
      <c r="L19" s="117">
        <f t="shared" ca="1" si="0"/>
        <v>0</v>
      </c>
      <c r="M19" s="117">
        <f t="shared" ca="1" si="0"/>
        <v>0</v>
      </c>
      <c r="N19" s="117">
        <f t="shared" ca="1" si="0"/>
        <v>0</v>
      </c>
      <c r="O19" s="117">
        <f t="shared" ca="1" si="0"/>
        <v>0</v>
      </c>
      <c r="P19" s="117">
        <f t="shared" ca="1" si="0"/>
        <v>0</v>
      </c>
      <c r="Q19" s="146"/>
    </row>
    <row r="20" spans="1:17" ht="14.1" customHeight="1" x14ac:dyDescent="0.2">
      <c r="A20" s="256">
        <f t="shared" si="1"/>
        <v>8</v>
      </c>
      <c r="B20" s="145"/>
      <c r="C20" s="242" t="s">
        <v>85</v>
      </c>
      <c r="D20" s="154"/>
      <c r="E20" s="114">
        <f t="shared" ca="1" si="2"/>
        <v>0</v>
      </c>
      <c r="F20" s="114">
        <f t="shared" ca="1" si="0"/>
        <v>0</v>
      </c>
      <c r="G20" s="114">
        <f t="shared" ca="1" si="0"/>
        <v>0</v>
      </c>
      <c r="H20" s="114">
        <f t="shared" ca="1" si="0"/>
        <v>0</v>
      </c>
      <c r="I20" s="114">
        <f t="shared" ca="1" si="0"/>
        <v>0</v>
      </c>
      <c r="J20" s="114">
        <f t="shared" ca="1" si="0"/>
        <v>0</v>
      </c>
      <c r="K20" s="114">
        <f t="shared" ca="1" si="0"/>
        <v>0</v>
      </c>
      <c r="L20" s="114">
        <f t="shared" ca="1" si="0"/>
        <v>0</v>
      </c>
      <c r="M20" s="114">
        <f t="shared" ca="1" si="0"/>
        <v>0</v>
      </c>
      <c r="N20" s="114">
        <f t="shared" ca="1" si="0"/>
        <v>0</v>
      </c>
      <c r="O20" s="114">
        <f t="shared" ca="1" si="0"/>
        <v>0</v>
      </c>
      <c r="P20" s="114">
        <f t="shared" ca="1" si="0"/>
        <v>0</v>
      </c>
      <c r="Q20" s="146"/>
    </row>
    <row r="21" spans="1:17" ht="14.1" customHeight="1" x14ac:dyDescent="0.2">
      <c r="A21" s="257">
        <f t="shared" si="1"/>
        <v>9</v>
      </c>
      <c r="B21" s="145"/>
      <c r="C21" s="241" t="s">
        <v>85</v>
      </c>
      <c r="D21" s="152"/>
      <c r="E21" s="117">
        <f t="shared" ca="1" si="2"/>
        <v>0</v>
      </c>
      <c r="F21" s="117">
        <f t="shared" ca="1" si="0"/>
        <v>0</v>
      </c>
      <c r="G21" s="117">
        <f t="shared" ca="1" si="0"/>
        <v>0</v>
      </c>
      <c r="H21" s="117">
        <f t="shared" ca="1" si="0"/>
        <v>0</v>
      </c>
      <c r="I21" s="117">
        <f t="shared" ca="1" si="0"/>
        <v>0</v>
      </c>
      <c r="J21" s="117">
        <f t="shared" ca="1" si="0"/>
        <v>0</v>
      </c>
      <c r="K21" s="117">
        <f t="shared" ca="1" si="0"/>
        <v>0</v>
      </c>
      <c r="L21" s="117">
        <f t="shared" ca="1" si="0"/>
        <v>0</v>
      </c>
      <c r="M21" s="117">
        <f t="shared" ca="1" si="0"/>
        <v>0</v>
      </c>
      <c r="N21" s="117">
        <f t="shared" ca="1" si="0"/>
        <v>0</v>
      </c>
      <c r="O21" s="117">
        <f t="shared" ca="1" si="0"/>
        <v>0</v>
      </c>
      <c r="P21" s="117">
        <f t="shared" ca="1" si="0"/>
        <v>0</v>
      </c>
      <c r="Q21" s="146"/>
    </row>
    <row r="22" spans="1:17" ht="14.1" customHeight="1" x14ac:dyDescent="0.2">
      <c r="A22" s="258">
        <f t="shared" si="1"/>
        <v>10</v>
      </c>
      <c r="B22" s="145"/>
      <c r="C22" s="242" t="s">
        <v>85</v>
      </c>
      <c r="D22" s="154"/>
      <c r="E22" s="114">
        <f t="shared" ca="1" si="2"/>
        <v>0</v>
      </c>
      <c r="F22" s="114">
        <f t="shared" ca="1" si="0"/>
        <v>0</v>
      </c>
      <c r="G22" s="114">
        <f t="shared" ca="1" si="0"/>
        <v>0</v>
      </c>
      <c r="H22" s="114">
        <f t="shared" ca="1" si="0"/>
        <v>0</v>
      </c>
      <c r="I22" s="114">
        <f t="shared" ca="1" si="0"/>
        <v>0</v>
      </c>
      <c r="J22" s="114">
        <f t="shared" ca="1" si="0"/>
        <v>0</v>
      </c>
      <c r="K22" s="114">
        <f t="shared" ca="1" si="0"/>
        <v>0</v>
      </c>
      <c r="L22" s="114">
        <f t="shared" ca="1" si="0"/>
        <v>0</v>
      </c>
      <c r="M22" s="114">
        <f t="shared" ca="1" si="0"/>
        <v>0</v>
      </c>
      <c r="N22" s="114">
        <f t="shared" ca="1" si="0"/>
        <v>0</v>
      </c>
      <c r="O22" s="114">
        <f t="shared" ca="1" si="0"/>
        <v>0</v>
      </c>
      <c r="P22" s="114">
        <f t="shared" ca="1" si="0"/>
        <v>0</v>
      </c>
      <c r="Q22" s="146"/>
    </row>
    <row r="23" spans="1:17" ht="14.1" customHeight="1" x14ac:dyDescent="0.2">
      <c r="A23" s="259">
        <f t="shared" si="1"/>
        <v>11</v>
      </c>
      <c r="B23" s="145"/>
      <c r="C23" s="241" t="s">
        <v>85</v>
      </c>
      <c r="D23" s="152"/>
      <c r="E23" s="117">
        <f t="shared" ca="1" si="2"/>
        <v>0</v>
      </c>
      <c r="F23" s="117">
        <f t="shared" ca="1" si="0"/>
        <v>0</v>
      </c>
      <c r="G23" s="117">
        <f t="shared" ca="1" si="0"/>
        <v>0</v>
      </c>
      <c r="H23" s="117">
        <f t="shared" ca="1" si="0"/>
        <v>0</v>
      </c>
      <c r="I23" s="117">
        <f t="shared" ca="1" si="0"/>
        <v>0</v>
      </c>
      <c r="J23" s="117">
        <f t="shared" ca="1" si="0"/>
        <v>0</v>
      </c>
      <c r="K23" s="117">
        <f t="shared" ca="1" si="0"/>
        <v>0</v>
      </c>
      <c r="L23" s="117">
        <f t="shared" ca="1" si="0"/>
        <v>0</v>
      </c>
      <c r="M23" s="117">
        <f t="shared" ca="1" si="0"/>
        <v>0</v>
      </c>
      <c r="N23" s="117">
        <f t="shared" ca="1" si="0"/>
        <v>0</v>
      </c>
      <c r="O23" s="117">
        <f t="shared" ca="1" si="0"/>
        <v>0</v>
      </c>
      <c r="P23" s="117">
        <f t="shared" ca="1" si="0"/>
        <v>0</v>
      </c>
      <c r="Q23" s="146"/>
    </row>
    <row r="24" spans="1:17" ht="14.1" customHeight="1" x14ac:dyDescent="0.2">
      <c r="A24" s="260">
        <f t="shared" si="1"/>
        <v>12</v>
      </c>
      <c r="B24" s="147"/>
      <c r="C24" s="242" t="s">
        <v>85</v>
      </c>
      <c r="D24" s="154"/>
      <c r="E24" s="114">
        <f t="shared" ca="1" si="2"/>
        <v>0</v>
      </c>
      <c r="F24" s="114">
        <f t="shared" ca="1" si="0"/>
        <v>0</v>
      </c>
      <c r="G24" s="114">
        <f t="shared" ca="1" si="0"/>
        <v>0</v>
      </c>
      <c r="H24" s="114">
        <f t="shared" ca="1" si="0"/>
        <v>0</v>
      </c>
      <c r="I24" s="114">
        <f t="shared" ca="1" si="0"/>
        <v>0</v>
      </c>
      <c r="J24" s="114">
        <f t="shared" ca="1" si="0"/>
        <v>0</v>
      </c>
      <c r="K24" s="114">
        <f t="shared" ca="1" si="0"/>
        <v>0</v>
      </c>
      <c r="L24" s="114">
        <f t="shared" ca="1" si="0"/>
        <v>0</v>
      </c>
      <c r="M24" s="114">
        <f t="shared" ca="1" si="0"/>
        <v>0</v>
      </c>
      <c r="N24" s="114">
        <f t="shared" ca="1" si="0"/>
        <v>0</v>
      </c>
      <c r="O24" s="114">
        <f t="shared" ca="1" si="0"/>
        <v>0</v>
      </c>
      <c r="P24" s="114">
        <f t="shared" ca="1" si="0"/>
        <v>0</v>
      </c>
      <c r="Q24" s="148"/>
    </row>
    <row r="25" spans="1:17" ht="14.1" customHeight="1" x14ac:dyDescent="0.2">
      <c r="B25" s="134"/>
      <c r="C25" s="135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7"/>
    </row>
    <row r="26" spans="1:17" ht="27.95" customHeight="1" x14ac:dyDescent="0.2">
      <c r="B26" s="269" t="str">
        <f>IF($D$13&lt;&gt;"",$D$13&amp;" ("&amp;$C$13&amp;")",$C$13)</f>
        <v>CONTA CORRENTE BANCO 1 ()</v>
      </c>
      <c r="C26" s="270"/>
      <c r="D26" s="270"/>
      <c r="E26" s="270"/>
      <c r="F26" s="270" t="str">
        <f>IF($D$14&lt;&gt;"",$D$14&amp;" ("&amp;$C$14&amp;")",$C$14)</f>
        <v>POUPANÇA BANCO 1 (INV1)</v>
      </c>
      <c r="G26" s="270"/>
      <c r="H26" s="270"/>
      <c r="I26" s="270"/>
      <c r="J26" s="270"/>
      <c r="K26" s="243"/>
      <c r="L26" s="270" t="str">
        <f>IF($D$15&lt;&gt;"",$D$15&amp;" ("&amp;$C$15&amp;")",$C$15)</f>
        <v>EM ESPÉCIE (DINH1)</v>
      </c>
      <c r="M26" s="270"/>
      <c r="N26" s="270"/>
      <c r="O26" s="270"/>
      <c r="P26" s="270"/>
      <c r="Q26" s="139"/>
    </row>
    <row r="27" spans="1:17" ht="14.1" customHeight="1" x14ac:dyDescent="0.2">
      <c r="B27" s="244"/>
      <c r="C27" s="245"/>
      <c r="D27" s="245"/>
      <c r="E27" s="245"/>
      <c r="F27" s="245"/>
      <c r="G27" s="245"/>
      <c r="H27" s="245"/>
      <c r="I27" s="245"/>
      <c r="J27" s="245"/>
      <c r="K27" s="243"/>
      <c r="L27" s="245"/>
      <c r="M27" s="245"/>
      <c r="N27" s="245"/>
      <c r="O27" s="245"/>
      <c r="P27" s="245"/>
      <c r="Q27" s="139"/>
    </row>
    <row r="28" spans="1:17" ht="14.1" customHeight="1" x14ac:dyDescent="0.2">
      <c r="B28" s="138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39"/>
    </row>
    <row r="29" spans="1:17" ht="14.1" customHeight="1" x14ac:dyDescent="0.2">
      <c r="B29" s="138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39"/>
    </row>
    <row r="30" spans="1:17" ht="14.1" customHeight="1" x14ac:dyDescent="0.2">
      <c r="B30" s="138"/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39"/>
    </row>
    <row r="31" spans="1:17" ht="14.1" customHeight="1" x14ac:dyDescent="0.2">
      <c r="B31" s="138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39"/>
    </row>
    <row r="32" spans="1:17" ht="14.1" customHeight="1" x14ac:dyDescent="0.2">
      <c r="B32" s="138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39"/>
    </row>
    <row r="33" spans="2:17" ht="14.1" customHeight="1" x14ac:dyDescent="0.2">
      <c r="B33" s="138"/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39"/>
    </row>
    <row r="34" spans="2:17" ht="14.1" customHeight="1" x14ac:dyDescent="0.2">
      <c r="B34" s="138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39"/>
    </row>
    <row r="35" spans="2:17" ht="14.1" customHeight="1" x14ac:dyDescent="0.2">
      <c r="B35" s="138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39"/>
    </row>
    <row r="36" spans="2:17" ht="14.1" customHeight="1" x14ac:dyDescent="0.2">
      <c r="B36" s="138"/>
      <c r="C36" s="1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39"/>
    </row>
    <row r="37" spans="2:17" ht="14.1" customHeight="1" x14ac:dyDescent="0.2">
      <c r="B37" s="138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39"/>
    </row>
    <row r="38" spans="2:17" ht="14.1" customHeight="1" x14ac:dyDescent="0.2">
      <c r="B38" s="138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39"/>
    </row>
    <row r="39" spans="2:17" ht="14.1" customHeight="1" x14ac:dyDescent="0.2">
      <c r="B39" s="138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39"/>
    </row>
    <row r="40" spans="2:17" ht="14.1" customHeight="1" x14ac:dyDescent="0.2">
      <c r="B40" s="138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39"/>
    </row>
    <row r="41" spans="2:17" ht="14.1" customHeight="1" x14ac:dyDescent="0.2">
      <c r="B41" s="138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39"/>
    </row>
    <row r="42" spans="2:17" ht="14.1" customHeight="1" x14ac:dyDescent="0.2">
      <c r="B42" s="138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39"/>
    </row>
    <row r="43" spans="2:17" ht="14.1" customHeight="1" x14ac:dyDescent="0.2">
      <c r="B43" s="138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39"/>
    </row>
    <row r="44" spans="2:17" ht="14.1" customHeight="1" x14ac:dyDescent="0.2">
      <c r="B44" s="138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39"/>
    </row>
    <row r="45" spans="2:17" ht="14.1" customHeight="1" x14ac:dyDescent="0.2">
      <c r="B45" s="138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39"/>
    </row>
    <row r="46" spans="2:17" ht="14.1" customHeight="1" x14ac:dyDescent="0.2">
      <c r="B46" s="269" t="str">
        <f>IF($D$16&lt;&gt;"",$D$16&amp;" ("&amp;$C$16&amp;")",$C$16)</f>
        <v>CARTÃO DE CRÉDITO 1 (CRED1)</v>
      </c>
      <c r="C46" s="270"/>
      <c r="D46" s="270"/>
      <c r="E46" s="270"/>
      <c r="F46" s="270" t="str">
        <f>IF($D$17&lt;&gt;"",$D$17&amp;" ("&amp;$C$17&amp;")",$C$17)</f>
        <v>---</v>
      </c>
      <c r="G46" s="270"/>
      <c r="H46" s="270"/>
      <c r="I46" s="270"/>
      <c r="J46" s="270"/>
      <c r="K46" s="243"/>
      <c r="L46" s="270" t="str">
        <f>IF($D$18&lt;&gt;"",$D$18&amp;" ("&amp;$C$18&amp;")",$C$18)</f>
        <v>---</v>
      </c>
      <c r="M46" s="270"/>
      <c r="N46" s="270"/>
      <c r="O46" s="270"/>
      <c r="P46" s="270"/>
      <c r="Q46" s="139"/>
    </row>
    <row r="47" spans="2:17" ht="14.1" customHeight="1" x14ac:dyDescent="0.2">
      <c r="B47" s="269"/>
      <c r="C47" s="270"/>
      <c r="D47" s="270"/>
      <c r="E47" s="270"/>
      <c r="F47" s="270"/>
      <c r="G47" s="270"/>
      <c r="H47" s="270"/>
      <c r="I47" s="270"/>
      <c r="J47" s="270"/>
      <c r="K47" s="243"/>
      <c r="L47" s="270"/>
      <c r="M47" s="270"/>
      <c r="N47" s="270"/>
      <c r="O47" s="270"/>
      <c r="P47" s="270"/>
      <c r="Q47" s="139"/>
    </row>
    <row r="48" spans="2:17" ht="14.1" customHeight="1" x14ac:dyDescent="0.2">
      <c r="B48" s="244"/>
      <c r="C48" s="245"/>
      <c r="D48" s="245"/>
      <c r="E48" s="245"/>
      <c r="F48" s="245"/>
      <c r="G48" s="245"/>
      <c r="H48" s="245"/>
      <c r="I48" s="245"/>
      <c r="J48" s="245"/>
      <c r="K48" s="243"/>
      <c r="L48" s="245"/>
      <c r="M48" s="245"/>
      <c r="N48" s="245"/>
      <c r="O48" s="245"/>
      <c r="P48" s="245"/>
      <c r="Q48" s="139"/>
    </row>
    <row r="49" spans="2:17" ht="14.1" customHeight="1" x14ac:dyDescent="0.2">
      <c r="B49" s="138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39"/>
    </row>
    <row r="50" spans="2:17" ht="14.1" customHeight="1" x14ac:dyDescent="0.2">
      <c r="B50" s="138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39"/>
    </row>
    <row r="51" spans="2:17" ht="14.1" customHeight="1" x14ac:dyDescent="0.2">
      <c r="B51" s="138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39"/>
    </row>
    <row r="52" spans="2:17" ht="14.1" customHeight="1" x14ac:dyDescent="0.2">
      <c r="B52" s="138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39"/>
    </row>
    <row r="53" spans="2:17" ht="14.1" customHeight="1" x14ac:dyDescent="0.2">
      <c r="B53" s="138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39"/>
    </row>
    <row r="54" spans="2:17" ht="14.1" customHeight="1" x14ac:dyDescent="0.2">
      <c r="B54" s="138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39"/>
    </row>
    <row r="55" spans="2:17" ht="14.1" customHeight="1" x14ac:dyDescent="0.2">
      <c r="B55" s="138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39"/>
    </row>
    <row r="56" spans="2:17" ht="14.1" customHeight="1" x14ac:dyDescent="0.2">
      <c r="B56" s="138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39"/>
    </row>
    <row r="57" spans="2:17" ht="14.1" customHeight="1" x14ac:dyDescent="0.2">
      <c r="B57" s="138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39"/>
    </row>
    <row r="58" spans="2:17" ht="14.1" customHeight="1" x14ac:dyDescent="0.2">
      <c r="B58" s="138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39"/>
    </row>
    <row r="59" spans="2:17" ht="14.1" customHeight="1" x14ac:dyDescent="0.2">
      <c r="B59" s="138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39"/>
    </row>
    <row r="60" spans="2:17" ht="14.1" customHeight="1" x14ac:dyDescent="0.2">
      <c r="B60" s="138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39"/>
    </row>
    <row r="61" spans="2:17" ht="14.1" customHeight="1" x14ac:dyDescent="0.2">
      <c r="B61" s="138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39"/>
    </row>
    <row r="62" spans="2:17" ht="14.1" customHeight="1" x14ac:dyDescent="0.2">
      <c r="B62" s="138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39"/>
    </row>
    <row r="63" spans="2:17" ht="14.1" customHeight="1" x14ac:dyDescent="0.2">
      <c r="B63" s="138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39"/>
    </row>
    <row r="64" spans="2:17" ht="14.1" customHeight="1" x14ac:dyDescent="0.2">
      <c r="B64" s="138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39"/>
    </row>
    <row r="65" spans="2:17" ht="14.1" customHeight="1" x14ac:dyDescent="0.2">
      <c r="B65" s="138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39"/>
    </row>
    <row r="66" spans="2:17" ht="14.1" customHeight="1" x14ac:dyDescent="0.2">
      <c r="B66" s="138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39"/>
    </row>
    <row r="67" spans="2:17" ht="14.1" customHeight="1" x14ac:dyDescent="0.2">
      <c r="B67" s="269" t="str">
        <f>IF($D$19&lt;&gt;"",$D$19&amp;" ("&amp;$C$19&amp;")",$C$19)</f>
        <v>---</v>
      </c>
      <c r="C67" s="270"/>
      <c r="D67" s="270"/>
      <c r="E67" s="270"/>
      <c r="F67" s="270" t="str">
        <f>IF($D$20&lt;&gt;"",$D$20&amp;" ("&amp;$C$20&amp;")",$C$20)</f>
        <v>---</v>
      </c>
      <c r="G67" s="270"/>
      <c r="H67" s="270"/>
      <c r="I67" s="270"/>
      <c r="J67" s="270"/>
      <c r="K67" s="243"/>
      <c r="L67" s="270" t="str">
        <f>IF($D$21&lt;&gt;"",$D$21&amp;" ("&amp;$C$21&amp;")",$C$21)</f>
        <v>---</v>
      </c>
      <c r="M67" s="270"/>
      <c r="N67" s="270"/>
      <c r="O67" s="270"/>
      <c r="P67" s="270"/>
      <c r="Q67" s="139"/>
    </row>
    <row r="68" spans="2:17" ht="14.1" customHeight="1" x14ac:dyDescent="0.2">
      <c r="B68" s="269"/>
      <c r="C68" s="270"/>
      <c r="D68" s="270"/>
      <c r="E68" s="270"/>
      <c r="F68" s="270"/>
      <c r="G68" s="270"/>
      <c r="H68" s="270"/>
      <c r="I68" s="270"/>
      <c r="J68" s="270"/>
      <c r="K68" s="243"/>
      <c r="L68" s="270"/>
      <c r="M68" s="270"/>
      <c r="N68" s="270"/>
      <c r="O68" s="270"/>
      <c r="P68" s="270"/>
      <c r="Q68" s="139"/>
    </row>
    <row r="69" spans="2:17" ht="14.1" customHeight="1" x14ac:dyDescent="0.2">
      <c r="B69" s="138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39"/>
    </row>
    <row r="70" spans="2:17" ht="14.1" customHeight="1" x14ac:dyDescent="0.2">
      <c r="B70" s="138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39"/>
    </row>
    <row r="71" spans="2:17" ht="14.1" customHeight="1" x14ac:dyDescent="0.2">
      <c r="B71" s="138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39"/>
    </row>
    <row r="72" spans="2:17" ht="14.1" customHeight="1" x14ac:dyDescent="0.2">
      <c r="B72" s="138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39"/>
    </row>
    <row r="73" spans="2:17" ht="14.1" customHeight="1" x14ac:dyDescent="0.2">
      <c r="B73" s="138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39"/>
    </row>
    <row r="74" spans="2:17" ht="14.1" customHeight="1" x14ac:dyDescent="0.2">
      <c r="B74" s="138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39"/>
    </row>
    <row r="75" spans="2:17" ht="14.1" customHeight="1" x14ac:dyDescent="0.2">
      <c r="B75" s="138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39"/>
    </row>
    <row r="76" spans="2:17" ht="14.1" customHeight="1" x14ac:dyDescent="0.2">
      <c r="B76" s="138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39"/>
    </row>
    <row r="77" spans="2:17" ht="14.1" customHeight="1" x14ac:dyDescent="0.2">
      <c r="B77" s="138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39"/>
    </row>
    <row r="78" spans="2:17" ht="14.1" customHeight="1" x14ac:dyDescent="0.2">
      <c r="B78" s="138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39"/>
    </row>
    <row r="79" spans="2:17" ht="14.1" customHeight="1" x14ac:dyDescent="0.2">
      <c r="B79" s="138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39"/>
    </row>
    <row r="80" spans="2:17" ht="14.1" customHeight="1" x14ac:dyDescent="0.2">
      <c r="B80" s="138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39"/>
    </row>
    <row r="81" spans="2:17" ht="14.1" customHeight="1" x14ac:dyDescent="0.2">
      <c r="B81" s="138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39"/>
    </row>
    <row r="82" spans="2:17" ht="14.1" customHeight="1" x14ac:dyDescent="0.2">
      <c r="B82" s="138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39"/>
    </row>
    <row r="83" spans="2:17" ht="14.1" customHeight="1" x14ac:dyDescent="0.2">
      <c r="B83" s="138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39"/>
    </row>
    <row r="84" spans="2:17" ht="14.1" customHeight="1" x14ac:dyDescent="0.2">
      <c r="B84" s="138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39"/>
    </row>
    <row r="85" spans="2:17" ht="14.1" customHeight="1" x14ac:dyDescent="0.2">
      <c r="B85" s="138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39"/>
    </row>
    <row r="86" spans="2:17" ht="14.1" customHeight="1" x14ac:dyDescent="0.2">
      <c r="B86" s="138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39"/>
    </row>
    <row r="87" spans="2:17" ht="14.1" customHeight="1" x14ac:dyDescent="0.2">
      <c r="B87" s="244"/>
      <c r="C87" s="245"/>
      <c r="D87" s="245"/>
      <c r="E87" s="245"/>
      <c r="F87" s="245"/>
      <c r="G87" s="245"/>
      <c r="H87" s="245"/>
      <c r="I87" s="245"/>
      <c r="J87" s="245"/>
      <c r="K87" s="243"/>
      <c r="L87" s="245"/>
      <c r="M87" s="245"/>
      <c r="N87" s="245"/>
      <c r="O87" s="245"/>
      <c r="P87" s="245"/>
      <c r="Q87" s="139"/>
    </row>
    <row r="88" spans="2:17" ht="14.1" customHeight="1" x14ac:dyDescent="0.2">
      <c r="B88" s="269" t="str">
        <f>IF($D$22&lt;&gt;"",$D$22&amp;" ("&amp;$C$22&amp;")",$C$22)</f>
        <v>---</v>
      </c>
      <c r="C88" s="270"/>
      <c r="D88" s="270"/>
      <c r="E88" s="270"/>
      <c r="F88" s="270" t="str">
        <f>IF($D$23&lt;&gt;"",$D$23&amp;" ("&amp;$C$23&amp;")",$C$23)</f>
        <v>---</v>
      </c>
      <c r="G88" s="270"/>
      <c r="H88" s="270"/>
      <c r="I88" s="270"/>
      <c r="J88" s="270"/>
      <c r="K88" s="243"/>
      <c r="L88" s="270" t="str">
        <f>IF($D$24&lt;&gt;"",$D$24&amp;" ("&amp;$C$24&amp;")",$C$24)</f>
        <v>---</v>
      </c>
      <c r="M88" s="270"/>
      <c r="N88" s="270"/>
      <c r="O88" s="270"/>
      <c r="P88" s="270"/>
      <c r="Q88" s="139"/>
    </row>
    <row r="89" spans="2:17" ht="14.1" customHeight="1" x14ac:dyDescent="0.2">
      <c r="B89" s="269"/>
      <c r="C89" s="270"/>
      <c r="D89" s="270"/>
      <c r="E89" s="270"/>
      <c r="F89" s="270"/>
      <c r="G89" s="270"/>
      <c r="H89" s="270"/>
      <c r="I89" s="270"/>
      <c r="J89" s="270"/>
      <c r="K89" s="11"/>
      <c r="L89" s="270"/>
      <c r="M89" s="270"/>
      <c r="N89" s="270"/>
      <c r="O89" s="270"/>
      <c r="P89" s="270"/>
      <c r="Q89" s="139"/>
    </row>
    <row r="90" spans="2:17" ht="14.1" customHeight="1" x14ac:dyDescent="0.2">
      <c r="B90" s="138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39"/>
    </row>
    <row r="91" spans="2:17" ht="14.1" customHeight="1" x14ac:dyDescent="0.2">
      <c r="B91" s="138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39"/>
    </row>
    <row r="92" spans="2:17" ht="14.1" customHeight="1" x14ac:dyDescent="0.2">
      <c r="B92" s="138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39"/>
    </row>
    <row r="93" spans="2:17" ht="14.1" customHeight="1" x14ac:dyDescent="0.2">
      <c r="B93" s="138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39"/>
    </row>
    <row r="94" spans="2:17" ht="14.1" customHeight="1" x14ac:dyDescent="0.2">
      <c r="B94" s="138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39"/>
    </row>
    <row r="95" spans="2:17" ht="14.1" customHeight="1" x14ac:dyDescent="0.2">
      <c r="B95" s="138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39"/>
    </row>
    <row r="96" spans="2:17" ht="14.1" customHeight="1" x14ac:dyDescent="0.2">
      <c r="B96" s="138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39"/>
    </row>
    <row r="97" spans="2:17" ht="14.1" customHeight="1" x14ac:dyDescent="0.2">
      <c r="B97" s="138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39"/>
    </row>
    <row r="98" spans="2:17" ht="14.1" customHeight="1" x14ac:dyDescent="0.2">
      <c r="B98" s="138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39"/>
    </row>
    <row r="99" spans="2:17" ht="14.1" customHeight="1" x14ac:dyDescent="0.2">
      <c r="B99" s="138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39"/>
    </row>
    <row r="100" spans="2:17" ht="14.1" customHeight="1" x14ac:dyDescent="0.2">
      <c r="B100" s="138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39"/>
    </row>
    <row r="101" spans="2:17" ht="14.1" customHeight="1" x14ac:dyDescent="0.2">
      <c r="B101" s="138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39"/>
    </row>
    <row r="102" spans="2:17" ht="14.1" customHeight="1" x14ac:dyDescent="0.2">
      <c r="B102" s="138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39"/>
    </row>
    <row r="103" spans="2:17" ht="14.1" customHeight="1" x14ac:dyDescent="0.2">
      <c r="B103" s="138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39"/>
    </row>
    <row r="104" spans="2:17" ht="14.1" customHeight="1" x14ac:dyDescent="0.2">
      <c r="B104" s="138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39"/>
    </row>
    <row r="105" spans="2:17" ht="14.1" customHeight="1" x14ac:dyDescent="0.2">
      <c r="B105" s="138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39"/>
    </row>
    <row r="106" spans="2:17" ht="14.1" customHeight="1" x14ac:dyDescent="0.2">
      <c r="B106" s="138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39"/>
    </row>
    <row r="107" spans="2:17" ht="14.1" customHeight="1" x14ac:dyDescent="0.2">
      <c r="B107" s="141"/>
      <c r="C107" s="142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4"/>
    </row>
    <row r="108" spans="2:17" ht="14.1" customHeight="1" x14ac:dyDescent="0.2"/>
    <row r="109" spans="2:17" ht="14.1" customHeight="1" x14ac:dyDescent="0.2"/>
    <row r="110" spans="2:17" ht="14.1" customHeight="1" x14ac:dyDescent="0.2">
      <c r="B110" s="157"/>
      <c r="C110" s="158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60"/>
    </row>
    <row r="111" spans="2:17" ht="14.1" customHeight="1" x14ac:dyDescent="0.2">
      <c r="B111" s="161"/>
      <c r="C111" s="293" t="s">
        <v>19</v>
      </c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3"/>
      <c r="P111" s="293"/>
      <c r="Q111" s="162"/>
    </row>
    <row r="112" spans="2:17" ht="14.1" customHeight="1" x14ac:dyDescent="0.2">
      <c r="B112" s="161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293"/>
      <c r="P112" s="293"/>
      <c r="Q112" s="162"/>
    </row>
    <row r="113" spans="1:17" ht="14.1" customHeight="1" x14ac:dyDescent="0.2">
      <c r="B113" s="46"/>
      <c r="C113" s="278" t="s">
        <v>20</v>
      </c>
      <c r="D113" s="280" t="s">
        <v>5</v>
      </c>
      <c r="E113" s="282" t="s">
        <v>6</v>
      </c>
      <c r="F113" s="282"/>
      <c r="G113" s="282"/>
      <c r="H113" s="282"/>
      <c r="I113" s="282"/>
      <c r="J113" s="282"/>
      <c r="K113" s="282"/>
      <c r="L113" s="282"/>
      <c r="M113" s="282"/>
      <c r="N113" s="282"/>
      <c r="O113" s="282"/>
      <c r="P113" s="276"/>
      <c r="Q113" s="163"/>
    </row>
    <row r="114" spans="1:17" ht="14.1" customHeight="1" x14ac:dyDescent="0.2">
      <c r="A114" s="261"/>
      <c r="B114" s="44"/>
      <c r="C114" s="279"/>
      <c r="D114" s="281"/>
      <c r="E114" s="98" t="s">
        <v>7</v>
      </c>
      <c r="F114" s="98" t="s">
        <v>8</v>
      </c>
      <c r="G114" s="98" t="s">
        <v>9</v>
      </c>
      <c r="H114" s="98" t="s">
        <v>10</v>
      </c>
      <c r="I114" s="98" t="s">
        <v>11</v>
      </c>
      <c r="J114" s="98" t="s">
        <v>12</v>
      </c>
      <c r="K114" s="98" t="s">
        <v>13</v>
      </c>
      <c r="L114" s="98" t="s">
        <v>14</v>
      </c>
      <c r="M114" s="98" t="s">
        <v>15</v>
      </c>
      <c r="N114" s="98" t="s">
        <v>16</v>
      </c>
      <c r="O114" s="98" t="s">
        <v>17</v>
      </c>
      <c r="P114" s="98" t="s">
        <v>18</v>
      </c>
      <c r="Q114" s="185"/>
    </row>
    <row r="115" spans="1:17" ht="14.1" customHeight="1" x14ac:dyDescent="0.2">
      <c r="A115" s="262">
        <v>1</v>
      </c>
      <c r="B115" s="150"/>
      <c r="C115" s="151" t="s">
        <v>21</v>
      </c>
      <c r="D115" s="152" t="s">
        <v>22</v>
      </c>
      <c r="E115" s="149">
        <f ca="1">INDIRECT("M"&amp;COLUMN()-4&amp;"!G"&amp;47+$A115-1)</f>
        <v>0</v>
      </c>
      <c r="F115" s="149">
        <f t="shared" ref="F115:P117" ca="1" si="3">INDIRECT("M"&amp;COLUMN()-4&amp;"!G"&amp;47+$A115-1)</f>
        <v>0</v>
      </c>
      <c r="G115" s="149">
        <f t="shared" ca="1" si="3"/>
        <v>0</v>
      </c>
      <c r="H115" s="149">
        <f t="shared" ca="1" si="3"/>
        <v>0</v>
      </c>
      <c r="I115" s="149">
        <f t="shared" ca="1" si="3"/>
        <v>0</v>
      </c>
      <c r="J115" s="149">
        <f t="shared" ca="1" si="3"/>
        <v>0</v>
      </c>
      <c r="K115" s="149">
        <f t="shared" ca="1" si="3"/>
        <v>0</v>
      </c>
      <c r="L115" s="149">
        <f t="shared" ca="1" si="3"/>
        <v>0</v>
      </c>
      <c r="M115" s="149">
        <f t="shared" ca="1" si="3"/>
        <v>0</v>
      </c>
      <c r="N115" s="149">
        <f t="shared" ca="1" si="3"/>
        <v>0</v>
      </c>
      <c r="O115" s="149">
        <f t="shared" ca="1" si="3"/>
        <v>0</v>
      </c>
      <c r="P115" s="149">
        <f t="shared" ca="1" si="3"/>
        <v>0</v>
      </c>
      <c r="Q115" s="146"/>
    </row>
    <row r="116" spans="1:17" ht="14.1" customHeight="1" x14ac:dyDescent="0.2">
      <c r="A116" s="263">
        <f>A115+1</f>
        <v>2</v>
      </c>
      <c r="B116" s="145"/>
      <c r="C116" s="153" t="s">
        <v>23</v>
      </c>
      <c r="D116" s="154" t="s">
        <v>24</v>
      </c>
      <c r="E116" s="114">
        <f ca="1">INDIRECT("M"&amp;COLUMN()-4&amp;"!G"&amp;47+$A116-1)</f>
        <v>0</v>
      </c>
      <c r="F116" s="114">
        <f t="shared" ca="1" si="3"/>
        <v>0</v>
      </c>
      <c r="G116" s="114">
        <f t="shared" ca="1" si="3"/>
        <v>0</v>
      </c>
      <c r="H116" s="114">
        <f t="shared" ca="1" si="3"/>
        <v>0</v>
      </c>
      <c r="I116" s="114">
        <f t="shared" ca="1" si="3"/>
        <v>0</v>
      </c>
      <c r="J116" s="114">
        <f t="shared" ca="1" si="3"/>
        <v>0</v>
      </c>
      <c r="K116" s="114">
        <f t="shared" ca="1" si="3"/>
        <v>0</v>
      </c>
      <c r="L116" s="114">
        <f t="shared" ca="1" si="3"/>
        <v>0</v>
      </c>
      <c r="M116" s="114">
        <f t="shared" ca="1" si="3"/>
        <v>0</v>
      </c>
      <c r="N116" s="114">
        <f t="shared" ca="1" si="3"/>
        <v>0</v>
      </c>
      <c r="O116" s="114">
        <f t="shared" ca="1" si="3"/>
        <v>0</v>
      </c>
      <c r="P116" s="114">
        <f t="shared" ca="1" si="3"/>
        <v>0</v>
      </c>
      <c r="Q116" s="146"/>
    </row>
    <row r="117" spans="1:17" ht="14.1" customHeight="1" x14ac:dyDescent="0.2">
      <c r="A117" s="264">
        <f>A116+1</f>
        <v>3</v>
      </c>
      <c r="B117" s="145"/>
      <c r="C117" s="166" t="s">
        <v>25</v>
      </c>
      <c r="D117" s="167" t="s">
        <v>26</v>
      </c>
      <c r="E117" s="168">
        <f ca="1">INDIRECT("M"&amp;COLUMN()-4&amp;"!G"&amp;47+$A117-1)</f>
        <v>0</v>
      </c>
      <c r="F117" s="168">
        <f t="shared" ca="1" si="3"/>
        <v>0</v>
      </c>
      <c r="G117" s="168">
        <f t="shared" ca="1" si="3"/>
        <v>0</v>
      </c>
      <c r="H117" s="168">
        <f t="shared" ca="1" si="3"/>
        <v>0</v>
      </c>
      <c r="I117" s="168">
        <f t="shared" ca="1" si="3"/>
        <v>0</v>
      </c>
      <c r="J117" s="168">
        <f t="shared" ca="1" si="3"/>
        <v>0</v>
      </c>
      <c r="K117" s="168">
        <f t="shared" ca="1" si="3"/>
        <v>0</v>
      </c>
      <c r="L117" s="168">
        <f t="shared" ca="1" si="3"/>
        <v>0</v>
      </c>
      <c r="M117" s="168">
        <f t="shared" ca="1" si="3"/>
        <v>0</v>
      </c>
      <c r="N117" s="168">
        <f t="shared" ca="1" si="3"/>
        <v>0</v>
      </c>
      <c r="O117" s="168">
        <f t="shared" ca="1" si="3"/>
        <v>0</v>
      </c>
      <c r="P117" s="168">
        <f t="shared" ca="1" si="3"/>
        <v>0</v>
      </c>
      <c r="Q117" s="146"/>
    </row>
    <row r="118" spans="1:17" ht="14.1" customHeight="1" x14ac:dyDescent="0.2">
      <c r="A118" s="265"/>
      <c r="B118" s="169"/>
      <c r="C118" s="170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2"/>
    </row>
    <row r="119" spans="1:17" ht="14.1" customHeight="1" x14ac:dyDescent="0.2">
      <c r="B119" s="267" t="str">
        <f>IF($D$115&lt;&gt;"",$D$115&amp;" ("&amp;$C$115&amp;")",$C$115)</f>
        <v>CONTA CORRENTE (CC)</v>
      </c>
      <c r="C119" s="268"/>
      <c r="D119" s="268"/>
      <c r="E119" s="268"/>
      <c r="F119" s="268" t="str">
        <f>IF($D$116&lt;&gt;"",$D$116&amp;" ("&amp;$C$116&amp;")",$C$116)</f>
        <v>APLICAÇÕES DE INVESTIMENTO (INV)</v>
      </c>
      <c r="G119" s="268"/>
      <c r="H119" s="268"/>
      <c r="I119" s="268"/>
      <c r="J119" s="268"/>
      <c r="K119" s="14"/>
      <c r="L119" s="268" t="str">
        <f>IF($D$117&lt;&gt;"",$D$117&amp;" ("&amp;$C$117&amp;")",$C$117)</f>
        <v>EM ESPÉCIE (DINH)</v>
      </c>
      <c r="M119" s="268"/>
      <c r="N119" s="268"/>
      <c r="O119" s="268"/>
      <c r="P119" s="268"/>
      <c r="Q119" s="165"/>
    </row>
    <row r="120" spans="1:17" ht="14.1" customHeight="1" x14ac:dyDescent="0.2">
      <c r="B120" s="164"/>
      <c r="C120" s="13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65"/>
    </row>
    <row r="121" spans="1:17" ht="14.1" customHeight="1" x14ac:dyDescent="0.2">
      <c r="B121" s="164"/>
      <c r="C121" s="13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65"/>
    </row>
    <row r="122" spans="1:17" ht="14.1" customHeight="1" x14ac:dyDescent="0.2">
      <c r="B122" s="164"/>
      <c r="C122" s="13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65"/>
    </row>
    <row r="123" spans="1:17" ht="14.1" customHeight="1" x14ac:dyDescent="0.2">
      <c r="B123" s="164"/>
      <c r="C123" s="13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65"/>
    </row>
    <row r="124" spans="1:17" ht="14.1" customHeight="1" x14ac:dyDescent="0.2">
      <c r="B124" s="164"/>
      <c r="C124" s="13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65"/>
    </row>
    <row r="125" spans="1:17" ht="14.1" customHeight="1" x14ac:dyDescent="0.2">
      <c r="B125" s="164"/>
      <c r="C125" s="13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65"/>
    </row>
    <row r="126" spans="1:17" ht="14.1" customHeight="1" x14ac:dyDescent="0.2">
      <c r="B126" s="164"/>
      <c r="C126" s="13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65"/>
    </row>
    <row r="127" spans="1:17" ht="14.1" customHeight="1" x14ac:dyDescent="0.2">
      <c r="B127" s="164"/>
      <c r="C127" s="13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65"/>
    </row>
    <row r="128" spans="1:17" ht="14.1" customHeight="1" x14ac:dyDescent="0.2">
      <c r="B128" s="164"/>
      <c r="C128" s="13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65"/>
    </row>
    <row r="129" spans="1:256" ht="14.1" customHeight="1" x14ac:dyDescent="0.2">
      <c r="B129" s="164"/>
      <c r="C129" s="1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65"/>
    </row>
    <row r="130" spans="1:256" ht="14.1" customHeight="1" x14ac:dyDescent="0.2">
      <c r="B130" s="164"/>
      <c r="C130" s="13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65"/>
    </row>
    <row r="131" spans="1:256" ht="14.1" customHeight="1" x14ac:dyDescent="0.2">
      <c r="B131" s="164"/>
      <c r="C131" s="13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65"/>
    </row>
    <row r="132" spans="1:256" ht="14.1" customHeight="1" x14ac:dyDescent="0.2">
      <c r="B132" s="164"/>
      <c r="C132" s="13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65"/>
    </row>
    <row r="133" spans="1:256" s="4" customFormat="1" ht="42.6" customHeight="1" x14ac:dyDescent="0.2">
      <c r="A133" s="155" t="s">
        <v>2</v>
      </c>
      <c r="B133" s="283">
        <f>P$2</f>
        <v>2010</v>
      </c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156"/>
      <c r="HR133" s="1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</row>
    <row r="134" spans="1:256" ht="14.1" customHeight="1" x14ac:dyDescent="0.2"/>
    <row r="135" spans="1:256" ht="14.1" customHeight="1" x14ac:dyDescent="0.2"/>
    <row r="136" spans="1:256" ht="14.1" customHeight="1" x14ac:dyDescent="0.2">
      <c r="B136" s="173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5"/>
    </row>
    <row r="137" spans="1:256" ht="14.1" customHeight="1" x14ac:dyDescent="0.2">
      <c r="B137" s="176"/>
      <c r="C137" s="291" t="s">
        <v>27</v>
      </c>
      <c r="D137" s="291"/>
      <c r="E137" s="291"/>
      <c r="F137" s="291"/>
      <c r="G137" s="291"/>
      <c r="H137" s="291"/>
      <c r="I137" s="291"/>
      <c r="J137" s="291"/>
      <c r="K137" s="291"/>
      <c r="L137" s="291"/>
      <c r="M137" s="291"/>
      <c r="N137" s="291"/>
      <c r="O137" s="291"/>
      <c r="P137" s="291"/>
      <c r="Q137" s="177"/>
    </row>
    <row r="138" spans="1:256" s="9" customFormat="1" ht="14.1" customHeight="1" x14ac:dyDescent="0.2">
      <c r="A138" s="248"/>
      <c r="B138" s="176"/>
      <c r="C138" s="291"/>
      <c r="D138" s="291"/>
      <c r="E138" s="291"/>
      <c r="F138" s="291"/>
      <c r="G138" s="291"/>
      <c r="H138" s="291"/>
      <c r="I138" s="291"/>
      <c r="J138" s="291"/>
      <c r="K138" s="291"/>
      <c r="L138" s="291"/>
      <c r="M138" s="291"/>
      <c r="N138" s="291"/>
      <c r="O138" s="291"/>
      <c r="P138" s="291"/>
      <c r="Q138" s="177"/>
      <c r="R138" s="1"/>
      <c r="HP138" s="1"/>
      <c r="HQ138" s="1"/>
      <c r="HR138" s="1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</row>
    <row r="139" spans="1:256" ht="14.1" customHeight="1" x14ac:dyDescent="0.2">
      <c r="B139" s="46"/>
      <c r="C139" s="271" t="s">
        <v>28</v>
      </c>
      <c r="D139" s="273" t="s">
        <v>5</v>
      </c>
      <c r="E139" s="287" t="s">
        <v>29</v>
      </c>
      <c r="F139" s="287"/>
      <c r="G139" s="287"/>
      <c r="H139" s="288" t="s">
        <v>30</v>
      </c>
      <c r="I139" s="288"/>
      <c r="J139" s="288"/>
      <c r="K139" s="289" t="s">
        <v>31</v>
      </c>
      <c r="L139" s="289"/>
      <c r="M139" s="289"/>
      <c r="N139" s="290" t="s">
        <v>32</v>
      </c>
      <c r="O139" s="290"/>
      <c r="P139" s="290"/>
      <c r="Q139" s="177"/>
    </row>
    <row r="140" spans="1:256" ht="14.1" customHeight="1" x14ac:dyDescent="0.2">
      <c r="B140" s="44"/>
      <c r="C140" s="272"/>
      <c r="D140" s="274"/>
      <c r="E140" s="178" t="s">
        <v>7</v>
      </c>
      <c r="F140" s="178" t="s">
        <v>8</v>
      </c>
      <c r="G140" s="178" t="s">
        <v>9</v>
      </c>
      <c r="H140" s="179" t="s">
        <v>10</v>
      </c>
      <c r="I140" s="179" t="s">
        <v>11</v>
      </c>
      <c r="J140" s="179" t="s">
        <v>12</v>
      </c>
      <c r="K140" s="180" t="s">
        <v>13</v>
      </c>
      <c r="L140" s="180" t="s">
        <v>14</v>
      </c>
      <c r="M140" s="180" t="s">
        <v>15</v>
      </c>
      <c r="N140" s="181" t="s">
        <v>16</v>
      </c>
      <c r="O140" s="181" t="s">
        <v>17</v>
      </c>
      <c r="P140" s="181" t="s">
        <v>18</v>
      </c>
      <c r="Q140" s="184"/>
    </row>
    <row r="141" spans="1:256" ht="14.1" customHeight="1" x14ac:dyDescent="0.2">
      <c r="A141" s="265">
        <v>1</v>
      </c>
      <c r="B141" s="145"/>
      <c r="C141" s="182" t="s">
        <v>33</v>
      </c>
      <c r="D141" s="183" t="s">
        <v>34</v>
      </c>
      <c r="E141" s="149">
        <f ca="1">INDIRECT("M"&amp;COLUMN()-4&amp;"!G"&amp;ROW('M1'!$G57))</f>
        <v>0</v>
      </c>
      <c r="F141" s="149">
        <f ca="1">INDIRECT("M"&amp;COLUMN()-4&amp;"!G"&amp;ROW('M1'!$G57))</f>
        <v>0</v>
      </c>
      <c r="G141" s="149">
        <f ca="1">INDIRECT("M"&amp;COLUMN()-4&amp;"!G"&amp;ROW('M1'!$G57))</f>
        <v>0</v>
      </c>
      <c r="H141" s="149">
        <f ca="1">INDIRECT("M"&amp;COLUMN()-4&amp;"!G"&amp;ROW('M1'!$G57))</f>
        <v>0</v>
      </c>
      <c r="I141" s="149">
        <f ca="1">INDIRECT("M"&amp;COLUMN()-4&amp;"!G"&amp;ROW('M1'!$G57))</f>
        <v>0</v>
      </c>
      <c r="J141" s="149">
        <f ca="1">INDIRECT("M"&amp;COLUMN()-4&amp;"!G"&amp;ROW('M1'!$G57))</f>
        <v>0</v>
      </c>
      <c r="K141" s="149">
        <f ca="1">INDIRECT("M"&amp;COLUMN()-4&amp;"!G"&amp;ROW('M1'!$G57))</f>
        <v>0</v>
      </c>
      <c r="L141" s="149">
        <f ca="1">INDIRECT("M"&amp;COLUMN()-4&amp;"!G"&amp;ROW('M1'!$G57))</f>
        <v>0</v>
      </c>
      <c r="M141" s="149">
        <f ca="1">INDIRECT("M"&amp;COLUMN()-4&amp;"!G"&amp;ROW('M1'!$G57))</f>
        <v>0</v>
      </c>
      <c r="N141" s="149">
        <f ca="1">INDIRECT("M"&amp;COLUMN()-4&amp;"!G"&amp;ROW('M1'!$G57))</f>
        <v>0</v>
      </c>
      <c r="O141" s="149">
        <f ca="1">INDIRECT("M"&amp;COLUMN()-4&amp;"!G"&amp;ROW('M1'!$G57))</f>
        <v>0</v>
      </c>
      <c r="P141" s="149">
        <f ca="1">INDIRECT("M"&amp;COLUMN()-4&amp;"!G"&amp;ROW('M1'!$G57))</f>
        <v>0</v>
      </c>
      <c r="Q141" s="146"/>
      <c r="R141" s="15">
        <f t="shared" ref="R141:R172" ca="1" si="4">SUM(E141:P141)</f>
        <v>0</v>
      </c>
    </row>
    <row r="142" spans="1:256" ht="14.1" customHeight="1" x14ac:dyDescent="0.2">
      <c r="A142" s="266">
        <v>2</v>
      </c>
      <c r="B142" s="145"/>
      <c r="C142" s="153" t="s">
        <v>35</v>
      </c>
      <c r="D142" s="154" t="s">
        <v>36</v>
      </c>
      <c r="E142" s="114">
        <f ca="1">INDIRECT("M"&amp;COLUMN()-4&amp;"!G"&amp;ROW('M1'!$G58))</f>
        <v>0</v>
      </c>
      <c r="F142" s="114">
        <f ca="1">INDIRECT("M"&amp;COLUMN()-4&amp;"!G"&amp;ROW('M1'!$G58))</f>
        <v>0</v>
      </c>
      <c r="G142" s="114">
        <f ca="1">INDIRECT("M"&amp;COLUMN()-4&amp;"!G"&amp;ROW('M1'!$G58))</f>
        <v>0</v>
      </c>
      <c r="H142" s="114">
        <f ca="1">INDIRECT("M"&amp;COLUMN()-4&amp;"!G"&amp;ROW('M1'!$G58))</f>
        <v>0</v>
      </c>
      <c r="I142" s="114">
        <f ca="1">INDIRECT("M"&amp;COLUMN()-4&amp;"!G"&amp;ROW('M1'!$G58))</f>
        <v>0</v>
      </c>
      <c r="J142" s="114">
        <f ca="1">INDIRECT("M"&amp;COLUMN()-4&amp;"!G"&amp;ROW('M1'!$G58))</f>
        <v>0</v>
      </c>
      <c r="K142" s="114">
        <f ca="1">INDIRECT("M"&amp;COLUMN()-4&amp;"!G"&amp;ROW('M1'!$G58))</f>
        <v>0</v>
      </c>
      <c r="L142" s="114">
        <f ca="1">INDIRECT("M"&amp;COLUMN()-4&amp;"!G"&amp;ROW('M1'!$G58))</f>
        <v>0</v>
      </c>
      <c r="M142" s="114">
        <f ca="1">INDIRECT("M"&amp;COLUMN()-4&amp;"!G"&amp;ROW('M1'!$G58))</f>
        <v>0</v>
      </c>
      <c r="N142" s="114">
        <f ca="1">INDIRECT("M"&amp;COLUMN()-4&amp;"!G"&amp;ROW('M1'!$G58))</f>
        <v>0</v>
      </c>
      <c r="O142" s="114">
        <f ca="1">INDIRECT("M"&amp;COLUMN()-4&amp;"!G"&amp;ROW('M1'!$G58))</f>
        <v>0</v>
      </c>
      <c r="P142" s="114">
        <f ca="1">INDIRECT("M"&amp;COLUMN()-4&amp;"!G"&amp;ROW('M1'!$G58))</f>
        <v>0</v>
      </c>
      <c r="Q142" s="146"/>
      <c r="R142" s="15">
        <f t="shared" ca="1" si="4"/>
        <v>0</v>
      </c>
    </row>
    <row r="143" spans="1:256" ht="14.1" customHeight="1" x14ac:dyDescent="0.2">
      <c r="A143" s="265">
        <v>3</v>
      </c>
      <c r="B143" s="145"/>
      <c r="C143" s="151" t="s">
        <v>37</v>
      </c>
      <c r="D143" s="152" t="s">
        <v>38</v>
      </c>
      <c r="E143" s="149">
        <f ca="1">INDIRECT("M"&amp;COLUMN()-4&amp;"!G"&amp;ROW('M1'!$G59))</f>
        <v>0</v>
      </c>
      <c r="F143" s="149">
        <f ca="1">INDIRECT("M"&amp;COLUMN()-4&amp;"!G"&amp;ROW('M1'!$G59))</f>
        <v>0</v>
      </c>
      <c r="G143" s="149">
        <f ca="1">INDIRECT("M"&amp;COLUMN()-4&amp;"!G"&amp;ROW('M1'!$G59))</f>
        <v>0</v>
      </c>
      <c r="H143" s="149">
        <f ca="1">INDIRECT("M"&amp;COLUMN()-4&amp;"!G"&amp;ROW('M1'!$G59))</f>
        <v>0</v>
      </c>
      <c r="I143" s="149">
        <f ca="1">INDIRECT("M"&amp;COLUMN()-4&amp;"!G"&amp;ROW('M1'!$G59))</f>
        <v>0</v>
      </c>
      <c r="J143" s="149">
        <f ca="1">INDIRECT("M"&amp;COLUMN()-4&amp;"!G"&amp;ROW('M1'!$G59))</f>
        <v>0</v>
      </c>
      <c r="K143" s="149">
        <f ca="1">INDIRECT("M"&amp;COLUMN()-4&amp;"!G"&amp;ROW('M1'!$G59))</f>
        <v>0</v>
      </c>
      <c r="L143" s="149">
        <f ca="1">INDIRECT("M"&amp;COLUMN()-4&amp;"!G"&amp;ROW('M1'!$G59))</f>
        <v>0</v>
      </c>
      <c r="M143" s="149">
        <f ca="1">INDIRECT("M"&amp;COLUMN()-4&amp;"!G"&amp;ROW('M1'!$G59))</f>
        <v>0</v>
      </c>
      <c r="N143" s="149">
        <f ca="1">INDIRECT("M"&amp;COLUMN()-4&amp;"!G"&amp;ROW('M1'!$G59))</f>
        <v>0</v>
      </c>
      <c r="O143" s="149">
        <f ca="1">INDIRECT("M"&amp;COLUMN()-4&amp;"!G"&amp;ROW('M1'!$G59))</f>
        <v>0</v>
      </c>
      <c r="P143" s="149">
        <f ca="1">INDIRECT("M"&amp;COLUMN()-4&amp;"!G"&amp;ROW('M1'!$G59))</f>
        <v>0</v>
      </c>
      <c r="Q143" s="146"/>
      <c r="R143" s="15">
        <f t="shared" ca="1" si="4"/>
        <v>0</v>
      </c>
    </row>
    <row r="144" spans="1:256" ht="14.1" customHeight="1" x14ac:dyDescent="0.2">
      <c r="A144" s="266">
        <v>4</v>
      </c>
      <c r="B144" s="145"/>
      <c r="C144" s="153" t="s">
        <v>39</v>
      </c>
      <c r="D144" s="154" t="s">
        <v>40</v>
      </c>
      <c r="E144" s="114">
        <f ca="1">INDIRECT("M"&amp;COLUMN()-4&amp;"!G"&amp;ROW('M1'!$G60))</f>
        <v>0</v>
      </c>
      <c r="F144" s="114">
        <f ca="1">INDIRECT("M"&amp;COLUMN()-4&amp;"!G"&amp;ROW('M1'!$G60))</f>
        <v>0</v>
      </c>
      <c r="G144" s="114">
        <f ca="1">INDIRECT("M"&amp;COLUMN()-4&amp;"!G"&amp;ROW('M1'!$G60))</f>
        <v>0</v>
      </c>
      <c r="H144" s="114">
        <f ca="1">INDIRECT("M"&amp;COLUMN()-4&amp;"!G"&amp;ROW('M1'!$G60))</f>
        <v>0</v>
      </c>
      <c r="I144" s="114">
        <f ca="1">INDIRECT("M"&amp;COLUMN()-4&amp;"!G"&amp;ROW('M1'!$G60))</f>
        <v>0</v>
      </c>
      <c r="J144" s="114">
        <f ca="1">INDIRECT("M"&amp;COLUMN()-4&amp;"!G"&amp;ROW('M1'!$G60))</f>
        <v>0</v>
      </c>
      <c r="K144" s="114">
        <f ca="1">INDIRECT("M"&amp;COLUMN()-4&amp;"!G"&amp;ROW('M1'!$G60))</f>
        <v>0</v>
      </c>
      <c r="L144" s="114">
        <f ca="1">INDIRECT("M"&amp;COLUMN()-4&amp;"!G"&amp;ROW('M1'!$G60))</f>
        <v>0</v>
      </c>
      <c r="M144" s="114">
        <f ca="1">INDIRECT("M"&amp;COLUMN()-4&amp;"!G"&amp;ROW('M1'!$G60))</f>
        <v>0</v>
      </c>
      <c r="N144" s="114">
        <f ca="1">INDIRECT("M"&amp;COLUMN()-4&amp;"!G"&amp;ROW('M1'!$G60))</f>
        <v>0</v>
      </c>
      <c r="O144" s="114">
        <f ca="1">INDIRECT("M"&amp;COLUMN()-4&amp;"!G"&amp;ROW('M1'!$G60))</f>
        <v>0</v>
      </c>
      <c r="P144" s="114">
        <f ca="1">INDIRECT("M"&amp;COLUMN()-4&amp;"!G"&amp;ROW('M1'!$G60))</f>
        <v>0</v>
      </c>
      <c r="Q144" s="146"/>
      <c r="R144" s="15">
        <f t="shared" ca="1" si="4"/>
        <v>0</v>
      </c>
    </row>
    <row r="145" spans="1:18" ht="14.1" customHeight="1" x14ac:dyDescent="0.2">
      <c r="A145" s="265">
        <v>5</v>
      </c>
      <c r="B145" s="145"/>
      <c r="C145" s="151" t="s">
        <v>41</v>
      </c>
      <c r="D145" s="152" t="s">
        <v>42</v>
      </c>
      <c r="E145" s="149">
        <f ca="1">INDIRECT("M"&amp;COLUMN()-4&amp;"!G"&amp;ROW('M1'!$G61))</f>
        <v>0</v>
      </c>
      <c r="F145" s="149">
        <f ca="1">INDIRECT("M"&amp;COLUMN()-4&amp;"!G"&amp;ROW('M1'!$G61))</f>
        <v>0</v>
      </c>
      <c r="G145" s="149">
        <f ca="1">INDIRECT("M"&amp;COLUMN()-4&amp;"!G"&amp;ROW('M1'!$G61))</f>
        <v>0</v>
      </c>
      <c r="H145" s="149">
        <f ca="1">INDIRECT("M"&amp;COLUMN()-4&amp;"!G"&amp;ROW('M1'!$G61))</f>
        <v>0</v>
      </c>
      <c r="I145" s="149">
        <f ca="1">INDIRECT("M"&amp;COLUMN()-4&amp;"!G"&amp;ROW('M1'!$G61))</f>
        <v>0</v>
      </c>
      <c r="J145" s="149">
        <f ca="1">INDIRECT("M"&amp;COLUMN()-4&amp;"!G"&amp;ROW('M1'!$G61))</f>
        <v>0</v>
      </c>
      <c r="K145" s="149">
        <f ca="1">INDIRECT("M"&amp;COLUMN()-4&amp;"!G"&amp;ROW('M1'!$G61))</f>
        <v>0</v>
      </c>
      <c r="L145" s="149">
        <f ca="1">INDIRECT("M"&amp;COLUMN()-4&amp;"!G"&amp;ROW('M1'!$G61))</f>
        <v>0</v>
      </c>
      <c r="M145" s="149">
        <f ca="1">INDIRECT("M"&amp;COLUMN()-4&amp;"!G"&amp;ROW('M1'!$G61))</f>
        <v>0</v>
      </c>
      <c r="N145" s="149">
        <f ca="1">INDIRECT("M"&amp;COLUMN()-4&amp;"!G"&amp;ROW('M1'!$G61))</f>
        <v>0</v>
      </c>
      <c r="O145" s="149">
        <f ca="1">INDIRECT("M"&amp;COLUMN()-4&amp;"!G"&amp;ROW('M1'!$G61))</f>
        <v>0</v>
      </c>
      <c r="P145" s="149">
        <f ca="1">INDIRECT("M"&amp;COLUMN()-4&amp;"!G"&amp;ROW('M1'!$G61))</f>
        <v>0</v>
      </c>
      <c r="Q145" s="146"/>
      <c r="R145" s="15">
        <f t="shared" ca="1" si="4"/>
        <v>0</v>
      </c>
    </row>
    <row r="146" spans="1:18" ht="14.1" customHeight="1" x14ac:dyDescent="0.2">
      <c r="A146" s="266">
        <v>6</v>
      </c>
      <c r="B146" s="145"/>
      <c r="C146" s="153" t="s">
        <v>43</v>
      </c>
      <c r="D146" s="154" t="s">
        <v>44</v>
      </c>
      <c r="E146" s="114">
        <f ca="1">INDIRECT("M"&amp;COLUMN()-4&amp;"!G"&amp;ROW('M1'!$G62))</f>
        <v>0</v>
      </c>
      <c r="F146" s="114">
        <f ca="1">INDIRECT("M"&amp;COLUMN()-4&amp;"!G"&amp;ROW('M1'!$G62))</f>
        <v>0</v>
      </c>
      <c r="G146" s="114">
        <f ca="1">INDIRECT("M"&amp;COLUMN()-4&amp;"!G"&amp;ROW('M1'!$G62))</f>
        <v>0</v>
      </c>
      <c r="H146" s="114">
        <f ca="1">INDIRECT("M"&amp;COLUMN()-4&amp;"!G"&amp;ROW('M1'!$G62))</f>
        <v>0</v>
      </c>
      <c r="I146" s="114">
        <f ca="1">INDIRECT("M"&amp;COLUMN()-4&amp;"!G"&amp;ROW('M1'!$G62))</f>
        <v>0</v>
      </c>
      <c r="J146" s="114">
        <f ca="1">INDIRECT("M"&amp;COLUMN()-4&amp;"!G"&amp;ROW('M1'!$G62))</f>
        <v>0</v>
      </c>
      <c r="K146" s="114">
        <f ca="1">INDIRECT("M"&amp;COLUMN()-4&amp;"!G"&amp;ROW('M1'!$G62))</f>
        <v>0</v>
      </c>
      <c r="L146" s="114">
        <f ca="1">INDIRECT("M"&amp;COLUMN()-4&amp;"!G"&amp;ROW('M1'!$G62))</f>
        <v>0</v>
      </c>
      <c r="M146" s="114">
        <f ca="1">INDIRECT("M"&amp;COLUMN()-4&amp;"!G"&amp;ROW('M1'!$G62))</f>
        <v>0</v>
      </c>
      <c r="N146" s="114">
        <f ca="1">INDIRECT("M"&amp;COLUMN()-4&amp;"!G"&amp;ROW('M1'!$G62))</f>
        <v>0</v>
      </c>
      <c r="O146" s="114">
        <f ca="1">INDIRECT("M"&amp;COLUMN()-4&amp;"!G"&amp;ROW('M1'!$G62))</f>
        <v>0</v>
      </c>
      <c r="P146" s="114">
        <f ca="1">INDIRECT("M"&amp;COLUMN()-4&amp;"!G"&amp;ROW('M1'!$G62))</f>
        <v>0</v>
      </c>
      <c r="Q146" s="146"/>
      <c r="R146" s="15">
        <f t="shared" ca="1" si="4"/>
        <v>0</v>
      </c>
    </row>
    <row r="147" spans="1:18" ht="14.1" customHeight="1" x14ac:dyDescent="0.2">
      <c r="A147" s="265">
        <v>7</v>
      </c>
      <c r="B147" s="145"/>
      <c r="C147" s="151" t="s">
        <v>45</v>
      </c>
      <c r="D147" s="152" t="s">
        <v>46</v>
      </c>
      <c r="E147" s="149">
        <f ca="1">INDIRECT("M"&amp;COLUMN()-4&amp;"!G"&amp;ROW('M1'!$G63))</f>
        <v>0</v>
      </c>
      <c r="F147" s="149">
        <f ca="1">INDIRECT("M"&amp;COLUMN()-4&amp;"!G"&amp;ROW('M1'!$G63))</f>
        <v>0</v>
      </c>
      <c r="G147" s="149">
        <f ca="1">INDIRECT("M"&amp;COLUMN()-4&amp;"!G"&amp;ROW('M1'!$G63))</f>
        <v>0</v>
      </c>
      <c r="H147" s="149">
        <f ca="1">INDIRECT("M"&amp;COLUMN()-4&amp;"!G"&amp;ROW('M1'!$G63))</f>
        <v>0</v>
      </c>
      <c r="I147" s="149">
        <f ca="1">INDIRECT("M"&amp;COLUMN()-4&amp;"!G"&amp;ROW('M1'!$G63))</f>
        <v>0</v>
      </c>
      <c r="J147" s="149">
        <f ca="1">INDIRECT("M"&amp;COLUMN()-4&amp;"!G"&amp;ROW('M1'!$G63))</f>
        <v>0</v>
      </c>
      <c r="K147" s="149">
        <f ca="1">INDIRECT("M"&amp;COLUMN()-4&amp;"!G"&amp;ROW('M1'!$G63))</f>
        <v>0</v>
      </c>
      <c r="L147" s="149">
        <f ca="1">INDIRECT("M"&amp;COLUMN()-4&amp;"!G"&amp;ROW('M1'!$G63))</f>
        <v>0</v>
      </c>
      <c r="M147" s="149">
        <f ca="1">INDIRECT("M"&amp;COLUMN()-4&amp;"!G"&amp;ROW('M1'!$G63))</f>
        <v>0</v>
      </c>
      <c r="N147" s="149">
        <f ca="1">INDIRECT("M"&amp;COLUMN()-4&amp;"!G"&amp;ROW('M1'!$G63))</f>
        <v>0</v>
      </c>
      <c r="O147" s="149">
        <f ca="1">INDIRECT("M"&amp;COLUMN()-4&amp;"!G"&amp;ROW('M1'!$G63))</f>
        <v>0</v>
      </c>
      <c r="P147" s="149">
        <f ca="1">INDIRECT("M"&amp;COLUMN()-4&amp;"!G"&amp;ROW('M1'!$G63))</f>
        <v>0</v>
      </c>
      <c r="Q147" s="146"/>
      <c r="R147" s="15">
        <f t="shared" ca="1" si="4"/>
        <v>0</v>
      </c>
    </row>
    <row r="148" spans="1:18" ht="14.1" customHeight="1" x14ac:dyDescent="0.2">
      <c r="A148" s="266">
        <v>8</v>
      </c>
      <c r="B148" s="145"/>
      <c r="C148" s="153" t="s">
        <v>47</v>
      </c>
      <c r="D148" s="154" t="s">
        <v>48</v>
      </c>
      <c r="E148" s="114">
        <f ca="1">INDIRECT("M"&amp;COLUMN()-4&amp;"!G"&amp;ROW('M1'!$G64))</f>
        <v>0</v>
      </c>
      <c r="F148" s="114">
        <f ca="1">INDIRECT("M"&amp;COLUMN()-4&amp;"!G"&amp;ROW('M1'!$G64))</f>
        <v>0</v>
      </c>
      <c r="G148" s="114">
        <f ca="1">INDIRECT("M"&amp;COLUMN()-4&amp;"!G"&amp;ROW('M1'!$G64))</f>
        <v>0</v>
      </c>
      <c r="H148" s="114">
        <f ca="1">INDIRECT("M"&amp;COLUMN()-4&amp;"!G"&amp;ROW('M1'!$G64))</f>
        <v>0</v>
      </c>
      <c r="I148" s="114">
        <f ca="1">INDIRECT("M"&amp;COLUMN()-4&amp;"!G"&amp;ROW('M1'!$G64))</f>
        <v>0</v>
      </c>
      <c r="J148" s="114">
        <f ca="1">INDIRECT("M"&amp;COLUMN()-4&amp;"!G"&amp;ROW('M1'!$G64))</f>
        <v>0</v>
      </c>
      <c r="K148" s="114">
        <f ca="1">INDIRECT("M"&amp;COLUMN()-4&amp;"!G"&amp;ROW('M1'!$G64))</f>
        <v>0</v>
      </c>
      <c r="L148" s="114">
        <f ca="1">INDIRECT("M"&amp;COLUMN()-4&amp;"!G"&amp;ROW('M1'!$G64))</f>
        <v>0</v>
      </c>
      <c r="M148" s="114">
        <f ca="1">INDIRECT("M"&amp;COLUMN()-4&amp;"!G"&amp;ROW('M1'!$G64))</f>
        <v>0</v>
      </c>
      <c r="N148" s="114">
        <f ca="1">INDIRECT("M"&amp;COLUMN()-4&amp;"!G"&amp;ROW('M1'!$G64))</f>
        <v>0</v>
      </c>
      <c r="O148" s="114">
        <f ca="1">INDIRECT("M"&amp;COLUMN()-4&amp;"!G"&amp;ROW('M1'!$G64))</f>
        <v>0</v>
      </c>
      <c r="P148" s="114">
        <f ca="1">INDIRECT("M"&amp;COLUMN()-4&amp;"!G"&amp;ROW('M1'!$G64))</f>
        <v>0</v>
      </c>
      <c r="Q148" s="146"/>
      <c r="R148" s="15">
        <f t="shared" ca="1" si="4"/>
        <v>0</v>
      </c>
    </row>
    <row r="149" spans="1:18" ht="14.1" customHeight="1" x14ac:dyDescent="0.2">
      <c r="A149" s="265">
        <v>9</v>
      </c>
      <c r="B149" s="145"/>
      <c r="C149" s="151" t="s">
        <v>49</v>
      </c>
      <c r="D149" s="152" t="s">
        <v>50</v>
      </c>
      <c r="E149" s="149">
        <f ca="1">INDIRECT("M"&amp;COLUMN()-4&amp;"!G"&amp;ROW('M1'!$G65))</f>
        <v>0</v>
      </c>
      <c r="F149" s="149">
        <f ca="1">INDIRECT("M"&amp;COLUMN()-4&amp;"!G"&amp;ROW('M1'!$G65))</f>
        <v>0</v>
      </c>
      <c r="G149" s="149">
        <f ca="1">INDIRECT("M"&amp;COLUMN()-4&amp;"!G"&amp;ROW('M1'!$G65))</f>
        <v>0</v>
      </c>
      <c r="H149" s="149">
        <f ca="1">INDIRECT("M"&amp;COLUMN()-4&amp;"!G"&amp;ROW('M1'!$G65))</f>
        <v>0</v>
      </c>
      <c r="I149" s="149">
        <f ca="1">INDIRECT("M"&amp;COLUMN()-4&amp;"!G"&amp;ROW('M1'!$G65))</f>
        <v>0</v>
      </c>
      <c r="J149" s="149">
        <f ca="1">INDIRECT("M"&amp;COLUMN()-4&amp;"!G"&amp;ROW('M1'!$G65))</f>
        <v>0</v>
      </c>
      <c r="K149" s="149">
        <f ca="1">INDIRECT("M"&amp;COLUMN()-4&amp;"!G"&amp;ROW('M1'!$G65))</f>
        <v>0</v>
      </c>
      <c r="L149" s="149">
        <f ca="1">INDIRECT("M"&amp;COLUMN()-4&amp;"!G"&amp;ROW('M1'!$G65))</f>
        <v>0</v>
      </c>
      <c r="M149" s="149">
        <f ca="1">INDIRECT("M"&amp;COLUMN()-4&amp;"!G"&amp;ROW('M1'!$G65))</f>
        <v>0</v>
      </c>
      <c r="N149" s="149">
        <f ca="1">INDIRECT("M"&amp;COLUMN()-4&amp;"!G"&amp;ROW('M1'!$G65))</f>
        <v>0</v>
      </c>
      <c r="O149" s="149">
        <f ca="1">INDIRECT("M"&amp;COLUMN()-4&amp;"!G"&amp;ROW('M1'!$G65))</f>
        <v>0</v>
      </c>
      <c r="P149" s="149">
        <f ca="1">INDIRECT("M"&amp;COLUMN()-4&amp;"!G"&amp;ROW('M1'!$G65))</f>
        <v>0</v>
      </c>
      <c r="Q149" s="146"/>
      <c r="R149" s="15">
        <f t="shared" ca="1" si="4"/>
        <v>0</v>
      </c>
    </row>
    <row r="150" spans="1:18" ht="14.1" customHeight="1" x14ac:dyDescent="0.2">
      <c r="A150" s="266">
        <v>10</v>
      </c>
      <c r="B150" s="145"/>
      <c r="C150" s="153" t="s">
        <v>51</v>
      </c>
      <c r="D150" s="154" t="s">
        <v>52</v>
      </c>
      <c r="E150" s="114">
        <f ca="1">INDIRECT("M"&amp;COLUMN()-4&amp;"!G"&amp;ROW('M1'!$G66))</f>
        <v>0</v>
      </c>
      <c r="F150" s="114">
        <f ca="1">INDIRECT("M"&amp;COLUMN()-4&amp;"!G"&amp;ROW('M1'!$G66))</f>
        <v>0</v>
      </c>
      <c r="G150" s="114">
        <f ca="1">INDIRECT("M"&amp;COLUMN()-4&amp;"!G"&amp;ROW('M1'!$G66))</f>
        <v>0</v>
      </c>
      <c r="H150" s="114">
        <f ca="1">INDIRECT("M"&amp;COLUMN()-4&amp;"!G"&amp;ROW('M1'!$G66))</f>
        <v>0</v>
      </c>
      <c r="I150" s="114">
        <f ca="1">INDIRECT("M"&amp;COLUMN()-4&amp;"!G"&amp;ROW('M1'!$G66))</f>
        <v>0</v>
      </c>
      <c r="J150" s="114">
        <f ca="1">INDIRECT("M"&amp;COLUMN()-4&amp;"!G"&amp;ROW('M1'!$G66))</f>
        <v>0</v>
      </c>
      <c r="K150" s="114">
        <f ca="1">INDIRECT("M"&amp;COLUMN()-4&amp;"!G"&amp;ROW('M1'!$G66))</f>
        <v>0</v>
      </c>
      <c r="L150" s="114">
        <f ca="1">INDIRECT("M"&amp;COLUMN()-4&amp;"!G"&amp;ROW('M1'!$G66))</f>
        <v>0</v>
      </c>
      <c r="M150" s="114">
        <f ca="1">INDIRECT("M"&amp;COLUMN()-4&amp;"!G"&amp;ROW('M1'!$G66))</f>
        <v>0</v>
      </c>
      <c r="N150" s="114">
        <f ca="1">INDIRECT("M"&amp;COLUMN()-4&amp;"!G"&amp;ROW('M1'!$G66))</f>
        <v>0</v>
      </c>
      <c r="O150" s="114">
        <f ca="1">INDIRECT("M"&amp;COLUMN()-4&amp;"!G"&amp;ROW('M1'!$G66))</f>
        <v>0</v>
      </c>
      <c r="P150" s="114">
        <f ca="1">INDIRECT("M"&amp;COLUMN()-4&amp;"!G"&amp;ROW('M1'!$G66))</f>
        <v>0</v>
      </c>
      <c r="Q150" s="146"/>
      <c r="R150" s="15">
        <f t="shared" ca="1" si="4"/>
        <v>0</v>
      </c>
    </row>
    <row r="151" spans="1:18" ht="14.1" customHeight="1" x14ac:dyDescent="0.2">
      <c r="A151" s="265">
        <v>11</v>
      </c>
      <c r="B151" s="145"/>
      <c r="C151" s="151" t="s">
        <v>53</v>
      </c>
      <c r="D151" s="152" t="s">
        <v>54</v>
      </c>
      <c r="E151" s="149">
        <f ca="1">INDIRECT("M"&amp;COLUMN()-4&amp;"!G"&amp;ROW('M1'!$G67))</f>
        <v>0</v>
      </c>
      <c r="F151" s="149">
        <f ca="1">INDIRECT("M"&amp;COLUMN()-4&amp;"!G"&amp;ROW('M1'!$G67))</f>
        <v>0</v>
      </c>
      <c r="G151" s="149">
        <f ca="1">INDIRECT("M"&amp;COLUMN()-4&amp;"!G"&amp;ROW('M1'!$G67))</f>
        <v>0</v>
      </c>
      <c r="H151" s="149">
        <f ca="1">INDIRECT("M"&amp;COLUMN()-4&amp;"!G"&amp;ROW('M1'!$G67))</f>
        <v>0</v>
      </c>
      <c r="I151" s="149">
        <f ca="1">INDIRECT("M"&amp;COLUMN()-4&amp;"!G"&amp;ROW('M1'!$G67))</f>
        <v>0</v>
      </c>
      <c r="J151" s="149">
        <f ca="1">INDIRECT("M"&amp;COLUMN()-4&amp;"!G"&amp;ROW('M1'!$G67))</f>
        <v>0</v>
      </c>
      <c r="K151" s="149">
        <f ca="1">INDIRECT("M"&amp;COLUMN()-4&amp;"!G"&amp;ROW('M1'!$G67))</f>
        <v>0</v>
      </c>
      <c r="L151" s="149">
        <f ca="1">INDIRECT("M"&amp;COLUMN()-4&amp;"!G"&amp;ROW('M1'!$G67))</f>
        <v>0</v>
      </c>
      <c r="M151" s="149">
        <f ca="1">INDIRECT("M"&amp;COLUMN()-4&amp;"!G"&amp;ROW('M1'!$G67))</f>
        <v>0</v>
      </c>
      <c r="N151" s="149">
        <f ca="1">INDIRECT("M"&amp;COLUMN()-4&amp;"!G"&amp;ROW('M1'!$G67))</f>
        <v>0</v>
      </c>
      <c r="O151" s="149">
        <f ca="1">INDIRECT("M"&amp;COLUMN()-4&amp;"!G"&amp;ROW('M1'!$G67))</f>
        <v>0</v>
      </c>
      <c r="P151" s="149">
        <f ca="1">INDIRECT("M"&amp;COLUMN()-4&amp;"!G"&amp;ROW('M1'!$G67))</f>
        <v>0</v>
      </c>
      <c r="Q151" s="146"/>
      <c r="R151" s="15">
        <f t="shared" ca="1" si="4"/>
        <v>0</v>
      </c>
    </row>
    <row r="152" spans="1:18" ht="14.1" customHeight="1" x14ac:dyDescent="0.2">
      <c r="A152" s="266">
        <v>12</v>
      </c>
      <c r="B152" s="145"/>
      <c r="C152" s="153" t="s">
        <v>55</v>
      </c>
      <c r="D152" s="154" t="s">
        <v>56</v>
      </c>
      <c r="E152" s="114">
        <f ca="1">INDIRECT("M"&amp;COLUMN()-4&amp;"!G"&amp;ROW('M1'!$G68))</f>
        <v>0</v>
      </c>
      <c r="F152" s="114">
        <f ca="1">INDIRECT("M"&amp;COLUMN()-4&amp;"!G"&amp;ROW('M1'!$G68))</f>
        <v>0</v>
      </c>
      <c r="G152" s="114">
        <f ca="1">INDIRECT("M"&amp;COLUMN()-4&amp;"!G"&amp;ROW('M1'!$G68))</f>
        <v>0</v>
      </c>
      <c r="H152" s="114">
        <f ca="1">INDIRECT("M"&amp;COLUMN()-4&amp;"!G"&amp;ROW('M1'!$G68))</f>
        <v>0</v>
      </c>
      <c r="I152" s="114">
        <f ca="1">INDIRECT("M"&amp;COLUMN()-4&amp;"!G"&amp;ROW('M1'!$G68))</f>
        <v>0</v>
      </c>
      <c r="J152" s="114">
        <f ca="1">INDIRECT("M"&amp;COLUMN()-4&amp;"!G"&amp;ROW('M1'!$G68))</f>
        <v>0</v>
      </c>
      <c r="K152" s="114">
        <f ca="1">INDIRECT("M"&amp;COLUMN()-4&amp;"!G"&amp;ROW('M1'!$G68))</f>
        <v>0</v>
      </c>
      <c r="L152" s="114">
        <f ca="1">INDIRECT("M"&amp;COLUMN()-4&amp;"!G"&amp;ROW('M1'!$G68))</f>
        <v>0</v>
      </c>
      <c r="M152" s="114">
        <f ca="1">INDIRECT("M"&amp;COLUMN()-4&amp;"!G"&amp;ROW('M1'!$G68))</f>
        <v>0</v>
      </c>
      <c r="N152" s="114">
        <f ca="1">INDIRECT("M"&amp;COLUMN()-4&amp;"!G"&amp;ROW('M1'!$G68))</f>
        <v>0</v>
      </c>
      <c r="O152" s="114">
        <f ca="1">INDIRECT("M"&amp;COLUMN()-4&amp;"!G"&amp;ROW('M1'!$G68))</f>
        <v>0</v>
      </c>
      <c r="P152" s="114">
        <f ca="1">INDIRECT("M"&amp;COLUMN()-4&amp;"!G"&amp;ROW('M1'!$G68))</f>
        <v>0</v>
      </c>
      <c r="Q152" s="146"/>
      <c r="R152" s="15">
        <f t="shared" ca="1" si="4"/>
        <v>0</v>
      </c>
    </row>
    <row r="153" spans="1:18" ht="14.1" customHeight="1" x14ac:dyDescent="0.2">
      <c r="A153" s="265">
        <v>13</v>
      </c>
      <c r="B153" s="145"/>
      <c r="C153" s="151" t="s">
        <v>57</v>
      </c>
      <c r="D153" s="152" t="s">
        <v>58</v>
      </c>
      <c r="E153" s="149">
        <f ca="1">INDIRECT("M"&amp;COLUMN()-4&amp;"!G"&amp;ROW('M1'!$G69))</f>
        <v>0</v>
      </c>
      <c r="F153" s="149">
        <f ca="1">INDIRECT("M"&amp;COLUMN()-4&amp;"!G"&amp;ROW('M1'!$G69))</f>
        <v>0</v>
      </c>
      <c r="G153" s="149">
        <f ca="1">INDIRECT("M"&amp;COLUMN()-4&amp;"!G"&amp;ROW('M1'!$G69))</f>
        <v>0</v>
      </c>
      <c r="H153" s="149">
        <f ca="1">INDIRECT("M"&amp;COLUMN()-4&amp;"!G"&amp;ROW('M1'!$G69))</f>
        <v>0</v>
      </c>
      <c r="I153" s="149">
        <f ca="1">INDIRECT("M"&amp;COLUMN()-4&amp;"!G"&amp;ROW('M1'!$G69))</f>
        <v>0</v>
      </c>
      <c r="J153" s="149">
        <f ca="1">INDIRECT("M"&amp;COLUMN()-4&amp;"!G"&amp;ROW('M1'!$G69))</f>
        <v>0</v>
      </c>
      <c r="K153" s="149">
        <f ca="1">INDIRECT("M"&amp;COLUMN()-4&amp;"!G"&amp;ROW('M1'!$G69))</f>
        <v>0</v>
      </c>
      <c r="L153" s="149">
        <f ca="1">INDIRECT("M"&amp;COLUMN()-4&amp;"!G"&amp;ROW('M1'!$G69))</f>
        <v>0</v>
      </c>
      <c r="M153" s="149">
        <f ca="1">INDIRECT("M"&amp;COLUMN()-4&amp;"!G"&amp;ROW('M1'!$G69))</f>
        <v>0</v>
      </c>
      <c r="N153" s="149">
        <f ca="1">INDIRECT("M"&amp;COLUMN()-4&amp;"!G"&amp;ROW('M1'!$G69))</f>
        <v>0</v>
      </c>
      <c r="O153" s="149">
        <f ca="1">INDIRECT("M"&amp;COLUMN()-4&amp;"!G"&amp;ROW('M1'!$G69))</f>
        <v>0</v>
      </c>
      <c r="P153" s="149">
        <f ca="1">INDIRECT("M"&amp;COLUMN()-4&amp;"!G"&amp;ROW('M1'!$G69))</f>
        <v>0</v>
      </c>
      <c r="Q153" s="146"/>
      <c r="R153" s="15">
        <f t="shared" ca="1" si="4"/>
        <v>0</v>
      </c>
    </row>
    <row r="154" spans="1:18" ht="14.1" customHeight="1" x14ac:dyDescent="0.2">
      <c r="A154" s="266">
        <v>14</v>
      </c>
      <c r="B154" s="145"/>
      <c r="C154" s="153" t="s">
        <v>59</v>
      </c>
      <c r="D154" s="154" t="s">
        <v>60</v>
      </c>
      <c r="E154" s="114">
        <f ca="1">INDIRECT("M"&amp;COLUMN()-4&amp;"!G"&amp;ROW('M1'!$G70))</f>
        <v>0</v>
      </c>
      <c r="F154" s="114">
        <f ca="1">INDIRECT("M"&amp;COLUMN()-4&amp;"!G"&amp;ROW('M1'!$G70))</f>
        <v>0</v>
      </c>
      <c r="G154" s="114">
        <f ca="1">INDIRECT("M"&amp;COLUMN()-4&amp;"!G"&amp;ROW('M1'!$G70))</f>
        <v>0</v>
      </c>
      <c r="H154" s="114">
        <f ca="1">INDIRECT("M"&amp;COLUMN()-4&amp;"!G"&amp;ROW('M1'!$G70))</f>
        <v>0</v>
      </c>
      <c r="I154" s="114">
        <f ca="1">INDIRECT("M"&amp;COLUMN()-4&amp;"!G"&amp;ROW('M1'!$G70))</f>
        <v>0</v>
      </c>
      <c r="J154" s="114">
        <f ca="1">INDIRECT("M"&amp;COLUMN()-4&amp;"!G"&amp;ROW('M1'!$G70))</f>
        <v>0</v>
      </c>
      <c r="K154" s="114">
        <f ca="1">INDIRECT("M"&amp;COLUMN()-4&amp;"!G"&amp;ROW('M1'!$G70))</f>
        <v>0</v>
      </c>
      <c r="L154" s="114">
        <f ca="1">INDIRECT("M"&amp;COLUMN()-4&amp;"!G"&amp;ROW('M1'!$G70))</f>
        <v>0</v>
      </c>
      <c r="M154" s="114">
        <f ca="1">INDIRECT("M"&amp;COLUMN()-4&amp;"!G"&amp;ROW('M1'!$G70))</f>
        <v>0</v>
      </c>
      <c r="N154" s="114">
        <f ca="1">INDIRECT("M"&amp;COLUMN()-4&amp;"!G"&amp;ROW('M1'!$G70))</f>
        <v>0</v>
      </c>
      <c r="O154" s="114">
        <f ca="1">INDIRECT("M"&amp;COLUMN()-4&amp;"!G"&amp;ROW('M1'!$G70))</f>
        <v>0</v>
      </c>
      <c r="P154" s="114">
        <f ca="1">INDIRECT("M"&amp;COLUMN()-4&amp;"!G"&amp;ROW('M1'!$G70))</f>
        <v>0</v>
      </c>
      <c r="Q154" s="146"/>
      <c r="R154" s="15">
        <f t="shared" ca="1" si="4"/>
        <v>0</v>
      </c>
    </row>
    <row r="155" spans="1:18" ht="14.1" customHeight="1" x14ac:dyDescent="0.2">
      <c r="A155" s="265">
        <v>15</v>
      </c>
      <c r="B155" s="145"/>
      <c r="C155" s="151" t="s">
        <v>61</v>
      </c>
      <c r="D155" s="152" t="s">
        <v>62</v>
      </c>
      <c r="E155" s="149">
        <f ca="1">INDIRECT("M"&amp;COLUMN()-4&amp;"!G"&amp;ROW('M1'!$G71))</f>
        <v>0</v>
      </c>
      <c r="F155" s="149">
        <f ca="1">INDIRECT("M"&amp;COLUMN()-4&amp;"!G"&amp;ROW('M1'!$G71))</f>
        <v>0</v>
      </c>
      <c r="G155" s="149">
        <f ca="1">INDIRECT("M"&amp;COLUMN()-4&amp;"!G"&amp;ROW('M1'!$G71))</f>
        <v>0</v>
      </c>
      <c r="H155" s="149">
        <f ca="1">INDIRECT("M"&amp;COLUMN()-4&amp;"!G"&amp;ROW('M1'!$G71))</f>
        <v>0</v>
      </c>
      <c r="I155" s="149">
        <f ca="1">INDIRECT("M"&amp;COLUMN()-4&amp;"!G"&amp;ROW('M1'!$G71))</f>
        <v>0</v>
      </c>
      <c r="J155" s="149">
        <f ca="1">INDIRECT("M"&amp;COLUMN()-4&amp;"!G"&amp;ROW('M1'!$G71))</f>
        <v>0</v>
      </c>
      <c r="K155" s="149">
        <f ca="1">INDIRECT("M"&amp;COLUMN()-4&amp;"!G"&amp;ROW('M1'!$G71))</f>
        <v>0</v>
      </c>
      <c r="L155" s="149">
        <f ca="1">INDIRECT("M"&amp;COLUMN()-4&amp;"!G"&amp;ROW('M1'!$G71))</f>
        <v>0</v>
      </c>
      <c r="M155" s="149">
        <f ca="1">INDIRECT("M"&amp;COLUMN()-4&amp;"!G"&amp;ROW('M1'!$G71))</f>
        <v>0</v>
      </c>
      <c r="N155" s="149">
        <f ca="1">INDIRECT("M"&amp;COLUMN()-4&amp;"!G"&amp;ROW('M1'!$G71))</f>
        <v>0</v>
      </c>
      <c r="O155" s="149">
        <f ca="1">INDIRECT("M"&amp;COLUMN()-4&amp;"!G"&amp;ROW('M1'!$G71))</f>
        <v>0</v>
      </c>
      <c r="P155" s="149">
        <f ca="1">INDIRECT("M"&amp;COLUMN()-4&amp;"!G"&amp;ROW('M1'!$G71))</f>
        <v>0</v>
      </c>
      <c r="Q155" s="146"/>
      <c r="R155" s="15">
        <f t="shared" ca="1" si="4"/>
        <v>0</v>
      </c>
    </row>
    <row r="156" spans="1:18" ht="14.1" customHeight="1" x14ac:dyDescent="0.2">
      <c r="A156" s="266">
        <v>16</v>
      </c>
      <c r="B156" s="145"/>
      <c r="C156" s="153" t="s">
        <v>63</v>
      </c>
      <c r="D156" s="154" t="s">
        <v>64</v>
      </c>
      <c r="E156" s="114">
        <f ca="1">INDIRECT("M"&amp;COLUMN()-4&amp;"!G"&amp;ROW('M1'!$G72))</f>
        <v>0</v>
      </c>
      <c r="F156" s="114">
        <f ca="1">INDIRECT("M"&amp;COLUMN()-4&amp;"!G"&amp;ROW('M1'!$G72))</f>
        <v>0</v>
      </c>
      <c r="G156" s="114">
        <f ca="1">INDIRECT("M"&amp;COLUMN()-4&amp;"!G"&amp;ROW('M1'!$G72))</f>
        <v>0</v>
      </c>
      <c r="H156" s="114">
        <f ca="1">INDIRECT("M"&amp;COLUMN()-4&amp;"!G"&amp;ROW('M1'!$G72))</f>
        <v>0</v>
      </c>
      <c r="I156" s="114">
        <f ca="1">INDIRECT("M"&amp;COLUMN()-4&amp;"!G"&amp;ROW('M1'!$G72))</f>
        <v>0</v>
      </c>
      <c r="J156" s="114">
        <f ca="1">INDIRECT("M"&amp;COLUMN()-4&amp;"!G"&amp;ROW('M1'!$G72))</f>
        <v>0</v>
      </c>
      <c r="K156" s="114">
        <f ca="1">INDIRECT("M"&amp;COLUMN()-4&amp;"!G"&amp;ROW('M1'!$G72))</f>
        <v>0</v>
      </c>
      <c r="L156" s="114">
        <f ca="1">INDIRECT("M"&amp;COLUMN()-4&amp;"!G"&amp;ROW('M1'!$G72))</f>
        <v>0</v>
      </c>
      <c r="M156" s="114">
        <f ca="1">INDIRECT("M"&amp;COLUMN()-4&amp;"!G"&amp;ROW('M1'!$G72))</f>
        <v>0</v>
      </c>
      <c r="N156" s="114">
        <f ca="1">INDIRECT("M"&amp;COLUMN()-4&amp;"!G"&amp;ROW('M1'!$G72))</f>
        <v>0</v>
      </c>
      <c r="O156" s="114">
        <f ca="1">INDIRECT("M"&amp;COLUMN()-4&amp;"!G"&amp;ROW('M1'!$G72))</f>
        <v>0</v>
      </c>
      <c r="P156" s="114">
        <f ca="1">INDIRECT("M"&amp;COLUMN()-4&amp;"!G"&amp;ROW('M1'!$G72))</f>
        <v>0</v>
      </c>
      <c r="Q156" s="146"/>
      <c r="R156" s="15">
        <f t="shared" ca="1" si="4"/>
        <v>0</v>
      </c>
    </row>
    <row r="157" spans="1:18" ht="14.1" customHeight="1" x14ac:dyDescent="0.2">
      <c r="A157" s="265">
        <v>17</v>
      </c>
      <c r="B157" s="145"/>
      <c r="C157" s="151" t="s">
        <v>65</v>
      </c>
      <c r="D157" s="152" t="s">
        <v>66</v>
      </c>
      <c r="E157" s="149">
        <f ca="1">INDIRECT("M"&amp;COLUMN()-4&amp;"!G"&amp;ROW('M1'!$G73))</f>
        <v>0</v>
      </c>
      <c r="F157" s="149">
        <f ca="1">INDIRECT("M"&amp;COLUMN()-4&amp;"!G"&amp;ROW('M1'!$G73))</f>
        <v>0</v>
      </c>
      <c r="G157" s="149">
        <f ca="1">INDIRECT("M"&amp;COLUMN()-4&amp;"!G"&amp;ROW('M1'!$G73))</f>
        <v>0</v>
      </c>
      <c r="H157" s="149">
        <f ca="1">INDIRECT("M"&amp;COLUMN()-4&amp;"!G"&amp;ROW('M1'!$G73))</f>
        <v>0</v>
      </c>
      <c r="I157" s="149">
        <f ca="1">INDIRECT("M"&amp;COLUMN()-4&amp;"!G"&amp;ROW('M1'!$G73))</f>
        <v>0</v>
      </c>
      <c r="J157" s="149">
        <f ca="1">INDIRECT("M"&amp;COLUMN()-4&amp;"!G"&amp;ROW('M1'!$G73))</f>
        <v>0</v>
      </c>
      <c r="K157" s="149">
        <f ca="1">INDIRECT("M"&amp;COLUMN()-4&amp;"!G"&amp;ROW('M1'!$G73))</f>
        <v>0</v>
      </c>
      <c r="L157" s="149">
        <f ca="1">INDIRECT("M"&amp;COLUMN()-4&amp;"!G"&amp;ROW('M1'!$G73))</f>
        <v>0</v>
      </c>
      <c r="M157" s="149">
        <f ca="1">INDIRECT("M"&amp;COLUMN()-4&amp;"!G"&amp;ROW('M1'!$G73))</f>
        <v>0</v>
      </c>
      <c r="N157" s="149">
        <f ca="1">INDIRECT("M"&amp;COLUMN()-4&amp;"!G"&amp;ROW('M1'!$G73))</f>
        <v>0</v>
      </c>
      <c r="O157" s="149">
        <f ca="1">INDIRECT("M"&amp;COLUMN()-4&amp;"!G"&amp;ROW('M1'!$G73))</f>
        <v>0</v>
      </c>
      <c r="P157" s="149">
        <f ca="1">INDIRECT("M"&amp;COLUMN()-4&amp;"!G"&amp;ROW('M1'!$G73))</f>
        <v>0</v>
      </c>
      <c r="Q157" s="146"/>
      <c r="R157" s="15">
        <f t="shared" ca="1" si="4"/>
        <v>0</v>
      </c>
    </row>
    <row r="158" spans="1:18" ht="14.1" customHeight="1" x14ac:dyDescent="0.2">
      <c r="A158" s="266">
        <v>18</v>
      </c>
      <c r="B158" s="145"/>
      <c r="C158" s="153" t="s">
        <v>67</v>
      </c>
      <c r="D158" s="154" t="s">
        <v>68</v>
      </c>
      <c r="E158" s="114">
        <f ca="1">INDIRECT("M"&amp;COLUMN()-4&amp;"!G"&amp;ROW('M1'!$G74))</f>
        <v>0</v>
      </c>
      <c r="F158" s="114">
        <f ca="1">INDIRECT("M"&amp;COLUMN()-4&amp;"!G"&amp;ROW('M1'!$G74))</f>
        <v>0</v>
      </c>
      <c r="G158" s="114">
        <f ca="1">INDIRECT("M"&amp;COLUMN()-4&amp;"!G"&amp;ROW('M1'!$G74))</f>
        <v>0</v>
      </c>
      <c r="H158" s="114">
        <f ca="1">INDIRECT("M"&amp;COLUMN()-4&amp;"!G"&amp;ROW('M1'!$G74))</f>
        <v>0</v>
      </c>
      <c r="I158" s="114">
        <f ca="1">INDIRECT("M"&amp;COLUMN()-4&amp;"!G"&amp;ROW('M1'!$G74))</f>
        <v>0</v>
      </c>
      <c r="J158" s="114">
        <f ca="1">INDIRECT("M"&amp;COLUMN()-4&amp;"!G"&amp;ROW('M1'!$G74))</f>
        <v>0</v>
      </c>
      <c r="K158" s="114">
        <f ca="1">INDIRECT("M"&amp;COLUMN()-4&amp;"!G"&amp;ROW('M1'!$G74))</f>
        <v>0</v>
      </c>
      <c r="L158" s="114">
        <f ca="1">INDIRECT("M"&amp;COLUMN()-4&amp;"!G"&amp;ROW('M1'!$G74))</f>
        <v>0</v>
      </c>
      <c r="M158" s="114">
        <f ca="1">INDIRECT("M"&amp;COLUMN()-4&amp;"!G"&amp;ROW('M1'!$G74))</f>
        <v>0</v>
      </c>
      <c r="N158" s="114">
        <f ca="1">INDIRECT("M"&amp;COLUMN()-4&amp;"!G"&amp;ROW('M1'!$G74))</f>
        <v>0</v>
      </c>
      <c r="O158" s="114">
        <f ca="1">INDIRECT("M"&amp;COLUMN()-4&amp;"!G"&amp;ROW('M1'!$G74))</f>
        <v>0</v>
      </c>
      <c r="P158" s="114">
        <f ca="1">INDIRECT("M"&amp;COLUMN()-4&amp;"!G"&amp;ROW('M1'!$G74))</f>
        <v>0</v>
      </c>
      <c r="Q158" s="146"/>
      <c r="R158" s="15">
        <f t="shared" ca="1" si="4"/>
        <v>0</v>
      </c>
    </row>
    <row r="159" spans="1:18" ht="14.1" customHeight="1" x14ac:dyDescent="0.2">
      <c r="A159" s="265">
        <v>19</v>
      </c>
      <c r="B159" s="145"/>
      <c r="C159" s="151" t="s">
        <v>69</v>
      </c>
      <c r="D159" s="152" t="s">
        <v>70</v>
      </c>
      <c r="E159" s="149">
        <f ca="1">INDIRECT("M"&amp;COLUMN()-4&amp;"!G"&amp;ROW('M1'!$G75))</f>
        <v>0</v>
      </c>
      <c r="F159" s="149">
        <f ca="1">INDIRECT("M"&amp;COLUMN()-4&amp;"!G"&amp;ROW('M1'!$G75))</f>
        <v>0</v>
      </c>
      <c r="G159" s="149">
        <f ca="1">INDIRECT("M"&amp;COLUMN()-4&amp;"!G"&amp;ROW('M1'!$G75))</f>
        <v>0</v>
      </c>
      <c r="H159" s="149">
        <f ca="1">INDIRECT("M"&amp;COLUMN()-4&amp;"!G"&amp;ROW('M1'!$G75))</f>
        <v>0</v>
      </c>
      <c r="I159" s="149">
        <f ca="1">INDIRECT("M"&amp;COLUMN()-4&amp;"!G"&amp;ROW('M1'!$G75))</f>
        <v>0</v>
      </c>
      <c r="J159" s="149">
        <f ca="1">INDIRECT("M"&amp;COLUMN()-4&amp;"!G"&amp;ROW('M1'!$G75))</f>
        <v>0</v>
      </c>
      <c r="K159" s="149">
        <f ca="1">INDIRECT("M"&amp;COLUMN()-4&amp;"!G"&amp;ROW('M1'!$G75))</f>
        <v>0</v>
      </c>
      <c r="L159" s="149">
        <f ca="1">INDIRECT("M"&amp;COLUMN()-4&amp;"!G"&amp;ROW('M1'!$G75))</f>
        <v>0</v>
      </c>
      <c r="M159" s="149">
        <f ca="1">INDIRECT("M"&amp;COLUMN()-4&amp;"!G"&amp;ROW('M1'!$G75))</f>
        <v>0</v>
      </c>
      <c r="N159" s="149">
        <f ca="1">INDIRECT("M"&amp;COLUMN()-4&amp;"!G"&amp;ROW('M1'!$G75))</f>
        <v>0</v>
      </c>
      <c r="O159" s="149">
        <f ca="1">INDIRECT("M"&amp;COLUMN()-4&amp;"!G"&amp;ROW('M1'!$G75))</f>
        <v>0</v>
      </c>
      <c r="P159" s="149">
        <f ca="1">INDIRECT("M"&amp;COLUMN()-4&amp;"!G"&amp;ROW('M1'!$G75))</f>
        <v>0</v>
      </c>
      <c r="Q159" s="146"/>
      <c r="R159" s="15">
        <f t="shared" ca="1" si="4"/>
        <v>0</v>
      </c>
    </row>
    <row r="160" spans="1:18" ht="14.1" customHeight="1" x14ac:dyDescent="0.2">
      <c r="A160" s="266">
        <v>20</v>
      </c>
      <c r="B160" s="145"/>
      <c r="C160" s="153" t="s">
        <v>71</v>
      </c>
      <c r="D160" s="154" t="s">
        <v>72</v>
      </c>
      <c r="E160" s="114">
        <f ca="1">INDIRECT("M"&amp;COLUMN()-4&amp;"!G"&amp;ROW('M1'!$G76))</f>
        <v>0</v>
      </c>
      <c r="F160" s="114">
        <f ca="1">INDIRECT("M"&amp;COLUMN()-4&amp;"!G"&amp;ROW('M1'!$G76))</f>
        <v>0</v>
      </c>
      <c r="G160" s="114">
        <f ca="1">INDIRECT("M"&amp;COLUMN()-4&amp;"!G"&amp;ROW('M1'!$G76))</f>
        <v>0</v>
      </c>
      <c r="H160" s="114">
        <f ca="1">INDIRECT("M"&amp;COLUMN()-4&amp;"!G"&amp;ROW('M1'!$G76))</f>
        <v>0</v>
      </c>
      <c r="I160" s="114">
        <f ca="1">INDIRECT("M"&amp;COLUMN()-4&amp;"!G"&amp;ROW('M1'!$G76))</f>
        <v>0</v>
      </c>
      <c r="J160" s="114">
        <f ca="1">INDIRECT("M"&amp;COLUMN()-4&amp;"!G"&amp;ROW('M1'!$G76))</f>
        <v>0</v>
      </c>
      <c r="K160" s="114">
        <f ca="1">INDIRECT("M"&amp;COLUMN()-4&amp;"!G"&amp;ROW('M1'!$G76))</f>
        <v>0</v>
      </c>
      <c r="L160" s="114">
        <f ca="1">INDIRECT("M"&amp;COLUMN()-4&amp;"!G"&amp;ROW('M1'!$G76))</f>
        <v>0</v>
      </c>
      <c r="M160" s="114">
        <f ca="1">INDIRECT("M"&amp;COLUMN()-4&amp;"!G"&amp;ROW('M1'!$G76))</f>
        <v>0</v>
      </c>
      <c r="N160" s="114">
        <f ca="1">INDIRECT("M"&amp;COLUMN()-4&amp;"!G"&amp;ROW('M1'!$G76))</f>
        <v>0</v>
      </c>
      <c r="O160" s="114">
        <f ca="1">INDIRECT("M"&amp;COLUMN()-4&amp;"!G"&amp;ROW('M1'!$G76))</f>
        <v>0</v>
      </c>
      <c r="P160" s="114">
        <f ca="1">INDIRECT("M"&amp;COLUMN()-4&amp;"!G"&amp;ROW('M1'!$G76))</f>
        <v>0</v>
      </c>
      <c r="Q160" s="146"/>
      <c r="R160" s="15">
        <f t="shared" ca="1" si="4"/>
        <v>0</v>
      </c>
    </row>
    <row r="161" spans="1:18" ht="14.1" customHeight="1" x14ac:dyDescent="0.2">
      <c r="A161" s="265">
        <v>21</v>
      </c>
      <c r="B161" s="145"/>
      <c r="C161" s="151" t="s">
        <v>73</v>
      </c>
      <c r="D161" s="152" t="s">
        <v>74</v>
      </c>
      <c r="E161" s="149">
        <f ca="1">INDIRECT("M"&amp;COLUMN()-4&amp;"!G"&amp;ROW('M1'!$G77))</f>
        <v>0</v>
      </c>
      <c r="F161" s="149">
        <f ca="1">INDIRECT("M"&amp;COLUMN()-4&amp;"!G"&amp;ROW('M1'!$G77))</f>
        <v>0</v>
      </c>
      <c r="G161" s="149">
        <f ca="1">INDIRECT("M"&amp;COLUMN()-4&amp;"!G"&amp;ROW('M1'!$G77))</f>
        <v>0</v>
      </c>
      <c r="H161" s="149">
        <f ca="1">INDIRECT("M"&amp;COLUMN()-4&amp;"!G"&amp;ROW('M1'!$G77))</f>
        <v>0</v>
      </c>
      <c r="I161" s="149">
        <f ca="1">INDIRECT("M"&amp;COLUMN()-4&amp;"!G"&amp;ROW('M1'!$G77))</f>
        <v>0</v>
      </c>
      <c r="J161" s="149">
        <f ca="1">INDIRECT("M"&amp;COLUMN()-4&amp;"!G"&amp;ROW('M1'!$G77))</f>
        <v>0</v>
      </c>
      <c r="K161" s="149">
        <f ca="1">INDIRECT("M"&amp;COLUMN()-4&amp;"!G"&amp;ROW('M1'!$G77))</f>
        <v>0</v>
      </c>
      <c r="L161" s="149">
        <f ca="1">INDIRECT("M"&amp;COLUMN()-4&amp;"!G"&amp;ROW('M1'!$G77))</f>
        <v>0</v>
      </c>
      <c r="M161" s="149">
        <f ca="1">INDIRECT("M"&amp;COLUMN()-4&amp;"!G"&amp;ROW('M1'!$G77))</f>
        <v>0</v>
      </c>
      <c r="N161" s="149">
        <f ca="1">INDIRECT("M"&amp;COLUMN()-4&amp;"!G"&amp;ROW('M1'!$G77))</f>
        <v>0</v>
      </c>
      <c r="O161" s="149">
        <f ca="1">INDIRECT("M"&amp;COLUMN()-4&amp;"!G"&amp;ROW('M1'!$G77))</f>
        <v>0</v>
      </c>
      <c r="P161" s="149">
        <f ca="1">INDIRECT("M"&amp;COLUMN()-4&amp;"!G"&amp;ROW('M1'!$G77))</f>
        <v>0</v>
      </c>
      <c r="Q161" s="146"/>
      <c r="R161" s="15">
        <f t="shared" ca="1" si="4"/>
        <v>0</v>
      </c>
    </row>
    <row r="162" spans="1:18" ht="14.1" customHeight="1" x14ac:dyDescent="0.2">
      <c r="A162" s="266">
        <v>22</v>
      </c>
      <c r="B162" s="145"/>
      <c r="C162" s="153" t="s">
        <v>75</v>
      </c>
      <c r="D162" s="154" t="s">
        <v>76</v>
      </c>
      <c r="E162" s="114">
        <f ca="1">INDIRECT("M"&amp;COLUMN()-4&amp;"!G"&amp;ROW('M1'!$G78))</f>
        <v>0</v>
      </c>
      <c r="F162" s="114">
        <f ca="1">INDIRECT("M"&amp;COLUMN()-4&amp;"!G"&amp;ROW('M1'!$G78))</f>
        <v>0</v>
      </c>
      <c r="G162" s="114">
        <f ca="1">INDIRECT("M"&amp;COLUMN()-4&amp;"!G"&amp;ROW('M1'!$G78))</f>
        <v>0</v>
      </c>
      <c r="H162" s="114">
        <f ca="1">INDIRECT("M"&amp;COLUMN()-4&amp;"!G"&amp;ROW('M1'!$G78))</f>
        <v>0</v>
      </c>
      <c r="I162" s="114">
        <f ca="1">INDIRECT("M"&amp;COLUMN()-4&amp;"!G"&amp;ROW('M1'!$G78))</f>
        <v>0</v>
      </c>
      <c r="J162" s="114">
        <f ca="1">INDIRECT("M"&amp;COLUMN()-4&amp;"!G"&amp;ROW('M1'!$G78))</f>
        <v>0</v>
      </c>
      <c r="K162" s="114">
        <f ca="1">INDIRECT("M"&amp;COLUMN()-4&amp;"!G"&amp;ROW('M1'!$G78))</f>
        <v>0</v>
      </c>
      <c r="L162" s="114">
        <f ca="1">INDIRECT("M"&amp;COLUMN()-4&amp;"!G"&amp;ROW('M1'!$G78))</f>
        <v>0</v>
      </c>
      <c r="M162" s="114">
        <f ca="1">INDIRECT("M"&amp;COLUMN()-4&amp;"!G"&amp;ROW('M1'!$G78))</f>
        <v>0</v>
      </c>
      <c r="N162" s="114">
        <f ca="1">INDIRECT("M"&amp;COLUMN()-4&amp;"!G"&amp;ROW('M1'!$G78))</f>
        <v>0</v>
      </c>
      <c r="O162" s="114">
        <f ca="1">INDIRECT("M"&amp;COLUMN()-4&amp;"!G"&amp;ROW('M1'!$G78))</f>
        <v>0</v>
      </c>
      <c r="P162" s="114">
        <f ca="1">INDIRECT("M"&amp;COLUMN()-4&amp;"!G"&amp;ROW('M1'!$G78))</f>
        <v>0</v>
      </c>
      <c r="Q162" s="146"/>
      <c r="R162" s="15">
        <f t="shared" ca="1" si="4"/>
        <v>0</v>
      </c>
    </row>
    <row r="163" spans="1:18" ht="14.1" customHeight="1" x14ac:dyDescent="0.2">
      <c r="A163" s="265">
        <v>23</v>
      </c>
      <c r="B163" s="145"/>
      <c r="C163" s="151" t="s">
        <v>77</v>
      </c>
      <c r="D163" s="152" t="s">
        <v>78</v>
      </c>
      <c r="E163" s="149">
        <f ca="1">INDIRECT("M"&amp;COLUMN()-4&amp;"!G"&amp;ROW('M1'!$G79))</f>
        <v>0</v>
      </c>
      <c r="F163" s="149">
        <f ca="1">INDIRECT("M"&amp;COLUMN()-4&amp;"!G"&amp;ROW('M1'!$G79))</f>
        <v>0</v>
      </c>
      <c r="G163" s="149">
        <f ca="1">INDIRECT("M"&amp;COLUMN()-4&amp;"!G"&amp;ROW('M1'!$G79))</f>
        <v>0</v>
      </c>
      <c r="H163" s="149">
        <f ca="1">INDIRECT("M"&amp;COLUMN()-4&amp;"!G"&amp;ROW('M1'!$G79))</f>
        <v>0</v>
      </c>
      <c r="I163" s="149">
        <f ca="1">INDIRECT("M"&amp;COLUMN()-4&amp;"!G"&amp;ROW('M1'!$G79))</f>
        <v>0</v>
      </c>
      <c r="J163" s="149">
        <f ca="1">INDIRECT("M"&amp;COLUMN()-4&amp;"!G"&amp;ROW('M1'!$G79))</f>
        <v>0</v>
      </c>
      <c r="K163" s="149">
        <f ca="1">INDIRECT("M"&amp;COLUMN()-4&amp;"!G"&amp;ROW('M1'!$G79))</f>
        <v>0</v>
      </c>
      <c r="L163" s="149">
        <f ca="1">INDIRECT("M"&amp;COLUMN()-4&amp;"!G"&amp;ROW('M1'!$G79))</f>
        <v>0</v>
      </c>
      <c r="M163" s="149">
        <f ca="1">INDIRECT("M"&amp;COLUMN()-4&amp;"!G"&amp;ROW('M1'!$G79))</f>
        <v>0</v>
      </c>
      <c r="N163" s="149">
        <f ca="1">INDIRECT("M"&amp;COLUMN()-4&amp;"!G"&amp;ROW('M1'!$G79))</f>
        <v>0</v>
      </c>
      <c r="O163" s="149">
        <f ca="1">INDIRECT("M"&amp;COLUMN()-4&amp;"!G"&amp;ROW('M1'!$G79))</f>
        <v>0</v>
      </c>
      <c r="P163" s="149">
        <f ca="1">INDIRECT("M"&amp;COLUMN()-4&amp;"!G"&amp;ROW('M1'!$G79))</f>
        <v>0</v>
      </c>
      <c r="Q163" s="146"/>
      <c r="R163" s="15">
        <f t="shared" ca="1" si="4"/>
        <v>0</v>
      </c>
    </row>
    <row r="164" spans="1:18" ht="14.1" customHeight="1" x14ac:dyDescent="0.2">
      <c r="A164" s="266">
        <v>24</v>
      </c>
      <c r="B164" s="145"/>
      <c r="C164" s="153" t="s">
        <v>79</v>
      </c>
      <c r="D164" s="154" t="s">
        <v>80</v>
      </c>
      <c r="E164" s="114">
        <f ca="1">INDIRECT("M"&amp;COLUMN()-4&amp;"!G"&amp;ROW('M1'!$G80))</f>
        <v>0</v>
      </c>
      <c r="F164" s="114">
        <f ca="1">INDIRECT("M"&amp;COLUMN()-4&amp;"!G"&amp;ROW('M1'!$G80))</f>
        <v>0</v>
      </c>
      <c r="G164" s="114">
        <f ca="1">INDIRECT("M"&amp;COLUMN()-4&amp;"!G"&amp;ROW('M1'!$G80))</f>
        <v>0</v>
      </c>
      <c r="H164" s="114">
        <f ca="1">INDIRECT("M"&amp;COLUMN()-4&amp;"!G"&amp;ROW('M1'!$G80))</f>
        <v>0</v>
      </c>
      <c r="I164" s="114">
        <f ca="1">INDIRECT("M"&amp;COLUMN()-4&amp;"!G"&amp;ROW('M1'!$G80))</f>
        <v>0</v>
      </c>
      <c r="J164" s="114">
        <f ca="1">INDIRECT("M"&amp;COLUMN()-4&amp;"!G"&amp;ROW('M1'!$G80))</f>
        <v>0</v>
      </c>
      <c r="K164" s="114">
        <f ca="1">INDIRECT("M"&amp;COLUMN()-4&amp;"!G"&amp;ROW('M1'!$G80))</f>
        <v>0</v>
      </c>
      <c r="L164" s="114">
        <f ca="1">INDIRECT("M"&amp;COLUMN()-4&amp;"!G"&amp;ROW('M1'!$G80))</f>
        <v>0</v>
      </c>
      <c r="M164" s="114">
        <f ca="1">INDIRECT("M"&amp;COLUMN()-4&amp;"!G"&amp;ROW('M1'!$G80))</f>
        <v>0</v>
      </c>
      <c r="N164" s="114">
        <f ca="1">INDIRECT("M"&amp;COLUMN()-4&amp;"!G"&amp;ROW('M1'!$G80))</f>
        <v>0</v>
      </c>
      <c r="O164" s="114">
        <f ca="1">INDIRECT("M"&amp;COLUMN()-4&amp;"!G"&amp;ROW('M1'!$G80))</f>
        <v>0</v>
      </c>
      <c r="P164" s="114">
        <f ca="1">INDIRECT("M"&amp;COLUMN()-4&amp;"!G"&amp;ROW('M1'!$G80))</f>
        <v>0</v>
      </c>
      <c r="Q164" s="146"/>
      <c r="R164" s="15">
        <f t="shared" ca="1" si="4"/>
        <v>0</v>
      </c>
    </row>
    <row r="165" spans="1:18" ht="14.1" customHeight="1" x14ac:dyDescent="0.2">
      <c r="A165" s="265">
        <v>25</v>
      </c>
      <c r="B165" s="145"/>
      <c r="C165" s="151" t="s">
        <v>81</v>
      </c>
      <c r="D165" s="152" t="s">
        <v>82</v>
      </c>
      <c r="E165" s="149">
        <f ca="1">INDIRECT("M"&amp;COLUMN()-4&amp;"!G"&amp;ROW('M1'!$G81))</f>
        <v>0</v>
      </c>
      <c r="F165" s="149">
        <f ca="1">INDIRECT("M"&amp;COLUMN()-4&amp;"!G"&amp;ROW('M1'!$G81))</f>
        <v>0</v>
      </c>
      <c r="G165" s="149">
        <f ca="1">INDIRECT("M"&amp;COLUMN()-4&amp;"!G"&amp;ROW('M1'!$G81))</f>
        <v>0</v>
      </c>
      <c r="H165" s="149">
        <f ca="1">INDIRECT("M"&amp;COLUMN()-4&amp;"!G"&amp;ROW('M1'!$G81))</f>
        <v>0</v>
      </c>
      <c r="I165" s="149">
        <f ca="1">INDIRECT("M"&amp;COLUMN()-4&amp;"!G"&amp;ROW('M1'!$G81))</f>
        <v>0</v>
      </c>
      <c r="J165" s="149">
        <f ca="1">INDIRECT("M"&amp;COLUMN()-4&amp;"!G"&amp;ROW('M1'!$G81))</f>
        <v>0</v>
      </c>
      <c r="K165" s="149">
        <f ca="1">INDIRECT("M"&amp;COLUMN()-4&amp;"!G"&amp;ROW('M1'!$G81))</f>
        <v>0</v>
      </c>
      <c r="L165" s="149">
        <f ca="1">INDIRECT("M"&amp;COLUMN()-4&amp;"!G"&amp;ROW('M1'!$G81))</f>
        <v>0</v>
      </c>
      <c r="M165" s="149">
        <f ca="1">INDIRECT("M"&amp;COLUMN()-4&amp;"!G"&amp;ROW('M1'!$G81))</f>
        <v>0</v>
      </c>
      <c r="N165" s="149">
        <f ca="1">INDIRECT("M"&amp;COLUMN()-4&amp;"!G"&amp;ROW('M1'!$G81))</f>
        <v>0</v>
      </c>
      <c r="O165" s="149">
        <f ca="1">INDIRECT("M"&amp;COLUMN()-4&amp;"!G"&amp;ROW('M1'!$G81))</f>
        <v>0</v>
      </c>
      <c r="P165" s="149">
        <f ca="1">INDIRECT("M"&amp;COLUMN()-4&amp;"!G"&amp;ROW('M1'!$G81))</f>
        <v>0</v>
      </c>
      <c r="Q165" s="146"/>
      <c r="R165" s="15">
        <f t="shared" ca="1" si="4"/>
        <v>0</v>
      </c>
    </row>
    <row r="166" spans="1:18" ht="14.1" customHeight="1" x14ac:dyDescent="0.2">
      <c r="A166" s="266">
        <v>26</v>
      </c>
      <c r="B166" s="145"/>
      <c r="C166" s="153" t="s">
        <v>83</v>
      </c>
      <c r="D166" s="154" t="s">
        <v>84</v>
      </c>
      <c r="E166" s="114">
        <f ca="1">INDIRECT("M"&amp;COLUMN()-4&amp;"!G"&amp;ROW('M1'!$G82))</f>
        <v>0</v>
      </c>
      <c r="F166" s="114">
        <f ca="1">INDIRECT("M"&amp;COLUMN()-4&amp;"!G"&amp;ROW('M1'!$G82))</f>
        <v>0</v>
      </c>
      <c r="G166" s="114">
        <f ca="1">INDIRECT("M"&amp;COLUMN()-4&amp;"!G"&amp;ROW('M1'!$G82))</f>
        <v>0</v>
      </c>
      <c r="H166" s="114">
        <f ca="1">INDIRECT("M"&amp;COLUMN()-4&amp;"!G"&amp;ROW('M1'!$G82))</f>
        <v>0</v>
      </c>
      <c r="I166" s="114">
        <f ca="1">INDIRECT("M"&amp;COLUMN()-4&amp;"!G"&amp;ROW('M1'!$G82))</f>
        <v>0</v>
      </c>
      <c r="J166" s="114">
        <f ca="1">INDIRECT("M"&amp;COLUMN()-4&amp;"!G"&amp;ROW('M1'!$G82))</f>
        <v>0</v>
      </c>
      <c r="K166" s="114">
        <f ca="1">INDIRECT("M"&amp;COLUMN()-4&amp;"!G"&amp;ROW('M1'!$G82))</f>
        <v>0</v>
      </c>
      <c r="L166" s="114">
        <f ca="1">INDIRECT("M"&amp;COLUMN()-4&amp;"!G"&amp;ROW('M1'!$G82))</f>
        <v>0</v>
      </c>
      <c r="M166" s="114">
        <f ca="1">INDIRECT("M"&amp;COLUMN()-4&amp;"!G"&amp;ROW('M1'!$G82))</f>
        <v>0</v>
      </c>
      <c r="N166" s="114">
        <f ca="1">INDIRECT("M"&amp;COLUMN()-4&amp;"!G"&amp;ROW('M1'!$G82))</f>
        <v>0</v>
      </c>
      <c r="O166" s="114">
        <f ca="1">INDIRECT("M"&amp;COLUMN()-4&amp;"!G"&amp;ROW('M1'!$G82))</f>
        <v>0</v>
      </c>
      <c r="P166" s="114">
        <f ca="1">INDIRECT("M"&amp;COLUMN()-4&amp;"!G"&amp;ROW('M1'!$G82))</f>
        <v>0</v>
      </c>
      <c r="Q166" s="146"/>
      <c r="R166" s="15">
        <f t="shared" ca="1" si="4"/>
        <v>0</v>
      </c>
    </row>
    <row r="167" spans="1:18" ht="14.1" customHeight="1" x14ac:dyDescent="0.2">
      <c r="A167" s="265">
        <v>27</v>
      </c>
      <c r="B167" s="145"/>
      <c r="C167" s="151" t="s">
        <v>85</v>
      </c>
      <c r="D167" s="152" t="s">
        <v>85</v>
      </c>
      <c r="E167" s="149">
        <f ca="1">INDIRECT("M"&amp;COLUMN()-4&amp;"!G"&amp;ROW('M1'!$G83))</f>
        <v>0</v>
      </c>
      <c r="F167" s="149">
        <f ca="1">INDIRECT("M"&amp;COLUMN()-4&amp;"!G"&amp;ROW('M1'!$G83))</f>
        <v>0</v>
      </c>
      <c r="G167" s="149">
        <f ca="1">INDIRECT("M"&amp;COLUMN()-4&amp;"!G"&amp;ROW('M1'!$G83))</f>
        <v>0</v>
      </c>
      <c r="H167" s="149">
        <f ca="1">INDIRECT("M"&amp;COLUMN()-4&amp;"!G"&amp;ROW('M1'!$G83))</f>
        <v>0</v>
      </c>
      <c r="I167" s="149">
        <f ca="1">INDIRECT("M"&amp;COLUMN()-4&amp;"!G"&amp;ROW('M1'!$G83))</f>
        <v>0</v>
      </c>
      <c r="J167" s="149">
        <f ca="1">INDIRECT("M"&amp;COLUMN()-4&amp;"!G"&amp;ROW('M1'!$G83))</f>
        <v>0</v>
      </c>
      <c r="K167" s="149">
        <f ca="1">INDIRECT("M"&amp;COLUMN()-4&amp;"!G"&amp;ROW('M1'!$G83))</f>
        <v>0</v>
      </c>
      <c r="L167" s="149">
        <f ca="1">INDIRECT("M"&amp;COLUMN()-4&amp;"!G"&amp;ROW('M1'!$G83))</f>
        <v>0</v>
      </c>
      <c r="M167" s="149">
        <f ca="1">INDIRECT("M"&amp;COLUMN()-4&amp;"!G"&amp;ROW('M1'!$G83))</f>
        <v>0</v>
      </c>
      <c r="N167" s="149">
        <f ca="1">INDIRECT("M"&amp;COLUMN()-4&amp;"!G"&amp;ROW('M1'!$G83))</f>
        <v>0</v>
      </c>
      <c r="O167" s="149">
        <f ca="1">INDIRECT("M"&amp;COLUMN()-4&amp;"!G"&amp;ROW('M1'!$G83))</f>
        <v>0</v>
      </c>
      <c r="P167" s="149">
        <f ca="1">INDIRECT("M"&amp;COLUMN()-4&amp;"!G"&amp;ROW('M1'!$G83))</f>
        <v>0</v>
      </c>
      <c r="Q167" s="146"/>
      <c r="R167" s="15">
        <f t="shared" ca="1" si="4"/>
        <v>0</v>
      </c>
    </row>
    <row r="168" spans="1:18" ht="14.1" customHeight="1" x14ac:dyDescent="0.2">
      <c r="A168" s="266">
        <v>28</v>
      </c>
      <c r="B168" s="145"/>
      <c r="C168" s="153" t="s">
        <v>85</v>
      </c>
      <c r="D168" s="154" t="s">
        <v>85</v>
      </c>
      <c r="E168" s="114">
        <f ca="1">INDIRECT("M"&amp;COLUMN()-4&amp;"!G"&amp;ROW('M1'!$G84))</f>
        <v>0</v>
      </c>
      <c r="F168" s="114">
        <f ca="1">INDIRECT("M"&amp;COLUMN()-4&amp;"!G"&amp;ROW('M1'!$G84))</f>
        <v>0</v>
      </c>
      <c r="G168" s="114">
        <f ca="1">INDIRECT("M"&amp;COLUMN()-4&amp;"!G"&amp;ROW('M1'!$G84))</f>
        <v>0</v>
      </c>
      <c r="H168" s="114">
        <f ca="1">INDIRECT("M"&amp;COLUMN()-4&amp;"!G"&amp;ROW('M1'!$G84))</f>
        <v>0</v>
      </c>
      <c r="I168" s="114">
        <f ca="1">INDIRECT("M"&amp;COLUMN()-4&amp;"!G"&amp;ROW('M1'!$G84))</f>
        <v>0</v>
      </c>
      <c r="J168" s="114">
        <f ca="1">INDIRECT("M"&amp;COLUMN()-4&amp;"!G"&amp;ROW('M1'!$G84))</f>
        <v>0</v>
      </c>
      <c r="K168" s="114">
        <f ca="1">INDIRECT("M"&amp;COLUMN()-4&amp;"!G"&amp;ROW('M1'!$G84))</f>
        <v>0</v>
      </c>
      <c r="L168" s="114">
        <f ca="1">INDIRECT("M"&amp;COLUMN()-4&amp;"!G"&amp;ROW('M1'!$G84))</f>
        <v>0</v>
      </c>
      <c r="M168" s="114">
        <f ca="1">INDIRECT("M"&amp;COLUMN()-4&amp;"!G"&amp;ROW('M1'!$G84))</f>
        <v>0</v>
      </c>
      <c r="N168" s="114">
        <f ca="1">INDIRECT("M"&amp;COLUMN()-4&amp;"!G"&amp;ROW('M1'!$G84))</f>
        <v>0</v>
      </c>
      <c r="O168" s="114">
        <f ca="1">INDIRECT("M"&amp;COLUMN()-4&amp;"!G"&amp;ROW('M1'!$G84))</f>
        <v>0</v>
      </c>
      <c r="P168" s="114">
        <f ca="1">INDIRECT("M"&amp;COLUMN()-4&amp;"!G"&amp;ROW('M1'!$G84))</f>
        <v>0</v>
      </c>
      <c r="Q168" s="146"/>
      <c r="R168" s="15">
        <f t="shared" ca="1" si="4"/>
        <v>0</v>
      </c>
    </row>
    <row r="169" spans="1:18" ht="14.1" customHeight="1" x14ac:dyDescent="0.2">
      <c r="A169" s="265">
        <v>29</v>
      </c>
      <c r="B169" s="145"/>
      <c r="C169" s="151" t="s">
        <v>85</v>
      </c>
      <c r="D169" s="152" t="s">
        <v>85</v>
      </c>
      <c r="E169" s="149">
        <f ca="1">INDIRECT("M"&amp;COLUMN()-4&amp;"!G"&amp;ROW('M1'!$G85))</f>
        <v>0</v>
      </c>
      <c r="F169" s="149">
        <f ca="1">INDIRECT("M"&amp;COLUMN()-4&amp;"!G"&amp;ROW('M1'!$G85))</f>
        <v>0</v>
      </c>
      <c r="G169" s="149">
        <f ca="1">INDIRECT("M"&amp;COLUMN()-4&amp;"!G"&amp;ROW('M1'!$G85))</f>
        <v>0</v>
      </c>
      <c r="H169" s="149">
        <f ca="1">INDIRECT("M"&amp;COLUMN()-4&amp;"!G"&amp;ROW('M1'!$G85))</f>
        <v>0</v>
      </c>
      <c r="I169" s="149">
        <f ca="1">INDIRECT("M"&amp;COLUMN()-4&amp;"!G"&amp;ROW('M1'!$G85))</f>
        <v>0</v>
      </c>
      <c r="J169" s="149">
        <f ca="1">INDIRECT("M"&amp;COLUMN()-4&amp;"!G"&amp;ROW('M1'!$G85))</f>
        <v>0</v>
      </c>
      <c r="K169" s="149">
        <f ca="1">INDIRECT("M"&amp;COLUMN()-4&amp;"!G"&amp;ROW('M1'!$G85))</f>
        <v>0</v>
      </c>
      <c r="L169" s="149">
        <f ca="1">INDIRECT("M"&amp;COLUMN()-4&amp;"!G"&amp;ROW('M1'!$G85))</f>
        <v>0</v>
      </c>
      <c r="M169" s="149">
        <f ca="1">INDIRECT("M"&amp;COLUMN()-4&amp;"!G"&amp;ROW('M1'!$G85))</f>
        <v>0</v>
      </c>
      <c r="N169" s="149">
        <f ca="1">INDIRECT("M"&amp;COLUMN()-4&amp;"!G"&amp;ROW('M1'!$G85))</f>
        <v>0</v>
      </c>
      <c r="O169" s="149">
        <f ca="1">INDIRECT("M"&amp;COLUMN()-4&amp;"!G"&amp;ROW('M1'!$G85))</f>
        <v>0</v>
      </c>
      <c r="P169" s="149">
        <f ca="1">INDIRECT("M"&amp;COLUMN()-4&amp;"!G"&amp;ROW('M1'!$G85))</f>
        <v>0</v>
      </c>
      <c r="Q169" s="146"/>
      <c r="R169" s="15">
        <f t="shared" ca="1" si="4"/>
        <v>0</v>
      </c>
    </row>
    <row r="170" spans="1:18" ht="14.1" customHeight="1" x14ac:dyDescent="0.2">
      <c r="A170" s="266">
        <v>30</v>
      </c>
      <c r="B170" s="145"/>
      <c r="C170" s="153" t="s">
        <v>85</v>
      </c>
      <c r="D170" s="154" t="s">
        <v>85</v>
      </c>
      <c r="E170" s="114">
        <f ca="1">INDIRECT("M"&amp;COLUMN()-4&amp;"!G"&amp;ROW('M1'!$G86))</f>
        <v>0</v>
      </c>
      <c r="F170" s="114">
        <f ca="1">INDIRECT("M"&amp;COLUMN()-4&amp;"!G"&amp;ROW('M1'!$G86))</f>
        <v>0</v>
      </c>
      <c r="G170" s="114">
        <f ca="1">INDIRECT("M"&amp;COLUMN()-4&amp;"!G"&amp;ROW('M1'!$G86))</f>
        <v>0</v>
      </c>
      <c r="H170" s="114">
        <f ca="1">INDIRECT("M"&amp;COLUMN()-4&amp;"!G"&amp;ROW('M1'!$G86))</f>
        <v>0</v>
      </c>
      <c r="I170" s="114">
        <f ca="1">INDIRECT("M"&amp;COLUMN()-4&amp;"!G"&amp;ROW('M1'!$G86))</f>
        <v>0</v>
      </c>
      <c r="J170" s="114">
        <f ca="1">INDIRECT("M"&amp;COLUMN()-4&amp;"!G"&amp;ROW('M1'!$G86))</f>
        <v>0</v>
      </c>
      <c r="K170" s="114">
        <f ca="1">INDIRECT("M"&amp;COLUMN()-4&amp;"!G"&amp;ROW('M1'!$G86))</f>
        <v>0</v>
      </c>
      <c r="L170" s="114">
        <f ca="1">INDIRECT("M"&amp;COLUMN()-4&amp;"!G"&amp;ROW('M1'!$G86))</f>
        <v>0</v>
      </c>
      <c r="M170" s="114">
        <f ca="1">INDIRECT("M"&amp;COLUMN()-4&amp;"!G"&amp;ROW('M1'!$G86))</f>
        <v>0</v>
      </c>
      <c r="N170" s="114">
        <f ca="1">INDIRECT("M"&amp;COLUMN()-4&amp;"!G"&amp;ROW('M1'!$G86))</f>
        <v>0</v>
      </c>
      <c r="O170" s="114">
        <f ca="1">INDIRECT("M"&amp;COLUMN()-4&amp;"!G"&amp;ROW('M1'!$G86))</f>
        <v>0</v>
      </c>
      <c r="P170" s="114">
        <f ca="1">INDIRECT("M"&amp;COLUMN()-4&amp;"!G"&amp;ROW('M1'!$G86))</f>
        <v>0</v>
      </c>
      <c r="Q170" s="146"/>
      <c r="R170" s="15">
        <f t="shared" ca="1" si="4"/>
        <v>0</v>
      </c>
    </row>
    <row r="171" spans="1:18" ht="14.1" customHeight="1" x14ac:dyDescent="0.2">
      <c r="A171" s="265">
        <v>31</v>
      </c>
      <c r="B171" s="145"/>
      <c r="C171" s="151" t="s">
        <v>85</v>
      </c>
      <c r="D171" s="152" t="s">
        <v>85</v>
      </c>
      <c r="E171" s="149">
        <f ca="1">INDIRECT("M"&amp;COLUMN()-4&amp;"!G"&amp;ROW('M1'!$G87))</f>
        <v>0</v>
      </c>
      <c r="F171" s="149">
        <f ca="1">INDIRECT("M"&amp;COLUMN()-4&amp;"!G"&amp;ROW('M1'!$G87))</f>
        <v>0</v>
      </c>
      <c r="G171" s="149">
        <f ca="1">INDIRECT("M"&amp;COLUMN()-4&amp;"!G"&amp;ROW('M1'!$G87))</f>
        <v>0</v>
      </c>
      <c r="H171" s="149">
        <f ca="1">INDIRECT("M"&amp;COLUMN()-4&amp;"!G"&amp;ROW('M1'!$G87))</f>
        <v>0</v>
      </c>
      <c r="I171" s="149">
        <f ca="1">INDIRECT("M"&amp;COLUMN()-4&amp;"!G"&amp;ROW('M1'!$G87))</f>
        <v>0</v>
      </c>
      <c r="J171" s="149">
        <f ca="1">INDIRECT("M"&amp;COLUMN()-4&amp;"!G"&amp;ROW('M1'!$G87))</f>
        <v>0</v>
      </c>
      <c r="K171" s="149">
        <f ca="1">INDIRECT("M"&amp;COLUMN()-4&amp;"!G"&amp;ROW('M1'!$G87))</f>
        <v>0</v>
      </c>
      <c r="L171" s="149">
        <f ca="1">INDIRECT("M"&amp;COLUMN()-4&amp;"!G"&amp;ROW('M1'!$G87))</f>
        <v>0</v>
      </c>
      <c r="M171" s="149">
        <f ca="1">INDIRECT("M"&amp;COLUMN()-4&amp;"!G"&amp;ROW('M1'!$G87))</f>
        <v>0</v>
      </c>
      <c r="N171" s="149">
        <f ca="1">INDIRECT("M"&amp;COLUMN()-4&amp;"!G"&amp;ROW('M1'!$G87))</f>
        <v>0</v>
      </c>
      <c r="O171" s="149">
        <f ca="1">INDIRECT("M"&amp;COLUMN()-4&amp;"!G"&amp;ROW('M1'!$G87))</f>
        <v>0</v>
      </c>
      <c r="P171" s="149">
        <f ca="1">INDIRECT("M"&amp;COLUMN()-4&amp;"!G"&amp;ROW('M1'!$G87))</f>
        <v>0</v>
      </c>
      <c r="Q171" s="146"/>
      <c r="R171" s="15">
        <f t="shared" ca="1" si="4"/>
        <v>0</v>
      </c>
    </row>
    <row r="172" spans="1:18" ht="14.1" customHeight="1" x14ac:dyDescent="0.2">
      <c r="A172" s="266">
        <v>32</v>
      </c>
      <c r="B172" s="145"/>
      <c r="C172" s="186" t="s">
        <v>85</v>
      </c>
      <c r="D172" s="187" t="s">
        <v>85</v>
      </c>
      <c r="E172" s="188">
        <f ca="1">INDIRECT("M"&amp;COLUMN()-4&amp;"!G"&amp;ROW('M1'!$G88))</f>
        <v>0</v>
      </c>
      <c r="F172" s="188">
        <f ca="1">INDIRECT("M"&amp;COLUMN()-4&amp;"!G"&amp;ROW('M1'!$G88))</f>
        <v>0</v>
      </c>
      <c r="G172" s="188">
        <f ca="1">INDIRECT("M"&amp;COLUMN()-4&amp;"!G"&amp;ROW('M1'!$G88))</f>
        <v>0</v>
      </c>
      <c r="H172" s="188">
        <f ca="1">INDIRECT("M"&amp;COLUMN()-4&amp;"!G"&amp;ROW('M1'!$G88))</f>
        <v>0</v>
      </c>
      <c r="I172" s="188">
        <f ca="1">INDIRECT("M"&amp;COLUMN()-4&amp;"!G"&amp;ROW('M1'!$G88))</f>
        <v>0</v>
      </c>
      <c r="J172" s="188">
        <f ca="1">INDIRECT("M"&amp;COLUMN()-4&amp;"!G"&amp;ROW('M1'!$G88))</f>
        <v>0</v>
      </c>
      <c r="K172" s="188">
        <f ca="1">INDIRECT("M"&amp;COLUMN()-4&amp;"!G"&amp;ROW('M1'!$G88))</f>
        <v>0</v>
      </c>
      <c r="L172" s="188">
        <f ca="1">INDIRECT("M"&amp;COLUMN()-4&amp;"!G"&amp;ROW('M1'!$G88))</f>
        <v>0</v>
      </c>
      <c r="M172" s="188">
        <f ca="1">INDIRECT("M"&amp;COLUMN()-4&amp;"!G"&amp;ROW('M1'!$G88))</f>
        <v>0</v>
      </c>
      <c r="N172" s="188">
        <f ca="1">INDIRECT("M"&amp;COLUMN()-4&amp;"!G"&amp;ROW('M1'!$G88))</f>
        <v>0</v>
      </c>
      <c r="O172" s="188">
        <f ca="1">INDIRECT("M"&amp;COLUMN()-4&amp;"!G"&amp;ROW('M1'!$G88))</f>
        <v>0</v>
      </c>
      <c r="P172" s="188">
        <f ca="1">INDIRECT("M"&amp;COLUMN()-4&amp;"!G"&amp;ROW('M1'!$G88))</f>
        <v>0</v>
      </c>
      <c r="Q172" s="146"/>
      <c r="R172" s="15">
        <f t="shared" ca="1" si="4"/>
        <v>0</v>
      </c>
    </row>
    <row r="173" spans="1:18" ht="14.1" customHeight="1" x14ac:dyDescent="0.2">
      <c r="B173" s="189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1"/>
    </row>
    <row r="174" spans="1:18" ht="14.1" customHeight="1" x14ac:dyDescent="0.2">
      <c r="B174" s="192"/>
      <c r="C174" s="193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5"/>
    </row>
    <row r="175" spans="1:18" ht="14.1" customHeight="1" x14ac:dyDescent="0.2">
      <c r="B175" s="192"/>
      <c r="C175" s="193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5"/>
    </row>
    <row r="176" spans="1:18" ht="14.1" customHeight="1" x14ac:dyDescent="0.2">
      <c r="B176" s="192"/>
      <c r="C176" s="193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5"/>
    </row>
    <row r="177" spans="2:17" ht="14.1" customHeight="1" x14ac:dyDescent="0.2">
      <c r="B177" s="192"/>
      <c r="C177" s="193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5"/>
    </row>
    <row r="178" spans="2:17" ht="14.1" customHeight="1" x14ac:dyDescent="0.2">
      <c r="B178" s="192"/>
      <c r="C178" s="193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5"/>
    </row>
    <row r="179" spans="2:17" ht="14.1" customHeight="1" x14ac:dyDescent="0.2">
      <c r="B179" s="192"/>
      <c r="C179" s="193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5"/>
    </row>
    <row r="180" spans="2:17" ht="14.1" customHeight="1" x14ac:dyDescent="0.2">
      <c r="B180" s="192"/>
      <c r="C180" s="193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5"/>
    </row>
    <row r="181" spans="2:17" ht="14.1" customHeight="1" x14ac:dyDescent="0.2">
      <c r="B181" s="192"/>
      <c r="C181" s="193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5"/>
    </row>
    <row r="182" spans="2:17" ht="14.1" customHeight="1" x14ac:dyDescent="0.2">
      <c r="B182" s="192"/>
      <c r="C182" s="193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5"/>
    </row>
    <row r="183" spans="2:17" ht="14.1" customHeight="1" x14ac:dyDescent="0.2">
      <c r="B183" s="192"/>
      <c r="C183" s="193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5"/>
    </row>
    <row r="184" spans="2:17" ht="14.1" customHeight="1" x14ac:dyDescent="0.2">
      <c r="B184" s="192"/>
      <c r="C184" s="193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5"/>
    </row>
    <row r="185" spans="2:17" ht="14.1" customHeight="1" x14ac:dyDescent="0.2">
      <c r="B185" s="192"/>
      <c r="C185" s="193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5"/>
    </row>
    <row r="186" spans="2:17" ht="14.1" customHeight="1" x14ac:dyDescent="0.2">
      <c r="B186" s="192"/>
      <c r="C186" s="193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5"/>
    </row>
    <row r="187" spans="2:17" ht="14.1" customHeight="1" x14ac:dyDescent="0.2">
      <c r="B187" s="192"/>
      <c r="C187" s="193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5"/>
    </row>
    <row r="188" spans="2:17" ht="14.1" customHeight="1" x14ac:dyDescent="0.2">
      <c r="B188" s="192"/>
      <c r="C188" s="193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5"/>
    </row>
    <row r="189" spans="2:17" ht="14.1" customHeight="1" x14ac:dyDescent="0.2">
      <c r="B189" s="192"/>
      <c r="C189" s="193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5"/>
    </row>
    <row r="190" spans="2:17" ht="14.1" customHeight="1" x14ac:dyDescent="0.2">
      <c r="B190" s="192"/>
      <c r="C190" s="193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5"/>
    </row>
    <row r="191" spans="2:17" ht="14.1" customHeight="1" x14ac:dyDescent="0.2">
      <c r="B191" s="192"/>
      <c r="C191" s="193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5"/>
    </row>
    <row r="192" spans="2:17" ht="14.1" customHeight="1" x14ac:dyDescent="0.2">
      <c r="B192" s="192"/>
      <c r="C192" s="193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5"/>
    </row>
    <row r="193" spans="2:17" ht="14.1" customHeight="1" x14ac:dyDescent="0.2">
      <c r="B193" s="192"/>
      <c r="C193" s="193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5"/>
    </row>
    <row r="194" spans="2:17" ht="14.1" customHeight="1" x14ac:dyDescent="0.2">
      <c r="B194" s="192"/>
      <c r="C194" s="193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5"/>
    </row>
    <row r="195" spans="2:17" ht="14.1" customHeight="1" x14ac:dyDescent="0.2">
      <c r="B195" s="192"/>
      <c r="C195" s="193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5"/>
    </row>
    <row r="196" spans="2:17" ht="14.1" customHeight="1" x14ac:dyDescent="0.2">
      <c r="B196" s="192"/>
      <c r="C196" s="193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5"/>
    </row>
    <row r="197" spans="2:17" ht="14.1" customHeight="1" x14ac:dyDescent="0.2">
      <c r="B197" s="192"/>
      <c r="C197" s="193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5"/>
    </row>
    <row r="198" spans="2:17" ht="14.1" customHeight="1" x14ac:dyDescent="0.2">
      <c r="B198" s="192"/>
      <c r="C198" s="193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5"/>
    </row>
    <row r="199" spans="2:17" ht="14.1" customHeight="1" x14ac:dyDescent="0.2">
      <c r="B199" s="192"/>
      <c r="C199" s="193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5"/>
    </row>
    <row r="200" spans="2:17" ht="14.1" customHeight="1" x14ac:dyDescent="0.2">
      <c r="B200" s="192"/>
      <c r="C200" s="193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5"/>
    </row>
    <row r="201" spans="2:17" ht="14.1" customHeight="1" x14ac:dyDescent="0.2">
      <c r="B201" s="192"/>
      <c r="C201" s="193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5"/>
    </row>
    <row r="202" spans="2:17" ht="14.1" customHeight="1" x14ac:dyDescent="0.2">
      <c r="B202" s="192"/>
      <c r="C202" s="193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5"/>
    </row>
    <row r="203" spans="2:17" ht="14.1" customHeight="1" x14ac:dyDescent="0.2">
      <c r="B203" s="192"/>
      <c r="C203" s="193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5"/>
    </row>
    <row r="204" spans="2:17" ht="14.1" customHeight="1" x14ac:dyDescent="0.2">
      <c r="B204" s="192"/>
      <c r="C204" s="193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5"/>
    </row>
    <row r="205" spans="2:17" ht="14.1" customHeight="1" x14ac:dyDescent="0.2">
      <c r="B205" s="192"/>
      <c r="C205" s="193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5"/>
    </row>
    <row r="206" spans="2:17" ht="14.1" customHeight="1" x14ac:dyDescent="0.2">
      <c r="B206" s="192"/>
      <c r="C206" s="193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5"/>
    </row>
    <row r="207" spans="2:17" ht="14.1" customHeight="1" x14ac:dyDescent="0.2">
      <c r="B207" s="192"/>
      <c r="C207" s="193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5"/>
    </row>
    <row r="208" spans="2:17" ht="14.1" customHeight="1" x14ac:dyDescent="0.2">
      <c r="B208" s="192"/>
      <c r="C208" s="193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5"/>
    </row>
    <row r="209" spans="1:17" ht="14.1" customHeight="1" x14ac:dyDescent="0.2">
      <c r="B209" s="192"/>
      <c r="C209" s="193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5"/>
    </row>
    <row r="210" spans="1:17" ht="14.1" customHeight="1" x14ac:dyDescent="0.2">
      <c r="B210" s="192"/>
      <c r="C210" s="193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5"/>
    </row>
    <row r="211" spans="1:17" ht="14.1" customHeight="1" x14ac:dyDescent="0.2">
      <c r="B211" s="192"/>
      <c r="C211" s="193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5"/>
    </row>
    <row r="212" spans="1:17" ht="14.1" customHeight="1" x14ac:dyDescent="0.2">
      <c r="B212" s="192"/>
      <c r="C212" s="193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5"/>
    </row>
    <row r="213" spans="1:17" ht="14.1" customHeight="1" x14ac:dyDescent="0.2">
      <c r="B213" s="192"/>
      <c r="C213" s="193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5"/>
    </row>
    <row r="214" spans="1:17" ht="14.1" customHeight="1" x14ac:dyDescent="0.2">
      <c r="B214" s="192"/>
      <c r="C214" s="193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5"/>
    </row>
    <row r="215" spans="1:17" ht="14.1" customHeight="1" x14ac:dyDescent="0.2">
      <c r="B215" s="192"/>
      <c r="C215" s="193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5"/>
    </row>
    <row r="216" spans="1:17" ht="14.1" customHeight="1" x14ac:dyDescent="0.2">
      <c r="B216" s="192"/>
      <c r="C216" s="193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5"/>
    </row>
    <row r="217" spans="1:17" ht="14.1" customHeight="1" x14ac:dyDescent="0.2">
      <c r="B217" s="192"/>
      <c r="C217" s="193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5"/>
    </row>
    <row r="218" spans="1:17" ht="14.1" customHeight="1" x14ac:dyDescent="0.2">
      <c r="B218" s="192"/>
      <c r="C218" s="193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5"/>
    </row>
    <row r="219" spans="1:17" ht="14.1" customHeight="1" x14ac:dyDescent="0.2">
      <c r="B219" s="192"/>
      <c r="C219" s="193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5"/>
    </row>
    <row r="220" spans="1:17" ht="14.1" customHeight="1" x14ac:dyDescent="0.2">
      <c r="B220" s="192"/>
      <c r="C220" s="193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5"/>
    </row>
    <row r="221" spans="1:17" ht="14.1" customHeight="1" x14ac:dyDescent="0.2">
      <c r="B221" s="192"/>
      <c r="C221" s="193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5"/>
    </row>
    <row r="222" spans="1:17" ht="14.1" customHeight="1" x14ac:dyDescent="0.2">
      <c r="B222" s="192"/>
      <c r="C222" s="193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5"/>
    </row>
    <row r="223" spans="1:17" s="3" customFormat="1" ht="14.1" customHeight="1" x14ac:dyDescent="0.2">
      <c r="A223" s="261"/>
      <c r="B223" s="196"/>
      <c r="C223" s="197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8"/>
    </row>
    <row r="224" spans="1:17" ht="14.1" customHeight="1" x14ac:dyDescent="0.2">
      <c r="B224" s="199"/>
      <c r="C224" s="193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5"/>
    </row>
    <row r="225" spans="2:17" ht="14.1" customHeight="1" x14ac:dyDescent="0.2">
      <c r="B225" s="199"/>
      <c r="C225" s="193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5"/>
    </row>
    <row r="226" spans="2:17" ht="14.1" customHeight="1" x14ac:dyDescent="0.2">
      <c r="B226" s="199"/>
      <c r="C226" s="193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5"/>
    </row>
    <row r="227" spans="2:17" ht="14.1" customHeight="1" x14ac:dyDescent="0.2">
      <c r="B227" s="199"/>
      <c r="C227" s="193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5"/>
    </row>
    <row r="228" spans="2:17" ht="14.1" customHeight="1" x14ac:dyDescent="0.2">
      <c r="B228" s="199"/>
      <c r="C228" s="193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5"/>
    </row>
    <row r="229" spans="2:17" ht="14.1" customHeight="1" x14ac:dyDescent="0.2">
      <c r="B229" s="199"/>
      <c r="C229" s="193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5"/>
    </row>
    <row r="230" spans="2:17" ht="14.1" customHeight="1" x14ac:dyDescent="0.2">
      <c r="B230" s="199"/>
      <c r="C230" s="193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5"/>
    </row>
    <row r="231" spans="2:17" ht="14.1" customHeight="1" x14ac:dyDescent="0.2">
      <c r="B231" s="199"/>
      <c r="C231" s="193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5"/>
    </row>
    <row r="232" spans="2:17" ht="14.1" customHeight="1" x14ac:dyDescent="0.2">
      <c r="B232" s="199"/>
      <c r="C232" s="193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5"/>
    </row>
    <row r="233" spans="2:17" ht="14.1" customHeight="1" x14ac:dyDescent="0.2">
      <c r="B233" s="199"/>
      <c r="C233" s="193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5"/>
    </row>
    <row r="234" spans="2:17" ht="14.1" customHeight="1" x14ac:dyDescent="0.2">
      <c r="B234" s="199"/>
      <c r="C234" s="193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5"/>
    </row>
    <row r="235" spans="2:17" ht="14.1" customHeight="1" x14ac:dyDescent="0.2">
      <c r="B235" s="199"/>
      <c r="C235" s="193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5"/>
    </row>
    <row r="236" spans="2:17" ht="14.1" customHeight="1" x14ac:dyDescent="0.2">
      <c r="B236" s="199"/>
      <c r="C236" s="193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5"/>
    </row>
    <row r="237" spans="2:17" ht="14.1" customHeight="1" x14ac:dyDescent="0.2">
      <c r="B237" s="199"/>
      <c r="C237" s="193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5"/>
    </row>
    <row r="238" spans="2:17" ht="14.1" customHeight="1" x14ac:dyDescent="0.2">
      <c r="B238" s="199"/>
      <c r="C238" s="193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5"/>
    </row>
    <row r="239" spans="2:17" ht="14.1" customHeight="1" x14ac:dyDescent="0.2">
      <c r="B239" s="199"/>
      <c r="C239" s="193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5"/>
    </row>
    <row r="240" spans="2:17" ht="14.1" customHeight="1" x14ac:dyDescent="0.2">
      <c r="B240" s="199"/>
      <c r="C240" s="193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5"/>
    </row>
    <row r="241" spans="2:17" ht="14.1" customHeight="1" x14ac:dyDescent="0.2">
      <c r="B241" s="199"/>
      <c r="C241" s="193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5"/>
    </row>
    <row r="242" spans="2:17" ht="14.1" customHeight="1" x14ac:dyDescent="0.2">
      <c r="B242" s="199"/>
      <c r="C242" s="193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5"/>
    </row>
    <row r="243" spans="2:17" ht="14.1" customHeight="1" x14ac:dyDescent="0.2">
      <c r="B243" s="199"/>
      <c r="C243" s="193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5"/>
    </row>
    <row r="244" spans="2:17" ht="14.1" customHeight="1" x14ac:dyDescent="0.2">
      <c r="B244" s="199"/>
      <c r="C244" s="193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5"/>
    </row>
    <row r="245" spans="2:17" ht="14.1" customHeight="1" x14ac:dyDescent="0.2">
      <c r="B245" s="199"/>
      <c r="C245" s="193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5"/>
    </row>
    <row r="246" spans="2:17" ht="14.1" customHeight="1" x14ac:dyDescent="0.2">
      <c r="B246" s="199"/>
      <c r="C246" s="193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5"/>
    </row>
    <row r="247" spans="2:17" ht="14.1" customHeight="1" x14ac:dyDescent="0.2">
      <c r="B247" s="199"/>
      <c r="C247" s="193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5"/>
    </row>
    <row r="248" spans="2:17" ht="14.1" customHeight="1" x14ac:dyDescent="0.2">
      <c r="B248" s="199"/>
      <c r="C248" s="193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5"/>
    </row>
    <row r="249" spans="2:17" ht="14.1" customHeight="1" x14ac:dyDescent="0.2">
      <c r="B249" s="199"/>
      <c r="C249" s="193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5"/>
    </row>
    <row r="250" spans="2:17" ht="14.1" customHeight="1" x14ac:dyDescent="0.2">
      <c r="B250" s="199"/>
      <c r="C250" s="193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5"/>
    </row>
    <row r="251" spans="2:17" ht="14.1" customHeight="1" x14ac:dyDescent="0.2">
      <c r="B251" s="199"/>
      <c r="C251" s="193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5"/>
    </row>
    <row r="252" spans="2:17" ht="14.1" customHeight="1" x14ac:dyDescent="0.2">
      <c r="B252" s="199"/>
      <c r="C252" s="193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5"/>
    </row>
    <row r="253" spans="2:17" ht="14.1" customHeight="1" x14ac:dyDescent="0.2">
      <c r="B253" s="199"/>
      <c r="C253" s="193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5"/>
    </row>
    <row r="254" spans="2:17" ht="14.1" customHeight="1" x14ac:dyDescent="0.2">
      <c r="B254" s="199"/>
      <c r="C254" s="193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5"/>
    </row>
    <row r="255" spans="2:17" ht="14.1" customHeight="1" x14ac:dyDescent="0.2">
      <c r="B255" s="199"/>
      <c r="C255" s="193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5"/>
    </row>
    <row r="256" spans="2:17" ht="14.1" customHeight="1" x14ac:dyDescent="0.2">
      <c r="B256" s="199"/>
      <c r="C256" s="193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5"/>
    </row>
    <row r="257" spans="1:256" ht="14.1" customHeight="1" x14ac:dyDescent="0.2">
      <c r="B257" s="199"/>
      <c r="C257" s="193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5"/>
    </row>
    <row r="258" spans="1:256" ht="14.1" customHeight="1" x14ac:dyDescent="0.2">
      <c r="B258" s="17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7"/>
    </row>
    <row r="259" spans="1:256" ht="42.6" customHeight="1" x14ac:dyDescent="0.2">
      <c r="A259" s="155" t="s">
        <v>2</v>
      </c>
      <c r="B259" s="283">
        <f>P$2</f>
        <v>2010</v>
      </c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3"/>
      <c r="P259" s="283"/>
      <c r="Q259" s="283"/>
      <c r="R259" s="156"/>
    </row>
    <row r="260" spans="1:256" ht="14.1" customHeight="1" x14ac:dyDescent="0.2"/>
    <row r="261" spans="1:256" ht="14.1" customHeight="1" x14ac:dyDescent="0.2"/>
    <row r="262" spans="1:256" ht="14.1" customHeight="1" x14ac:dyDescent="0.2">
      <c r="B262" s="225"/>
      <c r="C262" s="226"/>
      <c r="D262" s="226"/>
      <c r="E262" s="226"/>
      <c r="F262" s="226"/>
      <c r="G262" s="226"/>
      <c r="H262" s="226"/>
      <c r="I262" s="226"/>
      <c r="J262" s="226"/>
      <c r="K262" s="226"/>
      <c r="L262" s="226"/>
      <c r="M262" s="226"/>
      <c r="N262" s="226"/>
      <c r="O262" s="226"/>
      <c r="P262" s="226"/>
      <c r="Q262" s="227"/>
    </row>
    <row r="263" spans="1:256" ht="14.1" customHeight="1" x14ac:dyDescent="0.2">
      <c r="B263" s="228"/>
      <c r="C263" s="285" t="s">
        <v>86</v>
      </c>
      <c r="D263" s="285"/>
      <c r="E263" s="285"/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P263" s="285"/>
      <c r="Q263" s="229"/>
    </row>
    <row r="264" spans="1:256" s="9" customFormat="1" ht="14.1" customHeight="1" x14ac:dyDescent="0.2">
      <c r="A264" s="248"/>
      <c r="B264" s="228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285"/>
      <c r="Q264" s="229"/>
      <c r="R264" s="1"/>
      <c r="HP264" s="1"/>
      <c r="HQ264" s="1"/>
      <c r="HR264" s="1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</row>
    <row r="265" spans="1:256" ht="14.1" customHeight="1" x14ac:dyDescent="0.2">
      <c r="B265" s="46"/>
      <c r="C265" s="278" t="s">
        <v>94</v>
      </c>
      <c r="D265" s="280" t="s">
        <v>5</v>
      </c>
      <c r="E265" s="282" t="s">
        <v>87</v>
      </c>
      <c r="F265" s="282"/>
      <c r="G265" s="282"/>
      <c r="H265" s="282"/>
      <c r="I265" s="282"/>
      <c r="J265" s="282"/>
      <c r="K265" s="282"/>
      <c r="L265" s="282"/>
      <c r="M265" s="282"/>
      <c r="N265" s="282"/>
      <c r="O265" s="282"/>
      <c r="P265" s="276"/>
      <c r="Q265" s="229"/>
    </row>
    <row r="266" spans="1:256" ht="14.1" customHeight="1" x14ac:dyDescent="0.2">
      <c r="B266" s="44"/>
      <c r="C266" s="279"/>
      <c r="D266" s="281"/>
      <c r="E266" s="236" t="s">
        <v>7</v>
      </c>
      <c r="F266" s="237" t="s">
        <v>8</v>
      </c>
      <c r="G266" s="237" t="s">
        <v>9</v>
      </c>
      <c r="H266" s="237" t="s">
        <v>10</v>
      </c>
      <c r="I266" s="237" t="s">
        <v>11</v>
      </c>
      <c r="J266" s="237" t="s">
        <v>12</v>
      </c>
      <c r="K266" s="237" t="s">
        <v>13</v>
      </c>
      <c r="L266" s="237" t="s">
        <v>14</v>
      </c>
      <c r="M266" s="237" t="s">
        <v>15</v>
      </c>
      <c r="N266" s="237" t="s">
        <v>16</v>
      </c>
      <c r="O266" s="237" t="s">
        <v>17</v>
      </c>
      <c r="P266" s="238" t="s">
        <v>18</v>
      </c>
      <c r="Q266" s="239"/>
    </row>
    <row r="267" spans="1:256" ht="14.1" customHeight="1" x14ac:dyDescent="0.2">
      <c r="A267" s="265">
        <v>1</v>
      </c>
      <c r="B267" s="145"/>
      <c r="C267" s="223">
        <f t="shared" ref="C267:D278" si="5">C13</f>
        <v>0</v>
      </c>
      <c r="D267" s="223" t="str">
        <f t="shared" si="5"/>
        <v>CONTA CORRENTE BANCO 1</v>
      </c>
      <c r="E267" s="149">
        <f ca="1">INDIRECT("M"&amp;COLUMN()-4&amp;"!E"&amp;28+$A267-1)</f>
        <v>0</v>
      </c>
      <c r="F267" s="149">
        <f t="shared" ref="F267:P278" ca="1" si="6">INDIRECT("M"&amp;COLUMN()-4&amp;"!E"&amp;28+$A267-1)</f>
        <v>0</v>
      </c>
      <c r="G267" s="149">
        <f t="shared" ca="1" si="6"/>
        <v>0</v>
      </c>
      <c r="H267" s="149">
        <f t="shared" ca="1" si="6"/>
        <v>0</v>
      </c>
      <c r="I267" s="149">
        <f t="shared" ca="1" si="6"/>
        <v>0</v>
      </c>
      <c r="J267" s="149">
        <f t="shared" ca="1" si="6"/>
        <v>0</v>
      </c>
      <c r="K267" s="149">
        <f t="shared" ca="1" si="6"/>
        <v>0</v>
      </c>
      <c r="L267" s="149">
        <f t="shared" ca="1" si="6"/>
        <v>0</v>
      </c>
      <c r="M267" s="149">
        <f t="shared" ca="1" si="6"/>
        <v>0</v>
      </c>
      <c r="N267" s="149">
        <f t="shared" ca="1" si="6"/>
        <v>0</v>
      </c>
      <c r="O267" s="149">
        <f t="shared" ca="1" si="6"/>
        <v>0</v>
      </c>
      <c r="P267" s="149">
        <f t="shared" ca="1" si="6"/>
        <v>0</v>
      </c>
      <c r="Q267" s="146"/>
    </row>
    <row r="268" spans="1:256" ht="14.1" customHeight="1" x14ac:dyDescent="0.2">
      <c r="A268" s="266">
        <v>2</v>
      </c>
      <c r="B268" s="145"/>
      <c r="C268" s="113" t="str">
        <f t="shared" si="5"/>
        <v>INV1</v>
      </c>
      <c r="D268" s="113" t="str">
        <f t="shared" si="5"/>
        <v>POUPANÇA BANCO 1</v>
      </c>
      <c r="E268" s="114">
        <f t="shared" ref="E268:E278" ca="1" si="7">INDIRECT("M"&amp;COLUMN()-4&amp;"!E"&amp;28+$A268-1)</f>
        <v>0</v>
      </c>
      <c r="F268" s="114">
        <f t="shared" ca="1" si="6"/>
        <v>0</v>
      </c>
      <c r="G268" s="114">
        <f t="shared" ca="1" si="6"/>
        <v>0</v>
      </c>
      <c r="H268" s="114">
        <f t="shared" ca="1" si="6"/>
        <v>0</v>
      </c>
      <c r="I268" s="114">
        <f t="shared" ca="1" si="6"/>
        <v>0</v>
      </c>
      <c r="J268" s="114">
        <f t="shared" ca="1" si="6"/>
        <v>0</v>
      </c>
      <c r="K268" s="114">
        <f t="shared" ca="1" si="6"/>
        <v>0</v>
      </c>
      <c r="L268" s="114">
        <f t="shared" ca="1" si="6"/>
        <v>0</v>
      </c>
      <c r="M268" s="114">
        <f t="shared" ca="1" si="6"/>
        <v>0</v>
      </c>
      <c r="N268" s="114">
        <f t="shared" ca="1" si="6"/>
        <v>0</v>
      </c>
      <c r="O268" s="114">
        <f t="shared" ca="1" si="6"/>
        <v>0</v>
      </c>
      <c r="P268" s="114">
        <f t="shared" ca="1" si="6"/>
        <v>0</v>
      </c>
      <c r="Q268" s="146"/>
    </row>
    <row r="269" spans="1:256" ht="14.1" customHeight="1" x14ac:dyDescent="0.2">
      <c r="A269" s="265">
        <v>3</v>
      </c>
      <c r="B269" s="145"/>
      <c r="C269" s="115" t="str">
        <f t="shared" si="5"/>
        <v>DINH1</v>
      </c>
      <c r="D269" s="115" t="str">
        <f t="shared" si="5"/>
        <v>EM ESPÉCIE</v>
      </c>
      <c r="E269" s="117">
        <f t="shared" ca="1" si="7"/>
        <v>0</v>
      </c>
      <c r="F269" s="117">
        <f t="shared" ca="1" si="6"/>
        <v>0</v>
      </c>
      <c r="G269" s="117">
        <f t="shared" ca="1" si="6"/>
        <v>0</v>
      </c>
      <c r="H269" s="117">
        <f t="shared" ca="1" si="6"/>
        <v>0</v>
      </c>
      <c r="I269" s="117">
        <f t="shared" ca="1" si="6"/>
        <v>0</v>
      </c>
      <c r="J269" s="117">
        <f t="shared" ca="1" si="6"/>
        <v>0</v>
      </c>
      <c r="K269" s="117">
        <f t="shared" ca="1" si="6"/>
        <v>0</v>
      </c>
      <c r="L269" s="117">
        <f t="shared" ca="1" si="6"/>
        <v>0</v>
      </c>
      <c r="M269" s="117">
        <f t="shared" ca="1" si="6"/>
        <v>0</v>
      </c>
      <c r="N269" s="117">
        <f t="shared" ca="1" si="6"/>
        <v>0</v>
      </c>
      <c r="O269" s="117">
        <f t="shared" ca="1" si="6"/>
        <v>0</v>
      </c>
      <c r="P269" s="117">
        <f t="shared" ca="1" si="6"/>
        <v>0</v>
      </c>
      <c r="Q269" s="146"/>
    </row>
    <row r="270" spans="1:256" ht="14.1" customHeight="1" x14ac:dyDescent="0.2">
      <c r="A270" s="266">
        <v>4</v>
      </c>
      <c r="B270" s="145"/>
      <c r="C270" s="113" t="str">
        <f t="shared" si="5"/>
        <v>CRED1</v>
      </c>
      <c r="D270" s="113" t="str">
        <f t="shared" si="5"/>
        <v>CARTÃO DE CRÉDITO 1</v>
      </c>
      <c r="E270" s="114">
        <f t="shared" ca="1" si="7"/>
        <v>0</v>
      </c>
      <c r="F270" s="114">
        <f t="shared" ca="1" si="6"/>
        <v>0</v>
      </c>
      <c r="G270" s="114">
        <f t="shared" ca="1" si="6"/>
        <v>0</v>
      </c>
      <c r="H270" s="114">
        <f t="shared" ca="1" si="6"/>
        <v>0</v>
      </c>
      <c r="I270" s="114">
        <f t="shared" ca="1" si="6"/>
        <v>0</v>
      </c>
      <c r="J270" s="114">
        <f t="shared" ca="1" si="6"/>
        <v>0</v>
      </c>
      <c r="K270" s="114">
        <f t="shared" ca="1" si="6"/>
        <v>0</v>
      </c>
      <c r="L270" s="114">
        <f t="shared" ca="1" si="6"/>
        <v>0</v>
      </c>
      <c r="M270" s="114">
        <f t="shared" ca="1" si="6"/>
        <v>0</v>
      </c>
      <c r="N270" s="114">
        <f t="shared" ca="1" si="6"/>
        <v>0</v>
      </c>
      <c r="O270" s="114">
        <f t="shared" ca="1" si="6"/>
        <v>0</v>
      </c>
      <c r="P270" s="114">
        <f t="shared" ca="1" si="6"/>
        <v>0</v>
      </c>
      <c r="Q270" s="146"/>
    </row>
    <row r="271" spans="1:256" ht="14.1" customHeight="1" x14ac:dyDescent="0.2">
      <c r="A271" s="265">
        <v>5</v>
      </c>
      <c r="B271" s="145"/>
      <c r="C271" s="115" t="str">
        <f t="shared" si="5"/>
        <v>---</v>
      </c>
      <c r="D271" s="115">
        <f t="shared" si="5"/>
        <v>0</v>
      </c>
      <c r="E271" s="117">
        <f t="shared" ca="1" si="7"/>
        <v>0</v>
      </c>
      <c r="F271" s="117">
        <f t="shared" ca="1" si="6"/>
        <v>0</v>
      </c>
      <c r="G271" s="117">
        <f t="shared" ca="1" si="6"/>
        <v>0</v>
      </c>
      <c r="H271" s="117">
        <f t="shared" ca="1" si="6"/>
        <v>0</v>
      </c>
      <c r="I271" s="117">
        <f t="shared" ca="1" si="6"/>
        <v>0</v>
      </c>
      <c r="J271" s="117">
        <f t="shared" ca="1" si="6"/>
        <v>0</v>
      </c>
      <c r="K271" s="117">
        <f t="shared" ca="1" si="6"/>
        <v>0</v>
      </c>
      <c r="L271" s="117">
        <f t="shared" ca="1" si="6"/>
        <v>0</v>
      </c>
      <c r="M271" s="117">
        <f t="shared" ca="1" si="6"/>
        <v>0</v>
      </c>
      <c r="N271" s="117">
        <f t="shared" ca="1" si="6"/>
        <v>0</v>
      </c>
      <c r="O271" s="117">
        <f t="shared" ca="1" si="6"/>
        <v>0</v>
      </c>
      <c r="P271" s="117">
        <f t="shared" ca="1" si="6"/>
        <v>0</v>
      </c>
      <c r="Q271" s="146"/>
    </row>
    <row r="272" spans="1:256" ht="14.1" customHeight="1" x14ac:dyDescent="0.2">
      <c r="A272" s="266">
        <v>6</v>
      </c>
      <c r="B272" s="145"/>
      <c r="C272" s="113" t="str">
        <f t="shared" si="5"/>
        <v>---</v>
      </c>
      <c r="D272" s="113">
        <f t="shared" si="5"/>
        <v>0</v>
      </c>
      <c r="E272" s="114">
        <f t="shared" ca="1" si="7"/>
        <v>0</v>
      </c>
      <c r="F272" s="114">
        <f t="shared" ca="1" si="6"/>
        <v>0</v>
      </c>
      <c r="G272" s="114">
        <f t="shared" ca="1" si="6"/>
        <v>0</v>
      </c>
      <c r="H272" s="114">
        <f t="shared" ca="1" si="6"/>
        <v>0</v>
      </c>
      <c r="I272" s="114">
        <f t="shared" ca="1" si="6"/>
        <v>0</v>
      </c>
      <c r="J272" s="114">
        <f t="shared" ca="1" si="6"/>
        <v>0</v>
      </c>
      <c r="K272" s="114">
        <f t="shared" ca="1" si="6"/>
        <v>0</v>
      </c>
      <c r="L272" s="114">
        <f t="shared" ca="1" si="6"/>
        <v>0</v>
      </c>
      <c r="M272" s="114">
        <f t="shared" ca="1" si="6"/>
        <v>0</v>
      </c>
      <c r="N272" s="114">
        <f t="shared" ca="1" si="6"/>
        <v>0</v>
      </c>
      <c r="O272" s="114">
        <f t="shared" ca="1" si="6"/>
        <v>0</v>
      </c>
      <c r="P272" s="114">
        <f t="shared" ca="1" si="6"/>
        <v>0</v>
      </c>
      <c r="Q272" s="146"/>
    </row>
    <row r="273" spans="1:17" ht="14.1" customHeight="1" x14ac:dyDescent="0.2">
      <c r="A273" s="265">
        <v>7</v>
      </c>
      <c r="B273" s="145"/>
      <c r="C273" s="115" t="str">
        <f t="shared" si="5"/>
        <v>---</v>
      </c>
      <c r="D273" s="115">
        <f t="shared" si="5"/>
        <v>0</v>
      </c>
      <c r="E273" s="117">
        <f t="shared" ca="1" si="7"/>
        <v>0</v>
      </c>
      <c r="F273" s="117">
        <f t="shared" ca="1" si="6"/>
        <v>0</v>
      </c>
      <c r="G273" s="117">
        <f t="shared" ca="1" si="6"/>
        <v>0</v>
      </c>
      <c r="H273" s="117">
        <f t="shared" ca="1" si="6"/>
        <v>0</v>
      </c>
      <c r="I273" s="117">
        <f t="shared" ca="1" si="6"/>
        <v>0</v>
      </c>
      <c r="J273" s="117">
        <f t="shared" ca="1" si="6"/>
        <v>0</v>
      </c>
      <c r="K273" s="117">
        <f t="shared" ca="1" si="6"/>
        <v>0</v>
      </c>
      <c r="L273" s="117">
        <f t="shared" ca="1" si="6"/>
        <v>0</v>
      </c>
      <c r="M273" s="117">
        <f t="shared" ca="1" si="6"/>
        <v>0</v>
      </c>
      <c r="N273" s="117">
        <f t="shared" ca="1" si="6"/>
        <v>0</v>
      </c>
      <c r="O273" s="117">
        <f t="shared" ca="1" si="6"/>
        <v>0</v>
      </c>
      <c r="P273" s="117">
        <f t="shared" ca="1" si="6"/>
        <v>0</v>
      </c>
      <c r="Q273" s="146"/>
    </row>
    <row r="274" spans="1:17" ht="14.1" customHeight="1" x14ac:dyDescent="0.2">
      <c r="A274" s="266">
        <v>8</v>
      </c>
      <c r="B274" s="145"/>
      <c r="C274" s="113" t="str">
        <f t="shared" si="5"/>
        <v>---</v>
      </c>
      <c r="D274" s="113">
        <f t="shared" si="5"/>
        <v>0</v>
      </c>
      <c r="E274" s="114">
        <f t="shared" ca="1" si="7"/>
        <v>0</v>
      </c>
      <c r="F274" s="114">
        <f t="shared" ca="1" si="6"/>
        <v>0</v>
      </c>
      <c r="G274" s="114">
        <f t="shared" ca="1" si="6"/>
        <v>0</v>
      </c>
      <c r="H274" s="114">
        <f t="shared" ca="1" si="6"/>
        <v>0</v>
      </c>
      <c r="I274" s="114">
        <f t="shared" ca="1" si="6"/>
        <v>0</v>
      </c>
      <c r="J274" s="114">
        <f t="shared" ca="1" si="6"/>
        <v>0</v>
      </c>
      <c r="K274" s="114">
        <f t="shared" ca="1" si="6"/>
        <v>0</v>
      </c>
      <c r="L274" s="114">
        <f t="shared" ca="1" si="6"/>
        <v>0</v>
      </c>
      <c r="M274" s="114">
        <f t="shared" ca="1" si="6"/>
        <v>0</v>
      </c>
      <c r="N274" s="114">
        <f t="shared" ca="1" si="6"/>
        <v>0</v>
      </c>
      <c r="O274" s="114">
        <f t="shared" ca="1" si="6"/>
        <v>0</v>
      </c>
      <c r="P274" s="114">
        <f t="shared" ca="1" si="6"/>
        <v>0</v>
      </c>
      <c r="Q274" s="146"/>
    </row>
    <row r="275" spans="1:17" ht="14.1" customHeight="1" x14ac:dyDescent="0.2">
      <c r="A275" s="265">
        <v>9</v>
      </c>
      <c r="B275" s="145"/>
      <c r="C275" s="115" t="str">
        <f t="shared" si="5"/>
        <v>---</v>
      </c>
      <c r="D275" s="115">
        <f t="shared" si="5"/>
        <v>0</v>
      </c>
      <c r="E275" s="117">
        <f t="shared" ca="1" si="7"/>
        <v>0</v>
      </c>
      <c r="F275" s="117">
        <f t="shared" ca="1" si="6"/>
        <v>0</v>
      </c>
      <c r="G275" s="117">
        <f t="shared" ca="1" si="6"/>
        <v>0</v>
      </c>
      <c r="H275" s="117">
        <f t="shared" ca="1" si="6"/>
        <v>0</v>
      </c>
      <c r="I275" s="117">
        <f t="shared" ca="1" si="6"/>
        <v>0</v>
      </c>
      <c r="J275" s="117">
        <f t="shared" ca="1" si="6"/>
        <v>0</v>
      </c>
      <c r="K275" s="117">
        <f t="shared" ca="1" si="6"/>
        <v>0</v>
      </c>
      <c r="L275" s="117">
        <f t="shared" ca="1" si="6"/>
        <v>0</v>
      </c>
      <c r="M275" s="117">
        <f t="shared" ca="1" si="6"/>
        <v>0</v>
      </c>
      <c r="N275" s="117">
        <f t="shared" ca="1" si="6"/>
        <v>0</v>
      </c>
      <c r="O275" s="117">
        <f t="shared" ca="1" si="6"/>
        <v>0</v>
      </c>
      <c r="P275" s="117">
        <f t="shared" ca="1" si="6"/>
        <v>0</v>
      </c>
      <c r="Q275" s="146"/>
    </row>
    <row r="276" spans="1:17" ht="14.1" customHeight="1" x14ac:dyDescent="0.2">
      <c r="A276" s="266">
        <v>10</v>
      </c>
      <c r="B276" s="145"/>
      <c r="C276" s="113" t="str">
        <f t="shared" si="5"/>
        <v>---</v>
      </c>
      <c r="D276" s="113">
        <f t="shared" si="5"/>
        <v>0</v>
      </c>
      <c r="E276" s="114">
        <f t="shared" ca="1" si="7"/>
        <v>0</v>
      </c>
      <c r="F276" s="114">
        <f t="shared" ca="1" si="6"/>
        <v>0</v>
      </c>
      <c r="G276" s="114">
        <f t="shared" ca="1" si="6"/>
        <v>0</v>
      </c>
      <c r="H276" s="114">
        <f t="shared" ca="1" si="6"/>
        <v>0</v>
      </c>
      <c r="I276" s="114">
        <f t="shared" ca="1" si="6"/>
        <v>0</v>
      </c>
      <c r="J276" s="114">
        <f t="shared" ca="1" si="6"/>
        <v>0</v>
      </c>
      <c r="K276" s="114">
        <f t="shared" ca="1" si="6"/>
        <v>0</v>
      </c>
      <c r="L276" s="114">
        <f t="shared" ca="1" si="6"/>
        <v>0</v>
      </c>
      <c r="M276" s="114">
        <f t="shared" ca="1" si="6"/>
        <v>0</v>
      </c>
      <c r="N276" s="114">
        <f t="shared" ca="1" si="6"/>
        <v>0</v>
      </c>
      <c r="O276" s="114">
        <f t="shared" ca="1" si="6"/>
        <v>0</v>
      </c>
      <c r="P276" s="114">
        <f t="shared" ca="1" si="6"/>
        <v>0</v>
      </c>
      <c r="Q276" s="146"/>
    </row>
    <row r="277" spans="1:17" ht="14.1" customHeight="1" x14ac:dyDescent="0.2">
      <c r="A277" s="265">
        <v>11</v>
      </c>
      <c r="B277" s="145"/>
      <c r="C277" s="115" t="str">
        <f t="shared" si="5"/>
        <v>---</v>
      </c>
      <c r="D277" s="115">
        <f t="shared" si="5"/>
        <v>0</v>
      </c>
      <c r="E277" s="117">
        <f t="shared" ca="1" si="7"/>
        <v>0</v>
      </c>
      <c r="F277" s="117">
        <f t="shared" ca="1" si="6"/>
        <v>0</v>
      </c>
      <c r="G277" s="117">
        <f t="shared" ca="1" si="6"/>
        <v>0</v>
      </c>
      <c r="H277" s="117">
        <f t="shared" ca="1" si="6"/>
        <v>0</v>
      </c>
      <c r="I277" s="117">
        <f t="shared" ca="1" si="6"/>
        <v>0</v>
      </c>
      <c r="J277" s="117">
        <f t="shared" ca="1" si="6"/>
        <v>0</v>
      </c>
      <c r="K277" s="117">
        <f t="shared" ca="1" si="6"/>
        <v>0</v>
      </c>
      <c r="L277" s="117">
        <f t="shared" ca="1" si="6"/>
        <v>0</v>
      </c>
      <c r="M277" s="117">
        <f t="shared" ca="1" si="6"/>
        <v>0</v>
      </c>
      <c r="N277" s="117">
        <f t="shared" ca="1" si="6"/>
        <v>0</v>
      </c>
      <c r="O277" s="117">
        <f t="shared" ca="1" si="6"/>
        <v>0</v>
      </c>
      <c r="P277" s="117">
        <f t="shared" ca="1" si="6"/>
        <v>0</v>
      </c>
      <c r="Q277" s="146"/>
    </row>
    <row r="278" spans="1:17" ht="14.1" customHeight="1" x14ac:dyDescent="0.2">
      <c r="A278" s="266">
        <v>12</v>
      </c>
      <c r="B278" s="147"/>
      <c r="C278" s="113" t="str">
        <f t="shared" si="5"/>
        <v>---</v>
      </c>
      <c r="D278" s="113">
        <f t="shared" si="5"/>
        <v>0</v>
      </c>
      <c r="E278" s="114">
        <f t="shared" ca="1" si="7"/>
        <v>0</v>
      </c>
      <c r="F278" s="114">
        <f t="shared" ca="1" si="6"/>
        <v>0</v>
      </c>
      <c r="G278" s="114">
        <f t="shared" ca="1" si="6"/>
        <v>0</v>
      </c>
      <c r="H278" s="114">
        <f t="shared" ca="1" si="6"/>
        <v>0</v>
      </c>
      <c r="I278" s="114">
        <f t="shared" ca="1" si="6"/>
        <v>0</v>
      </c>
      <c r="J278" s="114">
        <f t="shared" ca="1" si="6"/>
        <v>0</v>
      </c>
      <c r="K278" s="114">
        <f t="shared" ca="1" si="6"/>
        <v>0</v>
      </c>
      <c r="L278" s="114">
        <f t="shared" ca="1" si="6"/>
        <v>0</v>
      </c>
      <c r="M278" s="114">
        <f t="shared" ca="1" si="6"/>
        <v>0</v>
      </c>
      <c r="N278" s="114">
        <f t="shared" ca="1" si="6"/>
        <v>0</v>
      </c>
      <c r="O278" s="114">
        <f t="shared" ca="1" si="6"/>
        <v>0</v>
      </c>
      <c r="P278" s="114">
        <f t="shared" ca="1" si="6"/>
        <v>0</v>
      </c>
      <c r="Q278" s="148"/>
    </row>
    <row r="279" spans="1:17" ht="14.1" customHeight="1" x14ac:dyDescent="0.2">
      <c r="B279" s="230"/>
      <c r="C279" s="18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231"/>
    </row>
    <row r="280" spans="1:17" ht="14.1" customHeight="1" x14ac:dyDescent="0.2">
      <c r="B280" s="230"/>
      <c r="C280" s="18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231"/>
    </row>
    <row r="281" spans="1:17" ht="14.1" customHeight="1" x14ac:dyDescent="0.2">
      <c r="B281" s="230"/>
      <c r="C281" s="18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231"/>
    </row>
    <row r="282" spans="1:17" ht="14.1" customHeight="1" x14ac:dyDescent="0.2">
      <c r="B282" s="230"/>
      <c r="C282" s="18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231"/>
    </row>
    <row r="283" spans="1:17" ht="14.1" customHeight="1" x14ac:dyDescent="0.2">
      <c r="B283" s="230"/>
      <c r="C283" s="18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231"/>
    </row>
    <row r="284" spans="1:17" ht="14.1" customHeight="1" x14ac:dyDescent="0.2">
      <c r="B284" s="230"/>
      <c r="C284" s="18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231"/>
    </row>
    <row r="285" spans="1:17" ht="14.1" customHeight="1" x14ac:dyDescent="0.2">
      <c r="B285" s="230"/>
      <c r="C285" s="18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231"/>
    </row>
    <row r="286" spans="1:17" ht="14.1" customHeight="1" x14ac:dyDescent="0.2">
      <c r="B286" s="230"/>
      <c r="C286" s="18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231"/>
    </row>
    <row r="287" spans="1:17" ht="14.1" customHeight="1" x14ac:dyDescent="0.2">
      <c r="B287" s="230"/>
      <c r="C287" s="18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231"/>
    </row>
    <row r="288" spans="1:17" ht="14.1" customHeight="1" x14ac:dyDescent="0.2">
      <c r="B288" s="230"/>
      <c r="C288" s="18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231"/>
    </row>
    <row r="289" spans="2:17" ht="14.1" customHeight="1" x14ac:dyDescent="0.2">
      <c r="B289" s="230"/>
      <c r="C289" s="18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231"/>
    </row>
    <row r="290" spans="2:17" ht="14.1" customHeight="1" x14ac:dyDescent="0.2">
      <c r="B290" s="230"/>
      <c r="C290" s="18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231"/>
    </row>
    <row r="291" spans="2:17" ht="14.1" customHeight="1" x14ac:dyDescent="0.2">
      <c r="B291" s="230"/>
      <c r="C291" s="18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231"/>
    </row>
    <row r="292" spans="2:17" ht="14.1" customHeight="1" x14ac:dyDescent="0.2">
      <c r="B292" s="230"/>
      <c r="C292" s="18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231"/>
    </row>
    <row r="293" spans="2:17" ht="14.1" customHeight="1" x14ac:dyDescent="0.2">
      <c r="B293" s="230"/>
      <c r="C293" s="18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231"/>
    </row>
    <row r="294" spans="2:17" ht="14.1" customHeight="1" x14ac:dyDescent="0.2">
      <c r="B294" s="230"/>
      <c r="C294" s="18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231"/>
    </row>
    <row r="295" spans="2:17" ht="14.1" customHeight="1" x14ac:dyDescent="0.2">
      <c r="B295" s="230"/>
      <c r="C295" s="18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231"/>
    </row>
    <row r="296" spans="2:17" ht="14.1" customHeight="1" x14ac:dyDescent="0.2">
      <c r="B296" s="230"/>
      <c r="C296" s="18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231"/>
    </row>
    <row r="297" spans="2:17" ht="14.1" customHeight="1" x14ac:dyDescent="0.2">
      <c r="B297" s="230"/>
      <c r="C297" s="18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231"/>
    </row>
    <row r="298" spans="2:17" ht="14.1" customHeight="1" x14ac:dyDescent="0.2">
      <c r="B298" s="230"/>
      <c r="C298" s="18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231"/>
    </row>
    <row r="299" spans="2:17" ht="14.1" customHeight="1" x14ac:dyDescent="0.2">
      <c r="B299" s="230"/>
      <c r="C299" s="18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231"/>
    </row>
    <row r="300" spans="2:17" ht="14.1" customHeight="1" x14ac:dyDescent="0.2">
      <c r="B300" s="232"/>
      <c r="C300" s="233"/>
      <c r="D300" s="234"/>
      <c r="E300" s="234"/>
      <c r="F300" s="234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5"/>
    </row>
    <row r="301" spans="2:17" ht="14.1" customHeight="1" x14ac:dyDescent="0.2"/>
    <row r="302" spans="2:17" ht="14.1" customHeight="1" x14ac:dyDescent="0.2"/>
    <row r="303" spans="2:17" ht="14.1" customHeight="1" x14ac:dyDescent="0.2">
      <c r="B303" s="212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4"/>
    </row>
    <row r="304" spans="2:17" ht="14.1" customHeight="1" x14ac:dyDescent="0.2">
      <c r="B304" s="215"/>
      <c r="C304" s="286" t="s">
        <v>88</v>
      </c>
      <c r="D304" s="286"/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16"/>
    </row>
    <row r="305" spans="1:256" s="9" customFormat="1" ht="14.1" customHeight="1" x14ac:dyDescent="0.2">
      <c r="A305" s="248"/>
      <c r="B305" s="215"/>
      <c r="C305" s="286"/>
      <c r="D305" s="286"/>
      <c r="E305" s="286"/>
      <c r="F305" s="286"/>
      <c r="G305" s="286"/>
      <c r="H305" s="286"/>
      <c r="I305" s="286"/>
      <c r="J305" s="286"/>
      <c r="K305" s="286"/>
      <c r="L305" s="286"/>
      <c r="M305" s="286"/>
      <c r="N305" s="286"/>
      <c r="O305" s="286"/>
      <c r="P305" s="286"/>
      <c r="Q305" s="216"/>
      <c r="R305" s="1"/>
      <c r="HP305" s="1"/>
      <c r="HQ305" s="1"/>
      <c r="HR305" s="1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</row>
    <row r="306" spans="1:256" ht="14.1" customHeight="1" x14ac:dyDescent="0.2">
      <c r="B306" s="46"/>
      <c r="C306" s="278" t="s">
        <v>94</v>
      </c>
      <c r="D306" s="280" t="s">
        <v>5</v>
      </c>
      <c r="E306" s="282" t="s">
        <v>89</v>
      </c>
      <c r="F306" s="282"/>
      <c r="G306" s="282"/>
      <c r="H306" s="282"/>
      <c r="I306" s="282"/>
      <c r="J306" s="282"/>
      <c r="K306" s="282"/>
      <c r="L306" s="282"/>
      <c r="M306" s="282"/>
      <c r="N306" s="282"/>
      <c r="O306" s="282"/>
      <c r="P306" s="276"/>
      <c r="Q306" s="216"/>
    </row>
    <row r="307" spans="1:256" ht="14.1" customHeight="1" x14ac:dyDescent="0.2">
      <c r="B307" s="44"/>
      <c r="C307" s="279"/>
      <c r="D307" s="281"/>
      <c r="E307" s="100" t="s">
        <v>7</v>
      </c>
      <c r="F307" s="100" t="s">
        <v>8</v>
      </c>
      <c r="G307" s="100" t="s">
        <v>9</v>
      </c>
      <c r="H307" s="100" t="s">
        <v>10</v>
      </c>
      <c r="I307" s="100" t="s">
        <v>11</v>
      </c>
      <c r="J307" s="100" t="s">
        <v>12</v>
      </c>
      <c r="K307" s="100" t="s">
        <v>13</v>
      </c>
      <c r="L307" s="100" t="s">
        <v>14</v>
      </c>
      <c r="M307" s="100" t="s">
        <v>15</v>
      </c>
      <c r="N307" s="100" t="s">
        <v>16</v>
      </c>
      <c r="O307" s="100" t="s">
        <v>17</v>
      </c>
      <c r="P307" s="100" t="s">
        <v>18</v>
      </c>
      <c r="Q307" s="224"/>
    </row>
    <row r="308" spans="1:256" ht="14.1" customHeight="1" x14ac:dyDescent="0.2">
      <c r="A308" s="265">
        <v>1</v>
      </c>
      <c r="B308" s="145"/>
      <c r="C308" s="223">
        <f t="shared" ref="C308:D319" si="8">C267</f>
        <v>0</v>
      </c>
      <c r="D308" s="223" t="str">
        <f t="shared" si="8"/>
        <v>CONTA CORRENTE BANCO 1</v>
      </c>
      <c r="E308" s="149">
        <f ca="1">-INDIRECT("M"&amp;COLUMN()-4&amp;"!F"&amp;28+$A308-1)</f>
        <v>0</v>
      </c>
      <c r="F308" s="149">
        <f t="shared" ref="F308:P319" ca="1" si="9">-INDIRECT("M"&amp;COLUMN()-4&amp;"!F"&amp;28+$A308-1)</f>
        <v>0</v>
      </c>
      <c r="G308" s="149">
        <f t="shared" ca="1" si="9"/>
        <v>0</v>
      </c>
      <c r="H308" s="149">
        <f t="shared" ca="1" si="9"/>
        <v>0</v>
      </c>
      <c r="I308" s="149">
        <f t="shared" ca="1" si="9"/>
        <v>0</v>
      </c>
      <c r="J308" s="149">
        <f t="shared" ca="1" si="9"/>
        <v>0</v>
      </c>
      <c r="K308" s="149">
        <f t="shared" ca="1" si="9"/>
        <v>0</v>
      </c>
      <c r="L308" s="149">
        <f t="shared" ca="1" si="9"/>
        <v>0</v>
      </c>
      <c r="M308" s="149">
        <f t="shared" ca="1" si="9"/>
        <v>0</v>
      </c>
      <c r="N308" s="149">
        <f t="shared" ca="1" si="9"/>
        <v>0</v>
      </c>
      <c r="O308" s="149">
        <f t="shared" ca="1" si="9"/>
        <v>0</v>
      </c>
      <c r="P308" s="149">
        <f t="shared" ca="1" si="9"/>
        <v>0</v>
      </c>
      <c r="Q308" s="146"/>
    </row>
    <row r="309" spans="1:256" ht="14.1" customHeight="1" x14ac:dyDescent="0.2">
      <c r="A309" s="266">
        <v>2</v>
      </c>
      <c r="B309" s="145"/>
      <c r="C309" s="113" t="str">
        <f t="shared" si="8"/>
        <v>INV1</v>
      </c>
      <c r="D309" s="113" t="str">
        <f t="shared" si="8"/>
        <v>POUPANÇA BANCO 1</v>
      </c>
      <c r="E309" s="114">
        <f t="shared" ref="E309:E319" ca="1" si="10">-INDIRECT("M"&amp;COLUMN()-4&amp;"!F"&amp;28+$A309-1)</f>
        <v>0</v>
      </c>
      <c r="F309" s="114">
        <f t="shared" ca="1" si="9"/>
        <v>0</v>
      </c>
      <c r="G309" s="114">
        <f t="shared" ca="1" si="9"/>
        <v>0</v>
      </c>
      <c r="H309" s="114">
        <f t="shared" ca="1" si="9"/>
        <v>0</v>
      </c>
      <c r="I309" s="114">
        <f t="shared" ca="1" si="9"/>
        <v>0</v>
      </c>
      <c r="J309" s="114">
        <f t="shared" ca="1" si="9"/>
        <v>0</v>
      </c>
      <c r="K309" s="114">
        <f t="shared" ca="1" si="9"/>
        <v>0</v>
      </c>
      <c r="L309" s="114">
        <f t="shared" ca="1" si="9"/>
        <v>0</v>
      </c>
      <c r="M309" s="114">
        <f t="shared" ca="1" si="9"/>
        <v>0</v>
      </c>
      <c r="N309" s="114">
        <f t="shared" ca="1" si="9"/>
        <v>0</v>
      </c>
      <c r="O309" s="114">
        <f t="shared" ca="1" si="9"/>
        <v>0</v>
      </c>
      <c r="P309" s="114">
        <f t="shared" ca="1" si="9"/>
        <v>0</v>
      </c>
      <c r="Q309" s="146"/>
    </row>
    <row r="310" spans="1:256" ht="14.1" customHeight="1" x14ac:dyDescent="0.2">
      <c r="A310" s="265">
        <v>3</v>
      </c>
      <c r="B310" s="145"/>
      <c r="C310" s="115" t="str">
        <f t="shared" si="8"/>
        <v>DINH1</v>
      </c>
      <c r="D310" s="115" t="str">
        <f t="shared" si="8"/>
        <v>EM ESPÉCIE</v>
      </c>
      <c r="E310" s="117">
        <f t="shared" ca="1" si="10"/>
        <v>0</v>
      </c>
      <c r="F310" s="117">
        <f t="shared" ca="1" si="9"/>
        <v>0</v>
      </c>
      <c r="G310" s="117">
        <f t="shared" ca="1" si="9"/>
        <v>0</v>
      </c>
      <c r="H310" s="117">
        <f t="shared" ca="1" si="9"/>
        <v>0</v>
      </c>
      <c r="I310" s="117">
        <f t="shared" ca="1" si="9"/>
        <v>0</v>
      </c>
      <c r="J310" s="117">
        <f t="shared" ca="1" si="9"/>
        <v>0</v>
      </c>
      <c r="K310" s="117">
        <f t="shared" ca="1" si="9"/>
        <v>0</v>
      </c>
      <c r="L310" s="117">
        <f t="shared" ca="1" si="9"/>
        <v>0</v>
      </c>
      <c r="M310" s="117">
        <f t="shared" ca="1" si="9"/>
        <v>0</v>
      </c>
      <c r="N310" s="117">
        <f t="shared" ca="1" si="9"/>
        <v>0</v>
      </c>
      <c r="O310" s="117">
        <f t="shared" ca="1" si="9"/>
        <v>0</v>
      </c>
      <c r="P310" s="117">
        <f t="shared" ca="1" si="9"/>
        <v>0</v>
      </c>
      <c r="Q310" s="146"/>
    </row>
    <row r="311" spans="1:256" ht="14.1" customHeight="1" x14ac:dyDescent="0.2">
      <c r="A311" s="266">
        <v>4</v>
      </c>
      <c r="B311" s="145"/>
      <c r="C311" s="113" t="str">
        <f t="shared" si="8"/>
        <v>CRED1</v>
      </c>
      <c r="D311" s="113" t="str">
        <f t="shared" si="8"/>
        <v>CARTÃO DE CRÉDITO 1</v>
      </c>
      <c r="E311" s="114">
        <f t="shared" ca="1" si="10"/>
        <v>0</v>
      </c>
      <c r="F311" s="114">
        <f t="shared" ca="1" si="9"/>
        <v>0</v>
      </c>
      <c r="G311" s="114">
        <f t="shared" ca="1" si="9"/>
        <v>0</v>
      </c>
      <c r="H311" s="114">
        <f t="shared" ca="1" si="9"/>
        <v>0</v>
      </c>
      <c r="I311" s="114">
        <f t="shared" ca="1" si="9"/>
        <v>0</v>
      </c>
      <c r="J311" s="114">
        <f t="shared" ca="1" si="9"/>
        <v>0</v>
      </c>
      <c r="K311" s="114">
        <f t="shared" ca="1" si="9"/>
        <v>0</v>
      </c>
      <c r="L311" s="114">
        <f t="shared" ca="1" si="9"/>
        <v>0</v>
      </c>
      <c r="M311" s="114">
        <f t="shared" ca="1" si="9"/>
        <v>0</v>
      </c>
      <c r="N311" s="114">
        <f t="shared" ca="1" si="9"/>
        <v>0</v>
      </c>
      <c r="O311" s="114">
        <f t="shared" ca="1" si="9"/>
        <v>0</v>
      </c>
      <c r="P311" s="114">
        <f t="shared" ca="1" si="9"/>
        <v>0</v>
      </c>
      <c r="Q311" s="146"/>
    </row>
    <row r="312" spans="1:256" ht="14.1" customHeight="1" x14ac:dyDescent="0.2">
      <c r="A312" s="265">
        <v>5</v>
      </c>
      <c r="B312" s="145"/>
      <c r="C312" s="115" t="str">
        <f t="shared" si="8"/>
        <v>---</v>
      </c>
      <c r="D312" s="115">
        <f t="shared" si="8"/>
        <v>0</v>
      </c>
      <c r="E312" s="117">
        <f t="shared" ca="1" si="10"/>
        <v>0</v>
      </c>
      <c r="F312" s="117">
        <f t="shared" ca="1" si="9"/>
        <v>0</v>
      </c>
      <c r="G312" s="117">
        <f t="shared" ca="1" si="9"/>
        <v>0</v>
      </c>
      <c r="H312" s="117">
        <f t="shared" ca="1" si="9"/>
        <v>0</v>
      </c>
      <c r="I312" s="117">
        <f t="shared" ca="1" si="9"/>
        <v>0</v>
      </c>
      <c r="J312" s="117">
        <f t="shared" ca="1" si="9"/>
        <v>0</v>
      </c>
      <c r="K312" s="117">
        <f t="shared" ca="1" si="9"/>
        <v>0</v>
      </c>
      <c r="L312" s="117">
        <f t="shared" ca="1" si="9"/>
        <v>0</v>
      </c>
      <c r="M312" s="117">
        <f t="shared" ca="1" si="9"/>
        <v>0</v>
      </c>
      <c r="N312" s="117">
        <f t="shared" ca="1" si="9"/>
        <v>0</v>
      </c>
      <c r="O312" s="117">
        <f t="shared" ca="1" si="9"/>
        <v>0</v>
      </c>
      <c r="P312" s="117">
        <f t="shared" ca="1" si="9"/>
        <v>0</v>
      </c>
      <c r="Q312" s="146"/>
    </row>
    <row r="313" spans="1:256" ht="14.1" customHeight="1" x14ac:dyDescent="0.2">
      <c r="A313" s="266">
        <v>6</v>
      </c>
      <c r="B313" s="145"/>
      <c r="C313" s="113" t="str">
        <f t="shared" si="8"/>
        <v>---</v>
      </c>
      <c r="D313" s="113">
        <f t="shared" si="8"/>
        <v>0</v>
      </c>
      <c r="E313" s="114">
        <f t="shared" ca="1" si="10"/>
        <v>0</v>
      </c>
      <c r="F313" s="114">
        <f t="shared" ca="1" si="9"/>
        <v>0</v>
      </c>
      <c r="G313" s="114">
        <f t="shared" ca="1" si="9"/>
        <v>0</v>
      </c>
      <c r="H313" s="114">
        <f t="shared" ca="1" si="9"/>
        <v>0</v>
      </c>
      <c r="I313" s="114">
        <f t="shared" ca="1" si="9"/>
        <v>0</v>
      </c>
      <c r="J313" s="114">
        <f t="shared" ca="1" si="9"/>
        <v>0</v>
      </c>
      <c r="K313" s="114">
        <f t="shared" ca="1" si="9"/>
        <v>0</v>
      </c>
      <c r="L313" s="114">
        <f t="shared" ca="1" si="9"/>
        <v>0</v>
      </c>
      <c r="M313" s="114">
        <f t="shared" ca="1" si="9"/>
        <v>0</v>
      </c>
      <c r="N313" s="114">
        <f t="shared" ca="1" si="9"/>
        <v>0</v>
      </c>
      <c r="O313" s="114">
        <f t="shared" ca="1" si="9"/>
        <v>0</v>
      </c>
      <c r="P313" s="114">
        <f t="shared" ca="1" si="9"/>
        <v>0</v>
      </c>
      <c r="Q313" s="146"/>
    </row>
    <row r="314" spans="1:256" ht="14.1" customHeight="1" x14ac:dyDescent="0.2">
      <c r="A314" s="265">
        <v>7</v>
      </c>
      <c r="B314" s="145"/>
      <c r="C314" s="115" t="str">
        <f t="shared" si="8"/>
        <v>---</v>
      </c>
      <c r="D314" s="115">
        <f t="shared" si="8"/>
        <v>0</v>
      </c>
      <c r="E314" s="117">
        <f t="shared" ca="1" si="10"/>
        <v>0</v>
      </c>
      <c r="F314" s="117">
        <f t="shared" ca="1" si="9"/>
        <v>0</v>
      </c>
      <c r="G314" s="117">
        <f t="shared" ca="1" si="9"/>
        <v>0</v>
      </c>
      <c r="H314" s="117">
        <f t="shared" ca="1" si="9"/>
        <v>0</v>
      </c>
      <c r="I314" s="117">
        <f t="shared" ca="1" si="9"/>
        <v>0</v>
      </c>
      <c r="J314" s="117">
        <f t="shared" ca="1" si="9"/>
        <v>0</v>
      </c>
      <c r="K314" s="117">
        <f t="shared" ca="1" si="9"/>
        <v>0</v>
      </c>
      <c r="L314" s="117">
        <f t="shared" ca="1" si="9"/>
        <v>0</v>
      </c>
      <c r="M314" s="117">
        <f t="shared" ca="1" si="9"/>
        <v>0</v>
      </c>
      <c r="N314" s="117">
        <f t="shared" ca="1" si="9"/>
        <v>0</v>
      </c>
      <c r="O314" s="117">
        <f t="shared" ca="1" si="9"/>
        <v>0</v>
      </c>
      <c r="P314" s="117">
        <f t="shared" ca="1" si="9"/>
        <v>0</v>
      </c>
      <c r="Q314" s="146"/>
    </row>
    <row r="315" spans="1:256" ht="14.1" customHeight="1" x14ac:dyDescent="0.2">
      <c r="A315" s="266">
        <v>8</v>
      </c>
      <c r="B315" s="145"/>
      <c r="C315" s="113" t="str">
        <f t="shared" si="8"/>
        <v>---</v>
      </c>
      <c r="D315" s="113">
        <f t="shared" si="8"/>
        <v>0</v>
      </c>
      <c r="E315" s="114">
        <f t="shared" ca="1" si="10"/>
        <v>0</v>
      </c>
      <c r="F315" s="114">
        <f t="shared" ca="1" si="9"/>
        <v>0</v>
      </c>
      <c r="G315" s="114">
        <f t="shared" ca="1" si="9"/>
        <v>0</v>
      </c>
      <c r="H315" s="114">
        <f t="shared" ca="1" si="9"/>
        <v>0</v>
      </c>
      <c r="I315" s="114">
        <f t="shared" ca="1" si="9"/>
        <v>0</v>
      </c>
      <c r="J315" s="114">
        <f t="shared" ca="1" si="9"/>
        <v>0</v>
      </c>
      <c r="K315" s="114">
        <f t="shared" ca="1" si="9"/>
        <v>0</v>
      </c>
      <c r="L315" s="114">
        <f t="shared" ca="1" si="9"/>
        <v>0</v>
      </c>
      <c r="M315" s="114">
        <f t="shared" ca="1" si="9"/>
        <v>0</v>
      </c>
      <c r="N315" s="114">
        <f t="shared" ca="1" si="9"/>
        <v>0</v>
      </c>
      <c r="O315" s="114">
        <f t="shared" ca="1" si="9"/>
        <v>0</v>
      </c>
      <c r="P315" s="114">
        <f t="shared" ca="1" si="9"/>
        <v>0</v>
      </c>
      <c r="Q315" s="146"/>
    </row>
    <row r="316" spans="1:256" ht="14.1" customHeight="1" x14ac:dyDescent="0.2">
      <c r="A316" s="265">
        <v>9</v>
      </c>
      <c r="B316" s="145"/>
      <c r="C316" s="115" t="str">
        <f t="shared" si="8"/>
        <v>---</v>
      </c>
      <c r="D316" s="115">
        <f t="shared" si="8"/>
        <v>0</v>
      </c>
      <c r="E316" s="117">
        <f t="shared" ca="1" si="10"/>
        <v>0</v>
      </c>
      <c r="F316" s="117">
        <f t="shared" ca="1" si="9"/>
        <v>0</v>
      </c>
      <c r="G316" s="117">
        <f t="shared" ca="1" si="9"/>
        <v>0</v>
      </c>
      <c r="H316" s="117">
        <f t="shared" ca="1" si="9"/>
        <v>0</v>
      </c>
      <c r="I316" s="117">
        <f t="shared" ca="1" si="9"/>
        <v>0</v>
      </c>
      <c r="J316" s="117">
        <f t="shared" ca="1" si="9"/>
        <v>0</v>
      </c>
      <c r="K316" s="117">
        <f t="shared" ca="1" si="9"/>
        <v>0</v>
      </c>
      <c r="L316" s="117">
        <f t="shared" ca="1" si="9"/>
        <v>0</v>
      </c>
      <c r="M316" s="117">
        <f t="shared" ca="1" si="9"/>
        <v>0</v>
      </c>
      <c r="N316" s="117">
        <f t="shared" ca="1" si="9"/>
        <v>0</v>
      </c>
      <c r="O316" s="117">
        <f t="shared" ca="1" si="9"/>
        <v>0</v>
      </c>
      <c r="P316" s="117">
        <f t="shared" ca="1" si="9"/>
        <v>0</v>
      </c>
      <c r="Q316" s="146"/>
    </row>
    <row r="317" spans="1:256" ht="14.1" customHeight="1" x14ac:dyDescent="0.2">
      <c r="A317" s="266">
        <v>10</v>
      </c>
      <c r="B317" s="145"/>
      <c r="C317" s="113" t="str">
        <f t="shared" si="8"/>
        <v>---</v>
      </c>
      <c r="D317" s="113">
        <f t="shared" si="8"/>
        <v>0</v>
      </c>
      <c r="E317" s="114">
        <f t="shared" ca="1" si="10"/>
        <v>0</v>
      </c>
      <c r="F317" s="114">
        <f t="shared" ca="1" si="9"/>
        <v>0</v>
      </c>
      <c r="G317" s="114">
        <f t="shared" ca="1" si="9"/>
        <v>0</v>
      </c>
      <c r="H317" s="114">
        <f t="shared" ca="1" si="9"/>
        <v>0</v>
      </c>
      <c r="I317" s="114">
        <f t="shared" ca="1" si="9"/>
        <v>0</v>
      </c>
      <c r="J317" s="114">
        <f t="shared" ca="1" si="9"/>
        <v>0</v>
      </c>
      <c r="K317" s="114">
        <f t="shared" ca="1" si="9"/>
        <v>0</v>
      </c>
      <c r="L317" s="114">
        <f t="shared" ca="1" si="9"/>
        <v>0</v>
      </c>
      <c r="M317" s="114">
        <f t="shared" ca="1" si="9"/>
        <v>0</v>
      </c>
      <c r="N317" s="114">
        <f t="shared" ca="1" si="9"/>
        <v>0</v>
      </c>
      <c r="O317" s="114">
        <f t="shared" ca="1" si="9"/>
        <v>0</v>
      </c>
      <c r="P317" s="114">
        <f t="shared" ca="1" si="9"/>
        <v>0</v>
      </c>
      <c r="Q317" s="146"/>
    </row>
    <row r="318" spans="1:256" ht="14.1" customHeight="1" x14ac:dyDescent="0.2">
      <c r="A318" s="265">
        <v>11</v>
      </c>
      <c r="B318" s="145"/>
      <c r="C318" s="115" t="str">
        <f t="shared" si="8"/>
        <v>---</v>
      </c>
      <c r="D318" s="115">
        <f t="shared" si="8"/>
        <v>0</v>
      </c>
      <c r="E318" s="117">
        <f t="shared" ca="1" si="10"/>
        <v>0</v>
      </c>
      <c r="F318" s="117">
        <f t="shared" ca="1" si="9"/>
        <v>0</v>
      </c>
      <c r="G318" s="117">
        <f t="shared" ca="1" si="9"/>
        <v>0</v>
      </c>
      <c r="H318" s="117">
        <f t="shared" ca="1" si="9"/>
        <v>0</v>
      </c>
      <c r="I318" s="117">
        <f t="shared" ca="1" si="9"/>
        <v>0</v>
      </c>
      <c r="J318" s="117">
        <f t="shared" ca="1" si="9"/>
        <v>0</v>
      </c>
      <c r="K318" s="117">
        <f t="shared" ca="1" si="9"/>
        <v>0</v>
      </c>
      <c r="L318" s="117">
        <f t="shared" ca="1" si="9"/>
        <v>0</v>
      </c>
      <c r="M318" s="117">
        <f t="shared" ca="1" si="9"/>
        <v>0</v>
      </c>
      <c r="N318" s="117">
        <f t="shared" ca="1" si="9"/>
        <v>0</v>
      </c>
      <c r="O318" s="117">
        <f t="shared" ca="1" si="9"/>
        <v>0</v>
      </c>
      <c r="P318" s="117">
        <f t="shared" ca="1" si="9"/>
        <v>0</v>
      </c>
      <c r="Q318" s="146"/>
    </row>
    <row r="319" spans="1:256" ht="14.1" customHeight="1" x14ac:dyDescent="0.2">
      <c r="A319" s="266">
        <v>12</v>
      </c>
      <c r="B319" s="147"/>
      <c r="C319" s="113" t="str">
        <f t="shared" si="8"/>
        <v>---</v>
      </c>
      <c r="D319" s="113">
        <f t="shared" si="8"/>
        <v>0</v>
      </c>
      <c r="E319" s="114">
        <f t="shared" ca="1" si="10"/>
        <v>0</v>
      </c>
      <c r="F319" s="114">
        <f t="shared" ca="1" si="9"/>
        <v>0</v>
      </c>
      <c r="G319" s="114">
        <f t="shared" ca="1" si="9"/>
        <v>0</v>
      </c>
      <c r="H319" s="114">
        <f t="shared" ca="1" si="9"/>
        <v>0</v>
      </c>
      <c r="I319" s="114">
        <f t="shared" ca="1" si="9"/>
        <v>0</v>
      </c>
      <c r="J319" s="114">
        <f t="shared" ca="1" si="9"/>
        <v>0</v>
      </c>
      <c r="K319" s="114">
        <f t="shared" ca="1" si="9"/>
        <v>0</v>
      </c>
      <c r="L319" s="114">
        <f t="shared" ca="1" si="9"/>
        <v>0</v>
      </c>
      <c r="M319" s="114">
        <f t="shared" ca="1" si="9"/>
        <v>0</v>
      </c>
      <c r="N319" s="114">
        <f t="shared" ca="1" si="9"/>
        <v>0</v>
      </c>
      <c r="O319" s="114">
        <f t="shared" ca="1" si="9"/>
        <v>0</v>
      </c>
      <c r="P319" s="114">
        <f t="shared" ca="1" si="9"/>
        <v>0</v>
      </c>
      <c r="Q319" s="148"/>
    </row>
    <row r="320" spans="1:256" ht="14.1" customHeight="1" x14ac:dyDescent="0.2">
      <c r="B320" s="217"/>
      <c r="C320" s="20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8"/>
    </row>
    <row r="321" spans="2:17" ht="14.1" customHeight="1" x14ac:dyDescent="0.2">
      <c r="B321" s="217"/>
      <c r="C321" s="20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8"/>
    </row>
    <row r="322" spans="2:17" ht="14.1" customHeight="1" x14ac:dyDescent="0.2">
      <c r="B322" s="217"/>
      <c r="C322" s="20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8"/>
    </row>
    <row r="323" spans="2:17" ht="14.1" customHeight="1" x14ac:dyDescent="0.2">
      <c r="B323" s="217"/>
      <c r="C323" s="20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8"/>
    </row>
    <row r="324" spans="2:17" ht="14.1" customHeight="1" x14ac:dyDescent="0.2">
      <c r="B324" s="217"/>
      <c r="C324" s="20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8"/>
    </row>
    <row r="325" spans="2:17" ht="14.1" customHeight="1" x14ac:dyDescent="0.2">
      <c r="B325" s="217"/>
      <c r="C325" s="20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8"/>
    </row>
    <row r="326" spans="2:17" ht="14.1" customHeight="1" x14ac:dyDescent="0.2">
      <c r="B326" s="217"/>
      <c r="C326" s="20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8"/>
    </row>
    <row r="327" spans="2:17" ht="14.1" customHeight="1" x14ac:dyDescent="0.2">
      <c r="B327" s="217"/>
      <c r="C327" s="20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8"/>
    </row>
    <row r="328" spans="2:17" ht="14.1" customHeight="1" x14ac:dyDescent="0.2">
      <c r="B328" s="217"/>
      <c r="C328" s="20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8"/>
    </row>
    <row r="329" spans="2:17" ht="14.1" customHeight="1" x14ac:dyDescent="0.2">
      <c r="B329" s="217"/>
      <c r="C329" s="20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8"/>
    </row>
    <row r="330" spans="2:17" ht="14.1" customHeight="1" x14ac:dyDescent="0.2">
      <c r="B330" s="217"/>
      <c r="C330" s="20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8"/>
    </row>
    <row r="331" spans="2:17" ht="14.1" customHeight="1" x14ac:dyDescent="0.2">
      <c r="B331" s="217"/>
      <c r="C331" s="20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8"/>
    </row>
    <row r="332" spans="2:17" ht="14.1" customHeight="1" x14ac:dyDescent="0.2">
      <c r="B332" s="217"/>
      <c r="C332" s="20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8"/>
    </row>
    <row r="333" spans="2:17" ht="14.1" customHeight="1" x14ac:dyDescent="0.2">
      <c r="B333" s="217"/>
      <c r="C333" s="20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8"/>
    </row>
    <row r="334" spans="2:17" ht="14.1" customHeight="1" x14ac:dyDescent="0.2">
      <c r="B334" s="217"/>
      <c r="C334" s="20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8"/>
    </row>
    <row r="335" spans="2:17" ht="14.1" customHeight="1" x14ac:dyDescent="0.2">
      <c r="B335" s="217"/>
      <c r="C335" s="20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8"/>
    </row>
    <row r="336" spans="2:17" ht="14.1" customHeight="1" x14ac:dyDescent="0.2">
      <c r="B336" s="217"/>
      <c r="C336" s="20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8"/>
    </row>
    <row r="337" spans="1:256" ht="14.1" customHeight="1" x14ac:dyDescent="0.2">
      <c r="B337" s="217"/>
      <c r="C337" s="20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8"/>
    </row>
    <row r="338" spans="1:256" ht="14.1" customHeight="1" x14ac:dyDescent="0.2">
      <c r="B338" s="217"/>
      <c r="C338" s="20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8"/>
    </row>
    <row r="339" spans="1:256" ht="14.1" customHeight="1" x14ac:dyDescent="0.2">
      <c r="B339" s="217"/>
      <c r="C339" s="20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8"/>
    </row>
    <row r="340" spans="1:256" ht="14.1" customHeight="1" x14ac:dyDescent="0.2">
      <c r="B340" s="217"/>
      <c r="C340" s="20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8"/>
    </row>
    <row r="341" spans="1:256" ht="14.1" customHeight="1" x14ac:dyDescent="0.2">
      <c r="B341" s="219"/>
      <c r="C341" s="220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2"/>
    </row>
    <row r="342" spans="1:256" ht="14.1" customHeight="1" x14ac:dyDescent="0.2"/>
    <row r="343" spans="1:256" ht="14.1" customHeight="1" x14ac:dyDescent="0.2"/>
    <row r="344" spans="1:256" ht="14.1" customHeight="1" x14ac:dyDescent="0.2">
      <c r="B344" s="201"/>
      <c r="C344" s="202"/>
      <c r="D344" s="202"/>
      <c r="E344" s="202"/>
      <c r="F344" s="202"/>
      <c r="G344" s="202"/>
      <c r="H344" s="202"/>
      <c r="I344" s="202"/>
      <c r="J344" s="202"/>
      <c r="K344" s="202"/>
      <c r="L344" s="202"/>
      <c r="M344" s="202"/>
      <c r="N344" s="202"/>
      <c r="O344" s="202"/>
      <c r="P344" s="202"/>
      <c r="Q344" s="203"/>
    </row>
    <row r="345" spans="1:256" ht="14.1" customHeight="1" x14ac:dyDescent="0.2">
      <c r="B345" s="204"/>
      <c r="C345" s="277" t="s">
        <v>90</v>
      </c>
      <c r="D345" s="277"/>
      <c r="E345" s="277"/>
      <c r="F345" s="277"/>
      <c r="G345" s="277"/>
      <c r="H345" s="277"/>
      <c r="I345" s="277"/>
      <c r="J345" s="277"/>
      <c r="K345" s="277"/>
      <c r="L345" s="277"/>
      <c r="M345" s="277"/>
      <c r="N345" s="277"/>
      <c r="O345" s="277"/>
      <c r="P345" s="277"/>
      <c r="Q345" s="205"/>
    </row>
    <row r="346" spans="1:256" s="9" customFormat="1" ht="14.1" customHeight="1" x14ac:dyDescent="0.2">
      <c r="A346" s="248"/>
      <c r="B346" s="204"/>
      <c r="C346" s="277"/>
      <c r="D346" s="277"/>
      <c r="E346" s="277"/>
      <c r="F346" s="277"/>
      <c r="G346" s="277"/>
      <c r="H346" s="277"/>
      <c r="I346" s="277"/>
      <c r="J346" s="277"/>
      <c r="K346" s="277"/>
      <c r="L346" s="277"/>
      <c r="M346" s="277"/>
      <c r="N346" s="277"/>
      <c r="O346" s="277"/>
      <c r="P346" s="277"/>
      <c r="Q346" s="205"/>
      <c r="R346" s="1"/>
      <c r="HP346" s="1"/>
      <c r="HQ346" s="1"/>
      <c r="HR346" s="1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</row>
    <row r="347" spans="1:256" ht="14.1" customHeight="1" x14ac:dyDescent="0.2">
      <c r="B347" s="46"/>
      <c r="C347" s="278" t="s">
        <v>94</v>
      </c>
      <c r="D347" s="280" t="s">
        <v>5</v>
      </c>
      <c r="E347" s="282" t="s">
        <v>89</v>
      </c>
      <c r="F347" s="282"/>
      <c r="G347" s="282"/>
      <c r="H347" s="282"/>
      <c r="I347" s="282"/>
      <c r="J347" s="282"/>
      <c r="K347" s="282"/>
      <c r="L347" s="282"/>
      <c r="M347" s="282"/>
      <c r="N347" s="282"/>
      <c r="O347" s="282"/>
      <c r="P347" s="276"/>
      <c r="Q347" s="205"/>
    </row>
    <row r="348" spans="1:256" ht="14.1" customHeight="1" x14ac:dyDescent="0.2">
      <c r="B348" s="44"/>
      <c r="C348" s="279"/>
      <c r="D348" s="281"/>
      <c r="E348" s="200" t="s">
        <v>7</v>
      </c>
      <c r="F348" s="200" t="s">
        <v>8</v>
      </c>
      <c r="G348" s="200" t="s">
        <v>9</v>
      </c>
      <c r="H348" s="200" t="s">
        <v>10</v>
      </c>
      <c r="I348" s="200" t="s">
        <v>11</v>
      </c>
      <c r="J348" s="200" t="s">
        <v>12</v>
      </c>
      <c r="K348" s="200" t="s">
        <v>13</v>
      </c>
      <c r="L348" s="200" t="s">
        <v>14</v>
      </c>
      <c r="M348" s="200" t="s">
        <v>15</v>
      </c>
      <c r="N348" s="200" t="s">
        <v>16</v>
      </c>
      <c r="O348" s="200" t="s">
        <v>17</v>
      </c>
      <c r="P348" s="200" t="s">
        <v>18</v>
      </c>
      <c r="Q348" s="208"/>
    </row>
    <row r="349" spans="1:256" ht="14.1" customHeight="1" x14ac:dyDescent="0.2">
      <c r="A349" s="265">
        <v>1</v>
      </c>
      <c r="B349" s="145"/>
      <c r="C349" s="115">
        <f t="shared" ref="C349:D360" si="11">C308</f>
        <v>0</v>
      </c>
      <c r="D349" s="115" t="str">
        <f t="shared" si="11"/>
        <v>CONTA CORRENTE BANCO 1</v>
      </c>
      <c r="E349" s="206">
        <f ca="1">INDIRECT("M"&amp;COLUMN()-4&amp;"!G"&amp;28+$A349-1)</f>
        <v>0</v>
      </c>
      <c r="F349" s="206">
        <f t="shared" ref="F349:P360" ca="1" si="12">INDIRECT("M"&amp;COLUMN()-4&amp;"!G"&amp;28+$A349-1)</f>
        <v>0</v>
      </c>
      <c r="G349" s="206">
        <f t="shared" ca="1" si="12"/>
        <v>0</v>
      </c>
      <c r="H349" s="206">
        <f t="shared" ca="1" si="12"/>
        <v>0</v>
      </c>
      <c r="I349" s="206">
        <f t="shared" ca="1" si="12"/>
        <v>0</v>
      </c>
      <c r="J349" s="206">
        <f t="shared" ca="1" si="12"/>
        <v>0</v>
      </c>
      <c r="K349" s="206">
        <f t="shared" ca="1" si="12"/>
        <v>0</v>
      </c>
      <c r="L349" s="206">
        <f t="shared" ca="1" si="12"/>
        <v>0</v>
      </c>
      <c r="M349" s="206">
        <f t="shared" ca="1" si="12"/>
        <v>0</v>
      </c>
      <c r="N349" s="206">
        <f t="shared" ca="1" si="12"/>
        <v>0</v>
      </c>
      <c r="O349" s="206">
        <f t="shared" ca="1" si="12"/>
        <v>0</v>
      </c>
      <c r="P349" s="206">
        <f t="shared" ca="1" si="12"/>
        <v>0</v>
      </c>
      <c r="Q349" s="146"/>
    </row>
    <row r="350" spans="1:256" ht="14.1" customHeight="1" x14ac:dyDescent="0.2">
      <c r="A350" s="266">
        <v>2</v>
      </c>
      <c r="B350" s="145"/>
      <c r="C350" s="113" t="str">
        <f t="shared" si="11"/>
        <v>INV1</v>
      </c>
      <c r="D350" s="113" t="str">
        <f t="shared" si="11"/>
        <v>POUPANÇA BANCO 1</v>
      </c>
      <c r="E350" s="207">
        <f t="shared" ref="E350:E360" ca="1" si="13">INDIRECT("M"&amp;COLUMN()-4&amp;"!G"&amp;28+$A350-1)</f>
        <v>0</v>
      </c>
      <c r="F350" s="207">
        <f t="shared" ca="1" si="12"/>
        <v>0</v>
      </c>
      <c r="G350" s="207">
        <f t="shared" ca="1" si="12"/>
        <v>0</v>
      </c>
      <c r="H350" s="207">
        <f t="shared" ca="1" si="12"/>
        <v>0</v>
      </c>
      <c r="I350" s="207">
        <f t="shared" ca="1" si="12"/>
        <v>0</v>
      </c>
      <c r="J350" s="207">
        <f t="shared" ca="1" si="12"/>
        <v>0</v>
      </c>
      <c r="K350" s="207">
        <f t="shared" ca="1" si="12"/>
        <v>0</v>
      </c>
      <c r="L350" s="207">
        <f t="shared" ca="1" si="12"/>
        <v>0</v>
      </c>
      <c r="M350" s="207">
        <f t="shared" ca="1" si="12"/>
        <v>0</v>
      </c>
      <c r="N350" s="207">
        <f t="shared" ca="1" si="12"/>
        <v>0</v>
      </c>
      <c r="O350" s="207">
        <f t="shared" ca="1" si="12"/>
        <v>0</v>
      </c>
      <c r="P350" s="207">
        <f t="shared" ca="1" si="12"/>
        <v>0</v>
      </c>
      <c r="Q350" s="146"/>
    </row>
    <row r="351" spans="1:256" ht="14.1" customHeight="1" x14ac:dyDescent="0.2">
      <c r="A351" s="265">
        <v>3</v>
      </c>
      <c r="B351" s="145"/>
      <c r="C351" s="115" t="str">
        <f t="shared" si="11"/>
        <v>DINH1</v>
      </c>
      <c r="D351" s="115" t="str">
        <f t="shared" si="11"/>
        <v>EM ESPÉCIE</v>
      </c>
      <c r="E351" s="206">
        <f t="shared" ca="1" si="13"/>
        <v>0</v>
      </c>
      <c r="F351" s="206">
        <f t="shared" ca="1" si="12"/>
        <v>0</v>
      </c>
      <c r="G351" s="206">
        <f t="shared" ca="1" si="12"/>
        <v>0</v>
      </c>
      <c r="H351" s="206">
        <f t="shared" ca="1" si="12"/>
        <v>0</v>
      </c>
      <c r="I351" s="206">
        <f t="shared" ca="1" si="12"/>
        <v>0</v>
      </c>
      <c r="J351" s="206">
        <f t="shared" ca="1" si="12"/>
        <v>0</v>
      </c>
      <c r="K351" s="206">
        <f t="shared" ca="1" si="12"/>
        <v>0</v>
      </c>
      <c r="L351" s="206">
        <f t="shared" ca="1" si="12"/>
        <v>0</v>
      </c>
      <c r="M351" s="206">
        <f t="shared" ca="1" si="12"/>
        <v>0</v>
      </c>
      <c r="N351" s="206">
        <f t="shared" ca="1" si="12"/>
        <v>0</v>
      </c>
      <c r="O351" s="206">
        <f t="shared" ca="1" si="12"/>
        <v>0</v>
      </c>
      <c r="P351" s="206">
        <f t="shared" ca="1" si="12"/>
        <v>0</v>
      </c>
      <c r="Q351" s="146"/>
    </row>
    <row r="352" spans="1:256" ht="14.1" customHeight="1" x14ac:dyDescent="0.2">
      <c r="A352" s="266">
        <v>4</v>
      </c>
      <c r="B352" s="145"/>
      <c r="C352" s="113" t="str">
        <f t="shared" si="11"/>
        <v>CRED1</v>
      </c>
      <c r="D352" s="113" t="str">
        <f t="shared" si="11"/>
        <v>CARTÃO DE CRÉDITO 1</v>
      </c>
      <c r="E352" s="207">
        <f t="shared" ca="1" si="13"/>
        <v>0</v>
      </c>
      <c r="F352" s="207">
        <f t="shared" ca="1" si="12"/>
        <v>0</v>
      </c>
      <c r="G352" s="207">
        <f t="shared" ca="1" si="12"/>
        <v>0</v>
      </c>
      <c r="H352" s="207">
        <f t="shared" ca="1" si="12"/>
        <v>0</v>
      </c>
      <c r="I352" s="207">
        <f t="shared" ca="1" si="12"/>
        <v>0</v>
      </c>
      <c r="J352" s="207">
        <f t="shared" ca="1" si="12"/>
        <v>0</v>
      </c>
      <c r="K352" s="207">
        <f t="shared" ca="1" si="12"/>
        <v>0</v>
      </c>
      <c r="L352" s="207">
        <f t="shared" ca="1" si="12"/>
        <v>0</v>
      </c>
      <c r="M352" s="207">
        <f t="shared" ca="1" si="12"/>
        <v>0</v>
      </c>
      <c r="N352" s="207">
        <f t="shared" ca="1" si="12"/>
        <v>0</v>
      </c>
      <c r="O352" s="207">
        <f t="shared" ca="1" si="12"/>
        <v>0</v>
      </c>
      <c r="P352" s="207">
        <f t="shared" ca="1" si="12"/>
        <v>0</v>
      </c>
      <c r="Q352" s="146"/>
    </row>
    <row r="353" spans="1:17" ht="14.1" customHeight="1" x14ac:dyDescent="0.2">
      <c r="A353" s="265">
        <v>5</v>
      </c>
      <c r="B353" s="145"/>
      <c r="C353" s="115" t="str">
        <f t="shared" si="11"/>
        <v>---</v>
      </c>
      <c r="D353" s="115">
        <f t="shared" si="11"/>
        <v>0</v>
      </c>
      <c r="E353" s="206">
        <f t="shared" ca="1" si="13"/>
        <v>0</v>
      </c>
      <c r="F353" s="206">
        <f t="shared" ca="1" si="12"/>
        <v>0</v>
      </c>
      <c r="G353" s="206">
        <f t="shared" ca="1" si="12"/>
        <v>0</v>
      </c>
      <c r="H353" s="206">
        <f t="shared" ca="1" si="12"/>
        <v>0</v>
      </c>
      <c r="I353" s="206">
        <f t="shared" ca="1" si="12"/>
        <v>0</v>
      </c>
      <c r="J353" s="206">
        <f t="shared" ca="1" si="12"/>
        <v>0</v>
      </c>
      <c r="K353" s="206">
        <f t="shared" ca="1" si="12"/>
        <v>0</v>
      </c>
      <c r="L353" s="206">
        <f t="shared" ca="1" si="12"/>
        <v>0</v>
      </c>
      <c r="M353" s="206">
        <f t="shared" ca="1" si="12"/>
        <v>0</v>
      </c>
      <c r="N353" s="206">
        <f t="shared" ca="1" si="12"/>
        <v>0</v>
      </c>
      <c r="O353" s="206">
        <f t="shared" ca="1" si="12"/>
        <v>0</v>
      </c>
      <c r="P353" s="206">
        <f t="shared" ca="1" si="12"/>
        <v>0</v>
      </c>
      <c r="Q353" s="146"/>
    </row>
    <row r="354" spans="1:17" ht="14.1" customHeight="1" x14ac:dyDescent="0.2">
      <c r="A354" s="266">
        <v>6</v>
      </c>
      <c r="B354" s="145"/>
      <c r="C354" s="113" t="str">
        <f t="shared" si="11"/>
        <v>---</v>
      </c>
      <c r="D354" s="113">
        <f t="shared" si="11"/>
        <v>0</v>
      </c>
      <c r="E354" s="207">
        <f t="shared" ca="1" si="13"/>
        <v>0</v>
      </c>
      <c r="F354" s="207">
        <f t="shared" ca="1" si="12"/>
        <v>0</v>
      </c>
      <c r="G354" s="207">
        <f t="shared" ca="1" si="12"/>
        <v>0</v>
      </c>
      <c r="H354" s="207">
        <f t="shared" ca="1" si="12"/>
        <v>0</v>
      </c>
      <c r="I354" s="207">
        <f t="shared" ca="1" si="12"/>
        <v>0</v>
      </c>
      <c r="J354" s="207">
        <f t="shared" ca="1" si="12"/>
        <v>0</v>
      </c>
      <c r="K354" s="207">
        <f t="shared" ca="1" si="12"/>
        <v>0</v>
      </c>
      <c r="L354" s="207">
        <f t="shared" ca="1" si="12"/>
        <v>0</v>
      </c>
      <c r="M354" s="207">
        <f t="shared" ca="1" si="12"/>
        <v>0</v>
      </c>
      <c r="N354" s="207">
        <f t="shared" ca="1" si="12"/>
        <v>0</v>
      </c>
      <c r="O354" s="207">
        <f t="shared" ca="1" si="12"/>
        <v>0</v>
      </c>
      <c r="P354" s="207">
        <f t="shared" ca="1" si="12"/>
        <v>0</v>
      </c>
      <c r="Q354" s="146"/>
    </row>
    <row r="355" spans="1:17" ht="14.1" customHeight="1" x14ac:dyDescent="0.2">
      <c r="A355" s="265">
        <v>7</v>
      </c>
      <c r="B355" s="145"/>
      <c r="C355" s="115" t="str">
        <f t="shared" si="11"/>
        <v>---</v>
      </c>
      <c r="D355" s="115">
        <f t="shared" si="11"/>
        <v>0</v>
      </c>
      <c r="E355" s="206">
        <f t="shared" ca="1" si="13"/>
        <v>0</v>
      </c>
      <c r="F355" s="206">
        <f t="shared" ca="1" si="12"/>
        <v>0</v>
      </c>
      <c r="G355" s="206">
        <f t="shared" ca="1" si="12"/>
        <v>0</v>
      </c>
      <c r="H355" s="206">
        <f t="shared" ca="1" si="12"/>
        <v>0</v>
      </c>
      <c r="I355" s="206">
        <f t="shared" ca="1" si="12"/>
        <v>0</v>
      </c>
      <c r="J355" s="206">
        <f t="shared" ca="1" si="12"/>
        <v>0</v>
      </c>
      <c r="K355" s="206">
        <f t="shared" ca="1" si="12"/>
        <v>0</v>
      </c>
      <c r="L355" s="206">
        <f t="shared" ca="1" si="12"/>
        <v>0</v>
      </c>
      <c r="M355" s="206">
        <f t="shared" ca="1" si="12"/>
        <v>0</v>
      </c>
      <c r="N355" s="206">
        <f t="shared" ca="1" si="12"/>
        <v>0</v>
      </c>
      <c r="O355" s="206">
        <f t="shared" ca="1" si="12"/>
        <v>0</v>
      </c>
      <c r="P355" s="206">
        <f t="shared" ca="1" si="12"/>
        <v>0</v>
      </c>
      <c r="Q355" s="146"/>
    </row>
    <row r="356" spans="1:17" ht="14.1" customHeight="1" x14ac:dyDescent="0.2">
      <c r="A356" s="266">
        <v>8</v>
      </c>
      <c r="B356" s="145"/>
      <c r="C356" s="113" t="str">
        <f t="shared" si="11"/>
        <v>---</v>
      </c>
      <c r="D356" s="113">
        <f t="shared" si="11"/>
        <v>0</v>
      </c>
      <c r="E356" s="207">
        <f t="shared" ca="1" si="13"/>
        <v>0</v>
      </c>
      <c r="F356" s="207">
        <f t="shared" ca="1" si="12"/>
        <v>0</v>
      </c>
      <c r="G356" s="207">
        <f t="shared" ca="1" si="12"/>
        <v>0</v>
      </c>
      <c r="H356" s="207">
        <f t="shared" ca="1" si="12"/>
        <v>0</v>
      </c>
      <c r="I356" s="207">
        <f t="shared" ca="1" si="12"/>
        <v>0</v>
      </c>
      <c r="J356" s="207">
        <f t="shared" ca="1" si="12"/>
        <v>0</v>
      </c>
      <c r="K356" s="207">
        <f t="shared" ca="1" si="12"/>
        <v>0</v>
      </c>
      <c r="L356" s="207">
        <f t="shared" ca="1" si="12"/>
        <v>0</v>
      </c>
      <c r="M356" s="207">
        <f t="shared" ca="1" si="12"/>
        <v>0</v>
      </c>
      <c r="N356" s="207">
        <f t="shared" ca="1" si="12"/>
        <v>0</v>
      </c>
      <c r="O356" s="207">
        <f t="shared" ca="1" si="12"/>
        <v>0</v>
      </c>
      <c r="P356" s="207">
        <f t="shared" ca="1" si="12"/>
        <v>0</v>
      </c>
      <c r="Q356" s="146"/>
    </row>
    <row r="357" spans="1:17" ht="14.1" customHeight="1" x14ac:dyDescent="0.2">
      <c r="A357" s="265">
        <v>9</v>
      </c>
      <c r="B357" s="145"/>
      <c r="C357" s="115" t="str">
        <f t="shared" si="11"/>
        <v>---</v>
      </c>
      <c r="D357" s="115">
        <f t="shared" si="11"/>
        <v>0</v>
      </c>
      <c r="E357" s="206">
        <f t="shared" ca="1" si="13"/>
        <v>0</v>
      </c>
      <c r="F357" s="206">
        <f t="shared" ca="1" si="12"/>
        <v>0</v>
      </c>
      <c r="G357" s="206">
        <f t="shared" ca="1" si="12"/>
        <v>0</v>
      </c>
      <c r="H357" s="206">
        <f t="shared" ca="1" si="12"/>
        <v>0</v>
      </c>
      <c r="I357" s="206">
        <f t="shared" ca="1" si="12"/>
        <v>0</v>
      </c>
      <c r="J357" s="206">
        <f t="shared" ca="1" si="12"/>
        <v>0</v>
      </c>
      <c r="K357" s="206">
        <f t="shared" ca="1" si="12"/>
        <v>0</v>
      </c>
      <c r="L357" s="206">
        <f t="shared" ca="1" si="12"/>
        <v>0</v>
      </c>
      <c r="M357" s="206">
        <f t="shared" ca="1" si="12"/>
        <v>0</v>
      </c>
      <c r="N357" s="206">
        <f t="shared" ca="1" si="12"/>
        <v>0</v>
      </c>
      <c r="O357" s="206">
        <f t="shared" ca="1" si="12"/>
        <v>0</v>
      </c>
      <c r="P357" s="206">
        <f t="shared" ca="1" si="12"/>
        <v>0</v>
      </c>
      <c r="Q357" s="146"/>
    </row>
    <row r="358" spans="1:17" ht="14.1" customHeight="1" x14ac:dyDescent="0.2">
      <c r="A358" s="266">
        <v>10</v>
      </c>
      <c r="B358" s="145"/>
      <c r="C358" s="113" t="str">
        <f t="shared" si="11"/>
        <v>---</v>
      </c>
      <c r="D358" s="113">
        <f t="shared" si="11"/>
        <v>0</v>
      </c>
      <c r="E358" s="207">
        <f t="shared" ca="1" si="13"/>
        <v>0</v>
      </c>
      <c r="F358" s="207">
        <f t="shared" ca="1" si="12"/>
        <v>0</v>
      </c>
      <c r="G358" s="207">
        <f t="shared" ca="1" si="12"/>
        <v>0</v>
      </c>
      <c r="H358" s="207">
        <f t="shared" ca="1" si="12"/>
        <v>0</v>
      </c>
      <c r="I358" s="207">
        <f t="shared" ca="1" si="12"/>
        <v>0</v>
      </c>
      <c r="J358" s="207">
        <f t="shared" ca="1" si="12"/>
        <v>0</v>
      </c>
      <c r="K358" s="207">
        <f t="shared" ca="1" si="12"/>
        <v>0</v>
      </c>
      <c r="L358" s="207">
        <f t="shared" ca="1" si="12"/>
        <v>0</v>
      </c>
      <c r="M358" s="207">
        <f t="shared" ca="1" si="12"/>
        <v>0</v>
      </c>
      <c r="N358" s="207">
        <f t="shared" ca="1" si="12"/>
        <v>0</v>
      </c>
      <c r="O358" s="207">
        <f t="shared" ca="1" si="12"/>
        <v>0</v>
      </c>
      <c r="P358" s="207">
        <f t="shared" ca="1" si="12"/>
        <v>0</v>
      </c>
      <c r="Q358" s="146"/>
    </row>
    <row r="359" spans="1:17" ht="14.1" customHeight="1" x14ac:dyDescent="0.2">
      <c r="A359" s="265">
        <v>11</v>
      </c>
      <c r="B359" s="145"/>
      <c r="C359" s="115" t="str">
        <f t="shared" si="11"/>
        <v>---</v>
      </c>
      <c r="D359" s="115">
        <f t="shared" si="11"/>
        <v>0</v>
      </c>
      <c r="E359" s="206">
        <f t="shared" ca="1" si="13"/>
        <v>0</v>
      </c>
      <c r="F359" s="206">
        <f t="shared" ca="1" si="12"/>
        <v>0</v>
      </c>
      <c r="G359" s="206">
        <f t="shared" ca="1" si="12"/>
        <v>0</v>
      </c>
      <c r="H359" s="206">
        <f t="shared" ca="1" si="12"/>
        <v>0</v>
      </c>
      <c r="I359" s="206">
        <f t="shared" ca="1" si="12"/>
        <v>0</v>
      </c>
      <c r="J359" s="206">
        <f t="shared" ca="1" si="12"/>
        <v>0</v>
      </c>
      <c r="K359" s="206">
        <f t="shared" ca="1" si="12"/>
        <v>0</v>
      </c>
      <c r="L359" s="206">
        <f t="shared" ca="1" si="12"/>
        <v>0</v>
      </c>
      <c r="M359" s="206">
        <f t="shared" ca="1" si="12"/>
        <v>0</v>
      </c>
      <c r="N359" s="206">
        <f t="shared" ca="1" si="12"/>
        <v>0</v>
      </c>
      <c r="O359" s="206">
        <f t="shared" ca="1" si="12"/>
        <v>0</v>
      </c>
      <c r="P359" s="206">
        <f t="shared" ca="1" si="12"/>
        <v>0</v>
      </c>
      <c r="Q359" s="146"/>
    </row>
    <row r="360" spans="1:17" ht="14.1" customHeight="1" x14ac:dyDescent="0.2">
      <c r="A360" s="266">
        <v>12</v>
      </c>
      <c r="B360" s="147"/>
      <c r="C360" s="113" t="str">
        <f t="shared" si="11"/>
        <v>---</v>
      </c>
      <c r="D360" s="113">
        <f t="shared" si="11"/>
        <v>0</v>
      </c>
      <c r="E360" s="207">
        <f t="shared" ca="1" si="13"/>
        <v>0</v>
      </c>
      <c r="F360" s="207">
        <f t="shared" ca="1" si="12"/>
        <v>0</v>
      </c>
      <c r="G360" s="207">
        <f t="shared" ca="1" si="12"/>
        <v>0</v>
      </c>
      <c r="H360" s="207">
        <f t="shared" ca="1" si="12"/>
        <v>0</v>
      </c>
      <c r="I360" s="207">
        <f t="shared" ca="1" si="12"/>
        <v>0</v>
      </c>
      <c r="J360" s="207">
        <f t="shared" ca="1" si="12"/>
        <v>0</v>
      </c>
      <c r="K360" s="207">
        <f t="shared" ca="1" si="12"/>
        <v>0</v>
      </c>
      <c r="L360" s="207">
        <f t="shared" ca="1" si="12"/>
        <v>0</v>
      </c>
      <c r="M360" s="207">
        <f t="shared" ca="1" si="12"/>
        <v>0</v>
      </c>
      <c r="N360" s="207">
        <f t="shared" ca="1" si="12"/>
        <v>0</v>
      </c>
      <c r="O360" s="207">
        <f t="shared" ca="1" si="12"/>
        <v>0</v>
      </c>
      <c r="P360" s="207">
        <f t="shared" ca="1" si="12"/>
        <v>0</v>
      </c>
      <c r="Q360" s="148"/>
    </row>
    <row r="361" spans="1:17" ht="14.1" customHeight="1" x14ac:dyDescent="0.2">
      <c r="B361" s="201"/>
      <c r="C361" s="202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3"/>
    </row>
    <row r="362" spans="1:17" ht="14.1" customHeight="1" x14ac:dyDescent="0.2">
      <c r="B362" s="210"/>
      <c r="C362" s="22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11"/>
    </row>
    <row r="363" spans="1:17" ht="14.1" customHeight="1" x14ac:dyDescent="0.2">
      <c r="B363" s="210"/>
      <c r="C363" s="22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11"/>
    </row>
    <row r="364" spans="1:17" ht="14.1" customHeight="1" x14ac:dyDescent="0.2">
      <c r="B364" s="210"/>
      <c r="C364" s="22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11"/>
    </row>
    <row r="365" spans="1:17" ht="14.1" customHeight="1" x14ac:dyDescent="0.2">
      <c r="B365" s="210"/>
      <c r="C365" s="22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11"/>
    </row>
    <row r="366" spans="1:17" ht="14.1" customHeight="1" x14ac:dyDescent="0.2">
      <c r="B366" s="210"/>
      <c r="C366" s="22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11"/>
    </row>
    <row r="367" spans="1:17" ht="14.1" customHeight="1" x14ac:dyDescent="0.2">
      <c r="B367" s="210"/>
      <c r="C367" s="22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11"/>
    </row>
    <row r="368" spans="1:17" ht="14.1" customHeight="1" x14ac:dyDescent="0.2">
      <c r="B368" s="210"/>
      <c r="C368" s="22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11"/>
    </row>
    <row r="369" spans="2:17" ht="14.1" customHeight="1" x14ac:dyDescent="0.2">
      <c r="B369" s="210"/>
      <c r="C369" s="22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11"/>
    </row>
    <row r="370" spans="2:17" ht="14.1" customHeight="1" x14ac:dyDescent="0.2">
      <c r="B370" s="210"/>
      <c r="C370" s="22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11"/>
    </row>
    <row r="371" spans="2:17" ht="14.1" customHeight="1" x14ac:dyDescent="0.2">
      <c r="B371" s="210"/>
      <c r="C371" s="22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11"/>
    </row>
    <row r="372" spans="2:17" ht="14.1" customHeight="1" x14ac:dyDescent="0.2">
      <c r="B372" s="210"/>
      <c r="C372" s="22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11"/>
    </row>
    <row r="373" spans="2:17" ht="14.1" customHeight="1" x14ac:dyDescent="0.2">
      <c r="B373" s="210"/>
      <c r="C373" s="22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11"/>
    </row>
    <row r="374" spans="2:17" ht="14.1" customHeight="1" x14ac:dyDescent="0.2">
      <c r="B374" s="210"/>
      <c r="C374" s="22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11"/>
    </row>
    <row r="375" spans="2:17" ht="14.1" customHeight="1" x14ac:dyDescent="0.2">
      <c r="B375" s="210"/>
      <c r="C375" s="22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11"/>
    </row>
    <row r="376" spans="2:17" ht="14.1" customHeight="1" x14ac:dyDescent="0.2">
      <c r="B376" s="210"/>
      <c r="C376" s="22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11"/>
    </row>
    <row r="377" spans="2:17" ht="14.1" customHeight="1" x14ac:dyDescent="0.2">
      <c r="B377" s="210"/>
      <c r="C377" s="22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11"/>
    </row>
    <row r="378" spans="2:17" ht="14.1" customHeight="1" x14ac:dyDescent="0.2">
      <c r="B378" s="210"/>
      <c r="C378" s="22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11"/>
    </row>
    <row r="379" spans="2:17" ht="14.1" customHeight="1" x14ac:dyDescent="0.2">
      <c r="B379" s="210"/>
      <c r="C379" s="22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11"/>
    </row>
    <row r="380" spans="2:17" ht="14.1" customHeight="1" x14ac:dyDescent="0.2">
      <c r="B380" s="210"/>
      <c r="C380" s="22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11"/>
    </row>
    <row r="381" spans="2:17" ht="14.1" customHeight="1" x14ac:dyDescent="0.2">
      <c r="B381" s="210"/>
      <c r="C381" s="22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11"/>
    </row>
    <row r="382" spans="2:17" ht="14.1" customHeight="1" x14ac:dyDescent="0.2">
      <c r="B382" s="210"/>
      <c r="C382" s="22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11"/>
    </row>
    <row r="383" spans="2:17" ht="14.1" customHeight="1" x14ac:dyDescent="0.2">
      <c r="B383" s="210"/>
      <c r="C383" s="22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11"/>
    </row>
    <row r="384" spans="2:17" ht="14.1" customHeight="1" x14ac:dyDescent="0.2">
      <c r="B384" s="210"/>
      <c r="C384" s="22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11"/>
    </row>
    <row r="385" spans="1:256" ht="14.1" customHeight="1" x14ac:dyDescent="0.2">
      <c r="B385" s="210"/>
      <c r="C385" s="22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11"/>
    </row>
    <row r="386" spans="1:256" ht="14.1" customHeight="1" x14ac:dyDescent="0.2">
      <c r="B386" s="210"/>
      <c r="C386" s="22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11"/>
    </row>
    <row r="387" spans="1:256" ht="42.6" customHeight="1" x14ac:dyDescent="0.2">
      <c r="A387" s="155" t="s">
        <v>2</v>
      </c>
      <c r="B387" s="283">
        <f>P$2</f>
        <v>2010</v>
      </c>
      <c r="C387" s="283"/>
      <c r="D387" s="283"/>
      <c r="E387" s="283"/>
      <c r="F387" s="283"/>
      <c r="G387" s="283"/>
      <c r="H387" s="283"/>
      <c r="I387" s="283"/>
      <c r="J387" s="283"/>
      <c r="K387" s="283"/>
      <c r="L387" s="283"/>
      <c r="M387" s="283"/>
      <c r="N387" s="283"/>
      <c r="O387" s="283"/>
      <c r="P387" s="283"/>
      <c r="Q387" s="283"/>
      <c r="R387" s="156"/>
    </row>
    <row r="388" spans="1:256" ht="14.1" customHeight="1" x14ac:dyDescent="0.2"/>
    <row r="389" spans="1:256" ht="14.1" customHeight="1" x14ac:dyDescent="0.2"/>
    <row r="390" spans="1:256" ht="14.1" customHeight="1" x14ac:dyDescent="0.2">
      <c r="B390" s="134"/>
      <c r="C390" s="135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7"/>
    </row>
    <row r="391" spans="1:256" ht="14.1" customHeight="1" x14ac:dyDescent="0.2">
      <c r="B391" s="138"/>
      <c r="C391" s="284" t="s">
        <v>91</v>
      </c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4"/>
      <c r="P391" s="284"/>
      <c r="Q391" s="139"/>
    </row>
    <row r="392" spans="1:256" s="9" customFormat="1" ht="14.1" customHeight="1" x14ac:dyDescent="0.2">
      <c r="A392" s="248"/>
      <c r="B392" s="140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4"/>
      <c r="P392" s="284"/>
      <c r="Q392" s="139"/>
      <c r="R392" s="1"/>
      <c r="HP392" s="1"/>
      <c r="HQ392" s="1"/>
      <c r="HR392" s="1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</row>
    <row r="393" spans="1:256" ht="14.1" customHeight="1" x14ac:dyDescent="0.2">
      <c r="B393" s="46"/>
      <c r="C393" s="271" t="s">
        <v>94</v>
      </c>
      <c r="D393" s="273" t="s">
        <v>5</v>
      </c>
      <c r="E393" s="275" t="s">
        <v>6</v>
      </c>
      <c r="F393" s="275"/>
      <c r="G393" s="275"/>
      <c r="H393" s="275"/>
      <c r="I393" s="275"/>
      <c r="J393" s="275"/>
      <c r="K393" s="275"/>
      <c r="L393" s="275"/>
      <c r="M393" s="275"/>
      <c r="N393" s="275"/>
      <c r="O393" s="275"/>
      <c r="P393" s="276"/>
      <c r="Q393" s="139"/>
    </row>
    <row r="394" spans="1:256" ht="14.1" customHeight="1" x14ac:dyDescent="0.2">
      <c r="B394" s="44"/>
      <c r="C394" s="272"/>
      <c r="D394" s="274"/>
      <c r="E394" s="98" t="s">
        <v>7</v>
      </c>
      <c r="F394" s="98" t="s">
        <v>8</v>
      </c>
      <c r="G394" s="98" t="s">
        <v>9</v>
      </c>
      <c r="H394" s="98" t="s">
        <v>10</v>
      </c>
      <c r="I394" s="98" t="s">
        <v>11</v>
      </c>
      <c r="J394" s="98" t="s">
        <v>12</v>
      </c>
      <c r="K394" s="98" t="s">
        <v>13</v>
      </c>
      <c r="L394" s="98" t="s">
        <v>14</v>
      </c>
      <c r="M394" s="98" t="s">
        <v>15</v>
      </c>
      <c r="N394" s="98" t="s">
        <v>16</v>
      </c>
      <c r="O394" s="98" t="s">
        <v>17</v>
      </c>
      <c r="P394" s="98" t="s">
        <v>18</v>
      </c>
      <c r="Q394" s="144"/>
    </row>
    <row r="395" spans="1:256" ht="14.1" customHeight="1" x14ac:dyDescent="0.2">
      <c r="A395" s="265">
        <v>1</v>
      </c>
      <c r="B395" s="145"/>
      <c r="C395" s="115">
        <f t="shared" ref="C395:P395" si="14">C13</f>
        <v>0</v>
      </c>
      <c r="D395" s="115" t="str">
        <f t="shared" si="14"/>
        <v>CONTA CORRENTE BANCO 1</v>
      </c>
      <c r="E395" s="117">
        <f t="shared" ca="1" si="14"/>
        <v>0</v>
      </c>
      <c r="F395" s="117">
        <f t="shared" ca="1" si="14"/>
        <v>0</v>
      </c>
      <c r="G395" s="117">
        <f t="shared" ca="1" si="14"/>
        <v>0</v>
      </c>
      <c r="H395" s="117">
        <f t="shared" ca="1" si="14"/>
        <v>0</v>
      </c>
      <c r="I395" s="117">
        <f t="shared" ca="1" si="14"/>
        <v>0</v>
      </c>
      <c r="J395" s="117">
        <f t="shared" ca="1" si="14"/>
        <v>0</v>
      </c>
      <c r="K395" s="117">
        <f t="shared" ca="1" si="14"/>
        <v>0</v>
      </c>
      <c r="L395" s="117">
        <f t="shared" ca="1" si="14"/>
        <v>0</v>
      </c>
      <c r="M395" s="117">
        <f t="shared" ca="1" si="14"/>
        <v>0</v>
      </c>
      <c r="N395" s="117">
        <f t="shared" ca="1" si="14"/>
        <v>0</v>
      </c>
      <c r="O395" s="117">
        <f t="shared" ca="1" si="14"/>
        <v>0</v>
      </c>
      <c r="P395" s="117">
        <f t="shared" ca="1" si="14"/>
        <v>0</v>
      </c>
      <c r="Q395" s="146"/>
    </row>
    <row r="396" spans="1:256" ht="14.1" customHeight="1" x14ac:dyDescent="0.2">
      <c r="A396" s="266">
        <v>2</v>
      </c>
      <c r="B396" s="145"/>
      <c r="C396" s="113" t="str">
        <f t="shared" ref="C396:P396" si="15">C14</f>
        <v>INV1</v>
      </c>
      <c r="D396" s="113" t="str">
        <f t="shared" si="15"/>
        <v>POUPANÇA BANCO 1</v>
      </c>
      <c r="E396" s="114">
        <f t="shared" ca="1" si="15"/>
        <v>0</v>
      </c>
      <c r="F396" s="114">
        <f t="shared" ca="1" si="15"/>
        <v>0</v>
      </c>
      <c r="G396" s="114">
        <f t="shared" ca="1" si="15"/>
        <v>0</v>
      </c>
      <c r="H396" s="114">
        <f t="shared" ca="1" si="15"/>
        <v>0</v>
      </c>
      <c r="I396" s="114">
        <f t="shared" ca="1" si="15"/>
        <v>0</v>
      </c>
      <c r="J396" s="114">
        <f t="shared" ca="1" si="15"/>
        <v>0</v>
      </c>
      <c r="K396" s="114">
        <f t="shared" ca="1" si="15"/>
        <v>0</v>
      </c>
      <c r="L396" s="114">
        <f t="shared" ca="1" si="15"/>
        <v>0</v>
      </c>
      <c r="M396" s="114">
        <f t="shared" ca="1" si="15"/>
        <v>0</v>
      </c>
      <c r="N396" s="114">
        <f t="shared" ca="1" si="15"/>
        <v>0</v>
      </c>
      <c r="O396" s="114">
        <f t="shared" ca="1" si="15"/>
        <v>0</v>
      </c>
      <c r="P396" s="114">
        <f t="shared" ca="1" si="15"/>
        <v>0</v>
      </c>
      <c r="Q396" s="146"/>
    </row>
    <row r="397" spans="1:256" ht="14.1" customHeight="1" x14ac:dyDescent="0.2">
      <c r="A397" s="265">
        <v>3</v>
      </c>
      <c r="B397" s="145"/>
      <c r="C397" s="115" t="str">
        <f t="shared" ref="C397:P397" si="16">C15</f>
        <v>DINH1</v>
      </c>
      <c r="D397" s="115" t="str">
        <f t="shared" si="16"/>
        <v>EM ESPÉCIE</v>
      </c>
      <c r="E397" s="117">
        <f t="shared" ca="1" si="16"/>
        <v>0</v>
      </c>
      <c r="F397" s="117">
        <f t="shared" ca="1" si="16"/>
        <v>0</v>
      </c>
      <c r="G397" s="117">
        <f t="shared" ca="1" si="16"/>
        <v>0</v>
      </c>
      <c r="H397" s="117">
        <f t="shared" ca="1" si="16"/>
        <v>0</v>
      </c>
      <c r="I397" s="117">
        <f t="shared" ca="1" si="16"/>
        <v>0</v>
      </c>
      <c r="J397" s="117">
        <f t="shared" ca="1" si="16"/>
        <v>0</v>
      </c>
      <c r="K397" s="117">
        <f t="shared" ca="1" si="16"/>
        <v>0</v>
      </c>
      <c r="L397" s="117">
        <f t="shared" ca="1" si="16"/>
        <v>0</v>
      </c>
      <c r="M397" s="117">
        <f t="shared" ca="1" si="16"/>
        <v>0</v>
      </c>
      <c r="N397" s="117">
        <f t="shared" ca="1" si="16"/>
        <v>0</v>
      </c>
      <c r="O397" s="117">
        <f t="shared" ca="1" si="16"/>
        <v>0</v>
      </c>
      <c r="P397" s="117">
        <f t="shared" ca="1" si="16"/>
        <v>0</v>
      </c>
      <c r="Q397" s="146"/>
    </row>
    <row r="398" spans="1:256" ht="14.1" customHeight="1" x14ac:dyDescent="0.2">
      <c r="A398" s="266">
        <v>4</v>
      </c>
      <c r="B398" s="145"/>
      <c r="C398" s="113" t="str">
        <f t="shared" ref="C398:P398" si="17">C16</f>
        <v>CRED1</v>
      </c>
      <c r="D398" s="113" t="str">
        <f t="shared" si="17"/>
        <v>CARTÃO DE CRÉDITO 1</v>
      </c>
      <c r="E398" s="114">
        <f t="shared" ca="1" si="17"/>
        <v>0</v>
      </c>
      <c r="F398" s="114">
        <f t="shared" ca="1" si="17"/>
        <v>0</v>
      </c>
      <c r="G398" s="114">
        <f t="shared" ca="1" si="17"/>
        <v>0</v>
      </c>
      <c r="H398" s="114">
        <f t="shared" ca="1" si="17"/>
        <v>0</v>
      </c>
      <c r="I398" s="114">
        <f t="shared" ca="1" si="17"/>
        <v>0</v>
      </c>
      <c r="J398" s="114">
        <f t="shared" ca="1" si="17"/>
        <v>0</v>
      </c>
      <c r="K398" s="114">
        <f t="shared" ca="1" si="17"/>
        <v>0</v>
      </c>
      <c r="L398" s="114">
        <f t="shared" ca="1" si="17"/>
        <v>0</v>
      </c>
      <c r="M398" s="114">
        <f t="shared" ca="1" si="17"/>
        <v>0</v>
      </c>
      <c r="N398" s="114">
        <f t="shared" ca="1" si="17"/>
        <v>0</v>
      </c>
      <c r="O398" s="114">
        <f t="shared" ca="1" si="17"/>
        <v>0</v>
      </c>
      <c r="P398" s="114">
        <f t="shared" ca="1" si="17"/>
        <v>0</v>
      </c>
      <c r="Q398" s="146"/>
    </row>
    <row r="399" spans="1:256" ht="14.1" customHeight="1" x14ac:dyDescent="0.2">
      <c r="A399" s="265">
        <v>5</v>
      </c>
      <c r="B399" s="145"/>
      <c r="C399" s="115" t="str">
        <f t="shared" ref="C399:P399" si="18">C17</f>
        <v>---</v>
      </c>
      <c r="D399" s="115">
        <f t="shared" si="18"/>
        <v>0</v>
      </c>
      <c r="E399" s="117">
        <f t="shared" ca="1" si="18"/>
        <v>0</v>
      </c>
      <c r="F399" s="117">
        <f t="shared" ca="1" si="18"/>
        <v>0</v>
      </c>
      <c r="G399" s="117">
        <f t="shared" ca="1" si="18"/>
        <v>0</v>
      </c>
      <c r="H399" s="117">
        <f t="shared" ca="1" si="18"/>
        <v>0</v>
      </c>
      <c r="I399" s="117">
        <f t="shared" ca="1" si="18"/>
        <v>0</v>
      </c>
      <c r="J399" s="117">
        <f t="shared" ca="1" si="18"/>
        <v>0</v>
      </c>
      <c r="K399" s="117">
        <f t="shared" ca="1" si="18"/>
        <v>0</v>
      </c>
      <c r="L399" s="117">
        <f t="shared" ca="1" si="18"/>
        <v>0</v>
      </c>
      <c r="M399" s="117">
        <f t="shared" ca="1" si="18"/>
        <v>0</v>
      </c>
      <c r="N399" s="117">
        <f t="shared" ca="1" si="18"/>
        <v>0</v>
      </c>
      <c r="O399" s="117">
        <f t="shared" ca="1" si="18"/>
        <v>0</v>
      </c>
      <c r="P399" s="117">
        <f t="shared" ca="1" si="18"/>
        <v>0</v>
      </c>
      <c r="Q399" s="146"/>
    </row>
    <row r="400" spans="1:256" ht="14.1" customHeight="1" x14ac:dyDescent="0.2">
      <c r="A400" s="266">
        <v>6</v>
      </c>
      <c r="B400" s="145"/>
      <c r="C400" s="113" t="str">
        <f t="shared" ref="C400:P400" si="19">C18</f>
        <v>---</v>
      </c>
      <c r="D400" s="113">
        <f t="shared" si="19"/>
        <v>0</v>
      </c>
      <c r="E400" s="114">
        <f t="shared" ca="1" si="19"/>
        <v>0</v>
      </c>
      <c r="F400" s="114">
        <f t="shared" ca="1" si="19"/>
        <v>0</v>
      </c>
      <c r="G400" s="114">
        <f t="shared" ca="1" si="19"/>
        <v>0</v>
      </c>
      <c r="H400" s="114">
        <f t="shared" ca="1" si="19"/>
        <v>0</v>
      </c>
      <c r="I400" s="114">
        <f t="shared" ca="1" si="19"/>
        <v>0</v>
      </c>
      <c r="J400" s="114">
        <f t="shared" ca="1" si="19"/>
        <v>0</v>
      </c>
      <c r="K400" s="114">
        <f t="shared" ca="1" si="19"/>
        <v>0</v>
      </c>
      <c r="L400" s="114">
        <f t="shared" ca="1" si="19"/>
        <v>0</v>
      </c>
      <c r="M400" s="114">
        <f t="shared" ca="1" si="19"/>
        <v>0</v>
      </c>
      <c r="N400" s="114">
        <f t="shared" ca="1" si="19"/>
        <v>0</v>
      </c>
      <c r="O400" s="114">
        <f t="shared" ca="1" si="19"/>
        <v>0</v>
      </c>
      <c r="P400" s="114">
        <f t="shared" ca="1" si="19"/>
        <v>0</v>
      </c>
      <c r="Q400" s="146"/>
    </row>
    <row r="401" spans="1:17" ht="14.1" customHeight="1" x14ac:dyDescent="0.2">
      <c r="A401" s="265">
        <v>7</v>
      </c>
      <c r="B401" s="145"/>
      <c r="C401" s="115" t="str">
        <f t="shared" ref="C401:P401" si="20">C19</f>
        <v>---</v>
      </c>
      <c r="D401" s="115">
        <f t="shared" si="20"/>
        <v>0</v>
      </c>
      <c r="E401" s="117">
        <f t="shared" ca="1" si="20"/>
        <v>0</v>
      </c>
      <c r="F401" s="117">
        <f t="shared" ca="1" si="20"/>
        <v>0</v>
      </c>
      <c r="G401" s="117">
        <f t="shared" ca="1" si="20"/>
        <v>0</v>
      </c>
      <c r="H401" s="117">
        <f t="shared" ca="1" si="20"/>
        <v>0</v>
      </c>
      <c r="I401" s="117">
        <f t="shared" ca="1" si="20"/>
        <v>0</v>
      </c>
      <c r="J401" s="117">
        <f t="shared" ca="1" si="20"/>
        <v>0</v>
      </c>
      <c r="K401" s="117">
        <f t="shared" ca="1" si="20"/>
        <v>0</v>
      </c>
      <c r="L401" s="117">
        <f t="shared" ca="1" si="20"/>
        <v>0</v>
      </c>
      <c r="M401" s="117">
        <f t="shared" ca="1" si="20"/>
        <v>0</v>
      </c>
      <c r="N401" s="117">
        <f t="shared" ca="1" si="20"/>
        <v>0</v>
      </c>
      <c r="O401" s="117">
        <f t="shared" ca="1" si="20"/>
        <v>0</v>
      </c>
      <c r="P401" s="117">
        <f t="shared" ca="1" si="20"/>
        <v>0</v>
      </c>
      <c r="Q401" s="146"/>
    </row>
    <row r="402" spans="1:17" ht="14.1" customHeight="1" x14ac:dyDescent="0.2">
      <c r="A402" s="266">
        <v>8</v>
      </c>
      <c r="B402" s="145"/>
      <c r="C402" s="113" t="str">
        <f t="shared" ref="C402:P402" si="21">C20</f>
        <v>---</v>
      </c>
      <c r="D402" s="113">
        <f t="shared" si="21"/>
        <v>0</v>
      </c>
      <c r="E402" s="114">
        <f t="shared" ca="1" si="21"/>
        <v>0</v>
      </c>
      <c r="F402" s="114">
        <f t="shared" ca="1" si="21"/>
        <v>0</v>
      </c>
      <c r="G402" s="114">
        <f t="shared" ca="1" si="21"/>
        <v>0</v>
      </c>
      <c r="H402" s="114">
        <f t="shared" ca="1" si="21"/>
        <v>0</v>
      </c>
      <c r="I402" s="114">
        <f t="shared" ca="1" si="21"/>
        <v>0</v>
      </c>
      <c r="J402" s="114">
        <f t="shared" ca="1" si="21"/>
        <v>0</v>
      </c>
      <c r="K402" s="114">
        <f t="shared" ca="1" si="21"/>
        <v>0</v>
      </c>
      <c r="L402" s="114">
        <f t="shared" ca="1" si="21"/>
        <v>0</v>
      </c>
      <c r="M402" s="114">
        <f t="shared" ca="1" si="21"/>
        <v>0</v>
      </c>
      <c r="N402" s="114">
        <f t="shared" ca="1" si="21"/>
        <v>0</v>
      </c>
      <c r="O402" s="114">
        <f t="shared" ca="1" si="21"/>
        <v>0</v>
      </c>
      <c r="P402" s="114">
        <f t="shared" ca="1" si="21"/>
        <v>0</v>
      </c>
      <c r="Q402" s="146"/>
    </row>
    <row r="403" spans="1:17" ht="14.1" customHeight="1" x14ac:dyDescent="0.2">
      <c r="A403" s="265">
        <v>9</v>
      </c>
      <c r="B403" s="145"/>
      <c r="C403" s="115" t="str">
        <f t="shared" ref="C403:P403" si="22">C21</f>
        <v>---</v>
      </c>
      <c r="D403" s="115">
        <f t="shared" si="22"/>
        <v>0</v>
      </c>
      <c r="E403" s="117">
        <f t="shared" ca="1" si="22"/>
        <v>0</v>
      </c>
      <c r="F403" s="117">
        <f t="shared" ca="1" si="22"/>
        <v>0</v>
      </c>
      <c r="G403" s="117">
        <f t="shared" ca="1" si="22"/>
        <v>0</v>
      </c>
      <c r="H403" s="117">
        <f t="shared" ca="1" si="22"/>
        <v>0</v>
      </c>
      <c r="I403" s="117">
        <f t="shared" ca="1" si="22"/>
        <v>0</v>
      </c>
      <c r="J403" s="117">
        <f t="shared" ca="1" si="22"/>
        <v>0</v>
      </c>
      <c r="K403" s="117">
        <f t="shared" ca="1" si="22"/>
        <v>0</v>
      </c>
      <c r="L403" s="117">
        <f t="shared" ca="1" si="22"/>
        <v>0</v>
      </c>
      <c r="M403" s="117">
        <f t="shared" ca="1" si="22"/>
        <v>0</v>
      </c>
      <c r="N403" s="117">
        <f t="shared" ca="1" si="22"/>
        <v>0</v>
      </c>
      <c r="O403" s="117">
        <f t="shared" ca="1" si="22"/>
        <v>0</v>
      </c>
      <c r="P403" s="117">
        <f t="shared" ca="1" si="22"/>
        <v>0</v>
      </c>
      <c r="Q403" s="146"/>
    </row>
    <row r="404" spans="1:17" ht="14.1" customHeight="1" x14ac:dyDescent="0.2">
      <c r="A404" s="266">
        <v>10</v>
      </c>
      <c r="B404" s="145"/>
      <c r="C404" s="113" t="str">
        <f t="shared" ref="C404:P404" si="23">C22</f>
        <v>---</v>
      </c>
      <c r="D404" s="113">
        <f t="shared" si="23"/>
        <v>0</v>
      </c>
      <c r="E404" s="114">
        <f t="shared" ca="1" si="23"/>
        <v>0</v>
      </c>
      <c r="F404" s="114">
        <f t="shared" ca="1" si="23"/>
        <v>0</v>
      </c>
      <c r="G404" s="114">
        <f t="shared" ca="1" si="23"/>
        <v>0</v>
      </c>
      <c r="H404" s="114">
        <f t="shared" ca="1" si="23"/>
        <v>0</v>
      </c>
      <c r="I404" s="114">
        <f t="shared" ca="1" si="23"/>
        <v>0</v>
      </c>
      <c r="J404" s="114">
        <f t="shared" ca="1" si="23"/>
        <v>0</v>
      </c>
      <c r="K404" s="114">
        <f t="shared" ca="1" si="23"/>
        <v>0</v>
      </c>
      <c r="L404" s="114">
        <f t="shared" ca="1" si="23"/>
        <v>0</v>
      </c>
      <c r="M404" s="114">
        <f t="shared" ca="1" si="23"/>
        <v>0</v>
      </c>
      <c r="N404" s="114">
        <f t="shared" ca="1" si="23"/>
        <v>0</v>
      </c>
      <c r="O404" s="114">
        <f t="shared" ca="1" si="23"/>
        <v>0</v>
      </c>
      <c r="P404" s="114">
        <f t="shared" ca="1" si="23"/>
        <v>0</v>
      </c>
      <c r="Q404" s="146"/>
    </row>
    <row r="405" spans="1:17" ht="14.1" customHeight="1" x14ac:dyDescent="0.2">
      <c r="A405" s="265">
        <v>11</v>
      </c>
      <c r="B405" s="145"/>
      <c r="C405" s="115" t="str">
        <f t="shared" ref="C405:P405" si="24">C23</f>
        <v>---</v>
      </c>
      <c r="D405" s="115">
        <f t="shared" si="24"/>
        <v>0</v>
      </c>
      <c r="E405" s="117">
        <f t="shared" ca="1" si="24"/>
        <v>0</v>
      </c>
      <c r="F405" s="117">
        <f t="shared" ca="1" si="24"/>
        <v>0</v>
      </c>
      <c r="G405" s="117">
        <f t="shared" ca="1" si="24"/>
        <v>0</v>
      </c>
      <c r="H405" s="117">
        <f t="shared" ca="1" si="24"/>
        <v>0</v>
      </c>
      <c r="I405" s="117">
        <f t="shared" ca="1" si="24"/>
        <v>0</v>
      </c>
      <c r="J405" s="117">
        <f t="shared" ca="1" si="24"/>
        <v>0</v>
      </c>
      <c r="K405" s="117">
        <f t="shared" ca="1" si="24"/>
        <v>0</v>
      </c>
      <c r="L405" s="117">
        <f t="shared" ca="1" si="24"/>
        <v>0</v>
      </c>
      <c r="M405" s="117">
        <f t="shared" ca="1" si="24"/>
        <v>0</v>
      </c>
      <c r="N405" s="117">
        <f t="shared" ca="1" si="24"/>
        <v>0</v>
      </c>
      <c r="O405" s="117">
        <f t="shared" ca="1" si="24"/>
        <v>0</v>
      </c>
      <c r="P405" s="117">
        <f t="shared" ca="1" si="24"/>
        <v>0</v>
      </c>
      <c r="Q405" s="146"/>
    </row>
    <row r="406" spans="1:17" ht="14.1" customHeight="1" x14ac:dyDescent="0.2">
      <c r="A406" s="266">
        <v>12</v>
      </c>
      <c r="B406" s="147"/>
      <c r="C406" s="113" t="str">
        <f t="shared" ref="C406:P406" si="25">C24</f>
        <v>---</v>
      </c>
      <c r="D406" s="113">
        <f t="shared" si="25"/>
        <v>0</v>
      </c>
      <c r="E406" s="114">
        <f t="shared" ca="1" si="25"/>
        <v>0</v>
      </c>
      <c r="F406" s="114">
        <f t="shared" ca="1" si="25"/>
        <v>0</v>
      </c>
      <c r="G406" s="114">
        <f t="shared" ca="1" si="25"/>
        <v>0</v>
      </c>
      <c r="H406" s="114">
        <f t="shared" ca="1" si="25"/>
        <v>0</v>
      </c>
      <c r="I406" s="114">
        <f t="shared" ca="1" si="25"/>
        <v>0</v>
      </c>
      <c r="J406" s="114">
        <f t="shared" ca="1" si="25"/>
        <v>0</v>
      </c>
      <c r="K406" s="114">
        <f t="shared" ca="1" si="25"/>
        <v>0</v>
      </c>
      <c r="L406" s="114">
        <f t="shared" ca="1" si="25"/>
        <v>0</v>
      </c>
      <c r="M406" s="114">
        <f t="shared" ca="1" si="25"/>
        <v>0</v>
      </c>
      <c r="N406" s="114">
        <f t="shared" ca="1" si="25"/>
        <v>0</v>
      </c>
      <c r="O406" s="114">
        <f t="shared" ca="1" si="25"/>
        <v>0</v>
      </c>
      <c r="P406" s="114">
        <f t="shared" ca="1" si="25"/>
        <v>0</v>
      </c>
      <c r="Q406" s="148"/>
    </row>
    <row r="407" spans="1:17" ht="14.1" customHeight="1" x14ac:dyDescent="0.2">
      <c r="B407" s="138"/>
      <c r="C407" s="10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39"/>
    </row>
    <row r="408" spans="1:17" ht="14.1" customHeight="1" x14ac:dyDescent="0.2">
      <c r="B408" s="138"/>
      <c r="C408" s="10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39"/>
    </row>
    <row r="409" spans="1:17" ht="14.1" customHeight="1" x14ac:dyDescent="0.2">
      <c r="B409" s="138"/>
      <c r="C409" s="10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39"/>
    </row>
    <row r="410" spans="1:17" ht="14.1" customHeight="1" x14ac:dyDescent="0.2">
      <c r="B410" s="138"/>
      <c r="C410" s="10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39"/>
    </row>
    <row r="411" spans="1:17" ht="14.1" customHeight="1" x14ac:dyDescent="0.2">
      <c r="B411" s="138"/>
      <c r="C411" s="10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39"/>
    </row>
    <row r="412" spans="1:17" ht="14.1" customHeight="1" x14ac:dyDescent="0.2">
      <c r="B412" s="138"/>
      <c r="C412" s="10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39"/>
    </row>
    <row r="413" spans="1:17" ht="14.1" customHeight="1" x14ac:dyDescent="0.2">
      <c r="B413" s="138"/>
      <c r="C413" s="10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39"/>
    </row>
    <row r="414" spans="1:17" ht="14.1" customHeight="1" x14ac:dyDescent="0.2">
      <c r="B414" s="138"/>
      <c r="C414" s="10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39"/>
    </row>
    <row r="415" spans="1:17" ht="14.1" customHeight="1" x14ac:dyDescent="0.2">
      <c r="B415" s="138"/>
      <c r="C415" s="10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39"/>
    </row>
    <row r="416" spans="1:17" ht="14.1" customHeight="1" x14ac:dyDescent="0.2">
      <c r="B416" s="138"/>
      <c r="C416" s="10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39"/>
    </row>
    <row r="417" spans="2:17" ht="14.1" customHeight="1" x14ac:dyDescent="0.2">
      <c r="B417" s="138"/>
      <c r="C417" s="10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39"/>
    </row>
    <row r="418" spans="2:17" ht="14.1" customHeight="1" x14ac:dyDescent="0.2">
      <c r="B418" s="138"/>
      <c r="C418" s="10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39"/>
    </row>
    <row r="419" spans="2:17" ht="14.1" customHeight="1" x14ac:dyDescent="0.2">
      <c r="B419" s="138"/>
      <c r="C419" s="10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39"/>
    </row>
    <row r="420" spans="2:17" ht="14.1" customHeight="1" x14ac:dyDescent="0.2">
      <c r="B420" s="138"/>
      <c r="C420" s="10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39"/>
    </row>
    <row r="421" spans="2:17" ht="14.1" customHeight="1" x14ac:dyDescent="0.2">
      <c r="B421" s="138"/>
      <c r="C421" s="10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39"/>
    </row>
    <row r="422" spans="2:17" ht="14.1" customHeight="1" x14ac:dyDescent="0.2">
      <c r="B422" s="138"/>
      <c r="C422" s="10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39"/>
    </row>
    <row r="423" spans="2:17" ht="14.1" customHeight="1" x14ac:dyDescent="0.2">
      <c r="B423" s="138"/>
      <c r="C423" s="10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39"/>
    </row>
    <row r="424" spans="2:17" ht="14.1" customHeight="1" x14ac:dyDescent="0.2">
      <c r="B424" s="138"/>
      <c r="C424" s="10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39"/>
    </row>
    <row r="425" spans="2:17" ht="14.1" customHeight="1" x14ac:dyDescent="0.2">
      <c r="B425" s="138"/>
      <c r="C425" s="10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39"/>
    </row>
    <row r="426" spans="2:17" ht="14.1" customHeight="1" x14ac:dyDescent="0.2">
      <c r="B426" s="138"/>
      <c r="C426" s="10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39"/>
    </row>
    <row r="427" spans="2:17" ht="14.1" customHeight="1" x14ac:dyDescent="0.2">
      <c r="B427" s="138"/>
      <c r="C427" s="10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39"/>
    </row>
    <row r="428" spans="2:17" ht="14.1" customHeight="1" x14ac:dyDescent="0.2">
      <c r="B428" s="138"/>
      <c r="C428" s="10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39"/>
    </row>
    <row r="429" spans="2:17" ht="14.1" customHeight="1" x14ac:dyDescent="0.2">
      <c r="B429" s="138"/>
      <c r="C429" s="10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39"/>
    </row>
    <row r="430" spans="2:17" ht="14.1" customHeight="1" x14ac:dyDescent="0.2">
      <c r="B430" s="138"/>
      <c r="C430" s="10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39"/>
    </row>
    <row r="431" spans="2:17" ht="14.1" customHeight="1" x14ac:dyDescent="0.2">
      <c r="B431" s="138"/>
      <c r="C431" s="10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39"/>
    </row>
    <row r="432" spans="2:17" ht="14.1" customHeight="1" x14ac:dyDescent="0.2">
      <c r="B432" s="138"/>
      <c r="C432" s="10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39"/>
    </row>
    <row r="433" spans="2:17" ht="14.1" customHeight="1" x14ac:dyDescent="0.2">
      <c r="B433" s="138"/>
      <c r="C433" s="10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39"/>
    </row>
    <row r="434" spans="2:17" ht="14.1" customHeight="1" x14ac:dyDescent="0.2">
      <c r="B434" s="138"/>
      <c r="C434" s="10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39"/>
    </row>
    <row r="435" spans="2:17" ht="14.1" customHeight="1" x14ac:dyDescent="0.2">
      <c r="B435" s="138"/>
      <c r="C435" s="10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39"/>
    </row>
    <row r="436" spans="2:17" ht="14.1" customHeight="1" x14ac:dyDescent="0.2">
      <c r="B436" s="138"/>
      <c r="C436" s="10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39"/>
    </row>
    <row r="437" spans="2:17" ht="14.1" customHeight="1" x14ac:dyDescent="0.2">
      <c r="B437" s="138"/>
      <c r="C437" s="10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39"/>
    </row>
    <row r="438" spans="2:17" ht="14.1" customHeight="1" x14ac:dyDescent="0.2">
      <c r="B438" s="138"/>
      <c r="C438" s="10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39"/>
    </row>
    <row r="439" spans="2:17" ht="14.1" customHeight="1" x14ac:dyDescent="0.2">
      <c r="B439" s="138"/>
      <c r="C439" s="10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39"/>
    </row>
    <row r="440" spans="2:17" ht="14.1" customHeight="1" x14ac:dyDescent="0.2">
      <c r="B440" s="138"/>
      <c r="C440" s="10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39"/>
    </row>
    <row r="441" spans="2:17" ht="14.1" customHeight="1" x14ac:dyDescent="0.2">
      <c r="B441" s="138"/>
      <c r="C441" s="10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39"/>
    </row>
    <row r="442" spans="2:17" ht="14.1" customHeight="1" x14ac:dyDescent="0.2">
      <c r="B442" s="138"/>
      <c r="C442" s="10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39"/>
    </row>
    <row r="443" spans="2:17" ht="14.1" customHeight="1" x14ac:dyDescent="0.2">
      <c r="B443" s="138"/>
      <c r="C443" s="10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39"/>
    </row>
    <row r="444" spans="2:17" ht="14.1" customHeight="1" x14ac:dyDescent="0.2">
      <c r="B444" s="138"/>
      <c r="C444" s="10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39"/>
    </row>
    <row r="445" spans="2:17" ht="14.1" customHeight="1" x14ac:dyDescent="0.2">
      <c r="B445" s="138"/>
      <c r="C445" s="10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39"/>
    </row>
    <row r="446" spans="2:17" ht="14.1" customHeight="1" x14ac:dyDescent="0.2">
      <c r="B446" s="138"/>
      <c r="C446" s="10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39"/>
    </row>
    <row r="447" spans="2:17" ht="14.1" customHeight="1" x14ac:dyDescent="0.2">
      <c r="B447" s="138"/>
      <c r="C447" s="10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39"/>
    </row>
    <row r="448" spans="2:17" ht="14.1" customHeight="1" x14ac:dyDescent="0.2">
      <c r="B448" s="138"/>
      <c r="C448" s="10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39"/>
    </row>
    <row r="449" spans="2:17" ht="14.1" customHeight="1" x14ac:dyDescent="0.2">
      <c r="B449" s="138"/>
      <c r="C449" s="10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39"/>
    </row>
    <row r="450" spans="2:17" ht="14.1" customHeight="1" x14ac:dyDescent="0.2">
      <c r="B450" s="138"/>
      <c r="C450" s="10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39"/>
    </row>
    <row r="451" spans="2:17" ht="14.1" customHeight="1" x14ac:dyDescent="0.2">
      <c r="B451" s="138"/>
      <c r="C451" s="10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39"/>
    </row>
    <row r="452" spans="2:17" ht="14.1" customHeight="1" x14ac:dyDescent="0.2">
      <c r="B452" s="138"/>
      <c r="C452" s="10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39"/>
    </row>
    <row r="453" spans="2:17" ht="14.1" customHeight="1" x14ac:dyDescent="0.2">
      <c r="B453" s="138"/>
      <c r="C453" s="10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39"/>
    </row>
    <row r="454" spans="2:17" ht="14.1" customHeight="1" x14ac:dyDescent="0.2">
      <c r="B454" s="138"/>
      <c r="C454" s="10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39"/>
    </row>
    <row r="455" spans="2:17" ht="14.1" customHeight="1" x14ac:dyDescent="0.2">
      <c r="B455" s="138"/>
      <c r="C455" s="10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39"/>
    </row>
    <row r="456" spans="2:17" ht="14.1" customHeight="1" x14ac:dyDescent="0.2">
      <c r="B456" s="138"/>
      <c r="C456" s="10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39"/>
    </row>
    <row r="457" spans="2:17" ht="14.1" customHeight="1" x14ac:dyDescent="0.2">
      <c r="B457" s="138"/>
      <c r="C457" s="10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39"/>
    </row>
    <row r="458" spans="2:17" ht="14.1" customHeight="1" x14ac:dyDescent="0.2">
      <c r="B458" s="138"/>
      <c r="C458" s="10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39"/>
    </row>
    <row r="459" spans="2:17" ht="14.1" customHeight="1" x14ac:dyDescent="0.2">
      <c r="B459" s="138"/>
      <c r="C459" s="10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39"/>
    </row>
    <row r="460" spans="2:17" ht="14.1" customHeight="1" x14ac:dyDescent="0.2">
      <c r="B460" s="138"/>
      <c r="C460" s="10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39"/>
    </row>
    <row r="461" spans="2:17" ht="14.1" customHeight="1" x14ac:dyDescent="0.2">
      <c r="B461" s="138"/>
      <c r="C461" s="10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39"/>
    </row>
    <row r="462" spans="2:17" ht="14.1" customHeight="1" x14ac:dyDescent="0.2">
      <c r="B462" s="138"/>
      <c r="C462" s="10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39"/>
    </row>
    <row r="463" spans="2:17" ht="14.1" customHeight="1" x14ac:dyDescent="0.2">
      <c r="B463" s="138"/>
      <c r="C463" s="10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39"/>
    </row>
    <row r="464" spans="2:17" ht="14.1" customHeight="1" x14ac:dyDescent="0.2">
      <c r="B464" s="138"/>
      <c r="C464" s="10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39"/>
    </row>
    <row r="465" spans="2:17" ht="14.1" customHeight="1" x14ac:dyDescent="0.2">
      <c r="B465" s="138"/>
      <c r="C465" s="10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39"/>
    </row>
    <row r="466" spans="2:17" ht="14.1" customHeight="1" x14ac:dyDescent="0.2">
      <c r="B466" s="138"/>
      <c r="C466" s="10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39"/>
    </row>
    <row r="467" spans="2:17" ht="14.1" customHeight="1" x14ac:dyDescent="0.2">
      <c r="B467" s="138"/>
      <c r="C467" s="10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39"/>
    </row>
    <row r="468" spans="2:17" ht="14.1" customHeight="1" x14ac:dyDescent="0.2">
      <c r="B468" s="138"/>
      <c r="C468" s="10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39"/>
    </row>
    <row r="469" spans="2:17" ht="14.1" customHeight="1" x14ac:dyDescent="0.2">
      <c r="B469" s="138"/>
      <c r="C469" s="10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39"/>
    </row>
    <row r="470" spans="2:17" ht="14.1" customHeight="1" x14ac:dyDescent="0.2">
      <c r="B470" s="138"/>
      <c r="C470" s="10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39"/>
    </row>
    <row r="471" spans="2:17" ht="14.1" customHeight="1" x14ac:dyDescent="0.2">
      <c r="B471" s="138"/>
      <c r="C471" s="10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39"/>
    </row>
    <row r="472" spans="2:17" ht="14.1" customHeight="1" x14ac:dyDescent="0.2">
      <c r="B472" s="138"/>
      <c r="C472" s="10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39"/>
    </row>
    <row r="473" spans="2:17" ht="14.1" customHeight="1" x14ac:dyDescent="0.2">
      <c r="B473" s="138"/>
      <c r="C473" s="10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39"/>
    </row>
    <row r="474" spans="2:17" ht="14.1" customHeight="1" x14ac:dyDescent="0.2">
      <c r="B474" s="138"/>
      <c r="C474" s="10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39"/>
    </row>
    <row r="475" spans="2:17" ht="14.1" customHeight="1" x14ac:dyDescent="0.2">
      <c r="B475" s="138"/>
      <c r="C475" s="10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39"/>
    </row>
    <row r="476" spans="2:17" ht="14.1" customHeight="1" x14ac:dyDescent="0.2">
      <c r="B476" s="138"/>
      <c r="C476" s="10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39"/>
    </row>
    <row r="477" spans="2:17" ht="14.1" customHeight="1" x14ac:dyDescent="0.2">
      <c r="B477" s="138"/>
      <c r="C477" s="10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39"/>
    </row>
    <row r="478" spans="2:17" ht="14.1" customHeight="1" x14ac:dyDescent="0.2">
      <c r="B478" s="138"/>
      <c r="C478" s="10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39"/>
    </row>
    <row r="479" spans="2:17" ht="14.1" customHeight="1" x14ac:dyDescent="0.2">
      <c r="B479" s="138"/>
      <c r="C479" s="10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39"/>
    </row>
    <row r="480" spans="2:17" ht="14.1" customHeight="1" x14ac:dyDescent="0.2">
      <c r="B480" s="138"/>
      <c r="C480" s="10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39"/>
    </row>
    <row r="481" spans="2:17" ht="14.1" customHeight="1" x14ac:dyDescent="0.2">
      <c r="B481" s="138"/>
      <c r="C481" s="10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39"/>
    </row>
    <row r="482" spans="2:17" ht="14.1" customHeight="1" x14ac:dyDescent="0.2">
      <c r="B482" s="138"/>
      <c r="C482" s="10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39"/>
    </row>
    <row r="483" spans="2:17" ht="14.1" customHeight="1" x14ac:dyDescent="0.2">
      <c r="B483" s="138"/>
      <c r="C483" s="10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39"/>
    </row>
    <row r="484" spans="2:17" ht="14.1" customHeight="1" x14ac:dyDescent="0.2">
      <c r="B484" s="138"/>
      <c r="C484" s="10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39"/>
    </row>
    <row r="485" spans="2:17" ht="14.1" customHeight="1" x14ac:dyDescent="0.2">
      <c r="B485" s="138"/>
      <c r="C485" s="10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39"/>
    </row>
    <row r="486" spans="2:17" ht="14.1" customHeight="1" x14ac:dyDescent="0.2">
      <c r="B486" s="138"/>
      <c r="C486" s="10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39"/>
    </row>
    <row r="487" spans="2:17" ht="14.1" customHeight="1" x14ac:dyDescent="0.2">
      <c r="B487" s="138"/>
      <c r="C487" s="10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39"/>
    </row>
    <row r="488" spans="2:17" ht="14.1" customHeight="1" x14ac:dyDescent="0.2">
      <c r="B488" s="138"/>
      <c r="C488" s="10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39"/>
    </row>
    <row r="489" spans="2:17" ht="14.1" customHeight="1" x14ac:dyDescent="0.2">
      <c r="B489" s="141"/>
      <c r="C489" s="142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4"/>
    </row>
  </sheetData>
  <sheetProtection selectLockedCells="1"/>
  <mergeCells count="57">
    <mergeCell ref="B26:E26"/>
    <mergeCell ref="A1:D3"/>
    <mergeCell ref="E1:J3"/>
    <mergeCell ref="K1:P1"/>
    <mergeCell ref="K2:K3"/>
    <mergeCell ref="L2:O3"/>
    <mergeCell ref="P2:P3"/>
    <mergeCell ref="A4:P4"/>
    <mergeCell ref="B5:Q5"/>
    <mergeCell ref="C9:P10"/>
    <mergeCell ref="C11:C12"/>
    <mergeCell ref="D11:D12"/>
    <mergeCell ref="E11:P11"/>
    <mergeCell ref="B133:Q133"/>
    <mergeCell ref="C304:P305"/>
    <mergeCell ref="C139:C140"/>
    <mergeCell ref="D139:D140"/>
    <mergeCell ref="E139:G139"/>
    <mergeCell ref="H139:J139"/>
    <mergeCell ref="K139:M139"/>
    <mergeCell ref="N139:P139"/>
    <mergeCell ref="B259:Q259"/>
    <mergeCell ref="C137:P138"/>
    <mergeCell ref="D265:D266"/>
    <mergeCell ref="E265:P265"/>
    <mergeCell ref="C306:C307"/>
    <mergeCell ref="D306:D307"/>
    <mergeCell ref="E306:P306"/>
    <mergeCell ref="F26:J26"/>
    <mergeCell ref="L26:P26"/>
    <mergeCell ref="C393:C394"/>
    <mergeCell ref="D393:D394"/>
    <mergeCell ref="E393:P393"/>
    <mergeCell ref="C345:P346"/>
    <mergeCell ref="C347:C348"/>
    <mergeCell ref="B46:E47"/>
    <mergeCell ref="F46:J47"/>
    <mergeCell ref="L46:P47"/>
    <mergeCell ref="D347:D348"/>
    <mergeCell ref="E347:P347"/>
    <mergeCell ref="B387:Q387"/>
    <mergeCell ref="C391:P392"/>
    <mergeCell ref="C263:P264"/>
    <mergeCell ref="C265:C266"/>
    <mergeCell ref="B119:E119"/>
    <mergeCell ref="F119:J119"/>
    <mergeCell ref="L119:P119"/>
    <mergeCell ref="B67:E68"/>
    <mergeCell ref="F67:J68"/>
    <mergeCell ref="L67:P68"/>
    <mergeCell ref="B88:E89"/>
    <mergeCell ref="E113:P113"/>
    <mergeCell ref="C111:P112"/>
    <mergeCell ref="C113:C114"/>
    <mergeCell ref="D113:D114"/>
    <mergeCell ref="F88:J89"/>
    <mergeCell ref="L88:P89"/>
  </mergeCells>
  <printOptions horizontalCentered="1"/>
  <pageMargins left="0.39374999999999999" right="0.39374999999999999" top="0.78749999999999998" bottom="0.59027777777777779" header="0.51180555555555551" footer="0.51180555555555551"/>
  <pageSetup paperSize="8" scale="59" orientation="portrait" useFirstPageNumber="1" horizontalDpi="300" verticalDpi="300" r:id="rId1"/>
  <headerFooter alignWithMargins="0"/>
  <rowBreaks count="3" manualBreakCount="3">
    <brk id="132" max="16383" man="1"/>
    <brk id="258" max="16383" man="1"/>
    <brk id="386" max="1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9"/>
  <sheetViews>
    <sheetView zoomScale="80" zoomScaleNormal="80" workbookViewId="0">
      <selection activeCell="E9" sqref="E9"/>
    </sheetView>
  </sheetViews>
  <sheetFormatPr defaultColWidth="11.5703125" defaultRowHeight="14.1" customHeight="1" x14ac:dyDescent="0.2"/>
  <cols>
    <col min="1" max="1" width="4.140625" style="1" customWidth="1"/>
    <col min="2" max="2" width="2.5703125" style="1" customWidth="1"/>
    <col min="3" max="3" width="9.140625" style="2" customWidth="1"/>
    <col min="4" max="4" width="40.85546875" style="1" customWidth="1"/>
    <col min="5" max="7" width="11.5703125" style="1"/>
    <col min="8" max="9" width="2.5703125" style="1" customWidth="1"/>
    <col min="10" max="12" width="11.5703125" style="1" hidden="1" customWidth="1"/>
    <col min="13" max="13" width="2.5703125" style="1" customWidth="1"/>
    <col min="14" max="14" width="4.140625" style="1" customWidth="1"/>
    <col min="15" max="15" width="2.5703125" style="1" customWidth="1"/>
    <col min="16" max="16" width="11.5703125" style="1"/>
    <col min="17" max="17" width="51" style="1" customWidth="1"/>
    <col min="18" max="19" width="12.7109375" style="24" customWidth="1"/>
    <col min="20" max="20" width="12.7109375" style="1" customWidth="1"/>
    <col min="21" max="21" width="10.140625" style="24" customWidth="1"/>
    <col min="22" max="22" width="2.5703125" style="1" customWidth="1"/>
    <col min="23" max="23" width="5.140625" style="1" customWidth="1"/>
    <col min="24" max="37" width="0" style="1" hidden="1" customWidth="1"/>
    <col min="38" max="255" width="11.5703125" style="1"/>
    <col min="256" max="16384" width="11.5703125" style="3"/>
  </cols>
  <sheetData>
    <row r="1" spans="1:256" s="4" customFormat="1" ht="33.950000000000003" customHeight="1" x14ac:dyDescent="0.2">
      <c r="B1" s="307">
        <f>DATE(ANUAL!B5,B2,8)</f>
        <v>40186</v>
      </c>
      <c r="C1" s="307"/>
      <c r="D1" s="307"/>
      <c r="E1" s="307"/>
      <c r="F1" s="307"/>
      <c r="G1" s="307"/>
      <c r="H1" s="307"/>
      <c r="I1" s="25" t="s">
        <v>2</v>
      </c>
      <c r="M1" s="26" t="s">
        <v>92</v>
      </c>
      <c r="R1" s="27"/>
      <c r="S1" s="27"/>
      <c r="U1" s="27"/>
      <c r="W1" s="25" t="s">
        <v>2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 t="s">
        <v>92</v>
      </c>
      <c r="IV1" s="3"/>
    </row>
    <row r="2" spans="1:256" ht="14.1" customHeight="1" x14ac:dyDescent="0.2">
      <c r="B2" s="28">
        <v>1</v>
      </c>
    </row>
    <row r="4" spans="1:256" ht="14.1" customHeight="1" x14ac:dyDescent="0.2">
      <c r="B4" s="68"/>
      <c r="C4" s="69"/>
      <c r="D4" s="70"/>
      <c r="E4" s="70"/>
      <c r="F4" s="70"/>
      <c r="G4" s="70"/>
      <c r="H4" s="71"/>
      <c r="O4" s="36"/>
      <c r="P4" s="37"/>
      <c r="Q4" s="37"/>
      <c r="R4" s="38"/>
      <c r="S4" s="38"/>
      <c r="T4" s="37"/>
      <c r="U4" s="38"/>
      <c r="V4" s="39"/>
    </row>
    <row r="5" spans="1:256" ht="14.1" customHeight="1" x14ac:dyDescent="0.2">
      <c r="B5" s="72"/>
      <c r="C5" s="308" t="s">
        <v>107</v>
      </c>
      <c r="D5" s="308"/>
      <c r="E5" s="308"/>
      <c r="F5" s="308"/>
      <c r="G5" s="308"/>
      <c r="H5" s="73"/>
      <c r="O5" s="40"/>
      <c r="P5" s="309" t="s">
        <v>93</v>
      </c>
      <c r="Q5" s="309"/>
      <c r="R5" s="309"/>
      <c r="S5" s="309"/>
      <c r="T5" s="309"/>
      <c r="U5" s="309"/>
      <c r="V5" s="41"/>
    </row>
    <row r="6" spans="1:256" s="9" customFormat="1" ht="14.1" customHeight="1" x14ac:dyDescent="0.2">
      <c r="B6" s="74"/>
      <c r="C6" s="308"/>
      <c r="D6" s="308"/>
      <c r="E6" s="308"/>
      <c r="F6" s="308"/>
      <c r="G6" s="308"/>
      <c r="H6" s="75"/>
      <c r="I6" s="1"/>
      <c r="J6" s="1"/>
      <c r="K6" s="1"/>
      <c r="L6" s="1"/>
      <c r="M6" s="1"/>
      <c r="N6" s="1"/>
      <c r="O6" s="42"/>
      <c r="P6" s="309"/>
      <c r="Q6" s="309"/>
      <c r="R6" s="309"/>
      <c r="S6" s="309"/>
      <c r="T6" s="309"/>
      <c r="U6" s="309"/>
      <c r="V6" s="4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IV6" s="3"/>
    </row>
    <row r="7" spans="1:256" ht="14.1" customHeight="1" x14ac:dyDescent="0.2">
      <c r="B7" s="46"/>
      <c r="C7" s="271" t="s">
        <v>94</v>
      </c>
      <c r="D7" s="273" t="s">
        <v>5</v>
      </c>
      <c r="E7" s="275" t="s">
        <v>6</v>
      </c>
      <c r="F7" s="275"/>
      <c r="G7" s="276"/>
      <c r="H7" s="73"/>
      <c r="O7" s="46"/>
      <c r="P7" s="275" t="s">
        <v>95</v>
      </c>
      <c r="Q7" s="271" t="s">
        <v>5</v>
      </c>
      <c r="R7" s="275" t="s">
        <v>96</v>
      </c>
      <c r="S7" s="275"/>
      <c r="T7" s="275" t="s">
        <v>97</v>
      </c>
      <c r="U7" s="276" t="s">
        <v>98</v>
      </c>
      <c r="V7" s="41"/>
    </row>
    <row r="8" spans="1:256" ht="14.1" customHeight="1" x14ac:dyDescent="0.2">
      <c r="B8" s="44"/>
      <c r="C8" s="272"/>
      <c r="D8" s="274"/>
      <c r="E8" s="98" t="s">
        <v>99</v>
      </c>
      <c r="F8" s="98" t="s">
        <v>100</v>
      </c>
      <c r="G8" s="98" t="s">
        <v>101</v>
      </c>
      <c r="H8" s="76"/>
      <c r="O8" s="44"/>
      <c r="P8" s="306" t="s">
        <v>95</v>
      </c>
      <c r="Q8" s="272" t="s">
        <v>5</v>
      </c>
      <c r="R8" s="47" t="s">
        <v>89</v>
      </c>
      <c r="S8" s="48" t="s">
        <v>87</v>
      </c>
      <c r="T8" s="306" t="s">
        <v>97</v>
      </c>
      <c r="U8" s="305" t="s">
        <v>102</v>
      </c>
      <c r="V8" s="45"/>
      <c r="X8" s="1" t="s">
        <v>100</v>
      </c>
      <c r="Z8" s="1" t="str">
        <f>$C$9</f>
        <v/>
      </c>
      <c r="AA8" s="1" t="str">
        <f>$C$10</f>
        <v>INV1</v>
      </c>
      <c r="AB8" s="1" t="str">
        <f>$C$11</f>
        <v>DINH1</v>
      </c>
      <c r="AC8" s="1" t="str">
        <f>$C$12</f>
        <v>CRED1</v>
      </c>
      <c r="AD8" s="1" t="str">
        <f>$C$13</f>
        <v>---</v>
      </c>
      <c r="AE8" s="1" t="str">
        <f>$C$14</f>
        <v>---</v>
      </c>
      <c r="AF8" s="1" t="str">
        <f>$C$15</f>
        <v>---</v>
      </c>
      <c r="AG8" s="1" t="str">
        <f>$C$16</f>
        <v>---</v>
      </c>
      <c r="AH8" s="1" t="str">
        <f>$C$17</f>
        <v>---</v>
      </c>
      <c r="AI8" s="1" t="str">
        <f>$C$18</f>
        <v>---</v>
      </c>
      <c r="AJ8" s="1" t="str">
        <f>$C$19</f>
        <v>---</v>
      </c>
      <c r="AK8" s="1" t="str">
        <f>$C$20</f>
        <v>---</v>
      </c>
    </row>
    <row r="9" spans="1:256" ht="14.1" customHeight="1" x14ac:dyDescent="0.2">
      <c r="A9" s="12">
        <v>1</v>
      </c>
      <c r="B9" s="64"/>
      <c r="C9" s="115" t="str">
        <f>TRIM(ANUAL!C13)</f>
        <v/>
      </c>
      <c r="D9" s="116" t="str">
        <f>TRIM(ANUAL!D13)</f>
        <v>CONTA CORRENTE BANCO 1</v>
      </c>
      <c r="E9" s="132">
        <v>0</v>
      </c>
      <c r="F9" s="117">
        <f t="shared" ref="F9:F20" ca="1" si="0">E9+SUMIF(X$9:X$88,1,OFFSET($Z$9:$Z$88,0,A9-1))</f>
        <v>0</v>
      </c>
      <c r="G9" s="117">
        <f t="shared" ref="G9:G20" ca="1" si="1">E9+SUM(OFFSET($Z$9:$Z$88,0,A9-1))</f>
        <v>0</v>
      </c>
      <c r="H9" s="61"/>
      <c r="J9" s="3" t="b">
        <f t="shared" ref="J9:L20" si="2">NOT(ISERR(SEARCH(J$27,$C9)))</f>
        <v>0</v>
      </c>
      <c r="K9" s="3" t="b">
        <f t="shared" si="2"/>
        <v>0</v>
      </c>
      <c r="L9" s="3" t="b">
        <f t="shared" si="2"/>
        <v>0</v>
      </c>
      <c r="N9" s="12">
        <v>1</v>
      </c>
      <c r="O9" s="64"/>
      <c r="P9" s="49"/>
      <c r="Q9" s="50"/>
      <c r="R9" s="51"/>
      <c r="S9" s="52"/>
      <c r="T9" s="53"/>
      <c r="U9" s="54"/>
      <c r="V9" s="61"/>
      <c r="X9" s="1">
        <f t="shared" ref="X9:X40" ca="1" si="3">IF(P9&lt;NOW(),1,0)</f>
        <v>1</v>
      </c>
      <c r="Z9" s="1">
        <f t="shared" ref="Z9:AK18" si="4">IF(Z$8=$R9,-$T9,0)+IF(Z$8=$S9,$T9,0)</f>
        <v>0</v>
      </c>
      <c r="AA9" s="1">
        <f t="shared" si="4"/>
        <v>0</v>
      </c>
      <c r="AB9" s="1">
        <f t="shared" si="4"/>
        <v>0</v>
      </c>
      <c r="AC9" s="1">
        <f t="shared" si="4"/>
        <v>0</v>
      </c>
      <c r="AD9" s="1">
        <f t="shared" si="4"/>
        <v>0</v>
      </c>
      <c r="AE9" s="1">
        <f t="shared" si="4"/>
        <v>0</v>
      </c>
      <c r="AF9" s="1">
        <f t="shared" si="4"/>
        <v>0</v>
      </c>
      <c r="AG9" s="1">
        <f t="shared" si="4"/>
        <v>0</v>
      </c>
      <c r="AH9" s="1">
        <f t="shared" si="4"/>
        <v>0</v>
      </c>
      <c r="AI9" s="1">
        <f t="shared" si="4"/>
        <v>0</v>
      </c>
      <c r="AJ9" s="1">
        <f t="shared" si="4"/>
        <v>0</v>
      </c>
      <c r="AK9" s="1">
        <f t="shared" si="4"/>
        <v>0</v>
      </c>
    </row>
    <row r="10" spans="1:256" ht="14.1" customHeight="1" x14ac:dyDescent="0.2">
      <c r="A10" s="16">
        <v>2</v>
      </c>
      <c r="B10" s="65"/>
      <c r="C10" s="118" t="str">
        <f>TRIM(ANUAL!C14)</f>
        <v>INV1</v>
      </c>
      <c r="D10" s="119" t="str">
        <f>TRIM(ANUAL!D14)</f>
        <v>POUPANÇA BANCO 1</v>
      </c>
      <c r="E10" s="133">
        <v>0</v>
      </c>
      <c r="F10" s="120">
        <f t="shared" ca="1" si="0"/>
        <v>0</v>
      </c>
      <c r="G10" s="120">
        <f t="shared" ca="1" si="1"/>
        <v>0</v>
      </c>
      <c r="H10" s="62"/>
      <c r="J10" s="3" t="b">
        <f t="shared" si="2"/>
        <v>0</v>
      </c>
      <c r="K10" s="3" t="b">
        <f t="shared" si="2"/>
        <v>1</v>
      </c>
      <c r="L10" s="3" t="b">
        <f t="shared" si="2"/>
        <v>0</v>
      </c>
      <c r="N10" s="16">
        <v>2</v>
      </c>
      <c r="O10" s="65"/>
      <c r="P10" s="55"/>
      <c r="Q10" s="56"/>
      <c r="R10" s="57"/>
      <c r="S10" s="58"/>
      <c r="T10" s="59"/>
      <c r="U10" s="60"/>
      <c r="V10" s="62"/>
      <c r="X10" s="1">
        <f t="shared" ca="1" si="3"/>
        <v>1</v>
      </c>
      <c r="Z10" s="1">
        <f t="shared" si="4"/>
        <v>0</v>
      </c>
      <c r="AA10" s="1">
        <f t="shared" si="4"/>
        <v>0</v>
      </c>
      <c r="AB10" s="1">
        <f t="shared" si="4"/>
        <v>0</v>
      </c>
      <c r="AC10" s="1">
        <f t="shared" si="4"/>
        <v>0</v>
      </c>
      <c r="AD10" s="1">
        <f t="shared" si="4"/>
        <v>0</v>
      </c>
      <c r="AE10" s="1">
        <f t="shared" si="4"/>
        <v>0</v>
      </c>
      <c r="AF10" s="1">
        <f t="shared" si="4"/>
        <v>0</v>
      </c>
      <c r="AG10" s="1">
        <f t="shared" si="4"/>
        <v>0</v>
      </c>
      <c r="AH10" s="1">
        <f t="shared" si="4"/>
        <v>0</v>
      </c>
      <c r="AI10" s="1">
        <f t="shared" si="4"/>
        <v>0</v>
      </c>
      <c r="AJ10" s="1">
        <f t="shared" si="4"/>
        <v>0</v>
      </c>
      <c r="AK10" s="1">
        <f t="shared" si="4"/>
        <v>0</v>
      </c>
    </row>
    <row r="11" spans="1:256" ht="14.1" customHeight="1" x14ac:dyDescent="0.2">
      <c r="A11" s="12">
        <v>3</v>
      </c>
      <c r="B11" s="65"/>
      <c r="C11" s="115" t="str">
        <f>TRIM(ANUAL!C15)</f>
        <v>DINH1</v>
      </c>
      <c r="D11" s="116" t="str">
        <f>TRIM(ANUAL!D15)</f>
        <v>EM ESPÉCIE</v>
      </c>
      <c r="E11" s="132">
        <v>0</v>
      </c>
      <c r="F11" s="117">
        <f t="shared" ca="1" si="0"/>
        <v>0</v>
      </c>
      <c r="G11" s="117">
        <f t="shared" ca="1" si="1"/>
        <v>0</v>
      </c>
      <c r="H11" s="62"/>
      <c r="J11" s="3" t="b">
        <f t="shared" si="2"/>
        <v>0</v>
      </c>
      <c r="K11" s="3" t="b">
        <f t="shared" si="2"/>
        <v>0</v>
      </c>
      <c r="L11" s="3" t="b">
        <f t="shared" si="2"/>
        <v>1</v>
      </c>
      <c r="N11" s="12">
        <v>3</v>
      </c>
      <c r="O11" s="65"/>
      <c r="P11" s="49"/>
      <c r="Q11" s="50"/>
      <c r="R11" s="51"/>
      <c r="S11" s="52"/>
      <c r="T11" s="53"/>
      <c r="U11" s="54"/>
      <c r="V11" s="62"/>
      <c r="X11" s="1">
        <f t="shared" ca="1" si="3"/>
        <v>1</v>
      </c>
      <c r="Z11" s="1">
        <f t="shared" si="4"/>
        <v>0</v>
      </c>
      <c r="AA11" s="1">
        <f t="shared" si="4"/>
        <v>0</v>
      </c>
      <c r="AB11" s="1">
        <f t="shared" si="4"/>
        <v>0</v>
      </c>
      <c r="AC11" s="1">
        <f t="shared" si="4"/>
        <v>0</v>
      </c>
      <c r="AD11" s="1">
        <f t="shared" si="4"/>
        <v>0</v>
      </c>
      <c r="AE11" s="1">
        <f t="shared" si="4"/>
        <v>0</v>
      </c>
      <c r="AF11" s="1">
        <f t="shared" si="4"/>
        <v>0</v>
      </c>
      <c r="AG11" s="1">
        <f t="shared" si="4"/>
        <v>0</v>
      </c>
      <c r="AH11" s="1">
        <f t="shared" si="4"/>
        <v>0</v>
      </c>
      <c r="AI11" s="1">
        <f t="shared" si="4"/>
        <v>0</v>
      </c>
      <c r="AJ11" s="1">
        <f t="shared" si="4"/>
        <v>0</v>
      </c>
      <c r="AK11" s="1">
        <f t="shared" si="4"/>
        <v>0</v>
      </c>
    </row>
    <row r="12" spans="1:256" ht="14.1" customHeight="1" x14ac:dyDescent="0.2">
      <c r="A12" s="16">
        <v>4</v>
      </c>
      <c r="B12" s="65"/>
      <c r="C12" s="118" t="str">
        <f>TRIM(ANUAL!C16)</f>
        <v>CRED1</v>
      </c>
      <c r="D12" s="119" t="str">
        <f>TRIM(ANUAL!D16)</f>
        <v>CARTÃO DE CRÉDITO 1</v>
      </c>
      <c r="E12" s="133">
        <v>0</v>
      </c>
      <c r="F12" s="120">
        <f t="shared" ca="1" si="0"/>
        <v>0</v>
      </c>
      <c r="G12" s="120">
        <f t="shared" ca="1" si="1"/>
        <v>0</v>
      </c>
      <c r="H12" s="62"/>
      <c r="J12" s="3" t="b">
        <f t="shared" si="2"/>
        <v>0</v>
      </c>
      <c r="K12" s="3" t="b">
        <f t="shared" si="2"/>
        <v>0</v>
      </c>
      <c r="L12" s="3" t="b">
        <f t="shared" si="2"/>
        <v>0</v>
      </c>
      <c r="N12" s="16">
        <v>4</v>
      </c>
      <c r="O12" s="65"/>
      <c r="P12" s="55"/>
      <c r="Q12" s="56"/>
      <c r="R12" s="57"/>
      <c r="S12" s="247"/>
      <c r="T12" s="59"/>
      <c r="U12" s="60"/>
      <c r="V12" s="62"/>
      <c r="X12" s="1">
        <f t="shared" ca="1" si="3"/>
        <v>1</v>
      </c>
      <c r="Z12" s="1">
        <f t="shared" si="4"/>
        <v>0</v>
      </c>
      <c r="AA12" s="1">
        <f t="shared" si="4"/>
        <v>0</v>
      </c>
      <c r="AB12" s="1">
        <f t="shared" si="4"/>
        <v>0</v>
      </c>
      <c r="AC12" s="1">
        <f t="shared" si="4"/>
        <v>0</v>
      </c>
      <c r="AD12" s="1">
        <f t="shared" si="4"/>
        <v>0</v>
      </c>
      <c r="AE12" s="1">
        <f t="shared" si="4"/>
        <v>0</v>
      </c>
      <c r="AF12" s="1">
        <f t="shared" si="4"/>
        <v>0</v>
      </c>
      <c r="AG12" s="1">
        <f t="shared" si="4"/>
        <v>0</v>
      </c>
      <c r="AH12" s="1">
        <f t="shared" si="4"/>
        <v>0</v>
      </c>
      <c r="AI12" s="1">
        <f t="shared" si="4"/>
        <v>0</v>
      </c>
      <c r="AJ12" s="1">
        <f t="shared" si="4"/>
        <v>0</v>
      </c>
      <c r="AK12" s="1">
        <f t="shared" si="4"/>
        <v>0</v>
      </c>
    </row>
    <row r="13" spans="1:256" ht="14.1" customHeight="1" x14ac:dyDescent="0.2">
      <c r="A13" s="12">
        <v>5</v>
      </c>
      <c r="B13" s="65"/>
      <c r="C13" s="115" t="str">
        <f>TRIM(ANUAL!C17)</f>
        <v>---</v>
      </c>
      <c r="D13" s="116" t="str">
        <f>TRIM(ANUAL!D17)</f>
        <v/>
      </c>
      <c r="E13" s="132">
        <v>0</v>
      </c>
      <c r="F13" s="117">
        <f t="shared" ca="1" si="0"/>
        <v>0</v>
      </c>
      <c r="G13" s="117">
        <f t="shared" ca="1" si="1"/>
        <v>0</v>
      </c>
      <c r="H13" s="62"/>
      <c r="J13" s="3" t="b">
        <f t="shared" si="2"/>
        <v>0</v>
      </c>
      <c r="K13" s="3" t="b">
        <f t="shared" si="2"/>
        <v>0</v>
      </c>
      <c r="L13" s="3" t="b">
        <f t="shared" si="2"/>
        <v>0</v>
      </c>
      <c r="N13" s="12">
        <v>5</v>
      </c>
      <c r="O13" s="65"/>
      <c r="P13" s="49"/>
      <c r="Q13" s="50"/>
      <c r="R13" s="51"/>
      <c r="S13" s="52"/>
      <c r="T13" s="53"/>
      <c r="U13" s="54"/>
      <c r="V13" s="62"/>
      <c r="X13" s="1">
        <f t="shared" ca="1" si="3"/>
        <v>1</v>
      </c>
      <c r="Z13" s="1">
        <f t="shared" si="4"/>
        <v>0</v>
      </c>
      <c r="AA13" s="1">
        <f t="shared" si="4"/>
        <v>0</v>
      </c>
      <c r="AB13" s="1">
        <f t="shared" si="4"/>
        <v>0</v>
      </c>
      <c r="AC13" s="1">
        <f t="shared" si="4"/>
        <v>0</v>
      </c>
      <c r="AD13" s="1">
        <f t="shared" si="4"/>
        <v>0</v>
      </c>
      <c r="AE13" s="1">
        <f t="shared" si="4"/>
        <v>0</v>
      </c>
      <c r="AF13" s="1">
        <f t="shared" si="4"/>
        <v>0</v>
      </c>
      <c r="AG13" s="1">
        <f t="shared" si="4"/>
        <v>0</v>
      </c>
      <c r="AH13" s="1">
        <f t="shared" si="4"/>
        <v>0</v>
      </c>
      <c r="AI13" s="1">
        <f t="shared" si="4"/>
        <v>0</v>
      </c>
      <c r="AJ13" s="1">
        <f t="shared" si="4"/>
        <v>0</v>
      </c>
      <c r="AK13" s="1">
        <f t="shared" si="4"/>
        <v>0</v>
      </c>
    </row>
    <row r="14" spans="1:256" ht="14.1" customHeight="1" x14ac:dyDescent="0.2">
      <c r="A14" s="16">
        <v>6</v>
      </c>
      <c r="B14" s="65"/>
      <c r="C14" s="118" t="str">
        <f>TRIM(ANUAL!C18)</f>
        <v>---</v>
      </c>
      <c r="D14" s="119" t="str">
        <f>TRIM(ANUAL!D18)</f>
        <v/>
      </c>
      <c r="E14" s="133">
        <v>0</v>
      </c>
      <c r="F14" s="120">
        <f t="shared" ca="1" si="0"/>
        <v>0</v>
      </c>
      <c r="G14" s="120">
        <f t="shared" ca="1" si="1"/>
        <v>0</v>
      </c>
      <c r="H14" s="62"/>
      <c r="J14" s="3" t="b">
        <f t="shared" si="2"/>
        <v>0</v>
      </c>
      <c r="K14" s="3" t="b">
        <f t="shared" si="2"/>
        <v>0</v>
      </c>
      <c r="L14" s="3" t="b">
        <f t="shared" si="2"/>
        <v>0</v>
      </c>
      <c r="N14" s="16">
        <v>6</v>
      </c>
      <c r="O14" s="65"/>
      <c r="P14" s="55"/>
      <c r="Q14" s="56"/>
      <c r="R14" s="57"/>
      <c r="S14" s="58"/>
      <c r="T14" s="59"/>
      <c r="U14" s="60"/>
      <c r="V14" s="62"/>
      <c r="X14" s="1">
        <f t="shared" ca="1" si="3"/>
        <v>1</v>
      </c>
      <c r="Z14" s="1">
        <f t="shared" si="4"/>
        <v>0</v>
      </c>
      <c r="AA14" s="1">
        <f t="shared" si="4"/>
        <v>0</v>
      </c>
      <c r="AB14" s="1">
        <f t="shared" si="4"/>
        <v>0</v>
      </c>
      <c r="AC14" s="1">
        <f t="shared" si="4"/>
        <v>0</v>
      </c>
      <c r="AD14" s="1">
        <f t="shared" si="4"/>
        <v>0</v>
      </c>
      <c r="AE14" s="1">
        <f t="shared" si="4"/>
        <v>0</v>
      </c>
      <c r="AF14" s="1">
        <f t="shared" si="4"/>
        <v>0</v>
      </c>
      <c r="AG14" s="1">
        <f t="shared" si="4"/>
        <v>0</v>
      </c>
      <c r="AH14" s="1">
        <f t="shared" si="4"/>
        <v>0</v>
      </c>
      <c r="AI14" s="1">
        <f t="shared" si="4"/>
        <v>0</v>
      </c>
      <c r="AJ14" s="1">
        <f t="shared" si="4"/>
        <v>0</v>
      </c>
      <c r="AK14" s="1">
        <f t="shared" si="4"/>
        <v>0</v>
      </c>
    </row>
    <row r="15" spans="1:256" ht="14.1" customHeight="1" x14ac:dyDescent="0.2">
      <c r="A15" s="12">
        <v>7</v>
      </c>
      <c r="B15" s="65"/>
      <c r="C15" s="115" t="str">
        <f>TRIM(ANUAL!C19)</f>
        <v>---</v>
      </c>
      <c r="D15" s="116" t="str">
        <f>TRIM(ANUAL!D19)</f>
        <v/>
      </c>
      <c r="E15" s="132">
        <v>0</v>
      </c>
      <c r="F15" s="117">
        <f t="shared" ca="1" si="0"/>
        <v>0</v>
      </c>
      <c r="G15" s="117">
        <f t="shared" ca="1" si="1"/>
        <v>0</v>
      </c>
      <c r="H15" s="62"/>
      <c r="J15" s="3" t="b">
        <f t="shared" si="2"/>
        <v>0</v>
      </c>
      <c r="K15" s="3" t="b">
        <f t="shared" si="2"/>
        <v>0</v>
      </c>
      <c r="L15" s="3" t="b">
        <f t="shared" si="2"/>
        <v>0</v>
      </c>
      <c r="N15" s="12">
        <v>7</v>
      </c>
      <c r="O15" s="65"/>
      <c r="P15" s="49"/>
      <c r="Q15" s="50"/>
      <c r="R15" s="51"/>
      <c r="S15" s="52"/>
      <c r="T15" s="53"/>
      <c r="U15" s="54"/>
      <c r="V15" s="62"/>
      <c r="X15" s="1">
        <f t="shared" ca="1" si="3"/>
        <v>1</v>
      </c>
      <c r="Z15" s="1">
        <f t="shared" si="4"/>
        <v>0</v>
      </c>
      <c r="AA15" s="1">
        <f t="shared" si="4"/>
        <v>0</v>
      </c>
      <c r="AB15" s="1">
        <f t="shared" si="4"/>
        <v>0</v>
      </c>
      <c r="AC15" s="1">
        <f t="shared" si="4"/>
        <v>0</v>
      </c>
      <c r="AD15" s="1">
        <f t="shared" si="4"/>
        <v>0</v>
      </c>
      <c r="AE15" s="1">
        <f t="shared" si="4"/>
        <v>0</v>
      </c>
      <c r="AF15" s="1">
        <f t="shared" si="4"/>
        <v>0</v>
      </c>
      <c r="AG15" s="1">
        <f t="shared" si="4"/>
        <v>0</v>
      </c>
      <c r="AH15" s="1">
        <f t="shared" si="4"/>
        <v>0</v>
      </c>
      <c r="AI15" s="1">
        <f t="shared" si="4"/>
        <v>0</v>
      </c>
      <c r="AJ15" s="1">
        <f t="shared" si="4"/>
        <v>0</v>
      </c>
      <c r="AK15" s="1">
        <f t="shared" si="4"/>
        <v>0</v>
      </c>
    </row>
    <row r="16" spans="1:256" ht="14.1" customHeight="1" x14ac:dyDescent="0.2">
      <c r="A16" s="16">
        <v>8</v>
      </c>
      <c r="B16" s="65"/>
      <c r="C16" s="118" t="str">
        <f>TRIM(ANUAL!C20)</f>
        <v>---</v>
      </c>
      <c r="D16" s="119" t="str">
        <f>TRIM(ANUAL!D20)</f>
        <v/>
      </c>
      <c r="E16" s="133">
        <v>0</v>
      </c>
      <c r="F16" s="120">
        <f t="shared" ca="1" si="0"/>
        <v>0</v>
      </c>
      <c r="G16" s="120">
        <f t="shared" ca="1" si="1"/>
        <v>0</v>
      </c>
      <c r="H16" s="62"/>
      <c r="J16" s="3" t="b">
        <f t="shared" si="2"/>
        <v>0</v>
      </c>
      <c r="K16" s="3" t="b">
        <f t="shared" si="2"/>
        <v>0</v>
      </c>
      <c r="L16" s="3" t="b">
        <f t="shared" si="2"/>
        <v>0</v>
      </c>
      <c r="N16" s="16">
        <v>8</v>
      </c>
      <c r="O16" s="65"/>
      <c r="P16" s="55"/>
      <c r="Q16" s="56"/>
      <c r="R16" s="246"/>
      <c r="S16" s="58"/>
      <c r="T16" s="59"/>
      <c r="U16" s="60"/>
      <c r="V16" s="62"/>
      <c r="X16" s="1">
        <f t="shared" ca="1" si="3"/>
        <v>1</v>
      </c>
      <c r="Z16" s="1">
        <f t="shared" si="4"/>
        <v>0</v>
      </c>
      <c r="AA16" s="1">
        <f t="shared" si="4"/>
        <v>0</v>
      </c>
      <c r="AB16" s="1">
        <f t="shared" si="4"/>
        <v>0</v>
      </c>
      <c r="AC16" s="1">
        <f t="shared" si="4"/>
        <v>0</v>
      </c>
      <c r="AD16" s="1">
        <f t="shared" si="4"/>
        <v>0</v>
      </c>
      <c r="AE16" s="1">
        <f t="shared" si="4"/>
        <v>0</v>
      </c>
      <c r="AF16" s="1">
        <f t="shared" si="4"/>
        <v>0</v>
      </c>
      <c r="AG16" s="1">
        <f t="shared" si="4"/>
        <v>0</v>
      </c>
      <c r="AH16" s="1">
        <f t="shared" si="4"/>
        <v>0</v>
      </c>
      <c r="AI16" s="1">
        <f t="shared" si="4"/>
        <v>0</v>
      </c>
      <c r="AJ16" s="1">
        <f t="shared" si="4"/>
        <v>0</v>
      </c>
      <c r="AK16" s="1">
        <f t="shared" si="4"/>
        <v>0</v>
      </c>
    </row>
    <row r="17" spans="1:37" ht="14.1" customHeight="1" x14ac:dyDescent="0.2">
      <c r="A17" s="12">
        <v>9</v>
      </c>
      <c r="B17" s="65"/>
      <c r="C17" s="115" t="str">
        <f>TRIM(ANUAL!C21)</f>
        <v>---</v>
      </c>
      <c r="D17" s="116" t="str">
        <f>TRIM(ANUAL!D21)</f>
        <v/>
      </c>
      <c r="E17" s="132">
        <v>0</v>
      </c>
      <c r="F17" s="117">
        <f t="shared" ca="1" si="0"/>
        <v>0</v>
      </c>
      <c r="G17" s="117">
        <f t="shared" ca="1" si="1"/>
        <v>0</v>
      </c>
      <c r="H17" s="62"/>
      <c r="J17" s="3" t="b">
        <f t="shared" si="2"/>
        <v>0</v>
      </c>
      <c r="K17" s="3" t="b">
        <f t="shared" si="2"/>
        <v>0</v>
      </c>
      <c r="L17" s="3" t="b">
        <f t="shared" si="2"/>
        <v>0</v>
      </c>
      <c r="N17" s="12">
        <v>9</v>
      </c>
      <c r="O17" s="65"/>
      <c r="P17" s="49"/>
      <c r="Q17" s="50"/>
      <c r="R17" s="51"/>
      <c r="S17" s="52"/>
      <c r="T17" s="53"/>
      <c r="U17" s="54"/>
      <c r="V17" s="62"/>
      <c r="X17" s="1">
        <f t="shared" ca="1" si="3"/>
        <v>1</v>
      </c>
      <c r="Z17" s="1">
        <f t="shared" si="4"/>
        <v>0</v>
      </c>
      <c r="AA17" s="1">
        <f t="shared" si="4"/>
        <v>0</v>
      </c>
      <c r="AB17" s="1">
        <f t="shared" si="4"/>
        <v>0</v>
      </c>
      <c r="AC17" s="1">
        <f t="shared" si="4"/>
        <v>0</v>
      </c>
      <c r="AD17" s="1">
        <f t="shared" si="4"/>
        <v>0</v>
      </c>
      <c r="AE17" s="1">
        <f t="shared" si="4"/>
        <v>0</v>
      </c>
      <c r="AF17" s="1">
        <f t="shared" si="4"/>
        <v>0</v>
      </c>
      <c r="AG17" s="1">
        <f t="shared" si="4"/>
        <v>0</v>
      </c>
      <c r="AH17" s="1">
        <f t="shared" si="4"/>
        <v>0</v>
      </c>
      <c r="AI17" s="1">
        <f t="shared" si="4"/>
        <v>0</v>
      </c>
      <c r="AJ17" s="1">
        <f t="shared" si="4"/>
        <v>0</v>
      </c>
      <c r="AK17" s="1">
        <f t="shared" si="4"/>
        <v>0</v>
      </c>
    </row>
    <row r="18" spans="1:37" ht="14.1" customHeight="1" x14ac:dyDescent="0.2">
      <c r="A18" s="16">
        <v>10</v>
      </c>
      <c r="B18" s="65"/>
      <c r="C18" s="118" t="str">
        <f>TRIM(ANUAL!C22)</f>
        <v>---</v>
      </c>
      <c r="D18" s="119" t="str">
        <f>TRIM(ANUAL!D22)</f>
        <v/>
      </c>
      <c r="E18" s="133">
        <v>0</v>
      </c>
      <c r="F18" s="120">
        <f t="shared" ca="1" si="0"/>
        <v>0</v>
      </c>
      <c r="G18" s="120">
        <f t="shared" ca="1" si="1"/>
        <v>0</v>
      </c>
      <c r="H18" s="62"/>
      <c r="J18" s="3" t="b">
        <f t="shared" si="2"/>
        <v>0</v>
      </c>
      <c r="K18" s="3" t="b">
        <f t="shared" si="2"/>
        <v>0</v>
      </c>
      <c r="L18" s="3" t="b">
        <f t="shared" si="2"/>
        <v>0</v>
      </c>
      <c r="N18" s="16">
        <v>10</v>
      </c>
      <c r="O18" s="65"/>
      <c r="P18" s="55"/>
      <c r="Q18" s="56"/>
      <c r="R18" s="57"/>
      <c r="S18" s="58"/>
      <c r="T18" s="59"/>
      <c r="U18" s="60"/>
      <c r="V18" s="62"/>
      <c r="X18" s="1">
        <f t="shared" ca="1" si="3"/>
        <v>1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C18" s="1">
        <f t="shared" si="4"/>
        <v>0</v>
      </c>
      <c r="AD18" s="1">
        <f t="shared" si="4"/>
        <v>0</v>
      </c>
      <c r="AE18" s="1">
        <f t="shared" si="4"/>
        <v>0</v>
      </c>
      <c r="AF18" s="1">
        <f t="shared" si="4"/>
        <v>0</v>
      </c>
      <c r="AG18" s="1">
        <f t="shared" si="4"/>
        <v>0</v>
      </c>
      <c r="AH18" s="1">
        <f t="shared" si="4"/>
        <v>0</v>
      </c>
      <c r="AI18" s="1">
        <f t="shared" si="4"/>
        <v>0</v>
      </c>
      <c r="AJ18" s="1">
        <f t="shared" si="4"/>
        <v>0</v>
      </c>
      <c r="AK18" s="1">
        <f t="shared" si="4"/>
        <v>0</v>
      </c>
    </row>
    <row r="19" spans="1:37" ht="14.1" customHeight="1" x14ac:dyDescent="0.2">
      <c r="A19" s="12">
        <v>11</v>
      </c>
      <c r="B19" s="65"/>
      <c r="C19" s="115" t="str">
        <f>TRIM(ANUAL!C23)</f>
        <v>---</v>
      </c>
      <c r="D19" s="116" t="str">
        <f>TRIM(ANUAL!D23)</f>
        <v/>
      </c>
      <c r="E19" s="132">
        <v>0</v>
      </c>
      <c r="F19" s="117">
        <f t="shared" ca="1" si="0"/>
        <v>0</v>
      </c>
      <c r="G19" s="117">
        <f t="shared" ca="1" si="1"/>
        <v>0</v>
      </c>
      <c r="H19" s="62"/>
      <c r="J19" s="3" t="b">
        <f t="shared" si="2"/>
        <v>0</v>
      </c>
      <c r="K19" s="3" t="b">
        <f t="shared" si="2"/>
        <v>0</v>
      </c>
      <c r="L19" s="3" t="b">
        <f t="shared" si="2"/>
        <v>0</v>
      </c>
      <c r="N19" s="12">
        <v>11</v>
      </c>
      <c r="O19" s="65"/>
      <c r="P19" s="49"/>
      <c r="Q19" s="50"/>
      <c r="R19" s="51"/>
      <c r="S19" s="52"/>
      <c r="T19" s="53"/>
      <c r="U19" s="54"/>
      <c r="V19" s="62"/>
      <c r="X19" s="1">
        <f t="shared" ca="1" si="3"/>
        <v>1</v>
      </c>
      <c r="Z19" s="1">
        <f t="shared" ref="Z19:AK28" si="5">IF(Z$8=$R19,-$T19,0)+IF(Z$8=$S19,$T19,0)</f>
        <v>0</v>
      </c>
      <c r="AA19" s="1">
        <f t="shared" si="5"/>
        <v>0</v>
      </c>
      <c r="AB19" s="1">
        <f t="shared" si="5"/>
        <v>0</v>
      </c>
      <c r="AC19" s="1">
        <f t="shared" si="5"/>
        <v>0</v>
      </c>
      <c r="AD19" s="1">
        <f t="shared" si="5"/>
        <v>0</v>
      </c>
      <c r="AE19" s="1">
        <f t="shared" si="5"/>
        <v>0</v>
      </c>
      <c r="AF19" s="1">
        <f t="shared" si="5"/>
        <v>0</v>
      </c>
      <c r="AG19" s="1">
        <f t="shared" si="5"/>
        <v>0</v>
      </c>
      <c r="AH19" s="1">
        <f t="shared" si="5"/>
        <v>0</v>
      </c>
      <c r="AI19" s="1">
        <f t="shared" si="5"/>
        <v>0</v>
      </c>
      <c r="AJ19" s="1">
        <f t="shared" si="5"/>
        <v>0</v>
      </c>
      <c r="AK19" s="1">
        <f t="shared" si="5"/>
        <v>0</v>
      </c>
    </row>
    <row r="20" spans="1:37" ht="14.1" customHeight="1" x14ac:dyDescent="0.2">
      <c r="A20" s="16">
        <v>12</v>
      </c>
      <c r="B20" s="65"/>
      <c r="C20" s="121" t="str">
        <f>TRIM(ANUAL!C24)</f>
        <v>---</v>
      </c>
      <c r="D20" s="122" t="str">
        <f>TRIM(ANUAL!D24)</f>
        <v/>
      </c>
      <c r="E20" s="133">
        <v>0</v>
      </c>
      <c r="F20" s="123">
        <f t="shared" ca="1" si="0"/>
        <v>0</v>
      </c>
      <c r="G20" s="123">
        <f t="shared" ca="1" si="1"/>
        <v>0</v>
      </c>
      <c r="H20" s="62"/>
      <c r="J20" s="3" t="b">
        <f t="shared" si="2"/>
        <v>0</v>
      </c>
      <c r="K20" s="3" t="b">
        <f t="shared" si="2"/>
        <v>0</v>
      </c>
      <c r="L20" s="3" t="b">
        <f t="shared" si="2"/>
        <v>0</v>
      </c>
      <c r="N20" s="16">
        <v>12</v>
      </c>
      <c r="O20" s="65"/>
      <c r="P20" s="55"/>
      <c r="Q20" s="56"/>
      <c r="R20" s="57"/>
      <c r="S20" s="58"/>
      <c r="T20" s="59"/>
      <c r="U20" s="60"/>
      <c r="V20" s="62"/>
      <c r="X20" s="1">
        <f t="shared" ca="1" si="3"/>
        <v>1</v>
      </c>
      <c r="Z20" s="1">
        <f t="shared" si="5"/>
        <v>0</v>
      </c>
      <c r="AA20" s="1">
        <f t="shared" si="5"/>
        <v>0</v>
      </c>
      <c r="AB20" s="1">
        <f t="shared" si="5"/>
        <v>0</v>
      </c>
      <c r="AC20" s="1">
        <f t="shared" si="5"/>
        <v>0</v>
      </c>
      <c r="AD20" s="1">
        <f t="shared" si="5"/>
        <v>0</v>
      </c>
      <c r="AE20" s="1">
        <f t="shared" si="5"/>
        <v>0</v>
      </c>
      <c r="AF20" s="1">
        <f t="shared" si="5"/>
        <v>0</v>
      </c>
      <c r="AG20" s="1">
        <f t="shared" si="5"/>
        <v>0</v>
      </c>
      <c r="AH20" s="1">
        <f t="shared" si="5"/>
        <v>0</v>
      </c>
      <c r="AI20" s="1">
        <f t="shared" si="5"/>
        <v>0</v>
      </c>
      <c r="AJ20" s="1">
        <f t="shared" si="5"/>
        <v>0</v>
      </c>
      <c r="AK20" s="1">
        <f t="shared" si="5"/>
        <v>0</v>
      </c>
    </row>
    <row r="21" spans="1:37" ht="14.1" customHeight="1" x14ac:dyDescent="0.2">
      <c r="B21" s="128"/>
      <c r="C21" s="129"/>
      <c r="D21" s="130"/>
      <c r="E21" s="130"/>
      <c r="F21" s="130"/>
      <c r="G21" s="130"/>
      <c r="H21" s="131"/>
      <c r="N21" s="12">
        <v>13</v>
      </c>
      <c r="O21" s="65"/>
      <c r="P21" s="49"/>
      <c r="Q21" s="50"/>
      <c r="R21" s="51"/>
      <c r="S21" s="52"/>
      <c r="T21" s="53"/>
      <c r="U21" s="54"/>
      <c r="V21" s="62"/>
      <c r="X21" s="1">
        <f t="shared" ca="1" si="3"/>
        <v>1</v>
      </c>
      <c r="Z21" s="1">
        <f t="shared" si="5"/>
        <v>0</v>
      </c>
      <c r="AA21" s="1">
        <f t="shared" si="5"/>
        <v>0</v>
      </c>
      <c r="AB21" s="1">
        <f t="shared" si="5"/>
        <v>0</v>
      </c>
      <c r="AC21" s="1">
        <f t="shared" si="5"/>
        <v>0</v>
      </c>
      <c r="AD21" s="1">
        <f t="shared" si="5"/>
        <v>0</v>
      </c>
      <c r="AE21" s="1">
        <f t="shared" si="5"/>
        <v>0</v>
      </c>
      <c r="AF21" s="1">
        <f t="shared" si="5"/>
        <v>0</v>
      </c>
      <c r="AG21" s="1">
        <f t="shared" si="5"/>
        <v>0</v>
      </c>
      <c r="AH21" s="1">
        <f t="shared" si="5"/>
        <v>0</v>
      </c>
      <c r="AI21" s="1">
        <f t="shared" si="5"/>
        <v>0</v>
      </c>
      <c r="AJ21" s="1">
        <f t="shared" si="5"/>
        <v>0</v>
      </c>
      <c r="AK21" s="1">
        <f t="shared" si="5"/>
        <v>0</v>
      </c>
    </row>
    <row r="22" spans="1:37" ht="14.1" customHeight="1" x14ac:dyDescent="0.2">
      <c r="J22" s="29"/>
      <c r="K22" s="29"/>
      <c r="L22" s="29"/>
      <c r="N22" s="16">
        <v>14</v>
      </c>
      <c r="O22" s="65"/>
      <c r="P22" s="55"/>
      <c r="Q22" s="56"/>
      <c r="R22" s="57"/>
      <c r="S22" s="58"/>
      <c r="T22" s="59"/>
      <c r="U22" s="60"/>
      <c r="V22" s="62"/>
      <c r="X22" s="1">
        <f t="shared" ca="1" si="3"/>
        <v>1</v>
      </c>
      <c r="Z22" s="1">
        <f t="shared" si="5"/>
        <v>0</v>
      </c>
      <c r="AA22" s="1">
        <f t="shared" si="5"/>
        <v>0</v>
      </c>
      <c r="AB22" s="1">
        <f t="shared" si="5"/>
        <v>0</v>
      </c>
      <c r="AC22" s="1">
        <f t="shared" si="5"/>
        <v>0</v>
      </c>
      <c r="AD22" s="1">
        <f t="shared" si="5"/>
        <v>0</v>
      </c>
      <c r="AE22" s="1">
        <f t="shared" si="5"/>
        <v>0</v>
      </c>
      <c r="AF22" s="1">
        <f t="shared" si="5"/>
        <v>0</v>
      </c>
      <c r="AG22" s="1">
        <f t="shared" si="5"/>
        <v>0</v>
      </c>
      <c r="AH22" s="1">
        <f t="shared" si="5"/>
        <v>0</v>
      </c>
      <c r="AI22" s="1">
        <f t="shared" si="5"/>
        <v>0</v>
      </c>
      <c r="AJ22" s="1">
        <f t="shared" si="5"/>
        <v>0</v>
      </c>
      <c r="AK22" s="1">
        <f t="shared" si="5"/>
        <v>0</v>
      </c>
    </row>
    <row r="23" spans="1:37" ht="14.1" customHeight="1" x14ac:dyDescent="0.2">
      <c r="B23" s="77"/>
      <c r="C23" s="78"/>
      <c r="D23" s="79"/>
      <c r="E23" s="79"/>
      <c r="F23" s="79"/>
      <c r="G23" s="79"/>
      <c r="H23" s="80"/>
      <c r="I23" s="3"/>
      <c r="J23" s="3"/>
      <c r="K23" s="3"/>
      <c r="L23" s="3"/>
      <c r="M23" s="3"/>
      <c r="N23" s="12">
        <v>15</v>
      </c>
      <c r="O23" s="65"/>
      <c r="P23" s="49"/>
      <c r="Q23" s="50"/>
      <c r="R23" s="51"/>
      <c r="S23" s="52"/>
      <c r="T23" s="53"/>
      <c r="U23" s="54"/>
      <c r="V23" s="62"/>
      <c r="X23" s="1">
        <f t="shared" ca="1" si="3"/>
        <v>1</v>
      </c>
      <c r="Z23" s="1">
        <f t="shared" si="5"/>
        <v>0</v>
      </c>
      <c r="AA23" s="1">
        <f t="shared" si="5"/>
        <v>0</v>
      </c>
      <c r="AB23" s="1">
        <f t="shared" si="5"/>
        <v>0</v>
      </c>
      <c r="AC23" s="1">
        <f t="shared" si="5"/>
        <v>0</v>
      </c>
      <c r="AD23" s="1">
        <f t="shared" si="5"/>
        <v>0</v>
      </c>
      <c r="AE23" s="1">
        <f t="shared" si="5"/>
        <v>0</v>
      </c>
      <c r="AF23" s="1">
        <f t="shared" si="5"/>
        <v>0</v>
      </c>
      <c r="AG23" s="1">
        <f t="shared" si="5"/>
        <v>0</v>
      </c>
      <c r="AH23" s="1">
        <f t="shared" si="5"/>
        <v>0</v>
      </c>
      <c r="AI23" s="1">
        <f t="shared" si="5"/>
        <v>0</v>
      </c>
      <c r="AJ23" s="1">
        <f t="shared" si="5"/>
        <v>0</v>
      </c>
      <c r="AK23" s="1">
        <f t="shared" si="5"/>
        <v>0</v>
      </c>
    </row>
    <row r="24" spans="1:37" ht="14.1" customHeight="1" x14ac:dyDescent="0.2">
      <c r="B24" s="81"/>
      <c r="C24" s="285" t="s">
        <v>103</v>
      </c>
      <c r="D24" s="285"/>
      <c r="E24" s="285"/>
      <c r="F24" s="285"/>
      <c r="G24" s="285"/>
      <c r="H24" s="82"/>
      <c r="I24" s="3"/>
      <c r="J24" s="3"/>
      <c r="K24" s="3"/>
      <c r="L24" s="3"/>
      <c r="M24" s="3"/>
      <c r="N24" s="16">
        <v>16</v>
      </c>
      <c r="O24" s="65"/>
      <c r="P24" s="55"/>
      <c r="Q24" s="56"/>
      <c r="R24" s="57"/>
      <c r="S24" s="58"/>
      <c r="T24" s="59"/>
      <c r="U24" s="60"/>
      <c r="V24" s="62"/>
      <c r="X24" s="1">
        <f t="shared" ca="1" si="3"/>
        <v>1</v>
      </c>
      <c r="Z24" s="1">
        <f t="shared" si="5"/>
        <v>0</v>
      </c>
      <c r="AA24" s="1">
        <f t="shared" si="5"/>
        <v>0</v>
      </c>
      <c r="AB24" s="1">
        <f t="shared" si="5"/>
        <v>0</v>
      </c>
      <c r="AC24" s="1">
        <f t="shared" si="5"/>
        <v>0</v>
      </c>
      <c r="AD24" s="1">
        <f t="shared" si="5"/>
        <v>0</v>
      </c>
      <c r="AE24" s="1">
        <f t="shared" si="5"/>
        <v>0</v>
      </c>
      <c r="AF24" s="1">
        <f t="shared" si="5"/>
        <v>0</v>
      </c>
      <c r="AG24" s="1">
        <f t="shared" si="5"/>
        <v>0</v>
      </c>
      <c r="AH24" s="1">
        <f t="shared" si="5"/>
        <v>0</v>
      </c>
      <c r="AI24" s="1">
        <f t="shared" si="5"/>
        <v>0</v>
      </c>
      <c r="AJ24" s="1">
        <f t="shared" si="5"/>
        <v>0</v>
      </c>
      <c r="AK24" s="1">
        <f t="shared" si="5"/>
        <v>0</v>
      </c>
    </row>
    <row r="25" spans="1:37" ht="14.1" customHeight="1" x14ac:dyDescent="0.2">
      <c r="B25" s="81"/>
      <c r="C25" s="285"/>
      <c r="D25" s="285"/>
      <c r="E25" s="285"/>
      <c r="F25" s="285"/>
      <c r="G25" s="285"/>
      <c r="H25" s="82"/>
      <c r="I25" s="3"/>
      <c r="J25" s="3"/>
      <c r="K25" s="3"/>
      <c r="L25" s="3"/>
      <c r="M25" s="3"/>
      <c r="N25" s="12">
        <v>17</v>
      </c>
      <c r="O25" s="65"/>
      <c r="P25" s="49"/>
      <c r="Q25" s="50"/>
      <c r="R25" s="51"/>
      <c r="S25" s="52"/>
      <c r="T25" s="53"/>
      <c r="U25" s="54"/>
      <c r="V25" s="62"/>
      <c r="X25" s="1">
        <f t="shared" ca="1" si="3"/>
        <v>1</v>
      </c>
      <c r="Z25" s="1">
        <f t="shared" si="5"/>
        <v>0</v>
      </c>
      <c r="AA25" s="1">
        <f t="shared" si="5"/>
        <v>0</v>
      </c>
      <c r="AB25" s="1">
        <f t="shared" si="5"/>
        <v>0</v>
      </c>
      <c r="AC25" s="1">
        <f t="shared" si="5"/>
        <v>0</v>
      </c>
      <c r="AD25" s="1">
        <f t="shared" si="5"/>
        <v>0</v>
      </c>
      <c r="AE25" s="1">
        <f t="shared" si="5"/>
        <v>0</v>
      </c>
      <c r="AF25" s="1">
        <f t="shared" si="5"/>
        <v>0</v>
      </c>
      <c r="AG25" s="1">
        <f t="shared" si="5"/>
        <v>0</v>
      </c>
      <c r="AH25" s="1">
        <f t="shared" si="5"/>
        <v>0</v>
      </c>
      <c r="AI25" s="1">
        <f t="shared" si="5"/>
        <v>0</v>
      </c>
      <c r="AJ25" s="1">
        <f t="shared" si="5"/>
        <v>0</v>
      </c>
      <c r="AK25" s="1">
        <f t="shared" si="5"/>
        <v>0</v>
      </c>
    </row>
    <row r="26" spans="1:37" ht="14.1" customHeight="1" x14ac:dyDescent="0.2">
      <c r="B26" s="46"/>
      <c r="C26" s="271" t="s">
        <v>94</v>
      </c>
      <c r="D26" s="273" t="s">
        <v>5</v>
      </c>
      <c r="E26" s="275" t="s">
        <v>104</v>
      </c>
      <c r="F26" s="275" t="s">
        <v>89</v>
      </c>
      <c r="G26" s="276" t="s">
        <v>6</v>
      </c>
      <c r="H26" s="82"/>
      <c r="I26" s="3"/>
      <c r="J26" s="3"/>
      <c r="K26" s="3"/>
      <c r="L26" s="3"/>
      <c r="M26" s="3"/>
      <c r="N26" s="16">
        <v>18</v>
      </c>
      <c r="O26" s="65"/>
      <c r="P26" s="55"/>
      <c r="Q26" s="56"/>
      <c r="R26" s="57"/>
      <c r="S26" s="58"/>
      <c r="T26" s="59"/>
      <c r="U26" s="60"/>
      <c r="V26" s="62"/>
      <c r="X26" s="1">
        <f t="shared" ca="1" si="3"/>
        <v>1</v>
      </c>
      <c r="Z26" s="1">
        <f t="shared" si="5"/>
        <v>0</v>
      </c>
      <c r="AA26" s="1">
        <f t="shared" si="5"/>
        <v>0</v>
      </c>
      <c r="AB26" s="1">
        <f t="shared" si="5"/>
        <v>0</v>
      </c>
      <c r="AC26" s="1">
        <f t="shared" si="5"/>
        <v>0</v>
      </c>
      <c r="AD26" s="1">
        <f t="shared" si="5"/>
        <v>0</v>
      </c>
      <c r="AE26" s="1">
        <f t="shared" si="5"/>
        <v>0</v>
      </c>
      <c r="AF26" s="1">
        <f t="shared" si="5"/>
        <v>0</v>
      </c>
      <c r="AG26" s="1">
        <f t="shared" si="5"/>
        <v>0</v>
      </c>
      <c r="AH26" s="1">
        <f t="shared" si="5"/>
        <v>0</v>
      </c>
      <c r="AI26" s="1">
        <f t="shared" si="5"/>
        <v>0</v>
      </c>
      <c r="AJ26" s="1">
        <f t="shared" si="5"/>
        <v>0</v>
      </c>
      <c r="AK26" s="1">
        <f t="shared" si="5"/>
        <v>0</v>
      </c>
    </row>
    <row r="27" spans="1:37" ht="14.1" customHeight="1" x14ac:dyDescent="0.2">
      <c r="A27" s="3"/>
      <c r="B27" s="44"/>
      <c r="C27" s="272"/>
      <c r="D27" s="274"/>
      <c r="E27" s="99" t="s">
        <v>87</v>
      </c>
      <c r="F27" s="100" t="s">
        <v>89</v>
      </c>
      <c r="G27" s="98" t="s">
        <v>105</v>
      </c>
      <c r="H27" s="83"/>
      <c r="I27" s="3"/>
      <c r="J27" s="3" t="str">
        <f>ANUAL!C115</f>
        <v>CC</v>
      </c>
      <c r="K27" s="3" t="str">
        <f>ANUAL!C116</f>
        <v>INV</v>
      </c>
      <c r="L27" s="3" t="str">
        <f>ANUAL!C117</f>
        <v>DINH</v>
      </c>
      <c r="M27" s="3"/>
      <c r="N27" s="12">
        <v>19</v>
      </c>
      <c r="O27" s="65"/>
      <c r="P27" s="49"/>
      <c r="Q27" s="50"/>
      <c r="R27" s="51"/>
      <c r="S27" s="52"/>
      <c r="T27" s="53"/>
      <c r="U27" s="54"/>
      <c r="V27" s="62"/>
      <c r="X27" s="1">
        <f t="shared" ca="1" si="3"/>
        <v>1</v>
      </c>
      <c r="Z27" s="1">
        <f t="shared" si="5"/>
        <v>0</v>
      </c>
      <c r="AA27" s="1">
        <f t="shared" si="5"/>
        <v>0</v>
      </c>
      <c r="AB27" s="1">
        <f t="shared" si="5"/>
        <v>0</v>
      </c>
      <c r="AC27" s="1">
        <f t="shared" si="5"/>
        <v>0</v>
      </c>
      <c r="AD27" s="1">
        <f t="shared" si="5"/>
        <v>0</v>
      </c>
      <c r="AE27" s="1">
        <f t="shared" si="5"/>
        <v>0</v>
      </c>
      <c r="AF27" s="1">
        <f t="shared" si="5"/>
        <v>0</v>
      </c>
      <c r="AG27" s="1">
        <f t="shared" si="5"/>
        <v>0</v>
      </c>
      <c r="AH27" s="1">
        <f t="shared" si="5"/>
        <v>0</v>
      </c>
      <c r="AI27" s="1">
        <f t="shared" si="5"/>
        <v>0</v>
      </c>
      <c r="AJ27" s="1">
        <f t="shared" si="5"/>
        <v>0</v>
      </c>
      <c r="AK27" s="1">
        <f t="shared" si="5"/>
        <v>0</v>
      </c>
    </row>
    <row r="28" spans="1:37" ht="14.1" customHeight="1" x14ac:dyDescent="0.2">
      <c r="A28" s="12">
        <v>1</v>
      </c>
      <c r="B28" s="64"/>
      <c r="C28" s="115" t="str">
        <f t="shared" ref="C28:D39" si="6">C9</f>
        <v/>
      </c>
      <c r="D28" s="116" t="str">
        <f t="shared" si="6"/>
        <v>CONTA CORRENTE BANCO 1</v>
      </c>
      <c r="E28" s="117">
        <f t="shared" ref="E28:E39" ca="1" si="7">SUMIF(OFFSET($Z$9:$Z$88,0,A28-1),"&gt;0")</f>
        <v>0</v>
      </c>
      <c r="F28" s="117">
        <f t="shared" ref="F28:F39" ca="1" si="8">SUMIF(OFFSET($Z$9:$Z$88,0,A28-1),"&lt;0")</f>
        <v>0</v>
      </c>
      <c r="G28" s="117">
        <f t="shared" ref="G28:G39" ca="1" si="9">SUM(E28:F28)</f>
        <v>0</v>
      </c>
      <c r="H28" s="61"/>
      <c r="I28" s="3"/>
      <c r="J28" s="3" t="b">
        <f t="shared" ref="J28:L39" si="10">NOT(ISERR(SEARCH(J$27,$C28)))</f>
        <v>0</v>
      </c>
      <c r="K28" s="3" t="b">
        <f t="shared" si="10"/>
        <v>0</v>
      </c>
      <c r="L28" s="3" t="b">
        <f t="shared" si="10"/>
        <v>0</v>
      </c>
      <c r="M28" s="3"/>
      <c r="N28" s="16">
        <v>20</v>
      </c>
      <c r="O28" s="65"/>
      <c r="P28" s="55"/>
      <c r="Q28" s="56"/>
      <c r="R28" s="57"/>
      <c r="S28" s="58"/>
      <c r="T28" s="59"/>
      <c r="U28" s="60"/>
      <c r="V28" s="62"/>
      <c r="X28" s="1">
        <f t="shared" ca="1" si="3"/>
        <v>1</v>
      </c>
      <c r="Z28" s="1">
        <f t="shared" si="5"/>
        <v>0</v>
      </c>
      <c r="AA28" s="1">
        <f t="shared" si="5"/>
        <v>0</v>
      </c>
      <c r="AB28" s="1">
        <f t="shared" si="5"/>
        <v>0</v>
      </c>
      <c r="AC28" s="1">
        <f t="shared" si="5"/>
        <v>0</v>
      </c>
      <c r="AD28" s="1">
        <f t="shared" si="5"/>
        <v>0</v>
      </c>
      <c r="AE28" s="1">
        <f t="shared" si="5"/>
        <v>0</v>
      </c>
      <c r="AF28" s="1">
        <f t="shared" si="5"/>
        <v>0</v>
      </c>
      <c r="AG28" s="1">
        <f t="shared" si="5"/>
        <v>0</v>
      </c>
      <c r="AH28" s="1">
        <f t="shared" si="5"/>
        <v>0</v>
      </c>
      <c r="AI28" s="1">
        <f t="shared" si="5"/>
        <v>0</v>
      </c>
      <c r="AJ28" s="1">
        <f t="shared" si="5"/>
        <v>0</v>
      </c>
      <c r="AK28" s="1">
        <f t="shared" si="5"/>
        <v>0</v>
      </c>
    </row>
    <row r="29" spans="1:37" ht="14.1" customHeight="1" x14ac:dyDescent="0.2">
      <c r="A29" s="16">
        <v>2</v>
      </c>
      <c r="B29" s="65"/>
      <c r="C29" s="118" t="str">
        <f t="shared" si="6"/>
        <v>INV1</v>
      </c>
      <c r="D29" s="119" t="str">
        <f t="shared" si="6"/>
        <v>POUPANÇA BANCO 1</v>
      </c>
      <c r="E29" s="120">
        <f t="shared" ca="1" si="7"/>
        <v>0</v>
      </c>
      <c r="F29" s="120">
        <f t="shared" ca="1" si="8"/>
        <v>0</v>
      </c>
      <c r="G29" s="120">
        <f t="shared" ca="1" si="9"/>
        <v>0</v>
      </c>
      <c r="H29" s="62"/>
      <c r="I29" s="3"/>
      <c r="J29" s="3" t="b">
        <f t="shared" si="10"/>
        <v>0</v>
      </c>
      <c r="K29" s="3" t="b">
        <f t="shared" si="10"/>
        <v>1</v>
      </c>
      <c r="L29" s="3" t="b">
        <f t="shared" si="10"/>
        <v>0</v>
      </c>
      <c r="M29" s="3"/>
      <c r="N29" s="12">
        <v>21</v>
      </c>
      <c r="O29" s="65"/>
      <c r="P29" s="49"/>
      <c r="Q29" s="50"/>
      <c r="R29" s="51"/>
      <c r="S29" s="52"/>
      <c r="T29" s="53"/>
      <c r="U29" s="54"/>
      <c r="V29" s="62"/>
      <c r="X29" s="1">
        <f t="shared" ca="1" si="3"/>
        <v>1</v>
      </c>
      <c r="Z29" s="1">
        <f t="shared" ref="Z29:AK38" si="11">IF(Z$8=$R29,-$T29,0)+IF(Z$8=$S29,$T29,0)</f>
        <v>0</v>
      </c>
      <c r="AA29" s="1">
        <f t="shared" si="11"/>
        <v>0</v>
      </c>
      <c r="AB29" s="1">
        <f t="shared" si="11"/>
        <v>0</v>
      </c>
      <c r="AC29" s="1">
        <f t="shared" si="11"/>
        <v>0</v>
      </c>
      <c r="AD29" s="1">
        <f t="shared" si="11"/>
        <v>0</v>
      </c>
      <c r="AE29" s="1">
        <f t="shared" si="11"/>
        <v>0</v>
      </c>
      <c r="AF29" s="1">
        <f t="shared" si="11"/>
        <v>0</v>
      </c>
      <c r="AG29" s="1">
        <f t="shared" si="11"/>
        <v>0</v>
      </c>
      <c r="AH29" s="1">
        <f t="shared" si="11"/>
        <v>0</v>
      </c>
      <c r="AI29" s="1">
        <f t="shared" si="11"/>
        <v>0</v>
      </c>
      <c r="AJ29" s="1">
        <f t="shared" si="11"/>
        <v>0</v>
      </c>
      <c r="AK29" s="1">
        <f t="shared" si="11"/>
        <v>0</v>
      </c>
    </row>
    <row r="30" spans="1:37" ht="14.1" customHeight="1" x14ac:dyDescent="0.2">
      <c r="A30" s="12">
        <v>3</v>
      </c>
      <c r="B30" s="65"/>
      <c r="C30" s="115" t="str">
        <f t="shared" si="6"/>
        <v>DINH1</v>
      </c>
      <c r="D30" s="116" t="str">
        <f t="shared" si="6"/>
        <v>EM ESPÉCIE</v>
      </c>
      <c r="E30" s="117">
        <f t="shared" ca="1" si="7"/>
        <v>0</v>
      </c>
      <c r="F30" s="117">
        <f t="shared" ca="1" si="8"/>
        <v>0</v>
      </c>
      <c r="G30" s="117">
        <f t="shared" ca="1" si="9"/>
        <v>0</v>
      </c>
      <c r="H30" s="62"/>
      <c r="I30" s="3"/>
      <c r="J30" s="3" t="b">
        <f t="shared" si="10"/>
        <v>0</v>
      </c>
      <c r="K30" s="3" t="b">
        <f t="shared" si="10"/>
        <v>0</v>
      </c>
      <c r="L30" s="3" t="b">
        <f t="shared" si="10"/>
        <v>1</v>
      </c>
      <c r="M30" s="3"/>
      <c r="N30" s="16">
        <v>22</v>
      </c>
      <c r="O30" s="65"/>
      <c r="P30" s="55"/>
      <c r="Q30" s="56"/>
      <c r="R30" s="57"/>
      <c r="S30" s="58"/>
      <c r="T30" s="59"/>
      <c r="U30" s="60"/>
      <c r="V30" s="62"/>
      <c r="X30" s="1">
        <f t="shared" ca="1" si="3"/>
        <v>1</v>
      </c>
      <c r="Z30" s="1">
        <f t="shared" si="11"/>
        <v>0</v>
      </c>
      <c r="AA30" s="1">
        <f t="shared" si="11"/>
        <v>0</v>
      </c>
      <c r="AB30" s="1">
        <f t="shared" si="11"/>
        <v>0</v>
      </c>
      <c r="AC30" s="1">
        <f t="shared" si="11"/>
        <v>0</v>
      </c>
      <c r="AD30" s="1">
        <f t="shared" si="11"/>
        <v>0</v>
      </c>
      <c r="AE30" s="1">
        <f t="shared" si="11"/>
        <v>0</v>
      </c>
      <c r="AF30" s="1">
        <f t="shared" si="11"/>
        <v>0</v>
      </c>
      <c r="AG30" s="1">
        <f t="shared" si="11"/>
        <v>0</v>
      </c>
      <c r="AH30" s="1">
        <f t="shared" si="11"/>
        <v>0</v>
      </c>
      <c r="AI30" s="1">
        <f t="shared" si="11"/>
        <v>0</v>
      </c>
      <c r="AJ30" s="1">
        <f t="shared" si="11"/>
        <v>0</v>
      </c>
      <c r="AK30" s="1">
        <f t="shared" si="11"/>
        <v>0</v>
      </c>
    </row>
    <row r="31" spans="1:37" ht="14.1" customHeight="1" x14ac:dyDescent="0.2">
      <c r="A31" s="16">
        <v>4</v>
      </c>
      <c r="B31" s="65"/>
      <c r="C31" s="118" t="str">
        <f t="shared" si="6"/>
        <v>CRED1</v>
      </c>
      <c r="D31" s="119" t="str">
        <f t="shared" si="6"/>
        <v>CARTÃO DE CRÉDITO 1</v>
      </c>
      <c r="E31" s="120">
        <f t="shared" ca="1" si="7"/>
        <v>0</v>
      </c>
      <c r="F31" s="120">
        <f t="shared" ca="1" si="8"/>
        <v>0</v>
      </c>
      <c r="G31" s="120">
        <f t="shared" ca="1" si="9"/>
        <v>0</v>
      </c>
      <c r="H31" s="62"/>
      <c r="I31" s="3"/>
      <c r="J31" s="3" t="b">
        <f t="shared" si="10"/>
        <v>0</v>
      </c>
      <c r="K31" s="3" t="b">
        <f t="shared" si="10"/>
        <v>0</v>
      </c>
      <c r="L31" s="3" t="b">
        <f t="shared" si="10"/>
        <v>0</v>
      </c>
      <c r="M31" s="3"/>
      <c r="N31" s="12">
        <v>23</v>
      </c>
      <c r="O31" s="65"/>
      <c r="P31" s="49"/>
      <c r="Q31" s="50"/>
      <c r="R31" s="51"/>
      <c r="S31" s="52"/>
      <c r="T31" s="53"/>
      <c r="U31" s="54"/>
      <c r="V31" s="62"/>
      <c r="X31" s="1">
        <f t="shared" ca="1" si="3"/>
        <v>1</v>
      </c>
      <c r="Z31" s="1">
        <f t="shared" si="11"/>
        <v>0</v>
      </c>
      <c r="AA31" s="1">
        <f t="shared" si="11"/>
        <v>0</v>
      </c>
      <c r="AB31" s="1">
        <f t="shared" si="11"/>
        <v>0</v>
      </c>
      <c r="AC31" s="1">
        <f t="shared" si="11"/>
        <v>0</v>
      </c>
      <c r="AD31" s="1">
        <f t="shared" si="11"/>
        <v>0</v>
      </c>
      <c r="AE31" s="1">
        <f t="shared" si="11"/>
        <v>0</v>
      </c>
      <c r="AF31" s="1">
        <f t="shared" si="11"/>
        <v>0</v>
      </c>
      <c r="AG31" s="1">
        <f t="shared" si="11"/>
        <v>0</v>
      </c>
      <c r="AH31" s="1">
        <f t="shared" si="11"/>
        <v>0</v>
      </c>
      <c r="AI31" s="1">
        <f t="shared" si="11"/>
        <v>0</v>
      </c>
      <c r="AJ31" s="1">
        <f t="shared" si="11"/>
        <v>0</v>
      </c>
      <c r="AK31" s="1">
        <f t="shared" si="11"/>
        <v>0</v>
      </c>
    </row>
    <row r="32" spans="1:37" ht="14.1" customHeight="1" x14ac:dyDescent="0.2">
      <c r="A32" s="12">
        <v>5</v>
      </c>
      <c r="B32" s="65"/>
      <c r="C32" s="115" t="str">
        <f t="shared" si="6"/>
        <v>---</v>
      </c>
      <c r="D32" s="116" t="str">
        <f t="shared" si="6"/>
        <v/>
      </c>
      <c r="E32" s="117">
        <f t="shared" ca="1" si="7"/>
        <v>0</v>
      </c>
      <c r="F32" s="117">
        <f t="shared" ca="1" si="8"/>
        <v>0</v>
      </c>
      <c r="G32" s="117">
        <f t="shared" ca="1" si="9"/>
        <v>0</v>
      </c>
      <c r="H32" s="62"/>
      <c r="I32" s="3"/>
      <c r="J32" s="3" t="b">
        <f t="shared" si="10"/>
        <v>0</v>
      </c>
      <c r="K32" s="3" t="b">
        <f t="shared" si="10"/>
        <v>0</v>
      </c>
      <c r="L32" s="3" t="b">
        <f t="shared" si="10"/>
        <v>0</v>
      </c>
      <c r="M32" s="3"/>
      <c r="N32" s="16">
        <v>24</v>
      </c>
      <c r="O32" s="65"/>
      <c r="P32" s="55"/>
      <c r="Q32" s="56"/>
      <c r="R32" s="57"/>
      <c r="S32" s="58"/>
      <c r="T32" s="59"/>
      <c r="U32" s="60"/>
      <c r="V32" s="62"/>
      <c r="X32" s="1">
        <f t="shared" ca="1" si="3"/>
        <v>1</v>
      </c>
      <c r="Z32" s="1">
        <f t="shared" si="11"/>
        <v>0</v>
      </c>
      <c r="AA32" s="1">
        <f t="shared" si="11"/>
        <v>0</v>
      </c>
      <c r="AB32" s="1">
        <f t="shared" si="11"/>
        <v>0</v>
      </c>
      <c r="AC32" s="1">
        <f t="shared" si="11"/>
        <v>0</v>
      </c>
      <c r="AD32" s="1">
        <f t="shared" si="11"/>
        <v>0</v>
      </c>
      <c r="AE32" s="1">
        <f t="shared" si="11"/>
        <v>0</v>
      </c>
      <c r="AF32" s="1">
        <f t="shared" si="11"/>
        <v>0</v>
      </c>
      <c r="AG32" s="1">
        <f t="shared" si="11"/>
        <v>0</v>
      </c>
      <c r="AH32" s="1">
        <f t="shared" si="11"/>
        <v>0</v>
      </c>
      <c r="AI32" s="1">
        <f t="shared" si="11"/>
        <v>0</v>
      </c>
      <c r="AJ32" s="1">
        <f t="shared" si="11"/>
        <v>0</v>
      </c>
      <c r="AK32" s="1">
        <f t="shared" si="11"/>
        <v>0</v>
      </c>
    </row>
    <row r="33" spans="1:37" ht="14.1" customHeight="1" x14ac:dyDescent="0.2">
      <c r="A33" s="16">
        <v>6</v>
      </c>
      <c r="B33" s="65"/>
      <c r="C33" s="118" t="str">
        <f t="shared" si="6"/>
        <v>---</v>
      </c>
      <c r="D33" s="119" t="str">
        <f t="shared" si="6"/>
        <v/>
      </c>
      <c r="E33" s="120">
        <f t="shared" ca="1" si="7"/>
        <v>0</v>
      </c>
      <c r="F33" s="120">
        <f t="shared" ca="1" si="8"/>
        <v>0</v>
      </c>
      <c r="G33" s="120">
        <f t="shared" ca="1" si="9"/>
        <v>0</v>
      </c>
      <c r="H33" s="62"/>
      <c r="I33" s="3"/>
      <c r="J33" s="3" t="b">
        <f t="shared" si="10"/>
        <v>0</v>
      </c>
      <c r="K33" s="3" t="b">
        <f t="shared" si="10"/>
        <v>0</v>
      </c>
      <c r="L33" s="3" t="b">
        <f t="shared" si="10"/>
        <v>0</v>
      </c>
      <c r="M33" s="3"/>
      <c r="N33" s="12">
        <v>25</v>
      </c>
      <c r="O33" s="65"/>
      <c r="P33" s="49"/>
      <c r="Q33" s="50"/>
      <c r="R33" s="51"/>
      <c r="S33" s="52"/>
      <c r="T33" s="53"/>
      <c r="U33" s="54"/>
      <c r="V33" s="62"/>
      <c r="X33" s="1">
        <f t="shared" ca="1" si="3"/>
        <v>1</v>
      </c>
      <c r="Z33" s="1">
        <f t="shared" si="11"/>
        <v>0</v>
      </c>
      <c r="AA33" s="1">
        <f t="shared" si="11"/>
        <v>0</v>
      </c>
      <c r="AB33" s="1">
        <f t="shared" si="11"/>
        <v>0</v>
      </c>
      <c r="AC33" s="1">
        <f t="shared" si="11"/>
        <v>0</v>
      </c>
      <c r="AD33" s="1">
        <f t="shared" si="11"/>
        <v>0</v>
      </c>
      <c r="AE33" s="1">
        <f t="shared" si="11"/>
        <v>0</v>
      </c>
      <c r="AF33" s="1">
        <f t="shared" si="11"/>
        <v>0</v>
      </c>
      <c r="AG33" s="1">
        <f t="shared" si="11"/>
        <v>0</v>
      </c>
      <c r="AH33" s="1">
        <f t="shared" si="11"/>
        <v>0</v>
      </c>
      <c r="AI33" s="1">
        <f t="shared" si="11"/>
        <v>0</v>
      </c>
      <c r="AJ33" s="1">
        <f t="shared" si="11"/>
        <v>0</v>
      </c>
      <c r="AK33" s="1">
        <f t="shared" si="11"/>
        <v>0</v>
      </c>
    </row>
    <row r="34" spans="1:37" ht="14.1" customHeight="1" x14ac:dyDescent="0.2">
      <c r="A34" s="12">
        <v>7</v>
      </c>
      <c r="B34" s="65"/>
      <c r="C34" s="115" t="str">
        <f t="shared" si="6"/>
        <v>---</v>
      </c>
      <c r="D34" s="116" t="str">
        <f t="shared" si="6"/>
        <v/>
      </c>
      <c r="E34" s="117">
        <f t="shared" ca="1" si="7"/>
        <v>0</v>
      </c>
      <c r="F34" s="117">
        <f t="shared" ca="1" si="8"/>
        <v>0</v>
      </c>
      <c r="G34" s="117">
        <f t="shared" ca="1" si="9"/>
        <v>0</v>
      </c>
      <c r="H34" s="62"/>
      <c r="I34" s="3"/>
      <c r="J34" s="3" t="b">
        <f t="shared" si="10"/>
        <v>0</v>
      </c>
      <c r="K34" s="3" t="b">
        <f t="shared" si="10"/>
        <v>0</v>
      </c>
      <c r="L34" s="3" t="b">
        <f t="shared" si="10"/>
        <v>0</v>
      </c>
      <c r="M34" s="3"/>
      <c r="N34" s="16">
        <v>26</v>
      </c>
      <c r="O34" s="65"/>
      <c r="P34" s="55"/>
      <c r="Q34" s="56"/>
      <c r="R34" s="57"/>
      <c r="S34" s="58"/>
      <c r="T34" s="59"/>
      <c r="U34" s="60"/>
      <c r="V34" s="62"/>
      <c r="X34" s="1">
        <f t="shared" ca="1" si="3"/>
        <v>1</v>
      </c>
      <c r="Z34" s="1">
        <f t="shared" si="11"/>
        <v>0</v>
      </c>
      <c r="AA34" s="1">
        <f t="shared" si="11"/>
        <v>0</v>
      </c>
      <c r="AB34" s="1">
        <f t="shared" si="11"/>
        <v>0</v>
      </c>
      <c r="AC34" s="1">
        <f t="shared" si="11"/>
        <v>0</v>
      </c>
      <c r="AD34" s="1">
        <f t="shared" si="11"/>
        <v>0</v>
      </c>
      <c r="AE34" s="1">
        <f t="shared" si="11"/>
        <v>0</v>
      </c>
      <c r="AF34" s="1">
        <f t="shared" si="11"/>
        <v>0</v>
      </c>
      <c r="AG34" s="1">
        <f t="shared" si="11"/>
        <v>0</v>
      </c>
      <c r="AH34" s="1">
        <f t="shared" si="11"/>
        <v>0</v>
      </c>
      <c r="AI34" s="1">
        <f t="shared" si="11"/>
        <v>0</v>
      </c>
      <c r="AJ34" s="1">
        <f t="shared" si="11"/>
        <v>0</v>
      </c>
      <c r="AK34" s="1">
        <f t="shared" si="11"/>
        <v>0</v>
      </c>
    </row>
    <row r="35" spans="1:37" ht="14.1" customHeight="1" x14ac:dyDescent="0.2">
      <c r="A35" s="16">
        <v>8</v>
      </c>
      <c r="B35" s="65"/>
      <c r="C35" s="118" t="str">
        <f t="shared" si="6"/>
        <v>---</v>
      </c>
      <c r="D35" s="119" t="str">
        <f t="shared" si="6"/>
        <v/>
      </c>
      <c r="E35" s="120">
        <f t="shared" ca="1" si="7"/>
        <v>0</v>
      </c>
      <c r="F35" s="120">
        <f t="shared" ca="1" si="8"/>
        <v>0</v>
      </c>
      <c r="G35" s="120">
        <f t="shared" ca="1" si="9"/>
        <v>0</v>
      </c>
      <c r="H35" s="62"/>
      <c r="I35" s="3"/>
      <c r="J35" s="3" t="b">
        <f t="shared" si="10"/>
        <v>0</v>
      </c>
      <c r="K35" s="3" t="b">
        <f t="shared" si="10"/>
        <v>0</v>
      </c>
      <c r="L35" s="3" t="b">
        <f t="shared" si="10"/>
        <v>0</v>
      </c>
      <c r="M35" s="3"/>
      <c r="N35" s="12">
        <v>27</v>
      </c>
      <c r="O35" s="65"/>
      <c r="P35" s="49"/>
      <c r="Q35" s="50"/>
      <c r="R35" s="51"/>
      <c r="S35" s="52"/>
      <c r="T35" s="53"/>
      <c r="U35" s="54"/>
      <c r="V35" s="62"/>
      <c r="X35" s="1">
        <f t="shared" ca="1" si="3"/>
        <v>1</v>
      </c>
      <c r="Z35" s="1">
        <f t="shared" si="11"/>
        <v>0</v>
      </c>
      <c r="AA35" s="1">
        <f t="shared" si="11"/>
        <v>0</v>
      </c>
      <c r="AB35" s="1">
        <f t="shared" si="11"/>
        <v>0</v>
      </c>
      <c r="AC35" s="1">
        <f t="shared" si="11"/>
        <v>0</v>
      </c>
      <c r="AD35" s="1">
        <f t="shared" si="11"/>
        <v>0</v>
      </c>
      <c r="AE35" s="1">
        <f t="shared" si="11"/>
        <v>0</v>
      </c>
      <c r="AF35" s="1">
        <f t="shared" si="11"/>
        <v>0</v>
      </c>
      <c r="AG35" s="1">
        <f t="shared" si="11"/>
        <v>0</v>
      </c>
      <c r="AH35" s="1">
        <f t="shared" si="11"/>
        <v>0</v>
      </c>
      <c r="AI35" s="1">
        <f t="shared" si="11"/>
        <v>0</v>
      </c>
      <c r="AJ35" s="1">
        <f t="shared" si="11"/>
        <v>0</v>
      </c>
      <c r="AK35" s="1">
        <f t="shared" si="11"/>
        <v>0</v>
      </c>
    </row>
    <row r="36" spans="1:37" ht="14.1" customHeight="1" x14ac:dyDescent="0.2">
      <c r="A36" s="12">
        <v>9</v>
      </c>
      <c r="B36" s="65"/>
      <c r="C36" s="115" t="str">
        <f t="shared" si="6"/>
        <v>---</v>
      </c>
      <c r="D36" s="116" t="str">
        <f t="shared" si="6"/>
        <v/>
      </c>
      <c r="E36" s="117">
        <f t="shared" ca="1" si="7"/>
        <v>0</v>
      </c>
      <c r="F36" s="117">
        <f t="shared" ca="1" si="8"/>
        <v>0</v>
      </c>
      <c r="G36" s="117">
        <f t="shared" ca="1" si="9"/>
        <v>0</v>
      </c>
      <c r="H36" s="62"/>
      <c r="I36" s="3"/>
      <c r="J36" s="3" t="b">
        <f t="shared" si="10"/>
        <v>0</v>
      </c>
      <c r="K36" s="3" t="b">
        <f t="shared" si="10"/>
        <v>0</v>
      </c>
      <c r="L36" s="3" t="b">
        <f t="shared" si="10"/>
        <v>0</v>
      </c>
      <c r="M36" s="3"/>
      <c r="N36" s="16">
        <v>28</v>
      </c>
      <c r="O36" s="65"/>
      <c r="P36" s="55"/>
      <c r="Q36" s="56"/>
      <c r="R36" s="57"/>
      <c r="S36" s="58"/>
      <c r="T36" s="59"/>
      <c r="U36" s="60"/>
      <c r="V36" s="62"/>
      <c r="X36" s="1">
        <f t="shared" ca="1" si="3"/>
        <v>1</v>
      </c>
      <c r="Z36" s="1">
        <f t="shared" si="11"/>
        <v>0</v>
      </c>
      <c r="AA36" s="1">
        <f t="shared" si="11"/>
        <v>0</v>
      </c>
      <c r="AB36" s="1">
        <f t="shared" si="11"/>
        <v>0</v>
      </c>
      <c r="AC36" s="1">
        <f t="shared" si="11"/>
        <v>0</v>
      </c>
      <c r="AD36" s="1">
        <f t="shared" si="11"/>
        <v>0</v>
      </c>
      <c r="AE36" s="1">
        <f t="shared" si="11"/>
        <v>0</v>
      </c>
      <c r="AF36" s="1">
        <f t="shared" si="11"/>
        <v>0</v>
      </c>
      <c r="AG36" s="1">
        <f t="shared" si="11"/>
        <v>0</v>
      </c>
      <c r="AH36" s="1">
        <f t="shared" si="11"/>
        <v>0</v>
      </c>
      <c r="AI36" s="1">
        <f t="shared" si="11"/>
        <v>0</v>
      </c>
      <c r="AJ36" s="1">
        <f t="shared" si="11"/>
        <v>0</v>
      </c>
      <c r="AK36" s="1">
        <f t="shared" si="11"/>
        <v>0</v>
      </c>
    </row>
    <row r="37" spans="1:37" ht="14.1" customHeight="1" x14ac:dyDescent="0.2">
      <c r="A37" s="16">
        <v>10</v>
      </c>
      <c r="B37" s="65"/>
      <c r="C37" s="118" t="str">
        <f t="shared" si="6"/>
        <v>---</v>
      </c>
      <c r="D37" s="119" t="str">
        <f t="shared" si="6"/>
        <v/>
      </c>
      <c r="E37" s="120">
        <f t="shared" ca="1" si="7"/>
        <v>0</v>
      </c>
      <c r="F37" s="120">
        <f t="shared" ca="1" si="8"/>
        <v>0</v>
      </c>
      <c r="G37" s="120">
        <f t="shared" ca="1" si="9"/>
        <v>0</v>
      </c>
      <c r="H37" s="62"/>
      <c r="I37" s="3"/>
      <c r="J37" s="3" t="b">
        <f t="shared" si="10"/>
        <v>0</v>
      </c>
      <c r="K37" s="3" t="b">
        <f t="shared" si="10"/>
        <v>0</v>
      </c>
      <c r="L37" s="3" t="b">
        <f t="shared" si="10"/>
        <v>0</v>
      </c>
      <c r="M37" s="3"/>
      <c r="N37" s="12">
        <v>29</v>
      </c>
      <c r="O37" s="65"/>
      <c r="P37" s="49"/>
      <c r="Q37" s="50"/>
      <c r="R37" s="51"/>
      <c r="S37" s="52"/>
      <c r="T37" s="53"/>
      <c r="U37" s="54"/>
      <c r="V37" s="62"/>
      <c r="X37" s="1">
        <f t="shared" ca="1" si="3"/>
        <v>1</v>
      </c>
      <c r="Z37" s="1">
        <f t="shared" si="11"/>
        <v>0</v>
      </c>
      <c r="AA37" s="1">
        <f t="shared" si="11"/>
        <v>0</v>
      </c>
      <c r="AB37" s="1">
        <f t="shared" si="11"/>
        <v>0</v>
      </c>
      <c r="AC37" s="1">
        <f t="shared" si="11"/>
        <v>0</v>
      </c>
      <c r="AD37" s="1">
        <f t="shared" si="11"/>
        <v>0</v>
      </c>
      <c r="AE37" s="1">
        <f t="shared" si="11"/>
        <v>0</v>
      </c>
      <c r="AF37" s="1">
        <f t="shared" si="11"/>
        <v>0</v>
      </c>
      <c r="AG37" s="1">
        <f t="shared" si="11"/>
        <v>0</v>
      </c>
      <c r="AH37" s="1">
        <f t="shared" si="11"/>
        <v>0</v>
      </c>
      <c r="AI37" s="1">
        <f t="shared" si="11"/>
        <v>0</v>
      </c>
      <c r="AJ37" s="1">
        <f t="shared" si="11"/>
        <v>0</v>
      </c>
      <c r="AK37" s="1">
        <f t="shared" si="11"/>
        <v>0</v>
      </c>
    </row>
    <row r="38" spans="1:37" ht="14.1" customHeight="1" x14ac:dyDescent="0.2">
      <c r="A38" s="12">
        <v>11</v>
      </c>
      <c r="B38" s="65"/>
      <c r="C38" s="115" t="str">
        <f t="shared" si="6"/>
        <v>---</v>
      </c>
      <c r="D38" s="116" t="str">
        <f t="shared" si="6"/>
        <v/>
      </c>
      <c r="E38" s="117">
        <f t="shared" ca="1" si="7"/>
        <v>0</v>
      </c>
      <c r="F38" s="117">
        <f t="shared" ca="1" si="8"/>
        <v>0</v>
      </c>
      <c r="G38" s="117">
        <f t="shared" ca="1" si="9"/>
        <v>0</v>
      </c>
      <c r="H38" s="62"/>
      <c r="I38" s="3"/>
      <c r="J38" s="3" t="b">
        <f t="shared" si="10"/>
        <v>0</v>
      </c>
      <c r="K38" s="3" t="b">
        <f t="shared" si="10"/>
        <v>0</v>
      </c>
      <c r="L38" s="3" t="b">
        <f t="shared" si="10"/>
        <v>0</v>
      </c>
      <c r="M38" s="3"/>
      <c r="N38" s="16">
        <v>30</v>
      </c>
      <c r="O38" s="65"/>
      <c r="P38" s="55"/>
      <c r="Q38" s="56"/>
      <c r="R38" s="57"/>
      <c r="S38" s="58"/>
      <c r="T38" s="59"/>
      <c r="U38" s="60"/>
      <c r="V38" s="62"/>
      <c r="X38" s="1">
        <f t="shared" ca="1" si="3"/>
        <v>1</v>
      </c>
      <c r="Z38" s="1">
        <f t="shared" si="11"/>
        <v>0</v>
      </c>
      <c r="AA38" s="1">
        <f t="shared" si="11"/>
        <v>0</v>
      </c>
      <c r="AB38" s="1">
        <f t="shared" si="11"/>
        <v>0</v>
      </c>
      <c r="AC38" s="1">
        <f t="shared" si="11"/>
        <v>0</v>
      </c>
      <c r="AD38" s="1">
        <f t="shared" si="11"/>
        <v>0</v>
      </c>
      <c r="AE38" s="1">
        <f t="shared" si="11"/>
        <v>0</v>
      </c>
      <c r="AF38" s="1">
        <f t="shared" si="11"/>
        <v>0</v>
      </c>
      <c r="AG38" s="1">
        <f t="shared" si="11"/>
        <v>0</v>
      </c>
      <c r="AH38" s="1">
        <f t="shared" si="11"/>
        <v>0</v>
      </c>
      <c r="AI38" s="1">
        <f t="shared" si="11"/>
        <v>0</v>
      </c>
      <c r="AJ38" s="1">
        <f t="shared" si="11"/>
        <v>0</v>
      </c>
      <c r="AK38" s="1">
        <f t="shared" si="11"/>
        <v>0</v>
      </c>
    </row>
    <row r="39" spans="1:37" ht="14.1" customHeight="1" x14ac:dyDescent="0.2">
      <c r="A39" s="16">
        <v>12</v>
      </c>
      <c r="B39" s="66"/>
      <c r="C39" s="121" t="str">
        <f t="shared" si="6"/>
        <v>---</v>
      </c>
      <c r="D39" s="122" t="str">
        <f t="shared" si="6"/>
        <v/>
      </c>
      <c r="E39" s="123">
        <f t="shared" ca="1" si="7"/>
        <v>0</v>
      </c>
      <c r="F39" s="123">
        <f t="shared" ca="1" si="8"/>
        <v>0</v>
      </c>
      <c r="G39" s="123">
        <f t="shared" ca="1" si="9"/>
        <v>0</v>
      </c>
      <c r="H39" s="63"/>
      <c r="I39" s="3"/>
      <c r="J39" s="3" t="b">
        <f t="shared" si="10"/>
        <v>0</v>
      </c>
      <c r="K39" s="3" t="b">
        <f t="shared" si="10"/>
        <v>0</v>
      </c>
      <c r="L39" s="3" t="b">
        <f t="shared" si="10"/>
        <v>0</v>
      </c>
      <c r="M39" s="3"/>
      <c r="N39" s="12">
        <v>31</v>
      </c>
      <c r="O39" s="65"/>
      <c r="P39" s="49"/>
      <c r="Q39" s="50"/>
      <c r="R39" s="51"/>
      <c r="S39" s="52"/>
      <c r="T39" s="53"/>
      <c r="U39" s="54"/>
      <c r="V39" s="62"/>
      <c r="X39" s="1">
        <f t="shared" ca="1" si="3"/>
        <v>1</v>
      </c>
      <c r="Z39" s="1">
        <f t="shared" ref="Z39:AK48" si="12">IF(Z$8=$R39,-$T39,0)+IF(Z$8=$S39,$T39,0)</f>
        <v>0</v>
      </c>
      <c r="AA39" s="1">
        <f t="shared" si="12"/>
        <v>0</v>
      </c>
      <c r="AB39" s="1">
        <f t="shared" si="12"/>
        <v>0</v>
      </c>
      <c r="AC39" s="1">
        <f t="shared" si="12"/>
        <v>0</v>
      </c>
      <c r="AD39" s="1">
        <f t="shared" si="12"/>
        <v>0</v>
      </c>
      <c r="AE39" s="1">
        <f t="shared" si="12"/>
        <v>0</v>
      </c>
      <c r="AF39" s="1">
        <f t="shared" si="12"/>
        <v>0</v>
      </c>
      <c r="AG39" s="1">
        <f t="shared" si="12"/>
        <v>0</v>
      </c>
      <c r="AH39" s="1">
        <f t="shared" si="12"/>
        <v>0</v>
      </c>
      <c r="AI39" s="1">
        <f t="shared" si="12"/>
        <v>0</v>
      </c>
      <c r="AJ39" s="1">
        <f t="shared" si="12"/>
        <v>0</v>
      </c>
      <c r="AK39" s="1">
        <f t="shared" si="12"/>
        <v>0</v>
      </c>
    </row>
    <row r="40" spans="1:37" ht="14.1" customHeight="1" x14ac:dyDescent="0.2">
      <c r="A40" s="12"/>
      <c r="B40" s="124"/>
      <c r="C40" s="125"/>
      <c r="D40" s="126"/>
      <c r="E40" s="126"/>
      <c r="F40" s="126"/>
      <c r="G40" s="126"/>
      <c r="H40" s="127"/>
      <c r="I40" s="3"/>
      <c r="J40" s="3"/>
      <c r="K40" s="3"/>
      <c r="L40" s="3"/>
      <c r="M40" s="3"/>
      <c r="N40" s="16">
        <v>32</v>
      </c>
      <c r="O40" s="65"/>
      <c r="P40" s="55"/>
      <c r="Q40" s="56"/>
      <c r="R40" s="57"/>
      <c r="S40" s="58"/>
      <c r="T40" s="59"/>
      <c r="U40" s="60"/>
      <c r="V40" s="62"/>
      <c r="X40" s="1">
        <f t="shared" ca="1" si="3"/>
        <v>1</v>
      </c>
      <c r="Z40" s="1">
        <f t="shared" si="12"/>
        <v>0</v>
      </c>
      <c r="AA40" s="1">
        <f t="shared" si="12"/>
        <v>0</v>
      </c>
      <c r="AB40" s="1">
        <f t="shared" si="12"/>
        <v>0</v>
      </c>
      <c r="AC40" s="1">
        <f t="shared" si="12"/>
        <v>0</v>
      </c>
      <c r="AD40" s="1">
        <f t="shared" si="12"/>
        <v>0</v>
      </c>
      <c r="AE40" s="1">
        <f t="shared" si="12"/>
        <v>0</v>
      </c>
      <c r="AF40" s="1">
        <f t="shared" si="12"/>
        <v>0</v>
      </c>
      <c r="AG40" s="1">
        <f t="shared" si="12"/>
        <v>0</v>
      </c>
      <c r="AH40" s="1">
        <f t="shared" si="12"/>
        <v>0</v>
      </c>
      <c r="AI40" s="1">
        <f t="shared" si="12"/>
        <v>0</v>
      </c>
      <c r="AJ40" s="1">
        <f t="shared" si="12"/>
        <v>0</v>
      </c>
      <c r="AK40" s="1">
        <f t="shared" si="12"/>
        <v>0</v>
      </c>
    </row>
    <row r="41" spans="1:37" ht="14.1" customHeight="1" x14ac:dyDescent="0.2">
      <c r="I41" s="3"/>
      <c r="J41" s="3"/>
      <c r="K41" s="3"/>
      <c r="L41" s="3"/>
      <c r="M41" s="3"/>
      <c r="N41" s="12">
        <v>33</v>
      </c>
      <c r="O41" s="65"/>
      <c r="P41" s="49"/>
      <c r="Q41" s="50"/>
      <c r="R41" s="51"/>
      <c r="S41" s="52"/>
      <c r="T41" s="53"/>
      <c r="U41" s="54"/>
      <c r="V41" s="62"/>
      <c r="X41" s="1">
        <f t="shared" ref="X41:X72" ca="1" si="13">IF(P41&lt;NOW(),1,0)</f>
        <v>1</v>
      </c>
      <c r="Z41" s="1">
        <f t="shared" si="12"/>
        <v>0</v>
      </c>
      <c r="AA41" s="1">
        <f t="shared" si="12"/>
        <v>0</v>
      </c>
      <c r="AB41" s="1">
        <f t="shared" si="12"/>
        <v>0</v>
      </c>
      <c r="AC41" s="1">
        <f t="shared" si="12"/>
        <v>0</v>
      </c>
      <c r="AD41" s="1">
        <f t="shared" si="12"/>
        <v>0</v>
      </c>
      <c r="AE41" s="1">
        <f t="shared" si="12"/>
        <v>0</v>
      </c>
      <c r="AF41" s="1">
        <f t="shared" si="12"/>
        <v>0</v>
      </c>
      <c r="AG41" s="1">
        <f t="shared" si="12"/>
        <v>0</v>
      </c>
      <c r="AH41" s="1">
        <f t="shared" si="12"/>
        <v>0</v>
      </c>
      <c r="AI41" s="1">
        <f t="shared" si="12"/>
        <v>0</v>
      </c>
      <c r="AJ41" s="1">
        <f t="shared" si="12"/>
        <v>0</v>
      </c>
      <c r="AK41" s="1">
        <f t="shared" si="12"/>
        <v>0</v>
      </c>
    </row>
    <row r="42" spans="1:37" ht="14.1" customHeight="1" x14ac:dyDescent="0.2">
      <c r="B42" s="91"/>
      <c r="C42" s="92"/>
      <c r="D42" s="93"/>
      <c r="E42" s="93"/>
      <c r="F42" s="93"/>
      <c r="G42" s="93"/>
      <c r="H42" s="94"/>
      <c r="I42" s="3"/>
      <c r="J42" s="3"/>
      <c r="K42" s="3"/>
      <c r="L42" s="3"/>
      <c r="M42" s="3"/>
      <c r="N42" s="16">
        <v>34</v>
      </c>
      <c r="O42" s="65"/>
      <c r="P42" s="55"/>
      <c r="Q42" s="56"/>
      <c r="R42" s="57"/>
      <c r="S42" s="58"/>
      <c r="T42" s="59"/>
      <c r="U42" s="60"/>
      <c r="V42" s="62"/>
      <c r="X42" s="1">
        <f t="shared" ca="1" si="13"/>
        <v>1</v>
      </c>
      <c r="Z42" s="1">
        <f t="shared" si="12"/>
        <v>0</v>
      </c>
      <c r="AA42" s="1">
        <f t="shared" si="12"/>
        <v>0</v>
      </c>
      <c r="AB42" s="1">
        <f t="shared" si="12"/>
        <v>0</v>
      </c>
      <c r="AC42" s="1">
        <f t="shared" si="12"/>
        <v>0</v>
      </c>
      <c r="AD42" s="1">
        <f t="shared" si="12"/>
        <v>0</v>
      </c>
      <c r="AE42" s="1">
        <f t="shared" si="12"/>
        <v>0</v>
      </c>
      <c r="AF42" s="1">
        <f t="shared" si="12"/>
        <v>0</v>
      </c>
      <c r="AG42" s="1">
        <f t="shared" si="12"/>
        <v>0</v>
      </c>
      <c r="AH42" s="1">
        <f t="shared" si="12"/>
        <v>0</v>
      </c>
      <c r="AI42" s="1">
        <f t="shared" si="12"/>
        <v>0</v>
      </c>
      <c r="AJ42" s="1">
        <f t="shared" si="12"/>
        <v>0</v>
      </c>
      <c r="AK42" s="1">
        <f t="shared" si="12"/>
        <v>0</v>
      </c>
    </row>
    <row r="43" spans="1:37" ht="14.1" customHeight="1" x14ac:dyDescent="0.2">
      <c r="B43" s="95"/>
      <c r="C43" s="286" t="s">
        <v>106</v>
      </c>
      <c r="D43" s="286"/>
      <c r="E43" s="286"/>
      <c r="F43" s="286"/>
      <c r="G43" s="286"/>
      <c r="H43" s="96"/>
      <c r="I43" s="3"/>
      <c r="J43" s="3"/>
      <c r="K43" s="3"/>
      <c r="L43" s="3"/>
      <c r="M43" s="3"/>
      <c r="N43" s="12">
        <v>35</v>
      </c>
      <c r="O43" s="65"/>
      <c r="P43" s="49"/>
      <c r="Q43" s="50"/>
      <c r="R43" s="51"/>
      <c r="S43" s="52"/>
      <c r="T43" s="53"/>
      <c r="U43" s="54"/>
      <c r="V43" s="62"/>
      <c r="X43" s="1">
        <f t="shared" ca="1" si="13"/>
        <v>1</v>
      </c>
      <c r="Z43" s="1">
        <f t="shared" si="12"/>
        <v>0</v>
      </c>
      <c r="AA43" s="1">
        <f t="shared" si="12"/>
        <v>0</v>
      </c>
      <c r="AB43" s="1">
        <f t="shared" si="12"/>
        <v>0</v>
      </c>
      <c r="AC43" s="1">
        <f t="shared" si="12"/>
        <v>0</v>
      </c>
      <c r="AD43" s="1">
        <f t="shared" si="12"/>
        <v>0</v>
      </c>
      <c r="AE43" s="1">
        <f t="shared" si="12"/>
        <v>0</v>
      </c>
      <c r="AF43" s="1">
        <f t="shared" si="12"/>
        <v>0</v>
      </c>
      <c r="AG43" s="1">
        <f t="shared" si="12"/>
        <v>0</v>
      </c>
      <c r="AH43" s="1">
        <f t="shared" si="12"/>
        <v>0</v>
      </c>
      <c r="AI43" s="1">
        <f t="shared" si="12"/>
        <v>0</v>
      </c>
      <c r="AJ43" s="1">
        <f t="shared" si="12"/>
        <v>0</v>
      </c>
      <c r="AK43" s="1">
        <f t="shared" si="12"/>
        <v>0</v>
      </c>
    </row>
    <row r="44" spans="1:37" ht="14.1" customHeight="1" x14ac:dyDescent="0.2">
      <c r="B44" s="95"/>
      <c r="C44" s="286"/>
      <c r="D44" s="286"/>
      <c r="E44" s="286"/>
      <c r="F44" s="286"/>
      <c r="G44" s="286"/>
      <c r="H44" s="96"/>
      <c r="I44" s="3"/>
      <c r="J44" s="3"/>
      <c r="K44" s="3"/>
      <c r="L44" s="3"/>
      <c r="M44" s="3"/>
      <c r="N44" s="16">
        <v>36</v>
      </c>
      <c r="O44" s="65"/>
      <c r="P44" s="55"/>
      <c r="Q44" s="56"/>
      <c r="R44" s="57"/>
      <c r="S44" s="58"/>
      <c r="T44" s="59"/>
      <c r="U44" s="60"/>
      <c r="V44" s="62"/>
      <c r="X44" s="1">
        <f t="shared" ca="1" si="13"/>
        <v>1</v>
      </c>
      <c r="Z44" s="1">
        <f t="shared" si="12"/>
        <v>0</v>
      </c>
      <c r="AA44" s="1">
        <f t="shared" si="12"/>
        <v>0</v>
      </c>
      <c r="AB44" s="1">
        <f t="shared" si="12"/>
        <v>0</v>
      </c>
      <c r="AC44" s="1">
        <f t="shared" si="12"/>
        <v>0</v>
      </c>
      <c r="AD44" s="1">
        <f t="shared" si="12"/>
        <v>0</v>
      </c>
      <c r="AE44" s="1">
        <f t="shared" si="12"/>
        <v>0</v>
      </c>
      <c r="AF44" s="1">
        <f t="shared" si="12"/>
        <v>0</v>
      </c>
      <c r="AG44" s="1">
        <f t="shared" si="12"/>
        <v>0</v>
      </c>
      <c r="AH44" s="1">
        <f t="shared" si="12"/>
        <v>0</v>
      </c>
      <c r="AI44" s="1">
        <f t="shared" si="12"/>
        <v>0</v>
      </c>
      <c r="AJ44" s="1">
        <f t="shared" si="12"/>
        <v>0</v>
      </c>
      <c r="AK44" s="1">
        <f t="shared" si="12"/>
        <v>0</v>
      </c>
    </row>
    <row r="45" spans="1:37" ht="14.1" customHeight="1" x14ac:dyDescent="0.2">
      <c r="B45" s="46"/>
      <c r="C45" s="271" t="s">
        <v>20</v>
      </c>
      <c r="D45" s="273" t="s">
        <v>5</v>
      </c>
      <c r="E45" s="275" t="s">
        <v>104</v>
      </c>
      <c r="F45" s="275" t="s">
        <v>89</v>
      </c>
      <c r="G45" s="276" t="s">
        <v>6</v>
      </c>
      <c r="H45" s="96"/>
      <c r="I45" s="3"/>
      <c r="J45" s="3"/>
      <c r="K45" s="3"/>
      <c r="L45" s="3"/>
      <c r="M45" s="3"/>
      <c r="N45" s="12">
        <v>37</v>
      </c>
      <c r="O45" s="65"/>
      <c r="P45" s="49"/>
      <c r="Q45" s="50"/>
      <c r="R45" s="51"/>
      <c r="S45" s="52"/>
      <c r="T45" s="53"/>
      <c r="U45" s="54"/>
      <c r="V45" s="62"/>
      <c r="X45" s="1">
        <f t="shared" ca="1" si="13"/>
        <v>1</v>
      </c>
      <c r="Z45" s="1">
        <f t="shared" si="12"/>
        <v>0</v>
      </c>
      <c r="AA45" s="1">
        <f t="shared" si="12"/>
        <v>0</v>
      </c>
      <c r="AB45" s="1">
        <f t="shared" si="12"/>
        <v>0</v>
      </c>
      <c r="AC45" s="1">
        <f t="shared" si="12"/>
        <v>0</v>
      </c>
      <c r="AD45" s="1">
        <f t="shared" si="12"/>
        <v>0</v>
      </c>
      <c r="AE45" s="1">
        <f t="shared" si="12"/>
        <v>0</v>
      </c>
      <c r="AF45" s="1">
        <f t="shared" si="12"/>
        <v>0</v>
      </c>
      <c r="AG45" s="1">
        <f t="shared" si="12"/>
        <v>0</v>
      </c>
      <c r="AH45" s="1">
        <f t="shared" si="12"/>
        <v>0</v>
      </c>
      <c r="AI45" s="1">
        <f t="shared" si="12"/>
        <v>0</v>
      </c>
      <c r="AJ45" s="1">
        <f t="shared" si="12"/>
        <v>0</v>
      </c>
      <c r="AK45" s="1">
        <f t="shared" si="12"/>
        <v>0</v>
      </c>
    </row>
    <row r="46" spans="1:37" ht="14.1" customHeight="1" x14ac:dyDescent="0.2">
      <c r="A46" s="3"/>
      <c r="B46" s="44"/>
      <c r="C46" s="272"/>
      <c r="D46" s="274"/>
      <c r="E46" s="99" t="s">
        <v>87</v>
      </c>
      <c r="F46" s="100" t="s">
        <v>89</v>
      </c>
      <c r="G46" s="98" t="s">
        <v>6</v>
      </c>
      <c r="H46" s="97"/>
      <c r="I46" s="3"/>
      <c r="J46" s="3"/>
      <c r="K46" s="3"/>
      <c r="L46" s="3"/>
      <c r="M46" s="3"/>
      <c r="N46" s="16">
        <v>38</v>
      </c>
      <c r="O46" s="65"/>
      <c r="P46" s="55"/>
      <c r="Q46" s="56"/>
      <c r="R46" s="57"/>
      <c r="S46" s="58"/>
      <c r="T46" s="59"/>
      <c r="U46" s="60"/>
      <c r="V46" s="62"/>
      <c r="X46" s="1">
        <f t="shared" ca="1" si="13"/>
        <v>1</v>
      </c>
      <c r="Z46" s="1">
        <f t="shared" si="12"/>
        <v>0</v>
      </c>
      <c r="AA46" s="1">
        <f t="shared" si="12"/>
        <v>0</v>
      </c>
      <c r="AB46" s="1">
        <f t="shared" si="12"/>
        <v>0</v>
      </c>
      <c r="AC46" s="1">
        <f t="shared" si="12"/>
        <v>0</v>
      </c>
      <c r="AD46" s="1">
        <f t="shared" si="12"/>
        <v>0</v>
      </c>
      <c r="AE46" s="1">
        <f t="shared" si="12"/>
        <v>0</v>
      </c>
      <c r="AF46" s="1">
        <f t="shared" si="12"/>
        <v>0</v>
      </c>
      <c r="AG46" s="1">
        <f t="shared" si="12"/>
        <v>0</v>
      </c>
      <c r="AH46" s="1">
        <f t="shared" si="12"/>
        <v>0</v>
      </c>
      <c r="AI46" s="1">
        <f t="shared" si="12"/>
        <v>0</v>
      </c>
      <c r="AJ46" s="1">
        <f t="shared" si="12"/>
        <v>0</v>
      </c>
      <c r="AK46" s="1">
        <f t="shared" si="12"/>
        <v>0</v>
      </c>
    </row>
    <row r="47" spans="1:37" ht="14.1" customHeight="1" x14ac:dyDescent="0.2">
      <c r="A47" s="12">
        <v>1</v>
      </c>
      <c r="B47" s="64"/>
      <c r="C47" s="115" t="str">
        <f>ANUAL!$C115</f>
        <v>CC</v>
      </c>
      <c r="D47" s="116" t="str">
        <f>ANUAL!$D115</f>
        <v>CONTA CORRENTE</v>
      </c>
      <c r="E47" s="117">
        <f>SUMIF($J$28:$J$39,TRUE,E$28:E$39)</f>
        <v>0</v>
      </c>
      <c r="F47" s="117">
        <f>SUMIF($J$28:$J$39,TRUE,F$28:F$39)</f>
        <v>0</v>
      </c>
      <c r="G47" s="117">
        <f>SUMIF($J$28:$J$39,TRUE,G$28:G$39)+SUMIF($J$9:$J$20,TRUE,E$9:E$20)</f>
        <v>0</v>
      </c>
      <c r="H47" s="61"/>
      <c r="N47" s="12">
        <v>39</v>
      </c>
      <c r="O47" s="65"/>
      <c r="P47" s="49"/>
      <c r="Q47" s="50"/>
      <c r="R47" s="51"/>
      <c r="S47" s="52"/>
      <c r="T47" s="53"/>
      <c r="U47" s="54"/>
      <c r="V47" s="62"/>
      <c r="X47" s="1">
        <f t="shared" ca="1" si="13"/>
        <v>1</v>
      </c>
      <c r="Z47" s="1">
        <f t="shared" si="12"/>
        <v>0</v>
      </c>
      <c r="AA47" s="1">
        <f t="shared" si="12"/>
        <v>0</v>
      </c>
      <c r="AB47" s="1">
        <f t="shared" si="12"/>
        <v>0</v>
      </c>
      <c r="AC47" s="1">
        <f t="shared" si="12"/>
        <v>0</v>
      </c>
      <c r="AD47" s="1">
        <f t="shared" si="12"/>
        <v>0</v>
      </c>
      <c r="AE47" s="1">
        <f t="shared" si="12"/>
        <v>0</v>
      </c>
      <c r="AF47" s="1">
        <f t="shared" si="12"/>
        <v>0</v>
      </c>
      <c r="AG47" s="1">
        <f t="shared" si="12"/>
        <v>0</v>
      </c>
      <c r="AH47" s="1">
        <f t="shared" si="12"/>
        <v>0</v>
      </c>
      <c r="AI47" s="1">
        <f t="shared" si="12"/>
        <v>0</v>
      </c>
      <c r="AJ47" s="1">
        <f t="shared" si="12"/>
        <v>0</v>
      </c>
      <c r="AK47" s="1">
        <f t="shared" si="12"/>
        <v>0</v>
      </c>
    </row>
    <row r="48" spans="1:37" ht="14.1" customHeight="1" x14ac:dyDescent="0.2">
      <c r="A48" s="16">
        <v>2</v>
      </c>
      <c r="B48" s="65"/>
      <c r="C48" s="118" t="str">
        <f>ANUAL!$C116</f>
        <v>INV</v>
      </c>
      <c r="D48" s="119" t="str">
        <f>ANUAL!$D116</f>
        <v>APLICAÇÕES DE INVESTIMENTO</v>
      </c>
      <c r="E48" s="120">
        <f ca="1">SUMIF($K$28:$K$39,TRUE,E$28:E$39)</f>
        <v>0</v>
      </c>
      <c r="F48" s="120">
        <f ca="1">SUMIF($K$28:$K$39,TRUE,F$28:F$39)</f>
        <v>0</v>
      </c>
      <c r="G48" s="120">
        <f ca="1">SUMIF($K$28:$K$39,TRUE,G$28:G$39)+SUMIF($K$9:$K$20,TRUE,E$9:E$20)</f>
        <v>0</v>
      </c>
      <c r="H48" s="62"/>
      <c r="N48" s="16">
        <v>40</v>
      </c>
      <c r="O48" s="65"/>
      <c r="P48" s="55"/>
      <c r="Q48" s="56"/>
      <c r="R48" s="57"/>
      <c r="S48" s="58"/>
      <c r="T48" s="59"/>
      <c r="U48" s="60"/>
      <c r="V48" s="62"/>
      <c r="X48" s="1">
        <f t="shared" ca="1" si="13"/>
        <v>1</v>
      </c>
      <c r="Z48" s="1">
        <f t="shared" si="12"/>
        <v>0</v>
      </c>
      <c r="AA48" s="1">
        <f t="shared" si="12"/>
        <v>0</v>
      </c>
      <c r="AB48" s="1">
        <f t="shared" si="12"/>
        <v>0</v>
      </c>
      <c r="AC48" s="1">
        <f t="shared" si="12"/>
        <v>0</v>
      </c>
      <c r="AD48" s="1">
        <f t="shared" si="12"/>
        <v>0</v>
      </c>
      <c r="AE48" s="1">
        <f t="shared" si="12"/>
        <v>0</v>
      </c>
      <c r="AF48" s="1">
        <f t="shared" si="12"/>
        <v>0</v>
      </c>
      <c r="AG48" s="1">
        <f t="shared" si="12"/>
        <v>0</v>
      </c>
      <c r="AH48" s="1">
        <f t="shared" si="12"/>
        <v>0</v>
      </c>
      <c r="AI48" s="1">
        <f t="shared" si="12"/>
        <v>0</v>
      </c>
      <c r="AJ48" s="1">
        <f t="shared" si="12"/>
        <v>0</v>
      </c>
      <c r="AK48" s="1">
        <f t="shared" si="12"/>
        <v>0</v>
      </c>
    </row>
    <row r="49" spans="1:37" ht="14.1" customHeight="1" x14ac:dyDescent="0.2">
      <c r="A49" s="12">
        <v>3</v>
      </c>
      <c r="B49" s="65"/>
      <c r="C49" s="115" t="str">
        <f>ANUAL!$C117</f>
        <v>DINH</v>
      </c>
      <c r="D49" s="116" t="str">
        <f>ANUAL!$D117</f>
        <v>EM ESPÉCIE</v>
      </c>
      <c r="E49" s="117">
        <f ca="1">SUMIF($L$28:$L$39,TRUE,E$28:E$39)</f>
        <v>0</v>
      </c>
      <c r="F49" s="117">
        <f ca="1">SUMIF($L$28:$L$39,TRUE,F$28:F$39)</f>
        <v>0</v>
      </c>
      <c r="G49" s="117">
        <f ca="1">SUMIF($L$28:$L$39,TRUE,G$28:G$39)+SUMIF($L$9:$L$20,TRUE,E$9:E$20)</f>
        <v>0</v>
      </c>
      <c r="H49" s="62"/>
      <c r="N49" s="12">
        <v>41</v>
      </c>
      <c r="O49" s="65"/>
      <c r="P49" s="49"/>
      <c r="Q49" s="50"/>
      <c r="R49" s="51"/>
      <c r="S49" s="52"/>
      <c r="T49" s="53"/>
      <c r="U49" s="54"/>
      <c r="V49" s="62"/>
      <c r="X49" s="1">
        <f t="shared" ca="1" si="13"/>
        <v>1</v>
      </c>
      <c r="Z49" s="1">
        <f t="shared" ref="Z49:AK58" si="14">IF(Z$8=$R49,-$T49,0)+IF(Z$8=$S49,$T49,0)</f>
        <v>0</v>
      </c>
      <c r="AA49" s="1">
        <f t="shared" si="14"/>
        <v>0</v>
      </c>
      <c r="AB49" s="1">
        <f t="shared" si="14"/>
        <v>0</v>
      </c>
      <c r="AC49" s="1">
        <f t="shared" si="14"/>
        <v>0</v>
      </c>
      <c r="AD49" s="1">
        <f t="shared" si="14"/>
        <v>0</v>
      </c>
      <c r="AE49" s="1">
        <f t="shared" si="14"/>
        <v>0</v>
      </c>
      <c r="AF49" s="1">
        <f t="shared" si="14"/>
        <v>0</v>
      </c>
      <c r="AG49" s="1">
        <f t="shared" si="14"/>
        <v>0</v>
      </c>
      <c r="AH49" s="1">
        <f t="shared" si="14"/>
        <v>0</v>
      </c>
      <c r="AI49" s="1">
        <f t="shared" si="14"/>
        <v>0</v>
      </c>
      <c r="AJ49" s="1">
        <f t="shared" si="14"/>
        <v>0</v>
      </c>
      <c r="AK49" s="1">
        <f t="shared" si="14"/>
        <v>0</v>
      </c>
    </row>
    <row r="50" spans="1:37" ht="14.1" customHeight="1" x14ac:dyDescent="0.2">
      <c r="A50" s="12"/>
      <c r="B50" s="109"/>
      <c r="C50" s="110"/>
      <c r="D50" s="111"/>
      <c r="E50" s="111"/>
      <c r="F50" s="111"/>
      <c r="G50" s="111"/>
      <c r="H50" s="112"/>
      <c r="I50" s="3"/>
      <c r="J50" s="3"/>
      <c r="K50" s="3"/>
      <c r="L50" s="3"/>
      <c r="M50" s="3"/>
      <c r="N50" s="16">
        <v>42</v>
      </c>
      <c r="O50" s="65"/>
      <c r="P50" s="55"/>
      <c r="Q50" s="56"/>
      <c r="R50" s="57"/>
      <c r="S50" s="58"/>
      <c r="T50" s="59"/>
      <c r="U50" s="60"/>
      <c r="V50" s="62"/>
      <c r="X50" s="1">
        <f t="shared" ca="1" si="13"/>
        <v>1</v>
      </c>
      <c r="Z50" s="1">
        <f t="shared" si="14"/>
        <v>0</v>
      </c>
      <c r="AA50" s="1">
        <f t="shared" si="14"/>
        <v>0</v>
      </c>
      <c r="AB50" s="1">
        <f t="shared" si="14"/>
        <v>0</v>
      </c>
      <c r="AC50" s="1">
        <f t="shared" si="14"/>
        <v>0</v>
      </c>
      <c r="AD50" s="1">
        <f t="shared" si="14"/>
        <v>0</v>
      </c>
      <c r="AE50" s="1">
        <f t="shared" si="14"/>
        <v>0</v>
      </c>
      <c r="AF50" s="1">
        <f t="shared" si="14"/>
        <v>0</v>
      </c>
      <c r="AG50" s="1">
        <f t="shared" si="14"/>
        <v>0</v>
      </c>
      <c r="AH50" s="1">
        <f t="shared" si="14"/>
        <v>0</v>
      </c>
      <c r="AI50" s="1">
        <f t="shared" si="14"/>
        <v>0</v>
      </c>
      <c r="AJ50" s="1">
        <f t="shared" si="14"/>
        <v>0</v>
      </c>
      <c r="AK50" s="1">
        <f t="shared" si="14"/>
        <v>0</v>
      </c>
    </row>
    <row r="51" spans="1:37" ht="14.1" customHeight="1" x14ac:dyDescent="0.2">
      <c r="I51" s="3"/>
      <c r="J51" s="3"/>
      <c r="K51" s="3"/>
      <c r="L51" s="3"/>
      <c r="M51" s="3"/>
      <c r="N51" s="12">
        <v>43</v>
      </c>
      <c r="O51" s="65"/>
      <c r="P51" s="49"/>
      <c r="Q51" s="50"/>
      <c r="R51" s="51"/>
      <c r="S51" s="52"/>
      <c r="T51" s="53"/>
      <c r="U51" s="54"/>
      <c r="V51" s="62"/>
      <c r="X51" s="1">
        <f t="shared" ca="1" si="13"/>
        <v>1</v>
      </c>
      <c r="Z51" s="1">
        <f t="shared" si="14"/>
        <v>0</v>
      </c>
      <c r="AA51" s="1">
        <f t="shared" si="14"/>
        <v>0</v>
      </c>
      <c r="AB51" s="1">
        <f t="shared" si="14"/>
        <v>0</v>
      </c>
      <c r="AC51" s="1">
        <f t="shared" si="14"/>
        <v>0</v>
      </c>
      <c r="AD51" s="1">
        <f t="shared" si="14"/>
        <v>0</v>
      </c>
      <c r="AE51" s="1">
        <f t="shared" si="14"/>
        <v>0</v>
      </c>
      <c r="AF51" s="1">
        <f t="shared" si="14"/>
        <v>0</v>
      </c>
      <c r="AG51" s="1">
        <f t="shared" si="14"/>
        <v>0</v>
      </c>
      <c r="AH51" s="1">
        <f t="shared" si="14"/>
        <v>0</v>
      </c>
      <c r="AI51" s="1">
        <f t="shared" si="14"/>
        <v>0</v>
      </c>
      <c r="AJ51" s="1">
        <f t="shared" si="14"/>
        <v>0</v>
      </c>
      <c r="AK51" s="1">
        <f t="shared" si="14"/>
        <v>0</v>
      </c>
    </row>
    <row r="52" spans="1:37" ht="14.1" customHeight="1" x14ac:dyDescent="0.2">
      <c r="B52" s="84"/>
      <c r="C52" s="85"/>
      <c r="D52" s="86"/>
      <c r="E52" s="86"/>
      <c r="F52" s="86"/>
      <c r="G52" s="86"/>
      <c r="H52" s="87"/>
      <c r="N52" s="16">
        <v>44</v>
      </c>
      <c r="O52" s="65"/>
      <c r="P52" s="55"/>
      <c r="Q52" s="56"/>
      <c r="R52" s="57"/>
      <c r="S52" s="58"/>
      <c r="T52" s="59"/>
      <c r="U52" s="60"/>
      <c r="V52" s="62"/>
      <c r="X52" s="1">
        <f t="shared" ca="1" si="13"/>
        <v>1</v>
      </c>
      <c r="Z52" s="1">
        <f t="shared" si="14"/>
        <v>0</v>
      </c>
      <c r="AA52" s="1">
        <f t="shared" si="14"/>
        <v>0</v>
      </c>
      <c r="AB52" s="1">
        <f t="shared" si="14"/>
        <v>0</v>
      </c>
      <c r="AC52" s="1">
        <f t="shared" si="14"/>
        <v>0</v>
      </c>
      <c r="AD52" s="1">
        <f t="shared" si="14"/>
        <v>0</v>
      </c>
      <c r="AE52" s="1">
        <f t="shared" si="14"/>
        <v>0</v>
      </c>
      <c r="AF52" s="1">
        <f t="shared" si="14"/>
        <v>0</v>
      </c>
      <c r="AG52" s="1">
        <f t="shared" si="14"/>
        <v>0</v>
      </c>
      <c r="AH52" s="1">
        <f t="shared" si="14"/>
        <v>0</v>
      </c>
      <c r="AI52" s="1">
        <f t="shared" si="14"/>
        <v>0</v>
      </c>
      <c r="AJ52" s="1">
        <f t="shared" si="14"/>
        <v>0</v>
      </c>
      <c r="AK52" s="1">
        <f t="shared" si="14"/>
        <v>0</v>
      </c>
    </row>
    <row r="53" spans="1:37" ht="14.1" customHeight="1" x14ac:dyDescent="0.2">
      <c r="B53" s="88"/>
      <c r="C53" s="304" t="s">
        <v>27</v>
      </c>
      <c r="D53" s="304"/>
      <c r="E53" s="304"/>
      <c r="F53" s="304"/>
      <c r="G53" s="304"/>
      <c r="H53" s="89"/>
      <c r="N53" s="12">
        <v>45</v>
      </c>
      <c r="O53" s="65"/>
      <c r="P53" s="49"/>
      <c r="Q53" s="50"/>
      <c r="R53" s="51"/>
      <c r="S53" s="52"/>
      <c r="T53" s="53"/>
      <c r="U53" s="54"/>
      <c r="V53" s="62"/>
      <c r="X53" s="1">
        <f t="shared" ca="1" si="13"/>
        <v>1</v>
      </c>
      <c r="Z53" s="1">
        <f t="shared" si="14"/>
        <v>0</v>
      </c>
      <c r="AA53" s="1">
        <f t="shared" si="14"/>
        <v>0</v>
      </c>
      <c r="AB53" s="1">
        <f t="shared" si="14"/>
        <v>0</v>
      </c>
      <c r="AC53" s="1">
        <f t="shared" si="14"/>
        <v>0</v>
      </c>
      <c r="AD53" s="1">
        <f t="shared" si="14"/>
        <v>0</v>
      </c>
      <c r="AE53" s="1">
        <f t="shared" si="14"/>
        <v>0</v>
      </c>
      <c r="AF53" s="1">
        <f t="shared" si="14"/>
        <v>0</v>
      </c>
      <c r="AG53" s="1">
        <f t="shared" si="14"/>
        <v>0</v>
      </c>
      <c r="AH53" s="1">
        <f t="shared" si="14"/>
        <v>0</v>
      </c>
      <c r="AI53" s="1">
        <f t="shared" si="14"/>
        <v>0</v>
      </c>
      <c r="AJ53" s="1">
        <f t="shared" si="14"/>
        <v>0</v>
      </c>
      <c r="AK53" s="1">
        <f t="shared" si="14"/>
        <v>0</v>
      </c>
    </row>
    <row r="54" spans="1:37" ht="14.1" customHeight="1" x14ac:dyDescent="0.2">
      <c r="B54" s="88"/>
      <c r="C54" s="304"/>
      <c r="D54" s="304"/>
      <c r="E54" s="304"/>
      <c r="F54" s="304"/>
      <c r="G54" s="304"/>
      <c r="H54" s="89"/>
      <c r="N54" s="16">
        <v>46</v>
      </c>
      <c r="O54" s="65"/>
      <c r="P54" s="55"/>
      <c r="Q54" s="56"/>
      <c r="R54" s="57"/>
      <c r="S54" s="58"/>
      <c r="T54" s="59"/>
      <c r="U54" s="60"/>
      <c r="V54" s="62"/>
      <c r="X54" s="1">
        <f t="shared" ca="1" si="13"/>
        <v>1</v>
      </c>
      <c r="Z54" s="1">
        <f t="shared" si="14"/>
        <v>0</v>
      </c>
      <c r="AA54" s="1">
        <f t="shared" si="14"/>
        <v>0</v>
      </c>
      <c r="AB54" s="1">
        <f t="shared" si="14"/>
        <v>0</v>
      </c>
      <c r="AC54" s="1">
        <f t="shared" si="14"/>
        <v>0</v>
      </c>
      <c r="AD54" s="1">
        <f t="shared" si="14"/>
        <v>0</v>
      </c>
      <c r="AE54" s="1">
        <f t="shared" si="14"/>
        <v>0</v>
      </c>
      <c r="AF54" s="1">
        <f t="shared" si="14"/>
        <v>0</v>
      </c>
      <c r="AG54" s="1">
        <f t="shared" si="14"/>
        <v>0</v>
      </c>
      <c r="AH54" s="1">
        <f t="shared" si="14"/>
        <v>0</v>
      </c>
      <c r="AI54" s="1">
        <f t="shared" si="14"/>
        <v>0</v>
      </c>
      <c r="AJ54" s="1">
        <f t="shared" si="14"/>
        <v>0</v>
      </c>
      <c r="AK54" s="1">
        <f t="shared" si="14"/>
        <v>0</v>
      </c>
    </row>
    <row r="55" spans="1:37" ht="14.1" customHeight="1" x14ac:dyDescent="0.2">
      <c r="B55" s="46"/>
      <c r="C55" s="271" t="s">
        <v>98</v>
      </c>
      <c r="D55" s="273" t="s">
        <v>5</v>
      </c>
      <c r="E55" s="273"/>
      <c r="F55" s="273"/>
      <c r="G55" s="276" t="s">
        <v>97</v>
      </c>
      <c r="H55" s="89"/>
      <c r="N55" s="12">
        <v>47</v>
      </c>
      <c r="O55" s="65"/>
      <c r="P55" s="49"/>
      <c r="Q55" s="50"/>
      <c r="R55" s="51"/>
      <c r="S55" s="52"/>
      <c r="T55" s="53"/>
      <c r="U55" s="54"/>
      <c r="V55" s="62"/>
      <c r="X55" s="1">
        <f t="shared" ca="1" si="13"/>
        <v>1</v>
      </c>
      <c r="Z55" s="1">
        <f t="shared" si="14"/>
        <v>0</v>
      </c>
      <c r="AA55" s="1">
        <f t="shared" si="14"/>
        <v>0</v>
      </c>
      <c r="AB55" s="1">
        <f t="shared" si="14"/>
        <v>0</v>
      </c>
      <c r="AC55" s="1">
        <f t="shared" si="14"/>
        <v>0</v>
      </c>
      <c r="AD55" s="1">
        <f t="shared" si="14"/>
        <v>0</v>
      </c>
      <c r="AE55" s="1">
        <f t="shared" si="14"/>
        <v>0</v>
      </c>
      <c r="AF55" s="1">
        <f t="shared" si="14"/>
        <v>0</v>
      </c>
      <c r="AG55" s="1">
        <f t="shared" si="14"/>
        <v>0</v>
      </c>
      <c r="AH55" s="1">
        <f t="shared" si="14"/>
        <v>0</v>
      </c>
      <c r="AI55" s="1">
        <f t="shared" si="14"/>
        <v>0</v>
      </c>
      <c r="AJ55" s="1">
        <f t="shared" si="14"/>
        <v>0</v>
      </c>
      <c r="AK55" s="1">
        <f t="shared" si="14"/>
        <v>0</v>
      </c>
    </row>
    <row r="56" spans="1:37" ht="14.1" customHeight="1" x14ac:dyDescent="0.2">
      <c r="A56" s="3"/>
      <c r="B56" s="44"/>
      <c r="C56" s="272"/>
      <c r="D56" s="274"/>
      <c r="E56" s="274"/>
      <c r="F56" s="274"/>
      <c r="G56" s="305"/>
      <c r="H56" s="90"/>
      <c r="N56" s="16">
        <v>48</v>
      </c>
      <c r="O56" s="65"/>
      <c r="P56" s="55"/>
      <c r="Q56" s="56"/>
      <c r="R56" s="57"/>
      <c r="S56" s="58"/>
      <c r="T56" s="59"/>
      <c r="U56" s="60"/>
      <c r="V56" s="62"/>
      <c r="X56" s="1">
        <f t="shared" ca="1" si="13"/>
        <v>1</v>
      </c>
      <c r="Z56" s="1">
        <f t="shared" si="14"/>
        <v>0</v>
      </c>
      <c r="AA56" s="1">
        <f t="shared" si="14"/>
        <v>0</v>
      </c>
      <c r="AB56" s="1">
        <f t="shared" si="14"/>
        <v>0</v>
      </c>
      <c r="AC56" s="1">
        <f t="shared" si="14"/>
        <v>0</v>
      </c>
      <c r="AD56" s="1">
        <f t="shared" si="14"/>
        <v>0</v>
      </c>
      <c r="AE56" s="1">
        <f t="shared" si="14"/>
        <v>0</v>
      </c>
      <c r="AF56" s="1">
        <f t="shared" si="14"/>
        <v>0</v>
      </c>
      <c r="AG56" s="1">
        <f t="shared" si="14"/>
        <v>0</v>
      </c>
      <c r="AH56" s="1">
        <f t="shared" si="14"/>
        <v>0</v>
      </c>
      <c r="AI56" s="1">
        <f t="shared" si="14"/>
        <v>0</v>
      </c>
      <c r="AJ56" s="1">
        <f t="shared" si="14"/>
        <v>0</v>
      </c>
      <c r="AK56" s="1">
        <f t="shared" si="14"/>
        <v>0</v>
      </c>
    </row>
    <row r="57" spans="1:37" ht="14.1" customHeight="1" x14ac:dyDescent="0.2">
      <c r="A57" s="12">
        <v>1</v>
      </c>
      <c r="B57" s="64"/>
      <c r="C57" s="101" t="str">
        <f>ANUAL!$C141</f>
        <v>M01</v>
      </c>
      <c r="D57" s="303" t="str">
        <f>ANUAL!$D141</f>
        <v>MORADIA – CONDOMÍNIO</v>
      </c>
      <c r="E57" s="303"/>
      <c r="F57" s="303"/>
      <c r="G57" s="102">
        <f>SUMIF(U$9:U$88,ANUAL!C141,T$9:T$88)</f>
        <v>0</v>
      </c>
      <c r="H57" s="61"/>
      <c r="N57" s="12">
        <v>49</v>
      </c>
      <c r="O57" s="65"/>
      <c r="P57" s="49"/>
      <c r="Q57" s="50"/>
      <c r="R57" s="51"/>
      <c r="S57" s="52"/>
      <c r="T57" s="53"/>
      <c r="U57" s="54"/>
      <c r="V57" s="62"/>
      <c r="X57" s="1">
        <f t="shared" ca="1" si="13"/>
        <v>1</v>
      </c>
      <c r="Z57" s="1">
        <f t="shared" si="14"/>
        <v>0</v>
      </c>
      <c r="AA57" s="1">
        <f t="shared" si="14"/>
        <v>0</v>
      </c>
      <c r="AB57" s="1">
        <f t="shared" si="14"/>
        <v>0</v>
      </c>
      <c r="AC57" s="1">
        <f t="shared" si="14"/>
        <v>0</v>
      </c>
      <c r="AD57" s="1">
        <f t="shared" si="14"/>
        <v>0</v>
      </c>
      <c r="AE57" s="1">
        <f t="shared" si="14"/>
        <v>0</v>
      </c>
      <c r="AF57" s="1">
        <f t="shared" si="14"/>
        <v>0</v>
      </c>
      <c r="AG57" s="1">
        <f t="shared" si="14"/>
        <v>0</v>
      </c>
      <c r="AH57" s="1">
        <f t="shared" si="14"/>
        <v>0</v>
      </c>
      <c r="AI57" s="1">
        <f t="shared" si="14"/>
        <v>0</v>
      </c>
      <c r="AJ57" s="1">
        <f t="shared" si="14"/>
        <v>0</v>
      </c>
      <c r="AK57" s="1">
        <f t="shared" si="14"/>
        <v>0</v>
      </c>
    </row>
    <row r="58" spans="1:37" ht="14.1" customHeight="1" x14ac:dyDescent="0.2">
      <c r="A58" s="16">
        <v>2</v>
      </c>
      <c r="B58" s="65"/>
      <c r="C58" s="103" t="str">
        <f>ANUAL!$C142</f>
        <v>M02</v>
      </c>
      <c r="D58" s="302" t="str">
        <f>ANUAL!$D142</f>
        <v>MORADIA – IPTU</v>
      </c>
      <c r="E58" s="302"/>
      <c r="F58" s="302"/>
      <c r="G58" s="104">
        <f>SUMIF(U$9:U$88,ANUAL!C142,T$9:T$88)</f>
        <v>0</v>
      </c>
      <c r="H58" s="62"/>
      <c r="N58" s="16">
        <v>50</v>
      </c>
      <c r="O58" s="65"/>
      <c r="P58" s="55"/>
      <c r="Q58" s="56"/>
      <c r="R58" s="57"/>
      <c r="S58" s="58"/>
      <c r="T58" s="59"/>
      <c r="U58" s="60"/>
      <c r="V58" s="62"/>
      <c r="X58" s="1">
        <f t="shared" ca="1" si="13"/>
        <v>1</v>
      </c>
      <c r="Z58" s="1">
        <f t="shared" si="14"/>
        <v>0</v>
      </c>
      <c r="AA58" s="1">
        <f t="shared" si="14"/>
        <v>0</v>
      </c>
      <c r="AB58" s="1">
        <f t="shared" si="14"/>
        <v>0</v>
      </c>
      <c r="AC58" s="1">
        <f t="shared" si="14"/>
        <v>0</v>
      </c>
      <c r="AD58" s="1">
        <f t="shared" si="14"/>
        <v>0</v>
      </c>
      <c r="AE58" s="1">
        <f t="shared" si="14"/>
        <v>0</v>
      </c>
      <c r="AF58" s="1">
        <f t="shared" si="14"/>
        <v>0</v>
      </c>
      <c r="AG58" s="1">
        <f t="shared" si="14"/>
        <v>0</v>
      </c>
      <c r="AH58" s="1">
        <f t="shared" si="14"/>
        <v>0</v>
      </c>
      <c r="AI58" s="1">
        <f t="shared" si="14"/>
        <v>0</v>
      </c>
      <c r="AJ58" s="1">
        <f t="shared" si="14"/>
        <v>0</v>
      </c>
      <c r="AK58" s="1">
        <f t="shared" si="14"/>
        <v>0</v>
      </c>
    </row>
    <row r="59" spans="1:37" ht="14.1" customHeight="1" x14ac:dyDescent="0.2">
      <c r="A59" s="12">
        <v>3</v>
      </c>
      <c r="B59" s="65"/>
      <c r="C59" s="101" t="str">
        <f>ANUAL!$C143</f>
        <v>M03</v>
      </c>
      <c r="D59" s="303" t="str">
        <f>ANUAL!$D143</f>
        <v>MORADIA – ALUGUEL</v>
      </c>
      <c r="E59" s="303"/>
      <c r="F59" s="303"/>
      <c r="G59" s="102">
        <f>SUMIF(U$9:U$88,ANUAL!C143,T$9:T$88)</f>
        <v>0</v>
      </c>
      <c r="H59" s="62"/>
      <c r="N59" s="12">
        <v>51</v>
      </c>
      <c r="O59" s="65"/>
      <c r="P59" s="49"/>
      <c r="Q59" s="50"/>
      <c r="R59" s="51"/>
      <c r="S59" s="52"/>
      <c r="T59" s="53"/>
      <c r="U59" s="54"/>
      <c r="V59" s="62"/>
      <c r="X59" s="1">
        <f t="shared" ca="1" si="13"/>
        <v>1</v>
      </c>
      <c r="Z59" s="1">
        <f t="shared" ref="Z59:AK68" si="15">IF(Z$8=$R59,-$T59,0)+IF(Z$8=$S59,$T59,0)</f>
        <v>0</v>
      </c>
      <c r="AA59" s="1">
        <f t="shared" si="15"/>
        <v>0</v>
      </c>
      <c r="AB59" s="1">
        <f t="shared" si="15"/>
        <v>0</v>
      </c>
      <c r="AC59" s="1">
        <f t="shared" si="15"/>
        <v>0</v>
      </c>
      <c r="AD59" s="1">
        <f t="shared" si="15"/>
        <v>0</v>
      </c>
      <c r="AE59" s="1">
        <f t="shared" si="15"/>
        <v>0</v>
      </c>
      <c r="AF59" s="1">
        <f t="shared" si="15"/>
        <v>0</v>
      </c>
      <c r="AG59" s="1">
        <f t="shared" si="15"/>
        <v>0</v>
      </c>
      <c r="AH59" s="1">
        <f t="shared" si="15"/>
        <v>0</v>
      </c>
      <c r="AI59" s="1">
        <f t="shared" si="15"/>
        <v>0</v>
      </c>
      <c r="AJ59" s="1">
        <f t="shared" si="15"/>
        <v>0</v>
      </c>
      <c r="AK59" s="1">
        <f t="shared" si="15"/>
        <v>0</v>
      </c>
    </row>
    <row r="60" spans="1:37" ht="14.1" customHeight="1" x14ac:dyDescent="0.2">
      <c r="A60" s="16">
        <v>4</v>
      </c>
      <c r="B60" s="65"/>
      <c r="C60" s="103" t="str">
        <f>ANUAL!$C144</f>
        <v>M04</v>
      </c>
      <c r="D60" s="302" t="str">
        <f>ANUAL!$D144</f>
        <v>MORADIA – REFORMA</v>
      </c>
      <c r="E60" s="302"/>
      <c r="F60" s="302"/>
      <c r="G60" s="104">
        <f>SUMIF(U$9:U$88,ANUAL!C144,T$9:T$88)</f>
        <v>0</v>
      </c>
      <c r="H60" s="62"/>
      <c r="N60" s="16">
        <v>52</v>
      </c>
      <c r="O60" s="65"/>
      <c r="P60" s="55"/>
      <c r="Q60" s="56"/>
      <c r="R60" s="57"/>
      <c r="S60" s="58"/>
      <c r="T60" s="59"/>
      <c r="U60" s="60"/>
      <c r="V60" s="62"/>
      <c r="X60" s="1">
        <f t="shared" ca="1" si="13"/>
        <v>1</v>
      </c>
      <c r="Z60" s="1">
        <f t="shared" si="15"/>
        <v>0</v>
      </c>
      <c r="AA60" s="1">
        <f t="shared" si="15"/>
        <v>0</v>
      </c>
      <c r="AB60" s="1">
        <f t="shared" si="15"/>
        <v>0</v>
      </c>
      <c r="AC60" s="1">
        <f t="shared" si="15"/>
        <v>0</v>
      </c>
      <c r="AD60" s="1">
        <f t="shared" si="15"/>
        <v>0</v>
      </c>
      <c r="AE60" s="1">
        <f t="shared" si="15"/>
        <v>0</v>
      </c>
      <c r="AF60" s="1">
        <f t="shared" si="15"/>
        <v>0</v>
      </c>
      <c r="AG60" s="1">
        <f t="shared" si="15"/>
        <v>0</v>
      </c>
      <c r="AH60" s="1">
        <f t="shared" si="15"/>
        <v>0</v>
      </c>
      <c r="AI60" s="1">
        <f t="shared" si="15"/>
        <v>0</v>
      </c>
      <c r="AJ60" s="1">
        <f t="shared" si="15"/>
        <v>0</v>
      </c>
      <c r="AK60" s="1">
        <f t="shared" si="15"/>
        <v>0</v>
      </c>
    </row>
    <row r="61" spans="1:37" ht="14.1" customHeight="1" x14ac:dyDescent="0.2">
      <c r="A61" s="12">
        <v>5</v>
      </c>
      <c r="B61" s="65"/>
      <c r="C61" s="101" t="str">
        <f>ANUAL!$C145</f>
        <v>U01</v>
      </c>
      <c r="D61" s="303" t="str">
        <f>ANUAL!$D145</f>
        <v>UTILITIES – ENERGIA ELÉTRICA</v>
      </c>
      <c r="E61" s="303"/>
      <c r="F61" s="303"/>
      <c r="G61" s="102">
        <f>SUMIF(U$9:U$88,ANUAL!C145,T$9:T$88)</f>
        <v>0</v>
      </c>
      <c r="H61" s="62"/>
      <c r="N61" s="12">
        <v>53</v>
      </c>
      <c r="O61" s="65"/>
      <c r="P61" s="49"/>
      <c r="Q61" s="50"/>
      <c r="R61" s="51"/>
      <c r="S61" s="52"/>
      <c r="T61" s="53"/>
      <c r="U61" s="54"/>
      <c r="V61" s="62"/>
      <c r="X61" s="1">
        <f t="shared" ca="1" si="13"/>
        <v>1</v>
      </c>
      <c r="Z61" s="1">
        <f t="shared" si="15"/>
        <v>0</v>
      </c>
      <c r="AA61" s="1">
        <f t="shared" si="15"/>
        <v>0</v>
      </c>
      <c r="AB61" s="1">
        <f t="shared" si="15"/>
        <v>0</v>
      </c>
      <c r="AC61" s="1">
        <f t="shared" si="15"/>
        <v>0</v>
      </c>
      <c r="AD61" s="1">
        <f t="shared" si="15"/>
        <v>0</v>
      </c>
      <c r="AE61" s="1">
        <f t="shared" si="15"/>
        <v>0</v>
      </c>
      <c r="AF61" s="1">
        <f t="shared" si="15"/>
        <v>0</v>
      </c>
      <c r="AG61" s="1">
        <f t="shared" si="15"/>
        <v>0</v>
      </c>
      <c r="AH61" s="1">
        <f t="shared" si="15"/>
        <v>0</v>
      </c>
      <c r="AI61" s="1">
        <f t="shared" si="15"/>
        <v>0</v>
      </c>
      <c r="AJ61" s="1">
        <f t="shared" si="15"/>
        <v>0</v>
      </c>
      <c r="AK61" s="1">
        <f t="shared" si="15"/>
        <v>0</v>
      </c>
    </row>
    <row r="62" spans="1:37" ht="14.1" customHeight="1" x14ac:dyDescent="0.2">
      <c r="A62" s="16">
        <v>6</v>
      </c>
      <c r="B62" s="65"/>
      <c r="C62" s="103" t="str">
        <f>ANUAL!$C146</f>
        <v>U02</v>
      </c>
      <c r="D62" s="302" t="str">
        <f>ANUAL!$D146</f>
        <v>UTILITIES – ÁGUA POTÁVEL</v>
      </c>
      <c r="E62" s="302"/>
      <c r="F62" s="302"/>
      <c r="G62" s="104">
        <f>SUMIF(U$9:U$88,ANUAL!C146,T$9:T$88)</f>
        <v>0</v>
      </c>
      <c r="H62" s="62"/>
      <c r="N62" s="16">
        <v>54</v>
      </c>
      <c r="O62" s="65"/>
      <c r="P62" s="55"/>
      <c r="Q62" s="56"/>
      <c r="R62" s="57"/>
      <c r="S62" s="58"/>
      <c r="T62" s="59"/>
      <c r="U62" s="60"/>
      <c r="V62" s="62"/>
      <c r="X62" s="1">
        <f t="shared" ca="1" si="13"/>
        <v>1</v>
      </c>
      <c r="Z62" s="1">
        <f t="shared" si="15"/>
        <v>0</v>
      </c>
      <c r="AA62" s="1">
        <f t="shared" si="15"/>
        <v>0</v>
      </c>
      <c r="AB62" s="1">
        <f t="shared" si="15"/>
        <v>0</v>
      </c>
      <c r="AC62" s="1">
        <f t="shared" si="15"/>
        <v>0</v>
      </c>
      <c r="AD62" s="1">
        <f t="shared" si="15"/>
        <v>0</v>
      </c>
      <c r="AE62" s="1">
        <f t="shared" si="15"/>
        <v>0</v>
      </c>
      <c r="AF62" s="1">
        <f t="shared" si="15"/>
        <v>0</v>
      </c>
      <c r="AG62" s="1">
        <f t="shared" si="15"/>
        <v>0</v>
      </c>
      <c r="AH62" s="1">
        <f t="shared" si="15"/>
        <v>0</v>
      </c>
      <c r="AI62" s="1">
        <f t="shared" si="15"/>
        <v>0</v>
      </c>
      <c r="AJ62" s="1">
        <f t="shared" si="15"/>
        <v>0</v>
      </c>
      <c r="AK62" s="1">
        <f t="shared" si="15"/>
        <v>0</v>
      </c>
    </row>
    <row r="63" spans="1:37" ht="14.1" customHeight="1" x14ac:dyDescent="0.2">
      <c r="A63" s="12">
        <v>7</v>
      </c>
      <c r="B63" s="65"/>
      <c r="C63" s="101" t="str">
        <f>ANUAL!$C147</f>
        <v>U03</v>
      </c>
      <c r="D63" s="303" t="str">
        <f>ANUAL!$D147</f>
        <v>UTILITIES – DIVERSOS (ÁGUA, GÁS, SERV. GERAIS)</v>
      </c>
      <c r="E63" s="303"/>
      <c r="F63" s="303"/>
      <c r="G63" s="102">
        <f>SUMIF(U$9:U$88,ANUAL!C147,T$9:T$88)</f>
        <v>0</v>
      </c>
      <c r="H63" s="62"/>
      <c r="N63" s="12">
        <v>55</v>
      </c>
      <c r="O63" s="65"/>
      <c r="P63" s="49"/>
      <c r="Q63" s="50"/>
      <c r="R63" s="51"/>
      <c r="S63" s="52"/>
      <c r="T63" s="53"/>
      <c r="U63" s="54"/>
      <c r="V63" s="62"/>
      <c r="X63" s="1">
        <f t="shared" ca="1" si="13"/>
        <v>1</v>
      </c>
      <c r="Y63" s="30"/>
      <c r="Z63" s="1">
        <f t="shared" si="15"/>
        <v>0</v>
      </c>
      <c r="AA63" s="1">
        <f t="shared" si="15"/>
        <v>0</v>
      </c>
      <c r="AB63" s="1">
        <f t="shared" si="15"/>
        <v>0</v>
      </c>
      <c r="AC63" s="1">
        <f t="shared" si="15"/>
        <v>0</v>
      </c>
      <c r="AD63" s="1">
        <f t="shared" si="15"/>
        <v>0</v>
      </c>
      <c r="AE63" s="1">
        <f t="shared" si="15"/>
        <v>0</v>
      </c>
      <c r="AF63" s="1">
        <f t="shared" si="15"/>
        <v>0</v>
      </c>
      <c r="AG63" s="1">
        <f t="shared" si="15"/>
        <v>0</v>
      </c>
      <c r="AH63" s="1">
        <f t="shared" si="15"/>
        <v>0</v>
      </c>
      <c r="AI63" s="1">
        <f t="shared" si="15"/>
        <v>0</v>
      </c>
      <c r="AJ63" s="1">
        <f t="shared" si="15"/>
        <v>0</v>
      </c>
      <c r="AK63" s="1">
        <f t="shared" si="15"/>
        <v>0</v>
      </c>
    </row>
    <row r="64" spans="1:37" ht="14.1" customHeight="1" x14ac:dyDescent="0.2">
      <c r="A64" s="16">
        <v>8</v>
      </c>
      <c r="B64" s="65"/>
      <c r="C64" s="103" t="str">
        <f>ANUAL!$C148</f>
        <v>S01</v>
      </c>
      <c r="D64" s="302" t="str">
        <f>ANUAL!$D148</f>
        <v>SAÚDE – PLANO DE SAÚDE</v>
      </c>
      <c r="E64" s="302"/>
      <c r="F64" s="302"/>
      <c r="G64" s="104">
        <f>SUMIF(U$9:U$88,ANUAL!C148,T$9:T$88)</f>
        <v>0</v>
      </c>
      <c r="H64" s="62"/>
      <c r="N64" s="16">
        <v>56</v>
      </c>
      <c r="O64" s="65"/>
      <c r="P64" s="55"/>
      <c r="Q64" s="56"/>
      <c r="R64" s="57"/>
      <c r="S64" s="58"/>
      <c r="T64" s="59"/>
      <c r="U64" s="60"/>
      <c r="V64" s="62"/>
      <c r="X64" s="1">
        <f t="shared" ca="1" si="13"/>
        <v>1</v>
      </c>
      <c r="Z64" s="1">
        <f t="shared" si="15"/>
        <v>0</v>
      </c>
      <c r="AA64" s="1">
        <f t="shared" si="15"/>
        <v>0</v>
      </c>
      <c r="AB64" s="1">
        <f t="shared" si="15"/>
        <v>0</v>
      </c>
      <c r="AC64" s="1">
        <f t="shared" si="15"/>
        <v>0</v>
      </c>
      <c r="AD64" s="1">
        <f t="shared" si="15"/>
        <v>0</v>
      </c>
      <c r="AE64" s="1">
        <f t="shared" si="15"/>
        <v>0</v>
      </c>
      <c r="AF64" s="1">
        <f t="shared" si="15"/>
        <v>0</v>
      </c>
      <c r="AG64" s="1">
        <f t="shared" si="15"/>
        <v>0</v>
      </c>
      <c r="AH64" s="1">
        <f t="shared" si="15"/>
        <v>0</v>
      </c>
      <c r="AI64" s="1">
        <f t="shared" si="15"/>
        <v>0</v>
      </c>
      <c r="AJ64" s="1">
        <f t="shared" si="15"/>
        <v>0</v>
      </c>
      <c r="AK64" s="1">
        <f t="shared" si="15"/>
        <v>0</v>
      </c>
    </row>
    <row r="65" spans="1:37" ht="14.1" customHeight="1" x14ac:dyDescent="0.2">
      <c r="A65" s="12">
        <v>9</v>
      </c>
      <c r="B65" s="65"/>
      <c r="C65" s="101" t="str">
        <f>ANUAL!$C149</f>
        <v>S02</v>
      </c>
      <c r="D65" s="303" t="str">
        <f>ANUAL!$D149</f>
        <v>SAÚDE – REMÉDIOS</v>
      </c>
      <c r="E65" s="303"/>
      <c r="F65" s="303"/>
      <c r="G65" s="102">
        <f>SUMIF(U$9:U$88,ANUAL!C149,T$9:T$88)</f>
        <v>0</v>
      </c>
      <c r="H65" s="62"/>
      <c r="N65" s="12">
        <v>57</v>
      </c>
      <c r="O65" s="65"/>
      <c r="P65" s="49"/>
      <c r="Q65" s="50"/>
      <c r="R65" s="51"/>
      <c r="S65" s="52"/>
      <c r="T65" s="53"/>
      <c r="U65" s="54"/>
      <c r="V65" s="62"/>
      <c r="X65" s="1">
        <f t="shared" ca="1" si="13"/>
        <v>1</v>
      </c>
      <c r="Z65" s="1">
        <f t="shared" si="15"/>
        <v>0</v>
      </c>
      <c r="AA65" s="1">
        <f t="shared" si="15"/>
        <v>0</v>
      </c>
      <c r="AB65" s="1">
        <f t="shared" si="15"/>
        <v>0</v>
      </c>
      <c r="AC65" s="1">
        <f t="shared" si="15"/>
        <v>0</v>
      </c>
      <c r="AD65" s="1">
        <f t="shared" si="15"/>
        <v>0</v>
      </c>
      <c r="AE65" s="1">
        <f t="shared" si="15"/>
        <v>0</v>
      </c>
      <c r="AF65" s="1">
        <f t="shared" si="15"/>
        <v>0</v>
      </c>
      <c r="AG65" s="1">
        <f t="shared" si="15"/>
        <v>0</v>
      </c>
      <c r="AH65" s="1">
        <f t="shared" si="15"/>
        <v>0</v>
      </c>
      <c r="AI65" s="1">
        <f t="shared" si="15"/>
        <v>0</v>
      </c>
      <c r="AJ65" s="1">
        <f t="shared" si="15"/>
        <v>0</v>
      </c>
      <c r="AK65" s="1">
        <f t="shared" si="15"/>
        <v>0</v>
      </c>
    </row>
    <row r="66" spans="1:37" ht="14.1" customHeight="1" x14ac:dyDescent="0.2">
      <c r="A66" s="16">
        <v>10</v>
      </c>
      <c r="B66" s="65"/>
      <c r="C66" s="103" t="str">
        <f>ANUAL!$C150</f>
        <v>S03</v>
      </c>
      <c r="D66" s="302" t="str">
        <f>ANUAL!$D150</f>
        <v>SAÚDE – ACADEMIA</v>
      </c>
      <c r="E66" s="302"/>
      <c r="F66" s="302"/>
      <c r="G66" s="104">
        <f>SUMIF(U$9:U$88,ANUAL!C150,T$9:T$88)</f>
        <v>0</v>
      </c>
      <c r="H66" s="62"/>
      <c r="N66" s="16">
        <v>58</v>
      </c>
      <c r="O66" s="65"/>
      <c r="P66" s="55"/>
      <c r="Q66" s="56"/>
      <c r="R66" s="57"/>
      <c r="S66" s="58"/>
      <c r="T66" s="59"/>
      <c r="U66" s="60"/>
      <c r="V66" s="62"/>
      <c r="X66" s="1">
        <f t="shared" ca="1" si="13"/>
        <v>1</v>
      </c>
      <c r="Z66" s="1">
        <f t="shared" si="15"/>
        <v>0</v>
      </c>
      <c r="AA66" s="1">
        <f t="shared" si="15"/>
        <v>0</v>
      </c>
      <c r="AB66" s="1">
        <f t="shared" si="15"/>
        <v>0</v>
      </c>
      <c r="AC66" s="1">
        <f t="shared" si="15"/>
        <v>0</v>
      </c>
      <c r="AD66" s="1">
        <f t="shared" si="15"/>
        <v>0</v>
      </c>
      <c r="AE66" s="1">
        <f t="shared" si="15"/>
        <v>0</v>
      </c>
      <c r="AF66" s="1">
        <f t="shared" si="15"/>
        <v>0</v>
      </c>
      <c r="AG66" s="1">
        <f t="shared" si="15"/>
        <v>0</v>
      </c>
      <c r="AH66" s="1">
        <f t="shared" si="15"/>
        <v>0</v>
      </c>
      <c r="AI66" s="1">
        <f t="shared" si="15"/>
        <v>0</v>
      </c>
      <c r="AJ66" s="1">
        <f t="shared" si="15"/>
        <v>0</v>
      </c>
      <c r="AK66" s="1">
        <f t="shared" si="15"/>
        <v>0</v>
      </c>
    </row>
    <row r="67" spans="1:37" ht="14.1" customHeight="1" x14ac:dyDescent="0.2">
      <c r="A67" s="12">
        <v>11</v>
      </c>
      <c r="B67" s="65"/>
      <c r="C67" s="101" t="str">
        <f>ANUAL!$C151</f>
        <v>C01</v>
      </c>
      <c r="D67" s="303" t="str">
        <f>ANUAL!$D151</f>
        <v>COMPRAS</v>
      </c>
      <c r="E67" s="303"/>
      <c r="F67" s="303"/>
      <c r="G67" s="102">
        <f>SUMIF(U$9:U$88,ANUAL!C151,T$9:T$88)</f>
        <v>0</v>
      </c>
      <c r="H67" s="62"/>
      <c r="N67" s="12">
        <v>59</v>
      </c>
      <c r="O67" s="65"/>
      <c r="P67" s="49"/>
      <c r="Q67" s="50"/>
      <c r="R67" s="51"/>
      <c r="S67" s="52"/>
      <c r="T67" s="53"/>
      <c r="U67" s="54"/>
      <c r="V67" s="62"/>
      <c r="X67" s="1">
        <f t="shared" ca="1" si="13"/>
        <v>1</v>
      </c>
      <c r="Z67" s="1">
        <f t="shared" si="15"/>
        <v>0</v>
      </c>
      <c r="AA67" s="1">
        <f t="shared" si="15"/>
        <v>0</v>
      </c>
      <c r="AB67" s="1">
        <f t="shared" si="15"/>
        <v>0</v>
      </c>
      <c r="AC67" s="1">
        <f t="shared" si="15"/>
        <v>0</v>
      </c>
      <c r="AD67" s="1">
        <f t="shared" si="15"/>
        <v>0</v>
      </c>
      <c r="AE67" s="1">
        <f t="shared" si="15"/>
        <v>0</v>
      </c>
      <c r="AF67" s="1">
        <f t="shared" si="15"/>
        <v>0</v>
      </c>
      <c r="AG67" s="1">
        <f t="shared" si="15"/>
        <v>0</v>
      </c>
      <c r="AH67" s="1">
        <f t="shared" si="15"/>
        <v>0</v>
      </c>
      <c r="AI67" s="1">
        <f t="shared" si="15"/>
        <v>0</v>
      </c>
      <c r="AJ67" s="1">
        <f t="shared" si="15"/>
        <v>0</v>
      </c>
      <c r="AK67" s="1">
        <f t="shared" si="15"/>
        <v>0</v>
      </c>
    </row>
    <row r="68" spans="1:37" ht="14.1" customHeight="1" x14ac:dyDescent="0.2">
      <c r="A68" s="16">
        <v>12</v>
      </c>
      <c r="B68" s="65"/>
      <c r="C68" s="103" t="str">
        <f>ANUAL!$C152</f>
        <v>L01</v>
      </c>
      <c r="D68" s="302" t="str">
        <f>ANUAL!$D152</f>
        <v>LAZER</v>
      </c>
      <c r="E68" s="302"/>
      <c r="F68" s="302"/>
      <c r="G68" s="104">
        <f>SUMIF(U$9:U$88,ANUAL!C152,T$9:T$88)</f>
        <v>0</v>
      </c>
      <c r="H68" s="62"/>
      <c r="N68" s="16">
        <v>60</v>
      </c>
      <c r="O68" s="65"/>
      <c r="P68" s="55"/>
      <c r="Q68" s="56"/>
      <c r="R68" s="57"/>
      <c r="S68" s="58"/>
      <c r="T68" s="59"/>
      <c r="U68" s="60"/>
      <c r="V68" s="62"/>
      <c r="X68" s="1">
        <f t="shared" ca="1" si="13"/>
        <v>1</v>
      </c>
      <c r="Z68" s="1">
        <f t="shared" si="15"/>
        <v>0</v>
      </c>
      <c r="AA68" s="1">
        <f t="shared" si="15"/>
        <v>0</v>
      </c>
      <c r="AB68" s="1">
        <f t="shared" si="15"/>
        <v>0</v>
      </c>
      <c r="AC68" s="1">
        <f t="shared" si="15"/>
        <v>0</v>
      </c>
      <c r="AD68" s="1">
        <f t="shared" si="15"/>
        <v>0</v>
      </c>
      <c r="AE68" s="1">
        <f t="shared" si="15"/>
        <v>0</v>
      </c>
      <c r="AF68" s="1">
        <f t="shared" si="15"/>
        <v>0</v>
      </c>
      <c r="AG68" s="1">
        <f t="shared" si="15"/>
        <v>0</v>
      </c>
      <c r="AH68" s="1">
        <f t="shared" si="15"/>
        <v>0</v>
      </c>
      <c r="AI68" s="1">
        <f t="shared" si="15"/>
        <v>0</v>
      </c>
      <c r="AJ68" s="1">
        <f t="shared" si="15"/>
        <v>0</v>
      </c>
      <c r="AK68" s="1">
        <f t="shared" si="15"/>
        <v>0</v>
      </c>
    </row>
    <row r="69" spans="1:37" ht="14.1" customHeight="1" x14ac:dyDescent="0.2">
      <c r="A69" s="12">
        <v>13</v>
      </c>
      <c r="B69" s="65"/>
      <c r="C69" s="101" t="str">
        <f>ANUAL!$C153</f>
        <v>A01</v>
      </c>
      <c r="D69" s="303" t="str">
        <f>ANUAL!$D153</f>
        <v>ALIMENTAÇÃO – ALMOÇO</v>
      </c>
      <c r="E69" s="303"/>
      <c r="F69" s="303"/>
      <c r="G69" s="102">
        <f>SUMIF(U$9:U$88,ANUAL!C153,T$9:T$88)</f>
        <v>0</v>
      </c>
      <c r="H69" s="62"/>
      <c r="N69" s="12">
        <v>61</v>
      </c>
      <c r="O69" s="65"/>
      <c r="P69" s="49"/>
      <c r="Q69" s="50"/>
      <c r="R69" s="51"/>
      <c r="S69" s="52"/>
      <c r="T69" s="53"/>
      <c r="U69" s="54"/>
      <c r="V69" s="62"/>
      <c r="X69" s="1">
        <f t="shared" ca="1" si="13"/>
        <v>1</v>
      </c>
      <c r="Z69" s="1">
        <f t="shared" ref="Z69:AK78" si="16">IF(Z$8=$R69,-$T69,0)+IF(Z$8=$S69,$T69,0)</f>
        <v>0</v>
      </c>
      <c r="AA69" s="1">
        <f t="shared" si="16"/>
        <v>0</v>
      </c>
      <c r="AB69" s="1">
        <f t="shared" si="16"/>
        <v>0</v>
      </c>
      <c r="AC69" s="1">
        <f t="shared" si="16"/>
        <v>0</v>
      </c>
      <c r="AD69" s="1">
        <f t="shared" si="16"/>
        <v>0</v>
      </c>
      <c r="AE69" s="1">
        <f t="shared" si="16"/>
        <v>0</v>
      </c>
      <c r="AF69" s="1">
        <f t="shared" si="16"/>
        <v>0</v>
      </c>
      <c r="AG69" s="1">
        <f t="shared" si="16"/>
        <v>0</v>
      </c>
      <c r="AH69" s="1">
        <f t="shared" si="16"/>
        <v>0</v>
      </c>
      <c r="AI69" s="1">
        <f t="shared" si="16"/>
        <v>0</v>
      </c>
      <c r="AJ69" s="1">
        <f t="shared" si="16"/>
        <v>0</v>
      </c>
      <c r="AK69" s="1">
        <f t="shared" si="16"/>
        <v>0</v>
      </c>
    </row>
    <row r="70" spans="1:37" ht="14.1" customHeight="1" x14ac:dyDescent="0.2">
      <c r="A70" s="16">
        <v>14</v>
      </c>
      <c r="B70" s="65"/>
      <c r="C70" s="103" t="str">
        <f>ANUAL!$C154</f>
        <v>A02</v>
      </c>
      <c r="D70" s="302" t="str">
        <f>ANUAL!$D154</f>
        <v>ALIMENTAÇÃO – COMPRA MENSAL</v>
      </c>
      <c r="E70" s="302"/>
      <c r="F70" s="302"/>
      <c r="G70" s="104">
        <f>SUMIF(U$9:U$88,ANUAL!C154,T$9:T$88)</f>
        <v>0</v>
      </c>
      <c r="H70" s="62"/>
      <c r="N70" s="16">
        <v>62</v>
      </c>
      <c r="O70" s="65"/>
      <c r="P70" s="55"/>
      <c r="Q70" s="56"/>
      <c r="R70" s="57"/>
      <c r="S70" s="58"/>
      <c r="T70" s="59"/>
      <c r="U70" s="60"/>
      <c r="V70" s="62"/>
      <c r="X70" s="1">
        <f t="shared" ca="1" si="13"/>
        <v>1</v>
      </c>
      <c r="Z70" s="1">
        <f t="shared" si="16"/>
        <v>0</v>
      </c>
      <c r="AA70" s="1">
        <f t="shared" si="16"/>
        <v>0</v>
      </c>
      <c r="AB70" s="1">
        <f t="shared" si="16"/>
        <v>0</v>
      </c>
      <c r="AC70" s="1">
        <f t="shared" si="16"/>
        <v>0</v>
      </c>
      <c r="AD70" s="1">
        <f t="shared" si="16"/>
        <v>0</v>
      </c>
      <c r="AE70" s="1">
        <f t="shared" si="16"/>
        <v>0</v>
      </c>
      <c r="AF70" s="1">
        <f t="shared" si="16"/>
        <v>0</v>
      </c>
      <c r="AG70" s="1">
        <f t="shared" si="16"/>
        <v>0</v>
      </c>
      <c r="AH70" s="1">
        <f t="shared" si="16"/>
        <v>0</v>
      </c>
      <c r="AI70" s="1">
        <f t="shared" si="16"/>
        <v>0</v>
      </c>
      <c r="AJ70" s="1">
        <f t="shared" si="16"/>
        <v>0</v>
      </c>
      <c r="AK70" s="1">
        <f t="shared" si="16"/>
        <v>0</v>
      </c>
    </row>
    <row r="71" spans="1:37" ht="14.1" customHeight="1" x14ac:dyDescent="0.2">
      <c r="A71" s="12">
        <v>15</v>
      </c>
      <c r="B71" s="65"/>
      <c r="C71" s="101" t="str">
        <f>ANUAL!$C155</f>
        <v>A03</v>
      </c>
      <c r="D71" s="303" t="str">
        <f>ANUAL!$D155</f>
        <v>ALIMENTAÇÃO – FEIRAS SEMANAIS</v>
      </c>
      <c r="E71" s="303"/>
      <c r="F71" s="303"/>
      <c r="G71" s="102">
        <f>SUMIF(U$9:U$88,ANUAL!C155,T$9:T$88)</f>
        <v>0</v>
      </c>
      <c r="H71" s="62"/>
      <c r="N71" s="12">
        <v>63</v>
      </c>
      <c r="O71" s="65"/>
      <c r="P71" s="49"/>
      <c r="Q71" s="50"/>
      <c r="R71" s="51"/>
      <c r="S71" s="52"/>
      <c r="T71" s="53"/>
      <c r="U71" s="54"/>
      <c r="V71" s="62"/>
      <c r="X71" s="1">
        <f t="shared" ca="1" si="13"/>
        <v>1</v>
      </c>
      <c r="Z71" s="1">
        <f t="shared" si="16"/>
        <v>0</v>
      </c>
      <c r="AA71" s="1">
        <f t="shared" si="16"/>
        <v>0</v>
      </c>
      <c r="AB71" s="1">
        <f t="shared" si="16"/>
        <v>0</v>
      </c>
      <c r="AC71" s="1">
        <f t="shared" si="16"/>
        <v>0</v>
      </c>
      <c r="AD71" s="1">
        <f t="shared" si="16"/>
        <v>0</v>
      </c>
      <c r="AE71" s="1">
        <f t="shared" si="16"/>
        <v>0</v>
      </c>
      <c r="AF71" s="1">
        <f t="shared" si="16"/>
        <v>0</v>
      </c>
      <c r="AG71" s="1">
        <f t="shared" si="16"/>
        <v>0</v>
      </c>
      <c r="AH71" s="1">
        <f t="shared" si="16"/>
        <v>0</v>
      </c>
      <c r="AI71" s="1">
        <f t="shared" si="16"/>
        <v>0</v>
      </c>
      <c r="AJ71" s="1">
        <f t="shared" si="16"/>
        <v>0</v>
      </c>
      <c r="AK71" s="1">
        <f t="shared" si="16"/>
        <v>0</v>
      </c>
    </row>
    <row r="72" spans="1:37" ht="14.1" customHeight="1" x14ac:dyDescent="0.2">
      <c r="A72" s="16">
        <v>16</v>
      </c>
      <c r="B72" s="65"/>
      <c r="C72" s="103" t="str">
        <f>ANUAL!$C156</f>
        <v>T01</v>
      </c>
      <c r="D72" s="302" t="str">
        <f>ANUAL!$D156</f>
        <v>TELECOM – CELULAR</v>
      </c>
      <c r="E72" s="302"/>
      <c r="F72" s="302"/>
      <c r="G72" s="104">
        <f>SUMIF(U$9:U$88,ANUAL!C156,T$9:T$88)</f>
        <v>0</v>
      </c>
      <c r="H72" s="62"/>
      <c r="N72" s="16">
        <v>64</v>
      </c>
      <c r="O72" s="65"/>
      <c r="P72" s="55"/>
      <c r="Q72" s="56"/>
      <c r="R72" s="57"/>
      <c r="S72" s="58"/>
      <c r="T72" s="59"/>
      <c r="U72" s="60"/>
      <c r="V72" s="62"/>
      <c r="X72" s="1">
        <f t="shared" ca="1" si="13"/>
        <v>1</v>
      </c>
      <c r="Z72" s="1">
        <f t="shared" si="16"/>
        <v>0</v>
      </c>
      <c r="AA72" s="1">
        <f t="shared" si="16"/>
        <v>0</v>
      </c>
      <c r="AB72" s="1">
        <f t="shared" si="16"/>
        <v>0</v>
      </c>
      <c r="AC72" s="1">
        <f t="shared" si="16"/>
        <v>0</v>
      </c>
      <c r="AD72" s="1">
        <f t="shared" si="16"/>
        <v>0</v>
      </c>
      <c r="AE72" s="1">
        <f t="shared" si="16"/>
        <v>0</v>
      </c>
      <c r="AF72" s="1">
        <f t="shared" si="16"/>
        <v>0</v>
      </c>
      <c r="AG72" s="1">
        <f t="shared" si="16"/>
        <v>0</v>
      </c>
      <c r="AH72" s="1">
        <f t="shared" si="16"/>
        <v>0</v>
      </c>
      <c r="AI72" s="1">
        <f t="shared" si="16"/>
        <v>0</v>
      </c>
      <c r="AJ72" s="1">
        <f t="shared" si="16"/>
        <v>0</v>
      </c>
      <c r="AK72" s="1">
        <f t="shared" si="16"/>
        <v>0</v>
      </c>
    </row>
    <row r="73" spans="1:37" ht="14.1" customHeight="1" x14ac:dyDescent="0.2">
      <c r="A73" s="12">
        <v>17</v>
      </c>
      <c r="B73" s="65"/>
      <c r="C73" s="101" t="str">
        <f>ANUAL!$C157</f>
        <v>T02</v>
      </c>
      <c r="D73" s="303" t="str">
        <f>ANUAL!$D157</f>
        <v>TELECOM – INTERNET</v>
      </c>
      <c r="E73" s="303"/>
      <c r="F73" s="303"/>
      <c r="G73" s="102">
        <f>SUMIF(U$9:U$88,ANUAL!C157,T$9:T$88)</f>
        <v>0</v>
      </c>
      <c r="H73" s="62"/>
      <c r="N73" s="12">
        <v>65</v>
      </c>
      <c r="O73" s="65"/>
      <c r="P73" s="49"/>
      <c r="Q73" s="50"/>
      <c r="R73" s="51"/>
      <c r="S73" s="52"/>
      <c r="T73" s="53"/>
      <c r="U73" s="54"/>
      <c r="V73" s="62"/>
      <c r="X73" s="1">
        <f t="shared" ref="X73:X88" ca="1" si="17">IF(P73&lt;NOW(),1,0)</f>
        <v>1</v>
      </c>
      <c r="Z73" s="1">
        <f t="shared" si="16"/>
        <v>0</v>
      </c>
      <c r="AA73" s="1">
        <f t="shared" si="16"/>
        <v>0</v>
      </c>
      <c r="AB73" s="1">
        <f t="shared" si="16"/>
        <v>0</v>
      </c>
      <c r="AC73" s="1">
        <f t="shared" si="16"/>
        <v>0</v>
      </c>
      <c r="AD73" s="1">
        <f t="shared" si="16"/>
        <v>0</v>
      </c>
      <c r="AE73" s="1">
        <f t="shared" si="16"/>
        <v>0</v>
      </c>
      <c r="AF73" s="1">
        <f t="shared" si="16"/>
        <v>0</v>
      </c>
      <c r="AG73" s="1">
        <f t="shared" si="16"/>
        <v>0</v>
      </c>
      <c r="AH73" s="1">
        <f t="shared" si="16"/>
        <v>0</v>
      </c>
      <c r="AI73" s="1">
        <f t="shared" si="16"/>
        <v>0</v>
      </c>
      <c r="AJ73" s="1">
        <f t="shared" si="16"/>
        <v>0</v>
      </c>
      <c r="AK73" s="1">
        <f t="shared" si="16"/>
        <v>0</v>
      </c>
    </row>
    <row r="74" spans="1:37" ht="14.1" customHeight="1" x14ac:dyDescent="0.2">
      <c r="A74" s="16">
        <v>18</v>
      </c>
      <c r="B74" s="65"/>
      <c r="C74" s="103" t="str">
        <f>ANUAL!$C158</f>
        <v>T03</v>
      </c>
      <c r="D74" s="302" t="str">
        <f>ANUAL!$D158</f>
        <v>TELECOM – FIXO</v>
      </c>
      <c r="E74" s="302"/>
      <c r="F74" s="302"/>
      <c r="G74" s="104">
        <f>SUMIF(U$9:U$88,ANUAL!C158,T$9:T$88)</f>
        <v>0</v>
      </c>
      <c r="H74" s="62"/>
      <c r="N74" s="16">
        <v>66</v>
      </c>
      <c r="O74" s="65"/>
      <c r="P74" s="55"/>
      <c r="Q74" s="56"/>
      <c r="R74" s="57"/>
      <c r="S74" s="58"/>
      <c r="T74" s="59"/>
      <c r="U74" s="60"/>
      <c r="V74" s="62"/>
      <c r="X74" s="1">
        <f t="shared" ca="1" si="17"/>
        <v>1</v>
      </c>
      <c r="Z74" s="1">
        <f t="shared" si="16"/>
        <v>0</v>
      </c>
      <c r="AA74" s="1">
        <f t="shared" si="16"/>
        <v>0</v>
      </c>
      <c r="AB74" s="1">
        <f t="shared" si="16"/>
        <v>0</v>
      </c>
      <c r="AC74" s="1">
        <f t="shared" si="16"/>
        <v>0</v>
      </c>
      <c r="AD74" s="1">
        <f t="shared" si="16"/>
        <v>0</v>
      </c>
      <c r="AE74" s="1">
        <f t="shared" si="16"/>
        <v>0</v>
      </c>
      <c r="AF74" s="1">
        <f t="shared" si="16"/>
        <v>0</v>
      </c>
      <c r="AG74" s="1">
        <f t="shared" si="16"/>
        <v>0</v>
      </c>
      <c r="AH74" s="1">
        <f t="shared" si="16"/>
        <v>0</v>
      </c>
      <c r="AI74" s="1">
        <f t="shared" si="16"/>
        <v>0</v>
      </c>
      <c r="AJ74" s="1">
        <f t="shared" si="16"/>
        <v>0</v>
      </c>
      <c r="AK74" s="1">
        <f t="shared" si="16"/>
        <v>0</v>
      </c>
    </row>
    <row r="75" spans="1:37" ht="14.1" customHeight="1" x14ac:dyDescent="0.2">
      <c r="A75" s="12">
        <v>19</v>
      </c>
      <c r="B75" s="65"/>
      <c r="C75" s="101" t="str">
        <f>ANUAL!$C159</f>
        <v>R01</v>
      </c>
      <c r="D75" s="303" t="str">
        <f>ANUAL!$D159</f>
        <v>CARRO – SEGURO</v>
      </c>
      <c r="E75" s="303"/>
      <c r="F75" s="303"/>
      <c r="G75" s="102">
        <f>SUMIF(U$9:U$88,ANUAL!C159,T$9:T$88)</f>
        <v>0</v>
      </c>
      <c r="H75" s="62"/>
      <c r="N75" s="12">
        <v>67</v>
      </c>
      <c r="O75" s="65"/>
      <c r="P75" s="49"/>
      <c r="Q75" s="50"/>
      <c r="R75" s="51"/>
      <c r="S75" s="52"/>
      <c r="T75" s="53"/>
      <c r="U75" s="54"/>
      <c r="V75" s="62"/>
      <c r="X75" s="1">
        <f t="shared" ca="1" si="17"/>
        <v>1</v>
      </c>
      <c r="Z75" s="1">
        <f t="shared" si="16"/>
        <v>0</v>
      </c>
      <c r="AA75" s="1">
        <f t="shared" si="16"/>
        <v>0</v>
      </c>
      <c r="AB75" s="1">
        <f t="shared" si="16"/>
        <v>0</v>
      </c>
      <c r="AC75" s="1">
        <f t="shared" si="16"/>
        <v>0</v>
      </c>
      <c r="AD75" s="1">
        <f t="shared" si="16"/>
        <v>0</v>
      </c>
      <c r="AE75" s="1">
        <f t="shared" si="16"/>
        <v>0</v>
      </c>
      <c r="AF75" s="1">
        <f t="shared" si="16"/>
        <v>0</v>
      </c>
      <c r="AG75" s="1">
        <f t="shared" si="16"/>
        <v>0</v>
      </c>
      <c r="AH75" s="1">
        <f t="shared" si="16"/>
        <v>0</v>
      </c>
      <c r="AI75" s="1">
        <f t="shared" si="16"/>
        <v>0</v>
      </c>
      <c r="AJ75" s="1">
        <f t="shared" si="16"/>
        <v>0</v>
      </c>
      <c r="AK75" s="1">
        <f t="shared" si="16"/>
        <v>0</v>
      </c>
    </row>
    <row r="76" spans="1:37" ht="14.1" customHeight="1" x14ac:dyDescent="0.2">
      <c r="A76" s="16">
        <v>20</v>
      </c>
      <c r="B76" s="65"/>
      <c r="C76" s="103" t="str">
        <f>ANUAL!$C160</f>
        <v>R02</v>
      </c>
      <c r="D76" s="302" t="str">
        <f>ANUAL!$D160</f>
        <v>CARRO – COMBUSTÍVEL</v>
      </c>
      <c r="E76" s="302"/>
      <c r="F76" s="302"/>
      <c r="G76" s="104">
        <f>SUMIF(U$9:U$88,ANUAL!C160,T$9:T$88)</f>
        <v>0</v>
      </c>
      <c r="H76" s="62"/>
      <c r="N76" s="16">
        <v>68</v>
      </c>
      <c r="O76" s="65"/>
      <c r="P76" s="55"/>
      <c r="Q76" s="56"/>
      <c r="R76" s="57"/>
      <c r="S76" s="58"/>
      <c r="T76" s="59"/>
      <c r="U76" s="60"/>
      <c r="V76" s="62"/>
      <c r="X76" s="1">
        <f t="shared" ca="1" si="17"/>
        <v>1</v>
      </c>
      <c r="Z76" s="1">
        <f t="shared" si="16"/>
        <v>0</v>
      </c>
      <c r="AA76" s="1">
        <f t="shared" si="16"/>
        <v>0</v>
      </c>
      <c r="AB76" s="1">
        <f t="shared" si="16"/>
        <v>0</v>
      </c>
      <c r="AC76" s="1">
        <f t="shared" si="16"/>
        <v>0</v>
      </c>
      <c r="AD76" s="1">
        <f t="shared" si="16"/>
        <v>0</v>
      </c>
      <c r="AE76" s="1">
        <f t="shared" si="16"/>
        <v>0</v>
      </c>
      <c r="AF76" s="1">
        <f t="shared" si="16"/>
        <v>0</v>
      </c>
      <c r="AG76" s="1">
        <f t="shared" si="16"/>
        <v>0</v>
      </c>
      <c r="AH76" s="1">
        <f t="shared" si="16"/>
        <v>0</v>
      </c>
      <c r="AI76" s="1">
        <f t="shared" si="16"/>
        <v>0</v>
      </c>
      <c r="AJ76" s="1">
        <f t="shared" si="16"/>
        <v>0</v>
      </c>
      <c r="AK76" s="1">
        <f t="shared" si="16"/>
        <v>0</v>
      </c>
    </row>
    <row r="77" spans="1:37" ht="14.1" customHeight="1" x14ac:dyDescent="0.2">
      <c r="A77" s="12">
        <v>21</v>
      </c>
      <c r="B77" s="65"/>
      <c r="C77" s="101" t="str">
        <f>ANUAL!$C161</f>
        <v>R03</v>
      </c>
      <c r="D77" s="303" t="str">
        <f>ANUAL!$D161</f>
        <v>CARRO – CONSERTOS</v>
      </c>
      <c r="E77" s="303"/>
      <c r="F77" s="303"/>
      <c r="G77" s="102">
        <f>SUMIF(U$9:U$88,ANUAL!C161,T$9:T$88)</f>
        <v>0</v>
      </c>
      <c r="H77" s="62"/>
      <c r="N77" s="12">
        <v>69</v>
      </c>
      <c r="O77" s="65"/>
      <c r="P77" s="49"/>
      <c r="Q77" s="50"/>
      <c r="R77" s="51"/>
      <c r="S77" s="52"/>
      <c r="T77" s="53"/>
      <c r="U77" s="54"/>
      <c r="V77" s="62"/>
      <c r="X77" s="1">
        <f t="shared" ca="1" si="17"/>
        <v>1</v>
      </c>
      <c r="Z77" s="1">
        <f t="shared" si="16"/>
        <v>0</v>
      </c>
      <c r="AA77" s="1">
        <f t="shared" si="16"/>
        <v>0</v>
      </c>
      <c r="AB77" s="1">
        <f t="shared" si="16"/>
        <v>0</v>
      </c>
      <c r="AC77" s="1">
        <f t="shared" si="16"/>
        <v>0</v>
      </c>
      <c r="AD77" s="1">
        <f t="shared" si="16"/>
        <v>0</v>
      </c>
      <c r="AE77" s="1">
        <f t="shared" si="16"/>
        <v>0</v>
      </c>
      <c r="AF77" s="1">
        <f t="shared" si="16"/>
        <v>0</v>
      </c>
      <c r="AG77" s="1">
        <f t="shared" si="16"/>
        <v>0</v>
      </c>
      <c r="AH77" s="1">
        <f t="shared" si="16"/>
        <v>0</v>
      </c>
      <c r="AI77" s="1">
        <f t="shared" si="16"/>
        <v>0</v>
      </c>
      <c r="AJ77" s="1">
        <f t="shared" si="16"/>
        <v>0</v>
      </c>
      <c r="AK77" s="1">
        <f t="shared" si="16"/>
        <v>0</v>
      </c>
    </row>
    <row r="78" spans="1:37" ht="14.1" customHeight="1" x14ac:dyDescent="0.2">
      <c r="A78" s="16">
        <v>22</v>
      </c>
      <c r="B78" s="65"/>
      <c r="C78" s="103" t="str">
        <f>ANUAL!$C162</f>
        <v>R04</v>
      </c>
      <c r="D78" s="302" t="str">
        <f>ANUAL!$D162</f>
        <v>CARRO – PRESTAÇOES</v>
      </c>
      <c r="E78" s="302"/>
      <c r="F78" s="302"/>
      <c r="G78" s="104">
        <f>SUMIF(U$9:U$88,ANUAL!C162,T$9:T$88)</f>
        <v>0</v>
      </c>
      <c r="H78" s="62"/>
      <c r="N78" s="16">
        <v>70</v>
      </c>
      <c r="O78" s="65"/>
      <c r="P78" s="55"/>
      <c r="Q78" s="56"/>
      <c r="R78" s="57"/>
      <c r="S78" s="58"/>
      <c r="T78" s="59"/>
      <c r="U78" s="60"/>
      <c r="V78" s="62"/>
      <c r="X78" s="1">
        <f t="shared" ca="1" si="17"/>
        <v>1</v>
      </c>
      <c r="Z78" s="1">
        <f t="shared" si="16"/>
        <v>0</v>
      </c>
      <c r="AA78" s="1">
        <f t="shared" si="16"/>
        <v>0</v>
      </c>
      <c r="AB78" s="1">
        <f t="shared" si="16"/>
        <v>0</v>
      </c>
      <c r="AC78" s="1">
        <f t="shared" si="16"/>
        <v>0</v>
      </c>
      <c r="AD78" s="1">
        <f t="shared" si="16"/>
        <v>0</v>
      </c>
      <c r="AE78" s="1">
        <f t="shared" si="16"/>
        <v>0</v>
      </c>
      <c r="AF78" s="1">
        <f t="shared" si="16"/>
        <v>0</v>
      </c>
      <c r="AG78" s="1">
        <f t="shared" si="16"/>
        <v>0</v>
      </c>
      <c r="AH78" s="1">
        <f t="shared" si="16"/>
        <v>0</v>
      </c>
      <c r="AI78" s="1">
        <f t="shared" si="16"/>
        <v>0</v>
      </c>
      <c r="AJ78" s="1">
        <f t="shared" si="16"/>
        <v>0</v>
      </c>
      <c r="AK78" s="1">
        <f t="shared" si="16"/>
        <v>0</v>
      </c>
    </row>
    <row r="79" spans="1:37" ht="14.1" customHeight="1" x14ac:dyDescent="0.2">
      <c r="A79" s="12">
        <v>23</v>
      </c>
      <c r="B79" s="65"/>
      <c r="C79" s="101" t="str">
        <f>ANUAL!$C163</f>
        <v>B01</v>
      </c>
      <c r="D79" s="303" t="str">
        <f>ANUAL!$D163</f>
        <v>BANCO – TAXAS, JUROS ETC.</v>
      </c>
      <c r="E79" s="303"/>
      <c r="F79" s="303"/>
      <c r="G79" s="102">
        <f>SUMIF(U$9:U$88,ANUAL!C163,T$9:T$88)</f>
        <v>0</v>
      </c>
      <c r="H79" s="62"/>
      <c r="N79" s="12">
        <v>71</v>
      </c>
      <c r="O79" s="65"/>
      <c r="P79" s="49"/>
      <c r="Q79" s="50"/>
      <c r="R79" s="51"/>
      <c r="S79" s="52"/>
      <c r="T79" s="53"/>
      <c r="U79" s="54"/>
      <c r="V79" s="62"/>
      <c r="X79" s="1">
        <f t="shared" ca="1" si="17"/>
        <v>1</v>
      </c>
      <c r="Z79" s="1">
        <f t="shared" ref="Z79:AK88" si="18">IF(Z$8=$R79,-$T79,0)+IF(Z$8=$S79,$T79,0)</f>
        <v>0</v>
      </c>
      <c r="AA79" s="1">
        <f t="shared" si="18"/>
        <v>0</v>
      </c>
      <c r="AB79" s="1">
        <f t="shared" si="18"/>
        <v>0</v>
      </c>
      <c r="AC79" s="1">
        <f t="shared" si="18"/>
        <v>0</v>
      </c>
      <c r="AD79" s="1">
        <f t="shared" si="18"/>
        <v>0</v>
      </c>
      <c r="AE79" s="1">
        <f t="shared" si="18"/>
        <v>0</v>
      </c>
      <c r="AF79" s="1">
        <f t="shared" si="18"/>
        <v>0</v>
      </c>
      <c r="AG79" s="1">
        <f t="shared" si="18"/>
        <v>0</v>
      </c>
      <c r="AH79" s="1">
        <f t="shared" si="18"/>
        <v>0</v>
      </c>
      <c r="AI79" s="1">
        <f t="shared" si="18"/>
        <v>0</v>
      </c>
      <c r="AJ79" s="1">
        <f t="shared" si="18"/>
        <v>0</v>
      </c>
      <c r="AK79" s="1">
        <f t="shared" si="18"/>
        <v>0</v>
      </c>
    </row>
    <row r="80" spans="1:37" ht="14.1" customHeight="1" x14ac:dyDescent="0.2">
      <c r="A80" s="16">
        <v>24</v>
      </c>
      <c r="B80" s="65"/>
      <c r="C80" s="103" t="str">
        <f>ANUAL!$C164</f>
        <v>E01</v>
      </c>
      <c r="D80" s="302" t="str">
        <f>ANUAL!$D164</f>
        <v>EDUCAÇÃO / TREINAMENTO</v>
      </c>
      <c r="E80" s="302"/>
      <c r="F80" s="302"/>
      <c r="G80" s="104">
        <f>SUMIF(U$9:U$88,ANUAL!C164,T$9:T$88)</f>
        <v>0</v>
      </c>
      <c r="H80" s="62"/>
      <c r="N80" s="16">
        <v>72</v>
      </c>
      <c r="O80" s="65"/>
      <c r="P80" s="55"/>
      <c r="Q80" s="56"/>
      <c r="R80" s="57"/>
      <c r="S80" s="58"/>
      <c r="T80" s="59"/>
      <c r="U80" s="60"/>
      <c r="V80" s="62"/>
      <c r="X80" s="1">
        <f t="shared" ca="1" si="17"/>
        <v>1</v>
      </c>
      <c r="Z80" s="1">
        <f t="shared" si="18"/>
        <v>0</v>
      </c>
      <c r="AA80" s="1">
        <f t="shared" si="18"/>
        <v>0</v>
      </c>
      <c r="AB80" s="1">
        <f t="shared" si="18"/>
        <v>0</v>
      </c>
      <c r="AC80" s="1">
        <f t="shared" si="18"/>
        <v>0</v>
      </c>
      <c r="AD80" s="1">
        <f t="shared" si="18"/>
        <v>0</v>
      </c>
      <c r="AE80" s="1">
        <f t="shared" si="18"/>
        <v>0</v>
      </c>
      <c r="AF80" s="1">
        <f t="shared" si="18"/>
        <v>0</v>
      </c>
      <c r="AG80" s="1">
        <f t="shared" si="18"/>
        <v>0</v>
      </c>
      <c r="AH80" s="1">
        <f t="shared" si="18"/>
        <v>0</v>
      </c>
      <c r="AI80" s="1">
        <f t="shared" si="18"/>
        <v>0</v>
      </c>
      <c r="AJ80" s="1">
        <f t="shared" si="18"/>
        <v>0</v>
      </c>
      <c r="AK80" s="1">
        <f t="shared" si="18"/>
        <v>0</v>
      </c>
    </row>
    <row r="81" spans="1:37" ht="14.1" customHeight="1" x14ac:dyDescent="0.2">
      <c r="A81" s="12">
        <v>25</v>
      </c>
      <c r="B81" s="65"/>
      <c r="C81" s="101" t="str">
        <f>ANUAL!$C165</f>
        <v>V01</v>
      </c>
      <c r="D81" s="303" t="str">
        <f>ANUAL!$D165</f>
        <v>VIAGEM</v>
      </c>
      <c r="E81" s="303"/>
      <c r="F81" s="303"/>
      <c r="G81" s="102">
        <f>SUMIF(U$9:U$88,ANUAL!C165,T$9:T$88)</f>
        <v>0</v>
      </c>
      <c r="H81" s="62"/>
      <c r="N81" s="12">
        <v>73</v>
      </c>
      <c r="O81" s="65"/>
      <c r="P81" s="49"/>
      <c r="Q81" s="50"/>
      <c r="R81" s="51"/>
      <c r="S81" s="52"/>
      <c r="T81" s="53"/>
      <c r="U81" s="54"/>
      <c r="V81" s="62"/>
      <c r="X81" s="1">
        <f t="shared" ca="1" si="17"/>
        <v>1</v>
      </c>
      <c r="Z81" s="1">
        <f t="shared" si="18"/>
        <v>0</v>
      </c>
      <c r="AA81" s="1">
        <f t="shared" si="18"/>
        <v>0</v>
      </c>
      <c r="AB81" s="1">
        <f t="shared" si="18"/>
        <v>0</v>
      </c>
      <c r="AC81" s="1">
        <f t="shared" si="18"/>
        <v>0</v>
      </c>
      <c r="AD81" s="1">
        <f t="shared" si="18"/>
        <v>0</v>
      </c>
      <c r="AE81" s="1">
        <f t="shared" si="18"/>
        <v>0</v>
      </c>
      <c r="AF81" s="1">
        <f t="shared" si="18"/>
        <v>0</v>
      </c>
      <c r="AG81" s="1">
        <f t="shared" si="18"/>
        <v>0</v>
      </c>
      <c r="AH81" s="1">
        <f t="shared" si="18"/>
        <v>0</v>
      </c>
      <c r="AI81" s="1">
        <f t="shared" si="18"/>
        <v>0</v>
      </c>
      <c r="AJ81" s="1">
        <f t="shared" si="18"/>
        <v>0</v>
      </c>
      <c r="AK81" s="1">
        <f t="shared" si="18"/>
        <v>0</v>
      </c>
    </row>
    <row r="82" spans="1:37" ht="14.1" customHeight="1" x14ac:dyDescent="0.2">
      <c r="A82" s="16">
        <v>26</v>
      </c>
      <c r="B82" s="65"/>
      <c r="C82" s="103" t="str">
        <f>ANUAL!$C166</f>
        <v>P01</v>
      </c>
      <c r="D82" s="302" t="str">
        <f>ANUAL!$D166</f>
        <v>PESSOAL – DÍZIMO</v>
      </c>
      <c r="E82" s="302"/>
      <c r="F82" s="302"/>
      <c r="G82" s="104">
        <f>SUMIF(U$9:U$88,ANUAL!C166,T$9:T$88)</f>
        <v>0</v>
      </c>
      <c r="H82" s="62"/>
      <c r="I82" s="3"/>
      <c r="J82" s="3"/>
      <c r="L82" s="3"/>
      <c r="M82" s="3"/>
      <c r="N82" s="16">
        <v>74</v>
      </c>
      <c r="O82" s="65"/>
      <c r="P82" s="55"/>
      <c r="Q82" s="56"/>
      <c r="R82" s="57"/>
      <c r="S82" s="58"/>
      <c r="T82" s="59"/>
      <c r="U82" s="60"/>
      <c r="V82" s="62"/>
      <c r="X82" s="1">
        <f t="shared" ca="1" si="17"/>
        <v>1</v>
      </c>
      <c r="Z82" s="1">
        <f t="shared" si="18"/>
        <v>0</v>
      </c>
      <c r="AA82" s="1">
        <f t="shared" si="18"/>
        <v>0</v>
      </c>
      <c r="AB82" s="1">
        <f t="shared" si="18"/>
        <v>0</v>
      </c>
      <c r="AC82" s="1">
        <f t="shared" si="18"/>
        <v>0</v>
      </c>
      <c r="AD82" s="1">
        <f t="shared" si="18"/>
        <v>0</v>
      </c>
      <c r="AE82" s="1">
        <f t="shared" si="18"/>
        <v>0</v>
      </c>
      <c r="AF82" s="1">
        <f t="shared" si="18"/>
        <v>0</v>
      </c>
      <c r="AG82" s="1">
        <f t="shared" si="18"/>
        <v>0</v>
      </c>
      <c r="AH82" s="1">
        <f t="shared" si="18"/>
        <v>0</v>
      </c>
      <c r="AI82" s="1">
        <f t="shared" si="18"/>
        <v>0</v>
      </c>
      <c r="AJ82" s="1">
        <f t="shared" si="18"/>
        <v>0</v>
      </c>
      <c r="AK82" s="1">
        <f t="shared" si="18"/>
        <v>0</v>
      </c>
    </row>
    <row r="83" spans="1:37" ht="14.1" customHeight="1" x14ac:dyDescent="0.2">
      <c r="A83" s="12">
        <v>27</v>
      </c>
      <c r="B83" s="65"/>
      <c r="C83" s="101" t="str">
        <f>ANUAL!$C167</f>
        <v>---</v>
      </c>
      <c r="D83" s="303" t="str">
        <f>ANUAL!$D167</f>
        <v>---</v>
      </c>
      <c r="E83" s="303"/>
      <c r="F83" s="303"/>
      <c r="G83" s="102">
        <f>SUMIF(U$9:U$88,ANUAL!C167,T$9:T$88)</f>
        <v>0</v>
      </c>
      <c r="H83" s="62"/>
      <c r="I83" s="3"/>
      <c r="J83" s="3"/>
      <c r="L83" s="3"/>
      <c r="M83" s="3"/>
      <c r="N83" s="12">
        <v>75</v>
      </c>
      <c r="O83" s="65"/>
      <c r="P83" s="49"/>
      <c r="Q83" s="50"/>
      <c r="R83" s="51"/>
      <c r="S83" s="52"/>
      <c r="T83" s="53"/>
      <c r="U83" s="54"/>
      <c r="V83" s="62"/>
      <c r="X83" s="1">
        <f t="shared" ca="1" si="17"/>
        <v>1</v>
      </c>
      <c r="Z83" s="1">
        <f t="shared" si="18"/>
        <v>0</v>
      </c>
      <c r="AA83" s="1">
        <f t="shared" si="18"/>
        <v>0</v>
      </c>
      <c r="AB83" s="1">
        <f t="shared" si="18"/>
        <v>0</v>
      </c>
      <c r="AC83" s="1">
        <f t="shared" si="18"/>
        <v>0</v>
      </c>
      <c r="AD83" s="1">
        <f t="shared" si="18"/>
        <v>0</v>
      </c>
      <c r="AE83" s="1">
        <f t="shared" si="18"/>
        <v>0</v>
      </c>
      <c r="AF83" s="1">
        <f t="shared" si="18"/>
        <v>0</v>
      </c>
      <c r="AG83" s="1">
        <f t="shared" si="18"/>
        <v>0</v>
      </c>
      <c r="AH83" s="1">
        <f t="shared" si="18"/>
        <v>0</v>
      </c>
      <c r="AI83" s="1">
        <f t="shared" si="18"/>
        <v>0</v>
      </c>
      <c r="AJ83" s="1">
        <f t="shared" si="18"/>
        <v>0</v>
      </c>
      <c r="AK83" s="1">
        <f t="shared" si="18"/>
        <v>0</v>
      </c>
    </row>
    <row r="84" spans="1:37" ht="14.1" customHeight="1" x14ac:dyDescent="0.2">
      <c r="A84" s="16">
        <v>28</v>
      </c>
      <c r="B84" s="65"/>
      <c r="C84" s="103" t="str">
        <f>ANUAL!$C168</f>
        <v>---</v>
      </c>
      <c r="D84" s="302" t="str">
        <f>ANUAL!$D168</f>
        <v>---</v>
      </c>
      <c r="E84" s="302"/>
      <c r="F84" s="302"/>
      <c r="G84" s="104">
        <f>SUMIF(U$9:U$88,ANUAL!C168,T$9:T$88)</f>
        <v>0</v>
      </c>
      <c r="H84" s="62"/>
      <c r="I84" s="3"/>
      <c r="J84" s="3"/>
      <c r="L84" s="3"/>
      <c r="M84" s="3"/>
      <c r="N84" s="16">
        <v>76</v>
      </c>
      <c r="O84" s="65"/>
      <c r="P84" s="55"/>
      <c r="Q84" s="56"/>
      <c r="R84" s="57"/>
      <c r="S84" s="58"/>
      <c r="T84" s="59"/>
      <c r="U84" s="60"/>
      <c r="V84" s="62"/>
      <c r="X84" s="1">
        <f t="shared" ca="1" si="17"/>
        <v>1</v>
      </c>
      <c r="Z84" s="1">
        <f t="shared" si="18"/>
        <v>0</v>
      </c>
      <c r="AA84" s="1">
        <f t="shared" si="18"/>
        <v>0</v>
      </c>
      <c r="AB84" s="1">
        <f t="shared" si="18"/>
        <v>0</v>
      </c>
      <c r="AC84" s="1">
        <f t="shared" si="18"/>
        <v>0</v>
      </c>
      <c r="AD84" s="1">
        <f t="shared" si="18"/>
        <v>0</v>
      </c>
      <c r="AE84" s="1">
        <f t="shared" si="18"/>
        <v>0</v>
      </c>
      <c r="AF84" s="1">
        <f t="shared" si="18"/>
        <v>0</v>
      </c>
      <c r="AG84" s="1">
        <f t="shared" si="18"/>
        <v>0</v>
      </c>
      <c r="AH84" s="1">
        <f t="shared" si="18"/>
        <v>0</v>
      </c>
      <c r="AI84" s="1">
        <f t="shared" si="18"/>
        <v>0</v>
      </c>
      <c r="AJ84" s="1">
        <f t="shared" si="18"/>
        <v>0</v>
      </c>
      <c r="AK84" s="1">
        <f t="shared" si="18"/>
        <v>0</v>
      </c>
    </row>
    <row r="85" spans="1:37" ht="14.1" customHeight="1" x14ac:dyDescent="0.2">
      <c r="A85" s="12">
        <v>29</v>
      </c>
      <c r="B85" s="65"/>
      <c r="C85" s="101" t="str">
        <f>ANUAL!$C169</f>
        <v>---</v>
      </c>
      <c r="D85" s="303" t="str">
        <f>ANUAL!$D169</f>
        <v>---</v>
      </c>
      <c r="E85" s="303"/>
      <c r="F85" s="303"/>
      <c r="G85" s="102">
        <f>SUMIF(U$9:U$88,ANUAL!C169,T$9:T$88)</f>
        <v>0</v>
      </c>
      <c r="H85" s="62"/>
      <c r="I85" s="3"/>
      <c r="J85" s="3"/>
      <c r="L85" s="3"/>
      <c r="M85" s="3"/>
      <c r="N85" s="12">
        <v>77</v>
      </c>
      <c r="O85" s="65"/>
      <c r="P85" s="49"/>
      <c r="Q85" s="50"/>
      <c r="R85" s="51"/>
      <c r="S85" s="52"/>
      <c r="T85" s="53"/>
      <c r="U85" s="54"/>
      <c r="V85" s="62"/>
      <c r="X85" s="1">
        <f t="shared" ca="1" si="17"/>
        <v>1</v>
      </c>
      <c r="Z85" s="1">
        <f t="shared" si="18"/>
        <v>0</v>
      </c>
      <c r="AA85" s="1">
        <f t="shared" si="18"/>
        <v>0</v>
      </c>
      <c r="AB85" s="1">
        <f t="shared" si="18"/>
        <v>0</v>
      </c>
      <c r="AC85" s="1">
        <f t="shared" si="18"/>
        <v>0</v>
      </c>
      <c r="AD85" s="1">
        <f t="shared" si="18"/>
        <v>0</v>
      </c>
      <c r="AE85" s="1">
        <f t="shared" si="18"/>
        <v>0</v>
      </c>
      <c r="AF85" s="1">
        <f t="shared" si="18"/>
        <v>0</v>
      </c>
      <c r="AG85" s="1">
        <f t="shared" si="18"/>
        <v>0</v>
      </c>
      <c r="AH85" s="1">
        <f t="shared" si="18"/>
        <v>0</v>
      </c>
      <c r="AI85" s="1">
        <f t="shared" si="18"/>
        <v>0</v>
      </c>
      <c r="AJ85" s="1">
        <f t="shared" si="18"/>
        <v>0</v>
      </c>
      <c r="AK85" s="1">
        <f t="shared" si="18"/>
        <v>0</v>
      </c>
    </row>
    <row r="86" spans="1:37" ht="14.1" customHeight="1" x14ac:dyDescent="0.2">
      <c r="A86" s="16">
        <v>30</v>
      </c>
      <c r="B86" s="65"/>
      <c r="C86" s="103" t="str">
        <f>ANUAL!$C170</f>
        <v>---</v>
      </c>
      <c r="D86" s="302" t="str">
        <f>ANUAL!$D170</f>
        <v>---</v>
      </c>
      <c r="E86" s="302"/>
      <c r="F86" s="302"/>
      <c r="G86" s="104">
        <f>SUMIF(U$9:U$88,ANUAL!C170,T$9:T$88)</f>
        <v>0</v>
      </c>
      <c r="H86" s="62"/>
      <c r="I86" s="3"/>
      <c r="J86" s="3"/>
      <c r="L86" s="3"/>
      <c r="M86" s="3"/>
      <c r="N86" s="16">
        <v>78</v>
      </c>
      <c r="O86" s="65"/>
      <c r="P86" s="55"/>
      <c r="Q86" s="56"/>
      <c r="R86" s="57"/>
      <c r="S86" s="58"/>
      <c r="T86" s="59"/>
      <c r="U86" s="60"/>
      <c r="V86" s="62"/>
      <c r="X86" s="1">
        <f t="shared" ca="1" si="17"/>
        <v>1</v>
      </c>
      <c r="Z86" s="1">
        <f t="shared" si="18"/>
        <v>0</v>
      </c>
      <c r="AA86" s="1">
        <f t="shared" si="18"/>
        <v>0</v>
      </c>
      <c r="AB86" s="1">
        <f t="shared" si="18"/>
        <v>0</v>
      </c>
      <c r="AC86" s="1">
        <f t="shared" si="18"/>
        <v>0</v>
      </c>
      <c r="AD86" s="1">
        <f t="shared" si="18"/>
        <v>0</v>
      </c>
      <c r="AE86" s="1">
        <f t="shared" si="18"/>
        <v>0</v>
      </c>
      <c r="AF86" s="1">
        <f t="shared" si="18"/>
        <v>0</v>
      </c>
      <c r="AG86" s="1">
        <f t="shared" si="18"/>
        <v>0</v>
      </c>
      <c r="AH86" s="1">
        <f t="shared" si="18"/>
        <v>0</v>
      </c>
      <c r="AI86" s="1">
        <f t="shared" si="18"/>
        <v>0</v>
      </c>
      <c r="AJ86" s="1">
        <f t="shared" si="18"/>
        <v>0</v>
      </c>
      <c r="AK86" s="1">
        <f t="shared" si="18"/>
        <v>0</v>
      </c>
    </row>
    <row r="87" spans="1:37" ht="14.1" customHeight="1" x14ac:dyDescent="0.2">
      <c r="A87" s="12">
        <v>31</v>
      </c>
      <c r="B87" s="65"/>
      <c r="C87" s="101" t="str">
        <f>ANUAL!$C171</f>
        <v>---</v>
      </c>
      <c r="D87" s="303" t="str">
        <f>ANUAL!$D171</f>
        <v>---</v>
      </c>
      <c r="E87" s="303"/>
      <c r="F87" s="303"/>
      <c r="G87" s="102">
        <f>SUMIF(U$9:U$88,ANUAL!C171,T$9:T$88)</f>
        <v>0</v>
      </c>
      <c r="H87" s="62"/>
      <c r="I87" s="3"/>
      <c r="J87" s="3"/>
      <c r="L87" s="3"/>
      <c r="M87" s="3"/>
      <c r="N87" s="12">
        <v>79</v>
      </c>
      <c r="O87" s="65"/>
      <c r="P87" s="49"/>
      <c r="Q87" s="50"/>
      <c r="R87" s="51"/>
      <c r="S87" s="52"/>
      <c r="T87" s="53"/>
      <c r="U87" s="54"/>
      <c r="V87" s="62"/>
      <c r="X87" s="1">
        <f t="shared" ca="1" si="17"/>
        <v>1</v>
      </c>
      <c r="Z87" s="1">
        <f t="shared" si="18"/>
        <v>0</v>
      </c>
      <c r="AA87" s="1">
        <f t="shared" si="18"/>
        <v>0</v>
      </c>
      <c r="AB87" s="1">
        <f t="shared" si="18"/>
        <v>0</v>
      </c>
      <c r="AC87" s="1">
        <f t="shared" si="18"/>
        <v>0</v>
      </c>
      <c r="AD87" s="1">
        <f t="shared" si="18"/>
        <v>0</v>
      </c>
      <c r="AE87" s="1">
        <f t="shared" si="18"/>
        <v>0</v>
      </c>
      <c r="AF87" s="1">
        <f t="shared" si="18"/>
        <v>0</v>
      </c>
      <c r="AG87" s="1">
        <f t="shared" si="18"/>
        <v>0</v>
      </c>
      <c r="AH87" s="1">
        <f t="shared" si="18"/>
        <v>0</v>
      </c>
      <c r="AI87" s="1">
        <f t="shared" si="18"/>
        <v>0</v>
      </c>
      <c r="AJ87" s="1">
        <f t="shared" si="18"/>
        <v>0</v>
      </c>
      <c r="AK87" s="1">
        <f t="shared" si="18"/>
        <v>0</v>
      </c>
    </row>
    <row r="88" spans="1:37" ht="14.1" customHeight="1" x14ac:dyDescent="0.2">
      <c r="A88" s="16">
        <v>32</v>
      </c>
      <c r="B88" s="66"/>
      <c r="C88" s="103" t="str">
        <f>ANUAL!$C172</f>
        <v>---</v>
      </c>
      <c r="D88" s="302" t="str">
        <f>ANUAL!$D172</f>
        <v>---</v>
      </c>
      <c r="E88" s="302"/>
      <c r="F88" s="302"/>
      <c r="G88" s="104">
        <f>SUMIF(U$9:U$88,ANUAL!C172,T$9:T$88)</f>
        <v>0</v>
      </c>
      <c r="H88" s="63"/>
      <c r="I88" s="3"/>
      <c r="J88" s="3"/>
      <c r="L88" s="3"/>
      <c r="M88" s="3"/>
      <c r="N88" s="16">
        <v>80</v>
      </c>
      <c r="O88" s="66"/>
      <c r="P88" s="55"/>
      <c r="Q88" s="56"/>
      <c r="R88" s="57"/>
      <c r="S88" s="58"/>
      <c r="T88" s="59"/>
      <c r="U88" s="60"/>
      <c r="V88" s="63"/>
      <c r="X88" s="1">
        <f t="shared" ca="1" si="17"/>
        <v>1</v>
      </c>
      <c r="Z88" s="1">
        <f t="shared" si="18"/>
        <v>0</v>
      </c>
      <c r="AA88" s="1">
        <f t="shared" si="18"/>
        <v>0</v>
      </c>
      <c r="AB88" s="1">
        <f t="shared" si="18"/>
        <v>0</v>
      </c>
      <c r="AC88" s="1">
        <f t="shared" si="18"/>
        <v>0</v>
      </c>
      <c r="AD88" s="1">
        <f t="shared" si="18"/>
        <v>0</v>
      </c>
      <c r="AE88" s="1">
        <f t="shared" si="18"/>
        <v>0</v>
      </c>
      <c r="AF88" s="1">
        <f t="shared" si="18"/>
        <v>0</v>
      </c>
      <c r="AG88" s="1">
        <f t="shared" si="18"/>
        <v>0</v>
      </c>
      <c r="AH88" s="1">
        <f t="shared" si="18"/>
        <v>0</v>
      </c>
      <c r="AI88" s="1">
        <f t="shared" si="18"/>
        <v>0</v>
      </c>
      <c r="AJ88" s="1">
        <f t="shared" si="18"/>
        <v>0</v>
      </c>
      <c r="AK88" s="1">
        <f t="shared" si="18"/>
        <v>0</v>
      </c>
    </row>
    <row r="89" spans="1:37" ht="14.1" customHeight="1" x14ac:dyDescent="0.2">
      <c r="B89" s="105"/>
      <c r="C89" s="106"/>
      <c r="D89" s="107"/>
      <c r="E89" s="107"/>
      <c r="F89" s="107"/>
      <c r="G89" s="107"/>
      <c r="H89" s="108"/>
      <c r="I89" s="3"/>
      <c r="J89" s="3"/>
      <c r="K89" s="3"/>
      <c r="L89" s="3"/>
      <c r="M89" s="3"/>
      <c r="O89" s="32"/>
      <c r="P89" s="33"/>
      <c r="Q89" s="33"/>
      <c r="R89" s="34"/>
      <c r="S89" s="34"/>
      <c r="T89" s="67"/>
      <c r="U89" s="34"/>
      <c r="V89" s="35"/>
    </row>
    <row r="90" spans="1:37" ht="14.1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37" ht="14.1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37" ht="14.1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37" ht="14.1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37" ht="14.1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37" ht="14.1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37" ht="14.1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1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1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1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</sheetData>
  <sheetProtection selectLockedCells="1"/>
  <mergeCells count="55">
    <mergeCell ref="C43:G44"/>
    <mergeCell ref="B1:H1"/>
    <mergeCell ref="C5:G6"/>
    <mergeCell ref="P5:U6"/>
    <mergeCell ref="C7:C8"/>
    <mergeCell ref="D7:D8"/>
    <mergeCell ref="E7:G7"/>
    <mergeCell ref="P7:P8"/>
    <mergeCell ref="Q7:Q8"/>
    <mergeCell ref="R7:S7"/>
    <mergeCell ref="T7:T8"/>
    <mergeCell ref="U7:U8"/>
    <mergeCell ref="C24:G25"/>
    <mergeCell ref="C26:C27"/>
    <mergeCell ref="D26:D27"/>
    <mergeCell ref="E26:G26"/>
    <mergeCell ref="D62:F62"/>
    <mergeCell ref="D63:F63"/>
    <mergeCell ref="D64:F64"/>
    <mergeCell ref="D65:F65"/>
    <mergeCell ref="C45:C46"/>
    <mergeCell ref="D45:D46"/>
    <mergeCell ref="E45:G45"/>
    <mergeCell ref="C53:G54"/>
    <mergeCell ref="C55:C56"/>
    <mergeCell ref="D55:F56"/>
    <mergeCell ref="G55:G56"/>
    <mergeCell ref="D57:F57"/>
    <mergeCell ref="D58:F58"/>
    <mergeCell ref="D59:F59"/>
    <mergeCell ref="D60:F60"/>
    <mergeCell ref="D61:F61"/>
    <mergeCell ref="D66:F66"/>
    <mergeCell ref="D67:F67"/>
    <mergeCell ref="D80:F80"/>
    <mergeCell ref="D69:F69"/>
    <mergeCell ref="D70:F70"/>
    <mergeCell ref="D71:F71"/>
    <mergeCell ref="D72:F72"/>
    <mergeCell ref="D73:F73"/>
    <mergeCell ref="D74:F74"/>
    <mergeCell ref="D75:F75"/>
    <mergeCell ref="D68:F68"/>
    <mergeCell ref="D88:F88"/>
    <mergeCell ref="D81:F81"/>
    <mergeCell ref="D82:F82"/>
    <mergeCell ref="D83:F83"/>
    <mergeCell ref="D84:F84"/>
    <mergeCell ref="D85:F85"/>
    <mergeCell ref="D86:F86"/>
    <mergeCell ref="D76:F76"/>
    <mergeCell ref="D77:F77"/>
    <mergeCell ref="D78:F78"/>
    <mergeCell ref="D79:F79"/>
    <mergeCell ref="D87:F87"/>
  </mergeCells>
  <conditionalFormatting sqref="P9:U88">
    <cfRule type="expression" dxfId="61" priority="1" stopIfTrue="1">
      <formula>$X9&lt;&gt;1</formula>
    </cfRule>
  </conditionalFormatting>
  <printOptions horizontalCentered="1"/>
  <pageMargins left="0.39374999999999999" right="0.39374999999999999" top="0.78749999999999998" bottom="0.59027777777777779" header="0.51180555555555551" footer="0.51180555555555551"/>
  <pageSetup paperSize="8" scale="5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9"/>
  <sheetViews>
    <sheetView zoomScale="80" zoomScaleNormal="80" workbookViewId="0">
      <selection activeCell="P9" sqref="P9"/>
    </sheetView>
  </sheetViews>
  <sheetFormatPr defaultColWidth="11.5703125" defaultRowHeight="14.1" customHeight="1" x14ac:dyDescent="0.2"/>
  <cols>
    <col min="1" max="1" width="4.140625" style="1" customWidth="1"/>
    <col min="2" max="2" width="2.5703125" style="1" customWidth="1"/>
    <col min="3" max="3" width="9.140625" style="2" customWidth="1"/>
    <col min="4" max="4" width="40.85546875" style="1" customWidth="1"/>
    <col min="5" max="7" width="11.5703125" style="1"/>
    <col min="8" max="9" width="2.5703125" style="1" customWidth="1"/>
    <col min="10" max="12" width="11.5703125" style="1" hidden="1" customWidth="1"/>
    <col min="13" max="13" width="2.5703125" style="1" customWidth="1"/>
    <col min="14" max="14" width="4.140625" style="1" customWidth="1"/>
    <col min="15" max="15" width="2.5703125" style="1" customWidth="1"/>
    <col min="16" max="16" width="11.5703125" style="1"/>
    <col min="17" max="17" width="51" style="1" customWidth="1"/>
    <col min="18" max="19" width="12.7109375" style="24" customWidth="1"/>
    <col min="20" max="20" width="12.7109375" style="1" customWidth="1"/>
    <col min="21" max="21" width="10.140625" style="24" customWidth="1"/>
    <col min="22" max="22" width="2.5703125" style="1" customWidth="1"/>
    <col min="23" max="23" width="5.140625" style="1" customWidth="1"/>
    <col min="24" max="37" width="0" style="1" hidden="1" customWidth="1"/>
    <col min="38" max="255" width="11.5703125" style="1"/>
    <col min="256" max="16384" width="11.5703125" style="3"/>
  </cols>
  <sheetData>
    <row r="1" spans="1:256" s="4" customFormat="1" ht="33.950000000000003" customHeight="1" x14ac:dyDescent="0.2">
      <c r="B1" s="307">
        <f>DATE(ANUAL!B5,B2,8)</f>
        <v>40217</v>
      </c>
      <c r="C1" s="307"/>
      <c r="D1" s="307"/>
      <c r="E1" s="307"/>
      <c r="F1" s="307"/>
      <c r="G1" s="307"/>
      <c r="H1" s="307"/>
      <c r="I1" s="25" t="s">
        <v>2</v>
      </c>
      <c r="M1" s="26" t="s">
        <v>92</v>
      </c>
      <c r="R1" s="27"/>
      <c r="S1" s="27"/>
      <c r="U1" s="27"/>
      <c r="W1" s="25" t="s">
        <v>2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 t="s">
        <v>92</v>
      </c>
      <c r="IV1" s="3"/>
    </row>
    <row r="2" spans="1:256" ht="14.1" customHeight="1" x14ac:dyDescent="0.2">
      <c r="B2" s="31">
        <f>'M1'!B2+1</f>
        <v>2</v>
      </c>
    </row>
    <row r="4" spans="1:256" ht="14.1" customHeight="1" x14ac:dyDescent="0.2">
      <c r="B4" s="68"/>
      <c r="C4" s="69"/>
      <c r="D4" s="70"/>
      <c r="E4" s="70"/>
      <c r="F4" s="70"/>
      <c r="G4" s="70"/>
      <c r="H4" s="71"/>
      <c r="O4" s="36"/>
      <c r="P4" s="37"/>
      <c r="Q4" s="37"/>
      <c r="R4" s="38"/>
      <c r="S4" s="38"/>
      <c r="T4" s="37"/>
      <c r="U4" s="38"/>
      <c r="V4" s="39"/>
    </row>
    <row r="5" spans="1:256" ht="14.1" customHeight="1" x14ac:dyDescent="0.2">
      <c r="B5" s="72"/>
      <c r="C5" s="308" t="s">
        <v>107</v>
      </c>
      <c r="D5" s="308"/>
      <c r="E5" s="308"/>
      <c r="F5" s="308"/>
      <c r="G5" s="308"/>
      <c r="H5" s="73"/>
      <c r="O5" s="40"/>
      <c r="P5" s="309" t="s">
        <v>93</v>
      </c>
      <c r="Q5" s="309"/>
      <c r="R5" s="309"/>
      <c r="S5" s="309"/>
      <c r="T5" s="309"/>
      <c r="U5" s="309"/>
      <c r="V5" s="41"/>
    </row>
    <row r="6" spans="1:256" s="9" customFormat="1" ht="14.1" customHeight="1" x14ac:dyDescent="0.2">
      <c r="B6" s="74"/>
      <c r="C6" s="308"/>
      <c r="D6" s="308"/>
      <c r="E6" s="308"/>
      <c r="F6" s="308"/>
      <c r="G6" s="308"/>
      <c r="H6" s="75"/>
      <c r="I6" s="1"/>
      <c r="J6" s="1"/>
      <c r="K6" s="1"/>
      <c r="L6" s="1"/>
      <c r="M6" s="1"/>
      <c r="N6" s="1"/>
      <c r="O6" s="42"/>
      <c r="P6" s="309"/>
      <c r="Q6" s="309"/>
      <c r="R6" s="309"/>
      <c r="S6" s="309"/>
      <c r="T6" s="309"/>
      <c r="U6" s="309"/>
      <c r="V6" s="4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IV6" s="3"/>
    </row>
    <row r="7" spans="1:256" ht="14.1" customHeight="1" x14ac:dyDescent="0.2">
      <c r="B7" s="46"/>
      <c r="C7" s="271" t="s">
        <v>94</v>
      </c>
      <c r="D7" s="273" t="s">
        <v>5</v>
      </c>
      <c r="E7" s="275" t="s">
        <v>6</v>
      </c>
      <c r="F7" s="275"/>
      <c r="G7" s="276"/>
      <c r="H7" s="73"/>
      <c r="O7" s="46"/>
      <c r="P7" s="275" t="s">
        <v>95</v>
      </c>
      <c r="Q7" s="271" t="s">
        <v>5</v>
      </c>
      <c r="R7" s="275" t="s">
        <v>96</v>
      </c>
      <c r="S7" s="275"/>
      <c r="T7" s="275" t="s">
        <v>97</v>
      </c>
      <c r="U7" s="276" t="s">
        <v>98</v>
      </c>
      <c r="V7" s="41"/>
    </row>
    <row r="8" spans="1:256" ht="14.1" customHeight="1" x14ac:dyDescent="0.2">
      <c r="B8" s="44"/>
      <c r="C8" s="272"/>
      <c r="D8" s="274"/>
      <c r="E8" s="98" t="s">
        <v>99</v>
      </c>
      <c r="F8" s="98" t="s">
        <v>100</v>
      </c>
      <c r="G8" s="98" t="s">
        <v>101</v>
      </c>
      <c r="H8" s="76"/>
      <c r="O8" s="44"/>
      <c r="P8" s="306" t="s">
        <v>95</v>
      </c>
      <c r="Q8" s="272" t="s">
        <v>5</v>
      </c>
      <c r="R8" s="47" t="s">
        <v>89</v>
      </c>
      <c r="S8" s="48" t="s">
        <v>87</v>
      </c>
      <c r="T8" s="306" t="s">
        <v>97</v>
      </c>
      <c r="U8" s="305"/>
      <c r="V8" s="45"/>
      <c r="X8" s="1" t="s">
        <v>100</v>
      </c>
      <c r="Z8" s="1" t="str">
        <f>$C$9</f>
        <v/>
      </c>
      <c r="AA8" s="1" t="str">
        <f>$C$10</f>
        <v>INV1</v>
      </c>
      <c r="AB8" s="1" t="str">
        <f>$C$11</f>
        <v>DINH1</v>
      </c>
      <c r="AC8" s="1" t="str">
        <f>$C$12</f>
        <v>CRED1</v>
      </c>
      <c r="AD8" s="1" t="str">
        <f>$C$13</f>
        <v>---</v>
      </c>
      <c r="AE8" s="1" t="str">
        <f>$C$14</f>
        <v>---</v>
      </c>
      <c r="AF8" s="1" t="str">
        <f>$C$15</f>
        <v>---</v>
      </c>
      <c r="AG8" s="1" t="str">
        <f>$C$16</f>
        <v>---</v>
      </c>
      <c r="AH8" s="1" t="str">
        <f>$C$17</f>
        <v>---</v>
      </c>
      <c r="AI8" s="1" t="str">
        <f>$C$18</f>
        <v>---</v>
      </c>
      <c r="AJ8" s="1" t="str">
        <f>$C$19</f>
        <v>---</v>
      </c>
      <c r="AK8" s="1" t="str">
        <f>$C$20</f>
        <v>---</v>
      </c>
    </row>
    <row r="9" spans="1:256" ht="14.1" customHeight="1" x14ac:dyDescent="0.2">
      <c r="A9" s="12">
        <v>1</v>
      </c>
      <c r="B9" s="64"/>
      <c r="C9" s="115" t="str">
        <f>TRIM(ANUAL!C13)</f>
        <v/>
      </c>
      <c r="D9" s="116" t="str">
        <f>TRIM(ANUAL!D13)</f>
        <v>CONTA CORRENTE BANCO 1</v>
      </c>
      <c r="E9" s="117">
        <f ca="1">INDIRECT("M"&amp;B$2-1&amp;"!G"&amp;A9+ROW(A$8))</f>
        <v>0</v>
      </c>
      <c r="F9" s="117">
        <f t="shared" ref="F9:F20" ca="1" si="0">E9+SUMIF(X$9:X$88,1,OFFSET($Z$9:$Z$88,0,A9-1))</f>
        <v>0</v>
      </c>
      <c r="G9" s="117">
        <f t="shared" ref="G9:G20" ca="1" si="1">E9+SUM(OFFSET($Z$9:$Z$88,0,A9-1))</f>
        <v>0</v>
      </c>
      <c r="H9" s="61"/>
      <c r="J9" s="3" t="b">
        <f t="shared" ref="J9:L20" si="2">NOT(ISERR(SEARCH(J$27,$C9)))</f>
        <v>0</v>
      </c>
      <c r="K9" s="3" t="b">
        <f t="shared" si="2"/>
        <v>0</v>
      </c>
      <c r="L9" s="3" t="b">
        <f t="shared" si="2"/>
        <v>0</v>
      </c>
      <c r="N9" s="12">
        <v>1</v>
      </c>
      <c r="O9" s="64"/>
      <c r="P9" s="49"/>
      <c r="Q9" s="50"/>
      <c r="R9" s="51"/>
      <c r="S9" s="52"/>
      <c r="T9" s="53"/>
      <c r="U9" s="54"/>
      <c r="V9" s="61"/>
      <c r="X9" s="1">
        <f t="shared" ref="X9:X40" ca="1" si="3">IF(P9&lt;NOW(),1,0)</f>
        <v>1</v>
      </c>
      <c r="Z9" s="1">
        <f t="shared" ref="Z9:AK18" si="4">IF(Z$8=$R9,-$T9,0)+IF(Z$8=$S9,$T9,0)</f>
        <v>0</v>
      </c>
      <c r="AA9" s="1">
        <f t="shared" si="4"/>
        <v>0</v>
      </c>
      <c r="AB9" s="1">
        <f t="shared" si="4"/>
        <v>0</v>
      </c>
      <c r="AC9" s="1">
        <f t="shared" si="4"/>
        <v>0</v>
      </c>
      <c r="AD9" s="1">
        <f t="shared" si="4"/>
        <v>0</v>
      </c>
      <c r="AE9" s="1">
        <f t="shared" si="4"/>
        <v>0</v>
      </c>
      <c r="AF9" s="1">
        <f t="shared" si="4"/>
        <v>0</v>
      </c>
      <c r="AG9" s="1">
        <f t="shared" si="4"/>
        <v>0</v>
      </c>
      <c r="AH9" s="1">
        <f t="shared" si="4"/>
        <v>0</v>
      </c>
      <c r="AI9" s="1">
        <f t="shared" si="4"/>
        <v>0</v>
      </c>
      <c r="AJ9" s="1">
        <f t="shared" si="4"/>
        <v>0</v>
      </c>
      <c r="AK9" s="1">
        <f t="shared" si="4"/>
        <v>0</v>
      </c>
    </row>
    <row r="10" spans="1:256" ht="14.1" customHeight="1" x14ac:dyDescent="0.2">
      <c r="A10" s="16">
        <v>2</v>
      </c>
      <c r="B10" s="65"/>
      <c r="C10" s="118" t="str">
        <f>TRIM(ANUAL!C14)</f>
        <v>INV1</v>
      </c>
      <c r="D10" s="119" t="str">
        <f>TRIM(ANUAL!D14)</f>
        <v>POUPANÇA BANCO 1</v>
      </c>
      <c r="E10" s="120">
        <f t="shared" ref="E10:E20" ca="1" si="5">INDIRECT("M"&amp;B$2-1&amp;"!G"&amp;A10+ROW(A$8))</f>
        <v>0</v>
      </c>
      <c r="F10" s="120">
        <f t="shared" ca="1" si="0"/>
        <v>0</v>
      </c>
      <c r="G10" s="120">
        <f t="shared" ca="1" si="1"/>
        <v>0</v>
      </c>
      <c r="H10" s="62"/>
      <c r="J10" s="3" t="b">
        <f t="shared" si="2"/>
        <v>0</v>
      </c>
      <c r="K10" s="3" t="b">
        <f t="shared" si="2"/>
        <v>1</v>
      </c>
      <c r="L10" s="3" t="b">
        <f t="shared" si="2"/>
        <v>0</v>
      </c>
      <c r="N10" s="16">
        <v>2</v>
      </c>
      <c r="O10" s="65"/>
      <c r="P10" s="55"/>
      <c r="Q10" s="56"/>
      <c r="R10" s="57"/>
      <c r="S10" s="58"/>
      <c r="T10" s="59"/>
      <c r="U10" s="60"/>
      <c r="V10" s="62"/>
      <c r="X10" s="1">
        <f t="shared" ca="1" si="3"/>
        <v>1</v>
      </c>
      <c r="Z10" s="1">
        <f t="shared" si="4"/>
        <v>0</v>
      </c>
      <c r="AA10" s="1">
        <f t="shared" si="4"/>
        <v>0</v>
      </c>
      <c r="AB10" s="1">
        <f t="shared" si="4"/>
        <v>0</v>
      </c>
      <c r="AC10" s="1">
        <f t="shared" si="4"/>
        <v>0</v>
      </c>
      <c r="AD10" s="1">
        <f t="shared" si="4"/>
        <v>0</v>
      </c>
      <c r="AE10" s="1">
        <f t="shared" si="4"/>
        <v>0</v>
      </c>
      <c r="AF10" s="1">
        <f t="shared" si="4"/>
        <v>0</v>
      </c>
      <c r="AG10" s="1">
        <f t="shared" si="4"/>
        <v>0</v>
      </c>
      <c r="AH10" s="1">
        <f t="shared" si="4"/>
        <v>0</v>
      </c>
      <c r="AI10" s="1">
        <f t="shared" si="4"/>
        <v>0</v>
      </c>
      <c r="AJ10" s="1">
        <f t="shared" si="4"/>
        <v>0</v>
      </c>
      <c r="AK10" s="1">
        <f t="shared" si="4"/>
        <v>0</v>
      </c>
    </row>
    <row r="11" spans="1:256" ht="14.1" customHeight="1" x14ac:dyDescent="0.2">
      <c r="A11" s="12">
        <v>3</v>
      </c>
      <c r="B11" s="65"/>
      <c r="C11" s="115" t="str">
        <f>TRIM(ANUAL!C15)</f>
        <v>DINH1</v>
      </c>
      <c r="D11" s="116" t="str">
        <f>TRIM(ANUAL!D15)</f>
        <v>EM ESPÉCIE</v>
      </c>
      <c r="E11" s="117">
        <f t="shared" ca="1" si="5"/>
        <v>0</v>
      </c>
      <c r="F11" s="117">
        <f t="shared" ca="1" si="0"/>
        <v>0</v>
      </c>
      <c r="G11" s="117">
        <f t="shared" ca="1" si="1"/>
        <v>0</v>
      </c>
      <c r="H11" s="62"/>
      <c r="J11" s="3" t="b">
        <f t="shared" si="2"/>
        <v>0</v>
      </c>
      <c r="K11" s="3" t="b">
        <f t="shared" si="2"/>
        <v>0</v>
      </c>
      <c r="L11" s="3" t="b">
        <f t="shared" si="2"/>
        <v>1</v>
      </c>
      <c r="N11" s="12">
        <v>3</v>
      </c>
      <c r="O11" s="65"/>
      <c r="P11" s="49"/>
      <c r="Q11" s="50"/>
      <c r="R11" s="51"/>
      <c r="S11" s="52"/>
      <c r="T11" s="53"/>
      <c r="U11" s="54"/>
      <c r="V11" s="62"/>
      <c r="X11" s="1">
        <f t="shared" ca="1" si="3"/>
        <v>1</v>
      </c>
      <c r="Z11" s="1">
        <f t="shared" si="4"/>
        <v>0</v>
      </c>
      <c r="AA11" s="1">
        <f t="shared" si="4"/>
        <v>0</v>
      </c>
      <c r="AB11" s="1">
        <f t="shared" si="4"/>
        <v>0</v>
      </c>
      <c r="AC11" s="1">
        <f t="shared" si="4"/>
        <v>0</v>
      </c>
      <c r="AD11" s="1">
        <f t="shared" si="4"/>
        <v>0</v>
      </c>
      <c r="AE11" s="1">
        <f t="shared" si="4"/>
        <v>0</v>
      </c>
      <c r="AF11" s="1">
        <f t="shared" si="4"/>
        <v>0</v>
      </c>
      <c r="AG11" s="1">
        <f t="shared" si="4"/>
        <v>0</v>
      </c>
      <c r="AH11" s="1">
        <f t="shared" si="4"/>
        <v>0</v>
      </c>
      <c r="AI11" s="1">
        <f t="shared" si="4"/>
        <v>0</v>
      </c>
      <c r="AJ11" s="1">
        <f t="shared" si="4"/>
        <v>0</v>
      </c>
      <c r="AK11" s="1">
        <f t="shared" si="4"/>
        <v>0</v>
      </c>
    </row>
    <row r="12" spans="1:256" ht="14.1" customHeight="1" x14ac:dyDescent="0.2">
      <c r="A12" s="16">
        <v>4</v>
      </c>
      <c r="B12" s="65"/>
      <c r="C12" s="118" t="str">
        <f>TRIM(ANUAL!C16)</f>
        <v>CRED1</v>
      </c>
      <c r="D12" s="119" t="str">
        <f>TRIM(ANUAL!D16)</f>
        <v>CARTÃO DE CRÉDITO 1</v>
      </c>
      <c r="E12" s="120">
        <f t="shared" ca="1" si="5"/>
        <v>0</v>
      </c>
      <c r="F12" s="120">
        <f t="shared" ca="1" si="0"/>
        <v>0</v>
      </c>
      <c r="G12" s="120">
        <f t="shared" ca="1" si="1"/>
        <v>0</v>
      </c>
      <c r="H12" s="62"/>
      <c r="J12" s="3" t="b">
        <f t="shared" si="2"/>
        <v>0</v>
      </c>
      <c r="K12" s="3" t="b">
        <f t="shared" si="2"/>
        <v>0</v>
      </c>
      <c r="L12" s="3" t="b">
        <f t="shared" si="2"/>
        <v>0</v>
      </c>
      <c r="N12" s="16">
        <v>4</v>
      </c>
      <c r="O12" s="65"/>
      <c r="P12" s="55"/>
      <c r="Q12" s="56"/>
      <c r="R12" s="57"/>
      <c r="S12" s="58"/>
      <c r="T12" s="59"/>
      <c r="U12" s="60"/>
      <c r="V12" s="62"/>
      <c r="X12" s="1">
        <f t="shared" ca="1" si="3"/>
        <v>1</v>
      </c>
      <c r="Z12" s="1">
        <f t="shared" si="4"/>
        <v>0</v>
      </c>
      <c r="AA12" s="1">
        <f t="shared" si="4"/>
        <v>0</v>
      </c>
      <c r="AB12" s="1">
        <f t="shared" si="4"/>
        <v>0</v>
      </c>
      <c r="AC12" s="1">
        <f t="shared" si="4"/>
        <v>0</v>
      </c>
      <c r="AD12" s="1">
        <f t="shared" si="4"/>
        <v>0</v>
      </c>
      <c r="AE12" s="1">
        <f t="shared" si="4"/>
        <v>0</v>
      </c>
      <c r="AF12" s="1">
        <f t="shared" si="4"/>
        <v>0</v>
      </c>
      <c r="AG12" s="1">
        <f t="shared" si="4"/>
        <v>0</v>
      </c>
      <c r="AH12" s="1">
        <f t="shared" si="4"/>
        <v>0</v>
      </c>
      <c r="AI12" s="1">
        <f t="shared" si="4"/>
        <v>0</v>
      </c>
      <c r="AJ12" s="1">
        <f t="shared" si="4"/>
        <v>0</v>
      </c>
      <c r="AK12" s="1">
        <f t="shared" si="4"/>
        <v>0</v>
      </c>
    </row>
    <row r="13" spans="1:256" ht="14.1" customHeight="1" x14ac:dyDescent="0.2">
      <c r="A13" s="12">
        <v>5</v>
      </c>
      <c r="B13" s="65"/>
      <c r="C13" s="115" t="str">
        <f>TRIM(ANUAL!C17)</f>
        <v>---</v>
      </c>
      <c r="D13" s="116" t="str">
        <f>TRIM(ANUAL!D17)</f>
        <v/>
      </c>
      <c r="E13" s="117">
        <f t="shared" ca="1" si="5"/>
        <v>0</v>
      </c>
      <c r="F13" s="117">
        <f t="shared" ca="1" si="0"/>
        <v>0</v>
      </c>
      <c r="G13" s="117">
        <f t="shared" ca="1" si="1"/>
        <v>0</v>
      </c>
      <c r="H13" s="62"/>
      <c r="J13" s="3" t="b">
        <f t="shared" si="2"/>
        <v>0</v>
      </c>
      <c r="K13" s="3" t="b">
        <f t="shared" si="2"/>
        <v>0</v>
      </c>
      <c r="L13" s="3" t="b">
        <f t="shared" si="2"/>
        <v>0</v>
      </c>
      <c r="N13" s="12">
        <v>5</v>
      </c>
      <c r="O13" s="65"/>
      <c r="P13" s="49"/>
      <c r="Q13" s="50"/>
      <c r="R13" s="51"/>
      <c r="S13" s="52"/>
      <c r="T13" s="53"/>
      <c r="U13" s="54"/>
      <c r="V13" s="62"/>
      <c r="X13" s="1">
        <f t="shared" ca="1" si="3"/>
        <v>1</v>
      </c>
      <c r="Z13" s="1">
        <f t="shared" si="4"/>
        <v>0</v>
      </c>
      <c r="AA13" s="1">
        <f t="shared" si="4"/>
        <v>0</v>
      </c>
      <c r="AB13" s="1">
        <f t="shared" si="4"/>
        <v>0</v>
      </c>
      <c r="AC13" s="1">
        <f t="shared" si="4"/>
        <v>0</v>
      </c>
      <c r="AD13" s="1">
        <f t="shared" si="4"/>
        <v>0</v>
      </c>
      <c r="AE13" s="1">
        <f t="shared" si="4"/>
        <v>0</v>
      </c>
      <c r="AF13" s="1">
        <f t="shared" si="4"/>
        <v>0</v>
      </c>
      <c r="AG13" s="1">
        <f t="shared" si="4"/>
        <v>0</v>
      </c>
      <c r="AH13" s="1">
        <f t="shared" si="4"/>
        <v>0</v>
      </c>
      <c r="AI13" s="1">
        <f t="shared" si="4"/>
        <v>0</v>
      </c>
      <c r="AJ13" s="1">
        <f t="shared" si="4"/>
        <v>0</v>
      </c>
      <c r="AK13" s="1">
        <f t="shared" si="4"/>
        <v>0</v>
      </c>
    </row>
    <row r="14" spans="1:256" ht="14.1" customHeight="1" x14ac:dyDescent="0.2">
      <c r="A14" s="16">
        <v>6</v>
      </c>
      <c r="B14" s="65"/>
      <c r="C14" s="118" t="str">
        <f>TRIM(ANUAL!C18)</f>
        <v>---</v>
      </c>
      <c r="D14" s="119" t="str">
        <f>TRIM(ANUAL!D18)</f>
        <v/>
      </c>
      <c r="E14" s="120">
        <f t="shared" ca="1" si="5"/>
        <v>0</v>
      </c>
      <c r="F14" s="120">
        <f t="shared" ca="1" si="0"/>
        <v>0</v>
      </c>
      <c r="G14" s="120">
        <f t="shared" ca="1" si="1"/>
        <v>0</v>
      </c>
      <c r="H14" s="62"/>
      <c r="J14" s="3" t="b">
        <f t="shared" si="2"/>
        <v>0</v>
      </c>
      <c r="K14" s="3" t="b">
        <f t="shared" si="2"/>
        <v>0</v>
      </c>
      <c r="L14" s="3" t="b">
        <f t="shared" si="2"/>
        <v>0</v>
      </c>
      <c r="N14" s="16">
        <v>6</v>
      </c>
      <c r="O14" s="65"/>
      <c r="P14" s="55"/>
      <c r="Q14" s="56"/>
      <c r="R14" s="57"/>
      <c r="S14" s="58"/>
      <c r="T14" s="59"/>
      <c r="U14" s="60"/>
      <c r="V14" s="62"/>
      <c r="X14" s="1">
        <f t="shared" ca="1" si="3"/>
        <v>1</v>
      </c>
      <c r="Z14" s="1">
        <f t="shared" si="4"/>
        <v>0</v>
      </c>
      <c r="AA14" s="1">
        <f t="shared" si="4"/>
        <v>0</v>
      </c>
      <c r="AB14" s="1">
        <f t="shared" si="4"/>
        <v>0</v>
      </c>
      <c r="AC14" s="1">
        <f t="shared" si="4"/>
        <v>0</v>
      </c>
      <c r="AD14" s="1">
        <f t="shared" si="4"/>
        <v>0</v>
      </c>
      <c r="AE14" s="1">
        <f t="shared" si="4"/>
        <v>0</v>
      </c>
      <c r="AF14" s="1">
        <f t="shared" si="4"/>
        <v>0</v>
      </c>
      <c r="AG14" s="1">
        <f t="shared" si="4"/>
        <v>0</v>
      </c>
      <c r="AH14" s="1">
        <f t="shared" si="4"/>
        <v>0</v>
      </c>
      <c r="AI14" s="1">
        <f t="shared" si="4"/>
        <v>0</v>
      </c>
      <c r="AJ14" s="1">
        <f t="shared" si="4"/>
        <v>0</v>
      </c>
      <c r="AK14" s="1">
        <f t="shared" si="4"/>
        <v>0</v>
      </c>
    </row>
    <row r="15" spans="1:256" ht="14.1" customHeight="1" x14ac:dyDescent="0.2">
      <c r="A15" s="12">
        <v>7</v>
      </c>
      <c r="B15" s="65"/>
      <c r="C15" s="115" t="str">
        <f>TRIM(ANUAL!C19)</f>
        <v>---</v>
      </c>
      <c r="D15" s="116" t="str">
        <f>TRIM(ANUAL!D19)</f>
        <v/>
      </c>
      <c r="E15" s="117">
        <f t="shared" ca="1" si="5"/>
        <v>0</v>
      </c>
      <c r="F15" s="117">
        <f t="shared" ca="1" si="0"/>
        <v>0</v>
      </c>
      <c r="G15" s="117">
        <f t="shared" ca="1" si="1"/>
        <v>0</v>
      </c>
      <c r="H15" s="62"/>
      <c r="J15" s="3" t="b">
        <f t="shared" si="2"/>
        <v>0</v>
      </c>
      <c r="K15" s="3" t="b">
        <f t="shared" si="2"/>
        <v>0</v>
      </c>
      <c r="L15" s="3" t="b">
        <f t="shared" si="2"/>
        <v>0</v>
      </c>
      <c r="N15" s="12">
        <v>7</v>
      </c>
      <c r="O15" s="65"/>
      <c r="P15" s="49"/>
      <c r="Q15" s="50"/>
      <c r="R15" s="51"/>
      <c r="S15" s="52"/>
      <c r="T15" s="53"/>
      <c r="U15" s="54"/>
      <c r="V15" s="62"/>
      <c r="X15" s="1">
        <f t="shared" ca="1" si="3"/>
        <v>1</v>
      </c>
      <c r="Z15" s="1">
        <f t="shared" si="4"/>
        <v>0</v>
      </c>
      <c r="AA15" s="1">
        <f t="shared" si="4"/>
        <v>0</v>
      </c>
      <c r="AB15" s="1">
        <f t="shared" si="4"/>
        <v>0</v>
      </c>
      <c r="AC15" s="1">
        <f t="shared" si="4"/>
        <v>0</v>
      </c>
      <c r="AD15" s="1">
        <f t="shared" si="4"/>
        <v>0</v>
      </c>
      <c r="AE15" s="1">
        <f t="shared" si="4"/>
        <v>0</v>
      </c>
      <c r="AF15" s="1">
        <f t="shared" si="4"/>
        <v>0</v>
      </c>
      <c r="AG15" s="1">
        <f t="shared" si="4"/>
        <v>0</v>
      </c>
      <c r="AH15" s="1">
        <f t="shared" si="4"/>
        <v>0</v>
      </c>
      <c r="AI15" s="1">
        <f t="shared" si="4"/>
        <v>0</v>
      </c>
      <c r="AJ15" s="1">
        <f t="shared" si="4"/>
        <v>0</v>
      </c>
      <c r="AK15" s="1">
        <f t="shared" si="4"/>
        <v>0</v>
      </c>
    </row>
    <row r="16" spans="1:256" ht="14.1" customHeight="1" x14ac:dyDescent="0.2">
      <c r="A16" s="16">
        <v>8</v>
      </c>
      <c r="B16" s="65"/>
      <c r="C16" s="118" t="str">
        <f>TRIM(ANUAL!C20)</f>
        <v>---</v>
      </c>
      <c r="D16" s="119" t="str">
        <f>TRIM(ANUAL!D20)</f>
        <v/>
      </c>
      <c r="E16" s="120">
        <f t="shared" ca="1" si="5"/>
        <v>0</v>
      </c>
      <c r="F16" s="120">
        <f t="shared" ca="1" si="0"/>
        <v>0</v>
      </c>
      <c r="G16" s="120">
        <f t="shared" ca="1" si="1"/>
        <v>0</v>
      </c>
      <c r="H16" s="62"/>
      <c r="J16" s="3" t="b">
        <f t="shared" si="2"/>
        <v>0</v>
      </c>
      <c r="K16" s="3" t="b">
        <f t="shared" si="2"/>
        <v>0</v>
      </c>
      <c r="L16" s="3" t="b">
        <f t="shared" si="2"/>
        <v>0</v>
      </c>
      <c r="N16" s="16">
        <v>8</v>
      </c>
      <c r="O16" s="65"/>
      <c r="P16" s="55"/>
      <c r="Q16" s="56"/>
      <c r="R16" s="57"/>
      <c r="S16" s="58"/>
      <c r="T16" s="59"/>
      <c r="U16" s="60"/>
      <c r="V16" s="62"/>
      <c r="X16" s="1">
        <f t="shared" ca="1" si="3"/>
        <v>1</v>
      </c>
      <c r="Z16" s="1">
        <f t="shared" si="4"/>
        <v>0</v>
      </c>
      <c r="AA16" s="1">
        <f t="shared" si="4"/>
        <v>0</v>
      </c>
      <c r="AB16" s="1">
        <f t="shared" si="4"/>
        <v>0</v>
      </c>
      <c r="AC16" s="1">
        <f t="shared" si="4"/>
        <v>0</v>
      </c>
      <c r="AD16" s="1">
        <f t="shared" si="4"/>
        <v>0</v>
      </c>
      <c r="AE16" s="1">
        <f t="shared" si="4"/>
        <v>0</v>
      </c>
      <c r="AF16" s="1">
        <f t="shared" si="4"/>
        <v>0</v>
      </c>
      <c r="AG16" s="1">
        <f t="shared" si="4"/>
        <v>0</v>
      </c>
      <c r="AH16" s="1">
        <f t="shared" si="4"/>
        <v>0</v>
      </c>
      <c r="AI16" s="1">
        <f t="shared" si="4"/>
        <v>0</v>
      </c>
      <c r="AJ16" s="1">
        <f t="shared" si="4"/>
        <v>0</v>
      </c>
      <c r="AK16" s="1">
        <f t="shared" si="4"/>
        <v>0</v>
      </c>
    </row>
    <row r="17" spans="1:37" ht="14.1" customHeight="1" x14ac:dyDescent="0.2">
      <c r="A17" s="12">
        <v>9</v>
      </c>
      <c r="B17" s="65"/>
      <c r="C17" s="115" t="str">
        <f>TRIM(ANUAL!C21)</f>
        <v>---</v>
      </c>
      <c r="D17" s="116" t="str">
        <f>TRIM(ANUAL!D21)</f>
        <v/>
      </c>
      <c r="E17" s="117">
        <f t="shared" ca="1" si="5"/>
        <v>0</v>
      </c>
      <c r="F17" s="117">
        <f t="shared" ca="1" si="0"/>
        <v>0</v>
      </c>
      <c r="G17" s="117">
        <f t="shared" ca="1" si="1"/>
        <v>0</v>
      </c>
      <c r="H17" s="62"/>
      <c r="J17" s="3" t="b">
        <f t="shared" si="2"/>
        <v>0</v>
      </c>
      <c r="K17" s="3" t="b">
        <f t="shared" si="2"/>
        <v>0</v>
      </c>
      <c r="L17" s="3" t="b">
        <f t="shared" si="2"/>
        <v>0</v>
      </c>
      <c r="N17" s="12">
        <v>9</v>
      </c>
      <c r="O17" s="65"/>
      <c r="P17" s="49"/>
      <c r="Q17" s="50"/>
      <c r="R17" s="51"/>
      <c r="S17" s="52"/>
      <c r="T17" s="53"/>
      <c r="U17" s="54"/>
      <c r="V17" s="62"/>
      <c r="X17" s="1">
        <f t="shared" ca="1" si="3"/>
        <v>1</v>
      </c>
      <c r="Z17" s="1">
        <f t="shared" si="4"/>
        <v>0</v>
      </c>
      <c r="AA17" s="1">
        <f t="shared" si="4"/>
        <v>0</v>
      </c>
      <c r="AB17" s="1">
        <f t="shared" si="4"/>
        <v>0</v>
      </c>
      <c r="AC17" s="1">
        <f t="shared" si="4"/>
        <v>0</v>
      </c>
      <c r="AD17" s="1">
        <f t="shared" si="4"/>
        <v>0</v>
      </c>
      <c r="AE17" s="1">
        <f t="shared" si="4"/>
        <v>0</v>
      </c>
      <c r="AF17" s="1">
        <f t="shared" si="4"/>
        <v>0</v>
      </c>
      <c r="AG17" s="1">
        <f t="shared" si="4"/>
        <v>0</v>
      </c>
      <c r="AH17" s="1">
        <f t="shared" si="4"/>
        <v>0</v>
      </c>
      <c r="AI17" s="1">
        <f t="shared" si="4"/>
        <v>0</v>
      </c>
      <c r="AJ17" s="1">
        <f t="shared" si="4"/>
        <v>0</v>
      </c>
      <c r="AK17" s="1">
        <f t="shared" si="4"/>
        <v>0</v>
      </c>
    </row>
    <row r="18" spans="1:37" ht="14.1" customHeight="1" x14ac:dyDescent="0.2">
      <c r="A18" s="16">
        <v>10</v>
      </c>
      <c r="B18" s="65"/>
      <c r="C18" s="118" t="str">
        <f>TRIM(ANUAL!C22)</f>
        <v>---</v>
      </c>
      <c r="D18" s="119" t="str">
        <f>TRIM(ANUAL!D22)</f>
        <v/>
      </c>
      <c r="E18" s="120">
        <f t="shared" ca="1" si="5"/>
        <v>0</v>
      </c>
      <c r="F18" s="120">
        <f t="shared" ca="1" si="0"/>
        <v>0</v>
      </c>
      <c r="G18" s="120">
        <f t="shared" ca="1" si="1"/>
        <v>0</v>
      </c>
      <c r="H18" s="62"/>
      <c r="J18" s="3" t="b">
        <f t="shared" si="2"/>
        <v>0</v>
      </c>
      <c r="K18" s="3" t="b">
        <f t="shared" si="2"/>
        <v>0</v>
      </c>
      <c r="L18" s="3" t="b">
        <f t="shared" si="2"/>
        <v>0</v>
      </c>
      <c r="N18" s="16">
        <v>10</v>
      </c>
      <c r="O18" s="65"/>
      <c r="P18" s="55"/>
      <c r="Q18" s="56"/>
      <c r="R18" s="57"/>
      <c r="S18" s="58"/>
      <c r="T18" s="59"/>
      <c r="U18" s="60"/>
      <c r="V18" s="62"/>
      <c r="X18" s="1">
        <f t="shared" ca="1" si="3"/>
        <v>1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C18" s="1">
        <f t="shared" si="4"/>
        <v>0</v>
      </c>
      <c r="AD18" s="1">
        <f t="shared" si="4"/>
        <v>0</v>
      </c>
      <c r="AE18" s="1">
        <f t="shared" si="4"/>
        <v>0</v>
      </c>
      <c r="AF18" s="1">
        <f t="shared" si="4"/>
        <v>0</v>
      </c>
      <c r="AG18" s="1">
        <f t="shared" si="4"/>
        <v>0</v>
      </c>
      <c r="AH18" s="1">
        <f t="shared" si="4"/>
        <v>0</v>
      </c>
      <c r="AI18" s="1">
        <f t="shared" si="4"/>
        <v>0</v>
      </c>
      <c r="AJ18" s="1">
        <f t="shared" si="4"/>
        <v>0</v>
      </c>
      <c r="AK18" s="1">
        <f t="shared" si="4"/>
        <v>0</v>
      </c>
    </row>
    <row r="19" spans="1:37" ht="14.1" customHeight="1" x14ac:dyDescent="0.2">
      <c r="A19" s="12">
        <v>11</v>
      </c>
      <c r="B19" s="65"/>
      <c r="C19" s="115" t="str">
        <f>TRIM(ANUAL!C23)</f>
        <v>---</v>
      </c>
      <c r="D19" s="116" t="str">
        <f>TRIM(ANUAL!D23)</f>
        <v/>
      </c>
      <c r="E19" s="117">
        <f t="shared" ca="1" si="5"/>
        <v>0</v>
      </c>
      <c r="F19" s="117">
        <f t="shared" ca="1" si="0"/>
        <v>0</v>
      </c>
      <c r="G19" s="117">
        <f t="shared" ca="1" si="1"/>
        <v>0</v>
      </c>
      <c r="H19" s="62"/>
      <c r="J19" s="3" t="b">
        <f t="shared" si="2"/>
        <v>0</v>
      </c>
      <c r="K19" s="3" t="b">
        <f t="shared" si="2"/>
        <v>0</v>
      </c>
      <c r="L19" s="3" t="b">
        <f t="shared" si="2"/>
        <v>0</v>
      </c>
      <c r="N19" s="12">
        <v>11</v>
      </c>
      <c r="O19" s="65"/>
      <c r="P19" s="49"/>
      <c r="Q19" s="50"/>
      <c r="R19" s="51"/>
      <c r="S19" s="52"/>
      <c r="T19" s="53"/>
      <c r="U19" s="54"/>
      <c r="V19" s="62"/>
      <c r="X19" s="1">
        <f t="shared" ca="1" si="3"/>
        <v>1</v>
      </c>
      <c r="Z19" s="1">
        <f t="shared" ref="Z19:AK28" si="6">IF(Z$8=$R19,-$T19,0)+IF(Z$8=$S19,$T19,0)</f>
        <v>0</v>
      </c>
      <c r="AA19" s="1">
        <f t="shared" si="6"/>
        <v>0</v>
      </c>
      <c r="AB19" s="1">
        <f t="shared" si="6"/>
        <v>0</v>
      </c>
      <c r="AC19" s="1">
        <f t="shared" si="6"/>
        <v>0</v>
      </c>
      <c r="AD19" s="1">
        <f t="shared" si="6"/>
        <v>0</v>
      </c>
      <c r="AE19" s="1">
        <f t="shared" si="6"/>
        <v>0</v>
      </c>
      <c r="AF19" s="1">
        <f t="shared" si="6"/>
        <v>0</v>
      </c>
      <c r="AG19" s="1">
        <f t="shared" si="6"/>
        <v>0</v>
      </c>
      <c r="AH19" s="1">
        <f t="shared" si="6"/>
        <v>0</v>
      </c>
      <c r="AI19" s="1">
        <f t="shared" si="6"/>
        <v>0</v>
      </c>
      <c r="AJ19" s="1">
        <f t="shared" si="6"/>
        <v>0</v>
      </c>
      <c r="AK19" s="1">
        <f t="shared" si="6"/>
        <v>0</v>
      </c>
    </row>
    <row r="20" spans="1:37" ht="14.1" customHeight="1" x14ac:dyDescent="0.2">
      <c r="A20" s="16">
        <v>12</v>
      </c>
      <c r="B20" s="65"/>
      <c r="C20" s="121" t="str">
        <f>TRIM(ANUAL!C24)</f>
        <v>---</v>
      </c>
      <c r="D20" s="122" t="str">
        <f>TRIM(ANUAL!D24)</f>
        <v/>
      </c>
      <c r="E20" s="123">
        <f t="shared" ca="1" si="5"/>
        <v>0</v>
      </c>
      <c r="F20" s="123">
        <f t="shared" ca="1" si="0"/>
        <v>0</v>
      </c>
      <c r="G20" s="123">
        <f t="shared" ca="1" si="1"/>
        <v>0</v>
      </c>
      <c r="H20" s="62"/>
      <c r="J20" s="3" t="b">
        <f t="shared" si="2"/>
        <v>0</v>
      </c>
      <c r="K20" s="3" t="b">
        <f t="shared" si="2"/>
        <v>0</v>
      </c>
      <c r="L20" s="3" t="b">
        <f t="shared" si="2"/>
        <v>0</v>
      </c>
      <c r="N20" s="16">
        <v>12</v>
      </c>
      <c r="O20" s="65"/>
      <c r="P20" s="55"/>
      <c r="Q20" s="56"/>
      <c r="R20" s="57"/>
      <c r="S20" s="58"/>
      <c r="T20" s="59"/>
      <c r="U20" s="60"/>
      <c r="V20" s="62"/>
      <c r="X20" s="1">
        <f t="shared" ca="1" si="3"/>
        <v>1</v>
      </c>
      <c r="Z20" s="1">
        <f t="shared" si="6"/>
        <v>0</v>
      </c>
      <c r="AA20" s="1">
        <f t="shared" si="6"/>
        <v>0</v>
      </c>
      <c r="AB20" s="1">
        <f t="shared" si="6"/>
        <v>0</v>
      </c>
      <c r="AC20" s="1">
        <f t="shared" si="6"/>
        <v>0</v>
      </c>
      <c r="AD20" s="1">
        <f t="shared" si="6"/>
        <v>0</v>
      </c>
      <c r="AE20" s="1">
        <f t="shared" si="6"/>
        <v>0</v>
      </c>
      <c r="AF20" s="1">
        <f t="shared" si="6"/>
        <v>0</v>
      </c>
      <c r="AG20" s="1">
        <f t="shared" si="6"/>
        <v>0</v>
      </c>
      <c r="AH20" s="1">
        <f t="shared" si="6"/>
        <v>0</v>
      </c>
      <c r="AI20" s="1">
        <f t="shared" si="6"/>
        <v>0</v>
      </c>
      <c r="AJ20" s="1">
        <f t="shared" si="6"/>
        <v>0</v>
      </c>
      <c r="AK20" s="1">
        <f t="shared" si="6"/>
        <v>0</v>
      </c>
    </row>
    <row r="21" spans="1:37" ht="14.1" customHeight="1" x14ac:dyDescent="0.2">
      <c r="B21" s="128"/>
      <c r="C21" s="129"/>
      <c r="D21" s="130"/>
      <c r="E21" s="130"/>
      <c r="F21" s="130"/>
      <c r="G21" s="130"/>
      <c r="H21" s="131"/>
      <c r="N21" s="12">
        <v>13</v>
      </c>
      <c r="O21" s="65"/>
      <c r="P21" s="49"/>
      <c r="Q21" s="50"/>
      <c r="R21" s="51"/>
      <c r="S21" s="52"/>
      <c r="T21" s="53"/>
      <c r="U21" s="54"/>
      <c r="V21" s="62"/>
      <c r="X21" s="1">
        <f t="shared" ca="1" si="3"/>
        <v>1</v>
      </c>
      <c r="Z21" s="1">
        <f t="shared" si="6"/>
        <v>0</v>
      </c>
      <c r="AA21" s="1">
        <f t="shared" si="6"/>
        <v>0</v>
      </c>
      <c r="AB21" s="1">
        <f t="shared" si="6"/>
        <v>0</v>
      </c>
      <c r="AC21" s="1">
        <f t="shared" si="6"/>
        <v>0</v>
      </c>
      <c r="AD21" s="1">
        <f t="shared" si="6"/>
        <v>0</v>
      </c>
      <c r="AE21" s="1">
        <f t="shared" si="6"/>
        <v>0</v>
      </c>
      <c r="AF21" s="1">
        <f t="shared" si="6"/>
        <v>0</v>
      </c>
      <c r="AG21" s="1">
        <f t="shared" si="6"/>
        <v>0</v>
      </c>
      <c r="AH21" s="1">
        <f t="shared" si="6"/>
        <v>0</v>
      </c>
      <c r="AI21" s="1">
        <f t="shared" si="6"/>
        <v>0</v>
      </c>
      <c r="AJ21" s="1">
        <f t="shared" si="6"/>
        <v>0</v>
      </c>
      <c r="AK21" s="1">
        <f t="shared" si="6"/>
        <v>0</v>
      </c>
    </row>
    <row r="22" spans="1:37" ht="14.1" customHeight="1" x14ac:dyDescent="0.2">
      <c r="J22" s="29"/>
      <c r="K22" s="29"/>
      <c r="L22" s="29"/>
      <c r="N22" s="16">
        <v>14</v>
      </c>
      <c r="O22" s="65"/>
      <c r="P22" s="55"/>
      <c r="Q22" s="56"/>
      <c r="R22" s="57"/>
      <c r="S22" s="58"/>
      <c r="T22" s="59"/>
      <c r="U22" s="60"/>
      <c r="V22" s="62"/>
      <c r="X22" s="1">
        <f t="shared" ca="1" si="3"/>
        <v>1</v>
      </c>
      <c r="Z22" s="1">
        <f t="shared" si="6"/>
        <v>0</v>
      </c>
      <c r="AA22" s="1">
        <f t="shared" si="6"/>
        <v>0</v>
      </c>
      <c r="AB22" s="1">
        <f t="shared" si="6"/>
        <v>0</v>
      </c>
      <c r="AC22" s="1">
        <f t="shared" si="6"/>
        <v>0</v>
      </c>
      <c r="AD22" s="1">
        <f t="shared" si="6"/>
        <v>0</v>
      </c>
      <c r="AE22" s="1">
        <f t="shared" si="6"/>
        <v>0</v>
      </c>
      <c r="AF22" s="1">
        <f t="shared" si="6"/>
        <v>0</v>
      </c>
      <c r="AG22" s="1">
        <f t="shared" si="6"/>
        <v>0</v>
      </c>
      <c r="AH22" s="1">
        <f t="shared" si="6"/>
        <v>0</v>
      </c>
      <c r="AI22" s="1">
        <f t="shared" si="6"/>
        <v>0</v>
      </c>
      <c r="AJ22" s="1">
        <f t="shared" si="6"/>
        <v>0</v>
      </c>
      <c r="AK22" s="1">
        <f t="shared" si="6"/>
        <v>0</v>
      </c>
    </row>
    <row r="23" spans="1:37" ht="14.1" customHeight="1" x14ac:dyDescent="0.2">
      <c r="B23" s="77"/>
      <c r="C23" s="78"/>
      <c r="D23" s="79"/>
      <c r="E23" s="79"/>
      <c r="F23" s="79"/>
      <c r="G23" s="79"/>
      <c r="H23" s="80"/>
      <c r="I23" s="3"/>
      <c r="J23" s="3"/>
      <c r="K23" s="3"/>
      <c r="L23" s="3"/>
      <c r="M23" s="3"/>
      <c r="N23" s="12">
        <v>15</v>
      </c>
      <c r="O23" s="65"/>
      <c r="P23" s="49"/>
      <c r="Q23" s="50"/>
      <c r="R23" s="51"/>
      <c r="S23" s="52"/>
      <c r="T23" s="53"/>
      <c r="U23" s="54"/>
      <c r="V23" s="62"/>
      <c r="X23" s="1">
        <f t="shared" ca="1" si="3"/>
        <v>1</v>
      </c>
      <c r="Z23" s="1">
        <f t="shared" si="6"/>
        <v>0</v>
      </c>
      <c r="AA23" s="1">
        <f t="shared" si="6"/>
        <v>0</v>
      </c>
      <c r="AB23" s="1">
        <f t="shared" si="6"/>
        <v>0</v>
      </c>
      <c r="AC23" s="1">
        <f t="shared" si="6"/>
        <v>0</v>
      </c>
      <c r="AD23" s="1">
        <f t="shared" si="6"/>
        <v>0</v>
      </c>
      <c r="AE23" s="1">
        <f t="shared" si="6"/>
        <v>0</v>
      </c>
      <c r="AF23" s="1">
        <f t="shared" si="6"/>
        <v>0</v>
      </c>
      <c r="AG23" s="1">
        <f t="shared" si="6"/>
        <v>0</v>
      </c>
      <c r="AH23" s="1">
        <f t="shared" si="6"/>
        <v>0</v>
      </c>
      <c r="AI23" s="1">
        <f t="shared" si="6"/>
        <v>0</v>
      </c>
      <c r="AJ23" s="1">
        <f t="shared" si="6"/>
        <v>0</v>
      </c>
      <c r="AK23" s="1">
        <f t="shared" si="6"/>
        <v>0</v>
      </c>
    </row>
    <row r="24" spans="1:37" ht="14.1" customHeight="1" x14ac:dyDescent="0.2">
      <c r="B24" s="81"/>
      <c r="C24" s="285" t="s">
        <v>103</v>
      </c>
      <c r="D24" s="285"/>
      <c r="E24" s="285"/>
      <c r="F24" s="285"/>
      <c r="G24" s="285"/>
      <c r="H24" s="82"/>
      <c r="I24" s="3"/>
      <c r="J24" s="3"/>
      <c r="K24" s="3"/>
      <c r="L24" s="3"/>
      <c r="M24" s="3"/>
      <c r="N24" s="16">
        <v>16</v>
      </c>
      <c r="O24" s="65"/>
      <c r="P24" s="55"/>
      <c r="Q24" s="56"/>
      <c r="R24" s="57"/>
      <c r="S24" s="58"/>
      <c r="T24" s="59"/>
      <c r="U24" s="60"/>
      <c r="V24" s="62"/>
      <c r="X24" s="1">
        <f t="shared" ca="1" si="3"/>
        <v>1</v>
      </c>
      <c r="Z24" s="1">
        <f t="shared" si="6"/>
        <v>0</v>
      </c>
      <c r="AA24" s="1">
        <f t="shared" si="6"/>
        <v>0</v>
      </c>
      <c r="AB24" s="1">
        <f t="shared" si="6"/>
        <v>0</v>
      </c>
      <c r="AC24" s="1">
        <f t="shared" si="6"/>
        <v>0</v>
      </c>
      <c r="AD24" s="1">
        <f t="shared" si="6"/>
        <v>0</v>
      </c>
      <c r="AE24" s="1">
        <f t="shared" si="6"/>
        <v>0</v>
      </c>
      <c r="AF24" s="1">
        <f t="shared" si="6"/>
        <v>0</v>
      </c>
      <c r="AG24" s="1">
        <f t="shared" si="6"/>
        <v>0</v>
      </c>
      <c r="AH24" s="1">
        <f t="shared" si="6"/>
        <v>0</v>
      </c>
      <c r="AI24" s="1">
        <f t="shared" si="6"/>
        <v>0</v>
      </c>
      <c r="AJ24" s="1">
        <f t="shared" si="6"/>
        <v>0</v>
      </c>
      <c r="AK24" s="1">
        <f t="shared" si="6"/>
        <v>0</v>
      </c>
    </row>
    <row r="25" spans="1:37" ht="14.1" customHeight="1" x14ac:dyDescent="0.2">
      <c r="B25" s="81"/>
      <c r="C25" s="285"/>
      <c r="D25" s="285"/>
      <c r="E25" s="285"/>
      <c r="F25" s="285"/>
      <c r="G25" s="285"/>
      <c r="H25" s="82"/>
      <c r="I25" s="3"/>
      <c r="J25" s="3"/>
      <c r="K25" s="3"/>
      <c r="L25" s="3"/>
      <c r="M25" s="3"/>
      <c r="N25" s="12">
        <v>17</v>
      </c>
      <c r="O25" s="65"/>
      <c r="P25" s="49"/>
      <c r="Q25" s="50"/>
      <c r="R25" s="51"/>
      <c r="S25" s="52"/>
      <c r="T25" s="53"/>
      <c r="U25" s="54"/>
      <c r="V25" s="62"/>
      <c r="X25" s="1">
        <f t="shared" ca="1" si="3"/>
        <v>1</v>
      </c>
      <c r="Z25" s="1">
        <f t="shared" si="6"/>
        <v>0</v>
      </c>
      <c r="AA25" s="1">
        <f t="shared" si="6"/>
        <v>0</v>
      </c>
      <c r="AB25" s="1">
        <f t="shared" si="6"/>
        <v>0</v>
      </c>
      <c r="AC25" s="1">
        <f t="shared" si="6"/>
        <v>0</v>
      </c>
      <c r="AD25" s="1">
        <f t="shared" si="6"/>
        <v>0</v>
      </c>
      <c r="AE25" s="1">
        <f t="shared" si="6"/>
        <v>0</v>
      </c>
      <c r="AF25" s="1">
        <f t="shared" si="6"/>
        <v>0</v>
      </c>
      <c r="AG25" s="1">
        <f t="shared" si="6"/>
        <v>0</v>
      </c>
      <c r="AH25" s="1">
        <f t="shared" si="6"/>
        <v>0</v>
      </c>
      <c r="AI25" s="1">
        <f t="shared" si="6"/>
        <v>0</v>
      </c>
      <c r="AJ25" s="1">
        <f t="shared" si="6"/>
        <v>0</v>
      </c>
      <c r="AK25" s="1">
        <f t="shared" si="6"/>
        <v>0</v>
      </c>
    </row>
    <row r="26" spans="1:37" ht="14.1" customHeight="1" x14ac:dyDescent="0.2">
      <c r="B26" s="46"/>
      <c r="C26" s="271" t="s">
        <v>94</v>
      </c>
      <c r="D26" s="273" t="s">
        <v>5</v>
      </c>
      <c r="E26" s="275" t="s">
        <v>104</v>
      </c>
      <c r="F26" s="275" t="s">
        <v>89</v>
      </c>
      <c r="G26" s="276" t="s">
        <v>6</v>
      </c>
      <c r="H26" s="82"/>
      <c r="I26" s="3"/>
      <c r="J26" s="3"/>
      <c r="K26" s="3"/>
      <c r="L26" s="3"/>
      <c r="M26" s="3"/>
      <c r="N26" s="16">
        <v>18</v>
      </c>
      <c r="O26" s="65"/>
      <c r="P26" s="55"/>
      <c r="Q26" s="56"/>
      <c r="R26" s="57"/>
      <c r="S26" s="58"/>
      <c r="T26" s="59"/>
      <c r="U26" s="60"/>
      <c r="V26" s="62"/>
      <c r="X26" s="1">
        <f t="shared" ca="1" si="3"/>
        <v>1</v>
      </c>
      <c r="Z26" s="1">
        <f t="shared" si="6"/>
        <v>0</v>
      </c>
      <c r="AA26" s="1">
        <f t="shared" si="6"/>
        <v>0</v>
      </c>
      <c r="AB26" s="1">
        <f t="shared" si="6"/>
        <v>0</v>
      </c>
      <c r="AC26" s="1">
        <f t="shared" si="6"/>
        <v>0</v>
      </c>
      <c r="AD26" s="1">
        <f t="shared" si="6"/>
        <v>0</v>
      </c>
      <c r="AE26" s="1">
        <f t="shared" si="6"/>
        <v>0</v>
      </c>
      <c r="AF26" s="1">
        <f t="shared" si="6"/>
        <v>0</v>
      </c>
      <c r="AG26" s="1">
        <f t="shared" si="6"/>
        <v>0</v>
      </c>
      <c r="AH26" s="1">
        <f t="shared" si="6"/>
        <v>0</v>
      </c>
      <c r="AI26" s="1">
        <f t="shared" si="6"/>
        <v>0</v>
      </c>
      <c r="AJ26" s="1">
        <f t="shared" si="6"/>
        <v>0</v>
      </c>
      <c r="AK26" s="1">
        <f t="shared" si="6"/>
        <v>0</v>
      </c>
    </row>
    <row r="27" spans="1:37" ht="14.1" customHeight="1" x14ac:dyDescent="0.2">
      <c r="A27" s="3"/>
      <c r="B27" s="44"/>
      <c r="C27" s="272"/>
      <c r="D27" s="274"/>
      <c r="E27" s="99" t="s">
        <v>87</v>
      </c>
      <c r="F27" s="100" t="s">
        <v>89</v>
      </c>
      <c r="G27" s="98" t="s">
        <v>105</v>
      </c>
      <c r="H27" s="83"/>
      <c r="I27" s="3"/>
      <c r="J27" s="3" t="str">
        <f>ANUAL!C115</f>
        <v>CC</v>
      </c>
      <c r="K27" s="3" t="str">
        <f>ANUAL!C116</f>
        <v>INV</v>
      </c>
      <c r="L27" s="3" t="str">
        <f>ANUAL!C117</f>
        <v>DINH</v>
      </c>
      <c r="M27" s="3"/>
      <c r="N27" s="12">
        <v>19</v>
      </c>
      <c r="O27" s="65"/>
      <c r="P27" s="49"/>
      <c r="Q27" s="50"/>
      <c r="R27" s="51"/>
      <c r="S27" s="52"/>
      <c r="T27" s="53"/>
      <c r="U27" s="54"/>
      <c r="V27" s="62"/>
      <c r="X27" s="1">
        <f t="shared" ca="1" si="3"/>
        <v>1</v>
      </c>
      <c r="Z27" s="1">
        <f t="shared" si="6"/>
        <v>0</v>
      </c>
      <c r="AA27" s="1">
        <f t="shared" si="6"/>
        <v>0</v>
      </c>
      <c r="AB27" s="1">
        <f t="shared" si="6"/>
        <v>0</v>
      </c>
      <c r="AC27" s="1">
        <f t="shared" si="6"/>
        <v>0</v>
      </c>
      <c r="AD27" s="1">
        <f t="shared" si="6"/>
        <v>0</v>
      </c>
      <c r="AE27" s="1">
        <f t="shared" si="6"/>
        <v>0</v>
      </c>
      <c r="AF27" s="1">
        <f t="shared" si="6"/>
        <v>0</v>
      </c>
      <c r="AG27" s="1">
        <f t="shared" si="6"/>
        <v>0</v>
      </c>
      <c r="AH27" s="1">
        <f t="shared" si="6"/>
        <v>0</v>
      </c>
      <c r="AI27" s="1">
        <f t="shared" si="6"/>
        <v>0</v>
      </c>
      <c r="AJ27" s="1">
        <f t="shared" si="6"/>
        <v>0</v>
      </c>
      <c r="AK27" s="1">
        <f t="shared" si="6"/>
        <v>0</v>
      </c>
    </row>
    <row r="28" spans="1:37" ht="14.1" customHeight="1" x14ac:dyDescent="0.2">
      <c r="A28" s="12">
        <v>1</v>
      </c>
      <c r="B28" s="64"/>
      <c r="C28" s="115" t="str">
        <f t="shared" ref="C28:D39" si="7">C9</f>
        <v/>
      </c>
      <c r="D28" s="116" t="str">
        <f t="shared" si="7"/>
        <v>CONTA CORRENTE BANCO 1</v>
      </c>
      <c r="E28" s="117">
        <f t="shared" ref="E28:E39" ca="1" si="8">SUMIF(OFFSET($Z$9:$Z$88,0,A28-1),"&gt;0")</f>
        <v>0</v>
      </c>
      <c r="F28" s="117">
        <f t="shared" ref="F28:F39" ca="1" si="9">SUMIF(OFFSET($Z$9:$Z$88,0,A28-1),"&lt;0")</f>
        <v>0</v>
      </c>
      <c r="G28" s="117">
        <f t="shared" ref="G28:G39" ca="1" si="10">SUM(E28:F28)</f>
        <v>0</v>
      </c>
      <c r="H28" s="61"/>
      <c r="I28" s="3"/>
      <c r="J28" s="3" t="b">
        <f t="shared" ref="J28:L39" si="11">NOT(ISERR(SEARCH(J$27,$C28)))</f>
        <v>0</v>
      </c>
      <c r="K28" s="3" t="b">
        <f t="shared" si="11"/>
        <v>0</v>
      </c>
      <c r="L28" s="3" t="b">
        <f t="shared" si="11"/>
        <v>0</v>
      </c>
      <c r="M28" s="3"/>
      <c r="N28" s="16">
        <v>20</v>
      </c>
      <c r="O28" s="65"/>
      <c r="P28" s="55"/>
      <c r="Q28" s="56"/>
      <c r="R28" s="57"/>
      <c r="S28" s="58"/>
      <c r="T28" s="59"/>
      <c r="U28" s="60"/>
      <c r="V28" s="62"/>
      <c r="X28" s="1">
        <f t="shared" ca="1" si="3"/>
        <v>1</v>
      </c>
      <c r="Z28" s="1">
        <f t="shared" si="6"/>
        <v>0</v>
      </c>
      <c r="AA28" s="1">
        <f t="shared" si="6"/>
        <v>0</v>
      </c>
      <c r="AB28" s="1">
        <f t="shared" si="6"/>
        <v>0</v>
      </c>
      <c r="AC28" s="1">
        <f t="shared" si="6"/>
        <v>0</v>
      </c>
      <c r="AD28" s="1">
        <f t="shared" si="6"/>
        <v>0</v>
      </c>
      <c r="AE28" s="1">
        <f t="shared" si="6"/>
        <v>0</v>
      </c>
      <c r="AF28" s="1">
        <f t="shared" si="6"/>
        <v>0</v>
      </c>
      <c r="AG28" s="1">
        <f t="shared" si="6"/>
        <v>0</v>
      </c>
      <c r="AH28" s="1">
        <f t="shared" si="6"/>
        <v>0</v>
      </c>
      <c r="AI28" s="1">
        <f t="shared" si="6"/>
        <v>0</v>
      </c>
      <c r="AJ28" s="1">
        <f t="shared" si="6"/>
        <v>0</v>
      </c>
      <c r="AK28" s="1">
        <f t="shared" si="6"/>
        <v>0</v>
      </c>
    </row>
    <row r="29" spans="1:37" ht="14.1" customHeight="1" x14ac:dyDescent="0.2">
      <c r="A29" s="16">
        <v>2</v>
      </c>
      <c r="B29" s="65"/>
      <c r="C29" s="118" t="str">
        <f t="shared" si="7"/>
        <v>INV1</v>
      </c>
      <c r="D29" s="119" t="str">
        <f t="shared" si="7"/>
        <v>POUPANÇA BANCO 1</v>
      </c>
      <c r="E29" s="120">
        <f t="shared" ca="1" si="8"/>
        <v>0</v>
      </c>
      <c r="F29" s="120">
        <f t="shared" ca="1" si="9"/>
        <v>0</v>
      </c>
      <c r="G29" s="120">
        <f t="shared" ca="1" si="10"/>
        <v>0</v>
      </c>
      <c r="H29" s="62"/>
      <c r="I29" s="3"/>
      <c r="J29" s="3" t="b">
        <f t="shared" si="11"/>
        <v>0</v>
      </c>
      <c r="K29" s="3" t="b">
        <f t="shared" si="11"/>
        <v>1</v>
      </c>
      <c r="L29" s="3" t="b">
        <f t="shared" si="11"/>
        <v>0</v>
      </c>
      <c r="M29" s="3"/>
      <c r="N29" s="12">
        <v>21</v>
      </c>
      <c r="O29" s="65"/>
      <c r="P29" s="49"/>
      <c r="Q29" s="50"/>
      <c r="R29" s="51"/>
      <c r="S29" s="52"/>
      <c r="T29" s="53"/>
      <c r="U29" s="54"/>
      <c r="V29" s="62"/>
      <c r="X29" s="1">
        <f t="shared" ca="1" si="3"/>
        <v>1</v>
      </c>
      <c r="Z29" s="1">
        <f t="shared" ref="Z29:AK38" si="12">IF(Z$8=$R29,-$T29,0)+IF(Z$8=$S29,$T29,0)</f>
        <v>0</v>
      </c>
      <c r="AA29" s="1">
        <f t="shared" si="12"/>
        <v>0</v>
      </c>
      <c r="AB29" s="1">
        <f t="shared" si="12"/>
        <v>0</v>
      </c>
      <c r="AC29" s="1">
        <f t="shared" si="12"/>
        <v>0</v>
      </c>
      <c r="AD29" s="1">
        <f t="shared" si="12"/>
        <v>0</v>
      </c>
      <c r="AE29" s="1">
        <f t="shared" si="12"/>
        <v>0</v>
      </c>
      <c r="AF29" s="1">
        <f t="shared" si="12"/>
        <v>0</v>
      </c>
      <c r="AG29" s="1">
        <f t="shared" si="12"/>
        <v>0</v>
      </c>
      <c r="AH29" s="1">
        <f t="shared" si="12"/>
        <v>0</v>
      </c>
      <c r="AI29" s="1">
        <f t="shared" si="12"/>
        <v>0</v>
      </c>
      <c r="AJ29" s="1">
        <f t="shared" si="12"/>
        <v>0</v>
      </c>
      <c r="AK29" s="1">
        <f t="shared" si="12"/>
        <v>0</v>
      </c>
    </row>
    <row r="30" spans="1:37" ht="14.1" customHeight="1" x14ac:dyDescent="0.2">
      <c r="A30" s="12">
        <v>3</v>
      </c>
      <c r="B30" s="65"/>
      <c r="C30" s="115" t="str">
        <f t="shared" si="7"/>
        <v>DINH1</v>
      </c>
      <c r="D30" s="116" t="str">
        <f t="shared" si="7"/>
        <v>EM ESPÉCIE</v>
      </c>
      <c r="E30" s="117">
        <f t="shared" ca="1" si="8"/>
        <v>0</v>
      </c>
      <c r="F30" s="117">
        <f t="shared" ca="1" si="9"/>
        <v>0</v>
      </c>
      <c r="G30" s="117">
        <f t="shared" ca="1" si="10"/>
        <v>0</v>
      </c>
      <c r="H30" s="62"/>
      <c r="I30" s="3"/>
      <c r="J30" s="3" t="b">
        <f t="shared" si="11"/>
        <v>0</v>
      </c>
      <c r="K30" s="3" t="b">
        <f t="shared" si="11"/>
        <v>0</v>
      </c>
      <c r="L30" s="3" t="b">
        <f t="shared" si="11"/>
        <v>1</v>
      </c>
      <c r="M30" s="3"/>
      <c r="N30" s="16">
        <v>22</v>
      </c>
      <c r="O30" s="65"/>
      <c r="P30" s="55"/>
      <c r="Q30" s="56"/>
      <c r="R30" s="57"/>
      <c r="S30" s="58"/>
      <c r="T30" s="59"/>
      <c r="U30" s="60"/>
      <c r="V30" s="62"/>
      <c r="X30" s="1">
        <f t="shared" ca="1" si="3"/>
        <v>1</v>
      </c>
      <c r="Z30" s="1">
        <f t="shared" si="12"/>
        <v>0</v>
      </c>
      <c r="AA30" s="1">
        <f t="shared" si="12"/>
        <v>0</v>
      </c>
      <c r="AB30" s="1">
        <f t="shared" si="12"/>
        <v>0</v>
      </c>
      <c r="AC30" s="1">
        <f t="shared" si="12"/>
        <v>0</v>
      </c>
      <c r="AD30" s="1">
        <f t="shared" si="12"/>
        <v>0</v>
      </c>
      <c r="AE30" s="1">
        <f t="shared" si="12"/>
        <v>0</v>
      </c>
      <c r="AF30" s="1">
        <f t="shared" si="12"/>
        <v>0</v>
      </c>
      <c r="AG30" s="1">
        <f t="shared" si="12"/>
        <v>0</v>
      </c>
      <c r="AH30" s="1">
        <f t="shared" si="12"/>
        <v>0</v>
      </c>
      <c r="AI30" s="1">
        <f t="shared" si="12"/>
        <v>0</v>
      </c>
      <c r="AJ30" s="1">
        <f t="shared" si="12"/>
        <v>0</v>
      </c>
      <c r="AK30" s="1">
        <f t="shared" si="12"/>
        <v>0</v>
      </c>
    </row>
    <row r="31" spans="1:37" ht="14.1" customHeight="1" x14ac:dyDescent="0.2">
      <c r="A31" s="16">
        <v>4</v>
      </c>
      <c r="B31" s="65"/>
      <c r="C31" s="118" t="str">
        <f t="shared" si="7"/>
        <v>CRED1</v>
      </c>
      <c r="D31" s="119" t="str">
        <f t="shared" si="7"/>
        <v>CARTÃO DE CRÉDITO 1</v>
      </c>
      <c r="E31" s="120">
        <f t="shared" ca="1" si="8"/>
        <v>0</v>
      </c>
      <c r="F31" s="120">
        <f t="shared" ca="1" si="9"/>
        <v>0</v>
      </c>
      <c r="G31" s="120">
        <f t="shared" ca="1" si="10"/>
        <v>0</v>
      </c>
      <c r="H31" s="62"/>
      <c r="I31" s="3"/>
      <c r="J31" s="3" t="b">
        <f t="shared" si="11"/>
        <v>0</v>
      </c>
      <c r="K31" s="3" t="b">
        <f t="shared" si="11"/>
        <v>0</v>
      </c>
      <c r="L31" s="3" t="b">
        <f t="shared" si="11"/>
        <v>0</v>
      </c>
      <c r="M31" s="3"/>
      <c r="N31" s="12">
        <v>23</v>
      </c>
      <c r="O31" s="65"/>
      <c r="P31" s="49"/>
      <c r="Q31" s="50"/>
      <c r="R31" s="51"/>
      <c r="S31" s="52"/>
      <c r="T31" s="53"/>
      <c r="U31" s="54"/>
      <c r="V31" s="62"/>
      <c r="X31" s="1">
        <f t="shared" ca="1" si="3"/>
        <v>1</v>
      </c>
      <c r="Z31" s="1">
        <f t="shared" si="12"/>
        <v>0</v>
      </c>
      <c r="AA31" s="1">
        <f t="shared" si="12"/>
        <v>0</v>
      </c>
      <c r="AB31" s="1">
        <f t="shared" si="12"/>
        <v>0</v>
      </c>
      <c r="AC31" s="1">
        <f t="shared" si="12"/>
        <v>0</v>
      </c>
      <c r="AD31" s="1">
        <f t="shared" si="12"/>
        <v>0</v>
      </c>
      <c r="AE31" s="1">
        <f t="shared" si="12"/>
        <v>0</v>
      </c>
      <c r="AF31" s="1">
        <f t="shared" si="12"/>
        <v>0</v>
      </c>
      <c r="AG31" s="1">
        <f t="shared" si="12"/>
        <v>0</v>
      </c>
      <c r="AH31" s="1">
        <f t="shared" si="12"/>
        <v>0</v>
      </c>
      <c r="AI31" s="1">
        <f t="shared" si="12"/>
        <v>0</v>
      </c>
      <c r="AJ31" s="1">
        <f t="shared" si="12"/>
        <v>0</v>
      </c>
      <c r="AK31" s="1">
        <f t="shared" si="12"/>
        <v>0</v>
      </c>
    </row>
    <row r="32" spans="1:37" ht="14.1" customHeight="1" x14ac:dyDescent="0.2">
      <c r="A32" s="12">
        <v>5</v>
      </c>
      <c r="B32" s="65"/>
      <c r="C32" s="115" t="str">
        <f t="shared" si="7"/>
        <v>---</v>
      </c>
      <c r="D32" s="116" t="str">
        <f t="shared" si="7"/>
        <v/>
      </c>
      <c r="E32" s="117">
        <f t="shared" ca="1" si="8"/>
        <v>0</v>
      </c>
      <c r="F32" s="117">
        <f t="shared" ca="1" si="9"/>
        <v>0</v>
      </c>
      <c r="G32" s="117">
        <f t="shared" ca="1" si="10"/>
        <v>0</v>
      </c>
      <c r="H32" s="62"/>
      <c r="I32" s="3"/>
      <c r="J32" s="3" t="b">
        <f t="shared" si="11"/>
        <v>0</v>
      </c>
      <c r="K32" s="3" t="b">
        <f t="shared" si="11"/>
        <v>0</v>
      </c>
      <c r="L32" s="3" t="b">
        <f t="shared" si="11"/>
        <v>0</v>
      </c>
      <c r="M32" s="3"/>
      <c r="N32" s="16">
        <v>24</v>
      </c>
      <c r="O32" s="65"/>
      <c r="P32" s="55"/>
      <c r="Q32" s="56"/>
      <c r="R32" s="57"/>
      <c r="S32" s="58"/>
      <c r="T32" s="59"/>
      <c r="U32" s="60"/>
      <c r="V32" s="62"/>
      <c r="X32" s="1">
        <f t="shared" ca="1" si="3"/>
        <v>1</v>
      </c>
      <c r="Z32" s="1">
        <f t="shared" si="12"/>
        <v>0</v>
      </c>
      <c r="AA32" s="1">
        <f t="shared" si="12"/>
        <v>0</v>
      </c>
      <c r="AB32" s="1">
        <f t="shared" si="12"/>
        <v>0</v>
      </c>
      <c r="AC32" s="1">
        <f t="shared" si="12"/>
        <v>0</v>
      </c>
      <c r="AD32" s="1">
        <f t="shared" si="12"/>
        <v>0</v>
      </c>
      <c r="AE32" s="1">
        <f t="shared" si="12"/>
        <v>0</v>
      </c>
      <c r="AF32" s="1">
        <f t="shared" si="12"/>
        <v>0</v>
      </c>
      <c r="AG32" s="1">
        <f t="shared" si="12"/>
        <v>0</v>
      </c>
      <c r="AH32" s="1">
        <f t="shared" si="12"/>
        <v>0</v>
      </c>
      <c r="AI32" s="1">
        <f t="shared" si="12"/>
        <v>0</v>
      </c>
      <c r="AJ32" s="1">
        <f t="shared" si="12"/>
        <v>0</v>
      </c>
      <c r="AK32" s="1">
        <f t="shared" si="12"/>
        <v>0</v>
      </c>
    </row>
    <row r="33" spans="1:37" ht="14.1" customHeight="1" x14ac:dyDescent="0.2">
      <c r="A33" s="16">
        <v>6</v>
      </c>
      <c r="B33" s="65"/>
      <c r="C33" s="118" t="str">
        <f t="shared" si="7"/>
        <v>---</v>
      </c>
      <c r="D33" s="119" t="str">
        <f t="shared" si="7"/>
        <v/>
      </c>
      <c r="E33" s="120">
        <f t="shared" ca="1" si="8"/>
        <v>0</v>
      </c>
      <c r="F33" s="120">
        <f t="shared" ca="1" si="9"/>
        <v>0</v>
      </c>
      <c r="G33" s="120">
        <f t="shared" ca="1" si="10"/>
        <v>0</v>
      </c>
      <c r="H33" s="62"/>
      <c r="I33" s="3"/>
      <c r="J33" s="3" t="b">
        <f t="shared" si="11"/>
        <v>0</v>
      </c>
      <c r="K33" s="3" t="b">
        <f t="shared" si="11"/>
        <v>0</v>
      </c>
      <c r="L33" s="3" t="b">
        <f t="shared" si="11"/>
        <v>0</v>
      </c>
      <c r="M33" s="3"/>
      <c r="N33" s="12">
        <v>25</v>
      </c>
      <c r="O33" s="65"/>
      <c r="P33" s="49"/>
      <c r="Q33" s="50"/>
      <c r="R33" s="51"/>
      <c r="S33" s="52"/>
      <c r="T33" s="53"/>
      <c r="U33" s="54"/>
      <c r="V33" s="62"/>
      <c r="X33" s="1">
        <f t="shared" ca="1" si="3"/>
        <v>1</v>
      </c>
      <c r="Z33" s="1">
        <f t="shared" si="12"/>
        <v>0</v>
      </c>
      <c r="AA33" s="1">
        <f t="shared" si="12"/>
        <v>0</v>
      </c>
      <c r="AB33" s="1">
        <f t="shared" si="12"/>
        <v>0</v>
      </c>
      <c r="AC33" s="1">
        <f t="shared" si="12"/>
        <v>0</v>
      </c>
      <c r="AD33" s="1">
        <f t="shared" si="12"/>
        <v>0</v>
      </c>
      <c r="AE33" s="1">
        <f t="shared" si="12"/>
        <v>0</v>
      </c>
      <c r="AF33" s="1">
        <f t="shared" si="12"/>
        <v>0</v>
      </c>
      <c r="AG33" s="1">
        <f t="shared" si="12"/>
        <v>0</v>
      </c>
      <c r="AH33" s="1">
        <f t="shared" si="12"/>
        <v>0</v>
      </c>
      <c r="AI33" s="1">
        <f t="shared" si="12"/>
        <v>0</v>
      </c>
      <c r="AJ33" s="1">
        <f t="shared" si="12"/>
        <v>0</v>
      </c>
      <c r="AK33" s="1">
        <f t="shared" si="12"/>
        <v>0</v>
      </c>
    </row>
    <row r="34" spans="1:37" ht="14.1" customHeight="1" x14ac:dyDescent="0.2">
      <c r="A34" s="12">
        <v>7</v>
      </c>
      <c r="B34" s="65"/>
      <c r="C34" s="115" t="str">
        <f t="shared" si="7"/>
        <v>---</v>
      </c>
      <c r="D34" s="116" t="str">
        <f t="shared" si="7"/>
        <v/>
      </c>
      <c r="E34" s="117">
        <f t="shared" ca="1" si="8"/>
        <v>0</v>
      </c>
      <c r="F34" s="117">
        <f t="shared" ca="1" si="9"/>
        <v>0</v>
      </c>
      <c r="G34" s="117">
        <f t="shared" ca="1" si="10"/>
        <v>0</v>
      </c>
      <c r="H34" s="62"/>
      <c r="I34" s="3"/>
      <c r="J34" s="3" t="b">
        <f t="shared" si="11"/>
        <v>0</v>
      </c>
      <c r="K34" s="3" t="b">
        <f t="shared" si="11"/>
        <v>0</v>
      </c>
      <c r="L34" s="3" t="b">
        <f t="shared" si="11"/>
        <v>0</v>
      </c>
      <c r="M34" s="3"/>
      <c r="N34" s="16">
        <v>26</v>
      </c>
      <c r="O34" s="65"/>
      <c r="P34" s="55"/>
      <c r="Q34" s="56"/>
      <c r="R34" s="57"/>
      <c r="S34" s="58"/>
      <c r="T34" s="59"/>
      <c r="U34" s="60"/>
      <c r="V34" s="62"/>
      <c r="X34" s="1">
        <f t="shared" ca="1" si="3"/>
        <v>1</v>
      </c>
      <c r="Z34" s="1">
        <f t="shared" si="12"/>
        <v>0</v>
      </c>
      <c r="AA34" s="1">
        <f t="shared" si="12"/>
        <v>0</v>
      </c>
      <c r="AB34" s="1">
        <f t="shared" si="12"/>
        <v>0</v>
      </c>
      <c r="AC34" s="1">
        <f t="shared" si="12"/>
        <v>0</v>
      </c>
      <c r="AD34" s="1">
        <f t="shared" si="12"/>
        <v>0</v>
      </c>
      <c r="AE34" s="1">
        <f t="shared" si="12"/>
        <v>0</v>
      </c>
      <c r="AF34" s="1">
        <f t="shared" si="12"/>
        <v>0</v>
      </c>
      <c r="AG34" s="1">
        <f t="shared" si="12"/>
        <v>0</v>
      </c>
      <c r="AH34" s="1">
        <f t="shared" si="12"/>
        <v>0</v>
      </c>
      <c r="AI34" s="1">
        <f t="shared" si="12"/>
        <v>0</v>
      </c>
      <c r="AJ34" s="1">
        <f t="shared" si="12"/>
        <v>0</v>
      </c>
      <c r="AK34" s="1">
        <f t="shared" si="12"/>
        <v>0</v>
      </c>
    </row>
    <row r="35" spans="1:37" ht="14.1" customHeight="1" x14ac:dyDescent="0.2">
      <c r="A35" s="16">
        <v>8</v>
      </c>
      <c r="B35" s="65"/>
      <c r="C35" s="118" t="str">
        <f t="shared" si="7"/>
        <v>---</v>
      </c>
      <c r="D35" s="119" t="str">
        <f t="shared" si="7"/>
        <v/>
      </c>
      <c r="E35" s="120">
        <f t="shared" ca="1" si="8"/>
        <v>0</v>
      </c>
      <c r="F35" s="120">
        <f t="shared" ca="1" si="9"/>
        <v>0</v>
      </c>
      <c r="G35" s="120">
        <f t="shared" ca="1" si="10"/>
        <v>0</v>
      </c>
      <c r="H35" s="62"/>
      <c r="I35" s="3"/>
      <c r="J35" s="3" t="b">
        <f t="shared" si="11"/>
        <v>0</v>
      </c>
      <c r="K35" s="3" t="b">
        <f t="shared" si="11"/>
        <v>0</v>
      </c>
      <c r="L35" s="3" t="b">
        <f t="shared" si="11"/>
        <v>0</v>
      </c>
      <c r="M35" s="3"/>
      <c r="N35" s="12">
        <v>27</v>
      </c>
      <c r="O35" s="65"/>
      <c r="P35" s="49"/>
      <c r="Q35" s="50"/>
      <c r="R35" s="51"/>
      <c r="S35" s="52"/>
      <c r="T35" s="53"/>
      <c r="U35" s="54"/>
      <c r="V35" s="62"/>
      <c r="X35" s="1">
        <f t="shared" ca="1" si="3"/>
        <v>1</v>
      </c>
      <c r="Z35" s="1">
        <f t="shared" si="12"/>
        <v>0</v>
      </c>
      <c r="AA35" s="1">
        <f t="shared" si="12"/>
        <v>0</v>
      </c>
      <c r="AB35" s="1">
        <f t="shared" si="12"/>
        <v>0</v>
      </c>
      <c r="AC35" s="1">
        <f t="shared" si="12"/>
        <v>0</v>
      </c>
      <c r="AD35" s="1">
        <f t="shared" si="12"/>
        <v>0</v>
      </c>
      <c r="AE35" s="1">
        <f t="shared" si="12"/>
        <v>0</v>
      </c>
      <c r="AF35" s="1">
        <f t="shared" si="12"/>
        <v>0</v>
      </c>
      <c r="AG35" s="1">
        <f t="shared" si="12"/>
        <v>0</v>
      </c>
      <c r="AH35" s="1">
        <f t="shared" si="12"/>
        <v>0</v>
      </c>
      <c r="AI35" s="1">
        <f t="shared" si="12"/>
        <v>0</v>
      </c>
      <c r="AJ35" s="1">
        <f t="shared" si="12"/>
        <v>0</v>
      </c>
      <c r="AK35" s="1">
        <f t="shared" si="12"/>
        <v>0</v>
      </c>
    </row>
    <row r="36" spans="1:37" ht="14.1" customHeight="1" x14ac:dyDescent="0.2">
      <c r="A36" s="12">
        <v>9</v>
      </c>
      <c r="B36" s="65"/>
      <c r="C36" s="115" t="str">
        <f t="shared" si="7"/>
        <v>---</v>
      </c>
      <c r="D36" s="116" t="str">
        <f t="shared" si="7"/>
        <v/>
      </c>
      <c r="E36" s="117">
        <f t="shared" ca="1" si="8"/>
        <v>0</v>
      </c>
      <c r="F36" s="117">
        <f t="shared" ca="1" si="9"/>
        <v>0</v>
      </c>
      <c r="G36" s="117">
        <f t="shared" ca="1" si="10"/>
        <v>0</v>
      </c>
      <c r="H36" s="62"/>
      <c r="I36" s="3"/>
      <c r="J36" s="3" t="b">
        <f t="shared" si="11"/>
        <v>0</v>
      </c>
      <c r="K36" s="3" t="b">
        <f t="shared" si="11"/>
        <v>0</v>
      </c>
      <c r="L36" s="3" t="b">
        <f t="shared" si="11"/>
        <v>0</v>
      </c>
      <c r="M36" s="3"/>
      <c r="N36" s="16">
        <v>28</v>
      </c>
      <c r="O36" s="65"/>
      <c r="P36" s="55"/>
      <c r="Q36" s="56"/>
      <c r="R36" s="57"/>
      <c r="S36" s="58"/>
      <c r="T36" s="59"/>
      <c r="U36" s="60"/>
      <c r="V36" s="62"/>
      <c r="X36" s="1">
        <f t="shared" ca="1" si="3"/>
        <v>1</v>
      </c>
      <c r="Z36" s="1">
        <f t="shared" si="12"/>
        <v>0</v>
      </c>
      <c r="AA36" s="1">
        <f t="shared" si="12"/>
        <v>0</v>
      </c>
      <c r="AB36" s="1">
        <f t="shared" si="12"/>
        <v>0</v>
      </c>
      <c r="AC36" s="1">
        <f t="shared" si="12"/>
        <v>0</v>
      </c>
      <c r="AD36" s="1">
        <f t="shared" si="12"/>
        <v>0</v>
      </c>
      <c r="AE36" s="1">
        <f t="shared" si="12"/>
        <v>0</v>
      </c>
      <c r="AF36" s="1">
        <f t="shared" si="12"/>
        <v>0</v>
      </c>
      <c r="AG36" s="1">
        <f t="shared" si="12"/>
        <v>0</v>
      </c>
      <c r="AH36" s="1">
        <f t="shared" si="12"/>
        <v>0</v>
      </c>
      <c r="AI36" s="1">
        <f t="shared" si="12"/>
        <v>0</v>
      </c>
      <c r="AJ36" s="1">
        <f t="shared" si="12"/>
        <v>0</v>
      </c>
      <c r="AK36" s="1">
        <f t="shared" si="12"/>
        <v>0</v>
      </c>
    </row>
    <row r="37" spans="1:37" ht="14.1" customHeight="1" x14ac:dyDescent="0.2">
      <c r="A37" s="16">
        <v>10</v>
      </c>
      <c r="B37" s="65"/>
      <c r="C37" s="118" t="str">
        <f t="shared" si="7"/>
        <v>---</v>
      </c>
      <c r="D37" s="119" t="str">
        <f t="shared" si="7"/>
        <v/>
      </c>
      <c r="E37" s="120">
        <f t="shared" ca="1" si="8"/>
        <v>0</v>
      </c>
      <c r="F37" s="120">
        <f t="shared" ca="1" si="9"/>
        <v>0</v>
      </c>
      <c r="G37" s="120">
        <f t="shared" ca="1" si="10"/>
        <v>0</v>
      </c>
      <c r="H37" s="62"/>
      <c r="I37" s="3"/>
      <c r="J37" s="3" t="b">
        <f t="shared" si="11"/>
        <v>0</v>
      </c>
      <c r="K37" s="3" t="b">
        <f t="shared" si="11"/>
        <v>0</v>
      </c>
      <c r="L37" s="3" t="b">
        <f t="shared" si="11"/>
        <v>0</v>
      </c>
      <c r="M37" s="3"/>
      <c r="N37" s="12">
        <v>29</v>
      </c>
      <c r="O37" s="65"/>
      <c r="P37" s="49"/>
      <c r="Q37" s="50"/>
      <c r="R37" s="51"/>
      <c r="S37" s="52"/>
      <c r="T37" s="53"/>
      <c r="U37" s="54"/>
      <c r="V37" s="62"/>
      <c r="X37" s="1">
        <f t="shared" ca="1" si="3"/>
        <v>1</v>
      </c>
      <c r="Z37" s="1">
        <f t="shared" si="12"/>
        <v>0</v>
      </c>
      <c r="AA37" s="1">
        <f t="shared" si="12"/>
        <v>0</v>
      </c>
      <c r="AB37" s="1">
        <f t="shared" si="12"/>
        <v>0</v>
      </c>
      <c r="AC37" s="1">
        <f t="shared" si="12"/>
        <v>0</v>
      </c>
      <c r="AD37" s="1">
        <f t="shared" si="12"/>
        <v>0</v>
      </c>
      <c r="AE37" s="1">
        <f t="shared" si="12"/>
        <v>0</v>
      </c>
      <c r="AF37" s="1">
        <f t="shared" si="12"/>
        <v>0</v>
      </c>
      <c r="AG37" s="1">
        <f t="shared" si="12"/>
        <v>0</v>
      </c>
      <c r="AH37" s="1">
        <f t="shared" si="12"/>
        <v>0</v>
      </c>
      <c r="AI37" s="1">
        <f t="shared" si="12"/>
        <v>0</v>
      </c>
      <c r="AJ37" s="1">
        <f t="shared" si="12"/>
        <v>0</v>
      </c>
      <c r="AK37" s="1">
        <f t="shared" si="12"/>
        <v>0</v>
      </c>
    </row>
    <row r="38" spans="1:37" ht="14.1" customHeight="1" x14ac:dyDescent="0.2">
      <c r="A38" s="12">
        <v>11</v>
      </c>
      <c r="B38" s="65"/>
      <c r="C38" s="115" t="str">
        <f t="shared" si="7"/>
        <v>---</v>
      </c>
      <c r="D38" s="116" t="str">
        <f t="shared" si="7"/>
        <v/>
      </c>
      <c r="E38" s="117">
        <f t="shared" ca="1" si="8"/>
        <v>0</v>
      </c>
      <c r="F38" s="117">
        <f t="shared" ca="1" si="9"/>
        <v>0</v>
      </c>
      <c r="G38" s="117">
        <f t="shared" ca="1" si="10"/>
        <v>0</v>
      </c>
      <c r="H38" s="62"/>
      <c r="I38" s="3"/>
      <c r="J38" s="3" t="b">
        <f t="shared" si="11"/>
        <v>0</v>
      </c>
      <c r="K38" s="3" t="b">
        <f t="shared" si="11"/>
        <v>0</v>
      </c>
      <c r="L38" s="3" t="b">
        <f t="shared" si="11"/>
        <v>0</v>
      </c>
      <c r="M38" s="3"/>
      <c r="N38" s="16">
        <v>30</v>
      </c>
      <c r="O38" s="65"/>
      <c r="P38" s="55"/>
      <c r="Q38" s="56"/>
      <c r="R38" s="57"/>
      <c r="S38" s="58"/>
      <c r="T38" s="59"/>
      <c r="U38" s="60"/>
      <c r="V38" s="62"/>
      <c r="X38" s="1">
        <f t="shared" ca="1" si="3"/>
        <v>1</v>
      </c>
      <c r="Z38" s="1">
        <f t="shared" si="12"/>
        <v>0</v>
      </c>
      <c r="AA38" s="1">
        <f t="shared" si="12"/>
        <v>0</v>
      </c>
      <c r="AB38" s="1">
        <f t="shared" si="12"/>
        <v>0</v>
      </c>
      <c r="AC38" s="1">
        <f t="shared" si="12"/>
        <v>0</v>
      </c>
      <c r="AD38" s="1">
        <f t="shared" si="12"/>
        <v>0</v>
      </c>
      <c r="AE38" s="1">
        <f t="shared" si="12"/>
        <v>0</v>
      </c>
      <c r="AF38" s="1">
        <f t="shared" si="12"/>
        <v>0</v>
      </c>
      <c r="AG38" s="1">
        <f t="shared" si="12"/>
        <v>0</v>
      </c>
      <c r="AH38" s="1">
        <f t="shared" si="12"/>
        <v>0</v>
      </c>
      <c r="AI38" s="1">
        <f t="shared" si="12"/>
        <v>0</v>
      </c>
      <c r="AJ38" s="1">
        <f t="shared" si="12"/>
        <v>0</v>
      </c>
      <c r="AK38" s="1">
        <f t="shared" si="12"/>
        <v>0</v>
      </c>
    </row>
    <row r="39" spans="1:37" ht="14.1" customHeight="1" x14ac:dyDescent="0.2">
      <c r="A39" s="16">
        <v>12</v>
      </c>
      <c r="B39" s="66"/>
      <c r="C39" s="121" t="str">
        <f t="shared" si="7"/>
        <v>---</v>
      </c>
      <c r="D39" s="122" t="str">
        <f t="shared" si="7"/>
        <v/>
      </c>
      <c r="E39" s="123">
        <f t="shared" ca="1" si="8"/>
        <v>0</v>
      </c>
      <c r="F39" s="123">
        <f t="shared" ca="1" si="9"/>
        <v>0</v>
      </c>
      <c r="G39" s="123">
        <f t="shared" ca="1" si="10"/>
        <v>0</v>
      </c>
      <c r="H39" s="63"/>
      <c r="I39" s="3"/>
      <c r="J39" s="3" t="b">
        <f t="shared" si="11"/>
        <v>0</v>
      </c>
      <c r="K39" s="3" t="b">
        <f t="shared" si="11"/>
        <v>0</v>
      </c>
      <c r="L39" s="3" t="b">
        <f t="shared" si="11"/>
        <v>0</v>
      </c>
      <c r="M39" s="3"/>
      <c r="N39" s="12">
        <v>31</v>
      </c>
      <c r="O39" s="65"/>
      <c r="P39" s="49"/>
      <c r="Q39" s="50"/>
      <c r="R39" s="51"/>
      <c r="S39" s="52"/>
      <c r="T39" s="53"/>
      <c r="U39" s="54"/>
      <c r="V39" s="62"/>
      <c r="X39" s="1">
        <f t="shared" ca="1" si="3"/>
        <v>1</v>
      </c>
      <c r="Z39" s="1">
        <f t="shared" ref="Z39:AK48" si="13">IF(Z$8=$R39,-$T39,0)+IF(Z$8=$S39,$T39,0)</f>
        <v>0</v>
      </c>
      <c r="AA39" s="1">
        <f t="shared" si="13"/>
        <v>0</v>
      </c>
      <c r="AB39" s="1">
        <f t="shared" si="13"/>
        <v>0</v>
      </c>
      <c r="AC39" s="1">
        <f t="shared" si="13"/>
        <v>0</v>
      </c>
      <c r="AD39" s="1">
        <f t="shared" si="13"/>
        <v>0</v>
      </c>
      <c r="AE39" s="1">
        <f t="shared" si="13"/>
        <v>0</v>
      </c>
      <c r="AF39" s="1">
        <f t="shared" si="13"/>
        <v>0</v>
      </c>
      <c r="AG39" s="1">
        <f t="shared" si="13"/>
        <v>0</v>
      </c>
      <c r="AH39" s="1">
        <f t="shared" si="13"/>
        <v>0</v>
      </c>
      <c r="AI39" s="1">
        <f t="shared" si="13"/>
        <v>0</v>
      </c>
      <c r="AJ39" s="1">
        <f t="shared" si="13"/>
        <v>0</v>
      </c>
      <c r="AK39" s="1">
        <f t="shared" si="13"/>
        <v>0</v>
      </c>
    </row>
    <row r="40" spans="1:37" ht="14.1" customHeight="1" x14ac:dyDescent="0.2">
      <c r="A40" s="12"/>
      <c r="B40" s="124"/>
      <c r="C40" s="125"/>
      <c r="D40" s="126"/>
      <c r="E40" s="126"/>
      <c r="F40" s="126"/>
      <c r="G40" s="126"/>
      <c r="H40" s="127"/>
      <c r="I40" s="3"/>
      <c r="J40" s="3"/>
      <c r="K40" s="3"/>
      <c r="L40" s="3"/>
      <c r="M40" s="3"/>
      <c r="N40" s="16">
        <v>32</v>
      </c>
      <c r="O40" s="65"/>
      <c r="P40" s="55"/>
      <c r="Q40" s="56"/>
      <c r="R40" s="57"/>
      <c r="S40" s="58"/>
      <c r="T40" s="59"/>
      <c r="U40" s="60"/>
      <c r="V40" s="62"/>
      <c r="X40" s="1">
        <f t="shared" ca="1" si="3"/>
        <v>1</v>
      </c>
      <c r="Z40" s="1">
        <f t="shared" si="13"/>
        <v>0</v>
      </c>
      <c r="AA40" s="1">
        <f t="shared" si="13"/>
        <v>0</v>
      </c>
      <c r="AB40" s="1">
        <f t="shared" si="13"/>
        <v>0</v>
      </c>
      <c r="AC40" s="1">
        <f t="shared" si="13"/>
        <v>0</v>
      </c>
      <c r="AD40" s="1">
        <f t="shared" si="13"/>
        <v>0</v>
      </c>
      <c r="AE40" s="1">
        <f t="shared" si="13"/>
        <v>0</v>
      </c>
      <c r="AF40" s="1">
        <f t="shared" si="13"/>
        <v>0</v>
      </c>
      <c r="AG40" s="1">
        <f t="shared" si="13"/>
        <v>0</v>
      </c>
      <c r="AH40" s="1">
        <f t="shared" si="13"/>
        <v>0</v>
      </c>
      <c r="AI40" s="1">
        <f t="shared" si="13"/>
        <v>0</v>
      </c>
      <c r="AJ40" s="1">
        <f t="shared" si="13"/>
        <v>0</v>
      </c>
      <c r="AK40" s="1">
        <f t="shared" si="13"/>
        <v>0</v>
      </c>
    </row>
    <row r="41" spans="1:37" ht="14.1" customHeight="1" x14ac:dyDescent="0.2">
      <c r="I41" s="3"/>
      <c r="J41" s="3"/>
      <c r="K41" s="3"/>
      <c r="L41" s="3"/>
      <c r="M41" s="3"/>
      <c r="N41" s="12">
        <v>33</v>
      </c>
      <c r="O41" s="65"/>
      <c r="P41" s="49"/>
      <c r="Q41" s="50"/>
      <c r="R41" s="51"/>
      <c r="S41" s="52"/>
      <c r="T41" s="53"/>
      <c r="U41" s="54"/>
      <c r="V41" s="62"/>
      <c r="X41" s="1">
        <f t="shared" ref="X41:X72" ca="1" si="14">IF(P41&lt;NOW(),1,0)</f>
        <v>1</v>
      </c>
      <c r="Z41" s="1">
        <f t="shared" si="13"/>
        <v>0</v>
      </c>
      <c r="AA41" s="1">
        <f t="shared" si="13"/>
        <v>0</v>
      </c>
      <c r="AB41" s="1">
        <f t="shared" si="13"/>
        <v>0</v>
      </c>
      <c r="AC41" s="1">
        <f t="shared" si="13"/>
        <v>0</v>
      </c>
      <c r="AD41" s="1">
        <f t="shared" si="13"/>
        <v>0</v>
      </c>
      <c r="AE41" s="1">
        <f t="shared" si="13"/>
        <v>0</v>
      </c>
      <c r="AF41" s="1">
        <f t="shared" si="13"/>
        <v>0</v>
      </c>
      <c r="AG41" s="1">
        <f t="shared" si="13"/>
        <v>0</v>
      </c>
      <c r="AH41" s="1">
        <f t="shared" si="13"/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</row>
    <row r="42" spans="1:37" ht="14.1" customHeight="1" x14ac:dyDescent="0.2">
      <c r="B42" s="91"/>
      <c r="C42" s="92"/>
      <c r="D42" s="93"/>
      <c r="E42" s="93"/>
      <c r="F42" s="93"/>
      <c r="G42" s="93"/>
      <c r="H42" s="94"/>
      <c r="I42" s="3"/>
      <c r="J42" s="3"/>
      <c r="K42" s="3"/>
      <c r="L42" s="3"/>
      <c r="M42" s="3"/>
      <c r="N42" s="16">
        <v>34</v>
      </c>
      <c r="O42" s="65"/>
      <c r="P42" s="55"/>
      <c r="Q42" s="56"/>
      <c r="R42" s="57"/>
      <c r="S42" s="58"/>
      <c r="T42" s="59"/>
      <c r="U42" s="60"/>
      <c r="V42" s="62"/>
      <c r="X42" s="1">
        <f t="shared" ca="1" si="14"/>
        <v>1</v>
      </c>
      <c r="Z42" s="1">
        <f t="shared" si="13"/>
        <v>0</v>
      </c>
      <c r="AA42" s="1">
        <f t="shared" si="13"/>
        <v>0</v>
      </c>
      <c r="AB42" s="1">
        <f t="shared" si="13"/>
        <v>0</v>
      </c>
      <c r="AC42" s="1">
        <f t="shared" si="13"/>
        <v>0</v>
      </c>
      <c r="AD42" s="1">
        <f t="shared" si="13"/>
        <v>0</v>
      </c>
      <c r="AE42" s="1">
        <f t="shared" si="13"/>
        <v>0</v>
      </c>
      <c r="AF42" s="1">
        <f t="shared" si="13"/>
        <v>0</v>
      </c>
      <c r="AG42" s="1">
        <f t="shared" si="13"/>
        <v>0</v>
      </c>
      <c r="AH42" s="1">
        <f t="shared" si="13"/>
        <v>0</v>
      </c>
      <c r="AI42" s="1">
        <f t="shared" si="13"/>
        <v>0</v>
      </c>
      <c r="AJ42" s="1">
        <f t="shared" si="13"/>
        <v>0</v>
      </c>
      <c r="AK42" s="1">
        <f t="shared" si="13"/>
        <v>0</v>
      </c>
    </row>
    <row r="43" spans="1:37" ht="14.1" customHeight="1" x14ac:dyDescent="0.2">
      <c r="B43" s="95"/>
      <c r="C43" s="286" t="s">
        <v>106</v>
      </c>
      <c r="D43" s="286"/>
      <c r="E43" s="286"/>
      <c r="F43" s="286"/>
      <c r="G43" s="286"/>
      <c r="H43" s="96"/>
      <c r="I43" s="3"/>
      <c r="J43" s="3"/>
      <c r="K43" s="3"/>
      <c r="L43" s="3"/>
      <c r="M43" s="3"/>
      <c r="N43" s="12">
        <v>35</v>
      </c>
      <c r="O43" s="65"/>
      <c r="P43" s="49"/>
      <c r="Q43" s="50"/>
      <c r="R43" s="51"/>
      <c r="S43" s="52"/>
      <c r="T43" s="53"/>
      <c r="U43" s="54"/>
      <c r="V43" s="62"/>
      <c r="X43" s="1">
        <f t="shared" ca="1" si="14"/>
        <v>1</v>
      </c>
      <c r="Z43" s="1">
        <f t="shared" si="13"/>
        <v>0</v>
      </c>
      <c r="AA43" s="1">
        <f t="shared" si="13"/>
        <v>0</v>
      </c>
      <c r="AB43" s="1">
        <f t="shared" si="13"/>
        <v>0</v>
      </c>
      <c r="AC43" s="1">
        <f t="shared" si="13"/>
        <v>0</v>
      </c>
      <c r="AD43" s="1">
        <f t="shared" si="13"/>
        <v>0</v>
      </c>
      <c r="AE43" s="1">
        <f t="shared" si="13"/>
        <v>0</v>
      </c>
      <c r="AF43" s="1">
        <f t="shared" si="13"/>
        <v>0</v>
      </c>
      <c r="AG43" s="1">
        <f t="shared" si="13"/>
        <v>0</v>
      </c>
      <c r="AH43" s="1">
        <f t="shared" si="13"/>
        <v>0</v>
      </c>
      <c r="AI43" s="1">
        <f t="shared" si="13"/>
        <v>0</v>
      </c>
      <c r="AJ43" s="1">
        <f t="shared" si="13"/>
        <v>0</v>
      </c>
      <c r="AK43" s="1">
        <f t="shared" si="13"/>
        <v>0</v>
      </c>
    </row>
    <row r="44" spans="1:37" ht="14.1" customHeight="1" x14ac:dyDescent="0.2">
      <c r="B44" s="95"/>
      <c r="C44" s="286"/>
      <c r="D44" s="286"/>
      <c r="E44" s="286"/>
      <c r="F44" s="286"/>
      <c r="G44" s="286"/>
      <c r="H44" s="96"/>
      <c r="I44" s="3"/>
      <c r="J44" s="3"/>
      <c r="K44" s="3"/>
      <c r="L44" s="3"/>
      <c r="M44" s="3"/>
      <c r="N44" s="16">
        <v>36</v>
      </c>
      <c r="O44" s="65"/>
      <c r="P44" s="55"/>
      <c r="Q44" s="56"/>
      <c r="R44" s="57"/>
      <c r="S44" s="58"/>
      <c r="T44" s="59"/>
      <c r="U44" s="60"/>
      <c r="V44" s="62"/>
      <c r="X44" s="1">
        <f t="shared" ca="1" si="14"/>
        <v>1</v>
      </c>
      <c r="Z44" s="1">
        <f t="shared" si="13"/>
        <v>0</v>
      </c>
      <c r="AA44" s="1">
        <f t="shared" si="13"/>
        <v>0</v>
      </c>
      <c r="AB44" s="1">
        <f t="shared" si="13"/>
        <v>0</v>
      </c>
      <c r="AC44" s="1">
        <f t="shared" si="13"/>
        <v>0</v>
      </c>
      <c r="AD44" s="1">
        <f t="shared" si="13"/>
        <v>0</v>
      </c>
      <c r="AE44" s="1">
        <f t="shared" si="13"/>
        <v>0</v>
      </c>
      <c r="AF44" s="1">
        <f t="shared" si="13"/>
        <v>0</v>
      </c>
      <c r="AG44" s="1">
        <f t="shared" si="13"/>
        <v>0</v>
      </c>
      <c r="AH44" s="1">
        <f t="shared" si="13"/>
        <v>0</v>
      </c>
      <c r="AI44" s="1">
        <f t="shared" si="13"/>
        <v>0</v>
      </c>
      <c r="AJ44" s="1">
        <f t="shared" si="13"/>
        <v>0</v>
      </c>
      <c r="AK44" s="1">
        <f t="shared" si="13"/>
        <v>0</v>
      </c>
    </row>
    <row r="45" spans="1:37" ht="14.1" customHeight="1" x14ac:dyDescent="0.2">
      <c r="B45" s="46"/>
      <c r="C45" s="271" t="s">
        <v>20</v>
      </c>
      <c r="D45" s="273" t="s">
        <v>5</v>
      </c>
      <c r="E45" s="275" t="s">
        <v>104</v>
      </c>
      <c r="F45" s="275" t="s">
        <v>89</v>
      </c>
      <c r="G45" s="276" t="s">
        <v>6</v>
      </c>
      <c r="H45" s="96"/>
      <c r="I45" s="3"/>
      <c r="J45" s="3"/>
      <c r="K45" s="3"/>
      <c r="L45" s="3"/>
      <c r="M45" s="3"/>
      <c r="N45" s="12">
        <v>37</v>
      </c>
      <c r="O45" s="65"/>
      <c r="P45" s="49"/>
      <c r="Q45" s="50"/>
      <c r="R45" s="51"/>
      <c r="S45" s="52"/>
      <c r="T45" s="53"/>
      <c r="U45" s="54"/>
      <c r="V45" s="62"/>
      <c r="X45" s="1">
        <f t="shared" ca="1" si="14"/>
        <v>1</v>
      </c>
      <c r="Z45" s="1">
        <f t="shared" si="13"/>
        <v>0</v>
      </c>
      <c r="AA45" s="1">
        <f t="shared" si="13"/>
        <v>0</v>
      </c>
      <c r="AB45" s="1">
        <f t="shared" si="13"/>
        <v>0</v>
      </c>
      <c r="AC45" s="1">
        <f t="shared" si="13"/>
        <v>0</v>
      </c>
      <c r="AD45" s="1">
        <f t="shared" si="13"/>
        <v>0</v>
      </c>
      <c r="AE45" s="1">
        <f t="shared" si="13"/>
        <v>0</v>
      </c>
      <c r="AF45" s="1">
        <f t="shared" si="13"/>
        <v>0</v>
      </c>
      <c r="AG45" s="1">
        <f t="shared" si="13"/>
        <v>0</v>
      </c>
      <c r="AH45" s="1">
        <f t="shared" si="13"/>
        <v>0</v>
      </c>
      <c r="AI45" s="1">
        <f t="shared" si="13"/>
        <v>0</v>
      </c>
      <c r="AJ45" s="1">
        <f t="shared" si="13"/>
        <v>0</v>
      </c>
      <c r="AK45" s="1">
        <f t="shared" si="13"/>
        <v>0</v>
      </c>
    </row>
    <row r="46" spans="1:37" ht="14.1" customHeight="1" x14ac:dyDescent="0.2">
      <c r="A46" s="3"/>
      <c r="B46" s="44"/>
      <c r="C46" s="272"/>
      <c r="D46" s="274"/>
      <c r="E46" s="99" t="s">
        <v>87</v>
      </c>
      <c r="F46" s="100" t="s">
        <v>89</v>
      </c>
      <c r="G46" s="98" t="s">
        <v>6</v>
      </c>
      <c r="H46" s="97"/>
      <c r="I46" s="3"/>
      <c r="J46" s="3"/>
      <c r="K46" s="3"/>
      <c r="L46" s="3"/>
      <c r="M46" s="3"/>
      <c r="N46" s="16">
        <v>38</v>
      </c>
      <c r="O46" s="65"/>
      <c r="P46" s="55"/>
      <c r="Q46" s="56"/>
      <c r="R46" s="57"/>
      <c r="S46" s="58"/>
      <c r="T46" s="59"/>
      <c r="U46" s="60"/>
      <c r="V46" s="62"/>
      <c r="X46" s="1">
        <f t="shared" ca="1" si="14"/>
        <v>1</v>
      </c>
      <c r="Z46" s="1">
        <f t="shared" si="13"/>
        <v>0</v>
      </c>
      <c r="AA46" s="1">
        <f t="shared" si="13"/>
        <v>0</v>
      </c>
      <c r="AB46" s="1">
        <f t="shared" si="13"/>
        <v>0</v>
      </c>
      <c r="AC46" s="1">
        <f t="shared" si="13"/>
        <v>0</v>
      </c>
      <c r="AD46" s="1">
        <f t="shared" si="13"/>
        <v>0</v>
      </c>
      <c r="AE46" s="1">
        <f t="shared" si="13"/>
        <v>0</v>
      </c>
      <c r="AF46" s="1">
        <f t="shared" si="13"/>
        <v>0</v>
      </c>
      <c r="AG46" s="1">
        <f t="shared" si="13"/>
        <v>0</v>
      </c>
      <c r="AH46" s="1">
        <f t="shared" si="13"/>
        <v>0</v>
      </c>
      <c r="AI46" s="1">
        <f t="shared" si="13"/>
        <v>0</v>
      </c>
      <c r="AJ46" s="1">
        <f t="shared" si="13"/>
        <v>0</v>
      </c>
      <c r="AK46" s="1">
        <f t="shared" si="13"/>
        <v>0</v>
      </c>
    </row>
    <row r="47" spans="1:37" ht="14.1" customHeight="1" x14ac:dyDescent="0.2">
      <c r="A47" s="12">
        <v>1</v>
      </c>
      <c r="B47" s="64"/>
      <c r="C47" s="115" t="str">
        <f>ANUAL!$C115</f>
        <v>CC</v>
      </c>
      <c r="D47" s="116" t="str">
        <f>ANUAL!$D115</f>
        <v>CONTA CORRENTE</v>
      </c>
      <c r="E47" s="117">
        <f>SUMIF($J$28:$J$39,TRUE,E$28:E$39)</f>
        <v>0</v>
      </c>
      <c r="F47" s="117">
        <f>SUMIF($J$28:$J$39,TRUE,F$28:F$39)</f>
        <v>0</v>
      </c>
      <c r="G47" s="117">
        <f>SUMIF($J$28:$J$39,TRUE,G$28:G$39)+SUMIF($J$9:$J$20,TRUE,E$9:E$20)</f>
        <v>0</v>
      </c>
      <c r="H47" s="61"/>
      <c r="N47" s="12">
        <v>39</v>
      </c>
      <c r="O47" s="65"/>
      <c r="P47" s="49"/>
      <c r="Q47" s="50"/>
      <c r="R47" s="51"/>
      <c r="S47" s="52"/>
      <c r="T47" s="53"/>
      <c r="U47" s="54"/>
      <c r="V47" s="62"/>
      <c r="X47" s="1">
        <f t="shared" ca="1" si="14"/>
        <v>1</v>
      </c>
      <c r="Z47" s="1">
        <f t="shared" si="13"/>
        <v>0</v>
      </c>
      <c r="AA47" s="1">
        <f t="shared" si="13"/>
        <v>0</v>
      </c>
      <c r="AB47" s="1">
        <f t="shared" si="13"/>
        <v>0</v>
      </c>
      <c r="AC47" s="1">
        <f t="shared" si="13"/>
        <v>0</v>
      </c>
      <c r="AD47" s="1">
        <f t="shared" si="13"/>
        <v>0</v>
      </c>
      <c r="AE47" s="1">
        <f t="shared" si="13"/>
        <v>0</v>
      </c>
      <c r="AF47" s="1">
        <f t="shared" si="13"/>
        <v>0</v>
      </c>
      <c r="AG47" s="1">
        <f t="shared" si="13"/>
        <v>0</v>
      </c>
      <c r="AH47" s="1">
        <f t="shared" si="13"/>
        <v>0</v>
      </c>
      <c r="AI47" s="1">
        <f t="shared" si="13"/>
        <v>0</v>
      </c>
      <c r="AJ47" s="1">
        <f t="shared" si="13"/>
        <v>0</v>
      </c>
      <c r="AK47" s="1">
        <f t="shared" si="13"/>
        <v>0</v>
      </c>
    </row>
    <row r="48" spans="1:37" ht="14.1" customHeight="1" x14ac:dyDescent="0.2">
      <c r="A48" s="16">
        <v>2</v>
      </c>
      <c r="B48" s="65"/>
      <c r="C48" s="118" t="str">
        <f>ANUAL!$C116</f>
        <v>INV</v>
      </c>
      <c r="D48" s="119" t="str">
        <f>ANUAL!$D116</f>
        <v>APLICAÇÕES DE INVESTIMENTO</v>
      </c>
      <c r="E48" s="120">
        <f ca="1">SUMIF($K$28:$K$39,TRUE,E$28:E$39)</f>
        <v>0</v>
      </c>
      <c r="F48" s="120">
        <f ca="1">SUMIF($K$28:$K$39,TRUE,F$28:F$39)</f>
        <v>0</v>
      </c>
      <c r="G48" s="120">
        <f ca="1">SUMIF($K$28:$K$39,TRUE,G$28:G$39)+SUMIF($K$9:$K$20,TRUE,E$9:E$20)</f>
        <v>0</v>
      </c>
      <c r="H48" s="62"/>
      <c r="N48" s="16">
        <v>40</v>
      </c>
      <c r="O48" s="65"/>
      <c r="P48" s="55"/>
      <c r="Q48" s="56"/>
      <c r="R48" s="57"/>
      <c r="S48" s="58"/>
      <c r="T48" s="59"/>
      <c r="U48" s="60"/>
      <c r="V48" s="62"/>
      <c r="X48" s="1">
        <f t="shared" ca="1" si="14"/>
        <v>1</v>
      </c>
      <c r="Z48" s="1">
        <f t="shared" si="13"/>
        <v>0</v>
      </c>
      <c r="AA48" s="1">
        <f t="shared" si="13"/>
        <v>0</v>
      </c>
      <c r="AB48" s="1">
        <f t="shared" si="13"/>
        <v>0</v>
      </c>
      <c r="AC48" s="1">
        <f t="shared" si="13"/>
        <v>0</v>
      </c>
      <c r="AD48" s="1">
        <f t="shared" si="13"/>
        <v>0</v>
      </c>
      <c r="AE48" s="1">
        <f t="shared" si="13"/>
        <v>0</v>
      </c>
      <c r="AF48" s="1">
        <f t="shared" si="13"/>
        <v>0</v>
      </c>
      <c r="AG48" s="1">
        <f t="shared" si="13"/>
        <v>0</v>
      </c>
      <c r="AH48" s="1">
        <f t="shared" si="13"/>
        <v>0</v>
      </c>
      <c r="AI48" s="1">
        <f t="shared" si="13"/>
        <v>0</v>
      </c>
      <c r="AJ48" s="1">
        <f t="shared" si="13"/>
        <v>0</v>
      </c>
      <c r="AK48" s="1">
        <f t="shared" si="13"/>
        <v>0</v>
      </c>
    </row>
    <row r="49" spans="1:37" ht="14.1" customHeight="1" x14ac:dyDescent="0.2">
      <c r="A49" s="12">
        <v>3</v>
      </c>
      <c r="B49" s="65"/>
      <c r="C49" s="115" t="str">
        <f>ANUAL!$C117</f>
        <v>DINH</v>
      </c>
      <c r="D49" s="116" t="str">
        <f>ANUAL!$D117</f>
        <v>EM ESPÉCIE</v>
      </c>
      <c r="E49" s="117">
        <f ca="1">SUMIF($L$28:$L$39,TRUE,E$28:E$39)</f>
        <v>0</v>
      </c>
      <c r="F49" s="117">
        <f ca="1">SUMIF($L$28:$L$39,TRUE,F$28:F$39)</f>
        <v>0</v>
      </c>
      <c r="G49" s="117">
        <f ca="1">SUMIF($L$28:$L$39,TRUE,G$28:G$39)+SUMIF($L$9:$L$20,TRUE,E$9:E$20)</f>
        <v>0</v>
      </c>
      <c r="H49" s="62"/>
      <c r="N49" s="12">
        <v>41</v>
      </c>
      <c r="O49" s="65"/>
      <c r="P49" s="49"/>
      <c r="Q49" s="50"/>
      <c r="R49" s="51"/>
      <c r="S49" s="52"/>
      <c r="T49" s="53"/>
      <c r="U49" s="54"/>
      <c r="V49" s="62"/>
      <c r="X49" s="1">
        <f t="shared" ca="1" si="14"/>
        <v>1</v>
      </c>
      <c r="Z49" s="1">
        <f t="shared" ref="Z49:AK58" si="15">IF(Z$8=$R49,-$T49,0)+IF(Z$8=$S49,$T49,0)</f>
        <v>0</v>
      </c>
      <c r="AA49" s="1">
        <f t="shared" si="15"/>
        <v>0</v>
      </c>
      <c r="AB49" s="1">
        <f t="shared" si="15"/>
        <v>0</v>
      </c>
      <c r="AC49" s="1">
        <f t="shared" si="15"/>
        <v>0</v>
      </c>
      <c r="AD49" s="1">
        <f t="shared" si="15"/>
        <v>0</v>
      </c>
      <c r="AE49" s="1">
        <f t="shared" si="15"/>
        <v>0</v>
      </c>
      <c r="AF49" s="1">
        <f t="shared" si="15"/>
        <v>0</v>
      </c>
      <c r="AG49" s="1">
        <f t="shared" si="15"/>
        <v>0</v>
      </c>
      <c r="AH49" s="1">
        <f t="shared" si="15"/>
        <v>0</v>
      </c>
      <c r="AI49" s="1">
        <f t="shared" si="15"/>
        <v>0</v>
      </c>
      <c r="AJ49" s="1">
        <f t="shared" si="15"/>
        <v>0</v>
      </c>
      <c r="AK49" s="1">
        <f t="shared" si="15"/>
        <v>0</v>
      </c>
    </row>
    <row r="50" spans="1:37" ht="14.1" customHeight="1" x14ac:dyDescent="0.2">
      <c r="A50" s="12"/>
      <c r="B50" s="109"/>
      <c r="C50" s="110"/>
      <c r="D50" s="111"/>
      <c r="E50" s="111"/>
      <c r="F50" s="111"/>
      <c r="G50" s="111"/>
      <c r="H50" s="112"/>
      <c r="I50" s="3"/>
      <c r="J50" s="3"/>
      <c r="K50" s="3"/>
      <c r="L50" s="3"/>
      <c r="M50" s="3"/>
      <c r="N50" s="16">
        <v>42</v>
      </c>
      <c r="O50" s="65"/>
      <c r="P50" s="55"/>
      <c r="Q50" s="56"/>
      <c r="R50" s="57"/>
      <c r="S50" s="58"/>
      <c r="T50" s="59"/>
      <c r="U50" s="60"/>
      <c r="V50" s="62"/>
      <c r="X50" s="1">
        <f t="shared" ca="1" si="14"/>
        <v>1</v>
      </c>
      <c r="Z50" s="1">
        <f t="shared" si="15"/>
        <v>0</v>
      </c>
      <c r="AA50" s="1">
        <f t="shared" si="15"/>
        <v>0</v>
      </c>
      <c r="AB50" s="1">
        <f t="shared" si="15"/>
        <v>0</v>
      </c>
      <c r="AC50" s="1">
        <f t="shared" si="15"/>
        <v>0</v>
      </c>
      <c r="AD50" s="1">
        <f t="shared" si="15"/>
        <v>0</v>
      </c>
      <c r="AE50" s="1">
        <f t="shared" si="15"/>
        <v>0</v>
      </c>
      <c r="AF50" s="1">
        <f t="shared" si="15"/>
        <v>0</v>
      </c>
      <c r="AG50" s="1">
        <f t="shared" si="15"/>
        <v>0</v>
      </c>
      <c r="AH50" s="1">
        <f t="shared" si="15"/>
        <v>0</v>
      </c>
      <c r="AI50" s="1">
        <f t="shared" si="15"/>
        <v>0</v>
      </c>
      <c r="AJ50" s="1">
        <f t="shared" si="15"/>
        <v>0</v>
      </c>
      <c r="AK50" s="1">
        <f t="shared" si="15"/>
        <v>0</v>
      </c>
    </row>
    <row r="51" spans="1:37" ht="14.1" customHeight="1" x14ac:dyDescent="0.2">
      <c r="I51" s="3"/>
      <c r="J51" s="3"/>
      <c r="K51" s="3"/>
      <c r="L51" s="3"/>
      <c r="M51" s="3"/>
      <c r="N51" s="12">
        <v>43</v>
      </c>
      <c r="O51" s="65"/>
      <c r="P51" s="49"/>
      <c r="Q51" s="50"/>
      <c r="R51" s="51"/>
      <c r="S51" s="52"/>
      <c r="T51" s="53"/>
      <c r="U51" s="54"/>
      <c r="V51" s="62"/>
      <c r="X51" s="1">
        <f t="shared" ca="1" si="14"/>
        <v>1</v>
      </c>
      <c r="Z51" s="1">
        <f t="shared" si="15"/>
        <v>0</v>
      </c>
      <c r="AA51" s="1">
        <f t="shared" si="15"/>
        <v>0</v>
      </c>
      <c r="AB51" s="1">
        <f t="shared" si="15"/>
        <v>0</v>
      </c>
      <c r="AC51" s="1">
        <f t="shared" si="15"/>
        <v>0</v>
      </c>
      <c r="AD51" s="1">
        <f t="shared" si="15"/>
        <v>0</v>
      </c>
      <c r="AE51" s="1">
        <f t="shared" si="15"/>
        <v>0</v>
      </c>
      <c r="AF51" s="1">
        <f t="shared" si="15"/>
        <v>0</v>
      </c>
      <c r="AG51" s="1">
        <f t="shared" si="15"/>
        <v>0</v>
      </c>
      <c r="AH51" s="1">
        <f t="shared" si="15"/>
        <v>0</v>
      </c>
      <c r="AI51" s="1">
        <f t="shared" si="15"/>
        <v>0</v>
      </c>
      <c r="AJ51" s="1">
        <f t="shared" si="15"/>
        <v>0</v>
      </c>
      <c r="AK51" s="1">
        <f t="shared" si="15"/>
        <v>0</v>
      </c>
    </row>
    <row r="52" spans="1:37" ht="14.1" customHeight="1" x14ac:dyDescent="0.2">
      <c r="B52" s="84"/>
      <c r="C52" s="85"/>
      <c r="D52" s="86"/>
      <c r="E52" s="86"/>
      <c r="F52" s="86"/>
      <c r="G52" s="86"/>
      <c r="H52" s="87"/>
      <c r="N52" s="16">
        <v>44</v>
      </c>
      <c r="O52" s="65"/>
      <c r="P52" s="55"/>
      <c r="Q52" s="56"/>
      <c r="R52" s="57"/>
      <c r="S52" s="58"/>
      <c r="T52" s="59"/>
      <c r="U52" s="60"/>
      <c r="V52" s="62"/>
      <c r="X52" s="1">
        <f t="shared" ca="1" si="14"/>
        <v>1</v>
      </c>
      <c r="Z52" s="1">
        <f t="shared" si="15"/>
        <v>0</v>
      </c>
      <c r="AA52" s="1">
        <f t="shared" si="15"/>
        <v>0</v>
      </c>
      <c r="AB52" s="1">
        <f t="shared" si="15"/>
        <v>0</v>
      </c>
      <c r="AC52" s="1">
        <f t="shared" si="15"/>
        <v>0</v>
      </c>
      <c r="AD52" s="1">
        <f t="shared" si="15"/>
        <v>0</v>
      </c>
      <c r="AE52" s="1">
        <f t="shared" si="15"/>
        <v>0</v>
      </c>
      <c r="AF52" s="1">
        <f t="shared" si="15"/>
        <v>0</v>
      </c>
      <c r="AG52" s="1">
        <f t="shared" si="15"/>
        <v>0</v>
      </c>
      <c r="AH52" s="1">
        <f t="shared" si="15"/>
        <v>0</v>
      </c>
      <c r="AI52" s="1">
        <f t="shared" si="15"/>
        <v>0</v>
      </c>
      <c r="AJ52" s="1">
        <f t="shared" si="15"/>
        <v>0</v>
      </c>
      <c r="AK52" s="1">
        <f t="shared" si="15"/>
        <v>0</v>
      </c>
    </row>
    <row r="53" spans="1:37" ht="14.1" customHeight="1" x14ac:dyDescent="0.2">
      <c r="B53" s="88"/>
      <c r="C53" s="304" t="s">
        <v>27</v>
      </c>
      <c r="D53" s="304"/>
      <c r="E53" s="304"/>
      <c r="F53" s="304"/>
      <c r="G53" s="304"/>
      <c r="H53" s="89"/>
      <c r="N53" s="12">
        <v>45</v>
      </c>
      <c r="O53" s="65"/>
      <c r="P53" s="49"/>
      <c r="Q53" s="50"/>
      <c r="R53" s="51"/>
      <c r="S53" s="52"/>
      <c r="T53" s="53"/>
      <c r="U53" s="54"/>
      <c r="V53" s="62"/>
      <c r="X53" s="1">
        <f t="shared" ca="1" si="14"/>
        <v>1</v>
      </c>
      <c r="Z53" s="1">
        <f t="shared" si="15"/>
        <v>0</v>
      </c>
      <c r="AA53" s="1">
        <f t="shared" si="15"/>
        <v>0</v>
      </c>
      <c r="AB53" s="1">
        <f t="shared" si="15"/>
        <v>0</v>
      </c>
      <c r="AC53" s="1">
        <f t="shared" si="15"/>
        <v>0</v>
      </c>
      <c r="AD53" s="1">
        <f t="shared" si="15"/>
        <v>0</v>
      </c>
      <c r="AE53" s="1">
        <f t="shared" si="15"/>
        <v>0</v>
      </c>
      <c r="AF53" s="1">
        <f t="shared" si="15"/>
        <v>0</v>
      </c>
      <c r="AG53" s="1">
        <f t="shared" si="15"/>
        <v>0</v>
      </c>
      <c r="AH53" s="1">
        <f t="shared" si="15"/>
        <v>0</v>
      </c>
      <c r="AI53" s="1">
        <f t="shared" si="15"/>
        <v>0</v>
      </c>
      <c r="AJ53" s="1">
        <f t="shared" si="15"/>
        <v>0</v>
      </c>
      <c r="AK53" s="1">
        <f t="shared" si="15"/>
        <v>0</v>
      </c>
    </row>
    <row r="54" spans="1:37" ht="14.1" customHeight="1" x14ac:dyDescent="0.2">
      <c r="B54" s="88"/>
      <c r="C54" s="304"/>
      <c r="D54" s="304"/>
      <c r="E54" s="304"/>
      <c r="F54" s="304"/>
      <c r="G54" s="304"/>
      <c r="H54" s="89"/>
      <c r="N54" s="16">
        <v>46</v>
      </c>
      <c r="O54" s="65"/>
      <c r="P54" s="55"/>
      <c r="Q54" s="56"/>
      <c r="R54" s="57"/>
      <c r="S54" s="58"/>
      <c r="T54" s="59"/>
      <c r="U54" s="60"/>
      <c r="V54" s="62"/>
      <c r="X54" s="1">
        <f t="shared" ca="1" si="14"/>
        <v>1</v>
      </c>
      <c r="Z54" s="1">
        <f t="shared" si="15"/>
        <v>0</v>
      </c>
      <c r="AA54" s="1">
        <f t="shared" si="15"/>
        <v>0</v>
      </c>
      <c r="AB54" s="1">
        <f t="shared" si="15"/>
        <v>0</v>
      </c>
      <c r="AC54" s="1">
        <f t="shared" si="15"/>
        <v>0</v>
      </c>
      <c r="AD54" s="1">
        <f t="shared" si="15"/>
        <v>0</v>
      </c>
      <c r="AE54" s="1">
        <f t="shared" si="15"/>
        <v>0</v>
      </c>
      <c r="AF54" s="1">
        <f t="shared" si="15"/>
        <v>0</v>
      </c>
      <c r="AG54" s="1">
        <f t="shared" si="15"/>
        <v>0</v>
      </c>
      <c r="AH54" s="1">
        <f t="shared" si="15"/>
        <v>0</v>
      </c>
      <c r="AI54" s="1">
        <f t="shared" si="15"/>
        <v>0</v>
      </c>
      <c r="AJ54" s="1">
        <f t="shared" si="15"/>
        <v>0</v>
      </c>
      <c r="AK54" s="1">
        <f t="shared" si="15"/>
        <v>0</v>
      </c>
    </row>
    <row r="55" spans="1:37" ht="14.1" customHeight="1" x14ac:dyDescent="0.2">
      <c r="B55" s="46"/>
      <c r="C55" s="271" t="s">
        <v>4</v>
      </c>
      <c r="D55" s="273" t="s">
        <v>5</v>
      </c>
      <c r="E55" s="310"/>
      <c r="F55" s="310"/>
      <c r="G55" s="276" t="s">
        <v>97</v>
      </c>
      <c r="H55" s="89"/>
      <c r="N55" s="12">
        <v>47</v>
      </c>
      <c r="O55" s="65"/>
      <c r="P55" s="49"/>
      <c r="Q55" s="50"/>
      <c r="R55" s="51"/>
      <c r="S55" s="52"/>
      <c r="T55" s="53"/>
      <c r="U55" s="54"/>
      <c r="V55" s="62"/>
      <c r="X55" s="1">
        <f t="shared" ca="1" si="14"/>
        <v>1</v>
      </c>
      <c r="Z55" s="1">
        <f t="shared" si="15"/>
        <v>0</v>
      </c>
      <c r="AA55" s="1">
        <f t="shared" si="15"/>
        <v>0</v>
      </c>
      <c r="AB55" s="1">
        <f t="shared" si="15"/>
        <v>0</v>
      </c>
      <c r="AC55" s="1">
        <f t="shared" si="15"/>
        <v>0</v>
      </c>
      <c r="AD55" s="1">
        <f t="shared" si="15"/>
        <v>0</v>
      </c>
      <c r="AE55" s="1">
        <f t="shared" si="15"/>
        <v>0</v>
      </c>
      <c r="AF55" s="1">
        <f t="shared" si="15"/>
        <v>0</v>
      </c>
      <c r="AG55" s="1">
        <f t="shared" si="15"/>
        <v>0</v>
      </c>
      <c r="AH55" s="1">
        <f t="shared" si="15"/>
        <v>0</v>
      </c>
      <c r="AI55" s="1">
        <f t="shared" si="15"/>
        <v>0</v>
      </c>
      <c r="AJ55" s="1">
        <f t="shared" si="15"/>
        <v>0</v>
      </c>
      <c r="AK55" s="1">
        <f t="shared" si="15"/>
        <v>0</v>
      </c>
    </row>
    <row r="56" spans="1:37" ht="14.1" customHeight="1" x14ac:dyDescent="0.2">
      <c r="A56" s="3"/>
      <c r="B56" s="44"/>
      <c r="C56" s="272"/>
      <c r="D56" s="274"/>
      <c r="E56" s="311"/>
      <c r="F56" s="311"/>
      <c r="G56" s="305"/>
      <c r="H56" s="90"/>
      <c r="N56" s="16">
        <v>48</v>
      </c>
      <c r="O56" s="65"/>
      <c r="P56" s="55"/>
      <c r="Q56" s="56"/>
      <c r="R56" s="57"/>
      <c r="S56" s="58"/>
      <c r="T56" s="59"/>
      <c r="U56" s="60"/>
      <c r="V56" s="62"/>
      <c r="X56" s="1">
        <f t="shared" ca="1" si="14"/>
        <v>1</v>
      </c>
      <c r="Z56" s="1">
        <f t="shared" si="15"/>
        <v>0</v>
      </c>
      <c r="AA56" s="1">
        <f t="shared" si="15"/>
        <v>0</v>
      </c>
      <c r="AB56" s="1">
        <f t="shared" si="15"/>
        <v>0</v>
      </c>
      <c r="AC56" s="1">
        <f t="shared" si="15"/>
        <v>0</v>
      </c>
      <c r="AD56" s="1">
        <f t="shared" si="15"/>
        <v>0</v>
      </c>
      <c r="AE56" s="1">
        <f t="shared" si="15"/>
        <v>0</v>
      </c>
      <c r="AF56" s="1">
        <f t="shared" si="15"/>
        <v>0</v>
      </c>
      <c r="AG56" s="1">
        <f t="shared" si="15"/>
        <v>0</v>
      </c>
      <c r="AH56" s="1">
        <f t="shared" si="15"/>
        <v>0</v>
      </c>
      <c r="AI56" s="1">
        <f t="shared" si="15"/>
        <v>0</v>
      </c>
      <c r="AJ56" s="1">
        <f t="shared" si="15"/>
        <v>0</v>
      </c>
      <c r="AK56" s="1">
        <f t="shared" si="15"/>
        <v>0</v>
      </c>
    </row>
    <row r="57" spans="1:37" ht="14.1" customHeight="1" x14ac:dyDescent="0.2">
      <c r="A57" s="12">
        <v>1</v>
      </c>
      <c r="B57" s="64"/>
      <c r="C57" s="101" t="str">
        <f>ANUAL!$C141</f>
        <v>M01</v>
      </c>
      <c r="D57" s="303" t="str">
        <f>ANUAL!$D141</f>
        <v>MORADIA – CONDOMÍNIO</v>
      </c>
      <c r="E57" s="303"/>
      <c r="F57" s="303"/>
      <c r="G57" s="102">
        <f t="shared" ref="G57:G88" si="16">SUMIF(U$9:U$88,C57,T$9:T$88)</f>
        <v>0</v>
      </c>
      <c r="H57" s="61"/>
      <c r="N57" s="12">
        <v>49</v>
      </c>
      <c r="O57" s="65"/>
      <c r="P57" s="49"/>
      <c r="Q57" s="50"/>
      <c r="R57" s="51"/>
      <c r="S57" s="52"/>
      <c r="T57" s="53"/>
      <c r="U57" s="54"/>
      <c r="V57" s="62"/>
      <c r="X57" s="1">
        <f t="shared" ca="1" si="14"/>
        <v>1</v>
      </c>
      <c r="Z57" s="1">
        <f t="shared" si="15"/>
        <v>0</v>
      </c>
      <c r="AA57" s="1">
        <f t="shared" si="15"/>
        <v>0</v>
      </c>
      <c r="AB57" s="1">
        <f t="shared" si="15"/>
        <v>0</v>
      </c>
      <c r="AC57" s="1">
        <f t="shared" si="15"/>
        <v>0</v>
      </c>
      <c r="AD57" s="1">
        <f t="shared" si="15"/>
        <v>0</v>
      </c>
      <c r="AE57" s="1">
        <f t="shared" si="15"/>
        <v>0</v>
      </c>
      <c r="AF57" s="1">
        <f t="shared" si="15"/>
        <v>0</v>
      </c>
      <c r="AG57" s="1">
        <f t="shared" si="15"/>
        <v>0</v>
      </c>
      <c r="AH57" s="1">
        <f t="shared" si="15"/>
        <v>0</v>
      </c>
      <c r="AI57" s="1">
        <f t="shared" si="15"/>
        <v>0</v>
      </c>
      <c r="AJ57" s="1">
        <f t="shared" si="15"/>
        <v>0</v>
      </c>
      <c r="AK57" s="1">
        <f t="shared" si="15"/>
        <v>0</v>
      </c>
    </row>
    <row r="58" spans="1:37" ht="14.1" customHeight="1" x14ac:dyDescent="0.2">
      <c r="A58" s="16">
        <v>2</v>
      </c>
      <c r="B58" s="65"/>
      <c r="C58" s="103" t="str">
        <f>ANUAL!$C142</f>
        <v>M02</v>
      </c>
      <c r="D58" s="302" t="str">
        <f>ANUAL!$D142</f>
        <v>MORADIA – IPTU</v>
      </c>
      <c r="E58" s="302"/>
      <c r="F58" s="302"/>
      <c r="G58" s="104">
        <f t="shared" si="16"/>
        <v>0</v>
      </c>
      <c r="H58" s="62"/>
      <c r="N58" s="16">
        <v>50</v>
      </c>
      <c r="O58" s="65"/>
      <c r="P58" s="55"/>
      <c r="Q58" s="56"/>
      <c r="R58" s="57"/>
      <c r="S58" s="58"/>
      <c r="T58" s="59"/>
      <c r="U58" s="60"/>
      <c r="V58" s="62"/>
      <c r="X58" s="1">
        <f t="shared" ca="1" si="14"/>
        <v>1</v>
      </c>
      <c r="Z58" s="1">
        <f t="shared" si="15"/>
        <v>0</v>
      </c>
      <c r="AA58" s="1">
        <f t="shared" si="15"/>
        <v>0</v>
      </c>
      <c r="AB58" s="1">
        <f t="shared" si="15"/>
        <v>0</v>
      </c>
      <c r="AC58" s="1">
        <f t="shared" si="15"/>
        <v>0</v>
      </c>
      <c r="AD58" s="1">
        <f t="shared" si="15"/>
        <v>0</v>
      </c>
      <c r="AE58" s="1">
        <f t="shared" si="15"/>
        <v>0</v>
      </c>
      <c r="AF58" s="1">
        <f t="shared" si="15"/>
        <v>0</v>
      </c>
      <c r="AG58" s="1">
        <f t="shared" si="15"/>
        <v>0</v>
      </c>
      <c r="AH58" s="1">
        <f t="shared" si="15"/>
        <v>0</v>
      </c>
      <c r="AI58" s="1">
        <f t="shared" si="15"/>
        <v>0</v>
      </c>
      <c r="AJ58" s="1">
        <f t="shared" si="15"/>
        <v>0</v>
      </c>
      <c r="AK58" s="1">
        <f t="shared" si="15"/>
        <v>0</v>
      </c>
    </row>
    <row r="59" spans="1:37" ht="14.1" customHeight="1" x14ac:dyDescent="0.2">
      <c r="A59" s="12">
        <v>3</v>
      </c>
      <c r="B59" s="65"/>
      <c r="C59" s="101" t="str">
        <f>ANUAL!$C143</f>
        <v>M03</v>
      </c>
      <c r="D59" s="303" t="str">
        <f>ANUAL!$D143</f>
        <v>MORADIA – ALUGUEL</v>
      </c>
      <c r="E59" s="303"/>
      <c r="F59" s="303"/>
      <c r="G59" s="102">
        <f t="shared" si="16"/>
        <v>0</v>
      </c>
      <c r="H59" s="62"/>
      <c r="N59" s="12">
        <v>51</v>
      </c>
      <c r="O59" s="65"/>
      <c r="P59" s="49"/>
      <c r="Q59" s="50"/>
      <c r="R59" s="51"/>
      <c r="S59" s="52"/>
      <c r="T59" s="53"/>
      <c r="U59" s="54"/>
      <c r="V59" s="62"/>
      <c r="X59" s="1">
        <f t="shared" ca="1" si="14"/>
        <v>1</v>
      </c>
      <c r="Z59" s="1">
        <f t="shared" ref="Z59:AK68" si="17">IF(Z$8=$R59,-$T59,0)+IF(Z$8=$S59,$T59,0)</f>
        <v>0</v>
      </c>
      <c r="AA59" s="1">
        <f t="shared" si="17"/>
        <v>0</v>
      </c>
      <c r="AB59" s="1">
        <f t="shared" si="17"/>
        <v>0</v>
      </c>
      <c r="AC59" s="1">
        <f t="shared" si="17"/>
        <v>0</v>
      </c>
      <c r="AD59" s="1">
        <f t="shared" si="17"/>
        <v>0</v>
      </c>
      <c r="AE59" s="1">
        <f t="shared" si="17"/>
        <v>0</v>
      </c>
      <c r="AF59" s="1">
        <f t="shared" si="17"/>
        <v>0</v>
      </c>
      <c r="AG59" s="1">
        <f t="shared" si="17"/>
        <v>0</v>
      </c>
      <c r="AH59" s="1">
        <f t="shared" si="17"/>
        <v>0</v>
      </c>
      <c r="AI59" s="1">
        <f t="shared" si="17"/>
        <v>0</v>
      </c>
      <c r="AJ59" s="1">
        <f t="shared" si="17"/>
        <v>0</v>
      </c>
      <c r="AK59" s="1">
        <f t="shared" si="17"/>
        <v>0</v>
      </c>
    </row>
    <row r="60" spans="1:37" ht="14.1" customHeight="1" x14ac:dyDescent="0.2">
      <c r="A60" s="16">
        <v>4</v>
      </c>
      <c r="B60" s="65"/>
      <c r="C60" s="103" t="str">
        <f>ANUAL!$C144</f>
        <v>M04</v>
      </c>
      <c r="D60" s="302" t="str">
        <f>ANUAL!$D144</f>
        <v>MORADIA – REFORMA</v>
      </c>
      <c r="E60" s="302"/>
      <c r="F60" s="302"/>
      <c r="G60" s="104">
        <f t="shared" si="16"/>
        <v>0</v>
      </c>
      <c r="H60" s="62"/>
      <c r="N60" s="16">
        <v>52</v>
      </c>
      <c r="O60" s="65"/>
      <c r="P60" s="55"/>
      <c r="Q60" s="56"/>
      <c r="R60" s="57"/>
      <c r="S60" s="58"/>
      <c r="T60" s="59"/>
      <c r="U60" s="60"/>
      <c r="V60" s="62"/>
      <c r="X60" s="1">
        <f t="shared" ca="1" si="14"/>
        <v>1</v>
      </c>
      <c r="Z60" s="1">
        <f t="shared" si="17"/>
        <v>0</v>
      </c>
      <c r="AA60" s="1">
        <f t="shared" si="17"/>
        <v>0</v>
      </c>
      <c r="AB60" s="1">
        <f t="shared" si="17"/>
        <v>0</v>
      </c>
      <c r="AC60" s="1">
        <f t="shared" si="17"/>
        <v>0</v>
      </c>
      <c r="AD60" s="1">
        <f t="shared" si="17"/>
        <v>0</v>
      </c>
      <c r="AE60" s="1">
        <f t="shared" si="17"/>
        <v>0</v>
      </c>
      <c r="AF60" s="1">
        <f t="shared" si="17"/>
        <v>0</v>
      </c>
      <c r="AG60" s="1">
        <f t="shared" si="17"/>
        <v>0</v>
      </c>
      <c r="AH60" s="1">
        <f t="shared" si="17"/>
        <v>0</v>
      </c>
      <c r="AI60" s="1">
        <f t="shared" si="17"/>
        <v>0</v>
      </c>
      <c r="AJ60" s="1">
        <f t="shared" si="17"/>
        <v>0</v>
      </c>
      <c r="AK60" s="1">
        <f t="shared" si="17"/>
        <v>0</v>
      </c>
    </row>
    <row r="61" spans="1:37" ht="14.1" customHeight="1" x14ac:dyDescent="0.2">
      <c r="A61" s="12">
        <v>5</v>
      </c>
      <c r="B61" s="65"/>
      <c r="C61" s="101" t="str">
        <f>ANUAL!$C145</f>
        <v>U01</v>
      </c>
      <c r="D61" s="303" t="str">
        <f>ANUAL!$D145</f>
        <v>UTILITIES – ENERGIA ELÉTRICA</v>
      </c>
      <c r="E61" s="303"/>
      <c r="F61" s="303"/>
      <c r="G61" s="102">
        <f t="shared" si="16"/>
        <v>0</v>
      </c>
      <c r="H61" s="62"/>
      <c r="N61" s="12">
        <v>53</v>
      </c>
      <c r="O61" s="65"/>
      <c r="P61" s="49"/>
      <c r="Q61" s="50"/>
      <c r="R61" s="51"/>
      <c r="S61" s="52"/>
      <c r="T61" s="53"/>
      <c r="U61" s="54"/>
      <c r="V61" s="62"/>
      <c r="X61" s="1">
        <f t="shared" ca="1" si="14"/>
        <v>1</v>
      </c>
      <c r="Z61" s="1">
        <f t="shared" si="17"/>
        <v>0</v>
      </c>
      <c r="AA61" s="1">
        <f t="shared" si="17"/>
        <v>0</v>
      </c>
      <c r="AB61" s="1">
        <f t="shared" si="17"/>
        <v>0</v>
      </c>
      <c r="AC61" s="1">
        <f t="shared" si="17"/>
        <v>0</v>
      </c>
      <c r="AD61" s="1">
        <f t="shared" si="17"/>
        <v>0</v>
      </c>
      <c r="AE61" s="1">
        <f t="shared" si="17"/>
        <v>0</v>
      </c>
      <c r="AF61" s="1">
        <f t="shared" si="17"/>
        <v>0</v>
      </c>
      <c r="AG61" s="1">
        <f t="shared" si="17"/>
        <v>0</v>
      </c>
      <c r="AH61" s="1">
        <f t="shared" si="17"/>
        <v>0</v>
      </c>
      <c r="AI61" s="1">
        <f t="shared" si="17"/>
        <v>0</v>
      </c>
      <c r="AJ61" s="1">
        <f t="shared" si="17"/>
        <v>0</v>
      </c>
      <c r="AK61" s="1">
        <f t="shared" si="17"/>
        <v>0</v>
      </c>
    </row>
    <row r="62" spans="1:37" ht="14.1" customHeight="1" x14ac:dyDescent="0.2">
      <c r="A62" s="16">
        <v>6</v>
      </c>
      <c r="B62" s="65"/>
      <c r="C62" s="103" t="str">
        <f>ANUAL!$C146</f>
        <v>U02</v>
      </c>
      <c r="D62" s="302" t="str">
        <f>ANUAL!$D146</f>
        <v>UTILITIES – ÁGUA POTÁVEL</v>
      </c>
      <c r="E62" s="302"/>
      <c r="F62" s="302"/>
      <c r="G62" s="104">
        <f t="shared" si="16"/>
        <v>0</v>
      </c>
      <c r="H62" s="62"/>
      <c r="N62" s="16">
        <v>54</v>
      </c>
      <c r="O62" s="65"/>
      <c r="P62" s="55"/>
      <c r="Q62" s="56"/>
      <c r="R62" s="57"/>
      <c r="S62" s="58"/>
      <c r="T62" s="59"/>
      <c r="U62" s="60"/>
      <c r="V62" s="62"/>
      <c r="X62" s="1">
        <f t="shared" ca="1" si="14"/>
        <v>1</v>
      </c>
      <c r="Z62" s="1">
        <f t="shared" si="17"/>
        <v>0</v>
      </c>
      <c r="AA62" s="1">
        <f t="shared" si="17"/>
        <v>0</v>
      </c>
      <c r="AB62" s="1">
        <f t="shared" si="17"/>
        <v>0</v>
      </c>
      <c r="AC62" s="1">
        <f t="shared" si="17"/>
        <v>0</v>
      </c>
      <c r="AD62" s="1">
        <f t="shared" si="17"/>
        <v>0</v>
      </c>
      <c r="AE62" s="1">
        <f t="shared" si="17"/>
        <v>0</v>
      </c>
      <c r="AF62" s="1">
        <f t="shared" si="17"/>
        <v>0</v>
      </c>
      <c r="AG62" s="1">
        <f t="shared" si="17"/>
        <v>0</v>
      </c>
      <c r="AH62" s="1">
        <f t="shared" si="17"/>
        <v>0</v>
      </c>
      <c r="AI62" s="1">
        <f t="shared" si="17"/>
        <v>0</v>
      </c>
      <c r="AJ62" s="1">
        <f t="shared" si="17"/>
        <v>0</v>
      </c>
      <c r="AK62" s="1">
        <f t="shared" si="17"/>
        <v>0</v>
      </c>
    </row>
    <row r="63" spans="1:37" ht="14.1" customHeight="1" x14ac:dyDescent="0.2">
      <c r="A63" s="12">
        <v>7</v>
      </c>
      <c r="B63" s="65"/>
      <c r="C63" s="101" t="str">
        <f>ANUAL!$C147</f>
        <v>U03</v>
      </c>
      <c r="D63" s="303" t="str">
        <f>ANUAL!$D147</f>
        <v>UTILITIES – DIVERSOS (ÁGUA, GÁS, SERV. GERAIS)</v>
      </c>
      <c r="E63" s="303"/>
      <c r="F63" s="303"/>
      <c r="G63" s="102">
        <f t="shared" si="16"/>
        <v>0</v>
      </c>
      <c r="H63" s="62"/>
      <c r="N63" s="12">
        <v>55</v>
      </c>
      <c r="O63" s="65"/>
      <c r="P63" s="49"/>
      <c r="Q63" s="50"/>
      <c r="R63" s="51"/>
      <c r="S63" s="52"/>
      <c r="T63" s="53"/>
      <c r="U63" s="54"/>
      <c r="V63" s="62"/>
      <c r="X63" s="1">
        <f t="shared" ca="1" si="14"/>
        <v>1</v>
      </c>
      <c r="Y63" s="30"/>
      <c r="Z63" s="1">
        <f t="shared" si="17"/>
        <v>0</v>
      </c>
      <c r="AA63" s="1">
        <f t="shared" si="17"/>
        <v>0</v>
      </c>
      <c r="AB63" s="1">
        <f t="shared" si="17"/>
        <v>0</v>
      </c>
      <c r="AC63" s="1">
        <f t="shared" si="17"/>
        <v>0</v>
      </c>
      <c r="AD63" s="1">
        <f t="shared" si="17"/>
        <v>0</v>
      </c>
      <c r="AE63" s="1">
        <f t="shared" si="17"/>
        <v>0</v>
      </c>
      <c r="AF63" s="1">
        <f t="shared" si="17"/>
        <v>0</v>
      </c>
      <c r="AG63" s="1">
        <f t="shared" si="17"/>
        <v>0</v>
      </c>
      <c r="AH63" s="1">
        <f t="shared" si="17"/>
        <v>0</v>
      </c>
      <c r="AI63" s="1">
        <f t="shared" si="17"/>
        <v>0</v>
      </c>
      <c r="AJ63" s="1">
        <f t="shared" si="17"/>
        <v>0</v>
      </c>
      <c r="AK63" s="1">
        <f t="shared" si="17"/>
        <v>0</v>
      </c>
    </row>
    <row r="64" spans="1:37" ht="14.1" customHeight="1" x14ac:dyDescent="0.2">
      <c r="A64" s="16">
        <v>8</v>
      </c>
      <c r="B64" s="65"/>
      <c r="C64" s="103" t="str">
        <f>ANUAL!$C148</f>
        <v>S01</v>
      </c>
      <c r="D64" s="302" t="str">
        <f>ANUAL!$D148</f>
        <v>SAÚDE – PLANO DE SAÚDE</v>
      </c>
      <c r="E64" s="302"/>
      <c r="F64" s="302"/>
      <c r="G64" s="104">
        <f t="shared" si="16"/>
        <v>0</v>
      </c>
      <c r="H64" s="62"/>
      <c r="N64" s="16">
        <v>56</v>
      </c>
      <c r="O64" s="65"/>
      <c r="P64" s="55"/>
      <c r="Q64" s="56"/>
      <c r="R64" s="57"/>
      <c r="S64" s="58"/>
      <c r="T64" s="59"/>
      <c r="U64" s="60"/>
      <c r="V64" s="62"/>
      <c r="X64" s="1">
        <f t="shared" ca="1" si="14"/>
        <v>1</v>
      </c>
      <c r="Z64" s="1">
        <f t="shared" si="17"/>
        <v>0</v>
      </c>
      <c r="AA64" s="1">
        <f t="shared" si="17"/>
        <v>0</v>
      </c>
      <c r="AB64" s="1">
        <f t="shared" si="17"/>
        <v>0</v>
      </c>
      <c r="AC64" s="1">
        <f t="shared" si="17"/>
        <v>0</v>
      </c>
      <c r="AD64" s="1">
        <f t="shared" si="17"/>
        <v>0</v>
      </c>
      <c r="AE64" s="1">
        <f t="shared" si="17"/>
        <v>0</v>
      </c>
      <c r="AF64" s="1">
        <f t="shared" si="17"/>
        <v>0</v>
      </c>
      <c r="AG64" s="1">
        <f t="shared" si="17"/>
        <v>0</v>
      </c>
      <c r="AH64" s="1">
        <f t="shared" si="17"/>
        <v>0</v>
      </c>
      <c r="AI64" s="1">
        <f t="shared" si="17"/>
        <v>0</v>
      </c>
      <c r="AJ64" s="1">
        <f t="shared" si="17"/>
        <v>0</v>
      </c>
      <c r="AK64" s="1">
        <f t="shared" si="17"/>
        <v>0</v>
      </c>
    </row>
    <row r="65" spans="1:37" ht="14.1" customHeight="1" x14ac:dyDescent="0.2">
      <c r="A65" s="12">
        <v>9</v>
      </c>
      <c r="B65" s="65"/>
      <c r="C65" s="101" t="str">
        <f>ANUAL!$C149</f>
        <v>S02</v>
      </c>
      <c r="D65" s="303" t="str">
        <f>ANUAL!$D149</f>
        <v>SAÚDE – REMÉDIOS</v>
      </c>
      <c r="E65" s="303"/>
      <c r="F65" s="303"/>
      <c r="G65" s="102">
        <f t="shared" si="16"/>
        <v>0</v>
      </c>
      <c r="H65" s="62"/>
      <c r="N65" s="12">
        <v>57</v>
      </c>
      <c r="O65" s="65"/>
      <c r="P65" s="49"/>
      <c r="Q65" s="50"/>
      <c r="R65" s="51"/>
      <c r="S65" s="52"/>
      <c r="T65" s="53"/>
      <c r="U65" s="54"/>
      <c r="V65" s="62"/>
      <c r="X65" s="1">
        <f t="shared" ca="1" si="14"/>
        <v>1</v>
      </c>
      <c r="Z65" s="1">
        <f t="shared" si="17"/>
        <v>0</v>
      </c>
      <c r="AA65" s="1">
        <f t="shared" si="17"/>
        <v>0</v>
      </c>
      <c r="AB65" s="1">
        <f t="shared" si="17"/>
        <v>0</v>
      </c>
      <c r="AC65" s="1">
        <f t="shared" si="17"/>
        <v>0</v>
      </c>
      <c r="AD65" s="1">
        <f t="shared" si="17"/>
        <v>0</v>
      </c>
      <c r="AE65" s="1">
        <f t="shared" si="17"/>
        <v>0</v>
      </c>
      <c r="AF65" s="1">
        <f t="shared" si="17"/>
        <v>0</v>
      </c>
      <c r="AG65" s="1">
        <f t="shared" si="17"/>
        <v>0</v>
      </c>
      <c r="AH65" s="1">
        <f t="shared" si="17"/>
        <v>0</v>
      </c>
      <c r="AI65" s="1">
        <f t="shared" si="17"/>
        <v>0</v>
      </c>
      <c r="AJ65" s="1">
        <f t="shared" si="17"/>
        <v>0</v>
      </c>
      <c r="AK65" s="1">
        <f t="shared" si="17"/>
        <v>0</v>
      </c>
    </row>
    <row r="66" spans="1:37" ht="14.1" customHeight="1" x14ac:dyDescent="0.2">
      <c r="A66" s="16">
        <v>10</v>
      </c>
      <c r="B66" s="65"/>
      <c r="C66" s="103" t="str">
        <f>ANUAL!$C150</f>
        <v>S03</v>
      </c>
      <c r="D66" s="302" t="str">
        <f>ANUAL!$D150</f>
        <v>SAÚDE – ACADEMIA</v>
      </c>
      <c r="E66" s="302"/>
      <c r="F66" s="302"/>
      <c r="G66" s="104">
        <f t="shared" si="16"/>
        <v>0</v>
      </c>
      <c r="H66" s="62"/>
      <c r="N66" s="16">
        <v>58</v>
      </c>
      <c r="O66" s="65"/>
      <c r="P66" s="55"/>
      <c r="Q66" s="56"/>
      <c r="R66" s="57"/>
      <c r="S66" s="58"/>
      <c r="T66" s="59"/>
      <c r="U66" s="60"/>
      <c r="V66" s="62"/>
      <c r="X66" s="1">
        <f t="shared" ca="1" si="14"/>
        <v>1</v>
      </c>
      <c r="Z66" s="1">
        <f t="shared" si="17"/>
        <v>0</v>
      </c>
      <c r="AA66" s="1">
        <f t="shared" si="17"/>
        <v>0</v>
      </c>
      <c r="AB66" s="1">
        <f t="shared" si="17"/>
        <v>0</v>
      </c>
      <c r="AC66" s="1">
        <f t="shared" si="17"/>
        <v>0</v>
      </c>
      <c r="AD66" s="1">
        <f t="shared" si="17"/>
        <v>0</v>
      </c>
      <c r="AE66" s="1">
        <f t="shared" si="17"/>
        <v>0</v>
      </c>
      <c r="AF66" s="1">
        <f t="shared" si="17"/>
        <v>0</v>
      </c>
      <c r="AG66" s="1">
        <f t="shared" si="17"/>
        <v>0</v>
      </c>
      <c r="AH66" s="1">
        <f t="shared" si="17"/>
        <v>0</v>
      </c>
      <c r="AI66" s="1">
        <f t="shared" si="17"/>
        <v>0</v>
      </c>
      <c r="AJ66" s="1">
        <f t="shared" si="17"/>
        <v>0</v>
      </c>
      <c r="AK66" s="1">
        <f t="shared" si="17"/>
        <v>0</v>
      </c>
    </row>
    <row r="67" spans="1:37" ht="14.1" customHeight="1" x14ac:dyDescent="0.2">
      <c r="A67" s="12">
        <v>11</v>
      </c>
      <c r="B67" s="65"/>
      <c r="C67" s="101" t="str">
        <f>ANUAL!$C151</f>
        <v>C01</v>
      </c>
      <c r="D67" s="303" t="str">
        <f>ANUAL!$D151</f>
        <v>COMPRAS</v>
      </c>
      <c r="E67" s="303"/>
      <c r="F67" s="303"/>
      <c r="G67" s="102">
        <f t="shared" si="16"/>
        <v>0</v>
      </c>
      <c r="H67" s="62"/>
      <c r="N67" s="12">
        <v>59</v>
      </c>
      <c r="O67" s="65"/>
      <c r="P67" s="49"/>
      <c r="Q67" s="50"/>
      <c r="R67" s="51"/>
      <c r="S67" s="52"/>
      <c r="T67" s="53"/>
      <c r="U67" s="54"/>
      <c r="V67" s="62"/>
      <c r="X67" s="1">
        <f t="shared" ca="1" si="14"/>
        <v>1</v>
      </c>
      <c r="Z67" s="1">
        <f t="shared" si="17"/>
        <v>0</v>
      </c>
      <c r="AA67" s="1">
        <f t="shared" si="17"/>
        <v>0</v>
      </c>
      <c r="AB67" s="1">
        <f t="shared" si="17"/>
        <v>0</v>
      </c>
      <c r="AC67" s="1">
        <f t="shared" si="17"/>
        <v>0</v>
      </c>
      <c r="AD67" s="1">
        <f t="shared" si="17"/>
        <v>0</v>
      </c>
      <c r="AE67" s="1">
        <f t="shared" si="17"/>
        <v>0</v>
      </c>
      <c r="AF67" s="1">
        <f t="shared" si="17"/>
        <v>0</v>
      </c>
      <c r="AG67" s="1">
        <f t="shared" si="17"/>
        <v>0</v>
      </c>
      <c r="AH67" s="1">
        <f t="shared" si="17"/>
        <v>0</v>
      </c>
      <c r="AI67" s="1">
        <f t="shared" si="17"/>
        <v>0</v>
      </c>
      <c r="AJ67" s="1">
        <f t="shared" si="17"/>
        <v>0</v>
      </c>
      <c r="AK67" s="1">
        <f t="shared" si="17"/>
        <v>0</v>
      </c>
    </row>
    <row r="68" spans="1:37" ht="14.1" customHeight="1" x14ac:dyDescent="0.2">
      <c r="A68" s="16">
        <v>12</v>
      </c>
      <c r="B68" s="65"/>
      <c r="C68" s="103" t="str">
        <f>ANUAL!$C152</f>
        <v>L01</v>
      </c>
      <c r="D68" s="302" t="str">
        <f>ANUAL!$D152</f>
        <v>LAZER</v>
      </c>
      <c r="E68" s="302"/>
      <c r="F68" s="302"/>
      <c r="G68" s="104">
        <f t="shared" si="16"/>
        <v>0</v>
      </c>
      <c r="H68" s="62"/>
      <c r="N68" s="16">
        <v>60</v>
      </c>
      <c r="O68" s="65"/>
      <c r="P68" s="55"/>
      <c r="Q68" s="56"/>
      <c r="R68" s="57"/>
      <c r="S68" s="58"/>
      <c r="T68" s="59"/>
      <c r="U68" s="60"/>
      <c r="V68" s="62"/>
      <c r="X68" s="1">
        <f t="shared" ca="1" si="14"/>
        <v>1</v>
      </c>
      <c r="Z68" s="1">
        <f t="shared" si="17"/>
        <v>0</v>
      </c>
      <c r="AA68" s="1">
        <f t="shared" si="17"/>
        <v>0</v>
      </c>
      <c r="AB68" s="1">
        <f t="shared" si="17"/>
        <v>0</v>
      </c>
      <c r="AC68" s="1">
        <f t="shared" si="17"/>
        <v>0</v>
      </c>
      <c r="AD68" s="1">
        <f t="shared" si="17"/>
        <v>0</v>
      </c>
      <c r="AE68" s="1">
        <f t="shared" si="17"/>
        <v>0</v>
      </c>
      <c r="AF68" s="1">
        <f t="shared" si="17"/>
        <v>0</v>
      </c>
      <c r="AG68" s="1">
        <f t="shared" si="17"/>
        <v>0</v>
      </c>
      <c r="AH68" s="1">
        <f t="shared" si="17"/>
        <v>0</v>
      </c>
      <c r="AI68" s="1">
        <f t="shared" si="17"/>
        <v>0</v>
      </c>
      <c r="AJ68" s="1">
        <f t="shared" si="17"/>
        <v>0</v>
      </c>
      <c r="AK68" s="1">
        <f t="shared" si="17"/>
        <v>0</v>
      </c>
    </row>
    <row r="69" spans="1:37" ht="14.1" customHeight="1" x14ac:dyDescent="0.2">
      <c r="A69" s="12">
        <v>13</v>
      </c>
      <c r="B69" s="65"/>
      <c r="C69" s="101" t="str">
        <f>ANUAL!$C153</f>
        <v>A01</v>
      </c>
      <c r="D69" s="303" t="str">
        <f>ANUAL!$D153</f>
        <v>ALIMENTAÇÃO – ALMOÇO</v>
      </c>
      <c r="E69" s="303"/>
      <c r="F69" s="303"/>
      <c r="G69" s="102">
        <f t="shared" si="16"/>
        <v>0</v>
      </c>
      <c r="H69" s="62"/>
      <c r="N69" s="12">
        <v>61</v>
      </c>
      <c r="O69" s="65"/>
      <c r="P69" s="49"/>
      <c r="Q69" s="50"/>
      <c r="R69" s="51"/>
      <c r="S69" s="52"/>
      <c r="T69" s="53"/>
      <c r="U69" s="54"/>
      <c r="V69" s="62"/>
      <c r="X69" s="1">
        <f t="shared" ca="1" si="14"/>
        <v>1</v>
      </c>
      <c r="Z69" s="1">
        <f t="shared" ref="Z69:AK78" si="18">IF(Z$8=$R69,-$T69,0)+IF(Z$8=$S69,$T69,0)</f>
        <v>0</v>
      </c>
      <c r="AA69" s="1">
        <f t="shared" si="18"/>
        <v>0</v>
      </c>
      <c r="AB69" s="1">
        <f t="shared" si="18"/>
        <v>0</v>
      </c>
      <c r="AC69" s="1">
        <f t="shared" si="18"/>
        <v>0</v>
      </c>
      <c r="AD69" s="1">
        <f t="shared" si="18"/>
        <v>0</v>
      </c>
      <c r="AE69" s="1">
        <f t="shared" si="18"/>
        <v>0</v>
      </c>
      <c r="AF69" s="1">
        <f t="shared" si="18"/>
        <v>0</v>
      </c>
      <c r="AG69" s="1">
        <f t="shared" si="18"/>
        <v>0</v>
      </c>
      <c r="AH69" s="1">
        <f t="shared" si="18"/>
        <v>0</v>
      </c>
      <c r="AI69" s="1">
        <f t="shared" si="18"/>
        <v>0</v>
      </c>
      <c r="AJ69" s="1">
        <f t="shared" si="18"/>
        <v>0</v>
      </c>
      <c r="AK69" s="1">
        <f t="shared" si="18"/>
        <v>0</v>
      </c>
    </row>
    <row r="70" spans="1:37" ht="14.1" customHeight="1" x14ac:dyDescent="0.2">
      <c r="A70" s="16">
        <v>14</v>
      </c>
      <c r="B70" s="65"/>
      <c r="C70" s="103" t="str">
        <f>ANUAL!$C154</f>
        <v>A02</v>
      </c>
      <c r="D70" s="302" t="str">
        <f>ANUAL!$D154</f>
        <v>ALIMENTAÇÃO – COMPRA MENSAL</v>
      </c>
      <c r="E70" s="302"/>
      <c r="F70" s="302"/>
      <c r="G70" s="104">
        <f t="shared" si="16"/>
        <v>0</v>
      </c>
      <c r="H70" s="62"/>
      <c r="N70" s="16">
        <v>62</v>
      </c>
      <c r="O70" s="65"/>
      <c r="P70" s="55"/>
      <c r="Q70" s="56"/>
      <c r="R70" s="57"/>
      <c r="S70" s="58"/>
      <c r="T70" s="59"/>
      <c r="U70" s="60"/>
      <c r="V70" s="62"/>
      <c r="X70" s="1">
        <f t="shared" ca="1" si="14"/>
        <v>1</v>
      </c>
      <c r="Z70" s="1">
        <f t="shared" si="18"/>
        <v>0</v>
      </c>
      <c r="AA70" s="1">
        <f t="shared" si="18"/>
        <v>0</v>
      </c>
      <c r="AB70" s="1">
        <f t="shared" si="18"/>
        <v>0</v>
      </c>
      <c r="AC70" s="1">
        <f t="shared" si="18"/>
        <v>0</v>
      </c>
      <c r="AD70" s="1">
        <f t="shared" si="18"/>
        <v>0</v>
      </c>
      <c r="AE70" s="1">
        <f t="shared" si="18"/>
        <v>0</v>
      </c>
      <c r="AF70" s="1">
        <f t="shared" si="18"/>
        <v>0</v>
      </c>
      <c r="AG70" s="1">
        <f t="shared" si="18"/>
        <v>0</v>
      </c>
      <c r="AH70" s="1">
        <f t="shared" si="18"/>
        <v>0</v>
      </c>
      <c r="AI70" s="1">
        <f t="shared" si="18"/>
        <v>0</v>
      </c>
      <c r="AJ70" s="1">
        <f t="shared" si="18"/>
        <v>0</v>
      </c>
      <c r="AK70" s="1">
        <f t="shared" si="18"/>
        <v>0</v>
      </c>
    </row>
    <row r="71" spans="1:37" ht="14.1" customHeight="1" x14ac:dyDescent="0.2">
      <c r="A71" s="12">
        <v>15</v>
      </c>
      <c r="B71" s="65"/>
      <c r="C71" s="101" t="str">
        <f>ANUAL!$C155</f>
        <v>A03</v>
      </c>
      <c r="D71" s="303" t="str">
        <f>ANUAL!$D155</f>
        <v>ALIMENTAÇÃO – FEIRAS SEMANAIS</v>
      </c>
      <c r="E71" s="303"/>
      <c r="F71" s="303"/>
      <c r="G71" s="102">
        <f t="shared" si="16"/>
        <v>0</v>
      </c>
      <c r="H71" s="62"/>
      <c r="N71" s="12">
        <v>63</v>
      </c>
      <c r="O71" s="65"/>
      <c r="P71" s="49"/>
      <c r="Q71" s="50"/>
      <c r="R71" s="51"/>
      <c r="S71" s="52"/>
      <c r="T71" s="53"/>
      <c r="U71" s="54"/>
      <c r="V71" s="62"/>
      <c r="X71" s="1">
        <f t="shared" ca="1" si="14"/>
        <v>1</v>
      </c>
      <c r="Z71" s="1">
        <f t="shared" si="18"/>
        <v>0</v>
      </c>
      <c r="AA71" s="1">
        <f t="shared" si="18"/>
        <v>0</v>
      </c>
      <c r="AB71" s="1">
        <f t="shared" si="18"/>
        <v>0</v>
      </c>
      <c r="AC71" s="1">
        <f t="shared" si="18"/>
        <v>0</v>
      </c>
      <c r="AD71" s="1">
        <f t="shared" si="18"/>
        <v>0</v>
      </c>
      <c r="AE71" s="1">
        <f t="shared" si="18"/>
        <v>0</v>
      </c>
      <c r="AF71" s="1">
        <f t="shared" si="18"/>
        <v>0</v>
      </c>
      <c r="AG71" s="1">
        <f t="shared" si="18"/>
        <v>0</v>
      </c>
      <c r="AH71" s="1">
        <f t="shared" si="18"/>
        <v>0</v>
      </c>
      <c r="AI71" s="1">
        <f t="shared" si="18"/>
        <v>0</v>
      </c>
      <c r="AJ71" s="1">
        <f t="shared" si="18"/>
        <v>0</v>
      </c>
      <c r="AK71" s="1">
        <f t="shared" si="18"/>
        <v>0</v>
      </c>
    </row>
    <row r="72" spans="1:37" ht="14.1" customHeight="1" x14ac:dyDescent="0.2">
      <c r="A72" s="16">
        <v>16</v>
      </c>
      <c r="B72" s="65"/>
      <c r="C72" s="103" t="str">
        <f>ANUAL!$C156</f>
        <v>T01</v>
      </c>
      <c r="D72" s="302" t="str">
        <f>ANUAL!$D156</f>
        <v>TELECOM – CELULAR</v>
      </c>
      <c r="E72" s="302"/>
      <c r="F72" s="302"/>
      <c r="G72" s="104">
        <f t="shared" si="16"/>
        <v>0</v>
      </c>
      <c r="H72" s="62"/>
      <c r="N72" s="16">
        <v>64</v>
      </c>
      <c r="O72" s="65"/>
      <c r="P72" s="55"/>
      <c r="Q72" s="56"/>
      <c r="R72" s="57"/>
      <c r="S72" s="58"/>
      <c r="T72" s="59"/>
      <c r="U72" s="60"/>
      <c r="V72" s="62"/>
      <c r="X72" s="1">
        <f t="shared" ca="1" si="14"/>
        <v>1</v>
      </c>
      <c r="Z72" s="1">
        <f t="shared" si="18"/>
        <v>0</v>
      </c>
      <c r="AA72" s="1">
        <f t="shared" si="18"/>
        <v>0</v>
      </c>
      <c r="AB72" s="1">
        <f t="shared" si="18"/>
        <v>0</v>
      </c>
      <c r="AC72" s="1">
        <f t="shared" si="18"/>
        <v>0</v>
      </c>
      <c r="AD72" s="1">
        <f t="shared" si="18"/>
        <v>0</v>
      </c>
      <c r="AE72" s="1">
        <f t="shared" si="18"/>
        <v>0</v>
      </c>
      <c r="AF72" s="1">
        <f t="shared" si="18"/>
        <v>0</v>
      </c>
      <c r="AG72" s="1">
        <f t="shared" si="18"/>
        <v>0</v>
      </c>
      <c r="AH72" s="1">
        <f t="shared" si="18"/>
        <v>0</v>
      </c>
      <c r="AI72" s="1">
        <f t="shared" si="18"/>
        <v>0</v>
      </c>
      <c r="AJ72" s="1">
        <f t="shared" si="18"/>
        <v>0</v>
      </c>
      <c r="AK72" s="1">
        <f t="shared" si="18"/>
        <v>0</v>
      </c>
    </row>
    <row r="73" spans="1:37" ht="14.1" customHeight="1" x14ac:dyDescent="0.2">
      <c r="A73" s="12">
        <v>17</v>
      </c>
      <c r="B73" s="65"/>
      <c r="C73" s="101" t="str">
        <f>ANUAL!$C157</f>
        <v>T02</v>
      </c>
      <c r="D73" s="303" t="str">
        <f>ANUAL!$D157</f>
        <v>TELECOM – INTERNET</v>
      </c>
      <c r="E73" s="303"/>
      <c r="F73" s="303"/>
      <c r="G73" s="102">
        <f t="shared" si="16"/>
        <v>0</v>
      </c>
      <c r="H73" s="62"/>
      <c r="N73" s="12">
        <v>65</v>
      </c>
      <c r="O73" s="65"/>
      <c r="P73" s="49"/>
      <c r="Q73" s="50"/>
      <c r="R73" s="51"/>
      <c r="S73" s="52"/>
      <c r="T73" s="53"/>
      <c r="U73" s="54"/>
      <c r="V73" s="62"/>
      <c r="X73" s="1">
        <f t="shared" ref="X73:X88" ca="1" si="19">IF(P73&lt;NOW(),1,0)</f>
        <v>1</v>
      </c>
      <c r="Z73" s="1">
        <f t="shared" si="18"/>
        <v>0</v>
      </c>
      <c r="AA73" s="1">
        <f t="shared" si="18"/>
        <v>0</v>
      </c>
      <c r="AB73" s="1">
        <f t="shared" si="18"/>
        <v>0</v>
      </c>
      <c r="AC73" s="1">
        <f t="shared" si="18"/>
        <v>0</v>
      </c>
      <c r="AD73" s="1">
        <f t="shared" si="18"/>
        <v>0</v>
      </c>
      <c r="AE73" s="1">
        <f t="shared" si="18"/>
        <v>0</v>
      </c>
      <c r="AF73" s="1">
        <f t="shared" si="18"/>
        <v>0</v>
      </c>
      <c r="AG73" s="1">
        <f t="shared" si="18"/>
        <v>0</v>
      </c>
      <c r="AH73" s="1">
        <f t="shared" si="18"/>
        <v>0</v>
      </c>
      <c r="AI73" s="1">
        <f t="shared" si="18"/>
        <v>0</v>
      </c>
      <c r="AJ73" s="1">
        <f t="shared" si="18"/>
        <v>0</v>
      </c>
      <c r="AK73" s="1">
        <f t="shared" si="18"/>
        <v>0</v>
      </c>
    </row>
    <row r="74" spans="1:37" ht="14.1" customHeight="1" x14ac:dyDescent="0.2">
      <c r="A74" s="16">
        <v>18</v>
      </c>
      <c r="B74" s="65"/>
      <c r="C74" s="103" t="str">
        <f>ANUAL!$C158</f>
        <v>T03</v>
      </c>
      <c r="D74" s="302" t="str">
        <f>ANUAL!$D158</f>
        <v>TELECOM – FIXO</v>
      </c>
      <c r="E74" s="302"/>
      <c r="F74" s="302"/>
      <c r="G74" s="104">
        <f t="shared" si="16"/>
        <v>0</v>
      </c>
      <c r="H74" s="62"/>
      <c r="N74" s="16">
        <v>66</v>
      </c>
      <c r="O74" s="65"/>
      <c r="P74" s="55"/>
      <c r="Q74" s="56"/>
      <c r="R74" s="57"/>
      <c r="S74" s="58"/>
      <c r="T74" s="59"/>
      <c r="U74" s="60"/>
      <c r="V74" s="62"/>
      <c r="X74" s="1">
        <f t="shared" ca="1" si="19"/>
        <v>1</v>
      </c>
      <c r="Z74" s="1">
        <f t="shared" si="18"/>
        <v>0</v>
      </c>
      <c r="AA74" s="1">
        <f t="shared" si="18"/>
        <v>0</v>
      </c>
      <c r="AB74" s="1">
        <f t="shared" si="18"/>
        <v>0</v>
      </c>
      <c r="AC74" s="1">
        <f t="shared" si="18"/>
        <v>0</v>
      </c>
      <c r="AD74" s="1">
        <f t="shared" si="18"/>
        <v>0</v>
      </c>
      <c r="AE74" s="1">
        <f t="shared" si="18"/>
        <v>0</v>
      </c>
      <c r="AF74" s="1">
        <f t="shared" si="18"/>
        <v>0</v>
      </c>
      <c r="AG74" s="1">
        <f t="shared" si="18"/>
        <v>0</v>
      </c>
      <c r="AH74" s="1">
        <f t="shared" si="18"/>
        <v>0</v>
      </c>
      <c r="AI74" s="1">
        <f t="shared" si="18"/>
        <v>0</v>
      </c>
      <c r="AJ74" s="1">
        <f t="shared" si="18"/>
        <v>0</v>
      </c>
      <c r="AK74" s="1">
        <f t="shared" si="18"/>
        <v>0</v>
      </c>
    </row>
    <row r="75" spans="1:37" ht="14.1" customHeight="1" x14ac:dyDescent="0.2">
      <c r="A75" s="12">
        <v>19</v>
      </c>
      <c r="B75" s="65"/>
      <c r="C75" s="101" t="str">
        <f>ANUAL!$C159</f>
        <v>R01</v>
      </c>
      <c r="D75" s="303" t="str">
        <f>ANUAL!$D159</f>
        <v>CARRO – SEGURO</v>
      </c>
      <c r="E75" s="303"/>
      <c r="F75" s="303"/>
      <c r="G75" s="102">
        <f t="shared" si="16"/>
        <v>0</v>
      </c>
      <c r="H75" s="62"/>
      <c r="N75" s="12">
        <v>67</v>
      </c>
      <c r="O75" s="65"/>
      <c r="P75" s="49"/>
      <c r="Q75" s="50"/>
      <c r="R75" s="51"/>
      <c r="S75" s="52"/>
      <c r="T75" s="53"/>
      <c r="U75" s="54"/>
      <c r="V75" s="62"/>
      <c r="X75" s="1">
        <f t="shared" ca="1" si="19"/>
        <v>1</v>
      </c>
      <c r="Z75" s="1">
        <f t="shared" si="18"/>
        <v>0</v>
      </c>
      <c r="AA75" s="1">
        <f t="shared" si="18"/>
        <v>0</v>
      </c>
      <c r="AB75" s="1">
        <f t="shared" si="18"/>
        <v>0</v>
      </c>
      <c r="AC75" s="1">
        <f t="shared" si="18"/>
        <v>0</v>
      </c>
      <c r="AD75" s="1">
        <f t="shared" si="18"/>
        <v>0</v>
      </c>
      <c r="AE75" s="1">
        <f t="shared" si="18"/>
        <v>0</v>
      </c>
      <c r="AF75" s="1">
        <f t="shared" si="18"/>
        <v>0</v>
      </c>
      <c r="AG75" s="1">
        <f t="shared" si="18"/>
        <v>0</v>
      </c>
      <c r="AH75" s="1">
        <f t="shared" si="18"/>
        <v>0</v>
      </c>
      <c r="AI75" s="1">
        <f t="shared" si="18"/>
        <v>0</v>
      </c>
      <c r="AJ75" s="1">
        <f t="shared" si="18"/>
        <v>0</v>
      </c>
      <c r="AK75" s="1">
        <f t="shared" si="18"/>
        <v>0</v>
      </c>
    </row>
    <row r="76" spans="1:37" ht="14.1" customHeight="1" x14ac:dyDescent="0.2">
      <c r="A76" s="16">
        <v>20</v>
      </c>
      <c r="B76" s="65"/>
      <c r="C76" s="103" t="str">
        <f>ANUAL!$C160</f>
        <v>R02</v>
      </c>
      <c r="D76" s="302" t="str">
        <f>ANUAL!$D160</f>
        <v>CARRO – COMBUSTÍVEL</v>
      </c>
      <c r="E76" s="302"/>
      <c r="F76" s="302"/>
      <c r="G76" s="104">
        <f t="shared" si="16"/>
        <v>0</v>
      </c>
      <c r="H76" s="62"/>
      <c r="N76" s="16">
        <v>68</v>
      </c>
      <c r="O76" s="65"/>
      <c r="P76" s="55"/>
      <c r="Q76" s="56"/>
      <c r="R76" s="57"/>
      <c r="S76" s="58"/>
      <c r="T76" s="59"/>
      <c r="U76" s="60"/>
      <c r="V76" s="62"/>
      <c r="X76" s="1">
        <f t="shared" ca="1" si="19"/>
        <v>1</v>
      </c>
      <c r="Z76" s="1">
        <f t="shared" si="18"/>
        <v>0</v>
      </c>
      <c r="AA76" s="1">
        <f t="shared" si="18"/>
        <v>0</v>
      </c>
      <c r="AB76" s="1">
        <f t="shared" si="18"/>
        <v>0</v>
      </c>
      <c r="AC76" s="1">
        <f t="shared" si="18"/>
        <v>0</v>
      </c>
      <c r="AD76" s="1">
        <f t="shared" si="18"/>
        <v>0</v>
      </c>
      <c r="AE76" s="1">
        <f t="shared" si="18"/>
        <v>0</v>
      </c>
      <c r="AF76" s="1">
        <f t="shared" si="18"/>
        <v>0</v>
      </c>
      <c r="AG76" s="1">
        <f t="shared" si="18"/>
        <v>0</v>
      </c>
      <c r="AH76" s="1">
        <f t="shared" si="18"/>
        <v>0</v>
      </c>
      <c r="AI76" s="1">
        <f t="shared" si="18"/>
        <v>0</v>
      </c>
      <c r="AJ76" s="1">
        <f t="shared" si="18"/>
        <v>0</v>
      </c>
      <c r="AK76" s="1">
        <f t="shared" si="18"/>
        <v>0</v>
      </c>
    </row>
    <row r="77" spans="1:37" ht="14.1" customHeight="1" x14ac:dyDescent="0.2">
      <c r="A77" s="12">
        <v>21</v>
      </c>
      <c r="B77" s="65"/>
      <c r="C77" s="101" t="str">
        <f>ANUAL!$C161</f>
        <v>R03</v>
      </c>
      <c r="D77" s="303" t="str">
        <f>ANUAL!$D161</f>
        <v>CARRO – CONSERTOS</v>
      </c>
      <c r="E77" s="303"/>
      <c r="F77" s="303"/>
      <c r="G77" s="102">
        <f t="shared" si="16"/>
        <v>0</v>
      </c>
      <c r="H77" s="62"/>
      <c r="N77" s="12">
        <v>69</v>
      </c>
      <c r="O77" s="65"/>
      <c r="P77" s="49"/>
      <c r="Q77" s="50"/>
      <c r="R77" s="51"/>
      <c r="S77" s="52"/>
      <c r="T77" s="53"/>
      <c r="U77" s="54"/>
      <c r="V77" s="62"/>
      <c r="X77" s="1">
        <f t="shared" ca="1" si="19"/>
        <v>1</v>
      </c>
      <c r="Z77" s="1">
        <f t="shared" si="18"/>
        <v>0</v>
      </c>
      <c r="AA77" s="1">
        <f t="shared" si="18"/>
        <v>0</v>
      </c>
      <c r="AB77" s="1">
        <f t="shared" si="18"/>
        <v>0</v>
      </c>
      <c r="AC77" s="1">
        <f t="shared" si="18"/>
        <v>0</v>
      </c>
      <c r="AD77" s="1">
        <f t="shared" si="18"/>
        <v>0</v>
      </c>
      <c r="AE77" s="1">
        <f t="shared" si="18"/>
        <v>0</v>
      </c>
      <c r="AF77" s="1">
        <f t="shared" si="18"/>
        <v>0</v>
      </c>
      <c r="AG77" s="1">
        <f t="shared" si="18"/>
        <v>0</v>
      </c>
      <c r="AH77" s="1">
        <f t="shared" si="18"/>
        <v>0</v>
      </c>
      <c r="AI77" s="1">
        <f t="shared" si="18"/>
        <v>0</v>
      </c>
      <c r="AJ77" s="1">
        <f t="shared" si="18"/>
        <v>0</v>
      </c>
      <c r="AK77" s="1">
        <f t="shared" si="18"/>
        <v>0</v>
      </c>
    </row>
    <row r="78" spans="1:37" ht="14.1" customHeight="1" x14ac:dyDescent="0.2">
      <c r="A78" s="16">
        <v>22</v>
      </c>
      <c r="B78" s="65"/>
      <c r="C78" s="103" t="str">
        <f>ANUAL!$C162</f>
        <v>R04</v>
      </c>
      <c r="D78" s="302" t="str">
        <f>ANUAL!$D162</f>
        <v>CARRO – PRESTAÇOES</v>
      </c>
      <c r="E78" s="302"/>
      <c r="F78" s="302"/>
      <c r="G78" s="104">
        <f t="shared" si="16"/>
        <v>0</v>
      </c>
      <c r="H78" s="62"/>
      <c r="N78" s="16">
        <v>70</v>
      </c>
      <c r="O78" s="65"/>
      <c r="P78" s="55"/>
      <c r="Q78" s="56"/>
      <c r="R78" s="57"/>
      <c r="S78" s="58"/>
      <c r="T78" s="59"/>
      <c r="U78" s="60"/>
      <c r="V78" s="62"/>
      <c r="X78" s="1">
        <f t="shared" ca="1" si="19"/>
        <v>1</v>
      </c>
      <c r="Z78" s="1">
        <f t="shared" si="18"/>
        <v>0</v>
      </c>
      <c r="AA78" s="1">
        <f t="shared" si="18"/>
        <v>0</v>
      </c>
      <c r="AB78" s="1">
        <f t="shared" si="18"/>
        <v>0</v>
      </c>
      <c r="AC78" s="1">
        <f t="shared" si="18"/>
        <v>0</v>
      </c>
      <c r="AD78" s="1">
        <f t="shared" si="18"/>
        <v>0</v>
      </c>
      <c r="AE78" s="1">
        <f t="shared" si="18"/>
        <v>0</v>
      </c>
      <c r="AF78" s="1">
        <f t="shared" si="18"/>
        <v>0</v>
      </c>
      <c r="AG78" s="1">
        <f t="shared" si="18"/>
        <v>0</v>
      </c>
      <c r="AH78" s="1">
        <f t="shared" si="18"/>
        <v>0</v>
      </c>
      <c r="AI78" s="1">
        <f t="shared" si="18"/>
        <v>0</v>
      </c>
      <c r="AJ78" s="1">
        <f t="shared" si="18"/>
        <v>0</v>
      </c>
      <c r="AK78" s="1">
        <f t="shared" si="18"/>
        <v>0</v>
      </c>
    </row>
    <row r="79" spans="1:37" ht="14.1" customHeight="1" x14ac:dyDescent="0.2">
      <c r="A79" s="12">
        <v>23</v>
      </c>
      <c r="B79" s="65"/>
      <c r="C79" s="101" t="str">
        <f>ANUAL!$C163</f>
        <v>B01</v>
      </c>
      <c r="D79" s="303" t="str">
        <f>ANUAL!$D163</f>
        <v>BANCO – TAXAS, JUROS ETC.</v>
      </c>
      <c r="E79" s="303"/>
      <c r="F79" s="303"/>
      <c r="G79" s="102">
        <f t="shared" si="16"/>
        <v>0</v>
      </c>
      <c r="H79" s="62"/>
      <c r="N79" s="12">
        <v>71</v>
      </c>
      <c r="O79" s="65"/>
      <c r="P79" s="49"/>
      <c r="Q79" s="50"/>
      <c r="R79" s="51"/>
      <c r="S79" s="52"/>
      <c r="T79" s="53"/>
      <c r="U79" s="54"/>
      <c r="V79" s="62"/>
      <c r="X79" s="1">
        <f t="shared" ca="1" si="19"/>
        <v>1</v>
      </c>
      <c r="Z79" s="1">
        <f t="shared" ref="Z79:AK88" si="20">IF(Z$8=$R79,-$T79,0)+IF(Z$8=$S79,$T79,0)</f>
        <v>0</v>
      </c>
      <c r="AA79" s="1">
        <f t="shared" si="20"/>
        <v>0</v>
      </c>
      <c r="AB79" s="1">
        <f t="shared" si="20"/>
        <v>0</v>
      </c>
      <c r="AC79" s="1">
        <f t="shared" si="20"/>
        <v>0</v>
      </c>
      <c r="AD79" s="1">
        <f t="shared" si="20"/>
        <v>0</v>
      </c>
      <c r="AE79" s="1">
        <f t="shared" si="20"/>
        <v>0</v>
      </c>
      <c r="AF79" s="1">
        <f t="shared" si="20"/>
        <v>0</v>
      </c>
      <c r="AG79" s="1">
        <f t="shared" si="20"/>
        <v>0</v>
      </c>
      <c r="AH79" s="1">
        <f t="shared" si="20"/>
        <v>0</v>
      </c>
      <c r="AI79" s="1">
        <f t="shared" si="20"/>
        <v>0</v>
      </c>
      <c r="AJ79" s="1">
        <f t="shared" si="20"/>
        <v>0</v>
      </c>
      <c r="AK79" s="1">
        <f t="shared" si="20"/>
        <v>0</v>
      </c>
    </row>
    <row r="80" spans="1:37" ht="14.1" customHeight="1" x14ac:dyDescent="0.2">
      <c r="A80" s="16">
        <v>24</v>
      </c>
      <c r="B80" s="65"/>
      <c r="C80" s="103" t="str">
        <f>ANUAL!$C164</f>
        <v>E01</v>
      </c>
      <c r="D80" s="302" t="str">
        <f>ANUAL!$D164</f>
        <v>EDUCAÇÃO / TREINAMENTO</v>
      </c>
      <c r="E80" s="302"/>
      <c r="F80" s="302"/>
      <c r="G80" s="104">
        <f t="shared" si="16"/>
        <v>0</v>
      </c>
      <c r="H80" s="62"/>
      <c r="N80" s="16">
        <v>72</v>
      </c>
      <c r="O80" s="65"/>
      <c r="P80" s="55"/>
      <c r="Q80" s="56"/>
      <c r="R80" s="57"/>
      <c r="S80" s="58"/>
      <c r="T80" s="59"/>
      <c r="U80" s="60"/>
      <c r="V80" s="62"/>
      <c r="X80" s="1">
        <f t="shared" ca="1" si="19"/>
        <v>1</v>
      </c>
      <c r="Z80" s="1">
        <f t="shared" si="20"/>
        <v>0</v>
      </c>
      <c r="AA80" s="1">
        <f t="shared" si="20"/>
        <v>0</v>
      </c>
      <c r="AB80" s="1">
        <f t="shared" si="20"/>
        <v>0</v>
      </c>
      <c r="AC80" s="1">
        <f t="shared" si="20"/>
        <v>0</v>
      </c>
      <c r="AD80" s="1">
        <f t="shared" si="20"/>
        <v>0</v>
      </c>
      <c r="AE80" s="1">
        <f t="shared" si="20"/>
        <v>0</v>
      </c>
      <c r="AF80" s="1">
        <f t="shared" si="20"/>
        <v>0</v>
      </c>
      <c r="AG80" s="1">
        <f t="shared" si="20"/>
        <v>0</v>
      </c>
      <c r="AH80" s="1">
        <f t="shared" si="20"/>
        <v>0</v>
      </c>
      <c r="AI80" s="1">
        <f t="shared" si="20"/>
        <v>0</v>
      </c>
      <c r="AJ80" s="1">
        <f t="shared" si="20"/>
        <v>0</v>
      </c>
      <c r="AK80" s="1">
        <f t="shared" si="20"/>
        <v>0</v>
      </c>
    </row>
    <row r="81" spans="1:37" ht="14.1" customHeight="1" x14ac:dyDescent="0.2">
      <c r="A81" s="12">
        <v>25</v>
      </c>
      <c r="B81" s="65"/>
      <c r="C81" s="101" t="str">
        <f>ANUAL!$C165</f>
        <v>V01</v>
      </c>
      <c r="D81" s="303" t="str">
        <f>ANUAL!$D165</f>
        <v>VIAGEM</v>
      </c>
      <c r="E81" s="303"/>
      <c r="F81" s="303"/>
      <c r="G81" s="102">
        <f t="shared" si="16"/>
        <v>0</v>
      </c>
      <c r="H81" s="62"/>
      <c r="N81" s="12">
        <v>73</v>
      </c>
      <c r="O81" s="65"/>
      <c r="P81" s="49"/>
      <c r="Q81" s="50"/>
      <c r="R81" s="51"/>
      <c r="S81" s="52"/>
      <c r="T81" s="53"/>
      <c r="U81" s="54"/>
      <c r="V81" s="62"/>
      <c r="X81" s="1">
        <f t="shared" ca="1" si="19"/>
        <v>1</v>
      </c>
      <c r="Z81" s="1">
        <f t="shared" si="20"/>
        <v>0</v>
      </c>
      <c r="AA81" s="1">
        <f t="shared" si="20"/>
        <v>0</v>
      </c>
      <c r="AB81" s="1">
        <f t="shared" si="20"/>
        <v>0</v>
      </c>
      <c r="AC81" s="1">
        <f t="shared" si="20"/>
        <v>0</v>
      </c>
      <c r="AD81" s="1">
        <f t="shared" si="20"/>
        <v>0</v>
      </c>
      <c r="AE81" s="1">
        <f t="shared" si="20"/>
        <v>0</v>
      </c>
      <c r="AF81" s="1">
        <f t="shared" si="20"/>
        <v>0</v>
      </c>
      <c r="AG81" s="1">
        <f t="shared" si="20"/>
        <v>0</v>
      </c>
      <c r="AH81" s="1">
        <f t="shared" si="20"/>
        <v>0</v>
      </c>
      <c r="AI81" s="1">
        <f t="shared" si="20"/>
        <v>0</v>
      </c>
      <c r="AJ81" s="1">
        <f t="shared" si="20"/>
        <v>0</v>
      </c>
      <c r="AK81" s="1">
        <f t="shared" si="20"/>
        <v>0</v>
      </c>
    </row>
    <row r="82" spans="1:37" ht="14.1" customHeight="1" x14ac:dyDescent="0.2">
      <c r="A82" s="16">
        <v>26</v>
      </c>
      <c r="B82" s="65"/>
      <c r="C82" s="103" t="str">
        <f>ANUAL!$C166</f>
        <v>P01</v>
      </c>
      <c r="D82" s="302" t="str">
        <f>ANUAL!$D166</f>
        <v>PESSOAL – DÍZIMO</v>
      </c>
      <c r="E82" s="302"/>
      <c r="F82" s="302"/>
      <c r="G82" s="104">
        <f t="shared" si="16"/>
        <v>0</v>
      </c>
      <c r="H82" s="62"/>
      <c r="I82" s="3"/>
      <c r="J82" s="3"/>
      <c r="K82" s="3"/>
      <c r="L82" s="3"/>
      <c r="M82" s="3"/>
      <c r="N82" s="16">
        <v>74</v>
      </c>
      <c r="O82" s="65"/>
      <c r="P82" s="55"/>
      <c r="Q82" s="56"/>
      <c r="R82" s="57"/>
      <c r="S82" s="58"/>
      <c r="T82" s="59"/>
      <c r="U82" s="60"/>
      <c r="V82" s="62"/>
      <c r="X82" s="1">
        <f t="shared" ca="1" si="19"/>
        <v>1</v>
      </c>
      <c r="Z82" s="1">
        <f t="shared" si="20"/>
        <v>0</v>
      </c>
      <c r="AA82" s="1">
        <f t="shared" si="20"/>
        <v>0</v>
      </c>
      <c r="AB82" s="1">
        <f t="shared" si="20"/>
        <v>0</v>
      </c>
      <c r="AC82" s="1">
        <f t="shared" si="20"/>
        <v>0</v>
      </c>
      <c r="AD82" s="1">
        <f t="shared" si="20"/>
        <v>0</v>
      </c>
      <c r="AE82" s="1">
        <f t="shared" si="20"/>
        <v>0</v>
      </c>
      <c r="AF82" s="1">
        <f t="shared" si="20"/>
        <v>0</v>
      </c>
      <c r="AG82" s="1">
        <f t="shared" si="20"/>
        <v>0</v>
      </c>
      <c r="AH82" s="1">
        <f t="shared" si="20"/>
        <v>0</v>
      </c>
      <c r="AI82" s="1">
        <f t="shared" si="20"/>
        <v>0</v>
      </c>
      <c r="AJ82" s="1">
        <f t="shared" si="20"/>
        <v>0</v>
      </c>
      <c r="AK82" s="1">
        <f t="shared" si="20"/>
        <v>0</v>
      </c>
    </row>
    <row r="83" spans="1:37" ht="14.1" customHeight="1" x14ac:dyDescent="0.2">
      <c r="A83" s="12">
        <v>27</v>
      </c>
      <c r="B83" s="65"/>
      <c r="C83" s="101" t="str">
        <f>ANUAL!$C167</f>
        <v>---</v>
      </c>
      <c r="D83" s="303" t="str">
        <f>ANUAL!$D167</f>
        <v>---</v>
      </c>
      <c r="E83" s="303"/>
      <c r="F83" s="303"/>
      <c r="G83" s="102">
        <f t="shared" si="16"/>
        <v>0</v>
      </c>
      <c r="H83" s="62"/>
      <c r="I83" s="3"/>
      <c r="J83" s="3"/>
      <c r="K83" s="3"/>
      <c r="L83" s="3"/>
      <c r="M83" s="3"/>
      <c r="N83" s="12">
        <v>75</v>
      </c>
      <c r="O83" s="65"/>
      <c r="P83" s="49"/>
      <c r="Q83" s="50"/>
      <c r="R83" s="51"/>
      <c r="S83" s="52"/>
      <c r="T83" s="53"/>
      <c r="U83" s="54"/>
      <c r="V83" s="62"/>
      <c r="X83" s="1">
        <f t="shared" ca="1" si="19"/>
        <v>1</v>
      </c>
      <c r="Z83" s="1">
        <f t="shared" si="20"/>
        <v>0</v>
      </c>
      <c r="AA83" s="1">
        <f t="shared" si="20"/>
        <v>0</v>
      </c>
      <c r="AB83" s="1">
        <f t="shared" si="20"/>
        <v>0</v>
      </c>
      <c r="AC83" s="1">
        <f t="shared" si="20"/>
        <v>0</v>
      </c>
      <c r="AD83" s="1">
        <f t="shared" si="20"/>
        <v>0</v>
      </c>
      <c r="AE83" s="1">
        <f t="shared" si="20"/>
        <v>0</v>
      </c>
      <c r="AF83" s="1">
        <f t="shared" si="20"/>
        <v>0</v>
      </c>
      <c r="AG83" s="1">
        <f t="shared" si="20"/>
        <v>0</v>
      </c>
      <c r="AH83" s="1">
        <f t="shared" si="20"/>
        <v>0</v>
      </c>
      <c r="AI83" s="1">
        <f t="shared" si="20"/>
        <v>0</v>
      </c>
      <c r="AJ83" s="1">
        <f t="shared" si="20"/>
        <v>0</v>
      </c>
      <c r="AK83" s="1">
        <f t="shared" si="20"/>
        <v>0</v>
      </c>
    </row>
    <row r="84" spans="1:37" ht="14.1" customHeight="1" x14ac:dyDescent="0.2">
      <c r="A84" s="16">
        <v>28</v>
      </c>
      <c r="B84" s="65"/>
      <c r="C84" s="103" t="str">
        <f>ANUAL!$C168</f>
        <v>---</v>
      </c>
      <c r="D84" s="302" t="str">
        <f>ANUAL!$D168</f>
        <v>---</v>
      </c>
      <c r="E84" s="302"/>
      <c r="F84" s="302"/>
      <c r="G84" s="104">
        <f t="shared" si="16"/>
        <v>0</v>
      </c>
      <c r="H84" s="62"/>
      <c r="I84" s="3"/>
      <c r="J84" s="3"/>
      <c r="K84" s="3"/>
      <c r="L84" s="3"/>
      <c r="M84" s="3"/>
      <c r="N84" s="16">
        <v>76</v>
      </c>
      <c r="O84" s="65"/>
      <c r="P84" s="55"/>
      <c r="Q84" s="56"/>
      <c r="R84" s="57"/>
      <c r="S84" s="58"/>
      <c r="T84" s="59"/>
      <c r="U84" s="60"/>
      <c r="V84" s="62"/>
      <c r="X84" s="1">
        <f t="shared" ca="1" si="19"/>
        <v>1</v>
      </c>
      <c r="Z84" s="1">
        <f t="shared" si="20"/>
        <v>0</v>
      </c>
      <c r="AA84" s="1">
        <f t="shared" si="20"/>
        <v>0</v>
      </c>
      <c r="AB84" s="1">
        <f t="shared" si="20"/>
        <v>0</v>
      </c>
      <c r="AC84" s="1">
        <f t="shared" si="20"/>
        <v>0</v>
      </c>
      <c r="AD84" s="1">
        <f t="shared" si="20"/>
        <v>0</v>
      </c>
      <c r="AE84" s="1">
        <f t="shared" si="20"/>
        <v>0</v>
      </c>
      <c r="AF84" s="1">
        <f t="shared" si="20"/>
        <v>0</v>
      </c>
      <c r="AG84" s="1">
        <f t="shared" si="20"/>
        <v>0</v>
      </c>
      <c r="AH84" s="1">
        <f t="shared" si="20"/>
        <v>0</v>
      </c>
      <c r="AI84" s="1">
        <f t="shared" si="20"/>
        <v>0</v>
      </c>
      <c r="AJ84" s="1">
        <f t="shared" si="20"/>
        <v>0</v>
      </c>
      <c r="AK84" s="1">
        <f t="shared" si="20"/>
        <v>0</v>
      </c>
    </row>
    <row r="85" spans="1:37" ht="14.1" customHeight="1" x14ac:dyDescent="0.2">
      <c r="A85" s="12">
        <v>29</v>
      </c>
      <c r="B85" s="65"/>
      <c r="C85" s="101" t="str">
        <f>ANUAL!$C169</f>
        <v>---</v>
      </c>
      <c r="D85" s="303" t="str">
        <f>ANUAL!$D169</f>
        <v>---</v>
      </c>
      <c r="E85" s="303"/>
      <c r="F85" s="303"/>
      <c r="G85" s="102">
        <f t="shared" si="16"/>
        <v>0</v>
      </c>
      <c r="H85" s="62"/>
      <c r="I85" s="3"/>
      <c r="J85" s="3"/>
      <c r="K85" s="3"/>
      <c r="L85" s="3"/>
      <c r="M85" s="3"/>
      <c r="N85" s="12">
        <v>77</v>
      </c>
      <c r="O85" s="65"/>
      <c r="P85" s="49"/>
      <c r="Q85" s="50"/>
      <c r="R85" s="51"/>
      <c r="S85" s="52"/>
      <c r="T85" s="53"/>
      <c r="U85" s="54"/>
      <c r="V85" s="62"/>
      <c r="X85" s="1">
        <f t="shared" ca="1" si="19"/>
        <v>1</v>
      </c>
      <c r="Z85" s="1">
        <f t="shared" si="20"/>
        <v>0</v>
      </c>
      <c r="AA85" s="1">
        <f t="shared" si="20"/>
        <v>0</v>
      </c>
      <c r="AB85" s="1">
        <f t="shared" si="20"/>
        <v>0</v>
      </c>
      <c r="AC85" s="1">
        <f t="shared" si="20"/>
        <v>0</v>
      </c>
      <c r="AD85" s="1">
        <f t="shared" si="20"/>
        <v>0</v>
      </c>
      <c r="AE85" s="1">
        <f t="shared" si="20"/>
        <v>0</v>
      </c>
      <c r="AF85" s="1">
        <f t="shared" si="20"/>
        <v>0</v>
      </c>
      <c r="AG85" s="1">
        <f t="shared" si="20"/>
        <v>0</v>
      </c>
      <c r="AH85" s="1">
        <f t="shared" si="20"/>
        <v>0</v>
      </c>
      <c r="AI85" s="1">
        <f t="shared" si="20"/>
        <v>0</v>
      </c>
      <c r="AJ85" s="1">
        <f t="shared" si="20"/>
        <v>0</v>
      </c>
      <c r="AK85" s="1">
        <f t="shared" si="20"/>
        <v>0</v>
      </c>
    </row>
    <row r="86" spans="1:37" ht="14.1" customHeight="1" x14ac:dyDescent="0.2">
      <c r="A86" s="16">
        <v>30</v>
      </c>
      <c r="B86" s="65"/>
      <c r="C86" s="103" t="str">
        <f>ANUAL!$C170</f>
        <v>---</v>
      </c>
      <c r="D86" s="302" t="str">
        <f>ANUAL!$D170</f>
        <v>---</v>
      </c>
      <c r="E86" s="302"/>
      <c r="F86" s="302"/>
      <c r="G86" s="104">
        <f t="shared" si="16"/>
        <v>0</v>
      </c>
      <c r="H86" s="62"/>
      <c r="I86" s="3"/>
      <c r="J86" s="3"/>
      <c r="K86" s="3"/>
      <c r="L86" s="3"/>
      <c r="M86" s="3"/>
      <c r="N86" s="16">
        <v>78</v>
      </c>
      <c r="O86" s="65"/>
      <c r="P86" s="55"/>
      <c r="Q86" s="56"/>
      <c r="R86" s="57"/>
      <c r="S86" s="58"/>
      <c r="T86" s="59"/>
      <c r="U86" s="60"/>
      <c r="V86" s="62"/>
      <c r="X86" s="1">
        <f t="shared" ca="1" si="19"/>
        <v>1</v>
      </c>
      <c r="Z86" s="1">
        <f t="shared" si="20"/>
        <v>0</v>
      </c>
      <c r="AA86" s="1">
        <f t="shared" si="20"/>
        <v>0</v>
      </c>
      <c r="AB86" s="1">
        <f t="shared" si="20"/>
        <v>0</v>
      </c>
      <c r="AC86" s="1">
        <f t="shared" si="20"/>
        <v>0</v>
      </c>
      <c r="AD86" s="1">
        <f t="shared" si="20"/>
        <v>0</v>
      </c>
      <c r="AE86" s="1">
        <f t="shared" si="20"/>
        <v>0</v>
      </c>
      <c r="AF86" s="1">
        <f t="shared" si="20"/>
        <v>0</v>
      </c>
      <c r="AG86" s="1">
        <f t="shared" si="20"/>
        <v>0</v>
      </c>
      <c r="AH86" s="1">
        <f t="shared" si="20"/>
        <v>0</v>
      </c>
      <c r="AI86" s="1">
        <f t="shared" si="20"/>
        <v>0</v>
      </c>
      <c r="AJ86" s="1">
        <f t="shared" si="20"/>
        <v>0</v>
      </c>
      <c r="AK86" s="1">
        <f t="shared" si="20"/>
        <v>0</v>
      </c>
    </row>
    <row r="87" spans="1:37" ht="14.1" customHeight="1" x14ac:dyDescent="0.2">
      <c r="A87" s="12">
        <v>31</v>
      </c>
      <c r="B87" s="65"/>
      <c r="C87" s="101" t="str">
        <f>ANUAL!$C171</f>
        <v>---</v>
      </c>
      <c r="D87" s="303" t="str">
        <f>ANUAL!$D171</f>
        <v>---</v>
      </c>
      <c r="E87" s="303"/>
      <c r="F87" s="303"/>
      <c r="G87" s="102">
        <f t="shared" si="16"/>
        <v>0</v>
      </c>
      <c r="H87" s="62"/>
      <c r="I87" s="3"/>
      <c r="J87" s="3"/>
      <c r="K87" s="3"/>
      <c r="L87" s="3"/>
      <c r="M87" s="3"/>
      <c r="N87" s="12">
        <v>79</v>
      </c>
      <c r="O87" s="65"/>
      <c r="P87" s="49"/>
      <c r="Q87" s="50"/>
      <c r="R87" s="51"/>
      <c r="S87" s="52"/>
      <c r="T87" s="53"/>
      <c r="U87" s="54"/>
      <c r="V87" s="62"/>
      <c r="X87" s="1">
        <f t="shared" ca="1" si="19"/>
        <v>1</v>
      </c>
      <c r="Z87" s="1">
        <f t="shared" si="20"/>
        <v>0</v>
      </c>
      <c r="AA87" s="1">
        <f t="shared" si="20"/>
        <v>0</v>
      </c>
      <c r="AB87" s="1">
        <f t="shared" si="20"/>
        <v>0</v>
      </c>
      <c r="AC87" s="1">
        <f t="shared" si="20"/>
        <v>0</v>
      </c>
      <c r="AD87" s="1">
        <f t="shared" si="20"/>
        <v>0</v>
      </c>
      <c r="AE87" s="1">
        <f t="shared" si="20"/>
        <v>0</v>
      </c>
      <c r="AF87" s="1">
        <f t="shared" si="20"/>
        <v>0</v>
      </c>
      <c r="AG87" s="1">
        <f t="shared" si="20"/>
        <v>0</v>
      </c>
      <c r="AH87" s="1">
        <f t="shared" si="20"/>
        <v>0</v>
      </c>
      <c r="AI87" s="1">
        <f t="shared" si="20"/>
        <v>0</v>
      </c>
      <c r="AJ87" s="1">
        <f t="shared" si="20"/>
        <v>0</v>
      </c>
      <c r="AK87" s="1">
        <f t="shared" si="20"/>
        <v>0</v>
      </c>
    </row>
    <row r="88" spans="1:37" ht="14.1" customHeight="1" x14ac:dyDescent="0.2">
      <c r="A88" s="16">
        <v>32</v>
      </c>
      <c r="B88" s="66"/>
      <c r="C88" s="103" t="str">
        <f>ANUAL!$C172</f>
        <v>---</v>
      </c>
      <c r="D88" s="302" t="str">
        <f>ANUAL!$D172</f>
        <v>---</v>
      </c>
      <c r="E88" s="302"/>
      <c r="F88" s="302"/>
      <c r="G88" s="104">
        <f t="shared" si="16"/>
        <v>0</v>
      </c>
      <c r="H88" s="63"/>
      <c r="I88" s="3"/>
      <c r="J88" s="3"/>
      <c r="K88" s="3"/>
      <c r="L88" s="3"/>
      <c r="M88" s="3"/>
      <c r="N88" s="16">
        <v>80</v>
      </c>
      <c r="O88" s="66"/>
      <c r="P88" s="55"/>
      <c r="Q88" s="56"/>
      <c r="R88" s="57"/>
      <c r="S88" s="58"/>
      <c r="T88" s="59"/>
      <c r="U88" s="60"/>
      <c r="V88" s="63"/>
      <c r="X88" s="1">
        <f t="shared" ca="1" si="19"/>
        <v>1</v>
      </c>
      <c r="Z88" s="1">
        <f t="shared" si="20"/>
        <v>0</v>
      </c>
      <c r="AA88" s="1">
        <f t="shared" si="20"/>
        <v>0</v>
      </c>
      <c r="AB88" s="1">
        <f t="shared" si="20"/>
        <v>0</v>
      </c>
      <c r="AC88" s="1">
        <f t="shared" si="20"/>
        <v>0</v>
      </c>
      <c r="AD88" s="1">
        <f t="shared" si="20"/>
        <v>0</v>
      </c>
      <c r="AE88" s="1">
        <f t="shared" si="20"/>
        <v>0</v>
      </c>
      <c r="AF88" s="1">
        <f t="shared" si="20"/>
        <v>0</v>
      </c>
      <c r="AG88" s="1">
        <f t="shared" si="20"/>
        <v>0</v>
      </c>
      <c r="AH88" s="1">
        <f t="shared" si="20"/>
        <v>0</v>
      </c>
      <c r="AI88" s="1">
        <f t="shared" si="20"/>
        <v>0</v>
      </c>
      <c r="AJ88" s="1">
        <f t="shared" si="20"/>
        <v>0</v>
      </c>
      <c r="AK88" s="1">
        <f t="shared" si="20"/>
        <v>0</v>
      </c>
    </row>
    <row r="89" spans="1:37" ht="14.1" customHeight="1" x14ac:dyDescent="0.2">
      <c r="B89" s="105"/>
      <c r="C89" s="106"/>
      <c r="D89" s="107"/>
      <c r="E89" s="107"/>
      <c r="F89" s="107"/>
      <c r="G89" s="107"/>
      <c r="H89" s="108"/>
      <c r="I89" s="3"/>
      <c r="J89" s="3"/>
      <c r="K89" s="3"/>
      <c r="L89" s="3"/>
      <c r="M89" s="3"/>
      <c r="O89" s="32"/>
      <c r="P89" s="33"/>
      <c r="Q89" s="33"/>
      <c r="R89" s="34"/>
      <c r="S89" s="34"/>
      <c r="T89" s="67"/>
      <c r="U89" s="34"/>
      <c r="V89" s="35"/>
    </row>
    <row r="90" spans="1:37" ht="14.1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37" ht="14.1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37" ht="14.1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37" ht="14.1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37" ht="14.1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37" ht="14.1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37" ht="14.1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1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1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1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</sheetData>
  <sheetProtection selectLockedCells="1"/>
  <mergeCells count="57">
    <mergeCell ref="C43:G44"/>
    <mergeCell ref="B1:H1"/>
    <mergeCell ref="C5:G6"/>
    <mergeCell ref="P5:U6"/>
    <mergeCell ref="C7:C8"/>
    <mergeCell ref="D7:D8"/>
    <mergeCell ref="E7:G7"/>
    <mergeCell ref="P7:P8"/>
    <mergeCell ref="Q7:Q8"/>
    <mergeCell ref="R7:S7"/>
    <mergeCell ref="T7:T8"/>
    <mergeCell ref="U7:U8"/>
    <mergeCell ref="C24:G25"/>
    <mergeCell ref="C26:C27"/>
    <mergeCell ref="D26:D27"/>
    <mergeCell ref="E26:G26"/>
    <mergeCell ref="D62:F62"/>
    <mergeCell ref="D63:F63"/>
    <mergeCell ref="D64:F64"/>
    <mergeCell ref="D65:F65"/>
    <mergeCell ref="C45:C46"/>
    <mergeCell ref="D45:D46"/>
    <mergeCell ref="E45:G45"/>
    <mergeCell ref="C53:G54"/>
    <mergeCell ref="C55:C56"/>
    <mergeCell ref="D55:D56"/>
    <mergeCell ref="E55:E56"/>
    <mergeCell ref="F55:F56"/>
    <mergeCell ref="G55:G56"/>
    <mergeCell ref="D57:F57"/>
    <mergeCell ref="D58:F58"/>
    <mergeCell ref="D59:F59"/>
    <mergeCell ref="D60:F60"/>
    <mergeCell ref="D61:F61"/>
    <mergeCell ref="D66:F66"/>
    <mergeCell ref="D67:F67"/>
    <mergeCell ref="D80:F80"/>
    <mergeCell ref="D69:F69"/>
    <mergeCell ref="D70:F70"/>
    <mergeCell ref="D71:F71"/>
    <mergeCell ref="D72:F72"/>
    <mergeCell ref="D73:F73"/>
    <mergeCell ref="D74:F74"/>
    <mergeCell ref="D75:F75"/>
    <mergeCell ref="D68:F68"/>
    <mergeCell ref="D88:F88"/>
    <mergeCell ref="D81:F81"/>
    <mergeCell ref="D82:F82"/>
    <mergeCell ref="D83:F83"/>
    <mergeCell ref="D84:F84"/>
    <mergeCell ref="D85:F85"/>
    <mergeCell ref="D86:F86"/>
    <mergeCell ref="D76:F76"/>
    <mergeCell ref="D77:F77"/>
    <mergeCell ref="D78:F78"/>
    <mergeCell ref="D79:F79"/>
    <mergeCell ref="D87:F87"/>
  </mergeCells>
  <conditionalFormatting sqref="U9:U11 P12:U88">
    <cfRule type="expression" dxfId="60" priority="9" stopIfTrue="1">
      <formula>$X9&lt;&gt;1</formula>
    </cfRule>
  </conditionalFormatting>
  <conditionalFormatting sqref="S12:T20">
    <cfRule type="expression" dxfId="59" priority="8" stopIfTrue="1">
      <formula>$X12&lt;&gt;1</formula>
    </cfRule>
  </conditionalFormatting>
  <conditionalFormatting sqref="U15:U19">
    <cfRule type="expression" dxfId="58" priority="7" stopIfTrue="1">
      <formula>$X15&lt;&gt;1</formula>
    </cfRule>
  </conditionalFormatting>
  <conditionalFormatting sqref="U10:U14">
    <cfRule type="expression" dxfId="57" priority="6" stopIfTrue="1">
      <formula>$X10&lt;&gt;1</formula>
    </cfRule>
  </conditionalFormatting>
  <conditionalFormatting sqref="U21:U25">
    <cfRule type="expression" dxfId="56" priority="5" stopIfTrue="1">
      <formula>$X21&lt;&gt;1</formula>
    </cfRule>
  </conditionalFormatting>
  <conditionalFormatting sqref="U15:U19">
    <cfRule type="expression" dxfId="55" priority="4" stopIfTrue="1">
      <formula>$X15&lt;&gt;1</formula>
    </cfRule>
  </conditionalFormatting>
  <conditionalFormatting sqref="U9:U11">
    <cfRule type="expression" dxfId="54" priority="3" stopIfTrue="1">
      <formula>$X9&lt;&gt;1</formula>
    </cfRule>
  </conditionalFormatting>
  <conditionalFormatting sqref="U11:U13">
    <cfRule type="expression" dxfId="53" priority="2" stopIfTrue="1">
      <formula>$X11&lt;&gt;1</formula>
    </cfRule>
  </conditionalFormatting>
  <conditionalFormatting sqref="P9:T11">
    <cfRule type="expression" dxfId="52" priority="1" stopIfTrue="1">
      <formula>$X9&lt;&gt;1</formula>
    </cfRule>
  </conditionalFormatting>
  <printOptions horizontalCentered="1"/>
  <pageMargins left="0.39374999999999999" right="0.39374999999999999" top="0.78749999999999998" bottom="0.59027777777777779" header="0.51180555555555551" footer="0.51180555555555551"/>
  <pageSetup paperSize="8" scale="5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9"/>
  <sheetViews>
    <sheetView zoomScale="80" zoomScaleNormal="80" workbookViewId="0">
      <selection activeCell="P9" sqref="P9"/>
    </sheetView>
  </sheetViews>
  <sheetFormatPr defaultColWidth="11.5703125" defaultRowHeight="14.1" customHeight="1" x14ac:dyDescent="0.2"/>
  <cols>
    <col min="1" max="1" width="4.140625" style="1" customWidth="1"/>
    <col min="2" max="2" width="2.5703125" style="1" customWidth="1"/>
    <col min="3" max="3" width="9.140625" style="2" customWidth="1"/>
    <col min="4" max="4" width="40.85546875" style="1" customWidth="1"/>
    <col min="5" max="7" width="11.5703125" style="1"/>
    <col min="8" max="9" width="2.5703125" style="1" customWidth="1"/>
    <col min="10" max="12" width="11.5703125" style="1" hidden="1" customWidth="1"/>
    <col min="13" max="13" width="2.5703125" style="1" customWidth="1"/>
    <col min="14" max="14" width="4.140625" style="1" customWidth="1"/>
    <col min="15" max="15" width="2.5703125" style="1" customWidth="1"/>
    <col min="16" max="16" width="11.5703125" style="1"/>
    <col min="17" max="17" width="51" style="1" customWidth="1"/>
    <col min="18" max="19" width="12.7109375" style="24" customWidth="1"/>
    <col min="20" max="20" width="12.7109375" style="1" customWidth="1"/>
    <col min="21" max="21" width="10.140625" style="24" customWidth="1"/>
    <col min="22" max="22" width="2.5703125" style="1" customWidth="1"/>
    <col min="23" max="23" width="5.140625" style="1" customWidth="1"/>
    <col min="24" max="37" width="0" style="1" hidden="1" customWidth="1"/>
    <col min="38" max="255" width="11.5703125" style="1"/>
    <col min="256" max="16384" width="11.5703125" style="3"/>
  </cols>
  <sheetData>
    <row r="1" spans="1:256" s="4" customFormat="1" ht="33.950000000000003" customHeight="1" x14ac:dyDescent="0.2">
      <c r="B1" s="307">
        <f>DATE(ANUAL!B5,B2,8)</f>
        <v>40245</v>
      </c>
      <c r="C1" s="307"/>
      <c r="D1" s="307"/>
      <c r="E1" s="307"/>
      <c r="F1" s="307"/>
      <c r="G1" s="307"/>
      <c r="H1" s="307"/>
      <c r="I1" s="25" t="s">
        <v>2</v>
      </c>
      <c r="M1" s="26" t="s">
        <v>92</v>
      </c>
      <c r="R1" s="27"/>
      <c r="S1" s="27"/>
      <c r="U1" s="27"/>
      <c r="W1" s="25" t="s">
        <v>2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 t="s">
        <v>92</v>
      </c>
      <c r="IV1" s="3"/>
    </row>
    <row r="2" spans="1:256" ht="14.1" customHeight="1" x14ac:dyDescent="0.2">
      <c r="B2" s="28">
        <f>'M2'!B2+1</f>
        <v>3</v>
      </c>
    </row>
    <row r="4" spans="1:256" ht="14.1" customHeight="1" x14ac:dyDescent="0.2">
      <c r="B4" s="68"/>
      <c r="C4" s="69"/>
      <c r="D4" s="70"/>
      <c r="E4" s="70"/>
      <c r="F4" s="70"/>
      <c r="G4" s="70"/>
      <c r="H4" s="71"/>
      <c r="O4" s="36"/>
      <c r="P4" s="37"/>
      <c r="Q4" s="37"/>
      <c r="R4" s="38"/>
      <c r="S4" s="38"/>
      <c r="T4" s="37"/>
      <c r="U4" s="38"/>
      <c r="V4" s="39"/>
    </row>
    <row r="5" spans="1:256" ht="14.1" customHeight="1" x14ac:dyDescent="0.2">
      <c r="B5" s="72"/>
      <c r="C5" s="308" t="s">
        <v>107</v>
      </c>
      <c r="D5" s="308"/>
      <c r="E5" s="308"/>
      <c r="F5" s="308"/>
      <c r="G5" s="308"/>
      <c r="H5" s="73"/>
      <c r="O5" s="40"/>
      <c r="P5" s="309" t="s">
        <v>93</v>
      </c>
      <c r="Q5" s="309"/>
      <c r="R5" s="309"/>
      <c r="S5" s="309"/>
      <c r="T5" s="309"/>
      <c r="U5" s="309"/>
      <c r="V5" s="41"/>
    </row>
    <row r="6" spans="1:256" s="9" customFormat="1" ht="14.1" customHeight="1" x14ac:dyDescent="0.2">
      <c r="B6" s="74"/>
      <c r="C6" s="308"/>
      <c r="D6" s="308"/>
      <c r="E6" s="308"/>
      <c r="F6" s="308"/>
      <c r="G6" s="308"/>
      <c r="H6" s="75"/>
      <c r="I6" s="1"/>
      <c r="J6" s="1"/>
      <c r="K6" s="1"/>
      <c r="L6" s="1"/>
      <c r="M6" s="1"/>
      <c r="N6" s="1"/>
      <c r="O6" s="42"/>
      <c r="P6" s="309"/>
      <c r="Q6" s="309"/>
      <c r="R6" s="309"/>
      <c r="S6" s="309"/>
      <c r="T6" s="309"/>
      <c r="U6" s="309"/>
      <c r="V6" s="4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IV6" s="3"/>
    </row>
    <row r="7" spans="1:256" ht="14.1" customHeight="1" x14ac:dyDescent="0.2">
      <c r="B7" s="46"/>
      <c r="C7" s="271" t="s">
        <v>94</v>
      </c>
      <c r="D7" s="273" t="s">
        <v>5</v>
      </c>
      <c r="E7" s="275" t="s">
        <v>6</v>
      </c>
      <c r="F7" s="275"/>
      <c r="G7" s="276"/>
      <c r="H7" s="73"/>
      <c r="O7" s="46"/>
      <c r="P7" s="275" t="s">
        <v>95</v>
      </c>
      <c r="Q7" s="271" t="s">
        <v>5</v>
      </c>
      <c r="R7" s="275" t="s">
        <v>96</v>
      </c>
      <c r="S7" s="275"/>
      <c r="T7" s="275" t="s">
        <v>97</v>
      </c>
      <c r="U7" s="276" t="s">
        <v>98</v>
      </c>
      <c r="V7" s="41"/>
    </row>
    <row r="8" spans="1:256" ht="14.1" customHeight="1" x14ac:dyDescent="0.2">
      <c r="B8" s="44"/>
      <c r="C8" s="272"/>
      <c r="D8" s="274"/>
      <c r="E8" s="98" t="s">
        <v>99</v>
      </c>
      <c r="F8" s="98" t="s">
        <v>100</v>
      </c>
      <c r="G8" s="98" t="s">
        <v>101</v>
      </c>
      <c r="H8" s="76"/>
      <c r="O8" s="44"/>
      <c r="P8" s="306" t="s">
        <v>95</v>
      </c>
      <c r="Q8" s="272" t="s">
        <v>5</v>
      </c>
      <c r="R8" s="47" t="s">
        <v>89</v>
      </c>
      <c r="S8" s="48" t="s">
        <v>87</v>
      </c>
      <c r="T8" s="306" t="s">
        <v>97</v>
      </c>
      <c r="U8" s="305"/>
      <c r="V8" s="45"/>
      <c r="X8" s="1" t="s">
        <v>100</v>
      </c>
      <c r="Z8" s="1" t="str">
        <f>$C$9</f>
        <v/>
      </c>
      <c r="AA8" s="1" t="str">
        <f>$C$10</f>
        <v>INV1</v>
      </c>
      <c r="AB8" s="1" t="str">
        <f>$C$11</f>
        <v>DINH1</v>
      </c>
      <c r="AC8" s="1" t="str">
        <f>$C$12</f>
        <v>CRED1</v>
      </c>
      <c r="AD8" s="1" t="str">
        <f>$C$13</f>
        <v>---</v>
      </c>
      <c r="AE8" s="1" t="str">
        <f>$C$14</f>
        <v>---</v>
      </c>
      <c r="AF8" s="1" t="str">
        <f>$C$15</f>
        <v>---</v>
      </c>
      <c r="AG8" s="1" t="str">
        <f>$C$16</f>
        <v>---</v>
      </c>
      <c r="AH8" s="1" t="str">
        <f>$C$17</f>
        <v>---</v>
      </c>
      <c r="AI8" s="1" t="str">
        <f>$C$18</f>
        <v>---</v>
      </c>
      <c r="AJ8" s="1" t="str">
        <f>$C$19</f>
        <v>---</v>
      </c>
      <c r="AK8" s="1" t="str">
        <f>$C$20</f>
        <v>---</v>
      </c>
    </row>
    <row r="9" spans="1:256" ht="14.1" customHeight="1" x14ac:dyDescent="0.2">
      <c r="A9" s="12">
        <v>1</v>
      </c>
      <c r="B9" s="64"/>
      <c r="C9" s="115" t="str">
        <f>TRIM(ANUAL!C13)</f>
        <v/>
      </c>
      <c r="D9" s="116" t="str">
        <f>TRIM(ANUAL!D13)</f>
        <v>CONTA CORRENTE BANCO 1</v>
      </c>
      <c r="E9" s="117">
        <f ca="1">INDIRECT("M"&amp;B$2-1&amp;"!G"&amp;A9+ROW(A$8))</f>
        <v>0</v>
      </c>
      <c r="F9" s="117">
        <f t="shared" ref="F9:F20" ca="1" si="0">E9+SUMIF(X$9:X$88,1,OFFSET($Z$9:$Z$88,0,A9-1))</f>
        <v>0</v>
      </c>
      <c r="G9" s="117">
        <f t="shared" ref="G9:G20" ca="1" si="1">E9+SUM(OFFSET($Z$9:$Z$88,0,A9-1))</f>
        <v>0</v>
      </c>
      <c r="H9" s="61"/>
      <c r="J9" s="3" t="b">
        <f t="shared" ref="J9:L20" si="2">NOT(ISERR(SEARCH(J$27,$C9)))</f>
        <v>0</v>
      </c>
      <c r="K9" s="3" t="b">
        <f t="shared" si="2"/>
        <v>0</v>
      </c>
      <c r="L9" s="3" t="b">
        <f t="shared" si="2"/>
        <v>0</v>
      </c>
      <c r="N9" s="12">
        <v>1</v>
      </c>
      <c r="O9" s="64"/>
      <c r="P9" s="49"/>
      <c r="Q9" s="50"/>
      <c r="R9" s="51"/>
      <c r="S9" s="52"/>
      <c r="T9" s="53"/>
      <c r="U9" s="54"/>
      <c r="V9" s="61"/>
      <c r="X9" s="1">
        <f t="shared" ref="X9:X40" ca="1" si="3">IF(P9&lt;NOW(),1,0)</f>
        <v>1</v>
      </c>
      <c r="Z9" s="1">
        <f t="shared" ref="Z9:AK18" si="4">IF(Z$8=$R9,-$T9,0)+IF(Z$8=$S9,$T9,0)</f>
        <v>0</v>
      </c>
      <c r="AA9" s="1">
        <f t="shared" si="4"/>
        <v>0</v>
      </c>
      <c r="AB9" s="1">
        <f t="shared" si="4"/>
        <v>0</v>
      </c>
      <c r="AC9" s="1">
        <f t="shared" si="4"/>
        <v>0</v>
      </c>
      <c r="AD9" s="1">
        <f t="shared" si="4"/>
        <v>0</v>
      </c>
      <c r="AE9" s="1">
        <f t="shared" si="4"/>
        <v>0</v>
      </c>
      <c r="AF9" s="1">
        <f t="shared" si="4"/>
        <v>0</v>
      </c>
      <c r="AG9" s="1">
        <f t="shared" si="4"/>
        <v>0</v>
      </c>
      <c r="AH9" s="1">
        <f t="shared" si="4"/>
        <v>0</v>
      </c>
      <c r="AI9" s="1">
        <f t="shared" si="4"/>
        <v>0</v>
      </c>
      <c r="AJ9" s="1">
        <f t="shared" si="4"/>
        <v>0</v>
      </c>
      <c r="AK9" s="1">
        <f t="shared" si="4"/>
        <v>0</v>
      </c>
    </row>
    <row r="10" spans="1:256" ht="14.1" customHeight="1" x14ac:dyDescent="0.2">
      <c r="A10" s="16">
        <v>2</v>
      </c>
      <c r="B10" s="65"/>
      <c r="C10" s="118" t="str">
        <f>TRIM(ANUAL!C14)</f>
        <v>INV1</v>
      </c>
      <c r="D10" s="119" t="str">
        <f>TRIM(ANUAL!D14)</f>
        <v>POUPANÇA BANCO 1</v>
      </c>
      <c r="E10" s="120">
        <f t="shared" ref="E10:E20" ca="1" si="5">INDIRECT("M"&amp;B$2-1&amp;"!G"&amp;A10+ROW(A$8))</f>
        <v>0</v>
      </c>
      <c r="F10" s="120">
        <f t="shared" ca="1" si="0"/>
        <v>0</v>
      </c>
      <c r="G10" s="120">
        <f t="shared" ca="1" si="1"/>
        <v>0</v>
      </c>
      <c r="H10" s="62"/>
      <c r="J10" s="3" t="b">
        <f t="shared" si="2"/>
        <v>0</v>
      </c>
      <c r="K10" s="3" t="b">
        <f t="shared" si="2"/>
        <v>1</v>
      </c>
      <c r="L10" s="3" t="b">
        <f t="shared" si="2"/>
        <v>0</v>
      </c>
      <c r="N10" s="16">
        <v>2</v>
      </c>
      <c r="O10" s="65"/>
      <c r="P10" s="55"/>
      <c r="Q10" s="56"/>
      <c r="R10" s="57"/>
      <c r="S10" s="58"/>
      <c r="T10" s="59"/>
      <c r="U10" s="60"/>
      <c r="V10" s="62"/>
      <c r="X10" s="1">
        <f t="shared" ca="1" si="3"/>
        <v>1</v>
      </c>
      <c r="Z10" s="1">
        <f t="shared" si="4"/>
        <v>0</v>
      </c>
      <c r="AA10" s="1">
        <f t="shared" si="4"/>
        <v>0</v>
      </c>
      <c r="AB10" s="1">
        <f t="shared" si="4"/>
        <v>0</v>
      </c>
      <c r="AC10" s="1">
        <f t="shared" si="4"/>
        <v>0</v>
      </c>
      <c r="AD10" s="1">
        <f t="shared" si="4"/>
        <v>0</v>
      </c>
      <c r="AE10" s="1">
        <f t="shared" si="4"/>
        <v>0</v>
      </c>
      <c r="AF10" s="1">
        <f t="shared" si="4"/>
        <v>0</v>
      </c>
      <c r="AG10" s="1">
        <f t="shared" si="4"/>
        <v>0</v>
      </c>
      <c r="AH10" s="1">
        <f t="shared" si="4"/>
        <v>0</v>
      </c>
      <c r="AI10" s="1">
        <f t="shared" si="4"/>
        <v>0</v>
      </c>
      <c r="AJ10" s="1">
        <f t="shared" si="4"/>
        <v>0</v>
      </c>
      <c r="AK10" s="1">
        <f t="shared" si="4"/>
        <v>0</v>
      </c>
    </row>
    <row r="11" spans="1:256" ht="14.1" customHeight="1" x14ac:dyDescent="0.2">
      <c r="A11" s="12">
        <v>3</v>
      </c>
      <c r="B11" s="65"/>
      <c r="C11" s="115" t="str">
        <f>TRIM(ANUAL!C15)</f>
        <v>DINH1</v>
      </c>
      <c r="D11" s="116" t="str">
        <f>TRIM(ANUAL!D15)</f>
        <v>EM ESPÉCIE</v>
      </c>
      <c r="E11" s="117">
        <f t="shared" ca="1" si="5"/>
        <v>0</v>
      </c>
      <c r="F11" s="117">
        <f t="shared" ca="1" si="0"/>
        <v>0</v>
      </c>
      <c r="G11" s="117">
        <f t="shared" ca="1" si="1"/>
        <v>0</v>
      </c>
      <c r="H11" s="62"/>
      <c r="J11" s="3" t="b">
        <f t="shared" si="2"/>
        <v>0</v>
      </c>
      <c r="K11" s="3" t="b">
        <f t="shared" si="2"/>
        <v>0</v>
      </c>
      <c r="L11" s="3" t="b">
        <f t="shared" si="2"/>
        <v>1</v>
      </c>
      <c r="N11" s="12">
        <v>3</v>
      </c>
      <c r="O11" s="65"/>
      <c r="P11" s="49"/>
      <c r="Q11" s="50"/>
      <c r="R11" s="51"/>
      <c r="S11" s="52"/>
      <c r="T11" s="53"/>
      <c r="U11" s="54"/>
      <c r="V11" s="62"/>
      <c r="X11" s="1">
        <f t="shared" ca="1" si="3"/>
        <v>1</v>
      </c>
      <c r="Z11" s="1">
        <f t="shared" si="4"/>
        <v>0</v>
      </c>
      <c r="AA11" s="1">
        <f t="shared" si="4"/>
        <v>0</v>
      </c>
      <c r="AB11" s="1">
        <f t="shared" si="4"/>
        <v>0</v>
      </c>
      <c r="AC11" s="1">
        <f t="shared" si="4"/>
        <v>0</v>
      </c>
      <c r="AD11" s="1">
        <f t="shared" si="4"/>
        <v>0</v>
      </c>
      <c r="AE11" s="1">
        <f t="shared" si="4"/>
        <v>0</v>
      </c>
      <c r="AF11" s="1">
        <f t="shared" si="4"/>
        <v>0</v>
      </c>
      <c r="AG11" s="1">
        <f t="shared" si="4"/>
        <v>0</v>
      </c>
      <c r="AH11" s="1">
        <f t="shared" si="4"/>
        <v>0</v>
      </c>
      <c r="AI11" s="1">
        <f t="shared" si="4"/>
        <v>0</v>
      </c>
      <c r="AJ11" s="1">
        <f t="shared" si="4"/>
        <v>0</v>
      </c>
      <c r="AK11" s="1">
        <f t="shared" si="4"/>
        <v>0</v>
      </c>
    </row>
    <row r="12" spans="1:256" ht="14.1" customHeight="1" x14ac:dyDescent="0.2">
      <c r="A12" s="16">
        <v>4</v>
      </c>
      <c r="B12" s="65"/>
      <c r="C12" s="118" t="str">
        <f>TRIM(ANUAL!C16)</f>
        <v>CRED1</v>
      </c>
      <c r="D12" s="119" t="str">
        <f>TRIM(ANUAL!D16)</f>
        <v>CARTÃO DE CRÉDITO 1</v>
      </c>
      <c r="E12" s="120">
        <f t="shared" ca="1" si="5"/>
        <v>0</v>
      </c>
      <c r="F12" s="120">
        <f t="shared" ca="1" si="0"/>
        <v>0</v>
      </c>
      <c r="G12" s="120">
        <f t="shared" ca="1" si="1"/>
        <v>0</v>
      </c>
      <c r="H12" s="62"/>
      <c r="J12" s="3" t="b">
        <f t="shared" si="2"/>
        <v>0</v>
      </c>
      <c r="K12" s="3" t="b">
        <f t="shared" si="2"/>
        <v>0</v>
      </c>
      <c r="L12" s="3" t="b">
        <f t="shared" si="2"/>
        <v>0</v>
      </c>
      <c r="N12" s="16">
        <v>4</v>
      </c>
      <c r="O12" s="65"/>
      <c r="P12" s="55"/>
      <c r="Q12" s="56"/>
      <c r="R12" s="57"/>
      <c r="S12" s="58"/>
      <c r="T12" s="59"/>
      <c r="U12" s="60"/>
      <c r="V12" s="62"/>
      <c r="X12" s="1">
        <f t="shared" ca="1" si="3"/>
        <v>1</v>
      </c>
      <c r="Z12" s="1">
        <f t="shared" si="4"/>
        <v>0</v>
      </c>
      <c r="AA12" s="1">
        <f t="shared" si="4"/>
        <v>0</v>
      </c>
      <c r="AB12" s="1">
        <f t="shared" si="4"/>
        <v>0</v>
      </c>
      <c r="AC12" s="1">
        <f t="shared" si="4"/>
        <v>0</v>
      </c>
      <c r="AD12" s="1">
        <f t="shared" si="4"/>
        <v>0</v>
      </c>
      <c r="AE12" s="1">
        <f t="shared" si="4"/>
        <v>0</v>
      </c>
      <c r="AF12" s="1">
        <f t="shared" si="4"/>
        <v>0</v>
      </c>
      <c r="AG12" s="1">
        <f t="shared" si="4"/>
        <v>0</v>
      </c>
      <c r="AH12" s="1">
        <f t="shared" si="4"/>
        <v>0</v>
      </c>
      <c r="AI12" s="1">
        <f t="shared" si="4"/>
        <v>0</v>
      </c>
      <c r="AJ12" s="1">
        <f t="shared" si="4"/>
        <v>0</v>
      </c>
      <c r="AK12" s="1">
        <f t="shared" si="4"/>
        <v>0</v>
      </c>
    </row>
    <row r="13" spans="1:256" ht="14.1" customHeight="1" x14ac:dyDescent="0.2">
      <c r="A13" s="12">
        <v>5</v>
      </c>
      <c r="B13" s="65"/>
      <c r="C13" s="115" t="str">
        <f>TRIM(ANUAL!C17)</f>
        <v>---</v>
      </c>
      <c r="D13" s="116" t="str">
        <f>TRIM(ANUAL!D17)</f>
        <v/>
      </c>
      <c r="E13" s="117">
        <f t="shared" ca="1" si="5"/>
        <v>0</v>
      </c>
      <c r="F13" s="117">
        <f t="shared" ca="1" si="0"/>
        <v>0</v>
      </c>
      <c r="G13" s="117">
        <f t="shared" ca="1" si="1"/>
        <v>0</v>
      </c>
      <c r="H13" s="62"/>
      <c r="J13" s="3" t="b">
        <f t="shared" si="2"/>
        <v>0</v>
      </c>
      <c r="K13" s="3" t="b">
        <f t="shared" si="2"/>
        <v>0</v>
      </c>
      <c r="L13" s="3" t="b">
        <f t="shared" si="2"/>
        <v>0</v>
      </c>
      <c r="N13" s="12">
        <v>5</v>
      </c>
      <c r="O13" s="65"/>
      <c r="P13" s="49"/>
      <c r="Q13" s="50"/>
      <c r="R13" s="51"/>
      <c r="S13" s="52"/>
      <c r="T13" s="53"/>
      <c r="U13" s="54"/>
      <c r="V13" s="62"/>
      <c r="X13" s="1">
        <f t="shared" ca="1" si="3"/>
        <v>1</v>
      </c>
      <c r="Z13" s="1">
        <f t="shared" si="4"/>
        <v>0</v>
      </c>
      <c r="AA13" s="1">
        <f t="shared" si="4"/>
        <v>0</v>
      </c>
      <c r="AB13" s="1">
        <f t="shared" si="4"/>
        <v>0</v>
      </c>
      <c r="AC13" s="1">
        <f t="shared" si="4"/>
        <v>0</v>
      </c>
      <c r="AD13" s="1">
        <f t="shared" si="4"/>
        <v>0</v>
      </c>
      <c r="AE13" s="1">
        <f t="shared" si="4"/>
        <v>0</v>
      </c>
      <c r="AF13" s="1">
        <f t="shared" si="4"/>
        <v>0</v>
      </c>
      <c r="AG13" s="1">
        <f t="shared" si="4"/>
        <v>0</v>
      </c>
      <c r="AH13" s="1">
        <f t="shared" si="4"/>
        <v>0</v>
      </c>
      <c r="AI13" s="1">
        <f t="shared" si="4"/>
        <v>0</v>
      </c>
      <c r="AJ13" s="1">
        <f t="shared" si="4"/>
        <v>0</v>
      </c>
      <c r="AK13" s="1">
        <f t="shared" si="4"/>
        <v>0</v>
      </c>
    </row>
    <row r="14" spans="1:256" ht="14.1" customHeight="1" x14ac:dyDescent="0.2">
      <c r="A14" s="16">
        <v>6</v>
      </c>
      <c r="B14" s="65"/>
      <c r="C14" s="118" t="str">
        <f>TRIM(ANUAL!C18)</f>
        <v>---</v>
      </c>
      <c r="D14" s="119" t="str">
        <f>TRIM(ANUAL!D18)</f>
        <v/>
      </c>
      <c r="E14" s="120">
        <f t="shared" ca="1" si="5"/>
        <v>0</v>
      </c>
      <c r="F14" s="120">
        <f t="shared" ca="1" si="0"/>
        <v>0</v>
      </c>
      <c r="G14" s="120">
        <f t="shared" ca="1" si="1"/>
        <v>0</v>
      </c>
      <c r="H14" s="62"/>
      <c r="J14" s="3" t="b">
        <f t="shared" si="2"/>
        <v>0</v>
      </c>
      <c r="K14" s="3" t="b">
        <f t="shared" si="2"/>
        <v>0</v>
      </c>
      <c r="L14" s="3" t="b">
        <f t="shared" si="2"/>
        <v>0</v>
      </c>
      <c r="N14" s="16">
        <v>6</v>
      </c>
      <c r="O14" s="65"/>
      <c r="P14" s="55"/>
      <c r="Q14" s="56"/>
      <c r="R14" s="57"/>
      <c r="S14" s="58"/>
      <c r="T14" s="59"/>
      <c r="U14" s="60"/>
      <c r="V14" s="62"/>
      <c r="X14" s="1">
        <f t="shared" ca="1" si="3"/>
        <v>1</v>
      </c>
      <c r="Z14" s="1">
        <f t="shared" si="4"/>
        <v>0</v>
      </c>
      <c r="AA14" s="1">
        <f t="shared" si="4"/>
        <v>0</v>
      </c>
      <c r="AB14" s="1">
        <f t="shared" si="4"/>
        <v>0</v>
      </c>
      <c r="AC14" s="1">
        <f t="shared" si="4"/>
        <v>0</v>
      </c>
      <c r="AD14" s="1">
        <f t="shared" si="4"/>
        <v>0</v>
      </c>
      <c r="AE14" s="1">
        <f t="shared" si="4"/>
        <v>0</v>
      </c>
      <c r="AF14" s="1">
        <f t="shared" si="4"/>
        <v>0</v>
      </c>
      <c r="AG14" s="1">
        <f t="shared" si="4"/>
        <v>0</v>
      </c>
      <c r="AH14" s="1">
        <f t="shared" si="4"/>
        <v>0</v>
      </c>
      <c r="AI14" s="1">
        <f t="shared" si="4"/>
        <v>0</v>
      </c>
      <c r="AJ14" s="1">
        <f t="shared" si="4"/>
        <v>0</v>
      </c>
      <c r="AK14" s="1">
        <f t="shared" si="4"/>
        <v>0</v>
      </c>
    </row>
    <row r="15" spans="1:256" ht="14.1" customHeight="1" x14ac:dyDescent="0.2">
      <c r="A15" s="12">
        <v>7</v>
      </c>
      <c r="B15" s="65"/>
      <c r="C15" s="115" t="str">
        <f>TRIM(ANUAL!C19)</f>
        <v>---</v>
      </c>
      <c r="D15" s="116" t="str">
        <f>TRIM(ANUAL!D19)</f>
        <v/>
      </c>
      <c r="E15" s="117">
        <f t="shared" ca="1" si="5"/>
        <v>0</v>
      </c>
      <c r="F15" s="117">
        <f t="shared" ca="1" si="0"/>
        <v>0</v>
      </c>
      <c r="G15" s="117">
        <f t="shared" ca="1" si="1"/>
        <v>0</v>
      </c>
      <c r="H15" s="62"/>
      <c r="J15" s="3" t="b">
        <f t="shared" si="2"/>
        <v>0</v>
      </c>
      <c r="K15" s="3" t="b">
        <f t="shared" si="2"/>
        <v>0</v>
      </c>
      <c r="L15" s="3" t="b">
        <f t="shared" si="2"/>
        <v>0</v>
      </c>
      <c r="N15" s="12">
        <v>7</v>
      </c>
      <c r="O15" s="65"/>
      <c r="P15" s="49"/>
      <c r="Q15" s="50"/>
      <c r="R15" s="51"/>
      <c r="S15" s="52"/>
      <c r="T15" s="53"/>
      <c r="U15" s="54"/>
      <c r="V15" s="62"/>
      <c r="X15" s="1">
        <f t="shared" ca="1" si="3"/>
        <v>1</v>
      </c>
      <c r="Z15" s="1">
        <f t="shared" si="4"/>
        <v>0</v>
      </c>
      <c r="AA15" s="1">
        <f t="shared" si="4"/>
        <v>0</v>
      </c>
      <c r="AB15" s="1">
        <f t="shared" si="4"/>
        <v>0</v>
      </c>
      <c r="AC15" s="1">
        <f t="shared" si="4"/>
        <v>0</v>
      </c>
      <c r="AD15" s="1">
        <f t="shared" si="4"/>
        <v>0</v>
      </c>
      <c r="AE15" s="1">
        <f t="shared" si="4"/>
        <v>0</v>
      </c>
      <c r="AF15" s="1">
        <f t="shared" si="4"/>
        <v>0</v>
      </c>
      <c r="AG15" s="1">
        <f t="shared" si="4"/>
        <v>0</v>
      </c>
      <c r="AH15" s="1">
        <f t="shared" si="4"/>
        <v>0</v>
      </c>
      <c r="AI15" s="1">
        <f t="shared" si="4"/>
        <v>0</v>
      </c>
      <c r="AJ15" s="1">
        <f t="shared" si="4"/>
        <v>0</v>
      </c>
      <c r="AK15" s="1">
        <f t="shared" si="4"/>
        <v>0</v>
      </c>
    </row>
    <row r="16" spans="1:256" ht="14.1" customHeight="1" x14ac:dyDescent="0.2">
      <c r="A16" s="16">
        <v>8</v>
      </c>
      <c r="B16" s="65"/>
      <c r="C16" s="118" t="str">
        <f>TRIM(ANUAL!C20)</f>
        <v>---</v>
      </c>
      <c r="D16" s="119" t="str">
        <f>TRIM(ANUAL!D20)</f>
        <v/>
      </c>
      <c r="E16" s="120">
        <f t="shared" ca="1" si="5"/>
        <v>0</v>
      </c>
      <c r="F16" s="120">
        <f t="shared" ca="1" si="0"/>
        <v>0</v>
      </c>
      <c r="G16" s="120">
        <f t="shared" ca="1" si="1"/>
        <v>0</v>
      </c>
      <c r="H16" s="62"/>
      <c r="J16" s="3" t="b">
        <f t="shared" si="2"/>
        <v>0</v>
      </c>
      <c r="K16" s="3" t="b">
        <f t="shared" si="2"/>
        <v>0</v>
      </c>
      <c r="L16" s="3" t="b">
        <f t="shared" si="2"/>
        <v>0</v>
      </c>
      <c r="N16" s="16">
        <v>8</v>
      </c>
      <c r="O16" s="65"/>
      <c r="P16" s="55"/>
      <c r="Q16" s="56"/>
      <c r="R16" s="57"/>
      <c r="S16" s="58"/>
      <c r="T16" s="59"/>
      <c r="U16" s="60"/>
      <c r="V16" s="62"/>
      <c r="X16" s="1">
        <f t="shared" ca="1" si="3"/>
        <v>1</v>
      </c>
      <c r="Z16" s="1">
        <f t="shared" si="4"/>
        <v>0</v>
      </c>
      <c r="AA16" s="1">
        <f t="shared" si="4"/>
        <v>0</v>
      </c>
      <c r="AB16" s="1">
        <f t="shared" si="4"/>
        <v>0</v>
      </c>
      <c r="AC16" s="1">
        <f t="shared" si="4"/>
        <v>0</v>
      </c>
      <c r="AD16" s="1">
        <f t="shared" si="4"/>
        <v>0</v>
      </c>
      <c r="AE16" s="1">
        <f t="shared" si="4"/>
        <v>0</v>
      </c>
      <c r="AF16" s="1">
        <f t="shared" si="4"/>
        <v>0</v>
      </c>
      <c r="AG16" s="1">
        <f t="shared" si="4"/>
        <v>0</v>
      </c>
      <c r="AH16" s="1">
        <f t="shared" si="4"/>
        <v>0</v>
      </c>
      <c r="AI16" s="1">
        <f t="shared" si="4"/>
        <v>0</v>
      </c>
      <c r="AJ16" s="1">
        <f t="shared" si="4"/>
        <v>0</v>
      </c>
      <c r="AK16" s="1">
        <f t="shared" si="4"/>
        <v>0</v>
      </c>
    </row>
    <row r="17" spans="1:37" ht="14.1" customHeight="1" x14ac:dyDescent="0.2">
      <c r="A17" s="12">
        <v>9</v>
      </c>
      <c r="B17" s="65"/>
      <c r="C17" s="115" t="str">
        <f>TRIM(ANUAL!C21)</f>
        <v>---</v>
      </c>
      <c r="D17" s="116" t="str">
        <f>TRIM(ANUAL!D21)</f>
        <v/>
      </c>
      <c r="E17" s="117">
        <f t="shared" ca="1" si="5"/>
        <v>0</v>
      </c>
      <c r="F17" s="117">
        <f t="shared" ca="1" si="0"/>
        <v>0</v>
      </c>
      <c r="G17" s="117">
        <f t="shared" ca="1" si="1"/>
        <v>0</v>
      </c>
      <c r="H17" s="62"/>
      <c r="J17" s="3" t="b">
        <f t="shared" si="2"/>
        <v>0</v>
      </c>
      <c r="K17" s="3" t="b">
        <f t="shared" si="2"/>
        <v>0</v>
      </c>
      <c r="L17" s="3" t="b">
        <f t="shared" si="2"/>
        <v>0</v>
      </c>
      <c r="N17" s="12">
        <v>9</v>
      </c>
      <c r="O17" s="65"/>
      <c r="P17" s="49"/>
      <c r="Q17" s="50"/>
      <c r="R17" s="51"/>
      <c r="S17" s="52"/>
      <c r="T17" s="53"/>
      <c r="U17" s="54"/>
      <c r="V17" s="62"/>
      <c r="X17" s="1">
        <f t="shared" ca="1" si="3"/>
        <v>1</v>
      </c>
      <c r="Z17" s="1">
        <f t="shared" si="4"/>
        <v>0</v>
      </c>
      <c r="AA17" s="1">
        <f t="shared" si="4"/>
        <v>0</v>
      </c>
      <c r="AB17" s="1">
        <f t="shared" si="4"/>
        <v>0</v>
      </c>
      <c r="AC17" s="1">
        <f t="shared" si="4"/>
        <v>0</v>
      </c>
      <c r="AD17" s="1">
        <f t="shared" si="4"/>
        <v>0</v>
      </c>
      <c r="AE17" s="1">
        <f t="shared" si="4"/>
        <v>0</v>
      </c>
      <c r="AF17" s="1">
        <f t="shared" si="4"/>
        <v>0</v>
      </c>
      <c r="AG17" s="1">
        <f t="shared" si="4"/>
        <v>0</v>
      </c>
      <c r="AH17" s="1">
        <f t="shared" si="4"/>
        <v>0</v>
      </c>
      <c r="AI17" s="1">
        <f t="shared" si="4"/>
        <v>0</v>
      </c>
      <c r="AJ17" s="1">
        <f t="shared" si="4"/>
        <v>0</v>
      </c>
      <c r="AK17" s="1">
        <f t="shared" si="4"/>
        <v>0</v>
      </c>
    </row>
    <row r="18" spans="1:37" ht="14.1" customHeight="1" x14ac:dyDescent="0.2">
      <c r="A18" s="16">
        <v>10</v>
      </c>
      <c r="B18" s="65"/>
      <c r="C18" s="118" t="str">
        <f>TRIM(ANUAL!C22)</f>
        <v>---</v>
      </c>
      <c r="D18" s="119" t="str">
        <f>TRIM(ANUAL!D22)</f>
        <v/>
      </c>
      <c r="E18" s="120">
        <f t="shared" ca="1" si="5"/>
        <v>0</v>
      </c>
      <c r="F18" s="120">
        <f t="shared" ca="1" si="0"/>
        <v>0</v>
      </c>
      <c r="G18" s="120">
        <f t="shared" ca="1" si="1"/>
        <v>0</v>
      </c>
      <c r="H18" s="62"/>
      <c r="J18" s="3" t="b">
        <f t="shared" si="2"/>
        <v>0</v>
      </c>
      <c r="K18" s="3" t="b">
        <f t="shared" si="2"/>
        <v>0</v>
      </c>
      <c r="L18" s="3" t="b">
        <f t="shared" si="2"/>
        <v>0</v>
      </c>
      <c r="N18" s="16">
        <v>10</v>
      </c>
      <c r="O18" s="65"/>
      <c r="P18" s="55"/>
      <c r="Q18" s="56"/>
      <c r="R18" s="57"/>
      <c r="S18" s="58"/>
      <c r="T18" s="59"/>
      <c r="U18" s="60"/>
      <c r="V18" s="62"/>
      <c r="X18" s="1">
        <f t="shared" ca="1" si="3"/>
        <v>1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C18" s="1">
        <f t="shared" si="4"/>
        <v>0</v>
      </c>
      <c r="AD18" s="1">
        <f t="shared" si="4"/>
        <v>0</v>
      </c>
      <c r="AE18" s="1">
        <f t="shared" si="4"/>
        <v>0</v>
      </c>
      <c r="AF18" s="1">
        <f t="shared" si="4"/>
        <v>0</v>
      </c>
      <c r="AG18" s="1">
        <f t="shared" si="4"/>
        <v>0</v>
      </c>
      <c r="AH18" s="1">
        <f t="shared" si="4"/>
        <v>0</v>
      </c>
      <c r="AI18" s="1">
        <f t="shared" si="4"/>
        <v>0</v>
      </c>
      <c r="AJ18" s="1">
        <f t="shared" si="4"/>
        <v>0</v>
      </c>
      <c r="AK18" s="1">
        <f t="shared" si="4"/>
        <v>0</v>
      </c>
    </row>
    <row r="19" spans="1:37" ht="14.1" customHeight="1" x14ac:dyDescent="0.2">
      <c r="A19" s="12">
        <v>11</v>
      </c>
      <c r="B19" s="65"/>
      <c r="C19" s="115" t="str">
        <f>TRIM(ANUAL!C23)</f>
        <v>---</v>
      </c>
      <c r="D19" s="116" t="str">
        <f>TRIM(ANUAL!D23)</f>
        <v/>
      </c>
      <c r="E19" s="117">
        <f t="shared" ca="1" si="5"/>
        <v>0</v>
      </c>
      <c r="F19" s="117">
        <f t="shared" ca="1" si="0"/>
        <v>0</v>
      </c>
      <c r="G19" s="117">
        <f t="shared" ca="1" si="1"/>
        <v>0</v>
      </c>
      <c r="H19" s="62"/>
      <c r="J19" s="3" t="b">
        <f t="shared" si="2"/>
        <v>0</v>
      </c>
      <c r="K19" s="3" t="b">
        <f t="shared" si="2"/>
        <v>0</v>
      </c>
      <c r="L19" s="3" t="b">
        <f t="shared" si="2"/>
        <v>0</v>
      </c>
      <c r="N19" s="12">
        <v>11</v>
      </c>
      <c r="O19" s="65"/>
      <c r="P19" s="49"/>
      <c r="Q19" s="50"/>
      <c r="R19" s="51"/>
      <c r="S19" s="52"/>
      <c r="T19" s="53"/>
      <c r="U19" s="54"/>
      <c r="V19" s="62"/>
      <c r="X19" s="1">
        <f t="shared" ca="1" si="3"/>
        <v>1</v>
      </c>
      <c r="Z19" s="1">
        <f t="shared" ref="Z19:AK28" si="6">IF(Z$8=$R19,-$T19,0)+IF(Z$8=$S19,$T19,0)</f>
        <v>0</v>
      </c>
      <c r="AA19" s="1">
        <f t="shared" si="6"/>
        <v>0</v>
      </c>
      <c r="AB19" s="1">
        <f t="shared" si="6"/>
        <v>0</v>
      </c>
      <c r="AC19" s="1">
        <f t="shared" si="6"/>
        <v>0</v>
      </c>
      <c r="AD19" s="1">
        <f t="shared" si="6"/>
        <v>0</v>
      </c>
      <c r="AE19" s="1">
        <f t="shared" si="6"/>
        <v>0</v>
      </c>
      <c r="AF19" s="1">
        <f t="shared" si="6"/>
        <v>0</v>
      </c>
      <c r="AG19" s="1">
        <f t="shared" si="6"/>
        <v>0</v>
      </c>
      <c r="AH19" s="1">
        <f t="shared" si="6"/>
        <v>0</v>
      </c>
      <c r="AI19" s="1">
        <f t="shared" si="6"/>
        <v>0</v>
      </c>
      <c r="AJ19" s="1">
        <f t="shared" si="6"/>
        <v>0</v>
      </c>
      <c r="AK19" s="1">
        <f t="shared" si="6"/>
        <v>0</v>
      </c>
    </row>
    <row r="20" spans="1:37" ht="14.1" customHeight="1" x14ac:dyDescent="0.2">
      <c r="A20" s="16">
        <v>12</v>
      </c>
      <c r="B20" s="65"/>
      <c r="C20" s="121" t="str">
        <f>TRIM(ANUAL!C24)</f>
        <v>---</v>
      </c>
      <c r="D20" s="122" t="str">
        <f>TRIM(ANUAL!D24)</f>
        <v/>
      </c>
      <c r="E20" s="123">
        <f t="shared" ca="1" si="5"/>
        <v>0</v>
      </c>
      <c r="F20" s="123">
        <f t="shared" ca="1" si="0"/>
        <v>0</v>
      </c>
      <c r="G20" s="123">
        <f t="shared" ca="1" si="1"/>
        <v>0</v>
      </c>
      <c r="H20" s="62"/>
      <c r="J20" s="3" t="b">
        <f t="shared" si="2"/>
        <v>0</v>
      </c>
      <c r="K20" s="3" t="b">
        <f t="shared" si="2"/>
        <v>0</v>
      </c>
      <c r="L20" s="3" t="b">
        <f t="shared" si="2"/>
        <v>0</v>
      </c>
      <c r="N20" s="16">
        <v>12</v>
      </c>
      <c r="O20" s="65"/>
      <c r="P20" s="55"/>
      <c r="Q20" s="56"/>
      <c r="R20" s="57"/>
      <c r="S20" s="58"/>
      <c r="T20" s="59"/>
      <c r="U20" s="60"/>
      <c r="V20" s="62"/>
      <c r="X20" s="1">
        <f t="shared" ca="1" si="3"/>
        <v>1</v>
      </c>
      <c r="Z20" s="1">
        <f t="shared" si="6"/>
        <v>0</v>
      </c>
      <c r="AA20" s="1">
        <f t="shared" si="6"/>
        <v>0</v>
      </c>
      <c r="AB20" s="1">
        <f t="shared" si="6"/>
        <v>0</v>
      </c>
      <c r="AC20" s="1">
        <f t="shared" si="6"/>
        <v>0</v>
      </c>
      <c r="AD20" s="1">
        <f t="shared" si="6"/>
        <v>0</v>
      </c>
      <c r="AE20" s="1">
        <f t="shared" si="6"/>
        <v>0</v>
      </c>
      <c r="AF20" s="1">
        <f t="shared" si="6"/>
        <v>0</v>
      </c>
      <c r="AG20" s="1">
        <f t="shared" si="6"/>
        <v>0</v>
      </c>
      <c r="AH20" s="1">
        <f t="shared" si="6"/>
        <v>0</v>
      </c>
      <c r="AI20" s="1">
        <f t="shared" si="6"/>
        <v>0</v>
      </c>
      <c r="AJ20" s="1">
        <f t="shared" si="6"/>
        <v>0</v>
      </c>
      <c r="AK20" s="1">
        <f t="shared" si="6"/>
        <v>0</v>
      </c>
    </row>
    <row r="21" spans="1:37" ht="14.1" customHeight="1" x14ac:dyDescent="0.2">
      <c r="B21" s="128"/>
      <c r="C21" s="129"/>
      <c r="D21" s="130"/>
      <c r="E21" s="130"/>
      <c r="F21" s="130"/>
      <c r="G21" s="130"/>
      <c r="H21" s="131"/>
      <c r="N21" s="12">
        <v>13</v>
      </c>
      <c r="O21" s="65"/>
      <c r="P21" s="49"/>
      <c r="Q21" s="50"/>
      <c r="R21" s="51"/>
      <c r="S21" s="52"/>
      <c r="T21" s="53"/>
      <c r="U21" s="54"/>
      <c r="V21" s="62"/>
      <c r="X21" s="1">
        <f t="shared" ca="1" si="3"/>
        <v>1</v>
      </c>
      <c r="Z21" s="1">
        <f t="shared" si="6"/>
        <v>0</v>
      </c>
      <c r="AA21" s="1">
        <f t="shared" si="6"/>
        <v>0</v>
      </c>
      <c r="AB21" s="1">
        <f t="shared" si="6"/>
        <v>0</v>
      </c>
      <c r="AC21" s="1">
        <f t="shared" si="6"/>
        <v>0</v>
      </c>
      <c r="AD21" s="1">
        <f t="shared" si="6"/>
        <v>0</v>
      </c>
      <c r="AE21" s="1">
        <f t="shared" si="6"/>
        <v>0</v>
      </c>
      <c r="AF21" s="1">
        <f t="shared" si="6"/>
        <v>0</v>
      </c>
      <c r="AG21" s="1">
        <f t="shared" si="6"/>
        <v>0</v>
      </c>
      <c r="AH21" s="1">
        <f t="shared" si="6"/>
        <v>0</v>
      </c>
      <c r="AI21" s="1">
        <f t="shared" si="6"/>
        <v>0</v>
      </c>
      <c r="AJ21" s="1">
        <f t="shared" si="6"/>
        <v>0</v>
      </c>
      <c r="AK21" s="1">
        <f t="shared" si="6"/>
        <v>0</v>
      </c>
    </row>
    <row r="22" spans="1:37" ht="14.1" customHeight="1" x14ac:dyDescent="0.2">
      <c r="J22" s="29"/>
      <c r="K22" s="29"/>
      <c r="L22" s="29"/>
      <c r="N22" s="16">
        <v>14</v>
      </c>
      <c r="O22" s="65"/>
      <c r="P22" s="55"/>
      <c r="Q22" s="56"/>
      <c r="R22" s="57"/>
      <c r="S22" s="58"/>
      <c r="T22" s="59"/>
      <c r="U22" s="60"/>
      <c r="V22" s="62"/>
      <c r="X22" s="1">
        <f t="shared" ca="1" si="3"/>
        <v>1</v>
      </c>
      <c r="Z22" s="1">
        <f t="shared" si="6"/>
        <v>0</v>
      </c>
      <c r="AA22" s="1">
        <f t="shared" si="6"/>
        <v>0</v>
      </c>
      <c r="AB22" s="1">
        <f t="shared" si="6"/>
        <v>0</v>
      </c>
      <c r="AC22" s="1">
        <f t="shared" si="6"/>
        <v>0</v>
      </c>
      <c r="AD22" s="1">
        <f t="shared" si="6"/>
        <v>0</v>
      </c>
      <c r="AE22" s="1">
        <f t="shared" si="6"/>
        <v>0</v>
      </c>
      <c r="AF22" s="1">
        <f t="shared" si="6"/>
        <v>0</v>
      </c>
      <c r="AG22" s="1">
        <f t="shared" si="6"/>
        <v>0</v>
      </c>
      <c r="AH22" s="1">
        <f t="shared" si="6"/>
        <v>0</v>
      </c>
      <c r="AI22" s="1">
        <f t="shared" si="6"/>
        <v>0</v>
      </c>
      <c r="AJ22" s="1">
        <f t="shared" si="6"/>
        <v>0</v>
      </c>
      <c r="AK22" s="1">
        <f t="shared" si="6"/>
        <v>0</v>
      </c>
    </row>
    <row r="23" spans="1:37" ht="14.1" customHeight="1" x14ac:dyDescent="0.2">
      <c r="B23" s="77"/>
      <c r="C23" s="78"/>
      <c r="D23" s="79"/>
      <c r="E23" s="79"/>
      <c r="F23" s="79"/>
      <c r="G23" s="79"/>
      <c r="H23" s="80"/>
      <c r="I23" s="3"/>
      <c r="J23" s="3"/>
      <c r="K23" s="3"/>
      <c r="L23" s="3"/>
      <c r="M23" s="3"/>
      <c r="N23" s="12">
        <v>15</v>
      </c>
      <c r="O23" s="65"/>
      <c r="P23" s="49"/>
      <c r="Q23" s="50"/>
      <c r="R23" s="51"/>
      <c r="S23" s="52"/>
      <c r="T23" s="53"/>
      <c r="U23" s="54"/>
      <c r="V23" s="62"/>
      <c r="X23" s="1">
        <f t="shared" ca="1" si="3"/>
        <v>1</v>
      </c>
      <c r="Z23" s="1">
        <f t="shared" si="6"/>
        <v>0</v>
      </c>
      <c r="AA23" s="1">
        <f t="shared" si="6"/>
        <v>0</v>
      </c>
      <c r="AB23" s="1">
        <f t="shared" si="6"/>
        <v>0</v>
      </c>
      <c r="AC23" s="1">
        <f t="shared" si="6"/>
        <v>0</v>
      </c>
      <c r="AD23" s="1">
        <f t="shared" si="6"/>
        <v>0</v>
      </c>
      <c r="AE23" s="1">
        <f t="shared" si="6"/>
        <v>0</v>
      </c>
      <c r="AF23" s="1">
        <f t="shared" si="6"/>
        <v>0</v>
      </c>
      <c r="AG23" s="1">
        <f t="shared" si="6"/>
        <v>0</v>
      </c>
      <c r="AH23" s="1">
        <f t="shared" si="6"/>
        <v>0</v>
      </c>
      <c r="AI23" s="1">
        <f t="shared" si="6"/>
        <v>0</v>
      </c>
      <c r="AJ23" s="1">
        <f t="shared" si="6"/>
        <v>0</v>
      </c>
      <c r="AK23" s="1">
        <f t="shared" si="6"/>
        <v>0</v>
      </c>
    </row>
    <row r="24" spans="1:37" ht="14.1" customHeight="1" x14ac:dyDescent="0.2">
      <c r="B24" s="81"/>
      <c r="C24" s="285" t="s">
        <v>103</v>
      </c>
      <c r="D24" s="285"/>
      <c r="E24" s="285"/>
      <c r="F24" s="285"/>
      <c r="G24" s="285"/>
      <c r="H24" s="82"/>
      <c r="I24" s="3"/>
      <c r="J24" s="3"/>
      <c r="K24" s="3"/>
      <c r="L24" s="3"/>
      <c r="M24" s="3"/>
      <c r="N24" s="16">
        <v>16</v>
      </c>
      <c r="O24" s="65"/>
      <c r="P24" s="55"/>
      <c r="Q24" s="56"/>
      <c r="R24" s="57"/>
      <c r="S24" s="58"/>
      <c r="T24" s="59"/>
      <c r="U24" s="60"/>
      <c r="V24" s="62"/>
      <c r="X24" s="1">
        <f t="shared" ca="1" si="3"/>
        <v>1</v>
      </c>
      <c r="Z24" s="1">
        <f t="shared" si="6"/>
        <v>0</v>
      </c>
      <c r="AA24" s="1">
        <f t="shared" si="6"/>
        <v>0</v>
      </c>
      <c r="AB24" s="1">
        <f t="shared" si="6"/>
        <v>0</v>
      </c>
      <c r="AC24" s="1">
        <f t="shared" si="6"/>
        <v>0</v>
      </c>
      <c r="AD24" s="1">
        <f t="shared" si="6"/>
        <v>0</v>
      </c>
      <c r="AE24" s="1">
        <f t="shared" si="6"/>
        <v>0</v>
      </c>
      <c r="AF24" s="1">
        <f t="shared" si="6"/>
        <v>0</v>
      </c>
      <c r="AG24" s="1">
        <f t="shared" si="6"/>
        <v>0</v>
      </c>
      <c r="AH24" s="1">
        <f t="shared" si="6"/>
        <v>0</v>
      </c>
      <c r="AI24" s="1">
        <f t="shared" si="6"/>
        <v>0</v>
      </c>
      <c r="AJ24" s="1">
        <f t="shared" si="6"/>
        <v>0</v>
      </c>
      <c r="AK24" s="1">
        <f t="shared" si="6"/>
        <v>0</v>
      </c>
    </row>
    <row r="25" spans="1:37" ht="14.1" customHeight="1" x14ac:dyDescent="0.2">
      <c r="B25" s="81"/>
      <c r="C25" s="285"/>
      <c r="D25" s="285"/>
      <c r="E25" s="285"/>
      <c r="F25" s="285"/>
      <c r="G25" s="285"/>
      <c r="H25" s="82"/>
      <c r="I25" s="3"/>
      <c r="J25" s="3"/>
      <c r="K25" s="3"/>
      <c r="L25" s="3"/>
      <c r="M25" s="3"/>
      <c r="N25" s="12">
        <v>17</v>
      </c>
      <c r="O25" s="65"/>
      <c r="P25" s="49"/>
      <c r="Q25" s="50"/>
      <c r="R25" s="51"/>
      <c r="S25" s="52"/>
      <c r="T25" s="53"/>
      <c r="U25" s="54"/>
      <c r="V25" s="62"/>
      <c r="X25" s="1">
        <f t="shared" ca="1" si="3"/>
        <v>1</v>
      </c>
      <c r="Z25" s="1">
        <f t="shared" si="6"/>
        <v>0</v>
      </c>
      <c r="AA25" s="1">
        <f t="shared" si="6"/>
        <v>0</v>
      </c>
      <c r="AB25" s="1">
        <f t="shared" si="6"/>
        <v>0</v>
      </c>
      <c r="AC25" s="1">
        <f t="shared" si="6"/>
        <v>0</v>
      </c>
      <c r="AD25" s="1">
        <f t="shared" si="6"/>
        <v>0</v>
      </c>
      <c r="AE25" s="1">
        <f t="shared" si="6"/>
        <v>0</v>
      </c>
      <c r="AF25" s="1">
        <f t="shared" si="6"/>
        <v>0</v>
      </c>
      <c r="AG25" s="1">
        <f t="shared" si="6"/>
        <v>0</v>
      </c>
      <c r="AH25" s="1">
        <f t="shared" si="6"/>
        <v>0</v>
      </c>
      <c r="AI25" s="1">
        <f t="shared" si="6"/>
        <v>0</v>
      </c>
      <c r="AJ25" s="1">
        <f t="shared" si="6"/>
        <v>0</v>
      </c>
      <c r="AK25" s="1">
        <f t="shared" si="6"/>
        <v>0</v>
      </c>
    </row>
    <row r="26" spans="1:37" ht="14.1" customHeight="1" x14ac:dyDescent="0.2">
      <c r="B26" s="46"/>
      <c r="C26" s="271" t="s">
        <v>94</v>
      </c>
      <c r="D26" s="273" t="s">
        <v>5</v>
      </c>
      <c r="E26" s="275" t="s">
        <v>104</v>
      </c>
      <c r="F26" s="275" t="s">
        <v>89</v>
      </c>
      <c r="G26" s="276" t="s">
        <v>6</v>
      </c>
      <c r="H26" s="82"/>
      <c r="I26" s="3"/>
      <c r="J26" s="3"/>
      <c r="K26" s="3"/>
      <c r="L26" s="3"/>
      <c r="M26" s="3"/>
      <c r="N26" s="16">
        <v>18</v>
      </c>
      <c r="O26" s="65"/>
      <c r="P26" s="55"/>
      <c r="Q26" s="56"/>
      <c r="R26" s="57"/>
      <c r="S26" s="58"/>
      <c r="T26" s="59"/>
      <c r="U26" s="60"/>
      <c r="V26" s="62"/>
      <c r="X26" s="1">
        <f t="shared" ca="1" si="3"/>
        <v>1</v>
      </c>
      <c r="Z26" s="1">
        <f t="shared" si="6"/>
        <v>0</v>
      </c>
      <c r="AA26" s="1">
        <f t="shared" si="6"/>
        <v>0</v>
      </c>
      <c r="AB26" s="1">
        <f t="shared" si="6"/>
        <v>0</v>
      </c>
      <c r="AC26" s="1">
        <f t="shared" si="6"/>
        <v>0</v>
      </c>
      <c r="AD26" s="1">
        <f t="shared" si="6"/>
        <v>0</v>
      </c>
      <c r="AE26" s="1">
        <f t="shared" si="6"/>
        <v>0</v>
      </c>
      <c r="AF26" s="1">
        <f t="shared" si="6"/>
        <v>0</v>
      </c>
      <c r="AG26" s="1">
        <f t="shared" si="6"/>
        <v>0</v>
      </c>
      <c r="AH26" s="1">
        <f t="shared" si="6"/>
        <v>0</v>
      </c>
      <c r="AI26" s="1">
        <f t="shared" si="6"/>
        <v>0</v>
      </c>
      <c r="AJ26" s="1">
        <f t="shared" si="6"/>
        <v>0</v>
      </c>
      <c r="AK26" s="1">
        <f t="shared" si="6"/>
        <v>0</v>
      </c>
    </row>
    <row r="27" spans="1:37" ht="14.1" customHeight="1" x14ac:dyDescent="0.2">
      <c r="A27" s="3"/>
      <c r="B27" s="44"/>
      <c r="C27" s="272"/>
      <c r="D27" s="274"/>
      <c r="E27" s="99" t="s">
        <v>87</v>
      </c>
      <c r="F27" s="100" t="s">
        <v>89</v>
      </c>
      <c r="G27" s="98" t="s">
        <v>105</v>
      </c>
      <c r="H27" s="83"/>
      <c r="I27" s="3"/>
      <c r="J27" s="3" t="str">
        <f>ANUAL!C115</f>
        <v>CC</v>
      </c>
      <c r="K27" s="3" t="str">
        <f>ANUAL!C116</f>
        <v>INV</v>
      </c>
      <c r="L27" s="3" t="str">
        <f>ANUAL!C117</f>
        <v>DINH</v>
      </c>
      <c r="M27" s="3"/>
      <c r="N27" s="12">
        <v>19</v>
      </c>
      <c r="O27" s="65"/>
      <c r="P27" s="49"/>
      <c r="Q27" s="50"/>
      <c r="R27" s="51"/>
      <c r="S27" s="52"/>
      <c r="T27" s="53"/>
      <c r="U27" s="54"/>
      <c r="V27" s="62"/>
      <c r="X27" s="1">
        <f t="shared" ca="1" si="3"/>
        <v>1</v>
      </c>
      <c r="Z27" s="1">
        <f t="shared" si="6"/>
        <v>0</v>
      </c>
      <c r="AA27" s="1">
        <f t="shared" si="6"/>
        <v>0</v>
      </c>
      <c r="AB27" s="1">
        <f t="shared" si="6"/>
        <v>0</v>
      </c>
      <c r="AC27" s="1">
        <f t="shared" si="6"/>
        <v>0</v>
      </c>
      <c r="AD27" s="1">
        <f t="shared" si="6"/>
        <v>0</v>
      </c>
      <c r="AE27" s="1">
        <f t="shared" si="6"/>
        <v>0</v>
      </c>
      <c r="AF27" s="1">
        <f t="shared" si="6"/>
        <v>0</v>
      </c>
      <c r="AG27" s="1">
        <f t="shared" si="6"/>
        <v>0</v>
      </c>
      <c r="AH27" s="1">
        <f t="shared" si="6"/>
        <v>0</v>
      </c>
      <c r="AI27" s="1">
        <f t="shared" si="6"/>
        <v>0</v>
      </c>
      <c r="AJ27" s="1">
        <f t="shared" si="6"/>
        <v>0</v>
      </c>
      <c r="AK27" s="1">
        <f t="shared" si="6"/>
        <v>0</v>
      </c>
    </row>
    <row r="28" spans="1:37" ht="14.1" customHeight="1" x14ac:dyDescent="0.2">
      <c r="A28" s="12">
        <v>1</v>
      </c>
      <c r="B28" s="64"/>
      <c r="C28" s="115" t="str">
        <f t="shared" ref="C28:D39" si="7">C9</f>
        <v/>
      </c>
      <c r="D28" s="116" t="str">
        <f t="shared" si="7"/>
        <v>CONTA CORRENTE BANCO 1</v>
      </c>
      <c r="E28" s="117">
        <f t="shared" ref="E28:E39" ca="1" si="8">SUMIF(OFFSET($Z$9:$Z$88,0,A28-1),"&gt;0")</f>
        <v>0</v>
      </c>
      <c r="F28" s="117">
        <f t="shared" ref="F28:F39" ca="1" si="9">SUMIF(OFFSET($Z$9:$Z$88,0,A28-1),"&lt;0")</f>
        <v>0</v>
      </c>
      <c r="G28" s="117">
        <f t="shared" ref="G28:G39" ca="1" si="10">SUM(E28:F28)</f>
        <v>0</v>
      </c>
      <c r="H28" s="61"/>
      <c r="I28" s="3"/>
      <c r="J28" s="3" t="b">
        <f t="shared" ref="J28:L39" si="11">NOT(ISERR(SEARCH(J$27,$C28)))</f>
        <v>0</v>
      </c>
      <c r="K28" s="3" t="b">
        <f t="shared" si="11"/>
        <v>0</v>
      </c>
      <c r="L28" s="3" t="b">
        <f t="shared" si="11"/>
        <v>0</v>
      </c>
      <c r="M28" s="3"/>
      <c r="N28" s="16">
        <v>20</v>
      </c>
      <c r="O28" s="65"/>
      <c r="P28" s="55"/>
      <c r="Q28" s="56"/>
      <c r="R28" s="57"/>
      <c r="S28" s="58"/>
      <c r="T28" s="59"/>
      <c r="U28" s="60"/>
      <c r="V28" s="62"/>
      <c r="X28" s="1">
        <f t="shared" ca="1" si="3"/>
        <v>1</v>
      </c>
      <c r="Z28" s="1">
        <f t="shared" si="6"/>
        <v>0</v>
      </c>
      <c r="AA28" s="1">
        <f t="shared" si="6"/>
        <v>0</v>
      </c>
      <c r="AB28" s="1">
        <f t="shared" si="6"/>
        <v>0</v>
      </c>
      <c r="AC28" s="1">
        <f t="shared" si="6"/>
        <v>0</v>
      </c>
      <c r="AD28" s="1">
        <f t="shared" si="6"/>
        <v>0</v>
      </c>
      <c r="AE28" s="1">
        <f t="shared" si="6"/>
        <v>0</v>
      </c>
      <c r="AF28" s="1">
        <f t="shared" si="6"/>
        <v>0</v>
      </c>
      <c r="AG28" s="1">
        <f t="shared" si="6"/>
        <v>0</v>
      </c>
      <c r="AH28" s="1">
        <f t="shared" si="6"/>
        <v>0</v>
      </c>
      <c r="AI28" s="1">
        <f t="shared" si="6"/>
        <v>0</v>
      </c>
      <c r="AJ28" s="1">
        <f t="shared" si="6"/>
        <v>0</v>
      </c>
      <c r="AK28" s="1">
        <f t="shared" si="6"/>
        <v>0</v>
      </c>
    </row>
    <row r="29" spans="1:37" ht="14.1" customHeight="1" x14ac:dyDescent="0.2">
      <c r="A29" s="16">
        <v>2</v>
      </c>
      <c r="B29" s="65"/>
      <c r="C29" s="118" t="str">
        <f t="shared" si="7"/>
        <v>INV1</v>
      </c>
      <c r="D29" s="119" t="str">
        <f t="shared" si="7"/>
        <v>POUPANÇA BANCO 1</v>
      </c>
      <c r="E29" s="120">
        <f t="shared" ca="1" si="8"/>
        <v>0</v>
      </c>
      <c r="F29" s="120">
        <f t="shared" ca="1" si="9"/>
        <v>0</v>
      </c>
      <c r="G29" s="120">
        <f t="shared" ca="1" si="10"/>
        <v>0</v>
      </c>
      <c r="H29" s="62"/>
      <c r="I29" s="3"/>
      <c r="J29" s="3" t="b">
        <f t="shared" si="11"/>
        <v>0</v>
      </c>
      <c r="K29" s="3" t="b">
        <f t="shared" si="11"/>
        <v>1</v>
      </c>
      <c r="L29" s="3" t="b">
        <f t="shared" si="11"/>
        <v>0</v>
      </c>
      <c r="M29" s="3"/>
      <c r="N29" s="12">
        <v>21</v>
      </c>
      <c r="O29" s="65"/>
      <c r="P29" s="49"/>
      <c r="Q29" s="50"/>
      <c r="R29" s="51"/>
      <c r="S29" s="52"/>
      <c r="T29" s="53"/>
      <c r="U29" s="54"/>
      <c r="V29" s="62"/>
      <c r="X29" s="1">
        <f t="shared" ca="1" si="3"/>
        <v>1</v>
      </c>
      <c r="Z29" s="1">
        <f t="shared" ref="Z29:AK38" si="12">IF(Z$8=$R29,-$T29,0)+IF(Z$8=$S29,$T29,0)</f>
        <v>0</v>
      </c>
      <c r="AA29" s="1">
        <f t="shared" si="12"/>
        <v>0</v>
      </c>
      <c r="AB29" s="1">
        <f t="shared" si="12"/>
        <v>0</v>
      </c>
      <c r="AC29" s="1">
        <f t="shared" si="12"/>
        <v>0</v>
      </c>
      <c r="AD29" s="1">
        <f t="shared" si="12"/>
        <v>0</v>
      </c>
      <c r="AE29" s="1">
        <f t="shared" si="12"/>
        <v>0</v>
      </c>
      <c r="AF29" s="1">
        <f t="shared" si="12"/>
        <v>0</v>
      </c>
      <c r="AG29" s="1">
        <f t="shared" si="12"/>
        <v>0</v>
      </c>
      <c r="AH29" s="1">
        <f t="shared" si="12"/>
        <v>0</v>
      </c>
      <c r="AI29" s="1">
        <f t="shared" si="12"/>
        <v>0</v>
      </c>
      <c r="AJ29" s="1">
        <f t="shared" si="12"/>
        <v>0</v>
      </c>
      <c r="AK29" s="1">
        <f t="shared" si="12"/>
        <v>0</v>
      </c>
    </row>
    <row r="30" spans="1:37" ht="14.1" customHeight="1" x14ac:dyDescent="0.2">
      <c r="A30" s="12">
        <v>3</v>
      </c>
      <c r="B30" s="65"/>
      <c r="C30" s="115" t="str">
        <f t="shared" si="7"/>
        <v>DINH1</v>
      </c>
      <c r="D30" s="116" t="str">
        <f t="shared" si="7"/>
        <v>EM ESPÉCIE</v>
      </c>
      <c r="E30" s="117">
        <f t="shared" ca="1" si="8"/>
        <v>0</v>
      </c>
      <c r="F30" s="117">
        <f t="shared" ca="1" si="9"/>
        <v>0</v>
      </c>
      <c r="G30" s="117">
        <f t="shared" ca="1" si="10"/>
        <v>0</v>
      </c>
      <c r="H30" s="62"/>
      <c r="I30" s="3"/>
      <c r="J30" s="3" t="b">
        <f t="shared" si="11"/>
        <v>0</v>
      </c>
      <c r="K30" s="3" t="b">
        <f t="shared" si="11"/>
        <v>0</v>
      </c>
      <c r="L30" s="3" t="b">
        <f t="shared" si="11"/>
        <v>1</v>
      </c>
      <c r="M30" s="3"/>
      <c r="N30" s="16">
        <v>22</v>
      </c>
      <c r="O30" s="65"/>
      <c r="P30" s="55"/>
      <c r="Q30" s="56"/>
      <c r="R30" s="57"/>
      <c r="S30" s="58"/>
      <c r="T30" s="59"/>
      <c r="U30" s="60"/>
      <c r="V30" s="62"/>
      <c r="X30" s="1">
        <f t="shared" ca="1" si="3"/>
        <v>1</v>
      </c>
      <c r="Z30" s="1">
        <f t="shared" si="12"/>
        <v>0</v>
      </c>
      <c r="AA30" s="1">
        <f t="shared" si="12"/>
        <v>0</v>
      </c>
      <c r="AB30" s="1">
        <f t="shared" si="12"/>
        <v>0</v>
      </c>
      <c r="AC30" s="1">
        <f t="shared" si="12"/>
        <v>0</v>
      </c>
      <c r="AD30" s="1">
        <f t="shared" si="12"/>
        <v>0</v>
      </c>
      <c r="AE30" s="1">
        <f t="shared" si="12"/>
        <v>0</v>
      </c>
      <c r="AF30" s="1">
        <f t="shared" si="12"/>
        <v>0</v>
      </c>
      <c r="AG30" s="1">
        <f t="shared" si="12"/>
        <v>0</v>
      </c>
      <c r="AH30" s="1">
        <f t="shared" si="12"/>
        <v>0</v>
      </c>
      <c r="AI30" s="1">
        <f t="shared" si="12"/>
        <v>0</v>
      </c>
      <c r="AJ30" s="1">
        <f t="shared" si="12"/>
        <v>0</v>
      </c>
      <c r="AK30" s="1">
        <f t="shared" si="12"/>
        <v>0</v>
      </c>
    </row>
    <row r="31" spans="1:37" ht="14.1" customHeight="1" x14ac:dyDescent="0.2">
      <c r="A31" s="16">
        <v>4</v>
      </c>
      <c r="B31" s="65"/>
      <c r="C31" s="118" t="str">
        <f t="shared" si="7"/>
        <v>CRED1</v>
      </c>
      <c r="D31" s="119" t="str">
        <f t="shared" si="7"/>
        <v>CARTÃO DE CRÉDITO 1</v>
      </c>
      <c r="E31" s="120">
        <f t="shared" ca="1" si="8"/>
        <v>0</v>
      </c>
      <c r="F31" s="120">
        <f t="shared" ca="1" si="9"/>
        <v>0</v>
      </c>
      <c r="G31" s="120">
        <f t="shared" ca="1" si="10"/>
        <v>0</v>
      </c>
      <c r="H31" s="62"/>
      <c r="I31" s="3"/>
      <c r="J31" s="3" t="b">
        <f t="shared" si="11"/>
        <v>0</v>
      </c>
      <c r="K31" s="3" t="b">
        <f t="shared" si="11"/>
        <v>0</v>
      </c>
      <c r="L31" s="3" t="b">
        <f t="shared" si="11"/>
        <v>0</v>
      </c>
      <c r="M31" s="3"/>
      <c r="N31" s="12">
        <v>23</v>
      </c>
      <c r="O31" s="65"/>
      <c r="P31" s="49"/>
      <c r="Q31" s="50"/>
      <c r="R31" s="51"/>
      <c r="S31" s="52"/>
      <c r="T31" s="53"/>
      <c r="U31" s="54"/>
      <c r="V31" s="62"/>
      <c r="X31" s="1">
        <f t="shared" ca="1" si="3"/>
        <v>1</v>
      </c>
      <c r="Z31" s="1">
        <f t="shared" si="12"/>
        <v>0</v>
      </c>
      <c r="AA31" s="1">
        <f t="shared" si="12"/>
        <v>0</v>
      </c>
      <c r="AB31" s="1">
        <f t="shared" si="12"/>
        <v>0</v>
      </c>
      <c r="AC31" s="1">
        <f t="shared" si="12"/>
        <v>0</v>
      </c>
      <c r="AD31" s="1">
        <f t="shared" si="12"/>
        <v>0</v>
      </c>
      <c r="AE31" s="1">
        <f t="shared" si="12"/>
        <v>0</v>
      </c>
      <c r="AF31" s="1">
        <f t="shared" si="12"/>
        <v>0</v>
      </c>
      <c r="AG31" s="1">
        <f t="shared" si="12"/>
        <v>0</v>
      </c>
      <c r="AH31" s="1">
        <f t="shared" si="12"/>
        <v>0</v>
      </c>
      <c r="AI31" s="1">
        <f t="shared" si="12"/>
        <v>0</v>
      </c>
      <c r="AJ31" s="1">
        <f t="shared" si="12"/>
        <v>0</v>
      </c>
      <c r="AK31" s="1">
        <f t="shared" si="12"/>
        <v>0</v>
      </c>
    </row>
    <row r="32" spans="1:37" ht="14.1" customHeight="1" x14ac:dyDescent="0.2">
      <c r="A32" s="12">
        <v>5</v>
      </c>
      <c r="B32" s="65"/>
      <c r="C32" s="115" t="str">
        <f t="shared" si="7"/>
        <v>---</v>
      </c>
      <c r="D32" s="116" t="str">
        <f t="shared" si="7"/>
        <v/>
      </c>
      <c r="E32" s="117">
        <f t="shared" ca="1" si="8"/>
        <v>0</v>
      </c>
      <c r="F32" s="117">
        <f t="shared" ca="1" si="9"/>
        <v>0</v>
      </c>
      <c r="G32" s="117">
        <f t="shared" ca="1" si="10"/>
        <v>0</v>
      </c>
      <c r="H32" s="62"/>
      <c r="I32" s="3"/>
      <c r="J32" s="3" t="b">
        <f t="shared" si="11"/>
        <v>0</v>
      </c>
      <c r="K32" s="3" t="b">
        <f t="shared" si="11"/>
        <v>0</v>
      </c>
      <c r="L32" s="3" t="b">
        <f t="shared" si="11"/>
        <v>0</v>
      </c>
      <c r="M32" s="3"/>
      <c r="N32" s="16">
        <v>24</v>
      </c>
      <c r="O32" s="65"/>
      <c r="P32" s="55"/>
      <c r="Q32" s="56"/>
      <c r="R32" s="57"/>
      <c r="S32" s="58"/>
      <c r="T32" s="59"/>
      <c r="U32" s="60"/>
      <c r="V32" s="62"/>
      <c r="X32" s="1">
        <f t="shared" ca="1" si="3"/>
        <v>1</v>
      </c>
      <c r="Z32" s="1">
        <f t="shared" si="12"/>
        <v>0</v>
      </c>
      <c r="AA32" s="1">
        <f t="shared" si="12"/>
        <v>0</v>
      </c>
      <c r="AB32" s="1">
        <f t="shared" si="12"/>
        <v>0</v>
      </c>
      <c r="AC32" s="1">
        <f t="shared" si="12"/>
        <v>0</v>
      </c>
      <c r="AD32" s="1">
        <f t="shared" si="12"/>
        <v>0</v>
      </c>
      <c r="AE32" s="1">
        <f t="shared" si="12"/>
        <v>0</v>
      </c>
      <c r="AF32" s="1">
        <f t="shared" si="12"/>
        <v>0</v>
      </c>
      <c r="AG32" s="1">
        <f t="shared" si="12"/>
        <v>0</v>
      </c>
      <c r="AH32" s="1">
        <f t="shared" si="12"/>
        <v>0</v>
      </c>
      <c r="AI32" s="1">
        <f t="shared" si="12"/>
        <v>0</v>
      </c>
      <c r="AJ32" s="1">
        <f t="shared" si="12"/>
        <v>0</v>
      </c>
      <c r="AK32" s="1">
        <f t="shared" si="12"/>
        <v>0</v>
      </c>
    </row>
    <row r="33" spans="1:37" ht="14.1" customHeight="1" x14ac:dyDescent="0.2">
      <c r="A33" s="16">
        <v>6</v>
      </c>
      <c r="B33" s="65"/>
      <c r="C33" s="118" t="str">
        <f t="shared" si="7"/>
        <v>---</v>
      </c>
      <c r="D33" s="119" t="str">
        <f t="shared" si="7"/>
        <v/>
      </c>
      <c r="E33" s="120">
        <f t="shared" ca="1" si="8"/>
        <v>0</v>
      </c>
      <c r="F33" s="120">
        <f t="shared" ca="1" si="9"/>
        <v>0</v>
      </c>
      <c r="G33" s="120">
        <f t="shared" ca="1" si="10"/>
        <v>0</v>
      </c>
      <c r="H33" s="62"/>
      <c r="I33" s="3"/>
      <c r="J33" s="3" t="b">
        <f t="shared" si="11"/>
        <v>0</v>
      </c>
      <c r="K33" s="3" t="b">
        <f t="shared" si="11"/>
        <v>0</v>
      </c>
      <c r="L33" s="3" t="b">
        <f t="shared" si="11"/>
        <v>0</v>
      </c>
      <c r="M33" s="3"/>
      <c r="N33" s="12">
        <v>25</v>
      </c>
      <c r="O33" s="65"/>
      <c r="P33" s="49"/>
      <c r="Q33" s="50"/>
      <c r="R33" s="51"/>
      <c r="S33" s="52"/>
      <c r="T33" s="53"/>
      <c r="U33" s="54"/>
      <c r="V33" s="62"/>
      <c r="X33" s="1">
        <f t="shared" ca="1" si="3"/>
        <v>1</v>
      </c>
      <c r="Z33" s="1">
        <f t="shared" si="12"/>
        <v>0</v>
      </c>
      <c r="AA33" s="1">
        <f t="shared" si="12"/>
        <v>0</v>
      </c>
      <c r="AB33" s="1">
        <f t="shared" si="12"/>
        <v>0</v>
      </c>
      <c r="AC33" s="1">
        <f t="shared" si="12"/>
        <v>0</v>
      </c>
      <c r="AD33" s="1">
        <f t="shared" si="12"/>
        <v>0</v>
      </c>
      <c r="AE33" s="1">
        <f t="shared" si="12"/>
        <v>0</v>
      </c>
      <c r="AF33" s="1">
        <f t="shared" si="12"/>
        <v>0</v>
      </c>
      <c r="AG33" s="1">
        <f t="shared" si="12"/>
        <v>0</v>
      </c>
      <c r="AH33" s="1">
        <f t="shared" si="12"/>
        <v>0</v>
      </c>
      <c r="AI33" s="1">
        <f t="shared" si="12"/>
        <v>0</v>
      </c>
      <c r="AJ33" s="1">
        <f t="shared" si="12"/>
        <v>0</v>
      </c>
      <c r="AK33" s="1">
        <f t="shared" si="12"/>
        <v>0</v>
      </c>
    </row>
    <row r="34" spans="1:37" ht="14.1" customHeight="1" x14ac:dyDescent="0.2">
      <c r="A34" s="12">
        <v>7</v>
      </c>
      <c r="B34" s="65"/>
      <c r="C34" s="115" t="str">
        <f t="shared" si="7"/>
        <v>---</v>
      </c>
      <c r="D34" s="116" t="str">
        <f t="shared" si="7"/>
        <v/>
      </c>
      <c r="E34" s="117">
        <f t="shared" ca="1" si="8"/>
        <v>0</v>
      </c>
      <c r="F34" s="117">
        <f t="shared" ca="1" si="9"/>
        <v>0</v>
      </c>
      <c r="G34" s="117">
        <f t="shared" ca="1" si="10"/>
        <v>0</v>
      </c>
      <c r="H34" s="62"/>
      <c r="I34" s="3"/>
      <c r="J34" s="3" t="b">
        <f t="shared" si="11"/>
        <v>0</v>
      </c>
      <c r="K34" s="3" t="b">
        <f t="shared" si="11"/>
        <v>0</v>
      </c>
      <c r="L34" s="3" t="b">
        <f t="shared" si="11"/>
        <v>0</v>
      </c>
      <c r="M34" s="3"/>
      <c r="N34" s="16">
        <v>26</v>
      </c>
      <c r="O34" s="65"/>
      <c r="P34" s="55"/>
      <c r="Q34" s="56"/>
      <c r="R34" s="57"/>
      <c r="S34" s="58"/>
      <c r="T34" s="59"/>
      <c r="U34" s="60"/>
      <c r="V34" s="62"/>
      <c r="X34" s="1">
        <f t="shared" ca="1" si="3"/>
        <v>1</v>
      </c>
      <c r="Z34" s="1">
        <f t="shared" si="12"/>
        <v>0</v>
      </c>
      <c r="AA34" s="1">
        <f t="shared" si="12"/>
        <v>0</v>
      </c>
      <c r="AB34" s="1">
        <f t="shared" si="12"/>
        <v>0</v>
      </c>
      <c r="AC34" s="1">
        <f t="shared" si="12"/>
        <v>0</v>
      </c>
      <c r="AD34" s="1">
        <f t="shared" si="12"/>
        <v>0</v>
      </c>
      <c r="AE34" s="1">
        <f t="shared" si="12"/>
        <v>0</v>
      </c>
      <c r="AF34" s="1">
        <f t="shared" si="12"/>
        <v>0</v>
      </c>
      <c r="AG34" s="1">
        <f t="shared" si="12"/>
        <v>0</v>
      </c>
      <c r="AH34" s="1">
        <f t="shared" si="12"/>
        <v>0</v>
      </c>
      <c r="AI34" s="1">
        <f t="shared" si="12"/>
        <v>0</v>
      </c>
      <c r="AJ34" s="1">
        <f t="shared" si="12"/>
        <v>0</v>
      </c>
      <c r="AK34" s="1">
        <f t="shared" si="12"/>
        <v>0</v>
      </c>
    </row>
    <row r="35" spans="1:37" ht="14.1" customHeight="1" x14ac:dyDescent="0.2">
      <c r="A35" s="16">
        <v>8</v>
      </c>
      <c r="B35" s="65"/>
      <c r="C35" s="118" t="str">
        <f t="shared" si="7"/>
        <v>---</v>
      </c>
      <c r="D35" s="119" t="str">
        <f t="shared" si="7"/>
        <v/>
      </c>
      <c r="E35" s="120">
        <f t="shared" ca="1" si="8"/>
        <v>0</v>
      </c>
      <c r="F35" s="120">
        <f t="shared" ca="1" si="9"/>
        <v>0</v>
      </c>
      <c r="G35" s="120">
        <f t="shared" ca="1" si="10"/>
        <v>0</v>
      </c>
      <c r="H35" s="62"/>
      <c r="I35" s="3"/>
      <c r="J35" s="3" t="b">
        <f t="shared" si="11"/>
        <v>0</v>
      </c>
      <c r="K35" s="3" t="b">
        <f t="shared" si="11"/>
        <v>0</v>
      </c>
      <c r="L35" s="3" t="b">
        <f t="shared" si="11"/>
        <v>0</v>
      </c>
      <c r="M35" s="3"/>
      <c r="N35" s="12">
        <v>27</v>
      </c>
      <c r="O35" s="65"/>
      <c r="P35" s="49"/>
      <c r="Q35" s="50"/>
      <c r="R35" s="51"/>
      <c r="S35" s="52"/>
      <c r="T35" s="53"/>
      <c r="U35" s="54"/>
      <c r="V35" s="62"/>
      <c r="X35" s="1">
        <f t="shared" ca="1" si="3"/>
        <v>1</v>
      </c>
      <c r="Z35" s="1">
        <f t="shared" si="12"/>
        <v>0</v>
      </c>
      <c r="AA35" s="1">
        <f t="shared" si="12"/>
        <v>0</v>
      </c>
      <c r="AB35" s="1">
        <f t="shared" si="12"/>
        <v>0</v>
      </c>
      <c r="AC35" s="1">
        <f t="shared" si="12"/>
        <v>0</v>
      </c>
      <c r="AD35" s="1">
        <f t="shared" si="12"/>
        <v>0</v>
      </c>
      <c r="AE35" s="1">
        <f t="shared" si="12"/>
        <v>0</v>
      </c>
      <c r="AF35" s="1">
        <f t="shared" si="12"/>
        <v>0</v>
      </c>
      <c r="AG35" s="1">
        <f t="shared" si="12"/>
        <v>0</v>
      </c>
      <c r="AH35" s="1">
        <f t="shared" si="12"/>
        <v>0</v>
      </c>
      <c r="AI35" s="1">
        <f t="shared" si="12"/>
        <v>0</v>
      </c>
      <c r="AJ35" s="1">
        <f t="shared" si="12"/>
        <v>0</v>
      </c>
      <c r="AK35" s="1">
        <f t="shared" si="12"/>
        <v>0</v>
      </c>
    </row>
    <row r="36" spans="1:37" ht="14.1" customHeight="1" x14ac:dyDescent="0.2">
      <c r="A36" s="12">
        <v>9</v>
      </c>
      <c r="B36" s="65"/>
      <c r="C36" s="115" t="str">
        <f t="shared" si="7"/>
        <v>---</v>
      </c>
      <c r="D36" s="116" t="str">
        <f t="shared" si="7"/>
        <v/>
      </c>
      <c r="E36" s="117">
        <f t="shared" ca="1" si="8"/>
        <v>0</v>
      </c>
      <c r="F36" s="117">
        <f t="shared" ca="1" si="9"/>
        <v>0</v>
      </c>
      <c r="G36" s="117">
        <f t="shared" ca="1" si="10"/>
        <v>0</v>
      </c>
      <c r="H36" s="62"/>
      <c r="I36" s="3"/>
      <c r="J36" s="3" t="b">
        <f t="shared" si="11"/>
        <v>0</v>
      </c>
      <c r="K36" s="3" t="b">
        <f t="shared" si="11"/>
        <v>0</v>
      </c>
      <c r="L36" s="3" t="b">
        <f t="shared" si="11"/>
        <v>0</v>
      </c>
      <c r="M36" s="3"/>
      <c r="N36" s="16">
        <v>28</v>
      </c>
      <c r="O36" s="65"/>
      <c r="P36" s="55"/>
      <c r="Q36" s="56"/>
      <c r="R36" s="57"/>
      <c r="S36" s="58"/>
      <c r="T36" s="59"/>
      <c r="U36" s="60"/>
      <c r="V36" s="62"/>
      <c r="X36" s="1">
        <f t="shared" ca="1" si="3"/>
        <v>1</v>
      </c>
      <c r="Z36" s="1">
        <f t="shared" si="12"/>
        <v>0</v>
      </c>
      <c r="AA36" s="1">
        <f t="shared" si="12"/>
        <v>0</v>
      </c>
      <c r="AB36" s="1">
        <f t="shared" si="12"/>
        <v>0</v>
      </c>
      <c r="AC36" s="1">
        <f t="shared" si="12"/>
        <v>0</v>
      </c>
      <c r="AD36" s="1">
        <f t="shared" si="12"/>
        <v>0</v>
      </c>
      <c r="AE36" s="1">
        <f t="shared" si="12"/>
        <v>0</v>
      </c>
      <c r="AF36" s="1">
        <f t="shared" si="12"/>
        <v>0</v>
      </c>
      <c r="AG36" s="1">
        <f t="shared" si="12"/>
        <v>0</v>
      </c>
      <c r="AH36" s="1">
        <f t="shared" si="12"/>
        <v>0</v>
      </c>
      <c r="AI36" s="1">
        <f t="shared" si="12"/>
        <v>0</v>
      </c>
      <c r="AJ36" s="1">
        <f t="shared" si="12"/>
        <v>0</v>
      </c>
      <c r="AK36" s="1">
        <f t="shared" si="12"/>
        <v>0</v>
      </c>
    </row>
    <row r="37" spans="1:37" ht="14.1" customHeight="1" x14ac:dyDescent="0.2">
      <c r="A37" s="16">
        <v>10</v>
      </c>
      <c r="B37" s="65"/>
      <c r="C37" s="118" t="str">
        <f t="shared" si="7"/>
        <v>---</v>
      </c>
      <c r="D37" s="119" t="str">
        <f t="shared" si="7"/>
        <v/>
      </c>
      <c r="E37" s="120">
        <f t="shared" ca="1" si="8"/>
        <v>0</v>
      </c>
      <c r="F37" s="120">
        <f t="shared" ca="1" si="9"/>
        <v>0</v>
      </c>
      <c r="G37" s="120">
        <f t="shared" ca="1" si="10"/>
        <v>0</v>
      </c>
      <c r="H37" s="62"/>
      <c r="I37" s="3"/>
      <c r="J37" s="3" t="b">
        <f t="shared" si="11"/>
        <v>0</v>
      </c>
      <c r="K37" s="3" t="b">
        <f t="shared" si="11"/>
        <v>0</v>
      </c>
      <c r="L37" s="3" t="b">
        <f t="shared" si="11"/>
        <v>0</v>
      </c>
      <c r="M37" s="3"/>
      <c r="N37" s="12">
        <v>29</v>
      </c>
      <c r="O37" s="65"/>
      <c r="P37" s="49"/>
      <c r="Q37" s="50"/>
      <c r="R37" s="51"/>
      <c r="S37" s="52"/>
      <c r="T37" s="53"/>
      <c r="U37" s="54"/>
      <c r="V37" s="62"/>
      <c r="X37" s="1">
        <f t="shared" ca="1" si="3"/>
        <v>1</v>
      </c>
      <c r="Z37" s="1">
        <f t="shared" si="12"/>
        <v>0</v>
      </c>
      <c r="AA37" s="1">
        <f t="shared" si="12"/>
        <v>0</v>
      </c>
      <c r="AB37" s="1">
        <f t="shared" si="12"/>
        <v>0</v>
      </c>
      <c r="AC37" s="1">
        <f t="shared" si="12"/>
        <v>0</v>
      </c>
      <c r="AD37" s="1">
        <f t="shared" si="12"/>
        <v>0</v>
      </c>
      <c r="AE37" s="1">
        <f t="shared" si="12"/>
        <v>0</v>
      </c>
      <c r="AF37" s="1">
        <f t="shared" si="12"/>
        <v>0</v>
      </c>
      <c r="AG37" s="1">
        <f t="shared" si="12"/>
        <v>0</v>
      </c>
      <c r="AH37" s="1">
        <f t="shared" si="12"/>
        <v>0</v>
      </c>
      <c r="AI37" s="1">
        <f t="shared" si="12"/>
        <v>0</v>
      </c>
      <c r="AJ37" s="1">
        <f t="shared" si="12"/>
        <v>0</v>
      </c>
      <c r="AK37" s="1">
        <f t="shared" si="12"/>
        <v>0</v>
      </c>
    </row>
    <row r="38" spans="1:37" ht="14.1" customHeight="1" x14ac:dyDescent="0.2">
      <c r="A38" s="12">
        <v>11</v>
      </c>
      <c r="B38" s="65"/>
      <c r="C38" s="115" t="str">
        <f t="shared" si="7"/>
        <v>---</v>
      </c>
      <c r="D38" s="116" t="str">
        <f t="shared" si="7"/>
        <v/>
      </c>
      <c r="E38" s="117">
        <f t="shared" ca="1" si="8"/>
        <v>0</v>
      </c>
      <c r="F38" s="117">
        <f t="shared" ca="1" si="9"/>
        <v>0</v>
      </c>
      <c r="G38" s="117">
        <f t="shared" ca="1" si="10"/>
        <v>0</v>
      </c>
      <c r="H38" s="62"/>
      <c r="I38" s="3"/>
      <c r="J38" s="3" t="b">
        <f t="shared" si="11"/>
        <v>0</v>
      </c>
      <c r="K38" s="3" t="b">
        <f t="shared" si="11"/>
        <v>0</v>
      </c>
      <c r="L38" s="3" t="b">
        <f t="shared" si="11"/>
        <v>0</v>
      </c>
      <c r="M38" s="3"/>
      <c r="N38" s="16">
        <v>30</v>
      </c>
      <c r="O38" s="65"/>
      <c r="P38" s="55"/>
      <c r="Q38" s="56"/>
      <c r="R38" s="57"/>
      <c r="S38" s="58"/>
      <c r="T38" s="59"/>
      <c r="U38" s="60"/>
      <c r="V38" s="62"/>
      <c r="X38" s="1">
        <f t="shared" ca="1" si="3"/>
        <v>1</v>
      </c>
      <c r="Z38" s="1">
        <f t="shared" si="12"/>
        <v>0</v>
      </c>
      <c r="AA38" s="1">
        <f t="shared" si="12"/>
        <v>0</v>
      </c>
      <c r="AB38" s="1">
        <f t="shared" si="12"/>
        <v>0</v>
      </c>
      <c r="AC38" s="1">
        <f t="shared" si="12"/>
        <v>0</v>
      </c>
      <c r="AD38" s="1">
        <f t="shared" si="12"/>
        <v>0</v>
      </c>
      <c r="AE38" s="1">
        <f t="shared" si="12"/>
        <v>0</v>
      </c>
      <c r="AF38" s="1">
        <f t="shared" si="12"/>
        <v>0</v>
      </c>
      <c r="AG38" s="1">
        <f t="shared" si="12"/>
        <v>0</v>
      </c>
      <c r="AH38" s="1">
        <f t="shared" si="12"/>
        <v>0</v>
      </c>
      <c r="AI38" s="1">
        <f t="shared" si="12"/>
        <v>0</v>
      </c>
      <c r="AJ38" s="1">
        <f t="shared" si="12"/>
        <v>0</v>
      </c>
      <c r="AK38" s="1">
        <f t="shared" si="12"/>
        <v>0</v>
      </c>
    </row>
    <row r="39" spans="1:37" ht="14.1" customHeight="1" x14ac:dyDescent="0.2">
      <c r="A39" s="16">
        <v>12</v>
      </c>
      <c r="B39" s="66"/>
      <c r="C39" s="121" t="str">
        <f t="shared" si="7"/>
        <v>---</v>
      </c>
      <c r="D39" s="122" t="str">
        <f t="shared" si="7"/>
        <v/>
      </c>
      <c r="E39" s="123">
        <f t="shared" ca="1" si="8"/>
        <v>0</v>
      </c>
      <c r="F39" s="123">
        <f t="shared" ca="1" si="9"/>
        <v>0</v>
      </c>
      <c r="G39" s="123">
        <f t="shared" ca="1" si="10"/>
        <v>0</v>
      </c>
      <c r="H39" s="63"/>
      <c r="I39" s="3"/>
      <c r="J39" s="3" t="b">
        <f t="shared" si="11"/>
        <v>0</v>
      </c>
      <c r="K39" s="3" t="b">
        <f t="shared" si="11"/>
        <v>0</v>
      </c>
      <c r="L39" s="3" t="b">
        <f t="shared" si="11"/>
        <v>0</v>
      </c>
      <c r="M39" s="3"/>
      <c r="N39" s="12">
        <v>31</v>
      </c>
      <c r="O39" s="65"/>
      <c r="P39" s="49"/>
      <c r="Q39" s="50"/>
      <c r="R39" s="51"/>
      <c r="S39" s="52"/>
      <c r="T39" s="53"/>
      <c r="U39" s="54"/>
      <c r="V39" s="62"/>
      <c r="X39" s="1">
        <f t="shared" ca="1" si="3"/>
        <v>1</v>
      </c>
      <c r="Z39" s="1">
        <f t="shared" ref="Z39:AK48" si="13">IF(Z$8=$R39,-$T39,0)+IF(Z$8=$S39,$T39,0)</f>
        <v>0</v>
      </c>
      <c r="AA39" s="1">
        <f t="shared" si="13"/>
        <v>0</v>
      </c>
      <c r="AB39" s="1">
        <f t="shared" si="13"/>
        <v>0</v>
      </c>
      <c r="AC39" s="1">
        <f t="shared" si="13"/>
        <v>0</v>
      </c>
      <c r="AD39" s="1">
        <f t="shared" si="13"/>
        <v>0</v>
      </c>
      <c r="AE39" s="1">
        <f t="shared" si="13"/>
        <v>0</v>
      </c>
      <c r="AF39" s="1">
        <f t="shared" si="13"/>
        <v>0</v>
      </c>
      <c r="AG39" s="1">
        <f t="shared" si="13"/>
        <v>0</v>
      </c>
      <c r="AH39" s="1">
        <f t="shared" si="13"/>
        <v>0</v>
      </c>
      <c r="AI39" s="1">
        <f t="shared" si="13"/>
        <v>0</v>
      </c>
      <c r="AJ39" s="1">
        <f t="shared" si="13"/>
        <v>0</v>
      </c>
      <c r="AK39" s="1">
        <f t="shared" si="13"/>
        <v>0</v>
      </c>
    </row>
    <row r="40" spans="1:37" ht="14.1" customHeight="1" x14ac:dyDescent="0.2">
      <c r="A40" s="12"/>
      <c r="B40" s="124"/>
      <c r="C40" s="125"/>
      <c r="D40" s="126"/>
      <c r="E40" s="126"/>
      <c r="F40" s="126"/>
      <c r="G40" s="126"/>
      <c r="H40" s="127"/>
      <c r="I40" s="3"/>
      <c r="J40" s="3"/>
      <c r="K40" s="3"/>
      <c r="L40" s="3"/>
      <c r="M40" s="3"/>
      <c r="N40" s="16">
        <v>32</v>
      </c>
      <c r="O40" s="65"/>
      <c r="P40" s="55"/>
      <c r="Q40" s="56"/>
      <c r="R40" s="57"/>
      <c r="S40" s="58"/>
      <c r="T40" s="59"/>
      <c r="U40" s="60"/>
      <c r="V40" s="62"/>
      <c r="X40" s="1">
        <f t="shared" ca="1" si="3"/>
        <v>1</v>
      </c>
      <c r="Z40" s="1">
        <f t="shared" si="13"/>
        <v>0</v>
      </c>
      <c r="AA40" s="1">
        <f t="shared" si="13"/>
        <v>0</v>
      </c>
      <c r="AB40" s="1">
        <f t="shared" si="13"/>
        <v>0</v>
      </c>
      <c r="AC40" s="1">
        <f t="shared" si="13"/>
        <v>0</v>
      </c>
      <c r="AD40" s="1">
        <f t="shared" si="13"/>
        <v>0</v>
      </c>
      <c r="AE40" s="1">
        <f t="shared" si="13"/>
        <v>0</v>
      </c>
      <c r="AF40" s="1">
        <f t="shared" si="13"/>
        <v>0</v>
      </c>
      <c r="AG40" s="1">
        <f t="shared" si="13"/>
        <v>0</v>
      </c>
      <c r="AH40" s="1">
        <f t="shared" si="13"/>
        <v>0</v>
      </c>
      <c r="AI40" s="1">
        <f t="shared" si="13"/>
        <v>0</v>
      </c>
      <c r="AJ40" s="1">
        <f t="shared" si="13"/>
        <v>0</v>
      </c>
      <c r="AK40" s="1">
        <f t="shared" si="13"/>
        <v>0</v>
      </c>
    </row>
    <row r="41" spans="1:37" ht="14.1" customHeight="1" x14ac:dyDescent="0.2">
      <c r="I41" s="3"/>
      <c r="J41" s="3"/>
      <c r="K41" s="3"/>
      <c r="L41" s="3"/>
      <c r="M41" s="3"/>
      <c r="N41" s="12">
        <v>33</v>
      </c>
      <c r="O41" s="65"/>
      <c r="P41" s="49"/>
      <c r="Q41" s="50"/>
      <c r="R41" s="51"/>
      <c r="S41" s="52"/>
      <c r="T41" s="53"/>
      <c r="U41" s="54"/>
      <c r="V41" s="62"/>
      <c r="X41" s="1">
        <f t="shared" ref="X41:X72" ca="1" si="14">IF(P41&lt;NOW(),1,0)</f>
        <v>1</v>
      </c>
      <c r="Z41" s="1">
        <f t="shared" si="13"/>
        <v>0</v>
      </c>
      <c r="AA41" s="1">
        <f t="shared" si="13"/>
        <v>0</v>
      </c>
      <c r="AB41" s="1">
        <f t="shared" si="13"/>
        <v>0</v>
      </c>
      <c r="AC41" s="1">
        <f t="shared" si="13"/>
        <v>0</v>
      </c>
      <c r="AD41" s="1">
        <f t="shared" si="13"/>
        <v>0</v>
      </c>
      <c r="AE41" s="1">
        <f t="shared" si="13"/>
        <v>0</v>
      </c>
      <c r="AF41" s="1">
        <f t="shared" si="13"/>
        <v>0</v>
      </c>
      <c r="AG41" s="1">
        <f t="shared" si="13"/>
        <v>0</v>
      </c>
      <c r="AH41" s="1">
        <f t="shared" si="13"/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</row>
    <row r="42" spans="1:37" ht="14.1" customHeight="1" x14ac:dyDescent="0.2">
      <c r="B42" s="91"/>
      <c r="C42" s="92"/>
      <c r="D42" s="93"/>
      <c r="E42" s="93"/>
      <c r="F42" s="93"/>
      <c r="G42" s="93"/>
      <c r="H42" s="94"/>
      <c r="I42" s="3"/>
      <c r="J42" s="3"/>
      <c r="K42" s="3"/>
      <c r="L42" s="3"/>
      <c r="M42" s="3"/>
      <c r="N42" s="16">
        <v>34</v>
      </c>
      <c r="O42" s="65"/>
      <c r="P42" s="55"/>
      <c r="Q42" s="56"/>
      <c r="R42" s="57"/>
      <c r="S42" s="58"/>
      <c r="T42" s="59"/>
      <c r="U42" s="60"/>
      <c r="V42" s="62"/>
      <c r="X42" s="1">
        <f t="shared" ca="1" si="14"/>
        <v>1</v>
      </c>
      <c r="Z42" s="1">
        <f t="shared" si="13"/>
        <v>0</v>
      </c>
      <c r="AA42" s="1">
        <f t="shared" si="13"/>
        <v>0</v>
      </c>
      <c r="AB42" s="1">
        <f t="shared" si="13"/>
        <v>0</v>
      </c>
      <c r="AC42" s="1">
        <f t="shared" si="13"/>
        <v>0</v>
      </c>
      <c r="AD42" s="1">
        <f t="shared" si="13"/>
        <v>0</v>
      </c>
      <c r="AE42" s="1">
        <f t="shared" si="13"/>
        <v>0</v>
      </c>
      <c r="AF42" s="1">
        <f t="shared" si="13"/>
        <v>0</v>
      </c>
      <c r="AG42" s="1">
        <f t="shared" si="13"/>
        <v>0</v>
      </c>
      <c r="AH42" s="1">
        <f t="shared" si="13"/>
        <v>0</v>
      </c>
      <c r="AI42" s="1">
        <f t="shared" si="13"/>
        <v>0</v>
      </c>
      <c r="AJ42" s="1">
        <f t="shared" si="13"/>
        <v>0</v>
      </c>
      <c r="AK42" s="1">
        <f t="shared" si="13"/>
        <v>0</v>
      </c>
    </row>
    <row r="43" spans="1:37" ht="14.1" customHeight="1" x14ac:dyDescent="0.2">
      <c r="B43" s="95"/>
      <c r="C43" s="286" t="s">
        <v>106</v>
      </c>
      <c r="D43" s="286"/>
      <c r="E43" s="286"/>
      <c r="F43" s="286"/>
      <c r="G43" s="286"/>
      <c r="H43" s="96"/>
      <c r="I43" s="3"/>
      <c r="J43" s="3"/>
      <c r="K43" s="3"/>
      <c r="L43" s="3"/>
      <c r="M43" s="3"/>
      <c r="N43" s="12">
        <v>35</v>
      </c>
      <c r="O43" s="65"/>
      <c r="P43" s="49"/>
      <c r="Q43" s="50"/>
      <c r="R43" s="51"/>
      <c r="S43" s="52"/>
      <c r="T43" s="53"/>
      <c r="U43" s="54"/>
      <c r="V43" s="62"/>
      <c r="X43" s="1">
        <f t="shared" ca="1" si="14"/>
        <v>1</v>
      </c>
      <c r="Z43" s="1">
        <f t="shared" si="13"/>
        <v>0</v>
      </c>
      <c r="AA43" s="1">
        <f t="shared" si="13"/>
        <v>0</v>
      </c>
      <c r="AB43" s="1">
        <f t="shared" si="13"/>
        <v>0</v>
      </c>
      <c r="AC43" s="1">
        <f t="shared" si="13"/>
        <v>0</v>
      </c>
      <c r="AD43" s="1">
        <f t="shared" si="13"/>
        <v>0</v>
      </c>
      <c r="AE43" s="1">
        <f t="shared" si="13"/>
        <v>0</v>
      </c>
      <c r="AF43" s="1">
        <f t="shared" si="13"/>
        <v>0</v>
      </c>
      <c r="AG43" s="1">
        <f t="shared" si="13"/>
        <v>0</v>
      </c>
      <c r="AH43" s="1">
        <f t="shared" si="13"/>
        <v>0</v>
      </c>
      <c r="AI43" s="1">
        <f t="shared" si="13"/>
        <v>0</v>
      </c>
      <c r="AJ43" s="1">
        <f t="shared" si="13"/>
        <v>0</v>
      </c>
      <c r="AK43" s="1">
        <f t="shared" si="13"/>
        <v>0</v>
      </c>
    </row>
    <row r="44" spans="1:37" ht="14.1" customHeight="1" x14ac:dyDescent="0.2">
      <c r="B44" s="95"/>
      <c r="C44" s="286"/>
      <c r="D44" s="286"/>
      <c r="E44" s="286"/>
      <c r="F44" s="286"/>
      <c r="G44" s="286"/>
      <c r="H44" s="96"/>
      <c r="I44" s="3"/>
      <c r="J44" s="3"/>
      <c r="K44" s="3"/>
      <c r="L44" s="3"/>
      <c r="M44" s="3"/>
      <c r="N44" s="16">
        <v>36</v>
      </c>
      <c r="O44" s="65"/>
      <c r="P44" s="55"/>
      <c r="Q44" s="56"/>
      <c r="R44" s="57"/>
      <c r="S44" s="58"/>
      <c r="T44" s="59"/>
      <c r="U44" s="60"/>
      <c r="V44" s="62"/>
      <c r="X44" s="1">
        <f t="shared" ca="1" si="14"/>
        <v>1</v>
      </c>
      <c r="Z44" s="1">
        <f t="shared" si="13"/>
        <v>0</v>
      </c>
      <c r="AA44" s="1">
        <f t="shared" si="13"/>
        <v>0</v>
      </c>
      <c r="AB44" s="1">
        <f t="shared" si="13"/>
        <v>0</v>
      </c>
      <c r="AC44" s="1">
        <f t="shared" si="13"/>
        <v>0</v>
      </c>
      <c r="AD44" s="1">
        <f t="shared" si="13"/>
        <v>0</v>
      </c>
      <c r="AE44" s="1">
        <f t="shared" si="13"/>
        <v>0</v>
      </c>
      <c r="AF44" s="1">
        <f t="shared" si="13"/>
        <v>0</v>
      </c>
      <c r="AG44" s="1">
        <f t="shared" si="13"/>
        <v>0</v>
      </c>
      <c r="AH44" s="1">
        <f t="shared" si="13"/>
        <v>0</v>
      </c>
      <c r="AI44" s="1">
        <f t="shared" si="13"/>
        <v>0</v>
      </c>
      <c r="AJ44" s="1">
        <f t="shared" si="13"/>
        <v>0</v>
      </c>
      <c r="AK44" s="1">
        <f t="shared" si="13"/>
        <v>0</v>
      </c>
    </row>
    <row r="45" spans="1:37" ht="14.1" customHeight="1" x14ac:dyDescent="0.2">
      <c r="B45" s="46"/>
      <c r="C45" s="271" t="s">
        <v>20</v>
      </c>
      <c r="D45" s="273" t="s">
        <v>5</v>
      </c>
      <c r="E45" s="275" t="s">
        <v>104</v>
      </c>
      <c r="F45" s="275" t="s">
        <v>89</v>
      </c>
      <c r="G45" s="276" t="s">
        <v>6</v>
      </c>
      <c r="H45" s="96"/>
      <c r="I45" s="3"/>
      <c r="J45" s="3"/>
      <c r="K45" s="3"/>
      <c r="L45" s="3"/>
      <c r="M45" s="3"/>
      <c r="N45" s="12">
        <v>37</v>
      </c>
      <c r="O45" s="65"/>
      <c r="P45" s="49"/>
      <c r="Q45" s="50"/>
      <c r="R45" s="51"/>
      <c r="S45" s="52"/>
      <c r="T45" s="53"/>
      <c r="U45" s="54"/>
      <c r="V45" s="62"/>
      <c r="X45" s="1">
        <f t="shared" ca="1" si="14"/>
        <v>1</v>
      </c>
      <c r="Z45" s="1">
        <f t="shared" si="13"/>
        <v>0</v>
      </c>
      <c r="AA45" s="1">
        <f t="shared" si="13"/>
        <v>0</v>
      </c>
      <c r="AB45" s="1">
        <f t="shared" si="13"/>
        <v>0</v>
      </c>
      <c r="AC45" s="1">
        <f t="shared" si="13"/>
        <v>0</v>
      </c>
      <c r="AD45" s="1">
        <f t="shared" si="13"/>
        <v>0</v>
      </c>
      <c r="AE45" s="1">
        <f t="shared" si="13"/>
        <v>0</v>
      </c>
      <c r="AF45" s="1">
        <f t="shared" si="13"/>
        <v>0</v>
      </c>
      <c r="AG45" s="1">
        <f t="shared" si="13"/>
        <v>0</v>
      </c>
      <c r="AH45" s="1">
        <f t="shared" si="13"/>
        <v>0</v>
      </c>
      <c r="AI45" s="1">
        <f t="shared" si="13"/>
        <v>0</v>
      </c>
      <c r="AJ45" s="1">
        <f t="shared" si="13"/>
        <v>0</v>
      </c>
      <c r="AK45" s="1">
        <f t="shared" si="13"/>
        <v>0</v>
      </c>
    </row>
    <row r="46" spans="1:37" ht="14.1" customHeight="1" x14ac:dyDescent="0.2">
      <c r="A46" s="3"/>
      <c r="B46" s="44"/>
      <c r="C46" s="272"/>
      <c r="D46" s="274"/>
      <c r="E46" s="99" t="s">
        <v>87</v>
      </c>
      <c r="F46" s="100" t="s">
        <v>89</v>
      </c>
      <c r="G46" s="98" t="s">
        <v>6</v>
      </c>
      <c r="H46" s="97"/>
      <c r="I46" s="3"/>
      <c r="J46" s="3"/>
      <c r="K46" s="3"/>
      <c r="L46" s="3"/>
      <c r="M46" s="3"/>
      <c r="N46" s="16">
        <v>38</v>
      </c>
      <c r="O46" s="65"/>
      <c r="P46" s="55"/>
      <c r="Q46" s="56"/>
      <c r="R46" s="57"/>
      <c r="S46" s="58"/>
      <c r="T46" s="59"/>
      <c r="U46" s="60"/>
      <c r="V46" s="62"/>
      <c r="X46" s="1">
        <f t="shared" ca="1" si="14"/>
        <v>1</v>
      </c>
      <c r="Z46" s="1">
        <f t="shared" si="13"/>
        <v>0</v>
      </c>
      <c r="AA46" s="1">
        <f t="shared" si="13"/>
        <v>0</v>
      </c>
      <c r="AB46" s="1">
        <f t="shared" si="13"/>
        <v>0</v>
      </c>
      <c r="AC46" s="1">
        <f t="shared" si="13"/>
        <v>0</v>
      </c>
      <c r="AD46" s="1">
        <f t="shared" si="13"/>
        <v>0</v>
      </c>
      <c r="AE46" s="1">
        <f t="shared" si="13"/>
        <v>0</v>
      </c>
      <c r="AF46" s="1">
        <f t="shared" si="13"/>
        <v>0</v>
      </c>
      <c r="AG46" s="1">
        <f t="shared" si="13"/>
        <v>0</v>
      </c>
      <c r="AH46" s="1">
        <f t="shared" si="13"/>
        <v>0</v>
      </c>
      <c r="AI46" s="1">
        <f t="shared" si="13"/>
        <v>0</v>
      </c>
      <c r="AJ46" s="1">
        <f t="shared" si="13"/>
        <v>0</v>
      </c>
      <c r="AK46" s="1">
        <f t="shared" si="13"/>
        <v>0</v>
      </c>
    </row>
    <row r="47" spans="1:37" ht="14.1" customHeight="1" x14ac:dyDescent="0.2">
      <c r="A47" s="12">
        <v>1</v>
      </c>
      <c r="B47" s="64"/>
      <c r="C47" s="115" t="str">
        <f>ANUAL!$C115</f>
        <v>CC</v>
      </c>
      <c r="D47" s="116" t="str">
        <f>ANUAL!$D115</f>
        <v>CONTA CORRENTE</v>
      </c>
      <c r="E47" s="117">
        <f>SUMIF($J$28:$J$39,TRUE,E$28:E$39)</f>
        <v>0</v>
      </c>
      <c r="F47" s="117">
        <f>SUMIF($J$28:$J$39,TRUE,F$28:F$39)</f>
        <v>0</v>
      </c>
      <c r="G47" s="117">
        <f>SUMIF($J$28:$J$39,TRUE,G$28:G$39)+SUMIF($J$9:$J$20,TRUE,E$9:E$20)</f>
        <v>0</v>
      </c>
      <c r="H47" s="61"/>
      <c r="N47" s="12">
        <v>39</v>
      </c>
      <c r="O47" s="65"/>
      <c r="P47" s="49"/>
      <c r="Q47" s="50"/>
      <c r="R47" s="51"/>
      <c r="S47" s="52"/>
      <c r="T47" s="53"/>
      <c r="U47" s="54"/>
      <c r="V47" s="62"/>
      <c r="X47" s="1">
        <f t="shared" ca="1" si="14"/>
        <v>1</v>
      </c>
      <c r="Z47" s="1">
        <f t="shared" si="13"/>
        <v>0</v>
      </c>
      <c r="AA47" s="1">
        <f t="shared" si="13"/>
        <v>0</v>
      </c>
      <c r="AB47" s="1">
        <f t="shared" si="13"/>
        <v>0</v>
      </c>
      <c r="AC47" s="1">
        <f t="shared" si="13"/>
        <v>0</v>
      </c>
      <c r="AD47" s="1">
        <f t="shared" si="13"/>
        <v>0</v>
      </c>
      <c r="AE47" s="1">
        <f t="shared" si="13"/>
        <v>0</v>
      </c>
      <c r="AF47" s="1">
        <f t="shared" si="13"/>
        <v>0</v>
      </c>
      <c r="AG47" s="1">
        <f t="shared" si="13"/>
        <v>0</v>
      </c>
      <c r="AH47" s="1">
        <f t="shared" si="13"/>
        <v>0</v>
      </c>
      <c r="AI47" s="1">
        <f t="shared" si="13"/>
        <v>0</v>
      </c>
      <c r="AJ47" s="1">
        <f t="shared" si="13"/>
        <v>0</v>
      </c>
      <c r="AK47" s="1">
        <f t="shared" si="13"/>
        <v>0</v>
      </c>
    </row>
    <row r="48" spans="1:37" ht="14.1" customHeight="1" x14ac:dyDescent="0.2">
      <c r="A48" s="16">
        <v>2</v>
      </c>
      <c r="B48" s="65"/>
      <c r="C48" s="118" t="str">
        <f>ANUAL!$C116</f>
        <v>INV</v>
      </c>
      <c r="D48" s="119" t="str">
        <f>ANUAL!$D116</f>
        <v>APLICAÇÕES DE INVESTIMENTO</v>
      </c>
      <c r="E48" s="120">
        <f ca="1">SUMIF($K$28:$K$39,TRUE,E$28:E$39)</f>
        <v>0</v>
      </c>
      <c r="F48" s="120">
        <f ca="1">SUMIF($K$28:$K$39,TRUE,F$28:F$39)</f>
        <v>0</v>
      </c>
      <c r="G48" s="120">
        <f ca="1">SUMIF($K$28:$K$39,TRUE,G$28:G$39)+SUMIF($K$9:$K$20,TRUE,E$9:E$20)</f>
        <v>0</v>
      </c>
      <c r="H48" s="62"/>
      <c r="N48" s="16">
        <v>40</v>
      </c>
      <c r="O48" s="65"/>
      <c r="P48" s="55"/>
      <c r="Q48" s="56"/>
      <c r="R48" s="57"/>
      <c r="S48" s="58"/>
      <c r="T48" s="59"/>
      <c r="U48" s="60"/>
      <c r="V48" s="62"/>
      <c r="X48" s="1">
        <f t="shared" ca="1" si="14"/>
        <v>1</v>
      </c>
      <c r="Z48" s="1">
        <f t="shared" si="13"/>
        <v>0</v>
      </c>
      <c r="AA48" s="1">
        <f t="shared" si="13"/>
        <v>0</v>
      </c>
      <c r="AB48" s="1">
        <f t="shared" si="13"/>
        <v>0</v>
      </c>
      <c r="AC48" s="1">
        <f t="shared" si="13"/>
        <v>0</v>
      </c>
      <c r="AD48" s="1">
        <f t="shared" si="13"/>
        <v>0</v>
      </c>
      <c r="AE48" s="1">
        <f t="shared" si="13"/>
        <v>0</v>
      </c>
      <c r="AF48" s="1">
        <f t="shared" si="13"/>
        <v>0</v>
      </c>
      <c r="AG48" s="1">
        <f t="shared" si="13"/>
        <v>0</v>
      </c>
      <c r="AH48" s="1">
        <f t="shared" si="13"/>
        <v>0</v>
      </c>
      <c r="AI48" s="1">
        <f t="shared" si="13"/>
        <v>0</v>
      </c>
      <c r="AJ48" s="1">
        <f t="shared" si="13"/>
        <v>0</v>
      </c>
      <c r="AK48" s="1">
        <f t="shared" si="13"/>
        <v>0</v>
      </c>
    </row>
    <row r="49" spans="1:37" ht="14.1" customHeight="1" x14ac:dyDescent="0.2">
      <c r="A49" s="12">
        <v>3</v>
      </c>
      <c r="B49" s="65"/>
      <c r="C49" s="115" t="str">
        <f>ANUAL!$C117</f>
        <v>DINH</v>
      </c>
      <c r="D49" s="116" t="str">
        <f>ANUAL!$D117</f>
        <v>EM ESPÉCIE</v>
      </c>
      <c r="E49" s="117">
        <f ca="1">SUMIF($L$28:$L$39,TRUE,E$28:E$39)</f>
        <v>0</v>
      </c>
      <c r="F49" s="117">
        <f ca="1">SUMIF($L$28:$L$39,TRUE,F$28:F$39)</f>
        <v>0</v>
      </c>
      <c r="G49" s="117">
        <f ca="1">SUMIF($L$28:$L$39,TRUE,G$28:G$39)+SUMIF($L$9:$L$20,TRUE,E$9:E$20)</f>
        <v>0</v>
      </c>
      <c r="H49" s="62"/>
      <c r="N49" s="12">
        <v>41</v>
      </c>
      <c r="O49" s="65"/>
      <c r="P49" s="49"/>
      <c r="Q49" s="50"/>
      <c r="R49" s="51"/>
      <c r="S49" s="52"/>
      <c r="T49" s="53"/>
      <c r="U49" s="54"/>
      <c r="V49" s="62"/>
      <c r="X49" s="1">
        <f t="shared" ca="1" si="14"/>
        <v>1</v>
      </c>
      <c r="Z49" s="1">
        <f t="shared" ref="Z49:AK58" si="15">IF(Z$8=$R49,-$T49,0)+IF(Z$8=$S49,$T49,0)</f>
        <v>0</v>
      </c>
      <c r="AA49" s="1">
        <f t="shared" si="15"/>
        <v>0</v>
      </c>
      <c r="AB49" s="1">
        <f t="shared" si="15"/>
        <v>0</v>
      </c>
      <c r="AC49" s="1">
        <f t="shared" si="15"/>
        <v>0</v>
      </c>
      <c r="AD49" s="1">
        <f t="shared" si="15"/>
        <v>0</v>
      </c>
      <c r="AE49" s="1">
        <f t="shared" si="15"/>
        <v>0</v>
      </c>
      <c r="AF49" s="1">
        <f t="shared" si="15"/>
        <v>0</v>
      </c>
      <c r="AG49" s="1">
        <f t="shared" si="15"/>
        <v>0</v>
      </c>
      <c r="AH49" s="1">
        <f t="shared" si="15"/>
        <v>0</v>
      </c>
      <c r="AI49" s="1">
        <f t="shared" si="15"/>
        <v>0</v>
      </c>
      <c r="AJ49" s="1">
        <f t="shared" si="15"/>
        <v>0</v>
      </c>
      <c r="AK49" s="1">
        <f t="shared" si="15"/>
        <v>0</v>
      </c>
    </row>
    <row r="50" spans="1:37" ht="14.1" customHeight="1" x14ac:dyDescent="0.2">
      <c r="A50" s="12"/>
      <c r="B50" s="109"/>
      <c r="C50" s="110"/>
      <c r="D50" s="111"/>
      <c r="E50" s="111"/>
      <c r="F50" s="111"/>
      <c r="G50" s="111"/>
      <c r="H50" s="112"/>
      <c r="I50" s="3"/>
      <c r="J50" s="3"/>
      <c r="K50" s="3"/>
      <c r="L50" s="3"/>
      <c r="M50" s="3"/>
      <c r="N50" s="16">
        <v>42</v>
      </c>
      <c r="O50" s="65"/>
      <c r="P50" s="55"/>
      <c r="Q50" s="56"/>
      <c r="R50" s="57"/>
      <c r="S50" s="58"/>
      <c r="T50" s="59"/>
      <c r="U50" s="60"/>
      <c r="V50" s="62"/>
      <c r="X50" s="1">
        <f t="shared" ca="1" si="14"/>
        <v>1</v>
      </c>
      <c r="Z50" s="1">
        <f t="shared" si="15"/>
        <v>0</v>
      </c>
      <c r="AA50" s="1">
        <f t="shared" si="15"/>
        <v>0</v>
      </c>
      <c r="AB50" s="1">
        <f t="shared" si="15"/>
        <v>0</v>
      </c>
      <c r="AC50" s="1">
        <f t="shared" si="15"/>
        <v>0</v>
      </c>
      <c r="AD50" s="1">
        <f t="shared" si="15"/>
        <v>0</v>
      </c>
      <c r="AE50" s="1">
        <f t="shared" si="15"/>
        <v>0</v>
      </c>
      <c r="AF50" s="1">
        <f t="shared" si="15"/>
        <v>0</v>
      </c>
      <c r="AG50" s="1">
        <f t="shared" si="15"/>
        <v>0</v>
      </c>
      <c r="AH50" s="1">
        <f t="shared" si="15"/>
        <v>0</v>
      </c>
      <c r="AI50" s="1">
        <f t="shared" si="15"/>
        <v>0</v>
      </c>
      <c r="AJ50" s="1">
        <f t="shared" si="15"/>
        <v>0</v>
      </c>
      <c r="AK50" s="1">
        <f t="shared" si="15"/>
        <v>0</v>
      </c>
    </row>
    <row r="51" spans="1:37" ht="14.1" customHeight="1" x14ac:dyDescent="0.2">
      <c r="I51" s="3"/>
      <c r="J51" s="3"/>
      <c r="K51" s="3"/>
      <c r="L51" s="3"/>
      <c r="M51" s="3"/>
      <c r="N51" s="12">
        <v>43</v>
      </c>
      <c r="O51" s="65"/>
      <c r="P51" s="49"/>
      <c r="Q51" s="50"/>
      <c r="R51" s="51"/>
      <c r="S51" s="52"/>
      <c r="T51" s="53"/>
      <c r="U51" s="54"/>
      <c r="V51" s="62"/>
      <c r="X51" s="1">
        <f t="shared" ca="1" si="14"/>
        <v>1</v>
      </c>
      <c r="Z51" s="1">
        <f t="shared" si="15"/>
        <v>0</v>
      </c>
      <c r="AA51" s="1">
        <f t="shared" si="15"/>
        <v>0</v>
      </c>
      <c r="AB51" s="1">
        <f t="shared" si="15"/>
        <v>0</v>
      </c>
      <c r="AC51" s="1">
        <f t="shared" si="15"/>
        <v>0</v>
      </c>
      <c r="AD51" s="1">
        <f t="shared" si="15"/>
        <v>0</v>
      </c>
      <c r="AE51" s="1">
        <f t="shared" si="15"/>
        <v>0</v>
      </c>
      <c r="AF51" s="1">
        <f t="shared" si="15"/>
        <v>0</v>
      </c>
      <c r="AG51" s="1">
        <f t="shared" si="15"/>
        <v>0</v>
      </c>
      <c r="AH51" s="1">
        <f t="shared" si="15"/>
        <v>0</v>
      </c>
      <c r="AI51" s="1">
        <f t="shared" si="15"/>
        <v>0</v>
      </c>
      <c r="AJ51" s="1">
        <f t="shared" si="15"/>
        <v>0</v>
      </c>
      <c r="AK51" s="1">
        <f t="shared" si="15"/>
        <v>0</v>
      </c>
    </row>
    <row r="52" spans="1:37" ht="14.1" customHeight="1" x14ac:dyDescent="0.2">
      <c r="B52" s="84"/>
      <c r="C52" s="85"/>
      <c r="D52" s="86"/>
      <c r="E52" s="86"/>
      <c r="F52" s="86"/>
      <c r="G52" s="86"/>
      <c r="H52" s="87"/>
      <c r="N52" s="16">
        <v>44</v>
      </c>
      <c r="O52" s="65"/>
      <c r="P52" s="55"/>
      <c r="Q52" s="56"/>
      <c r="R52" s="57"/>
      <c r="S52" s="58"/>
      <c r="T52" s="59"/>
      <c r="U52" s="60"/>
      <c r="V52" s="62"/>
      <c r="X52" s="1">
        <f t="shared" ca="1" si="14"/>
        <v>1</v>
      </c>
      <c r="Z52" s="1">
        <f t="shared" si="15"/>
        <v>0</v>
      </c>
      <c r="AA52" s="1">
        <f t="shared" si="15"/>
        <v>0</v>
      </c>
      <c r="AB52" s="1">
        <f t="shared" si="15"/>
        <v>0</v>
      </c>
      <c r="AC52" s="1">
        <f t="shared" si="15"/>
        <v>0</v>
      </c>
      <c r="AD52" s="1">
        <f t="shared" si="15"/>
        <v>0</v>
      </c>
      <c r="AE52" s="1">
        <f t="shared" si="15"/>
        <v>0</v>
      </c>
      <c r="AF52" s="1">
        <f t="shared" si="15"/>
        <v>0</v>
      </c>
      <c r="AG52" s="1">
        <f t="shared" si="15"/>
        <v>0</v>
      </c>
      <c r="AH52" s="1">
        <f t="shared" si="15"/>
        <v>0</v>
      </c>
      <c r="AI52" s="1">
        <f t="shared" si="15"/>
        <v>0</v>
      </c>
      <c r="AJ52" s="1">
        <f t="shared" si="15"/>
        <v>0</v>
      </c>
      <c r="AK52" s="1">
        <f t="shared" si="15"/>
        <v>0</v>
      </c>
    </row>
    <row r="53" spans="1:37" ht="14.1" customHeight="1" x14ac:dyDescent="0.2">
      <c r="B53" s="88"/>
      <c r="C53" s="304" t="s">
        <v>27</v>
      </c>
      <c r="D53" s="304"/>
      <c r="E53" s="304"/>
      <c r="F53" s="304"/>
      <c r="G53" s="304"/>
      <c r="H53" s="89"/>
      <c r="N53" s="12">
        <v>45</v>
      </c>
      <c r="O53" s="65"/>
      <c r="P53" s="49"/>
      <c r="Q53" s="50"/>
      <c r="R53" s="51"/>
      <c r="S53" s="52"/>
      <c r="T53" s="53"/>
      <c r="U53" s="54"/>
      <c r="V53" s="62"/>
      <c r="X53" s="1">
        <f t="shared" ca="1" si="14"/>
        <v>1</v>
      </c>
      <c r="Z53" s="1">
        <f t="shared" si="15"/>
        <v>0</v>
      </c>
      <c r="AA53" s="1">
        <f t="shared" si="15"/>
        <v>0</v>
      </c>
      <c r="AB53" s="1">
        <f t="shared" si="15"/>
        <v>0</v>
      </c>
      <c r="AC53" s="1">
        <f t="shared" si="15"/>
        <v>0</v>
      </c>
      <c r="AD53" s="1">
        <f t="shared" si="15"/>
        <v>0</v>
      </c>
      <c r="AE53" s="1">
        <f t="shared" si="15"/>
        <v>0</v>
      </c>
      <c r="AF53" s="1">
        <f t="shared" si="15"/>
        <v>0</v>
      </c>
      <c r="AG53" s="1">
        <f t="shared" si="15"/>
        <v>0</v>
      </c>
      <c r="AH53" s="1">
        <f t="shared" si="15"/>
        <v>0</v>
      </c>
      <c r="AI53" s="1">
        <f t="shared" si="15"/>
        <v>0</v>
      </c>
      <c r="AJ53" s="1">
        <f t="shared" si="15"/>
        <v>0</v>
      </c>
      <c r="AK53" s="1">
        <f t="shared" si="15"/>
        <v>0</v>
      </c>
    </row>
    <row r="54" spans="1:37" ht="14.1" customHeight="1" x14ac:dyDescent="0.2">
      <c r="B54" s="88"/>
      <c r="C54" s="304"/>
      <c r="D54" s="304"/>
      <c r="E54" s="304"/>
      <c r="F54" s="304"/>
      <c r="G54" s="304"/>
      <c r="H54" s="89"/>
      <c r="N54" s="16">
        <v>46</v>
      </c>
      <c r="O54" s="65"/>
      <c r="P54" s="55"/>
      <c r="Q54" s="56"/>
      <c r="R54" s="57"/>
      <c r="S54" s="58"/>
      <c r="T54" s="59"/>
      <c r="U54" s="60"/>
      <c r="V54" s="62"/>
      <c r="X54" s="1">
        <f t="shared" ca="1" si="14"/>
        <v>1</v>
      </c>
      <c r="Z54" s="1">
        <f t="shared" si="15"/>
        <v>0</v>
      </c>
      <c r="AA54" s="1">
        <f t="shared" si="15"/>
        <v>0</v>
      </c>
      <c r="AB54" s="1">
        <f t="shared" si="15"/>
        <v>0</v>
      </c>
      <c r="AC54" s="1">
        <f t="shared" si="15"/>
        <v>0</v>
      </c>
      <c r="AD54" s="1">
        <f t="shared" si="15"/>
        <v>0</v>
      </c>
      <c r="AE54" s="1">
        <f t="shared" si="15"/>
        <v>0</v>
      </c>
      <c r="AF54" s="1">
        <f t="shared" si="15"/>
        <v>0</v>
      </c>
      <c r="AG54" s="1">
        <f t="shared" si="15"/>
        <v>0</v>
      </c>
      <c r="AH54" s="1">
        <f t="shared" si="15"/>
        <v>0</v>
      </c>
      <c r="AI54" s="1">
        <f t="shared" si="15"/>
        <v>0</v>
      </c>
      <c r="AJ54" s="1">
        <f t="shared" si="15"/>
        <v>0</v>
      </c>
      <c r="AK54" s="1">
        <f t="shared" si="15"/>
        <v>0</v>
      </c>
    </row>
    <row r="55" spans="1:37" ht="14.1" customHeight="1" x14ac:dyDescent="0.2">
      <c r="B55" s="46"/>
      <c r="C55" s="271" t="s">
        <v>4</v>
      </c>
      <c r="D55" s="273" t="s">
        <v>5</v>
      </c>
      <c r="E55" s="310"/>
      <c r="F55" s="310"/>
      <c r="G55" s="276" t="s">
        <v>97</v>
      </c>
      <c r="H55" s="89"/>
      <c r="N55" s="12">
        <v>47</v>
      </c>
      <c r="O55" s="65"/>
      <c r="P55" s="49"/>
      <c r="Q55" s="50"/>
      <c r="R55" s="51"/>
      <c r="S55" s="52"/>
      <c r="T55" s="53"/>
      <c r="U55" s="54"/>
      <c r="V55" s="62"/>
      <c r="X55" s="1">
        <f t="shared" ca="1" si="14"/>
        <v>1</v>
      </c>
      <c r="Z55" s="1">
        <f t="shared" si="15"/>
        <v>0</v>
      </c>
      <c r="AA55" s="1">
        <f t="shared" si="15"/>
        <v>0</v>
      </c>
      <c r="AB55" s="1">
        <f t="shared" si="15"/>
        <v>0</v>
      </c>
      <c r="AC55" s="1">
        <f t="shared" si="15"/>
        <v>0</v>
      </c>
      <c r="AD55" s="1">
        <f t="shared" si="15"/>
        <v>0</v>
      </c>
      <c r="AE55" s="1">
        <f t="shared" si="15"/>
        <v>0</v>
      </c>
      <c r="AF55" s="1">
        <f t="shared" si="15"/>
        <v>0</v>
      </c>
      <c r="AG55" s="1">
        <f t="shared" si="15"/>
        <v>0</v>
      </c>
      <c r="AH55" s="1">
        <f t="shared" si="15"/>
        <v>0</v>
      </c>
      <c r="AI55" s="1">
        <f t="shared" si="15"/>
        <v>0</v>
      </c>
      <c r="AJ55" s="1">
        <f t="shared" si="15"/>
        <v>0</v>
      </c>
      <c r="AK55" s="1">
        <f t="shared" si="15"/>
        <v>0</v>
      </c>
    </row>
    <row r="56" spans="1:37" ht="14.1" customHeight="1" x14ac:dyDescent="0.2">
      <c r="A56" s="3"/>
      <c r="B56" s="44"/>
      <c r="C56" s="272"/>
      <c r="D56" s="274"/>
      <c r="E56" s="311"/>
      <c r="F56" s="311"/>
      <c r="G56" s="305"/>
      <c r="H56" s="90"/>
      <c r="N56" s="16">
        <v>48</v>
      </c>
      <c r="O56" s="65"/>
      <c r="P56" s="55"/>
      <c r="Q56" s="56"/>
      <c r="R56" s="57"/>
      <c r="S56" s="58"/>
      <c r="T56" s="59"/>
      <c r="U56" s="60"/>
      <c r="V56" s="62"/>
      <c r="X56" s="1">
        <f t="shared" ca="1" si="14"/>
        <v>1</v>
      </c>
      <c r="Z56" s="1">
        <f t="shared" si="15"/>
        <v>0</v>
      </c>
      <c r="AA56" s="1">
        <f t="shared" si="15"/>
        <v>0</v>
      </c>
      <c r="AB56" s="1">
        <f t="shared" si="15"/>
        <v>0</v>
      </c>
      <c r="AC56" s="1">
        <f t="shared" si="15"/>
        <v>0</v>
      </c>
      <c r="AD56" s="1">
        <f t="shared" si="15"/>
        <v>0</v>
      </c>
      <c r="AE56" s="1">
        <f t="shared" si="15"/>
        <v>0</v>
      </c>
      <c r="AF56" s="1">
        <f t="shared" si="15"/>
        <v>0</v>
      </c>
      <c r="AG56" s="1">
        <f t="shared" si="15"/>
        <v>0</v>
      </c>
      <c r="AH56" s="1">
        <f t="shared" si="15"/>
        <v>0</v>
      </c>
      <c r="AI56" s="1">
        <f t="shared" si="15"/>
        <v>0</v>
      </c>
      <c r="AJ56" s="1">
        <f t="shared" si="15"/>
        <v>0</v>
      </c>
      <c r="AK56" s="1">
        <f t="shared" si="15"/>
        <v>0</v>
      </c>
    </row>
    <row r="57" spans="1:37" ht="14.1" customHeight="1" x14ac:dyDescent="0.2">
      <c r="A57" s="12">
        <v>1</v>
      </c>
      <c r="B57" s="64"/>
      <c r="C57" s="101" t="str">
        <f>ANUAL!$C141</f>
        <v>M01</v>
      </c>
      <c r="D57" s="303" t="str">
        <f>ANUAL!$D141</f>
        <v>MORADIA – CONDOMÍNIO</v>
      </c>
      <c r="E57" s="303"/>
      <c r="F57" s="303"/>
      <c r="G57" s="102">
        <f t="shared" ref="G57:G88" si="16">SUMIF(U$9:U$88,C57,T$9:T$88)</f>
        <v>0</v>
      </c>
      <c r="H57" s="61"/>
      <c r="N57" s="12">
        <v>49</v>
      </c>
      <c r="O57" s="65"/>
      <c r="P57" s="49"/>
      <c r="Q57" s="50"/>
      <c r="R57" s="51"/>
      <c r="S57" s="52"/>
      <c r="T57" s="53"/>
      <c r="U57" s="54"/>
      <c r="V57" s="62"/>
      <c r="X57" s="1">
        <f t="shared" ca="1" si="14"/>
        <v>1</v>
      </c>
      <c r="Z57" s="1">
        <f t="shared" si="15"/>
        <v>0</v>
      </c>
      <c r="AA57" s="1">
        <f t="shared" si="15"/>
        <v>0</v>
      </c>
      <c r="AB57" s="1">
        <f t="shared" si="15"/>
        <v>0</v>
      </c>
      <c r="AC57" s="1">
        <f t="shared" si="15"/>
        <v>0</v>
      </c>
      <c r="AD57" s="1">
        <f t="shared" si="15"/>
        <v>0</v>
      </c>
      <c r="AE57" s="1">
        <f t="shared" si="15"/>
        <v>0</v>
      </c>
      <c r="AF57" s="1">
        <f t="shared" si="15"/>
        <v>0</v>
      </c>
      <c r="AG57" s="1">
        <f t="shared" si="15"/>
        <v>0</v>
      </c>
      <c r="AH57" s="1">
        <f t="shared" si="15"/>
        <v>0</v>
      </c>
      <c r="AI57" s="1">
        <f t="shared" si="15"/>
        <v>0</v>
      </c>
      <c r="AJ57" s="1">
        <f t="shared" si="15"/>
        <v>0</v>
      </c>
      <c r="AK57" s="1">
        <f t="shared" si="15"/>
        <v>0</v>
      </c>
    </row>
    <row r="58" spans="1:37" ht="14.1" customHeight="1" x14ac:dyDescent="0.2">
      <c r="A58" s="16">
        <v>2</v>
      </c>
      <c r="B58" s="65"/>
      <c r="C58" s="103" t="str">
        <f>ANUAL!$C142</f>
        <v>M02</v>
      </c>
      <c r="D58" s="302" t="str">
        <f>ANUAL!$D142</f>
        <v>MORADIA – IPTU</v>
      </c>
      <c r="E58" s="302"/>
      <c r="F58" s="302"/>
      <c r="G58" s="104">
        <f t="shared" si="16"/>
        <v>0</v>
      </c>
      <c r="H58" s="62"/>
      <c r="N58" s="16">
        <v>50</v>
      </c>
      <c r="O58" s="65"/>
      <c r="P58" s="55"/>
      <c r="Q58" s="56"/>
      <c r="R58" s="57"/>
      <c r="S58" s="58"/>
      <c r="T58" s="59"/>
      <c r="U58" s="60"/>
      <c r="V58" s="62"/>
      <c r="X58" s="1">
        <f t="shared" ca="1" si="14"/>
        <v>1</v>
      </c>
      <c r="Z58" s="1">
        <f t="shared" si="15"/>
        <v>0</v>
      </c>
      <c r="AA58" s="1">
        <f t="shared" si="15"/>
        <v>0</v>
      </c>
      <c r="AB58" s="1">
        <f t="shared" si="15"/>
        <v>0</v>
      </c>
      <c r="AC58" s="1">
        <f t="shared" si="15"/>
        <v>0</v>
      </c>
      <c r="AD58" s="1">
        <f t="shared" si="15"/>
        <v>0</v>
      </c>
      <c r="AE58" s="1">
        <f t="shared" si="15"/>
        <v>0</v>
      </c>
      <c r="AF58" s="1">
        <f t="shared" si="15"/>
        <v>0</v>
      </c>
      <c r="AG58" s="1">
        <f t="shared" si="15"/>
        <v>0</v>
      </c>
      <c r="AH58" s="1">
        <f t="shared" si="15"/>
        <v>0</v>
      </c>
      <c r="AI58" s="1">
        <f t="shared" si="15"/>
        <v>0</v>
      </c>
      <c r="AJ58" s="1">
        <f t="shared" si="15"/>
        <v>0</v>
      </c>
      <c r="AK58" s="1">
        <f t="shared" si="15"/>
        <v>0</v>
      </c>
    </row>
    <row r="59" spans="1:37" ht="14.1" customHeight="1" x14ac:dyDescent="0.2">
      <c r="A59" s="12">
        <v>3</v>
      </c>
      <c r="B59" s="65"/>
      <c r="C59" s="101" t="str">
        <f>ANUAL!$C143</f>
        <v>M03</v>
      </c>
      <c r="D59" s="303" t="str">
        <f>ANUAL!$D143</f>
        <v>MORADIA – ALUGUEL</v>
      </c>
      <c r="E59" s="303"/>
      <c r="F59" s="303"/>
      <c r="G59" s="102">
        <f t="shared" si="16"/>
        <v>0</v>
      </c>
      <c r="H59" s="62"/>
      <c r="N59" s="12">
        <v>51</v>
      </c>
      <c r="O59" s="65"/>
      <c r="P59" s="49"/>
      <c r="Q59" s="50"/>
      <c r="R59" s="51"/>
      <c r="S59" s="52"/>
      <c r="T59" s="53"/>
      <c r="U59" s="54"/>
      <c r="V59" s="62"/>
      <c r="X59" s="1">
        <f t="shared" ca="1" si="14"/>
        <v>1</v>
      </c>
      <c r="Z59" s="1">
        <f t="shared" ref="Z59:AK68" si="17">IF(Z$8=$R59,-$T59,0)+IF(Z$8=$S59,$T59,0)</f>
        <v>0</v>
      </c>
      <c r="AA59" s="1">
        <f t="shared" si="17"/>
        <v>0</v>
      </c>
      <c r="AB59" s="1">
        <f t="shared" si="17"/>
        <v>0</v>
      </c>
      <c r="AC59" s="1">
        <f t="shared" si="17"/>
        <v>0</v>
      </c>
      <c r="AD59" s="1">
        <f t="shared" si="17"/>
        <v>0</v>
      </c>
      <c r="AE59" s="1">
        <f t="shared" si="17"/>
        <v>0</v>
      </c>
      <c r="AF59" s="1">
        <f t="shared" si="17"/>
        <v>0</v>
      </c>
      <c r="AG59" s="1">
        <f t="shared" si="17"/>
        <v>0</v>
      </c>
      <c r="AH59" s="1">
        <f t="shared" si="17"/>
        <v>0</v>
      </c>
      <c r="AI59" s="1">
        <f t="shared" si="17"/>
        <v>0</v>
      </c>
      <c r="AJ59" s="1">
        <f t="shared" si="17"/>
        <v>0</v>
      </c>
      <c r="AK59" s="1">
        <f t="shared" si="17"/>
        <v>0</v>
      </c>
    </row>
    <row r="60" spans="1:37" ht="14.1" customHeight="1" x14ac:dyDescent="0.2">
      <c r="A60" s="16">
        <v>4</v>
      </c>
      <c r="B60" s="65"/>
      <c r="C60" s="103" t="str">
        <f>ANUAL!$C144</f>
        <v>M04</v>
      </c>
      <c r="D60" s="302" t="str">
        <f>ANUAL!$D144</f>
        <v>MORADIA – REFORMA</v>
      </c>
      <c r="E60" s="302"/>
      <c r="F60" s="302"/>
      <c r="G60" s="104">
        <f t="shared" si="16"/>
        <v>0</v>
      </c>
      <c r="H60" s="62"/>
      <c r="N60" s="16">
        <v>52</v>
      </c>
      <c r="O60" s="65"/>
      <c r="P60" s="55"/>
      <c r="Q60" s="56"/>
      <c r="R60" s="57"/>
      <c r="S60" s="58"/>
      <c r="T60" s="59"/>
      <c r="U60" s="60"/>
      <c r="V60" s="62"/>
      <c r="X60" s="1">
        <f t="shared" ca="1" si="14"/>
        <v>1</v>
      </c>
      <c r="Z60" s="1">
        <f t="shared" si="17"/>
        <v>0</v>
      </c>
      <c r="AA60" s="1">
        <f t="shared" si="17"/>
        <v>0</v>
      </c>
      <c r="AB60" s="1">
        <f t="shared" si="17"/>
        <v>0</v>
      </c>
      <c r="AC60" s="1">
        <f t="shared" si="17"/>
        <v>0</v>
      </c>
      <c r="AD60" s="1">
        <f t="shared" si="17"/>
        <v>0</v>
      </c>
      <c r="AE60" s="1">
        <f t="shared" si="17"/>
        <v>0</v>
      </c>
      <c r="AF60" s="1">
        <f t="shared" si="17"/>
        <v>0</v>
      </c>
      <c r="AG60" s="1">
        <f t="shared" si="17"/>
        <v>0</v>
      </c>
      <c r="AH60" s="1">
        <f t="shared" si="17"/>
        <v>0</v>
      </c>
      <c r="AI60" s="1">
        <f t="shared" si="17"/>
        <v>0</v>
      </c>
      <c r="AJ60" s="1">
        <f t="shared" si="17"/>
        <v>0</v>
      </c>
      <c r="AK60" s="1">
        <f t="shared" si="17"/>
        <v>0</v>
      </c>
    </row>
    <row r="61" spans="1:37" ht="14.1" customHeight="1" x14ac:dyDescent="0.2">
      <c r="A61" s="12">
        <v>5</v>
      </c>
      <c r="B61" s="65"/>
      <c r="C61" s="101" t="str">
        <f>ANUAL!$C145</f>
        <v>U01</v>
      </c>
      <c r="D61" s="303" t="str">
        <f>ANUAL!$D145</f>
        <v>UTILITIES – ENERGIA ELÉTRICA</v>
      </c>
      <c r="E61" s="303"/>
      <c r="F61" s="303"/>
      <c r="G61" s="102">
        <f t="shared" si="16"/>
        <v>0</v>
      </c>
      <c r="H61" s="62"/>
      <c r="N61" s="12">
        <v>53</v>
      </c>
      <c r="O61" s="65"/>
      <c r="P61" s="49"/>
      <c r="Q61" s="50"/>
      <c r="R61" s="51"/>
      <c r="S61" s="52"/>
      <c r="T61" s="53"/>
      <c r="U61" s="54"/>
      <c r="V61" s="62"/>
      <c r="X61" s="1">
        <f t="shared" ca="1" si="14"/>
        <v>1</v>
      </c>
      <c r="Z61" s="1">
        <f t="shared" si="17"/>
        <v>0</v>
      </c>
      <c r="AA61" s="1">
        <f t="shared" si="17"/>
        <v>0</v>
      </c>
      <c r="AB61" s="1">
        <f t="shared" si="17"/>
        <v>0</v>
      </c>
      <c r="AC61" s="1">
        <f t="shared" si="17"/>
        <v>0</v>
      </c>
      <c r="AD61" s="1">
        <f t="shared" si="17"/>
        <v>0</v>
      </c>
      <c r="AE61" s="1">
        <f t="shared" si="17"/>
        <v>0</v>
      </c>
      <c r="AF61" s="1">
        <f t="shared" si="17"/>
        <v>0</v>
      </c>
      <c r="AG61" s="1">
        <f t="shared" si="17"/>
        <v>0</v>
      </c>
      <c r="AH61" s="1">
        <f t="shared" si="17"/>
        <v>0</v>
      </c>
      <c r="AI61" s="1">
        <f t="shared" si="17"/>
        <v>0</v>
      </c>
      <c r="AJ61" s="1">
        <f t="shared" si="17"/>
        <v>0</v>
      </c>
      <c r="AK61" s="1">
        <f t="shared" si="17"/>
        <v>0</v>
      </c>
    </row>
    <row r="62" spans="1:37" ht="14.1" customHeight="1" x14ac:dyDescent="0.2">
      <c r="A62" s="16">
        <v>6</v>
      </c>
      <c r="B62" s="65"/>
      <c r="C62" s="103" t="str">
        <f>ANUAL!$C146</f>
        <v>U02</v>
      </c>
      <c r="D62" s="302" t="str">
        <f>ANUAL!$D146</f>
        <v>UTILITIES – ÁGUA POTÁVEL</v>
      </c>
      <c r="E62" s="302"/>
      <c r="F62" s="302"/>
      <c r="G62" s="104">
        <f t="shared" si="16"/>
        <v>0</v>
      </c>
      <c r="H62" s="62"/>
      <c r="N62" s="16">
        <v>54</v>
      </c>
      <c r="O62" s="65"/>
      <c r="P62" s="55"/>
      <c r="Q62" s="56"/>
      <c r="R62" s="57"/>
      <c r="S62" s="58"/>
      <c r="T62" s="59"/>
      <c r="U62" s="60"/>
      <c r="V62" s="62"/>
      <c r="X62" s="1">
        <f t="shared" ca="1" si="14"/>
        <v>1</v>
      </c>
      <c r="Z62" s="1">
        <f t="shared" si="17"/>
        <v>0</v>
      </c>
      <c r="AA62" s="1">
        <f t="shared" si="17"/>
        <v>0</v>
      </c>
      <c r="AB62" s="1">
        <f t="shared" si="17"/>
        <v>0</v>
      </c>
      <c r="AC62" s="1">
        <f t="shared" si="17"/>
        <v>0</v>
      </c>
      <c r="AD62" s="1">
        <f t="shared" si="17"/>
        <v>0</v>
      </c>
      <c r="AE62" s="1">
        <f t="shared" si="17"/>
        <v>0</v>
      </c>
      <c r="AF62" s="1">
        <f t="shared" si="17"/>
        <v>0</v>
      </c>
      <c r="AG62" s="1">
        <f t="shared" si="17"/>
        <v>0</v>
      </c>
      <c r="AH62" s="1">
        <f t="shared" si="17"/>
        <v>0</v>
      </c>
      <c r="AI62" s="1">
        <f t="shared" si="17"/>
        <v>0</v>
      </c>
      <c r="AJ62" s="1">
        <f t="shared" si="17"/>
        <v>0</v>
      </c>
      <c r="AK62" s="1">
        <f t="shared" si="17"/>
        <v>0</v>
      </c>
    </row>
    <row r="63" spans="1:37" ht="14.1" customHeight="1" x14ac:dyDescent="0.2">
      <c r="A63" s="12">
        <v>7</v>
      </c>
      <c r="B63" s="65"/>
      <c r="C63" s="101" t="str">
        <f>ANUAL!$C147</f>
        <v>U03</v>
      </c>
      <c r="D63" s="303" t="str">
        <f>ANUAL!$D147</f>
        <v>UTILITIES – DIVERSOS (ÁGUA, GÁS, SERV. GERAIS)</v>
      </c>
      <c r="E63" s="303"/>
      <c r="F63" s="303"/>
      <c r="G63" s="102">
        <f t="shared" si="16"/>
        <v>0</v>
      </c>
      <c r="H63" s="62"/>
      <c r="N63" s="12">
        <v>55</v>
      </c>
      <c r="O63" s="65"/>
      <c r="P63" s="49"/>
      <c r="Q63" s="50"/>
      <c r="R63" s="51"/>
      <c r="S63" s="52"/>
      <c r="T63" s="53"/>
      <c r="U63" s="54"/>
      <c r="V63" s="62"/>
      <c r="X63" s="1">
        <f t="shared" ca="1" si="14"/>
        <v>1</v>
      </c>
      <c r="Y63" s="30"/>
      <c r="Z63" s="1">
        <f t="shared" si="17"/>
        <v>0</v>
      </c>
      <c r="AA63" s="1">
        <f t="shared" si="17"/>
        <v>0</v>
      </c>
      <c r="AB63" s="1">
        <f t="shared" si="17"/>
        <v>0</v>
      </c>
      <c r="AC63" s="1">
        <f t="shared" si="17"/>
        <v>0</v>
      </c>
      <c r="AD63" s="1">
        <f t="shared" si="17"/>
        <v>0</v>
      </c>
      <c r="AE63" s="1">
        <f t="shared" si="17"/>
        <v>0</v>
      </c>
      <c r="AF63" s="1">
        <f t="shared" si="17"/>
        <v>0</v>
      </c>
      <c r="AG63" s="1">
        <f t="shared" si="17"/>
        <v>0</v>
      </c>
      <c r="AH63" s="1">
        <f t="shared" si="17"/>
        <v>0</v>
      </c>
      <c r="AI63" s="1">
        <f t="shared" si="17"/>
        <v>0</v>
      </c>
      <c r="AJ63" s="1">
        <f t="shared" si="17"/>
        <v>0</v>
      </c>
      <c r="AK63" s="1">
        <f t="shared" si="17"/>
        <v>0</v>
      </c>
    </row>
    <row r="64" spans="1:37" ht="14.1" customHeight="1" x14ac:dyDescent="0.2">
      <c r="A64" s="16">
        <v>8</v>
      </c>
      <c r="B64" s="65"/>
      <c r="C64" s="103" t="str">
        <f>ANUAL!$C148</f>
        <v>S01</v>
      </c>
      <c r="D64" s="302" t="str">
        <f>ANUAL!$D148</f>
        <v>SAÚDE – PLANO DE SAÚDE</v>
      </c>
      <c r="E64" s="302"/>
      <c r="F64" s="302"/>
      <c r="G64" s="104">
        <f t="shared" si="16"/>
        <v>0</v>
      </c>
      <c r="H64" s="62"/>
      <c r="N64" s="16">
        <v>56</v>
      </c>
      <c r="O64" s="65"/>
      <c r="P64" s="55"/>
      <c r="Q64" s="56"/>
      <c r="R64" s="57"/>
      <c r="S64" s="58"/>
      <c r="T64" s="59"/>
      <c r="U64" s="60"/>
      <c r="V64" s="62"/>
      <c r="X64" s="1">
        <f t="shared" ca="1" si="14"/>
        <v>1</v>
      </c>
      <c r="Z64" s="1">
        <f t="shared" si="17"/>
        <v>0</v>
      </c>
      <c r="AA64" s="1">
        <f t="shared" si="17"/>
        <v>0</v>
      </c>
      <c r="AB64" s="1">
        <f t="shared" si="17"/>
        <v>0</v>
      </c>
      <c r="AC64" s="1">
        <f t="shared" si="17"/>
        <v>0</v>
      </c>
      <c r="AD64" s="1">
        <f t="shared" si="17"/>
        <v>0</v>
      </c>
      <c r="AE64" s="1">
        <f t="shared" si="17"/>
        <v>0</v>
      </c>
      <c r="AF64" s="1">
        <f t="shared" si="17"/>
        <v>0</v>
      </c>
      <c r="AG64" s="1">
        <f t="shared" si="17"/>
        <v>0</v>
      </c>
      <c r="AH64" s="1">
        <f t="shared" si="17"/>
        <v>0</v>
      </c>
      <c r="AI64" s="1">
        <f t="shared" si="17"/>
        <v>0</v>
      </c>
      <c r="AJ64" s="1">
        <f t="shared" si="17"/>
        <v>0</v>
      </c>
      <c r="AK64" s="1">
        <f t="shared" si="17"/>
        <v>0</v>
      </c>
    </row>
    <row r="65" spans="1:37" ht="14.1" customHeight="1" x14ac:dyDescent="0.2">
      <c r="A65" s="12">
        <v>9</v>
      </c>
      <c r="B65" s="65"/>
      <c r="C65" s="101" t="str">
        <f>ANUAL!$C149</f>
        <v>S02</v>
      </c>
      <c r="D65" s="303" t="str">
        <f>ANUAL!$D149</f>
        <v>SAÚDE – REMÉDIOS</v>
      </c>
      <c r="E65" s="303"/>
      <c r="F65" s="303"/>
      <c r="G65" s="102">
        <f t="shared" si="16"/>
        <v>0</v>
      </c>
      <c r="H65" s="62"/>
      <c r="N65" s="12">
        <v>57</v>
      </c>
      <c r="O65" s="65"/>
      <c r="P65" s="49"/>
      <c r="Q65" s="50"/>
      <c r="R65" s="51"/>
      <c r="S65" s="52"/>
      <c r="T65" s="53"/>
      <c r="U65" s="54"/>
      <c r="V65" s="62"/>
      <c r="X65" s="1">
        <f t="shared" ca="1" si="14"/>
        <v>1</v>
      </c>
      <c r="Z65" s="1">
        <f t="shared" si="17"/>
        <v>0</v>
      </c>
      <c r="AA65" s="1">
        <f t="shared" si="17"/>
        <v>0</v>
      </c>
      <c r="AB65" s="1">
        <f t="shared" si="17"/>
        <v>0</v>
      </c>
      <c r="AC65" s="1">
        <f t="shared" si="17"/>
        <v>0</v>
      </c>
      <c r="AD65" s="1">
        <f t="shared" si="17"/>
        <v>0</v>
      </c>
      <c r="AE65" s="1">
        <f t="shared" si="17"/>
        <v>0</v>
      </c>
      <c r="AF65" s="1">
        <f t="shared" si="17"/>
        <v>0</v>
      </c>
      <c r="AG65" s="1">
        <f t="shared" si="17"/>
        <v>0</v>
      </c>
      <c r="AH65" s="1">
        <f t="shared" si="17"/>
        <v>0</v>
      </c>
      <c r="AI65" s="1">
        <f t="shared" si="17"/>
        <v>0</v>
      </c>
      <c r="AJ65" s="1">
        <f t="shared" si="17"/>
        <v>0</v>
      </c>
      <c r="AK65" s="1">
        <f t="shared" si="17"/>
        <v>0</v>
      </c>
    </row>
    <row r="66" spans="1:37" ht="14.1" customHeight="1" x14ac:dyDescent="0.2">
      <c r="A66" s="16">
        <v>10</v>
      </c>
      <c r="B66" s="65"/>
      <c r="C66" s="103" t="str">
        <f>ANUAL!$C150</f>
        <v>S03</v>
      </c>
      <c r="D66" s="302" t="str">
        <f>ANUAL!$D150</f>
        <v>SAÚDE – ACADEMIA</v>
      </c>
      <c r="E66" s="302"/>
      <c r="F66" s="302"/>
      <c r="G66" s="104">
        <f t="shared" si="16"/>
        <v>0</v>
      </c>
      <c r="H66" s="62"/>
      <c r="N66" s="16">
        <v>58</v>
      </c>
      <c r="O66" s="65"/>
      <c r="P66" s="55"/>
      <c r="Q66" s="56"/>
      <c r="R66" s="57"/>
      <c r="S66" s="58"/>
      <c r="T66" s="59"/>
      <c r="U66" s="60"/>
      <c r="V66" s="62"/>
      <c r="X66" s="1">
        <f t="shared" ca="1" si="14"/>
        <v>1</v>
      </c>
      <c r="Z66" s="1">
        <f t="shared" si="17"/>
        <v>0</v>
      </c>
      <c r="AA66" s="1">
        <f t="shared" si="17"/>
        <v>0</v>
      </c>
      <c r="AB66" s="1">
        <f t="shared" si="17"/>
        <v>0</v>
      </c>
      <c r="AC66" s="1">
        <f t="shared" si="17"/>
        <v>0</v>
      </c>
      <c r="AD66" s="1">
        <f t="shared" si="17"/>
        <v>0</v>
      </c>
      <c r="AE66" s="1">
        <f t="shared" si="17"/>
        <v>0</v>
      </c>
      <c r="AF66" s="1">
        <f t="shared" si="17"/>
        <v>0</v>
      </c>
      <c r="AG66" s="1">
        <f t="shared" si="17"/>
        <v>0</v>
      </c>
      <c r="AH66" s="1">
        <f t="shared" si="17"/>
        <v>0</v>
      </c>
      <c r="AI66" s="1">
        <f t="shared" si="17"/>
        <v>0</v>
      </c>
      <c r="AJ66" s="1">
        <f t="shared" si="17"/>
        <v>0</v>
      </c>
      <c r="AK66" s="1">
        <f t="shared" si="17"/>
        <v>0</v>
      </c>
    </row>
    <row r="67" spans="1:37" ht="14.1" customHeight="1" x14ac:dyDescent="0.2">
      <c r="A67" s="12">
        <v>11</v>
      </c>
      <c r="B67" s="65"/>
      <c r="C67" s="101" t="str">
        <f>ANUAL!$C151</f>
        <v>C01</v>
      </c>
      <c r="D67" s="303" t="str">
        <f>ANUAL!$D151</f>
        <v>COMPRAS</v>
      </c>
      <c r="E67" s="303"/>
      <c r="F67" s="303"/>
      <c r="G67" s="102">
        <f t="shared" si="16"/>
        <v>0</v>
      </c>
      <c r="H67" s="62"/>
      <c r="N67" s="12">
        <v>59</v>
      </c>
      <c r="O67" s="65"/>
      <c r="P67" s="49"/>
      <c r="Q67" s="50"/>
      <c r="R67" s="51"/>
      <c r="S67" s="52"/>
      <c r="T67" s="53"/>
      <c r="U67" s="54"/>
      <c r="V67" s="62"/>
      <c r="X67" s="1">
        <f t="shared" ca="1" si="14"/>
        <v>1</v>
      </c>
      <c r="Z67" s="1">
        <f t="shared" si="17"/>
        <v>0</v>
      </c>
      <c r="AA67" s="1">
        <f t="shared" si="17"/>
        <v>0</v>
      </c>
      <c r="AB67" s="1">
        <f t="shared" si="17"/>
        <v>0</v>
      </c>
      <c r="AC67" s="1">
        <f t="shared" si="17"/>
        <v>0</v>
      </c>
      <c r="AD67" s="1">
        <f t="shared" si="17"/>
        <v>0</v>
      </c>
      <c r="AE67" s="1">
        <f t="shared" si="17"/>
        <v>0</v>
      </c>
      <c r="AF67" s="1">
        <f t="shared" si="17"/>
        <v>0</v>
      </c>
      <c r="AG67" s="1">
        <f t="shared" si="17"/>
        <v>0</v>
      </c>
      <c r="AH67" s="1">
        <f t="shared" si="17"/>
        <v>0</v>
      </c>
      <c r="AI67" s="1">
        <f t="shared" si="17"/>
        <v>0</v>
      </c>
      <c r="AJ67" s="1">
        <f t="shared" si="17"/>
        <v>0</v>
      </c>
      <c r="AK67" s="1">
        <f t="shared" si="17"/>
        <v>0</v>
      </c>
    </row>
    <row r="68" spans="1:37" ht="14.1" customHeight="1" x14ac:dyDescent="0.2">
      <c r="A68" s="16">
        <v>12</v>
      </c>
      <c r="B68" s="65"/>
      <c r="C68" s="103" t="str">
        <f>ANUAL!$C152</f>
        <v>L01</v>
      </c>
      <c r="D68" s="302" t="str">
        <f>ANUAL!$D152</f>
        <v>LAZER</v>
      </c>
      <c r="E68" s="302"/>
      <c r="F68" s="302"/>
      <c r="G68" s="104">
        <f t="shared" si="16"/>
        <v>0</v>
      </c>
      <c r="H68" s="62"/>
      <c r="N68" s="16">
        <v>60</v>
      </c>
      <c r="O68" s="65"/>
      <c r="P68" s="55"/>
      <c r="Q68" s="56"/>
      <c r="R68" s="57"/>
      <c r="S68" s="58"/>
      <c r="T68" s="59"/>
      <c r="U68" s="60"/>
      <c r="V68" s="62"/>
      <c r="X68" s="1">
        <f t="shared" ca="1" si="14"/>
        <v>1</v>
      </c>
      <c r="Z68" s="1">
        <f t="shared" si="17"/>
        <v>0</v>
      </c>
      <c r="AA68" s="1">
        <f t="shared" si="17"/>
        <v>0</v>
      </c>
      <c r="AB68" s="1">
        <f t="shared" si="17"/>
        <v>0</v>
      </c>
      <c r="AC68" s="1">
        <f t="shared" si="17"/>
        <v>0</v>
      </c>
      <c r="AD68" s="1">
        <f t="shared" si="17"/>
        <v>0</v>
      </c>
      <c r="AE68" s="1">
        <f t="shared" si="17"/>
        <v>0</v>
      </c>
      <c r="AF68" s="1">
        <f t="shared" si="17"/>
        <v>0</v>
      </c>
      <c r="AG68" s="1">
        <f t="shared" si="17"/>
        <v>0</v>
      </c>
      <c r="AH68" s="1">
        <f t="shared" si="17"/>
        <v>0</v>
      </c>
      <c r="AI68" s="1">
        <f t="shared" si="17"/>
        <v>0</v>
      </c>
      <c r="AJ68" s="1">
        <f t="shared" si="17"/>
        <v>0</v>
      </c>
      <c r="AK68" s="1">
        <f t="shared" si="17"/>
        <v>0</v>
      </c>
    </row>
    <row r="69" spans="1:37" ht="14.1" customHeight="1" x14ac:dyDescent="0.2">
      <c r="A69" s="12">
        <v>13</v>
      </c>
      <c r="B69" s="65"/>
      <c r="C69" s="101" t="str">
        <f>ANUAL!$C153</f>
        <v>A01</v>
      </c>
      <c r="D69" s="303" t="str">
        <f>ANUAL!$D153</f>
        <v>ALIMENTAÇÃO – ALMOÇO</v>
      </c>
      <c r="E69" s="303"/>
      <c r="F69" s="303"/>
      <c r="G69" s="102">
        <f t="shared" si="16"/>
        <v>0</v>
      </c>
      <c r="H69" s="62"/>
      <c r="N69" s="12">
        <v>61</v>
      </c>
      <c r="O69" s="65"/>
      <c r="P69" s="49"/>
      <c r="Q69" s="50"/>
      <c r="R69" s="51"/>
      <c r="S69" s="52"/>
      <c r="T69" s="53"/>
      <c r="U69" s="54"/>
      <c r="V69" s="62"/>
      <c r="X69" s="1">
        <f t="shared" ca="1" si="14"/>
        <v>1</v>
      </c>
      <c r="Z69" s="1">
        <f t="shared" ref="Z69:AK78" si="18">IF(Z$8=$R69,-$T69,0)+IF(Z$8=$S69,$T69,0)</f>
        <v>0</v>
      </c>
      <c r="AA69" s="1">
        <f t="shared" si="18"/>
        <v>0</v>
      </c>
      <c r="AB69" s="1">
        <f t="shared" si="18"/>
        <v>0</v>
      </c>
      <c r="AC69" s="1">
        <f t="shared" si="18"/>
        <v>0</v>
      </c>
      <c r="AD69" s="1">
        <f t="shared" si="18"/>
        <v>0</v>
      </c>
      <c r="AE69" s="1">
        <f t="shared" si="18"/>
        <v>0</v>
      </c>
      <c r="AF69" s="1">
        <f t="shared" si="18"/>
        <v>0</v>
      </c>
      <c r="AG69" s="1">
        <f t="shared" si="18"/>
        <v>0</v>
      </c>
      <c r="AH69" s="1">
        <f t="shared" si="18"/>
        <v>0</v>
      </c>
      <c r="AI69" s="1">
        <f t="shared" si="18"/>
        <v>0</v>
      </c>
      <c r="AJ69" s="1">
        <f t="shared" si="18"/>
        <v>0</v>
      </c>
      <c r="AK69" s="1">
        <f t="shared" si="18"/>
        <v>0</v>
      </c>
    </row>
    <row r="70" spans="1:37" ht="14.1" customHeight="1" x14ac:dyDescent="0.2">
      <c r="A70" s="16">
        <v>14</v>
      </c>
      <c r="B70" s="65"/>
      <c r="C70" s="103" t="str">
        <f>ANUAL!$C154</f>
        <v>A02</v>
      </c>
      <c r="D70" s="302" t="str">
        <f>ANUAL!$D154</f>
        <v>ALIMENTAÇÃO – COMPRA MENSAL</v>
      </c>
      <c r="E70" s="302"/>
      <c r="F70" s="302"/>
      <c r="G70" s="104">
        <f t="shared" si="16"/>
        <v>0</v>
      </c>
      <c r="H70" s="62"/>
      <c r="N70" s="16">
        <v>62</v>
      </c>
      <c r="O70" s="65"/>
      <c r="P70" s="55"/>
      <c r="Q70" s="56"/>
      <c r="R70" s="57"/>
      <c r="S70" s="58"/>
      <c r="T70" s="59"/>
      <c r="U70" s="60"/>
      <c r="V70" s="62"/>
      <c r="X70" s="1">
        <f t="shared" ca="1" si="14"/>
        <v>1</v>
      </c>
      <c r="Z70" s="1">
        <f t="shared" si="18"/>
        <v>0</v>
      </c>
      <c r="AA70" s="1">
        <f t="shared" si="18"/>
        <v>0</v>
      </c>
      <c r="AB70" s="1">
        <f t="shared" si="18"/>
        <v>0</v>
      </c>
      <c r="AC70" s="1">
        <f t="shared" si="18"/>
        <v>0</v>
      </c>
      <c r="AD70" s="1">
        <f t="shared" si="18"/>
        <v>0</v>
      </c>
      <c r="AE70" s="1">
        <f t="shared" si="18"/>
        <v>0</v>
      </c>
      <c r="AF70" s="1">
        <f t="shared" si="18"/>
        <v>0</v>
      </c>
      <c r="AG70" s="1">
        <f t="shared" si="18"/>
        <v>0</v>
      </c>
      <c r="AH70" s="1">
        <f t="shared" si="18"/>
        <v>0</v>
      </c>
      <c r="AI70" s="1">
        <f t="shared" si="18"/>
        <v>0</v>
      </c>
      <c r="AJ70" s="1">
        <f t="shared" si="18"/>
        <v>0</v>
      </c>
      <c r="AK70" s="1">
        <f t="shared" si="18"/>
        <v>0</v>
      </c>
    </row>
    <row r="71" spans="1:37" ht="14.1" customHeight="1" x14ac:dyDescent="0.2">
      <c r="A71" s="12">
        <v>15</v>
      </c>
      <c r="B71" s="65"/>
      <c r="C71" s="101" t="str">
        <f>ANUAL!$C155</f>
        <v>A03</v>
      </c>
      <c r="D71" s="303" t="str">
        <f>ANUAL!$D155</f>
        <v>ALIMENTAÇÃO – FEIRAS SEMANAIS</v>
      </c>
      <c r="E71" s="303"/>
      <c r="F71" s="303"/>
      <c r="G71" s="102">
        <f t="shared" si="16"/>
        <v>0</v>
      </c>
      <c r="H71" s="62"/>
      <c r="N71" s="12">
        <v>63</v>
      </c>
      <c r="O71" s="65"/>
      <c r="P71" s="49"/>
      <c r="Q71" s="50"/>
      <c r="R71" s="51"/>
      <c r="S71" s="52"/>
      <c r="T71" s="53"/>
      <c r="U71" s="54"/>
      <c r="V71" s="62"/>
      <c r="X71" s="1">
        <f t="shared" ca="1" si="14"/>
        <v>1</v>
      </c>
      <c r="Z71" s="1">
        <f t="shared" si="18"/>
        <v>0</v>
      </c>
      <c r="AA71" s="1">
        <f t="shared" si="18"/>
        <v>0</v>
      </c>
      <c r="AB71" s="1">
        <f t="shared" si="18"/>
        <v>0</v>
      </c>
      <c r="AC71" s="1">
        <f t="shared" si="18"/>
        <v>0</v>
      </c>
      <c r="AD71" s="1">
        <f t="shared" si="18"/>
        <v>0</v>
      </c>
      <c r="AE71" s="1">
        <f t="shared" si="18"/>
        <v>0</v>
      </c>
      <c r="AF71" s="1">
        <f t="shared" si="18"/>
        <v>0</v>
      </c>
      <c r="AG71" s="1">
        <f t="shared" si="18"/>
        <v>0</v>
      </c>
      <c r="AH71" s="1">
        <f t="shared" si="18"/>
        <v>0</v>
      </c>
      <c r="AI71" s="1">
        <f t="shared" si="18"/>
        <v>0</v>
      </c>
      <c r="AJ71" s="1">
        <f t="shared" si="18"/>
        <v>0</v>
      </c>
      <c r="AK71" s="1">
        <f t="shared" si="18"/>
        <v>0</v>
      </c>
    </row>
    <row r="72" spans="1:37" ht="14.1" customHeight="1" x14ac:dyDescent="0.2">
      <c r="A72" s="16">
        <v>16</v>
      </c>
      <c r="B72" s="65"/>
      <c r="C72" s="103" t="str">
        <f>ANUAL!$C156</f>
        <v>T01</v>
      </c>
      <c r="D72" s="302" t="str">
        <f>ANUAL!$D156</f>
        <v>TELECOM – CELULAR</v>
      </c>
      <c r="E72" s="302"/>
      <c r="F72" s="302"/>
      <c r="G72" s="104">
        <f t="shared" si="16"/>
        <v>0</v>
      </c>
      <c r="H72" s="62"/>
      <c r="N72" s="16">
        <v>64</v>
      </c>
      <c r="O72" s="65"/>
      <c r="P72" s="55"/>
      <c r="Q72" s="56"/>
      <c r="R72" s="57"/>
      <c r="S72" s="58"/>
      <c r="T72" s="59"/>
      <c r="U72" s="60"/>
      <c r="V72" s="62"/>
      <c r="X72" s="1">
        <f t="shared" ca="1" si="14"/>
        <v>1</v>
      </c>
      <c r="Z72" s="1">
        <f t="shared" si="18"/>
        <v>0</v>
      </c>
      <c r="AA72" s="1">
        <f t="shared" si="18"/>
        <v>0</v>
      </c>
      <c r="AB72" s="1">
        <f t="shared" si="18"/>
        <v>0</v>
      </c>
      <c r="AC72" s="1">
        <f t="shared" si="18"/>
        <v>0</v>
      </c>
      <c r="AD72" s="1">
        <f t="shared" si="18"/>
        <v>0</v>
      </c>
      <c r="AE72" s="1">
        <f t="shared" si="18"/>
        <v>0</v>
      </c>
      <c r="AF72" s="1">
        <f t="shared" si="18"/>
        <v>0</v>
      </c>
      <c r="AG72" s="1">
        <f t="shared" si="18"/>
        <v>0</v>
      </c>
      <c r="AH72" s="1">
        <f t="shared" si="18"/>
        <v>0</v>
      </c>
      <c r="AI72" s="1">
        <f t="shared" si="18"/>
        <v>0</v>
      </c>
      <c r="AJ72" s="1">
        <f t="shared" si="18"/>
        <v>0</v>
      </c>
      <c r="AK72" s="1">
        <f t="shared" si="18"/>
        <v>0</v>
      </c>
    </row>
    <row r="73" spans="1:37" ht="14.1" customHeight="1" x14ac:dyDescent="0.2">
      <c r="A73" s="12">
        <v>17</v>
      </c>
      <c r="B73" s="65"/>
      <c r="C73" s="101" t="str">
        <f>ANUAL!$C157</f>
        <v>T02</v>
      </c>
      <c r="D73" s="303" t="str">
        <f>ANUAL!$D157</f>
        <v>TELECOM – INTERNET</v>
      </c>
      <c r="E73" s="303"/>
      <c r="F73" s="303"/>
      <c r="G73" s="102">
        <f t="shared" si="16"/>
        <v>0</v>
      </c>
      <c r="H73" s="62"/>
      <c r="N73" s="12">
        <v>65</v>
      </c>
      <c r="O73" s="65"/>
      <c r="P73" s="49"/>
      <c r="Q73" s="50"/>
      <c r="R73" s="51"/>
      <c r="S73" s="52"/>
      <c r="T73" s="53"/>
      <c r="U73" s="54"/>
      <c r="V73" s="62"/>
      <c r="X73" s="1">
        <f t="shared" ref="X73:X88" ca="1" si="19">IF(P73&lt;NOW(),1,0)</f>
        <v>1</v>
      </c>
      <c r="Z73" s="1">
        <f t="shared" si="18"/>
        <v>0</v>
      </c>
      <c r="AA73" s="1">
        <f t="shared" si="18"/>
        <v>0</v>
      </c>
      <c r="AB73" s="1">
        <f t="shared" si="18"/>
        <v>0</v>
      </c>
      <c r="AC73" s="1">
        <f t="shared" si="18"/>
        <v>0</v>
      </c>
      <c r="AD73" s="1">
        <f t="shared" si="18"/>
        <v>0</v>
      </c>
      <c r="AE73" s="1">
        <f t="shared" si="18"/>
        <v>0</v>
      </c>
      <c r="AF73" s="1">
        <f t="shared" si="18"/>
        <v>0</v>
      </c>
      <c r="AG73" s="1">
        <f t="shared" si="18"/>
        <v>0</v>
      </c>
      <c r="AH73" s="1">
        <f t="shared" si="18"/>
        <v>0</v>
      </c>
      <c r="AI73" s="1">
        <f t="shared" si="18"/>
        <v>0</v>
      </c>
      <c r="AJ73" s="1">
        <f t="shared" si="18"/>
        <v>0</v>
      </c>
      <c r="AK73" s="1">
        <f t="shared" si="18"/>
        <v>0</v>
      </c>
    </row>
    <row r="74" spans="1:37" ht="14.1" customHeight="1" x14ac:dyDescent="0.2">
      <c r="A74" s="16">
        <v>18</v>
      </c>
      <c r="B74" s="65"/>
      <c r="C74" s="103" t="str">
        <f>ANUAL!$C158</f>
        <v>T03</v>
      </c>
      <c r="D74" s="302" t="str">
        <f>ANUAL!$D158</f>
        <v>TELECOM – FIXO</v>
      </c>
      <c r="E74" s="302"/>
      <c r="F74" s="302"/>
      <c r="G74" s="104">
        <f t="shared" si="16"/>
        <v>0</v>
      </c>
      <c r="H74" s="62"/>
      <c r="N74" s="16">
        <v>66</v>
      </c>
      <c r="O74" s="65"/>
      <c r="P74" s="55"/>
      <c r="Q74" s="56"/>
      <c r="R74" s="57"/>
      <c r="S74" s="58"/>
      <c r="T74" s="59"/>
      <c r="U74" s="60"/>
      <c r="V74" s="62"/>
      <c r="X74" s="1">
        <f t="shared" ca="1" si="19"/>
        <v>1</v>
      </c>
      <c r="Z74" s="1">
        <f t="shared" si="18"/>
        <v>0</v>
      </c>
      <c r="AA74" s="1">
        <f t="shared" si="18"/>
        <v>0</v>
      </c>
      <c r="AB74" s="1">
        <f t="shared" si="18"/>
        <v>0</v>
      </c>
      <c r="AC74" s="1">
        <f t="shared" si="18"/>
        <v>0</v>
      </c>
      <c r="AD74" s="1">
        <f t="shared" si="18"/>
        <v>0</v>
      </c>
      <c r="AE74" s="1">
        <f t="shared" si="18"/>
        <v>0</v>
      </c>
      <c r="AF74" s="1">
        <f t="shared" si="18"/>
        <v>0</v>
      </c>
      <c r="AG74" s="1">
        <f t="shared" si="18"/>
        <v>0</v>
      </c>
      <c r="AH74" s="1">
        <f t="shared" si="18"/>
        <v>0</v>
      </c>
      <c r="AI74" s="1">
        <f t="shared" si="18"/>
        <v>0</v>
      </c>
      <c r="AJ74" s="1">
        <f t="shared" si="18"/>
        <v>0</v>
      </c>
      <c r="AK74" s="1">
        <f t="shared" si="18"/>
        <v>0</v>
      </c>
    </row>
    <row r="75" spans="1:37" ht="14.1" customHeight="1" x14ac:dyDescent="0.2">
      <c r="A75" s="12">
        <v>19</v>
      </c>
      <c r="B75" s="65"/>
      <c r="C75" s="101" t="str">
        <f>ANUAL!$C159</f>
        <v>R01</v>
      </c>
      <c r="D75" s="303" t="str">
        <f>ANUAL!$D159</f>
        <v>CARRO – SEGURO</v>
      </c>
      <c r="E75" s="303"/>
      <c r="F75" s="303"/>
      <c r="G75" s="102">
        <f t="shared" si="16"/>
        <v>0</v>
      </c>
      <c r="H75" s="62"/>
      <c r="N75" s="12">
        <v>67</v>
      </c>
      <c r="O75" s="65"/>
      <c r="P75" s="49"/>
      <c r="Q75" s="50"/>
      <c r="R75" s="51"/>
      <c r="S75" s="52"/>
      <c r="T75" s="53"/>
      <c r="U75" s="54"/>
      <c r="V75" s="62"/>
      <c r="X75" s="1">
        <f t="shared" ca="1" si="19"/>
        <v>1</v>
      </c>
      <c r="Z75" s="1">
        <f t="shared" si="18"/>
        <v>0</v>
      </c>
      <c r="AA75" s="1">
        <f t="shared" si="18"/>
        <v>0</v>
      </c>
      <c r="AB75" s="1">
        <f t="shared" si="18"/>
        <v>0</v>
      </c>
      <c r="AC75" s="1">
        <f t="shared" si="18"/>
        <v>0</v>
      </c>
      <c r="AD75" s="1">
        <f t="shared" si="18"/>
        <v>0</v>
      </c>
      <c r="AE75" s="1">
        <f t="shared" si="18"/>
        <v>0</v>
      </c>
      <c r="AF75" s="1">
        <f t="shared" si="18"/>
        <v>0</v>
      </c>
      <c r="AG75" s="1">
        <f t="shared" si="18"/>
        <v>0</v>
      </c>
      <c r="AH75" s="1">
        <f t="shared" si="18"/>
        <v>0</v>
      </c>
      <c r="AI75" s="1">
        <f t="shared" si="18"/>
        <v>0</v>
      </c>
      <c r="AJ75" s="1">
        <f t="shared" si="18"/>
        <v>0</v>
      </c>
      <c r="AK75" s="1">
        <f t="shared" si="18"/>
        <v>0</v>
      </c>
    </row>
    <row r="76" spans="1:37" ht="14.1" customHeight="1" x14ac:dyDescent="0.2">
      <c r="A76" s="16">
        <v>20</v>
      </c>
      <c r="B76" s="65"/>
      <c r="C76" s="103" t="str">
        <f>ANUAL!$C160</f>
        <v>R02</v>
      </c>
      <c r="D76" s="302" t="str">
        <f>ANUAL!$D160</f>
        <v>CARRO – COMBUSTÍVEL</v>
      </c>
      <c r="E76" s="302"/>
      <c r="F76" s="302"/>
      <c r="G76" s="104">
        <f t="shared" si="16"/>
        <v>0</v>
      </c>
      <c r="H76" s="62"/>
      <c r="N76" s="16">
        <v>68</v>
      </c>
      <c r="O76" s="65"/>
      <c r="P76" s="55"/>
      <c r="Q76" s="56"/>
      <c r="R76" s="57"/>
      <c r="S76" s="58"/>
      <c r="T76" s="59"/>
      <c r="U76" s="60"/>
      <c r="V76" s="62"/>
      <c r="X76" s="1">
        <f t="shared" ca="1" si="19"/>
        <v>1</v>
      </c>
      <c r="Z76" s="1">
        <f t="shared" si="18"/>
        <v>0</v>
      </c>
      <c r="AA76" s="1">
        <f t="shared" si="18"/>
        <v>0</v>
      </c>
      <c r="AB76" s="1">
        <f t="shared" si="18"/>
        <v>0</v>
      </c>
      <c r="AC76" s="1">
        <f t="shared" si="18"/>
        <v>0</v>
      </c>
      <c r="AD76" s="1">
        <f t="shared" si="18"/>
        <v>0</v>
      </c>
      <c r="AE76" s="1">
        <f t="shared" si="18"/>
        <v>0</v>
      </c>
      <c r="AF76" s="1">
        <f t="shared" si="18"/>
        <v>0</v>
      </c>
      <c r="AG76" s="1">
        <f t="shared" si="18"/>
        <v>0</v>
      </c>
      <c r="AH76" s="1">
        <f t="shared" si="18"/>
        <v>0</v>
      </c>
      <c r="AI76" s="1">
        <f t="shared" si="18"/>
        <v>0</v>
      </c>
      <c r="AJ76" s="1">
        <f t="shared" si="18"/>
        <v>0</v>
      </c>
      <c r="AK76" s="1">
        <f t="shared" si="18"/>
        <v>0</v>
      </c>
    </row>
    <row r="77" spans="1:37" ht="14.1" customHeight="1" x14ac:dyDescent="0.2">
      <c r="A77" s="12">
        <v>21</v>
      </c>
      <c r="B77" s="65"/>
      <c r="C77" s="101" t="str">
        <f>ANUAL!$C161</f>
        <v>R03</v>
      </c>
      <c r="D77" s="303" t="str">
        <f>ANUAL!$D161</f>
        <v>CARRO – CONSERTOS</v>
      </c>
      <c r="E77" s="303"/>
      <c r="F77" s="303"/>
      <c r="G77" s="102">
        <f t="shared" si="16"/>
        <v>0</v>
      </c>
      <c r="H77" s="62"/>
      <c r="N77" s="12">
        <v>69</v>
      </c>
      <c r="O77" s="65"/>
      <c r="P77" s="49"/>
      <c r="Q77" s="50"/>
      <c r="R77" s="51"/>
      <c r="S77" s="52"/>
      <c r="T77" s="53"/>
      <c r="U77" s="54"/>
      <c r="V77" s="62"/>
      <c r="X77" s="1">
        <f t="shared" ca="1" si="19"/>
        <v>1</v>
      </c>
      <c r="Z77" s="1">
        <f t="shared" si="18"/>
        <v>0</v>
      </c>
      <c r="AA77" s="1">
        <f t="shared" si="18"/>
        <v>0</v>
      </c>
      <c r="AB77" s="1">
        <f t="shared" si="18"/>
        <v>0</v>
      </c>
      <c r="AC77" s="1">
        <f t="shared" si="18"/>
        <v>0</v>
      </c>
      <c r="AD77" s="1">
        <f t="shared" si="18"/>
        <v>0</v>
      </c>
      <c r="AE77" s="1">
        <f t="shared" si="18"/>
        <v>0</v>
      </c>
      <c r="AF77" s="1">
        <f t="shared" si="18"/>
        <v>0</v>
      </c>
      <c r="AG77" s="1">
        <f t="shared" si="18"/>
        <v>0</v>
      </c>
      <c r="AH77" s="1">
        <f t="shared" si="18"/>
        <v>0</v>
      </c>
      <c r="AI77" s="1">
        <f t="shared" si="18"/>
        <v>0</v>
      </c>
      <c r="AJ77" s="1">
        <f t="shared" si="18"/>
        <v>0</v>
      </c>
      <c r="AK77" s="1">
        <f t="shared" si="18"/>
        <v>0</v>
      </c>
    </row>
    <row r="78" spans="1:37" ht="14.1" customHeight="1" x14ac:dyDescent="0.2">
      <c r="A78" s="16">
        <v>22</v>
      </c>
      <c r="B78" s="65"/>
      <c r="C78" s="103" t="str">
        <f>ANUAL!$C162</f>
        <v>R04</v>
      </c>
      <c r="D78" s="302" t="str">
        <f>ANUAL!$D162</f>
        <v>CARRO – PRESTAÇOES</v>
      </c>
      <c r="E78" s="302"/>
      <c r="F78" s="302"/>
      <c r="G78" s="104">
        <f t="shared" si="16"/>
        <v>0</v>
      </c>
      <c r="H78" s="62"/>
      <c r="N78" s="16">
        <v>70</v>
      </c>
      <c r="O78" s="65"/>
      <c r="P78" s="55"/>
      <c r="Q78" s="56"/>
      <c r="R78" s="57"/>
      <c r="S78" s="58"/>
      <c r="T78" s="59"/>
      <c r="U78" s="60"/>
      <c r="V78" s="62"/>
      <c r="X78" s="1">
        <f t="shared" ca="1" si="19"/>
        <v>1</v>
      </c>
      <c r="Z78" s="1">
        <f t="shared" si="18"/>
        <v>0</v>
      </c>
      <c r="AA78" s="1">
        <f t="shared" si="18"/>
        <v>0</v>
      </c>
      <c r="AB78" s="1">
        <f t="shared" si="18"/>
        <v>0</v>
      </c>
      <c r="AC78" s="1">
        <f t="shared" si="18"/>
        <v>0</v>
      </c>
      <c r="AD78" s="1">
        <f t="shared" si="18"/>
        <v>0</v>
      </c>
      <c r="AE78" s="1">
        <f t="shared" si="18"/>
        <v>0</v>
      </c>
      <c r="AF78" s="1">
        <f t="shared" si="18"/>
        <v>0</v>
      </c>
      <c r="AG78" s="1">
        <f t="shared" si="18"/>
        <v>0</v>
      </c>
      <c r="AH78" s="1">
        <f t="shared" si="18"/>
        <v>0</v>
      </c>
      <c r="AI78" s="1">
        <f t="shared" si="18"/>
        <v>0</v>
      </c>
      <c r="AJ78" s="1">
        <f t="shared" si="18"/>
        <v>0</v>
      </c>
      <c r="AK78" s="1">
        <f t="shared" si="18"/>
        <v>0</v>
      </c>
    </row>
    <row r="79" spans="1:37" ht="14.1" customHeight="1" x14ac:dyDescent="0.2">
      <c r="A79" s="12">
        <v>23</v>
      </c>
      <c r="B79" s="65"/>
      <c r="C79" s="101" t="str">
        <f>ANUAL!$C163</f>
        <v>B01</v>
      </c>
      <c r="D79" s="303" t="str">
        <f>ANUAL!$D163</f>
        <v>BANCO – TAXAS, JUROS ETC.</v>
      </c>
      <c r="E79" s="303"/>
      <c r="F79" s="303"/>
      <c r="G79" s="102">
        <f t="shared" si="16"/>
        <v>0</v>
      </c>
      <c r="H79" s="62"/>
      <c r="N79" s="12">
        <v>71</v>
      </c>
      <c r="O79" s="65"/>
      <c r="P79" s="49"/>
      <c r="Q79" s="50"/>
      <c r="R79" s="51"/>
      <c r="S79" s="52"/>
      <c r="T79" s="53"/>
      <c r="U79" s="54"/>
      <c r="V79" s="62"/>
      <c r="X79" s="1">
        <f t="shared" ca="1" si="19"/>
        <v>1</v>
      </c>
      <c r="Z79" s="1">
        <f t="shared" ref="Z79:AK88" si="20">IF(Z$8=$R79,-$T79,0)+IF(Z$8=$S79,$T79,0)</f>
        <v>0</v>
      </c>
      <c r="AA79" s="1">
        <f t="shared" si="20"/>
        <v>0</v>
      </c>
      <c r="AB79" s="1">
        <f t="shared" si="20"/>
        <v>0</v>
      </c>
      <c r="AC79" s="1">
        <f t="shared" si="20"/>
        <v>0</v>
      </c>
      <c r="AD79" s="1">
        <f t="shared" si="20"/>
        <v>0</v>
      </c>
      <c r="AE79" s="1">
        <f t="shared" si="20"/>
        <v>0</v>
      </c>
      <c r="AF79" s="1">
        <f t="shared" si="20"/>
        <v>0</v>
      </c>
      <c r="AG79" s="1">
        <f t="shared" si="20"/>
        <v>0</v>
      </c>
      <c r="AH79" s="1">
        <f t="shared" si="20"/>
        <v>0</v>
      </c>
      <c r="AI79" s="1">
        <f t="shared" si="20"/>
        <v>0</v>
      </c>
      <c r="AJ79" s="1">
        <f t="shared" si="20"/>
        <v>0</v>
      </c>
      <c r="AK79" s="1">
        <f t="shared" si="20"/>
        <v>0</v>
      </c>
    </row>
    <row r="80" spans="1:37" ht="14.1" customHeight="1" x14ac:dyDescent="0.2">
      <c r="A80" s="16">
        <v>24</v>
      </c>
      <c r="B80" s="65"/>
      <c r="C80" s="103" t="str">
        <f>ANUAL!$C164</f>
        <v>E01</v>
      </c>
      <c r="D80" s="302" t="str">
        <f>ANUAL!$D164</f>
        <v>EDUCAÇÃO / TREINAMENTO</v>
      </c>
      <c r="E80" s="302"/>
      <c r="F80" s="302"/>
      <c r="G80" s="104">
        <f t="shared" si="16"/>
        <v>0</v>
      </c>
      <c r="H80" s="62"/>
      <c r="N80" s="16">
        <v>72</v>
      </c>
      <c r="O80" s="65"/>
      <c r="P80" s="55"/>
      <c r="Q80" s="56"/>
      <c r="R80" s="57"/>
      <c r="S80" s="58"/>
      <c r="T80" s="59"/>
      <c r="U80" s="60"/>
      <c r="V80" s="62"/>
      <c r="X80" s="1">
        <f t="shared" ca="1" si="19"/>
        <v>1</v>
      </c>
      <c r="Z80" s="1">
        <f t="shared" si="20"/>
        <v>0</v>
      </c>
      <c r="AA80" s="1">
        <f t="shared" si="20"/>
        <v>0</v>
      </c>
      <c r="AB80" s="1">
        <f t="shared" si="20"/>
        <v>0</v>
      </c>
      <c r="AC80" s="1">
        <f t="shared" si="20"/>
        <v>0</v>
      </c>
      <c r="AD80" s="1">
        <f t="shared" si="20"/>
        <v>0</v>
      </c>
      <c r="AE80" s="1">
        <f t="shared" si="20"/>
        <v>0</v>
      </c>
      <c r="AF80" s="1">
        <f t="shared" si="20"/>
        <v>0</v>
      </c>
      <c r="AG80" s="1">
        <f t="shared" si="20"/>
        <v>0</v>
      </c>
      <c r="AH80" s="1">
        <f t="shared" si="20"/>
        <v>0</v>
      </c>
      <c r="AI80" s="1">
        <f t="shared" si="20"/>
        <v>0</v>
      </c>
      <c r="AJ80" s="1">
        <f t="shared" si="20"/>
        <v>0</v>
      </c>
      <c r="AK80" s="1">
        <f t="shared" si="20"/>
        <v>0</v>
      </c>
    </row>
    <row r="81" spans="1:37" ht="14.1" customHeight="1" x14ac:dyDescent="0.2">
      <c r="A81" s="12">
        <v>25</v>
      </c>
      <c r="B81" s="65"/>
      <c r="C81" s="101" t="str">
        <f>ANUAL!$C165</f>
        <v>V01</v>
      </c>
      <c r="D81" s="303" t="str">
        <f>ANUAL!$D165</f>
        <v>VIAGEM</v>
      </c>
      <c r="E81" s="303"/>
      <c r="F81" s="303"/>
      <c r="G81" s="102">
        <f t="shared" si="16"/>
        <v>0</v>
      </c>
      <c r="H81" s="62"/>
      <c r="N81" s="12">
        <v>73</v>
      </c>
      <c r="O81" s="65"/>
      <c r="P81" s="49"/>
      <c r="Q81" s="50"/>
      <c r="R81" s="51"/>
      <c r="S81" s="52"/>
      <c r="T81" s="53"/>
      <c r="U81" s="54"/>
      <c r="V81" s="62"/>
      <c r="X81" s="1">
        <f t="shared" ca="1" si="19"/>
        <v>1</v>
      </c>
      <c r="Z81" s="1">
        <f t="shared" si="20"/>
        <v>0</v>
      </c>
      <c r="AA81" s="1">
        <f t="shared" si="20"/>
        <v>0</v>
      </c>
      <c r="AB81" s="1">
        <f t="shared" si="20"/>
        <v>0</v>
      </c>
      <c r="AC81" s="1">
        <f t="shared" si="20"/>
        <v>0</v>
      </c>
      <c r="AD81" s="1">
        <f t="shared" si="20"/>
        <v>0</v>
      </c>
      <c r="AE81" s="1">
        <f t="shared" si="20"/>
        <v>0</v>
      </c>
      <c r="AF81" s="1">
        <f t="shared" si="20"/>
        <v>0</v>
      </c>
      <c r="AG81" s="1">
        <f t="shared" si="20"/>
        <v>0</v>
      </c>
      <c r="AH81" s="1">
        <f t="shared" si="20"/>
        <v>0</v>
      </c>
      <c r="AI81" s="1">
        <f t="shared" si="20"/>
        <v>0</v>
      </c>
      <c r="AJ81" s="1">
        <f t="shared" si="20"/>
        <v>0</v>
      </c>
      <c r="AK81" s="1">
        <f t="shared" si="20"/>
        <v>0</v>
      </c>
    </row>
    <row r="82" spans="1:37" ht="14.1" customHeight="1" x14ac:dyDescent="0.2">
      <c r="A82" s="16">
        <v>26</v>
      </c>
      <c r="B82" s="65"/>
      <c r="C82" s="103" t="str">
        <f>ANUAL!$C166</f>
        <v>P01</v>
      </c>
      <c r="D82" s="302" t="str">
        <f>ANUAL!$D166</f>
        <v>PESSOAL – DÍZIMO</v>
      </c>
      <c r="E82" s="302"/>
      <c r="F82" s="302"/>
      <c r="G82" s="104">
        <f t="shared" si="16"/>
        <v>0</v>
      </c>
      <c r="H82" s="62"/>
      <c r="I82" s="3"/>
      <c r="J82" s="3"/>
      <c r="K82" s="3"/>
      <c r="L82" s="3"/>
      <c r="M82" s="3"/>
      <c r="N82" s="16">
        <v>74</v>
      </c>
      <c r="O82" s="65"/>
      <c r="P82" s="55"/>
      <c r="Q82" s="56"/>
      <c r="R82" s="57"/>
      <c r="S82" s="58"/>
      <c r="T82" s="59"/>
      <c r="U82" s="60"/>
      <c r="V82" s="62"/>
      <c r="X82" s="1">
        <f t="shared" ca="1" si="19"/>
        <v>1</v>
      </c>
      <c r="Z82" s="1">
        <f t="shared" si="20"/>
        <v>0</v>
      </c>
      <c r="AA82" s="1">
        <f t="shared" si="20"/>
        <v>0</v>
      </c>
      <c r="AB82" s="1">
        <f t="shared" si="20"/>
        <v>0</v>
      </c>
      <c r="AC82" s="1">
        <f t="shared" si="20"/>
        <v>0</v>
      </c>
      <c r="AD82" s="1">
        <f t="shared" si="20"/>
        <v>0</v>
      </c>
      <c r="AE82" s="1">
        <f t="shared" si="20"/>
        <v>0</v>
      </c>
      <c r="AF82" s="1">
        <f t="shared" si="20"/>
        <v>0</v>
      </c>
      <c r="AG82" s="1">
        <f t="shared" si="20"/>
        <v>0</v>
      </c>
      <c r="AH82" s="1">
        <f t="shared" si="20"/>
        <v>0</v>
      </c>
      <c r="AI82" s="1">
        <f t="shared" si="20"/>
        <v>0</v>
      </c>
      <c r="AJ82" s="1">
        <f t="shared" si="20"/>
        <v>0</v>
      </c>
      <c r="AK82" s="1">
        <f t="shared" si="20"/>
        <v>0</v>
      </c>
    </row>
    <row r="83" spans="1:37" ht="14.1" customHeight="1" x14ac:dyDescent="0.2">
      <c r="A83" s="12">
        <v>27</v>
      </c>
      <c r="B83" s="65"/>
      <c r="C83" s="101" t="str">
        <f>ANUAL!$C167</f>
        <v>---</v>
      </c>
      <c r="D83" s="303" t="str">
        <f>ANUAL!$D167</f>
        <v>---</v>
      </c>
      <c r="E83" s="303"/>
      <c r="F83" s="303"/>
      <c r="G83" s="102">
        <f t="shared" si="16"/>
        <v>0</v>
      </c>
      <c r="H83" s="62"/>
      <c r="I83" s="3"/>
      <c r="J83" s="3"/>
      <c r="K83" s="3"/>
      <c r="L83" s="3"/>
      <c r="M83" s="3"/>
      <c r="N83" s="12">
        <v>75</v>
      </c>
      <c r="O83" s="65"/>
      <c r="P83" s="49"/>
      <c r="Q83" s="50"/>
      <c r="R83" s="51"/>
      <c r="S83" s="52"/>
      <c r="T83" s="53"/>
      <c r="U83" s="54"/>
      <c r="V83" s="62"/>
      <c r="X83" s="1">
        <f t="shared" ca="1" si="19"/>
        <v>1</v>
      </c>
      <c r="Z83" s="1">
        <f t="shared" si="20"/>
        <v>0</v>
      </c>
      <c r="AA83" s="1">
        <f t="shared" si="20"/>
        <v>0</v>
      </c>
      <c r="AB83" s="1">
        <f t="shared" si="20"/>
        <v>0</v>
      </c>
      <c r="AC83" s="1">
        <f t="shared" si="20"/>
        <v>0</v>
      </c>
      <c r="AD83" s="1">
        <f t="shared" si="20"/>
        <v>0</v>
      </c>
      <c r="AE83" s="1">
        <f t="shared" si="20"/>
        <v>0</v>
      </c>
      <c r="AF83" s="1">
        <f t="shared" si="20"/>
        <v>0</v>
      </c>
      <c r="AG83" s="1">
        <f t="shared" si="20"/>
        <v>0</v>
      </c>
      <c r="AH83" s="1">
        <f t="shared" si="20"/>
        <v>0</v>
      </c>
      <c r="AI83" s="1">
        <f t="shared" si="20"/>
        <v>0</v>
      </c>
      <c r="AJ83" s="1">
        <f t="shared" si="20"/>
        <v>0</v>
      </c>
      <c r="AK83" s="1">
        <f t="shared" si="20"/>
        <v>0</v>
      </c>
    </row>
    <row r="84" spans="1:37" ht="14.1" customHeight="1" x14ac:dyDescent="0.2">
      <c r="A84" s="16">
        <v>28</v>
      </c>
      <c r="B84" s="65"/>
      <c r="C84" s="103" t="str">
        <f>ANUAL!$C168</f>
        <v>---</v>
      </c>
      <c r="D84" s="302" t="str">
        <f>ANUAL!$D168</f>
        <v>---</v>
      </c>
      <c r="E84" s="302"/>
      <c r="F84" s="302"/>
      <c r="G84" s="104">
        <f t="shared" si="16"/>
        <v>0</v>
      </c>
      <c r="H84" s="62"/>
      <c r="I84" s="3"/>
      <c r="J84" s="3"/>
      <c r="K84" s="3"/>
      <c r="L84" s="3"/>
      <c r="M84" s="3"/>
      <c r="N84" s="16">
        <v>76</v>
      </c>
      <c r="O84" s="65"/>
      <c r="P84" s="55"/>
      <c r="Q84" s="56"/>
      <c r="R84" s="57"/>
      <c r="S84" s="58"/>
      <c r="T84" s="59"/>
      <c r="U84" s="60"/>
      <c r="V84" s="62"/>
      <c r="X84" s="1">
        <f t="shared" ca="1" si="19"/>
        <v>1</v>
      </c>
      <c r="Z84" s="1">
        <f t="shared" si="20"/>
        <v>0</v>
      </c>
      <c r="AA84" s="1">
        <f t="shared" si="20"/>
        <v>0</v>
      </c>
      <c r="AB84" s="1">
        <f t="shared" si="20"/>
        <v>0</v>
      </c>
      <c r="AC84" s="1">
        <f t="shared" si="20"/>
        <v>0</v>
      </c>
      <c r="AD84" s="1">
        <f t="shared" si="20"/>
        <v>0</v>
      </c>
      <c r="AE84" s="1">
        <f t="shared" si="20"/>
        <v>0</v>
      </c>
      <c r="AF84" s="1">
        <f t="shared" si="20"/>
        <v>0</v>
      </c>
      <c r="AG84" s="1">
        <f t="shared" si="20"/>
        <v>0</v>
      </c>
      <c r="AH84" s="1">
        <f t="shared" si="20"/>
        <v>0</v>
      </c>
      <c r="AI84" s="1">
        <f t="shared" si="20"/>
        <v>0</v>
      </c>
      <c r="AJ84" s="1">
        <f t="shared" si="20"/>
        <v>0</v>
      </c>
      <c r="AK84" s="1">
        <f t="shared" si="20"/>
        <v>0</v>
      </c>
    </row>
    <row r="85" spans="1:37" ht="14.1" customHeight="1" x14ac:dyDescent="0.2">
      <c r="A85" s="12">
        <v>29</v>
      </c>
      <c r="B85" s="65"/>
      <c r="C85" s="101" t="str">
        <f>ANUAL!$C169</f>
        <v>---</v>
      </c>
      <c r="D85" s="303" t="str">
        <f>ANUAL!$D169</f>
        <v>---</v>
      </c>
      <c r="E85" s="303"/>
      <c r="F85" s="303"/>
      <c r="G85" s="102">
        <f t="shared" si="16"/>
        <v>0</v>
      </c>
      <c r="H85" s="62"/>
      <c r="I85" s="3"/>
      <c r="J85" s="3"/>
      <c r="K85" s="3"/>
      <c r="L85" s="3"/>
      <c r="M85" s="3"/>
      <c r="N85" s="12">
        <v>77</v>
      </c>
      <c r="O85" s="65"/>
      <c r="P85" s="49"/>
      <c r="Q85" s="50"/>
      <c r="R85" s="51"/>
      <c r="S85" s="52"/>
      <c r="T85" s="53"/>
      <c r="U85" s="54"/>
      <c r="V85" s="62"/>
      <c r="X85" s="1">
        <f t="shared" ca="1" si="19"/>
        <v>1</v>
      </c>
      <c r="Z85" s="1">
        <f t="shared" si="20"/>
        <v>0</v>
      </c>
      <c r="AA85" s="1">
        <f t="shared" si="20"/>
        <v>0</v>
      </c>
      <c r="AB85" s="1">
        <f t="shared" si="20"/>
        <v>0</v>
      </c>
      <c r="AC85" s="1">
        <f t="shared" si="20"/>
        <v>0</v>
      </c>
      <c r="AD85" s="1">
        <f t="shared" si="20"/>
        <v>0</v>
      </c>
      <c r="AE85" s="1">
        <f t="shared" si="20"/>
        <v>0</v>
      </c>
      <c r="AF85" s="1">
        <f t="shared" si="20"/>
        <v>0</v>
      </c>
      <c r="AG85" s="1">
        <f t="shared" si="20"/>
        <v>0</v>
      </c>
      <c r="AH85" s="1">
        <f t="shared" si="20"/>
        <v>0</v>
      </c>
      <c r="AI85" s="1">
        <f t="shared" si="20"/>
        <v>0</v>
      </c>
      <c r="AJ85" s="1">
        <f t="shared" si="20"/>
        <v>0</v>
      </c>
      <c r="AK85" s="1">
        <f t="shared" si="20"/>
        <v>0</v>
      </c>
    </row>
    <row r="86" spans="1:37" ht="14.1" customHeight="1" x14ac:dyDescent="0.2">
      <c r="A86" s="16">
        <v>30</v>
      </c>
      <c r="B86" s="65"/>
      <c r="C86" s="103" t="str">
        <f>ANUAL!$C170</f>
        <v>---</v>
      </c>
      <c r="D86" s="302" t="str">
        <f>ANUAL!$D170</f>
        <v>---</v>
      </c>
      <c r="E86" s="302"/>
      <c r="F86" s="302"/>
      <c r="G86" s="104">
        <f t="shared" si="16"/>
        <v>0</v>
      </c>
      <c r="H86" s="62"/>
      <c r="I86" s="3"/>
      <c r="J86" s="3"/>
      <c r="K86" s="3"/>
      <c r="L86" s="3"/>
      <c r="M86" s="3"/>
      <c r="N86" s="16">
        <v>78</v>
      </c>
      <c r="O86" s="65"/>
      <c r="P86" s="55"/>
      <c r="Q86" s="56"/>
      <c r="R86" s="57"/>
      <c r="S86" s="58"/>
      <c r="T86" s="59"/>
      <c r="U86" s="60"/>
      <c r="V86" s="62"/>
      <c r="X86" s="1">
        <f t="shared" ca="1" si="19"/>
        <v>1</v>
      </c>
      <c r="Z86" s="1">
        <f t="shared" si="20"/>
        <v>0</v>
      </c>
      <c r="AA86" s="1">
        <f t="shared" si="20"/>
        <v>0</v>
      </c>
      <c r="AB86" s="1">
        <f t="shared" si="20"/>
        <v>0</v>
      </c>
      <c r="AC86" s="1">
        <f t="shared" si="20"/>
        <v>0</v>
      </c>
      <c r="AD86" s="1">
        <f t="shared" si="20"/>
        <v>0</v>
      </c>
      <c r="AE86" s="1">
        <f t="shared" si="20"/>
        <v>0</v>
      </c>
      <c r="AF86" s="1">
        <f t="shared" si="20"/>
        <v>0</v>
      </c>
      <c r="AG86" s="1">
        <f t="shared" si="20"/>
        <v>0</v>
      </c>
      <c r="AH86" s="1">
        <f t="shared" si="20"/>
        <v>0</v>
      </c>
      <c r="AI86" s="1">
        <f t="shared" si="20"/>
        <v>0</v>
      </c>
      <c r="AJ86" s="1">
        <f t="shared" si="20"/>
        <v>0</v>
      </c>
      <c r="AK86" s="1">
        <f t="shared" si="20"/>
        <v>0</v>
      </c>
    </row>
    <row r="87" spans="1:37" ht="14.1" customHeight="1" x14ac:dyDescent="0.2">
      <c r="A87" s="12">
        <v>31</v>
      </c>
      <c r="B87" s="65"/>
      <c r="C87" s="101" t="str">
        <f>ANUAL!$C171</f>
        <v>---</v>
      </c>
      <c r="D87" s="303" t="str">
        <f>ANUAL!$D171</f>
        <v>---</v>
      </c>
      <c r="E87" s="303"/>
      <c r="F87" s="303"/>
      <c r="G87" s="102">
        <f t="shared" si="16"/>
        <v>0</v>
      </c>
      <c r="H87" s="62"/>
      <c r="I87" s="3"/>
      <c r="J87" s="3"/>
      <c r="K87" s="3"/>
      <c r="L87" s="3"/>
      <c r="M87" s="3"/>
      <c r="N87" s="12">
        <v>79</v>
      </c>
      <c r="O87" s="65"/>
      <c r="P87" s="49"/>
      <c r="Q87" s="50"/>
      <c r="R87" s="51"/>
      <c r="S87" s="52"/>
      <c r="T87" s="53"/>
      <c r="U87" s="54"/>
      <c r="V87" s="62"/>
      <c r="X87" s="1">
        <f t="shared" ca="1" si="19"/>
        <v>1</v>
      </c>
      <c r="Z87" s="1">
        <f t="shared" si="20"/>
        <v>0</v>
      </c>
      <c r="AA87" s="1">
        <f t="shared" si="20"/>
        <v>0</v>
      </c>
      <c r="AB87" s="1">
        <f t="shared" si="20"/>
        <v>0</v>
      </c>
      <c r="AC87" s="1">
        <f t="shared" si="20"/>
        <v>0</v>
      </c>
      <c r="AD87" s="1">
        <f t="shared" si="20"/>
        <v>0</v>
      </c>
      <c r="AE87" s="1">
        <f t="shared" si="20"/>
        <v>0</v>
      </c>
      <c r="AF87" s="1">
        <f t="shared" si="20"/>
        <v>0</v>
      </c>
      <c r="AG87" s="1">
        <f t="shared" si="20"/>
        <v>0</v>
      </c>
      <c r="AH87" s="1">
        <f t="shared" si="20"/>
        <v>0</v>
      </c>
      <c r="AI87" s="1">
        <f t="shared" si="20"/>
        <v>0</v>
      </c>
      <c r="AJ87" s="1">
        <f t="shared" si="20"/>
        <v>0</v>
      </c>
      <c r="AK87" s="1">
        <f t="shared" si="20"/>
        <v>0</v>
      </c>
    </row>
    <row r="88" spans="1:37" ht="14.1" customHeight="1" x14ac:dyDescent="0.2">
      <c r="A88" s="16">
        <v>32</v>
      </c>
      <c r="B88" s="66"/>
      <c r="C88" s="103" t="str">
        <f>ANUAL!$C172</f>
        <v>---</v>
      </c>
      <c r="D88" s="302" t="str">
        <f>ANUAL!$D172</f>
        <v>---</v>
      </c>
      <c r="E88" s="302"/>
      <c r="F88" s="302"/>
      <c r="G88" s="104">
        <f t="shared" si="16"/>
        <v>0</v>
      </c>
      <c r="H88" s="63"/>
      <c r="I88" s="3"/>
      <c r="J88" s="3"/>
      <c r="K88" s="3"/>
      <c r="L88" s="3"/>
      <c r="M88" s="3"/>
      <c r="N88" s="16">
        <v>80</v>
      </c>
      <c r="O88" s="66"/>
      <c r="P88" s="55"/>
      <c r="Q88" s="56"/>
      <c r="R88" s="57"/>
      <c r="S88" s="58"/>
      <c r="T88" s="59"/>
      <c r="U88" s="60"/>
      <c r="V88" s="63"/>
      <c r="X88" s="1">
        <f t="shared" ca="1" si="19"/>
        <v>1</v>
      </c>
      <c r="Z88" s="1">
        <f t="shared" si="20"/>
        <v>0</v>
      </c>
      <c r="AA88" s="1">
        <f t="shared" si="20"/>
        <v>0</v>
      </c>
      <c r="AB88" s="1">
        <f t="shared" si="20"/>
        <v>0</v>
      </c>
      <c r="AC88" s="1">
        <f t="shared" si="20"/>
        <v>0</v>
      </c>
      <c r="AD88" s="1">
        <f t="shared" si="20"/>
        <v>0</v>
      </c>
      <c r="AE88" s="1">
        <f t="shared" si="20"/>
        <v>0</v>
      </c>
      <c r="AF88" s="1">
        <f t="shared" si="20"/>
        <v>0</v>
      </c>
      <c r="AG88" s="1">
        <f t="shared" si="20"/>
        <v>0</v>
      </c>
      <c r="AH88" s="1">
        <f t="shared" si="20"/>
        <v>0</v>
      </c>
      <c r="AI88" s="1">
        <f t="shared" si="20"/>
        <v>0</v>
      </c>
      <c r="AJ88" s="1">
        <f t="shared" si="20"/>
        <v>0</v>
      </c>
      <c r="AK88" s="1">
        <f t="shared" si="20"/>
        <v>0</v>
      </c>
    </row>
    <row r="89" spans="1:37" ht="14.1" customHeight="1" x14ac:dyDescent="0.2">
      <c r="B89" s="105"/>
      <c r="C89" s="106"/>
      <c r="D89" s="107"/>
      <c r="E89" s="107"/>
      <c r="F89" s="107"/>
      <c r="G89" s="107"/>
      <c r="H89" s="108"/>
      <c r="I89" s="3"/>
      <c r="J89" s="3"/>
      <c r="K89" s="3"/>
      <c r="L89" s="3"/>
      <c r="M89" s="3"/>
      <c r="O89" s="32"/>
      <c r="P89" s="33"/>
      <c r="Q89" s="33"/>
      <c r="R89" s="34"/>
      <c r="S89" s="34"/>
      <c r="T89" s="67"/>
      <c r="U89" s="34"/>
      <c r="V89" s="35"/>
    </row>
    <row r="90" spans="1:37" ht="14.1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37" ht="14.1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37" ht="14.1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37" ht="14.1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37" ht="14.1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37" ht="14.1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37" ht="14.1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1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1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1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</sheetData>
  <sheetProtection selectLockedCells="1"/>
  <mergeCells count="57">
    <mergeCell ref="C43:G44"/>
    <mergeCell ref="B1:H1"/>
    <mergeCell ref="C5:G6"/>
    <mergeCell ref="P5:U6"/>
    <mergeCell ref="C7:C8"/>
    <mergeCell ref="D7:D8"/>
    <mergeCell ref="E7:G7"/>
    <mergeCell ref="P7:P8"/>
    <mergeCell ref="Q7:Q8"/>
    <mergeCell ref="R7:S7"/>
    <mergeCell ref="T7:T8"/>
    <mergeCell ref="U7:U8"/>
    <mergeCell ref="C24:G25"/>
    <mergeCell ref="C26:C27"/>
    <mergeCell ref="D26:D27"/>
    <mergeCell ref="E26:G26"/>
    <mergeCell ref="D62:F62"/>
    <mergeCell ref="D63:F63"/>
    <mergeCell ref="D64:F64"/>
    <mergeCell ref="D65:F65"/>
    <mergeCell ref="C45:C46"/>
    <mergeCell ref="D45:D46"/>
    <mergeCell ref="E45:G45"/>
    <mergeCell ref="C53:G54"/>
    <mergeCell ref="C55:C56"/>
    <mergeCell ref="D55:D56"/>
    <mergeCell ref="E55:E56"/>
    <mergeCell ref="F55:F56"/>
    <mergeCell ref="G55:G56"/>
    <mergeCell ref="D57:F57"/>
    <mergeCell ref="D58:F58"/>
    <mergeCell ref="D59:F59"/>
    <mergeCell ref="D60:F60"/>
    <mergeCell ref="D61:F61"/>
    <mergeCell ref="D66:F66"/>
    <mergeCell ref="D67:F67"/>
    <mergeCell ref="D80:F80"/>
    <mergeCell ref="D69:F69"/>
    <mergeCell ref="D70:F70"/>
    <mergeCell ref="D71:F71"/>
    <mergeCell ref="D72:F72"/>
    <mergeCell ref="D73:F73"/>
    <mergeCell ref="D74:F74"/>
    <mergeCell ref="D75:F75"/>
    <mergeCell ref="D68:F68"/>
    <mergeCell ref="D88:F88"/>
    <mergeCell ref="D81:F81"/>
    <mergeCell ref="D82:F82"/>
    <mergeCell ref="D83:F83"/>
    <mergeCell ref="D84:F84"/>
    <mergeCell ref="D85:F85"/>
    <mergeCell ref="D86:F86"/>
    <mergeCell ref="D76:F76"/>
    <mergeCell ref="D77:F77"/>
    <mergeCell ref="D78:F78"/>
    <mergeCell ref="D79:F79"/>
    <mergeCell ref="D87:F87"/>
  </mergeCells>
  <conditionalFormatting sqref="U9:U11 P12:U88">
    <cfRule type="expression" dxfId="51" priority="5" stopIfTrue="1">
      <formula>$X9&lt;&gt;1</formula>
    </cfRule>
  </conditionalFormatting>
  <conditionalFormatting sqref="S12:T20">
    <cfRule type="expression" dxfId="50" priority="4" stopIfTrue="1">
      <formula>$X12&lt;&gt;1</formula>
    </cfRule>
  </conditionalFormatting>
  <conditionalFormatting sqref="U12:U16">
    <cfRule type="expression" dxfId="49" priority="3" stopIfTrue="1">
      <formula>$X12&lt;&gt;1</formula>
    </cfRule>
  </conditionalFormatting>
  <conditionalFormatting sqref="P9:T11">
    <cfRule type="expression" dxfId="48" priority="1" stopIfTrue="1">
      <formula>$X9&lt;&gt;1</formula>
    </cfRule>
  </conditionalFormatting>
  <printOptions horizontalCentered="1"/>
  <pageMargins left="0.39374999999999999" right="0.39374999999999999" top="0.78749999999999998" bottom="0.59027777777777779" header="0.51180555555555551" footer="0.51180555555555551"/>
  <pageSetup paperSize="8" scale="5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9"/>
  <sheetViews>
    <sheetView zoomScale="80" zoomScaleNormal="80" workbookViewId="0">
      <selection activeCell="P9" sqref="P9"/>
    </sheetView>
  </sheetViews>
  <sheetFormatPr defaultColWidth="11.5703125" defaultRowHeight="14.1" customHeight="1" x14ac:dyDescent="0.2"/>
  <cols>
    <col min="1" max="1" width="4.140625" style="1" customWidth="1"/>
    <col min="2" max="2" width="2.5703125" style="1" customWidth="1"/>
    <col min="3" max="3" width="9.140625" style="2" customWidth="1"/>
    <col min="4" max="4" width="40.85546875" style="1" customWidth="1"/>
    <col min="5" max="7" width="11.5703125" style="1"/>
    <col min="8" max="9" width="2.5703125" style="1" customWidth="1"/>
    <col min="10" max="12" width="11.5703125" style="1" hidden="1" customWidth="1"/>
    <col min="13" max="13" width="2.5703125" style="1" customWidth="1"/>
    <col min="14" max="14" width="4.140625" style="1" customWidth="1"/>
    <col min="15" max="15" width="2.5703125" style="1" customWidth="1"/>
    <col min="16" max="16" width="11.5703125" style="1"/>
    <col min="17" max="17" width="51" style="1" customWidth="1"/>
    <col min="18" max="19" width="12.7109375" style="24" customWidth="1"/>
    <col min="20" max="20" width="12.7109375" style="1" customWidth="1"/>
    <col min="21" max="21" width="10.140625" style="24" customWidth="1"/>
    <col min="22" max="22" width="2.5703125" style="1" customWidth="1"/>
    <col min="23" max="23" width="5.140625" style="1" customWidth="1"/>
    <col min="24" max="37" width="0" style="1" hidden="1" customWidth="1"/>
    <col min="38" max="255" width="11.5703125" style="1"/>
    <col min="256" max="16384" width="11.5703125" style="3"/>
  </cols>
  <sheetData>
    <row r="1" spans="1:256" s="4" customFormat="1" ht="33.950000000000003" customHeight="1" x14ac:dyDescent="0.2">
      <c r="B1" s="307">
        <f>DATE(ANUAL!B5,B2,8)</f>
        <v>40276</v>
      </c>
      <c r="C1" s="307"/>
      <c r="D1" s="307"/>
      <c r="E1" s="307"/>
      <c r="F1" s="307"/>
      <c r="G1" s="307"/>
      <c r="H1" s="307"/>
      <c r="I1" s="25" t="s">
        <v>2</v>
      </c>
      <c r="M1" s="26" t="s">
        <v>92</v>
      </c>
      <c r="R1" s="27"/>
      <c r="S1" s="27"/>
      <c r="U1" s="27"/>
      <c r="W1" s="25" t="s">
        <v>2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 t="s">
        <v>92</v>
      </c>
      <c r="IV1" s="3"/>
    </row>
    <row r="2" spans="1:256" ht="14.1" customHeight="1" x14ac:dyDescent="0.2">
      <c r="B2" s="28">
        <f>'M3'!B2+1</f>
        <v>4</v>
      </c>
    </row>
    <row r="4" spans="1:256" ht="14.1" customHeight="1" x14ac:dyDescent="0.2">
      <c r="B4" s="68"/>
      <c r="C4" s="69"/>
      <c r="D4" s="70"/>
      <c r="E4" s="70"/>
      <c r="F4" s="70"/>
      <c r="G4" s="70"/>
      <c r="H4" s="71"/>
      <c r="O4" s="36"/>
      <c r="P4" s="37"/>
      <c r="Q4" s="37"/>
      <c r="R4" s="38"/>
      <c r="S4" s="38"/>
      <c r="T4" s="37"/>
      <c r="U4" s="38"/>
      <c r="V4" s="39"/>
    </row>
    <row r="5" spans="1:256" ht="14.1" customHeight="1" x14ac:dyDescent="0.2">
      <c r="B5" s="72"/>
      <c r="C5" s="308" t="s">
        <v>107</v>
      </c>
      <c r="D5" s="308"/>
      <c r="E5" s="308"/>
      <c r="F5" s="308"/>
      <c r="G5" s="308"/>
      <c r="H5" s="73"/>
      <c r="O5" s="40"/>
      <c r="P5" s="309" t="s">
        <v>93</v>
      </c>
      <c r="Q5" s="309"/>
      <c r="R5" s="309"/>
      <c r="S5" s="309"/>
      <c r="T5" s="309"/>
      <c r="U5" s="309"/>
      <c r="V5" s="41"/>
    </row>
    <row r="6" spans="1:256" s="9" customFormat="1" ht="14.1" customHeight="1" x14ac:dyDescent="0.2">
      <c r="B6" s="74"/>
      <c r="C6" s="308"/>
      <c r="D6" s="308"/>
      <c r="E6" s="308"/>
      <c r="F6" s="308"/>
      <c r="G6" s="308"/>
      <c r="H6" s="75"/>
      <c r="I6" s="1"/>
      <c r="J6" s="1"/>
      <c r="K6" s="1"/>
      <c r="L6" s="1"/>
      <c r="M6" s="1"/>
      <c r="N6" s="1"/>
      <c r="O6" s="42"/>
      <c r="P6" s="309"/>
      <c r="Q6" s="309"/>
      <c r="R6" s="309"/>
      <c r="S6" s="309"/>
      <c r="T6" s="309"/>
      <c r="U6" s="309"/>
      <c r="V6" s="4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IV6" s="3"/>
    </row>
    <row r="7" spans="1:256" ht="14.1" customHeight="1" x14ac:dyDescent="0.2">
      <c r="B7" s="46"/>
      <c r="C7" s="271" t="s">
        <v>94</v>
      </c>
      <c r="D7" s="273" t="s">
        <v>5</v>
      </c>
      <c r="E7" s="275" t="s">
        <v>6</v>
      </c>
      <c r="F7" s="275"/>
      <c r="G7" s="276"/>
      <c r="H7" s="73"/>
      <c r="O7" s="46"/>
      <c r="P7" s="275" t="s">
        <v>95</v>
      </c>
      <c r="Q7" s="271" t="s">
        <v>5</v>
      </c>
      <c r="R7" s="275" t="s">
        <v>96</v>
      </c>
      <c r="S7" s="275"/>
      <c r="T7" s="275" t="s">
        <v>97</v>
      </c>
      <c r="U7" s="276" t="s">
        <v>98</v>
      </c>
      <c r="V7" s="41"/>
    </row>
    <row r="8" spans="1:256" ht="14.1" customHeight="1" x14ac:dyDescent="0.2">
      <c r="B8" s="44"/>
      <c r="C8" s="272"/>
      <c r="D8" s="274"/>
      <c r="E8" s="98" t="s">
        <v>99</v>
      </c>
      <c r="F8" s="98" t="s">
        <v>100</v>
      </c>
      <c r="G8" s="98" t="s">
        <v>101</v>
      </c>
      <c r="H8" s="76"/>
      <c r="O8" s="44"/>
      <c r="P8" s="306" t="s">
        <v>95</v>
      </c>
      <c r="Q8" s="272" t="s">
        <v>5</v>
      </c>
      <c r="R8" s="47" t="s">
        <v>89</v>
      </c>
      <c r="S8" s="48" t="s">
        <v>87</v>
      </c>
      <c r="T8" s="306" t="s">
        <v>97</v>
      </c>
      <c r="U8" s="305"/>
      <c r="V8" s="45"/>
      <c r="X8" s="1" t="s">
        <v>100</v>
      </c>
      <c r="Z8" s="1" t="str">
        <f>$C$9</f>
        <v/>
      </c>
      <c r="AA8" s="1" t="str">
        <f>$C$10</f>
        <v>INV1</v>
      </c>
      <c r="AB8" s="1" t="str">
        <f>$C$11</f>
        <v>DINH1</v>
      </c>
      <c r="AC8" s="1" t="str">
        <f>$C$12</f>
        <v>CRED1</v>
      </c>
      <c r="AD8" s="1" t="str">
        <f>$C$13</f>
        <v>---</v>
      </c>
      <c r="AE8" s="1" t="str">
        <f>$C$14</f>
        <v>---</v>
      </c>
      <c r="AF8" s="1" t="str">
        <f>$C$15</f>
        <v>---</v>
      </c>
      <c r="AG8" s="1" t="str">
        <f>$C$16</f>
        <v>---</v>
      </c>
      <c r="AH8" s="1" t="str">
        <f>$C$17</f>
        <v>---</v>
      </c>
      <c r="AI8" s="1" t="str">
        <f>$C$18</f>
        <v>---</v>
      </c>
      <c r="AJ8" s="1" t="str">
        <f>$C$19</f>
        <v>---</v>
      </c>
      <c r="AK8" s="1" t="str">
        <f>$C$20</f>
        <v>---</v>
      </c>
    </row>
    <row r="9" spans="1:256" ht="14.1" customHeight="1" x14ac:dyDescent="0.2">
      <c r="A9" s="12">
        <v>1</v>
      </c>
      <c r="B9" s="64"/>
      <c r="C9" s="115" t="str">
        <f>TRIM(ANUAL!C13)</f>
        <v/>
      </c>
      <c r="D9" s="116" t="str">
        <f>TRIM(ANUAL!D13)</f>
        <v>CONTA CORRENTE BANCO 1</v>
      </c>
      <c r="E9" s="117">
        <f ca="1">INDIRECT("M"&amp;B$2-1&amp;"!G"&amp;A9+ROW(A$8))</f>
        <v>0</v>
      </c>
      <c r="F9" s="117">
        <f t="shared" ref="F9:F20" ca="1" si="0">E9+SUMIF(X$9:X$88,1,OFFSET($Z$9:$Z$88,0,A9-1))</f>
        <v>0</v>
      </c>
      <c r="G9" s="117">
        <f t="shared" ref="G9:G20" ca="1" si="1">E9+SUM(OFFSET($Z$9:$Z$88,0,A9-1))</f>
        <v>0</v>
      </c>
      <c r="H9" s="61"/>
      <c r="J9" s="3" t="b">
        <f t="shared" ref="J9:L20" si="2">NOT(ISERR(SEARCH(J$27,$C9)))</f>
        <v>0</v>
      </c>
      <c r="K9" s="3" t="b">
        <f t="shared" si="2"/>
        <v>0</v>
      </c>
      <c r="L9" s="3" t="b">
        <f t="shared" si="2"/>
        <v>0</v>
      </c>
      <c r="N9" s="12">
        <v>1</v>
      </c>
      <c r="O9" s="64"/>
      <c r="P9" s="49"/>
      <c r="Q9" s="50"/>
      <c r="R9" s="51"/>
      <c r="S9" s="52"/>
      <c r="T9" s="53"/>
      <c r="U9" s="54"/>
      <c r="V9" s="61"/>
      <c r="X9" s="1">
        <f t="shared" ref="X9:X40" ca="1" si="3">IF(P9&lt;NOW(),1,0)</f>
        <v>1</v>
      </c>
      <c r="Z9" s="1">
        <f t="shared" ref="Z9:AK18" si="4">IF(Z$8=$R9,-$T9,0)+IF(Z$8=$S9,$T9,0)</f>
        <v>0</v>
      </c>
      <c r="AA9" s="1">
        <f t="shared" si="4"/>
        <v>0</v>
      </c>
      <c r="AB9" s="1">
        <f t="shared" si="4"/>
        <v>0</v>
      </c>
      <c r="AC9" s="1">
        <f t="shared" si="4"/>
        <v>0</v>
      </c>
      <c r="AD9" s="1">
        <f t="shared" si="4"/>
        <v>0</v>
      </c>
      <c r="AE9" s="1">
        <f t="shared" si="4"/>
        <v>0</v>
      </c>
      <c r="AF9" s="1">
        <f t="shared" si="4"/>
        <v>0</v>
      </c>
      <c r="AG9" s="1">
        <f t="shared" si="4"/>
        <v>0</v>
      </c>
      <c r="AH9" s="1">
        <f t="shared" si="4"/>
        <v>0</v>
      </c>
      <c r="AI9" s="1">
        <f t="shared" si="4"/>
        <v>0</v>
      </c>
      <c r="AJ9" s="1">
        <f t="shared" si="4"/>
        <v>0</v>
      </c>
      <c r="AK9" s="1">
        <f t="shared" si="4"/>
        <v>0</v>
      </c>
    </row>
    <row r="10" spans="1:256" ht="14.1" customHeight="1" x14ac:dyDescent="0.2">
      <c r="A10" s="16">
        <v>2</v>
      </c>
      <c r="B10" s="65"/>
      <c r="C10" s="118" t="str">
        <f>TRIM(ANUAL!C14)</f>
        <v>INV1</v>
      </c>
      <c r="D10" s="119" t="str">
        <f>TRIM(ANUAL!D14)</f>
        <v>POUPANÇA BANCO 1</v>
      </c>
      <c r="E10" s="120">
        <f t="shared" ref="E10:E20" ca="1" si="5">INDIRECT("M"&amp;B$2-1&amp;"!G"&amp;A10+ROW(A$8))</f>
        <v>0</v>
      </c>
      <c r="F10" s="120">
        <f t="shared" ca="1" si="0"/>
        <v>0</v>
      </c>
      <c r="G10" s="120">
        <f t="shared" ca="1" si="1"/>
        <v>0</v>
      </c>
      <c r="H10" s="62"/>
      <c r="J10" s="3" t="b">
        <f t="shared" si="2"/>
        <v>0</v>
      </c>
      <c r="K10" s="3" t="b">
        <f t="shared" si="2"/>
        <v>1</v>
      </c>
      <c r="L10" s="3" t="b">
        <f t="shared" si="2"/>
        <v>0</v>
      </c>
      <c r="N10" s="16">
        <v>2</v>
      </c>
      <c r="O10" s="65"/>
      <c r="P10" s="55"/>
      <c r="Q10" s="56"/>
      <c r="R10" s="57"/>
      <c r="S10" s="58"/>
      <c r="T10" s="59"/>
      <c r="U10" s="60"/>
      <c r="V10" s="62"/>
      <c r="X10" s="1">
        <f t="shared" ca="1" si="3"/>
        <v>1</v>
      </c>
      <c r="Z10" s="1">
        <f t="shared" si="4"/>
        <v>0</v>
      </c>
      <c r="AA10" s="1">
        <f t="shared" si="4"/>
        <v>0</v>
      </c>
      <c r="AB10" s="1">
        <f t="shared" si="4"/>
        <v>0</v>
      </c>
      <c r="AC10" s="1">
        <f t="shared" si="4"/>
        <v>0</v>
      </c>
      <c r="AD10" s="1">
        <f t="shared" si="4"/>
        <v>0</v>
      </c>
      <c r="AE10" s="1">
        <f t="shared" si="4"/>
        <v>0</v>
      </c>
      <c r="AF10" s="1">
        <f t="shared" si="4"/>
        <v>0</v>
      </c>
      <c r="AG10" s="1">
        <f t="shared" si="4"/>
        <v>0</v>
      </c>
      <c r="AH10" s="1">
        <f t="shared" si="4"/>
        <v>0</v>
      </c>
      <c r="AI10" s="1">
        <f t="shared" si="4"/>
        <v>0</v>
      </c>
      <c r="AJ10" s="1">
        <f t="shared" si="4"/>
        <v>0</v>
      </c>
      <c r="AK10" s="1">
        <f t="shared" si="4"/>
        <v>0</v>
      </c>
    </row>
    <row r="11" spans="1:256" ht="14.1" customHeight="1" x14ac:dyDescent="0.2">
      <c r="A11" s="12">
        <v>3</v>
      </c>
      <c r="B11" s="65"/>
      <c r="C11" s="115" t="str">
        <f>TRIM(ANUAL!C15)</f>
        <v>DINH1</v>
      </c>
      <c r="D11" s="116" t="str">
        <f>TRIM(ANUAL!D15)</f>
        <v>EM ESPÉCIE</v>
      </c>
      <c r="E11" s="117">
        <f t="shared" ca="1" si="5"/>
        <v>0</v>
      </c>
      <c r="F11" s="117">
        <f t="shared" ca="1" si="0"/>
        <v>0</v>
      </c>
      <c r="G11" s="117">
        <f t="shared" ca="1" si="1"/>
        <v>0</v>
      </c>
      <c r="H11" s="62"/>
      <c r="J11" s="3" t="b">
        <f t="shared" si="2"/>
        <v>0</v>
      </c>
      <c r="K11" s="3" t="b">
        <f t="shared" si="2"/>
        <v>0</v>
      </c>
      <c r="L11" s="3" t="b">
        <f t="shared" si="2"/>
        <v>1</v>
      </c>
      <c r="N11" s="12">
        <v>3</v>
      </c>
      <c r="O11" s="65"/>
      <c r="P11" s="49"/>
      <c r="Q11" s="50"/>
      <c r="R11" s="51"/>
      <c r="S11" s="52"/>
      <c r="T11" s="53"/>
      <c r="U11" s="54"/>
      <c r="V11" s="62"/>
      <c r="X11" s="1">
        <f t="shared" ca="1" si="3"/>
        <v>1</v>
      </c>
      <c r="Z11" s="1">
        <f t="shared" si="4"/>
        <v>0</v>
      </c>
      <c r="AA11" s="1">
        <f t="shared" si="4"/>
        <v>0</v>
      </c>
      <c r="AB11" s="1">
        <f t="shared" si="4"/>
        <v>0</v>
      </c>
      <c r="AC11" s="1">
        <f t="shared" si="4"/>
        <v>0</v>
      </c>
      <c r="AD11" s="1">
        <f t="shared" si="4"/>
        <v>0</v>
      </c>
      <c r="AE11" s="1">
        <f t="shared" si="4"/>
        <v>0</v>
      </c>
      <c r="AF11" s="1">
        <f t="shared" si="4"/>
        <v>0</v>
      </c>
      <c r="AG11" s="1">
        <f t="shared" si="4"/>
        <v>0</v>
      </c>
      <c r="AH11" s="1">
        <f t="shared" si="4"/>
        <v>0</v>
      </c>
      <c r="AI11" s="1">
        <f t="shared" si="4"/>
        <v>0</v>
      </c>
      <c r="AJ11" s="1">
        <f t="shared" si="4"/>
        <v>0</v>
      </c>
      <c r="AK11" s="1">
        <f t="shared" si="4"/>
        <v>0</v>
      </c>
    </row>
    <row r="12" spans="1:256" ht="14.1" customHeight="1" x14ac:dyDescent="0.2">
      <c r="A12" s="16">
        <v>4</v>
      </c>
      <c r="B12" s="65"/>
      <c r="C12" s="118" t="str">
        <f>TRIM(ANUAL!C16)</f>
        <v>CRED1</v>
      </c>
      <c r="D12" s="119" t="str">
        <f>TRIM(ANUAL!D16)</f>
        <v>CARTÃO DE CRÉDITO 1</v>
      </c>
      <c r="E12" s="120">
        <f t="shared" ca="1" si="5"/>
        <v>0</v>
      </c>
      <c r="F12" s="120">
        <f t="shared" ca="1" si="0"/>
        <v>0</v>
      </c>
      <c r="G12" s="120">
        <f t="shared" ca="1" si="1"/>
        <v>0</v>
      </c>
      <c r="H12" s="62"/>
      <c r="J12" s="3" t="b">
        <f t="shared" si="2"/>
        <v>0</v>
      </c>
      <c r="K12" s="3" t="b">
        <f t="shared" si="2"/>
        <v>0</v>
      </c>
      <c r="L12" s="3" t="b">
        <f t="shared" si="2"/>
        <v>0</v>
      </c>
      <c r="N12" s="16">
        <v>4</v>
      </c>
      <c r="O12" s="65"/>
      <c r="P12" s="55"/>
      <c r="Q12" s="56"/>
      <c r="R12" s="57"/>
      <c r="S12" s="58"/>
      <c r="T12" s="59"/>
      <c r="U12" s="60"/>
      <c r="V12" s="62"/>
      <c r="X12" s="1">
        <f t="shared" ca="1" si="3"/>
        <v>1</v>
      </c>
      <c r="Z12" s="1">
        <f t="shared" si="4"/>
        <v>0</v>
      </c>
      <c r="AA12" s="1">
        <f t="shared" si="4"/>
        <v>0</v>
      </c>
      <c r="AB12" s="1">
        <f t="shared" si="4"/>
        <v>0</v>
      </c>
      <c r="AC12" s="1">
        <f t="shared" si="4"/>
        <v>0</v>
      </c>
      <c r="AD12" s="1">
        <f t="shared" si="4"/>
        <v>0</v>
      </c>
      <c r="AE12" s="1">
        <f t="shared" si="4"/>
        <v>0</v>
      </c>
      <c r="AF12" s="1">
        <f t="shared" si="4"/>
        <v>0</v>
      </c>
      <c r="AG12" s="1">
        <f t="shared" si="4"/>
        <v>0</v>
      </c>
      <c r="AH12" s="1">
        <f t="shared" si="4"/>
        <v>0</v>
      </c>
      <c r="AI12" s="1">
        <f t="shared" si="4"/>
        <v>0</v>
      </c>
      <c r="AJ12" s="1">
        <f t="shared" si="4"/>
        <v>0</v>
      </c>
      <c r="AK12" s="1">
        <f t="shared" si="4"/>
        <v>0</v>
      </c>
    </row>
    <row r="13" spans="1:256" ht="14.1" customHeight="1" x14ac:dyDescent="0.2">
      <c r="A13" s="12">
        <v>5</v>
      </c>
      <c r="B13" s="65"/>
      <c r="C13" s="115" t="str">
        <f>TRIM(ANUAL!C17)</f>
        <v>---</v>
      </c>
      <c r="D13" s="116" t="str">
        <f>TRIM(ANUAL!D17)</f>
        <v/>
      </c>
      <c r="E13" s="117">
        <f t="shared" ca="1" si="5"/>
        <v>0</v>
      </c>
      <c r="F13" s="117">
        <f t="shared" ca="1" si="0"/>
        <v>0</v>
      </c>
      <c r="G13" s="117">
        <f t="shared" ca="1" si="1"/>
        <v>0</v>
      </c>
      <c r="H13" s="62"/>
      <c r="J13" s="3" t="b">
        <f t="shared" si="2"/>
        <v>0</v>
      </c>
      <c r="K13" s="3" t="b">
        <f t="shared" si="2"/>
        <v>0</v>
      </c>
      <c r="L13" s="3" t="b">
        <f t="shared" si="2"/>
        <v>0</v>
      </c>
      <c r="N13" s="12">
        <v>5</v>
      </c>
      <c r="O13" s="65"/>
      <c r="P13" s="49"/>
      <c r="Q13" s="50"/>
      <c r="R13" s="51"/>
      <c r="S13" s="52"/>
      <c r="T13" s="53"/>
      <c r="U13" s="54"/>
      <c r="V13" s="62"/>
      <c r="X13" s="1">
        <f t="shared" ca="1" si="3"/>
        <v>1</v>
      </c>
      <c r="Z13" s="1">
        <f t="shared" si="4"/>
        <v>0</v>
      </c>
      <c r="AA13" s="1">
        <f t="shared" si="4"/>
        <v>0</v>
      </c>
      <c r="AB13" s="1">
        <f t="shared" si="4"/>
        <v>0</v>
      </c>
      <c r="AC13" s="1">
        <f t="shared" si="4"/>
        <v>0</v>
      </c>
      <c r="AD13" s="1">
        <f t="shared" si="4"/>
        <v>0</v>
      </c>
      <c r="AE13" s="1">
        <f t="shared" si="4"/>
        <v>0</v>
      </c>
      <c r="AF13" s="1">
        <f t="shared" si="4"/>
        <v>0</v>
      </c>
      <c r="AG13" s="1">
        <f t="shared" si="4"/>
        <v>0</v>
      </c>
      <c r="AH13" s="1">
        <f t="shared" si="4"/>
        <v>0</v>
      </c>
      <c r="AI13" s="1">
        <f t="shared" si="4"/>
        <v>0</v>
      </c>
      <c r="AJ13" s="1">
        <f t="shared" si="4"/>
        <v>0</v>
      </c>
      <c r="AK13" s="1">
        <f t="shared" si="4"/>
        <v>0</v>
      </c>
    </row>
    <row r="14" spans="1:256" ht="14.1" customHeight="1" x14ac:dyDescent="0.2">
      <c r="A14" s="16">
        <v>6</v>
      </c>
      <c r="B14" s="65"/>
      <c r="C14" s="118" t="str">
        <f>TRIM(ANUAL!C18)</f>
        <v>---</v>
      </c>
      <c r="D14" s="119" t="str">
        <f>TRIM(ANUAL!D18)</f>
        <v/>
      </c>
      <c r="E14" s="120">
        <f t="shared" ca="1" si="5"/>
        <v>0</v>
      </c>
      <c r="F14" s="120">
        <f t="shared" ca="1" si="0"/>
        <v>0</v>
      </c>
      <c r="G14" s="120">
        <f t="shared" ca="1" si="1"/>
        <v>0</v>
      </c>
      <c r="H14" s="62"/>
      <c r="J14" s="3" t="b">
        <f t="shared" si="2"/>
        <v>0</v>
      </c>
      <c r="K14" s="3" t="b">
        <f t="shared" si="2"/>
        <v>0</v>
      </c>
      <c r="L14" s="3" t="b">
        <f t="shared" si="2"/>
        <v>0</v>
      </c>
      <c r="N14" s="16">
        <v>6</v>
      </c>
      <c r="O14" s="65"/>
      <c r="P14" s="55"/>
      <c r="Q14" s="56"/>
      <c r="R14" s="57"/>
      <c r="S14" s="58"/>
      <c r="T14" s="59"/>
      <c r="U14" s="60"/>
      <c r="V14" s="62"/>
      <c r="X14" s="1">
        <f t="shared" ca="1" si="3"/>
        <v>1</v>
      </c>
      <c r="Z14" s="1">
        <f t="shared" si="4"/>
        <v>0</v>
      </c>
      <c r="AA14" s="1">
        <f t="shared" si="4"/>
        <v>0</v>
      </c>
      <c r="AB14" s="1">
        <f t="shared" si="4"/>
        <v>0</v>
      </c>
      <c r="AC14" s="1">
        <f t="shared" si="4"/>
        <v>0</v>
      </c>
      <c r="AD14" s="1">
        <f t="shared" si="4"/>
        <v>0</v>
      </c>
      <c r="AE14" s="1">
        <f t="shared" si="4"/>
        <v>0</v>
      </c>
      <c r="AF14" s="1">
        <f t="shared" si="4"/>
        <v>0</v>
      </c>
      <c r="AG14" s="1">
        <f t="shared" si="4"/>
        <v>0</v>
      </c>
      <c r="AH14" s="1">
        <f t="shared" si="4"/>
        <v>0</v>
      </c>
      <c r="AI14" s="1">
        <f t="shared" si="4"/>
        <v>0</v>
      </c>
      <c r="AJ14" s="1">
        <f t="shared" si="4"/>
        <v>0</v>
      </c>
      <c r="AK14" s="1">
        <f t="shared" si="4"/>
        <v>0</v>
      </c>
    </row>
    <row r="15" spans="1:256" ht="14.1" customHeight="1" x14ac:dyDescent="0.2">
      <c r="A15" s="12">
        <v>7</v>
      </c>
      <c r="B15" s="65"/>
      <c r="C15" s="115" t="str">
        <f>TRIM(ANUAL!C19)</f>
        <v>---</v>
      </c>
      <c r="D15" s="116" t="str">
        <f>TRIM(ANUAL!D19)</f>
        <v/>
      </c>
      <c r="E15" s="117">
        <f t="shared" ca="1" si="5"/>
        <v>0</v>
      </c>
      <c r="F15" s="117">
        <f t="shared" ca="1" si="0"/>
        <v>0</v>
      </c>
      <c r="G15" s="117">
        <f t="shared" ca="1" si="1"/>
        <v>0</v>
      </c>
      <c r="H15" s="62"/>
      <c r="J15" s="3" t="b">
        <f t="shared" si="2"/>
        <v>0</v>
      </c>
      <c r="K15" s="3" t="b">
        <f t="shared" si="2"/>
        <v>0</v>
      </c>
      <c r="L15" s="3" t="b">
        <f t="shared" si="2"/>
        <v>0</v>
      </c>
      <c r="N15" s="12">
        <v>7</v>
      </c>
      <c r="O15" s="65"/>
      <c r="P15" s="49"/>
      <c r="Q15" s="50"/>
      <c r="R15" s="51"/>
      <c r="S15" s="52"/>
      <c r="T15" s="53"/>
      <c r="U15" s="54"/>
      <c r="V15" s="62"/>
      <c r="X15" s="1">
        <f t="shared" ca="1" si="3"/>
        <v>1</v>
      </c>
      <c r="Z15" s="1">
        <f t="shared" si="4"/>
        <v>0</v>
      </c>
      <c r="AA15" s="1">
        <f t="shared" si="4"/>
        <v>0</v>
      </c>
      <c r="AB15" s="1">
        <f t="shared" si="4"/>
        <v>0</v>
      </c>
      <c r="AC15" s="1">
        <f t="shared" si="4"/>
        <v>0</v>
      </c>
      <c r="AD15" s="1">
        <f t="shared" si="4"/>
        <v>0</v>
      </c>
      <c r="AE15" s="1">
        <f t="shared" si="4"/>
        <v>0</v>
      </c>
      <c r="AF15" s="1">
        <f t="shared" si="4"/>
        <v>0</v>
      </c>
      <c r="AG15" s="1">
        <f t="shared" si="4"/>
        <v>0</v>
      </c>
      <c r="AH15" s="1">
        <f t="shared" si="4"/>
        <v>0</v>
      </c>
      <c r="AI15" s="1">
        <f t="shared" si="4"/>
        <v>0</v>
      </c>
      <c r="AJ15" s="1">
        <f t="shared" si="4"/>
        <v>0</v>
      </c>
      <c r="AK15" s="1">
        <f t="shared" si="4"/>
        <v>0</v>
      </c>
    </row>
    <row r="16" spans="1:256" ht="14.1" customHeight="1" x14ac:dyDescent="0.2">
      <c r="A16" s="16">
        <v>8</v>
      </c>
      <c r="B16" s="65"/>
      <c r="C16" s="118" t="str">
        <f>TRIM(ANUAL!C20)</f>
        <v>---</v>
      </c>
      <c r="D16" s="119" t="str">
        <f>TRIM(ANUAL!D20)</f>
        <v/>
      </c>
      <c r="E16" s="120">
        <f t="shared" ca="1" si="5"/>
        <v>0</v>
      </c>
      <c r="F16" s="120">
        <f t="shared" ca="1" si="0"/>
        <v>0</v>
      </c>
      <c r="G16" s="120">
        <f t="shared" ca="1" si="1"/>
        <v>0</v>
      </c>
      <c r="H16" s="62"/>
      <c r="J16" s="3" t="b">
        <f t="shared" si="2"/>
        <v>0</v>
      </c>
      <c r="K16" s="3" t="b">
        <f t="shared" si="2"/>
        <v>0</v>
      </c>
      <c r="L16" s="3" t="b">
        <f t="shared" si="2"/>
        <v>0</v>
      </c>
      <c r="N16" s="16">
        <v>8</v>
      </c>
      <c r="O16" s="65"/>
      <c r="P16" s="55"/>
      <c r="Q16" s="56"/>
      <c r="R16" s="57"/>
      <c r="S16" s="58"/>
      <c r="T16" s="59"/>
      <c r="U16" s="60"/>
      <c r="V16" s="62"/>
      <c r="X16" s="1">
        <f t="shared" ca="1" si="3"/>
        <v>1</v>
      </c>
      <c r="Z16" s="1">
        <f t="shared" si="4"/>
        <v>0</v>
      </c>
      <c r="AA16" s="1">
        <f t="shared" si="4"/>
        <v>0</v>
      </c>
      <c r="AB16" s="1">
        <f t="shared" si="4"/>
        <v>0</v>
      </c>
      <c r="AC16" s="1">
        <f t="shared" si="4"/>
        <v>0</v>
      </c>
      <c r="AD16" s="1">
        <f t="shared" si="4"/>
        <v>0</v>
      </c>
      <c r="AE16" s="1">
        <f t="shared" si="4"/>
        <v>0</v>
      </c>
      <c r="AF16" s="1">
        <f t="shared" si="4"/>
        <v>0</v>
      </c>
      <c r="AG16" s="1">
        <f t="shared" si="4"/>
        <v>0</v>
      </c>
      <c r="AH16" s="1">
        <f t="shared" si="4"/>
        <v>0</v>
      </c>
      <c r="AI16" s="1">
        <f t="shared" si="4"/>
        <v>0</v>
      </c>
      <c r="AJ16" s="1">
        <f t="shared" si="4"/>
        <v>0</v>
      </c>
      <c r="AK16" s="1">
        <f t="shared" si="4"/>
        <v>0</v>
      </c>
    </row>
    <row r="17" spans="1:37" ht="14.1" customHeight="1" x14ac:dyDescent="0.2">
      <c r="A17" s="12">
        <v>9</v>
      </c>
      <c r="B17" s="65"/>
      <c r="C17" s="115" t="str">
        <f>TRIM(ANUAL!C21)</f>
        <v>---</v>
      </c>
      <c r="D17" s="116" t="str">
        <f>TRIM(ANUAL!D21)</f>
        <v/>
      </c>
      <c r="E17" s="117">
        <f t="shared" ca="1" si="5"/>
        <v>0</v>
      </c>
      <c r="F17" s="117">
        <f t="shared" ca="1" si="0"/>
        <v>0</v>
      </c>
      <c r="G17" s="117">
        <f t="shared" ca="1" si="1"/>
        <v>0</v>
      </c>
      <c r="H17" s="62"/>
      <c r="J17" s="3" t="b">
        <f t="shared" si="2"/>
        <v>0</v>
      </c>
      <c r="K17" s="3" t="b">
        <f t="shared" si="2"/>
        <v>0</v>
      </c>
      <c r="L17" s="3" t="b">
        <f t="shared" si="2"/>
        <v>0</v>
      </c>
      <c r="N17" s="12">
        <v>9</v>
      </c>
      <c r="O17" s="65"/>
      <c r="P17" s="49"/>
      <c r="Q17" s="50"/>
      <c r="R17" s="51"/>
      <c r="S17" s="52"/>
      <c r="T17" s="53"/>
      <c r="U17" s="54"/>
      <c r="V17" s="62"/>
      <c r="X17" s="1">
        <f t="shared" ca="1" si="3"/>
        <v>1</v>
      </c>
      <c r="Z17" s="1">
        <f t="shared" si="4"/>
        <v>0</v>
      </c>
      <c r="AA17" s="1">
        <f t="shared" si="4"/>
        <v>0</v>
      </c>
      <c r="AB17" s="1">
        <f t="shared" si="4"/>
        <v>0</v>
      </c>
      <c r="AC17" s="1">
        <f t="shared" si="4"/>
        <v>0</v>
      </c>
      <c r="AD17" s="1">
        <f t="shared" si="4"/>
        <v>0</v>
      </c>
      <c r="AE17" s="1">
        <f t="shared" si="4"/>
        <v>0</v>
      </c>
      <c r="AF17" s="1">
        <f t="shared" si="4"/>
        <v>0</v>
      </c>
      <c r="AG17" s="1">
        <f t="shared" si="4"/>
        <v>0</v>
      </c>
      <c r="AH17" s="1">
        <f t="shared" si="4"/>
        <v>0</v>
      </c>
      <c r="AI17" s="1">
        <f t="shared" si="4"/>
        <v>0</v>
      </c>
      <c r="AJ17" s="1">
        <f t="shared" si="4"/>
        <v>0</v>
      </c>
      <c r="AK17" s="1">
        <f t="shared" si="4"/>
        <v>0</v>
      </c>
    </row>
    <row r="18" spans="1:37" ht="14.1" customHeight="1" x14ac:dyDescent="0.2">
      <c r="A18" s="16">
        <v>10</v>
      </c>
      <c r="B18" s="65"/>
      <c r="C18" s="118" t="str">
        <f>TRIM(ANUAL!C22)</f>
        <v>---</v>
      </c>
      <c r="D18" s="119" t="str">
        <f>TRIM(ANUAL!D22)</f>
        <v/>
      </c>
      <c r="E18" s="120">
        <f t="shared" ca="1" si="5"/>
        <v>0</v>
      </c>
      <c r="F18" s="120">
        <f t="shared" ca="1" si="0"/>
        <v>0</v>
      </c>
      <c r="G18" s="120">
        <f t="shared" ca="1" si="1"/>
        <v>0</v>
      </c>
      <c r="H18" s="62"/>
      <c r="J18" s="3" t="b">
        <f t="shared" si="2"/>
        <v>0</v>
      </c>
      <c r="K18" s="3" t="b">
        <f t="shared" si="2"/>
        <v>0</v>
      </c>
      <c r="L18" s="3" t="b">
        <f t="shared" si="2"/>
        <v>0</v>
      </c>
      <c r="N18" s="16">
        <v>10</v>
      </c>
      <c r="O18" s="65"/>
      <c r="P18" s="55"/>
      <c r="Q18" s="56"/>
      <c r="R18" s="57"/>
      <c r="S18" s="58"/>
      <c r="T18" s="59"/>
      <c r="U18" s="60"/>
      <c r="V18" s="62"/>
      <c r="X18" s="1">
        <f t="shared" ca="1" si="3"/>
        <v>1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C18" s="1">
        <f t="shared" si="4"/>
        <v>0</v>
      </c>
      <c r="AD18" s="1">
        <f t="shared" si="4"/>
        <v>0</v>
      </c>
      <c r="AE18" s="1">
        <f t="shared" si="4"/>
        <v>0</v>
      </c>
      <c r="AF18" s="1">
        <f t="shared" si="4"/>
        <v>0</v>
      </c>
      <c r="AG18" s="1">
        <f t="shared" si="4"/>
        <v>0</v>
      </c>
      <c r="AH18" s="1">
        <f t="shared" si="4"/>
        <v>0</v>
      </c>
      <c r="AI18" s="1">
        <f t="shared" si="4"/>
        <v>0</v>
      </c>
      <c r="AJ18" s="1">
        <f t="shared" si="4"/>
        <v>0</v>
      </c>
      <c r="AK18" s="1">
        <f t="shared" si="4"/>
        <v>0</v>
      </c>
    </row>
    <row r="19" spans="1:37" ht="14.1" customHeight="1" x14ac:dyDescent="0.2">
      <c r="A19" s="12">
        <v>11</v>
      </c>
      <c r="B19" s="65"/>
      <c r="C19" s="115" t="str">
        <f>TRIM(ANUAL!C23)</f>
        <v>---</v>
      </c>
      <c r="D19" s="116" t="str">
        <f>TRIM(ANUAL!D23)</f>
        <v/>
      </c>
      <c r="E19" s="117">
        <f t="shared" ca="1" si="5"/>
        <v>0</v>
      </c>
      <c r="F19" s="117">
        <f t="shared" ca="1" si="0"/>
        <v>0</v>
      </c>
      <c r="G19" s="117">
        <f t="shared" ca="1" si="1"/>
        <v>0</v>
      </c>
      <c r="H19" s="62"/>
      <c r="J19" s="3" t="b">
        <f t="shared" si="2"/>
        <v>0</v>
      </c>
      <c r="K19" s="3" t="b">
        <f t="shared" si="2"/>
        <v>0</v>
      </c>
      <c r="L19" s="3" t="b">
        <f t="shared" si="2"/>
        <v>0</v>
      </c>
      <c r="N19" s="12">
        <v>11</v>
      </c>
      <c r="O19" s="65"/>
      <c r="P19" s="49"/>
      <c r="Q19" s="50"/>
      <c r="R19" s="51"/>
      <c r="S19" s="52"/>
      <c r="T19" s="53"/>
      <c r="U19" s="54"/>
      <c r="V19" s="62"/>
      <c r="X19" s="1">
        <f t="shared" ca="1" si="3"/>
        <v>1</v>
      </c>
      <c r="Z19" s="1">
        <f t="shared" ref="Z19:AK28" si="6">IF(Z$8=$R19,-$T19,0)+IF(Z$8=$S19,$T19,0)</f>
        <v>0</v>
      </c>
      <c r="AA19" s="1">
        <f t="shared" si="6"/>
        <v>0</v>
      </c>
      <c r="AB19" s="1">
        <f t="shared" si="6"/>
        <v>0</v>
      </c>
      <c r="AC19" s="1">
        <f t="shared" si="6"/>
        <v>0</v>
      </c>
      <c r="AD19" s="1">
        <f t="shared" si="6"/>
        <v>0</v>
      </c>
      <c r="AE19" s="1">
        <f t="shared" si="6"/>
        <v>0</v>
      </c>
      <c r="AF19" s="1">
        <f t="shared" si="6"/>
        <v>0</v>
      </c>
      <c r="AG19" s="1">
        <f t="shared" si="6"/>
        <v>0</v>
      </c>
      <c r="AH19" s="1">
        <f t="shared" si="6"/>
        <v>0</v>
      </c>
      <c r="AI19" s="1">
        <f t="shared" si="6"/>
        <v>0</v>
      </c>
      <c r="AJ19" s="1">
        <f t="shared" si="6"/>
        <v>0</v>
      </c>
      <c r="AK19" s="1">
        <f t="shared" si="6"/>
        <v>0</v>
      </c>
    </row>
    <row r="20" spans="1:37" ht="14.1" customHeight="1" x14ac:dyDescent="0.2">
      <c r="A20" s="16">
        <v>12</v>
      </c>
      <c r="B20" s="65"/>
      <c r="C20" s="121" t="str">
        <f>TRIM(ANUAL!C24)</f>
        <v>---</v>
      </c>
      <c r="D20" s="122" t="str">
        <f>TRIM(ANUAL!D24)</f>
        <v/>
      </c>
      <c r="E20" s="123">
        <f t="shared" ca="1" si="5"/>
        <v>0</v>
      </c>
      <c r="F20" s="123">
        <f t="shared" ca="1" si="0"/>
        <v>0</v>
      </c>
      <c r="G20" s="123">
        <f t="shared" ca="1" si="1"/>
        <v>0</v>
      </c>
      <c r="H20" s="62"/>
      <c r="J20" s="3" t="b">
        <f t="shared" si="2"/>
        <v>0</v>
      </c>
      <c r="K20" s="3" t="b">
        <f t="shared" si="2"/>
        <v>0</v>
      </c>
      <c r="L20" s="3" t="b">
        <f t="shared" si="2"/>
        <v>0</v>
      </c>
      <c r="N20" s="16">
        <v>12</v>
      </c>
      <c r="O20" s="65"/>
      <c r="P20" s="55"/>
      <c r="Q20" s="56"/>
      <c r="R20" s="57"/>
      <c r="S20" s="58"/>
      <c r="T20" s="59"/>
      <c r="U20" s="60"/>
      <c r="V20" s="62"/>
      <c r="X20" s="1">
        <f t="shared" ca="1" si="3"/>
        <v>1</v>
      </c>
      <c r="Z20" s="1">
        <f t="shared" si="6"/>
        <v>0</v>
      </c>
      <c r="AA20" s="1">
        <f t="shared" si="6"/>
        <v>0</v>
      </c>
      <c r="AB20" s="1">
        <f t="shared" si="6"/>
        <v>0</v>
      </c>
      <c r="AC20" s="1">
        <f t="shared" si="6"/>
        <v>0</v>
      </c>
      <c r="AD20" s="1">
        <f t="shared" si="6"/>
        <v>0</v>
      </c>
      <c r="AE20" s="1">
        <f t="shared" si="6"/>
        <v>0</v>
      </c>
      <c r="AF20" s="1">
        <f t="shared" si="6"/>
        <v>0</v>
      </c>
      <c r="AG20" s="1">
        <f t="shared" si="6"/>
        <v>0</v>
      </c>
      <c r="AH20" s="1">
        <f t="shared" si="6"/>
        <v>0</v>
      </c>
      <c r="AI20" s="1">
        <f t="shared" si="6"/>
        <v>0</v>
      </c>
      <c r="AJ20" s="1">
        <f t="shared" si="6"/>
        <v>0</v>
      </c>
      <c r="AK20" s="1">
        <f t="shared" si="6"/>
        <v>0</v>
      </c>
    </row>
    <row r="21" spans="1:37" ht="14.1" customHeight="1" x14ac:dyDescent="0.2">
      <c r="B21" s="128"/>
      <c r="C21" s="129"/>
      <c r="D21" s="130"/>
      <c r="E21" s="130"/>
      <c r="F21" s="130"/>
      <c r="G21" s="130"/>
      <c r="H21" s="131"/>
      <c r="N21" s="12">
        <v>13</v>
      </c>
      <c r="O21" s="65"/>
      <c r="P21" s="49"/>
      <c r="Q21" s="50"/>
      <c r="R21" s="51"/>
      <c r="S21" s="52"/>
      <c r="T21" s="53"/>
      <c r="U21" s="54"/>
      <c r="V21" s="62"/>
      <c r="X21" s="1">
        <f t="shared" ca="1" si="3"/>
        <v>1</v>
      </c>
      <c r="Z21" s="1">
        <f t="shared" si="6"/>
        <v>0</v>
      </c>
      <c r="AA21" s="1">
        <f t="shared" si="6"/>
        <v>0</v>
      </c>
      <c r="AB21" s="1">
        <f t="shared" si="6"/>
        <v>0</v>
      </c>
      <c r="AC21" s="1">
        <f t="shared" si="6"/>
        <v>0</v>
      </c>
      <c r="AD21" s="1">
        <f t="shared" si="6"/>
        <v>0</v>
      </c>
      <c r="AE21" s="1">
        <f t="shared" si="6"/>
        <v>0</v>
      </c>
      <c r="AF21" s="1">
        <f t="shared" si="6"/>
        <v>0</v>
      </c>
      <c r="AG21" s="1">
        <f t="shared" si="6"/>
        <v>0</v>
      </c>
      <c r="AH21" s="1">
        <f t="shared" si="6"/>
        <v>0</v>
      </c>
      <c r="AI21" s="1">
        <f t="shared" si="6"/>
        <v>0</v>
      </c>
      <c r="AJ21" s="1">
        <f t="shared" si="6"/>
        <v>0</v>
      </c>
      <c r="AK21" s="1">
        <f t="shared" si="6"/>
        <v>0</v>
      </c>
    </row>
    <row r="22" spans="1:37" ht="14.1" customHeight="1" x14ac:dyDescent="0.2">
      <c r="J22" s="29"/>
      <c r="K22" s="29"/>
      <c r="L22" s="29"/>
      <c r="N22" s="16">
        <v>14</v>
      </c>
      <c r="O22" s="65"/>
      <c r="P22" s="55"/>
      <c r="Q22" s="56"/>
      <c r="R22" s="57"/>
      <c r="S22" s="58"/>
      <c r="T22" s="59"/>
      <c r="U22" s="60"/>
      <c r="V22" s="62"/>
      <c r="X22" s="1">
        <f t="shared" ca="1" si="3"/>
        <v>1</v>
      </c>
      <c r="Z22" s="1">
        <f t="shared" si="6"/>
        <v>0</v>
      </c>
      <c r="AA22" s="1">
        <f t="shared" si="6"/>
        <v>0</v>
      </c>
      <c r="AB22" s="1">
        <f t="shared" si="6"/>
        <v>0</v>
      </c>
      <c r="AC22" s="1">
        <f t="shared" si="6"/>
        <v>0</v>
      </c>
      <c r="AD22" s="1">
        <f t="shared" si="6"/>
        <v>0</v>
      </c>
      <c r="AE22" s="1">
        <f t="shared" si="6"/>
        <v>0</v>
      </c>
      <c r="AF22" s="1">
        <f t="shared" si="6"/>
        <v>0</v>
      </c>
      <c r="AG22" s="1">
        <f t="shared" si="6"/>
        <v>0</v>
      </c>
      <c r="AH22" s="1">
        <f t="shared" si="6"/>
        <v>0</v>
      </c>
      <c r="AI22" s="1">
        <f t="shared" si="6"/>
        <v>0</v>
      </c>
      <c r="AJ22" s="1">
        <f t="shared" si="6"/>
        <v>0</v>
      </c>
      <c r="AK22" s="1">
        <f t="shared" si="6"/>
        <v>0</v>
      </c>
    </row>
    <row r="23" spans="1:37" ht="14.1" customHeight="1" x14ac:dyDescent="0.2">
      <c r="B23" s="77"/>
      <c r="C23" s="78"/>
      <c r="D23" s="79"/>
      <c r="E23" s="79"/>
      <c r="F23" s="79"/>
      <c r="G23" s="79"/>
      <c r="H23" s="80"/>
      <c r="I23" s="3"/>
      <c r="J23" s="3"/>
      <c r="K23" s="3"/>
      <c r="L23" s="3"/>
      <c r="M23" s="3"/>
      <c r="N23" s="12">
        <v>15</v>
      </c>
      <c r="O23" s="65"/>
      <c r="P23" s="49"/>
      <c r="Q23" s="50"/>
      <c r="R23" s="51"/>
      <c r="S23" s="52"/>
      <c r="T23" s="53"/>
      <c r="U23" s="54"/>
      <c r="V23" s="62"/>
      <c r="X23" s="1">
        <f t="shared" ca="1" si="3"/>
        <v>1</v>
      </c>
      <c r="Z23" s="1">
        <f t="shared" si="6"/>
        <v>0</v>
      </c>
      <c r="AA23" s="1">
        <f t="shared" si="6"/>
        <v>0</v>
      </c>
      <c r="AB23" s="1">
        <f t="shared" si="6"/>
        <v>0</v>
      </c>
      <c r="AC23" s="1">
        <f t="shared" si="6"/>
        <v>0</v>
      </c>
      <c r="AD23" s="1">
        <f t="shared" si="6"/>
        <v>0</v>
      </c>
      <c r="AE23" s="1">
        <f t="shared" si="6"/>
        <v>0</v>
      </c>
      <c r="AF23" s="1">
        <f t="shared" si="6"/>
        <v>0</v>
      </c>
      <c r="AG23" s="1">
        <f t="shared" si="6"/>
        <v>0</v>
      </c>
      <c r="AH23" s="1">
        <f t="shared" si="6"/>
        <v>0</v>
      </c>
      <c r="AI23" s="1">
        <f t="shared" si="6"/>
        <v>0</v>
      </c>
      <c r="AJ23" s="1">
        <f t="shared" si="6"/>
        <v>0</v>
      </c>
      <c r="AK23" s="1">
        <f t="shared" si="6"/>
        <v>0</v>
      </c>
    </row>
    <row r="24" spans="1:37" ht="14.1" customHeight="1" x14ac:dyDescent="0.2">
      <c r="B24" s="81"/>
      <c r="C24" s="285" t="s">
        <v>103</v>
      </c>
      <c r="D24" s="285"/>
      <c r="E24" s="285"/>
      <c r="F24" s="285"/>
      <c r="G24" s="285"/>
      <c r="H24" s="82"/>
      <c r="I24" s="3"/>
      <c r="J24" s="3"/>
      <c r="K24" s="3"/>
      <c r="L24" s="3"/>
      <c r="M24" s="3"/>
      <c r="N24" s="16">
        <v>16</v>
      </c>
      <c r="O24" s="65"/>
      <c r="P24" s="55"/>
      <c r="Q24" s="56"/>
      <c r="R24" s="57"/>
      <c r="S24" s="58"/>
      <c r="T24" s="59"/>
      <c r="U24" s="60"/>
      <c r="V24" s="62"/>
      <c r="X24" s="1">
        <f t="shared" ca="1" si="3"/>
        <v>1</v>
      </c>
      <c r="Z24" s="1">
        <f t="shared" si="6"/>
        <v>0</v>
      </c>
      <c r="AA24" s="1">
        <f t="shared" si="6"/>
        <v>0</v>
      </c>
      <c r="AB24" s="1">
        <f t="shared" si="6"/>
        <v>0</v>
      </c>
      <c r="AC24" s="1">
        <f t="shared" si="6"/>
        <v>0</v>
      </c>
      <c r="AD24" s="1">
        <f t="shared" si="6"/>
        <v>0</v>
      </c>
      <c r="AE24" s="1">
        <f t="shared" si="6"/>
        <v>0</v>
      </c>
      <c r="AF24" s="1">
        <f t="shared" si="6"/>
        <v>0</v>
      </c>
      <c r="AG24" s="1">
        <f t="shared" si="6"/>
        <v>0</v>
      </c>
      <c r="AH24" s="1">
        <f t="shared" si="6"/>
        <v>0</v>
      </c>
      <c r="AI24" s="1">
        <f t="shared" si="6"/>
        <v>0</v>
      </c>
      <c r="AJ24" s="1">
        <f t="shared" si="6"/>
        <v>0</v>
      </c>
      <c r="AK24" s="1">
        <f t="shared" si="6"/>
        <v>0</v>
      </c>
    </row>
    <row r="25" spans="1:37" ht="14.1" customHeight="1" x14ac:dyDescent="0.2">
      <c r="B25" s="81"/>
      <c r="C25" s="285"/>
      <c r="D25" s="285"/>
      <c r="E25" s="285"/>
      <c r="F25" s="285"/>
      <c r="G25" s="285"/>
      <c r="H25" s="82"/>
      <c r="I25" s="3"/>
      <c r="J25" s="3"/>
      <c r="K25" s="3"/>
      <c r="L25" s="3"/>
      <c r="M25" s="3"/>
      <c r="N25" s="12">
        <v>17</v>
      </c>
      <c r="O25" s="65"/>
      <c r="P25" s="49"/>
      <c r="Q25" s="50"/>
      <c r="R25" s="51"/>
      <c r="S25" s="52"/>
      <c r="T25" s="53"/>
      <c r="U25" s="54"/>
      <c r="V25" s="62"/>
      <c r="X25" s="1">
        <f t="shared" ca="1" si="3"/>
        <v>1</v>
      </c>
      <c r="Z25" s="1">
        <f t="shared" si="6"/>
        <v>0</v>
      </c>
      <c r="AA25" s="1">
        <f t="shared" si="6"/>
        <v>0</v>
      </c>
      <c r="AB25" s="1">
        <f t="shared" si="6"/>
        <v>0</v>
      </c>
      <c r="AC25" s="1">
        <f t="shared" si="6"/>
        <v>0</v>
      </c>
      <c r="AD25" s="1">
        <f t="shared" si="6"/>
        <v>0</v>
      </c>
      <c r="AE25" s="1">
        <f t="shared" si="6"/>
        <v>0</v>
      </c>
      <c r="AF25" s="1">
        <f t="shared" si="6"/>
        <v>0</v>
      </c>
      <c r="AG25" s="1">
        <f t="shared" si="6"/>
        <v>0</v>
      </c>
      <c r="AH25" s="1">
        <f t="shared" si="6"/>
        <v>0</v>
      </c>
      <c r="AI25" s="1">
        <f t="shared" si="6"/>
        <v>0</v>
      </c>
      <c r="AJ25" s="1">
        <f t="shared" si="6"/>
        <v>0</v>
      </c>
      <c r="AK25" s="1">
        <f t="shared" si="6"/>
        <v>0</v>
      </c>
    </row>
    <row r="26" spans="1:37" ht="14.1" customHeight="1" x14ac:dyDescent="0.2">
      <c r="B26" s="46"/>
      <c r="C26" s="271" t="s">
        <v>94</v>
      </c>
      <c r="D26" s="273" t="s">
        <v>5</v>
      </c>
      <c r="E26" s="275" t="s">
        <v>104</v>
      </c>
      <c r="F26" s="275" t="s">
        <v>89</v>
      </c>
      <c r="G26" s="276" t="s">
        <v>6</v>
      </c>
      <c r="H26" s="82"/>
      <c r="I26" s="3"/>
      <c r="J26" s="3"/>
      <c r="K26" s="3"/>
      <c r="L26" s="3"/>
      <c r="M26" s="3"/>
      <c r="N26" s="16">
        <v>18</v>
      </c>
      <c r="O26" s="65"/>
      <c r="P26" s="55"/>
      <c r="Q26" s="56"/>
      <c r="R26" s="57"/>
      <c r="S26" s="58"/>
      <c r="T26" s="59"/>
      <c r="U26" s="60"/>
      <c r="V26" s="62"/>
      <c r="X26" s="1">
        <f t="shared" ca="1" si="3"/>
        <v>1</v>
      </c>
      <c r="Z26" s="1">
        <f t="shared" si="6"/>
        <v>0</v>
      </c>
      <c r="AA26" s="1">
        <f t="shared" si="6"/>
        <v>0</v>
      </c>
      <c r="AB26" s="1">
        <f t="shared" si="6"/>
        <v>0</v>
      </c>
      <c r="AC26" s="1">
        <f t="shared" si="6"/>
        <v>0</v>
      </c>
      <c r="AD26" s="1">
        <f t="shared" si="6"/>
        <v>0</v>
      </c>
      <c r="AE26" s="1">
        <f t="shared" si="6"/>
        <v>0</v>
      </c>
      <c r="AF26" s="1">
        <f t="shared" si="6"/>
        <v>0</v>
      </c>
      <c r="AG26" s="1">
        <f t="shared" si="6"/>
        <v>0</v>
      </c>
      <c r="AH26" s="1">
        <f t="shared" si="6"/>
        <v>0</v>
      </c>
      <c r="AI26" s="1">
        <f t="shared" si="6"/>
        <v>0</v>
      </c>
      <c r="AJ26" s="1">
        <f t="shared" si="6"/>
        <v>0</v>
      </c>
      <c r="AK26" s="1">
        <f t="shared" si="6"/>
        <v>0</v>
      </c>
    </row>
    <row r="27" spans="1:37" ht="14.1" customHeight="1" x14ac:dyDescent="0.2">
      <c r="A27" s="3"/>
      <c r="B27" s="44"/>
      <c r="C27" s="272"/>
      <c r="D27" s="274"/>
      <c r="E27" s="99" t="s">
        <v>87</v>
      </c>
      <c r="F27" s="100" t="s">
        <v>89</v>
      </c>
      <c r="G27" s="98" t="s">
        <v>105</v>
      </c>
      <c r="H27" s="83"/>
      <c r="I27" s="3"/>
      <c r="J27" s="3" t="str">
        <f>ANUAL!C115</f>
        <v>CC</v>
      </c>
      <c r="K27" s="3" t="str">
        <f>ANUAL!C116</f>
        <v>INV</v>
      </c>
      <c r="L27" s="3" t="str">
        <f>ANUAL!C117</f>
        <v>DINH</v>
      </c>
      <c r="M27" s="3"/>
      <c r="N27" s="12">
        <v>19</v>
      </c>
      <c r="O27" s="65"/>
      <c r="P27" s="49"/>
      <c r="Q27" s="50"/>
      <c r="R27" s="51"/>
      <c r="S27" s="52"/>
      <c r="T27" s="53"/>
      <c r="U27" s="54"/>
      <c r="V27" s="62"/>
      <c r="X27" s="1">
        <f t="shared" ca="1" si="3"/>
        <v>1</v>
      </c>
      <c r="Z27" s="1">
        <f t="shared" si="6"/>
        <v>0</v>
      </c>
      <c r="AA27" s="1">
        <f t="shared" si="6"/>
        <v>0</v>
      </c>
      <c r="AB27" s="1">
        <f t="shared" si="6"/>
        <v>0</v>
      </c>
      <c r="AC27" s="1">
        <f t="shared" si="6"/>
        <v>0</v>
      </c>
      <c r="AD27" s="1">
        <f t="shared" si="6"/>
        <v>0</v>
      </c>
      <c r="AE27" s="1">
        <f t="shared" si="6"/>
        <v>0</v>
      </c>
      <c r="AF27" s="1">
        <f t="shared" si="6"/>
        <v>0</v>
      </c>
      <c r="AG27" s="1">
        <f t="shared" si="6"/>
        <v>0</v>
      </c>
      <c r="AH27" s="1">
        <f t="shared" si="6"/>
        <v>0</v>
      </c>
      <c r="AI27" s="1">
        <f t="shared" si="6"/>
        <v>0</v>
      </c>
      <c r="AJ27" s="1">
        <f t="shared" si="6"/>
        <v>0</v>
      </c>
      <c r="AK27" s="1">
        <f t="shared" si="6"/>
        <v>0</v>
      </c>
    </row>
    <row r="28" spans="1:37" ht="14.1" customHeight="1" x14ac:dyDescent="0.2">
      <c r="A28" s="12">
        <v>1</v>
      </c>
      <c r="B28" s="64"/>
      <c r="C28" s="115" t="str">
        <f t="shared" ref="C28:D39" si="7">C9</f>
        <v/>
      </c>
      <c r="D28" s="116" t="str">
        <f t="shared" si="7"/>
        <v>CONTA CORRENTE BANCO 1</v>
      </c>
      <c r="E28" s="117">
        <f t="shared" ref="E28:E39" ca="1" si="8">SUMIF(OFFSET($Z$9:$Z$88,0,A28-1),"&gt;0")</f>
        <v>0</v>
      </c>
      <c r="F28" s="117">
        <f t="shared" ref="F28:F39" ca="1" si="9">SUMIF(OFFSET($Z$9:$Z$88,0,A28-1),"&lt;0")</f>
        <v>0</v>
      </c>
      <c r="G28" s="117">
        <f t="shared" ref="G28:G39" ca="1" si="10">SUM(E28:F28)</f>
        <v>0</v>
      </c>
      <c r="H28" s="61"/>
      <c r="I28" s="3"/>
      <c r="J28" s="3" t="b">
        <f t="shared" ref="J28:L39" si="11">NOT(ISERR(SEARCH(J$27,$C28)))</f>
        <v>0</v>
      </c>
      <c r="K28" s="3" t="b">
        <f t="shared" si="11"/>
        <v>0</v>
      </c>
      <c r="L28" s="3" t="b">
        <f t="shared" si="11"/>
        <v>0</v>
      </c>
      <c r="M28" s="3"/>
      <c r="N28" s="16">
        <v>20</v>
      </c>
      <c r="O28" s="65"/>
      <c r="P28" s="55"/>
      <c r="Q28" s="56"/>
      <c r="R28" s="57"/>
      <c r="S28" s="58"/>
      <c r="T28" s="59"/>
      <c r="U28" s="60"/>
      <c r="V28" s="62"/>
      <c r="X28" s="1">
        <f t="shared" ca="1" si="3"/>
        <v>1</v>
      </c>
      <c r="Z28" s="1">
        <f t="shared" si="6"/>
        <v>0</v>
      </c>
      <c r="AA28" s="1">
        <f t="shared" si="6"/>
        <v>0</v>
      </c>
      <c r="AB28" s="1">
        <f t="shared" si="6"/>
        <v>0</v>
      </c>
      <c r="AC28" s="1">
        <f t="shared" si="6"/>
        <v>0</v>
      </c>
      <c r="AD28" s="1">
        <f t="shared" si="6"/>
        <v>0</v>
      </c>
      <c r="AE28" s="1">
        <f t="shared" si="6"/>
        <v>0</v>
      </c>
      <c r="AF28" s="1">
        <f t="shared" si="6"/>
        <v>0</v>
      </c>
      <c r="AG28" s="1">
        <f t="shared" si="6"/>
        <v>0</v>
      </c>
      <c r="AH28" s="1">
        <f t="shared" si="6"/>
        <v>0</v>
      </c>
      <c r="AI28" s="1">
        <f t="shared" si="6"/>
        <v>0</v>
      </c>
      <c r="AJ28" s="1">
        <f t="shared" si="6"/>
        <v>0</v>
      </c>
      <c r="AK28" s="1">
        <f t="shared" si="6"/>
        <v>0</v>
      </c>
    </row>
    <row r="29" spans="1:37" ht="14.1" customHeight="1" x14ac:dyDescent="0.2">
      <c r="A29" s="16">
        <v>2</v>
      </c>
      <c r="B29" s="65"/>
      <c r="C29" s="118" t="str">
        <f t="shared" si="7"/>
        <v>INV1</v>
      </c>
      <c r="D29" s="119" t="str">
        <f t="shared" si="7"/>
        <v>POUPANÇA BANCO 1</v>
      </c>
      <c r="E29" s="120">
        <f t="shared" ca="1" si="8"/>
        <v>0</v>
      </c>
      <c r="F29" s="120">
        <f t="shared" ca="1" si="9"/>
        <v>0</v>
      </c>
      <c r="G29" s="120">
        <f t="shared" ca="1" si="10"/>
        <v>0</v>
      </c>
      <c r="H29" s="62"/>
      <c r="I29" s="3"/>
      <c r="J29" s="3" t="b">
        <f t="shared" si="11"/>
        <v>0</v>
      </c>
      <c r="K29" s="3" t="b">
        <f t="shared" si="11"/>
        <v>1</v>
      </c>
      <c r="L29" s="3" t="b">
        <f t="shared" si="11"/>
        <v>0</v>
      </c>
      <c r="M29" s="3"/>
      <c r="N29" s="12">
        <v>21</v>
      </c>
      <c r="O29" s="65"/>
      <c r="P29" s="49"/>
      <c r="Q29" s="50"/>
      <c r="R29" s="51"/>
      <c r="S29" s="52"/>
      <c r="T29" s="53"/>
      <c r="U29" s="54"/>
      <c r="V29" s="62"/>
      <c r="X29" s="1">
        <f t="shared" ca="1" si="3"/>
        <v>1</v>
      </c>
      <c r="Z29" s="1">
        <f t="shared" ref="Z29:AK38" si="12">IF(Z$8=$R29,-$T29,0)+IF(Z$8=$S29,$T29,0)</f>
        <v>0</v>
      </c>
      <c r="AA29" s="1">
        <f t="shared" si="12"/>
        <v>0</v>
      </c>
      <c r="AB29" s="1">
        <f t="shared" si="12"/>
        <v>0</v>
      </c>
      <c r="AC29" s="1">
        <f t="shared" si="12"/>
        <v>0</v>
      </c>
      <c r="AD29" s="1">
        <f t="shared" si="12"/>
        <v>0</v>
      </c>
      <c r="AE29" s="1">
        <f t="shared" si="12"/>
        <v>0</v>
      </c>
      <c r="AF29" s="1">
        <f t="shared" si="12"/>
        <v>0</v>
      </c>
      <c r="AG29" s="1">
        <f t="shared" si="12"/>
        <v>0</v>
      </c>
      <c r="AH29" s="1">
        <f t="shared" si="12"/>
        <v>0</v>
      </c>
      <c r="AI29" s="1">
        <f t="shared" si="12"/>
        <v>0</v>
      </c>
      <c r="AJ29" s="1">
        <f t="shared" si="12"/>
        <v>0</v>
      </c>
      <c r="AK29" s="1">
        <f t="shared" si="12"/>
        <v>0</v>
      </c>
    </row>
    <row r="30" spans="1:37" ht="14.1" customHeight="1" x14ac:dyDescent="0.2">
      <c r="A30" s="12">
        <v>3</v>
      </c>
      <c r="B30" s="65"/>
      <c r="C30" s="115" t="str">
        <f t="shared" si="7"/>
        <v>DINH1</v>
      </c>
      <c r="D30" s="116" t="str">
        <f t="shared" si="7"/>
        <v>EM ESPÉCIE</v>
      </c>
      <c r="E30" s="117">
        <f t="shared" ca="1" si="8"/>
        <v>0</v>
      </c>
      <c r="F30" s="117">
        <f t="shared" ca="1" si="9"/>
        <v>0</v>
      </c>
      <c r="G30" s="117">
        <f t="shared" ca="1" si="10"/>
        <v>0</v>
      </c>
      <c r="H30" s="62"/>
      <c r="I30" s="3"/>
      <c r="J30" s="3" t="b">
        <f t="shared" si="11"/>
        <v>0</v>
      </c>
      <c r="K30" s="3" t="b">
        <f t="shared" si="11"/>
        <v>0</v>
      </c>
      <c r="L30" s="3" t="b">
        <f t="shared" si="11"/>
        <v>1</v>
      </c>
      <c r="M30" s="3"/>
      <c r="N30" s="16">
        <v>22</v>
      </c>
      <c r="O30" s="65"/>
      <c r="P30" s="55"/>
      <c r="Q30" s="56"/>
      <c r="R30" s="57"/>
      <c r="S30" s="58"/>
      <c r="T30" s="59"/>
      <c r="U30" s="60"/>
      <c r="V30" s="62"/>
      <c r="X30" s="1">
        <f t="shared" ca="1" si="3"/>
        <v>1</v>
      </c>
      <c r="Z30" s="1">
        <f t="shared" si="12"/>
        <v>0</v>
      </c>
      <c r="AA30" s="1">
        <f t="shared" si="12"/>
        <v>0</v>
      </c>
      <c r="AB30" s="1">
        <f t="shared" si="12"/>
        <v>0</v>
      </c>
      <c r="AC30" s="1">
        <f t="shared" si="12"/>
        <v>0</v>
      </c>
      <c r="AD30" s="1">
        <f t="shared" si="12"/>
        <v>0</v>
      </c>
      <c r="AE30" s="1">
        <f t="shared" si="12"/>
        <v>0</v>
      </c>
      <c r="AF30" s="1">
        <f t="shared" si="12"/>
        <v>0</v>
      </c>
      <c r="AG30" s="1">
        <f t="shared" si="12"/>
        <v>0</v>
      </c>
      <c r="AH30" s="1">
        <f t="shared" si="12"/>
        <v>0</v>
      </c>
      <c r="AI30" s="1">
        <f t="shared" si="12"/>
        <v>0</v>
      </c>
      <c r="AJ30" s="1">
        <f t="shared" si="12"/>
        <v>0</v>
      </c>
      <c r="AK30" s="1">
        <f t="shared" si="12"/>
        <v>0</v>
      </c>
    </row>
    <row r="31" spans="1:37" ht="14.1" customHeight="1" x14ac:dyDescent="0.2">
      <c r="A31" s="16">
        <v>4</v>
      </c>
      <c r="B31" s="65"/>
      <c r="C31" s="118" t="str">
        <f t="shared" si="7"/>
        <v>CRED1</v>
      </c>
      <c r="D31" s="119" t="str">
        <f t="shared" si="7"/>
        <v>CARTÃO DE CRÉDITO 1</v>
      </c>
      <c r="E31" s="120">
        <f t="shared" ca="1" si="8"/>
        <v>0</v>
      </c>
      <c r="F31" s="120">
        <f t="shared" ca="1" si="9"/>
        <v>0</v>
      </c>
      <c r="G31" s="120">
        <f t="shared" ca="1" si="10"/>
        <v>0</v>
      </c>
      <c r="H31" s="62"/>
      <c r="I31" s="3"/>
      <c r="J31" s="3" t="b">
        <f t="shared" si="11"/>
        <v>0</v>
      </c>
      <c r="K31" s="3" t="b">
        <f t="shared" si="11"/>
        <v>0</v>
      </c>
      <c r="L31" s="3" t="b">
        <f t="shared" si="11"/>
        <v>0</v>
      </c>
      <c r="M31" s="3"/>
      <c r="N31" s="12">
        <v>23</v>
      </c>
      <c r="O31" s="65"/>
      <c r="P31" s="49"/>
      <c r="Q31" s="50"/>
      <c r="R31" s="51"/>
      <c r="S31" s="52"/>
      <c r="T31" s="53"/>
      <c r="U31" s="54"/>
      <c r="V31" s="62"/>
      <c r="X31" s="1">
        <f t="shared" ca="1" si="3"/>
        <v>1</v>
      </c>
      <c r="Z31" s="1">
        <f t="shared" si="12"/>
        <v>0</v>
      </c>
      <c r="AA31" s="1">
        <f t="shared" si="12"/>
        <v>0</v>
      </c>
      <c r="AB31" s="1">
        <f t="shared" si="12"/>
        <v>0</v>
      </c>
      <c r="AC31" s="1">
        <f t="shared" si="12"/>
        <v>0</v>
      </c>
      <c r="AD31" s="1">
        <f t="shared" si="12"/>
        <v>0</v>
      </c>
      <c r="AE31" s="1">
        <f t="shared" si="12"/>
        <v>0</v>
      </c>
      <c r="AF31" s="1">
        <f t="shared" si="12"/>
        <v>0</v>
      </c>
      <c r="AG31" s="1">
        <f t="shared" si="12"/>
        <v>0</v>
      </c>
      <c r="AH31" s="1">
        <f t="shared" si="12"/>
        <v>0</v>
      </c>
      <c r="AI31" s="1">
        <f t="shared" si="12"/>
        <v>0</v>
      </c>
      <c r="AJ31" s="1">
        <f t="shared" si="12"/>
        <v>0</v>
      </c>
      <c r="AK31" s="1">
        <f t="shared" si="12"/>
        <v>0</v>
      </c>
    </row>
    <row r="32" spans="1:37" ht="14.1" customHeight="1" x14ac:dyDescent="0.2">
      <c r="A32" s="12">
        <v>5</v>
      </c>
      <c r="B32" s="65"/>
      <c r="C32" s="115" t="str">
        <f t="shared" si="7"/>
        <v>---</v>
      </c>
      <c r="D32" s="116" t="str">
        <f t="shared" si="7"/>
        <v/>
      </c>
      <c r="E32" s="117">
        <f t="shared" ca="1" si="8"/>
        <v>0</v>
      </c>
      <c r="F32" s="117">
        <f t="shared" ca="1" si="9"/>
        <v>0</v>
      </c>
      <c r="G32" s="117">
        <f t="shared" ca="1" si="10"/>
        <v>0</v>
      </c>
      <c r="H32" s="62"/>
      <c r="I32" s="3"/>
      <c r="J32" s="3" t="b">
        <f t="shared" si="11"/>
        <v>0</v>
      </c>
      <c r="K32" s="3" t="b">
        <f t="shared" si="11"/>
        <v>0</v>
      </c>
      <c r="L32" s="3" t="b">
        <f t="shared" si="11"/>
        <v>0</v>
      </c>
      <c r="M32" s="3"/>
      <c r="N32" s="16">
        <v>24</v>
      </c>
      <c r="O32" s="65"/>
      <c r="P32" s="55"/>
      <c r="Q32" s="56"/>
      <c r="R32" s="57"/>
      <c r="S32" s="58"/>
      <c r="T32" s="59"/>
      <c r="U32" s="60"/>
      <c r="V32" s="62"/>
      <c r="X32" s="1">
        <f t="shared" ca="1" si="3"/>
        <v>1</v>
      </c>
      <c r="Z32" s="1">
        <f t="shared" si="12"/>
        <v>0</v>
      </c>
      <c r="AA32" s="1">
        <f t="shared" si="12"/>
        <v>0</v>
      </c>
      <c r="AB32" s="1">
        <f t="shared" si="12"/>
        <v>0</v>
      </c>
      <c r="AC32" s="1">
        <f t="shared" si="12"/>
        <v>0</v>
      </c>
      <c r="AD32" s="1">
        <f t="shared" si="12"/>
        <v>0</v>
      </c>
      <c r="AE32" s="1">
        <f t="shared" si="12"/>
        <v>0</v>
      </c>
      <c r="AF32" s="1">
        <f t="shared" si="12"/>
        <v>0</v>
      </c>
      <c r="AG32" s="1">
        <f t="shared" si="12"/>
        <v>0</v>
      </c>
      <c r="AH32" s="1">
        <f t="shared" si="12"/>
        <v>0</v>
      </c>
      <c r="AI32" s="1">
        <f t="shared" si="12"/>
        <v>0</v>
      </c>
      <c r="AJ32" s="1">
        <f t="shared" si="12"/>
        <v>0</v>
      </c>
      <c r="AK32" s="1">
        <f t="shared" si="12"/>
        <v>0</v>
      </c>
    </row>
    <row r="33" spans="1:37" ht="14.1" customHeight="1" x14ac:dyDescent="0.2">
      <c r="A33" s="16">
        <v>6</v>
      </c>
      <c r="B33" s="65"/>
      <c r="C33" s="118" t="str">
        <f t="shared" si="7"/>
        <v>---</v>
      </c>
      <c r="D33" s="119" t="str">
        <f t="shared" si="7"/>
        <v/>
      </c>
      <c r="E33" s="120">
        <f t="shared" ca="1" si="8"/>
        <v>0</v>
      </c>
      <c r="F33" s="120">
        <f t="shared" ca="1" si="9"/>
        <v>0</v>
      </c>
      <c r="G33" s="120">
        <f t="shared" ca="1" si="10"/>
        <v>0</v>
      </c>
      <c r="H33" s="62"/>
      <c r="I33" s="3"/>
      <c r="J33" s="3" t="b">
        <f t="shared" si="11"/>
        <v>0</v>
      </c>
      <c r="K33" s="3" t="b">
        <f t="shared" si="11"/>
        <v>0</v>
      </c>
      <c r="L33" s="3" t="b">
        <f t="shared" si="11"/>
        <v>0</v>
      </c>
      <c r="M33" s="3"/>
      <c r="N33" s="12">
        <v>25</v>
      </c>
      <c r="O33" s="65"/>
      <c r="P33" s="49"/>
      <c r="Q33" s="50"/>
      <c r="R33" s="51"/>
      <c r="S33" s="52"/>
      <c r="T33" s="53"/>
      <c r="U33" s="54"/>
      <c r="V33" s="62"/>
      <c r="X33" s="1">
        <f t="shared" ca="1" si="3"/>
        <v>1</v>
      </c>
      <c r="Z33" s="1">
        <f t="shared" si="12"/>
        <v>0</v>
      </c>
      <c r="AA33" s="1">
        <f t="shared" si="12"/>
        <v>0</v>
      </c>
      <c r="AB33" s="1">
        <f t="shared" si="12"/>
        <v>0</v>
      </c>
      <c r="AC33" s="1">
        <f t="shared" si="12"/>
        <v>0</v>
      </c>
      <c r="AD33" s="1">
        <f t="shared" si="12"/>
        <v>0</v>
      </c>
      <c r="AE33" s="1">
        <f t="shared" si="12"/>
        <v>0</v>
      </c>
      <c r="AF33" s="1">
        <f t="shared" si="12"/>
        <v>0</v>
      </c>
      <c r="AG33" s="1">
        <f t="shared" si="12"/>
        <v>0</v>
      </c>
      <c r="AH33" s="1">
        <f t="shared" si="12"/>
        <v>0</v>
      </c>
      <c r="AI33" s="1">
        <f t="shared" si="12"/>
        <v>0</v>
      </c>
      <c r="AJ33" s="1">
        <f t="shared" si="12"/>
        <v>0</v>
      </c>
      <c r="AK33" s="1">
        <f t="shared" si="12"/>
        <v>0</v>
      </c>
    </row>
    <row r="34" spans="1:37" ht="14.1" customHeight="1" x14ac:dyDescent="0.2">
      <c r="A34" s="12">
        <v>7</v>
      </c>
      <c r="B34" s="65"/>
      <c r="C34" s="115" t="str">
        <f t="shared" si="7"/>
        <v>---</v>
      </c>
      <c r="D34" s="116" t="str">
        <f t="shared" si="7"/>
        <v/>
      </c>
      <c r="E34" s="117">
        <f t="shared" ca="1" si="8"/>
        <v>0</v>
      </c>
      <c r="F34" s="117">
        <f t="shared" ca="1" si="9"/>
        <v>0</v>
      </c>
      <c r="G34" s="117">
        <f t="shared" ca="1" si="10"/>
        <v>0</v>
      </c>
      <c r="H34" s="62"/>
      <c r="I34" s="3"/>
      <c r="J34" s="3" t="b">
        <f t="shared" si="11"/>
        <v>0</v>
      </c>
      <c r="K34" s="3" t="b">
        <f t="shared" si="11"/>
        <v>0</v>
      </c>
      <c r="L34" s="3" t="b">
        <f t="shared" si="11"/>
        <v>0</v>
      </c>
      <c r="M34" s="3"/>
      <c r="N34" s="16">
        <v>26</v>
      </c>
      <c r="O34" s="65"/>
      <c r="P34" s="55"/>
      <c r="Q34" s="56"/>
      <c r="R34" s="57"/>
      <c r="S34" s="58"/>
      <c r="T34" s="59"/>
      <c r="U34" s="60"/>
      <c r="V34" s="62"/>
      <c r="X34" s="1">
        <f t="shared" ca="1" si="3"/>
        <v>1</v>
      </c>
      <c r="Z34" s="1">
        <f t="shared" si="12"/>
        <v>0</v>
      </c>
      <c r="AA34" s="1">
        <f t="shared" si="12"/>
        <v>0</v>
      </c>
      <c r="AB34" s="1">
        <f t="shared" si="12"/>
        <v>0</v>
      </c>
      <c r="AC34" s="1">
        <f t="shared" si="12"/>
        <v>0</v>
      </c>
      <c r="AD34" s="1">
        <f t="shared" si="12"/>
        <v>0</v>
      </c>
      <c r="AE34" s="1">
        <f t="shared" si="12"/>
        <v>0</v>
      </c>
      <c r="AF34" s="1">
        <f t="shared" si="12"/>
        <v>0</v>
      </c>
      <c r="AG34" s="1">
        <f t="shared" si="12"/>
        <v>0</v>
      </c>
      <c r="AH34" s="1">
        <f t="shared" si="12"/>
        <v>0</v>
      </c>
      <c r="AI34" s="1">
        <f t="shared" si="12"/>
        <v>0</v>
      </c>
      <c r="AJ34" s="1">
        <f t="shared" si="12"/>
        <v>0</v>
      </c>
      <c r="AK34" s="1">
        <f t="shared" si="12"/>
        <v>0</v>
      </c>
    </row>
    <row r="35" spans="1:37" ht="14.1" customHeight="1" x14ac:dyDescent="0.2">
      <c r="A35" s="16">
        <v>8</v>
      </c>
      <c r="B35" s="65"/>
      <c r="C35" s="118" t="str">
        <f t="shared" si="7"/>
        <v>---</v>
      </c>
      <c r="D35" s="119" t="str">
        <f t="shared" si="7"/>
        <v/>
      </c>
      <c r="E35" s="120">
        <f t="shared" ca="1" si="8"/>
        <v>0</v>
      </c>
      <c r="F35" s="120">
        <f t="shared" ca="1" si="9"/>
        <v>0</v>
      </c>
      <c r="G35" s="120">
        <f t="shared" ca="1" si="10"/>
        <v>0</v>
      </c>
      <c r="H35" s="62"/>
      <c r="I35" s="3"/>
      <c r="J35" s="3" t="b">
        <f t="shared" si="11"/>
        <v>0</v>
      </c>
      <c r="K35" s="3" t="b">
        <f t="shared" si="11"/>
        <v>0</v>
      </c>
      <c r="L35" s="3" t="b">
        <f t="shared" si="11"/>
        <v>0</v>
      </c>
      <c r="M35" s="3"/>
      <c r="N35" s="12">
        <v>27</v>
      </c>
      <c r="O35" s="65"/>
      <c r="P35" s="49"/>
      <c r="Q35" s="50"/>
      <c r="R35" s="51"/>
      <c r="S35" s="52"/>
      <c r="T35" s="53"/>
      <c r="U35" s="54"/>
      <c r="V35" s="62"/>
      <c r="X35" s="1">
        <f t="shared" ca="1" si="3"/>
        <v>1</v>
      </c>
      <c r="Z35" s="1">
        <f t="shared" si="12"/>
        <v>0</v>
      </c>
      <c r="AA35" s="1">
        <f t="shared" si="12"/>
        <v>0</v>
      </c>
      <c r="AB35" s="1">
        <f t="shared" si="12"/>
        <v>0</v>
      </c>
      <c r="AC35" s="1">
        <f t="shared" si="12"/>
        <v>0</v>
      </c>
      <c r="AD35" s="1">
        <f t="shared" si="12"/>
        <v>0</v>
      </c>
      <c r="AE35" s="1">
        <f t="shared" si="12"/>
        <v>0</v>
      </c>
      <c r="AF35" s="1">
        <f t="shared" si="12"/>
        <v>0</v>
      </c>
      <c r="AG35" s="1">
        <f t="shared" si="12"/>
        <v>0</v>
      </c>
      <c r="AH35" s="1">
        <f t="shared" si="12"/>
        <v>0</v>
      </c>
      <c r="AI35" s="1">
        <f t="shared" si="12"/>
        <v>0</v>
      </c>
      <c r="AJ35" s="1">
        <f t="shared" si="12"/>
        <v>0</v>
      </c>
      <c r="AK35" s="1">
        <f t="shared" si="12"/>
        <v>0</v>
      </c>
    </row>
    <row r="36" spans="1:37" ht="14.1" customHeight="1" x14ac:dyDescent="0.2">
      <c r="A36" s="12">
        <v>9</v>
      </c>
      <c r="B36" s="65"/>
      <c r="C36" s="115" t="str">
        <f t="shared" si="7"/>
        <v>---</v>
      </c>
      <c r="D36" s="116" t="str">
        <f t="shared" si="7"/>
        <v/>
      </c>
      <c r="E36" s="117">
        <f t="shared" ca="1" si="8"/>
        <v>0</v>
      </c>
      <c r="F36" s="117">
        <f t="shared" ca="1" si="9"/>
        <v>0</v>
      </c>
      <c r="G36" s="117">
        <f t="shared" ca="1" si="10"/>
        <v>0</v>
      </c>
      <c r="H36" s="62"/>
      <c r="I36" s="3"/>
      <c r="J36" s="3" t="b">
        <f t="shared" si="11"/>
        <v>0</v>
      </c>
      <c r="K36" s="3" t="b">
        <f t="shared" si="11"/>
        <v>0</v>
      </c>
      <c r="L36" s="3" t="b">
        <f t="shared" si="11"/>
        <v>0</v>
      </c>
      <c r="M36" s="3"/>
      <c r="N36" s="16">
        <v>28</v>
      </c>
      <c r="O36" s="65"/>
      <c r="P36" s="55"/>
      <c r="Q36" s="56"/>
      <c r="R36" s="57"/>
      <c r="S36" s="58"/>
      <c r="T36" s="59"/>
      <c r="U36" s="60"/>
      <c r="V36" s="62"/>
      <c r="X36" s="1">
        <f t="shared" ca="1" si="3"/>
        <v>1</v>
      </c>
      <c r="Z36" s="1">
        <f t="shared" si="12"/>
        <v>0</v>
      </c>
      <c r="AA36" s="1">
        <f t="shared" si="12"/>
        <v>0</v>
      </c>
      <c r="AB36" s="1">
        <f t="shared" si="12"/>
        <v>0</v>
      </c>
      <c r="AC36" s="1">
        <f t="shared" si="12"/>
        <v>0</v>
      </c>
      <c r="AD36" s="1">
        <f t="shared" si="12"/>
        <v>0</v>
      </c>
      <c r="AE36" s="1">
        <f t="shared" si="12"/>
        <v>0</v>
      </c>
      <c r="AF36" s="1">
        <f t="shared" si="12"/>
        <v>0</v>
      </c>
      <c r="AG36" s="1">
        <f t="shared" si="12"/>
        <v>0</v>
      </c>
      <c r="AH36" s="1">
        <f t="shared" si="12"/>
        <v>0</v>
      </c>
      <c r="AI36" s="1">
        <f t="shared" si="12"/>
        <v>0</v>
      </c>
      <c r="AJ36" s="1">
        <f t="shared" si="12"/>
        <v>0</v>
      </c>
      <c r="AK36" s="1">
        <f t="shared" si="12"/>
        <v>0</v>
      </c>
    </row>
    <row r="37" spans="1:37" ht="14.1" customHeight="1" x14ac:dyDescent="0.2">
      <c r="A37" s="16">
        <v>10</v>
      </c>
      <c r="B37" s="65"/>
      <c r="C37" s="118" t="str">
        <f t="shared" si="7"/>
        <v>---</v>
      </c>
      <c r="D37" s="119" t="str">
        <f t="shared" si="7"/>
        <v/>
      </c>
      <c r="E37" s="120">
        <f t="shared" ca="1" si="8"/>
        <v>0</v>
      </c>
      <c r="F37" s="120">
        <f t="shared" ca="1" si="9"/>
        <v>0</v>
      </c>
      <c r="G37" s="120">
        <f t="shared" ca="1" si="10"/>
        <v>0</v>
      </c>
      <c r="H37" s="62"/>
      <c r="I37" s="3"/>
      <c r="J37" s="3" t="b">
        <f t="shared" si="11"/>
        <v>0</v>
      </c>
      <c r="K37" s="3" t="b">
        <f t="shared" si="11"/>
        <v>0</v>
      </c>
      <c r="L37" s="3" t="b">
        <f t="shared" si="11"/>
        <v>0</v>
      </c>
      <c r="M37" s="3"/>
      <c r="N37" s="12">
        <v>29</v>
      </c>
      <c r="O37" s="65"/>
      <c r="P37" s="49"/>
      <c r="Q37" s="50"/>
      <c r="R37" s="51"/>
      <c r="S37" s="52"/>
      <c r="T37" s="53"/>
      <c r="U37" s="54"/>
      <c r="V37" s="62"/>
      <c r="X37" s="1">
        <f t="shared" ca="1" si="3"/>
        <v>1</v>
      </c>
      <c r="Z37" s="1">
        <f t="shared" si="12"/>
        <v>0</v>
      </c>
      <c r="AA37" s="1">
        <f t="shared" si="12"/>
        <v>0</v>
      </c>
      <c r="AB37" s="1">
        <f t="shared" si="12"/>
        <v>0</v>
      </c>
      <c r="AC37" s="1">
        <f t="shared" si="12"/>
        <v>0</v>
      </c>
      <c r="AD37" s="1">
        <f t="shared" si="12"/>
        <v>0</v>
      </c>
      <c r="AE37" s="1">
        <f t="shared" si="12"/>
        <v>0</v>
      </c>
      <c r="AF37" s="1">
        <f t="shared" si="12"/>
        <v>0</v>
      </c>
      <c r="AG37" s="1">
        <f t="shared" si="12"/>
        <v>0</v>
      </c>
      <c r="AH37" s="1">
        <f t="shared" si="12"/>
        <v>0</v>
      </c>
      <c r="AI37" s="1">
        <f t="shared" si="12"/>
        <v>0</v>
      </c>
      <c r="AJ37" s="1">
        <f t="shared" si="12"/>
        <v>0</v>
      </c>
      <c r="AK37" s="1">
        <f t="shared" si="12"/>
        <v>0</v>
      </c>
    </row>
    <row r="38" spans="1:37" ht="14.1" customHeight="1" x14ac:dyDescent="0.2">
      <c r="A38" s="12">
        <v>11</v>
      </c>
      <c r="B38" s="65"/>
      <c r="C38" s="115" t="str">
        <f t="shared" si="7"/>
        <v>---</v>
      </c>
      <c r="D38" s="116" t="str">
        <f t="shared" si="7"/>
        <v/>
      </c>
      <c r="E38" s="117">
        <f t="shared" ca="1" si="8"/>
        <v>0</v>
      </c>
      <c r="F38" s="117">
        <f t="shared" ca="1" si="9"/>
        <v>0</v>
      </c>
      <c r="G38" s="117">
        <f t="shared" ca="1" si="10"/>
        <v>0</v>
      </c>
      <c r="H38" s="62"/>
      <c r="I38" s="3"/>
      <c r="J38" s="3" t="b">
        <f t="shared" si="11"/>
        <v>0</v>
      </c>
      <c r="K38" s="3" t="b">
        <f t="shared" si="11"/>
        <v>0</v>
      </c>
      <c r="L38" s="3" t="b">
        <f t="shared" si="11"/>
        <v>0</v>
      </c>
      <c r="M38" s="3"/>
      <c r="N38" s="16">
        <v>30</v>
      </c>
      <c r="O38" s="65"/>
      <c r="P38" s="55"/>
      <c r="Q38" s="56"/>
      <c r="R38" s="57"/>
      <c r="S38" s="58"/>
      <c r="T38" s="59"/>
      <c r="U38" s="60"/>
      <c r="V38" s="62"/>
      <c r="X38" s="1">
        <f t="shared" ca="1" si="3"/>
        <v>1</v>
      </c>
      <c r="Z38" s="1">
        <f t="shared" si="12"/>
        <v>0</v>
      </c>
      <c r="AA38" s="1">
        <f t="shared" si="12"/>
        <v>0</v>
      </c>
      <c r="AB38" s="1">
        <f t="shared" si="12"/>
        <v>0</v>
      </c>
      <c r="AC38" s="1">
        <f t="shared" si="12"/>
        <v>0</v>
      </c>
      <c r="AD38" s="1">
        <f t="shared" si="12"/>
        <v>0</v>
      </c>
      <c r="AE38" s="1">
        <f t="shared" si="12"/>
        <v>0</v>
      </c>
      <c r="AF38" s="1">
        <f t="shared" si="12"/>
        <v>0</v>
      </c>
      <c r="AG38" s="1">
        <f t="shared" si="12"/>
        <v>0</v>
      </c>
      <c r="AH38" s="1">
        <f t="shared" si="12"/>
        <v>0</v>
      </c>
      <c r="AI38" s="1">
        <f t="shared" si="12"/>
        <v>0</v>
      </c>
      <c r="AJ38" s="1">
        <f t="shared" si="12"/>
        <v>0</v>
      </c>
      <c r="AK38" s="1">
        <f t="shared" si="12"/>
        <v>0</v>
      </c>
    </row>
    <row r="39" spans="1:37" ht="14.1" customHeight="1" x14ac:dyDescent="0.2">
      <c r="A39" s="16">
        <v>12</v>
      </c>
      <c r="B39" s="66"/>
      <c r="C39" s="121" t="str">
        <f t="shared" si="7"/>
        <v>---</v>
      </c>
      <c r="D39" s="122" t="str">
        <f t="shared" si="7"/>
        <v/>
      </c>
      <c r="E39" s="123">
        <f t="shared" ca="1" si="8"/>
        <v>0</v>
      </c>
      <c r="F39" s="123">
        <f t="shared" ca="1" si="9"/>
        <v>0</v>
      </c>
      <c r="G39" s="123">
        <f t="shared" ca="1" si="10"/>
        <v>0</v>
      </c>
      <c r="H39" s="63"/>
      <c r="I39" s="3"/>
      <c r="J39" s="3" t="b">
        <f t="shared" si="11"/>
        <v>0</v>
      </c>
      <c r="K39" s="3" t="b">
        <f t="shared" si="11"/>
        <v>0</v>
      </c>
      <c r="L39" s="3" t="b">
        <f t="shared" si="11"/>
        <v>0</v>
      </c>
      <c r="M39" s="3"/>
      <c r="N39" s="12">
        <v>31</v>
      </c>
      <c r="O39" s="65"/>
      <c r="P39" s="49"/>
      <c r="Q39" s="50"/>
      <c r="R39" s="51"/>
      <c r="S39" s="52"/>
      <c r="T39" s="53"/>
      <c r="U39" s="54"/>
      <c r="V39" s="62"/>
      <c r="X39" s="1">
        <f t="shared" ca="1" si="3"/>
        <v>1</v>
      </c>
      <c r="Z39" s="1">
        <f t="shared" ref="Z39:AK48" si="13">IF(Z$8=$R39,-$T39,0)+IF(Z$8=$S39,$T39,0)</f>
        <v>0</v>
      </c>
      <c r="AA39" s="1">
        <f t="shared" si="13"/>
        <v>0</v>
      </c>
      <c r="AB39" s="1">
        <f t="shared" si="13"/>
        <v>0</v>
      </c>
      <c r="AC39" s="1">
        <f t="shared" si="13"/>
        <v>0</v>
      </c>
      <c r="AD39" s="1">
        <f t="shared" si="13"/>
        <v>0</v>
      </c>
      <c r="AE39" s="1">
        <f t="shared" si="13"/>
        <v>0</v>
      </c>
      <c r="AF39" s="1">
        <f t="shared" si="13"/>
        <v>0</v>
      </c>
      <c r="AG39" s="1">
        <f t="shared" si="13"/>
        <v>0</v>
      </c>
      <c r="AH39" s="1">
        <f t="shared" si="13"/>
        <v>0</v>
      </c>
      <c r="AI39" s="1">
        <f t="shared" si="13"/>
        <v>0</v>
      </c>
      <c r="AJ39" s="1">
        <f t="shared" si="13"/>
        <v>0</v>
      </c>
      <c r="AK39" s="1">
        <f t="shared" si="13"/>
        <v>0</v>
      </c>
    </row>
    <row r="40" spans="1:37" ht="14.1" customHeight="1" x14ac:dyDescent="0.2">
      <c r="A40" s="12"/>
      <c r="B40" s="124"/>
      <c r="C40" s="125"/>
      <c r="D40" s="126"/>
      <c r="E40" s="126"/>
      <c r="F40" s="126"/>
      <c r="G40" s="126"/>
      <c r="H40" s="127"/>
      <c r="I40" s="3"/>
      <c r="J40" s="3"/>
      <c r="K40" s="3"/>
      <c r="L40" s="3"/>
      <c r="M40" s="3"/>
      <c r="N40" s="16">
        <v>32</v>
      </c>
      <c r="O40" s="65"/>
      <c r="P40" s="55"/>
      <c r="Q40" s="56"/>
      <c r="R40" s="57"/>
      <c r="S40" s="58"/>
      <c r="T40" s="59"/>
      <c r="U40" s="60"/>
      <c r="V40" s="62"/>
      <c r="X40" s="1">
        <f t="shared" ca="1" si="3"/>
        <v>1</v>
      </c>
      <c r="Z40" s="1">
        <f t="shared" si="13"/>
        <v>0</v>
      </c>
      <c r="AA40" s="1">
        <f t="shared" si="13"/>
        <v>0</v>
      </c>
      <c r="AB40" s="1">
        <f t="shared" si="13"/>
        <v>0</v>
      </c>
      <c r="AC40" s="1">
        <f t="shared" si="13"/>
        <v>0</v>
      </c>
      <c r="AD40" s="1">
        <f t="shared" si="13"/>
        <v>0</v>
      </c>
      <c r="AE40" s="1">
        <f t="shared" si="13"/>
        <v>0</v>
      </c>
      <c r="AF40" s="1">
        <f t="shared" si="13"/>
        <v>0</v>
      </c>
      <c r="AG40" s="1">
        <f t="shared" si="13"/>
        <v>0</v>
      </c>
      <c r="AH40" s="1">
        <f t="shared" si="13"/>
        <v>0</v>
      </c>
      <c r="AI40" s="1">
        <f t="shared" si="13"/>
        <v>0</v>
      </c>
      <c r="AJ40" s="1">
        <f t="shared" si="13"/>
        <v>0</v>
      </c>
      <c r="AK40" s="1">
        <f t="shared" si="13"/>
        <v>0</v>
      </c>
    </row>
    <row r="41" spans="1:37" ht="14.1" customHeight="1" x14ac:dyDescent="0.2">
      <c r="I41" s="3"/>
      <c r="J41" s="3"/>
      <c r="K41" s="3"/>
      <c r="L41" s="3"/>
      <c r="M41" s="3"/>
      <c r="N41" s="12">
        <v>33</v>
      </c>
      <c r="O41" s="65"/>
      <c r="P41" s="49"/>
      <c r="Q41" s="50"/>
      <c r="R41" s="51"/>
      <c r="S41" s="52"/>
      <c r="T41" s="53"/>
      <c r="U41" s="54"/>
      <c r="V41" s="62"/>
      <c r="X41" s="1">
        <f t="shared" ref="X41:X72" ca="1" si="14">IF(P41&lt;NOW(),1,0)</f>
        <v>1</v>
      </c>
      <c r="Z41" s="1">
        <f t="shared" si="13"/>
        <v>0</v>
      </c>
      <c r="AA41" s="1">
        <f t="shared" si="13"/>
        <v>0</v>
      </c>
      <c r="AB41" s="1">
        <f t="shared" si="13"/>
        <v>0</v>
      </c>
      <c r="AC41" s="1">
        <f t="shared" si="13"/>
        <v>0</v>
      </c>
      <c r="AD41" s="1">
        <f t="shared" si="13"/>
        <v>0</v>
      </c>
      <c r="AE41" s="1">
        <f t="shared" si="13"/>
        <v>0</v>
      </c>
      <c r="AF41" s="1">
        <f t="shared" si="13"/>
        <v>0</v>
      </c>
      <c r="AG41" s="1">
        <f t="shared" si="13"/>
        <v>0</v>
      </c>
      <c r="AH41" s="1">
        <f t="shared" si="13"/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</row>
    <row r="42" spans="1:37" ht="14.1" customHeight="1" x14ac:dyDescent="0.2">
      <c r="B42" s="91"/>
      <c r="C42" s="92"/>
      <c r="D42" s="93"/>
      <c r="E42" s="93"/>
      <c r="F42" s="93"/>
      <c r="G42" s="93"/>
      <c r="H42" s="94"/>
      <c r="I42" s="3"/>
      <c r="J42" s="3"/>
      <c r="K42" s="3"/>
      <c r="L42" s="3"/>
      <c r="M42" s="3"/>
      <c r="N42" s="16">
        <v>34</v>
      </c>
      <c r="O42" s="65"/>
      <c r="P42" s="55"/>
      <c r="Q42" s="56"/>
      <c r="R42" s="57"/>
      <c r="S42" s="58"/>
      <c r="T42" s="59"/>
      <c r="U42" s="60"/>
      <c r="V42" s="62"/>
      <c r="X42" s="1">
        <f t="shared" ca="1" si="14"/>
        <v>1</v>
      </c>
      <c r="Z42" s="1">
        <f t="shared" si="13"/>
        <v>0</v>
      </c>
      <c r="AA42" s="1">
        <f t="shared" si="13"/>
        <v>0</v>
      </c>
      <c r="AB42" s="1">
        <f t="shared" si="13"/>
        <v>0</v>
      </c>
      <c r="AC42" s="1">
        <f t="shared" si="13"/>
        <v>0</v>
      </c>
      <c r="AD42" s="1">
        <f t="shared" si="13"/>
        <v>0</v>
      </c>
      <c r="AE42" s="1">
        <f t="shared" si="13"/>
        <v>0</v>
      </c>
      <c r="AF42" s="1">
        <f t="shared" si="13"/>
        <v>0</v>
      </c>
      <c r="AG42" s="1">
        <f t="shared" si="13"/>
        <v>0</v>
      </c>
      <c r="AH42" s="1">
        <f t="shared" si="13"/>
        <v>0</v>
      </c>
      <c r="AI42" s="1">
        <f t="shared" si="13"/>
        <v>0</v>
      </c>
      <c r="AJ42" s="1">
        <f t="shared" si="13"/>
        <v>0</v>
      </c>
      <c r="AK42" s="1">
        <f t="shared" si="13"/>
        <v>0</v>
      </c>
    </row>
    <row r="43" spans="1:37" ht="14.1" customHeight="1" x14ac:dyDescent="0.2">
      <c r="B43" s="95"/>
      <c r="C43" s="286" t="s">
        <v>106</v>
      </c>
      <c r="D43" s="286"/>
      <c r="E43" s="286"/>
      <c r="F43" s="286"/>
      <c r="G43" s="286"/>
      <c r="H43" s="96"/>
      <c r="I43" s="3"/>
      <c r="J43" s="3"/>
      <c r="K43" s="3"/>
      <c r="L43" s="3"/>
      <c r="M43" s="3"/>
      <c r="N43" s="12">
        <v>35</v>
      </c>
      <c r="O43" s="65"/>
      <c r="P43" s="49"/>
      <c r="Q43" s="50"/>
      <c r="R43" s="51"/>
      <c r="S43" s="52"/>
      <c r="T43" s="53"/>
      <c r="U43" s="54"/>
      <c r="V43" s="62"/>
      <c r="X43" s="1">
        <f t="shared" ca="1" si="14"/>
        <v>1</v>
      </c>
      <c r="Z43" s="1">
        <f t="shared" si="13"/>
        <v>0</v>
      </c>
      <c r="AA43" s="1">
        <f t="shared" si="13"/>
        <v>0</v>
      </c>
      <c r="AB43" s="1">
        <f t="shared" si="13"/>
        <v>0</v>
      </c>
      <c r="AC43" s="1">
        <f t="shared" si="13"/>
        <v>0</v>
      </c>
      <c r="AD43" s="1">
        <f t="shared" si="13"/>
        <v>0</v>
      </c>
      <c r="AE43" s="1">
        <f t="shared" si="13"/>
        <v>0</v>
      </c>
      <c r="AF43" s="1">
        <f t="shared" si="13"/>
        <v>0</v>
      </c>
      <c r="AG43" s="1">
        <f t="shared" si="13"/>
        <v>0</v>
      </c>
      <c r="AH43" s="1">
        <f t="shared" si="13"/>
        <v>0</v>
      </c>
      <c r="AI43" s="1">
        <f t="shared" si="13"/>
        <v>0</v>
      </c>
      <c r="AJ43" s="1">
        <f t="shared" si="13"/>
        <v>0</v>
      </c>
      <c r="AK43" s="1">
        <f t="shared" si="13"/>
        <v>0</v>
      </c>
    </row>
    <row r="44" spans="1:37" ht="14.1" customHeight="1" x14ac:dyDescent="0.2">
      <c r="B44" s="95"/>
      <c r="C44" s="286"/>
      <c r="D44" s="286"/>
      <c r="E44" s="286"/>
      <c r="F44" s="286"/>
      <c r="G44" s="286"/>
      <c r="H44" s="96"/>
      <c r="I44" s="3"/>
      <c r="J44" s="3"/>
      <c r="K44" s="3"/>
      <c r="L44" s="3"/>
      <c r="M44" s="3"/>
      <c r="N44" s="16">
        <v>36</v>
      </c>
      <c r="O44" s="65"/>
      <c r="P44" s="55"/>
      <c r="Q44" s="56"/>
      <c r="R44" s="57"/>
      <c r="S44" s="58"/>
      <c r="T44" s="59"/>
      <c r="U44" s="60"/>
      <c r="V44" s="62"/>
      <c r="X44" s="1">
        <f t="shared" ca="1" si="14"/>
        <v>1</v>
      </c>
      <c r="Z44" s="1">
        <f t="shared" si="13"/>
        <v>0</v>
      </c>
      <c r="AA44" s="1">
        <f t="shared" si="13"/>
        <v>0</v>
      </c>
      <c r="AB44" s="1">
        <f t="shared" si="13"/>
        <v>0</v>
      </c>
      <c r="AC44" s="1">
        <f t="shared" si="13"/>
        <v>0</v>
      </c>
      <c r="AD44" s="1">
        <f t="shared" si="13"/>
        <v>0</v>
      </c>
      <c r="AE44" s="1">
        <f t="shared" si="13"/>
        <v>0</v>
      </c>
      <c r="AF44" s="1">
        <f t="shared" si="13"/>
        <v>0</v>
      </c>
      <c r="AG44" s="1">
        <f t="shared" si="13"/>
        <v>0</v>
      </c>
      <c r="AH44" s="1">
        <f t="shared" si="13"/>
        <v>0</v>
      </c>
      <c r="AI44" s="1">
        <f t="shared" si="13"/>
        <v>0</v>
      </c>
      <c r="AJ44" s="1">
        <f t="shared" si="13"/>
        <v>0</v>
      </c>
      <c r="AK44" s="1">
        <f t="shared" si="13"/>
        <v>0</v>
      </c>
    </row>
    <row r="45" spans="1:37" ht="14.1" customHeight="1" x14ac:dyDescent="0.2">
      <c r="B45" s="46"/>
      <c r="C45" s="271" t="s">
        <v>20</v>
      </c>
      <c r="D45" s="273" t="s">
        <v>5</v>
      </c>
      <c r="E45" s="275" t="s">
        <v>104</v>
      </c>
      <c r="F45" s="275" t="s">
        <v>89</v>
      </c>
      <c r="G45" s="276" t="s">
        <v>6</v>
      </c>
      <c r="H45" s="96"/>
      <c r="I45" s="3"/>
      <c r="J45" s="3"/>
      <c r="K45" s="3"/>
      <c r="L45" s="3"/>
      <c r="M45" s="3"/>
      <c r="N45" s="12">
        <v>37</v>
      </c>
      <c r="O45" s="65"/>
      <c r="P45" s="49"/>
      <c r="Q45" s="50"/>
      <c r="R45" s="51"/>
      <c r="S45" s="52"/>
      <c r="T45" s="53"/>
      <c r="U45" s="54"/>
      <c r="V45" s="62"/>
      <c r="X45" s="1">
        <f t="shared" ca="1" si="14"/>
        <v>1</v>
      </c>
      <c r="Z45" s="1">
        <f t="shared" si="13"/>
        <v>0</v>
      </c>
      <c r="AA45" s="1">
        <f t="shared" si="13"/>
        <v>0</v>
      </c>
      <c r="AB45" s="1">
        <f t="shared" si="13"/>
        <v>0</v>
      </c>
      <c r="AC45" s="1">
        <f t="shared" si="13"/>
        <v>0</v>
      </c>
      <c r="AD45" s="1">
        <f t="shared" si="13"/>
        <v>0</v>
      </c>
      <c r="AE45" s="1">
        <f t="shared" si="13"/>
        <v>0</v>
      </c>
      <c r="AF45" s="1">
        <f t="shared" si="13"/>
        <v>0</v>
      </c>
      <c r="AG45" s="1">
        <f t="shared" si="13"/>
        <v>0</v>
      </c>
      <c r="AH45" s="1">
        <f t="shared" si="13"/>
        <v>0</v>
      </c>
      <c r="AI45" s="1">
        <f t="shared" si="13"/>
        <v>0</v>
      </c>
      <c r="AJ45" s="1">
        <f t="shared" si="13"/>
        <v>0</v>
      </c>
      <c r="AK45" s="1">
        <f t="shared" si="13"/>
        <v>0</v>
      </c>
    </row>
    <row r="46" spans="1:37" ht="14.1" customHeight="1" x14ac:dyDescent="0.2">
      <c r="A46" s="3"/>
      <c r="B46" s="44"/>
      <c r="C46" s="272"/>
      <c r="D46" s="274"/>
      <c r="E46" s="99" t="s">
        <v>87</v>
      </c>
      <c r="F46" s="100" t="s">
        <v>89</v>
      </c>
      <c r="G46" s="98" t="s">
        <v>6</v>
      </c>
      <c r="H46" s="97"/>
      <c r="I46" s="3"/>
      <c r="J46" s="3"/>
      <c r="K46" s="3"/>
      <c r="L46" s="3"/>
      <c r="M46" s="3"/>
      <c r="N46" s="16">
        <v>38</v>
      </c>
      <c r="O46" s="65"/>
      <c r="P46" s="55"/>
      <c r="Q46" s="56"/>
      <c r="R46" s="57"/>
      <c r="S46" s="58"/>
      <c r="T46" s="59"/>
      <c r="U46" s="60"/>
      <c r="V46" s="62"/>
      <c r="X46" s="1">
        <f t="shared" ca="1" si="14"/>
        <v>1</v>
      </c>
      <c r="Z46" s="1">
        <f t="shared" si="13"/>
        <v>0</v>
      </c>
      <c r="AA46" s="1">
        <f t="shared" si="13"/>
        <v>0</v>
      </c>
      <c r="AB46" s="1">
        <f t="shared" si="13"/>
        <v>0</v>
      </c>
      <c r="AC46" s="1">
        <f t="shared" si="13"/>
        <v>0</v>
      </c>
      <c r="AD46" s="1">
        <f t="shared" si="13"/>
        <v>0</v>
      </c>
      <c r="AE46" s="1">
        <f t="shared" si="13"/>
        <v>0</v>
      </c>
      <c r="AF46" s="1">
        <f t="shared" si="13"/>
        <v>0</v>
      </c>
      <c r="AG46" s="1">
        <f t="shared" si="13"/>
        <v>0</v>
      </c>
      <c r="AH46" s="1">
        <f t="shared" si="13"/>
        <v>0</v>
      </c>
      <c r="AI46" s="1">
        <f t="shared" si="13"/>
        <v>0</v>
      </c>
      <c r="AJ46" s="1">
        <f t="shared" si="13"/>
        <v>0</v>
      </c>
      <c r="AK46" s="1">
        <f t="shared" si="13"/>
        <v>0</v>
      </c>
    </row>
    <row r="47" spans="1:37" ht="14.1" customHeight="1" x14ac:dyDescent="0.2">
      <c r="A47" s="12">
        <v>1</v>
      </c>
      <c r="B47" s="64"/>
      <c r="C47" s="115" t="str">
        <f>ANUAL!$C115</f>
        <v>CC</v>
      </c>
      <c r="D47" s="116" t="str">
        <f>ANUAL!$D115</f>
        <v>CONTA CORRENTE</v>
      </c>
      <c r="E47" s="117">
        <f>SUMIF($J$28:$J$39,TRUE,E$28:E$39)</f>
        <v>0</v>
      </c>
      <c r="F47" s="117">
        <f>SUMIF($J$28:$J$39,TRUE,F$28:F$39)</f>
        <v>0</v>
      </c>
      <c r="G47" s="117">
        <f>SUMIF($J$28:$J$39,TRUE,G$28:G$39)+SUMIF($J$9:$J$20,TRUE,E$9:E$20)</f>
        <v>0</v>
      </c>
      <c r="H47" s="61"/>
      <c r="N47" s="12">
        <v>39</v>
      </c>
      <c r="O47" s="65"/>
      <c r="P47" s="49"/>
      <c r="Q47" s="50"/>
      <c r="R47" s="51"/>
      <c r="S47" s="52"/>
      <c r="T47" s="53"/>
      <c r="U47" s="54"/>
      <c r="V47" s="62"/>
      <c r="X47" s="1">
        <f t="shared" ca="1" si="14"/>
        <v>1</v>
      </c>
      <c r="Z47" s="1">
        <f t="shared" si="13"/>
        <v>0</v>
      </c>
      <c r="AA47" s="1">
        <f t="shared" si="13"/>
        <v>0</v>
      </c>
      <c r="AB47" s="1">
        <f t="shared" si="13"/>
        <v>0</v>
      </c>
      <c r="AC47" s="1">
        <f t="shared" si="13"/>
        <v>0</v>
      </c>
      <c r="AD47" s="1">
        <f t="shared" si="13"/>
        <v>0</v>
      </c>
      <c r="AE47" s="1">
        <f t="shared" si="13"/>
        <v>0</v>
      </c>
      <c r="AF47" s="1">
        <f t="shared" si="13"/>
        <v>0</v>
      </c>
      <c r="AG47" s="1">
        <f t="shared" si="13"/>
        <v>0</v>
      </c>
      <c r="AH47" s="1">
        <f t="shared" si="13"/>
        <v>0</v>
      </c>
      <c r="AI47" s="1">
        <f t="shared" si="13"/>
        <v>0</v>
      </c>
      <c r="AJ47" s="1">
        <f t="shared" si="13"/>
        <v>0</v>
      </c>
      <c r="AK47" s="1">
        <f t="shared" si="13"/>
        <v>0</v>
      </c>
    </row>
    <row r="48" spans="1:37" ht="14.1" customHeight="1" x14ac:dyDescent="0.2">
      <c r="A48" s="16">
        <v>2</v>
      </c>
      <c r="B48" s="65"/>
      <c r="C48" s="118" t="str">
        <f>ANUAL!$C116</f>
        <v>INV</v>
      </c>
      <c r="D48" s="119" t="str">
        <f>ANUAL!$D116</f>
        <v>APLICAÇÕES DE INVESTIMENTO</v>
      </c>
      <c r="E48" s="120">
        <f ca="1">SUMIF($K$28:$K$39,TRUE,E$28:E$39)</f>
        <v>0</v>
      </c>
      <c r="F48" s="120">
        <f ca="1">SUMIF($K$28:$K$39,TRUE,F$28:F$39)</f>
        <v>0</v>
      </c>
      <c r="G48" s="120">
        <f ca="1">SUMIF($K$28:$K$39,TRUE,G$28:G$39)+SUMIF($K$9:$K$20,TRUE,E$9:E$20)</f>
        <v>0</v>
      </c>
      <c r="H48" s="62"/>
      <c r="N48" s="16">
        <v>40</v>
      </c>
      <c r="O48" s="65"/>
      <c r="P48" s="55"/>
      <c r="Q48" s="56"/>
      <c r="R48" s="57"/>
      <c r="S48" s="58"/>
      <c r="T48" s="59"/>
      <c r="U48" s="60"/>
      <c r="V48" s="62"/>
      <c r="X48" s="1">
        <f t="shared" ca="1" si="14"/>
        <v>1</v>
      </c>
      <c r="Z48" s="1">
        <f t="shared" si="13"/>
        <v>0</v>
      </c>
      <c r="AA48" s="1">
        <f t="shared" si="13"/>
        <v>0</v>
      </c>
      <c r="AB48" s="1">
        <f t="shared" si="13"/>
        <v>0</v>
      </c>
      <c r="AC48" s="1">
        <f t="shared" si="13"/>
        <v>0</v>
      </c>
      <c r="AD48" s="1">
        <f t="shared" si="13"/>
        <v>0</v>
      </c>
      <c r="AE48" s="1">
        <f t="shared" si="13"/>
        <v>0</v>
      </c>
      <c r="AF48" s="1">
        <f t="shared" si="13"/>
        <v>0</v>
      </c>
      <c r="AG48" s="1">
        <f t="shared" si="13"/>
        <v>0</v>
      </c>
      <c r="AH48" s="1">
        <f t="shared" si="13"/>
        <v>0</v>
      </c>
      <c r="AI48" s="1">
        <f t="shared" si="13"/>
        <v>0</v>
      </c>
      <c r="AJ48" s="1">
        <f t="shared" si="13"/>
        <v>0</v>
      </c>
      <c r="AK48" s="1">
        <f t="shared" si="13"/>
        <v>0</v>
      </c>
    </row>
    <row r="49" spans="1:37" ht="14.1" customHeight="1" x14ac:dyDescent="0.2">
      <c r="A49" s="12">
        <v>3</v>
      </c>
      <c r="B49" s="65"/>
      <c r="C49" s="115" t="str">
        <f>ANUAL!$C117</f>
        <v>DINH</v>
      </c>
      <c r="D49" s="116" t="str">
        <f>ANUAL!$D117</f>
        <v>EM ESPÉCIE</v>
      </c>
      <c r="E49" s="117">
        <f ca="1">SUMIF($L$28:$L$39,TRUE,E$28:E$39)</f>
        <v>0</v>
      </c>
      <c r="F49" s="117">
        <f ca="1">SUMIF($L$28:$L$39,TRUE,F$28:F$39)</f>
        <v>0</v>
      </c>
      <c r="G49" s="117">
        <f ca="1">SUMIF($L$28:$L$39,TRUE,G$28:G$39)+SUMIF($L$9:$L$20,TRUE,E$9:E$20)</f>
        <v>0</v>
      </c>
      <c r="H49" s="62"/>
      <c r="N49" s="12">
        <v>41</v>
      </c>
      <c r="O49" s="65"/>
      <c r="P49" s="49"/>
      <c r="Q49" s="50"/>
      <c r="R49" s="51"/>
      <c r="S49" s="52"/>
      <c r="T49" s="53"/>
      <c r="U49" s="54"/>
      <c r="V49" s="62"/>
      <c r="X49" s="1">
        <f t="shared" ca="1" si="14"/>
        <v>1</v>
      </c>
      <c r="Z49" s="1">
        <f t="shared" ref="Z49:AK58" si="15">IF(Z$8=$R49,-$T49,0)+IF(Z$8=$S49,$T49,0)</f>
        <v>0</v>
      </c>
      <c r="AA49" s="1">
        <f t="shared" si="15"/>
        <v>0</v>
      </c>
      <c r="AB49" s="1">
        <f t="shared" si="15"/>
        <v>0</v>
      </c>
      <c r="AC49" s="1">
        <f t="shared" si="15"/>
        <v>0</v>
      </c>
      <c r="AD49" s="1">
        <f t="shared" si="15"/>
        <v>0</v>
      </c>
      <c r="AE49" s="1">
        <f t="shared" si="15"/>
        <v>0</v>
      </c>
      <c r="AF49" s="1">
        <f t="shared" si="15"/>
        <v>0</v>
      </c>
      <c r="AG49" s="1">
        <f t="shared" si="15"/>
        <v>0</v>
      </c>
      <c r="AH49" s="1">
        <f t="shared" si="15"/>
        <v>0</v>
      </c>
      <c r="AI49" s="1">
        <f t="shared" si="15"/>
        <v>0</v>
      </c>
      <c r="AJ49" s="1">
        <f t="shared" si="15"/>
        <v>0</v>
      </c>
      <c r="AK49" s="1">
        <f t="shared" si="15"/>
        <v>0</v>
      </c>
    </row>
    <row r="50" spans="1:37" ht="14.1" customHeight="1" x14ac:dyDescent="0.2">
      <c r="A50" s="12"/>
      <c r="B50" s="109"/>
      <c r="C50" s="110"/>
      <c r="D50" s="111"/>
      <c r="E50" s="111"/>
      <c r="F50" s="111"/>
      <c r="G50" s="111"/>
      <c r="H50" s="112"/>
      <c r="I50" s="3"/>
      <c r="J50" s="3"/>
      <c r="K50" s="3"/>
      <c r="L50" s="3"/>
      <c r="M50" s="3"/>
      <c r="N50" s="16">
        <v>42</v>
      </c>
      <c r="O50" s="65"/>
      <c r="P50" s="55"/>
      <c r="Q50" s="56"/>
      <c r="R50" s="57"/>
      <c r="S50" s="58"/>
      <c r="T50" s="59"/>
      <c r="U50" s="60"/>
      <c r="V50" s="62"/>
      <c r="X50" s="1">
        <f t="shared" ca="1" si="14"/>
        <v>1</v>
      </c>
      <c r="Z50" s="1">
        <f t="shared" si="15"/>
        <v>0</v>
      </c>
      <c r="AA50" s="1">
        <f t="shared" si="15"/>
        <v>0</v>
      </c>
      <c r="AB50" s="1">
        <f t="shared" si="15"/>
        <v>0</v>
      </c>
      <c r="AC50" s="1">
        <f t="shared" si="15"/>
        <v>0</v>
      </c>
      <c r="AD50" s="1">
        <f t="shared" si="15"/>
        <v>0</v>
      </c>
      <c r="AE50" s="1">
        <f t="shared" si="15"/>
        <v>0</v>
      </c>
      <c r="AF50" s="1">
        <f t="shared" si="15"/>
        <v>0</v>
      </c>
      <c r="AG50" s="1">
        <f t="shared" si="15"/>
        <v>0</v>
      </c>
      <c r="AH50" s="1">
        <f t="shared" si="15"/>
        <v>0</v>
      </c>
      <c r="AI50" s="1">
        <f t="shared" si="15"/>
        <v>0</v>
      </c>
      <c r="AJ50" s="1">
        <f t="shared" si="15"/>
        <v>0</v>
      </c>
      <c r="AK50" s="1">
        <f t="shared" si="15"/>
        <v>0</v>
      </c>
    </row>
    <row r="51" spans="1:37" ht="14.1" customHeight="1" x14ac:dyDescent="0.2">
      <c r="I51" s="3"/>
      <c r="J51" s="3"/>
      <c r="K51" s="3"/>
      <c r="L51" s="3"/>
      <c r="M51" s="3"/>
      <c r="N51" s="12">
        <v>43</v>
      </c>
      <c r="O51" s="65"/>
      <c r="P51" s="49"/>
      <c r="Q51" s="50"/>
      <c r="R51" s="51"/>
      <c r="S51" s="52"/>
      <c r="T51" s="53"/>
      <c r="U51" s="54"/>
      <c r="V51" s="62"/>
      <c r="X51" s="1">
        <f t="shared" ca="1" si="14"/>
        <v>1</v>
      </c>
      <c r="Z51" s="1">
        <f t="shared" si="15"/>
        <v>0</v>
      </c>
      <c r="AA51" s="1">
        <f t="shared" si="15"/>
        <v>0</v>
      </c>
      <c r="AB51" s="1">
        <f t="shared" si="15"/>
        <v>0</v>
      </c>
      <c r="AC51" s="1">
        <f t="shared" si="15"/>
        <v>0</v>
      </c>
      <c r="AD51" s="1">
        <f t="shared" si="15"/>
        <v>0</v>
      </c>
      <c r="AE51" s="1">
        <f t="shared" si="15"/>
        <v>0</v>
      </c>
      <c r="AF51" s="1">
        <f t="shared" si="15"/>
        <v>0</v>
      </c>
      <c r="AG51" s="1">
        <f t="shared" si="15"/>
        <v>0</v>
      </c>
      <c r="AH51" s="1">
        <f t="shared" si="15"/>
        <v>0</v>
      </c>
      <c r="AI51" s="1">
        <f t="shared" si="15"/>
        <v>0</v>
      </c>
      <c r="AJ51" s="1">
        <f t="shared" si="15"/>
        <v>0</v>
      </c>
      <c r="AK51" s="1">
        <f t="shared" si="15"/>
        <v>0</v>
      </c>
    </row>
    <row r="52" spans="1:37" ht="14.1" customHeight="1" x14ac:dyDescent="0.2">
      <c r="B52" s="84"/>
      <c r="C52" s="85"/>
      <c r="D52" s="86"/>
      <c r="E52" s="86"/>
      <c r="F52" s="86"/>
      <c r="G52" s="86"/>
      <c r="H52" s="87"/>
      <c r="N52" s="16">
        <v>44</v>
      </c>
      <c r="O52" s="65"/>
      <c r="P52" s="55"/>
      <c r="Q52" s="56"/>
      <c r="R52" s="57"/>
      <c r="S52" s="58"/>
      <c r="T52" s="59"/>
      <c r="U52" s="60"/>
      <c r="V52" s="62"/>
      <c r="X52" s="1">
        <f t="shared" ca="1" si="14"/>
        <v>1</v>
      </c>
      <c r="Z52" s="1">
        <f t="shared" si="15"/>
        <v>0</v>
      </c>
      <c r="AA52" s="1">
        <f t="shared" si="15"/>
        <v>0</v>
      </c>
      <c r="AB52" s="1">
        <f t="shared" si="15"/>
        <v>0</v>
      </c>
      <c r="AC52" s="1">
        <f t="shared" si="15"/>
        <v>0</v>
      </c>
      <c r="AD52" s="1">
        <f t="shared" si="15"/>
        <v>0</v>
      </c>
      <c r="AE52" s="1">
        <f t="shared" si="15"/>
        <v>0</v>
      </c>
      <c r="AF52" s="1">
        <f t="shared" si="15"/>
        <v>0</v>
      </c>
      <c r="AG52" s="1">
        <f t="shared" si="15"/>
        <v>0</v>
      </c>
      <c r="AH52" s="1">
        <f t="shared" si="15"/>
        <v>0</v>
      </c>
      <c r="AI52" s="1">
        <f t="shared" si="15"/>
        <v>0</v>
      </c>
      <c r="AJ52" s="1">
        <f t="shared" si="15"/>
        <v>0</v>
      </c>
      <c r="AK52" s="1">
        <f t="shared" si="15"/>
        <v>0</v>
      </c>
    </row>
    <row r="53" spans="1:37" ht="14.1" customHeight="1" x14ac:dyDescent="0.2">
      <c r="B53" s="88"/>
      <c r="C53" s="304" t="s">
        <v>27</v>
      </c>
      <c r="D53" s="304"/>
      <c r="E53" s="304"/>
      <c r="F53" s="304"/>
      <c r="G53" s="304"/>
      <c r="H53" s="89"/>
      <c r="N53" s="12">
        <v>45</v>
      </c>
      <c r="O53" s="65"/>
      <c r="P53" s="49"/>
      <c r="Q53" s="50"/>
      <c r="R53" s="51"/>
      <c r="S53" s="52"/>
      <c r="T53" s="53"/>
      <c r="U53" s="54"/>
      <c r="V53" s="62"/>
      <c r="X53" s="1">
        <f t="shared" ca="1" si="14"/>
        <v>1</v>
      </c>
      <c r="Z53" s="1">
        <f t="shared" si="15"/>
        <v>0</v>
      </c>
      <c r="AA53" s="1">
        <f t="shared" si="15"/>
        <v>0</v>
      </c>
      <c r="AB53" s="1">
        <f t="shared" si="15"/>
        <v>0</v>
      </c>
      <c r="AC53" s="1">
        <f t="shared" si="15"/>
        <v>0</v>
      </c>
      <c r="AD53" s="1">
        <f t="shared" si="15"/>
        <v>0</v>
      </c>
      <c r="AE53" s="1">
        <f t="shared" si="15"/>
        <v>0</v>
      </c>
      <c r="AF53" s="1">
        <f t="shared" si="15"/>
        <v>0</v>
      </c>
      <c r="AG53" s="1">
        <f t="shared" si="15"/>
        <v>0</v>
      </c>
      <c r="AH53" s="1">
        <f t="shared" si="15"/>
        <v>0</v>
      </c>
      <c r="AI53" s="1">
        <f t="shared" si="15"/>
        <v>0</v>
      </c>
      <c r="AJ53" s="1">
        <f t="shared" si="15"/>
        <v>0</v>
      </c>
      <c r="AK53" s="1">
        <f t="shared" si="15"/>
        <v>0</v>
      </c>
    </row>
    <row r="54" spans="1:37" ht="14.1" customHeight="1" x14ac:dyDescent="0.2">
      <c r="B54" s="88"/>
      <c r="C54" s="304"/>
      <c r="D54" s="304"/>
      <c r="E54" s="304"/>
      <c r="F54" s="304"/>
      <c r="G54" s="304"/>
      <c r="H54" s="89"/>
      <c r="N54" s="16">
        <v>46</v>
      </c>
      <c r="O54" s="65"/>
      <c r="P54" s="55"/>
      <c r="Q54" s="56"/>
      <c r="R54" s="57"/>
      <c r="S54" s="58"/>
      <c r="T54" s="59"/>
      <c r="U54" s="60"/>
      <c r="V54" s="62"/>
      <c r="X54" s="1">
        <f t="shared" ca="1" si="14"/>
        <v>1</v>
      </c>
      <c r="Z54" s="1">
        <f t="shared" si="15"/>
        <v>0</v>
      </c>
      <c r="AA54" s="1">
        <f t="shared" si="15"/>
        <v>0</v>
      </c>
      <c r="AB54" s="1">
        <f t="shared" si="15"/>
        <v>0</v>
      </c>
      <c r="AC54" s="1">
        <f t="shared" si="15"/>
        <v>0</v>
      </c>
      <c r="AD54" s="1">
        <f t="shared" si="15"/>
        <v>0</v>
      </c>
      <c r="AE54" s="1">
        <f t="shared" si="15"/>
        <v>0</v>
      </c>
      <c r="AF54" s="1">
        <f t="shared" si="15"/>
        <v>0</v>
      </c>
      <c r="AG54" s="1">
        <f t="shared" si="15"/>
        <v>0</v>
      </c>
      <c r="AH54" s="1">
        <f t="shared" si="15"/>
        <v>0</v>
      </c>
      <c r="AI54" s="1">
        <f t="shared" si="15"/>
        <v>0</v>
      </c>
      <c r="AJ54" s="1">
        <f t="shared" si="15"/>
        <v>0</v>
      </c>
      <c r="AK54" s="1">
        <f t="shared" si="15"/>
        <v>0</v>
      </c>
    </row>
    <row r="55" spans="1:37" ht="14.1" customHeight="1" x14ac:dyDescent="0.2">
      <c r="B55" s="46"/>
      <c r="C55" s="271" t="s">
        <v>4</v>
      </c>
      <c r="D55" s="273" t="s">
        <v>5</v>
      </c>
      <c r="E55" s="310"/>
      <c r="F55" s="310"/>
      <c r="G55" s="276" t="s">
        <v>97</v>
      </c>
      <c r="H55" s="89"/>
      <c r="N55" s="12">
        <v>47</v>
      </c>
      <c r="O55" s="65"/>
      <c r="P55" s="49"/>
      <c r="Q55" s="50"/>
      <c r="R55" s="51"/>
      <c r="S55" s="52"/>
      <c r="T55" s="53"/>
      <c r="U55" s="54"/>
      <c r="V55" s="62"/>
      <c r="X55" s="1">
        <f t="shared" ca="1" si="14"/>
        <v>1</v>
      </c>
      <c r="Z55" s="1">
        <f t="shared" si="15"/>
        <v>0</v>
      </c>
      <c r="AA55" s="1">
        <f t="shared" si="15"/>
        <v>0</v>
      </c>
      <c r="AB55" s="1">
        <f t="shared" si="15"/>
        <v>0</v>
      </c>
      <c r="AC55" s="1">
        <f t="shared" si="15"/>
        <v>0</v>
      </c>
      <c r="AD55" s="1">
        <f t="shared" si="15"/>
        <v>0</v>
      </c>
      <c r="AE55" s="1">
        <f t="shared" si="15"/>
        <v>0</v>
      </c>
      <c r="AF55" s="1">
        <f t="shared" si="15"/>
        <v>0</v>
      </c>
      <c r="AG55" s="1">
        <f t="shared" si="15"/>
        <v>0</v>
      </c>
      <c r="AH55" s="1">
        <f t="shared" si="15"/>
        <v>0</v>
      </c>
      <c r="AI55" s="1">
        <f t="shared" si="15"/>
        <v>0</v>
      </c>
      <c r="AJ55" s="1">
        <f t="shared" si="15"/>
        <v>0</v>
      </c>
      <c r="AK55" s="1">
        <f t="shared" si="15"/>
        <v>0</v>
      </c>
    </row>
    <row r="56" spans="1:37" ht="14.1" customHeight="1" x14ac:dyDescent="0.2">
      <c r="A56" s="3"/>
      <c r="B56" s="44"/>
      <c r="C56" s="272"/>
      <c r="D56" s="274"/>
      <c r="E56" s="311"/>
      <c r="F56" s="311"/>
      <c r="G56" s="305"/>
      <c r="H56" s="90"/>
      <c r="N56" s="16">
        <v>48</v>
      </c>
      <c r="O56" s="65"/>
      <c r="P56" s="55"/>
      <c r="Q56" s="56"/>
      <c r="R56" s="57"/>
      <c r="S56" s="58"/>
      <c r="T56" s="59"/>
      <c r="U56" s="60"/>
      <c r="V56" s="62"/>
      <c r="X56" s="1">
        <f t="shared" ca="1" si="14"/>
        <v>1</v>
      </c>
      <c r="Z56" s="1">
        <f t="shared" si="15"/>
        <v>0</v>
      </c>
      <c r="AA56" s="1">
        <f t="shared" si="15"/>
        <v>0</v>
      </c>
      <c r="AB56" s="1">
        <f t="shared" si="15"/>
        <v>0</v>
      </c>
      <c r="AC56" s="1">
        <f t="shared" si="15"/>
        <v>0</v>
      </c>
      <c r="AD56" s="1">
        <f t="shared" si="15"/>
        <v>0</v>
      </c>
      <c r="AE56" s="1">
        <f t="shared" si="15"/>
        <v>0</v>
      </c>
      <c r="AF56" s="1">
        <f t="shared" si="15"/>
        <v>0</v>
      </c>
      <c r="AG56" s="1">
        <f t="shared" si="15"/>
        <v>0</v>
      </c>
      <c r="AH56" s="1">
        <f t="shared" si="15"/>
        <v>0</v>
      </c>
      <c r="AI56" s="1">
        <f t="shared" si="15"/>
        <v>0</v>
      </c>
      <c r="AJ56" s="1">
        <f t="shared" si="15"/>
        <v>0</v>
      </c>
      <c r="AK56" s="1">
        <f t="shared" si="15"/>
        <v>0</v>
      </c>
    </row>
    <row r="57" spans="1:37" ht="14.1" customHeight="1" x14ac:dyDescent="0.2">
      <c r="A57" s="12">
        <v>1</v>
      </c>
      <c r="B57" s="64"/>
      <c r="C57" s="101" t="str">
        <f>ANUAL!$C141</f>
        <v>M01</v>
      </c>
      <c r="D57" s="303" t="str">
        <f>ANUAL!$D141</f>
        <v>MORADIA – CONDOMÍNIO</v>
      </c>
      <c r="E57" s="303"/>
      <c r="F57" s="303"/>
      <c r="G57" s="102">
        <f t="shared" ref="G57:G88" si="16">SUMIF(U$9:U$88,C57,T$9:T$88)</f>
        <v>0</v>
      </c>
      <c r="H57" s="61"/>
      <c r="N57" s="12">
        <v>49</v>
      </c>
      <c r="O57" s="65"/>
      <c r="P57" s="49"/>
      <c r="Q57" s="50"/>
      <c r="R57" s="51"/>
      <c r="S57" s="52"/>
      <c r="T57" s="53"/>
      <c r="U57" s="54"/>
      <c r="V57" s="62"/>
      <c r="X57" s="1">
        <f t="shared" ca="1" si="14"/>
        <v>1</v>
      </c>
      <c r="Z57" s="1">
        <f t="shared" si="15"/>
        <v>0</v>
      </c>
      <c r="AA57" s="1">
        <f t="shared" si="15"/>
        <v>0</v>
      </c>
      <c r="AB57" s="1">
        <f t="shared" si="15"/>
        <v>0</v>
      </c>
      <c r="AC57" s="1">
        <f t="shared" si="15"/>
        <v>0</v>
      </c>
      <c r="AD57" s="1">
        <f t="shared" si="15"/>
        <v>0</v>
      </c>
      <c r="AE57" s="1">
        <f t="shared" si="15"/>
        <v>0</v>
      </c>
      <c r="AF57" s="1">
        <f t="shared" si="15"/>
        <v>0</v>
      </c>
      <c r="AG57" s="1">
        <f t="shared" si="15"/>
        <v>0</v>
      </c>
      <c r="AH57" s="1">
        <f t="shared" si="15"/>
        <v>0</v>
      </c>
      <c r="AI57" s="1">
        <f t="shared" si="15"/>
        <v>0</v>
      </c>
      <c r="AJ57" s="1">
        <f t="shared" si="15"/>
        <v>0</v>
      </c>
      <c r="AK57" s="1">
        <f t="shared" si="15"/>
        <v>0</v>
      </c>
    </row>
    <row r="58" spans="1:37" ht="14.1" customHeight="1" x14ac:dyDescent="0.2">
      <c r="A58" s="16">
        <v>2</v>
      </c>
      <c r="B58" s="65"/>
      <c r="C58" s="103" t="str">
        <f>ANUAL!$C142</f>
        <v>M02</v>
      </c>
      <c r="D58" s="302" t="str">
        <f>ANUAL!$D142</f>
        <v>MORADIA – IPTU</v>
      </c>
      <c r="E58" s="302"/>
      <c r="F58" s="302"/>
      <c r="G58" s="104">
        <f t="shared" si="16"/>
        <v>0</v>
      </c>
      <c r="H58" s="62"/>
      <c r="N58" s="16">
        <v>50</v>
      </c>
      <c r="O58" s="65"/>
      <c r="P58" s="55"/>
      <c r="Q58" s="56"/>
      <c r="R58" s="57"/>
      <c r="S58" s="58"/>
      <c r="T58" s="59"/>
      <c r="U58" s="60"/>
      <c r="V58" s="62"/>
      <c r="X58" s="1">
        <f t="shared" ca="1" si="14"/>
        <v>1</v>
      </c>
      <c r="Z58" s="1">
        <f t="shared" si="15"/>
        <v>0</v>
      </c>
      <c r="AA58" s="1">
        <f t="shared" si="15"/>
        <v>0</v>
      </c>
      <c r="AB58" s="1">
        <f t="shared" si="15"/>
        <v>0</v>
      </c>
      <c r="AC58" s="1">
        <f t="shared" si="15"/>
        <v>0</v>
      </c>
      <c r="AD58" s="1">
        <f t="shared" si="15"/>
        <v>0</v>
      </c>
      <c r="AE58" s="1">
        <f t="shared" si="15"/>
        <v>0</v>
      </c>
      <c r="AF58" s="1">
        <f t="shared" si="15"/>
        <v>0</v>
      </c>
      <c r="AG58" s="1">
        <f t="shared" si="15"/>
        <v>0</v>
      </c>
      <c r="AH58" s="1">
        <f t="shared" si="15"/>
        <v>0</v>
      </c>
      <c r="AI58" s="1">
        <f t="shared" si="15"/>
        <v>0</v>
      </c>
      <c r="AJ58" s="1">
        <f t="shared" si="15"/>
        <v>0</v>
      </c>
      <c r="AK58" s="1">
        <f t="shared" si="15"/>
        <v>0</v>
      </c>
    </row>
    <row r="59" spans="1:37" ht="14.1" customHeight="1" x14ac:dyDescent="0.2">
      <c r="A59" s="12">
        <v>3</v>
      </c>
      <c r="B59" s="65"/>
      <c r="C59" s="101" t="str">
        <f>ANUAL!$C143</f>
        <v>M03</v>
      </c>
      <c r="D59" s="303" t="str">
        <f>ANUAL!$D143</f>
        <v>MORADIA – ALUGUEL</v>
      </c>
      <c r="E59" s="303"/>
      <c r="F59" s="303"/>
      <c r="G59" s="102">
        <f t="shared" si="16"/>
        <v>0</v>
      </c>
      <c r="H59" s="62"/>
      <c r="N59" s="12">
        <v>51</v>
      </c>
      <c r="O59" s="65"/>
      <c r="P59" s="49"/>
      <c r="Q59" s="50"/>
      <c r="R59" s="51"/>
      <c r="S59" s="52"/>
      <c r="T59" s="53"/>
      <c r="U59" s="54"/>
      <c r="V59" s="62"/>
      <c r="X59" s="1">
        <f t="shared" ca="1" si="14"/>
        <v>1</v>
      </c>
      <c r="Z59" s="1">
        <f t="shared" ref="Z59:AK68" si="17">IF(Z$8=$R59,-$T59,0)+IF(Z$8=$S59,$T59,0)</f>
        <v>0</v>
      </c>
      <c r="AA59" s="1">
        <f t="shared" si="17"/>
        <v>0</v>
      </c>
      <c r="AB59" s="1">
        <f t="shared" si="17"/>
        <v>0</v>
      </c>
      <c r="AC59" s="1">
        <f t="shared" si="17"/>
        <v>0</v>
      </c>
      <c r="AD59" s="1">
        <f t="shared" si="17"/>
        <v>0</v>
      </c>
      <c r="AE59" s="1">
        <f t="shared" si="17"/>
        <v>0</v>
      </c>
      <c r="AF59" s="1">
        <f t="shared" si="17"/>
        <v>0</v>
      </c>
      <c r="AG59" s="1">
        <f t="shared" si="17"/>
        <v>0</v>
      </c>
      <c r="AH59" s="1">
        <f t="shared" si="17"/>
        <v>0</v>
      </c>
      <c r="AI59" s="1">
        <f t="shared" si="17"/>
        <v>0</v>
      </c>
      <c r="AJ59" s="1">
        <f t="shared" si="17"/>
        <v>0</v>
      </c>
      <c r="AK59" s="1">
        <f t="shared" si="17"/>
        <v>0</v>
      </c>
    </row>
    <row r="60" spans="1:37" ht="14.1" customHeight="1" x14ac:dyDescent="0.2">
      <c r="A60" s="16">
        <v>4</v>
      </c>
      <c r="B60" s="65"/>
      <c r="C60" s="103" t="str">
        <f>ANUAL!$C144</f>
        <v>M04</v>
      </c>
      <c r="D60" s="302" t="str">
        <f>ANUAL!$D144</f>
        <v>MORADIA – REFORMA</v>
      </c>
      <c r="E60" s="302"/>
      <c r="F60" s="302"/>
      <c r="G60" s="104">
        <f t="shared" si="16"/>
        <v>0</v>
      </c>
      <c r="H60" s="62"/>
      <c r="N60" s="16">
        <v>52</v>
      </c>
      <c r="O60" s="65"/>
      <c r="P60" s="55"/>
      <c r="Q60" s="56"/>
      <c r="R60" s="57"/>
      <c r="S60" s="58"/>
      <c r="T60" s="59"/>
      <c r="U60" s="60"/>
      <c r="V60" s="62"/>
      <c r="X60" s="1">
        <f t="shared" ca="1" si="14"/>
        <v>1</v>
      </c>
      <c r="Z60" s="1">
        <f t="shared" si="17"/>
        <v>0</v>
      </c>
      <c r="AA60" s="1">
        <f t="shared" si="17"/>
        <v>0</v>
      </c>
      <c r="AB60" s="1">
        <f t="shared" si="17"/>
        <v>0</v>
      </c>
      <c r="AC60" s="1">
        <f t="shared" si="17"/>
        <v>0</v>
      </c>
      <c r="AD60" s="1">
        <f t="shared" si="17"/>
        <v>0</v>
      </c>
      <c r="AE60" s="1">
        <f t="shared" si="17"/>
        <v>0</v>
      </c>
      <c r="AF60" s="1">
        <f t="shared" si="17"/>
        <v>0</v>
      </c>
      <c r="AG60" s="1">
        <f t="shared" si="17"/>
        <v>0</v>
      </c>
      <c r="AH60" s="1">
        <f t="shared" si="17"/>
        <v>0</v>
      </c>
      <c r="AI60" s="1">
        <f t="shared" si="17"/>
        <v>0</v>
      </c>
      <c r="AJ60" s="1">
        <f t="shared" si="17"/>
        <v>0</v>
      </c>
      <c r="AK60" s="1">
        <f t="shared" si="17"/>
        <v>0</v>
      </c>
    </row>
    <row r="61" spans="1:37" ht="14.1" customHeight="1" x14ac:dyDescent="0.2">
      <c r="A61" s="12">
        <v>5</v>
      </c>
      <c r="B61" s="65"/>
      <c r="C61" s="101" t="str">
        <f>ANUAL!$C145</f>
        <v>U01</v>
      </c>
      <c r="D61" s="303" t="str">
        <f>ANUAL!$D145</f>
        <v>UTILITIES – ENERGIA ELÉTRICA</v>
      </c>
      <c r="E61" s="303"/>
      <c r="F61" s="303"/>
      <c r="G61" s="102">
        <f t="shared" si="16"/>
        <v>0</v>
      </c>
      <c r="H61" s="62"/>
      <c r="N61" s="12">
        <v>53</v>
      </c>
      <c r="O61" s="65"/>
      <c r="P61" s="49"/>
      <c r="Q61" s="50"/>
      <c r="R61" s="51"/>
      <c r="S61" s="52"/>
      <c r="T61" s="53"/>
      <c r="U61" s="54"/>
      <c r="V61" s="62"/>
      <c r="X61" s="1">
        <f t="shared" ca="1" si="14"/>
        <v>1</v>
      </c>
      <c r="Z61" s="1">
        <f t="shared" si="17"/>
        <v>0</v>
      </c>
      <c r="AA61" s="1">
        <f t="shared" si="17"/>
        <v>0</v>
      </c>
      <c r="AB61" s="1">
        <f t="shared" si="17"/>
        <v>0</v>
      </c>
      <c r="AC61" s="1">
        <f t="shared" si="17"/>
        <v>0</v>
      </c>
      <c r="AD61" s="1">
        <f t="shared" si="17"/>
        <v>0</v>
      </c>
      <c r="AE61" s="1">
        <f t="shared" si="17"/>
        <v>0</v>
      </c>
      <c r="AF61" s="1">
        <f t="shared" si="17"/>
        <v>0</v>
      </c>
      <c r="AG61" s="1">
        <f t="shared" si="17"/>
        <v>0</v>
      </c>
      <c r="AH61" s="1">
        <f t="shared" si="17"/>
        <v>0</v>
      </c>
      <c r="AI61" s="1">
        <f t="shared" si="17"/>
        <v>0</v>
      </c>
      <c r="AJ61" s="1">
        <f t="shared" si="17"/>
        <v>0</v>
      </c>
      <c r="AK61" s="1">
        <f t="shared" si="17"/>
        <v>0</v>
      </c>
    </row>
    <row r="62" spans="1:37" ht="14.1" customHeight="1" x14ac:dyDescent="0.2">
      <c r="A62" s="16">
        <v>6</v>
      </c>
      <c r="B62" s="65"/>
      <c r="C62" s="103" t="str">
        <f>ANUAL!$C146</f>
        <v>U02</v>
      </c>
      <c r="D62" s="302" t="str">
        <f>ANUAL!$D146</f>
        <v>UTILITIES – ÁGUA POTÁVEL</v>
      </c>
      <c r="E62" s="302"/>
      <c r="F62" s="302"/>
      <c r="G62" s="104">
        <f t="shared" si="16"/>
        <v>0</v>
      </c>
      <c r="H62" s="62"/>
      <c r="N62" s="16">
        <v>54</v>
      </c>
      <c r="O62" s="65"/>
      <c r="P62" s="55"/>
      <c r="Q62" s="56"/>
      <c r="R62" s="57"/>
      <c r="S62" s="58"/>
      <c r="T62" s="59"/>
      <c r="U62" s="60"/>
      <c r="V62" s="62"/>
      <c r="X62" s="1">
        <f t="shared" ca="1" si="14"/>
        <v>1</v>
      </c>
      <c r="Z62" s="1">
        <f t="shared" si="17"/>
        <v>0</v>
      </c>
      <c r="AA62" s="1">
        <f t="shared" si="17"/>
        <v>0</v>
      </c>
      <c r="AB62" s="1">
        <f t="shared" si="17"/>
        <v>0</v>
      </c>
      <c r="AC62" s="1">
        <f t="shared" si="17"/>
        <v>0</v>
      </c>
      <c r="AD62" s="1">
        <f t="shared" si="17"/>
        <v>0</v>
      </c>
      <c r="AE62" s="1">
        <f t="shared" si="17"/>
        <v>0</v>
      </c>
      <c r="AF62" s="1">
        <f t="shared" si="17"/>
        <v>0</v>
      </c>
      <c r="AG62" s="1">
        <f t="shared" si="17"/>
        <v>0</v>
      </c>
      <c r="AH62" s="1">
        <f t="shared" si="17"/>
        <v>0</v>
      </c>
      <c r="AI62" s="1">
        <f t="shared" si="17"/>
        <v>0</v>
      </c>
      <c r="AJ62" s="1">
        <f t="shared" si="17"/>
        <v>0</v>
      </c>
      <c r="AK62" s="1">
        <f t="shared" si="17"/>
        <v>0</v>
      </c>
    </row>
    <row r="63" spans="1:37" ht="14.1" customHeight="1" x14ac:dyDescent="0.2">
      <c r="A63" s="12">
        <v>7</v>
      </c>
      <c r="B63" s="65"/>
      <c r="C63" s="101" t="str">
        <f>ANUAL!$C147</f>
        <v>U03</v>
      </c>
      <c r="D63" s="303" t="str">
        <f>ANUAL!$D147</f>
        <v>UTILITIES – DIVERSOS (ÁGUA, GÁS, SERV. GERAIS)</v>
      </c>
      <c r="E63" s="303"/>
      <c r="F63" s="303"/>
      <c r="G63" s="102">
        <f t="shared" si="16"/>
        <v>0</v>
      </c>
      <c r="H63" s="62"/>
      <c r="N63" s="12">
        <v>55</v>
      </c>
      <c r="O63" s="65"/>
      <c r="P63" s="49"/>
      <c r="Q63" s="50"/>
      <c r="R63" s="51"/>
      <c r="S63" s="52"/>
      <c r="T63" s="53"/>
      <c r="U63" s="54"/>
      <c r="V63" s="62"/>
      <c r="X63" s="1">
        <f t="shared" ca="1" si="14"/>
        <v>1</v>
      </c>
      <c r="Y63" s="30"/>
      <c r="Z63" s="1">
        <f t="shared" si="17"/>
        <v>0</v>
      </c>
      <c r="AA63" s="1">
        <f t="shared" si="17"/>
        <v>0</v>
      </c>
      <c r="AB63" s="1">
        <f t="shared" si="17"/>
        <v>0</v>
      </c>
      <c r="AC63" s="1">
        <f t="shared" si="17"/>
        <v>0</v>
      </c>
      <c r="AD63" s="1">
        <f t="shared" si="17"/>
        <v>0</v>
      </c>
      <c r="AE63" s="1">
        <f t="shared" si="17"/>
        <v>0</v>
      </c>
      <c r="AF63" s="1">
        <f t="shared" si="17"/>
        <v>0</v>
      </c>
      <c r="AG63" s="1">
        <f t="shared" si="17"/>
        <v>0</v>
      </c>
      <c r="AH63" s="1">
        <f t="shared" si="17"/>
        <v>0</v>
      </c>
      <c r="AI63" s="1">
        <f t="shared" si="17"/>
        <v>0</v>
      </c>
      <c r="AJ63" s="1">
        <f t="shared" si="17"/>
        <v>0</v>
      </c>
      <c r="AK63" s="1">
        <f t="shared" si="17"/>
        <v>0</v>
      </c>
    </row>
    <row r="64" spans="1:37" ht="14.1" customHeight="1" x14ac:dyDescent="0.2">
      <c r="A64" s="16">
        <v>8</v>
      </c>
      <c r="B64" s="65"/>
      <c r="C64" s="103" t="str">
        <f>ANUAL!$C148</f>
        <v>S01</v>
      </c>
      <c r="D64" s="302" t="str">
        <f>ANUAL!$D148</f>
        <v>SAÚDE – PLANO DE SAÚDE</v>
      </c>
      <c r="E64" s="302"/>
      <c r="F64" s="302"/>
      <c r="G64" s="104">
        <f t="shared" si="16"/>
        <v>0</v>
      </c>
      <c r="H64" s="62"/>
      <c r="N64" s="16">
        <v>56</v>
      </c>
      <c r="O64" s="65"/>
      <c r="P64" s="55"/>
      <c r="Q64" s="56"/>
      <c r="R64" s="57"/>
      <c r="S64" s="58"/>
      <c r="T64" s="59"/>
      <c r="U64" s="60"/>
      <c r="V64" s="62"/>
      <c r="X64" s="1">
        <f t="shared" ca="1" si="14"/>
        <v>1</v>
      </c>
      <c r="Z64" s="1">
        <f t="shared" si="17"/>
        <v>0</v>
      </c>
      <c r="AA64" s="1">
        <f t="shared" si="17"/>
        <v>0</v>
      </c>
      <c r="AB64" s="1">
        <f t="shared" si="17"/>
        <v>0</v>
      </c>
      <c r="AC64" s="1">
        <f t="shared" si="17"/>
        <v>0</v>
      </c>
      <c r="AD64" s="1">
        <f t="shared" si="17"/>
        <v>0</v>
      </c>
      <c r="AE64" s="1">
        <f t="shared" si="17"/>
        <v>0</v>
      </c>
      <c r="AF64" s="1">
        <f t="shared" si="17"/>
        <v>0</v>
      </c>
      <c r="AG64" s="1">
        <f t="shared" si="17"/>
        <v>0</v>
      </c>
      <c r="AH64" s="1">
        <f t="shared" si="17"/>
        <v>0</v>
      </c>
      <c r="AI64" s="1">
        <f t="shared" si="17"/>
        <v>0</v>
      </c>
      <c r="AJ64" s="1">
        <f t="shared" si="17"/>
        <v>0</v>
      </c>
      <c r="AK64" s="1">
        <f t="shared" si="17"/>
        <v>0</v>
      </c>
    </row>
    <row r="65" spans="1:37" ht="14.1" customHeight="1" x14ac:dyDescent="0.2">
      <c r="A65" s="12">
        <v>9</v>
      </c>
      <c r="B65" s="65"/>
      <c r="C65" s="101" t="str">
        <f>ANUAL!$C149</f>
        <v>S02</v>
      </c>
      <c r="D65" s="303" t="str">
        <f>ANUAL!$D149</f>
        <v>SAÚDE – REMÉDIOS</v>
      </c>
      <c r="E65" s="303"/>
      <c r="F65" s="303"/>
      <c r="G65" s="102">
        <f t="shared" si="16"/>
        <v>0</v>
      </c>
      <c r="H65" s="62"/>
      <c r="N65" s="12">
        <v>57</v>
      </c>
      <c r="O65" s="65"/>
      <c r="P65" s="49"/>
      <c r="Q65" s="50"/>
      <c r="R65" s="51"/>
      <c r="S65" s="52"/>
      <c r="T65" s="53"/>
      <c r="U65" s="54"/>
      <c r="V65" s="62"/>
      <c r="X65" s="1">
        <f t="shared" ca="1" si="14"/>
        <v>1</v>
      </c>
      <c r="Z65" s="1">
        <f t="shared" si="17"/>
        <v>0</v>
      </c>
      <c r="AA65" s="1">
        <f t="shared" si="17"/>
        <v>0</v>
      </c>
      <c r="AB65" s="1">
        <f t="shared" si="17"/>
        <v>0</v>
      </c>
      <c r="AC65" s="1">
        <f t="shared" si="17"/>
        <v>0</v>
      </c>
      <c r="AD65" s="1">
        <f t="shared" si="17"/>
        <v>0</v>
      </c>
      <c r="AE65" s="1">
        <f t="shared" si="17"/>
        <v>0</v>
      </c>
      <c r="AF65" s="1">
        <f t="shared" si="17"/>
        <v>0</v>
      </c>
      <c r="AG65" s="1">
        <f t="shared" si="17"/>
        <v>0</v>
      </c>
      <c r="AH65" s="1">
        <f t="shared" si="17"/>
        <v>0</v>
      </c>
      <c r="AI65" s="1">
        <f t="shared" si="17"/>
        <v>0</v>
      </c>
      <c r="AJ65" s="1">
        <f t="shared" si="17"/>
        <v>0</v>
      </c>
      <c r="AK65" s="1">
        <f t="shared" si="17"/>
        <v>0</v>
      </c>
    </row>
    <row r="66" spans="1:37" ht="14.1" customHeight="1" x14ac:dyDescent="0.2">
      <c r="A66" s="16">
        <v>10</v>
      </c>
      <c r="B66" s="65"/>
      <c r="C66" s="103" t="str">
        <f>ANUAL!$C150</f>
        <v>S03</v>
      </c>
      <c r="D66" s="302" t="str">
        <f>ANUAL!$D150</f>
        <v>SAÚDE – ACADEMIA</v>
      </c>
      <c r="E66" s="302"/>
      <c r="F66" s="302"/>
      <c r="G66" s="104">
        <f t="shared" si="16"/>
        <v>0</v>
      </c>
      <c r="H66" s="62"/>
      <c r="N66" s="16">
        <v>58</v>
      </c>
      <c r="O66" s="65"/>
      <c r="P66" s="55"/>
      <c r="Q66" s="56"/>
      <c r="R66" s="57"/>
      <c r="S66" s="58"/>
      <c r="T66" s="59"/>
      <c r="U66" s="60"/>
      <c r="V66" s="62"/>
      <c r="X66" s="1">
        <f t="shared" ca="1" si="14"/>
        <v>1</v>
      </c>
      <c r="Z66" s="1">
        <f t="shared" si="17"/>
        <v>0</v>
      </c>
      <c r="AA66" s="1">
        <f t="shared" si="17"/>
        <v>0</v>
      </c>
      <c r="AB66" s="1">
        <f t="shared" si="17"/>
        <v>0</v>
      </c>
      <c r="AC66" s="1">
        <f t="shared" si="17"/>
        <v>0</v>
      </c>
      <c r="AD66" s="1">
        <f t="shared" si="17"/>
        <v>0</v>
      </c>
      <c r="AE66" s="1">
        <f t="shared" si="17"/>
        <v>0</v>
      </c>
      <c r="AF66" s="1">
        <f t="shared" si="17"/>
        <v>0</v>
      </c>
      <c r="AG66" s="1">
        <f t="shared" si="17"/>
        <v>0</v>
      </c>
      <c r="AH66" s="1">
        <f t="shared" si="17"/>
        <v>0</v>
      </c>
      <c r="AI66" s="1">
        <f t="shared" si="17"/>
        <v>0</v>
      </c>
      <c r="AJ66" s="1">
        <f t="shared" si="17"/>
        <v>0</v>
      </c>
      <c r="AK66" s="1">
        <f t="shared" si="17"/>
        <v>0</v>
      </c>
    </row>
    <row r="67" spans="1:37" ht="14.1" customHeight="1" x14ac:dyDescent="0.2">
      <c r="A67" s="12">
        <v>11</v>
      </c>
      <c r="B67" s="65"/>
      <c r="C67" s="101" t="str">
        <f>ANUAL!$C151</f>
        <v>C01</v>
      </c>
      <c r="D67" s="303" t="str">
        <f>ANUAL!$D151</f>
        <v>COMPRAS</v>
      </c>
      <c r="E67" s="303"/>
      <c r="F67" s="303"/>
      <c r="G67" s="102">
        <f t="shared" si="16"/>
        <v>0</v>
      </c>
      <c r="H67" s="62"/>
      <c r="N67" s="12">
        <v>59</v>
      </c>
      <c r="O67" s="65"/>
      <c r="P67" s="49"/>
      <c r="Q67" s="50"/>
      <c r="R67" s="51"/>
      <c r="S67" s="52"/>
      <c r="T67" s="53"/>
      <c r="U67" s="54"/>
      <c r="V67" s="62"/>
      <c r="X67" s="1">
        <f t="shared" ca="1" si="14"/>
        <v>1</v>
      </c>
      <c r="Z67" s="1">
        <f t="shared" si="17"/>
        <v>0</v>
      </c>
      <c r="AA67" s="1">
        <f t="shared" si="17"/>
        <v>0</v>
      </c>
      <c r="AB67" s="1">
        <f t="shared" si="17"/>
        <v>0</v>
      </c>
      <c r="AC67" s="1">
        <f t="shared" si="17"/>
        <v>0</v>
      </c>
      <c r="AD67" s="1">
        <f t="shared" si="17"/>
        <v>0</v>
      </c>
      <c r="AE67" s="1">
        <f t="shared" si="17"/>
        <v>0</v>
      </c>
      <c r="AF67" s="1">
        <f t="shared" si="17"/>
        <v>0</v>
      </c>
      <c r="AG67" s="1">
        <f t="shared" si="17"/>
        <v>0</v>
      </c>
      <c r="AH67" s="1">
        <f t="shared" si="17"/>
        <v>0</v>
      </c>
      <c r="AI67" s="1">
        <f t="shared" si="17"/>
        <v>0</v>
      </c>
      <c r="AJ67" s="1">
        <f t="shared" si="17"/>
        <v>0</v>
      </c>
      <c r="AK67" s="1">
        <f t="shared" si="17"/>
        <v>0</v>
      </c>
    </row>
    <row r="68" spans="1:37" ht="14.1" customHeight="1" x14ac:dyDescent="0.2">
      <c r="A68" s="16">
        <v>12</v>
      </c>
      <c r="B68" s="65"/>
      <c r="C68" s="103" t="str">
        <f>ANUAL!$C152</f>
        <v>L01</v>
      </c>
      <c r="D68" s="302" t="str">
        <f>ANUAL!$D152</f>
        <v>LAZER</v>
      </c>
      <c r="E68" s="302"/>
      <c r="F68" s="302"/>
      <c r="G68" s="104">
        <f t="shared" si="16"/>
        <v>0</v>
      </c>
      <c r="H68" s="62"/>
      <c r="N68" s="16">
        <v>60</v>
      </c>
      <c r="O68" s="65"/>
      <c r="P68" s="55"/>
      <c r="Q68" s="56"/>
      <c r="R68" s="57"/>
      <c r="S68" s="58"/>
      <c r="T68" s="59"/>
      <c r="U68" s="60"/>
      <c r="V68" s="62"/>
      <c r="X68" s="1">
        <f t="shared" ca="1" si="14"/>
        <v>1</v>
      </c>
      <c r="Z68" s="1">
        <f t="shared" si="17"/>
        <v>0</v>
      </c>
      <c r="AA68" s="1">
        <f t="shared" si="17"/>
        <v>0</v>
      </c>
      <c r="AB68" s="1">
        <f t="shared" si="17"/>
        <v>0</v>
      </c>
      <c r="AC68" s="1">
        <f t="shared" si="17"/>
        <v>0</v>
      </c>
      <c r="AD68" s="1">
        <f t="shared" si="17"/>
        <v>0</v>
      </c>
      <c r="AE68" s="1">
        <f t="shared" si="17"/>
        <v>0</v>
      </c>
      <c r="AF68" s="1">
        <f t="shared" si="17"/>
        <v>0</v>
      </c>
      <c r="AG68" s="1">
        <f t="shared" si="17"/>
        <v>0</v>
      </c>
      <c r="AH68" s="1">
        <f t="shared" si="17"/>
        <v>0</v>
      </c>
      <c r="AI68" s="1">
        <f t="shared" si="17"/>
        <v>0</v>
      </c>
      <c r="AJ68" s="1">
        <f t="shared" si="17"/>
        <v>0</v>
      </c>
      <c r="AK68" s="1">
        <f t="shared" si="17"/>
        <v>0</v>
      </c>
    </row>
    <row r="69" spans="1:37" ht="14.1" customHeight="1" x14ac:dyDescent="0.2">
      <c r="A69" s="12">
        <v>13</v>
      </c>
      <c r="B69" s="65"/>
      <c r="C69" s="101" t="str">
        <f>ANUAL!$C153</f>
        <v>A01</v>
      </c>
      <c r="D69" s="303" t="str">
        <f>ANUAL!$D153</f>
        <v>ALIMENTAÇÃO – ALMOÇO</v>
      </c>
      <c r="E69" s="303"/>
      <c r="F69" s="303"/>
      <c r="G69" s="102">
        <f t="shared" si="16"/>
        <v>0</v>
      </c>
      <c r="H69" s="62"/>
      <c r="N69" s="12">
        <v>61</v>
      </c>
      <c r="O69" s="65"/>
      <c r="P69" s="49"/>
      <c r="Q69" s="50"/>
      <c r="R69" s="51"/>
      <c r="S69" s="52"/>
      <c r="T69" s="53"/>
      <c r="U69" s="54"/>
      <c r="V69" s="62"/>
      <c r="X69" s="1">
        <f t="shared" ca="1" si="14"/>
        <v>1</v>
      </c>
      <c r="Z69" s="1">
        <f t="shared" ref="Z69:AK78" si="18">IF(Z$8=$R69,-$T69,0)+IF(Z$8=$S69,$T69,0)</f>
        <v>0</v>
      </c>
      <c r="AA69" s="1">
        <f t="shared" si="18"/>
        <v>0</v>
      </c>
      <c r="AB69" s="1">
        <f t="shared" si="18"/>
        <v>0</v>
      </c>
      <c r="AC69" s="1">
        <f t="shared" si="18"/>
        <v>0</v>
      </c>
      <c r="AD69" s="1">
        <f t="shared" si="18"/>
        <v>0</v>
      </c>
      <c r="AE69" s="1">
        <f t="shared" si="18"/>
        <v>0</v>
      </c>
      <c r="AF69" s="1">
        <f t="shared" si="18"/>
        <v>0</v>
      </c>
      <c r="AG69" s="1">
        <f t="shared" si="18"/>
        <v>0</v>
      </c>
      <c r="AH69" s="1">
        <f t="shared" si="18"/>
        <v>0</v>
      </c>
      <c r="AI69" s="1">
        <f t="shared" si="18"/>
        <v>0</v>
      </c>
      <c r="AJ69" s="1">
        <f t="shared" si="18"/>
        <v>0</v>
      </c>
      <c r="AK69" s="1">
        <f t="shared" si="18"/>
        <v>0</v>
      </c>
    </row>
    <row r="70" spans="1:37" ht="14.1" customHeight="1" x14ac:dyDescent="0.2">
      <c r="A70" s="16">
        <v>14</v>
      </c>
      <c r="B70" s="65"/>
      <c r="C70" s="103" t="str">
        <f>ANUAL!$C154</f>
        <v>A02</v>
      </c>
      <c r="D70" s="302" t="str">
        <f>ANUAL!$D154</f>
        <v>ALIMENTAÇÃO – COMPRA MENSAL</v>
      </c>
      <c r="E70" s="302"/>
      <c r="F70" s="302"/>
      <c r="G70" s="104">
        <f t="shared" si="16"/>
        <v>0</v>
      </c>
      <c r="H70" s="62"/>
      <c r="N70" s="16">
        <v>62</v>
      </c>
      <c r="O70" s="65"/>
      <c r="P70" s="55"/>
      <c r="Q70" s="56"/>
      <c r="R70" s="57"/>
      <c r="S70" s="58"/>
      <c r="T70" s="59"/>
      <c r="U70" s="60"/>
      <c r="V70" s="62"/>
      <c r="X70" s="1">
        <f t="shared" ca="1" si="14"/>
        <v>1</v>
      </c>
      <c r="Z70" s="1">
        <f t="shared" si="18"/>
        <v>0</v>
      </c>
      <c r="AA70" s="1">
        <f t="shared" si="18"/>
        <v>0</v>
      </c>
      <c r="AB70" s="1">
        <f t="shared" si="18"/>
        <v>0</v>
      </c>
      <c r="AC70" s="1">
        <f t="shared" si="18"/>
        <v>0</v>
      </c>
      <c r="AD70" s="1">
        <f t="shared" si="18"/>
        <v>0</v>
      </c>
      <c r="AE70" s="1">
        <f t="shared" si="18"/>
        <v>0</v>
      </c>
      <c r="AF70" s="1">
        <f t="shared" si="18"/>
        <v>0</v>
      </c>
      <c r="AG70" s="1">
        <f t="shared" si="18"/>
        <v>0</v>
      </c>
      <c r="AH70" s="1">
        <f t="shared" si="18"/>
        <v>0</v>
      </c>
      <c r="AI70" s="1">
        <f t="shared" si="18"/>
        <v>0</v>
      </c>
      <c r="AJ70" s="1">
        <f t="shared" si="18"/>
        <v>0</v>
      </c>
      <c r="AK70" s="1">
        <f t="shared" si="18"/>
        <v>0</v>
      </c>
    </row>
    <row r="71" spans="1:37" ht="14.1" customHeight="1" x14ac:dyDescent="0.2">
      <c r="A71" s="12">
        <v>15</v>
      </c>
      <c r="B71" s="65"/>
      <c r="C71" s="101" t="str">
        <f>ANUAL!$C155</f>
        <v>A03</v>
      </c>
      <c r="D71" s="303" t="str">
        <f>ANUAL!$D155</f>
        <v>ALIMENTAÇÃO – FEIRAS SEMANAIS</v>
      </c>
      <c r="E71" s="303"/>
      <c r="F71" s="303"/>
      <c r="G71" s="102">
        <f t="shared" si="16"/>
        <v>0</v>
      </c>
      <c r="H71" s="62"/>
      <c r="N71" s="12">
        <v>63</v>
      </c>
      <c r="O71" s="65"/>
      <c r="P71" s="49"/>
      <c r="Q71" s="50"/>
      <c r="R71" s="51"/>
      <c r="S71" s="52"/>
      <c r="T71" s="53"/>
      <c r="U71" s="54"/>
      <c r="V71" s="62"/>
      <c r="X71" s="1">
        <f t="shared" ca="1" si="14"/>
        <v>1</v>
      </c>
      <c r="Z71" s="1">
        <f t="shared" si="18"/>
        <v>0</v>
      </c>
      <c r="AA71" s="1">
        <f t="shared" si="18"/>
        <v>0</v>
      </c>
      <c r="AB71" s="1">
        <f t="shared" si="18"/>
        <v>0</v>
      </c>
      <c r="AC71" s="1">
        <f t="shared" si="18"/>
        <v>0</v>
      </c>
      <c r="AD71" s="1">
        <f t="shared" si="18"/>
        <v>0</v>
      </c>
      <c r="AE71" s="1">
        <f t="shared" si="18"/>
        <v>0</v>
      </c>
      <c r="AF71" s="1">
        <f t="shared" si="18"/>
        <v>0</v>
      </c>
      <c r="AG71" s="1">
        <f t="shared" si="18"/>
        <v>0</v>
      </c>
      <c r="AH71" s="1">
        <f t="shared" si="18"/>
        <v>0</v>
      </c>
      <c r="AI71" s="1">
        <f t="shared" si="18"/>
        <v>0</v>
      </c>
      <c r="AJ71" s="1">
        <f t="shared" si="18"/>
        <v>0</v>
      </c>
      <c r="AK71" s="1">
        <f t="shared" si="18"/>
        <v>0</v>
      </c>
    </row>
    <row r="72" spans="1:37" ht="14.1" customHeight="1" x14ac:dyDescent="0.2">
      <c r="A72" s="16">
        <v>16</v>
      </c>
      <c r="B72" s="65"/>
      <c r="C72" s="103" t="str">
        <f>ANUAL!$C156</f>
        <v>T01</v>
      </c>
      <c r="D72" s="302" t="str">
        <f>ANUAL!$D156</f>
        <v>TELECOM – CELULAR</v>
      </c>
      <c r="E72" s="302"/>
      <c r="F72" s="302"/>
      <c r="G72" s="104">
        <f t="shared" si="16"/>
        <v>0</v>
      </c>
      <c r="H72" s="62"/>
      <c r="N72" s="16">
        <v>64</v>
      </c>
      <c r="O72" s="65"/>
      <c r="P72" s="55"/>
      <c r="Q72" s="56"/>
      <c r="R72" s="57"/>
      <c r="S72" s="58"/>
      <c r="T72" s="59"/>
      <c r="U72" s="60"/>
      <c r="V72" s="62"/>
      <c r="X72" s="1">
        <f t="shared" ca="1" si="14"/>
        <v>1</v>
      </c>
      <c r="Z72" s="1">
        <f t="shared" si="18"/>
        <v>0</v>
      </c>
      <c r="AA72" s="1">
        <f t="shared" si="18"/>
        <v>0</v>
      </c>
      <c r="AB72" s="1">
        <f t="shared" si="18"/>
        <v>0</v>
      </c>
      <c r="AC72" s="1">
        <f t="shared" si="18"/>
        <v>0</v>
      </c>
      <c r="AD72" s="1">
        <f t="shared" si="18"/>
        <v>0</v>
      </c>
      <c r="AE72" s="1">
        <f t="shared" si="18"/>
        <v>0</v>
      </c>
      <c r="AF72" s="1">
        <f t="shared" si="18"/>
        <v>0</v>
      </c>
      <c r="AG72" s="1">
        <f t="shared" si="18"/>
        <v>0</v>
      </c>
      <c r="AH72" s="1">
        <f t="shared" si="18"/>
        <v>0</v>
      </c>
      <c r="AI72" s="1">
        <f t="shared" si="18"/>
        <v>0</v>
      </c>
      <c r="AJ72" s="1">
        <f t="shared" si="18"/>
        <v>0</v>
      </c>
      <c r="AK72" s="1">
        <f t="shared" si="18"/>
        <v>0</v>
      </c>
    </row>
    <row r="73" spans="1:37" ht="14.1" customHeight="1" x14ac:dyDescent="0.2">
      <c r="A73" s="12">
        <v>17</v>
      </c>
      <c r="B73" s="65"/>
      <c r="C73" s="101" t="str">
        <f>ANUAL!$C157</f>
        <v>T02</v>
      </c>
      <c r="D73" s="303" t="str">
        <f>ANUAL!$D157</f>
        <v>TELECOM – INTERNET</v>
      </c>
      <c r="E73" s="303"/>
      <c r="F73" s="303"/>
      <c r="G73" s="102">
        <f t="shared" si="16"/>
        <v>0</v>
      </c>
      <c r="H73" s="62"/>
      <c r="N73" s="12">
        <v>65</v>
      </c>
      <c r="O73" s="65"/>
      <c r="P73" s="49"/>
      <c r="Q73" s="50"/>
      <c r="R73" s="51"/>
      <c r="S73" s="52"/>
      <c r="T73" s="53"/>
      <c r="U73" s="54"/>
      <c r="V73" s="62"/>
      <c r="X73" s="1">
        <f t="shared" ref="X73:X88" ca="1" si="19">IF(P73&lt;NOW(),1,0)</f>
        <v>1</v>
      </c>
      <c r="Z73" s="1">
        <f t="shared" si="18"/>
        <v>0</v>
      </c>
      <c r="AA73" s="1">
        <f t="shared" si="18"/>
        <v>0</v>
      </c>
      <c r="AB73" s="1">
        <f t="shared" si="18"/>
        <v>0</v>
      </c>
      <c r="AC73" s="1">
        <f t="shared" si="18"/>
        <v>0</v>
      </c>
      <c r="AD73" s="1">
        <f t="shared" si="18"/>
        <v>0</v>
      </c>
      <c r="AE73" s="1">
        <f t="shared" si="18"/>
        <v>0</v>
      </c>
      <c r="AF73" s="1">
        <f t="shared" si="18"/>
        <v>0</v>
      </c>
      <c r="AG73" s="1">
        <f t="shared" si="18"/>
        <v>0</v>
      </c>
      <c r="AH73" s="1">
        <f t="shared" si="18"/>
        <v>0</v>
      </c>
      <c r="AI73" s="1">
        <f t="shared" si="18"/>
        <v>0</v>
      </c>
      <c r="AJ73" s="1">
        <f t="shared" si="18"/>
        <v>0</v>
      </c>
      <c r="AK73" s="1">
        <f t="shared" si="18"/>
        <v>0</v>
      </c>
    </row>
    <row r="74" spans="1:37" ht="14.1" customHeight="1" x14ac:dyDescent="0.2">
      <c r="A74" s="16">
        <v>18</v>
      </c>
      <c r="B74" s="65"/>
      <c r="C74" s="103" t="str">
        <f>ANUAL!$C158</f>
        <v>T03</v>
      </c>
      <c r="D74" s="302" t="str">
        <f>ANUAL!$D158</f>
        <v>TELECOM – FIXO</v>
      </c>
      <c r="E74" s="302"/>
      <c r="F74" s="302"/>
      <c r="G74" s="104">
        <f t="shared" si="16"/>
        <v>0</v>
      </c>
      <c r="H74" s="62"/>
      <c r="N74" s="16">
        <v>66</v>
      </c>
      <c r="O74" s="65"/>
      <c r="P74" s="55"/>
      <c r="Q74" s="56"/>
      <c r="R74" s="57"/>
      <c r="S74" s="58"/>
      <c r="T74" s="59"/>
      <c r="U74" s="60"/>
      <c r="V74" s="62"/>
      <c r="X74" s="1">
        <f t="shared" ca="1" si="19"/>
        <v>1</v>
      </c>
      <c r="Z74" s="1">
        <f t="shared" si="18"/>
        <v>0</v>
      </c>
      <c r="AA74" s="1">
        <f t="shared" si="18"/>
        <v>0</v>
      </c>
      <c r="AB74" s="1">
        <f t="shared" si="18"/>
        <v>0</v>
      </c>
      <c r="AC74" s="1">
        <f t="shared" si="18"/>
        <v>0</v>
      </c>
      <c r="AD74" s="1">
        <f t="shared" si="18"/>
        <v>0</v>
      </c>
      <c r="AE74" s="1">
        <f t="shared" si="18"/>
        <v>0</v>
      </c>
      <c r="AF74" s="1">
        <f t="shared" si="18"/>
        <v>0</v>
      </c>
      <c r="AG74" s="1">
        <f t="shared" si="18"/>
        <v>0</v>
      </c>
      <c r="AH74" s="1">
        <f t="shared" si="18"/>
        <v>0</v>
      </c>
      <c r="AI74" s="1">
        <f t="shared" si="18"/>
        <v>0</v>
      </c>
      <c r="AJ74" s="1">
        <f t="shared" si="18"/>
        <v>0</v>
      </c>
      <c r="AK74" s="1">
        <f t="shared" si="18"/>
        <v>0</v>
      </c>
    </row>
    <row r="75" spans="1:37" ht="14.1" customHeight="1" x14ac:dyDescent="0.2">
      <c r="A75" s="12">
        <v>19</v>
      </c>
      <c r="B75" s="65"/>
      <c r="C75" s="101" t="str">
        <f>ANUAL!$C159</f>
        <v>R01</v>
      </c>
      <c r="D75" s="303" t="str">
        <f>ANUAL!$D159</f>
        <v>CARRO – SEGURO</v>
      </c>
      <c r="E75" s="303"/>
      <c r="F75" s="303"/>
      <c r="G75" s="102">
        <f t="shared" si="16"/>
        <v>0</v>
      </c>
      <c r="H75" s="62"/>
      <c r="N75" s="12">
        <v>67</v>
      </c>
      <c r="O75" s="65"/>
      <c r="P75" s="49"/>
      <c r="Q75" s="50"/>
      <c r="R75" s="51"/>
      <c r="S75" s="52"/>
      <c r="T75" s="53"/>
      <c r="U75" s="54"/>
      <c r="V75" s="62"/>
      <c r="X75" s="1">
        <f t="shared" ca="1" si="19"/>
        <v>1</v>
      </c>
      <c r="Z75" s="1">
        <f t="shared" si="18"/>
        <v>0</v>
      </c>
      <c r="AA75" s="1">
        <f t="shared" si="18"/>
        <v>0</v>
      </c>
      <c r="AB75" s="1">
        <f t="shared" si="18"/>
        <v>0</v>
      </c>
      <c r="AC75" s="1">
        <f t="shared" si="18"/>
        <v>0</v>
      </c>
      <c r="AD75" s="1">
        <f t="shared" si="18"/>
        <v>0</v>
      </c>
      <c r="AE75" s="1">
        <f t="shared" si="18"/>
        <v>0</v>
      </c>
      <c r="AF75" s="1">
        <f t="shared" si="18"/>
        <v>0</v>
      </c>
      <c r="AG75" s="1">
        <f t="shared" si="18"/>
        <v>0</v>
      </c>
      <c r="AH75" s="1">
        <f t="shared" si="18"/>
        <v>0</v>
      </c>
      <c r="AI75" s="1">
        <f t="shared" si="18"/>
        <v>0</v>
      </c>
      <c r="AJ75" s="1">
        <f t="shared" si="18"/>
        <v>0</v>
      </c>
      <c r="AK75" s="1">
        <f t="shared" si="18"/>
        <v>0</v>
      </c>
    </row>
    <row r="76" spans="1:37" ht="14.1" customHeight="1" x14ac:dyDescent="0.2">
      <c r="A76" s="16">
        <v>20</v>
      </c>
      <c r="B76" s="65"/>
      <c r="C76" s="103" t="str">
        <f>ANUAL!$C160</f>
        <v>R02</v>
      </c>
      <c r="D76" s="302" t="str">
        <f>ANUAL!$D160</f>
        <v>CARRO – COMBUSTÍVEL</v>
      </c>
      <c r="E76" s="302"/>
      <c r="F76" s="302"/>
      <c r="G76" s="104">
        <f t="shared" si="16"/>
        <v>0</v>
      </c>
      <c r="H76" s="62"/>
      <c r="N76" s="16">
        <v>68</v>
      </c>
      <c r="O76" s="65"/>
      <c r="P76" s="55"/>
      <c r="Q76" s="56"/>
      <c r="R76" s="57"/>
      <c r="S76" s="58"/>
      <c r="T76" s="59"/>
      <c r="U76" s="60"/>
      <c r="V76" s="62"/>
      <c r="X76" s="1">
        <f t="shared" ca="1" si="19"/>
        <v>1</v>
      </c>
      <c r="Z76" s="1">
        <f t="shared" si="18"/>
        <v>0</v>
      </c>
      <c r="AA76" s="1">
        <f t="shared" si="18"/>
        <v>0</v>
      </c>
      <c r="AB76" s="1">
        <f t="shared" si="18"/>
        <v>0</v>
      </c>
      <c r="AC76" s="1">
        <f t="shared" si="18"/>
        <v>0</v>
      </c>
      <c r="AD76" s="1">
        <f t="shared" si="18"/>
        <v>0</v>
      </c>
      <c r="AE76" s="1">
        <f t="shared" si="18"/>
        <v>0</v>
      </c>
      <c r="AF76" s="1">
        <f t="shared" si="18"/>
        <v>0</v>
      </c>
      <c r="AG76" s="1">
        <f t="shared" si="18"/>
        <v>0</v>
      </c>
      <c r="AH76" s="1">
        <f t="shared" si="18"/>
        <v>0</v>
      </c>
      <c r="AI76" s="1">
        <f t="shared" si="18"/>
        <v>0</v>
      </c>
      <c r="AJ76" s="1">
        <f t="shared" si="18"/>
        <v>0</v>
      </c>
      <c r="AK76" s="1">
        <f t="shared" si="18"/>
        <v>0</v>
      </c>
    </row>
    <row r="77" spans="1:37" ht="14.1" customHeight="1" x14ac:dyDescent="0.2">
      <c r="A77" s="12">
        <v>21</v>
      </c>
      <c r="B77" s="65"/>
      <c r="C77" s="101" t="str">
        <f>ANUAL!$C161</f>
        <v>R03</v>
      </c>
      <c r="D77" s="303" t="str">
        <f>ANUAL!$D161</f>
        <v>CARRO – CONSERTOS</v>
      </c>
      <c r="E77" s="303"/>
      <c r="F77" s="303"/>
      <c r="G77" s="102">
        <f t="shared" si="16"/>
        <v>0</v>
      </c>
      <c r="H77" s="62"/>
      <c r="N77" s="12">
        <v>69</v>
      </c>
      <c r="O77" s="65"/>
      <c r="P77" s="49"/>
      <c r="Q77" s="50"/>
      <c r="R77" s="51"/>
      <c r="S77" s="52"/>
      <c r="T77" s="53"/>
      <c r="U77" s="54"/>
      <c r="V77" s="62"/>
      <c r="X77" s="1">
        <f t="shared" ca="1" si="19"/>
        <v>1</v>
      </c>
      <c r="Z77" s="1">
        <f t="shared" si="18"/>
        <v>0</v>
      </c>
      <c r="AA77" s="1">
        <f t="shared" si="18"/>
        <v>0</v>
      </c>
      <c r="AB77" s="1">
        <f t="shared" si="18"/>
        <v>0</v>
      </c>
      <c r="AC77" s="1">
        <f t="shared" si="18"/>
        <v>0</v>
      </c>
      <c r="AD77" s="1">
        <f t="shared" si="18"/>
        <v>0</v>
      </c>
      <c r="AE77" s="1">
        <f t="shared" si="18"/>
        <v>0</v>
      </c>
      <c r="AF77" s="1">
        <f t="shared" si="18"/>
        <v>0</v>
      </c>
      <c r="AG77" s="1">
        <f t="shared" si="18"/>
        <v>0</v>
      </c>
      <c r="AH77" s="1">
        <f t="shared" si="18"/>
        <v>0</v>
      </c>
      <c r="AI77" s="1">
        <f t="shared" si="18"/>
        <v>0</v>
      </c>
      <c r="AJ77" s="1">
        <f t="shared" si="18"/>
        <v>0</v>
      </c>
      <c r="AK77" s="1">
        <f t="shared" si="18"/>
        <v>0</v>
      </c>
    </row>
    <row r="78" spans="1:37" ht="14.1" customHeight="1" x14ac:dyDescent="0.2">
      <c r="A78" s="16">
        <v>22</v>
      </c>
      <c r="B78" s="65"/>
      <c r="C78" s="103" t="str">
        <f>ANUAL!$C162</f>
        <v>R04</v>
      </c>
      <c r="D78" s="302" t="str">
        <f>ANUAL!$D162</f>
        <v>CARRO – PRESTAÇOES</v>
      </c>
      <c r="E78" s="302"/>
      <c r="F78" s="302"/>
      <c r="G78" s="104">
        <f t="shared" si="16"/>
        <v>0</v>
      </c>
      <c r="H78" s="62"/>
      <c r="N78" s="16">
        <v>70</v>
      </c>
      <c r="O78" s="65"/>
      <c r="P78" s="55"/>
      <c r="Q78" s="56"/>
      <c r="R78" s="57"/>
      <c r="S78" s="58"/>
      <c r="T78" s="59"/>
      <c r="U78" s="60"/>
      <c r="V78" s="62"/>
      <c r="X78" s="1">
        <f t="shared" ca="1" si="19"/>
        <v>1</v>
      </c>
      <c r="Z78" s="1">
        <f t="shared" si="18"/>
        <v>0</v>
      </c>
      <c r="AA78" s="1">
        <f t="shared" si="18"/>
        <v>0</v>
      </c>
      <c r="AB78" s="1">
        <f t="shared" si="18"/>
        <v>0</v>
      </c>
      <c r="AC78" s="1">
        <f t="shared" si="18"/>
        <v>0</v>
      </c>
      <c r="AD78" s="1">
        <f t="shared" si="18"/>
        <v>0</v>
      </c>
      <c r="AE78" s="1">
        <f t="shared" si="18"/>
        <v>0</v>
      </c>
      <c r="AF78" s="1">
        <f t="shared" si="18"/>
        <v>0</v>
      </c>
      <c r="AG78" s="1">
        <f t="shared" si="18"/>
        <v>0</v>
      </c>
      <c r="AH78" s="1">
        <f t="shared" si="18"/>
        <v>0</v>
      </c>
      <c r="AI78" s="1">
        <f t="shared" si="18"/>
        <v>0</v>
      </c>
      <c r="AJ78" s="1">
        <f t="shared" si="18"/>
        <v>0</v>
      </c>
      <c r="AK78" s="1">
        <f t="shared" si="18"/>
        <v>0</v>
      </c>
    </row>
    <row r="79" spans="1:37" ht="14.1" customHeight="1" x14ac:dyDescent="0.2">
      <c r="A79" s="12">
        <v>23</v>
      </c>
      <c r="B79" s="65"/>
      <c r="C79" s="101" t="str">
        <f>ANUAL!$C163</f>
        <v>B01</v>
      </c>
      <c r="D79" s="303" t="str">
        <f>ANUAL!$D163</f>
        <v>BANCO – TAXAS, JUROS ETC.</v>
      </c>
      <c r="E79" s="303"/>
      <c r="F79" s="303"/>
      <c r="G79" s="102">
        <f t="shared" si="16"/>
        <v>0</v>
      </c>
      <c r="H79" s="62"/>
      <c r="N79" s="12">
        <v>71</v>
      </c>
      <c r="O79" s="65"/>
      <c r="P79" s="49"/>
      <c r="Q79" s="50"/>
      <c r="R79" s="51"/>
      <c r="S79" s="52"/>
      <c r="T79" s="53"/>
      <c r="U79" s="54"/>
      <c r="V79" s="62"/>
      <c r="X79" s="1">
        <f t="shared" ca="1" si="19"/>
        <v>1</v>
      </c>
      <c r="Z79" s="1">
        <f t="shared" ref="Z79:AK88" si="20">IF(Z$8=$R79,-$T79,0)+IF(Z$8=$S79,$T79,0)</f>
        <v>0</v>
      </c>
      <c r="AA79" s="1">
        <f t="shared" si="20"/>
        <v>0</v>
      </c>
      <c r="AB79" s="1">
        <f t="shared" si="20"/>
        <v>0</v>
      </c>
      <c r="AC79" s="1">
        <f t="shared" si="20"/>
        <v>0</v>
      </c>
      <c r="AD79" s="1">
        <f t="shared" si="20"/>
        <v>0</v>
      </c>
      <c r="AE79" s="1">
        <f t="shared" si="20"/>
        <v>0</v>
      </c>
      <c r="AF79" s="1">
        <f t="shared" si="20"/>
        <v>0</v>
      </c>
      <c r="AG79" s="1">
        <f t="shared" si="20"/>
        <v>0</v>
      </c>
      <c r="AH79" s="1">
        <f t="shared" si="20"/>
        <v>0</v>
      </c>
      <c r="AI79" s="1">
        <f t="shared" si="20"/>
        <v>0</v>
      </c>
      <c r="AJ79" s="1">
        <f t="shared" si="20"/>
        <v>0</v>
      </c>
      <c r="AK79" s="1">
        <f t="shared" si="20"/>
        <v>0</v>
      </c>
    </row>
    <row r="80" spans="1:37" ht="14.1" customHeight="1" x14ac:dyDescent="0.2">
      <c r="A80" s="16">
        <v>24</v>
      </c>
      <c r="B80" s="65"/>
      <c r="C80" s="103" t="str">
        <f>ANUAL!$C164</f>
        <v>E01</v>
      </c>
      <c r="D80" s="302" t="str">
        <f>ANUAL!$D164</f>
        <v>EDUCAÇÃO / TREINAMENTO</v>
      </c>
      <c r="E80" s="302"/>
      <c r="F80" s="302"/>
      <c r="G80" s="104">
        <f t="shared" si="16"/>
        <v>0</v>
      </c>
      <c r="H80" s="62"/>
      <c r="N80" s="16">
        <v>72</v>
      </c>
      <c r="O80" s="65"/>
      <c r="P80" s="55"/>
      <c r="Q80" s="56"/>
      <c r="R80" s="57"/>
      <c r="S80" s="58"/>
      <c r="T80" s="59"/>
      <c r="U80" s="60"/>
      <c r="V80" s="62"/>
      <c r="X80" s="1">
        <f t="shared" ca="1" si="19"/>
        <v>1</v>
      </c>
      <c r="Z80" s="1">
        <f t="shared" si="20"/>
        <v>0</v>
      </c>
      <c r="AA80" s="1">
        <f t="shared" si="20"/>
        <v>0</v>
      </c>
      <c r="AB80" s="1">
        <f t="shared" si="20"/>
        <v>0</v>
      </c>
      <c r="AC80" s="1">
        <f t="shared" si="20"/>
        <v>0</v>
      </c>
      <c r="AD80" s="1">
        <f t="shared" si="20"/>
        <v>0</v>
      </c>
      <c r="AE80" s="1">
        <f t="shared" si="20"/>
        <v>0</v>
      </c>
      <c r="AF80" s="1">
        <f t="shared" si="20"/>
        <v>0</v>
      </c>
      <c r="AG80" s="1">
        <f t="shared" si="20"/>
        <v>0</v>
      </c>
      <c r="AH80" s="1">
        <f t="shared" si="20"/>
        <v>0</v>
      </c>
      <c r="AI80" s="1">
        <f t="shared" si="20"/>
        <v>0</v>
      </c>
      <c r="AJ80" s="1">
        <f t="shared" si="20"/>
        <v>0</v>
      </c>
      <c r="AK80" s="1">
        <f t="shared" si="20"/>
        <v>0</v>
      </c>
    </row>
    <row r="81" spans="1:37" ht="14.1" customHeight="1" x14ac:dyDescent="0.2">
      <c r="A81" s="12">
        <v>25</v>
      </c>
      <c r="B81" s="65"/>
      <c r="C81" s="101" t="str">
        <f>ANUAL!$C165</f>
        <v>V01</v>
      </c>
      <c r="D81" s="303" t="str">
        <f>ANUAL!$D165</f>
        <v>VIAGEM</v>
      </c>
      <c r="E81" s="303"/>
      <c r="F81" s="303"/>
      <c r="G81" s="102">
        <f t="shared" si="16"/>
        <v>0</v>
      </c>
      <c r="H81" s="62"/>
      <c r="N81" s="12">
        <v>73</v>
      </c>
      <c r="O81" s="65"/>
      <c r="P81" s="49"/>
      <c r="Q81" s="50"/>
      <c r="R81" s="51"/>
      <c r="S81" s="52"/>
      <c r="T81" s="53"/>
      <c r="U81" s="54"/>
      <c r="V81" s="62"/>
      <c r="X81" s="1">
        <f t="shared" ca="1" si="19"/>
        <v>1</v>
      </c>
      <c r="Z81" s="1">
        <f t="shared" si="20"/>
        <v>0</v>
      </c>
      <c r="AA81" s="1">
        <f t="shared" si="20"/>
        <v>0</v>
      </c>
      <c r="AB81" s="1">
        <f t="shared" si="20"/>
        <v>0</v>
      </c>
      <c r="AC81" s="1">
        <f t="shared" si="20"/>
        <v>0</v>
      </c>
      <c r="AD81" s="1">
        <f t="shared" si="20"/>
        <v>0</v>
      </c>
      <c r="AE81" s="1">
        <f t="shared" si="20"/>
        <v>0</v>
      </c>
      <c r="AF81" s="1">
        <f t="shared" si="20"/>
        <v>0</v>
      </c>
      <c r="AG81" s="1">
        <f t="shared" si="20"/>
        <v>0</v>
      </c>
      <c r="AH81" s="1">
        <f t="shared" si="20"/>
        <v>0</v>
      </c>
      <c r="AI81" s="1">
        <f t="shared" si="20"/>
        <v>0</v>
      </c>
      <c r="AJ81" s="1">
        <f t="shared" si="20"/>
        <v>0</v>
      </c>
      <c r="AK81" s="1">
        <f t="shared" si="20"/>
        <v>0</v>
      </c>
    </row>
    <row r="82" spans="1:37" ht="14.1" customHeight="1" x14ac:dyDescent="0.2">
      <c r="A82" s="16">
        <v>26</v>
      </c>
      <c r="B82" s="65"/>
      <c r="C82" s="103" t="str">
        <f>ANUAL!$C166</f>
        <v>P01</v>
      </c>
      <c r="D82" s="302" t="str">
        <f>ANUAL!$D166</f>
        <v>PESSOAL – DÍZIMO</v>
      </c>
      <c r="E82" s="302"/>
      <c r="F82" s="302"/>
      <c r="G82" s="104">
        <f t="shared" si="16"/>
        <v>0</v>
      </c>
      <c r="H82" s="62"/>
      <c r="I82" s="3"/>
      <c r="J82" s="3"/>
      <c r="K82" s="3"/>
      <c r="L82" s="3"/>
      <c r="M82" s="3"/>
      <c r="N82" s="16">
        <v>74</v>
      </c>
      <c r="O82" s="65"/>
      <c r="P82" s="55"/>
      <c r="Q82" s="56"/>
      <c r="R82" s="57"/>
      <c r="S82" s="58"/>
      <c r="T82" s="59"/>
      <c r="U82" s="60"/>
      <c r="V82" s="62"/>
      <c r="X82" s="1">
        <f t="shared" ca="1" si="19"/>
        <v>1</v>
      </c>
      <c r="Z82" s="1">
        <f t="shared" si="20"/>
        <v>0</v>
      </c>
      <c r="AA82" s="1">
        <f t="shared" si="20"/>
        <v>0</v>
      </c>
      <c r="AB82" s="1">
        <f t="shared" si="20"/>
        <v>0</v>
      </c>
      <c r="AC82" s="1">
        <f t="shared" si="20"/>
        <v>0</v>
      </c>
      <c r="AD82" s="1">
        <f t="shared" si="20"/>
        <v>0</v>
      </c>
      <c r="AE82" s="1">
        <f t="shared" si="20"/>
        <v>0</v>
      </c>
      <c r="AF82" s="1">
        <f t="shared" si="20"/>
        <v>0</v>
      </c>
      <c r="AG82" s="1">
        <f t="shared" si="20"/>
        <v>0</v>
      </c>
      <c r="AH82" s="1">
        <f t="shared" si="20"/>
        <v>0</v>
      </c>
      <c r="AI82" s="1">
        <f t="shared" si="20"/>
        <v>0</v>
      </c>
      <c r="AJ82" s="1">
        <f t="shared" si="20"/>
        <v>0</v>
      </c>
      <c r="AK82" s="1">
        <f t="shared" si="20"/>
        <v>0</v>
      </c>
    </row>
    <row r="83" spans="1:37" ht="14.1" customHeight="1" x14ac:dyDescent="0.2">
      <c r="A83" s="12">
        <v>27</v>
      </c>
      <c r="B83" s="65"/>
      <c r="C83" s="101" t="str">
        <f>ANUAL!$C167</f>
        <v>---</v>
      </c>
      <c r="D83" s="303" t="str">
        <f>ANUAL!$D167</f>
        <v>---</v>
      </c>
      <c r="E83" s="303"/>
      <c r="F83" s="303"/>
      <c r="G83" s="102">
        <f t="shared" si="16"/>
        <v>0</v>
      </c>
      <c r="H83" s="62"/>
      <c r="I83" s="3"/>
      <c r="J83" s="3"/>
      <c r="K83" s="3"/>
      <c r="L83" s="3"/>
      <c r="M83" s="3"/>
      <c r="N83" s="12">
        <v>75</v>
      </c>
      <c r="O83" s="65"/>
      <c r="P83" s="49"/>
      <c r="Q83" s="50"/>
      <c r="R83" s="51"/>
      <c r="S83" s="52"/>
      <c r="T83" s="53"/>
      <c r="U83" s="54"/>
      <c r="V83" s="62"/>
      <c r="X83" s="1">
        <f t="shared" ca="1" si="19"/>
        <v>1</v>
      </c>
      <c r="Z83" s="1">
        <f t="shared" si="20"/>
        <v>0</v>
      </c>
      <c r="AA83" s="1">
        <f t="shared" si="20"/>
        <v>0</v>
      </c>
      <c r="AB83" s="1">
        <f t="shared" si="20"/>
        <v>0</v>
      </c>
      <c r="AC83" s="1">
        <f t="shared" si="20"/>
        <v>0</v>
      </c>
      <c r="AD83" s="1">
        <f t="shared" si="20"/>
        <v>0</v>
      </c>
      <c r="AE83" s="1">
        <f t="shared" si="20"/>
        <v>0</v>
      </c>
      <c r="AF83" s="1">
        <f t="shared" si="20"/>
        <v>0</v>
      </c>
      <c r="AG83" s="1">
        <f t="shared" si="20"/>
        <v>0</v>
      </c>
      <c r="AH83" s="1">
        <f t="shared" si="20"/>
        <v>0</v>
      </c>
      <c r="AI83" s="1">
        <f t="shared" si="20"/>
        <v>0</v>
      </c>
      <c r="AJ83" s="1">
        <f t="shared" si="20"/>
        <v>0</v>
      </c>
      <c r="AK83" s="1">
        <f t="shared" si="20"/>
        <v>0</v>
      </c>
    </row>
    <row r="84" spans="1:37" ht="14.1" customHeight="1" x14ac:dyDescent="0.2">
      <c r="A84" s="16">
        <v>28</v>
      </c>
      <c r="B84" s="65"/>
      <c r="C84" s="103" t="str">
        <f>ANUAL!$C168</f>
        <v>---</v>
      </c>
      <c r="D84" s="302" t="str">
        <f>ANUAL!$D168</f>
        <v>---</v>
      </c>
      <c r="E84" s="302"/>
      <c r="F84" s="302"/>
      <c r="G84" s="104">
        <f t="shared" si="16"/>
        <v>0</v>
      </c>
      <c r="H84" s="62"/>
      <c r="I84" s="3"/>
      <c r="J84" s="3"/>
      <c r="K84" s="3"/>
      <c r="L84" s="3"/>
      <c r="M84" s="3"/>
      <c r="N84" s="16">
        <v>76</v>
      </c>
      <c r="O84" s="65"/>
      <c r="P84" s="55"/>
      <c r="Q84" s="56"/>
      <c r="R84" s="57"/>
      <c r="S84" s="58"/>
      <c r="T84" s="59"/>
      <c r="U84" s="60"/>
      <c r="V84" s="62"/>
      <c r="X84" s="1">
        <f t="shared" ca="1" si="19"/>
        <v>1</v>
      </c>
      <c r="Z84" s="1">
        <f t="shared" si="20"/>
        <v>0</v>
      </c>
      <c r="AA84" s="1">
        <f t="shared" si="20"/>
        <v>0</v>
      </c>
      <c r="AB84" s="1">
        <f t="shared" si="20"/>
        <v>0</v>
      </c>
      <c r="AC84" s="1">
        <f t="shared" si="20"/>
        <v>0</v>
      </c>
      <c r="AD84" s="1">
        <f t="shared" si="20"/>
        <v>0</v>
      </c>
      <c r="AE84" s="1">
        <f t="shared" si="20"/>
        <v>0</v>
      </c>
      <c r="AF84" s="1">
        <f t="shared" si="20"/>
        <v>0</v>
      </c>
      <c r="AG84" s="1">
        <f t="shared" si="20"/>
        <v>0</v>
      </c>
      <c r="AH84" s="1">
        <f t="shared" si="20"/>
        <v>0</v>
      </c>
      <c r="AI84" s="1">
        <f t="shared" si="20"/>
        <v>0</v>
      </c>
      <c r="AJ84" s="1">
        <f t="shared" si="20"/>
        <v>0</v>
      </c>
      <c r="AK84" s="1">
        <f t="shared" si="20"/>
        <v>0</v>
      </c>
    </row>
    <row r="85" spans="1:37" ht="14.1" customHeight="1" x14ac:dyDescent="0.2">
      <c r="A85" s="12">
        <v>29</v>
      </c>
      <c r="B85" s="65"/>
      <c r="C85" s="101" t="str">
        <f>ANUAL!$C169</f>
        <v>---</v>
      </c>
      <c r="D85" s="303" t="str">
        <f>ANUAL!$D169</f>
        <v>---</v>
      </c>
      <c r="E85" s="303"/>
      <c r="F85" s="303"/>
      <c r="G85" s="102">
        <f t="shared" si="16"/>
        <v>0</v>
      </c>
      <c r="H85" s="62"/>
      <c r="I85" s="3"/>
      <c r="J85" s="3"/>
      <c r="K85" s="3"/>
      <c r="L85" s="3"/>
      <c r="M85" s="3"/>
      <c r="N85" s="12">
        <v>77</v>
      </c>
      <c r="O85" s="65"/>
      <c r="P85" s="49"/>
      <c r="Q85" s="50"/>
      <c r="R85" s="51"/>
      <c r="S85" s="52"/>
      <c r="T85" s="53"/>
      <c r="U85" s="54"/>
      <c r="V85" s="62"/>
      <c r="X85" s="1">
        <f t="shared" ca="1" si="19"/>
        <v>1</v>
      </c>
      <c r="Z85" s="1">
        <f t="shared" si="20"/>
        <v>0</v>
      </c>
      <c r="AA85" s="1">
        <f t="shared" si="20"/>
        <v>0</v>
      </c>
      <c r="AB85" s="1">
        <f t="shared" si="20"/>
        <v>0</v>
      </c>
      <c r="AC85" s="1">
        <f t="shared" si="20"/>
        <v>0</v>
      </c>
      <c r="AD85" s="1">
        <f t="shared" si="20"/>
        <v>0</v>
      </c>
      <c r="AE85" s="1">
        <f t="shared" si="20"/>
        <v>0</v>
      </c>
      <c r="AF85" s="1">
        <f t="shared" si="20"/>
        <v>0</v>
      </c>
      <c r="AG85" s="1">
        <f t="shared" si="20"/>
        <v>0</v>
      </c>
      <c r="AH85" s="1">
        <f t="shared" si="20"/>
        <v>0</v>
      </c>
      <c r="AI85" s="1">
        <f t="shared" si="20"/>
        <v>0</v>
      </c>
      <c r="AJ85" s="1">
        <f t="shared" si="20"/>
        <v>0</v>
      </c>
      <c r="AK85" s="1">
        <f t="shared" si="20"/>
        <v>0</v>
      </c>
    </row>
    <row r="86" spans="1:37" ht="14.1" customHeight="1" x14ac:dyDescent="0.2">
      <c r="A86" s="16">
        <v>30</v>
      </c>
      <c r="B86" s="65"/>
      <c r="C86" s="103" t="str">
        <f>ANUAL!$C170</f>
        <v>---</v>
      </c>
      <c r="D86" s="302" t="str">
        <f>ANUAL!$D170</f>
        <v>---</v>
      </c>
      <c r="E86" s="302"/>
      <c r="F86" s="302"/>
      <c r="G86" s="104">
        <f t="shared" si="16"/>
        <v>0</v>
      </c>
      <c r="H86" s="62"/>
      <c r="I86" s="3"/>
      <c r="J86" s="3"/>
      <c r="K86" s="3"/>
      <c r="L86" s="3"/>
      <c r="M86" s="3"/>
      <c r="N86" s="16">
        <v>78</v>
      </c>
      <c r="O86" s="65"/>
      <c r="P86" s="55"/>
      <c r="Q86" s="56"/>
      <c r="R86" s="57"/>
      <c r="S86" s="58"/>
      <c r="T86" s="59"/>
      <c r="U86" s="60"/>
      <c r="V86" s="62"/>
      <c r="X86" s="1">
        <f t="shared" ca="1" si="19"/>
        <v>1</v>
      </c>
      <c r="Z86" s="1">
        <f t="shared" si="20"/>
        <v>0</v>
      </c>
      <c r="AA86" s="1">
        <f t="shared" si="20"/>
        <v>0</v>
      </c>
      <c r="AB86" s="1">
        <f t="shared" si="20"/>
        <v>0</v>
      </c>
      <c r="AC86" s="1">
        <f t="shared" si="20"/>
        <v>0</v>
      </c>
      <c r="AD86" s="1">
        <f t="shared" si="20"/>
        <v>0</v>
      </c>
      <c r="AE86" s="1">
        <f t="shared" si="20"/>
        <v>0</v>
      </c>
      <c r="AF86" s="1">
        <f t="shared" si="20"/>
        <v>0</v>
      </c>
      <c r="AG86" s="1">
        <f t="shared" si="20"/>
        <v>0</v>
      </c>
      <c r="AH86" s="1">
        <f t="shared" si="20"/>
        <v>0</v>
      </c>
      <c r="AI86" s="1">
        <f t="shared" si="20"/>
        <v>0</v>
      </c>
      <c r="AJ86" s="1">
        <f t="shared" si="20"/>
        <v>0</v>
      </c>
      <c r="AK86" s="1">
        <f t="shared" si="20"/>
        <v>0</v>
      </c>
    </row>
    <row r="87" spans="1:37" ht="14.1" customHeight="1" x14ac:dyDescent="0.2">
      <c r="A87" s="12">
        <v>31</v>
      </c>
      <c r="B87" s="65"/>
      <c r="C87" s="101" t="str">
        <f>ANUAL!$C171</f>
        <v>---</v>
      </c>
      <c r="D87" s="303" t="str">
        <f>ANUAL!$D171</f>
        <v>---</v>
      </c>
      <c r="E87" s="303"/>
      <c r="F87" s="303"/>
      <c r="G87" s="102">
        <f t="shared" si="16"/>
        <v>0</v>
      </c>
      <c r="H87" s="62"/>
      <c r="I87" s="3"/>
      <c r="J87" s="3"/>
      <c r="K87" s="3"/>
      <c r="L87" s="3"/>
      <c r="M87" s="3"/>
      <c r="N87" s="12">
        <v>79</v>
      </c>
      <c r="O87" s="65"/>
      <c r="P87" s="49"/>
      <c r="Q87" s="50"/>
      <c r="R87" s="51"/>
      <c r="S87" s="52"/>
      <c r="T87" s="53"/>
      <c r="U87" s="54"/>
      <c r="V87" s="62"/>
      <c r="X87" s="1">
        <f t="shared" ca="1" si="19"/>
        <v>1</v>
      </c>
      <c r="Z87" s="1">
        <f t="shared" si="20"/>
        <v>0</v>
      </c>
      <c r="AA87" s="1">
        <f t="shared" si="20"/>
        <v>0</v>
      </c>
      <c r="AB87" s="1">
        <f t="shared" si="20"/>
        <v>0</v>
      </c>
      <c r="AC87" s="1">
        <f t="shared" si="20"/>
        <v>0</v>
      </c>
      <c r="AD87" s="1">
        <f t="shared" si="20"/>
        <v>0</v>
      </c>
      <c r="AE87" s="1">
        <f t="shared" si="20"/>
        <v>0</v>
      </c>
      <c r="AF87" s="1">
        <f t="shared" si="20"/>
        <v>0</v>
      </c>
      <c r="AG87" s="1">
        <f t="shared" si="20"/>
        <v>0</v>
      </c>
      <c r="AH87" s="1">
        <f t="shared" si="20"/>
        <v>0</v>
      </c>
      <c r="AI87" s="1">
        <f t="shared" si="20"/>
        <v>0</v>
      </c>
      <c r="AJ87" s="1">
        <f t="shared" si="20"/>
        <v>0</v>
      </c>
      <c r="AK87" s="1">
        <f t="shared" si="20"/>
        <v>0</v>
      </c>
    </row>
    <row r="88" spans="1:37" ht="14.1" customHeight="1" x14ac:dyDescent="0.2">
      <c r="A88" s="16">
        <v>32</v>
      </c>
      <c r="B88" s="66"/>
      <c r="C88" s="103" t="str">
        <f>ANUAL!$C172</f>
        <v>---</v>
      </c>
      <c r="D88" s="302" t="str">
        <f>ANUAL!$D172</f>
        <v>---</v>
      </c>
      <c r="E88" s="302"/>
      <c r="F88" s="302"/>
      <c r="G88" s="104">
        <f t="shared" si="16"/>
        <v>0</v>
      </c>
      <c r="H88" s="63"/>
      <c r="I88" s="3"/>
      <c r="J88" s="3"/>
      <c r="K88" s="3"/>
      <c r="L88" s="3"/>
      <c r="M88" s="3"/>
      <c r="N88" s="16">
        <v>80</v>
      </c>
      <c r="O88" s="66"/>
      <c r="P88" s="55"/>
      <c r="Q88" s="56"/>
      <c r="R88" s="57"/>
      <c r="S88" s="58"/>
      <c r="T88" s="59"/>
      <c r="U88" s="60"/>
      <c r="V88" s="63"/>
      <c r="X88" s="1">
        <f t="shared" ca="1" si="19"/>
        <v>1</v>
      </c>
      <c r="Z88" s="1">
        <f t="shared" si="20"/>
        <v>0</v>
      </c>
      <c r="AA88" s="1">
        <f t="shared" si="20"/>
        <v>0</v>
      </c>
      <c r="AB88" s="1">
        <f t="shared" si="20"/>
        <v>0</v>
      </c>
      <c r="AC88" s="1">
        <f t="shared" si="20"/>
        <v>0</v>
      </c>
      <c r="AD88" s="1">
        <f t="shared" si="20"/>
        <v>0</v>
      </c>
      <c r="AE88" s="1">
        <f t="shared" si="20"/>
        <v>0</v>
      </c>
      <c r="AF88" s="1">
        <f t="shared" si="20"/>
        <v>0</v>
      </c>
      <c r="AG88" s="1">
        <f t="shared" si="20"/>
        <v>0</v>
      </c>
      <c r="AH88" s="1">
        <f t="shared" si="20"/>
        <v>0</v>
      </c>
      <c r="AI88" s="1">
        <f t="shared" si="20"/>
        <v>0</v>
      </c>
      <c r="AJ88" s="1">
        <f t="shared" si="20"/>
        <v>0</v>
      </c>
      <c r="AK88" s="1">
        <f t="shared" si="20"/>
        <v>0</v>
      </c>
    </row>
    <row r="89" spans="1:37" ht="14.1" customHeight="1" x14ac:dyDescent="0.2">
      <c r="B89" s="105"/>
      <c r="C89" s="106"/>
      <c r="D89" s="107"/>
      <c r="E89" s="107"/>
      <c r="F89" s="107"/>
      <c r="G89" s="107"/>
      <c r="H89" s="108"/>
      <c r="I89" s="3"/>
      <c r="J89" s="3"/>
      <c r="K89" s="3"/>
      <c r="L89" s="3"/>
      <c r="M89" s="3"/>
      <c r="O89" s="32"/>
      <c r="P89" s="33"/>
      <c r="Q89" s="33"/>
      <c r="R89" s="34"/>
      <c r="S89" s="34"/>
      <c r="T89" s="67"/>
      <c r="U89" s="34"/>
      <c r="V89" s="35"/>
    </row>
    <row r="90" spans="1:37" ht="14.1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37" ht="14.1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37" ht="14.1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37" ht="14.1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37" ht="14.1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37" ht="14.1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37" ht="14.1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1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1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1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</sheetData>
  <sheetProtection selectLockedCells="1"/>
  <mergeCells count="57">
    <mergeCell ref="C43:G44"/>
    <mergeCell ref="B1:H1"/>
    <mergeCell ref="C5:G6"/>
    <mergeCell ref="P5:U6"/>
    <mergeCell ref="C7:C8"/>
    <mergeCell ref="D7:D8"/>
    <mergeCell ref="E7:G7"/>
    <mergeCell ref="P7:P8"/>
    <mergeCell ref="Q7:Q8"/>
    <mergeCell ref="R7:S7"/>
    <mergeCell ref="T7:T8"/>
    <mergeCell ref="U7:U8"/>
    <mergeCell ref="C24:G25"/>
    <mergeCell ref="C26:C27"/>
    <mergeCell ref="D26:D27"/>
    <mergeCell ref="E26:G26"/>
    <mergeCell ref="D62:F62"/>
    <mergeCell ref="D63:F63"/>
    <mergeCell ref="D64:F64"/>
    <mergeCell ref="D65:F65"/>
    <mergeCell ref="C45:C46"/>
    <mergeCell ref="D45:D46"/>
    <mergeCell ref="E45:G45"/>
    <mergeCell ref="C53:G54"/>
    <mergeCell ref="C55:C56"/>
    <mergeCell ref="D55:D56"/>
    <mergeCell ref="E55:E56"/>
    <mergeCell ref="F55:F56"/>
    <mergeCell ref="G55:G56"/>
    <mergeCell ref="D57:F57"/>
    <mergeCell ref="D58:F58"/>
    <mergeCell ref="D59:F59"/>
    <mergeCell ref="D60:F60"/>
    <mergeCell ref="D61:F61"/>
    <mergeCell ref="D66:F66"/>
    <mergeCell ref="D67:F67"/>
    <mergeCell ref="D80:F80"/>
    <mergeCell ref="D69:F69"/>
    <mergeCell ref="D70:F70"/>
    <mergeCell ref="D71:F71"/>
    <mergeCell ref="D72:F72"/>
    <mergeCell ref="D73:F73"/>
    <mergeCell ref="D74:F74"/>
    <mergeCell ref="D75:F75"/>
    <mergeCell ref="D68:F68"/>
    <mergeCell ref="D88:F88"/>
    <mergeCell ref="D81:F81"/>
    <mergeCell ref="D82:F82"/>
    <mergeCell ref="D83:F83"/>
    <mergeCell ref="D84:F84"/>
    <mergeCell ref="D85:F85"/>
    <mergeCell ref="D86:F86"/>
    <mergeCell ref="D76:F76"/>
    <mergeCell ref="D77:F77"/>
    <mergeCell ref="D78:F78"/>
    <mergeCell ref="D79:F79"/>
    <mergeCell ref="D87:F87"/>
  </mergeCells>
  <conditionalFormatting sqref="U9:U11 P12:U88">
    <cfRule type="expression" dxfId="47" priority="7" stopIfTrue="1">
      <formula>$X9&lt;&gt;1</formula>
    </cfRule>
  </conditionalFormatting>
  <conditionalFormatting sqref="S12:T20">
    <cfRule type="expression" dxfId="46" priority="6" stopIfTrue="1">
      <formula>$X12&lt;&gt;1</formula>
    </cfRule>
  </conditionalFormatting>
  <conditionalFormatting sqref="U9:U11 S12:U20">
    <cfRule type="expression" dxfId="45" priority="5" stopIfTrue="1">
      <formula>$X9&lt;&gt;1</formula>
    </cfRule>
  </conditionalFormatting>
  <conditionalFormatting sqref="S12:T20">
    <cfRule type="expression" dxfId="44" priority="4" stopIfTrue="1">
      <formula>$X12&lt;&gt;1</formula>
    </cfRule>
  </conditionalFormatting>
  <conditionalFormatting sqref="U12:U16">
    <cfRule type="expression" dxfId="43" priority="3" stopIfTrue="1">
      <formula>$X12&lt;&gt;1</formula>
    </cfRule>
  </conditionalFormatting>
  <conditionalFormatting sqref="P9:T11">
    <cfRule type="expression" dxfId="42" priority="1" stopIfTrue="1">
      <formula>$X9&lt;&gt;1</formula>
    </cfRule>
  </conditionalFormatting>
  <printOptions horizontalCentered="1"/>
  <pageMargins left="0.39374999999999999" right="0.39374999999999999" top="0.78749999999999998" bottom="0.59027777777777779" header="0.51180555555555551" footer="0.51180555555555551"/>
  <pageSetup paperSize="8" scale="5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9"/>
  <sheetViews>
    <sheetView zoomScale="80" zoomScaleNormal="80" workbookViewId="0">
      <selection activeCell="P9" sqref="P9"/>
    </sheetView>
  </sheetViews>
  <sheetFormatPr defaultColWidth="11.5703125" defaultRowHeight="14.1" customHeight="1" x14ac:dyDescent="0.2"/>
  <cols>
    <col min="1" max="1" width="4.140625" style="1" customWidth="1"/>
    <col min="2" max="2" width="2.5703125" style="1" customWidth="1"/>
    <col min="3" max="3" width="9.140625" style="2" customWidth="1"/>
    <col min="4" max="4" width="40.85546875" style="1" customWidth="1"/>
    <col min="5" max="7" width="11.5703125" style="1"/>
    <col min="8" max="9" width="2.5703125" style="1" customWidth="1"/>
    <col min="10" max="12" width="11.5703125" style="1" hidden="1" customWidth="1"/>
    <col min="13" max="13" width="2.5703125" style="1" customWidth="1"/>
    <col min="14" max="14" width="4.140625" style="1" customWidth="1"/>
    <col min="15" max="15" width="2.5703125" style="1" customWidth="1"/>
    <col min="16" max="16" width="11.5703125" style="1"/>
    <col min="17" max="17" width="51" style="1" customWidth="1"/>
    <col min="18" max="19" width="12.7109375" style="24" customWidth="1"/>
    <col min="20" max="20" width="12.7109375" style="1" customWidth="1"/>
    <col min="21" max="21" width="10.140625" style="24" customWidth="1"/>
    <col min="22" max="22" width="2.5703125" style="1" customWidth="1"/>
    <col min="23" max="23" width="5.140625" style="1" customWidth="1"/>
    <col min="24" max="37" width="0" style="1" hidden="1" customWidth="1"/>
    <col min="38" max="255" width="11.5703125" style="1"/>
    <col min="256" max="16384" width="11.5703125" style="3"/>
  </cols>
  <sheetData>
    <row r="1" spans="1:256" s="4" customFormat="1" ht="33.950000000000003" customHeight="1" x14ac:dyDescent="0.2">
      <c r="B1" s="307">
        <f>DATE(ANUAL!B5,B2,8)</f>
        <v>40306</v>
      </c>
      <c r="C1" s="307"/>
      <c r="D1" s="307"/>
      <c r="E1" s="307"/>
      <c r="F1" s="307"/>
      <c r="G1" s="307"/>
      <c r="H1" s="307"/>
      <c r="I1" s="25" t="s">
        <v>2</v>
      </c>
      <c r="M1" s="26" t="s">
        <v>92</v>
      </c>
      <c r="R1" s="27"/>
      <c r="S1" s="27"/>
      <c r="U1" s="27"/>
      <c r="W1" s="25" t="s">
        <v>2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 t="s">
        <v>92</v>
      </c>
      <c r="IV1" s="3"/>
    </row>
    <row r="2" spans="1:256" ht="14.1" customHeight="1" x14ac:dyDescent="0.2">
      <c r="B2" s="28">
        <f>'M4'!B2+1</f>
        <v>5</v>
      </c>
    </row>
    <row r="4" spans="1:256" ht="14.1" customHeight="1" x14ac:dyDescent="0.2">
      <c r="B4" s="68"/>
      <c r="C4" s="69"/>
      <c r="D4" s="70"/>
      <c r="E4" s="70"/>
      <c r="F4" s="70"/>
      <c r="G4" s="70"/>
      <c r="H4" s="71"/>
      <c r="O4" s="36"/>
      <c r="P4" s="37"/>
      <c r="Q4" s="37"/>
      <c r="R4" s="38"/>
      <c r="S4" s="38"/>
      <c r="T4" s="37"/>
      <c r="U4" s="38"/>
      <c r="V4" s="39"/>
    </row>
    <row r="5" spans="1:256" ht="14.1" customHeight="1" x14ac:dyDescent="0.2">
      <c r="B5" s="72"/>
      <c r="C5" s="308" t="s">
        <v>107</v>
      </c>
      <c r="D5" s="308"/>
      <c r="E5" s="308"/>
      <c r="F5" s="308"/>
      <c r="G5" s="308"/>
      <c r="H5" s="73"/>
      <c r="O5" s="40"/>
      <c r="P5" s="309" t="s">
        <v>93</v>
      </c>
      <c r="Q5" s="309"/>
      <c r="R5" s="309"/>
      <c r="S5" s="309"/>
      <c r="T5" s="309"/>
      <c r="U5" s="309"/>
      <c r="V5" s="41"/>
    </row>
    <row r="6" spans="1:256" s="9" customFormat="1" ht="14.1" customHeight="1" x14ac:dyDescent="0.2">
      <c r="B6" s="74"/>
      <c r="C6" s="308"/>
      <c r="D6" s="308"/>
      <c r="E6" s="308"/>
      <c r="F6" s="308"/>
      <c r="G6" s="308"/>
      <c r="H6" s="75"/>
      <c r="I6" s="1"/>
      <c r="J6" s="1"/>
      <c r="K6" s="1"/>
      <c r="L6" s="1"/>
      <c r="M6" s="1"/>
      <c r="N6" s="1"/>
      <c r="O6" s="42"/>
      <c r="P6" s="309"/>
      <c r="Q6" s="309"/>
      <c r="R6" s="309"/>
      <c r="S6" s="309"/>
      <c r="T6" s="309"/>
      <c r="U6" s="309"/>
      <c r="V6" s="4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IV6" s="3"/>
    </row>
    <row r="7" spans="1:256" ht="14.1" customHeight="1" x14ac:dyDescent="0.2">
      <c r="B7" s="46"/>
      <c r="C7" s="271" t="s">
        <v>94</v>
      </c>
      <c r="D7" s="273" t="s">
        <v>5</v>
      </c>
      <c r="E7" s="275" t="s">
        <v>6</v>
      </c>
      <c r="F7" s="275"/>
      <c r="G7" s="276"/>
      <c r="H7" s="73"/>
      <c r="O7" s="46"/>
      <c r="P7" s="275" t="s">
        <v>95</v>
      </c>
      <c r="Q7" s="271" t="s">
        <v>5</v>
      </c>
      <c r="R7" s="275" t="s">
        <v>96</v>
      </c>
      <c r="S7" s="275"/>
      <c r="T7" s="275" t="s">
        <v>97</v>
      </c>
      <c r="U7" s="276" t="s">
        <v>98</v>
      </c>
      <c r="V7" s="41"/>
    </row>
    <row r="8" spans="1:256" ht="14.1" customHeight="1" x14ac:dyDescent="0.2">
      <c r="B8" s="44"/>
      <c r="C8" s="272"/>
      <c r="D8" s="274"/>
      <c r="E8" s="98" t="s">
        <v>99</v>
      </c>
      <c r="F8" s="98" t="s">
        <v>100</v>
      </c>
      <c r="G8" s="98" t="s">
        <v>101</v>
      </c>
      <c r="H8" s="76"/>
      <c r="O8" s="44"/>
      <c r="P8" s="306" t="s">
        <v>95</v>
      </c>
      <c r="Q8" s="272" t="s">
        <v>5</v>
      </c>
      <c r="R8" s="47" t="s">
        <v>89</v>
      </c>
      <c r="S8" s="48" t="s">
        <v>87</v>
      </c>
      <c r="T8" s="306" t="s">
        <v>97</v>
      </c>
      <c r="U8" s="305"/>
      <c r="V8" s="45"/>
      <c r="X8" s="1" t="s">
        <v>100</v>
      </c>
      <c r="Z8" s="1" t="str">
        <f>$C$9</f>
        <v/>
      </c>
      <c r="AA8" s="1" t="str">
        <f>$C$10</f>
        <v>INV1</v>
      </c>
      <c r="AB8" s="1" t="str">
        <f>$C$11</f>
        <v>DINH1</v>
      </c>
      <c r="AC8" s="1" t="str">
        <f>$C$12</f>
        <v>CRED1</v>
      </c>
      <c r="AD8" s="1" t="str">
        <f>$C$13</f>
        <v>---</v>
      </c>
      <c r="AE8" s="1" t="str">
        <f>$C$14</f>
        <v>---</v>
      </c>
      <c r="AF8" s="1" t="str">
        <f>$C$15</f>
        <v>---</v>
      </c>
      <c r="AG8" s="1" t="str">
        <f>$C$16</f>
        <v>---</v>
      </c>
      <c r="AH8" s="1" t="str">
        <f>$C$17</f>
        <v>---</v>
      </c>
      <c r="AI8" s="1" t="str">
        <f>$C$18</f>
        <v>---</v>
      </c>
      <c r="AJ8" s="1" t="str">
        <f>$C$19</f>
        <v>---</v>
      </c>
      <c r="AK8" s="1" t="str">
        <f>$C$20</f>
        <v>---</v>
      </c>
    </row>
    <row r="9" spans="1:256" ht="14.1" customHeight="1" x14ac:dyDescent="0.2">
      <c r="A9" s="12">
        <v>1</v>
      </c>
      <c r="B9" s="64"/>
      <c r="C9" s="115" t="str">
        <f>TRIM(ANUAL!C13)</f>
        <v/>
      </c>
      <c r="D9" s="116" t="str">
        <f>TRIM(ANUAL!D13)</f>
        <v>CONTA CORRENTE BANCO 1</v>
      </c>
      <c r="E9" s="117">
        <f ca="1">INDIRECT("M"&amp;B$2-1&amp;"!G"&amp;A9+ROW(A$8))</f>
        <v>0</v>
      </c>
      <c r="F9" s="117">
        <f t="shared" ref="F9:F20" ca="1" si="0">E9+SUMIF(X$9:X$88,1,OFFSET($Z$9:$Z$88,0,A9-1))</f>
        <v>0</v>
      </c>
      <c r="G9" s="117">
        <f t="shared" ref="G9:G20" ca="1" si="1">E9+SUM(OFFSET($Z$9:$Z$88,0,A9-1))</f>
        <v>0</v>
      </c>
      <c r="H9" s="61"/>
      <c r="J9" s="3" t="b">
        <f t="shared" ref="J9:L20" si="2">NOT(ISERR(SEARCH(J$27,$C9)))</f>
        <v>0</v>
      </c>
      <c r="K9" s="3" t="b">
        <f t="shared" si="2"/>
        <v>0</v>
      </c>
      <c r="L9" s="3" t="b">
        <f t="shared" si="2"/>
        <v>0</v>
      </c>
      <c r="N9" s="12">
        <v>1</v>
      </c>
      <c r="O9" s="64"/>
      <c r="P9" s="49"/>
      <c r="Q9" s="50"/>
      <c r="R9" s="51"/>
      <c r="S9" s="52"/>
      <c r="T9" s="53"/>
      <c r="U9" s="54"/>
      <c r="V9" s="61"/>
      <c r="X9" s="1">
        <f t="shared" ref="X9:X40" ca="1" si="3">IF(P9&lt;NOW(),1,0)</f>
        <v>1</v>
      </c>
      <c r="Z9" s="1">
        <f t="shared" ref="Z9:AK18" si="4">IF(Z$8=$R9,-$T9,0)+IF(Z$8=$S9,$T9,0)</f>
        <v>0</v>
      </c>
      <c r="AA9" s="1">
        <f t="shared" si="4"/>
        <v>0</v>
      </c>
      <c r="AB9" s="1">
        <f t="shared" si="4"/>
        <v>0</v>
      </c>
      <c r="AC9" s="1">
        <f t="shared" si="4"/>
        <v>0</v>
      </c>
      <c r="AD9" s="1">
        <f t="shared" si="4"/>
        <v>0</v>
      </c>
      <c r="AE9" s="1">
        <f t="shared" si="4"/>
        <v>0</v>
      </c>
      <c r="AF9" s="1">
        <f t="shared" si="4"/>
        <v>0</v>
      </c>
      <c r="AG9" s="1">
        <f t="shared" si="4"/>
        <v>0</v>
      </c>
      <c r="AH9" s="1">
        <f t="shared" si="4"/>
        <v>0</v>
      </c>
      <c r="AI9" s="1">
        <f t="shared" si="4"/>
        <v>0</v>
      </c>
      <c r="AJ9" s="1">
        <f t="shared" si="4"/>
        <v>0</v>
      </c>
      <c r="AK9" s="1">
        <f t="shared" si="4"/>
        <v>0</v>
      </c>
    </row>
    <row r="10" spans="1:256" ht="14.1" customHeight="1" x14ac:dyDescent="0.2">
      <c r="A10" s="16">
        <v>2</v>
      </c>
      <c r="B10" s="65"/>
      <c r="C10" s="118" t="str">
        <f>TRIM(ANUAL!C14)</f>
        <v>INV1</v>
      </c>
      <c r="D10" s="119" t="str">
        <f>TRIM(ANUAL!D14)</f>
        <v>POUPANÇA BANCO 1</v>
      </c>
      <c r="E10" s="120">
        <f t="shared" ref="E10:E20" ca="1" si="5">INDIRECT("M"&amp;B$2-1&amp;"!G"&amp;A10+ROW(A$8))</f>
        <v>0</v>
      </c>
      <c r="F10" s="120">
        <f t="shared" ca="1" si="0"/>
        <v>0</v>
      </c>
      <c r="G10" s="120">
        <f t="shared" ca="1" si="1"/>
        <v>0</v>
      </c>
      <c r="H10" s="62"/>
      <c r="J10" s="3" t="b">
        <f t="shared" si="2"/>
        <v>0</v>
      </c>
      <c r="K10" s="3" t="b">
        <f t="shared" si="2"/>
        <v>1</v>
      </c>
      <c r="L10" s="3" t="b">
        <f t="shared" si="2"/>
        <v>0</v>
      </c>
      <c r="N10" s="16">
        <v>2</v>
      </c>
      <c r="O10" s="65"/>
      <c r="P10" s="55"/>
      <c r="Q10" s="56"/>
      <c r="R10" s="57"/>
      <c r="S10" s="58"/>
      <c r="T10" s="59"/>
      <c r="U10" s="60"/>
      <c r="V10" s="62"/>
      <c r="X10" s="1">
        <f t="shared" ca="1" si="3"/>
        <v>1</v>
      </c>
      <c r="Z10" s="1">
        <f t="shared" si="4"/>
        <v>0</v>
      </c>
      <c r="AA10" s="1">
        <f t="shared" si="4"/>
        <v>0</v>
      </c>
      <c r="AB10" s="1">
        <f t="shared" si="4"/>
        <v>0</v>
      </c>
      <c r="AC10" s="1">
        <f t="shared" si="4"/>
        <v>0</v>
      </c>
      <c r="AD10" s="1">
        <f t="shared" si="4"/>
        <v>0</v>
      </c>
      <c r="AE10" s="1">
        <f t="shared" si="4"/>
        <v>0</v>
      </c>
      <c r="AF10" s="1">
        <f t="shared" si="4"/>
        <v>0</v>
      </c>
      <c r="AG10" s="1">
        <f t="shared" si="4"/>
        <v>0</v>
      </c>
      <c r="AH10" s="1">
        <f t="shared" si="4"/>
        <v>0</v>
      </c>
      <c r="AI10" s="1">
        <f t="shared" si="4"/>
        <v>0</v>
      </c>
      <c r="AJ10" s="1">
        <f t="shared" si="4"/>
        <v>0</v>
      </c>
      <c r="AK10" s="1">
        <f t="shared" si="4"/>
        <v>0</v>
      </c>
    </row>
    <row r="11" spans="1:256" ht="14.1" customHeight="1" x14ac:dyDescent="0.2">
      <c r="A11" s="12">
        <v>3</v>
      </c>
      <c r="B11" s="65"/>
      <c r="C11" s="115" t="str">
        <f>TRIM(ANUAL!C15)</f>
        <v>DINH1</v>
      </c>
      <c r="D11" s="116" t="str">
        <f>TRIM(ANUAL!D15)</f>
        <v>EM ESPÉCIE</v>
      </c>
      <c r="E11" s="117">
        <f t="shared" ca="1" si="5"/>
        <v>0</v>
      </c>
      <c r="F11" s="117">
        <f t="shared" ca="1" si="0"/>
        <v>0</v>
      </c>
      <c r="G11" s="117">
        <f t="shared" ca="1" si="1"/>
        <v>0</v>
      </c>
      <c r="H11" s="62"/>
      <c r="J11" s="3" t="b">
        <f t="shared" si="2"/>
        <v>0</v>
      </c>
      <c r="K11" s="3" t="b">
        <f t="shared" si="2"/>
        <v>0</v>
      </c>
      <c r="L11" s="3" t="b">
        <f t="shared" si="2"/>
        <v>1</v>
      </c>
      <c r="N11" s="12">
        <v>3</v>
      </c>
      <c r="O11" s="65"/>
      <c r="P11" s="49"/>
      <c r="Q11" s="50"/>
      <c r="R11" s="51"/>
      <c r="S11" s="52"/>
      <c r="T11" s="53"/>
      <c r="U11" s="54"/>
      <c r="V11" s="62"/>
      <c r="X11" s="1">
        <f t="shared" ca="1" si="3"/>
        <v>1</v>
      </c>
      <c r="Z11" s="1">
        <f t="shared" si="4"/>
        <v>0</v>
      </c>
      <c r="AA11" s="1">
        <f t="shared" si="4"/>
        <v>0</v>
      </c>
      <c r="AB11" s="1">
        <f t="shared" si="4"/>
        <v>0</v>
      </c>
      <c r="AC11" s="1">
        <f t="shared" si="4"/>
        <v>0</v>
      </c>
      <c r="AD11" s="1">
        <f t="shared" si="4"/>
        <v>0</v>
      </c>
      <c r="AE11" s="1">
        <f t="shared" si="4"/>
        <v>0</v>
      </c>
      <c r="AF11" s="1">
        <f t="shared" si="4"/>
        <v>0</v>
      </c>
      <c r="AG11" s="1">
        <f t="shared" si="4"/>
        <v>0</v>
      </c>
      <c r="AH11" s="1">
        <f t="shared" si="4"/>
        <v>0</v>
      </c>
      <c r="AI11" s="1">
        <f t="shared" si="4"/>
        <v>0</v>
      </c>
      <c r="AJ11" s="1">
        <f t="shared" si="4"/>
        <v>0</v>
      </c>
      <c r="AK11" s="1">
        <f t="shared" si="4"/>
        <v>0</v>
      </c>
    </row>
    <row r="12" spans="1:256" ht="14.1" customHeight="1" x14ac:dyDescent="0.2">
      <c r="A12" s="16">
        <v>4</v>
      </c>
      <c r="B12" s="65"/>
      <c r="C12" s="118" t="str">
        <f>TRIM(ANUAL!C16)</f>
        <v>CRED1</v>
      </c>
      <c r="D12" s="119" t="str">
        <f>TRIM(ANUAL!D16)</f>
        <v>CARTÃO DE CRÉDITO 1</v>
      </c>
      <c r="E12" s="120">
        <f t="shared" ca="1" si="5"/>
        <v>0</v>
      </c>
      <c r="F12" s="120">
        <f t="shared" ca="1" si="0"/>
        <v>0</v>
      </c>
      <c r="G12" s="120">
        <f t="shared" ca="1" si="1"/>
        <v>0</v>
      </c>
      <c r="H12" s="62"/>
      <c r="J12" s="3" t="b">
        <f t="shared" si="2"/>
        <v>0</v>
      </c>
      <c r="K12" s="3" t="b">
        <f t="shared" si="2"/>
        <v>0</v>
      </c>
      <c r="L12" s="3" t="b">
        <f t="shared" si="2"/>
        <v>0</v>
      </c>
      <c r="N12" s="16">
        <v>4</v>
      </c>
      <c r="O12" s="65"/>
      <c r="P12" s="55"/>
      <c r="Q12" s="56"/>
      <c r="R12" s="57"/>
      <c r="S12" s="58"/>
      <c r="T12" s="59"/>
      <c r="U12" s="60"/>
      <c r="V12" s="62"/>
      <c r="X12" s="1">
        <f t="shared" ca="1" si="3"/>
        <v>1</v>
      </c>
      <c r="Z12" s="1">
        <f t="shared" si="4"/>
        <v>0</v>
      </c>
      <c r="AA12" s="1">
        <f t="shared" si="4"/>
        <v>0</v>
      </c>
      <c r="AB12" s="1">
        <f t="shared" si="4"/>
        <v>0</v>
      </c>
      <c r="AC12" s="1">
        <f t="shared" si="4"/>
        <v>0</v>
      </c>
      <c r="AD12" s="1">
        <f t="shared" si="4"/>
        <v>0</v>
      </c>
      <c r="AE12" s="1">
        <f t="shared" si="4"/>
        <v>0</v>
      </c>
      <c r="AF12" s="1">
        <f t="shared" si="4"/>
        <v>0</v>
      </c>
      <c r="AG12" s="1">
        <f t="shared" si="4"/>
        <v>0</v>
      </c>
      <c r="AH12" s="1">
        <f t="shared" si="4"/>
        <v>0</v>
      </c>
      <c r="AI12" s="1">
        <f t="shared" si="4"/>
        <v>0</v>
      </c>
      <c r="AJ12" s="1">
        <f t="shared" si="4"/>
        <v>0</v>
      </c>
      <c r="AK12" s="1">
        <f t="shared" si="4"/>
        <v>0</v>
      </c>
    </row>
    <row r="13" spans="1:256" ht="14.1" customHeight="1" x14ac:dyDescent="0.2">
      <c r="A13" s="12">
        <v>5</v>
      </c>
      <c r="B13" s="65"/>
      <c r="C13" s="115" t="str">
        <f>TRIM(ANUAL!C17)</f>
        <v>---</v>
      </c>
      <c r="D13" s="116" t="str">
        <f>TRIM(ANUAL!D17)</f>
        <v/>
      </c>
      <c r="E13" s="117">
        <f t="shared" ca="1" si="5"/>
        <v>0</v>
      </c>
      <c r="F13" s="117">
        <f t="shared" ca="1" si="0"/>
        <v>0</v>
      </c>
      <c r="G13" s="117">
        <f t="shared" ca="1" si="1"/>
        <v>0</v>
      </c>
      <c r="H13" s="62"/>
      <c r="J13" s="3" t="b">
        <f t="shared" si="2"/>
        <v>0</v>
      </c>
      <c r="K13" s="3" t="b">
        <f t="shared" si="2"/>
        <v>0</v>
      </c>
      <c r="L13" s="3" t="b">
        <f t="shared" si="2"/>
        <v>0</v>
      </c>
      <c r="N13" s="12">
        <v>5</v>
      </c>
      <c r="O13" s="65"/>
      <c r="P13" s="49"/>
      <c r="Q13" s="50"/>
      <c r="R13" s="51"/>
      <c r="S13" s="52"/>
      <c r="T13" s="53"/>
      <c r="U13" s="54"/>
      <c r="V13" s="62"/>
      <c r="X13" s="1">
        <f t="shared" ca="1" si="3"/>
        <v>1</v>
      </c>
      <c r="Z13" s="1">
        <f t="shared" si="4"/>
        <v>0</v>
      </c>
      <c r="AA13" s="1">
        <f t="shared" si="4"/>
        <v>0</v>
      </c>
      <c r="AB13" s="1">
        <f t="shared" si="4"/>
        <v>0</v>
      </c>
      <c r="AC13" s="1">
        <f t="shared" si="4"/>
        <v>0</v>
      </c>
      <c r="AD13" s="1">
        <f t="shared" si="4"/>
        <v>0</v>
      </c>
      <c r="AE13" s="1">
        <f t="shared" si="4"/>
        <v>0</v>
      </c>
      <c r="AF13" s="1">
        <f t="shared" si="4"/>
        <v>0</v>
      </c>
      <c r="AG13" s="1">
        <f t="shared" si="4"/>
        <v>0</v>
      </c>
      <c r="AH13" s="1">
        <f t="shared" si="4"/>
        <v>0</v>
      </c>
      <c r="AI13" s="1">
        <f t="shared" si="4"/>
        <v>0</v>
      </c>
      <c r="AJ13" s="1">
        <f t="shared" si="4"/>
        <v>0</v>
      </c>
      <c r="AK13" s="1">
        <f t="shared" si="4"/>
        <v>0</v>
      </c>
    </row>
    <row r="14" spans="1:256" ht="14.1" customHeight="1" x14ac:dyDescent="0.2">
      <c r="A14" s="16">
        <v>6</v>
      </c>
      <c r="B14" s="65"/>
      <c r="C14" s="118" t="str">
        <f>TRIM(ANUAL!C18)</f>
        <v>---</v>
      </c>
      <c r="D14" s="119" t="str">
        <f>TRIM(ANUAL!D18)</f>
        <v/>
      </c>
      <c r="E14" s="120">
        <f t="shared" ca="1" si="5"/>
        <v>0</v>
      </c>
      <c r="F14" s="120">
        <f t="shared" ca="1" si="0"/>
        <v>0</v>
      </c>
      <c r="G14" s="120">
        <f t="shared" ca="1" si="1"/>
        <v>0</v>
      </c>
      <c r="H14" s="62"/>
      <c r="J14" s="3" t="b">
        <f t="shared" si="2"/>
        <v>0</v>
      </c>
      <c r="K14" s="3" t="b">
        <f t="shared" si="2"/>
        <v>0</v>
      </c>
      <c r="L14" s="3" t="b">
        <f t="shared" si="2"/>
        <v>0</v>
      </c>
      <c r="N14" s="16">
        <v>6</v>
      </c>
      <c r="O14" s="65"/>
      <c r="P14" s="55"/>
      <c r="Q14" s="56"/>
      <c r="R14" s="57"/>
      <c r="S14" s="58"/>
      <c r="T14" s="59"/>
      <c r="U14" s="60"/>
      <c r="V14" s="62"/>
      <c r="X14" s="1">
        <f t="shared" ca="1" si="3"/>
        <v>1</v>
      </c>
      <c r="Z14" s="1">
        <f t="shared" si="4"/>
        <v>0</v>
      </c>
      <c r="AA14" s="1">
        <f t="shared" si="4"/>
        <v>0</v>
      </c>
      <c r="AB14" s="1">
        <f t="shared" si="4"/>
        <v>0</v>
      </c>
      <c r="AC14" s="1">
        <f t="shared" si="4"/>
        <v>0</v>
      </c>
      <c r="AD14" s="1">
        <f t="shared" si="4"/>
        <v>0</v>
      </c>
      <c r="AE14" s="1">
        <f t="shared" si="4"/>
        <v>0</v>
      </c>
      <c r="AF14" s="1">
        <f t="shared" si="4"/>
        <v>0</v>
      </c>
      <c r="AG14" s="1">
        <f t="shared" si="4"/>
        <v>0</v>
      </c>
      <c r="AH14" s="1">
        <f t="shared" si="4"/>
        <v>0</v>
      </c>
      <c r="AI14" s="1">
        <f t="shared" si="4"/>
        <v>0</v>
      </c>
      <c r="AJ14" s="1">
        <f t="shared" si="4"/>
        <v>0</v>
      </c>
      <c r="AK14" s="1">
        <f t="shared" si="4"/>
        <v>0</v>
      </c>
    </row>
    <row r="15" spans="1:256" ht="14.1" customHeight="1" x14ac:dyDescent="0.2">
      <c r="A15" s="12">
        <v>7</v>
      </c>
      <c r="B15" s="65"/>
      <c r="C15" s="115" t="str">
        <f>TRIM(ANUAL!C19)</f>
        <v>---</v>
      </c>
      <c r="D15" s="116" t="str">
        <f>TRIM(ANUAL!D19)</f>
        <v/>
      </c>
      <c r="E15" s="117">
        <f t="shared" ca="1" si="5"/>
        <v>0</v>
      </c>
      <c r="F15" s="117">
        <f t="shared" ca="1" si="0"/>
        <v>0</v>
      </c>
      <c r="G15" s="117">
        <f t="shared" ca="1" si="1"/>
        <v>0</v>
      </c>
      <c r="H15" s="62"/>
      <c r="J15" s="3" t="b">
        <f t="shared" si="2"/>
        <v>0</v>
      </c>
      <c r="K15" s="3" t="b">
        <f t="shared" si="2"/>
        <v>0</v>
      </c>
      <c r="L15" s="3" t="b">
        <f t="shared" si="2"/>
        <v>0</v>
      </c>
      <c r="N15" s="12">
        <v>7</v>
      </c>
      <c r="O15" s="65"/>
      <c r="P15" s="49"/>
      <c r="Q15" s="50"/>
      <c r="R15" s="51"/>
      <c r="S15" s="52"/>
      <c r="T15" s="53"/>
      <c r="U15" s="54"/>
      <c r="V15" s="62"/>
      <c r="X15" s="1">
        <f t="shared" ca="1" si="3"/>
        <v>1</v>
      </c>
      <c r="Z15" s="1">
        <f t="shared" si="4"/>
        <v>0</v>
      </c>
      <c r="AA15" s="1">
        <f t="shared" si="4"/>
        <v>0</v>
      </c>
      <c r="AB15" s="1">
        <f t="shared" si="4"/>
        <v>0</v>
      </c>
      <c r="AC15" s="1">
        <f t="shared" si="4"/>
        <v>0</v>
      </c>
      <c r="AD15" s="1">
        <f t="shared" si="4"/>
        <v>0</v>
      </c>
      <c r="AE15" s="1">
        <f t="shared" si="4"/>
        <v>0</v>
      </c>
      <c r="AF15" s="1">
        <f t="shared" si="4"/>
        <v>0</v>
      </c>
      <c r="AG15" s="1">
        <f t="shared" si="4"/>
        <v>0</v>
      </c>
      <c r="AH15" s="1">
        <f t="shared" si="4"/>
        <v>0</v>
      </c>
      <c r="AI15" s="1">
        <f t="shared" si="4"/>
        <v>0</v>
      </c>
      <c r="AJ15" s="1">
        <f t="shared" si="4"/>
        <v>0</v>
      </c>
      <c r="AK15" s="1">
        <f t="shared" si="4"/>
        <v>0</v>
      </c>
    </row>
    <row r="16" spans="1:256" ht="14.1" customHeight="1" x14ac:dyDescent="0.2">
      <c r="A16" s="16">
        <v>8</v>
      </c>
      <c r="B16" s="65"/>
      <c r="C16" s="118" t="str">
        <f>TRIM(ANUAL!C20)</f>
        <v>---</v>
      </c>
      <c r="D16" s="119" t="str">
        <f>TRIM(ANUAL!D20)</f>
        <v/>
      </c>
      <c r="E16" s="120">
        <f t="shared" ca="1" si="5"/>
        <v>0</v>
      </c>
      <c r="F16" s="120">
        <f t="shared" ca="1" si="0"/>
        <v>0</v>
      </c>
      <c r="G16" s="120">
        <f t="shared" ca="1" si="1"/>
        <v>0</v>
      </c>
      <c r="H16" s="62"/>
      <c r="J16" s="3" t="b">
        <f t="shared" si="2"/>
        <v>0</v>
      </c>
      <c r="K16" s="3" t="b">
        <f t="shared" si="2"/>
        <v>0</v>
      </c>
      <c r="L16" s="3" t="b">
        <f t="shared" si="2"/>
        <v>0</v>
      </c>
      <c r="N16" s="16">
        <v>8</v>
      </c>
      <c r="O16" s="65"/>
      <c r="P16" s="55"/>
      <c r="Q16" s="56"/>
      <c r="R16" s="57"/>
      <c r="S16" s="58"/>
      <c r="T16" s="59"/>
      <c r="U16" s="60"/>
      <c r="V16" s="62"/>
      <c r="X16" s="1">
        <f t="shared" ca="1" si="3"/>
        <v>1</v>
      </c>
      <c r="Z16" s="1">
        <f t="shared" si="4"/>
        <v>0</v>
      </c>
      <c r="AA16" s="1">
        <f t="shared" si="4"/>
        <v>0</v>
      </c>
      <c r="AB16" s="1">
        <f t="shared" si="4"/>
        <v>0</v>
      </c>
      <c r="AC16" s="1">
        <f t="shared" si="4"/>
        <v>0</v>
      </c>
      <c r="AD16" s="1">
        <f t="shared" si="4"/>
        <v>0</v>
      </c>
      <c r="AE16" s="1">
        <f t="shared" si="4"/>
        <v>0</v>
      </c>
      <c r="AF16" s="1">
        <f t="shared" si="4"/>
        <v>0</v>
      </c>
      <c r="AG16" s="1">
        <f t="shared" si="4"/>
        <v>0</v>
      </c>
      <c r="AH16" s="1">
        <f t="shared" si="4"/>
        <v>0</v>
      </c>
      <c r="AI16" s="1">
        <f t="shared" si="4"/>
        <v>0</v>
      </c>
      <c r="AJ16" s="1">
        <f t="shared" si="4"/>
        <v>0</v>
      </c>
      <c r="AK16" s="1">
        <f t="shared" si="4"/>
        <v>0</v>
      </c>
    </row>
    <row r="17" spans="1:37" ht="14.1" customHeight="1" x14ac:dyDescent="0.2">
      <c r="A17" s="12">
        <v>9</v>
      </c>
      <c r="B17" s="65"/>
      <c r="C17" s="115" t="str">
        <f>TRIM(ANUAL!C21)</f>
        <v>---</v>
      </c>
      <c r="D17" s="116" t="str">
        <f>TRIM(ANUAL!D21)</f>
        <v/>
      </c>
      <c r="E17" s="117">
        <f t="shared" ca="1" si="5"/>
        <v>0</v>
      </c>
      <c r="F17" s="117">
        <f t="shared" ca="1" si="0"/>
        <v>0</v>
      </c>
      <c r="G17" s="117">
        <f t="shared" ca="1" si="1"/>
        <v>0</v>
      </c>
      <c r="H17" s="62"/>
      <c r="J17" s="3" t="b">
        <f t="shared" si="2"/>
        <v>0</v>
      </c>
      <c r="K17" s="3" t="b">
        <f t="shared" si="2"/>
        <v>0</v>
      </c>
      <c r="L17" s="3" t="b">
        <f t="shared" si="2"/>
        <v>0</v>
      </c>
      <c r="N17" s="12">
        <v>9</v>
      </c>
      <c r="O17" s="65"/>
      <c r="P17" s="49"/>
      <c r="Q17" s="50"/>
      <c r="R17" s="51"/>
      <c r="S17" s="52"/>
      <c r="T17" s="53"/>
      <c r="U17" s="54"/>
      <c r="V17" s="62"/>
      <c r="X17" s="1">
        <f t="shared" ca="1" si="3"/>
        <v>1</v>
      </c>
      <c r="Z17" s="1">
        <f t="shared" si="4"/>
        <v>0</v>
      </c>
      <c r="AA17" s="1">
        <f t="shared" si="4"/>
        <v>0</v>
      </c>
      <c r="AB17" s="1">
        <f t="shared" si="4"/>
        <v>0</v>
      </c>
      <c r="AC17" s="1">
        <f t="shared" si="4"/>
        <v>0</v>
      </c>
      <c r="AD17" s="1">
        <f t="shared" si="4"/>
        <v>0</v>
      </c>
      <c r="AE17" s="1">
        <f t="shared" si="4"/>
        <v>0</v>
      </c>
      <c r="AF17" s="1">
        <f t="shared" si="4"/>
        <v>0</v>
      </c>
      <c r="AG17" s="1">
        <f t="shared" si="4"/>
        <v>0</v>
      </c>
      <c r="AH17" s="1">
        <f t="shared" si="4"/>
        <v>0</v>
      </c>
      <c r="AI17" s="1">
        <f t="shared" si="4"/>
        <v>0</v>
      </c>
      <c r="AJ17" s="1">
        <f t="shared" si="4"/>
        <v>0</v>
      </c>
      <c r="AK17" s="1">
        <f t="shared" si="4"/>
        <v>0</v>
      </c>
    </row>
    <row r="18" spans="1:37" ht="14.1" customHeight="1" x14ac:dyDescent="0.2">
      <c r="A18" s="16">
        <v>10</v>
      </c>
      <c r="B18" s="65"/>
      <c r="C18" s="118" t="str">
        <f>TRIM(ANUAL!C22)</f>
        <v>---</v>
      </c>
      <c r="D18" s="119" t="str">
        <f>TRIM(ANUAL!D22)</f>
        <v/>
      </c>
      <c r="E18" s="120">
        <f t="shared" ca="1" si="5"/>
        <v>0</v>
      </c>
      <c r="F18" s="120">
        <f t="shared" ca="1" si="0"/>
        <v>0</v>
      </c>
      <c r="G18" s="120">
        <f t="shared" ca="1" si="1"/>
        <v>0</v>
      </c>
      <c r="H18" s="62"/>
      <c r="J18" s="3" t="b">
        <f t="shared" si="2"/>
        <v>0</v>
      </c>
      <c r="K18" s="3" t="b">
        <f t="shared" si="2"/>
        <v>0</v>
      </c>
      <c r="L18" s="3" t="b">
        <f t="shared" si="2"/>
        <v>0</v>
      </c>
      <c r="N18" s="16">
        <v>10</v>
      </c>
      <c r="O18" s="65"/>
      <c r="P18" s="55"/>
      <c r="Q18" s="56"/>
      <c r="R18" s="57"/>
      <c r="S18" s="58"/>
      <c r="T18" s="59"/>
      <c r="U18" s="60"/>
      <c r="V18" s="62"/>
      <c r="X18" s="1">
        <f t="shared" ca="1" si="3"/>
        <v>1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C18" s="1">
        <f t="shared" si="4"/>
        <v>0</v>
      </c>
      <c r="AD18" s="1">
        <f t="shared" si="4"/>
        <v>0</v>
      </c>
      <c r="AE18" s="1">
        <f t="shared" si="4"/>
        <v>0</v>
      </c>
      <c r="AF18" s="1">
        <f t="shared" si="4"/>
        <v>0</v>
      </c>
      <c r="AG18" s="1">
        <f t="shared" si="4"/>
        <v>0</v>
      </c>
      <c r="AH18" s="1">
        <f t="shared" si="4"/>
        <v>0</v>
      </c>
      <c r="AI18" s="1">
        <f t="shared" si="4"/>
        <v>0</v>
      </c>
      <c r="AJ18" s="1">
        <f t="shared" si="4"/>
        <v>0</v>
      </c>
      <c r="AK18" s="1">
        <f t="shared" si="4"/>
        <v>0</v>
      </c>
    </row>
    <row r="19" spans="1:37" ht="14.1" customHeight="1" x14ac:dyDescent="0.2">
      <c r="A19" s="12">
        <v>11</v>
      </c>
      <c r="B19" s="65"/>
      <c r="C19" s="115" t="str">
        <f>TRIM(ANUAL!C23)</f>
        <v>---</v>
      </c>
      <c r="D19" s="116" t="str">
        <f>TRIM(ANUAL!D23)</f>
        <v/>
      </c>
      <c r="E19" s="117">
        <f t="shared" ca="1" si="5"/>
        <v>0</v>
      </c>
      <c r="F19" s="117">
        <f t="shared" ca="1" si="0"/>
        <v>0</v>
      </c>
      <c r="G19" s="117">
        <f t="shared" ca="1" si="1"/>
        <v>0</v>
      </c>
      <c r="H19" s="62"/>
      <c r="J19" s="3" t="b">
        <f t="shared" si="2"/>
        <v>0</v>
      </c>
      <c r="K19" s="3" t="b">
        <f t="shared" si="2"/>
        <v>0</v>
      </c>
      <c r="L19" s="3" t="b">
        <f t="shared" si="2"/>
        <v>0</v>
      </c>
      <c r="N19" s="12">
        <v>11</v>
      </c>
      <c r="O19" s="65"/>
      <c r="P19" s="49"/>
      <c r="Q19" s="50"/>
      <c r="R19" s="51"/>
      <c r="S19" s="52"/>
      <c r="T19" s="53"/>
      <c r="U19" s="54"/>
      <c r="V19" s="62"/>
      <c r="X19" s="1">
        <f t="shared" ca="1" si="3"/>
        <v>1</v>
      </c>
      <c r="Z19" s="1">
        <f t="shared" ref="Z19:AK28" si="6">IF(Z$8=$R19,-$T19,0)+IF(Z$8=$S19,$T19,0)</f>
        <v>0</v>
      </c>
      <c r="AA19" s="1">
        <f t="shared" si="6"/>
        <v>0</v>
      </c>
      <c r="AB19" s="1">
        <f t="shared" si="6"/>
        <v>0</v>
      </c>
      <c r="AC19" s="1">
        <f t="shared" si="6"/>
        <v>0</v>
      </c>
      <c r="AD19" s="1">
        <f t="shared" si="6"/>
        <v>0</v>
      </c>
      <c r="AE19" s="1">
        <f t="shared" si="6"/>
        <v>0</v>
      </c>
      <c r="AF19" s="1">
        <f t="shared" si="6"/>
        <v>0</v>
      </c>
      <c r="AG19" s="1">
        <f t="shared" si="6"/>
        <v>0</v>
      </c>
      <c r="AH19" s="1">
        <f t="shared" si="6"/>
        <v>0</v>
      </c>
      <c r="AI19" s="1">
        <f t="shared" si="6"/>
        <v>0</v>
      </c>
      <c r="AJ19" s="1">
        <f t="shared" si="6"/>
        <v>0</v>
      </c>
      <c r="AK19" s="1">
        <f t="shared" si="6"/>
        <v>0</v>
      </c>
    </row>
    <row r="20" spans="1:37" ht="14.1" customHeight="1" x14ac:dyDescent="0.2">
      <c r="A20" s="16">
        <v>12</v>
      </c>
      <c r="B20" s="65"/>
      <c r="C20" s="121" t="str">
        <f>TRIM(ANUAL!C24)</f>
        <v>---</v>
      </c>
      <c r="D20" s="122" t="str">
        <f>TRIM(ANUAL!D24)</f>
        <v/>
      </c>
      <c r="E20" s="123">
        <f t="shared" ca="1" si="5"/>
        <v>0</v>
      </c>
      <c r="F20" s="123">
        <f t="shared" ca="1" si="0"/>
        <v>0</v>
      </c>
      <c r="G20" s="123">
        <f t="shared" ca="1" si="1"/>
        <v>0</v>
      </c>
      <c r="H20" s="62"/>
      <c r="J20" s="3" t="b">
        <f t="shared" si="2"/>
        <v>0</v>
      </c>
      <c r="K20" s="3" t="b">
        <f t="shared" si="2"/>
        <v>0</v>
      </c>
      <c r="L20" s="3" t="b">
        <f t="shared" si="2"/>
        <v>0</v>
      </c>
      <c r="N20" s="16">
        <v>12</v>
      </c>
      <c r="O20" s="65"/>
      <c r="P20" s="55"/>
      <c r="Q20" s="56"/>
      <c r="R20" s="57"/>
      <c r="S20" s="58"/>
      <c r="T20" s="59"/>
      <c r="U20" s="60"/>
      <c r="V20" s="62"/>
      <c r="X20" s="1">
        <f t="shared" ca="1" si="3"/>
        <v>1</v>
      </c>
      <c r="Z20" s="1">
        <f t="shared" si="6"/>
        <v>0</v>
      </c>
      <c r="AA20" s="1">
        <f t="shared" si="6"/>
        <v>0</v>
      </c>
      <c r="AB20" s="1">
        <f t="shared" si="6"/>
        <v>0</v>
      </c>
      <c r="AC20" s="1">
        <f t="shared" si="6"/>
        <v>0</v>
      </c>
      <c r="AD20" s="1">
        <f t="shared" si="6"/>
        <v>0</v>
      </c>
      <c r="AE20" s="1">
        <f t="shared" si="6"/>
        <v>0</v>
      </c>
      <c r="AF20" s="1">
        <f t="shared" si="6"/>
        <v>0</v>
      </c>
      <c r="AG20" s="1">
        <f t="shared" si="6"/>
        <v>0</v>
      </c>
      <c r="AH20" s="1">
        <f t="shared" si="6"/>
        <v>0</v>
      </c>
      <c r="AI20" s="1">
        <f t="shared" si="6"/>
        <v>0</v>
      </c>
      <c r="AJ20" s="1">
        <f t="shared" si="6"/>
        <v>0</v>
      </c>
      <c r="AK20" s="1">
        <f t="shared" si="6"/>
        <v>0</v>
      </c>
    </row>
    <row r="21" spans="1:37" ht="14.1" customHeight="1" x14ac:dyDescent="0.2">
      <c r="B21" s="128"/>
      <c r="C21" s="129"/>
      <c r="D21" s="130"/>
      <c r="E21" s="130"/>
      <c r="F21" s="130"/>
      <c r="G21" s="130"/>
      <c r="H21" s="131"/>
      <c r="N21" s="12">
        <v>13</v>
      </c>
      <c r="O21" s="65"/>
      <c r="P21" s="49"/>
      <c r="Q21" s="50"/>
      <c r="R21" s="51"/>
      <c r="S21" s="52"/>
      <c r="T21" s="53"/>
      <c r="U21" s="54"/>
      <c r="V21" s="62"/>
      <c r="X21" s="1">
        <f t="shared" ca="1" si="3"/>
        <v>1</v>
      </c>
      <c r="Z21" s="1">
        <f t="shared" si="6"/>
        <v>0</v>
      </c>
      <c r="AA21" s="1">
        <f t="shared" si="6"/>
        <v>0</v>
      </c>
      <c r="AB21" s="1">
        <f t="shared" si="6"/>
        <v>0</v>
      </c>
      <c r="AC21" s="1">
        <f t="shared" si="6"/>
        <v>0</v>
      </c>
      <c r="AD21" s="1">
        <f t="shared" si="6"/>
        <v>0</v>
      </c>
      <c r="AE21" s="1">
        <f t="shared" si="6"/>
        <v>0</v>
      </c>
      <c r="AF21" s="1">
        <f t="shared" si="6"/>
        <v>0</v>
      </c>
      <c r="AG21" s="1">
        <f t="shared" si="6"/>
        <v>0</v>
      </c>
      <c r="AH21" s="1">
        <f t="shared" si="6"/>
        <v>0</v>
      </c>
      <c r="AI21" s="1">
        <f t="shared" si="6"/>
        <v>0</v>
      </c>
      <c r="AJ21" s="1">
        <f t="shared" si="6"/>
        <v>0</v>
      </c>
      <c r="AK21" s="1">
        <f t="shared" si="6"/>
        <v>0</v>
      </c>
    </row>
    <row r="22" spans="1:37" ht="14.1" customHeight="1" x14ac:dyDescent="0.2">
      <c r="J22" s="29"/>
      <c r="K22" s="29"/>
      <c r="L22" s="29"/>
      <c r="N22" s="16">
        <v>14</v>
      </c>
      <c r="O22" s="65"/>
      <c r="P22" s="55"/>
      <c r="Q22" s="56"/>
      <c r="R22" s="57"/>
      <c r="S22" s="58"/>
      <c r="T22" s="59"/>
      <c r="U22" s="60"/>
      <c r="V22" s="62"/>
      <c r="X22" s="1">
        <f t="shared" ca="1" si="3"/>
        <v>1</v>
      </c>
      <c r="Z22" s="1">
        <f t="shared" si="6"/>
        <v>0</v>
      </c>
      <c r="AA22" s="1">
        <f t="shared" si="6"/>
        <v>0</v>
      </c>
      <c r="AB22" s="1">
        <f t="shared" si="6"/>
        <v>0</v>
      </c>
      <c r="AC22" s="1">
        <f t="shared" si="6"/>
        <v>0</v>
      </c>
      <c r="AD22" s="1">
        <f t="shared" si="6"/>
        <v>0</v>
      </c>
      <c r="AE22" s="1">
        <f t="shared" si="6"/>
        <v>0</v>
      </c>
      <c r="AF22" s="1">
        <f t="shared" si="6"/>
        <v>0</v>
      </c>
      <c r="AG22" s="1">
        <f t="shared" si="6"/>
        <v>0</v>
      </c>
      <c r="AH22" s="1">
        <f t="shared" si="6"/>
        <v>0</v>
      </c>
      <c r="AI22" s="1">
        <f t="shared" si="6"/>
        <v>0</v>
      </c>
      <c r="AJ22" s="1">
        <f t="shared" si="6"/>
        <v>0</v>
      </c>
      <c r="AK22" s="1">
        <f t="shared" si="6"/>
        <v>0</v>
      </c>
    </row>
    <row r="23" spans="1:37" ht="14.1" customHeight="1" x14ac:dyDescent="0.2">
      <c r="B23" s="77"/>
      <c r="C23" s="78"/>
      <c r="D23" s="79"/>
      <c r="E23" s="79"/>
      <c r="F23" s="79"/>
      <c r="G23" s="79"/>
      <c r="H23" s="80"/>
      <c r="I23" s="3"/>
      <c r="J23" s="3"/>
      <c r="K23" s="3"/>
      <c r="L23" s="3"/>
      <c r="M23" s="3"/>
      <c r="N23" s="12">
        <v>15</v>
      </c>
      <c r="O23" s="65"/>
      <c r="P23" s="49"/>
      <c r="Q23" s="50"/>
      <c r="R23" s="51"/>
      <c r="S23" s="52"/>
      <c r="T23" s="53"/>
      <c r="U23" s="54"/>
      <c r="V23" s="62"/>
      <c r="X23" s="1">
        <f t="shared" ca="1" si="3"/>
        <v>1</v>
      </c>
      <c r="Z23" s="1">
        <f t="shared" si="6"/>
        <v>0</v>
      </c>
      <c r="AA23" s="1">
        <f t="shared" si="6"/>
        <v>0</v>
      </c>
      <c r="AB23" s="1">
        <f t="shared" si="6"/>
        <v>0</v>
      </c>
      <c r="AC23" s="1">
        <f t="shared" si="6"/>
        <v>0</v>
      </c>
      <c r="AD23" s="1">
        <f t="shared" si="6"/>
        <v>0</v>
      </c>
      <c r="AE23" s="1">
        <f t="shared" si="6"/>
        <v>0</v>
      </c>
      <c r="AF23" s="1">
        <f t="shared" si="6"/>
        <v>0</v>
      </c>
      <c r="AG23" s="1">
        <f t="shared" si="6"/>
        <v>0</v>
      </c>
      <c r="AH23" s="1">
        <f t="shared" si="6"/>
        <v>0</v>
      </c>
      <c r="AI23" s="1">
        <f t="shared" si="6"/>
        <v>0</v>
      </c>
      <c r="AJ23" s="1">
        <f t="shared" si="6"/>
        <v>0</v>
      </c>
      <c r="AK23" s="1">
        <f t="shared" si="6"/>
        <v>0</v>
      </c>
    </row>
    <row r="24" spans="1:37" ht="14.1" customHeight="1" x14ac:dyDescent="0.2">
      <c r="B24" s="81"/>
      <c r="C24" s="285" t="s">
        <v>103</v>
      </c>
      <c r="D24" s="285"/>
      <c r="E24" s="285"/>
      <c r="F24" s="285"/>
      <c r="G24" s="285"/>
      <c r="H24" s="82"/>
      <c r="I24" s="3"/>
      <c r="J24" s="3"/>
      <c r="K24" s="3"/>
      <c r="L24" s="3"/>
      <c r="M24" s="3"/>
      <c r="N24" s="16">
        <v>16</v>
      </c>
      <c r="O24" s="65"/>
      <c r="P24" s="55"/>
      <c r="Q24" s="56"/>
      <c r="R24" s="57"/>
      <c r="S24" s="58"/>
      <c r="T24" s="59"/>
      <c r="U24" s="60"/>
      <c r="V24" s="62"/>
      <c r="X24" s="1">
        <f t="shared" ca="1" si="3"/>
        <v>1</v>
      </c>
      <c r="Z24" s="1">
        <f t="shared" si="6"/>
        <v>0</v>
      </c>
      <c r="AA24" s="1">
        <f t="shared" si="6"/>
        <v>0</v>
      </c>
      <c r="AB24" s="1">
        <f t="shared" si="6"/>
        <v>0</v>
      </c>
      <c r="AC24" s="1">
        <f t="shared" si="6"/>
        <v>0</v>
      </c>
      <c r="AD24" s="1">
        <f t="shared" si="6"/>
        <v>0</v>
      </c>
      <c r="AE24" s="1">
        <f t="shared" si="6"/>
        <v>0</v>
      </c>
      <c r="AF24" s="1">
        <f t="shared" si="6"/>
        <v>0</v>
      </c>
      <c r="AG24" s="1">
        <f t="shared" si="6"/>
        <v>0</v>
      </c>
      <c r="AH24" s="1">
        <f t="shared" si="6"/>
        <v>0</v>
      </c>
      <c r="AI24" s="1">
        <f t="shared" si="6"/>
        <v>0</v>
      </c>
      <c r="AJ24" s="1">
        <f t="shared" si="6"/>
        <v>0</v>
      </c>
      <c r="AK24" s="1">
        <f t="shared" si="6"/>
        <v>0</v>
      </c>
    </row>
    <row r="25" spans="1:37" ht="14.1" customHeight="1" x14ac:dyDescent="0.2">
      <c r="B25" s="81"/>
      <c r="C25" s="285"/>
      <c r="D25" s="285"/>
      <c r="E25" s="285"/>
      <c r="F25" s="285"/>
      <c r="G25" s="285"/>
      <c r="H25" s="82"/>
      <c r="I25" s="3"/>
      <c r="J25" s="3"/>
      <c r="K25" s="3"/>
      <c r="L25" s="3"/>
      <c r="M25" s="3"/>
      <c r="N25" s="12">
        <v>17</v>
      </c>
      <c r="O25" s="65"/>
      <c r="P25" s="49"/>
      <c r="Q25" s="50"/>
      <c r="R25" s="51"/>
      <c r="S25" s="52"/>
      <c r="T25" s="53"/>
      <c r="U25" s="54"/>
      <c r="V25" s="62"/>
      <c r="X25" s="1">
        <f t="shared" ca="1" si="3"/>
        <v>1</v>
      </c>
      <c r="Z25" s="1">
        <f t="shared" si="6"/>
        <v>0</v>
      </c>
      <c r="AA25" s="1">
        <f t="shared" si="6"/>
        <v>0</v>
      </c>
      <c r="AB25" s="1">
        <f t="shared" si="6"/>
        <v>0</v>
      </c>
      <c r="AC25" s="1">
        <f t="shared" si="6"/>
        <v>0</v>
      </c>
      <c r="AD25" s="1">
        <f t="shared" si="6"/>
        <v>0</v>
      </c>
      <c r="AE25" s="1">
        <f t="shared" si="6"/>
        <v>0</v>
      </c>
      <c r="AF25" s="1">
        <f t="shared" si="6"/>
        <v>0</v>
      </c>
      <c r="AG25" s="1">
        <f t="shared" si="6"/>
        <v>0</v>
      </c>
      <c r="AH25" s="1">
        <f t="shared" si="6"/>
        <v>0</v>
      </c>
      <c r="AI25" s="1">
        <f t="shared" si="6"/>
        <v>0</v>
      </c>
      <c r="AJ25" s="1">
        <f t="shared" si="6"/>
        <v>0</v>
      </c>
      <c r="AK25" s="1">
        <f t="shared" si="6"/>
        <v>0</v>
      </c>
    </row>
    <row r="26" spans="1:37" ht="14.1" customHeight="1" x14ac:dyDescent="0.2">
      <c r="B26" s="46"/>
      <c r="C26" s="271" t="s">
        <v>94</v>
      </c>
      <c r="D26" s="273" t="s">
        <v>5</v>
      </c>
      <c r="E26" s="275" t="s">
        <v>104</v>
      </c>
      <c r="F26" s="275" t="s">
        <v>89</v>
      </c>
      <c r="G26" s="276" t="s">
        <v>6</v>
      </c>
      <c r="H26" s="82"/>
      <c r="I26" s="3"/>
      <c r="J26" s="3"/>
      <c r="K26" s="3"/>
      <c r="L26" s="3"/>
      <c r="M26" s="3"/>
      <c r="N26" s="16">
        <v>18</v>
      </c>
      <c r="O26" s="65"/>
      <c r="P26" s="55"/>
      <c r="Q26" s="56"/>
      <c r="R26" s="57"/>
      <c r="S26" s="58"/>
      <c r="T26" s="59"/>
      <c r="U26" s="60"/>
      <c r="V26" s="62"/>
      <c r="X26" s="1">
        <f t="shared" ca="1" si="3"/>
        <v>1</v>
      </c>
      <c r="Z26" s="1">
        <f t="shared" si="6"/>
        <v>0</v>
      </c>
      <c r="AA26" s="1">
        <f t="shared" si="6"/>
        <v>0</v>
      </c>
      <c r="AB26" s="1">
        <f t="shared" si="6"/>
        <v>0</v>
      </c>
      <c r="AC26" s="1">
        <f t="shared" si="6"/>
        <v>0</v>
      </c>
      <c r="AD26" s="1">
        <f t="shared" si="6"/>
        <v>0</v>
      </c>
      <c r="AE26" s="1">
        <f t="shared" si="6"/>
        <v>0</v>
      </c>
      <c r="AF26" s="1">
        <f t="shared" si="6"/>
        <v>0</v>
      </c>
      <c r="AG26" s="1">
        <f t="shared" si="6"/>
        <v>0</v>
      </c>
      <c r="AH26" s="1">
        <f t="shared" si="6"/>
        <v>0</v>
      </c>
      <c r="AI26" s="1">
        <f t="shared" si="6"/>
        <v>0</v>
      </c>
      <c r="AJ26" s="1">
        <f t="shared" si="6"/>
        <v>0</v>
      </c>
      <c r="AK26" s="1">
        <f t="shared" si="6"/>
        <v>0</v>
      </c>
    </row>
    <row r="27" spans="1:37" ht="14.1" customHeight="1" x14ac:dyDescent="0.2">
      <c r="A27" s="3"/>
      <c r="B27" s="44"/>
      <c r="C27" s="272"/>
      <c r="D27" s="274"/>
      <c r="E27" s="99" t="s">
        <v>87</v>
      </c>
      <c r="F27" s="100" t="s">
        <v>89</v>
      </c>
      <c r="G27" s="98" t="s">
        <v>105</v>
      </c>
      <c r="H27" s="83"/>
      <c r="I27" s="3"/>
      <c r="J27" s="3" t="str">
        <f>ANUAL!C115</f>
        <v>CC</v>
      </c>
      <c r="K27" s="3" t="str">
        <f>ANUAL!C116</f>
        <v>INV</v>
      </c>
      <c r="L27" s="3" t="str">
        <f>ANUAL!C117</f>
        <v>DINH</v>
      </c>
      <c r="M27" s="3"/>
      <c r="N27" s="12">
        <v>19</v>
      </c>
      <c r="O27" s="65"/>
      <c r="P27" s="49"/>
      <c r="Q27" s="50"/>
      <c r="R27" s="51"/>
      <c r="S27" s="52"/>
      <c r="T27" s="53"/>
      <c r="U27" s="54"/>
      <c r="V27" s="62"/>
      <c r="X27" s="1">
        <f t="shared" ca="1" si="3"/>
        <v>1</v>
      </c>
      <c r="Z27" s="1">
        <f t="shared" si="6"/>
        <v>0</v>
      </c>
      <c r="AA27" s="1">
        <f t="shared" si="6"/>
        <v>0</v>
      </c>
      <c r="AB27" s="1">
        <f t="shared" si="6"/>
        <v>0</v>
      </c>
      <c r="AC27" s="1">
        <f t="shared" si="6"/>
        <v>0</v>
      </c>
      <c r="AD27" s="1">
        <f t="shared" si="6"/>
        <v>0</v>
      </c>
      <c r="AE27" s="1">
        <f t="shared" si="6"/>
        <v>0</v>
      </c>
      <c r="AF27" s="1">
        <f t="shared" si="6"/>
        <v>0</v>
      </c>
      <c r="AG27" s="1">
        <f t="shared" si="6"/>
        <v>0</v>
      </c>
      <c r="AH27" s="1">
        <f t="shared" si="6"/>
        <v>0</v>
      </c>
      <c r="AI27" s="1">
        <f t="shared" si="6"/>
        <v>0</v>
      </c>
      <c r="AJ27" s="1">
        <f t="shared" si="6"/>
        <v>0</v>
      </c>
      <c r="AK27" s="1">
        <f t="shared" si="6"/>
        <v>0</v>
      </c>
    </row>
    <row r="28" spans="1:37" ht="14.1" customHeight="1" x14ac:dyDescent="0.2">
      <c r="A28" s="12">
        <v>1</v>
      </c>
      <c r="B28" s="64"/>
      <c r="C28" s="115" t="str">
        <f t="shared" ref="C28:D39" si="7">C9</f>
        <v/>
      </c>
      <c r="D28" s="116" t="str">
        <f t="shared" si="7"/>
        <v>CONTA CORRENTE BANCO 1</v>
      </c>
      <c r="E28" s="117">
        <f t="shared" ref="E28:E39" ca="1" si="8">SUMIF(OFFSET($Z$9:$Z$88,0,A28-1),"&gt;0")</f>
        <v>0</v>
      </c>
      <c r="F28" s="117">
        <f t="shared" ref="F28:F39" ca="1" si="9">SUMIF(OFFSET($Z$9:$Z$88,0,A28-1),"&lt;0")</f>
        <v>0</v>
      </c>
      <c r="G28" s="117">
        <f t="shared" ref="G28:G39" ca="1" si="10">SUM(E28:F28)</f>
        <v>0</v>
      </c>
      <c r="H28" s="61"/>
      <c r="I28" s="3"/>
      <c r="J28" s="3" t="b">
        <f t="shared" ref="J28:L39" si="11">NOT(ISERR(SEARCH(J$27,$C28)))</f>
        <v>0</v>
      </c>
      <c r="K28" s="3" t="b">
        <f t="shared" si="11"/>
        <v>0</v>
      </c>
      <c r="L28" s="3" t="b">
        <f t="shared" si="11"/>
        <v>0</v>
      </c>
      <c r="M28" s="3"/>
      <c r="N28" s="16">
        <v>20</v>
      </c>
      <c r="O28" s="65"/>
      <c r="P28" s="55"/>
      <c r="Q28" s="56"/>
      <c r="R28" s="57"/>
      <c r="S28" s="58"/>
      <c r="T28" s="59"/>
      <c r="U28" s="60"/>
      <c r="V28" s="62"/>
      <c r="X28" s="1">
        <f t="shared" ca="1" si="3"/>
        <v>1</v>
      </c>
      <c r="Z28" s="1">
        <f t="shared" si="6"/>
        <v>0</v>
      </c>
      <c r="AA28" s="1">
        <f t="shared" si="6"/>
        <v>0</v>
      </c>
      <c r="AB28" s="1">
        <f t="shared" si="6"/>
        <v>0</v>
      </c>
      <c r="AC28" s="1">
        <f t="shared" si="6"/>
        <v>0</v>
      </c>
      <c r="AD28" s="1">
        <f t="shared" si="6"/>
        <v>0</v>
      </c>
      <c r="AE28" s="1">
        <f t="shared" si="6"/>
        <v>0</v>
      </c>
      <c r="AF28" s="1">
        <f t="shared" si="6"/>
        <v>0</v>
      </c>
      <c r="AG28" s="1">
        <f t="shared" si="6"/>
        <v>0</v>
      </c>
      <c r="AH28" s="1">
        <f t="shared" si="6"/>
        <v>0</v>
      </c>
      <c r="AI28" s="1">
        <f t="shared" si="6"/>
        <v>0</v>
      </c>
      <c r="AJ28" s="1">
        <f t="shared" si="6"/>
        <v>0</v>
      </c>
      <c r="AK28" s="1">
        <f t="shared" si="6"/>
        <v>0</v>
      </c>
    </row>
    <row r="29" spans="1:37" ht="14.1" customHeight="1" x14ac:dyDescent="0.2">
      <c r="A29" s="16">
        <v>2</v>
      </c>
      <c r="B29" s="65"/>
      <c r="C29" s="118" t="str">
        <f t="shared" si="7"/>
        <v>INV1</v>
      </c>
      <c r="D29" s="119" t="str">
        <f t="shared" si="7"/>
        <v>POUPANÇA BANCO 1</v>
      </c>
      <c r="E29" s="120">
        <f t="shared" ca="1" si="8"/>
        <v>0</v>
      </c>
      <c r="F29" s="120">
        <f t="shared" ca="1" si="9"/>
        <v>0</v>
      </c>
      <c r="G29" s="120">
        <f t="shared" ca="1" si="10"/>
        <v>0</v>
      </c>
      <c r="H29" s="62"/>
      <c r="I29" s="3"/>
      <c r="J29" s="3" t="b">
        <f t="shared" si="11"/>
        <v>0</v>
      </c>
      <c r="K29" s="3" t="b">
        <f t="shared" si="11"/>
        <v>1</v>
      </c>
      <c r="L29" s="3" t="b">
        <f t="shared" si="11"/>
        <v>0</v>
      </c>
      <c r="M29" s="3"/>
      <c r="N29" s="12">
        <v>21</v>
      </c>
      <c r="O29" s="65"/>
      <c r="P29" s="49"/>
      <c r="Q29" s="50"/>
      <c r="R29" s="51"/>
      <c r="S29" s="52"/>
      <c r="T29" s="53"/>
      <c r="U29" s="54"/>
      <c r="V29" s="62"/>
      <c r="X29" s="1">
        <f t="shared" ca="1" si="3"/>
        <v>1</v>
      </c>
      <c r="Z29" s="1">
        <f t="shared" ref="Z29:AK38" si="12">IF(Z$8=$R29,-$T29,0)+IF(Z$8=$S29,$T29,0)</f>
        <v>0</v>
      </c>
      <c r="AA29" s="1">
        <f t="shared" si="12"/>
        <v>0</v>
      </c>
      <c r="AB29" s="1">
        <f t="shared" si="12"/>
        <v>0</v>
      </c>
      <c r="AC29" s="1">
        <f t="shared" si="12"/>
        <v>0</v>
      </c>
      <c r="AD29" s="1">
        <f t="shared" si="12"/>
        <v>0</v>
      </c>
      <c r="AE29" s="1">
        <f t="shared" si="12"/>
        <v>0</v>
      </c>
      <c r="AF29" s="1">
        <f t="shared" si="12"/>
        <v>0</v>
      </c>
      <c r="AG29" s="1">
        <f t="shared" si="12"/>
        <v>0</v>
      </c>
      <c r="AH29" s="1">
        <f t="shared" si="12"/>
        <v>0</v>
      </c>
      <c r="AI29" s="1">
        <f t="shared" si="12"/>
        <v>0</v>
      </c>
      <c r="AJ29" s="1">
        <f t="shared" si="12"/>
        <v>0</v>
      </c>
      <c r="AK29" s="1">
        <f t="shared" si="12"/>
        <v>0</v>
      </c>
    </row>
    <row r="30" spans="1:37" ht="14.1" customHeight="1" x14ac:dyDescent="0.2">
      <c r="A30" s="12">
        <v>3</v>
      </c>
      <c r="B30" s="65"/>
      <c r="C30" s="115" t="str">
        <f t="shared" si="7"/>
        <v>DINH1</v>
      </c>
      <c r="D30" s="116" t="str">
        <f t="shared" si="7"/>
        <v>EM ESPÉCIE</v>
      </c>
      <c r="E30" s="117">
        <f t="shared" ca="1" si="8"/>
        <v>0</v>
      </c>
      <c r="F30" s="117">
        <f t="shared" ca="1" si="9"/>
        <v>0</v>
      </c>
      <c r="G30" s="117">
        <f t="shared" ca="1" si="10"/>
        <v>0</v>
      </c>
      <c r="H30" s="62"/>
      <c r="I30" s="3"/>
      <c r="J30" s="3" t="b">
        <f t="shared" si="11"/>
        <v>0</v>
      </c>
      <c r="K30" s="3" t="b">
        <f t="shared" si="11"/>
        <v>0</v>
      </c>
      <c r="L30" s="3" t="b">
        <f t="shared" si="11"/>
        <v>1</v>
      </c>
      <c r="M30" s="3"/>
      <c r="N30" s="16">
        <v>22</v>
      </c>
      <c r="O30" s="65"/>
      <c r="P30" s="55"/>
      <c r="Q30" s="56"/>
      <c r="R30" s="57"/>
      <c r="S30" s="58"/>
      <c r="T30" s="59"/>
      <c r="U30" s="60"/>
      <c r="V30" s="62"/>
      <c r="X30" s="1">
        <f t="shared" ca="1" si="3"/>
        <v>1</v>
      </c>
      <c r="Z30" s="1">
        <f t="shared" si="12"/>
        <v>0</v>
      </c>
      <c r="AA30" s="1">
        <f t="shared" si="12"/>
        <v>0</v>
      </c>
      <c r="AB30" s="1">
        <f t="shared" si="12"/>
        <v>0</v>
      </c>
      <c r="AC30" s="1">
        <f t="shared" si="12"/>
        <v>0</v>
      </c>
      <c r="AD30" s="1">
        <f t="shared" si="12"/>
        <v>0</v>
      </c>
      <c r="AE30" s="1">
        <f t="shared" si="12"/>
        <v>0</v>
      </c>
      <c r="AF30" s="1">
        <f t="shared" si="12"/>
        <v>0</v>
      </c>
      <c r="AG30" s="1">
        <f t="shared" si="12"/>
        <v>0</v>
      </c>
      <c r="AH30" s="1">
        <f t="shared" si="12"/>
        <v>0</v>
      </c>
      <c r="AI30" s="1">
        <f t="shared" si="12"/>
        <v>0</v>
      </c>
      <c r="AJ30" s="1">
        <f t="shared" si="12"/>
        <v>0</v>
      </c>
      <c r="AK30" s="1">
        <f t="shared" si="12"/>
        <v>0</v>
      </c>
    </row>
    <row r="31" spans="1:37" ht="14.1" customHeight="1" x14ac:dyDescent="0.2">
      <c r="A31" s="16">
        <v>4</v>
      </c>
      <c r="B31" s="65"/>
      <c r="C31" s="118" t="str">
        <f t="shared" si="7"/>
        <v>CRED1</v>
      </c>
      <c r="D31" s="119" t="str">
        <f t="shared" si="7"/>
        <v>CARTÃO DE CRÉDITO 1</v>
      </c>
      <c r="E31" s="120">
        <f t="shared" ca="1" si="8"/>
        <v>0</v>
      </c>
      <c r="F31" s="120">
        <f t="shared" ca="1" si="9"/>
        <v>0</v>
      </c>
      <c r="G31" s="120">
        <f t="shared" ca="1" si="10"/>
        <v>0</v>
      </c>
      <c r="H31" s="62"/>
      <c r="I31" s="3"/>
      <c r="J31" s="3" t="b">
        <f t="shared" si="11"/>
        <v>0</v>
      </c>
      <c r="K31" s="3" t="b">
        <f t="shared" si="11"/>
        <v>0</v>
      </c>
      <c r="L31" s="3" t="b">
        <f t="shared" si="11"/>
        <v>0</v>
      </c>
      <c r="M31" s="3"/>
      <c r="N31" s="12">
        <v>23</v>
      </c>
      <c r="O31" s="65"/>
      <c r="P31" s="49"/>
      <c r="Q31" s="50"/>
      <c r="R31" s="51"/>
      <c r="S31" s="52"/>
      <c r="T31" s="53"/>
      <c r="U31" s="54"/>
      <c r="V31" s="62"/>
      <c r="X31" s="1">
        <f t="shared" ca="1" si="3"/>
        <v>1</v>
      </c>
      <c r="Z31" s="1">
        <f t="shared" si="12"/>
        <v>0</v>
      </c>
      <c r="AA31" s="1">
        <f t="shared" si="12"/>
        <v>0</v>
      </c>
      <c r="AB31" s="1">
        <f t="shared" si="12"/>
        <v>0</v>
      </c>
      <c r="AC31" s="1">
        <f t="shared" si="12"/>
        <v>0</v>
      </c>
      <c r="AD31" s="1">
        <f t="shared" si="12"/>
        <v>0</v>
      </c>
      <c r="AE31" s="1">
        <f t="shared" si="12"/>
        <v>0</v>
      </c>
      <c r="AF31" s="1">
        <f t="shared" si="12"/>
        <v>0</v>
      </c>
      <c r="AG31" s="1">
        <f t="shared" si="12"/>
        <v>0</v>
      </c>
      <c r="AH31" s="1">
        <f t="shared" si="12"/>
        <v>0</v>
      </c>
      <c r="AI31" s="1">
        <f t="shared" si="12"/>
        <v>0</v>
      </c>
      <c r="AJ31" s="1">
        <f t="shared" si="12"/>
        <v>0</v>
      </c>
      <c r="AK31" s="1">
        <f t="shared" si="12"/>
        <v>0</v>
      </c>
    </row>
    <row r="32" spans="1:37" ht="14.1" customHeight="1" x14ac:dyDescent="0.2">
      <c r="A32" s="12">
        <v>5</v>
      </c>
      <c r="B32" s="65"/>
      <c r="C32" s="115" t="str">
        <f t="shared" si="7"/>
        <v>---</v>
      </c>
      <c r="D32" s="116" t="str">
        <f t="shared" si="7"/>
        <v/>
      </c>
      <c r="E32" s="117">
        <f t="shared" ca="1" si="8"/>
        <v>0</v>
      </c>
      <c r="F32" s="117">
        <f t="shared" ca="1" si="9"/>
        <v>0</v>
      </c>
      <c r="G32" s="117">
        <f t="shared" ca="1" si="10"/>
        <v>0</v>
      </c>
      <c r="H32" s="62"/>
      <c r="I32" s="3"/>
      <c r="J32" s="3" t="b">
        <f t="shared" si="11"/>
        <v>0</v>
      </c>
      <c r="K32" s="3" t="b">
        <f t="shared" si="11"/>
        <v>0</v>
      </c>
      <c r="L32" s="3" t="b">
        <f t="shared" si="11"/>
        <v>0</v>
      </c>
      <c r="M32" s="3"/>
      <c r="N32" s="16">
        <v>24</v>
      </c>
      <c r="O32" s="65"/>
      <c r="P32" s="55"/>
      <c r="Q32" s="56"/>
      <c r="R32" s="57"/>
      <c r="S32" s="58"/>
      <c r="T32" s="59"/>
      <c r="U32" s="60"/>
      <c r="V32" s="62"/>
      <c r="X32" s="1">
        <f t="shared" ca="1" si="3"/>
        <v>1</v>
      </c>
      <c r="Z32" s="1">
        <f t="shared" si="12"/>
        <v>0</v>
      </c>
      <c r="AA32" s="1">
        <f t="shared" si="12"/>
        <v>0</v>
      </c>
      <c r="AB32" s="1">
        <f t="shared" si="12"/>
        <v>0</v>
      </c>
      <c r="AC32" s="1">
        <f t="shared" si="12"/>
        <v>0</v>
      </c>
      <c r="AD32" s="1">
        <f t="shared" si="12"/>
        <v>0</v>
      </c>
      <c r="AE32" s="1">
        <f t="shared" si="12"/>
        <v>0</v>
      </c>
      <c r="AF32" s="1">
        <f t="shared" si="12"/>
        <v>0</v>
      </c>
      <c r="AG32" s="1">
        <f t="shared" si="12"/>
        <v>0</v>
      </c>
      <c r="AH32" s="1">
        <f t="shared" si="12"/>
        <v>0</v>
      </c>
      <c r="AI32" s="1">
        <f t="shared" si="12"/>
        <v>0</v>
      </c>
      <c r="AJ32" s="1">
        <f t="shared" si="12"/>
        <v>0</v>
      </c>
      <c r="AK32" s="1">
        <f t="shared" si="12"/>
        <v>0</v>
      </c>
    </row>
    <row r="33" spans="1:37" ht="14.1" customHeight="1" x14ac:dyDescent="0.2">
      <c r="A33" s="16">
        <v>6</v>
      </c>
      <c r="B33" s="65"/>
      <c r="C33" s="118" t="str">
        <f t="shared" si="7"/>
        <v>---</v>
      </c>
      <c r="D33" s="119" t="str">
        <f t="shared" si="7"/>
        <v/>
      </c>
      <c r="E33" s="120">
        <f t="shared" ca="1" si="8"/>
        <v>0</v>
      </c>
      <c r="F33" s="120">
        <f t="shared" ca="1" si="9"/>
        <v>0</v>
      </c>
      <c r="G33" s="120">
        <f t="shared" ca="1" si="10"/>
        <v>0</v>
      </c>
      <c r="H33" s="62"/>
      <c r="I33" s="3"/>
      <c r="J33" s="3" t="b">
        <f t="shared" si="11"/>
        <v>0</v>
      </c>
      <c r="K33" s="3" t="b">
        <f t="shared" si="11"/>
        <v>0</v>
      </c>
      <c r="L33" s="3" t="b">
        <f t="shared" si="11"/>
        <v>0</v>
      </c>
      <c r="M33" s="3"/>
      <c r="N33" s="12">
        <v>25</v>
      </c>
      <c r="O33" s="65"/>
      <c r="P33" s="49"/>
      <c r="Q33" s="50"/>
      <c r="R33" s="51"/>
      <c r="S33" s="52"/>
      <c r="T33" s="53"/>
      <c r="U33" s="54"/>
      <c r="V33" s="62"/>
      <c r="X33" s="1">
        <f t="shared" ca="1" si="3"/>
        <v>1</v>
      </c>
      <c r="Z33" s="1">
        <f t="shared" si="12"/>
        <v>0</v>
      </c>
      <c r="AA33" s="1">
        <f t="shared" si="12"/>
        <v>0</v>
      </c>
      <c r="AB33" s="1">
        <f t="shared" si="12"/>
        <v>0</v>
      </c>
      <c r="AC33" s="1">
        <f t="shared" si="12"/>
        <v>0</v>
      </c>
      <c r="AD33" s="1">
        <f t="shared" si="12"/>
        <v>0</v>
      </c>
      <c r="AE33" s="1">
        <f t="shared" si="12"/>
        <v>0</v>
      </c>
      <c r="AF33" s="1">
        <f t="shared" si="12"/>
        <v>0</v>
      </c>
      <c r="AG33" s="1">
        <f t="shared" si="12"/>
        <v>0</v>
      </c>
      <c r="AH33" s="1">
        <f t="shared" si="12"/>
        <v>0</v>
      </c>
      <c r="AI33" s="1">
        <f t="shared" si="12"/>
        <v>0</v>
      </c>
      <c r="AJ33" s="1">
        <f t="shared" si="12"/>
        <v>0</v>
      </c>
      <c r="AK33" s="1">
        <f t="shared" si="12"/>
        <v>0</v>
      </c>
    </row>
    <row r="34" spans="1:37" ht="14.1" customHeight="1" x14ac:dyDescent="0.2">
      <c r="A34" s="12">
        <v>7</v>
      </c>
      <c r="B34" s="65"/>
      <c r="C34" s="115" t="str">
        <f t="shared" si="7"/>
        <v>---</v>
      </c>
      <c r="D34" s="116" t="str">
        <f t="shared" si="7"/>
        <v/>
      </c>
      <c r="E34" s="117">
        <f t="shared" ca="1" si="8"/>
        <v>0</v>
      </c>
      <c r="F34" s="117">
        <f t="shared" ca="1" si="9"/>
        <v>0</v>
      </c>
      <c r="G34" s="117">
        <f t="shared" ca="1" si="10"/>
        <v>0</v>
      </c>
      <c r="H34" s="62"/>
      <c r="I34" s="3"/>
      <c r="J34" s="3" t="b">
        <f t="shared" si="11"/>
        <v>0</v>
      </c>
      <c r="K34" s="3" t="b">
        <f t="shared" si="11"/>
        <v>0</v>
      </c>
      <c r="L34" s="3" t="b">
        <f t="shared" si="11"/>
        <v>0</v>
      </c>
      <c r="M34" s="3"/>
      <c r="N34" s="16">
        <v>26</v>
      </c>
      <c r="O34" s="65"/>
      <c r="P34" s="55"/>
      <c r="Q34" s="56"/>
      <c r="R34" s="57"/>
      <c r="S34" s="58"/>
      <c r="T34" s="59"/>
      <c r="U34" s="60"/>
      <c r="V34" s="62"/>
      <c r="X34" s="1">
        <f t="shared" ca="1" si="3"/>
        <v>1</v>
      </c>
      <c r="Z34" s="1">
        <f t="shared" si="12"/>
        <v>0</v>
      </c>
      <c r="AA34" s="1">
        <f t="shared" si="12"/>
        <v>0</v>
      </c>
      <c r="AB34" s="1">
        <f t="shared" si="12"/>
        <v>0</v>
      </c>
      <c r="AC34" s="1">
        <f t="shared" si="12"/>
        <v>0</v>
      </c>
      <c r="AD34" s="1">
        <f t="shared" si="12"/>
        <v>0</v>
      </c>
      <c r="AE34" s="1">
        <f t="shared" si="12"/>
        <v>0</v>
      </c>
      <c r="AF34" s="1">
        <f t="shared" si="12"/>
        <v>0</v>
      </c>
      <c r="AG34" s="1">
        <f t="shared" si="12"/>
        <v>0</v>
      </c>
      <c r="AH34" s="1">
        <f t="shared" si="12"/>
        <v>0</v>
      </c>
      <c r="AI34" s="1">
        <f t="shared" si="12"/>
        <v>0</v>
      </c>
      <c r="AJ34" s="1">
        <f t="shared" si="12"/>
        <v>0</v>
      </c>
      <c r="AK34" s="1">
        <f t="shared" si="12"/>
        <v>0</v>
      </c>
    </row>
    <row r="35" spans="1:37" ht="14.1" customHeight="1" x14ac:dyDescent="0.2">
      <c r="A35" s="16">
        <v>8</v>
      </c>
      <c r="B35" s="65"/>
      <c r="C35" s="118" t="str">
        <f t="shared" si="7"/>
        <v>---</v>
      </c>
      <c r="D35" s="119" t="str">
        <f t="shared" si="7"/>
        <v/>
      </c>
      <c r="E35" s="120">
        <f t="shared" ca="1" si="8"/>
        <v>0</v>
      </c>
      <c r="F35" s="120">
        <f t="shared" ca="1" si="9"/>
        <v>0</v>
      </c>
      <c r="G35" s="120">
        <f t="shared" ca="1" si="10"/>
        <v>0</v>
      </c>
      <c r="H35" s="62"/>
      <c r="I35" s="3"/>
      <c r="J35" s="3" t="b">
        <f t="shared" si="11"/>
        <v>0</v>
      </c>
      <c r="K35" s="3" t="b">
        <f t="shared" si="11"/>
        <v>0</v>
      </c>
      <c r="L35" s="3" t="b">
        <f t="shared" si="11"/>
        <v>0</v>
      </c>
      <c r="M35" s="3"/>
      <c r="N35" s="12">
        <v>27</v>
      </c>
      <c r="O35" s="65"/>
      <c r="P35" s="49"/>
      <c r="Q35" s="50"/>
      <c r="R35" s="51"/>
      <c r="S35" s="52"/>
      <c r="T35" s="53"/>
      <c r="U35" s="54"/>
      <c r="V35" s="62"/>
      <c r="X35" s="1">
        <f t="shared" ca="1" si="3"/>
        <v>1</v>
      </c>
      <c r="Z35" s="1">
        <f t="shared" si="12"/>
        <v>0</v>
      </c>
      <c r="AA35" s="1">
        <f t="shared" si="12"/>
        <v>0</v>
      </c>
      <c r="AB35" s="1">
        <f t="shared" si="12"/>
        <v>0</v>
      </c>
      <c r="AC35" s="1">
        <f t="shared" si="12"/>
        <v>0</v>
      </c>
      <c r="AD35" s="1">
        <f t="shared" si="12"/>
        <v>0</v>
      </c>
      <c r="AE35" s="1">
        <f t="shared" si="12"/>
        <v>0</v>
      </c>
      <c r="AF35" s="1">
        <f t="shared" si="12"/>
        <v>0</v>
      </c>
      <c r="AG35" s="1">
        <f t="shared" si="12"/>
        <v>0</v>
      </c>
      <c r="AH35" s="1">
        <f t="shared" si="12"/>
        <v>0</v>
      </c>
      <c r="AI35" s="1">
        <f t="shared" si="12"/>
        <v>0</v>
      </c>
      <c r="AJ35" s="1">
        <f t="shared" si="12"/>
        <v>0</v>
      </c>
      <c r="AK35" s="1">
        <f t="shared" si="12"/>
        <v>0</v>
      </c>
    </row>
    <row r="36" spans="1:37" ht="14.1" customHeight="1" x14ac:dyDescent="0.2">
      <c r="A36" s="12">
        <v>9</v>
      </c>
      <c r="B36" s="65"/>
      <c r="C36" s="115" t="str">
        <f t="shared" si="7"/>
        <v>---</v>
      </c>
      <c r="D36" s="116" t="str">
        <f t="shared" si="7"/>
        <v/>
      </c>
      <c r="E36" s="117">
        <f t="shared" ca="1" si="8"/>
        <v>0</v>
      </c>
      <c r="F36" s="117">
        <f t="shared" ca="1" si="9"/>
        <v>0</v>
      </c>
      <c r="G36" s="117">
        <f t="shared" ca="1" si="10"/>
        <v>0</v>
      </c>
      <c r="H36" s="62"/>
      <c r="I36" s="3"/>
      <c r="J36" s="3" t="b">
        <f t="shared" si="11"/>
        <v>0</v>
      </c>
      <c r="K36" s="3" t="b">
        <f t="shared" si="11"/>
        <v>0</v>
      </c>
      <c r="L36" s="3" t="b">
        <f t="shared" si="11"/>
        <v>0</v>
      </c>
      <c r="M36" s="3"/>
      <c r="N36" s="16">
        <v>28</v>
      </c>
      <c r="O36" s="65"/>
      <c r="P36" s="55"/>
      <c r="Q36" s="56"/>
      <c r="R36" s="57"/>
      <c r="S36" s="58"/>
      <c r="T36" s="59"/>
      <c r="U36" s="60"/>
      <c r="V36" s="62"/>
      <c r="X36" s="1">
        <f t="shared" ca="1" si="3"/>
        <v>1</v>
      </c>
      <c r="Z36" s="1">
        <f t="shared" si="12"/>
        <v>0</v>
      </c>
      <c r="AA36" s="1">
        <f t="shared" si="12"/>
        <v>0</v>
      </c>
      <c r="AB36" s="1">
        <f t="shared" si="12"/>
        <v>0</v>
      </c>
      <c r="AC36" s="1">
        <f t="shared" si="12"/>
        <v>0</v>
      </c>
      <c r="AD36" s="1">
        <f t="shared" si="12"/>
        <v>0</v>
      </c>
      <c r="AE36" s="1">
        <f t="shared" si="12"/>
        <v>0</v>
      </c>
      <c r="AF36" s="1">
        <f t="shared" si="12"/>
        <v>0</v>
      </c>
      <c r="AG36" s="1">
        <f t="shared" si="12"/>
        <v>0</v>
      </c>
      <c r="AH36" s="1">
        <f t="shared" si="12"/>
        <v>0</v>
      </c>
      <c r="AI36" s="1">
        <f t="shared" si="12"/>
        <v>0</v>
      </c>
      <c r="AJ36" s="1">
        <f t="shared" si="12"/>
        <v>0</v>
      </c>
      <c r="AK36" s="1">
        <f t="shared" si="12"/>
        <v>0</v>
      </c>
    </row>
    <row r="37" spans="1:37" ht="14.1" customHeight="1" x14ac:dyDescent="0.2">
      <c r="A37" s="16">
        <v>10</v>
      </c>
      <c r="B37" s="65"/>
      <c r="C37" s="118" t="str">
        <f t="shared" si="7"/>
        <v>---</v>
      </c>
      <c r="D37" s="119" t="str">
        <f t="shared" si="7"/>
        <v/>
      </c>
      <c r="E37" s="120">
        <f t="shared" ca="1" si="8"/>
        <v>0</v>
      </c>
      <c r="F37" s="120">
        <f t="shared" ca="1" si="9"/>
        <v>0</v>
      </c>
      <c r="G37" s="120">
        <f t="shared" ca="1" si="10"/>
        <v>0</v>
      </c>
      <c r="H37" s="62"/>
      <c r="I37" s="3"/>
      <c r="J37" s="3" t="b">
        <f t="shared" si="11"/>
        <v>0</v>
      </c>
      <c r="K37" s="3" t="b">
        <f t="shared" si="11"/>
        <v>0</v>
      </c>
      <c r="L37" s="3" t="b">
        <f t="shared" si="11"/>
        <v>0</v>
      </c>
      <c r="M37" s="3"/>
      <c r="N37" s="12">
        <v>29</v>
      </c>
      <c r="O37" s="65"/>
      <c r="P37" s="49"/>
      <c r="Q37" s="50"/>
      <c r="R37" s="51"/>
      <c r="S37" s="52"/>
      <c r="T37" s="53"/>
      <c r="U37" s="54"/>
      <c r="V37" s="62"/>
      <c r="X37" s="1">
        <f t="shared" ca="1" si="3"/>
        <v>1</v>
      </c>
      <c r="Z37" s="1">
        <f t="shared" si="12"/>
        <v>0</v>
      </c>
      <c r="AA37" s="1">
        <f t="shared" si="12"/>
        <v>0</v>
      </c>
      <c r="AB37" s="1">
        <f t="shared" si="12"/>
        <v>0</v>
      </c>
      <c r="AC37" s="1">
        <f t="shared" si="12"/>
        <v>0</v>
      </c>
      <c r="AD37" s="1">
        <f t="shared" si="12"/>
        <v>0</v>
      </c>
      <c r="AE37" s="1">
        <f t="shared" si="12"/>
        <v>0</v>
      </c>
      <c r="AF37" s="1">
        <f t="shared" si="12"/>
        <v>0</v>
      </c>
      <c r="AG37" s="1">
        <f t="shared" si="12"/>
        <v>0</v>
      </c>
      <c r="AH37" s="1">
        <f t="shared" si="12"/>
        <v>0</v>
      </c>
      <c r="AI37" s="1">
        <f t="shared" si="12"/>
        <v>0</v>
      </c>
      <c r="AJ37" s="1">
        <f t="shared" si="12"/>
        <v>0</v>
      </c>
      <c r="AK37" s="1">
        <f t="shared" si="12"/>
        <v>0</v>
      </c>
    </row>
    <row r="38" spans="1:37" ht="14.1" customHeight="1" x14ac:dyDescent="0.2">
      <c r="A38" s="12">
        <v>11</v>
      </c>
      <c r="B38" s="65"/>
      <c r="C38" s="115" t="str">
        <f t="shared" si="7"/>
        <v>---</v>
      </c>
      <c r="D38" s="116" t="str">
        <f t="shared" si="7"/>
        <v/>
      </c>
      <c r="E38" s="117">
        <f t="shared" ca="1" si="8"/>
        <v>0</v>
      </c>
      <c r="F38" s="117">
        <f t="shared" ca="1" si="9"/>
        <v>0</v>
      </c>
      <c r="G38" s="117">
        <f t="shared" ca="1" si="10"/>
        <v>0</v>
      </c>
      <c r="H38" s="62"/>
      <c r="I38" s="3"/>
      <c r="J38" s="3" t="b">
        <f t="shared" si="11"/>
        <v>0</v>
      </c>
      <c r="K38" s="3" t="b">
        <f t="shared" si="11"/>
        <v>0</v>
      </c>
      <c r="L38" s="3" t="b">
        <f t="shared" si="11"/>
        <v>0</v>
      </c>
      <c r="M38" s="3"/>
      <c r="N38" s="16">
        <v>30</v>
      </c>
      <c r="O38" s="65"/>
      <c r="P38" s="55"/>
      <c r="Q38" s="56"/>
      <c r="R38" s="57"/>
      <c r="S38" s="58"/>
      <c r="T38" s="59"/>
      <c r="U38" s="60"/>
      <c r="V38" s="62"/>
      <c r="X38" s="1">
        <f t="shared" ca="1" si="3"/>
        <v>1</v>
      </c>
      <c r="Z38" s="1">
        <f t="shared" si="12"/>
        <v>0</v>
      </c>
      <c r="AA38" s="1">
        <f t="shared" si="12"/>
        <v>0</v>
      </c>
      <c r="AB38" s="1">
        <f t="shared" si="12"/>
        <v>0</v>
      </c>
      <c r="AC38" s="1">
        <f t="shared" si="12"/>
        <v>0</v>
      </c>
      <c r="AD38" s="1">
        <f t="shared" si="12"/>
        <v>0</v>
      </c>
      <c r="AE38" s="1">
        <f t="shared" si="12"/>
        <v>0</v>
      </c>
      <c r="AF38" s="1">
        <f t="shared" si="12"/>
        <v>0</v>
      </c>
      <c r="AG38" s="1">
        <f t="shared" si="12"/>
        <v>0</v>
      </c>
      <c r="AH38" s="1">
        <f t="shared" si="12"/>
        <v>0</v>
      </c>
      <c r="AI38" s="1">
        <f t="shared" si="12"/>
        <v>0</v>
      </c>
      <c r="AJ38" s="1">
        <f t="shared" si="12"/>
        <v>0</v>
      </c>
      <c r="AK38" s="1">
        <f t="shared" si="12"/>
        <v>0</v>
      </c>
    </row>
    <row r="39" spans="1:37" ht="14.1" customHeight="1" x14ac:dyDescent="0.2">
      <c r="A39" s="16">
        <v>12</v>
      </c>
      <c r="B39" s="66"/>
      <c r="C39" s="121" t="str">
        <f t="shared" si="7"/>
        <v>---</v>
      </c>
      <c r="D39" s="122" t="str">
        <f t="shared" si="7"/>
        <v/>
      </c>
      <c r="E39" s="123">
        <f t="shared" ca="1" si="8"/>
        <v>0</v>
      </c>
      <c r="F39" s="123">
        <f t="shared" ca="1" si="9"/>
        <v>0</v>
      </c>
      <c r="G39" s="123">
        <f t="shared" ca="1" si="10"/>
        <v>0</v>
      </c>
      <c r="H39" s="63"/>
      <c r="I39" s="3"/>
      <c r="J39" s="3" t="b">
        <f t="shared" si="11"/>
        <v>0</v>
      </c>
      <c r="K39" s="3" t="b">
        <f t="shared" si="11"/>
        <v>0</v>
      </c>
      <c r="L39" s="3" t="b">
        <f t="shared" si="11"/>
        <v>0</v>
      </c>
      <c r="M39" s="3"/>
      <c r="N39" s="12">
        <v>31</v>
      </c>
      <c r="O39" s="65"/>
      <c r="P39" s="49"/>
      <c r="Q39" s="50"/>
      <c r="R39" s="51"/>
      <c r="S39" s="52"/>
      <c r="T39" s="53"/>
      <c r="U39" s="54"/>
      <c r="V39" s="62"/>
      <c r="X39" s="1">
        <f t="shared" ca="1" si="3"/>
        <v>1</v>
      </c>
      <c r="Z39" s="1">
        <f t="shared" ref="Z39:AK48" si="13">IF(Z$8=$R39,-$T39,0)+IF(Z$8=$S39,$T39,0)</f>
        <v>0</v>
      </c>
      <c r="AA39" s="1">
        <f t="shared" si="13"/>
        <v>0</v>
      </c>
      <c r="AB39" s="1">
        <f t="shared" si="13"/>
        <v>0</v>
      </c>
      <c r="AC39" s="1">
        <f t="shared" si="13"/>
        <v>0</v>
      </c>
      <c r="AD39" s="1">
        <f t="shared" si="13"/>
        <v>0</v>
      </c>
      <c r="AE39" s="1">
        <f t="shared" si="13"/>
        <v>0</v>
      </c>
      <c r="AF39" s="1">
        <f t="shared" si="13"/>
        <v>0</v>
      </c>
      <c r="AG39" s="1">
        <f t="shared" si="13"/>
        <v>0</v>
      </c>
      <c r="AH39" s="1">
        <f t="shared" si="13"/>
        <v>0</v>
      </c>
      <c r="AI39" s="1">
        <f t="shared" si="13"/>
        <v>0</v>
      </c>
      <c r="AJ39" s="1">
        <f t="shared" si="13"/>
        <v>0</v>
      </c>
      <c r="AK39" s="1">
        <f t="shared" si="13"/>
        <v>0</v>
      </c>
    </row>
    <row r="40" spans="1:37" ht="14.1" customHeight="1" x14ac:dyDescent="0.2">
      <c r="A40" s="12"/>
      <c r="B40" s="124"/>
      <c r="C40" s="125"/>
      <c r="D40" s="126"/>
      <c r="E40" s="126"/>
      <c r="F40" s="126"/>
      <c r="G40" s="126"/>
      <c r="H40" s="127"/>
      <c r="I40" s="3"/>
      <c r="J40" s="3"/>
      <c r="K40" s="3"/>
      <c r="L40" s="3"/>
      <c r="M40" s="3"/>
      <c r="N40" s="16">
        <v>32</v>
      </c>
      <c r="O40" s="65"/>
      <c r="P40" s="55"/>
      <c r="Q40" s="56"/>
      <c r="R40" s="57"/>
      <c r="S40" s="58"/>
      <c r="T40" s="59"/>
      <c r="U40" s="60"/>
      <c r="V40" s="62"/>
      <c r="X40" s="1">
        <f t="shared" ca="1" si="3"/>
        <v>1</v>
      </c>
      <c r="Z40" s="1">
        <f t="shared" si="13"/>
        <v>0</v>
      </c>
      <c r="AA40" s="1">
        <f t="shared" si="13"/>
        <v>0</v>
      </c>
      <c r="AB40" s="1">
        <f t="shared" si="13"/>
        <v>0</v>
      </c>
      <c r="AC40" s="1">
        <f t="shared" si="13"/>
        <v>0</v>
      </c>
      <c r="AD40" s="1">
        <f t="shared" si="13"/>
        <v>0</v>
      </c>
      <c r="AE40" s="1">
        <f t="shared" si="13"/>
        <v>0</v>
      </c>
      <c r="AF40" s="1">
        <f t="shared" si="13"/>
        <v>0</v>
      </c>
      <c r="AG40" s="1">
        <f t="shared" si="13"/>
        <v>0</v>
      </c>
      <c r="AH40" s="1">
        <f t="shared" si="13"/>
        <v>0</v>
      </c>
      <c r="AI40" s="1">
        <f t="shared" si="13"/>
        <v>0</v>
      </c>
      <c r="AJ40" s="1">
        <f t="shared" si="13"/>
        <v>0</v>
      </c>
      <c r="AK40" s="1">
        <f t="shared" si="13"/>
        <v>0</v>
      </c>
    </row>
    <row r="41" spans="1:37" ht="14.1" customHeight="1" x14ac:dyDescent="0.2">
      <c r="I41" s="3"/>
      <c r="J41" s="3"/>
      <c r="K41" s="3"/>
      <c r="L41" s="3"/>
      <c r="M41" s="3"/>
      <c r="N41" s="12">
        <v>33</v>
      </c>
      <c r="O41" s="65"/>
      <c r="P41" s="49"/>
      <c r="Q41" s="50"/>
      <c r="R41" s="51"/>
      <c r="S41" s="52"/>
      <c r="T41" s="53"/>
      <c r="U41" s="54"/>
      <c r="V41" s="62"/>
      <c r="X41" s="1">
        <f t="shared" ref="X41:X72" ca="1" si="14">IF(P41&lt;NOW(),1,0)</f>
        <v>1</v>
      </c>
      <c r="Z41" s="1">
        <f t="shared" si="13"/>
        <v>0</v>
      </c>
      <c r="AA41" s="1">
        <f t="shared" si="13"/>
        <v>0</v>
      </c>
      <c r="AB41" s="1">
        <f t="shared" si="13"/>
        <v>0</v>
      </c>
      <c r="AC41" s="1">
        <f t="shared" si="13"/>
        <v>0</v>
      </c>
      <c r="AD41" s="1">
        <f t="shared" si="13"/>
        <v>0</v>
      </c>
      <c r="AE41" s="1">
        <f t="shared" si="13"/>
        <v>0</v>
      </c>
      <c r="AF41" s="1">
        <f t="shared" si="13"/>
        <v>0</v>
      </c>
      <c r="AG41" s="1">
        <f t="shared" si="13"/>
        <v>0</v>
      </c>
      <c r="AH41" s="1">
        <f t="shared" si="13"/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</row>
    <row r="42" spans="1:37" ht="14.1" customHeight="1" x14ac:dyDescent="0.2">
      <c r="B42" s="91"/>
      <c r="C42" s="92"/>
      <c r="D42" s="93"/>
      <c r="E42" s="93"/>
      <c r="F42" s="93"/>
      <c r="G42" s="93"/>
      <c r="H42" s="94"/>
      <c r="I42" s="3"/>
      <c r="J42" s="3"/>
      <c r="K42" s="3"/>
      <c r="L42" s="3"/>
      <c r="M42" s="3"/>
      <c r="N42" s="16">
        <v>34</v>
      </c>
      <c r="O42" s="65"/>
      <c r="P42" s="55"/>
      <c r="Q42" s="56"/>
      <c r="R42" s="57"/>
      <c r="S42" s="58"/>
      <c r="T42" s="59"/>
      <c r="U42" s="60"/>
      <c r="V42" s="62"/>
      <c r="X42" s="1">
        <f t="shared" ca="1" si="14"/>
        <v>1</v>
      </c>
      <c r="Z42" s="1">
        <f t="shared" si="13"/>
        <v>0</v>
      </c>
      <c r="AA42" s="1">
        <f t="shared" si="13"/>
        <v>0</v>
      </c>
      <c r="AB42" s="1">
        <f t="shared" si="13"/>
        <v>0</v>
      </c>
      <c r="AC42" s="1">
        <f t="shared" si="13"/>
        <v>0</v>
      </c>
      <c r="AD42" s="1">
        <f t="shared" si="13"/>
        <v>0</v>
      </c>
      <c r="AE42" s="1">
        <f t="shared" si="13"/>
        <v>0</v>
      </c>
      <c r="AF42" s="1">
        <f t="shared" si="13"/>
        <v>0</v>
      </c>
      <c r="AG42" s="1">
        <f t="shared" si="13"/>
        <v>0</v>
      </c>
      <c r="AH42" s="1">
        <f t="shared" si="13"/>
        <v>0</v>
      </c>
      <c r="AI42" s="1">
        <f t="shared" si="13"/>
        <v>0</v>
      </c>
      <c r="AJ42" s="1">
        <f t="shared" si="13"/>
        <v>0</v>
      </c>
      <c r="AK42" s="1">
        <f t="shared" si="13"/>
        <v>0</v>
      </c>
    </row>
    <row r="43" spans="1:37" ht="14.1" customHeight="1" x14ac:dyDescent="0.2">
      <c r="B43" s="95"/>
      <c r="C43" s="286" t="s">
        <v>106</v>
      </c>
      <c r="D43" s="286"/>
      <c r="E43" s="286"/>
      <c r="F43" s="286"/>
      <c r="G43" s="286"/>
      <c r="H43" s="96"/>
      <c r="I43" s="3"/>
      <c r="J43" s="3"/>
      <c r="K43" s="3"/>
      <c r="L43" s="3"/>
      <c r="M43" s="3"/>
      <c r="N43" s="12">
        <v>35</v>
      </c>
      <c r="O43" s="65"/>
      <c r="P43" s="49"/>
      <c r="Q43" s="50"/>
      <c r="R43" s="51"/>
      <c r="S43" s="52"/>
      <c r="T43" s="53"/>
      <c r="U43" s="54"/>
      <c r="V43" s="62"/>
      <c r="X43" s="1">
        <f t="shared" ca="1" si="14"/>
        <v>1</v>
      </c>
      <c r="Z43" s="1">
        <f t="shared" si="13"/>
        <v>0</v>
      </c>
      <c r="AA43" s="1">
        <f t="shared" si="13"/>
        <v>0</v>
      </c>
      <c r="AB43" s="1">
        <f t="shared" si="13"/>
        <v>0</v>
      </c>
      <c r="AC43" s="1">
        <f t="shared" si="13"/>
        <v>0</v>
      </c>
      <c r="AD43" s="1">
        <f t="shared" si="13"/>
        <v>0</v>
      </c>
      <c r="AE43" s="1">
        <f t="shared" si="13"/>
        <v>0</v>
      </c>
      <c r="AF43" s="1">
        <f t="shared" si="13"/>
        <v>0</v>
      </c>
      <c r="AG43" s="1">
        <f t="shared" si="13"/>
        <v>0</v>
      </c>
      <c r="AH43" s="1">
        <f t="shared" si="13"/>
        <v>0</v>
      </c>
      <c r="AI43" s="1">
        <f t="shared" si="13"/>
        <v>0</v>
      </c>
      <c r="AJ43" s="1">
        <f t="shared" si="13"/>
        <v>0</v>
      </c>
      <c r="AK43" s="1">
        <f t="shared" si="13"/>
        <v>0</v>
      </c>
    </row>
    <row r="44" spans="1:37" ht="14.1" customHeight="1" x14ac:dyDescent="0.2">
      <c r="B44" s="95"/>
      <c r="C44" s="286"/>
      <c r="D44" s="286"/>
      <c r="E44" s="286"/>
      <c r="F44" s="286"/>
      <c r="G44" s="286"/>
      <c r="H44" s="96"/>
      <c r="I44" s="3"/>
      <c r="J44" s="3"/>
      <c r="K44" s="3"/>
      <c r="L44" s="3"/>
      <c r="M44" s="3"/>
      <c r="N44" s="16">
        <v>36</v>
      </c>
      <c r="O44" s="65"/>
      <c r="P44" s="55"/>
      <c r="Q44" s="56"/>
      <c r="R44" s="57"/>
      <c r="S44" s="58"/>
      <c r="T44" s="59"/>
      <c r="U44" s="60"/>
      <c r="V44" s="62"/>
      <c r="X44" s="1">
        <f t="shared" ca="1" si="14"/>
        <v>1</v>
      </c>
      <c r="Z44" s="1">
        <f t="shared" si="13"/>
        <v>0</v>
      </c>
      <c r="AA44" s="1">
        <f t="shared" si="13"/>
        <v>0</v>
      </c>
      <c r="AB44" s="1">
        <f t="shared" si="13"/>
        <v>0</v>
      </c>
      <c r="AC44" s="1">
        <f t="shared" si="13"/>
        <v>0</v>
      </c>
      <c r="AD44" s="1">
        <f t="shared" si="13"/>
        <v>0</v>
      </c>
      <c r="AE44" s="1">
        <f t="shared" si="13"/>
        <v>0</v>
      </c>
      <c r="AF44" s="1">
        <f t="shared" si="13"/>
        <v>0</v>
      </c>
      <c r="AG44" s="1">
        <f t="shared" si="13"/>
        <v>0</v>
      </c>
      <c r="AH44" s="1">
        <f t="shared" si="13"/>
        <v>0</v>
      </c>
      <c r="AI44" s="1">
        <f t="shared" si="13"/>
        <v>0</v>
      </c>
      <c r="AJ44" s="1">
        <f t="shared" si="13"/>
        <v>0</v>
      </c>
      <c r="AK44" s="1">
        <f t="shared" si="13"/>
        <v>0</v>
      </c>
    </row>
    <row r="45" spans="1:37" ht="14.1" customHeight="1" x14ac:dyDescent="0.2">
      <c r="B45" s="46"/>
      <c r="C45" s="271" t="s">
        <v>20</v>
      </c>
      <c r="D45" s="273" t="s">
        <v>5</v>
      </c>
      <c r="E45" s="275" t="s">
        <v>104</v>
      </c>
      <c r="F45" s="275" t="s">
        <v>89</v>
      </c>
      <c r="G45" s="276" t="s">
        <v>6</v>
      </c>
      <c r="H45" s="96"/>
      <c r="I45" s="3"/>
      <c r="J45" s="3"/>
      <c r="K45" s="3"/>
      <c r="L45" s="3"/>
      <c r="M45" s="3"/>
      <c r="N45" s="12">
        <v>37</v>
      </c>
      <c r="O45" s="65"/>
      <c r="P45" s="49"/>
      <c r="Q45" s="50"/>
      <c r="R45" s="51"/>
      <c r="S45" s="52"/>
      <c r="T45" s="53"/>
      <c r="U45" s="54"/>
      <c r="V45" s="62"/>
      <c r="X45" s="1">
        <f t="shared" ca="1" si="14"/>
        <v>1</v>
      </c>
      <c r="Z45" s="1">
        <f t="shared" si="13"/>
        <v>0</v>
      </c>
      <c r="AA45" s="1">
        <f t="shared" si="13"/>
        <v>0</v>
      </c>
      <c r="AB45" s="1">
        <f t="shared" si="13"/>
        <v>0</v>
      </c>
      <c r="AC45" s="1">
        <f t="shared" si="13"/>
        <v>0</v>
      </c>
      <c r="AD45" s="1">
        <f t="shared" si="13"/>
        <v>0</v>
      </c>
      <c r="AE45" s="1">
        <f t="shared" si="13"/>
        <v>0</v>
      </c>
      <c r="AF45" s="1">
        <f t="shared" si="13"/>
        <v>0</v>
      </c>
      <c r="AG45" s="1">
        <f t="shared" si="13"/>
        <v>0</v>
      </c>
      <c r="AH45" s="1">
        <f t="shared" si="13"/>
        <v>0</v>
      </c>
      <c r="AI45" s="1">
        <f t="shared" si="13"/>
        <v>0</v>
      </c>
      <c r="AJ45" s="1">
        <f t="shared" si="13"/>
        <v>0</v>
      </c>
      <c r="AK45" s="1">
        <f t="shared" si="13"/>
        <v>0</v>
      </c>
    </row>
    <row r="46" spans="1:37" ht="14.1" customHeight="1" x14ac:dyDescent="0.2">
      <c r="A46" s="3"/>
      <c r="B46" s="44"/>
      <c r="C46" s="272"/>
      <c r="D46" s="274"/>
      <c r="E46" s="99" t="s">
        <v>87</v>
      </c>
      <c r="F46" s="100" t="s">
        <v>89</v>
      </c>
      <c r="G46" s="98" t="s">
        <v>6</v>
      </c>
      <c r="H46" s="97"/>
      <c r="I46" s="3"/>
      <c r="J46" s="3"/>
      <c r="K46" s="3"/>
      <c r="L46" s="3"/>
      <c r="M46" s="3"/>
      <c r="N46" s="16">
        <v>38</v>
      </c>
      <c r="O46" s="65"/>
      <c r="P46" s="55"/>
      <c r="Q46" s="56"/>
      <c r="R46" s="57"/>
      <c r="S46" s="58"/>
      <c r="T46" s="59"/>
      <c r="U46" s="60"/>
      <c r="V46" s="62"/>
      <c r="X46" s="1">
        <f t="shared" ca="1" si="14"/>
        <v>1</v>
      </c>
      <c r="Z46" s="1">
        <f t="shared" si="13"/>
        <v>0</v>
      </c>
      <c r="AA46" s="1">
        <f t="shared" si="13"/>
        <v>0</v>
      </c>
      <c r="AB46" s="1">
        <f t="shared" si="13"/>
        <v>0</v>
      </c>
      <c r="AC46" s="1">
        <f t="shared" si="13"/>
        <v>0</v>
      </c>
      <c r="AD46" s="1">
        <f t="shared" si="13"/>
        <v>0</v>
      </c>
      <c r="AE46" s="1">
        <f t="shared" si="13"/>
        <v>0</v>
      </c>
      <c r="AF46" s="1">
        <f t="shared" si="13"/>
        <v>0</v>
      </c>
      <c r="AG46" s="1">
        <f t="shared" si="13"/>
        <v>0</v>
      </c>
      <c r="AH46" s="1">
        <f t="shared" si="13"/>
        <v>0</v>
      </c>
      <c r="AI46" s="1">
        <f t="shared" si="13"/>
        <v>0</v>
      </c>
      <c r="AJ46" s="1">
        <f t="shared" si="13"/>
        <v>0</v>
      </c>
      <c r="AK46" s="1">
        <f t="shared" si="13"/>
        <v>0</v>
      </c>
    </row>
    <row r="47" spans="1:37" ht="14.1" customHeight="1" x14ac:dyDescent="0.2">
      <c r="A47" s="12">
        <v>1</v>
      </c>
      <c r="B47" s="64"/>
      <c r="C47" s="115" t="str">
        <f>ANUAL!$C115</f>
        <v>CC</v>
      </c>
      <c r="D47" s="240" t="str">
        <f>ANUAL!$D115</f>
        <v>CONTA CORRENTE</v>
      </c>
      <c r="E47" s="117">
        <f>SUMIF($J$28:$J$39,TRUE,E$28:E$39)</f>
        <v>0</v>
      </c>
      <c r="F47" s="117">
        <f>SUMIF($J$28:$J$39,TRUE,F$28:F$39)</f>
        <v>0</v>
      </c>
      <c r="G47" s="117">
        <f>SUMIF($J$28:$J$39,TRUE,G$28:G$39)+SUMIF($J$9:$J$20,TRUE,E$9:E$20)</f>
        <v>0</v>
      </c>
      <c r="H47" s="61"/>
      <c r="N47" s="12">
        <v>39</v>
      </c>
      <c r="O47" s="65"/>
      <c r="P47" s="49"/>
      <c r="Q47" s="50"/>
      <c r="R47" s="51"/>
      <c r="S47" s="52"/>
      <c r="T47" s="53"/>
      <c r="U47" s="54"/>
      <c r="V47" s="62"/>
      <c r="X47" s="1">
        <f t="shared" ca="1" si="14"/>
        <v>1</v>
      </c>
      <c r="Z47" s="1">
        <f t="shared" si="13"/>
        <v>0</v>
      </c>
      <c r="AA47" s="1">
        <f t="shared" si="13"/>
        <v>0</v>
      </c>
      <c r="AB47" s="1">
        <f t="shared" si="13"/>
        <v>0</v>
      </c>
      <c r="AC47" s="1">
        <f t="shared" si="13"/>
        <v>0</v>
      </c>
      <c r="AD47" s="1">
        <f t="shared" si="13"/>
        <v>0</v>
      </c>
      <c r="AE47" s="1">
        <f t="shared" si="13"/>
        <v>0</v>
      </c>
      <c r="AF47" s="1">
        <f t="shared" si="13"/>
        <v>0</v>
      </c>
      <c r="AG47" s="1">
        <f t="shared" si="13"/>
        <v>0</v>
      </c>
      <c r="AH47" s="1">
        <f t="shared" si="13"/>
        <v>0</v>
      </c>
      <c r="AI47" s="1">
        <f t="shared" si="13"/>
        <v>0</v>
      </c>
      <c r="AJ47" s="1">
        <f t="shared" si="13"/>
        <v>0</v>
      </c>
      <c r="AK47" s="1">
        <f t="shared" si="13"/>
        <v>0</v>
      </c>
    </row>
    <row r="48" spans="1:37" ht="14.1" customHeight="1" x14ac:dyDescent="0.2">
      <c r="A48" s="16">
        <v>2</v>
      </c>
      <c r="B48" s="65"/>
      <c r="C48" s="118" t="str">
        <f>ANUAL!$C116</f>
        <v>INV</v>
      </c>
      <c r="D48" s="119" t="str">
        <f>ANUAL!$D116</f>
        <v>APLICAÇÕES DE INVESTIMENTO</v>
      </c>
      <c r="E48" s="120">
        <f ca="1">SUMIF($K$28:$K$39,TRUE,E$28:E$39)</f>
        <v>0</v>
      </c>
      <c r="F48" s="120">
        <f ca="1">SUMIF($K$28:$K$39,TRUE,F$28:F$39)</f>
        <v>0</v>
      </c>
      <c r="G48" s="120">
        <f ca="1">SUMIF($K$28:$K$39,TRUE,G$28:G$39)+SUMIF($K$9:$K$20,TRUE,E$9:E$20)</f>
        <v>0</v>
      </c>
      <c r="H48" s="62"/>
      <c r="N48" s="16">
        <v>40</v>
      </c>
      <c r="O48" s="65"/>
      <c r="P48" s="55"/>
      <c r="Q48" s="56"/>
      <c r="R48" s="57"/>
      <c r="S48" s="58"/>
      <c r="T48" s="59"/>
      <c r="U48" s="60"/>
      <c r="V48" s="62"/>
      <c r="X48" s="1">
        <f t="shared" ca="1" si="14"/>
        <v>1</v>
      </c>
      <c r="Z48" s="1">
        <f t="shared" si="13"/>
        <v>0</v>
      </c>
      <c r="AA48" s="1">
        <f t="shared" si="13"/>
        <v>0</v>
      </c>
      <c r="AB48" s="1">
        <f t="shared" si="13"/>
        <v>0</v>
      </c>
      <c r="AC48" s="1">
        <f t="shared" si="13"/>
        <v>0</v>
      </c>
      <c r="AD48" s="1">
        <f t="shared" si="13"/>
        <v>0</v>
      </c>
      <c r="AE48" s="1">
        <f t="shared" si="13"/>
        <v>0</v>
      </c>
      <c r="AF48" s="1">
        <f t="shared" si="13"/>
        <v>0</v>
      </c>
      <c r="AG48" s="1">
        <f t="shared" si="13"/>
        <v>0</v>
      </c>
      <c r="AH48" s="1">
        <f t="shared" si="13"/>
        <v>0</v>
      </c>
      <c r="AI48" s="1">
        <f t="shared" si="13"/>
        <v>0</v>
      </c>
      <c r="AJ48" s="1">
        <f t="shared" si="13"/>
        <v>0</v>
      </c>
      <c r="AK48" s="1">
        <f t="shared" si="13"/>
        <v>0</v>
      </c>
    </row>
    <row r="49" spans="1:37" ht="14.1" customHeight="1" x14ac:dyDescent="0.2">
      <c r="A49" s="12">
        <v>3</v>
      </c>
      <c r="B49" s="65"/>
      <c r="C49" s="115" t="str">
        <f>ANUAL!$C117</f>
        <v>DINH</v>
      </c>
      <c r="D49" s="240" t="str">
        <f>ANUAL!$D117</f>
        <v>EM ESPÉCIE</v>
      </c>
      <c r="E49" s="117">
        <f ca="1">SUMIF($L$28:$L$39,TRUE,E$28:E$39)</f>
        <v>0</v>
      </c>
      <c r="F49" s="117">
        <f ca="1">SUMIF($L$28:$L$39,TRUE,F$28:F$39)</f>
        <v>0</v>
      </c>
      <c r="G49" s="117">
        <f ca="1">SUMIF($L$28:$L$39,TRUE,G$28:G$39)+SUMIF($L$9:$L$20,TRUE,E$9:E$20)</f>
        <v>0</v>
      </c>
      <c r="H49" s="62"/>
      <c r="N49" s="12">
        <v>41</v>
      </c>
      <c r="O49" s="65"/>
      <c r="P49" s="49"/>
      <c r="Q49" s="50"/>
      <c r="R49" s="51"/>
      <c r="S49" s="52"/>
      <c r="T49" s="53"/>
      <c r="U49" s="54"/>
      <c r="V49" s="62"/>
      <c r="X49" s="1">
        <f t="shared" ca="1" si="14"/>
        <v>1</v>
      </c>
      <c r="Z49" s="1">
        <f t="shared" ref="Z49:AK58" si="15">IF(Z$8=$R49,-$T49,0)+IF(Z$8=$S49,$T49,0)</f>
        <v>0</v>
      </c>
      <c r="AA49" s="1">
        <f t="shared" si="15"/>
        <v>0</v>
      </c>
      <c r="AB49" s="1">
        <f t="shared" si="15"/>
        <v>0</v>
      </c>
      <c r="AC49" s="1">
        <f t="shared" si="15"/>
        <v>0</v>
      </c>
      <c r="AD49" s="1">
        <f t="shared" si="15"/>
        <v>0</v>
      </c>
      <c r="AE49" s="1">
        <f t="shared" si="15"/>
        <v>0</v>
      </c>
      <c r="AF49" s="1">
        <f t="shared" si="15"/>
        <v>0</v>
      </c>
      <c r="AG49" s="1">
        <f t="shared" si="15"/>
        <v>0</v>
      </c>
      <c r="AH49" s="1">
        <f t="shared" si="15"/>
        <v>0</v>
      </c>
      <c r="AI49" s="1">
        <f t="shared" si="15"/>
        <v>0</v>
      </c>
      <c r="AJ49" s="1">
        <f t="shared" si="15"/>
        <v>0</v>
      </c>
      <c r="AK49" s="1">
        <f t="shared" si="15"/>
        <v>0</v>
      </c>
    </row>
    <row r="50" spans="1:37" ht="14.1" customHeight="1" x14ac:dyDescent="0.2">
      <c r="A50" s="12"/>
      <c r="B50" s="109"/>
      <c r="C50" s="110"/>
      <c r="D50" s="111"/>
      <c r="E50" s="111"/>
      <c r="F50" s="111"/>
      <c r="G50" s="111"/>
      <c r="H50" s="112"/>
      <c r="I50" s="3"/>
      <c r="J50" s="3"/>
      <c r="K50" s="3"/>
      <c r="L50" s="3"/>
      <c r="M50" s="3"/>
      <c r="N50" s="16">
        <v>42</v>
      </c>
      <c r="O50" s="65"/>
      <c r="P50" s="55"/>
      <c r="Q50" s="56"/>
      <c r="R50" s="57"/>
      <c r="S50" s="58"/>
      <c r="T50" s="59"/>
      <c r="U50" s="60"/>
      <c r="V50" s="62"/>
      <c r="X50" s="1">
        <f t="shared" ca="1" si="14"/>
        <v>1</v>
      </c>
      <c r="Z50" s="1">
        <f t="shared" si="15"/>
        <v>0</v>
      </c>
      <c r="AA50" s="1">
        <f t="shared" si="15"/>
        <v>0</v>
      </c>
      <c r="AB50" s="1">
        <f t="shared" si="15"/>
        <v>0</v>
      </c>
      <c r="AC50" s="1">
        <f t="shared" si="15"/>
        <v>0</v>
      </c>
      <c r="AD50" s="1">
        <f t="shared" si="15"/>
        <v>0</v>
      </c>
      <c r="AE50" s="1">
        <f t="shared" si="15"/>
        <v>0</v>
      </c>
      <c r="AF50" s="1">
        <f t="shared" si="15"/>
        <v>0</v>
      </c>
      <c r="AG50" s="1">
        <f t="shared" si="15"/>
        <v>0</v>
      </c>
      <c r="AH50" s="1">
        <f t="shared" si="15"/>
        <v>0</v>
      </c>
      <c r="AI50" s="1">
        <f t="shared" si="15"/>
        <v>0</v>
      </c>
      <c r="AJ50" s="1">
        <f t="shared" si="15"/>
        <v>0</v>
      </c>
      <c r="AK50" s="1">
        <f t="shared" si="15"/>
        <v>0</v>
      </c>
    </row>
    <row r="51" spans="1:37" ht="14.1" customHeight="1" x14ac:dyDescent="0.2">
      <c r="I51" s="3"/>
      <c r="J51" s="3"/>
      <c r="K51" s="3"/>
      <c r="L51" s="3"/>
      <c r="M51" s="3"/>
      <c r="N51" s="12">
        <v>43</v>
      </c>
      <c r="O51" s="65"/>
      <c r="P51" s="49"/>
      <c r="Q51" s="50"/>
      <c r="R51" s="51"/>
      <c r="S51" s="52"/>
      <c r="T51" s="53"/>
      <c r="U51" s="54"/>
      <c r="V51" s="62"/>
      <c r="X51" s="1">
        <f t="shared" ca="1" si="14"/>
        <v>1</v>
      </c>
      <c r="Z51" s="1">
        <f t="shared" si="15"/>
        <v>0</v>
      </c>
      <c r="AA51" s="1">
        <f t="shared" si="15"/>
        <v>0</v>
      </c>
      <c r="AB51" s="1">
        <f t="shared" si="15"/>
        <v>0</v>
      </c>
      <c r="AC51" s="1">
        <f t="shared" si="15"/>
        <v>0</v>
      </c>
      <c r="AD51" s="1">
        <f t="shared" si="15"/>
        <v>0</v>
      </c>
      <c r="AE51" s="1">
        <f t="shared" si="15"/>
        <v>0</v>
      </c>
      <c r="AF51" s="1">
        <f t="shared" si="15"/>
        <v>0</v>
      </c>
      <c r="AG51" s="1">
        <f t="shared" si="15"/>
        <v>0</v>
      </c>
      <c r="AH51" s="1">
        <f t="shared" si="15"/>
        <v>0</v>
      </c>
      <c r="AI51" s="1">
        <f t="shared" si="15"/>
        <v>0</v>
      </c>
      <c r="AJ51" s="1">
        <f t="shared" si="15"/>
        <v>0</v>
      </c>
      <c r="AK51" s="1">
        <f t="shared" si="15"/>
        <v>0</v>
      </c>
    </row>
    <row r="52" spans="1:37" ht="14.1" customHeight="1" x14ac:dyDescent="0.2">
      <c r="B52" s="84"/>
      <c r="C52" s="85"/>
      <c r="D52" s="86"/>
      <c r="E52" s="86"/>
      <c r="F52" s="86"/>
      <c r="G52" s="86"/>
      <c r="H52" s="87"/>
      <c r="N52" s="16">
        <v>44</v>
      </c>
      <c r="O52" s="65"/>
      <c r="P52" s="55"/>
      <c r="Q52" s="56"/>
      <c r="R52" s="57"/>
      <c r="S52" s="58"/>
      <c r="T52" s="59"/>
      <c r="U52" s="60"/>
      <c r="V52" s="62"/>
      <c r="X52" s="1">
        <f t="shared" ca="1" si="14"/>
        <v>1</v>
      </c>
      <c r="Z52" s="1">
        <f t="shared" si="15"/>
        <v>0</v>
      </c>
      <c r="AA52" s="1">
        <f t="shared" si="15"/>
        <v>0</v>
      </c>
      <c r="AB52" s="1">
        <f t="shared" si="15"/>
        <v>0</v>
      </c>
      <c r="AC52" s="1">
        <f t="shared" si="15"/>
        <v>0</v>
      </c>
      <c r="AD52" s="1">
        <f t="shared" si="15"/>
        <v>0</v>
      </c>
      <c r="AE52" s="1">
        <f t="shared" si="15"/>
        <v>0</v>
      </c>
      <c r="AF52" s="1">
        <f t="shared" si="15"/>
        <v>0</v>
      </c>
      <c r="AG52" s="1">
        <f t="shared" si="15"/>
        <v>0</v>
      </c>
      <c r="AH52" s="1">
        <f t="shared" si="15"/>
        <v>0</v>
      </c>
      <c r="AI52" s="1">
        <f t="shared" si="15"/>
        <v>0</v>
      </c>
      <c r="AJ52" s="1">
        <f t="shared" si="15"/>
        <v>0</v>
      </c>
      <c r="AK52" s="1">
        <f t="shared" si="15"/>
        <v>0</v>
      </c>
    </row>
    <row r="53" spans="1:37" ht="14.1" customHeight="1" x14ac:dyDescent="0.2">
      <c r="B53" s="88"/>
      <c r="C53" s="304" t="s">
        <v>27</v>
      </c>
      <c r="D53" s="304"/>
      <c r="E53" s="304"/>
      <c r="F53" s="304"/>
      <c r="G53" s="304"/>
      <c r="H53" s="89"/>
      <c r="N53" s="12">
        <v>45</v>
      </c>
      <c r="O53" s="65"/>
      <c r="P53" s="49"/>
      <c r="Q53" s="50"/>
      <c r="R53" s="51"/>
      <c r="S53" s="52"/>
      <c r="T53" s="53"/>
      <c r="U53" s="54"/>
      <c r="V53" s="62"/>
      <c r="X53" s="1">
        <f t="shared" ca="1" si="14"/>
        <v>1</v>
      </c>
      <c r="Z53" s="1">
        <f t="shared" si="15"/>
        <v>0</v>
      </c>
      <c r="AA53" s="1">
        <f t="shared" si="15"/>
        <v>0</v>
      </c>
      <c r="AB53" s="1">
        <f t="shared" si="15"/>
        <v>0</v>
      </c>
      <c r="AC53" s="1">
        <f t="shared" si="15"/>
        <v>0</v>
      </c>
      <c r="AD53" s="1">
        <f t="shared" si="15"/>
        <v>0</v>
      </c>
      <c r="AE53" s="1">
        <f t="shared" si="15"/>
        <v>0</v>
      </c>
      <c r="AF53" s="1">
        <f t="shared" si="15"/>
        <v>0</v>
      </c>
      <c r="AG53" s="1">
        <f t="shared" si="15"/>
        <v>0</v>
      </c>
      <c r="AH53" s="1">
        <f t="shared" si="15"/>
        <v>0</v>
      </c>
      <c r="AI53" s="1">
        <f t="shared" si="15"/>
        <v>0</v>
      </c>
      <c r="AJ53" s="1">
        <f t="shared" si="15"/>
        <v>0</v>
      </c>
      <c r="AK53" s="1">
        <f t="shared" si="15"/>
        <v>0</v>
      </c>
    </row>
    <row r="54" spans="1:37" ht="14.1" customHeight="1" x14ac:dyDescent="0.2">
      <c r="B54" s="88"/>
      <c r="C54" s="304"/>
      <c r="D54" s="304"/>
      <c r="E54" s="304"/>
      <c r="F54" s="304"/>
      <c r="G54" s="304"/>
      <c r="H54" s="89"/>
      <c r="N54" s="16">
        <v>46</v>
      </c>
      <c r="O54" s="65"/>
      <c r="P54" s="55"/>
      <c r="Q54" s="56"/>
      <c r="R54" s="57"/>
      <c r="S54" s="58"/>
      <c r="T54" s="59"/>
      <c r="U54" s="60"/>
      <c r="V54" s="62"/>
      <c r="X54" s="1">
        <f t="shared" ca="1" si="14"/>
        <v>1</v>
      </c>
      <c r="Z54" s="1">
        <f t="shared" si="15"/>
        <v>0</v>
      </c>
      <c r="AA54" s="1">
        <f t="shared" si="15"/>
        <v>0</v>
      </c>
      <c r="AB54" s="1">
        <f t="shared" si="15"/>
        <v>0</v>
      </c>
      <c r="AC54" s="1">
        <f t="shared" si="15"/>
        <v>0</v>
      </c>
      <c r="AD54" s="1">
        <f t="shared" si="15"/>
        <v>0</v>
      </c>
      <c r="AE54" s="1">
        <f t="shared" si="15"/>
        <v>0</v>
      </c>
      <c r="AF54" s="1">
        <f t="shared" si="15"/>
        <v>0</v>
      </c>
      <c r="AG54" s="1">
        <f t="shared" si="15"/>
        <v>0</v>
      </c>
      <c r="AH54" s="1">
        <f t="shared" si="15"/>
        <v>0</v>
      </c>
      <c r="AI54" s="1">
        <f t="shared" si="15"/>
        <v>0</v>
      </c>
      <c r="AJ54" s="1">
        <f t="shared" si="15"/>
        <v>0</v>
      </c>
      <c r="AK54" s="1">
        <f t="shared" si="15"/>
        <v>0</v>
      </c>
    </row>
    <row r="55" spans="1:37" ht="14.1" customHeight="1" x14ac:dyDescent="0.2">
      <c r="B55" s="46"/>
      <c r="C55" s="271" t="s">
        <v>4</v>
      </c>
      <c r="D55" s="273" t="s">
        <v>5</v>
      </c>
      <c r="E55" s="310"/>
      <c r="F55" s="310"/>
      <c r="G55" s="276" t="s">
        <v>97</v>
      </c>
      <c r="H55" s="89"/>
      <c r="N55" s="12">
        <v>47</v>
      </c>
      <c r="O55" s="65"/>
      <c r="P55" s="49"/>
      <c r="Q55" s="50"/>
      <c r="R55" s="51"/>
      <c r="S55" s="52"/>
      <c r="T55" s="53"/>
      <c r="U55" s="54"/>
      <c r="V55" s="62"/>
      <c r="X55" s="1">
        <f t="shared" ca="1" si="14"/>
        <v>1</v>
      </c>
      <c r="Z55" s="1">
        <f t="shared" si="15"/>
        <v>0</v>
      </c>
      <c r="AA55" s="1">
        <f t="shared" si="15"/>
        <v>0</v>
      </c>
      <c r="AB55" s="1">
        <f t="shared" si="15"/>
        <v>0</v>
      </c>
      <c r="AC55" s="1">
        <f t="shared" si="15"/>
        <v>0</v>
      </c>
      <c r="AD55" s="1">
        <f t="shared" si="15"/>
        <v>0</v>
      </c>
      <c r="AE55" s="1">
        <f t="shared" si="15"/>
        <v>0</v>
      </c>
      <c r="AF55" s="1">
        <f t="shared" si="15"/>
        <v>0</v>
      </c>
      <c r="AG55" s="1">
        <f t="shared" si="15"/>
        <v>0</v>
      </c>
      <c r="AH55" s="1">
        <f t="shared" si="15"/>
        <v>0</v>
      </c>
      <c r="AI55" s="1">
        <f t="shared" si="15"/>
        <v>0</v>
      </c>
      <c r="AJ55" s="1">
        <f t="shared" si="15"/>
        <v>0</v>
      </c>
      <c r="AK55" s="1">
        <f t="shared" si="15"/>
        <v>0</v>
      </c>
    </row>
    <row r="56" spans="1:37" ht="14.1" customHeight="1" x14ac:dyDescent="0.2">
      <c r="A56" s="3"/>
      <c r="B56" s="44"/>
      <c r="C56" s="272"/>
      <c r="D56" s="274"/>
      <c r="E56" s="311"/>
      <c r="F56" s="311"/>
      <c r="G56" s="305"/>
      <c r="H56" s="90"/>
      <c r="N56" s="16">
        <v>48</v>
      </c>
      <c r="O56" s="65"/>
      <c r="P56" s="55"/>
      <c r="Q56" s="56"/>
      <c r="R56" s="57"/>
      <c r="S56" s="58"/>
      <c r="T56" s="59"/>
      <c r="U56" s="60"/>
      <c r="V56" s="62"/>
      <c r="X56" s="1">
        <f t="shared" ca="1" si="14"/>
        <v>1</v>
      </c>
      <c r="Z56" s="1">
        <f t="shared" si="15"/>
        <v>0</v>
      </c>
      <c r="AA56" s="1">
        <f t="shared" si="15"/>
        <v>0</v>
      </c>
      <c r="AB56" s="1">
        <f t="shared" si="15"/>
        <v>0</v>
      </c>
      <c r="AC56" s="1">
        <f t="shared" si="15"/>
        <v>0</v>
      </c>
      <c r="AD56" s="1">
        <f t="shared" si="15"/>
        <v>0</v>
      </c>
      <c r="AE56" s="1">
        <f t="shared" si="15"/>
        <v>0</v>
      </c>
      <c r="AF56" s="1">
        <f t="shared" si="15"/>
        <v>0</v>
      </c>
      <c r="AG56" s="1">
        <f t="shared" si="15"/>
        <v>0</v>
      </c>
      <c r="AH56" s="1">
        <f t="shared" si="15"/>
        <v>0</v>
      </c>
      <c r="AI56" s="1">
        <f t="shared" si="15"/>
        <v>0</v>
      </c>
      <c r="AJ56" s="1">
        <f t="shared" si="15"/>
        <v>0</v>
      </c>
      <c r="AK56" s="1">
        <f t="shared" si="15"/>
        <v>0</v>
      </c>
    </row>
    <row r="57" spans="1:37" ht="14.1" customHeight="1" x14ac:dyDescent="0.2">
      <c r="A57" s="12">
        <v>1</v>
      </c>
      <c r="B57" s="64"/>
      <c r="C57" s="101" t="str">
        <f>ANUAL!$C141</f>
        <v>M01</v>
      </c>
      <c r="D57" s="303" t="str">
        <f>ANUAL!$D141</f>
        <v>MORADIA – CONDOMÍNIO</v>
      </c>
      <c r="E57" s="303"/>
      <c r="F57" s="303"/>
      <c r="G57" s="102">
        <f t="shared" ref="G57:G88" si="16">SUMIF(U$9:U$88,C57,T$9:T$88)</f>
        <v>0</v>
      </c>
      <c r="H57" s="61"/>
      <c r="N57" s="12">
        <v>49</v>
      </c>
      <c r="O57" s="65"/>
      <c r="P57" s="49"/>
      <c r="Q57" s="50"/>
      <c r="R57" s="51"/>
      <c r="S57" s="52"/>
      <c r="T57" s="53"/>
      <c r="U57" s="54"/>
      <c r="V57" s="62"/>
      <c r="X57" s="1">
        <f t="shared" ca="1" si="14"/>
        <v>1</v>
      </c>
      <c r="Z57" s="1">
        <f t="shared" si="15"/>
        <v>0</v>
      </c>
      <c r="AA57" s="1">
        <f t="shared" si="15"/>
        <v>0</v>
      </c>
      <c r="AB57" s="1">
        <f t="shared" si="15"/>
        <v>0</v>
      </c>
      <c r="AC57" s="1">
        <f t="shared" si="15"/>
        <v>0</v>
      </c>
      <c r="AD57" s="1">
        <f t="shared" si="15"/>
        <v>0</v>
      </c>
      <c r="AE57" s="1">
        <f t="shared" si="15"/>
        <v>0</v>
      </c>
      <c r="AF57" s="1">
        <f t="shared" si="15"/>
        <v>0</v>
      </c>
      <c r="AG57" s="1">
        <f t="shared" si="15"/>
        <v>0</v>
      </c>
      <c r="AH57" s="1">
        <f t="shared" si="15"/>
        <v>0</v>
      </c>
      <c r="AI57" s="1">
        <f t="shared" si="15"/>
        <v>0</v>
      </c>
      <c r="AJ57" s="1">
        <f t="shared" si="15"/>
        <v>0</v>
      </c>
      <c r="AK57" s="1">
        <f t="shared" si="15"/>
        <v>0</v>
      </c>
    </row>
    <row r="58" spans="1:37" ht="14.1" customHeight="1" x14ac:dyDescent="0.2">
      <c r="A58" s="16">
        <v>2</v>
      </c>
      <c r="B58" s="65"/>
      <c r="C58" s="103" t="str">
        <f>ANUAL!$C142</f>
        <v>M02</v>
      </c>
      <c r="D58" s="302" t="str">
        <f>ANUAL!$D142</f>
        <v>MORADIA – IPTU</v>
      </c>
      <c r="E58" s="302"/>
      <c r="F58" s="302"/>
      <c r="G58" s="104">
        <f t="shared" si="16"/>
        <v>0</v>
      </c>
      <c r="H58" s="62"/>
      <c r="N58" s="16">
        <v>50</v>
      </c>
      <c r="O58" s="65"/>
      <c r="P58" s="55"/>
      <c r="Q58" s="56"/>
      <c r="R58" s="57"/>
      <c r="S58" s="58"/>
      <c r="T58" s="59"/>
      <c r="U58" s="60"/>
      <c r="V58" s="62"/>
      <c r="X58" s="1">
        <f t="shared" ca="1" si="14"/>
        <v>1</v>
      </c>
      <c r="Z58" s="1">
        <f t="shared" si="15"/>
        <v>0</v>
      </c>
      <c r="AA58" s="1">
        <f t="shared" si="15"/>
        <v>0</v>
      </c>
      <c r="AB58" s="1">
        <f t="shared" si="15"/>
        <v>0</v>
      </c>
      <c r="AC58" s="1">
        <f t="shared" si="15"/>
        <v>0</v>
      </c>
      <c r="AD58" s="1">
        <f t="shared" si="15"/>
        <v>0</v>
      </c>
      <c r="AE58" s="1">
        <f t="shared" si="15"/>
        <v>0</v>
      </c>
      <c r="AF58" s="1">
        <f t="shared" si="15"/>
        <v>0</v>
      </c>
      <c r="AG58" s="1">
        <f t="shared" si="15"/>
        <v>0</v>
      </c>
      <c r="AH58" s="1">
        <f t="shared" si="15"/>
        <v>0</v>
      </c>
      <c r="AI58" s="1">
        <f t="shared" si="15"/>
        <v>0</v>
      </c>
      <c r="AJ58" s="1">
        <f t="shared" si="15"/>
        <v>0</v>
      </c>
      <c r="AK58" s="1">
        <f t="shared" si="15"/>
        <v>0</v>
      </c>
    </row>
    <row r="59" spans="1:37" ht="14.1" customHeight="1" x14ac:dyDescent="0.2">
      <c r="A59" s="12">
        <v>3</v>
      </c>
      <c r="B59" s="65"/>
      <c r="C59" s="101" t="str">
        <f>ANUAL!$C143</f>
        <v>M03</v>
      </c>
      <c r="D59" s="303" t="str">
        <f>ANUAL!$D143</f>
        <v>MORADIA – ALUGUEL</v>
      </c>
      <c r="E59" s="303"/>
      <c r="F59" s="303"/>
      <c r="G59" s="102">
        <f t="shared" si="16"/>
        <v>0</v>
      </c>
      <c r="H59" s="62"/>
      <c r="N59" s="12">
        <v>51</v>
      </c>
      <c r="O59" s="65"/>
      <c r="P59" s="49"/>
      <c r="Q59" s="50"/>
      <c r="R59" s="51"/>
      <c r="S59" s="52"/>
      <c r="T59" s="53"/>
      <c r="U59" s="54"/>
      <c r="V59" s="62"/>
      <c r="X59" s="1">
        <f t="shared" ca="1" si="14"/>
        <v>1</v>
      </c>
      <c r="Z59" s="1">
        <f t="shared" ref="Z59:AK68" si="17">IF(Z$8=$R59,-$T59,0)+IF(Z$8=$S59,$T59,0)</f>
        <v>0</v>
      </c>
      <c r="AA59" s="1">
        <f t="shared" si="17"/>
        <v>0</v>
      </c>
      <c r="AB59" s="1">
        <f t="shared" si="17"/>
        <v>0</v>
      </c>
      <c r="AC59" s="1">
        <f t="shared" si="17"/>
        <v>0</v>
      </c>
      <c r="AD59" s="1">
        <f t="shared" si="17"/>
        <v>0</v>
      </c>
      <c r="AE59" s="1">
        <f t="shared" si="17"/>
        <v>0</v>
      </c>
      <c r="AF59" s="1">
        <f t="shared" si="17"/>
        <v>0</v>
      </c>
      <c r="AG59" s="1">
        <f t="shared" si="17"/>
        <v>0</v>
      </c>
      <c r="AH59" s="1">
        <f t="shared" si="17"/>
        <v>0</v>
      </c>
      <c r="AI59" s="1">
        <f t="shared" si="17"/>
        <v>0</v>
      </c>
      <c r="AJ59" s="1">
        <f t="shared" si="17"/>
        <v>0</v>
      </c>
      <c r="AK59" s="1">
        <f t="shared" si="17"/>
        <v>0</v>
      </c>
    </row>
    <row r="60" spans="1:37" ht="14.1" customHeight="1" x14ac:dyDescent="0.2">
      <c r="A60" s="16">
        <v>4</v>
      </c>
      <c r="B60" s="65"/>
      <c r="C60" s="103" t="str">
        <f>ANUAL!$C144</f>
        <v>M04</v>
      </c>
      <c r="D60" s="302" t="str">
        <f>ANUAL!$D144</f>
        <v>MORADIA – REFORMA</v>
      </c>
      <c r="E60" s="302"/>
      <c r="F60" s="302"/>
      <c r="G60" s="104">
        <f t="shared" si="16"/>
        <v>0</v>
      </c>
      <c r="H60" s="62"/>
      <c r="N60" s="16">
        <v>52</v>
      </c>
      <c r="O60" s="65"/>
      <c r="P60" s="55"/>
      <c r="Q60" s="56"/>
      <c r="R60" s="57"/>
      <c r="S60" s="58"/>
      <c r="T60" s="59"/>
      <c r="U60" s="60"/>
      <c r="V60" s="62"/>
      <c r="X60" s="1">
        <f t="shared" ca="1" si="14"/>
        <v>1</v>
      </c>
      <c r="Z60" s="1">
        <f t="shared" si="17"/>
        <v>0</v>
      </c>
      <c r="AA60" s="1">
        <f t="shared" si="17"/>
        <v>0</v>
      </c>
      <c r="AB60" s="1">
        <f t="shared" si="17"/>
        <v>0</v>
      </c>
      <c r="AC60" s="1">
        <f t="shared" si="17"/>
        <v>0</v>
      </c>
      <c r="AD60" s="1">
        <f t="shared" si="17"/>
        <v>0</v>
      </c>
      <c r="AE60" s="1">
        <f t="shared" si="17"/>
        <v>0</v>
      </c>
      <c r="AF60" s="1">
        <f t="shared" si="17"/>
        <v>0</v>
      </c>
      <c r="AG60" s="1">
        <f t="shared" si="17"/>
        <v>0</v>
      </c>
      <c r="AH60" s="1">
        <f t="shared" si="17"/>
        <v>0</v>
      </c>
      <c r="AI60" s="1">
        <f t="shared" si="17"/>
        <v>0</v>
      </c>
      <c r="AJ60" s="1">
        <f t="shared" si="17"/>
        <v>0</v>
      </c>
      <c r="AK60" s="1">
        <f t="shared" si="17"/>
        <v>0</v>
      </c>
    </row>
    <row r="61" spans="1:37" ht="14.1" customHeight="1" x14ac:dyDescent="0.2">
      <c r="A61" s="12">
        <v>5</v>
      </c>
      <c r="B61" s="65"/>
      <c r="C61" s="101" t="str">
        <f>ANUAL!$C145</f>
        <v>U01</v>
      </c>
      <c r="D61" s="303" t="str">
        <f>ANUAL!$D145</f>
        <v>UTILITIES – ENERGIA ELÉTRICA</v>
      </c>
      <c r="E61" s="303"/>
      <c r="F61" s="303"/>
      <c r="G61" s="102">
        <f t="shared" si="16"/>
        <v>0</v>
      </c>
      <c r="H61" s="62"/>
      <c r="N61" s="12">
        <v>53</v>
      </c>
      <c r="O61" s="65"/>
      <c r="P61" s="49"/>
      <c r="Q61" s="50"/>
      <c r="R61" s="51"/>
      <c r="S61" s="52"/>
      <c r="T61" s="53"/>
      <c r="U61" s="54"/>
      <c r="V61" s="62"/>
      <c r="X61" s="1">
        <f t="shared" ca="1" si="14"/>
        <v>1</v>
      </c>
      <c r="Z61" s="1">
        <f t="shared" si="17"/>
        <v>0</v>
      </c>
      <c r="AA61" s="1">
        <f t="shared" si="17"/>
        <v>0</v>
      </c>
      <c r="AB61" s="1">
        <f t="shared" si="17"/>
        <v>0</v>
      </c>
      <c r="AC61" s="1">
        <f t="shared" si="17"/>
        <v>0</v>
      </c>
      <c r="AD61" s="1">
        <f t="shared" si="17"/>
        <v>0</v>
      </c>
      <c r="AE61" s="1">
        <f t="shared" si="17"/>
        <v>0</v>
      </c>
      <c r="AF61" s="1">
        <f t="shared" si="17"/>
        <v>0</v>
      </c>
      <c r="AG61" s="1">
        <f t="shared" si="17"/>
        <v>0</v>
      </c>
      <c r="AH61" s="1">
        <f t="shared" si="17"/>
        <v>0</v>
      </c>
      <c r="AI61" s="1">
        <f t="shared" si="17"/>
        <v>0</v>
      </c>
      <c r="AJ61" s="1">
        <f t="shared" si="17"/>
        <v>0</v>
      </c>
      <c r="AK61" s="1">
        <f t="shared" si="17"/>
        <v>0</v>
      </c>
    </row>
    <row r="62" spans="1:37" ht="14.1" customHeight="1" x14ac:dyDescent="0.2">
      <c r="A62" s="16">
        <v>6</v>
      </c>
      <c r="B62" s="65"/>
      <c r="C62" s="103" t="str">
        <f>ANUAL!$C146</f>
        <v>U02</v>
      </c>
      <c r="D62" s="302" t="str">
        <f>ANUAL!$D146</f>
        <v>UTILITIES – ÁGUA POTÁVEL</v>
      </c>
      <c r="E62" s="302"/>
      <c r="F62" s="302"/>
      <c r="G62" s="104">
        <f t="shared" si="16"/>
        <v>0</v>
      </c>
      <c r="H62" s="62"/>
      <c r="N62" s="16">
        <v>54</v>
      </c>
      <c r="O62" s="65"/>
      <c r="P62" s="55"/>
      <c r="Q62" s="56"/>
      <c r="R62" s="57"/>
      <c r="S62" s="58"/>
      <c r="T62" s="59"/>
      <c r="U62" s="60"/>
      <c r="V62" s="62"/>
      <c r="X62" s="1">
        <f t="shared" ca="1" si="14"/>
        <v>1</v>
      </c>
      <c r="Z62" s="1">
        <f t="shared" si="17"/>
        <v>0</v>
      </c>
      <c r="AA62" s="1">
        <f t="shared" si="17"/>
        <v>0</v>
      </c>
      <c r="AB62" s="1">
        <f t="shared" si="17"/>
        <v>0</v>
      </c>
      <c r="AC62" s="1">
        <f t="shared" si="17"/>
        <v>0</v>
      </c>
      <c r="AD62" s="1">
        <f t="shared" si="17"/>
        <v>0</v>
      </c>
      <c r="AE62" s="1">
        <f t="shared" si="17"/>
        <v>0</v>
      </c>
      <c r="AF62" s="1">
        <f t="shared" si="17"/>
        <v>0</v>
      </c>
      <c r="AG62" s="1">
        <f t="shared" si="17"/>
        <v>0</v>
      </c>
      <c r="AH62" s="1">
        <f t="shared" si="17"/>
        <v>0</v>
      </c>
      <c r="AI62" s="1">
        <f t="shared" si="17"/>
        <v>0</v>
      </c>
      <c r="AJ62" s="1">
        <f t="shared" si="17"/>
        <v>0</v>
      </c>
      <c r="AK62" s="1">
        <f t="shared" si="17"/>
        <v>0</v>
      </c>
    </row>
    <row r="63" spans="1:37" ht="14.1" customHeight="1" x14ac:dyDescent="0.2">
      <c r="A63" s="12">
        <v>7</v>
      </c>
      <c r="B63" s="65"/>
      <c r="C63" s="101" t="str">
        <f>ANUAL!$C147</f>
        <v>U03</v>
      </c>
      <c r="D63" s="303" t="str">
        <f>ANUAL!$D147</f>
        <v>UTILITIES – DIVERSOS (ÁGUA, GÁS, SERV. GERAIS)</v>
      </c>
      <c r="E63" s="303"/>
      <c r="F63" s="303"/>
      <c r="G63" s="102">
        <f t="shared" si="16"/>
        <v>0</v>
      </c>
      <c r="H63" s="62"/>
      <c r="N63" s="12">
        <v>55</v>
      </c>
      <c r="O63" s="65"/>
      <c r="P63" s="49"/>
      <c r="Q63" s="50"/>
      <c r="R63" s="51"/>
      <c r="S63" s="52"/>
      <c r="T63" s="53"/>
      <c r="U63" s="54"/>
      <c r="V63" s="62"/>
      <c r="X63" s="1">
        <f t="shared" ca="1" si="14"/>
        <v>1</v>
      </c>
      <c r="Y63" s="30"/>
      <c r="Z63" s="1">
        <f t="shared" si="17"/>
        <v>0</v>
      </c>
      <c r="AA63" s="1">
        <f t="shared" si="17"/>
        <v>0</v>
      </c>
      <c r="AB63" s="1">
        <f t="shared" si="17"/>
        <v>0</v>
      </c>
      <c r="AC63" s="1">
        <f t="shared" si="17"/>
        <v>0</v>
      </c>
      <c r="AD63" s="1">
        <f t="shared" si="17"/>
        <v>0</v>
      </c>
      <c r="AE63" s="1">
        <f t="shared" si="17"/>
        <v>0</v>
      </c>
      <c r="AF63" s="1">
        <f t="shared" si="17"/>
        <v>0</v>
      </c>
      <c r="AG63" s="1">
        <f t="shared" si="17"/>
        <v>0</v>
      </c>
      <c r="AH63" s="1">
        <f t="shared" si="17"/>
        <v>0</v>
      </c>
      <c r="AI63" s="1">
        <f t="shared" si="17"/>
        <v>0</v>
      </c>
      <c r="AJ63" s="1">
        <f t="shared" si="17"/>
        <v>0</v>
      </c>
      <c r="AK63" s="1">
        <f t="shared" si="17"/>
        <v>0</v>
      </c>
    </row>
    <row r="64" spans="1:37" ht="14.1" customHeight="1" x14ac:dyDescent="0.2">
      <c r="A64" s="16">
        <v>8</v>
      </c>
      <c r="B64" s="65"/>
      <c r="C64" s="103" t="str">
        <f>ANUAL!$C148</f>
        <v>S01</v>
      </c>
      <c r="D64" s="302" t="str">
        <f>ANUAL!$D148</f>
        <v>SAÚDE – PLANO DE SAÚDE</v>
      </c>
      <c r="E64" s="302"/>
      <c r="F64" s="302"/>
      <c r="G64" s="104">
        <f t="shared" si="16"/>
        <v>0</v>
      </c>
      <c r="H64" s="62"/>
      <c r="N64" s="16">
        <v>56</v>
      </c>
      <c r="O64" s="65"/>
      <c r="P64" s="55"/>
      <c r="Q64" s="56"/>
      <c r="R64" s="57"/>
      <c r="S64" s="58"/>
      <c r="T64" s="59"/>
      <c r="U64" s="60"/>
      <c r="V64" s="62"/>
      <c r="X64" s="1">
        <f t="shared" ca="1" si="14"/>
        <v>1</v>
      </c>
      <c r="Z64" s="1">
        <f t="shared" si="17"/>
        <v>0</v>
      </c>
      <c r="AA64" s="1">
        <f t="shared" si="17"/>
        <v>0</v>
      </c>
      <c r="AB64" s="1">
        <f t="shared" si="17"/>
        <v>0</v>
      </c>
      <c r="AC64" s="1">
        <f t="shared" si="17"/>
        <v>0</v>
      </c>
      <c r="AD64" s="1">
        <f t="shared" si="17"/>
        <v>0</v>
      </c>
      <c r="AE64" s="1">
        <f t="shared" si="17"/>
        <v>0</v>
      </c>
      <c r="AF64" s="1">
        <f t="shared" si="17"/>
        <v>0</v>
      </c>
      <c r="AG64" s="1">
        <f t="shared" si="17"/>
        <v>0</v>
      </c>
      <c r="AH64" s="1">
        <f t="shared" si="17"/>
        <v>0</v>
      </c>
      <c r="AI64" s="1">
        <f t="shared" si="17"/>
        <v>0</v>
      </c>
      <c r="AJ64" s="1">
        <f t="shared" si="17"/>
        <v>0</v>
      </c>
      <c r="AK64" s="1">
        <f t="shared" si="17"/>
        <v>0</v>
      </c>
    </row>
    <row r="65" spans="1:37" ht="14.1" customHeight="1" x14ac:dyDescent="0.2">
      <c r="A65" s="12">
        <v>9</v>
      </c>
      <c r="B65" s="65"/>
      <c r="C65" s="101" t="str">
        <f>ANUAL!$C149</f>
        <v>S02</v>
      </c>
      <c r="D65" s="303" t="str">
        <f>ANUAL!$D149</f>
        <v>SAÚDE – REMÉDIOS</v>
      </c>
      <c r="E65" s="303"/>
      <c r="F65" s="303"/>
      <c r="G65" s="102">
        <f t="shared" si="16"/>
        <v>0</v>
      </c>
      <c r="H65" s="62"/>
      <c r="N65" s="12">
        <v>57</v>
      </c>
      <c r="O65" s="65"/>
      <c r="P65" s="49"/>
      <c r="Q65" s="50"/>
      <c r="R65" s="51"/>
      <c r="S65" s="52"/>
      <c r="T65" s="53"/>
      <c r="U65" s="54"/>
      <c r="V65" s="62"/>
      <c r="X65" s="1">
        <f t="shared" ca="1" si="14"/>
        <v>1</v>
      </c>
      <c r="Z65" s="1">
        <f t="shared" si="17"/>
        <v>0</v>
      </c>
      <c r="AA65" s="1">
        <f t="shared" si="17"/>
        <v>0</v>
      </c>
      <c r="AB65" s="1">
        <f t="shared" si="17"/>
        <v>0</v>
      </c>
      <c r="AC65" s="1">
        <f t="shared" si="17"/>
        <v>0</v>
      </c>
      <c r="AD65" s="1">
        <f t="shared" si="17"/>
        <v>0</v>
      </c>
      <c r="AE65" s="1">
        <f t="shared" si="17"/>
        <v>0</v>
      </c>
      <c r="AF65" s="1">
        <f t="shared" si="17"/>
        <v>0</v>
      </c>
      <c r="AG65" s="1">
        <f t="shared" si="17"/>
        <v>0</v>
      </c>
      <c r="AH65" s="1">
        <f t="shared" si="17"/>
        <v>0</v>
      </c>
      <c r="AI65" s="1">
        <f t="shared" si="17"/>
        <v>0</v>
      </c>
      <c r="AJ65" s="1">
        <f t="shared" si="17"/>
        <v>0</v>
      </c>
      <c r="AK65" s="1">
        <f t="shared" si="17"/>
        <v>0</v>
      </c>
    </row>
    <row r="66" spans="1:37" ht="14.1" customHeight="1" x14ac:dyDescent="0.2">
      <c r="A66" s="16">
        <v>10</v>
      </c>
      <c r="B66" s="65"/>
      <c r="C66" s="103" t="str">
        <f>ANUAL!$C150</f>
        <v>S03</v>
      </c>
      <c r="D66" s="302" t="str">
        <f>ANUAL!$D150</f>
        <v>SAÚDE – ACADEMIA</v>
      </c>
      <c r="E66" s="302"/>
      <c r="F66" s="302"/>
      <c r="G66" s="104">
        <f t="shared" si="16"/>
        <v>0</v>
      </c>
      <c r="H66" s="62"/>
      <c r="N66" s="16">
        <v>58</v>
      </c>
      <c r="O66" s="65"/>
      <c r="P66" s="55"/>
      <c r="Q66" s="56"/>
      <c r="R66" s="57"/>
      <c r="S66" s="58"/>
      <c r="T66" s="59"/>
      <c r="U66" s="60"/>
      <c r="V66" s="62"/>
      <c r="X66" s="1">
        <f t="shared" ca="1" si="14"/>
        <v>1</v>
      </c>
      <c r="Z66" s="1">
        <f t="shared" si="17"/>
        <v>0</v>
      </c>
      <c r="AA66" s="1">
        <f t="shared" si="17"/>
        <v>0</v>
      </c>
      <c r="AB66" s="1">
        <f t="shared" si="17"/>
        <v>0</v>
      </c>
      <c r="AC66" s="1">
        <f t="shared" si="17"/>
        <v>0</v>
      </c>
      <c r="AD66" s="1">
        <f t="shared" si="17"/>
        <v>0</v>
      </c>
      <c r="AE66" s="1">
        <f t="shared" si="17"/>
        <v>0</v>
      </c>
      <c r="AF66" s="1">
        <f t="shared" si="17"/>
        <v>0</v>
      </c>
      <c r="AG66" s="1">
        <f t="shared" si="17"/>
        <v>0</v>
      </c>
      <c r="AH66" s="1">
        <f t="shared" si="17"/>
        <v>0</v>
      </c>
      <c r="AI66" s="1">
        <f t="shared" si="17"/>
        <v>0</v>
      </c>
      <c r="AJ66" s="1">
        <f t="shared" si="17"/>
        <v>0</v>
      </c>
      <c r="AK66" s="1">
        <f t="shared" si="17"/>
        <v>0</v>
      </c>
    </row>
    <row r="67" spans="1:37" ht="14.1" customHeight="1" x14ac:dyDescent="0.2">
      <c r="A67" s="12">
        <v>11</v>
      </c>
      <c r="B67" s="65"/>
      <c r="C67" s="101" t="str">
        <f>ANUAL!$C151</f>
        <v>C01</v>
      </c>
      <c r="D67" s="303" t="str">
        <f>ANUAL!$D151</f>
        <v>COMPRAS</v>
      </c>
      <c r="E67" s="303"/>
      <c r="F67" s="303"/>
      <c r="G67" s="102">
        <f t="shared" si="16"/>
        <v>0</v>
      </c>
      <c r="H67" s="62"/>
      <c r="N67" s="12">
        <v>59</v>
      </c>
      <c r="O67" s="65"/>
      <c r="P67" s="49"/>
      <c r="Q67" s="50"/>
      <c r="R67" s="51"/>
      <c r="S67" s="52"/>
      <c r="T67" s="53"/>
      <c r="U67" s="54"/>
      <c r="V67" s="62"/>
      <c r="X67" s="1">
        <f t="shared" ca="1" si="14"/>
        <v>1</v>
      </c>
      <c r="Z67" s="1">
        <f t="shared" si="17"/>
        <v>0</v>
      </c>
      <c r="AA67" s="1">
        <f t="shared" si="17"/>
        <v>0</v>
      </c>
      <c r="AB67" s="1">
        <f t="shared" si="17"/>
        <v>0</v>
      </c>
      <c r="AC67" s="1">
        <f t="shared" si="17"/>
        <v>0</v>
      </c>
      <c r="AD67" s="1">
        <f t="shared" si="17"/>
        <v>0</v>
      </c>
      <c r="AE67" s="1">
        <f t="shared" si="17"/>
        <v>0</v>
      </c>
      <c r="AF67" s="1">
        <f t="shared" si="17"/>
        <v>0</v>
      </c>
      <c r="AG67" s="1">
        <f t="shared" si="17"/>
        <v>0</v>
      </c>
      <c r="AH67" s="1">
        <f t="shared" si="17"/>
        <v>0</v>
      </c>
      <c r="AI67" s="1">
        <f t="shared" si="17"/>
        <v>0</v>
      </c>
      <c r="AJ67" s="1">
        <f t="shared" si="17"/>
        <v>0</v>
      </c>
      <c r="AK67" s="1">
        <f t="shared" si="17"/>
        <v>0</v>
      </c>
    </row>
    <row r="68" spans="1:37" ht="14.1" customHeight="1" x14ac:dyDescent="0.2">
      <c r="A68" s="16">
        <v>12</v>
      </c>
      <c r="B68" s="65"/>
      <c r="C68" s="103" t="str">
        <f>ANUAL!$C152</f>
        <v>L01</v>
      </c>
      <c r="D68" s="302" t="str">
        <f>ANUAL!$D152</f>
        <v>LAZER</v>
      </c>
      <c r="E68" s="302"/>
      <c r="F68" s="302"/>
      <c r="G68" s="104">
        <f t="shared" si="16"/>
        <v>0</v>
      </c>
      <c r="H68" s="62"/>
      <c r="N68" s="16">
        <v>60</v>
      </c>
      <c r="O68" s="65"/>
      <c r="P68" s="55"/>
      <c r="Q68" s="56"/>
      <c r="R68" s="57"/>
      <c r="S68" s="58"/>
      <c r="T68" s="59"/>
      <c r="U68" s="60"/>
      <c r="V68" s="62"/>
      <c r="X68" s="1">
        <f t="shared" ca="1" si="14"/>
        <v>1</v>
      </c>
      <c r="Z68" s="1">
        <f t="shared" si="17"/>
        <v>0</v>
      </c>
      <c r="AA68" s="1">
        <f t="shared" si="17"/>
        <v>0</v>
      </c>
      <c r="AB68" s="1">
        <f t="shared" si="17"/>
        <v>0</v>
      </c>
      <c r="AC68" s="1">
        <f t="shared" si="17"/>
        <v>0</v>
      </c>
      <c r="AD68" s="1">
        <f t="shared" si="17"/>
        <v>0</v>
      </c>
      <c r="AE68" s="1">
        <f t="shared" si="17"/>
        <v>0</v>
      </c>
      <c r="AF68" s="1">
        <f t="shared" si="17"/>
        <v>0</v>
      </c>
      <c r="AG68" s="1">
        <f t="shared" si="17"/>
        <v>0</v>
      </c>
      <c r="AH68" s="1">
        <f t="shared" si="17"/>
        <v>0</v>
      </c>
      <c r="AI68" s="1">
        <f t="shared" si="17"/>
        <v>0</v>
      </c>
      <c r="AJ68" s="1">
        <f t="shared" si="17"/>
        <v>0</v>
      </c>
      <c r="AK68" s="1">
        <f t="shared" si="17"/>
        <v>0</v>
      </c>
    </row>
    <row r="69" spans="1:37" ht="14.1" customHeight="1" x14ac:dyDescent="0.2">
      <c r="A69" s="12">
        <v>13</v>
      </c>
      <c r="B69" s="65"/>
      <c r="C69" s="101" t="str">
        <f>ANUAL!$C153</f>
        <v>A01</v>
      </c>
      <c r="D69" s="303" t="str">
        <f>ANUAL!$D153</f>
        <v>ALIMENTAÇÃO – ALMOÇO</v>
      </c>
      <c r="E69" s="303"/>
      <c r="F69" s="303"/>
      <c r="G69" s="102">
        <f t="shared" si="16"/>
        <v>0</v>
      </c>
      <c r="H69" s="62"/>
      <c r="N69" s="12">
        <v>61</v>
      </c>
      <c r="O69" s="65"/>
      <c r="P69" s="49"/>
      <c r="Q69" s="50"/>
      <c r="R69" s="51"/>
      <c r="S69" s="52"/>
      <c r="T69" s="53"/>
      <c r="U69" s="54"/>
      <c r="V69" s="62"/>
      <c r="X69" s="1">
        <f t="shared" ca="1" si="14"/>
        <v>1</v>
      </c>
      <c r="Z69" s="1">
        <f t="shared" ref="Z69:AK78" si="18">IF(Z$8=$R69,-$T69,0)+IF(Z$8=$S69,$T69,0)</f>
        <v>0</v>
      </c>
      <c r="AA69" s="1">
        <f t="shared" si="18"/>
        <v>0</v>
      </c>
      <c r="AB69" s="1">
        <f t="shared" si="18"/>
        <v>0</v>
      </c>
      <c r="AC69" s="1">
        <f t="shared" si="18"/>
        <v>0</v>
      </c>
      <c r="AD69" s="1">
        <f t="shared" si="18"/>
        <v>0</v>
      </c>
      <c r="AE69" s="1">
        <f t="shared" si="18"/>
        <v>0</v>
      </c>
      <c r="AF69" s="1">
        <f t="shared" si="18"/>
        <v>0</v>
      </c>
      <c r="AG69" s="1">
        <f t="shared" si="18"/>
        <v>0</v>
      </c>
      <c r="AH69" s="1">
        <f t="shared" si="18"/>
        <v>0</v>
      </c>
      <c r="AI69" s="1">
        <f t="shared" si="18"/>
        <v>0</v>
      </c>
      <c r="AJ69" s="1">
        <f t="shared" si="18"/>
        <v>0</v>
      </c>
      <c r="AK69" s="1">
        <f t="shared" si="18"/>
        <v>0</v>
      </c>
    </row>
    <row r="70" spans="1:37" ht="14.1" customHeight="1" x14ac:dyDescent="0.2">
      <c r="A70" s="16">
        <v>14</v>
      </c>
      <c r="B70" s="65"/>
      <c r="C70" s="103" t="str">
        <f>ANUAL!$C154</f>
        <v>A02</v>
      </c>
      <c r="D70" s="302" t="str">
        <f>ANUAL!$D154</f>
        <v>ALIMENTAÇÃO – COMPRA MENSAL</v>
      </c>
      <c r="E70" s="302"/>
      <c r="F70" s="302"/>
      <c r="G70" s="104">
        <f t="shared" si="16"/>
        <v>0</v>
      </c>
      <c r="H70" s="62"/>
      <c r="N70" s="16">
        <v>62</v>
      </c>
      <c r="O70" s="65"/>
      <c r="P70" s="55"/>
      <c r="Q70" s="56"/>
      <c r="R70" s="57"/>
      <c r="S70" s="58"/>
      <c r="T70" s="59"/>
      <c r="U70" s="60"/>
      <c r="V70" s="62"/>
      <c r="X70" s="1">
        <f t="shared" ca="1" si="14"/>
        <v>1</v>
      </c>
      <c r="Z70" s="1">
        <f t="shared" si="18"/>
        <v>0</v>
      </c>
      <c r="AA70" s="1">
        <f t="shared" si="18"/>
        <v>0</v>
      </c>
      <c r="AB70" s="1">
        <f t="shared" si="18"/>
        <v>0</v>
      </c>
      <c r="AC70" s="1">
        <f t="shared" si="18"/>
        <v>0</v>
      </c>
      <c r="AD70" s="1">
        <f t="shared" si="18"/>
        <v>0</v>
      </c>
      <c r="AE70" s="1">
        <f t="shared" si="18"/>
        <v>0</v>
      </c>
      <c r="AF70" s="1">
        <f t="shared" si="18"/>
        <v>0</v>
      </c>
      <c r="AG70" s="1">
        <f t="shared" si="18"/>
        <v>0</v>
      </c>
      <c r="AH70" s="1">
        <f t="shared" si="18"/>
        <v>0</v>
      </c>
      <c r="AI70" s="1">
        <f t="shared" si="18"/>
        <v>0</v>
      </c>
      <c r="AJ70" s="1">
        <f t="shared" si="18"/>
        <v>0</v>
      </c>
      <c r="AK70" s="1">
        <f t="shared" si="18"/>
        <v>0</v>
      </c>
    </row>
    <row r="71" spans="1:37" ht="14.1" customHeight="1" x14ac:dyDescent="0.2">
      <c r="A71" s="12">
        <v>15</v>
      </c>
      <c r="B71" s="65"/>
      <c r="C71" s="101" t="str">
        <f>ANUAL!$C155</f>
        <v>A03</v>
      </c>
      <c r="D71" s="303" t="str">
        <f>ANUAL!$D155</f>
        <v>ALIMENTAÇÃO – FEIRAS SEMANAIS</v>
      </c>
      <c r="E71" s="303"/>
      <c r="F71" s="303"/>
      <c r="G71" s="102">
        <f t="shared" si="16"/>
        <v>0</v>
      </c>
      <c r="H71" s="62"/>
      <c r="N71" s="12">
        <v>63</v>
      </c>
      <c r="O71" s="65"/>
      <c r="P71" s="49"/>
      <c r="Q71" s="50"/>
      <c r="R71" s="51"/>
      <c r="S71" s="52"/>
      <c r="T71" s="53"/>
      <c r="U71" s="54"/>
      <c r="V71" s="62"/>
      <c r="X71" s="1">
        <f t="shared" ca="1" si="14"/>
        <v>1</v>
      </c>
      <c r="Z71" s="1">
        <f t="shared" si="18"/>
        <v>0</v>
      </c>
      <c r="AA71" s="1">
        <f t="shared" si="18"/>
        <v>0</v>
      </c>
      <c r="AB71" s="1">
        <f t="shared" si="18"/>
        <v>0</v>
      </c>
      <c r="AC71" s="1">
        <f t="shared" si="18"/>
        <v>0</v>
      </c>
      <c r="AD71" s="1">
        <f t="shared" si="18"/>
        <v>0</v>
      </c>
      <c r="AE71" s="1">
        <f t="shared" si="18"/>
        <v>0</v>
      </c>
      <c r="AF71" s="1">
        <f t="shared" si="18"/>
        <v>0</v>
      </c>
      <c r="AG71" s="1">
        <f t="shared" si="18"/>
        <v>0</v>
      </c>
      <c r="AH71" s="1">
        <f t="shared" si="18"/>
        <v>0</v>
      </c>
      <c r="AI71" s="1">
        <f t="shared" si="18"/>
        <v>0</v>
      </c>
      <c r="AJ71" s="1">
        <f t="shared" si="18"/>
        <v>0</v>
      </c>
      <c r="AK71" s="1">
        <f t="shared" si="18"/>
        <v>0</v>
      </c>
    </row>
    <row r="72" spans="1:37" ht="14.1" customHeight="1" x14ac:dyDescent="0.2">
      <c r="A72" s="16">
        <v>16</v>
      </c>
      <c r="B72" s="65"/>
      <c r="C72" s="103" t="str">
        <f>ANUAL!$C156</f>
        <v>T01</v>
      </c>
      <c r="D72" s="302" t="str">
        <f>ANUAL!$D156</f>
        <v>TELECOM – CELULAR</v>
      </c>
      <c r="E72" s="302"/>
      <c r="F72" s="302"/>
      <c r="G72" s="104">
        <f t="shared" si="16"/>
        <v>0</v>
      </c>
      <c r="H72" s="62"/>
      <c r="N72" s="16">
        <v>64</v>
      </c>
      <c r="O72" s="65"/>
      <c r="P72" s="55"/>
      <c r="Q72" s="56"/>
      <c r="R72" s="57"/>
      <c r="S72" s="58"/>
      <c r="T72" s="59"/>
      <c r="U72" s="60"/>
      <c r="V72" s="62"/>
      <c r="X72" s="1">
        <f t="shared" ca="1" si="14"/>
        <v>1</v>
      </c>
      <c r="Z72" s="1">
        <f t="shared" si="18"/>
        <v>0</v>
      </c>
      <c r="AA72" s="1">
        <f t="shared" si="18"/>
        <v>0</v>
      </c>
      <c r="AB72" s="1">
        <f t="shared" si="18"/>
        <v>0</v>
      </c>
      <c r="AC72" s="1">
        <f t="shared" si="18"/>
        <v>0</v>
      </c>
      <c r="AD72" s="1">
        <f t="shared" si="18"/>
        <v>0</v>
      </c>
      <c r="AE72" s="1">
        <f t="shared" si="18"/>
        <v>0</v>
      </c>
      <c r="AF72" s="1">
        <f t="shared" si="18"/>
        <v>0</v>
      </c>
      <c r="AG72" s="1">
        <f t="shared" si="18"/>
        <v>0</v>
      </c>
      <c r="AH72" s="1">
        <f t="shared" si="18"/>
        <v>0</v>
      </c>
      <c r="AI72" s="1">
        <f t="shared" si="18"/>
        <v>0</v>
      </c>
      <c r="AJ72" s="1">
        <f t="shared" si="18"/>
        <v>0</v>
      </c>
      <c r="AK72" s="1">
        <f t="shared" si="18"/>
        <v>0</v>
      </c>
    </row>
    <row r="73" spans="1:37" ht="14.1" customHeight="1" x14ac:dyDescent="0.2">
      <c r="A73" s="12">
        <v>17</v>
      </c>
      <c r="B73" s="65"/>
      <c r="C73" s="101" t="str">
        <f>ANUAL!$C157</f>
        <v>T02</v>
      </c>
      <c r="D73" s="303" t="str">
        <f>ANUAL!$D157</f>
        <v>TELECOM – INTERNET</v>
      </c>
      <c r="E73" s="303"/>
      <c r="F73" s="303"/>
      <c r="G73" s="102">
        <f t="shared" si="16"/>
        <v>0</v>
      </c>
      <c r="H73" s="62"/>
      <c r="N73" s="12">
        <v>65</v>
      </c>
      <c r="O73" s="65"/>
      <c r="P73" s="49"/>
      <c r="Q73" s="50"/>
      <c r="R73" s="51"/>
      <c r="S73" s="52"/>
      <c r="T73" s="53"/>
      <c r="U73" s="54"/>
      <c r="V73" s="62"/>
      <c r="X73" s="1">
        <f t="shared" ref="X73:X88" ca="1" si="19">IF(P73&lt;NOW(),1,0)</f>
        <v>1</v>
      </c>
      <c r="Z73" s="1">
        <f t="shared" si="18"/>
        <v>0</v>
      </c>
      <c r="AA73" s="1">
        <f t="shared" si="18"/>
        <v>0</v>
      </c>
      <c r="AB73" s="1">
        <f t="shared" si="18"/>
        <v>0</v>
      </c>
      <c r="AC73" s="1">
        <f t="shared" si="18"/>
        <v>0</v>
      </c>
      <c r="AD73" s="1">
        <f t="shared" si="18"/>
        <v>0</v>
      </c>
      <c r="AE73" s="1">
        <f t="shared" si="18"/>
        <v>0</v>
      </c>
      <c r="AF73" s="1">
        <f t="shared" si="18"/>
        <v>0</v>
      </c>
      <c r="AG73" s="1">
        <f t="shared" si="18"/>
        <v>0</v>
      </c>
      <c r="AH73" s="1">
        <f t="shared" si="18"/>
        <v>0</v>
      </c>
      <c r="AI73" s="1">
        <f t="shared" si="18"/>
        <v>0</v>
      </c>
      <c r="AJ73" s="1">
        <f t="shared" si="18"/>
        <v>0</v>
      </c>
      <c r="AK73" s="1">
        <f t="shared" si="18"/>
        <v>0</v>
      </c>
    </row>
    <row r="74" spans="1:37" ht="14.1" customHeight="1" x14ac:dyDescent="0.2">
      <c r="A74" s="16">
        <v>18</v>
      </c>
      <c r="B74" s="65"/>
      <c r="C74" s="103" t="str">
        <f>ANUAL!$C158</f>
        <v>T03</v>
      </c>
      <c r="D74" s="302" t="str">
        <f>ANUAL!$D158</f>
        <v>TELECOM – FIXO</v>
      </c>
      <c r="E74" s="302"/>
      <c r="F74" s="302"/>
      <c r="G74" s="104">
        <f t="shared" si="16"/>
        <v>0</v>
      </c>
      <c r="H74" s="62"/>
      <c r="N74" s="16">
        <v>66</v>
      </c>
      <c r="O74" s="65"/>
      <c r="P74" s="55"/>
      <c r="Q74" s="56"/>
      <c r="R74" s="57"/>
      <c r="S74" s="58"/>
      <c r="T74" s="59"/>
      <c r="U74" s="60"/>
      <c r="V74" s="62"/>
      <c r="X74" s="1">
        <f t="shared" ca="1" si="19"/>
        <v>1</v>
      </c>
      <c r="Z74" s="1">
        <f t="shared" si="18"/>
        <v>0</v>
      </c>
      <c r="AA74" s="1">
        <f t="shared" si="18"/>
        <v>0</v>
      </c>
      <c r="AB74" s="1">
        <f t="shared" si="18"/>
        <v>0</v>
      </c>
      <c r="AC74" s="1">
        <f t="shared" si="18"/>
        <v>0</v>
      </c>
      <c r="AD74" s="1">
        <f t="shared" si="18"/>
        <v>0</v>
      </c>
      <c r="AE74" s="1">
        <f t="shared" si="18"/>
        <v>0</v>
      </c>
      <c r="AF74" s="1">
        <f t="shared" si="18"/>
        <v>0</v>
      </c>
      <c r="AG74" s="1">
        <f t="shared" si="18"/>
        <v>0</v>
      </c>
      <c r="AH74" s="1">
        <f t="shared" si="18"/>
        <v>0</v>
      </c>
      <c r="AI74" s="1">
        <f t="shared" si="18"/>
        <v>0</v>
      </c>
      <c r="AJ74" s="1">
        <f t="shared" si="18"/>
        <v>0</v>
      </c>
      <c r="AK74" s="1">
        <f t="shared" si="18"/>
        <v>0</v>
      </c>
    </row>
    <row r="75" spans="1:37" ht="14.1" customHeight="1" x14ac:dyDescent="0.2">
      <c r="A75" s="12">
        <v>19</v>
      </c>
      <c r="B75" s="65"/>
      <c r="C75" s="101" t="str">
        <f>ANUAL!$C159</f>
        <v>R01</v>
      </c>
      <c r="D75" s="303" t="str">
        <f>ANUAL!$D159</f>
        <v>CARRO – SEGURO</v>
      </c>
      <c r="E75" s="303"/>
      <c r="F75" s="303"/>
      <c r="G75" s="102">
        <f t="shared" si="16"/>
        <v>0</v>
      </c>
      <c r="H75" s="62"/>
      <c r="N75" s="12">
        <v>67</v>
      </c>
      <c r="O75" s="65"/>
      <c r="P75" s="49"/>
      <c r="Q75" s="50"/>
      <c r="R75" s="51"/>
      <c r="S75" s="52"/>
      <c r="T75" s="53"/>
      <c r="U75" s="54"/>
      <c r="V75" s="62"/>
      <c r="X75" s="1">
        <f t="shared" ca="1" si="19"/>
        <v>1</v>
      </c>
      <c r="Z75" s="1">
        <f t="shared" si="18"/>
        <v>0</v>
      </c>
      <c r="AA75" s="1">
        <f t="shared" si="18"/>
        <v>0</v>
      </c>
      <c r="AB75" s="1">
        <f t="shared" si="18"/>
        <v>0</v>
      </c>
      <c r="AC75" s="1">
        <f t="shared" si="18"/>
        <v>0</v>
      </c>
      <c r="AD75" s="1">
        <f t="shared" si="18"/>
        <v>0</v>
      </c>
      <c r="AE75" s="1">
        <f t="shared" si="18"/>
        <v>0</v>
      </c>
      <c r="AF75" s="1">
        <f t="shared" si="18"/>
        <v>0</v>
      </c>
      <c r="AG75" s="1">
        <f t="shared" si="18"/>
        <v>0</v>
      </c>
      <c r="AH75" s="1">
        <f t="shared" si="18"/>
        <v>0</v>
      </c>
      <c r="AI75" s="1">
        <f t="shared" si="18"/>
        <v>0</v>
      </c>
      <c r="AJ75" s="1">
        <f t="shared" si="18"/>
        <v>0</v>
      </c>
      <c r="AK75" s="1">
        <f t="shared" si="18"/>
        <v>0</v>
      </c>
    </row>
    <row r="76" spans="1:37" ht="14.1" customHeight="1" x14ac:dyDescent="0.2">
      <c r="A76" s="16">
        <v>20</v>
      </c>
      <c r="B76" s="65"/>
      <c r="C76" s="103" t="str">
        <f>ANUAL!$C160</f>
        <v>R02</v>
      </c>
      <c r="D76" s="302" t="str">
        <f>ANUAL!$D160</f>
        <v>CARRO – COMBUSTÍVEL</v>
      </c>
      <c r="E76" s="302"/>
      <c r="F76" s="302"/>
      <c r="G76" s="104">
        <f t="shared" si="16"/>
        <v>0</v>
      </c>
      <c r="H76" s="62"/>
      <c r="N76" s="16">
        <v>68</v>
      </c>
      <c r="O76" s="65"/>
      <c r="P76" s="55"/>
      <c r="Q76" s="56"/>
      <c r="R76" s="57"/>
      <c r="S76" s="58"/>
      <c r="T76" s="59"/>
      <c r="U76" s="60"/>
      <c r="V76" s="62"/>
      <c r="X76" s="1">
        <f t="shared" ca="1" si="19"/>
        <v>1</v>
      </c>
      <c r="Z76" s="1">
        <f t="shared" si="18"/>
        <v>0</v>
      </c>
      <c r="AA76" s="1">
        <f t="shared" si="18"/>
        <v>0</v>
      </c>
      <c r="AB76" s="1">
        <f t="shared" si="18"/>
        <v>0</v>
      </c>
      <c r="AC76" s="1">
        <f t="shared" si="18"/>
        <v>0</v>
      </c>
      <c r="AD76" s="1">
        <f t="shared" si="18"/>
        <v>0</v>
      </c>
      <c r="AE76" s="1">
        <f t="shared" si="18"/>
        <v>0</v>
      </c>
      <c r="AF76" s="1">
        <f t="shared" si="18"/>
        <v>0</v>
      </c>
      <c r="AG76" s="1">
        <f t="shared" si="18"/>
        <v>0</v>
      </c>
      <c r="AH76" s="1">
        <f t="shared" si="18"/>
        <v>0</v>
      </c>
      <c r="AI76" s="1">
        <f t="shared" si="18"/>
        <v>0</v>
      </c>
      <c r="AJ76" s="1">
        <f t="shared" si="18"/>
        <v>0</v>
      </c>
      <c r="AK76" s="1">
        <f t="shared" si="18"/>
        <v>0</v>
      </c>
    </row>
    <row r="77" spans="1:37" ht="14.1" customHeight="1" x14ac:dyDescent="0.2">
      <c r="A77" s="12">
        <v>21</v>
      </c>
      <c r="B77" s="65"/>
      <c r="C77" s="101" t="str">
        <f>ANUAL!$C161</f>
        <v>R03</v>
      </c>
      <c r="D77" s="303" t="str">
        <f>ANUAL!$D161</f>
        <v>CARRO – CONSERTOS</v>
      </c>
      <c r="E77" s="303"/>
      <c r="F77" s="303"/>
      <c r="G77" s="102">
        <f t="shared" si="16"/>
        <v>0</v>
      </c>
      <c r="H77" s="62"/>
      <c r="N77" s="12">
        <v>69</v>
      </c>
      <c r="O77" s="65"/>
      <c r="P77" s="49"/>
      <c r="Q77" s="50"/>
      <c r="R77" s="51"/>
      <c r="S77" s="52"/>
      <c r="T77" s="53"/>
      <c r="U77" s="54"/>
      <c r="V77" s="62"/>
      <c r="X77" s="1">
        <f t="shared" ca="1" si="19"/>
        <v>1</v>
      </c>
      <c r="Z77" s="1">
        <f t="shared" si="18"/>
        <v>0</v>
      </c>
      <c r="AA77" s="1">
        <f t="shared" si="18"/>
        <v>0</v>
      </c>
      <c r="AB77" s="1">
        <f t="shared" si="18"/>
        <v>0</v>
      </c>
      <c r="AC77" s="1">
        <f t="shared" si="18"/>
        <v>0</v>
      </c>
      <c r="AD77" s="1">
        <f t="shared" si="18"/>
        <v>0</v>
      </c>
      <c r="AE77" s="1">
        <f t="shared" si="18"/>
        <v>0</v>
      </c>
      <c r="AF77" s="1">
        <f t="shared" si="18"/>
        <v>0</v>
      </c>
      <c r="AG77" s="1">
        <f t="shared" si="18"/>
        <v>0</v>
      </c>
      <c r="AH77" s="1">
        <f t="shared" si="18"/>
        <v>0</v>
      </c>
      <c r="AI77" s="1">
        <f t="shared" si="18"/>
        <v>0</v>
      </c>
      <c r="AJ77" s="1">
        <f t="shared" si="18"/>
        <v>0</v>
      </c>
      <c r="AK77" s="1">
        <f t="shared" si="18"/>
        <v>0</v>
      </c>
    </row>
    <row r="78" spans="1:37" ht="14.1" customHeight="1" x14ac:dyDescent="0.2">
      <c r="A78" s="16">
        <v>22</v>
      </c>
      <c r="B78" s="65"/>
      <c r="C78" s="103" t="str">
        <f>ANUAL!$C162</f>
        <v>R04</v>
      </c>
      <c r="D78" s="302" t="str">
        <f>ANUAL!$D162</f>
        <v>CARRO – PRESTAÇOES</v>
      </c>
      <c r="E78" s="302"/>
      <c r="F78" s="302"/>
      <c r="G78" s="104">
        <f t="shared" si="16"/>
        <v>0</v>
      </c>
      <c r="H78" s="62"/>
      <c r="N78" s="16">
        <v>70</v>
      </c>
      <c r="O78" s="65"/>
      <c r="P78" s="55"/>
      <c r="Q78" s="56"/>
      <c r="R78" s="57"/>
      <c r="S78" s="58"/>
      <c r="T78" s="59"/>
      <c r="U78" s="60"/>
      <c r="V78" s="62"/>
      <c r="X78" s="1">
        <f t="shared" ca="1" si="19"/>
        <v>1</v>
      </c>
      <c r="Z78" s="1">
        <f t="shared" si="18"/>
        <v>0</v>
      </c>
      <c r="AA78" s="1">
        <f t="shared" si="18"/>
        <v>0</v>
      </c>
      <c r="AB78" s="1">
        <f t="shared" si="18"/>
        <v>0</v>
      </c>
      <c r="AC78" s="1">
        <f t="shared" si="18"/>
        <v>0</v>
      </c>
      <c r="AD78" s="1">
        <f t="shared" si="18"/>
        <v>0</v>
      </c>
      <c r="AE78" s="1">
        <f t="shared" si="18"/>
        <v>0</v>
      </c>
      <c r="AF78" s="1">
        <f t="shared" si="18"/>
        <v>0</v>
      </c>
      <c r="AG78" s="1">
        <f t="shared" si="18"/>
        <v>0</v>
      </c>
      <c r="AH78" s="1">
        <f t="shared" si="18"/>
        <v>0</v>
      </c>
      <c r="AI78" s="1">
        <f t="shared" si="18"/>
        <v>0</v>
      </c>
      <c r="AJ78" s="1">
        <f t="shared" si="18"/>
        <v>0</v>
      </c>
      <c r="AK78" s="1">
        <f t="shared" si="18"/>
        <v>0</v>
      </c>
    </row>
    <row r="79" spans="1:37" ht="14.1" customHeight="1" x14ac:dyDescent="0.2">
      <c r="A79" s="12">
        <v>23</v>
      </c>
      <c r="B79" s="65"/>
      <c r="C79" s="101" t="str">
        <f>ANUAL!$C163</f>
        <v>B01</v>
      </c>
      <c r="D79" s="303" t="str">
        <f>ANUAL!$D163</f>
        <v>BANCO – TAXAS, JUROS ETC.</v>
      </c>
      <c r="E79" s="303"/>
      <c r="F79" s="303"/>
      <c r="G79" s="102">
        <f t="shared" si="16"/>
        <v>0</v>
      </c>
      <c r="H79" s="62"/>
      <c r="N79" s="12">
        <v>71</v>
      </c>
      <c r="O79" s="65"/>
      <c r="P79" s="49"/>
      <c r="Q79" s="50"/>
      <c r="R79" s="51"/>
      <c r="S79" s="52"/>
      <c r="T79" s="53"/>
      <c r="U79" s="54"/>
      <c r="V79" s="62"/>
      <c r="X79" s="1">
        <f t="shared" ca="1" si="19"/>
        <v>1</v>
      </c>
      <c r="Z79" s="1">
        <f t="shared" ref="Z79:AK88" si="20">IF(Z$8=$R79,-$T79,0)+IF(Z$8=$S79,$T79,0)</f>
        <v>0</v>
      </c>
      <c r="AA79" s="1">
        <f t="shared" si="20"/>
        <v>0</v>
      </c>
      <c r="AB79" s="1">
        <f t="shared" si="20"/>
        <v>0</v>
      </c>
      <c r="AC79" s="1">
        <f t="shared" si="20"/>
        <v>0</v>
      </c>
      <c r="AD79" s="1">
        <f t="shared" si="20"/>
        <v>0</v>
      </c>
      <c r="AE79" s="1">
        <f t="shared" si="20"/>
        <v>0</v>
      </c>
      <c r="AF79" s="1">
        <f t="shared" si="20"/>
        <v>0</v>
      </c>
      <c r="AG79" s="1">
        <f t="shared" si="20"/>
        <v>0</v>
      </c>
      <c r="AH79" s="1">
        <f t="shared" si="20"/>
        <v>0</v>
      </c>
      <c r="AI79" s="1">
        <f t="shared" si="20"/>
        <v>0</v>
      </c>
      <c r="AJ79" s="1">
        <f t="shared" si="20"/>
        <v>0</v>
      </c>
      <c r="AK79" s="1">
        <f t="shared" si="20"/>
        <v>0</v>
      </c>
    </row>
    <row r="80" spans="1:37" ht="14.1" customHeight="1" x14ac:dyDescent="0.2">
      <c r="A80" s="16">
        <v>24</v>
      </c>
      <c r="B80" s="65"/>
      <c r="C80" s="103" t="str">
        <f>ANUAL!$C164</f>
        <v>E01</v>
      </c>
      <c r="D80" s="302" t="str">
        <f>ANUAL!$D164</f>
        <v>EDUCAÇÃO / TREINAMENTO</v>
      </c>
      <c r="E80" s="302"/>
      <c r="F80" s="302"/>
      <c r="G80" s="104">
        <f t="shared" si="16"/>
        <v>0</v>
      </c>
      <c r="H80" s="62"/>
      <c r="N80" s="16">
        <v>72</v>
      </c>
      <c r="O80" s="65"/>
      <c r="P80" s="55"/>
      <c r="Q80" s="56"/>
      <c r="R80" s="57"/>
      <c r="S80" s="58"/>
      <c r="T80" s="59"/>
      <c r="U80" s="60"/>
      <c r="V80" s="62"/>
      <c r="X80" s="1">
        <f t="shared" ca="1" si="19"/>
        <v>1</v>
      </c>
      <c r="Z80" s="1">
        <f t="shared" si="20"/>
        <v>0</v>
      </c>
      <c r="AA80" s="1">
        <f t="shared" si="20"/>
        <v>0</v>
      </c>
      <c r="AB80" s="1">
        <f t="shared" si="20"/>
        <v>0</v>
      </c>
      <c r="AC80" s="1">
        <f t="shared" si="20"/>
        <v>0</v>
      </c>
      <c r="AD80" s="1">
        <f t="shared" si="20"/>
        <v>0</v>
      </c>
      <c r="AE80" s="1">
        <f t="shared" si="20"/>
        <v>0</v>
      </c>
      <c r="AF80" s="1">
        <f t="shared" si="20"/>
        <v>0</v>
      </c>
      <c r="AG80" s="1">
        <f t="shared" si="20"/>
        <v>0</v>
      </c>
      <c r="AH80" s="1">
        <f t="shared" si="20"/>
        <v>0</v>
      </c>
      <c r="AI80" s="1">
        <f t="shared" si="20"/>
        <v>0</v>
      </c>
      <c r="AJ80" s="1">
        <f t="shared" si="20"/>
        <v>0</v>
      </c>
      <c r="AK80" s="1">
        <f t="shared" si="20"/>
        <v>0</v>
      </c>
    </row>
    <row r="81" spans="1:37" ht="14.1" customHeight="1" x14ac:dyDescent="0.2">
      <c r="A81" s="12">
        <v>25</v>
      </c>
      <c r="B81" s="65"/>
      <c r="C81" s="101" t="str">
        <f>ANUAL!$C165</f>
        <v>V01</v>
      </c>
      <c r="D81" s="303" t="str">
        <f>ANUAL!$D165</f>
        <v>VIAGEM</v>
      </c>
      <c r="E81" s="303"/>
      <c r="F81" s="303"/>
      <c r="G81" s="102">
        <f t="shared" si="16"/>
        <v>0</v>
      </c>
      <c r="H81" s="62"/>
      <c r="N81" s="12">
        <v>73</v>
      </c>
      <c r="O81" s="65"/>
      <c r="P81" s="49"/>
      <c r="Q81" s="50"/>
      <c r="R81" s="51"/>
      <c r="S81" s="52"/>
      <c r="T81" s="53"/>
      <c r="U81" s="54"/>
      <c r="V81" s="62"/>
      <c r="X81" s="1">
        <f t="shared" ca="1" si="19"/>
        <v>1</v>
      </c>
      <c r="Z81" s="1">
        <f t="shared" si="20"/>
        <v>0</v>
      </c>
      <c r="AA81" s="1">
        <f t="shared" si="20"/>
        <v>0</v>
      </c>
      <c r="AB81" s="1">
        <f t="shared" si="20"/>
        <v>0</v>
      </c>
      <c r="AC81" s="1">
        <f t="shared" si="20"/>
        <v>0</v>
      </c>
      <c r="AD81" s="1">
        <f t="shared" si="20"/>
        <v>0</v>
      </c>
      <c r="AE81" s="1">
        <f t="shared" si="20"/>
        <v>0</v>
      </c>
      <c r="AF81" s="1">
        <f t="shared" si="20"/>
        <v>0</v>
      </c>
      <c r="AG81" s="1">
        <f t="shared" si="20"/>
        <v>0</v>
      </c>
      <c r="AH81" s="1">
        <f t="shared" si="20"/>
        <v>0</v>
      </c>
      <c r="AI81" s="1">
        <f t="shared" si="20"/>
        <v>0</v>
      </c>
      <c r="AJ81" s="1">
        <f t="shared" si="20"/>
        <v>0</v>
      </c>
      <c r="AK81" s="1">
        <f t="shared" si="20"/>
        <v>0</v>
      </c>
    </row>
    <row r="82" spans="1:37" ht="14.1" customHeight="1" x14ac:dyDescent="0.2">
      <c r="A82" s="16">
        <v>26</v>
      </c>
      <c r="B82" s="65"/>
      <c r="C82" s="103" t="str">
        <f>ANUAL!$C166</f>
        <v>P01</v>
      </c>
      <c r="D82" s="302" t="str">
        <f>ANUAL!$D166</f>
        <v>PESSOAL – DÍZIMO</v>
      </c>
      <c r="E82" s="302"/>
      <c r="F82" s="302"/>
      <c r="G82" s="104">
        <f t="shared" si="16"/>
        <v>0</v>
      </c>
      <c r="H82" s="62"/>
      <c r="I82" s="3"/>
      <c r="J82" s="3"/>
      <c r="K82" s="3"/>
      <c r="L82" s="3"/>
      <c r="M82" s="3"/>
      <c r="N82" s="16">
        <v>74</v>
      </c>
      <c r="O82" s="65"/>
      <c r="P82" s="55"/>
      <c r="Q82" s="56"/>
      <c r="R82" s="57"/>
      <c r="S82" s="58"/>
      <c r="T82" s="59"/>
      <c r="U82" s="60"/>
      <c r="V82" s="62"/>
      <c r="X82" s="1">
        <f t="shared" ca="1" si="19"/>
        <v>1</v>
      </c>
      <c r="Z82" s="1">
        <f t="shared" si="20"/>
        <v>0</v>
      </c>
      <c r="AA82" s="1">
        <f t="shared" si="20"/>
        <v>0</v>
      </c>
      <c r="AB82" s="1">
        <f t="shared" si="20"/>
        <v>0</v>
      </c>
      <c r="AC82" s="1">
        <f t="shared" si="20"/>
        <v>0</v>
      </c>
      <c r="AD82" s="1">
        <f t="shared" si="20"/>
        <v>0</v>
      </c>
      <c r="AE82" s="1">
        <f t="shared" si="20"/>
        <v>0</v>
      </c>
      <c r="AF82" s="1">
        <f t="shared" si="20"/>
        <v>0</v>
      </c>
      <c r="AG82" s="1">
        <f t="shared" si="20"/>
        <v>0</v>
      </c>
      <c r="AH82" s="1">
        <f t="shared" si="20"/>
        <v>0</v>
      </c>
      <c r="AI82" s="1">
        <f t="shared" si="20"/>
        <v>0</v>
      </c>
      <c r="AJ82" s="1">
        <f t="shared" si="20"/>
        <v>0</v>
      </c>
      <c r="AK82" s="1">
        <f t="shared" si="20"/>
        <v>0</v>
      </c>
    </row>
    <row r="83" spans="1:37" ht="14.1" customHeight="1" x14ac:dyDescent="0.2">
      <c r="A83" s="12">
        <v>27</v>
      </c>
      <c r="B83" s="65"/>
      <c r="C83" s="101" t="str">
        <f>ANUAL!$C167</f>
        <v>---</v>
      </c>
      <c r="D83" s="303" t="str">
        <f>ANUAL!$D167</f>
        <v>---</v>
      </c>
      <c r="E83" s="303"/>
      <c r="F83" s="303"/>
      <c r="G83" s="102">
        <f t="shared" si="16"/>
        <v>0</v>
      </c>
      <c r="H83" s="62"/>
      <c r="I83" s="3"/>
      <c r="J83" s="3"/>
      <c r="K83" s="3"/>
      <c r="L83" s="3"/>
      <c r="M83" s="3"/>
      <c r="N83" s="12">
        <v>75</v>
      </c>
      <c r="O83" s="65"/>
      <c r="P83" s="49"/>
      <c r="Q83" s="50"/>
      <c r="R83" s="51"/>
      <c r="S83" s="52"/>
      <c r="T83" s="53"/>
      <c r="U83" s="54"/>
      <c r="V83" s="62"/>
      <c r="X83" s="1">
        <f t="shared" ca="1" si="19"/>
        <v>1</v>
      </c>
      <c r="Z83" s="1">
        <f t="shared" si="20"/>
        <v>0</v>
      </c>
      <c r="AA83" s="1">
        <f t="shared" si="20"/>
        <v>0</v>
      </c>
      <c r="AB83" s="1">
        <f t="shared" si="20"/>
        <v>0</v>
      </c>
      <c r="AC83" s="1">
        <f t="shared" si="20"/>
        <v>0</v>
      </c>
      <c r="AD83" s="1">
        <f t="shared" si="20"/>
        <v>0</v>
      </c>
      <c r="AE83" s="1">
        <f t="shared" si="20"/>
        <v>0</v>
      </c>
      <c r="AF83" s="1">
        <f t="shared" si="20"/>
        <v>0</v>
      </c>
      <c r="AG83" s="1">
        <f t="shared" si="20"/>
        <v>0</v>
      </c>
      <c r="AH83" s="1">
        <f t="shared" si="20"/>
        <v>0</v>
      </c>
      <c r="AI83" s="1">
        <f t="shared" si="20"/>
        <v>0</v>
      </c>
      <c r="AJ83" s="1">
        <f t="shared" si="20"/>
        <v>0</v>
      </c>
      <c r="AK83" s="1">
        <f t="shared" si="20"/>
        <v>0</v>
      </c>
    </row>
    <row r="84" spans="1:37" ht="14.1" customHeight="1" x14ac:dyDescent="0.2">
      <c r="A84" s="16">
        <v>28</v>
      </c>
      <c r="B84" s="65"/>
      <c r="C84" s="103" t="str">
        <f>ANUAL!$C168</f>
        <v>---</v>
      </c>
      <c r="D84" s="302" t="str">
        <f>ANUAL!$D168</f>
        <v>---</v>
      </c>
      <c r="E84" s="302"/>
      <c r="F84" s="302"/>
      <c r="G84" s="104">
        <f t="shared" si="16"/>
        <v>0</v>
      </c>
      <c r="H84" s="62"/>
      <c r="I84" s="3"/>
      <c r="J84" s="3"/>
      <c r="K84" s="3"/>
      <c r="L84" s="3"/>
      <c r="M84" s="3"/>
      <c r="N84" s="16">
        <v>76</v>
      </c>
      <c r="O84" s="65"/>
      <c r="P84" s="55"/>
      <c r="Q84" s="56"/>
      <c r="R84" s="57"/>
      <c r="S84" s="58"/>
      <c r="T84" s="59"/>
      <c r="U84" s="60"/>
      <c r="V84" s="62"/>
      <c r="X84" s="1">
        <f t="shared" ca="1" si="19"/>
        <v>1</v>
      </c>
      <c r="Z84" s="1">
        <f t="shared" si="20"/>
        <v>0</v>
      </c>
      <c r="AA84" s="1">
        <f t="shared" si="20"/>
        <v>0</v>
      </c>
      <c r="AB84" s="1">
        <f t="shared" si="20"/>
        <v>0</v>
      </c>
      <c r="AC84" s="1">
        <f t="shared" si="20"/>
        <v>0</v>
      </c>
      <c r="AD84" s="1">
        <f t="shared" si="20"/>
        <v>0</v>
      </c>
      <c r="AE84" s="1">
        <f t="shared" si="20"/>
        <v>0</v>
      </c>
      <c r="AF84" s="1">
        <f t="shared" si="20"/>
        <v>0</v>
      </c>
      <c r="AG84" s="1">
        <f t="shared" si="20"/>
        <v>0</v>
      </c>
      <c r="AH84" s="1">
        <f t="shared" si="20"/>
        <v>0</v>
      </c>
      <c r="AI84" s="1">
        <f t="shared" si="20"/>
        <v>0</v>
      </c>
      <c r="AJ84" s="1">
        <f t="shared" si="20"/>
        <v>0</v>
      </c>
      <c r="AK84" s="1">
        <f t="shared" si="20"/>
        <v>0</v>
      </c>
    </row>
    <row r="85" spans="1:37" ht="14.1" customHeight="1" x14ac:dyDescent="0.2">
      <c r="A85" s="12">
        <v>29</v>
      </c>
      <c r="B85" s="65"/>
      <c r="C85" s="101" t="str">
        <f>ANUAL!$C169</f>
        <v>---</v>
      </c>
      <c r="D85" s="303" t="str">
        <f>ANUAL!$D169</f>
        <v>---</v>
      </c>
      <c r="E85" s="303"/>
      <c r="F85" s="303"/>
      <c r="G85" s="102">
        <f t="shared" si="16"/>
        <v>0</v>
      </c>
      <c r="H85" s="62"/>
      <c r="I85" s="3"/>
      <c r="J85" s="3"/>
      <c r="K85" s="3"/>
      <c r="L85" s="3"/>
      <c r="M85" s="3"/>
      <c r="N85" s="12">
        <v>77</v>
      </c>
      <c r="O85" s="65"/>
      <c r="P85" s="49"/>
      <c r="Q85" s="50"/>
      <c r="R85" s="51"/>
      <c r="S85" s="52"/>
      <c r="T85" s="53"/>
      <c r="U85" s="54"/>
      <c r="V85" s="62"/>
      <c r="X85" s="1">
        <f t="shared" ca="1" si="19"/>
        <v>1</v>
      </c>
      <c r="Z85" s="1">
        <f t="shared" si="20"/>
        <v>0</v>
      </c>
      <c r="AA85" s="1">
        <f t="shared" si="20"/>
        <v>0</v>
      </c>
      <c r="AB85" s="1">
        <f t="shared" si="20"/>
        <v>0</v>
      </c>
      <c r="AC85" s="1">
        <f t="shared" si="20"/>
        <v>0</v>
      </c>
      <c r="AD85" s="1">
        <f t="shared" si="20"/>
        <v>0</v>
      </c>
      <c r="AE85" s="1">
        <f t="shared" si="20"/>
        <v>0</v>
      </c>
      <c r="AF85" s="1">
        <f t="shared" si="20"/>
        <v>0</v>
      </c>
      <c r="AG85" s="1">
        <f t="shared" si="20"/>
        <v>0</v>
      </c>
      <c r="AH85" s="1">
        <f t="shared" si="20"/>
        <v>0</v>
      </c>
      <c r="AI85" s="1">
        <f t="shared" si="20"/>
        <v>0</v>
      </c>
      <c r="AJ85" s="1">
        <f t="shared" si="20"/>
        <v>0</v>
      </c>
      <c r="AK85" s="1">
        <f t="shared" si="20"/>
        <v>0</v>
      </c>
    </row>
    <row r="86" spans="1:37" ht="14.1" customHeight="1" x14ac:dyDescent="0.2">
      <c r="A86" s="16">
        <v>30</v>
      </c>
      <c r="B86" s="65"/>
      <c r="C86" s="103" t="str">
        <f>ANUAL!$C170</f>
        <v>---</v>
      </c>
      <c r="D86" s="302" t="str">
        <f>ANUAL!$D170</f>
        <v>---</v>
      </c>
      <c r="E86" s="302"/>
      <c r="F86" s="302"/>
      <c r="G86" s="104">
        <f t="shared" si="16"/>
        <v>0</v>
      </c>
      <c r="H86" s="62"/>
      <c r="I86" s="3"/>
      <c r="J86" s="3"/>
      <c r="K86" s="3"/>
      <c r="L86" s="3"/>
      <c r="M86" s="3"/>
      <c r="N86" s="16">
        <v>78</v>
      </c>
      <c r="O86" s="65"/>
      <c r="P86" s="55"/>
      <c r="Q86" s="56"/>
      <c r="R86" s="57"/>
      <c r="S86" s="58"/>
      <c r="T86" s="59"/>
      <c r="U86" s="60"/>
      <c r="V86" s="62"/>
      <c r="X86" s="1">
        <f t="shared" ca="1" si="19"/>
        <v>1</v>
      </c>
      <c r="Z86" s="1">
        <f t="shared" si="20"/>
        <v>0</v>
      </c>
      <c r="AA86" s="1">
        <f t="shared" si="20"/>
        <v>0</v>
      </c>
      <c r="AB86" s="1">
        <f t="shared" si="20"/>
        <v>0</v>
      </c>
      <c r="AC86" s="1">
        <f t="shared" si="20"/>
        <v>0</v>
      </c>
      <c r="AD86" s="1">
        <f t="shared" si="20"/>
        <v>0</v>
      </c>
      <c r="AE86" s="1">
        <f t="shared" si="20"/>
        <v>0</v>
      </c>
      <c r="AF86" s="1">
        <f t="shared" si="20"/>
        <v>0</v>
      </c>
      <c r="AG86" s="1">
        <f t="shared" si="20"/>
        <v>0</v>
      </c>
      <c r="AH86" s="1">
        <f t="shared" si="20"/>
        <v>0</v>
      </c>
      <c r="AI86" s="1">
        <f t="shared" si="20"/>
        <v>0</v>
      </c>
      <c r="AJ86" s="1">
        <f t="shared" si="20"/>
        <v>0</v>
      </c>
      <c r="AK86" s="1">
        <f t="shared" si="20"/>
        <v>0</v>
      </c>
    </row>
    <row r="87" spans="1:37" ht="14.1" customHeight="1" x14ac:dyDescent="0.2">
      <c r="A87" s="12">
        <v>31</v>
      </c>
      <c r="B87" s="65"/>
      <c r="C87" s="101" t="str">
        <f>ANUAL!$C171</f>
        <v>---</v>
      </c>
      <c r="D87" s="303" t="str">
        <f>ANUAL!$D171</f>
        <v>---</v>
      </c>
      <c r="E87" s="303"/>
      <c r="F87" s="303"/>
      <c r="G87" s="102">
        <f t="shared" si="16"/>
        <v>0</v>
      </c>
      <c r="H87" s="62"/>
      <c r="I87" s="3"/>
      <c r="J87" s="3"/>
      <c r="K87" s="3"/>
      <c r="L87" s="3"/>
      <c r="M87" s="3"/>
      <c r="N87" s="12">
        <v>79</v>
      </c>
      <c r="O87" s="65"/>
      <c r="P87" s="49"/>
      <c r="Q87" s="50"/>
      <c r="R87" s="51"/>
      <c r="S87" s="52"/>
      <c r="T87" s="53"/>
      <c r="U87" s="54"/>
      <c r="V87" s="62"/>
      <c r="X87" s="1">
        <f t="shared" ca="1" si="19"/>
        <v>1</v>
      </c>
      <c r="Z87" s="1">
        <f t="shared" si="20"/>
        <v>0</v>
      </c>
      <c r="AA87" s="1">
        <f t="shared" si="20"/>
        <v>0</v>
      </c>
      <c r="AB87" s="1">
        <f t="shared" si="20"/>
        <v>0</v>
      </c>
      <c r="AC87" s="1">
        <f t="shared" si="20"/>
        <v>0</v>
      </c>
      <c r="AD87" s="1">
        <f t="shared" si="20"/>
        <v>0</v>
      </c>
      <c r="AE87" s="1">
        <f t="shared" si="20"/>
        <v>0</v>
      </c>
      <c r="AF87" s="1">
        <f t="shared" si="20"/>
        <v>0</v>
      </c>
      <c r="AG87" s="1">
        <f t="shared" si="20"/>
        <v>0</v>
      </c>
      <c r="AH87" s="1">
        <f t="shared" si="20"/>
        <v>0</v>
      </c>
      <c r="AI87" s="1">
        <f t="shared" si="20"/>
        <v>0</v>
      </c>
      <c r="AJ87" s="1">
        <f t="shared" si="20"/>
        <v>0</v>
      </c>
      <c r="AK87" s="1">
        <f t="shared" si="20"/>
        <v>0</v>
      </c>
    </row>
    <row r="88" spans="1:37" ht="14.1" customHeight="1" x14ac:dyDescent="0.2">
      <c r="A88" s="16">
        <v>32</v>
      </c>
      <c r="B88" s="66"/>
      <c r="C88" s="103" t="str">
        <f>ANUAL!$C172</f>
        <v>---</v>
      </c>
      <c r="D88" s="302" t="str">
        <f>ANUAL!$D172</f>
        <v>---</v>
      </c>
      <c r="E88" s="302"/>
      <c r="F88" s="302"/>
      <c r="G88" s="104">
        <f t="shared" si="16"/>
        <v>0</v>
      </c>
      <c r="H88" s="63"/>
      <c r="I88" s="3"/>
      <c r="J88" s="3"/>
      <c r="K88" s="3"/>
      <c r="L88" s="3"/>
      <c r="M88" s="3"/>
      <c r="N88" s="16">
        <v>80</v>
      </c>
      <c r="O88" s="66"/>
      <c r="P88" s="55"/>
      <c r="Q88" s="56"/>
      <c r="R88" s="57"/>
      <c r="S88" s="58"/>
      <c r="T88" s="59"/>
      <c r="U88" s="60"/>
      <c r="V88" s="63"/>
      <c r="X88" s="1">
        <f t="shared" ca="1" si="19"/>
        <v>1</v>
      </c>
      <c r="Z88" s="1">
        <f t="shared" si="20"/>
        <v>0</v>
      </c>
      <c r="AA88" s="1">
        <f t="shared" si="20"/>
        <v>0</v>
      </c>
      <c r="AB88" s="1">
        <f t="shared" si="20"/>
        <v>0</v>
      </c>
      <c r="AC88" s="1">
        <f t="shared" si="20"/>
        <v>0</v>
      </c>
      <c r="AD88" s="1">
        <f t="shared" si="20"/>
        <v>0</v>
      </c>
      <c r="AE88" s="1">
        <f t="shared" si="20"/>
        <v>0</v>
      </c>
      <c r="AF88" s="1">
        <f t="shared" si="20"/>
        <v>0</v>
      </c>
      <c r="AG88" s="1">
        <f t="shared" si="20"/>
        <v>0</v>
      </c>
      <c r="AH88" s="1">
        <f t="shared" si="20"/>
        <v>0</v>
      </c>
      <c r="AI88" s="1">
        <f t="shared" si="20"/>
        <v>0</v>
      </c>
      <c r="AJ88" s="1">
        <f t="shared" si="20"/>
        <v>0</v>
      </c>
      <c r="AK88" s="1">
        <f t="shared" si="20"/>
        <v>0</v>
      </c>
    </row>
    <row r="89" spans="1:37" ht="14.1" customHeight="1" x14ac:dyDescent="0.2">
      <c r="B89" s="105"/>
      <c r="C89" s="106"/>
      <c r="D89" s="107"/>
      <c r="E89" s="107"/>
      <c r="F89" s="107"/>
      <c r="G89" s="107"/>
      <c r="H89" s="108"/>
      <c r="I89" s="3"/>
      <c r="J89" s="3"/>
      <c r="K89" s="3"/>
      <c r="L89" s="3"/>
      <c r="M89" s="3"/>
      <c r="O89" s="32"/>
      <c r="P89" s="33"/>
      <c r="Q89" s="33"/>
      <c r="R89" s="34"/>
      <c r="S89" s="34"/>
      <c r="T89" s="67"/>
      <c r="U89" s="34"/>
      <c r="V89" s="35"/>
    </row>
    <row r="90" spans="1:37" ht="14.1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37" ht="14.1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37" ht="14.1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37" ht="14.1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37" ht="14.1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37" ht="14.1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37" ht="14.1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1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1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1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</sheetData>
  <sheetProtection selectLockedCells="1"/>
  <mergeCells count="57">
    <mergeCell ref="C43:G44"/>
    <mergeCell ref="B1:H1"/>
    <mergeCell ref="C5:G6"/>
    <mergeCell ref="P5:U6"/>
    <mergeCell ref="C7:C8"/>
    <mergeCell ref="D7:D8"/>
    <mergeCell ref="E7:G7"/>
    <mergeCell ref="P7:P8"/>
    <mergeCell ref="Q7:Q8"/>
    <mergeCell ref="R7:S7"/>
    <mergeCell ref="T7:T8"/>
    <mergeCell ref="U7:U8"/>
    <mergeCell ref="C24:G25"/>
    <mergeCell ref="C26:C27"/>
    <mergeCell ref="D26:D27"/>
    <mergeCell ref="E26:G26"/>
    <mergeCell ref="D62:F62"/>
    <mergeCell ref="D63:F63"/>
    <mergeCell ref="D64:F64"/>
    <mergeCell ref="D65:F65"/>
    <mergeCell ref="C45:C46"/>
    <mergeCell ref="D45:D46"/>
    <mergeCell ref="E45:G45"/>
    <mergeCell ref="C53:G54"/>
    <mergeCell ref="C55:C56"/>
    <mergeCell ref="D55:D56"/>
    <mergeCell ref="E55:E56"/>
    <mergeCell ref="F55:F56"/>
    <mergeCell ref="G55:G56"/>
    <mergeCell ref="D57:F57"/>
    <mergeCell ref="D58:F58"/>
    <mergeCell ref="D59:F59"/>
    <mergeCell ref="D60:F60"/>
    <mergeCell ref="D61:F61"/>
    <mergeCell ref="D66:F66"/>
    <mergeCell ref="D67:F67"/>
    <mergeCell ref="D80:F80"/>
    <mergeCell ref="D69:F69"/>
    <mergeCell ref="D70:F70"/>
    <mergeCell ref="D71:F71"/>
    <mergeCell ref="D72:F72"/>
    <mergeCell ref="D73:F73"/>
    <mergeCell ref="D74:F74"/>
    <mergeCell ref="D75:F75"/>
    <mergeCell ref="D68:F68"/>
    <mergeCell ref="D88:F88"/>
    <mergeCell ref="D81:F81"/>
    <mergeCell ref="D82:F82"/>
    <mergeCell ref="D83:F83"/>
    <mergeCell ref="D84:F84"/>
    <mergeCell ref="D85:F85"/>
    <mergeCell ref="D86:F86"/>
    <mergeCell ref="D76:F76"/>
    <mergeCell ref="D77:F77"/>
    <mergeCell ref="D78:F78"/>
    <mergeCell ref="D79:F79"/>
    <mergeCell ref="D87:F87"/>
  </mergeCells>
  <conditionalFormatting sqref="U9:U11 P12:U88">
    <cfRule type="expression" dxfId="41" priority="7" stopIfTrue="1">
      <formula>$X9&lt;&gt;1</formula>
    </cfRule>
  </conditionalFormatting>
  <conditionalFormatting sqref="S12:T20">
    <cfRule type="expression" dxfId="40" priority="6" stopIfTrue="1">
      <formula>$X12&lt;&gt;1</formula>
    </cfRule>
  </conditionalFormatting>
  <conditionalFormatting sqref="U9:U11 S12:U20">
    <cfRule type="expression" dxfId="39" priority="5" stopIfTrue="1">
      <formula>$X9&lt;&gt;1</formula>
    </cfRule>
  </conditionalFormatting>
  <conditionalFormatting sqref="S12:T20">
    <cfRule type="expression" dxfId="38" priority="4" stopIfTrue="1">
      <formula>$X12&lt;&gt;1</formula>
    </cfRule>
  </conditionalFormatting>
  <conditionalFormatting sqref="U12:U16">
    <cfRule type="expression" dxfId="37" priority="3" stopIfTrue="1">
      <formula>$X12&lt;&gt;1</formula>
    </cfRule>
  </conditionalFormatting>
  <conditionalFormatting sqref="P9:T11">
    <cfRule type="expression" dxfId="36" priority="1" stopIfTrue="1">
      <formula>$X9&lt;&gt;1</formula>
    </cfRule>
  </conditionalFormatting>
  <printOptions horizontalCentered="1"/>
  <pageMargins left="0.39374999999999999" right="0.39374999999999999" top="0.78749999999999998" bottom="0.59027777777777779" header="0.51180555555555551" footer="0.51180555555555551"/>
  <pageSetup paperSize="8" scale="59" orientation="portrait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9"/>
  <sheetViews>
    <sheetView zoomScale="80" zoomScaleNormal="80" workbookViewId="0">
      <selection activeCell="P9" sqref="P9"/>
    </sheetView>
  </sheetViews>
  <sheetFormatPr defaultColWidth="11.5703125" defaultRowHeight="14.1" customHeight="1" x14ac:dyDescent="0.2"/>
  <cols>
    <col min="1" max="1" width="4.140625" style="1" customWidth="1"/>
    <col min="2" max="2" width="2.5703125" style="1" customWidth="1"/>
    <col min="3" max="3" width="9.140625" style="2" customWidth="1"/>
    <col min="4" max="4" width="40.85546875" style="1" customWidth="1"/>
    <col min="5" max="7" width="11.5703125" style="1"/>
    <col min="8" max="9" width="2.5703125" style="1" customWidth="1"/>
    <col min="10" max="12" width="11.5703125" style="1" hidden="1" customWidth="1"/>
    <col min="13" max="13" width="2.5703125" style="1" customWidth="1"/>
    <col min="14" max="14" width="4.140625" style="1" customWidth="1"/>
    <col min="15" max="15" width="2.5703125" style="1" customWidth="1"/>
    <col min="16" max="16" width="11.5703125" style="1"/>
    <col min="17" max="17" width="51" style="1" customWidth="1"/>
    <col min="18" max="19" width="12.7109375" style="24" customWidth="1"/>
    <col min="20" max="20" width="12.7109375" style="1" customWidth="1"/>
    <col min="21" max="21" width="10.140625" style="24" customWidth="1"/>
    <col min="22" max="22" width="2.5703125" style="1" customWidth="1"/>
    <col min="23" max="23" width="5.140625" style="1" customWidth="1"/>
    <col min="24" max="37" width="0" style="1" hidden="1" customWidth="1"/>
    <col min="38" max="255" width="11.5703125" style="1"/>
    <col min="256" max="16384" width="11.5703125" style="3"/>
  </cols>
  <sheetData>
    <row r="1" spans="1:256" s="4" customFormat="1" ht="33.950000000000003" customHeight="1" x14ac:dyDescent="0.2">
      <c r="B1" s="307">
        <f>DATE(ANUAL!B5,B2,8)</f>
        <v>40337</v>
      </c>
      <c r="C1" s="307"/>
      <c r="D1" s="307"/>
      <c r="E1" s="307"/>
      <c r="F1" s="307"/>
      <c r="G1" s="307"/>
      <c r="H1" s="307"/>
      <c r="I1" s="25" t="s">
        <v>2</v>
      </c>
      <c r="M1" s="26" t="s">
        <v>92</v>
      </c>
      <c r="R1" s="27"/>
      <c r="S1" s="27"/>
      <c r="U1" s="27"/>
      <c r="W1" s="25" t="s">
        <v>2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 t="s">
        <v>92</v>
      </c>
      <c r="IV1" s="3"/>
    </row>
    <row r="2" spans="1:256" ht="14.1" customHeight="1" x14ac:dyDescent="0.2">
      <c r="B2" s="28">
        <f>'M5'!B2+1</f>
        <v>6</v>
      </c>
    </row>
    <row r="4" spans="1:256" ht="14.1" customHeight="1" x14ac:dyDescent="0.2">
      <c r="B4" s="68"/>
      <c r="C4" s="69"/>
      <c r="D4" s="70"/>
      <c r="E4" s="70"/>
      <c r="F4" s="70"/>
      <c r="G4" s="70"/>
      <c r="H4" s="71"/>
      <c r="O4" s="36"/>
      <c r="P4" s="37"/>
      <c r="Q4" s="37"/>
      <c r="R4" s="38"/>
      <c r="S4" s="38"/>
      <c r="T4" s="37"/>
      <c r="U4" s="38"/>
      <c r="V4" s="39"/>
    </row>
    <row r="5" spans="1:256" ht="14.1" customHeight="1" x14ac:dyDescent="0.2">
      <c r="B5" s="72"/>
      <c r="C5" s="308" t="s">
        <v>107</v>
      </c>
      <c r="D5" s="308"/>
      <c r="E5" s="308"/>
      <c r="F5" s="308"/>
      <c r="G5" s="308"/>
      <c r="H5" s="73"/>
      <c r="O5" s="40"/>
      <c r="P5" s="309" t="s">
        <v>93</v>
      </c>
      <c r="Q5" s="309"/>
      <c r="R5" s="309"/>
      <c r="S5" s="309"/>
      <c r="T5" s="309"/>
      <c r="U5" s="309"/>
      <c r="V5" s="41"/>
    </row>
    <row r="6" spans="1:256" s="9" customFormat="1" ht="14.1" customHeight="1" x14ac:dyDescent="0.2">
      <c r="B6" s="74"/>
      <c r="C6" s="308"/>
      <c r="D6" s="308"/>
      <c r="E6" s="308"/>
      <c r="F6" s="308"/>
      <c r="G6" s="308"/>
      <c r="H6" s="75"/>
      <c r="I6" s="1"/>
      <c r="J6" s="1"/>
      <c r="K6" s="1"/>
      <c r="L6" s="1"/>
      <c r="M6" s="1"/>
      <c r="N6" s="1"/>
      <c r="O6" s="42"/>
      <c r="P6" s="309"/>
      <c r="Q6" s="309"/>
      <c r="R6" s="309"/>
      <c r="S6" s="309"/>
      <c r="T6" s="309"/>
      <c r="U6" s="309"/>
      <c r="V6" s="4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IV6" s="3"/>
    </row>
    <row r="7" spans="1:256" ht="14.1" customHeight="1" x14ac:dyDescent="0.2">
      <c r="B7" s="46"/>
      <c r="C7" s="271" t="s">
        <v>94</v>
      </c>
      <c r="D7" s="273" t="s">
        <v>5</v>
      </c>
      <c r="E7" s="275" t="s">
        <v>6</v>
      </c>
      <c r="F7" s="275"/>
      <c r="G7" s="276"/>
      <c r="H7" s="73"/>
      <c r="O7" s="46"/>
      <c r="P7" s="275" t="s">
        <v>95</v>
      </c>
      <c r="Q7" s="271" t="s">
        <v>5</v>
      </c>
      <c r="R7" s="275" t="s">
        <v>96</v>
      </c>
      <c r="S7" s="275"/>
      <c r="T7" s="275" t="s">
        <v>97</v>
      </c>
      <c r="U7" s="276" t="s">
        <v>98</v>
      </c>
      <c r="V7" s="41"/>
    </row>
    <row r="8" spans="1:256" ht="14.1" customHeight="1" x14ac:dyDescent="0.2">
      <c r="B8" s="44"/>
      <c r="C8" s="272"/>
      <c r="D8" s="274"/>
      <c r="E8" s="98" t="s">
        <v>99</v>
      </c>
      <c r="F8" s="98" t="s">
        <v>100</v>
      </c>
      <c r="G8" s="98" t="s">
        <v>101</v>
      </c>
      <c r="H8" s="76"/>
      <c r="O8" s="44"/>
      <c r="P8" s="306" t="s">
        <v>95</v>
      </c>
      <c r="Q8" s="272" t="s">
        <v>5</v>
      </c>
      <c r="R8" s="47" t="s">
        <v>89</v>
      </c>
      <c r="S8" s="48" t="s">
        <v>87</v>
      </c>
      <c r="T8" s="306" t="s">
        <v>97</v>
      </c>
      <c r="U8" s="305"/>
      <c r="V8" s="45"/>
      <c r="X8" s="1" t="s">
        <v>100</v>
      </c>
      <c r="Z8" s="1" t="str">
        <f>$C$9</f>
        <v/>
      </c>
      <c r="AA8" s="1" t="str">
        <f>$C$10</f>
        <v>INV1</v>
      </c>
      <c r="AB8" s="1" t="str">
        <f>$C$11</f>
        <v>DINH1</v>
      </c>
      <c r="AC8" s="1" t="str">
        <f>$C$12</f>
        <v>CRED1</v>
      </c>
      <c r="AD8" s="1" t="str">
        <f>$C$13</f>
        <v>---</v>
      </c>
      <c r="AE8" s="1" t="str">
        <f>$C$14</f>
        <v>---</v>
      </c>
      <c r="AF8" s="1" t="str">
        <f>$C$15</f>
        <v>---</v>
      </c>
      <c r="AG8" s="1" t="str">
        <f>$C$16</f>
        <v>---</v>
      </c>
      <c r="AH8" s="1" t="str">
        <f>$C$17</f>
        <v>---</v>
      </c>
      <c r="AI8" s="1" t="str">
        <f>$C$18</f>
        <v>---</v>
      </c>
      <c r="AJ8" s="1" t="str">
        <f>$C$19</f>
        <v>---</v>
      </c>
      <c r="AK8" s="1" t="str">
        <f>$C$20</f>
        <v>---</v>
      </c>
    </row>
    <row r="9" spans="1:256" ht="14.1" customHeight="1" x14ac:dyDescent="0.2">
      <c r="A9" s="12">
        <v>1</v>
      </c>
      <c r="B9" s="64"/>
      <c r="C9" s="115" t="str">
        <f>TRIM(ANUAL!C13)</f>
        <v/>
      </c>
      <c r="D9" s="116" t="str">
        <f>TRIM(ANUAL!D13)</f>
        <v>CONTA CORRENTE BANCO 1</v>
      </c>
      <c r="E9" s="117">
        <f ca="1">INDIRECT("M"&amp;B$2-1&amp;"!G"&amp;A9+ROW(A$8))</f>
        <v>0</v>
      </c>
      <c r="F9" s="117">
        <f t="shared" ref="F9:F20" ca="1" si="0">E9+SUMIF(X$9:X$88,1,OFFSET($Z$9:$Z$88,0,A9-1))</f>
        <v>0</v>
      </c>
      <c r="G9" s="117">
        <f t="shared" ref="G9:G20" ca="1" si="1">E9+SUM(OFFSET($Z$9:$Z$88,0,A9-1))</f>
        <v>0</v>
      </c>
      <c r="H9" s="61"/>
      <c r="J9" s="3" t="b">
        <f t="shared" ref="J9:L20" si="2">NOT(ISERR(SEARCH(J$27,$C9)))</f>
        <v>0</v>
      </c>
      <c r="K9" s="3" t="b">
        <f t="shared" si="2"/>
        <v>0</v>
      </c>
      <c r="L9" s="3" t="b">
        <f t="shared" si="2"/>
        <v>0</v>
      </c>
      <c r="N9" s="12">
        <v>1</v>
      </c>
      <c r="O9" s="64"/>
      <c r="P9" s="49"/>
      <c r="Q9" s="50"/>
      <c r="R9" s="51"/>
      <c r="S9" s="52"/>
      <c r="T9" s="53"/>
      <c r="U9" s="54"/>
      <c r="V9" s="61"/>
      <c r="X9" s="1">
        <f t="shared" ref="X9:X40" ca="1" si="3">IF(P9&lt;NOW(),1,0)</f>
        <v>1</v>
      </c>
      <c r="Z9" s="1">
        <f t="shared" ref="Z9:AK18" si="4">IF(Z$8=$R9,-$T9,0)+IF(Z$8=$S9,$T9,0)</f>
        <v>0</v>
      </c>
      <c r="AA9" s="1">
        <f t="shared" si="4"/>
        <v>0</v>
      </c>
      <c r="AB9" s="1">
        <f t="shared" si="4"/>
        <v>0</v>
      </c>
      <c r="AC9" s="1">
        <f t="shared" si="4"/>
        <v>0</v>
      </c>
      <c r="AD9" s="1">
        <f t="shared" si="4"/>
        <v>0</v>
      </c>
      <c r="AE9" s="1">
        <f t="shared" si="4"/>
        <v>0</v>
      </c>
      <c r="AF9" s="1">
        <f t="shared" si="4"/>
        <v>0</v>
      </c>
      <c r="AG9" s="1">
        <f t="shared" si="4"/>
        <v>0</v>
      </c>
      <c r="AH9" s="1">
        <f t="shared" si="4"/>
        <v>0</v>
      </c>
      <c r="AI9" s="1">
        <f t="shared" si="4"/>
        <v>0</v>
      </c>
      <c r="AJ9" s="1">
        <f t="shared" si="4"/>
        <v>0</v>
      </c>
      <c r="AK9" s="1">
        <f t="shared" si="4"/>
        <v>0</v>
      </c>
    </row>
    <row r="10" spans="1:256" ht="14.1" customHeight="1" x14ac:dyDescent="0.2">
      <c r="A10" s="16">
        <v>2</v>
      </c>
      <c r="B10" s="65"/>
      <c r="C10" s="118" t="str">
        <f>TRIM(ANUAL!C14)</f>
        <v>INV1</v>
      </c>
      <c r="D10" s="119" t="str">
        <f>TRIM(ANUAL!D14)</f>
        <v>POUPANÇA BANCO 1</v>
      </c>
      <c r="E10" s="120">
        <f t="shared" ref="E10:E20" ca="1" si="5">INDIRECT("M"&amp;B$2-1&amp;"!G"&amp;A10+ROW(A$8))</f>
        <v>0</v>
      </c>
      <c r="F10" s="120">
        <f t="shared" ca="1" si="0"/>
        <v>0</v>
      </c>
      <c r="G10" s="120">
        <f t="shared" ca="1" si="1"/>
        <v>0</v>
      </c>
      <c r="H10" s="62"/>
      <c r="J10" s="3" t="b">
        <f t="shared" si="2"/>
        <v>0</v>
      </c>
      <c r="K10" s="3" t="b">
        <f t="shared" si="2"/>
        <v>1</v>
      </c>
      <c r="L10" s="3" t="b">
        <f t="shared" si="2"/>
        <v>0</v>
      </c>
      <c r="N10" s="16">
        <v>2</v>
      </c>
      <c r="O10" s="65"/>
      <c r="P10" s="55"/>
      <c r="Q10" s="56"/>
      <c r="R10" s="57"/>
      <c r="S10" s="58"/>
      <c r="T10" s="59"/>
      <c r="U10" s="60"/>
      <c r="V10" s="62"/>
      <c r="X10" s="1">
        <f t="shared" ca="1" si="3"/>
        <v>1</v>
      </c>
      <c r="Z10" s="1">
        <f t="shared" si="4"/>
        <v>0</v>
      </c>
      <c r="AA10" s="1">
        <f t="shared" si="4"/>
        <v>0</v>
      </c>
      <c r="AB10" s="1">
        <f t="shared" si="4"/>
        <v>0</v>
      </c>
      <c r="AC10" s="1">
        <f t="shared" si="4"/>
        <v>0</v>
      </c>
      <c r="AD10" s="1">
        <f t="shared" si="4"/>
        <v>0</v>
      </c>
      <c r="AE10" s="1">
        <f t="shared" si="4"/>
        <v>0</v>
      </c>
      <c r="AF10" s="1">
        <f t="shared" si="4"/>
        <v>0</v>
      </c>
      <c r="AG10" s="1">
        <f t="shared" si="4"/>
        <v>0</v>
      </c>
      <c r="AH10" s="1">
        <f t="shared" si="4"/>
        <v>0</v>
      </c>
      <c r="AI10" s="1">
        <f t="shared" si="4"/>
        <v>0</v>
      </c>
      <c r="AJ10" s="1">
        <f t="shared" si="4"/>
        <v>0</v>
      </c>
      <c r="AK10" s="1">
        <f t="shared" si="4"/>
        <v>0</v>
      </c>
    </row>
    <row r="11" spans="1:256" ht="14.1" customHeight="1" x14ac:dyDescent="0.2">
      <c r="A11" s="12">
        <v>3</v>
      </c>
      <c r="B11" s="65"/>
      <c r="C11" s="115" t="str">
        <f>TRIM(ANUAL!C15)</f>
        <v>DINH1</v>
      </c>
      <c r="D11" s="116" t="str">
        <f>TRIM(ANUAL!D15)</f>
        <v>EM ESPÉCIE</v>
      </c>
      <c r="E11" s="117">
        <f t="shared" ca="1" si="5"/>
        <v>0</v>
      </c>
      <c r="F11" s="117">
        <f t="shared" ca="1" si="0"/>
        <v>0</v>
      </c>
      <c r="G11" s="117">
        <f t="shared" ca="1" si="1"/>
        <v>0</v>
      </c>
      <c r="H11" s="62"/>
      <c r="J11" s="3" t="b">
        <f t="shared" si="2"/>
        <v>0</v>
      </c>
      <c r="K11" s="3" t="b">
        <f t="shared" si="2"/>
        <v>0</v>
      </c>
      <c r="L11" s="3" t="b">
        <f t="shared" si="2"/>
        <v>1</v>
      </c>
      <c r="N11" s="12">
        <v>3</v>
      </c>
      <c r="O11" s="65"/>
      <c r="P11" s="49"/>
      <c r="Q11" s="50"/>
      <c r="R11" s="51"/>
      <c r="S11" s="52"/>
      <c r="T11" s="53"/>
      <c r="U11" s="54"/>
      <c r="V11" s="62"/>
      <c r="X11" s="1">
        <f t="shared" ca="1" si="3"/>
        <v>1</v>
      </c>
      <c r="Z11" s="1">
        <f t="shared" si="4"/>
        <v>0</v>
      </c>
      <c r="AA11" s="1">
        <f t="shared" si="4"/>
        <v>0</v>
      </c>
      <c r="AB11" s="1">
        <f t="shared" si="4"/>
        <v>0</v>
      </c>
      <c r="AC11" s="1">
        <f t="shared" si="4"/>
        <v>0</v>
      </c>
      <c r="AD11" s="1">
        <f t="shared" si="4"/>
        <v>0</v>
      </c>
      <c r="AE11" s="1">
        <f t="shared" si="4"/>
        <v>0</v>
      </c>
      <c r="AF11" s="1">
        <f t="shared" si="4"/>
        <v>0</v>
      </c>
      <c r="AG11" s="1">
        <f t="shared" si="4"/>
        <v>0</v>
      </c>
      <c r="AH11" s="1">
        <f t="shared" si="4"/>
        <v>0</v>
      </c>
      <c r="AI11" s="1">
        <f t="shared" si="4"/>
        <v>0</v>
      </c>
      <c r="AJ11" s="1">
        <f t="shared" si="4"/>
        <v>0</v>
      </c>
      <c r="AK11" s="1">
        <f t="shared" si="4"/>
        <v>0</v>
      </c>
    </row>
    <row r="12" spans="1:256" ht="14.1" customHeight="1" x14ac:dyDescent="0.2">
      <c r="A12" s="16">
        <v>4</v>
      </c>
      <c r="B12" s="65"/>
      <c r="C12" s="118" t="str">
        <f>TRIM(ANUAL!C16)</f>
        <v>CRED1</v>
      </c>
      <c r="D12" s="119" t="str">
        <f>TRIM(ANUAL!D16)</f>
        <v>CARTÃO DE CRÉDITO 1</v>
      </c>
      <c r="E12" s="120">
        <f t="shared" ca="1" si="5"/>
        <v>0</v>
      </c>
      <c r="F12" s="120">
        <f t="shared" ca="1" si="0"/>
        <v>0</v>
      </c>
      <c r="G12" s="120">
        <f t="shared" ca="1" si="1"/>
        <v>0</v>
      </c>
      <c r="H12" s="62"/>
      <c r="J12" s="3" t="b">
        <f t="shared" si="2"/>
        <v>0</v>
      </c>
      <c r="K12" s="3" t="b">
        <f t="shared" si="2"/>
        <v>0</v>
      </c>
      <c r="L12" s="3" t="b">
        <f t="shared" si="2"/>
        <v>0</v>
      </c>
      <c r="N12" s="16">
        <v>4</v>
      </c>
      <c r="O12" s="65"/>
      <c r="P12" s="55"/>
      <c r="Q12" s="56"/>
      <c r="R12" s="57"/>
      <c r="S12" s="58"/>
      <c r="T12" s="59"/>
      <c r="U12" s="60"/>
      <c r="V12" s="62"/>
      <c r="X12" s="1">
        <f t="shared" ca="1" si="3"/>
        <v>1</v>
      </c>
      <c r="Z12" s="1">
        <f t="shared" si="4"/>
        <v>0</v>
      </c>
      <c r="AA12" s="1">
        <f t="shared" si="4"/>
        <v>0</v>
      </c>
      <c r="AB12" s="1">
        <f t="shared" si="4"/>
        <v>0</v>
      </c>
      <c r="AC12" s="1">
        <f t="shared" si="4"/>
        <v>0</v>
      </c>
      <c r="AD12" s="1">
        <f t="shared" si="4"/>
        <v>0</v>
      </c>
      <c r="AE12" s="1">
        <f t="shared" si="4"/>
        <v>0</v>
      </c>
      <c r="AF12" s="1">
        <f t="shared" si="4"/>
        <v>0</v>
      </c>
      <c r="AG12" s="1">
        <f t="shared" si="4"/>
        <v>0</v>
      </c>
      <c r="AH12" s="1">
        <f t="shared" si="4"/>
        <v>0</v>
      </c>
      <c r="AI12" s="1">
        <f t="shared" si="4"/>
        <v>0</v>
      </c>
      <c r="AJ12" s="1">
        <f t="shared" si="4"/>
        <v>0</v>
      </c>
      <c r="AK12" s="1">
        <f t="shared" si="4"/>
        <v>0</v>
      </c>
    </row>
    <row r="13" spans="1:256" ht="14.1" customHeight="1" x14ac:dyDescent="0.2">
      <c r="A13" s="12">
        <v>5</v>
      </c>
      <c r="B13" s="65"/>
      <c r="C13" s="115" t="str">
        <f>TRIM(ANUAL!C17)</f>
        <v>---</v>
      </c>
      <c r="D13" s="116" t="str">
        <f>TRIM(ANUAL!D17)</f>
        <v/>
      </c>
      <c r="E13" s="117">
        <f t="shared" ca="1" si="5"/>
        <v>0</v>
      </c>
      <c r="F13" s="117">
        <f t="shared" ca="1" si="0"/>
        <v>0</v>
      </c>
      <c r="G13" s="117">
        <f t="shared" ca="1" si="1"/>
        <v>0</v>
      </c>
      <c r="H13" s="62"/>
      <c r="J13" s="3" t="b">
        <f t="shared" si="2"/>
        <v>0</v>
      </c>
      <c r="K13" s="3" t="b">
        <f t="shared" si="2"/>
        <v>0</v>
      </c>
      <c r="L13" s="3" t="b">
        <f t="shared" si="2"/>
        <v>0</v>
      </c>
      <c r="N13" s="12">
        <v>5</v>
      </c>
      <c r="O13" s="65"/>
      <c r="P13" s="49"/>
      <c r="Q13" s="50"/>
      <c r="R13" s="51"/>
      <c r="S13" s="52"/>
      <c r="T13" s="53"/>
      <c r="U13" s="54"/>
      <c r="V13" s="62"/>
      <c r="X13" s="1">
        <f t="shared" ca="1" si="3"/>
        <v>1</v>
      </c>
      <c r="Z13" s="1">
        <f t="shared" si="4"/>
        <v>0</v>
      </c>
      <c r="AA13" s="1">
        <f t="shared" si="4"/>
        <v>0</v>
      </c>
      <c r="AB13" s="1">
        <f t="shared" si="4"/>
        <v>0</v>
      </c>
      <c r="AC13" s="1">
        <f t="shared" si="4"/>
        <v>0</v>
      </c>
      <c r="AD13" s="1">
        <f t="shared" si="4"/>
        <v>0</v>
      </c>
      <c r="AE13" s="1">
        <f t="shared" si="4"/>
        <v>0</v>
      </c>
      <c r="AF13" s="1">
        <f t="shared" si="4"/>
        <v>0</v>
      </c>
      <c r="AG13" s="1">
        <f t="shared" si="4"/>
        <v>0</v>
      </c>
      <c r="AH13" s="1">
        <f t="shared" si="4"/>
        <v>0</v>
      </c>
      <c r="AI13" s="1">
        <f t="shared" si="4"/>
        <v>0</v>
      </c>
      <c r="AJ13" s="1">
        <f t="shared" si="4"/>
        <v>0</v>
      </c>
      <c r="AK13" s="1">
        <f t="shared" si="4"/>
        <v>0</v>
      </c>
    </row>
    <row r="14" spans="1:256" ht="14.1" customHeight="1" x14ac:dyDescent="0.2">
      <c r="A14" s="16">
        <v>6</v>
      </c>
      <c r="B14" s="65"/>
      <c r="C14" s="118" t="str">
        <f>TRIM(ANUAL!C18)</f>
        <v>---</v>
      </c>
      <c r="D14" s="119" t="str">
        <f>TRIM(ANUAL!D18)</f>
        <v/>
      </c>
      <c r="E14" s="120">
        <f t="shared" ca="1" si="5"/>
        <v>0</v>
      </c>
      <c r="F14" s="120">
        <f t="shared" ca="1" si="0"/>
        <v>0</v>
      </c>
      <c r="G14" s="120">
        <f t="shared" ca="1" si="1"/>
        <v>0</v>
      </c>
      <c r="H14" s="62"/>
      <c r="J14" s="3" t="b">
        <f t="shared" si="2"/>
        <v>0</v>
      </c>
      <c r="K14" s="3" t="b">
        <f t="shared" si="2"/>
        <v>0</v>
      </c>
      <c r="L14" s="3" t="b">
        <f t="shared" si="2"/>
        <v>0</v>
      </c>
      <c r="N14" s="16">
        <v>6</v>
      </c>
      <c r="O14" s="65"/>
      <c r="P14" s="55"/>
      <c r="Q14" s="56"/>
      <c r="R14" s="57"/>
      <c r="S14" s="58"/>
      <c r="T14" s="59"/>
      <c r="U14" s="60"/>
      <c r="V14" s="62"/>
      <c r="X14" s="1">
        <f t="shared" ca="1" si="3"/>
        <v>1</v>
      </c>
      <c r="Z14" s="1">
        <f t="shared" si="4"/>
        <v>0</v>
      </c>
      <c r="AA14" s="1">
        <f t="shared" si="4"/>
        <v>0</v>
      </c>
      <c r="AB14" s="1">
        <f t="shared" si="4"/>
        <v>0</v>
      </c>
      <c r="AC14" s="1">
        <f t="shared" si="4"/>
        <v>0</v>
      </c>
      <c r="AD14" s="1">
        <f t="shared" si="4"/>
        <v>0</v>
      </c>
      <c r="AE14" s="1">
        <f t="shared" si="4"/>
        <v>0</v>
      </c>
      <c r="AF14" s="1">
        <f t="shared" si="4"/>
        <v>0</v>
      </c>
      <c r="AG14" s="1">
        <f t="shared" si="4"/>
        <v>0</v>
      </c>
      <c r="AH14" s="1">
        <f t="shared" si="4"/>
        <v>0</v>
      </c>
      <c r="AI14" s="1">
        <f t="shared" si="4"/>
        <v>0</v>
      </c>
      <c r="AJ14" s="1">
        <f t="shared" si="4"/>
        <v>0</v>
      </c>
      <c r="AK14" s="1">
        <f t="shared" si="4"/>
        <v>0</v>
      </c>
    </row>
    <row r="15" spans="1:256" ht="14.1" customHeight="1" x14ac:dyDescent="0.2">
      <c r="A15" s="12">
        <v>7</v>
      </c>
      <c r="B15" s="65"/>
      <c r="C15" s="115" t="str">
        <f>TRIM(ANUAL!C19)</f>
        <v>---</v>
      </c>
      <c r="D15" s="116" t="str">
        <f>TRIM(ANUAL!D19)</f>
        <v/>
      </c>
      <c r="E15" s="117">
        <f t="shared" ca="1" si="5"/>
        <v>0</v>
      </c>
      <c r="F15" s="117">
        <f t="shared" ca="1" si="0"/>
        <v>0</v>
      </c>
      <c r="G15" s="117">
        <f t="shared" ca="1" si="1"/>
        <v>0</v>
      </c>
      <c r="H15" s="62"/>
      <c r="J15" s="3" t="b">
        <f t="shared" si="2"/>
        <v>0</v>
      </c>
      <c r="K15" s="3" t="b">
        <f t="shared" si="2"/>
        <v>0</v>
      </c>
      <c r="L15" s="3" t="b">
        <f t="shared" si="2"/>
        <v>0</v>
      </c>
      <c r="N15" s="12">
        <v>7</v>
      </c>
      <c r="O15" s="65"/>
      <c r="P15" s="49"/>
      <c r="Q15" s="50"/>
      <c r="R15" s="51"/>
      <c r="S15" s="52"/>
      <c r="T15" s="53"/>
      <c r="U15" s="54"/>
      <c r="V15" s="62"/>
      <c r="X15" s="1">
        <f t="shared" ca="1" si="3"/>
        <v>1</v>
      </c>
      <c r="Z15" s="1">
        <f t="shared" si="4"/>
        <v>0</v>
      </c>
      <c r="AA15" s="1">
        <f t="shared" si="4"/>
        <v>0</v>
      </c>
      <c r="AB15" s="1">
        <f t="shared" si="4"/>
        <v>0</v>
      </c>
      <c r="AC15" s="1">
        <f t="shared" si="4"/>
        <v>0</v>
      </c>
      <c r="AD15" s="1">
        <f t="shared" si="4"/>
        <v>0</v>
      </c>
      <c r="AE15" s="1">
        <f t="shared" si="4"/>
        <v>0</v>
      </c>
      <c r="AF15" s="1">
        <f t="shared" si="4"/>
        <v>0</v>
      </c>
      <c r="AG15" s="1">
        <f t="shared" si="4"/>
        <v>0</v>
      </c>
      <c r="AH15" s="1">
        <f t="shared" si="4"/>
        <v>0</v>
      </c>
      <c r="AI15" s="1">
        <f t="shared" si="4"/>
        <v>0</v>
      </c>
      <c r="AJ15" s="1">
        <f t="shared" si="4"/>
        <v>0</v>
      </c>
      <c r="AK15" s="1">
        <f t="shared" si="4"/>
        <v>0</v>
      </c>
    </row>
    <row r="16" spans="1:256" ht="14.1" customHeight="1" x14ac:dyDescent="0.2">
      <c r="A16" s="16">
        <v>8</v>
      </c>
      <c r="B16" s="65"/>
      <c r="C16" s="118" t="str">
        <f>TRIM(ANUAL!C20)</f>
        <v>---</v>
      </c>
      <c r="D16" s="119" t="str">
        <f>TRIM(ANUAL!D20)</f>
        <v/>
      </c>
      <c r="E16" s="120">
        <f t="shared" ca="1" si="5"/>
        <v>0</v>
      </c>
      <c r="F16" s="120">
        <f t="shared" ca="1" si="0"/>
        <v>0</v>
      </c>
      <c r="G16" s="120">
        <f t="shared" ca="1" si="1"/>
        <v>0</v>
      </c>
      <c r="H16" s="62"/>
      <c r="J16" s="3" t="b">
        <f t="shared" si="2"/>
        <v>0</v>
      </c>
      <c r="K16" s="3" t="b">
        <f t="shared" si="2"/>
        <v>0</v>
      </c>
      <c r="L16" s="3" t="b">
        <f t="shared" si="2"/>
        <v>0</v>
      </c>
      <c r="N16" s="16">
        <v>8</v>
      </c>
      <c r="O16" s="65"/>
      <c r="P16" s="55"/>
      <c r="Q16" s="56"/>
      <c r="R16" s="57"/>
      <c r="S16" s="58"/>
      <c r="T16" s="59"/>
      <c r="U16" s="60"/>
      <c r="V16" s="62"/>
      <c r="X16" s="1">
        <f t="shared" ca="1" si="3"/>
        <v>1</v>
      </c>
      <c r="Z16" s="1">
        <f t="shared" si="4"/>
        <v>0</v>
      </c>
      <c r="AA16" s="1">
        <f t="shared" si="4"/>
        <v>0</v>
      </c>
      <c r="AB16" s="1">
        <f t="shared" si="4"/>
        <v>0</v>
      </c>
      <c r="AC16" s="1">
        <f t="shared" si="4"/>
        <v>0</v>
      </c>
      <c r="AD16" s="1">
        <f t="shared" si="4"/>
        <v>0</v>
      </c>
      <c r="AE16" s="1">
        <f t="shared" si="4"/>
        <v>0</v>
      </c>
      <c r="AF16" s="1">
        <f t="shared" si="4"/>
        <v>0</v>
      </c>
      <c r="AG16" s="1">
        <f t="shared" si="4"/>
        <v>0</v>
      </c>
      <c r="AH16" s="1">
        <f t="shared" si="4"/>
        <v>0</v>
      </c>
      <c r="AI16" s="1">
        <f t="shared" si="4"/>
        <v>0</v>
      </c>
      <c r="AJ16" s="1">
        <f t="shared" si="4"/>
        <v>0</v>
      </c>
      <c r="AK16" s="1">
        <f t="shared" si="4"/>
        <v>0</v>
      </c>
    </row>
    <row r="17" spans="1:37" ht="14.1" customHeight="1" x14ac:dyDescent="0.2">
      <c r="A17" s="12">
        <v>9</v>
      </c>
      <c r="B17" s="65"/>
      <c r="C17" s="115" t="str">
        <f>TRIM(ANUAL!C21)</f>
        <v>---</v>
      </c>
      <c r="D17" s="116" t="str">
        <f>TRIM(ANUAL!D21)</f>
        <v/>
      </c>
      <c r="E17" s="117">
        <f t="shared" ca="1" si="5"/>
        <v>0</v>
      </c>
      <c r="F17" s="117">
        <f t="shared" ca="1" si="0"/>
        <v>0</v>
      </c>
      <c r="G17" s="117">
        <f t="shared" ca="1" si="1"/>
        <v>0</v>
      </c>
      <c r="H17" s="62"/>
      <c r="J17" s="3" t="b">
        <f t="shared" si="2"/>
        <v>0</v>
      </c>
      <c r="K17" s="3" t="b">
        <f t="shared" si="2"/>
        <v>0</v>
      </c>
      <c r="L17" s="3" t="b">
        <f t="shared" si="2"/>
        <v>0</v>
      </c>
      <c r="N17" s="12">
        <v>9</v>
      </c>
      <c r="O17" s="65"/>
      <c r="P17" s="49"/>
      <c r="Q17" s="50"/>
      <c r="R17" s="51"/>
      <c r="S17" s="52"/>
      <c r="T17" s="53"/>
      <c r="U17" s="54"/>
      <c r="V17" s="62"/>
      <c r="X17" s="1">
        <f t="shared" ca="1" si="3"/>
        <v>1</v>
      </c>
      <c r="Z17" s="1">
        <f t="shared" si="4"/>
        <v>0</v>
      </c>
      <c r="AA17" s="1">
        <f t="shared" si="4"/>
        <v>0</v>
      </c>
      <c r="AB17" s="1">
        <f t="shared" si="4"/>
        <v>0</v>
      </c>
      <c r="AC17" s="1">
        <f t="shared" si="4"/>
        <v>0</v>
      </c>
      <c r="AD17" s="1">
        <f t="shared" si="4"/>
        <v>0</v>
      </c>
      <c r="AE17" s="1">
        <f t="shared" si="4"/>
        <v>0</v>
      </c>
      <c r="AF17" s="1">
        <f t="shared" si="4"/>
        <v>0</v>
      </c>
      <c r="AG17" s="1">
        <f t="shared" si="4"/>
        <v>0</v>
      </c>
      <c r="AH17" s="1">
        <f t="shared" si="4"/>
        <v>0</v>
      </c>
      <c r="AI17" s="1">
        <f t="shared" si="4"/>
        <v>0</v>
      </c>
      <c r="AJ17" s="1">
        <f t="shared" si="4"/>
        <v>0</v>
      </c>
      <c r="AK17" s="1">
        <f t="shared" si="4"/>
        <v>0</v>
      </c>
    </row>
    <row r="18" spans="1:37" ht="14.1" customHeight="1" x14ac:dyDescent="0.2">
      <c r="A18" s="16">
        <v>10</v>
      </c>
      <c r="B18" s="65"/>
      <c r="C18" s="118" t="str">
        <f>TRIM(ANUAL!C22)</f>
        <v>---</v>
      </c>
      <c r="D18" s="119" t="str">
        <f>TRIM(ANUAL!D22)</f>
        <v/>
      </c>
      <c r="E18" s="120">
        <f t="shared" ca="1" si="5"/>
        <v>0</v>
      </c>
      <c r="F18" s="120">
        <f t="shared" ca="1" si="0"/>
        <v>0</v>
      </c>
      <c r="G18" s="120">
        <f t="shared" ca="1" si="1"/>
        <v>0</v>
      </c>
      <c r="H18" s="62"/>
      <c r="J18" s="3" t="b">
        <f t="shared" si="2"/>
        <v>0</v>
      </c>
      <c r="K18" s="3" t="b">
        <f t="shared" si="2"/>
        <v>0</v>
      </c>
      <c r="L18" s="3" t="b">
        <f t="shared" si="2"/>
        <v>0</v>
      </c>
      <c r="N18" s="16">
        <v>10</v>
      </c>
      <c r="O18" s="65"/>
      <c r="P18" s="55"/>
      <c r="Q18" s="56"/>
      <c r="R18" s="57"/>
      <c r="S18" s="58"/>
      <c r="T18" s="59"/>
      <c r="U18" s="60"/>
      <c r="V18" s="62"/>
      <c r="X18" s="1">
        <f t="shared" ca="1" si="3"/>
        <v>1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C18" s="1">
        <f t="shared" si="4"/>
        <v>0</v>
      </c>
      <c r="AD18" s="1">
        <f t="shared" si="4"/>
        <v>0</v>
      </c>
      <c r="AE18" s="1">
        <f t="shared" si="4"/>
        <v>0</v>
      </c>
      <c r="AF18" s="1">
        <f t="shared" si="4"/>
        <v>0</v>
      </c>
      <c r="AG18" s="1">
        <f t="shared" si="4"/>
        <v>0</v>
      </c>
      <c r="AH18" s="1">
        <f t="shared" si="4"/>
        <v>0</v>
      </c>
      <c r="AI18" s="1">
        <f t="shared" si="4"/>
        <v>0</v>
      </c>
      <c r="AJ18" s="1">
        <f t="shared" si="4"/>
        <v>0</v>
      </c>
      <c r="AK18" s="1">
        <f t="shared" si="4"/>
        <v>0</v>
      </c>
    </row>
    <row r="19" spans="1:37" ht="14.1" customHeight="1" x14ac:dyDescent="0.2">
      <c r="A19" s="12">
        <v>11</v>
      </c>
      <c r="B19" s="65"/>
      <c r="C19" s="115" t="str">
        <f>TRIM(ANUAL!C23)</f>
        <v>---</v>
      </c>
      <c r="D19" s="116" t="str">
        <f>TRIM(ANUAL!D23)</f>
        <v/>
      </c>
      <c r="E19" s="117">
        <f t="shared" ca="1" si="5"/>
        <v>0</v>
      </c>
      <c r="F19" s="117">
        <f t="shared" ca="1" si="0"/>
        <v>0</v>
      </c>
      <c r="G19" s="117">
        <f t="shared" ca="1" si="1"/>
        <v>0</v>
      </c>
      <c r="H19" s="62"/>
      <c r="J19" s="3" t="b">
        <f t="shared" si="2"/>
        <v>0</v>
      </c>
      <c r="K19" s="3" t="b">
        <f t="shared" si="2"/>
        <v>0</v>
      </c>
      <c r="L19" s="3" t="b">
        <f t="shared" si="2"/>
        <v>0</v>
      </c>
      <c r="N19" s="12">
        <v>11</v>
      </c>
      <c r="O19" s="65"/>
      <c r="P19" s="49"/>
      <c r="Q19" s="50"/>
      <c r="R19" s="51"/>
      <c r="S19" s="52"/>
      <c r="T19" s="53"/>
      <c r="U19" s="54"/>
      <c r="V19" s="62"/>
      <c r="X19" s="1">
        <f t="shared" ca="1" si="3"/>
        <v>1</v>
      </c>
      <c r="Z19" s="1">
        <f t="shared" ref="Z19:AK28" si="6">IF(Z$8=$R19,-$T19,0)+IF(Z$8=$S19,$T19,0)</f>
        <v>0</v>
      </c>
      <c r="AA19" s="1">
        <f t="shared" si="6"/>
        <v>0</v>
      </c>
      <c r="AB19" s="1">
        <f t="shared" si="6"/>
        <v>0</v>
      </c>
      <c r="AC19" s="1">
        <f t="shared" si="6"/>
        <v>0</v>
      </c>
      <c r="AD19" s="1">
        <f t="shared" si="6"/>
        <v>0</v>
      </c>
      <c r="AE19" s="1">
        <f t="shared" si="6"/>
        <v>0</v>
      </c>
      <c r="AF19" s="1">
        <f t="shared" si="6"/>
        <v>0</v>
      </c>
      <c r="AG19" s="1">
        <f t="shared" si="6"/>
        <v>0</v>
      </c>
      <c r="AH19" s="1">
        <f t="shared" si="6"/>
        <v>0</v>
      </c>
      <c r="AI19" s="1">
        <f t="shared" si="6"/>
        <v>0</v>
      </c>
      <c r="AJ19" s="1">
        <f t="shared" si="6"/>
        <v>0</v>
      </c>
      <c r="AK19" s="1">
        <f t="shared" si="6"/>
        <v>0</v>
      </c>
    </row>
    <row r="20" spans="1:37" ht="14.1" customHeight="1" x14ac:dyDescent="0.2">
      <c r="A20" s="16">
        <v>12</v>
      </c>
      <c r="B20" s="65"/>
      <c r="C20" s="121" t="str">
        <f>TRIM(ANUAL!C24)</f>
        <v>---</v>
      </c>
      <c r="D20" s="122" t="str">
        <f>TRIM(ANUAL!D24)</f>
        <v/>
      </c>
      <c r="E20" s="123">
        <f t="shared" ca="1" si="5"/>
        <v>0</v>
      </c>
      <c r="F20" s="123">
        <f t="shared" ca="1" si="0"/>
        <v>0</v>
      </c>
      <c r="G20" s="123">
        <f t="shared" ca="1" si="1"/>
        <v>0</v>
      </c>
      <c r="H20" s="62"/>
      <c r="J20" s="3" t="b">
        <f t="shared" si="2"/>
        <v>0</v>
      </c>
      <c r="K20" s="3" t="b">
        <f t="shared" si="2"/>
        <v>0</v>
      </c>
      <c r="L20" s="3" t="b">
        <f t="shared" si="2"/>
        <v>0</v>
      </c>
      <c r="N20" s="16">
        <v>12</v>
      </c>
      <c r="O20" s="65"/>
      <c r="P20" s="55"/>
      <c r="Q20" s="56"/>
      <c r="R20" s="57"/>
      <c r="S20" s="58"/>
      <c r="T20" s="59"/>
      <c r="U20" s="60"/>
      <c r="V20" s="62"/>
      <c r="X20" s="1">
        <f t="shared" ca="1" si="3"/>
        <v>1</v>
      </c>
      <c r="Z20" s="1">
        <f t="shared" si="6"/>
        <v>0</v>
      </c>
      <c r="AA20" s="1">
        <f t="shared" si="6"/>
        <v>0</v>
      </c>
      <c r="AB20" s="1">
        <f t="shared" si="6"/>
        <v>0</v>
      </c>
      <c r="AC20" s="1">
        <f t="shared" si="6"/>
        <v>0</v>
      </c>
      <c r="AD20" s="1">
        <f t="shared" si="6"/>
        <v>0</v>
      </c>
      <c r="AE20" s="1">
        <f t="shared" si="6"/>
        <v>0</v>
      </c>
      <c r="AF20" s="1">
        <f t="shared" si="6"/>
        <v>0</v>
      </c>
      <c r="AG20" s="1">
        <f t="shared" si="6"/>
        <v>0</v>
      </c>
      <c r="AH20" s="1">
        <f t="shared" si="6"/>
        <v>0</v>
      </c>
      <c r="AI20" s="1">
        <f t="shared" si="6"/>
        <v>0</v>
      </c>
      <c r="AJ20" s="1">
        <f t="shared" si="6"/>
        <v>0</v>
      </c>
      <c r="AK20" s="1">
        <f t="shared" si="6"/>
        <v>0</v>
      </c>
    </row>
    <row r="21" spans="1:37" ht="14.1" customHeight="1" x14ac:dyDescent="0.2">
      <c r="B21" s="128"/>
      <c r="C21" s="129"/>
      <c r="D21" s="130"/>
      <c r="E21" s="130"/>
      <c r="F21" s="130"/>
      <c r="G21" s="130"/>
      <c r="H21" s="131"/>
      <c r="N21" s="12">
        <v>13</v>
      </c>
      <c r="O21" s="65"/>
      <c r="P21" s="49"/>
      <c r="Q21" s="50"/>
      <c r="R21" s="51"/>
      <c r="S21" s="52"/>
      <c r="T21" s="53"/>
      <c r="U21" s="54"/>
      <c r="V21" s="62"/>
      <c r="X21" s="1">
        <f t="shared" ca="1" si="3"/>
        <v>1</v>
      </c>
      <c r="Z21" s="1">
        <f t="shared" si="6"/>
        <v>0</v>
      </c>
      <c r="AA21" s="1">
        <f t="shared" si="6"/>
        <v>0</v>
      </c>
      <c r="AB21" s="1">
        <f t="shared" si="6"/>
        <v>0</v>
      </c>
      <c r="AC21" s="1">
        <f t="shared" si="6"/>
        <v>0</v>
      </c>
      <c r="AD21" s="1">
        <f t="shared" si="6"/>
        <v>0</v>
      </c>
      <c r="AE21" s="1">
        <f t="shared" si="6"/>
        <v>0</v>
      </c>
      <c r="AF21" s="1">
        <f t="shared" si="6"/>
        <v>0</v>
      </c>
      <c r="AG21" s="1">
        <f t="shared" si="6"/>
        <v>0</v>
      </c>
      <c r="AH21" s="1">
        <f t="shared" si="6"/>
        <v>0</v>
      </c>
      <c r="AI21" s="1">
        <f t="shared" si="6"/>
        <v>0</v>
      </c>
      <c r="AJ21" s="1">
        <f t="shared" si="6"/>
        <v>0</v>
      </c>
      <c r="AK21" s="1">
        <f t="shared" si="6"/>
        <v>0</v>
      </c>
    </row>
    <row r="22" spans="1:37" ht="14.1" customHeight="1" x14ac:dyDescent="0.2">
      <c r="J22" s="29"/>
      <c r="K22" s="29"/>
      <c r="L22" s="29"/>
      <c r="N22" s="16">
        <v>14</v>
      </c>
      <c r="O22" s="65"/>
      <c r="P22" s="55"/>
      <c r="Q22" s="56"/>
      <c r="R22" s="57"/>
      <c r="S22" s="58"/>
      <c r="T22" s="59"/>
      <c r="U22" s="60"/>
      <c r="V22" s="62"/>
      <c r="X22" s="1">
        <f t="shared" ca="1" si="3"/>
        <v>1</v>
      </c>
      <c r="Z22" s="1">
        <f t="shared" si="6"/>
        <v>0</v>
      </c>
      <c r="AA22" s="1">
        <f t="shared" si="6"/>
        <v>0</v>
      </c>
      <c r="AB22" s="1">
        <f t="shared" si="6"/>
        <v>0</v>
      </c>
      <c r="AC22" s="1">
        <f t="shared" si="6"/>
        <v>0</v>
      </c>
      <c r="AD22" s="1">
        <f t="shared" si="6"/>
        <v>0</v>
      </c>
      <c r="AE22" s="1">
        <f t="shared" si="6"/>
        <v>0</v>
      </c>
      <c r="AF22" s="1">
        <f t="shared" si="6"/>
        <v>0</v>
      </c>
      <c r="AG22" s="1">
        <f t="shared" si="6"/>
        <v>0</v>
      </c>
      <c r="AH22" s="1">
        <f t="shared" si="6"/>
        <v>0</v>
      </c>
      <c r="AI22" s="1">
        <f t="shared" si="6"/>
        <v>0</v>
      </c>
      <c r="AJ22" s="1">
        <f t="shared" si="6"/>
        <v>0</v>
      </c>
      <c r="AK22" s="1">
        <f t="shared" si="6"/>
        <v>0</v>
      </c>
    </row>
    <row r="23" spans="1:37" ht="14.1" customHeight="1" x14ac:dyDescent="0.2">
      <c r="B23" s="77"/>
      <c r="C23" s="78"/>
      <c r="D23" s="79"/>
      <c r="E23" s="79"/>
      <c r="F23" s="79"/>
      <c r="G23" s="79"/>
      <c r="H23" s="80"/>
      <c r="I23" s="3"/>
      <c r="J23" s="3"/>
      <c r="K23" s="3"/>
      <c r="L23" s="3"/>
      <c r="M23" s="3"/>
      <c r="N23" s="12">
        <v>15</v>
      </c>
      <c r="O23" s="65"/>
      <c r="P23" s="49"/>
      <c r="Q23" s="50"/>
      <c r="R23" s="51"/>
      <c r="S23" s="52"/>
      <c r="T23" s="53"/>
      <c r="U23" s="54"/>
      <c r="V23" s="62"/>
      <c r="X23" s="1">
        <f t="shared" ca="1" si="3"/>
        <v>1</v>
      </c>
      <c r="Z23" s="1">
        <f t="shared" si="6"/>
        <v>0</v>
      </c>
      <c r="AA23" s="1">
        <f t="shared" si="6"/>
        <v>0</v>
      </c>
      <c r="AB23" s="1">
        <f t="shared" si="6"/>
        <v>0</v>
      </c>
      <c r="AC23" s="1">
        <f t="shared" si="6"/>
        <v>0</v>
      </c>
      <c r="AD23" s="1">
        <f t="shared" si="6"/>
        <v>0</v>
      </c>
      <c r="AE23" s="1">
        <f t="shared" si="6"/>
        <v>0</v>
      </c>
      <c r="AF23" s="1">
        <f t="shared" si="6"/>
        <v>0</v>
      </c>
      <c r="AG23" s="1">
        <f t="shared" si="6"/>
        <v>0</v>
      </c>
      <c r="AH23" s="1">
        <f t="shared" si="6"/>
        <v>0</v>
      </c>
      <c r="AI23" s="1">
        <f t="shared" si="6"/>
        <v>0</v>
      </c>
      <c r="AJ23" s="1">
        <f t="shared" si="6"/>
        <v>0</v>
      </c>
      <c r="AK23" s="1">
        <f t="shared" si="6"/>
        <v>0</v>
      </c>
    </row>
    <row r="24" spans="1:37" ht="14.1" customHeight="1" x14ac:dyDescent="0.2">
      <c r="B24" s="81"/>
      <c r="C24" s="285" t="s">
        <v>103</v>
      </c>
      <c r="D24" s="285"/>
      <c r="E24" s="285"/>
      <c r="F24" s="285"/>
      <c r="G24" s="285"/>
      <c r="H24" s="82"/>
      <c r="I24" s="3"/>
      <c r="J24" s="3"/>
      <c r="K24" s="3"/>
      <c r="L24" s="3"/>
      <c r="M24" s="3"/>
      <c r="N24" s="16">
        <v>16</v>
      </c>
      <c r="O24" s="65"/>
      <c r="P24" s="55"/>
      <c r="Q24" s="56"/>
      <c r="R24" s="57"/>
      <c r="S24" s="58"/>
      <c r="T24" s="59"/>
      <c r="U24" s="60"/>
      <c r="V24" s="62"/>
      <c r="X24" s="1">
        <f t="shared" ca="1" si="3"/>
        <v>1</v>
      </c>
      <c r="Z24" s="1">
        <f t="shared" si="6"/>
        <v>0</v>
      </c>
      <c r="AA24" s="1">
        <f t="shared" si="6"/>
        <v>0</v>
      </c>
      <c r="AB24" s="1">
        <f t="shared" si="6"/>
        <v>0</v>
      </c>
      <c r="AC24" s="1">
        <f t="shared" si="6"/>
        <v>0</v>
      </c>
      <c r="AD24" s="1">
        <f t="shared" si="6"/>
        <v>0</v>
      </c>
      <c r="AE24" s="1">
        <f t="shared" si="6"/>
        <v>0</v>
      </c>
      <c r="AF24" s="1">
        <f t="shared" si="6"/>
        <v>0</v>
      </c>
      <c r="AG24" s="1">
        <f t="shared" si="6"/>
        <v>0</v>
      </c>
      <c r="AH24" s="1">
        <f t="shared" si="6"/>
        <v>0</v>
      </c>
      <c r="AI24" s="1">
        <f t="shared" si="6"/>
        <v>0</v>
      </c>
      <c r="AJ24" s="1">
        <f t="shared" si="6"/>
        <v>0</v>
      </c>
      <c r="AK24" s="1">
        <f t="shared" si="6"/>
        <v>0</v>
      </c>
    </row>
    <row r="25" spans="1:37" ht="14.1" customHeight="1" x14ac:dyDescent="0.2">
      <c r="B25" s="81"/>
      <c r="C25" s="285"/>
      <c r="D25" s="285"/>
      <c r="E25" s="285"/>
      <c r="F25" s="285"/>
      <c r="G25" s="285"/>
      <c r="H25" s="82"/>
      <c r="I25" s="3"/>
      <c r="J25" s="3"/>
      <c r="K25" s="3"/>
      <c r="L25" s="3"/>
      <c r="M25" s="3"/>
      <c r="N25" s="12">
        <v>17</v>
      </c>
      <c r="O25" s="65"/>
      <c r="P25" s="49"/>
      <c r="Q25" s="50"/>
      <c r="R25" s="51"/>
      <c r="S25" s="52"/>
      <c r="T25" s="53"/>
      <c r="U25" s="54"/>
      <c r="V25" s="62"/>
      <c r="X25" s="1">
        <f t="shared" ca="1" si="3"/>
        <v>1</v>
      </c>
      <c r="Z25" s="1">
        <f t="shared" si="6"/>
        <v>0</v>
      </c>
      <c r="AA25" s="1">
        <f t="shared" si="6"/>
        <v>0</v>
      </c>
      <c r="AB25" s="1">
        <f t="shared" si="6"/>
        <v>0</v>
      </c>
      <c r="AC25" s="1">
        <f t="shared" si="6"/>
        <v>0</v>
      </c>
      <c r="AD25" s="1">
        <f t="shared" si="6"/>
        <v>0</v>
      </c>
      <c r="AE25" s="1">
        <f t="shared" si="6"/>
        <v>0</v>
      </c>
      <c r="AF25" s="1">
        <f t="shared" si="6"/>
        <v>0</v>
      </c>
      <c r="AG25" s="1">
        <f t="shared" si="6"/>
        <v>0</v>
      </c>
      <c r="AH25" s="1">
        <f t="shared" si="6"/>
        <v>0</v>
      </c>
      <c r="AI25" s="1">
        <f t="shared" si="6"/>
        <v>0</v>
      </c>
      <c r="AJ25" s="1">
        <f t="shared" si="6"/>
        <v>0</v>
      </c>
      <c r="AK25" s="1">
        <f t="shared" si="6"/>
        <v>0</v>
      </c>
    </row>
    <row r="26" spans="1:37" ht="14.1" customHeight="1" x14ac:dyDescent="0.2">
      <c r="B26" s="46"/>
      <c r="C26" s="271" t="s">
        <v>94</v>
      </c>
      <c r="D26" s="273" t="s">
        <v>5</v>
      </c>
      <c r="E26" s="275" t="s">
        <v>104</v>
      </c>
      <c r="F26" s="275" t="s">
        <v>89</v>
      </c>
      <c r="G26" s="276" t="s">
        <v>6</v>
      </c>
      <c r="H26" s="82"/>
      <c r="I26" s="3"/>
      <c r="J26" s="3"/>
      <c r="K26" s="3"/>
      <c r="L26" s="3"/>
      <c r="M26" s="3"/>
      <c r="N26" s="16">
        <v>18</v>
      </c>
      <c r="O26" s="65"/>
      <c r="P26" s="55"/>
      <c r="Q26" s="56"/>
      <c r="R26" s="57"/>
      <c r="S26" s="58"/>
      <c r="T26" s="59"/>
      <c r="U26" s="60"/>
      <c r="V26" s="62"/>
      <c r="X26" s="1">
        <f t="shared" ca="1" si="3"/>
        <v>1</v>
      </c>
      <c r="Z26" s="1">
        <f t="shared" si="6"/>
        <v>0</v>
      </c>
      <c r="AA26" s="1">
        <f t="shared" si="6"/>
        <v>0</v>
      </c>
      <c r="AB26" s="1">
        <f t="shared" si="6"/>
        <v>0</v>
      </c>
      <c r="AC26" s="1">
        <f t="shared" si="6"/>
        <v>0</v>
      </c>
      <c r="AD26" s="1">
        <f t="shared" si="6"/>
        <v>0</v>
      </c>
      <c r="AE26" s="1">
        <f t="shared" si="6"/>
        <v>0</v>
      </c>
      <c r="AF26" s="1">
        <f t="shared" si="6"/>
        <v>0</v>
      </c>
      <c r="AG26" s="1">
        <f t="shared" si="6"/>
        <v>0</v>
      </c>
      <c r="AH26" s="1">
        <f t="shared" si="6"/>
        <v>0</v>
      </c>
      <c r="AI26" s="1">
        <f t="shared" si="6"/>
        <v>0</v>
      </c>
      <c r="AJ26" s="1">
        <f t="shared" si="6"/>
        <v>0</v>
      </c>
      <c r="AK26" s="1">
        <f t="shared" si="6"/>
        <v>0</v>
      </c>
    </row>
    <row r="27" spans="1:37" ht="14.1" customHeight="1" x14ac:dyDescent="0.2">
      <c r="A27" s="3"/>
      <c r="B27" s="44"/>
      <c r="C27" s="272"/>
      <c r="D27" s="274"/>
      <c r="E27" s="99" t="s">
        <v>87</v>
      </c>
      <c r="F27" s="100" t="s">
        <v>89</v>
      </c>
      <c r="G27" s="98" t="s">
        <v>105</v>
      </c>
      <c r="H27" s="83"/>
      <c r="I27" s="3"/>
      <c r="J27" s="3" t="str">
        <f>ANUAL!C115</f>
        <v>CC</v>
      </c>
      <c r="K27" s="3" t="str">
        <f>ANUAL!C116</f>
        <v>INV</v>
      </c>
      <c r="L27" s="3" t="str">
        <f>ANUAL!C117</f>
        <v>DINH</v>
      </c>
      <c r="M27" s="3"/>
      <c r="N27" s="12">
        <v>19</v>
      </c>
      <c r="O27" s="65"/>
      <c r="P27" s="49"/>
      <c r="Q27" s="50"/>
      <c r="R27" s="51"/>
      <c r="S27" s="52"/>
      <c r="T27" s="53"/>
      <c r="U27" s="54"/>
      <c r="V27" s="62"/>
      <c r="X27" s="1">
        <f t="shared" ca="1" si="3"/>
        <v>1</v>
      </c>
      <c r="Z27" s="1">
        <f t="shared" si="6"/>
        <v>0</v>
      </c>
      <c r="AA27" s="1">
        <f t="shared" si="6"/>
        <v>0</v>
      </c>
      <c r="AB27" s="1">
        <f t="shared" si="6"/>
        <v>0</v>
      </c>
      <c r="AC27" s="1">
        <f t="shared" si="6"/>
        <v>0</v>
      </c>
      <c r="AD27" s="1">
        <f t="shared" si="6"/>
        <v>0</v>
      </c>
      <c r="AE27" s="1">
        <f t="shared" si="6"/>
        <v>0</v>
      </c>
      <c r="AF27" s="1">
        <f t="shared" si="6"/>
        <v>0</v>
      </c>
      <c r="AG27" s="1">
        <f t="shared" si="6"/>
        <v>0</v>
      </c>
      <c r="AH27" s="1">
        <f t="shared" si="6"/>
        <v>0</v>
      </c>
      <c r="AI27" s="1">
        <f t="shared" si="6"/>
        <v>0</v>
      </c>
      <c r="AJ27" s="1">
        <f t="shared" si="6"/>
        <v>0</v>
      </c>
      <c r="AK27" s="1">
        <f t="shared" si="6"/>
        <v>0</v>
      </c>
    </row>
    <row r="28" spans="1:37" ht="14.1" customHeight="1" x14ac:dyDescent="0.2">
      <c r="A28" s="12">
        <v>1</v>
      </c>
      <c r="B28" s="64"/>
      <c r="C28" s="115" t="str">
        <f t="shared" ref="C28:D39" si="7">C9</f>
        <v/>
      </c>
      <c r="D28" s="116" t="str">
        <f t="shared" si="7"/>
        <v>CONTA CORRENTE BANCO 1</v>
      </c>
      <c r="E28" s="117">
        <f t="shared" ref="E28:E39" ca="1" si="8">SUMIF(OFFSET($Z$9:$Z$88,0,A28-1),"&gt;0")</f>
        <v>0</v>
      </c>
      <c r="F28" s="117">
        <f t="shared" ref="F28:F39" ca="1" si="9">SUMIF(OFFSET($Z$9:$Z$88,0,A28-1),"&lt;0")</f>
        <v>0</v>
      </c>
      <c r="G28" s="117">
        <f t="shared" ref="G28:G39" ca="1" si="10">SUM(E28:F28)</f>
        <v>0</v>
      </c>
      <c r="H28" s="61"/>
      <c r="I28" s="3"/>
      <c r="J28" s="3" t="b">
        <f t="shared" ref="J28:L39" si="11">NOT(ISERR(SEARCH(J$27,$C28)))</f>
        <v>0</v>
      </c>
      <c r="K28" s="3" t="b">
        <f t="shared" si="11"/>
        <v>0</v>
      </c>
      <c r="L28" s="3" t="b">
        <f t="shared" si="11"/>
        <v>0</v>
      </c>
      <c r="M28" s="3"/>
      <c r="N28" s="16">
        <v>20</v>
      </c>
      <c r="O28" s="65"/>
      <c r="P28" s="55"/>
      <c r="Q28" s="56"/>
      <c r="R28" s="57"/>
      <c r="S28" s="58"/>
      <c r="T28" s="59"/>
      <c r="U28" s="60"/>
      <c r="V28" s="62"/>
      <c r="X28" s="1">
        <f t="shared" ca="1" si="3"/>
        <v>1</v>
      </c>
      <c r="Z28" s="1">
        <f t="shared" si="6"/>
        <v>0</v>
      </c>
      <c r="AA28" s="1">
        <f t="shared" si="6"/>
        <v>0</v>
      </c>
      <c r="AB28" s="1">
        <f t="shared" si="6"/>
        <v>0</v>
      </c>
      <c r="AC28" s="1">
        <f t="shared" si="6"/>
        <v>0</v>
      </c>
      <c r="AD28" s="1">
        <f t="shared" si="6"/>
        <v>0</v>
      </c>
      <c r="AE28" s="1">
        <f t="shared" si="6"/>
        <v>0</v>
      </c>
      <c r="AF28" s="1">
        <f t="shared" si="6"/>
        <v>0</v>
      </c>
      <c r="AG28" s="1">
        <f t="shared" si="6"/>
        <v>0</v>
      </c>
      <c r="AH28" s="1">
        <f t="shared" si="6"/>
        <v>0</v>
      </c>
      <c r="AI28" s="1">
        <f t="shared" si="6"/>
        <v>0</v>
      </c>
      <c r="AJ28" s="1">
        <f t="shared" si="6"/>
        <v>0</v>
      </c>
      <c r="AK28" s="1">
        <f t="shared" si="6"/>
        <v>0</v>
      </c>
    </row>
    <row r="29" spans="1:37" ht="14.1" customHeight="1" x14ac:dyDescent="0.2">
      <c r="A29" s="16">
        <v>2</v>
      </c>
      <c r="B29" s="65"/>
      <c r="C29" s="118" t="str">
        <f t="shared" si="7"/>
        <v>INV1</v>
      </c>
      <c r="D29" s="119" t="str">
        <f t="shared" si="7"/>
        <v>POUPANÇA BANCO 1</v>
      </c>
      <c r="E29" s="120">
        <f t="shared" ca="1" si="8"/>
        <v>0</v>
      </c>
      <c r="F29" s="120">
        <f t="shared" ca="1" si="9"/>
        <v>0</v>
      </c>
      <c r="G29" s="120">
        <f t="shared" ca="1" si="10"/>
        <v>0</v>
      </c>
      <c r="H29" s="62"/>
      <c r="I29" s="3"/>
      <c r="J29" s="3" t="b">
        <f t="shared" si="11"/>
        <v>0</v>
      </c>
      <c r="K29" s="3" t="b">
        <f t="shared" si="11"/>
        <v>1</v>
      </c>
      <c r="L29" s="3" t="b">
        <f t="shared" si="11"/>
        <v>0</v>
      </c>
      <c r="M29" s="3"/>
      <c r="N29" s="12">
        <v>21</v>
      </c>
      <c r="O29" s="65"/>
      <c r="P29" s="49"/>
      <c r="Q29" s="50"/>
      <c r="R29" s="51"/>
      <c r="S29" s="52"/>
      <c r="T29" s="53"/>
      <c r="U29" s="54"/>
      <c r="V29" s="62"/>
      <c r="X29" s="1">
        <f t="shared" ca="1" si="3"/>
        <v>1</v>
      </c>
      <c r="Z29" s="1">
        <f t="shared" ref="Z29:AK38" si="12">IF(Z$8=$R29,-$T29,0)+IF(Z$8=$S29,$T29,0)</f>
        <v>0</v>
      </c>
      <c r="AA29" s="1">
        <f t="shared" si="12"/>
        <v>0</v>
      </c>
      <c r="AB29" s="1">
        <f t="shared" si="12"/>
        <v>0</v>
      </c>
      <c r="AC29" s="1">
        <f t="shared" si="12"/>
        <v>0</v>
      </c>
      <c r="AD29" s="1">
        <f t="shared" si="12"/>
        <v>0</v>
      </c>
      <c r="AE29" s="1">
        <f t="shared" si="12"/>
        <v>0</v>
      </c>
      <c r="AF29" s="1">
        <f t="shared" si="12"/>
        <v>0</v>
      </c>
      <c r="AG29" s="1">
        <f t="shared" si="12"/>
        <v>0</v>
      </c>
      <c r="AH29" s="1">
        <f t="shared" si="12"/>
        <v>0</v>
      </c>
      <c r="AI29" s="1">
        <f t="shared" si="12"/>
        <v>0</v>
      </c>
      <c r="AJ29" s="1">
        <f t="shared" si="12"/>
        <v>0</v>
      </c>
      <c r="AK29" s="1">
        <f t="shared" si="12"/>
        <v>0</v>
      </c>
    </row>
    <row r="30" spans="1:37" ht="14.1" customHeight="1" x14ac:dyDescent="0.2">
      <c r="A30" s="12">
        <v>3</v>
      </c>
      <c r="B30" s="65"/>
      <c r="C30" s="115" t="str">
        <f t="shared" si="7"/>
        <v>DINH1</v>
      </c>
      <c r="D30" s="116" t="str">
        <f t="shared" si="7"/>
        <v>EM ESPÉCIE</v>
      </c>
      <c r="E30" s="117">
        <f t="shared" ca="1" si="8"/>
        <v>0</v>
      </c>
      <c r="F30" s="117">
        <f t="shared" ca="1" si="9"/>
        <v>0</v>
      </c>
      <c r="G30" s="117">
        <f t="shared" ca="1" si="10"/>
        <v>0</v>
      </c>
      <c r="H30" s="62"/>
      <c r="I30" s="3"/>
      <c r="J30" s="3" t="b">
        <f t="shared" si="11"/>
        <v>0</v>
      </c>
      <c r="K30" s="3" t="b">
        <f t="shared" si="11"/>
        <v>0</v>
      </c>
      <c r="L30" s="3" t="b">
        <f t="shared" si="11"/>
        <v>1</v>
      </c>
      <c r="M30" s="3"/>
      <c r="N30" s="16">
        <v>22</v>
      </c>
      <c r="O30" s="65"/>
      <c r="P30" s="55"/>
      <c r="Q30" s="56"/>
      <c r="R30" s="57"/>
      <c r="S30" s="58"/>
      <c r="T30" s="59"/>
      <c r="U30" s="60"/>
      <c r="V30" s="62"/>
      <c r="X30" s="1">
        <f t="shared" ca="1" si="3"/>
        <v>1</v>
      </c>
      <c r="Z30" s="1">
        <f t="shared" si="12"/>
        <v>0</v>
      </c>
      <c r="AA30" s="1">
        <f t="shared" si="12"/>
        <v>0</v>
      </c>
      <c r="AB30" s="1">
        <f t="shared" si="12"/>
        <v>0</v>
      </c>
      <c r="AC30" s="1">
        <f t="shared" si="12"/>
        <v>0</v>
      </c>
      <c r="AD30" s="1">
        <f t="shared" si="12"/>
        <v>0</v>
      </c>
      <c r="AE30" s="1">
        <f t="shared" si="12"/>
        <v>0</v>
      </c>
      <c r="AF30" s="1">
        <f t="shared" si="12"/>
        <v>0</v>
      </c>
      <c r="AG30" s="1">
        <f t="shared" si="12"/>
        <v>0</v>
      </c>
      <c r="AH30" s="1">
        <f t="shared" si="12"/>
        <v>0</v>
      </c>
      <c r="AI30" s="1">
        <f t="shared" si="12"/>
        <v>0</v>
      </c>
      <c r="AJ30" s="1">
        <f t="shared" si="12"/>
        <v>0</v>
      </c>
      <c r="AK30" s="1">
        <f t="shared" si="12"/>
        <v>0</v>
      </c>
    </row>
    <row r="31" spans="1:37" ht="14.1" customHeight="1" x14ac:dyDescent="0.2">
      <c r="A31" s="16">
        <v>4</v>
      </c>
      <c r="B31" s="65"/>
      <c r="C31" s="118" t="str">
        <f t="shared" si="7"/>
        <v>CRED1</v>
      </c>
      <c r="D31" s="119" t="str">
        <f t="shared" si="7"/>
        <v>CARTÃO DE CRÉDITO 1</v>
      </c>
      <c r="E31" s="120">
        <f t="shared" ca="1" si="8"/>
        <v>0</v>
      </c>
      <c r="F31" s="120">
        <f t="shared" ca="1" si="9"/>
        <v>0</v>
      </c>
      <c r="G31" s="120">
        <f t="shared" ca="1" si="10"/>
        <v>0</v>
      </c>
      <c r="H31" s="62"/>
      <c r="I31" s="3"/>
      <c r="J31" s="3" t="b">
        <f t="shared" si="11"/>
        <v>0</v>
      </c>
      <c r="K31" s="3" t="b">
        <f t="shared" si="11"/>
        <v>0</v>
      </c>
      <c r="L31" s="3" t="b">
        <f t="shared" si="11"/>
        <v>0</v>
      </c>
      <c r="M31" s="3"/>
      <c r="N31" s="12">
        <v>23</v>
      </c>
      <c r="O31" s="65"/>
      <c r="P31" s="49"/>
      <c r="Q31" s="50"/>
      <c r="R31" s="51"/>
      <c r="S31" s="52"/>
      <c r="T31" s="53"/>
      <c r="U31" s="54"/>
      <c r="V31" s="62"/>
      <c r="X31" s="1">
        <f t="shared" ca="1" si="3"/>
        <v>1</v>
      </c>
      <c r="Z31" s="1">
        <f t="shared" si="12"/>
        <v>0</v>
      </c>
      <c r="AA31" s="1">
        <f t="shared" si="12"/>
        <v>0</v>
      </c>
      <c r="AB31" s="1">
        <f t="shared" si="12"/>
        <v>0</v>
      </c>
      <c r="AC31" s="1">
        <f t="shared" si="12"/>
        <v>0</v>
      </c>
      <c r="AD31" s="1">
        <f t="shared" si="12"/>
        <v>0</v>
      </c>
      <c r="AE31" s="1">
        <f t="shared" si="12"/>
        <v>0</v>
      </c>
      <c r="AF31" s="1">
        <f t="shared" si="12"/>
        <v>0</v>
      </c>
      <c r="AG31" s="1">
        <f t="shared" si="12"/>
        <v>0</v>
      </c>
      <c r="AH31" s="1">
        <f t="shared" si="12"/>
        <v>0</v>
      </c>
      <c r="AI31" s="1">
        <f t="shared" si="12"/>
        <v>0</v>
      </c>
      <c r="AJ31" s="1">
        <f t="shared" si="12"/>
        <v>0</v>
      </c>
      <c r="AK31" s="1">
        <f t="shared" si="12"/>
        <v>0</v>
      </c>
    </row>
    <row r="32" spans="1:37" ht="14.1" customHeight="1" x14ac:dyDescent="0.2">
      <c r="A32" s="12">
        <v>5</v>
      </c>
      <c r="B32" s="65"/>
      <c r="C32" s="115" t="str">
        <f t="shared" si="7"/>
        <v>---</v>
      </c>
      <c r="D32" s="116" t="str">
        <f t="shared" si="7"/>
        <v/>
      </c>
      <c r="E32" s="117">
        <f t="shared" ca="1" si="8"/>
        <v>0</v>
      </c>
      <c r="F32" s="117">
        <f t="shared" ca="1" si="9"/>
        <v>0</v>
      </c>
      <c r="G32" s="117">
        <f t="shared" ca="1" si="10"/>
        <v>0</v>
      </c>
      <c r="H32" s="62"/>
      <c r="I32" s="3"/>
      <c r="J32" s="3" t="b">
        <f t="shared" si="11"/>
        <v>0</v>
      </c>
      <c r="K32" s="3" t="b">
        <f t="shared" si="11"/>
        <v>0</v>
      </c>
      <c r="L32" s="3" t="b">
        <f t="shared" si="11"/>
        <v>0</v>
      </c>
      <c r="M32" s="3"/>
      <c r="N32" s="16">
        <v>24</v>
      </c>
      <c r="O32" s="65"/>
      <c r="P32" s="55"/>
      <c r="Q32" s="56"/>
      <c r="R32" s="57"/>
      <c r="S32" s="58"/>
      <c r="T32" s="59"/>
      <c r="U32" s="60"/>
      <c r="V32" s="62"/>
      <c r="X32" s="1">
        <f t="shared" ca="1" si="3"/>
        <v>1</v>
      </c>
      <c r="Z32" s="1">
        <f t="shared" si="12"/>
        <v>0</v>
      </c>
      <c r="AA32" s="1">
        <f t="shared" si="12"/>
        <v>0</v>
      </c>
      <c r="AB32" s="1">
        <f t="shared" si="12"/>
        <v>0</v>
      </c>
      <c r="AC32" s="1">
        <f t="shared" si="12"/>
        <v>0</v>
      </c>
      <c r="AD32" s="1">
        <f t="shared" si="12"/>
        <v>0</v>
      </c>
      <c r="AE32" s="1">
        <f t="shared" si="12"/>
        <v>0</v>
      </c>
      <c r="AF32" s="1">
        <f t="shared" si="12"/>
        <v>0</v>
      </c>
      <c r="AG32" s="1">
        <f t="shared" si="12"/>
        <v>0</v>
      </c>
      <c r="AH32" s="1">
        <f t="shared" si="12"/>
        <v>0</v>
      </c>
      <c r="AI32" s="1">
        <f t="shared" si="12"/>
        <v>0</v>
      </c>
      <c r="AJ32" s="1">
        <f t="shared" si="12"/>
        <v>0</v>
      </c>
      <c r="AK32" s="1">
        <f t="shared" si="12"/>
        <v>0</v>
      </c>
    </row>
    <row r="33" spans="1:37" ht="14.1" customHeight="1" x14ac:dyDescent="0.2">
      <c r="A33" s="16">
        <v>6</v>
      </c>
      <c r="B33" s="65"/>
      <c r="C33" s="118" t="str">
        <f t="shared" si="7"/>
        <v>---</v>
      </c>
      <c r="D33" s="119" t="str">
        <f t="shared" si="7"/>
        <v/>
      </c>
      <c r="E33" s="120">
        <f t="shared" ca="1" si="8"/>
        <v>0</v>
      </c>
      <c r="F33" s="120">
        <f t="shared" ca="1" si="9"/>
        <v>0</v>
      </c>
      <c r="G33" s="120">
        <f t="shared" ca="1" si="10"/>
        <v>0</v>
      </c>
      <c r="H33" s="62"/>
      <c r="I33" s="3"/>
      <c r="J33" s="3" t="b">
        <f t="shared" si="11"/>
        <v>0</v>
      </c>
      <c r="K33" s="3" t="b">
        <f t="shared" si="11"/>
        <v>0</v>
      </c>
      <c r="L33" s="3" t="b">
        <f t="shared" si="11"/>
        <v>0</v>
      </c>
      <c r="M33" s="3"/>
      <c r="N33" s="12">
        <v>25</v>
      </c>
      <c r="O33" s="65"/>
      <c r="P33" s="49"/>
      <c r="Q33" s="50"/>
      <c r="R33" s="51"/>
      <c r="S33" s="52"/>
      <c r="T33" s="53"/>
      <c r="U33" s="54"/>
      <c r="V33" s="62"/>
      <c r="X33" s="1">
        <f t="shared" ca="1" si="3"/>
        <v>1</v>
      </c>
      <c r="Z33" s="1">
        <f t="shared" si="12"/>
        <v>0</v>
      </c>
      <c r="AA33" s="1">
        <f t="shared" si="12"/>
        <v>0</v>
      </c>
      <c r="AB33" s="1">
        <f t="shared" si="12"/>
        <v>0</v>
      </c>
      <c r="AC33" s="1">
        <f t="shared" si="12"/>
        <v>0</v>
      </c>
      <c r="AD33" s="1">
        <f t="shared" si="12"/>
        <v>0</v>
      </c>
      <c r="AE33" s="1">
        <f t="shared" si="12"/>
        <v>0</v>
      </c>
      <c r="AF33" s="1">
        <f t="shared" si="12"/>
        <v>0</v>
      </c>
      <c r="AG33" s="1">
        <f t="shared" si="12"/>
        <v>0</v>
      </c>
      <c r="AH33" s="1">
        <f t="shared" si="12"/>
        <v>0</v>
      </c>
      <c r="AI33" s="1">
        <f t="shared" si="12"/>
        <v>0</v>
      </c>
      <c r="AJ33" s="1">
        <f t="shared" si="12"/>
        <v>0</v>
      </c>
      <c r="AK33" s="1">
        <f t="shared" si="12"/>
        <v>0</v>
      </c>
    </row>
    <row r="34" spans="1:37" ht="14.1" customHeight="1" x14ac:dyDescent="0.2">
      <c r="A34" s="12">
        <v>7</v>
      </c>
      <c r="B34" s="65"/>
      <c r="C34" s="115" t="str">
        <f t="shared" si="7"/>
        <v>---</v>
      </c>
      <c r="D34" s="116" t="str">
        <f t="shared" si="7"/>
        <v/>
      </c>
      <c r="E34" s="117">
        <f t="shared" ca="1" si="8"/>
        <v>0</v>
      </c>
      <c r="F34" s="117">
        <f t="shared" ca="1" si="9"/>
        <v>0</v>
      </c>
      <c r="G34" s="117">
        <f t="shared" ca="1" si="10"/>
        <v>0</v>
      </c>
      <c r="H34" s="62"/>
      <c r="I34" s="3"/>
      <c r="J34" s="3" t="b">
        <f t="shared" si="11"/>
        <v>0</v>
      </c>
      <c r="K34" s="3" t="b">
        <f t="shared" si="11"/>
        <v>0</v>
      </c>
      <c r="L34" s="3" t="b">
        <f t="shared" si="11"/>
        <v>0</v>
      </c>
      <c r="M34" s="3"/>
      <c r="N34" s="16">
        <v>26</v>
      </c>
      <c r="O34" s="65"/>
      <c r="P34" s="55"/>
      <c r="Q34" s="56"/>
      <c r="R34" s="57"/>
      <c r="S34" s="58"/>
      <c r="T34" s="59"/>
      <c r="U34" s="60"/>
      <c r="V34" s="62"/>
      <c r="X34" s="1">
        <f t="shared" ca="1" si="3"/>
        <v>1</v>
      </c>
      <c r="Z34" s="1">
        <f t="shared" si="12"/>
        <v>0</v>
      </c>
      <c r="AA34" s="1">
        <f t="shared" si="12"/>
        <v>0</v>
      </c>
      <c r="AB34" s="1">
        <f t="shared" si="12"/>
        <v>0</v>
      </c>
      <c r="AC34" s="1">
        <f t="shared" si="12"/>
        <v>0</v>
      </c>
      <c r="AD34" s="1">
        <f t="shared" si="12"/>
        <v>0</v>
      </c>
      <c r="AE34" s="1">
        <f t="shared" si="12"/>
        <v>0</v>
      </c>
      <c r="AF34" s="1">
        <f t="shared" si="12"/>
        <v>0</v>
      </c>
      <c r="AG34" s="1">
        <f t="shared" si="12"/>
        <v>0</v>
      </c>
      <c r="AH34" s="1">
        <f t="shared" si="12"/>
        <v>0</v>
      </c>
      <c r="AI34" s="1">
        <f t="shared" si="12"/>
        <v>0</v>
      </c>
      <c r="AJ34" s="1">
        <f t="shared" si="12"/>
        <v>0</v>
      </c>
      <c r="AK34" s="1">
        <f t="shared" si="12"/>
        <v>0</v>
      </c>
    </row>
    <row r="35" spans="1:37" ht="14.1" customHeight="1" x14ac:dyDescent="0.2">
      <c r="A35" s="16">
        <v>8</v>
      </c>
      <c r="B35" s="65"/>
      <c r="C35" s="118" t="str">
        <f t="shared" si="7"/>
        <v>---</v>
      </c>
      <c r="D35" s="119" t="str">
        <f t="shared" si="7"/>
        <v/>
      </c>
      <c r="E35" s="120">
        <f t="shared" ca="1" si="8"/>
        <v>0</v>
      </c>
      <c r="F35" s="120">
        <f t="shared" ca="1" si="9"/>
        <v>0</v>
      </c>
      <c r="G35" s="120">
        <f t="shared" ca="1" si="10"/>
        <v>0</v>
      </c>
      <c r="H35" s="62"/>
      <c r="I35" s="3"/>
      <c r="J35" s="3" t="b">
        <f t="shared" si="11"/>
        <v>0</v>
      </c>
      <c r="K35" s="3" t="b">
        <f t="shared" si="11"/>
        <v>0</v>
      </c>
      <c r="L35" s="3" t="b">
        <f t="shared" si="11"/>
        <v>0</v>
      </c>
      <c r="M35" s="3"/>
      <c r="N35" s="12">
        <v>27</v>
      </c>
      <c r="O35" s="65"/>
      <c r="P35" s="49"/>
      <c r="Q35" s="50"/>
      <c r="R35" s="51"/>
      <c r="S35" s="52"/>
      <c r="T35" s="53"/>
      <c r="U35" s="54"/>
      <c r="V35" s="62"/>
      <c r="X35" s="1">
        <f t="shared" ca="1" si="3"/>
        <v>1</v>
      </c>
      <c r="Z35" s="1">
        <f t="shared" si="12"/>
        <v>0</v>
      </c>
      <c r="AA35" s="1">
        <f t="shared" si="12"/>
        <v>0</v>
      </c>
      <c r="AB35" s="1">
        <f t="shared" si="12"/>
        <v>0</v>
      </c>
      <c r="AC35" s="1">
        <f t="shared" si="12"/>
        <v>0</v>
      </c>
      <c r="AD35" s="1">
        <f t="shared" si="12"/>
        <v>0</v>
      </c>
      <c r="AE35" s="1">
        <f t="shared" si="12"/>
        <v>0</v>
      </c>
      <c r="AF35" s="1">
        <f t="shared" si="12"/>
        <v>0</v>
      </c>
      <c r="AG35" s="1">
        <f t="shared" si="12"/>
        <v>0</v>
      </c>
      <c r="AH35" s="1">
        <f t="shared" si="12"/>
        <v>0</v>
      </c>
      <c r="AI35" s="1">
        <f t="shared" si="12"/>
        <v>0</v>
      </c>
      <c r="AJ35" s="1">
        <f t="shared" si="12"/>
        <v>0</v>
      </c>
      <c r="AK35" s="1">
        <f t="shared" si="12"/>
        <v>0</v>
      </c>
    </row>
    <row r="36" spans="1:37" ht="14.1" customHeight="1" x14ac:dyDescent="0.2">
      <c r="A36" s="12">
        <v>9</v>
      </c>
      <c r="B36" s="65"/>
      <c r="C36" s="115" t="str">
        <f t="shared" si="7"/>
        <v>---</v>
      </c>
      <c r="D36" s="116" t="str">
        <f t="shared" si="7"/>
        <v/>
      </c>
      <c r="E36" s="117">
        <f t="shared" ca="1" si="8"/>
        <v>0</v>
      </c>
      <c r="F36" s="117">
        <f t="shared" ca="1" si="9"/>
        <v>0</v>
      </c>
      <c r="G36" s="117">
        <f t="shared" ca="1" si="10"/>
        <v>0</v>
      </c>
      <c r="H36" s="62"/>
      <c r="I36" s="3"/>
      <c r="J36" s="3" t="b">
        <f t="shared" si="11"/>
        <v>0</v>
      </c>
      <c r="K36" s="3" t="b">
        <f t="shared" si="11"/>
        <v>0</v>
      </c>
      <c r="L36" s="3" t="b">
        <f t="shared" si="11"/>
        <v>0</v>
      </c>
      <c r="M36" s="3"/>
      <c r="N36" s="16">
        <v>28</v>
      </c>
      <c r="O36" s="65"/>
      <c r="P36" s="55"/>
      <c r="Q36" s="56"/>
      <c r="R36" s="57"/>
      <c r="S36" s="58"/>
      <c r="T36" s="59"/>
      <c r="U36" s="60"/>
      <c r="V36" s="62"/>
      <c r="X36" s="1">
        <f t="shared" ca="1" si="3"/>
        <v>1</v>
      </c>
      <c r="Z36" s="1">
        <f t="shared" si="12"/>
        <v>0</v>
      </c>
      <c r="AA36" s="1">
        <f t="shared" si="12"/>
        <v>0</v>
      </c>
      <c r="AB36" s="1">
        <f t="shared" si="12"/>
        <v>0</v>
      </c>
      <c r="AC36" s="1">
        <f t="shared" si="12"/>
        <v>0</v>
      </c>
      <c r="AD36" s="1">
        <f t="shared" si="12"/>
        <v>0</v>
      </c>
      <c r="AE36" s="1">
        <f t="shared" si="12"/>
        <v>0</v>
      </c>
      <c r="AF36" s="1">
        <f t="shared" si="12"/>
        <v>0</v>
      </c>
      <c r="AG36" s="1">
        <f t="shared" si="12"/>
        <v>0</v>
      </c>
      <c r="AH36" s="1">
        <f t="shared" si="12"/>
        <v>0</v>
      </c>
      <c r="AI36" s="1">
        <f t="shared" si="12"/>
        <v>0</v>
      </c>
      <c r="AJ36" s="1">
        <f t="shared" si="12"/>
        <v>0</v>
      </c>
      <c r="AK36" s="1">
        <f t="shared" si="12"/>
        <v>0</v>
      </c>
    </row>
    <row r="37" spans="1:37" ht="14.1" customHeight="1" x14ac:dyDescent="0.2">
      <c r="A37" s="16">
        <v>10</v>
      </c>
      <c r="B37" s="65"/>
      <c r="C37" s="118" t="str">
        <f t="shared" si="7"/>
        <v>---</v>
      </c>
      <c r="D37" s="119" t="str">
        <f t="shared" si="7"/>
        <v/>
      </c>
      <c r="E37" s="120">
        <f t="shared" ca="1" si="8"/>
        <v>0</v>
      </c>
      <c r="F37" s="120">
        <f t="shared" ca="1" si="9"/>
        <v>0</v>
      </c>
      <c r="G37" s="120">
        <f t="shared" ca="1" si="10"/>
        <v>0</v>
      </c>
      <c r="H37" s="62"/>
      <c r="I37" s="3"/>
      <c r="J37" s="3" t="b">
        <f t="shared" si="11"/>
        <v>0</v>
      </c>
      <c r="K37" s="3" t="b">
        <f t="shared" si="11"/>
        <v>0</v>
      </c>
      <c r="L37" s="3" t="b">
        <f t="shared" si="11"/>
        <v>0</v>
      </c>
      <c r="M37" s="3"/>
      <c r="N37" s="12">
        <v>29</v>
      </c>
      <c r="O37" s="65"/>
      <c r="P37" s="49"/>
      <c r="Q37" s="50"/>
      <c r="R37" s="51"/>
      <c r="S37" s="52"/>
      <c r="T37" s="53"/>
      <c r="U37" s="54"/>
      <c r="V37" s="62"/>
      <c r="X37" s="1">
        <f t="shared" ca="1" si="3"/>
        <v>1</v>
      </c>
      <c r="Z37" s="1">
        <f t="shared" si="12"/>
        <v>0</v>
      </c>
      <c r="AA37" s="1">
        <f t="shared" si="12"/>
        <v>0</v>
      </c>
      <c r="AB37" s="1">
        <f t="shared" si="12"/>
        <v>0</v>
      </c>
      <c r="AC37" s="1">
        <f t="shared" si="12"/>
        <v>0</v>
      </c>
      <c r="AD37" s="1">
        <f t="shared" si="12"/>
        <v>0</v>
      </c>
      <c r="AE37" s="1">
        <f t="shared" si="12"/>
        <v>0</v>
      </c>
      <c r="AF37" s="1">
        <f t="shared" si="12"/>
        <v>0</v>
      </c>
      <c r="AG37" s="1">
        <f t="shared" si="12"/>
        <v>0</v>
      </c>
      <c r="AH37" s="1">
        <f t="shared" si="12"/>
        <v>0</v>
      </c>
      <c r="AI37" s="1">
        <f t="shared" si="12"/>
        <v>0</v>
      </c>
      <c r="AJ37" s="1">
        <f t="shared" si="12"/>
        <v>0</v>
      </c>
      <c r="AK37" s="1">
        <f t="shared" si="12"/>
        <v>0</v>
      </c>
    </row>
    <row r="38" spans="1:37" ht="14.1" customHeight="1" x14ac:dyDescent="0.2">
      <c r="A38" s="12">
        <v>11</v>
      </c>
      <c r="B38" s="65"/>
      <c r="C38" s="115" t="str">
        <f t="shared" si="7"/>
        <v>---</v>
      </c>
      <c r="D38" s="116" t="str">
        <f t="shared" si="7"/>
        <v/>
      </c>
      <c r="E38" s="117">
        <f t="shared" ca="1" si="8"/>
        <v>0</v>
      </c>
      <c r="F38" s="117">
        <f t="shared" ca="1" si="9"/>
        <v>0</v>
      </c>
      <c r="G38" s="117">
        <f t="shared" ca="1" si="10"/>
        <v>0</v>
      </c>
      <c r="H38" s="62"/>
      <c r="I38" s="3"/>
      <c r="J38" s="3" t="b">
        <f t="shared" si="11"/>
        <v>0</v>
      </c>
      <c r="K38" s="3" t="b">
        <f t="shared" si="11"/>
        <v>0</v>
      </c>
      <c r="L38" s="3" t="b">
        <f t="shared" si="11"/>
        <v>0</v>
      </c>
      <c r="M38" s="3"/>
      <c r="N38" s="16">
        <v>30</v>
      </c>
      <c r="O38" s="65"/>
      <c r="P38" s="55"/>
      <c r="Q38" s="56"/>
      <c r="R38" s="57"/>
      <c r="S38" s="58"/>
      <c r="T38" s="59"/>
      <c r="U38" s="60"/>
      <c r="V38" s="62"/>
      <c r="X38" s="1">
        <f t="shared" ca="1" si="3"/>
        <v>1</v>
      </c>
      <c r="Z38" s="1">
        <f t="shared" si="12"/>
        <v>0</v>
      </c>
      <c r="AA38" s="1">
        <f t="shared" si="12"/>
        <v>0</v>
      </c>
      <c r="AB38" s="1">
        <f t="shared" si="12"/>
        <v>0</v>
      </c>
      <c r="AC38" s="1">
        <f t="shared" si="12"/>
        <v>0</v>
      </c>
      <c r="AD38" s="1">
        <f t="shared" si="12"/>
        <v>0</v>
      </c>
      <c r="AE38" s="1">
        <f t="shared" si="12"/>
        <v>0</v>
      </c>
      <c r="AF38" s="1">
        <f t="shared" si="12"/>
        <v>0</v>
      </c>
      <c r="AG38" s="1">
        <f t="shared" si="12"/>
        <v>0</v>
      </c>
      <c r="AH38" s="1">
        <f t="shared" si="12"/>
        <v>0</v>
      </c>
      <c r="AI38" s="1">
        <f t="shared" si="12"/>
        <v>0</v>
      </c>
      <c r="AJ38" s="1">
        <f t="shared" si="12"/>
        <v>0</v>
      </c>
      <c r="AK38" s="1">
        <f t="shared" si="12"/>
        <v>0</v>
      </c>
    </row>
    <row r="39" spans="1:37" ht="14.1" customHeight="1" x14ac:dyDescent="0.2">
      <c r="A39" s="16">
        <v>12</v>
      </c>
      <c r="B39" s="66"/>
      <c r="C39" s="121" t="str">
        <f t="shared" si="7"/>
        <v>---</v>
      </c>
      <c r="D39" s="122" t="str">
        <f t="shared" si="7"/>
        <v/>
      </c>
      <c r="E39" s="123">
        <f t="shared" ca="1" si="8"/>
        <v>0</v>
      </c>
      <c r="F39" s="123">
        <f t="shared" ca="1" si="9"/>
        <v>0</v>
      </c>
      <c r="G39" s="123">
        <f t="shared" ca="1" si="10"/>
        <v>0</v>
      </c>
      <c r="H39" s="63"/>
      <c r="I39" s="3"/>
      <c r="J39" s="3" t="b">
        <f t="shared" si="11"/>
        <v>0</v>
      </c>
      <c r="K39" s="3" t="b">
        <f t="shared" si="11"/>
        <v>0</v>
      </c>
      <c r="L39" s="3" t="b">
        <f t="shared" si="11"/>
        <v>0</v>
      </c>
      <c r="M39" s="3"/>
      <c r="N39" s="12">
        <v>31</v>
      </c>
      <c r="O39" s="65"/>
      <c r="P39" s="49"/>
      <c r="Q39" s="50"/>
      <c r="R39" s="51"/>
      <c r="S39" s="52"/>
      <c r="T39" s="53"/>
      <c r="U39" s="54"/>
      <c r="V39" s="62"/>
      <c r="X39" s="1">
        <f t="shared" ca="1" si="3"/>
        <v>1</v>
      </c>
      <c r="Z39" s="1">
        <f t="shared" ref="Z39:AK48" si="13">IF(Z$8=$R39,-$T39,0)+IF(Z$8=$S39,$T39,0)</f>
        <v>0</v>
      </c>
      <c r="AA39" s="1">
        <f t="shared" si="13"/>
        <v>0</v>
      </c>
      <c r="AB39" s="1">
        <f t="shared" si="13"/>
        <v>0</v>
      </c>
      <c r="AC39" s="1">
        <f t="shared" si="13"/>
        <v>0</v>
      </c>
      <c r="AD39" s="1">
        <f t="shared" si="13"/>
        <v>0</v>
      </c>
      <c r="AE39" s="1">
        <f t="shared" si="13"/>
        <v>0</v>
      </c>
      <c r="AF39" s="1">
        <f t="shared" si="13"/>
        <v>0</v>
      </c>
      <c r="AG39" s="1">
        <f t="shared" si="13"/>
        <v>0</v>
      </c>
      <c r="AH39" s="1">
        <f t="shared" si="13"/>
        <v>0</v>
      </c>
      <c r="AI39" s="1">
        <f t="shared" si="13"/>
        <v>0</v>
      </c>
      <c r="AJ39" s="1">
        <f t="shared" si="13"/>
        <v>0</v>
      </c>
      <c r="AK39" s="1">
        <f t="shared" si="13"/>
        <v>0</v>
      </c>
    </row>
    <row r="40" spans="1:37" ht="14.1" customHeight="1" x14ac:dyDescent="0.2">
      <c r="A40" s="12"/>
      <c r="B40" s="124"/>
      <c r="C40" s="125"/>
      <c r="D40" s="126"/>
      <c r="E40" s="126"/>
      <c r="F40" s="126"/>
      <c r="G40" s="126"/>
      <c r="H40" s="127"/>
      <c r="I40" s="3"/>
      <c r="J40" s="3"/>
      <c r="K40" s="3"/>
      <c r="L40" s="3"/>
      <c r="M40" s="3"/>
      <c r="N40" s="16">
        <v>32</v>
      </c>
      <c r="O40" s="65"/>
      <c r="P40" s="55"/>
      <c r="Q40" s="56"/>
      <c r="R40" s="57"/>
      <c r="S40" s="58"/>
      <c r="T40" s="59"/>
      <c r="U40" s="60"/>
      <c r="V40" s="62"/>
      <c r="X40" s="1">
        <f t="shared" ca="1" si="3"/>
        <v>1</v>
      </c>
      <c r="Z40" s="1">
        <f t="shared" si="13"/>
        <v>0</v>
      </c>
      <c r="AA40" s="1">
        <f t="shared" si="13"/>
        <v>0</v>
      </c>
      <c r="AB40" s="1">
        <f t="shared" si="13"/>
        <v>0</v>
      </c>
      <c r="AC40" s="1">
        <f t="shared" si="13"/>
        <v>0</v>
      </c>
      <c r="AD40" s="1">
        <f t="shared" si="13"/>
        <v>0</v>
      </c>
      <c r="AE40" s="1">
        <f t="shared" si="13"/>
        <v>0</v>
      </c>
      <c r="AF40" s="1">
        <f t="shared" si="13"/>
        <v>0</v>
      </c>
      <c r="AG40" s="1">
        <f t="shared" si="13"/>
        <v>0</v>
      </c>
      <c r="AH40" s="1">
        <f t="shared" si="13"/>
        <v>0</v>
      </c>
      <c r="AI40" s="1">
        <f t="shared" si="13"/>
        <v>0</v>
      </c>
      <c r="AJ40" s="1">
        <f t="shared" si="13"/>
        <v>0</v>
      </c>
      <c r="AK40" s="1">
        <f t="shared" si="13"/>
        <v>0</v>
      </c>
    </row>
    <row r="41" spans="1:37" ht="14.1" customHeight="1" x14ac:dyDescent="0.2">
      <c r="I41" s="3"/>
      <c r="J41" s="3"/>
      <c r="K41" s="3"/>
      <c r="L41" s="3"/>
      <c r="M41" s="3"/>
      <c r="N41" s="12">
        <v>33</v>
      </c>
      <c r="O41" s="65"/>
      <c r="P41" s="49"/>
      <c r="Q41" s="50"/>
      <c r="R41" s="51"/>
      <c r="S41" s="52"/>
      <c r="T41" s="53"/>
      <c r="U41" s="54"/>
      <c r="V41" s="62"/>
      <c r="X41" s="1">
        <f t="shared" ref="X41:X72" ca="1" si="14">IF(P41&lt;NOW(),1,0)</f>
        <v>1</v>
      </c>
      <c r="Z41" s="1">
        <f t="shared" si="13"/>
        <v>0</v>
      </c>
      <c r="AA41" s="1">
        <f t="shared" si="13"/>
        <v>0</v>
      </c>
      <c r="AB41" s="1">
        <f t="shared" si="13"/>
        <v>0</v>
      </c>
      <c r="AC41" s="1">
        <f t="shared" si="13"/>
        <v>0</v>
      </c>
      <c r="AD41" s="1">
        <f t="shared" si="13"/>
        <v>0</v>
      </c>
      <c r="AE41" s="1">
        <f t="shared" si="13"/>
        <v>0</v>
      </c>
      <c r="AF41" s="1">
        <f t="shared" si="13"/>
        <v>0</v>
      </c>
      <c r="AG41" s="1">
        <f t="shared" si="13"/>
        <v>0</v>
      </c>
      <c r="AH41" s="1">
        <f t="shared" si="13"/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</row>
    <row r="42" spans="1:37" ht="14.1" customHeight="1" x14ac:dyDescent="0.2">
      <c r="B42" s="91"/>
      <c r="C42" s="92"/>
      <c r="D42" s="93"/>
      <c r="E42" s="93"/>
      <c r="F42" s="93"/>
      <c r="G42" s="93"/>
      <c r="H42" s="94"/>
      <c r="I42" s="3"/>
      <c r="J42" s="3"/>
      <c r="K42" s="3"/>
      <c r="L42" s="3"/>
      <c r="M42" s="3"/>
      <c r="N42" s="16">
        <v>34</v>
      </c>
      <c r="O42" s="65"/>
      <c r="P42" s="55"/>
      <c r="Q42" s="56"/>
      <c r="R42" s="57"/>
      <c r="S42" s="58"/>
      <c r="T42" s="59"/>
      <c r="U42" s="60"/>
      <c r="V42" s="62"/>
      <c r="X42" s="1">
        <f t="shared" ca="1" si="14"/>
        <v>1</v>
      </c>
      <c r="Z42" s="1">
        <f t="shared" si="13"/>
        <v>0</v>
      </c>
      <c r="AA42" s="1">
        <f t="shared" si="13"/>
        <v>0</v>
      </c>
      <c r="AB42" s="1">
        <f t="shared" si="13"/>
        <v>0</v>
      </c>
      <c r="AC42" s="1">
        <f t="shared" si="13"/>
        <v>0</v>
      </c>
      <c r="AD42" s="1">
        <f t="shared" si="13"/>
        <v>0</v>
      </c>
      <c r="AE42" s="1">
        <f t="shared" si="13"/>
        <v>0</v>
      </c>
      <c r="AF42" s="1">
        <f t="shared" si="13"/>
        <v>0</v>
      </c>
      <c r="AG42" s="1">
        <f t="shared" si="13"/>
        <v>0</v>
      </c>
      <c r="AH42" s="1">
        <f t="shared" si="13"/>
        <v>0</v>
      </c>
      <c r="AI42" s="1">
        <f t="shared" si="13"/>
        <v>0</v>
      </c>
      <c r="AJ42" s="1">
        <f t="shared" si="13"/>
        <v>0</v>
      </c>
      <c r="AK42" s="1">
        <f t="shared" si="13"/>
        <v>0</v>
      </c>
    </row>
    <row r="43" spans="1:37" ht="14.1" customHeight="1" x14ac:dyDescent="0.2">
      <c r="B43" s="95"/>
      <c r="C43" s="286" t="s">
        <v>106</v>
      </c>
      <c r="D43" s="286"/>
      <c r="E43" s="286"/>
      <c r="F43" s="286"/>
      <c r="G43" s="286"/>
      <c r="H43" s="96"/>
      <c r="I43" s="3"/>
      <c r="J43" s="3"/>
      <c r="K43" s="3"/>
      <c r="L43" s="3"/>
      <c r="M43" s="3"/>
      <c r="N43" s="12">
        <v>35</v>
      </c>
      <c r="O43" s="65"/>
      <c r="P43" s="49"/>
      <c r="Q43" s="50"/>
      <c r="R43" s="51"/>
      <c r="S43" s="52"/>
      <c r="T43" s="53"/>
      <c r="U43" s="54"/>
      <c r="V43" s="62"/>
      <c r="X43" s="1">
        <f t="shared" ca="1" si="14"/>
        <v>1</v>
      </c>
      <c r="Z43" s="1">
        <f t="shared" si="13"/>
        <v>0</v>
      </c>
      <c r="AA43" s="1">
        <f t="shared" si="13"/>
        <v>0</v>
      </c>
      <c r="AB43" s="1">
        <f t="shared" si="13"/>
        <v>0</v>
      </c>
      <c r="AC43" s="1">
        <f t="shared" si="13"/>
        <v>0</v>
      </c>
      <c r="AD43" s="1">
        <f t="shared" si="13"/>
        <v>0</v>
      </c>
      <c r="AE43" s="1">
        <f t="shared" si="13"/>
        <v>0</v>
      </c>
      <c r="AF43" s="1">
        <f t="shared" si="13"/>
        <v>0</v>
      </c>
      <c r="AG43" s="1">
        <f t="shared" si="13"/>
        <v>0</v>
      </c>
      <c r="AH43" s="1">
        <f t="shared" si="13"/>
        <v>0</v>
      </c>
      <c r="AI43" s="1">
        <f t="shared" si="13"/>
        <v>0</v>
      </c>
      <c r="AJ43" s="1">
        <f t="shared" si="13"/>
        <v>0</v>
      </c>
      <c r="AK43" s="1">
        <f t="shared" si="13"/>
        <v>0</v>
      </c>
    </row>
    <row r="44" spans="1:37" ht="14.1" customHeight="1" x14ac:dyDescent="0.2">
      <c r="B44" s="95"/>
      <c r="C44" s="286"/>
      <c r="D44" s="286"/>
      <c r="E44" s="286"/>
      <c r="F44" s="286"/>
      <c r="G44" s="286"/>
      <c r="H44" s="96"/>
      <c r="I44" s="3"/>
      <c r="J44" s="3"/>
      <c r="K44" s="3"/>
      <c r="L44" s="3"/>
      <c r="M44" s="3"/>
      <c r="N44" s="16">
        <v>36</v>
      </c>
      <c r="O44" s="65"/>
      <c r="P44" s="55"/>
      <c r="Q44" s="56"/>
      <c r="R44" s="57"/>
      <c r="S44" s="58"/>
      <c r="T44" s="59"/>
      <c r="U44" s="60"/>
      <c r="V44" s="62"/>
      <c r="X44" s="1">
        <f t="shared" ca="1" si="14"/>
        <v>1</v>
      </c>
      <c r="Z44" s="1">
        <f t="shared" si="13"/>
        <v>0</v>
      </c>
      <c r="AA44" s="1">
        <f t="shared" si="13"/>
        <v>0</v>
      </c>
      <c r="AB44" s="1">
        <f t="shared" si="13"/>
        <v>0</v>
      </c>
      <c r="AC44" s="1">
        <f t="shared" si="13"/>
        <v>0</v>
      </c>
      <c r="AD44" s="1">
        <f t="shared" si="13"/>
        <v>0</v>
      </c>
      <c r="AE44" s="1">
        <f t="shared" si="13"/>
        <v>0</v>
      </c>
      <c r="AF44" s="1">
        <f t="shared" si="13"/>
        <v>0</v>
      </c>
      <c r="AG44" s="1">
        <f t="shared" si="13"/>
        <v>0</v>
      </c>
      <c r="AH44" s="1">
        <f t="shared" si="13"/>
        <v>0</v>
      </c>
      <c r="AI44" s="1">
        <f t="shared" si="13"/>
        <v>0</v>
      </c>
      <c r="AJ44" s="1">
        <f t="shared" si="13"/>
        <v>0</v>
      </c>
      <c r="AK44" s="1">
        <f t="shared" si="13"/>
        <v>0</v>
      </c>
    </row>
    <row r="45" spans="1:37" ht="14.1" customHeight="1" x14ac:dyDescent="0.2">
      <c r="B45" s="46"/>
      <c r="C45" s="271" t="s">
        <v>20</v>
      </c>
      <c r="D45" s="273" t="s">
        <v>5</v>
      </c>
      <c r="E45" s="275" t="s">
        <v>104</v>
      </c>
      <c r="F45" s="275" t="s">
        <v>89</v>
      </c>
      <c r="G45" s="276" t="s">
        <v>6</v>
      </c>
      <c r="H45" s="96"/>
      <c r="I45" s="3"/>
      <c r="J45" s="3"/>
      <c r="K45" s="3"/>
      <c r="L45" s="3"/>
      <c r="M45" s="3"/>
      <c r="N45" s="12">
        <v>37</v>
      </c>
      <c r="O45" s="65"/>
      <c r="P45" s="49"/>
      <c r="Q45" s="50"/>
      <c r="R45" s="51"/>
      <c r="S45" s="52"/>
      <c r="T45" s="53"/>
      <c r="U45" s="54"/>
      <c r="V45" s="62"/>
      <c r="X45" s="1">
        <f t="shared" ca="1" si="14"/>
        <v>1</v>
      </c>
      <c r="Z45" s="1">
        <f t="shared" si="13"/>
        <v>0</v>
      </c>
      <c r="AA45" s="1">
        <f t="shared" si="13"/>
        <v>0</v>
      </c>
      <c r="AB45" s="1">
        <f t="shared" si="13"/>
        <v>0</v>
      </c>
      <c r="AC45" s="1">
        <f t="shared" si="13"/>
        <v>0</v>
      </c>
      <c r="AD45" s="1">
        <f t="shared" si="13"/>
        <v>0</v>
      </c>
      <c r="AE45" s="1">
        <f t="shared" si="13"/>
        <v>0</v>
      </c>
      <c r="AF45" s="1">
        <f t="shared" si="13"/>
        <v>0</v>
      </c>
      <c r="AG45" s="1">
        <f t="shared" si="13"/>
        <v>0</v>
      </c>
      <c r="AH45" s="1">
        <f t="shared" si="13"/>
        <v>0</v>
      </c>
      <c r="AI45" s="1">
        <f t="shared" si="13"/>
        <v>0</v>
      </c>
      <c r="AJ45" s="1">
        <f t="shared" si="13"/>
        <v>0</v>
      </c>
      <c r="AK45" s="1">
        <f t="shared" si="13"/>
        <v>0</v>
      </c>
    </row>
    <row r="46" spans="1:37" ht="14.1" customHeight="1" x14ac:dyDescent="0.2">
      <c r="A46" s="3"/>
      <c r="B46" s="44"/>
      <c r="C46" s="272"/>
      <c r="D46" s="274"/>
      <c r="E46" s="99" t="s">
        <v>87</v>
      </c>
      <c r="F46" s="100" t="s">
        <v>89</v>
      </c>
      <c r="G46" s="98" t="s">
        <v>6</v>
      </c>
      <c r="H46" s="97"/>
      <c r="I46" s="3"/>
      <c r="J46" s="3"/>
      <c r="K46" s="3"/>
      <c r="L46" s="3"/>
      <c r="M46" s="3"/>
      <c r="N46" s="16">
        <v>38</v>
      </c>
      <c r="O46" s="65"/>
      <c r="P46" s="55"/>
      <c r="Q46" s="56"/>
      <c r="R46" s="57"/>
      <c r="S46" s="58"/>
      <c r="T46" s="59"/>
      <c r="U46" s="60"/>
      <c r="V46" s="62"/>
      <c r="X46" s="1">
        <f t="shared" ca="1" si="14"/>
        <v>1</v>
      </c>
      <c r="Z46" s="1">
        <f t="shared" si="13"/>
        <v>0</v>
      </c>
      <c r="AA46" s="1">
        <f t="shared" si="13"/>
        <v>0</v>
      </c>
      <c r="AB46" s="1">
        <f t="shared" si="13"/>
        <v>0</v>
      </c>
      <c r="AC46" s="1">
        <f t="shared" si="13"/>
        <v>0</v>
      </c>
      <c r="AD46" s="1">
        <f t="shared" si="13"/>
        <v>0</v>
      </c>
      <c r="AE46" s="1">
        <f t="shared" si="13"/>
        <v>0</v>
      </c>
      <c r="AF46" s="1">
        <f t="shared" si="13"/>
        <v>0</v>
      </c>
      <c r="AG46" s="1">
        <f t="shared" si="13"/>
        <v>0</v>
      </c>
      <c r="AH46" s="1">
        <f t="shared" si="13"/>
        <v>0</v>
      </c>
      <c r="AI46" s="1">
        <f t="shared" si="13"/>
        <v>0</v>
      </c>
      <c r="AJ46" s="1">
        <f t="shared" si="13"/>
        <v>0</v>
      </c>
      <c r="AK46" s="1">
        <f t="shared" si="13"/>
        <v>0</v>
      </c>
    </row>
    <row r="47" spans="1:37" ht="14.1" customHeight="1" x14ac:dyDescent="0.2">
      <c r="A47" s="12">
        <v>1</v>
      </c>
      <c r="B47" s="64"/>
      <c r="C47" s="115" t="str">
        <f>ANUAL!$C115</f>
        <v>CC</v>
      </c>
      <c r="D47" s="240" t="str">
        <f>ANUAL!$D115</f>
        <v>CONTA CORRENTE</v>
      </c>
      <c r="E47" s="117">
        <f>SUMIF($J$28:$J$39,TRUE,E$28:E$39)</f>
        <v>0</v>
      </c>
      <c r="F47" s="117">
        <f>SUMIF($J$28:$J$39,TRUE,F$28:F$39)</f>
        <v>0</v>
      </c>
      <c r="G47" s="117">
        <f>SUMIF($J$28:$J$39,TRUE,G$28:G$39)+SUMIF($J$9:$J$20,TRUE,E$9:E$20)</f>
        <v>0</v>
      </c>
      <c r="H47" s="61"/>
      <c r="N47" s="12">
        <v>39</v>
      </c>
      <c r="O47" s="65"/>
      <c r="P47" s="49"/>
      <c r="Q47" s="50"/>
      <c r="R47" s="51"/>
      <c r="S47" s="52"/>
      <c r="T47" s="53"/>
      <c r="U47" s="54"/>
      <c r="V47" s="62"/>
      <c r="X47" s="1">
        <f t="shared" ca="1" si="14"/>
        <v>1</v>
      </c>
      <c r="Z47" s="1">
        <f t="shared" si="13"/>
        <v>0</v>
      </c>
      <c r="AA47" s="1">
        <f t="shared" si="13"/>
        <v>0</v>
      </c>
      <c r="AB47" s="1">
        <f t="shared" si="13"/>
        <v>0</v>
      </c>
      <c r="AC47" s="1">
        <f t="shared" si="13"/>
        <v>0</v>
      </c>
      <c r="AD47" s="1">
        <f t="shared" si="13"/>
        <v>0</v>
      </c>
      <c r="AE47" s="1">
        <f t="shared" si="13"/>
        <v>0</v>
      </c>
      <c r="AF47" s="1">
        <f t="shared" si="13"/>
        <v>0</v>
      </c>
      <c r="AG47" s="1">
        <f t="shared" si="13"/>
        <v>0</v>
      </c>
      <c r="AH47" s="1">
        <f t="shared" si="13"/>
        <v>0</v>
      </c>
      <c r="AI47" s="1">
        <f t="shared" si="13"/>
        <v>0</v>
      </c>
      <c r="AJ47" s="1">
        <f t="shared" si="13"/>
        <v>0</v>
      </c>
      <c r="AK47" s="1">
        <f t="shared" si="13"/>
        <v>0</v>
      </c>
    </row>
    <row r="48" spans="1:37" ht="14.1" customHeight="1" x14ac:dyDescent="0.2">
      <c r="A48" s="16">
        <v>2</v>
      </c>
      <c r="B48" s="65"/>
      <c r="C48" s="118" t="str">
        <f>ANUAL!$C116</f>
        <v>INV</v>
      </c>
      <c r="D48" s="119" t="str">
        <f>ANUAL!$D116</f>
        <v>APLICAÇÕES DE INVESTIMENTO</v>
      </c>
      <c r="E48" s="120">
        <f ca="1">SUMIF($K$28:$K$39,TRUE,E$28:E$39)</f>
        <v>0</v>
      </c>
      <c r="F48" s="120">
        <f ca="1">SUMIF($K$28:$K$39,TRUE,F$28:F$39)</f>
        <v>0</v>
      </c>
      <c r="G48" s="120">
        <f ca="1">SUMIF($K$28:$K$39,TRUE,G$28:G$39)+SUMIF($K$9:$K$20,TRUE,E$9:E$20)</f>
        <v>0</v>
      </c>
      <c r="H48" s="62"/>
      <c r="N48" s="16">
        <v>40</v>
      </c>
      <c r="O48" s="65"/>
      <c r="P48" s="55"/>
      <c r="Q48" s="56"/>
      <c r="R48" s="57"/>
      <c r="S48" s="58"/>
      <c r="T48" s="59"/>
      <c r="U48" s="60"/>
      <c r="V48" s="62"/>
      <c r="X48" s="1">
        <f t="shared" ca="1" si="14"/>
        <v>1</v>
      </c>
      <c r="Z48" s="1">
        <f t="shared" si="13"/>
        <v>0</v>
      </c>
      <c r="AA48" s="1">
        <f t="shared" si="13"/>
        <v>0</v>
      </c>
      <c r="AB48" s="1">
        <f t="shared" si="13"/>
        <v>0</v>
      </c>
      <c r="AC48" s="1">
        <f t="shared" si="13"/>
        <v>0</v>
      </c>
      <c r="AD48" s="1">
        <f t="shared" si="13"/>
        <v>0</v>
      </c>
      <c r="AE48" s="1">
        <f t="shared" si="13"/>
        <v>0</v>
      </c>
      <c r="AF48" s="1">
        <f t="shared" si="13"/>
        <v>0</v>
      </c>
      <c r="AG48" s="1">
        <f t="shared" si="13"/>
        <v>0</v>
      </c>
      <c r="AH48" s="1">
        <f t="shared" si="13"/>
        <v>0</v>
      </c>
      <c r="AI48" s="1">
        <f t="shared" si="13"/>
        <v>0</v>
      </c>
      <c r="AJ48" s="1">
        <f t="shared" si="13"/>
        <v>0</v>
      </c>
      <c r="AK48" s="1">
        <f t="shared" si="13"/>
        <v>0</v>
      </c>
    </row>
    <row r="49" spans="1:37" ht="14.1" customHeight="1" x14ac:dyDescent="0.2">
      <c r="A49" s="12">
        <v>3</v>
      </c>
      <c r="B49" s="65"/>
      <c r="C49" s="115" t="str">
        <f>ANUAL!$C117</f>
        <v>DINH</v>
      </c>
      <c r="D49" s="240" t="str">
        <f>ANUAL!$D117</f>
        <v>EM ESPÉCIE</v>
      </c>
      <c r="E49" s="117">
        <f ca="1">SUMIF($L$28:$L$39,TRUE,E$28:E$39)</f>
        <v>0</v>
      </c>
      <c r="F49" s="117">
        <f ca="1">SUMIF($L$28:$L$39,TRUE,F$28:F$39)</f>
        <v>0</v>
      </c>
      <c r="G49" s="117">
        <f ca="1">SUMIF($L$28:$L$39,TRUE,G$28:G$39)+SUMIF($L$9:$L$20,TRUE,E$9:E$20)</f>
        <v>0</v>
      </c>
      <c r="H49" s="62"/>
      <c r="N49" s="12">
        <v>41</v>
      </c>
      <c r="O49" s="65"/>
      <c r="P49" s="49"/>
      <c r="Q49" s="50"/>
      <c r="R49" s="51"/>
      <c r="S49" s="52"/>
      <c r="T49" s="53"/>
      <c r="U49" s="54"/>
      <c r="V49" s="62"/>
      <c r="X49" s="1">
        <f t="shared" ca="1" si="14"/>
        <v>1</v>
      </c>
      <c r="Z49" s="1">
        <f t="shared" ref="Z49:AK58" si="15">IF(Z$8=$R49,-$T49,0)+IF(Z$8=$S49,$T49,0)</f>
        <v>0</v>
      </c>
      <c r="AA49" s="1">
        <f t="shared" si="15"/>
        <v>0</v>
      </c>
      <c r="AB49" s="1">
        <f t="shared" si="15"/>
        <v>0</v>
      </c>
      <c r="AC49" s="1">
        <f t="shared" si="15"/>
        <v>0</v>
      </c>
      <c r="AD49" s="1">
        <f t="shared" si="15"/>
        <v>0</v>
      </c>
      <c r="AE49" s="1">
        <f t="shared" si="15"/>
        <v>0</v>
      </c>
      <c r="AF49" s="1">
        <f t="shared" si="15"/>
        <v>0</v>
      </c>
      <c r="AG49" s="1">
        <f t="shared" si="15"/>
        <v>0</v>
      </c>
      <c r="AH49" s="1">
        <f t="shared" si="15"/>
        <v>0</v>
      </c>
      <c r="AI49" s="1">
        <f t="shared" si="15"/>
        <v>0</v>
      </c>
      <c r="AJ49" s="1">
        <f t="shared" si="15"/>
        <v>0</v>
      </c>
      <c r="AK49" s="1">
        <f t="shared" si="15"/>
        <v>0</v>
      </c>
    </row>
    <row r="50" spans="1:37" ht="14.1" customHeight="1" x14ac:dyDescent="0.2">
      <c r="A50" s="12"/>
      <c r="B50" s="109"/>
      <c r="C50" s="110"/>
      <c r="D50" s="111"/>
      <c r="E50" s="111"/>
      <c r="F50" s="111"/>
      <c r="G50" s="111"/>
      <c r="H50" s="112"/>
      <c r="I50" s="3"/>
      <c r="J50" s="3"/>
      <c r="K50" s="3"/>
      <c r="L50" s="3"/>
      <c r="M50" s="3"/>
      <c r="N50" s="16">
        <v>42</v>
      </c>
      <c r="O50" s="65"/>
      <c r="P50" s="55"/>
      <c r="Q50" s="56"/>
      <c r="R50" s="57"/>
      <c r="S50" s="58"/>
      <c r="T50" s="59"/>
      <c r="U50" s="60"/>
      <c r="V50" s="62"/>
      <c r="X50" s="1">
        <f t="shared" ca="1" si="14"/>
        <v>1</v>
      </c>
      <c r="Z50" s="1">
        <f t="shared" si="15"/>
        <v>0</v>
      </c>
      <c r="AA50" s="1">
        <f t="shared" si="15"/>
        <v>0</v>
      </c>
      <c r="AB50" s="1">
        <f t="shared" si="15"/>
        <v>0</v>
      </c>
      <c r="AC50" s="1">
        <f t="shared" si="15"/>
        <v>0</v>
      </c>
      <c r="AD50" s="1">
        <f t="shared" si="15"/>
        <v>0</v>
      </c>
      <c r="AE50" s="1">
        <f t="shared" si="15"/>
        <v>0</v>
      </c>
      <c r="AF50" s="1">
        <f t="shared" si="15"/>
        <v>0</v>
      </c>
      <c r="AG50" s="1">
        <f t="shared" si="15"/>
        <v>0</v>
      </c>
      <c r="AH50" s="1">
        <f t="shared" si="15"/>
        <v>0</v>
      </c>
      <c r="AI50" s="1">
        <f t="shared" si="15"/>
        <v>0</v>
      </c>
      <c r="AJ50" s="1">
        <f t="shared" si="15"/>
        <v>0</v>
      </c>
      <c r="AK50" s="1">
        <f t="shared" si="15"/>
        <v>0</v>
      </c>
    </row>
    <row r="51" spans="1:37" ht="14.1" customHeight="1" x14ac:dyDescent="0.2">
      <c r="I51" s="3"/>
      <c r="J51" s="3"/>
      <c r="K51" s="3"/>
      <c r="L51" s="3"/>
      <c r="M51" s="3"/>
      <c r="N51" s="12">
        <v>43</v>
      </c>
      <c r="O51" s="65"/>
      <c r="P51" s="49"/>
      <c r="Q51" s="50"/>
      <c r="R51" s="51"/>
      <c r="S51" s="52"/>
      <c r="T51" s="53"/>
      <c r="U51" s="54"/>
      <c r="V51" s="62"/>
      <c r="X51" s="1">
        <f t="shared" ca="1" si="14"/>
        <v>1</v>
      </c>
      <c r="Z51" s="1">
        <f t="shared" si="15"/>
        <v>0</v>
      </c>
      <c r="AA51" s="1">
        <f t="shared" si="15"/>
        <v>0</v>
      </c>
      <c r="AB51" s="1">
        <f t="shared" si="15"/>
        <v>0</v>
      </c>
      <c r="AC51" s="1">
        <f t="shared" si="15"/>
        <v>0</v>
      </c>
      <c r="AD51" s="1">
        <f t="shared" si="15"/>
        <v>0</v>
      </c>
      <c r="AE51" s="1">
        <f t="shared" si="15"/>
        <v>0</v>
      </c>
      <c r="AF51" s="1">
        <f t="shared" si="15"/>
        <v>0</v>
      </c>
      <c r="AG51" s="1">
        <f t="shared" si="15"/>
        <v>0</v>
      </c>
      <c r="AH51" s="1">
        <f t="shared" si="15"/>
        <v>0</v>
      </c>
      <c r="AI51" s="1">
        <f t="shared" si="15"/>
        <v>0</v>
      </c>
      <c r="AJ51" s="1">
        <f t="shared" si="15"/>
        <v>0</v>
      </c>
      <c r="AK51" s="1">
        <f t="shared" si="15"/>
        <v>0</v>
      </c>
    </row>
    <row r="52" spans="1:37" ht="14.1" customHeight="1" x14ac:dyDescent="0.2">
      <c r="B52" s="84"/>
      <c r="C52" s="85"/>
      <c r="D52" s="86"/>
      <c r="E52" s="86"/>
      <c r="F52" s="86"/>
      <c r="G52" s="86"/>
      <c r="H52" s="87"/>
      <c r="N52" s="16">
        <v>44</v>
      </c>
      <c r="O52" s="65"/>
      <c r="P52" s="55"/>
      <c r="Q52" s="56"/>
      <c r="R52" s="57"/>
      <c r="S52" s="58"/>
      <c r="T52" s="59"/>
      <c r="U52" s="60"/>
      <c r="V52" s="62"/>
      <c r="X52" s="1">
        <f t="shared" ca="1" si="14"/>
        <v>1</v>
      </c>
      <c r="Z52" s="1">
        <f t="shared" si="15"/>
        <v>0</v>
      </c>
      <c r="AA52" s="1">
        <f t="shared" si="15"/>
        <v>0</v>
      </c>
      <c r="AB52" s="1">
        <f t="shared" si="15"/>
        <v>0</v>
      </c>
      <c r="AC52" s="1">
        <f t="shared" si="15"/>
        <v>0</v>
      </c>
      <c r="AD52" s="1">
        <f t="shared" si="15"/>
        <v>0</v>
      </c>
      <c r="AE52" s="1">
        <f t="shared" si="15"/>
        <v>0</v>
      </c>
      <c r="AF52" s="1">
        <f t="shared" si="15"/>
        <v>0</v>
      </c>
      <c r="AG52" s="1">
        <f t="shared" si="15"/>
        <v>0</v>
      </c>
      <c r="AH52" s="1">
        <f t="shared" si="15"/>
        <v>0</v>
      </c>
      <c r="AI52" s="1">
        <f t="shared" si="15"/>
        <v>0</v>
      </c>
      <c r="AJ52" s="1">
        <f t="shared" si="15"/>
        <v>0</v>
      </c>
      <c r="AK52" s="1">
        <f t="shared" si="15"/>
        <v>0</v>
      </c>
    </row>
    <row r="53" spans="1:37" ht="14.1" customHeight="1" x14ac:dyDescent="0.2">
      <c r="B53" s="88"/>
      <c r="C53" s="304" t="s">
        <v>27</v>
      </c>
      <c r="D53" s="304"/>
      <c r="E53" s="304"/>
      <c r="F53" s="304"/>
      <c r="G53" s="304"/>
      <c r="H53" s="89"/>
      <c r="N53" s="12">
        <v>45</v>
      </c>
      <c r="O53" s="65"/>
      <c r="P53" s="49"/>
      <c r="Q53" s="50"/>
      <c r="R53" s="51"/>
      <c r="S53" s="52"/>
      <c r="T53" s="53"/>
      <c r="U53" s="54"/>
      <c r="V53" s="62"/>
      <c r="X53" s="1">
        <f t="shared" ca="1" si="14"/>
        <v>1</v>
      </c>
      <c r="Z53" s="1">
        <f t="shared" si="15"/>
        <v>0</v>
      </c>
      <c r="AA53" s="1">
        <f t="shared" si="15"/>
        <v>0</v>
      </c>
      <c r="AB53" s="1">
        <f t="shared" si="15"/>
        <v>0</v>
      </c>
      <c r="AC53" s="1">
        <f t="shared" si="15"/>
        <v>0</v>
      </c>
      <c r="AD53" s="1">
        <f t="shared" si="15"/>
        <v>0</v>
      </c>
      <c r="AE53" s="1">
        <f t="shared" si="15"/>
        <v>0</v>
      </c>
      <c r="AF53" s="1">
        <f t="shared" si="15"/>
        <v>0</v>
      </c>
      <c r="AG53" s="1">
        <f t="shared" si="15"/>
        <v>0</v>
      </c>
      <c r="AH53" s="1">
        <f t="shared" si="15"/>
        <v>0</v>
      </c>
      <c r="AI53" s="1">
        <f t="shared" si="15"/>
        <v>0</v>
      </c>
      <c r="AJ53" s="1">
        <f t="shared" si="15"/>
        <v>0</v>
      </c>
      <c r="AK53" s="1">
        <f t="shared" si="15"/>
        <v>0</v>
      </c>
    </row>
    <row r="54" spans="1:37" ht="14.1" customHeight="1" x14ac:dyDescent="0.2">
      <c r="B54" s="88"/>
      <c r="C54" s="304"/>
      <c r="D54" s="304"/>
      <c r="E54" s="304"/>
      <c r="F54" s="304"/>
      <c r="G54" s="304"/>
      <c r="H54" s="89"/>
      <c r="N54" s="16">
        <v>46</v>
      </c>
      <c r="O54" s="65"/>
      <c r="P54" s="55"/>
      <c r="Q54" s="56"/>
      <c r="R54" s="57"/>
      <c r="S54" s="58"/>
      <c r="T54" s="59"/>
      <c r="U54" s="60"/>
      <c r="V54" s="62"/>
      <c r="X54" s="1">
        <f t="shared" ca="1" si="14"/>
        <v>1</v>
      </c>
      <c r="Z54" s="1">
        <f t="shared" si="15"/>
        <v>0</v>
      </c>
      <c r="AA54" s="1">
        <f t="shared" si="15"/>
        <v>0</v>
      </c>
      <c r="AB54" s="1">
        <f t="shared" si="15"/>
        <v>0</v>
      </c>
      <c r="AC54" s="1">
        <f t="shared" si="15"/>
        <v>0</v>
      </c>
      <c r="AD54" s="1">
        <f t="shared" si="15"/>
        <v>0</v>
      </c>
      <c r="AE54" s="1">
        <f t="shared" si="15"/>
        <v>0</v>
      </c>
      <c r="AF54" s="1">
        <f t="shared" si="15"/>
        <v>0</v>
      </c>
      <c r="AG54" s="1">
        <f t="shared" si="15"/>
        <v>0</v>
      </c>
      <c r="AH54" s="1">
        <f t="shared" si="15"/>
        <v>0</v>
      </c>
      <c r="AI54" s="1">
        <f t="shared" si="15"/>
        <v>0</v>
      </c>
      <c r="AJ54" s="1">
        <f t="shared" si="15"/>
        <v>0</v>
      </c>
      <c r="AK54" s="1">
        <f t="shared" si="15"/>
        <v>0</v>
      </c>
    </row>
    <row r="55" spans="1:37" ht="14.1" customHeight="1" x14ac:dyDescent="0.2">
      <c r="B55" s="46"/>
      <c r="C55" s="271" t="s">
        <v>4</v>
      </c>
      <c r="D55" s="273" t="s">
        <v>5</v>
      </c>
      <c r="E55" s="310"/>
      <c r="F55" s="310"/>
      <c r="G55" s="276" t="s">
        <v>97</v>
      </c>
      <c r="H55" s="89"/>
      <c r="N55" s="12">
        <v>47</v>
      </c>
      <c r="O55" s="65"/>
      <c r="P55" s="49"/>
      <c r="Q55" s="50"/>
      <c r="R55" s="51"/>
      <c r="S55" s="52"/>
      <c r="T55" s="53"/>
      <c r="U55" s="54"/>
      <c r="V55" s="62"/>
      <c r="X55" s="1">
        <f t="shared" ca="1" si="14"/>
        <v>1</v>
      </c>
      <c r="Z55" s="1">
        <f t="shared" si="15"/>
        <v>0</v>
      </c>
      <c r="AA55" s="1">
        <f t="shared" si="15"/>
        <v>0</v>
      </c>
      <c r="AB55" s="1">
        <f t="shared" si="15"/>
        <v>0</v>
      </c>
      <c r="AC55" s="1">
        <f t="shared" si="15"/>
        <v>0</v>
      </c>
      <c r="AD55" s="1">
        <f t="shared" si="15"/>
        <v>0</v>
      </c>
      <c r="AE55" s="1">
        <f t="shared" si="15"/>
        <v>0</v>
      </c>
      <c r="AF55" s="1">
        <f t="shared" si="15"/>
        <v>0</v>
      </c>
      <c r="AG55" s="1">
        <f t="shared" si="15"/>
        <v>0</v>
      </c>
      <c r="AH55" s="1">
        <f t="shared" si="15"/>
        <v>0</v>
      </c>
      <c r="AI55" s="1">
        <f t="shared" si="15"/>
        <v>0</v>
      </c>
      <c r="AJ55" s="1">
        <f t="shared" si="15"/>
        <v>0</v>
      </c>
      <c r="AK55" s="1">
        <f t="shared" si="15"/>
        <v>0</v>
      </c>
    </row>
    <row r="56" spans="1:37" ht="14.1" customHeight="1" x14ac:dyDescent="0.2">
      <c r="A56" s="3"/>
      <c r="B56" s="44"/>
      <c r="C56" s="272"/>
      <c r="D56" s="274"/>
      <c r="E56" s="311"/>
      <c r="F56" s="311"/>
      <c r="G56" s="305"/>
      <c r="H56" s="90"/>
      <c r="N56" s="16">
        <v>48</v>
      </c>
      <c r="O56" s="65"/>
      <c r="P56" s="55"/>
      <c r="Q56" s="56"/>
      <c r="R56" s="57"/>
      <c r="S56" s="58"/>
      <c r="T56" s="59"/>
      <c r="U56" s="60"/>
      <c r="V56" s="62"/>
      <c r="X56" s="1">
        <f t="shared" ca="1" si="14"/>
        <v>1</v>
      </c>
      <c r="Z56" s="1">
        <f t="shared" si="15"/>
        <v>0</v>
      </c>
      <c r="AA56" s="1">
        <f t="shared" si="15"/>
        <v>0</v>
      </c>
      <c r="AB56" s="1">
        <f t="shared" si="15"/>
        <v>0</v>
      </c>
      <c r="AC56" s="1">
        <f t="shared" si="15"/>
        <v>0</v>
      </c>
      <c r="AD56" s="1">
        <f t="shared" si="15"/>
        <v>0</v>
      </c>
      <c r="AE56" s="1">
        <f t="shared" si="15"/>
        <v>0</v>
      </c>
      <c r="AF56" s="1">
        <f t="shared" si="15"/>
        <v>0</v>
      </c>
      <c r="AG56" s="1">
        <f t="shared" si="15"/>
        <v>0</v>
      </c>
      <c r="AH56" s="1">
        <f t="shared" si="15"/>
        <v>0</v>
      </c>
      <c r="AI56" s="1">
        <f t="shared" si="15"/>
        <v>0</v>
      </c>
      <c r="AJ56" s="1">
        <f t="shared" si="15"/>
        <v>0</v>
      </c>
      <c r="AK56" s="1">
        <f t="shared" si="15"/>
        <v>0</v>
      </c>
    </row>
    <row r="57" spans="1:37" ht="14.1" customHeight="1" x14ac:dyDescent="0.2">
      <c r="A57" s="12">
        <v>1</v>
      </c>
      <c r="B57" s="64"/>
      <c r="C57" s="101" t="str">
        <f>ANUAL!$C141</f>
        <v>M01</v>
      </c>
      <c r="D57" s="303" t="str">
        <f>ANUAL!$D141</f>
        <v>MORADIA – CONDOMÍNIO</v>
      </c>
      <c r="E57" s="303"/>
      <c r="F57" s="303"/>
      <c r="G57" s="102">
        <f t="shared" ref="G57:G88" si="16">SUMIF(U$9:U$88,C57,T$9:T$88)</f>
        <v>0</v>
      </c>
      <c r="H57" s="61"/>
      <c r="N57" s="12">
        <v>49</v>
      </c>
      <c r="O57" s="65"/>
      <c r="P57" s="49"/>
      <c r="Q57" s="50"/>
      <c r="R57" s="51"/>
      <c r="S57" s="52"/>
      <c r="T57" s="53"/>
      <c r="U57" s="54"/>
      <c r="V57" s="62"/>
      <c r="X57" s="1">
        <f t="shared" ca="1" si="14"/>
        <v>1</v>
      </c>
      <c r="Z57" s="1">
        <f t="shared" si="15"/>
        <v>0</v>
      </c>
      <c r="AA57" s="1">
        <f t="shared" si="15"/>
        <v>0</v>
      </c>
      <c r="AB57" s="1">
        <f t="shared" si="15"/>
        <v>0</v>
      </c>
      <c r="AC57" s="1">
        <f t="shared" si="15"/>
        <v>0</v>
      </c>
      <c r="AD57" s="1">
        <f t="shared" si="15"/>
        <v>0</v>
      </c>
      <c r="AE57" s="1">
        <f t="shared" si="15"/>
        <v>0</v>
      </c>
      <c r="AF57" s="1">
        <f t="shared" si="15"/>
        <v>0</v>
      </c>
      <c r="AG57" s="1">
        <f t="shared" si="15"/>
        <v>0</v>
      </c>
      <c r="AH57" s="1">
        <f t="shared" si="15"/>
        <v>0</v>
      </c>
      <c r="AI57" s="1">
        <f t="shared" si="15"/>
        <v>0</v>
      </c>
      <c r="AJ57" s="1">
        <f t="shared" si="15"/>
        <v>0</v>
      </c>
      <c r="AK57" s="1">
        <f t="shared" si="15"/>
        <v>0</v>
      </c>
    </row>
    <row r="58" spans="1:37" ht="14.1" customHeight="1" x14ac:dyDescent="0.2">
      <c r="A58" s="16">
        <v>2</v>
      </c>
      <c r="B58" s="65"/>
      <c r="C58" s="103" t="str">
        <f>ANUAL!$C142</f>
        <v>M02</v>
      </c>
      <c r="D58" s="302" t="str">
        <f>ANUAL!$D142</f>
        <v>MORADIA – IPTU</v>
      </c>
      <c r="E58" s="302"/>
      <c r="F58" s="302"/>
      <c r="G58" s="104">
        <f t="shared" si="16"/>
        <v>0</v>
      </c>
      <c r="H58" s="62"/>
      <c r="N58" s="16">
        <v>50</v>
      </c>
      <c r="O58" s="65"/>
      <c r="P58" s="55"/>
      <c r="Q58" s="56"/>
      <c r="R58" s="57"/>
      <c r="S58" s="58"/>
      <c r="T58" s="59"/>
      <c r="U58" s="60"/>
      <c r="V58" s="62"/>
      <c r="X58" s="1">
        <f t="shared" ca="1" si="14"/>
        <v>1</v>
      </c>
      <c r="Z58" s="1">
        <f t="shared" si="15"/>
        <v>0</v>
      </c>
      <c r="AA58" s="1">
        <f t="shared" si="15"/>
        <v>0</v>
      </c>
      <c r="AB58" s="1">
        <f t="shared" si="15"/>
        <v>0</v>
      </c>
      <c r="AC58" s="1">
        <f t="shared" si="15"/>
        <v>0</v>
      </c>
      <c r="AD58" s="1">
        <f t="shared" si="15"/>
        <v>0</v>
      </c>
      <c r="AE58" s="1">
        <f t="shared" si="15"/>
        <v>0</v>
      </c>
      <c r="AF58" s="1">
        <f t="shared" si="15"/>
        <v>0</v>
      </c>
      <c r="AG58" s="1">
        <f t="shared" si="15"/>
        <v>0</v>
      </c>
      <c r="AH58" s="1">
        <f t="shared" si="15"/>
        <v>0</v>
      </c>
      <c r="AI58" s="1">
        <f t="shared" si="15"/>
        <v>0</v>
      </c>
      <c r="AJ58" s="1">
        <f t="shared" si="15"/>
        <v>0</v>
      </c>
      <c r="AK58" s="1">
        <f t="shared" si="15"/>
        <v>0</v>
      </c>
    </row>
    <row r="59" spans="1:37" ht="14.1" customHeight="1" x14ac:dyDescent="0.2">
      <c r="A59" s="12">
        <v>3</v>
      </c>
      <c r="B59" s="65"/>
      <c r="C59" s="101" t="str">
        <f>ANUAL!$C143</f>
        <v>M03</v>
      </c>
      <c r="D59" s="303" t="str">
        <f>ANUAL!$D143</f>
        <v>MORADIA – ALUGUEL</v>
      </c>
      <c r="E59" s="303"/>
      <c r="F59" s="303"/>
      <c r="G59" s="102">
        <f t="shared" si="16"/>
        <v>0</v>
      </c>
      <c r="H59" s="62"/>
      <c r="N59" s="12">
        <v>51</v>
      </c>
      <c r="O59" s="65"/>
      <c r="P59" s="49"/>
      <c r="Q59" s="50"/>
      <c r="R59" s="51"/>
      <c r="S59" s="52"/>
      <c r="T59" s="53"/>
      <c r="U59" s="54"/>
      <c r="V59" s="62"/>
      <c r="X59" s="1">
        <f t="shared" ca="1" si="14"/>
        <v>1</v>
      </c>
      <c r="Z59" s="1">
        <f t="shared" ref="Z59:AK68" si="17">IF(Z$8=$R59,-$T59,0)+IF(Z$8=$S59,$T59,0)</f>
        <v>0</v>
      </c>
      <c r="AA59" s="1">
        <f t="shared" si="17"/>
        <v>0</v>
      </c>
      <c r="AB59" s="1">
        <f t="shared" si="17"/>
        <v>0</v>
      </c>
      <c r="AC59" s="1">
        <f t="shared" si="17"/>
        <v>0</v>
      </c>
      <c r="AD59" s="1">
        <f t="shared" si="17"/>
        <v>0</v>
      </c>
      <c r="AE59" s="1">
        <f t="shared" si="17"/>
        <v>0</v>
      </c>
      <c r="AF59" s="1">
        <f t="shared" si="17"/>
        <v>0</v>
      </c>
      <c r="AG59" s="1">
        <f t="shared" si="17"/>
        <v>0</v>
      </c>
      <c r="AH59" s="1">
        <f t="shared" si="17"/>
        <v>0</v>
      </c>
      <c r="AI59" s="1">
        <f t="shared" si="17"/>
        <v>0</v>
      </c>
      <c r="AJ59" s="1">
        <f t="shared" si="17"/>
        <v>0</v>
      </c>
      <c r="AK59" s="1">
        <f t="shared" si="17"/>
        <v>0</v>
      </c>
    </row>
    <row r="60" spans="1:37" ht="14.1" customHeight="1" x14ac:dyDescent="0.2">
      <c r="A60" s="16">
        <v>4</v>
      </c>
      <c r="B60" s="65"/>
      <c r="C60" s="103" t="str">
        <f>ANUAL!$C144</f>
        <v>M04</v>
      </c>
      <c r="D60" s="302" t="str">
        <f>ANUAL!$D144</f>
        <v>MORADIA – REFORMA</v>
      </c>
      <c r="E60" s="302"/>
      <c r="F60" s="302"/>
      <c r="G60" s="104">
        <f t="shared" si="16"/>
        <v>0</v>
      </c>
      <c r="H60" s="62"/>
      <c r="N60" s="16">
        <v>52</v>
      </c>
      <c r="O60" s="65"/>
      <c r="P60" s="55"/>
      <c r="Q60" s="56"/>
      <c r="R60" s="57"/>
      <c r="S60" s="58"/>
      <c r="T60" s="59"/>
      <c r="U60" s="60"/>
      <c r="V60" s="62"/>
      <c r="X60" s="1">
        <f t="shared" ca="1" si="14"/>
        <v>1</v>
      </c>
      <c r="Z60" s="1">
        <f t="shared" si="17"/>
        <v>0</v>
      </c>
      <c r="AA60" s="1">
        <f t="shared" si="17"/>
        <v>0</v>
      </c>
      <c r="AB60" s="1">
        <f t="shared" si="17"/>
        <v>0</v>
      </c>
      <c r="AC60" s="1">
        <f t="shared" si="17"/>
        <v>0</v>
      </c>
      <c r="AD60" s="1">
        <f t="shared" si="17"/>
        <v>0</v>
      </c>
      <c r="AE60" s="1">
        <f t="shared" si="17"/>
        <v>0</v>
      </c>
      <c r="AF60" s="1">
        <f t="shared" si="17"/>
        <v>0</v>
      </c>
      <c r="AG60" s="1">
        <f t="shared" si="17"/>
        <v>0</v>
      </c>
      <c r="AH60" s="1">
        <f t="shared" si="17"/>
        <v>0</v>
      </c>
      <c r="AI60" s="1">
        <f t="shared" si="17"/>
        <v>0</v>
      </c>
      <c r="AJ60" s="1">
        <f t="shared" si="17"/>
        <v>0</v>
      </c>
      <c r="AK60" s="1">
        <f t="shared" si="17"/>
        <v>0</v>
      </c>
    </row>
    <row r="61" spans="1:37" ht="14.1" customHeight="1" x14ac:dyDescent="0.2">
      <c r="A61" s="12">
        <v>5</v>
      </c>
      <c r="B61" s="65"/>
      <c r="C61" s="101" t="str">
        <f>ANUAL!$C145</f>
        <v>U01</v>
      </c>
      <c r="D61" s="303" t="str">
        <f>ANUAL!$D145</f>
        <v>UTILITIES – ENERGIA ELÉTRICA</v>
      </c>
      <c r="E61" s="303"/>
      <c r="F61" s="303"/>
      <c r="G61" s="102">
        <f t="shared" si="16"/>
        <v>0</v>
      </c>
      <c r="H61" s="62"/>
      <c r="N61" s="12">
        <v>53</v>
      </c>
      <c r="O61" s="65"/>
      <c r="P61" s="49"/>
      <c r="Q61" s="50"/>
      <c r="R61" s="51"/>
      <c r="S61" s="52"/>
      <c r="T61" s="53"/>
      <c r="U61" s="54"/>
      <c r="V61" s="62"/>
      <c r="X61" s="1">
        <f t="shared" ca="1" si="14"/>
        <v>1</v>
      </c>
      <c r="Z61" s="1">
        <f t="shared" si="17"/>
        <v>0</v>
      </c>
      <c r="AA61" s="1">
        <f t="shared" si="17"/>
        <v>0</v>
      </c>
      <c r="AB61" s="1">
        <f t="shared" si="17"/>
        <v>0</v>
      </c>
      <c r="AC61" s="1">
        <f t="shared" si="17"/>
        <v>0</v>
      </c>
      <c r="AD61" s="1">
        <f t="shared" si="17"/>
        <v>0</v>
      </c>
      <c r="AE61" s="1">
        <f t="shared" si="17"/>
        <v>0</v>
      </c>
      <c r="AF61" s="1">
        <f t="shared" si="17"/>
        <v>0</v>
      </c>
      <c r="AG61" s="1">
        <f t="shared" si="17"/>
        <v>0</v>
      </c>
      <c r="AH61" s="1">
        <f t="shared" si="17"/>
        <v>0</v>
      </c>
      <c r="AI61" s="1">
        <f t="shared" si="17"/>
        <v>0</v>
      </c>
      <c r="AJ61" s="1">
        <f t="shared" si="17"/>
        <v>0</v>
      </c>
      <c r="AK61" s="1">
        <f t="shared" si="17"/>
        <v>0</v>
      </c>
    </row>
    <row r="62" spans="1:37" ht="14.1" customHeight="1" x14ac:dyDescent="0.2">
      <c r="A62" s="16">
        <v>6</v>
      </c>
      <c r="B62" s="65"/>
      <c r="C62" s="103" t="str">
        <f>ANUAL!$C146</f>
        <v>U02</v>
      </c>
      <c r="D62" s="302" t="str">
        <f>ANUAL!$D146</f>
        <v>UTILITIES – ÁGUA POTÁVEL</v>
      </c>
      <c r="E62" s="302"/>
      <c r="F62" s="302"/>
      <c r="G62" s="104">
        <f t="shared" si="16"/>
        <v>0</v>
      </c>
      <c r="H62" s="62"/>
      <c r="N62" s="16">
        <v>54</v>
      </c>
      <c r="O62" s="65"/>
      <c r="P62" s="55"/>
      <c r="Q62" s="56"/>
      <c r="R62" s="57"/>
      <c r="S62" s="58"/>
      <c r="T62" s="59"/>
      <c r="U62" s="60"/>
      <c r="V62" s="62"/>
      <c r="X62" s="1">
        <f t="shared" ca="1" si="14"/>
        <v>1</v>
      </c>
      <c r="Z62" s="1">
        <f t="shared" si="17"/>
        <v>0</v>
      </c>
      <c r="AA62" s="1">
        <f t="shared" si="17"/>
        <v>0</v>
      </c>
      <c r="AB62" s="1">
        <f t="shared" si="17"/>
        <v>0</v>
      </c>
      <c r="AC62" s="1">
        <f t="shared" si="17"/>
        <v>0</v>
      </c>
      <c r="AD62" s="1">
        <f t="shared" si="17"/>
        <v>0</v>
      </c>
      <c r="AE62" s="1">
        <f t="shared" si="17"/>
        <v>0</v>
      </c>
      <c r="AF62" s="1">
        <f t="shared" si="17"/>
        <v>0</v>
      </c>
      <c r="AG62" s="1">
        <f t="shared" si="17"/>
        <v>0</v>
      </c>
      <c r="AH62" s="1">
        <f t="shared" si="17"/>
        <v>0</v>
      </c>
      <c r="AI62" s="1">
        <f t="shared" si="17"/>
        <v>0</v>
      </c>
      <c r="AJ62" s="1">
        <f t="shared" si="17"/>
        <v>0</v>
      </c>
      <c r="AK62" s="1">
        <f t="shared" si="17"/>
        <v>0</v>
      </c>
    </row>
    <row r="63" spans="1:37" ht="14.1" customHeight="1" x14ac:dyDescent="0.2">
      <c r="A63" s="12">
        <v>7</v>
      </c>
      <c r="B63" s="65"/>
      <c r="C63" s="101" t="str">
        <f>ANUAL!$C147</f>
        <v>U03</v>
      </c>
      <c r="D63" s="303" t="str">
        <f>ANUAL!$D147</f>
        <v>UTILITIES – DIVERSOS (ÁGUA, GÁS, SERV. GERAIS)</v>
      </c>
      <c r="E63" s="303"/>
      <c r="F63" s="303"/>
      <c r="G63" s="102">
        <f t="shared" si="16"/>
        <v>0</v>
      </c>
      <c r="H63" s="62"/>
      <c r="N63" s="12">
        <v>55</v>
      </c>
      <c r="O63" s="65"/>
      <c r="P63" s="49"/>
      <c r="Q63" s="50"/>
      <c r="R63" s="51"/>
      <c r="S63" s="52"/>
      <c r="T63" s="53"/>
      <c r="U63" s="54"/>
      <c r="V63" s="62"/>
      <c r="X63" s="1">
        <f t="shared" ca="1" si="14"/>
        <v>1</v>
      </c>
      <c r="Y63" s="30"/>
      <c r="Z63" s="1">
        <f t="shared" si="17"/>
        <v>0</v>
      </c>
      <c r="AA63" s="1">
        <f t="shared" si="17"/>
        <v>0</v>
      </c>
      <c r="AB63" s="1">
        <f t="shared" si="17"/>
        <v>0</v>
      </c>
      <c r="AC63" s="1">
        <f t="shared" si="17"/>
        <v>0</v>
      </c>
      <c r="AD63" s="1">
        <f t="shared" si="17"/>
        <v>0</v>
      </c>
      <c r="AE63" s="1">
        <f t="shared" si="17"/>
        <v>0</v>
      </c>
      <c r="AF63" s="1">
        <f t="shared" si="17"/>
        <v>0</v>
      </c>
      <c r="AG63" s="1">
        <f t="shared" si="17"/>
        <v>0</v>
      </c>
      <c r="AH63" s="1">
        <f t="shared" si="17"/>
        <v>0</v>
      </c>
      <c r="AI63" s="1">
        <f t="shared" si="17"/>
        <v>0</v>
      </c>
      <c r="AJ63" s="1">
        <f t="shared" si="17"/>
        <v>0</v>
      </c>
      <c r="AK63" s="1">
        <f t="shared" si="17"/>
        <v>0</v>
      </c>
    </row>
    <row r="64" spans="1:37" ht="14.1" customHeight="1" x14ac:dyDescent="0.2">
      <c r="A64" s="16">
        <v>8</v>
      </c>
      <c r="B64" s="65"/>
      <c r="C64" s="103" t="str">
        <f>ANUAL!$C148</f>
        <v>S01</v>
      </c>
      <c r="D64" s="302" t="str">
        <f>ANUAL!$D148</f>
        <v>SAÚDE – PLANO DE SAÚDE</v>
      </c>
      <c r="E64" s="302"/>
      <c r="F64" s="302"/>
      <c r="G64" s="104">
        <f t="shared" si="16"/>
        <v>0</v>
      </c>
      <c r="H64" s="62"/>
      <c r="N64" s="16">
        <v>56</v>
      </c>
      <c r="O64" s="65"/>
      <c r="P64" s="55"/>
      <c r="Q64" s="56"/>
      <c r="R64" s="57"/>
      <c r="S64" s="58"/>
      <c r="T64" s="59"/>
      <c r="U64" s="60"/>
      <c r="V64" s="62"/>
      <c r="X64" s="1">
        <f t="shared" ca="1" si="14"/>
        <v>1</v>
      </c>
      <c r="Z64" s="1">
        <f t="shared" si="17"/>
        <v>0</v>
      </c>
      <c r="AA64" s="1">
        <f t="shared" si="17"/>
        <v>0</v>
      </c>
      <c r="AB64" s="1">
        <f t="shared" si="17"/>
        <v>0</v>
      </c>
      <c r="AC64" s="1">
        <f t="shared" si="17"/>
        <v>0</v>
      </c>
      <c r="AD64" s="1">
        <f t="shared" si="17"/>
        <v>0</v>
      </c>
      <c r="AE64" s="1">
        <f t="shared" si="17"/>
        <v>0</v>
      </c>
      <c r="AF64" s="1">
        <f t="shared" si="17"/>
        <v>0</v>
      </c>
      <c r="AG64" s="1">
        <f t="shared" si="17"/>
        <v>0</v>
      </c>
      <c r="AH64" s="1">
        <f t="shared" si="17"/>
        <v>0</v>
      </c>
      <c r="AI64" s="1">
        <f t="shared" si="17"/>
        <v>0</v>
      </c>
      <c r="AJ64" s="1">
        <f t="shared" si="17"/>
        <v>0</v>
      </c>
      <c r="AK64" s="1">
        <f t="shared" si="17"/>
        <v>0</v>
      </c>
    </row>
    <row r="65" spans="1:37" ht="14.1" customHeight="1" x14ac:dyDescent="0.2">
      <c r="A65" s="12">
        <v>9</v>
      </c>
      <c r="B65" s="65"/>
      <c r="C65" s="101" t="str">
        <f>ANUAL!$C149</f>
        <v>S02</v>
      </c>
      <c r="D65" s="303" t="str">
        <f>ANUAL!$D149</f>
        <v>SAÚDE – REMÉDIOS</v>
      </c>
      <c r="E65" s="303"/>
      <c r="F65" s="303"/>
      <c r="G65" s="102">
        <f t="shared" si="16"/>
        <v>0</v>
      </c>
      <c r="H65" s="62"/>
      <c r="N65" s="12">
        <v>57</v>
      </c>
      <c r="O65" s="65"/>
      <c r="P65" s="49"/>
      <c r="Q65" s="50"/>
      <c r="R65" s="51"/>
      <c r="S65" s="52"/>
      <c r="T65" s="53"/>
      <c r="U65" s="54"/>
      <c r="V65" s="62"/>
      <c r="X65" s="1">
        <f t="shared" ca="1" si="14"/>
        <v>1</v>
      </c>
      <c r="Z65" s="1">
        <f t="shared" si="17"/>
        <v>0</v>
      </c>
      <c r="AA65" s="1">
        <f t="shared" si="17"/>
        <v>0</v>
      </c>
      <c r="AB65" s="1">
        <f t="shared" si="17"/>
        <v>0</v>
      </c>
      <c r="AC65" s="1">
        <f t="shared" si="17"/>
        <v>0</v>
      </c>
      <c r="AD65" s="1">
        <f t="shared" si="17"/>
        <v>0</v>
      </c>
      <c r="AE65" s="1">
        <f t="shared" si="17"/>
        <v>0</v>
      </c>
      <c r="AF65" s="1">
        <f t="shared" si="17"/>
        <v>0</v>
      </c>
      <c r="AG65" s="1">
        <f t="shared" si="17"/>
        <v>0</v>
      </c>
      <c r="AH65" s="1">
        <f t="shared" si="17"/>
        <v>0</v>
      </c>
      <c r="AI65" s="1">
        <f t="shared" si="17"/>
        <v>0</v>
      </c>
      <c r="AJ65" s="1">
        <f t="shared" si="17"/>
        <v>0</v>
      </c>
      <c r="AK65" s="1">
        <f t="shared" si="17"/>
        <v>0</v>
      </c>
    </row>
    <row r="66" spans="1:37" ht="14.1" customHeight="1" x14ac:dyDescent="0.2">
      <c r="A66" s="16">
        <v>10</v>
      </c>
      <c r="B66" s="65"/>
      <c r="C66" s="103" t="str">
        <f>ANUAL!$C150</f>
        <v>S03</v>
      </c>
      <c r="D66" s="302" t="str">
        <f>ANUAL!$D150</f>
        <v>SAÚDE – ACADEMIA</v>
      </c>
      <c r="E66" s="302"/>
      <c r="F66" s="302"/>
      <c r="G66" s="104">
        <f t="shared" si="16"/>
        <v>0</v>
      </c>
      <c r="H66" s="62"/>
      <c r="N66" s="16">
        <v>58</v>
      </c>
      <c r="O66" s="65"/>
      <c r="P66" s="55"/>
      <c r="Q66" s="56"/>
      <c r="R66" s="57"/>
      <c r="S66" s="58"/>
      <c r="T66" s="59"/>
      <c r="U66" s="60"/>
      <c r="V66" s="62"/>
      <c r="X66" s="1">
        <f t="shared" ca="1" si="14"/>
        <v>1</v>
      </c>
      <c r="Z66" s="1">
        <f t="shared" si="17"/>
        <v>0</v>
      </c>
      <c r="AA66" s="1">
        <f t="shared" si="17"/>
        <v>0</v>
      </c>
      <c r="AB66" s="1">
        <f t="shared" si="17"/>
        <v>0</v>
      </c>
      <c r="AC66" s="1">
        <f t="shared" si="17"/>
        <v>0</v>
      </c>
      <c r="AD66" s="1">
        <f t="shared" si="17"/>
        <v>0</v>
      </c>
      <c r="AE66" s="1">
        <f t="shared" si="17"/>
        <v>0</v>
      </c>
      <c r="AF66" s="1">
        <f t="shared" si="17"/>
        <v>0</v>
      </c>
      <c r="AG66" s="1">
        <f t="shared" si="17"/>
        <v>0</v>
      </c>
      <c r="AH66" s="1">
        <f t="shared" si="17"/>
        <v>0</v>
      </c>
      <c r="AI66" s="1">
        <f t="shared" si="17"/>
        <v>0</v>
      </c>
      <c r="AJ66" s="1">
        <f t="shared" si="17"/>
        <v>0</v>
      </c>
      <c r="AK66" s="1">
        <f t="shared" si="17"/>
        <v>0</v>
      </c>
    </row>
    <row r="67" spans="1:37" ht="14.1" customHeight="1" x14ac:dyDescent="0.2">
      <c r="A67" s="12">
        <v>11</v>
      </c>
      <c r="B67" s="65"/>
      <c r="C67" s="101" t="str">
        <f>ANUAL!$C151</f>
        <v>C01</v>
      </c>
      <c r="D67" s="303" t="str">
        <f>ANUAL!$D151</f>
        <v>COMPRAS</v>
      </c>
      <c r="E67" s="303"/>
      <c r="F67" s="303"/>
      <c r="G67" s="102">
        <f t="shared" si="16"/>
        <v>0</v>
      </c>
      <c r="H67" s="62"/>
      <c r="N67" s="12">
        <v>59</v>
      </c>
      <c r="O67" s="65"/>
      <c r="P67" s="49"/>
      <c r="Q67" s="50"/>
      <c r="R67" s="51"/>
      <c r="S67" s="52"/>
      <c r="T67" s="53"/>
      <c r="U67" s="54"/>
      <c r="V67" s="62"/>
      <c r="X67" s="1">
        <f t="shared" ca="1" si="14"/>
        <v>1</v>
      </c>
      <c r="Z67" s="1">
        <f t="shared" si="17"/>
        <v>0</v>
      </c>
      <c r="AA67" s="1">
        <f t="shared" si="17"/>
        <v>0</v>
      </c>
      <c r="AB67" s="1">
        <f t="shared" si="17"/>
        <v>0</v>
      </c>
      <c r="AC67" s="1">
        <f t="shared" si="17"/>
        <v>0</v>
      </c>
      <c r="AD67" s="1">
        <f t="shared" si="17"/>
        <v>0</v>
      </c>
      <c r="AE67" s="1">
        <f t="shared" si="17"/>
        <v>0</v>
      </c>
      <c r="AF67" s="1">
        <f t="shared" si="17"/>
        <v>0</v>
      </c>
      <c r="AG67" s="1">
        <f t="shared" si="17"/>
        <v>0</v>
      </c>
      <c r="AH67" s="1">
        <f t="shared" si="17"/>
        <v>0</v>
      </c>
      <c r="AI67" s="1">
        <f t="shared" si="17"/>
        <v>0</v>
      </c>
      <c r="AJ67" s="1">
        <f t="shared" si="17"/>
        <v>0</v>
      </c>
      <c r="AK67" s="1">
        <f t="shared" si="17"/>
        <v>0</v>
      </c>
    </row>
    <row r="68" spans="1:37" ht="14.1" customHeight="1" x14ac:dyDescent="0.2">
      <c r="A68" s="16">
        <v>12</v>
      </c>
      <c r="B68" s="65"/>
      <c r="C68" s="103" t="str">
        <f>ANUAL!$C152</f>
        <v>L01</v>
      </c>
      <c r="D68" s="302" t="str">
        <f>ANUAL!$D152</f>
        <v>LAZER</v>
      </c>
      <c r="E68" s="302"/>
      <c r="F68" s="302"/>
      <c r="G68" s="104">
        <f t="shared" si="16"/>
        <v>0</v>
      </c>
      <c r="H68" s="62"/>
      <c r="N68" s="16">
        <v>60</v>
      </c>
      <c r="O68" s="65"/>
      <c r="P68" s="55"/>
      <c r="Q68" s="56"/>
      <c r="R68" s="57"/>
      <c r="S68" s="58"/>
      <c r="T68" s="59"/>
      <c r="U68" s="60"/>
      <c r="V68" s="62"/>
      <c r="X68" s="1">
        <f t="shared" ca="1" si="14"/>
        <v>1</v>
      </c>
      <c r="Z68" s="1">
        <f t="shared" si="17"/>
        <v>0</v>
      </c>
      <c r="AA68" s="1">
        <f t="shared" si="17"/>
        <v>0</v>
      </c>
      <c r="AB68" s="1">
        <f t="shared" si="17"/>
        <v>0</v>
      </c>
      <c r="AC68" s="1">
        <f t="shared" si="17"/>
        <v>0</v>
      </c>
      <c r="AD68" s="1">
        <f t="shared" si="17"/>
        <v>0</v>
      </c>
      <c r="AE68" s="1">
        <f t="shared" si="17"/>
        <v>0</v>
      </c>
      <c r="AF68" s="1">
        <f t="shared" si="17"/>
        <v>0</v>
      </c>
      <c r="AG68" s="1">
        <f t="shared" si="17"/>
        <v>0</v>
      </c>
      <c r="AH68" s="1">
        <f t="shared" si="17"/>
        <v>0</v>
      </c>
      <c r="AI68" s="1">
        <f t="shared" si="17"/>
        <v>0</v>
      </c>
      <c r="AJ68" s="1">
        <f t="shared" si="17"/>
        <v>0</v>
      </c>
      <c r="AK68" s="1">
        <f t="shared" si="17"/>
        <v>0</v>
      </c>
    </row>
    <row r="69" spans="1:37" ht="14.1" customHeight="1" x14ac:dyDescent="0.2">
      <c r="A69" s="12">
        <v>13</v>
      </c>
      <c r="B69" s="65"/>
      <c r="C69" s="101" t="str">
        <f>ANUAL!$C153</f>
        <v>A01</v>
      </c>
      <c r="D69" s="303" t="str">
        <f>ANUAL!$D153</f>
        <v>ALIMENTAÇÃO – ALMOÇO</v>
      </c>
      <c r="E69" s="303"/>
      <c r="F69" s="303"/>
      <c r="G69" s="102">
        <f t="shared" si="16"/>
        <v>0</v>
      </c>
      <c r="H69" s="62"/>
      <c r="N69" s="12">
        <v>61</v>
      </c>
      <c r="O69" s="65"/>
      <c r="P69" s="49"/>
      <c r="Q69" s="50"/>
      <c r="R69" s="51"/>
      <c r="S69" s="52"/>
      <c r="T69" s="53"/>
      <c r="U69" s="54"/>
      <c r="V69" s="62"/>
      <c r="X69" s="1">
        <f t="shared" ca="1" si="14"/>
        <v>1</v>
      </c>
      <c r="Z69" s="1">
        <f t="shared" ref="Z69:AK78" si="18">IF(Z$8=$R69,-$T69,0)+IF(Z$8=$S69,$T69,0)</f>
        <v>0</v>
      </c>
      <c r="AA69" s="1">
        <f t="shared" si="18"/>
        <v>0</v>
      </c>
      <c r="AB69" s="1">
        <f t="shared" si="18"/>
        <v>0</v>
      </c>
      <c r="AC69" s="1">
        <f t="shared" si="18"/>
        <v>0</v>
      </c>
      <c r="AD69" s="1">
        <f t="shared" si="18"/>
        <v>0</v>
      </c>
      <c r="AE69" s="1">
        <f t="shared" si="18"/>
        <v>0</v>
      </c>
      <c r="AF69" s="1">
        <f t="shared" si="18"/>
        <v>0</v>
      </c>
      <c r="AG69" s="1">
        <f t="shared" si="18"/>
        <v>0</v>
      </c>
      <c r="AH69" s="1">
        <f t="shared" si="18"/>
        <v>0</v>
      </c>
      <c r="AI69" s="1">
        <f t="shared" si="18"/>
        <v>0</v>
      </c>
      <c r="AJ69" s="1">
        <f t="shared" si="18"/>
        <v>0</v>
      </c>
      <c r="AK69" s="1">
        <f t="shared" si="18"/>
        <v>0</v>
      </c>
    </row>
    <row r="70" spans="1:37" ht="14.1" customHeight="1" x14ac:dyDescent="0.2">
      <c r="A70" s="16">
        <v>14</v>
      </c>
      <c r="B70" s="65"/>
      <c r="C70" s="103" t="str">
        <f>ANUAL!$C154</f>
        <v>A02</v>
      </c>
      <c r="D70" s="302" t="str">
        <f>ANUAL!$D154</f>
        <v>ALIMENTAÇÃO – COMPRA MENSAL</v>
      </c>
      <c r="E70" s="302"/>
      <c r="F70" s="302"/>
      <c r="G70" s="104">
        <f t="shared" si="16"/>
        <v>0</v>
      </c>
      <c r="H70" s="62"/>
      <c r="N70" s="16">
        <v>62</v>
      </c>
      <c r="O70" s="65"/>
      <c r="P70" s="55"/>
      <c r="Q70" s="56"/>
      <c r="R70" s="57"/>
      <c r="S70" s="58"/>
      <c r="T70" s="59"/>
      <c r="U70" s="60"/>
      <c r="V70" s="62"/>
      <c r="X70" s="1">
        <f t="shared" ca="1" si="14"/>
        <v>1</v>
      </c>
      <c r="Z70" s="1">
        <f t="shared" si="18"/>
        <v>0</v>
      </c>
      <c r="AA70" s="1">
        <f t="shared" si="18"/>
        <v>0</v>
      </c>
      <c r="AB70" s="1">
        <f t="shared" si="18"/>
        <v>0</v>
      </c>
      <c r="AC70" s="1">
        <f t="shared" si="18"/>
        <v>0</v>
      </c>
      <c r="AD70" s="1">
        <f t="shared" si="18"/>
        <v>0</v>
      </c>
      <c r="AE70" s="1">
        <f t="shared" si="18"/>
        <v>0</v>
      </c>
      <c r="AF70" s="1">
        <f t="shared" si="18"/>
        <v>0</v>
      </c>
      <c r="AG70" s="1">
        <f t="shared" si="18"/>
        <v>0</v>
      </c>
      <c r="AH70" s="1">
        <f t="shared" si="18"/>
        <v>0</v>
      </c>
      <c r="AI70" s="1">
        <f t="shared" si="18"/>
        <v>0</v>
      </c>
      <c r="AJ70" s="1">
        <f t="shared" si="18"/>
        <v>0</v>
      </c>
      <c r="AK70" s="1">
        <f t="shared" si="18"/>
        <v>0</v>
      </c>
    </row>
    <row r="71" spans="1:37" ht="14.1" customHeight="1" x14ac:dyDescent="0.2">
      <c r="A71" s="12">
        <v>15</v>
      </c>
      <c r="B71" s="65"/>
      <c r="C71" s="101" t="str">
        <f>ANUAL!$C155</f>
        <v>A03</v>
      </c>
      <c r="D71" s="303" t="str">
        <f>ANUAL!$D155</f>
        <v>ALIMENTAÇÃO – FEIRAS SEMANAIS</v>
      </c>
      <c r="E71" s="303"/>
      <c r="F71" s="303"/>
      <c r="G71" s="102">
        <f t="shared" si="16"/>
        <v>0</v>
      </c>
      <c r="H71" s="62"/>
      <c r="N71" s="12">
        <v>63</v>
      </c>
      <c r="O71" s="65"/>
      <c r="P71" s="49"/>
      <c r="Q71" s="50"/>
      <c r="R71" s="51"/>
      <c r="S71" s="52"/>
      <c r="T71" s="53"/>
      <c r="U71" s="54"/>
      <c r="V71" s="62"/>
      <c r="X71" s="1">
        <f t="shared" ca="1" si="14"/>
        <v>1</v>
      </c>
      <c r="Z71" s="1">
        <f t="shared" si="18"/>
        <v>0</v>
      </c>
      <c r="AA71" s="1">
        <f t="shared" si="18"/>
        <v>0</v>
      </c>
      <c r="AB71" s="1">
        <f t="shared" si="18"/>
        <v>0</v>
      </c>
      <c r="AC71" s="1">
        <f t="shared" si="18"/>
        <v>0</v>
      </c>
      <c r="AD71" s="1">
        <f t="shared" si="18"/>
        <v>0</v>
      </c>
      <c r="AE71" s="1">
        <f t="shared" si="18"/>
        <v>0</v>
      </c>
      <c r="AF71" s="1">
        <f t="shared" si="18"/>
        <v>0</v>
      </c>
      <c r="AG71" s="1">
        <f t="shared" si="18"/>
        <v>0</v>
      </c>
      <c r="AH71" s="1">
        <f t="shared" si="18"/>
        <v>0</v>
      </c>
      <c r="AI71" s="1">
        <f t="shared" si="18"/>
        <v>0</v>
      </c>
      <c r="AJ71" s="1">
        <f t="shared" si="18"/>
        <v>0</v>
      </c>
      <c r="AK71" s="1">
        <f t="shared" si="18"/>
        <v>0</v>
      </c>
    </row>
    <row r="72" spans="1:37" ht="14.1" customHeight="1" x14ac:dyDescent="0.2">
      <c r="A72" s="16">
        <v>16</v>
      </c>
      <c r="B72" s="65"/>
      <c r="C72" s="103" t="str">
        <f>ANUAL!$C156</f>
        <v>T01</v>
      </c>
      <c r="D72" s="302" t="str">
        <f>ANUAL!$D156</f>
        <v>TELECOM – CELULAR</v>
      </c>
      <c r="E72" s="302"/>
      <c r="F72" s="302"/>
      <c r="G72" s="104">
        <f t="shared" si="16"/>
        <v>0</v>
      </c>
      <c r="H72" s="62"/>
      <c r="N72" s="16">
        <v>64</v>
      </c>
      <c r="O72" s="65"/>
      <c r="P72" s="55"/>
      <c r="Q72" s="56"/>
      <c r="R72" s="57"/>
      <c r="S72" s="58"/>
      <c r="T72" s="59"/>
      <c r="U72" s="60"/>
      <c r="V72" s="62"/>
      <c r="X72" s="1">
        <f t="shared" ca="1" si="14"/>
        <v>1</v>
      </c>
      <c r="Z72" s="1">
        <f t="shared" si="18"/>
        <v>0</v>
      </c>
      <c r="AA72" s="1">
        <f t="shared" si="18"/>
        <v>0</v>
      </c>
      <c r="AB72" s="1">
        <f t="shared" si="18"/>
        <v>0</v>
      </c>
      <c r="AC72" s="1">
        <f t="shared" si="18"/>
        <v>0</v>
      </c>
      <c r="AD72" s="1">
        <f t="shared" si="18"/>
        <v>0</v>
      </c>
      <c r="AE72" s="1">
        <f t="shared" si="18"/>
        <v>0</v>
      </c>
      <c r="AF72" s="1">
        <f t="shared" si="18"/>
        <v>0</v>
      </c>
      <c r="AG72" s="1">
        <f t="shared" si="18"/>
        <v>0</v>
      </c>
      <c r="AH72" s="1">
        <f t="shared" si="18"/>
        <v>0</v>
      </c>
      <c r="AI72" s="1">
        <f t="shared" si="18"/>
        <v>0</v>
      </c>
      <c r="AJ72" s="1">
        <f t="shared" si="18"/>
        <v>0</v>
      </c>
      <c r="AK72" s="1">
        <f t="shared" si="18"/>
        <v>0</v>
      </c>
    </row>
    <row r="73" spans="1:37" ht="14.1" customHeight="1" x14ac:dyDescent="0.2">
      <c r="A73" s="12">
        <v>17</v>
      </c>
      <c r="B73" s="65"/>
      <c r="C73" s="101" t="str">
        <f>ANUAL!$C157</f>
        <v>T02</v>
      </c>
      <c r="D73" s="303" t="str">
        <f>ANUAL!$D157</f>
        <v>TELECOM – INTERNET</v>
      </c>
      <c r="E73" s="303"/>
      <c r="F73" s="303"/>
      <c r="G73" s="102">
        <f t="shared" si="16"/>
        <v>0</v>
      </c>
      <c r="H73" s="62"/>
      <c r="N73" s="12">
        <v>65</v>
      </c>
      <c r="O73" s="65"/>
      <c r="P73" s="49"/>
      <c r="Q73" s="50"/>
      <c r="R73" s="51"/>
      <c r="S73" s="52"/>
      <c r="T73" s="53"/>
      <c r="U73" s="54"/>
      <c r="V73" s="62"/>
      <c r="X73" s="1">
        <f t="shared" ref="X73:X88" ca="1" si="19">IF(P73&lt;NOW(),1,0)</f>
        <v>1</v>
      </c>
      <c r="Z73" s="1">
        <f t="shared" si="18"/>
        <v>0</v>
      </c>
      <c r="AA73" s="1">
        <f t="shared" si="18"/>
        <v>0</v>
      </c>
      <c r="AB73" s="1">
        <f t="shared" si="18"/>
        <v>0</v>
      </c>
      <c r="AC73" s="1">
        <f t="shared" si="18"/>
        <v>0</v>
      </c>
      <c r="AD73" s="1">
        <f t="shared" si="18"/>
        <v>0</v>
      </c>
      <c r="AE73" s="1">
        <f t="shared" si="18"/>
        <v>0</v>
      </c>
      <c r="AF73" s="1">
        <f t="shared" si="18"/>
        <v>0</v>
      </c>
      <c r="AG73" s="1">
        <f t="shared" si="18"/>
        <v>0</v>
      </c>
      <c r="AH73" s="1">
        <f t="shared" si="18"/>
        <v>0</v>
      </c>
      <c r="AI73" s="1">
        <f t="shared" si="18"/>
        <v>0</v>
      </c>
      <c r="AJ73" s="1">
        <f t="shared" si="18"/>
        <v>0</v>
      </c>
      <c r="AK73" s="1">
        <f t="shared" si="18"/>
        <v>0</v>
      </c>
    </row>
    <row r="74" spans="1:37" ht="14.1" customHeight="1" x14ac:dyDescent="0.2">
      <c r="A74" s="16">
        <v>18</v>
      </c>
      <c r="B74" s="65"/>
      <c r="C74" s="103" t="str">
        <f>ANUAL!$C158</f>
        <v>T03</v>
      </c>
      <c r="D74" s="302" t="str">
        <f>ANUAL!$D158</f>
        <v>TELECOM – FIXO</v>
      </c>
      <c r="E74" s="302"/>
      <c r="F74" s="302"/>
      <c r="G74" s="104">
        <f t="shared" si="16"/>
        <v>0</v>
      </c>
      <c r="H74" s="62"/>
      <c r="N74" s="16">
        <v>66</v>
      </c>
      <c r="O74" s="65"/>
      <c r="P74" s="55"/>
      <c r="Q74" s="56"/>
      <c r="R74" s="57"/>
      <c r="S74" s="58"/>
      <c r="T74" s="59"/>
      <c r="U74" s="60"/>
      <c r="V74" s="62"/>
      <c r="X74" s="1">
        <f t="shared" ca="1" si="19"/>
        <v>1</v>
      </c>
      <c r="Z74" s="1">
        <f t="shared" si="18"/>
        <v>0</v>
      </c>
      <c r="AA74" s="1">
        <f t="shared" si="18"/>
        <v>0</v>
      </c>
      <c r="AB74" s="1">
        <f t="shared" si="18"/>
        <v>0</v>
      </c>
      <c r="AC74" s="1">
        <f t="shared" si="18"/>
        <v>0</v>
      </c>
      <c r="AD74" s="1">
        <f t="shared" si="18"/>
        <v>0</v>
      </c>
      <c r="AE74" s="1">
        <f t="shared" si="18"/>
        <v>0</v>
      </c>
      <c r="AF74" s="1">
        <f t="shared" si="18"/>
        <v>0</v>
      </c>
      <c r="AG74" s="1">
        <f t="shared" si="18"/>
        <v>0</v>
      </c>
      <c r="AH74" s="1">
        <f t="shared" si="18"/>
        <v>0</v>
      </c>
      <c r="AI74" s="1">
        <f t="shared" si="18"/>
        <v>0</v>
      </c>
      <c r="AJ74" s="1">
        <f t="shared" si="18"/>
        <v>0</v>
      </c>
      <c r="AK74" s="1">
        <f t="shared" si="18"/>
        <v>0</v>
      </c>
    </row>
    <row r="75" spans="1:37" ht="14.1" customHeight="1" x14ac:dyDescent="0.2">
      <c r="A75" s="12">
        <v>19</v>
      </c>
      <c r="B75" s="65"/>
      <c r="C75" s="101" t="str">
        <f>ANUAL!$C159</f>
        <v>R01</v>
      </c>
      <c r="D75" s="303" t="str">
        <f>ANUAL!$D159</f>
        <v>CARRO – SEGURO</v>
      </c>
      <c r="E75" s="303"/>
      <c r="F75" s="303"/>
      <c r="G75" s="102">
        <f t="shared" si="16"/>
        <v>0</v>
      </c>
      <c r="H75" s="62"/>
      <c r="N75" s="12">
        <v>67</v>
      </c>
      <c r="O75" s="65"/>
      <c r="P75" s="49"/>
      <c r="Q75" s="50"/>
      <c r="R75" s="51"/>
      <c r="S75" s="52"/>
      <c r="T75" s="53"/>
      <c r="U75" s="54"/>
      <c r="V75" s="62"/>
      <c r="X75" s="1">
        <f t="shared" ca="1" si="19"/>
        <v>1</v>
      </c>
      <c r="Z75" s="1">
        <f t="shared" si="18"/>
        <v>0</v>
      </c>
      <c r="AA75" s="1">
        <f t="shared" si="18"/>
        <v>0</v>
      </c>
      <c r="AB75" s="1">
        <f t="shared" si="18"/>
        <v>0</v>
      </c>
      <c r="AC75" s="1">
        <f t="shared" si="18"/>
        <v>0</v>
      </c>
      <c r="AD75" s="1">
        <f t="shared" si="18"/>
        <v>0</v>
      </c>
      <c r="AE75" s="1">
        <f t="shared" si="18"/>
        <v>0</v>
      </c>
      <c r="AF75" s="1">
        <f t="shared" si="18"/>
        <v>0</v>
      </c>
      <c r="AG75" s="1">
        <f t="shared" si="18"/>
        <v>0</v>
      </c>
      <c r="AH75" s="1">
        <f t="shared" si="18"/>
        <v>0</v>
      </c>
      <c r="AI75" s="1">
        <f t="shared" si="18"/>
        <v>0</v>
      </c>
      <c r="AJ75" s="1">
        <f t="shared" si="18"/>
        <v>0</v>
      </c>
      <c r="AK75" s="1">
        <f t="shared" si="18"/>
        <v>0</v>
      </c>
    </row>
    <row r="76" spans="1:37" ht="14.1" customHeight="1" x14ac:dyDescent="0.2">
      <c r="A76" s="16">
        <v>20</v>
      </c>
      <c r="B76" s="65"/>
      <c r="C76" s="103" t="str">
        <f>ANUAL!$C160</f>
        <v>R02</v>
      </c>
      <c r="D76" s="302" t="str">
        <f>ANUAL!$D160</f>
        <v>CARRO – COMBUSTÍVEL</v>
      </c>
      <c r="E76" s="302"/>
      <c r="F76" s="302"/>
      <c r="G76" s="104">
        <f t="shared" si="16"/>
        <v>0</v>
      </c>
      <c r="H76" s="62"/>
      <c r="N76" s="16">
        <v>68</v>
      </c>
      <c r="O76" s="65"/>
      <c r="P76" s="55"/>
      <c r="Q76" s="56"/>
      <c r="R76" s="57"/>
      <c r="S76" s="58"/>
      <c r="T76" s="59"/>
      <c r="U76" s="60"/>
      <c r="V76" s="62"/>
      <c r="X76" s="1">
        <f t="shared" ca="1" si="19"/>
        <v>1</v>
      </c>
      <c r="Z76" s="1">
        <f t="shared" si="18"/>
        <v>0</v>
      </c>
      <c r="AA76" s="1">
        <f t="shared" si="18"/>
        <v>0</v>
      </c>
      <c r="AB76" s="1">
        <f t="shared" si="18"/>
        <v>0</v>
      </c>
      <c r="AC76" s="1">
        <f t="shared" si="18"/>
        <v>0</v>
      </c>
      <c r="AD76" s="1">
        <f t="shared" si="18"/>
        <v>0</v>
      </c>
      <c r="AE76" s="1">
        <f t="shared" si="18"/>
        <v>0</v>
      </c>
      <c r="AF76" s="1">
        <f t="shared" si="18"/>
        <v>0</v>
      </c>
      <c r="AG76" s="1">
        <f t="shared" si="18"/>
        <v>0</v>
      </c>
      <c r="AH76" s="1">
        <f t="shared" si="18"/>
        <v>0</v>
      </c>
      <c r="AI76" s="1">
        <f t="shared" si="18"/>
        <v>0</v>
      </c>
      <c r="AJ76" s="1">
        <f t="shared" si="18"/>
        <v>0</v>
      </c>
      <c r="AK76" s="1">
        <f t="shared" si="18"/>
        <v>0</v>
      </c>
    </row>
    <row r="77" spans="1:37" ht="14.1" customHeight="1" x14ac:dyDescent="0.2">
      <c r="A77" s="12">
        <v>21</v>
      </c>
      <c r="B77" s="65"/>
      <c r="C77" s="101" t="str">
        <f>ANUAL!$C161</f>
        <v>R03</v>
      </c>
      <c r="D77" s="303" t="str">
        <f>ANUAL!$D161</f>
        <v>CARRO – CONSERTOS</v>
      </c>
      <c r="E77" s="303"/>
      <c r="F77" s="303"/>
      <c r="G77" s="102">
        <f t="shared" si="16"/>
        <v>0</v>
      </c>
      <c r="H77" s="62"/>
      <c r="N77" s="12">
        <v>69</v>
      </c>
      <c r="O77" s="65"/>
      <c r="P77" s="49"/>
      <c r="Q77" s="50"/>
      <c r="R77" s="51"/>
      <c r="S77" s="52"/>
      <c r="T77" s="53"/>
      <c r="U77" s="54"/>
      <c r="V77" s="62"/>
      <c r="X77" s="1">
        <f t="shared" ca="1" si="19"/>
        <v>1</v>
      </c>
      <c r="Z77" s="1">
        <f t="shared" si="18"/>
        <v>0</v>
      </c>
      <c r="AA77" s="1">
        <f t="shared" si="18"/>
        <v>0</v>
      </c>
      <c r="AB77" s="1">
        <f t="shared" si="18"/>
        <v>0</v>
      </c>
      <c r="AC77" s="1">
        <f t="shared" si="18"/>
        <v>0</v>
      </c>
      <c r="AD77" s="1">
        <f t="shared" si="18"/>
        <v>0</v>
      </c>
      <c r="AE77" s="1">
        <f t="shared" si="18"/>
        <v>0</v>
      </c>
      <c r="AF77" s="1">
        <f t="shared" si="18"/>
        <v>0</v>
      </c>
      <c r="AG77" s="1">
        <f t="shared" si="18"/>
        <v>0</v>
      </c>
      <c r="AH77" s="1">
        <f t="shared" si="18"/>
        <v>0</v>
      </c>
      <c r="AI77" s="1">
        <f t="shared" si="18"/>
        <v>0</v>
      </c>
      <c r="AJ77" s="1">
        <f t="shared" si="18"/>
        <v>0</v>
      </c>
      <c r="AK77" s="1">
        <f t="shared" si="18"/>
        <v>0</v>
      </c>
    </row>
    <row r="78" spans="1:37" ht="14.1" customHeight="1" x14ac:dyDescent="0.2">
      <c r="A78" s="16">
        <v>22</v>
      </c>
      <c r="B78" s="65"/>
      <c r="C78" s="103" t="str">
        <f>ANUAL!$C162</f>
        <v>R04</v>
      </c>
      <c r="D78" s="302" t="str">
        <f>ANUAL!$D162</f>
        <v>CARRO – PRESTAÇOES</v>
      </c>
      <c r="E78" s="302"/>
      <c r="F78" s="302"/>
      <c r="G78" s="104">
        <f t="shared" si="16"/>
        <v>0</v>
      </c>
      <c r="H78" s="62"/>
      <c r="N78" s="16">
        <v>70</v>
      </c>
      <c r="O78" s="65"/>
      <c r="P78" s="55"/>
      <c r="Q78" s="56"/>
      <c r="R78" s="57"/>
      <c r="S78" s="58"/>
      <c r="T78" s="59"/>
      <c r="U78" s="60"/>
      <c r="V78" s="62"/>
      <c r="X78" s="1">
        <f t="shared" ca="1" si="19"/>
        <v>1</v>
      </c>
      <c r="Z78" s="1">
        <f t="shared" si="18"/>
        <v>0</v>
      </c>
      <c r="AA78" s="1">
        <f t="shared" si="18"/>
        <v>0</v>
      </c>
      <c r="AB78" s="1">
        <f t="shared" si="18"/>
        <v>0</v>
      </c>
      <c r="AC78" s="1">
        <f t="shared" si="18"/>
        <v>0</v>
      </c>
      <c r="AD78" s="1">
        <f t="shared" si="18"/>
        <v>0</v>
      </c>
      <c r="AE78" s="1">
        <f t="shared" si="18"/>
        <v>0</v>
      </c>
      <c r="AF78" s="1">
        <f t="shared" si="18"/>
        <v>0</v>
      </c>
      <c r="AG78" s="1">
        <f t="shared" si="18"/>
        <v>0</v>
      </c>
      <c r="AH78" s="1">
        <f t="shared" si="18"/>
        <v>0</v>
      </c>
      <c r="AI78" s="1">
        <f t="shared" si="18"/>
        <v>0</v>
      </c>
      <c r="AJ78" s="1">
        <f t="shared" si="18"/>
        <v>0</v>
      </c>
      <c r="AK78" s="1">
        <f t="shared" si="18"/>
        <v>0</v>
      </c>
    </row>
    <row r="79" spans="1:37" ht="14.1" customHeight="1" x14ac:dyDescent="0.2">
      <c r="A79" s="12">
        <v>23</v>
      </c>
      <c r="B79" s="65"/>
      <c r="C79" s="101" t="str">
        <f>ANUAL!$C163</f>
        <v>B01</v>
      </c>
      <c r="D79" s="303" t="str">
        <f>ANUAL!$D163</f>
        <v>BANCO – TAXAS, JUROS ETC.</v>
      </c>
      <c r="E79" s="303"/>
      <c r="F79" s="303"/>
      <c r="G79" s="102">
        <f t="shared" si="16"/>
        <v>0</v>
      </c>
      <c r="H79" s="62"/>
      <c r="N79" s="12">
        <v>71</v>
      </c>
      <c r="O79" s="65"/>
      <c r="P79" s="49"/>
      <c r="Q79" s="50"/>
      <c r="R79" s="51"/>
      <c r="S79" s="52"/>
      <c r="T79" s="53"/>
      <c r="U79" s="54"/>
      <c r="V79" s="62"/>
      <c r="X79" s="1">
        <f t="shared" ca="1" si="19"/>
        <v>1</v>
      </c>
      <c r="Z79" s="1">
        <f t="shared" ref="Z79:AK88" si="20">IF(Z$8=$R79,-$T79,0)+IF(Z$8=$S79,$T79,0)</f>
        <v>0</v>
      </c>
      <c r="AA79" s="1">
        <f t="shared" si="20"/>
        <v>0</v>
      </c>
      <c r="AB79" s="1">
        <f t="shared" si="20"/>
        <v>0</v>
      </c>
      <c r="AC79" s="1">
        <f t="shared" si="20"/>
        <v>0</v>
      </c>
      <c r="AD79" s="1">
        <f t="shared" si="20"/>
        <v>0</v>
      </c>
      <c r="AE79" s="1">
        <f t="shared" si="20"/>
        <v>0</v>
      </c>
      <c r="AF79" s="1">
        <f t="shared" si="20"/>
        <v>0</v>
      </c>
      <c r="AG79" s="1">
        <f t="shared" si="20"/>
        <v>0</v>
      </c>
      <c r="AH79" s="1">
        <f t="shared" si="20"/>
        <v>0</v>
      </c>
      <c r="AI79" s="1">
        <f t="shared" si="20"/>
        <v>0</v>
      </c>
      <c r="AJ79" s="1">
        <f t="shared" si="20"/>
        <v>0</v>
      </c>
      <c r="AK79" s="1">
        <f t="shared" si="20"/>
        <v>0</v>
      </c>
    </row>
    <row r="80" spans="1:37" ht="14.1" customHeight="1" x14ac:dyDescent="0.2">
      <c r="A80" s="16">
        <v>24</v>
      </c>
      <c r="B80" s="65"/>
      <c r="C80" s="103" t="str">
        <f>ANUAL!$C164</f>
        <v>E01</v>
      </c>
      <c r="D80" s="302" t="str">
        <f>ANUAL!$D164</f>
        <v>EDUCAÇÃO / TREINAMENTO</v>
      </c>
      <c r="E80" s="302"/>
      <c r="F80" s="302"/>
      <c r="G80" s="104">
        <f t="shared" si="16"/>
        <v>0</v>
      </c>
      <c r="H80" s="62"/>
      <c r="N80" s="16">
        <v>72</v>
      </c>
      <c r="O80" s="65"/>
      <c r="P80" s="55"/>
      <c r="Q80" s="56"/>
      <c r="R80" s="57"/>
      <c r="S80" s="58"/>
      <c r="T80" s="59"/>
      <c r="U80" s="60"/>
      <c r="V80" s="62"/>
      <c r="X80" s="1">
        <f t="shared" ca="1" si="19"/>
        <v>1</v>
      </c>
      <c r="Z80" s="1">
        <f t="shared" si="20"/>
        <v>0</v>
      </c>
      <c r="AA80" s="1">
        <f t="shared" si="20"/>
        <v>0</v>
      </c>
      <c r="AB80" s="1">
        <f t="shared" si="20"/>
        <v>0</v>
      </c>
      <c r="AC80" s="1">
        <f t="shared" si="20"/>
        <v>0</v>
      </c>
      <c r="AD80" s="1">
        <f t="shared" si="20"/>
        <v>0</v>
      </c>
      <c r="AE80" s="1">
        <f t="shared" si="20"/>
        <v>0</v>
      </c>
      <c r="AF80" s="1">
        <f t="shared" si="20"/>
        <v>0</v>
      </c>
      <c r="AG80" s="1">
        <f t="shared" si="20"/>
        <v>0</v>
      </c>
      <c r="AH80" s="1">
        <f t="shared" si="20"/>
        <v>0</v>
      </c>
      <c r="AI80" s="1">
        <f t="shared" si="20"/>
        <v>0</v>
      </c>
      <c r="AJ80" s="1">
        <f t="shared" si="20"/>
        <v>0</v>
      </c>
      <c r="AK80" s="1">
        <f t="shared" si="20"/>
        <v>0</v>
      </c>
    </row>
    <row r="81" spans="1:37" ht="14.1" customHeight="1" x14ac:dyDescent="0.2">
      <c r="A81" s="12">
        <v>25</v>
      </c>
      <c r="B81" s="65"/>
      <c r="C81" s="101" t="str">
        <f>ANUAL!$C165</f>
        <v>V01</v>
      </c>
      <c r="D81" s="303" t="str">
        <f>ANUAL!$D165</f>
        <v>VIAGEM</v>
      </c>
      <c r="E81" s="303"/>
      <c r="F81" s="303"/>
      <c r="G81" s="102">
        <f t="shared" si="16"/>
        <v>0</v>
      </c>
      <c r="H81" s="62"/>
      <c r="N81" s="12">
        <v>73</v>
      </c>
      <c r="O81" s="65"/>
      <c r="P81" s="49"/>
      <c r="Q81" s="50"/>
      <c r="R81" s="51"/>
      <c r="S81" s="52"/>
      <c r="T81" s="53"/>
      <c r="U81" s="54"/>
      <c r="V81" s="62"/>
      <c r="X81" s="1">
        <f t="shared" ca="1" si="19"/>
        <v>1</v>
      </c>
      <c r="Z81" s="1">
        <f t="shared" si="20"/>
        <v>0</v>
      </c>
      <c r="AA81" s="1">
        <f t="shared" si="20"/>
        <v>0</v>
      </c>
      <c r="AB81" s="1">
        <f t="shared" si="20"/>
        <v>0</v>
      </c>
      <c r="AC81" s="1">
        <f t="shared" si="20"/>
        <v>0</v>
      </c>
      <c r="AD81" s="1">
        <f t="shared" si="20"/>
        <v>0</v>
      </c>
      <c r="AE81" s="1">
        <f t="shared" si="20"/>
        <v>0</v>
      </c>
      <c r="AF81" s="1">
        <f t="shared" si="20"/>
        <v>0</v>
      </c>
      <c r="AG81" s="1">
        <f t="shared" si="20"/>
        <v>0</v>
      </c>
      <c r="AH81" s="1">
        <f t="shared" si="20"/>
        <v>0</v>
      </c>
      <c r="AI81" s="1">
        <f t="shared" si="20"/>
        <v>0</v>
      </c>
      <c r="AJ81" s="1">
        <f t="shared" si="20"/>
        <v>0</v>
      </c>
      <c r="AK81" s="1">
        <f t="shared" si="20"/>
        <v>0</v>
      </c>
    </row>
    <row r="82" spans="1:37" ht="14.1" customHeight="1" x14ac:dyDescent="0.2">
      <c r="A82" s="16">
        <v>26</v>
      </c>
      <c r="B82" s="65"/>
      <c r="C82" s="103" t="str">
        <f>ANUAL!$C166</f>
        <v>P01</v>
      </c>
      <c r="D82" s="302" t="str">
        <f>ANUAL!$D166</f>
        <v>PESSOAL – DÍZIMO</v>
      </c>
      <c r="E82" s="302"/>
      <c r="F82" s="302"/>
      <c r="G82" s="104">
        <f t="shared" si="16"/>
        <v>0</v>
      </c>
      <c r="H82" s="62"/>
      <c r="I82" s="3"/>
      <c r="J82" s="3"/>
      <c r="K82" s="3"/>
      <c r="L82" s="3"/>
      <c r="M82" s="3"/>
      <c r="N82" s="16">
        <v>74</v>
      </c>
      <c r="O82" s="65"/>
      <c r="P82" s="55"/>
      <c r="Q82" s="56"/>
      <c r="R82" s="57"/>
      <c r="S82" s="58"/>
      <c r="T82" s="59"/>
      <c r="U82" s="60"/>
      <c r="V82" s="62"/>
      <c r="X82" s="1">
        <f t="shared" ca="1" si="19"/>
        <v>1</v>
      </c>
      <c r="Z82" s="1">
        <f t="shared" si="20"/>
        <v>0</v>
      </c>
      <c r="AA82" s="1">
        <f t="shared" si="20"/>
        <v>0</v>
      </c>
      <c r="AB82" s="1">
        <f t="shared" si="20"/>
        <v>0</v>
      </c>
      <c r="AC82" s="1">
        <f t="shared" si="20"/>
        <v>0</v>
      </c>
      <c r="AD82" s="1">
        <f t="shared" si="20"/>
        <v>0</v>
      </c>
      <c r="AE82" s="1">
        <f t="shared" si="20"/>
        <v>0</v>
      </c>
      <c r="AF82" s="1">
        <f t="shared" si="20"/>
        <v>0</v>
      </c>
      <c r="AG82" s="1">
        <f t="shared" si="20"/>
        <v>0</v>
      </c>
      <c r="AH82" s="1">
        <f t="shared" si="20"/>
        <v>0</v>
      </c>
      <c r="AI82" s="1">
        <f t="shared" si="20"/>
        <v>0</v>
      </c>
      <c r="AJ82" s="1">
        <f t="shared" si="20"/>
        <v>0</v>
      </c>
      <c r="AK82" s="1">
        <f t="shared" si="20"/>
        <v>0</v>
      </c>
    </row>
    <row r="83" spans="1:37" ht="14.1" customHeight="1" x14ac:dyDescent="0.2">
      <c r="A83" s="12">
        <v>27</v>
      </c>
      <c r="B83" s="65"/>
      <c r="C83" s="101" t="str">
        <f>ANUAL!$C167</f>
        <v>---</v>
      </c>
      <c r="D83" s="303" t="str">
        <f>ANUAL!$D167</f>
        <v>---</v>
      </c>
      <c r="E83" s="303"/>
      <c r="F83" s="303"/>
      <c r="G83" s="102">
        <f t="shared" si="16"/>
        <v>0</v>
      </c>
      <c r="H83" s="62"/>
      <c r="I83" s="3"/>
      <c r="J83" s="3"/>
      <c r="K83" s="3"/>
      <c r="L83" s="3"/>
      <c r="M83" s="3"/>
      <c r="N83" s="12">
        <v>75</v>
      </c>
      <c r="O83" s="65"/>
      <c r="P83" s="49"/>
      <c r="Q83" s="50"/>
      <c r="R83" s="51"/>
      <c r="S83" s="52"/>
      <c r="T83" s="53"/>
      <c r="U83" s="54"/>
      <c r="V83" s="62"/>
      <c r="X83" s="1">
        <f t="shared" ca="1" si="19"/>
        <v>1</v>
      </c>
      <c r="Z83" s="1">
        <f t="shared" si="20"/>
        <v>0</v>
      </c>
      <c r="AA83" s="1">
        <f t="shared" si="20"/>
        <v>0</v>
      </c>
      <c r="AB83" s="1">
        <f t="shared" si="20"/>
        <v>0</v>
      </c>
      <c r="AC83" s="1">
        <f t="shared" si="20"/>
        <v>0</v>
      </c>
      <c r="AD83" s="1">
        <f t="shared" si="20"/>
        <v>0</v>
      </c>
      <c r="AE83" s="1">
        <f t="shared" si="20"/>
        <v>0</v>
      </c>
      <c r="AF83" s="1">
        <f t="shared" si="20"/>
        <v>0</v>
      </c>
      <c r="AG83" s="1">
        <f t="shared" si="20"/>
        <v>0</v>
      </c>
      <c r="AH83" s="1">
        <f t="shared" si="20"/>
        <v>0</v>
      </c>
      <c r="AI83" s="1">
        <f t="shared" si="20"/>
        <v>0</v>
      </c>
      <c r="AJ83" s="1">
        <f t="shared" si="20"/>
        <v>0</v>
      </c>
      <c r="AK83" s="1">
        <f t="shared" si="20"/>
        <v>0</v>
      </c>
    </row>
    <row r="84" spans="1:37" ht="14.1" customHeight="1" x14ac:dyDescent="0.2">
      <c r="A84" s="16">
        <v>28</v>
      </c>
      <c r="B84" s="65"/>
      <c r="C84" s="103" t="str">
        <f>ANUAL!$C168</f>
        <v>---</v>
      </c>
      <c r="D84" s="302" t="str">
        <f>ANUAL!$D168</f>
        <v>---</v>
      </c>
      <c r="E84" s="302"/>
      <c r="F84" s="302"/>
      <c r="G84" s="104">
        <f t="shared" si="16"/>
        <v>0</v>
      </c>
      <c r="H84" s="62"/>
      <c r="I84" s="3"/>
      <c r="J84" s="3"/>
      <c r="K84" s="3"/>
      <c r="L84" s="3"/>
      <c r="M84" s="3"/>
      <c r="N84" s="16">
        <v>76</v>
      </c>
      <c r="O84" s="65"/>
      <c r="P84" s="55"/>
      <c r="Q84" s="56"/>
      <c r="R84" s="57"/>
      <c r="S84" s="58"/>
      <c r="T84" s="59"/>
      <c r="U84" s="60"/>
      <c r="V84" s="62"/>
      <c r="X84" s="1">
        <f t="shared" ca="1" si="19"/>
        <v>1</v>
      </c>
      <c r="Z84" s="1">
        <f t="shared" si="20"/>
        <v>0</v>
      </c>
      <c r="AA84" s="1">
        <f t="shared" si="20"/>
        <v>0</v>
      </c>
      <c r="AB84" s="1">
        <f t="shared" si="20"/>
        <v>0</v>
      </c>
      <c r="AC84" s="1">
        <f t="shared" si="20"/>
        <v>0</v>
      </c>
      <c r="AD84" s="1">
        <f t="shared" si="20"/>
        <v>0</v>
      </c>
      <c r="AE84" s="1">
        <f t="shared" si="20"/>
        <v>0</v>
      </c>
      <c r="AF84" s="1">
        <f t="shared" si="20"/>
        <v>0</v>
      </c>
      <c r="AG84" s="1">
        <f t="shared" si="20"/>
        <v>0</v>
      </c>
      <c r="AH84" s="1">
        <f t="shared" si="20"/>
        <v>0</v>
      </c>
      <c r="AI84" s="1">
        <f t="shared" si="20"/>
        <v>0</v>
      </c>
      <c r="AJ84" s="1">
        <f t="shared" si="20"/>
        <v>0</v>
      </c>
      <c r="AK84" s="1">
        <f t="shared" si="20"/>
        <v>0</v>
      </c>
    </row>
    <row r="85" spans="1:37" ht="14.1" customHeight="1" x14ac:dyDescent="0.2">
      <c r="A85" s="12">
        <v>29</v>
      </c>
      <c r="B85" s="65"/>
      <c r="C85" s="101" t="str">
        <f>ANUAL!$C169</f>
        <v>---</v>
      </c>
      <c r="D85" s="303" t="str">
        <f>ANUAL!$D169</f>
        <v>---</v>
      </c>
      <c r="E85" s="303"/>
      <c r="F85" s="303"/>
      <c r="G85" s="102">
        <f t="shared" si="16"/>
        <v>0</v>
      </c>
      <c r="H85" s="62"/>
      <c r="I85" s="3"/>
      <c r="J85" s="3"/>
      <c r="K85" s="3"/>
      <c r="L85" s="3"/>
      <c r="M85" s="3"/>
      <c r="N85" s="12">
        <v>77</v>
      </c>
      <c r="O85" s="65"/>
      <c r="P85" s="49"/>
      <c r="Q85" s="50"/>
      <c r="R85" s="51"/>
      <c r="S85" s="52"/>
      <c r="T85" s="53"/>
      <c r="U85" s="54"/>
      <c r="V85" s="62"/>
      <c r="X85" s="1">
        <f t="shared" ca="1" si="19"/>
        <v>1</v>
      </c>
      <c r="Z85" s="1">
        <f t="shared" si="20"/>
        <v>0</v>
      </c>
      <c r="AA85" s="1">
        <f t="shared" si="20"/>
        <v>0</v>
      </c>
      <c r="AB85" s="1">
        <f t="shared" si="20"/>
        <v>0</v>
      </c>
      <c r="AC85" s="1">
        <f t="shared" si="20"/>
        <v>0</v>
      </c>
      <c r="AD85" s="1">
        <f t="shared" si="20"/>
        <v>0</v>
      </c>
      <c r="AE85" s="1">
        <f t="shared" si="20"/>
        <v>0</v>
      </c>
      <c r="AF85" s="1">
        <f t="shared" si="20"/>
        <v>0</v>
      </c>
      <c r="AG85" s="1">
        <f t="shared" si="20"/>
        <v>0</v>
      </c>
      <c r="AH85" s="1">
        <f t="shared" si="20"/>
        <v>0</v>
      </c>
      <c r="AI85" s="1">
        <f t="shared" si="20"/>
        <v>0</v>
      </c>
      <c r="AJ85" s="1">
        <f t="shared" si="20"/>
        <v>0</v>
      </c>
      <c r="AK85" s="1">
        <f t="shared" si="20"/>
        <v>0</v>
      </c>
    </row>
    <row r="86" spans="1:37" ht="14.1" customHeight="1" x14ac:dyDescent="0.2">
      <c r="A86" s="16">
        <v>30</v>
      </c>
      <c r="B86" s="65"/>
      <c r="C86" s="103" t="str">
        <f>ANUAL!$C170</f>
        <v>---</v>
      </c>
      <c r="D86" s="302" t="str">
        <f>ANUAL!$D170</f>
        <v>---</v>
      </c>
      <c r="E86" s="302"/>
      <c r="F86" s="302"/>
      <c r="G86" s="104">
        <f t="shared" si="16"/>
        <v>0</v>
      </c>
      <c r="H86" s="62"/>
      <c r="I86" s="3"/>
      <c r="J86" s="3"/>
      <c r="K86" s="3"/>
      <c r="L86" s="3"/>
      <c r="M86" s="3"/>
      <c r="N86" s="16">
        <v>78</v>
      </c>
      <c r="O86" s="65"/>
      <c r="P86" s="55"/>
      <c r="Q86" s="56"/>
      <c r="R86" s="57"/>
      <c r="S86" s="58"/>
      <c r="T86" s="59"/>
      <c r="U86" s="60"/>
      <c r="V86" s="62"/>
      <c r="X86" s="1">
        <f t="shared" ca="1" si="19"/>
        <v>1</v>
      </c>
      <c r="Z86" s="1">
        <f t="shared" si="20"/>
        <v>0</v>
      </c>
      <c r="AA86" s="1">
        <f t="shared" si="20"/>
        <v>0</v>
      </c>
      <c r="AB86" s="1">
        <f t="shared" si="20"/>
        <v>0</v>
      </c>
      <c r="AC86" s="1">
        <f t="shared" si="20"/>
        <v>0</v>
      </c>
      <c r="AD86" s="1">
        <f t="shared" si="20"/>
        <v>0</v>
      </c>
      <c r="AE86" s="1">
        <f t="shared" si="20"/>
        <v>0</v>
      </c>
      <c r="AF86" s="1">
        <f t="shared" si="20"/>
        <v>0</v>
      </c>
      <c r="AG86" s="1">
        <f t="shared" si="20"/>
        <v>0</v>
      </c>
      <c r="AH86" s="1">
        <f t="shared" si="20"/>
        <v>0</v>
      </c>
      <c r="AI86" s="1">
        <f t="shared" si="20"/>
        <v>0</v>
      </c>
      <c r="AJ86" s="1">
        <f t="shared" si="20"/>
        <v>0</v>
      </c>
      <c r="AK86" s="1">
        <f t="shared" si="20"/>
        <v>0</v>
      </c>
    </row>
    <row r="87" spans="1:37" ht="14.1" customHeight="1" x14ac:dyDescent="0.2">
      <c r="A87" s="12">
        <v>31</v>
      </c>
      <c r="B87" s="65"/>
      <c r="C87" s="101" t="str">
        <f>ANUAL!$C171</f>
        <v>---</v>
      </c>
      <c r="D87" s="303" t="str">
        <f>ANUAL!$D171</f>
        <v>---</v>
      </c>
      <c r="E87" s="303"/>
      <c r="F87" s="303"/>
      <c r="G87" s="102">
        <f t="shared" si="16"/>
        <v>0</v>
      </c>
      <c r="H87" s="62"/>
      <c r="I87" s="3"/>
      <c r="J87" s="3"/>
      <c r="K87" s="3"/>
      <c r="L87" s="3"/>
      <c r="M87" s="3"/>
      <c r="N87" s="12">
        <v>79</v>
      </c>
      <c r="O87" s="65"/>
      <c r="P87" s="49"/>
      <c r="Q87" s="50"/>
      <c r="R87" s="51"/>
      <c r="S87" s="52"/>
      <c r="T87" s="53"/>
      <c r="U87" s="54"/>
      <c r="V87" s="62"/>
      <c r="X87" s="1">
        <f t="shared" ca="1" si="19"/>
        <v>1</v>
      </c>
      <c r="Z87" s="1">
        <f t="shared" si="20"/>
        <v>0</v>
      </c>
      <c r="AA87" s="1">
        <f t="shared" si="20"/>
        <v>0</v>
      </c>
      <c r="AB87" s="1">
        <f t="shared" si="20"/>
        <v>0</v>
      </c>
      <c r="AC87" s="1">
        <f t="shared" si="20"/>
        <v>0</v>
      </c>
      <c r="AD87" s="1">
        <f t="shared" si="20"/>
        <v>0</v>
      </c>
      <c r="AE87" s="1">
        <f t="shared" si="20"/>
        <v>0</v>
      </c>
      <c r="AF87" s="1">
        <f t="shared" si="20"/>
        <v>0</v>
      </c>
      <c r="AG87" s="1">
        <f t="shared" si="20"/>
        <v>0</v>
      </c>
      <c r="AH87" s="1">
        <f t="shared" si="20"/>
        <v>0</v>
      </c>
      <c r="AI87" s="1">
        <f t="shared" si="20"/>
        <v>0</v>
      </c>
      <c r="AJ87" s="1">
        <f t="shared" si="20"/>
        <v>0</v>
      </c>
      <c r="AK87" s="1">
        <f t="shared" si="20"/>
        <v>0</v>
      </c>
    </row>
    <row r="88" spans="1:37" ht="14.1" customHeight="1" x14ac:dyDescent="0.2">
      <c r="A88" s="16">
        <v>32</v>
      </c>
      <c r="B88" s="66"/>
      <c r="C88" s="103" t="str">
        <f>ANUAL!$C172</f>
        <v>---</v>
      </c>
      <c r="D88" s="302" t="str">
        <f>ANUAL!$D172</f>
        <v>---</v>
      </c>
      <c r="E88" s="302"/>
      <c r="F88" s="302"/>
      <c r="G88" s="104">
        <f t="shared" si="16"/>
        <v>0</v>
      </c>
      <c r="H88" s="63"/>
      <c r="I88" s="3"/>
      <c r="J88" s="3"/>
      <c r="K88" s="3"/>
      <c r="L88" s="3"/>
      <c r="M88" s="3"/>
      <c r="N88" s="16">
        <v>80</v>
      </c>
      <c r="O88" s="66"/>
      <c r="P88" s="55"/>
      <c r="Q88" s="56"/>
      <c r="R88" s="57"/>
      <c r="S88" s="58"/>
      <c r="T88" s="59"/>
      <c r="U88" s="60"/>
      <c r="V88" s="63"/>
      <c r="X88" s="1">
        <f t="shared" ca="1" si="19"/>
        <v>1</v>
      </c>
      <c r="Z88" s="1">
        <f t="shared" si="20"/>
        <v>0</v>
      </c>
      <c r="AA88" s="1">
        <f t="shared" si="20"/>
        <v>0</v>
      </c>
      <c r="AB88" s="1">
        <f t="shared" si="20"/>
        <v>0</v>
      </c>
      <c r="AC88" s="1">
        <f t="shared" si="20"/>
        <v>0</v>
      </c>
      <c r="AD88" s="1">
        <f t="shared" si="20"/>
        <v>0</v>
      </c>
      <c r="AE88" s="1">
        <f t="shared" si="20"/>
        <v>0</v>
      </c>
      <c r="AF88" s="1">
        <f t="shared" si="20"/>
        <v>0</v>
      </c>
      <c r="AG88" s="1">
        <f t="shared" si="20"/>
        <v>0</v>
      </c>
      <c r="AH88" s="1">
        <f t="shared" si="20"/>
        <v>0</v>
      </c>
      <c r="AI88" s="1">
        <f t="shared" si="20"/>
        <v>0</v>
      </c>
      <c r="AJ88" s="1">
        <f t="shared" si="20"/>
        <v>0</v>
      </c>
      <c r="AK88" s="1">
        <f t="shared" si="20"/>
        <v>0</v>
      </c>
    </row>
    <row r="89" spans="1:37" ht="14.1" customHeight="1" x14ac:dyDescent="0.2">
      <c r="B89" s="105"/>
      <c r="C89" s="106"/>
      <c r="D89" s="107"/>
      <c r="E89" s="107"/>
      <c r="F89" s="107"/>
      <c r="G89" s="107"/>
      <c r="H89" s="108"/>
      <c r="I89" s="3"/>
      <c r="J89" s="3"/>
      <c r="K89" s="3"/>
      <c r="L89" s="3"/>
      <c r="M89" s="3"/>
      <c r="O89" s="32"/>
      <c r="P89" s="33"/>
      <c r="Q89" s="33"/>
      <c r="R89" s="34"/>
      <c r="S89" s="34"/>
      <c r="T89" s="67"/>
      <c r="U89" s="34"/>
      <c r="V89" s="35"/>
    </row>
    <row r="90" spans="1:37" ht="14.1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37" ht="14.1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37" ht="14.1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37" ht="14.1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37" ht="14.1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37" ht="14.1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37" ht="14.1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1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1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1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</sheetData>
  <sheetProtection selectLockedCells="1"/>
  <mergeCells count="57">
    <mergeCell ref="C43:G44"/>
    <mergeCell ref="B1:H1"/>
    <mergeCell ref="C5:G6"/>
    <mergeCell ref="P5:U6"/>
    <mergeCell ref="C7:C8"/>
    <mergeCell ref="D7:D8"/>
    <mergeCell ref="E7:G7"/>
    <mergeCell ref="P7:P8"/>
    <mergeCell ref="Q7:Q8"/>
    <mergeCell ref="R7:S7"/>
    <mergeCell ref="T7:T8"/>
    <mergeCell ref="U7:U8"/>
    <mergeCell ref="C24:G25"/>
    <mergeCell ref="C26:C27"/>
    <mergeCell ref="D26:D27"/>
    <mergeCell ref="E26:G26"/>
    <mergeCell ref="D62:F62"/>
    <mergeCell ref="D63:F63"/>
    <mergeCell ref="D64:F64"/>
    <mergeCell ref="D65:F65"/>
    <mergeCell ref="C45:C46"/>
    <mergeCell ref="D45:D46"/>
    <mergeCell ref="E45:G45"/>
    <mergeCell ref="C53:G54"/>
    <mergeCell ref="C55:C56"/>
    <mergeCell ref="D55:D56"/>
    <mergeCell ref="E55:E56"/>
    <mergeCell ref="F55:F56"/>
    <mergeCell ref="G55:G56"/>
    <mergeCell ref="D57:F57"/>
    <mergeCell ref="D58:F58"/>
    <mergeCell ref="D59:F59"/>
    <mergeCell ref="D60:F60"/>
    <mergeCell ref="D61:F61"/>
    <mergeCell ref="D66:F66"/>
    <mergeCell ref="D67:F67"/>
    <mergeCell ref="D80:F80"/>
    <mergeCell ref="D69:F69"/>
    <mergeCell ref="D70:F70"/>
    <mergeCell ref="D71:F71"/>
    <mergeCell ref="D72:F72"/>
    <mergeCell ref="D73:F73"/>
    <mergeCell ref="D74:F74"/>
    <mergeCell ref="D75:F75"/>
    <mergeCell ref="D68:F68"/>
    <mergeCell ref="D88:F88"/>
    <mergeCell ref="D81:F81"/>
    <mergeCell ref="D82:F82"/>
    <mergeCell ref="D83:F83"/>
    <mergeCell ref="D84:F84"/>
    <mergeCell ref="D85:F85"/>
    <mergeCell ref="D86:F86"/>
    <mergeCell ref="D76:F76"/>
    <mergeCell ref="D77:F77"/>
    <mergeCell ref="D78:F78"/>
    <mergeCell ref="D79:F79"/>
    <mergeCell ref="D87:F87"/>
  </mergeCells>
  <conditionalFormatting sqref="U9:U11 P12:U88">
    <cfRule type="expression" dxfId="35" priority="7" stopIfTrue="1">
      <formula>$X9&lt;&gt;1</formula>
    </cfRule>
  </conditionalFormatting>
  <conditionalFormatting sqref="S12:T20">
    <cfRule type="expression" dxfId="34" priority="6" stopIfTrue="1">
      <formula>$X12&lt;&gt;1</formula>
    </cfRule>
  </conditionalFormatting>
  <conditionalFormatting sqref="U9:U11 S12:U20">
    <cfRule type="expression" dxfId="33" priority="5" stopIfTrue="1">
      <formula>$X9&lt;&gt;1</formula>
    </cfRule>
  </conditionalFormatting>
  <conditionalFormatting sqref="S12:T20">
    <cfRule type="expression" dxfId="32" priority="4" stopIfTrue="1">
      <formula>$X12&lt;&gt;1</formula>
    </cfRule>
  </conditionalFormatting>
  <conditionalFormatting sqref="U12:U16">
    <cfRule type="expression" dxfId="31" priority="3" stopIfTrue="1">
      <formula>$X12&lt;&gt;1</formula>
    </cfRule>
  </conditionalFormatting>
  <conditionalFormatting sqref="P9:T11">
    <cfRule type="expression" dxfId="30" priority="1" stopIfTrue="1">
      <formula>$X9&lt;&gt;1</formula>
    </cfRule>
  </conditionalFormatting>
  <printOptions horizontalCentered="1"/>
  <pageMargins left="0.39374999999999999" right="0.39374999999999999" top="0.78749999999999998" bottom="0.59027777777777779" header="0.51180555555555551" footer="0.51180555555555551"/>
  <pageSetup paperSize="8" scale="59" orientation="portrait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9"/>
  <sheetViews>
    <sheetView zoomScale="80" zoomScaleNormal="80" workbookViewId="0">
      <selection activeCell="P9" sqref="P9"/>
    </sheetView>
  </sheetViews>
  <sheetFormatPr defaultColWidth="11.5703125" defaultRowHeight="14.1" customHeight="1" x14ac:dyDescent="0.2"/>
  <cols>
    <col min="1" max="1" width="4.140625" style="1" customWidth="1"/>
    <col min="2" max="2" width="2.5703125" style="1" customWidth="1"/>
    <col min="3" max="3" width="9.140625" style="2" customWidth="1"/>
    <col min="4" max="4" width="40.85546875" style="1" customWidth="1"/>
    <col min="5" max="7" width="11.5703125" style="1"/>
    <col min="8" max="9" width="2.5703125" style="1" customWidth="1"/>
    <col min="10" max="12" width="11.5703125" style="1" hidden="1" customWidth="1"/>
    <col min="13" max="13" width="2.5703125" style="1" customWidth="1"/>
    <col min="14" max="14" width="4.140625" style="1" customWidth="1"/>
    <col min="15" max="15" width="2.5703125" style="1" customWidth="1"/>
    <col min="16" max="16" width="11.5703125" style="1"/>
    <col min="17" max="17" width="51" style="1" customWidth="1"/>
    <col min="18" max="19" width="12.7109375" style="24" customWidth="1"/>
    <col min="20" max="20" width="12.7109375" style="1" customWidth="1"/>
    <col min="21" max="21" width="10.140625" style="24" customWidth="1"/>
    <col min="22" max="22" width="2.5703125" style="1" customWidth="1"/>
    <col min="23" max="23" width="5.140625" style="1" customWidth="1"/>
    <col min="24" max="37" width="0" style="1" hidden="1" customWidth="1"/>
    <col min="38" max="255" width="11.5703125" style="1"/>
    <col min="256" max="16384" width="11.5703125" style="3"/>
  </cols>
  <sheetData>
    <row r="1" spans="1:256" s="4" customFormat="1" ht="33.950000000000003" customHeight="1" x14ac:dyDescent="0.2">
      <c r="B1" s="307">
        <f>DATE(ANUAL!B5,B2,8)</f>
        <v>40367</v>
      </c>
      <c r="C1" s="307"/>
      <c r="D1" s="307"/>
      <c r="E1" s="307"/>
      <c r="F1" s="307"/>
      <c r="G1" s="307"/>
      <c r="H1" s="307"/>
      <c r="I1" s="25" t="s">
        <v>2</v>
      </c>
      <c r="M1" s="26" t="s">
        <v>92</v>
      </c>
      <c r="R1" s="27"/>
      <c r="S1" s="27"/>
      <c r="U1" s="27"/>
      <c r="W1" s="25" t="s">
        <v>2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 t="s">
        <v>92</v>
      </c>
      <c r="IV1" s="3"/>
    </row>
    <row r="2" spans="1:256" ht="14.1" customHeight="1" x14ac:dyDescent="0.2">
      <c r="B2" s="28">
        <f>'M6'!B2+1</f>
        <v>7</v>
      </c>
    </row>
    <row r="4" spans="1:256" ht="14.1" customHeight="1" x14ac:dyDescent="0.2">
      <c r="B4" s="68"/>
      <c r="C4" s="69"/>
      <c r="D4" s="70"/>
      <c r="E4" s="70"/>
      <c r="F4" s="70"/>
      <c r="G4" s="70"/>
      <c r="H4" s="71"/>
      <c r="O4" s="36"/>
      <c r="P4" s="37"/>
      <c r="Q4" s="37"/>
      <c r="R4" s="38"/>
      <c r="S4" s="38"/>
      <c r="T4" s="37"/>
      <c r="U4" s="38"/>
      <c r="V4" s="39"/>
    </row>
    <row r="5" spans="1:256" ht="14.1" customHeight="1" x14ac:dyDescent="0.2">
      <c r="B5" s="72"/>
      <c r="C5" s="308" t="s">
        <v>107</v>
      </c>
      <c r="D5" s="308"/>
      <c r="E5" s="308"/>
      <c r="F5" s="308"/>
      <c r="G5" s="308"/>
      <c r="H5" s="73"/>
      <c r="O5" s="40"/>
      <c r="P5" s="309" t="s">
        <v>93</v>
      </c>
      <c r="Q5" s="309"/>
      <c r="R5" s="309"/>
      <c r="S5" s="309"/>
      <c r="T5" s="309"/>
      <c r="U5" s="309"/>
      <c r="V5" s="41"/>
    </row>
    <row r="6" spans="1:256" s="9" customFormat="1" ht="14.1" customHeight="1" x14ac:dyDescent="0.2">
      <c r="B6" s="74"/>
      <c r="C6" s="308"/>
      <c r="D6" s="308"/>
      <c r="E6" s="308"/>
      <c r="F6" s="308"/>
      <c r="G6" s="308"/>
      <c r="H6" s="75"/>
      <c r="I6" s="1"/>
      <c r="J6" s="1"/>
      <c r="K6" s="1"/>
      <c r="L6" s="1"/>
      <c r="M6" s="1"/>
      <c r="N6" s="1"/>
      <c r="O6" s="42"/>
      <c r="P6" s="309"/>
      <c r="Q6" s="309"/>
      <c r="R6" s="309"/>
      <c r="S6" s="309"/>
      <c r="T6" s="309"/>
      <c r="U6" s="309"/>
      <c r="V6" s="4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IV6" s="3"/>
    </row>
    <row r="7" spans="1:256" ht="14.1" customHeight="1" x14ac:dyDescent="0.2">
      <c r="B7" s="46"/>
      <c r="C7" s="271" t="s">
        <v>94</v>
      </c>
      <c r="D7" s="273" t="s">
        <v>5</v>
      </c>
      <c r="E7" s="275" t="s">
        <v>6</v>
      </c>
      <c r="F7" s="275"/>
      <c r="G7" s="276"/>
      <c r="H7" s="73"/>
      <c r="O7" s="46"/>
      <c r="P7" s="275" t="s">
        <v>95</v>
      </c>
      <c r="Q7" s="271" t="s">
        <v>5</v>
      </c>
      <c r="R7" s="275" t="s">
        <v>96</v>
      </c>
      <c r="S7" s="275"/>
      <c r="T7" s="275" t="s">
        <v>97</v>
      </c>
      <c r="U7" s="276" t="s">
        <v>98</v>
      </c>
      <c r="V7" s="41"/>
    </row>
    <row r="8" spans="1:256" ht="14.1" customHeight="1" x14ac:dyDescent="0.2">
      <c r="B8" s="44"/>
      <c r="C8" s="272"/>
      <c r="D8" s="274"/>
      <c r="E8" s="98" t="s">
        <v>99</v>
      </c>
      <c r="F8" s="98" t="s">
        <v>100</v>
      </c>
      <c r="G8" s="98" t="s">
        <v>101</v>
      </c>
      <c r="H8" s="76"/>
      <c r="O8" s="44"/>
      <c r="P8" s="306" t="s">
        <v>95</v>
      </c>
      <c r="Q8" s="272" t="s">
        <v>5</v>
      </c>
      <c r="R8" s="47" t="s">
        <v>89</v>
      </c>
      <c r="S8" s="48" t="s">
        <v>87</v>
      </c>
      <c r="T8" s="306" t="s">
        <v>97</v>
      </c>
      <c r="U8" s="305"/>
      <c r="V8" s="45"/>
      <c r="X8" s="1" t="s">
        <v>100</v>
      </c>
      <c r="Z8" s="1" t="str">
        <f>$C$9</f>
        <v/>
      </c>
      <c r="AA8" s="1" t="str">
        <f>$C$10</f>
        <v>INV1</v>
      </c>
      <c r="AB8" s="1" t="str">
        <f>$C$11</f>
        <v>DINH1</v>
      </c>
      <c r="AC8" s="1" t="str">
        <f>$C$12</f>
        <v>CRED1</v>
      </c>
      <c r="AD8" s="1" t="str">
        <f>$C$13</f>
        <v>---</v>
      </c>
      <c r="AE8" s="1" t="str">
        <f>$C$14</f>
        <v>---</v>
      </c>
      <c r="AF8" s="1" t="str">
        <f>$C$15</f>
        <v>---</v>
      </c>
      <c r="AG8" s="1" t="str">
        <f>$C$16</f>
        <v>---</v>
      </c>
      <c r="AH8" s="1" t="str">
        <f>$C$17</f>
        <v>---</v>
      </c>
      <c r="AI8" s="1" t="str">
        <f>$C$18</f>
        <v>---</v>
      </c>
      <c r="AJ8" s="1" t="str">
        <f>$C$19</f>
        <v>---</v>
      </c>
      <c r="AK8" s="1" t="str">
        <f>$C$20</f>
        <v>---</v>
      </c>
    </row>
    <row r="9" spans="1:256" ht="14.1" customHeight="1" x14ac:dyDescent="0.2">
      <c r="A9" s="12">
        <v>1</v>
      </c>
      <c r="B9" s="64"/>
      <c r="C9" s="115" t="str">
        <f>TRIM(ANUAL!C13)</f>
        <v/>
      </c>
      <c r="D9" s="116" t="str">
        <f>TRIM(ANUAL!D13)</f>
        <v>CONTA CORRENTE BANCO 1</v>
      </c>
      <c r="E9" s="117">
        <f ca="1">INDIRECT("M"&amp;B$2-1&amp;"!G"&amp;A9+ROW(A$8))</f>
        <v>0</v>
      </c>
      <c r="F9" s="117">
        <f t="shared" ref="F9:F20" ca="1" si="0">E9+SUMIF(X$9:X$88,1,OFFSET($Z$9:$Z$88,0,A9-1))</f>
        <v>0</v>
      </c>
      <c r="G9" s="117">
        <f t="shared" ref="G9:G20" ca="1" si="1">E9+SUM(OFFSET($Z$9:$Z$88,0,A9-1))</f>
        <v>0</v>
      </c>
      <c r="H9" s="61"/>
      <c r="J9" s="3" t="b">
        <f t="shared" ref="J9:L20" si="2">NOT(ISERR(SEARCH(J$27,$C9)))</f>
        <v>0</v>
      </c>
      <c r="K9" s="3" t="b">
        <f t="shared" si="2"/>
        <v>0</v>
      </c>
      <c r="L9" s="3" t="b">
        <f t="shared" si="2"/>
        <v>0</v>
      </c>
      <c r="N9" s="12">
        <v>1</v>
      </c>
      <c r="O9" s="64"/>
      <c r="P9" s="49"/>
      <c r="Q9" s="50"/>
      <c r="R9" s="51"/>
      <c r="S9" s="52"/>
      <c r="T9" s="53"/>
      <c r="U9" s="54"/>
      <c r="V9" s="61"/>
      <c r="X9" s="1">
        <f t="shared" ref="X9:X40" ca="1" si="3">IF(P9&lt;NOW(),1,0)</f>
        <v>1</v>
      </c>
      <c r="Z9" s="1">
        <f t="shared" ref="Z9:AK18" si="4">IF(Z$8=$R9,-$T9,0)+IF(Z$8=$S9,$T9,0)</f>
        <v>0</v>
      </c>
      <c r="AA9" s="1">
        <f t="shared" si="4"/>
        <v>0</v>
      </c>
      <c r="AB9" s="1">
        <f t="shared" si="4"/>
        <v>0</v>
      </c>
      <c r="AC9" s="1">
        <f t="shared" si="4"/>
        <v>0</v>
      </c>
      <c r="AD9" s="1">
        <f t="shared" si="4"/>
        <v>0</v>
      </c>
      <c r="AE9" s="1">
        <f t="shared" si="4"/>
        <v>0</v>
      </c>
      <c r="AF9" s="1">
        <f t="shared" si="4"/>
        <v>0</v>
      </c>
      <c r="AG9" s="1">
        <f t="shared" si="4"/>
        <v>0</v>
      </c>
      <c r="AH9" s="1">
        <f t="shared" si="4"/>
        <v>0</v>
      </c>
      <c r="AI9" s="1">
        <f t="shared" si="4"/>
        <v>0</v>
      </c>
      <c r="AJ9" s="1">
        <f t="shared" si="4"/>
        <v>0</v>
      </c>
      <c r="AK9" s="1">
        <f t="shared" si="4"/>
        <v>0</v>
      </c>
    </row>
    <row r="10" spans="1:256" ht="14.1" customHeight="1" x14ac:dyDescent="0.2">
      <c r="A10" s="16">
        <v>2</v>
      </c>
      <c r="B10" s="65"/>
      <c r="C10" s="118" t="str">
        <f>TRIM(ANUAL!C14)</f>
        <v>INV1</v>
      </c>
      <c r="D10" s="119" t="str">
        <f>TRIM(ANUAL!D14)</f>
        <v>POUPANÇA BANCO 1</v>
      </c>
      <c r="E10" s="120">
        <f t="shared" ref="E10:E20" ca="1" si="5">INDIRECT("M"&amp;B$2-1&amp;"!G"&amp;A10+ROW(A$8))</f>
        <v>0</v>
      </c>
      <c r="F10" s="120">
        <f t="shared" ca="1" si="0"/>
        <v>0</v>
      </c>
      <c r="G10" s="120">
        <f t="shared" ca="1" si="1"/>
        <v>0</v>
      </c>
      <c r="H10" s="62"/>
      <c r="J10" s="3" t="b">
        <f t="shared" si="2"/>
        <v>0</v>
      </c>
      <c r="K10" s="3" t="b">
        <f t="shared" si="2"/>
        <v>1</v>
      </c>
      <c r="L10" s="3" t="b">
        <f t="shared" si="2"/>
        <v>0</v>
      </c>
      <c r="N10" s="16">
        <v>2</v>
      </c>
      <c r="O10" s="65"/>
      <c r="P10" s="55"/>
      <c r="Q10" s="56"/>
      <c r="R10" s="57"/>
      <c r="S10" s="58"/>
      <c r="T10" s="59"/>
      <c r="U10" s="60"/>
      <c r="V10" s="62"/>
      <c r="X10" s="1">
        <f t="shared" ca="1" si="3"/>
        <v>1</v>
      </c>
      <c r="Z10" s="1">
        <f t="shared" si="4"/>
        <v>0</v>
      </c>
      <c r="AA10" s="1">
        <f t="shared" si="4"/>
        <v>0</v>
      </c>
      <c r="AB10" s="1">
        <f t="shared" si="4"/>
        <v>0</v>
      </c>
      <c r="AC10" s="1">
        <f t="shared" si="4"/>
        <v>0</v>
      </c>
      <c r="AD10" s="1">
        <f t="shared" si="4"/>
        <v>0</v>
      </c>
      <c r="AE10" s="1">
        <f t="shared" si="4"/>
        <v>0</v>
      </c>
      <c r="AF10" s="1">
        <f t="shared" si="4"/>
        <v>0</v>
      </c>
      <c r="AG10" s="1">
        <f t="shared" si="4"/>
        <v>0</v>
      </c>
      <c r="AH10" s="1">
        <f t="shared" si="4"/>
        <v>0</v>
      </c>
      <c r="AI10" s="1">
        <f t="shared" si="4"/>
        <v>0</v>
      </c>
      <c r="AJ10" s="1">
        <f t="shared" si="4"/>
        <v>0</v>
      </c>
      <c r="AK10" s="1">
        <f t="shared" si="4"/>
        <v>0</v>
      </c>
    </row>
    <row r="11" spans="1:256" ht="14.1" customHeight="1" x14ac:dyDescent="0.2">
      <c r="A11" s="12">
        <v>3</v>
      </c>
      <c r="B11" s="65"/>
      <c r="C11" s="115" t="str">
        <f>TRIM(ANUAL!C15)</f>
        <v>DINH1</v>
      </c>
      <c r="D11" s="116" t="str">
        <f>TRIM(ANUAL!D15)</f>
        <v>EM ESPÉCIE</v>
      </c>
      <c r="E11" s="117">
        <f t="shared" ca="1" si="5"/>
        <v>0</v>
      </c>
      <c r="F11" s="117">
        <f t="shared" ca="1" si="0"/>
        <v>0</v>
      </c>
      <c r="G11" s="117">
        <f t="shared" ca="1" si="1"/>
        <v>0</v>
      </c>
      <c r="H11" s="62"/>
      <c r="J11" s="3" t="b">
        <f t="shared" si="2"/>
        <v>0</v>
      </c>
      <c r="K11" s="3" t="b">
        <f t="shared" si="2"/>
        <v>0</v>
      </c>
      <c r="L11" s="3" t="b">
        <f t="shared" si="2"/>
        <v>1</v>
      </c>
      <c r="N11" s="12">
        <v>3</v>
      </c>
      <c r="O11" s="65"/>
      <c r="P11" s="49"/>
      <c r="Q11" s="50"/>
      <c r="R11" s="51"/>
      <c r="S11" s="52"/>
      <c r="T11" s="53"/>
      <c r="U11" s="54"/>
      <c r="V11" s="62"/>
      <c r="X11" s="1">
        <f t="shared" ca="1" si="3"/>
        <v>1</v>
      </c>
      <c r="Z11" s="1">
        <f t="shared" si="4"/>
        <v>0</v>
      </c>
      <c r="AA11" s="1">
        <f t="shared" si="4"/>
        <v>0</v>
      </c>
      <c r="AB11" s="1">
        <f t="shared" si="4"/>
        <v>0</v>
      </c>
      <c r="AC11" s="1">
        <f t="shared" si="4"/>
        <v>0</v>
      </c>
      <c r="AD11" s="1">
        <f t="shared" si="4"/>
        <v>0</v>
      </c>
      <c r="AE11" s="1">
        <f t="shared" si="4"/>
        <v>0</v>
      </c>
      <c r="AF11" s="1">
        <f t="shared" si="4"/>
        <v>0</v>
      </c>
      <c r="AG11" s="1">
        <f t="shared" si="4"/>
        <v>0</v>
      </c>
      <c r="AH11" s="1">
        <f t="shared" si="4"/>
        <v>0</v>
      </c>
      <c r="AI11" s="1">
        <f t="shared" si="4"/>
        <v>0</v>
      </c>
      <c r="AJ11" s="1">
        <f t="shared" si="4"/>
        <v>0</v>
      </c>
      <c r="AK11" s="1">
        <f t="shared" si="4"/>
        <v>0</v>
      </c>
    </row>
    <row r="12" spans="1:256" ht="14.1" customHeight="1" x14ac:dyDescent="0.2">
      <c r="A12" s="16">
        <v>4</v>
      </c>
      <c r="B12" s="65"/>
      <c r="C12" s="118" t="str">
        <f>TRIM(ANUAL!C16)</f>
        <v>CRED1</v>
      </c>
      <c r="D12" s="119" t="str">
        <f>TRIM(ANUAL!D16)</f>
        <v>CARTÃO DE CRÉDITO 1</v>
      </c>
      <c r="E12" s="120">
        <f t="shared" ca="1" si="5"/>
        <v>0</v>
      </c>
      <c r="F12" s="120">
        <f t="shared" ca="1" si="0"/>
        <v>0</v>
      </c>
      <c r="G12" s="120">
        <f t="shared" ca="1" si="1"/>
        <v>0</v>
      </c>
      <c r="H12" s="62"/>
      <c r="J12" s="3" t="b">
        <f t="shared" si="2"/>
        <v>0</v>
      </c>
      <c r="K12" s="3" t="b">
        <f t="shared" si="2"/>
        <v>0</v>
      </c>
      <c r="L12" s="3" t="b">
        <f t="shared" si="2"/>
        <v>0</v>
      </c>
      <c r="N12" s="16">
        <v>4</v>
      </c>
      <c r="O12" s="65"/>
      <c r="P12" s="55"/>
      <c r="Q12" s="56"/>
      <c r="R12" s="57"/>
      <c r="S12" s="58"/>
      <c r="T12" s="59"/>
      <c r="U12" s="60"/>
      <c r="V12" s="62"/>
      <c r="X12" s="1">
        <f t="shared" ca="1" si="3"/>
        <v>1</v>
      </c>
      <c r="Z12" s="1">
        <f t="shared" si="4"/>
        <v>0</v>
      </c>
      <c r="AA12" s="1">
        <f t="shared" si="4"/>
        <v>0</v>
      </c>
      <c r="AB12" s="1">
        <f t="shared" si="4"/>
        <v>0</v>
      </c>
      <c r="AC12" s="1">
        <f t="shared" si="4"/>
        <v>0</v>
      </c>
      <c r="AD12" s="1">
        <f t="shared" si="4"/>
        <v>0</v>
      </c>
      <c r="AE12" s="1">
        <f t="shared" si="4"/>
        <v>0</v>
      </c>
      <c r="AF12" s="1">
        <f t="shared" si="4"/>
        <v>0</v>
      </c>
      <c r="AG12" s="1">
        <f t="shared" si="4"/>
        <v>0</v>
      </c>
      <c r="AH12" s="1">
        <f t="shared" si="4"/>
        <v>0</v>
      </c>
      <c r="AI12" s="1">
        <f t="shared" si="4"/>
        <v>0</v>
      </c>
      <c r="AJ12" s="1">
        <f t="shared" si="4"/>
        <v>0</v>
      </c>
      <c r="AK12" s="1">
        <f t="shared" si="4"/>
        <v>0</v>
      </c>
    </row>
    <row r="13" spans="1:256" ht="14.1" customHeight="1" x14ac:dyDescent="0.2">
      <c r="A13" s="12">
        <v>5</v>
      </c>
      <c r="B13" s="65"/>
      <c r="C13" s="115" t="str">
        <f>TRIM(ANUAL!C17)</f>
        <v>---</v>
      </c>
      <c r="D13" s="116" t="str">
        <f>TRIM(ANUAL!D17)</f>
        <v/>
      </c>
      <c r="E13" s="117">
        <f t="shared" ca="1" si="5"/>
        <v>0</v>
      </c>
      <c r="F13" s="117">
        <f t="shared" ca="1" si="0"/>
        <v>0</v>
      </c>
      <c r="G13" s="117">
        <f t="shared" ca="1" si="1"/>
        <v>0</v>
      </c>
      <c r="H13" s="62"/>
      <c r="J13" s="3" t="b">
        <f t="shared" si="2"/>
        <v>0</v>
      </c>
      <c r="K13" s="3" t="b">
        <f t="shared" si="2"/>
        <v>0</v>
      </c>
      <c r="L13" s="3" t="b">
        <f t="shared" si="2"/>
        <v>0</v>
      </c>
      <c r="N13" s="12">
        <v>5</v>
      </c>
      <c r="O13" s="65"/>
      <c r="P13" s="49"/>
      <c r="Q13" s="50"/>
      <c r="R13" s="51"/>
      <c r="S13" s="52"/>
      <c r="T13" s="53"/>
      <c r="U13" s="54"/>
      <c r="V13" s="62"/>
      <c r="X13" s="1">
        <f t="shared" ca="1" si="3"/>
        <v>1</v>
      </c>
      <c r="Z13" s="1">
        <f t="shared" si="4"/>
        <v>0</v>
      </c>
      <c r="AA13" s="1">
        <f t="shared" si="4"/>
        <v>0</v>
      </c>
      <c r="AB13" s="1">
        <f t="shared" si="4"/>
        <v>0</v>
      </c>
      <c r="AC13" s="1">
        <f t="shared" si="4"/>
        <v>0</v>
      </c>
      <c r="AD13" s="1">
        <f t="shared" si="4"/>
        <v>0</v>
      </c>
      <c r="AE13" s="1">
        <f t="shared" si="4"/>
        <v>0</v>
      </c>
      <c r="AF13" s="1">
        <f t="shared" si="4"/>
        <v>0</v>
      </c>
      <c r="AG13" s="1">
        <f t="shared" si="4"/>
        <v>0</v>
      </c>
      <c r="AH13" s="1">
        <f t="shared" si="4"/>
        <v>0</v>
      </c>
      <c r="AI13" s="1">
        <f t="shared" si="4"/>
        <v>0</v>
      </c>
      <c r="AJ13" s="1">
        <f t="shared" si="4"/>
        <v>0</v>
      </c>
      <c r="AK13" s="1">
        <f t="shared" si="4"/>
        <v>0</v>
      </c>
    </row>
    <row r="14" spans="1:256" ht="14.1" customHeight="1" x14ac:dyDescent="0.2">
      <c r="A14" s="16">
        <v>6</v>
      </c>
      <c r="B14" s="65"/>
      <c r="C14" s="118" t="str">
        <f>TRIM(ANUAL!C18)</f>
        <v>---</v>
      </c>
      <c r="D14" s="119" t="str">
        <f>TRIM(ANUAL!D18)</f>
        <v/>
      </c>
      <c r="E14" s="120">
        <f t="shared" ca="1" si="5"/>
        <v>0</v>
      </c>
      <c r="F14" s="120">
        <f t="shared" ca="1" si="0"/>
        <v>0</v>
      </c>
      <c r="G14" s="120">
        <f t="shared" ca="1" si="1"/>
        <v>0</v>
      </c>
      <c r="H14" s="62"/>
      <c r="J14" s="3" t="b">
        <f t="shared" si="2"/>
        <v>0</v>
      </c>
      <c r="K14" s="3" t="b">
        <f t="shared" si="2"/>
        <v>0</v>
      </c>
      <c r="L14" s="3" t="b">
        <f t="shared" si="2"/>
        <v>0</v>
      </c>
      <c r="N14" s="16">
        <v>6</v>
      </c>
      <c r="O14" s="65"/>
      <c r="P14" s="55"/>
      <c r="Q14" s="56"/>
      <c r="R14" s="57"/>
      <c r="S14" s="58"/>
      <c r="T14" s="59"/>
      <c r="U14" s="60"/>
      <c r="V14" s="62"/>
      <c r="X14" s="1">
        <f t="shared" ca="1" si="3"/>
        <v>1</v>
      </c>
      <c r="Z14" s="1">
        <f t="shared" si="4"/>
        <v>0</v>
      </c>
      <c r="AA14" s="1">
        <f t="shared" si="4"/>
        <v>0</v>
      </c>
      <c r="AB14" s="1">
        <f t="shared" si="4"/>
        <v>0</v>
      </c>
      <c r="AC14" s="1">
        <f t="shared" si="4"/>
        <v>0</v>
      </c>
      <c r="AD14" s="1">
        <f t="shared" si="4"/>
        <v>0</v>
      </c>
      <c r="AE14" s="1">
        <f t="shared" si="4"/>
        <v>0</v>
      </c>
      <c r="AF14" s="1">
        <f t="shared" si="4"/>
        <v>0</v>
      </c>
      <c r="AG14" s="1">
        <f t="shared" si="4"/>
        <v>0</v>
      </c>
      <c r="AH14" s="1">
        <f t="shared" si="4"/>
        <v>0</v>
      </c>
      <c r="AI14" s="1">
        <f t="shared" si="4"/>
        <v>0</v>
      </c>
      <c r="AJ14" s="1">
        <f t="shared" si="4"/>
        <v>0</v>
      </c>
      <c r="AK14" s="1">
        <f t="shared" si="4"/>
        <v>0</v>
      </c>
    </row>
    <row r="15" spans="1:256" ht="14.1" customHeight="1" x14ac:dyDescent="0.2">
      <c r="A15" s="12">
        <v>7</v>
      </c>
      <c r="B15" s="65"/>
      <c r="C15" s="115" t="str">
        <f>TRIM(ANUAL!C19)</f>
        <v>---</v>
      </c>
      <c r="D15" s="116" t="str">
        <f>TRIM(ANUAL!D19)</f>
        <v/>
      </c>
      <c r="E15" s="117">
        <f t="shared" ca="1" si="5"/>
        <v>0</v>
      </c>
      <c r="F15" s="117">
        <f t="shared" ca="1" si="0"/>
        <v>0</v>
      </c>
      <c r="G15" s="117">
        <f t="shared" ca="1" si="1"/>
        <v>0</v>
      </c>
      <c r="H15" s="62"/>
      <c r="J15" s="3" t="b">
        <f t="shared" si="2"/>
        <v>0</v>
      </c>
      <c r="K15" s="3" t="b">
        <f t="shared" si="2"/>
        <v>0</v>
      </c>
      <c r="L15" s="3" t="b">
        <f t="shared" si="2"/>
        <v>0</v>
      </c>
      <c r="N15" s="12">
        <v>7</v>
      </c>
      <c r="O15" s="65"/>
      <c r="P15" s="49"/>
      <c r="Q15" s="50"/>
      <c r="R15" s="51"/>
      <c r="S15" s="52"/>
      <c r="T15" s="53"/>
      <c r="U15" s="54"/>
      <c r="V15" s="62"/>
      <c r="X15" s="1">
        <f t="shared" ca="1" si="3"/>
        <v>1</v>
      </c>
      <c r="Z15" s="1">
        <f t="shared" si="4"/>
        <v>0</v>
      </c>
      <c r="AA15" s="1">
        <f t="shared" si="4"/>
        <v>0</v>
      </c>
      <c r="AB15" s="1">
        <f t="shared" si="4"/>
        <v>0</v>
      </c>
      <c r="AC15" s="1">
        <f t="shared" si="4"/>
        <v>0</v>
      </c>
      <c r="AD15" s="1">
        <f t="shared" si="4"/>
        <v>0</v>
      </c>
      <c r="AE15" s="1">
        <f t="shared" si="4"/>
        <v>0</v>
      </c>
      <c r="AF15" s="1">
        <f t="shared" si="4"/>
        <v>0</v>
      </c>
      <c r="AG15" s="1">
        <f t="shared" si="4"/>
        <v>0</v>
      </c>
      <c r="AH15" s="1">
        <f t="shared" si="4"/>
        <v>0</v>
      </c>
      <c r="AI15" s="1">
        <f t="shared" si="4"/>
        <v>0</v>
      </c>
      <c r="AJ15" s="1">
        <f t="shared" si="4"/>
        <v>0</v>
      </c>
      <c r="AK15" s="1">
        <f t="shared" si="4"/>
        <v>0</v>
      </c>
    </row>
    <row r="16" spans="1:256" ht="14.1" customHeight="1" x14ac:dyDescent="0.2">
      <c r="A16" s="16">
        <v>8</v>
      </c>
      <c r="B16" s="65"/>
      <c r="C16" s="118" t="str">
        <f>TRIM(ANUAL!C20)</f>
        <v>---</v>
      </c>
      <c r="D16" s="119" t="str">
        <f>TRIM(ANUAL!D20)</f>
        <v/>
      </c>
      <c r="E16" s="120">
        <f t="shared" ca="1" si="5"/>
        <v>0</v>
      </c>
      <c r="F16" s="120">
        <f t="shared" ca="1" si="0"/>
        <v>0</v>
      </c>
      <c r="G16" s="120">
        <f t="shared" ca="1" si="1"/>
        <v>0</v>
      </c>
      <c r="H16" s="62"/>
      <c r="J16" s="3" t="b">
        <f t="shared" si="2"/>
        <v>0</v>
      </c>
      <c r="K16" s="3" t="b">
        <f t="shared" si="2"/>
        <v>0</v>
      </c>
      <c r="L16" s="3" t="b">
        <f t="shared" si="2"/>
        <v>0</v>
      </c>
      <c r="N16" s="16">
        <v>8</v>
      </c>
      <c r="O16" s="65"/>
      <c r="P16" s="55"/>
      <c r="Q16" s="56"/>
      <c r="R16" s="57"/>
      <c r="S16" s="58"/>
      <c r="T16" s="59"/>
      <c r="U16" s="60"/>
      <c r="V16" s="62"/>
      <c r="X16" s="1">
        <f t="shared" ca="1" si="3"/>
        <v>1</v>
      </c>
      <c r="Z16" s="1">
        <f t="shared" si="4"/>
        <v>0</v>
      </c>
      <c r="AA16" s="1">
        <f t="shared" si="4"/>
        <v>0</v>
      </c>
      <c r="AB16" s="1">
        <f t="shared" si="4"/>
        <v>0</v>
      </c>
      <c r="AC16" s="1">
        <f t="shared" si="4"/>
        <v>0</v>
      </c>
      <c r="AD16" s="1">
        <f t="shared" si="4"/>
        <v>0</v>
      </c>
      <c r="AE16" s="1">
        <f t="shared" si="4"/>
        <v>0</v>
      </c>
      <c r="AF16" s="1">
        <f t="shared" si="4"/>
        <v>0</v>
      </c>
      <c r="AG16" s="1">
        <f t="shared" si="4"/>
        <v>0</v>
      </c>
      <c r="AH16" s="1">
        <f t="shared" si="4"/>
        <v>0</v>
      </c>
      <c r="AI16" s="1">
        <f t="shared" si="4"/>
        <v>0</v>
      </c>
      <c r="AJ16" s="1">
        <f t="shared" si="4"/>
        <v>0</v>
      </c>
      <c r="AK16" s="1">
        <f t="shared" si="4"/>
        <v>0</v>
      </c>
    </row>
    <row r="17" spans="1:37" ht="14.1" customHeight="1" x14ac:dyDescent="0.2">
      <c r="A17" s="12">
        <v>9</v>
      </c>
      <c r="B17" s="65"/>
      <c r="C17" s="115" t="str">
        <f>TRIM(ANUAL!C21)</f>
        <v>---</v>
      </c>
      <c r="D17" s="116" t="str">
        <f>TRIM(ANUAL!D21)</f>
        <v/>
      </c>
      <c r="E17" s="117">
        <f t="shared" ca="1" si="5"/>
        <v>0</v>
      </c>
      <c r="F17" s="117">
        <f t="shared" ca="1" si="0"/>
        <v>0</v>
      </c>
      <c r="G17" s="117">
        <f t="shared" ca="1" si="1"/>
        <v>0</v>
      </c>
      <c r="H17" s="62"/>
      <c r="J17" s="3" t="b">
        <f t="shared" si="2"/>
        <v>0</v>
      </c>
      <c r="K17" s="3" t="b">
        <f t="shared" si="2"/>
        <v>0</v>
      </c>
      <c r="L17" s="3" t="b">
        <f t="shared" si="2"/>
        <v>0</v>
      </c>
      <c r="N17" s="12">
        <v>9</v>
      </c>
      <c r="O17" s="65"/>
      <c r="P17" s="49"/>
      <c r="Q17" s="50"/>
      <c r="R17" s="51"/>
      <c r="S17" s="52"/>
      <c r="T17" s="53"/>
      <c r="U17" s="54"/>
      <c r="V17" s="62"/>
      <c r="X17" s="1">
        <f t="shared" ca="1" si="3"/>
        <v>1</v>
      </c>
      <c r="Z17" s="1">
        <f t="shared" si="4"/>
        <v>0</v>
      </c>
      <c r="AA17" s="1">
        <f t="shared" si="4"/>
        <v>0</v>
      </c>
      <c r="AB17" s="1">
        <f t="shared" si="4"/>
        <v>0</v>
      </c>
      <c r="AC17" s="1">
        <f t="shared" si="4"/>
        <v>0</v>
      </c>
      <c r="AD17" s="1">
        <f t="shared" si="4"/>
        <v>0</v>
      </c>
      <c r="AE17" s="1">
        <f t="shared" si="4"/>
        <v>0</v>
      </c>
      <c r="AF17" s="1">
        <f t="shared" si="4"/>
        <v>0</v>
      </c>
      <c r="AG17" s="1">
        <f t="shared" si="4"/>
        <v>0</v>
      </c>
      <c r="AH17" s="1">
        <f t="shared" si="4"/>
        <v>0</v>
      </c>
      <c r="AI17" s="1">
        <f t="shared" si="4"/>
        <v>0</v>
      </c>
      <c r="AJ17" s="1">
        <f t="shared" si="4"/>
        <v>0</v>
      </c>
      <c r="AK17" s="1">
        <f t="shared" si="4"/>
        <v>0</v>
      </c>
    </row>
    <row r="18" spans="1:37" ht="14.1" customHeight="1" x14ac:dyDescent="0.2">
      <c r="A18" s="16">
        <v>10</v>
      </c>
      <c r="B18" s="65"/>
      <c r="C18" s="118" t="str">
        <f>TRIM(ANUAL!C22)</f>
        <v>---</v>
      </c>
      <c r="D18" s="119" t="str">
        <f>TRIM(ANUAL!D22)</f>
        <v/>
      </c>
      <c r="E18" s="120">
        <f t="shared" ca="1" si="5"/>
        <v>0</v>
      </c>
      <c r="F18" s="120">
        <f t="shared" ca="1" si="0"/>
        <v>0</v>
      </c>
      <c r="G18" s="120">
        <f t="shared" ca="1" si="1"/>
        <v>0</v>
      </c>
      <c r="H18" s="62"/>
      <c r="J18" s="3" t="b">
        <f t="shared" si="2"/>
        <v>0</v>
      </c>
      <c r="K18" s="3" t="b">
        <f t="shared" si="2"/>
        <v>0</v>
      </c>
      <c r="L18" s="3" t="b">
        <f t="shared" si="2"/>
        <v>0</v>
      </c>
      <c r="N18" s="16">
        <v>10</v>
      </c>
      <c r="O18" s="65"/>
      <c r="P18" s="55"/>
      <c r="Q18" s="56"/>
      <c r="R18" s="57"/>
      <c r="S18" s="58"/>
      <c r="T18" s="59"/>
      <c r="U18" s="60"/>
      <c r="V18" s="62"/>
      <c r="X18" s="1">
        <f t="shared" ca="1" si="3"/>
        <v>1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C18" s="1">
        <f t="shared" si="4"/>
        <v>0</v>
      </c>
      <c r="AD18" s="1">
        <f t="shared" si="4"/>
        <v>0</v>
      </c>
      <c r="AE18" s="1">
        <f t="shared" si="4"/>
        <v>0</v>
      </c>
      <c r="AF18" s="1">
        <f t="shared" si="4"/>
        <v>0</v>
      </c>
      <c r="AG18" s="1">
        <f t="shared" si="4"/>
        <v>0</v>
      </c>
      <c r="AH18" s="1">
        <f t="shared" si="4"/>
        <v>0</v>
      </c>
      <c r="AI18" s="1">
        <f t="shared" si="4"/>
        <v>0</v>
      </c>
      <c r="AJ18" s="1">
        <f t="shared" si="4"/>
        <v>0</v>
      </c>
      <c r="AK18" s="1">
        <f t="shared" si="4"/>
        <v>0</v>
      </c>
    </row>
    <row r="19" spans="1:37" ht="14.1" customHeight="1" x14ac:dyDescent="0.2">
      <c r="A19" s="12">
        <v>11</v>
      </c>
      <c r="B19" s="65"/>
      <c r="C19" s="115" t="str">
        <f>TRIM(ANUAL!C23)</f>
        <v>---</v>
      </c>
      <c r="D19" s="116" t="str">
        <f>TRIM(ANUAL!D23)</f>
        <v/>
      </c>
      <c r="E19" s="117">
        <f t="shared" ca="1" si="5"/>
        <v>0</v>
      </c>
      <c r="F19" s="117">
        <f t="shared" ca="1" si="0"/>
        <v>0</v>
      </c>
      <c r="G19" s="117">
        <f t="shared" ca="1" si="1"/>
        <v>0</v>
      </c>
      <c r="H19" s="62"/>
      <c r="J19" s="3" t="b">
        <f t="shared" si="2"/>
        <v>0</v>
      </c>
      <c r="K19" s="3" t="b">
        <f t="shared" si="2"/>
        <v>0</v>
      </c>
      <c r="L19" s="3" t="b">
        <f t="shared" si="2"/>
        <v>0</v>
      </c>
      <c r="N19" s="12">
        <v>11</v>
      </c>
      <c r="O19" s="65"/>
      <c r="P19" s="49"/>
      <c r="Q19" s="50"/>
      <c r="R19" s="51"/>
      <c r="S19" s="52"/>
      <c r="T19" s="53"/>
      <c r="U19" s="54"/>
      <c r="V19" s="62"/>
      <c r="X19" s="1">
        <f t="shared" ca="1" si="3"/>
        <v>1</v>
      </c>
      <c r="Z19" s="1">
        <f t="shared" ref="Z19:AK28" si="6">IF(Z$8=$R19,-$T19,0)+IF(Z$8=$S19,$T19,0)</f>
        <v>0</v>
      </c>
      <c r="AA19" s="1">
        <f t="shared" si="6"/>
        <v>0</v>
      </c>
      <c r="AB19" s="1">
        <f t="shared" si="6"/>
        <v>0</v>
      </c>
      <c r="AC19" s="1">
        <f t="shared" si="6"/>
        <v>0</v>
      </c>
      <c r="AD19" s="1">
        <f t="shared" si="6"/>
        <v>0</v>
      </c>
      <c r="AE19" s="1">
        <f t="shared" si="6"/>
        <v>0</v>
      </c>
      <c r="AF19" s="1">
        <f t="shared" si="6"/>
        <v>0</v>
      </c>
      <c r="AG19" s="1">
        <f t="shared" si="6"/>
        <v>0</v>
      </c>
      <c r="AH19" s="1">
        <f t="shared" si="6"/>
        <v>0</v>
      </c>
      <c r="AI19" s="1">
        <f t="shared" si="6"/>
        <v>0</v>
      </c>
      <c r="AJ19" s="1">
        <f t="shared" si="6"/>
        <v>0</v>
      </c>
      <c r="AK19" s="1">
        <f t="shared" si="6"/>
        <v>0</v>
      </c>
    </row>
    <row r="20" spans="1:37" ht="14.1" customHeight="1" x14ac:dyDescent="0.2">
      <c r="A20" s="16">
        <v>12</v>
      </c>
      <c r="B20" s="65"/>
      <c r="C20" s="121" t="str">
        <f>TRIM(ANUAL!C24)</f>
        <v>---</v>
      </c>
      <c r="D20" s="122" t="str">
        <f>TRIM(ANUAL!D24)</f>
        <v/>
      </c>
      <c r="E20" s="123">
        <f t="shared" ca="1" si="5"/>
        <v>0</v>
      </c>
      <c r="F20" s="123">
        <f t="shared" ca="1" si="0"/>
        <v>0</v>
      </c>
      <c r="G20" s="123">
        <f t="shared" ca="1" si="1"/>
        <v>0</v>
      </c>
      <c r="H20" s="62"/>
      <c r="J20" s="3" t="b">
        <f t="shared" si="2"/>
        <v>0</v>
      </c>
      <c r="K20" s="3" t="b">
        <f t="shared" si="2"/>
        <v>0</v>
      </c>
      <c r="L20" s="3" t="b">
        <f t="shared" si="2"/>
        <v>0</v>
      </c>
      <c r="N20" s="16">
        <v>12</v>
      </c>
      <c r="O20" s="65"/>
      <c r="P20" s="55"/>
      <c r="Q20" s="56"/>
      <c r="R20" s="57"/>
      <c r="S20" s="58"/>
      <c r="T20" s="59"/>
      <c r="U20" s="60"/>
      <c r="V20" s="62"/>
      <c r="X20" s="1">
        <f t="shared" ca="1" si="3"/>
        <v>1</v>
      </c>
      <c r="Z20" s="1">
        <f t="shared" si="6"/>
        <v>0</v>
      </c>
      <c r="AA20" s="1">
        <f t="shared" si="6"/>
        <v>0</v>
      </c>
      <c r="AB20" s="1">
        <f t="shared" si="6"/>
        <v>0</v>
      </c>
      <c r="AC20" s="1">
        <f t="shared" si="6"/>
        <v>0</v>
      </c>
      <c r="AD20" s="1">
        <f t="shared" si="6"/>
        <v>0</v>
      </c>
      <c r="AE20" s="1">
        <f t="shared" si="6"/>
        <v>0</v>
      </c>
      <c r="AF20" s="1">
        <f t="shared" si="6"/>
        <v>0</v>
      </c>
      <c r="AG20" s="1">
        <f t="shared" si="6"/>
        <v>0</v>
      </c>
      <c r="AH20" s="1">
        <f t="shared" si="6"/>
        <v>0</v>
      </c>
      <c r="AI20" s="1">
        <f t="shared" si="6"/>
        <v>0</v>
      </c>
      <c r="AJ20" s="1">
        <f t="shared" si="6"/>
        <v>0</v>
      </c>
      <c r="AK20" s="1">
        <f t="shared" si="6"/>
        <v>0</v>
      </c>
    </row>
    <row r="21" spans="1:37" ht="14.1" customHeight="1" x14ac:dyDescent="0.2">
      <c r="B21" s="128"/>
      <c r="C21" s="129"/>
      <c r="D21" s="130"/>
      <c r="E21" s="130"/>
      <c r="F21" s="130"/>
      <c r="G21" s="130"/>
      <c r="H21" s="131"/>
      <c r="N21" s="12">
        <v>13</v>
      </c>
      <c r="O21" s="65"/>
      <c r="P21" s="49"/>
      <c r="Q21" s="50"/>
      <c r="R21" s="51"/>
      <c r="S21" s="52"/>
      <c r="T21" s="53"/>
      <c r="U21" s="54"/>
      <c r="V21" s="62"/>
      <c r="X21" s="1">
        <f t="shared" ca="1" si="3"/>
        <v>1</v>
      </c>
      <c r="Z21" s="1">
        <f t="shared" si="6"/>
        <v>0</v>
      </c>
      <c r="AA21" s="1">
        <f t="shared" si="6"/>
        <v>0</v>
      </c>
      <c r="AB21" s="1">
        <f t="shared" si="6"/>
        <v>0</v>
      </c>
      <c r="AC21" s="1">
        <f t="shared" si="6"/>
        <v>0</v>
      </c>
      <c r="AD21" s="1">
        <f t="shared" si="6"/>
        <v>0</v>
      </c>
      <c r="AE21" s="1">
        <f t="shared" si="6"/>
        <v>0</v>
      </c>
      <c r="AF21" s="1">
        <f t="shared" si="6"/>
        <v>0</v>
      </c>
      <c r="AG21" s="1">
        <f t="shared" si="6"/>
        <v>0</v>
      </c>
      <c r="AH21" s="1">
        <f t="shared" si="6"/>
        <v>0</v>
      </c>
      <c r="AI21" s="1">
        <f t="shared" si="6"/>
        <v>0</v>
      </c>
      <c r="AJ21" s="1">
        <f t="shared" si="6"/>
        <v>0</v>
      </c>
      <c r="AK21" s="1">
        <f t="shared" si="6"/>
        <v>0</v>
      </c>
    </row>
    <row r="22" spans="1:37" ht="14.1" customHeight="1" x14ac:dyDescent="0.2">
      <c r="J22" s="29"/>
      <c r="K22" s="29"/>
      <c r="L22" s="29"/>
      <c r="N22" s="16">
        <v>14</v>
      </c>
      <c r="O22" s="65"/>
      <c r="P22" s="55"/>
      <c r="Q22" s="56"/>
      <c r="R22" s="57"/>
      <c r="S22" s="58"/>
      <c r="T22" s="59"/>
      <c r="U22" s="60"/>
      <c r="V22" s="62"/>
      <c r="X22" s="1">
        <f t="shared" ca="1" si="3"/>
        <v>1</v>
      </c>
      <c r="Z22" s="1">
        <f t="shared" si="6"/>
        <v>0</v>
      </c>
      <c r="AA22" s="1">
        <f t="shared" si="6"/>
        <v>0</v>
      </c>
      <c r="AB22" s="1">
        <f t="shared" si="6"/>
        <v>0</v>
      </c>
      <c r="AC22" s="1">
        <f t="shared" si="6"/>
        <v>0</v>
      </c>
      <c r="AD22" s="1">
        <f t="shared" si="6"/>
        <v>0</v>
      </c>
      <c r="AE22" s="1">
        <f t="shared" si="6"/>
        <v>0</v>
      </c>
      <c r="AF22" s="1">
        <f t="shared" si="6"/>
        <v>0</v>
      </c>
      <c r="AG22" s="1">
        <f t="shared" si="6"/>
        <v>0</v>
      </c>
      <c r="AH22" s="1">
        <f t="shared" si="6"/>
        <v>0</v>
      </c>
      <c r="AI22" s="1">
        <f t="shared" si="6"/>
        <v>0</v>
      </c>
      <c r="AJ22" s="1">
        <f t="shared" si="6"/>
        <v>0</v>
      </c>
      <c r="AK22" s="1">
        <f t="shared" si="6"/>
        <v>0</v>
      </c>
    </row>
    <row r="23" spans="1:37" ht="14.1" customHeight="1" x14ac:dyDescent="0.2">
      <c r="B23" s="77"/>
      <c r="C23" s="78"/>
      <c r="D23" s="79"/>
      <c r="E23" s="79"/>
      <c r="F23" s="79"/>
      <c r="G23" s="79"/>
      <c r="H23" s="80"/>
      <c r="I23" s="3"/>
      <c r="J23" s="3"/>
      <c r="K23" s="3"/>
      <c r="L23" s="3"/>
      <c r="M23" s="3"/>
      <c r="N23" s="12">
        <v>15</v>
      </c>
      <c r="O23" s="65"/>
      <c r="P23" s="49"/>
      <c r="Q23" s="50"/>
      <c r="R23" s="51"/>
      <c r="S23" s="52"/>
      <c r="T23" s="53"/>
      <c r="U23" s="54"/>
      <c r="V23" s="62"/>
      <c r="X23" s="1">
        <f t="shared" ca="1" si="3"/>
        <v>1</v>
      </c>
      <c r="Z23" s="1">
        <f t="shared" si="6"/>
        <v>0</v>
      </c>
      <c r="AA23" s="1">
        <f t="shared" si="6"/>
        <v>0</v>
      </c>
      <c r="AB23" s="1">
        <f t="shared" si="6"/>
        <v>0</v>
      </c>
      <c r="AC23" s="1">
        <f t="shared" si="6"/>
        <v>0</v>
      </c>
      <c r="AD23" s="1">
        <f t="shared" si="6"/>
        <v>0</v>
      </c>
      <c r="AE23" s="1">
        <f t="shared" si="6"/>
        <v>0</v>
      </c>
      <c r="AF23" s="1">
        <f t="shared" si="6"/>
        <v>0</v>
      </c>
      <c r="AG23" s="1">
        <f t="shared" si="6"/>
        <v>0</v>
      </c>
      <c r="AH23" s="1">
        <f t="shared" si="6"/>
        <v>0</v>
      </c>
      <c r="AI23" s="1">
        <f t="shared" si="6"/>
        <v>0</v>
      </c>
      <c r="AJ23" s="1">
        <f t="shared" si="6"/>
        <v>0</v>
      </c>
      <c r="AK23" s="1">
        <f t="shared" si="6"/>
        <v>0</v>
      </c>
    </row>
    <row r="24" spans="1:37" ht="14.1" customHeight="1" x14ac:dyDescent="0.2">
      <c r="B24" s="81"/>
      <c r="C24" s="285" t="s">
        <v>103</v>
      </c>
      <c r="D24" s="285"/>
      <c r="E24" s="285"/>
      <c r="F24" s="285"/>
      <c r="G24" s="285"/>
      <c r="H24" s="82"/>
      <c r="I24" s="3"/>
      <c r="J24" s="3"/>
      <c r="K24" s="3"/>
      <c r="L24" s="3"/>
      <c r="M24" s="3"/>
      <c r="N24" s="16">
        <v>16</v>
      </c>
      <c r="O24" s="65"/>
      <c r="P24" s="55"/>
      <c r="Q24" s="56"/>
      <c r="R24" s="57"/>
      <c r="S24" s="58"/>
      <c r="T24" s="59"/>
      <c r="U24" s="60"/>
      <c r="V24" s="62"/>
      <c r="X24" s="1">
        <f t="shared" ca="1" si="3"/>
        <v>1</v>
      </c>
      <c r="Z24" s="1">
        <f t="shared" si="6"/>
        <v>0</v>
      </c>
      <c r="AA24" s="1">
        <f t="shared" si="6"/>
        <v>0</v>
      </c>
      <c r="AB24" s="1">
        <f t="shared" si="6"/>
        <v>0</v>
      </c>
      <c r="AC24" s="1">
        <f t="shared" si="6"/>
        <v>0</v>
      </c>
      <c r="AD24" s="1">
        <f t="shared" si="6"/>
        <v>0</v>
      </c>
      <c r="AE24" s="1">
        <f t="shared" si="6"/>
        <v>0</v>
      </c>
      <c r="AF24" s="1">
        <f t="shared" si="6"/>
        <v>0</v>
      </c>
      <c r="AG24" s="1">
        <f t="shared" si="6"/>
        <v>0</v>
      </c>
      <c r="AH24" s="1">
        <f t="shared" si="6"/>
        <v>0</v>
      </c>
      <c r="AI24" s="1">
        <f t="shared" si="6"/>
        <v>0</v>
      </c>
      <c r="AJ24" s="1">
        <f t="shared" si="6"/>
        <v>0</v>
      </c>
      <c r="AK24" s="1">
        <f t="shared" si="6"/>
        <v>0</v>
      </c>
    </row>
    <row r="25" spans="1:37" ht="14.1" customHeight="1" x14ac:dyDescent="0.2">
      <c r="B25" s="81"/>
      <c r="C25" s="285"/>
      <c r="D25" s="285"/>
      <c r="E25" s="285"/>
      <c r="F25" s="285"/>
      <c r="G25" s="285"/>
      <c r="H25" s="82"/>
      <c r="I25" s="3"/>
      <c r="J25" s="3"/>
      <c r="K25" s="3"/>
      <c r="L25" s="3"/>
      <c r="M25" s="3"/>
      <c r="N25" s="12">
        <v>17</v>
      </c>
      <c r="O25" s="65"/>
      <c r="P25" s="49"/>
      <c r="Q25" s="50"/>
      <c r="R25" s="51"/>
      <c r="S25" s="52"/>
      <c r="T25" s="53"/>
      <c r="U25" s="54"/>
      <c r="V25" s="62"/>
      <c r="X25" s="1">
        <f t="shared" ca="1" si="3"/>
        <v>1</v>
      </c>
      <c r="Z25" s="1">
        <f t="shared" si="6"/>
        <v>0</v>
      </c>
      <c r="AA25" s="1">
        <f t="shared" si="6"/>
        <v>0</v>
      </c>
      <c r="AB25" s="1">
        <f t="shared" si="6"/>
        <v>0</v>
      </c>
      <c r="AC25" s="1">
        <f t="shared" si="6"/>
        <v>0</v>
      </c>
      <c r="AD25" s="1">
        <f t="shared" si="6"/>
        <v>0</v>
      </c>
      <c r="AE25" s="1">
        <f t="shared" si="6"/>
        <v>0</v>
      </c>
      <c r="AF25" s="1">
        <f t="shared" si="6"/>
        <v>0</v>
      </c>
      <c r="AG25" s="1">
        <f t="shared" si="6"/>
        <v>0</v>
      </c>
      <c r="AH25" s="1">
        <f t="shared" si="6"/>
        <v>0</v>
      </c>
      <c r="AI25" s="1">
        <f t="shared" si="6"/>
        <v>0</v>
      </c>
      <c r="AJ25" s="1">
        <f t="shared" si="6"/>
        <v>0</v>
      </c>
      <c r="AK25" s="1">
        <f t="shared" si="6"/>
        <v>0</v>
      </c>
    </row>
    <row r="26" spans="1:37" ht="14.1" customHeight="1" x14ac:dyDescent="0.2">
      <c r="B26" s="46"/>
      <c r="C26" s="271" t="s">
        <v>94</v>
      </c>
      <c r="D26" s="273" t="s">
        <v>5</v>
      </c>
      <c r="E26" s="275" t="s">
        <v>104</v>
      </c>
      <c r="F26" s="275" t="s">
        <v>89</v>
      </c>
      <c r="G26" s="276" t="s">
        <v>6</v>
      </c>
      <c r="H26" s="82"/>
      <c r="I26" s="3"/>
      <c r="J26" s="3"/>
      <c r="K26" s="3"/>
      <c r="L26" s="3"/>
      <c r="M26" s="3"/>
      <c r="N26" s="16">
        <v>18</v>
      </c>
      <c r="O26" s="65"/>
      <c r="P26" s="55"/>
      <c r="Q26" s="56"/>
      <c r="R26" s="57"/>
      <c r="S26" s="58"/>
      <c r="T26" s="59"/>
      <c r="U26" s="60"/>
      <c r="V26" s="62"/>
      <c r="X26" s="1">
        <f t="shared" ca="1" si="3"/>
        <v>1</v>
      </c>
      <c r="Z26" s="1">
        <f t="shared" si="6"/>
        <v>0</v>
      </c>
      <c r="AA26" s="1">
        <f t="shared" si="6"/>
        <v>0</v>
      </c>
      <c r="AB26" s="1">
        <f t="shared" si="6"/>
        <v>0</v>
      </c>
      <c r="AC26" s="1">
        <f t="shared" si="6"/>
        <v>0</v>
      </c>
      <c r="AD26" s="1">
        <f t="shared" si="6"/>
        <v>0</v>
      </c>
      <c r="AE26" s="1">
        <f t="shared" si="6"/>
        <v>0</v>
      </c>
      <c r="AF26" s="1">
        <f t="shared" si="6"/>
        <v>0</v>
      </c>
      <c r="AG26" s="1">
        <f t="shared" si="6"/>
        <v>0</v>
      </c>
      <c r="AH26" s="1">
        <f t="shared" si="6"/>
        <v>0</v>
      </c>
      <c r="AI26" s="1">
        <f t="shared" si="6"/>
        <v>0</v>
      </c>
      <c r="AJ26" s="1">
        <f t="shared" si="6"/>
        <v>0</v>
      </c>
      <c r="AK26" s="1">
        <f t="shared" si="6"/>
        <v>0</v>
      </c>
    </row>
    <row r="27" spans="1:37" ht="14.1" customHeight="1" x14ac:dyDescent="0.2">
      <c r="A27" s="3"/>
      <c r="B27" s="44"/>
      <c r="C27" s="272"/>
      <c r="D27" s="274"/>
      <c r="E27" s="99" t="s">
        <v>87</v>
      </c>
      <c r="F27" s="100" t="s">
        <v>89</v>
      </c>
      <c r="G27" s="98" t="s">
        <v>105</v>
      </c>
      <c r="H27" s="83"/>
      <c r="I27" s="3"/>
      <c r="J27" s="3" t="str">
        <f>ANUAL!C115</f>
        <v>CC</v>
      </c>
      <c r="K27" s="3" t="str">
        <f>ANUAL!C116</f>
        <v>INV</v>
      </c>
      <c r="L27" s="3" t="str">
        <f>ANUAL!C117</f>
        <v>DINH</v>
      </c>
      <c r="M27" s="3"/>
      <c r="N27" s="12">
        <v>19</v>
      </c>
      <c r="O27" s="65"/>
      <c r="P27" s="49"/>
      <c r="Q27" s="50"/>
      <c r="R27" s="51"/>
      <c r="S27" s="52"/>
      <c r="T27" s="53"/>
      <c r="U27" s="54"/>
      <c r="V27" s="62"/>
      <c r="X27" s="1">
        <f t="shared" ca="1" si="3"/>
        <v>1</v>
      </c>
      <c r="Z27" s="1">
        <f t="shared" si="6"/>
        <v>0</v>
      </c>
      <c r="AA27" s="1">
        <f t="shared" si="6"/>
        <v>0</v>
      </c>
      <c r="AB27" s="1">
        <f t="shared" si="6"/>
        <v>0</v>
      </c>
      <c r="AC27" s="1">
        <f t="shared" si="6"/>
        <v>0</v>
      </c>
      <c r="AD27" s="1">
        <f t="shared" si="6"/>
        <v>0</v>
      </c>
      <c r="AE27" s="1">
        <f t="shared" si="6"/>
        <v>0</v>
      </c>
      <c r="AF27" s="1">
        <f t="shared" si="6"/>
        <v>0</v>
      </c>
      <c r="AG27" s="1">
        <f t="shared" si="6"/>
        <v>0</v>
      </c>
      <c r="AH27" s="1">
        <f t="shared" si="6"/>
        <v>0</v>
      </c>
      <c r="AI27" s="1">
        <f t="shared" si="6"/>
        <v>0</v>
      </c>
      <c r="AJ27" s="1">
        <f t="shared" si="6"/>
        <v>0</v>
      </c>
      <c r="AK27" s="1">
        <f t="shared" si="6"/>
        <v>0</v>
      </c>
    </row>
    <row r="28" spans="1:37" ht="14.1" customHeight="1" x14ac:dyDescent="0.2">
      <c r="A28" s="12">
        <v>1</v>
      </c>
      <c r="B28" s="64"/>
      <c r="C28" s="115" t="str">
        <f t="shared" ref="C28:D39" si="7">C9</f>
        <v/>
      </c>
      <c r="D28" s="116" t="str">
        <f t="shared" si="7"/>
        <v>CONTA CORRENTE BANCO 1</v>
      </c>
      <c r="E28" s="117">
        <f t="shared" ref="E28:E39" ca="1" si="8">SUMIF(OFFSET($Z$9:$Z$88,0,A28-1),"&gt;0")</f>
        <v>0</v>
      </c>
      <c r="F28" s="117">
        <f t="shared" ref="F28:F39" ca="1" si="9">SUMIF(OFFSET($Z$9:$Z$88,0,A28-1),"&lt;0")</f>
        <v>0</v>
      </c>
      <c r="G28" s="117">
        <f t="shared" ref="G28:G39" ca="1" si="10">SUM(E28:F28)</f>
        <v>0</v>
      </c>
      <c r="H28" s="61"/>
      <c r="I28" s="3"/>
      <c r="J28" s="3" t="b">
        <f t="shared" ref="J28:L39" si="11">NOT(ISERR(SEARCH(J$27,$C28)))</f>
        <v>0</v>
      </c>
      <c r="K28" s="3" t="b">
        <f t="shared" si="11"/>
        <v>0</v>
      </c>
      <c r="L28" s="3" t="b">
        <f t="shared" si="11"/>
        <v>0</v>
      </c>
      <c r="M28" s="3"/>
      <c r="N28" s="16">
        <v>20</v>
      </c>
      <c r="O28" s="65"/>
      <c r="P28" s="55"/>
      <c r="Q28" s="56"/>
      <c r="R28" s="57"/>
      <c r="S28" s="58"/>
      <c r="T28" s="59"/>
      <c r="U28" s="60"/>
      <c r="V28" s="62"/>
      <c r="X28" s="1">
        <f t="shared" ca="1" si="3"/>
        <v>1</v>
      </c>
      <c r="Z28" s="1">
        <f t="shared" si="6"/>
        <v>0</v>
      </c>
      <c r="AA28" s="1">
        <f t="shared" si="6"/>
        <v>0</v>
      </c>
      <c r="AB28" s="1">
        <f t="shared" si="6"/>
        <v>0</v>
      </c>
      <c r="AC28" s="1">
        <f t="shared" si="6"/>
        <v>0</v>
      </c>
      <c r="AD28" s="1">
        <f t="shared" si="6"/>
        <v>0</v>
      </c>
      <c r="AE28" s="1">
        <f t="shared" si="6"/>
        <v>0</v>
      </c>
      <c r="AF28" s="1">
        <f t="shared" si="6"/>
        <v>0</v>
      </c>
      <c r="AG28" s="1">
        <f t="shared" si="6"/>
        <v>0</v>
      </c>
      <c r="AH28" s="1">
        <f t="shared" si="6"/>
        <v>0</v>
      </c>
      <c r="AI28" s="1">
        <f t="shared" si="6"/>
        <v>0</v>
      </c>
      <c r="AJ28" s="1">
        <f t="shared" si="6"/>
        <v>0</v>
      </c>
      <c r="AK28" s="1">
        <f t="shared" si="6"/>
        <v>0</v>
      </c>
    </row>
    <row r="29" spans="1:37" ht="14.1" customHeight="1" x14ac:dyDescent="0.2">
      <c r="A29" s="16">
        <v>2</v>
      </c>
      <c r="B29" s="65"/>
      <c r="C29" s="118" t="str">
        <f t="shared" si="7"/>
        <v>INV1</v>
      </c>
      <c r="D29" s="119" t="str">
        <f t="shared" si="7"/>
        <v>POUPANÇA BANCO 1</v>
      </c>
      <c r="E29" s="120">
        <f t="shared" ca="1" si="8"/>
        <v>0</v>
      </c>
      <c r="F29" s="120">
        <f t="shared" ca="1" si="9"/>
        <v>0</v>
      </c>
      <c r="G29" s="120">
        <f t="shared" ca="1" si="10"/>
        <v>0</v>
      </c>
      <c r="H29" s="62"/>
      <c r="I29" s="3"/>
      <c r="J29" s="3" t="b">
        <f t="shared" si="11"/>
        <v>0</v>
      </c>
      <c r="K29" s="3" t="b">
        <f t="shared" si="11"/>
        <v>1</v>
      </c>
      <c r="L29" s="3" t="b">
        <f t="shared" si="11"/>
        <v>0</v>
      </c>
      <c r="M29" s="3"/>
      <c r="N29" s="12">
        <v>21</v>
      </c>
      <c r="O29" s="65"/>
      <c r="P29" s="49"/>
      <c r="Q29" s="50"/>
      <c r="R29" s="51"/>
      <c r="S29" s="52"/>
      <c r="T29" s="53"/>
      <c r="U29" s="54"/>
      <c r="V29" s="62"/>
      <c r="X29" s="1">
        <f t="shared" ca="1" si="3"/>
        <v>1</v>
      </c>
      <c r="Z29" s="1">
        <f t="shared" ref="Z29:AK38" si="12">IF(Z$8=$R29,-$T29,0)+IF(Z$8=$S29,$T29,0)</f>
        <v>0</v>
      </c>
      <c r="AA29" s="1">
        <f t="shared" si="12"/>
        <v>0</v>
      </c>
      <c r="AB29" s="1">
        <f t="shared" si="12"/>
        <v>0</v>
      </c>
      <c r="AC29" s="1">
        <f t="shared" si="12"/>
        <v>0</v>
      </c>
      <c r="AD29" s="1">
        <f t="shared" si="12"/>
        <v>0</v>
      </c>
      <c r="AE29" s="1">
        <f t="shared" si="12"/>
        <v>0</v>
      </c>
      <c r="AF29" s="1">
        <f t="shared" si="12"/>
        <v>0</v>
      </c>
      <c r="AG29" s="1">
        <f t="shared" si="12"/>
        <v>0</v>
      </c>
      <c r="AH29" s="1">
        <f t="shared" si="12"/>
        <v>0</v>
      </c>
      <c r="AI29" s="1">
        <f t="shared" si="12"/>
        <v>0</v>
      </c>
      <c r="AJ29" s="1">
        <f t="shared" si="12"/>
        <v>0</v>
      </c>
      <c r="AK29" s="1">
        <f t="shared" si="12"/>
        <v>0</v>
      </c>
    </row>
    <row r="30" spans="1:37" ht="14.1" customHeight="1" x14ac:dyDescent="0.2">
      <c r="A30" s="12">
        <v>3</v>
      </c>
      <c r="B30" s="65"/>
      <c r="C30" s="115" t="str">
        <f t="shared" si="7"/>
        <v>DINH1</v>
      </c>
      <c r="D30" s="116" t="str">
        <f t="shared" si="7"/>
        <v>EM ESPÉCIE</v>
      </c>
      <c r="E30" s="117">
        <f t="shared" ca="1" si="8"/>
        <v>0</v>
      </c>
      <c r="F30" s="117">
        <f t="shared" ca="1" si="9"/>
        <v>0</v>
      </c>
      <c r="G30" s="117">
        <f t="shared" ca="1" si="10"/>
        <v>0</v>
      </c>
      <c r="H30" s="62"/>
      <c r="I30" s="3"/>
      <c r="J30" s="3" t="b">
        <f t="shared" si="11"/>
        <v>0</v>
      </c>
      <c r="K30" s="3" t="b">
        <f t="shared" si="11"/>
        <v>0</v>
      </c>
      <c r="L30" s="3" t="b">
        <f t="shared" si="11"/>
        <v>1</v>
      </c>
      <c r="M30" s="3"/>
      <c r="N30" s="16">
        <v>22</v>
      </c>
      <c r="O30" s="65"/>
      <c r="P30" s="55"/>
      <c r="Q30" s="56"/>
      <c r="R30" s="57"/>
      <c r="S30" s="58"/>
      <c r="T30" s="59"/>
      <c r="U30" s="60"/>
      <c r="V30" s="62"/>
      <c r="X30" s="1">
        <f t="shared" ca="1" si="3"/>
        <v>1</v>
      </c>
      <c r="Z30" s="1">
        <f t="shared" si="12"/>
        <v>0</v>
      </c>
      <c r="AA30" s="1">
        <f t="shared" si="12"/>
        <v>0</v>
      </c>
      <c r="AB30" s="1">
        <f t="shared" si="12"/>
        <v>0</v>
      </c>
      <c r="AC30" s="1">
        <f t="shared" si="12"/>
        <v>0</v>
      </c>
      <c r="AD30" s="1">
        <f t="shared" si="12"/>
        <v>0</v>
      </c>
      <c r="AE30" s="1">
        <f t="shared" si="12"/>
        <v>0</v>
      </c>
      <c r="AF30" s="1">
        <f t="shared" si="12"/>
        <v>0</v>
      </c>
      <c r="AG30" s="1">
        <f t="shared" si="12"/>
        <v>0</v>
      </c>
      <c r="AH30" s="1">
        <f t="shared" si="12"/>
        <v>0</v>
      </c>
      <c r="AI30" s="1">
        <f t="shared" si="12"/>
        <v>0</v>
      </c>
      <c r="AJ30" s="1">
        <f t="shared" si="12"/>
        <v>0</v>
      </c>
      <c r="AK30" s="1">
        <f t="shared" si="12"/>
        <v>0</v>
      </c>
    </row>
    <row r="31" spans="1:37" ht="14.1" customHeight="1" x14ac:dyDescent="0.2">
      <c r="A31" s="16">
        <v>4</v>
      </c>
      <c r="B31" s="65"/>
      <c r="C31" s="118" t="str">
        <f t="shared" si="7"/>
        <v>CRED1</v>
      </c>
      <c r="D31" s="119" t="str">
        <f t="shared" si="7"/>
        <v>CARTÃO DE CRÉDITO 1</v>
      </c>
      <c r="E31" s="120">
        <f t="shared" ca="1" si="8"/>
        <v>0</v>
      </c>
      <c r="F31" s="120">
        <f t="shared" ca="1" si="9"/>
        <v>0</v>
      </c>
      <c r="G31" s="120">
        <f t="shared" ca="1" si="10"/>
        <v>0</v>
      </c>
      <c r="H31" s="62"/>
      <c r="I31" s="3"/>
      <c r="J31" s="3" t="b">
        <f t="shared" si="11"/>
        <v>0</v>
      </c>
      <c r="K31" s="3" t="b">
        <f t="shared" si="11"/>
        <v>0</v>
      </c>
      <c r="L31" s="3" t="b">
        <f t="shared" si="11"/>
        <v>0</v>
      </c>
      <c r="M31" s="3"/>
      <c r="N31" s="12">
        <v>23</v>
      </c>
      <c r="O31" s="65"/>
      <c r="P31" s="49"/>
      <c r="Q31" s="50"/>
      <c r="R31" s="51"/>
      <c r="S31" s="52"/>
      <c r="T31" s="53"/>
      <c r="U31" s="54"/>
      <c r="V31" s="62"/>
      <c r="X31" s="1">
        <f t="shared" ca="1" si="3"/>
        <v>1</v>
      </c>
      <c r="Z31" s="1">
        <f t="shared" si="12"/>
        <v>0</v>
      </c>
      <c r="AA31" s="1">
        <f t="shared" si="12"/>
        <v>0</v>
      </c>
      <c r="AB31" s="1">
        <f t="shared" si="12"/>
        <v>0</v>
      </c>
      <c r="AC31" s="1">
        <f t="shared" si="12"/>
        <v>0</v>
      </c>
      <c r="AD31" s="1">
        <f t="shared" si="12"/>
        <v>0</v>
      </c>
      <c r="AE31" s="1">
        <f t="shared" si="12"/>
        <v>0</v>
      </c>
      <c r="AF31" s="1">
        <f t="shared" si="12"/>
        <v>0</v>
      </c>
      <c r="AG31" s="1">
        <f t="shared" si="12"/>
        <v>0</v>
      </c>
      <c r="AH31" s="1">
        <f t="shared" si="12"/>
        <v>0</v>
      </c>
      <c r="AI31" s="1">
        <f t="shared" si="12"/>
        <v>0</v>
      </c>
      <c r="AJ31" s="1">
        <f t="shared" si="12"/>
        <v>0</v>
      </c>
      <c r="AK31" s="1">
        <f t="shared" si="12"/>
        <v>0</v>
      </c>
    </row>
    <row r="32" spans="1:37" ht="14.1" customHeight="1" x14ac:dyDescent="0.2">
      <c r="A32" s="12">
        <v>5</v>
      </c>
      <c r="B32" s="65"/>
      <c r="C32" s="115" t="str">
        <f t="shared" si="7"/>
        <v>---</v>
      </c>
      <c r="D32" s="116" t="str">
        <f t="shared" si="7"/>
        <v/>
      </c>
      <c r="E32" s="117">
        <f t="shared" ca="1" si="8"/>
        <v>0</v>
      </c>
      <c r="F32" s="117">
        <f t="shared" ca="1" si="9"/>
        <v>0</v>
      </c>
      <c r="G32" s="117">
        <f t="shared" ca="1" si="10"/>
        <v>0</v>
      </c>
      <c r="H32" s="62"/>
      <c r="I32" s="3"/>
      <c r="J32" s="3" t="b">
        <f t="shared" si="11"/>
        <v>0</v>
      </c>
      <c r="K32" s="3" t="b">
        <f t="shared" si="11"/>
        <v>0</v>
      </c>
      <c r="L32" s="3" t="b">
        <f t="shared" si="11"/>
        <v>0</v>
      </c>
      <c r="M32" s="3"/>
      <c r="N32" s="16">
        <v>24</v>
      </c>
      <c r="O32" s="65"/>
      <c r="P32" s="55"/>
      <c r="Q32" s="56"/>
      <c r="R32" s="57"/>
      <c r="S32" s="58"/>
      <c r="T32" s="59"/>
      <c r="U32" s="60"/>
      <c r="V32" s="62"/>
      <c r="X32" s="1">
        <f t="shared" ca="1" si="3"/>
        <v>1</v>
      </c>
      <c r="Z32" s="1">
        <f t="shared" si="12"/>
        <v>0</v>
      </c>
      <c r="AA32" s="1">
        <f t="shared" si="12"/>
        <v>0</v>
      </c>
      <c r="AB32" s="1">
        <f t="shared" si="12"/>
        <v>0</v>
      </c>
      <c r="AC32" s="1">
        <f t="shared" si="12"/>
        <v>0</v>
      </c>
      <c r="AD32" s="1">
        <f t="shared" si="12"/>
        <v>0</v>
      </c>
      <c r="AE32" s="1">
        <f t="shared" si="12"/>
        <v>0</v>
      </c>
      <c r="AF32" s="1">
        <f t="shared" si="12"/>
        <v>0</v>
      </c>
      <c r="AG32" s="1">
        <f t="shared" si="12"/>
        <v>0</v>
      </c>
      <c r="AH32" s="1">
        <f t="shared" si="12"/>
        <v>0</v>
      </c>
      <c r="AI32" s="1">
        <f t="shared" si="12"/>
        <v>0</v>
      </c>
      <c r="AJ32" s="1">
        <f t="shared" si="12"/>
        <v>0</v>
      </c>
      <c r="AK32" s="1">
        <f t="shared" si="12"/>
        <v>0</v>
      </c>
    </row>
    <row r="33" spans="1:37" ht="14.1" customHeight="1" x14ac:dyDescent="0.2">
      <c r="A33" s="16">
        <v>6</v>
      </c>
      <c r="B33" s="65"/>
      <c r="C33" s="118" t="str">
        <f t="shared" si="7"/>
        <v>---</v>
      </c>
      <c r="D33" s="119" t="str">
        <f t="shared" si="7"/>
        <v/>
      </c>
      <c r="E33" s="120">
        <f t="shared" ca="1" si="8"/>
        <v>0</v>
      </c>
      <c r="F33" s="120">
        <f t="shared" ca="1" si="9"/>
        <v>0</v>
      </c>
      <c r="G33" s="120">
        <f t="shared" ca="1" si="10"/>
        <v>0</v>
      </c>
      <c r="H33" s="62"/>
      <c r="I33" s="3"/>
      <c r="J33" s="3" t="b">
        <f t="shared" si="11"/>
        <v>0</v>
      </c>
      <c r="K33" s="3" t="b">
        <f t="shared" si="11"/>
        <v>0</v>
      </c>
      <c r="L33" s="3" t="b">
        <f t="shared" si="11"/>
        <v>0</v>
      </c>
      <c r="M33" s="3"/>
      <c r="N33" s="12">
        <v>25</v>
      </c>
      <c r="O33" s="65"/>
      <c r="P33" s="49"/>
      <c r="Q33" s="50"/>
      <c r="R33" s="51"/>
      <c r="S33" s="52"/>
      <c r="T33" s="53"/>
      <c r="U33" s="54"/>
      <c r="V33" s="62"/>
      <c r="X33" s="1">
        <f t="shared" ca="1" si="3"/>
        <v>1</v>
      </c>
      <c r="Z33" s="1">
        <f t="shared" si="12"/>
        <v>0</v>
      </c>
      <c r="AA33" s="1">
        <f t="shared" si="12"/>
        <v>0</v>
      </c>
      <c r="AB33" s="1">
        <f t="shared" si="12"/>
        <v>0</v>
      </c>
      <c r="AC33" s="1">
        <f t="shared" si="12"/>
        <v>0</v>
      </c>
      <c r="AD33" s="1">
        <f t="shared" si="12"/>
        <v>0</v>
      </c>
      <c r="AE33" s="1">
        <f t="shared" si="12"/>
        <v>0</v>
      </c>
      <c r="AF33" s="1">
        <f t="shared" si="12"/>
        <v>0</v>
      </c>
      <c r="AG33" s="1">
        <f t="shared" si="12"/>
        <v>0</v>
      </c>
      <c r="AH33" s="1">
        <f t="shared" si="12"/>
        <v>0</v>
      </c>
      <c r="AI33" s="1">
        <f t="shared" si="12"/>
        <v>0</v>
      </c>
      <c r="AJ33" s="1">
        <f t="shared" si="12"/>
        <v>0</v>
      </c>
      <c r="AK33" s="1">
        <f t="shared" si="12"/>
        <v>0</v>
      </c>
    </row>
    <row r="34" spans="1:37" ht="14.1" customHeight="1" x14ac:dyDescent="0.2">
      <c r="A34" s="12">
        <v>7</v>
      </c>
      <c r="B34" s="65"/>
      <c r="C34" s="115" t="str">
        <f t="shared" si="7"/>
        <v>---</v>
      </c>
      <c r="D34" s="116" t="str">
        <f t="shared" si="7"/>
        <v/>
      </c>
      <c r="E34" s="117">
        <f t="shared" ca="1" si="8"/>
        <v>0</v>
      </c>
      <c r="F34" s="117">
        <f t="shared" ca="1" si="9"/>
        <v>0</v>
      </c>
      <c r="G34" s="117">
        <f t="shared" ca="1" si="10"/>
        <v>0</v>
      </c>
      <c r="H34" s="62"/>
      <c r="I34" s="3"/>
      <c r="J34" s="3" t="b">
        <f t="shared" si="11"/>
        <v>0</v>
      </c>
      <c r="K34" s="3" t="b">
        <f t="shared" si="11"/>
        <v>0</v>
      </c>
      <c r="L34" s="3" t="b">
        <f t="shared" si="11"/>
        <v>0</v>
      </c>
      <c r="M34" s="3"/>
      <c r="N34" s="16">
        <v>26</v>
      </c>
      <c r="O34" s="65"/>
      <c r="P34" s="55"/>
      <c r="Q34" s="56"/>
      <c r="R34" s="57"/>
      <c r="S34" s="58"/>
      <c r="T34" s="59"/>
      <c r="U34" s="60"/>
      <c r="V34" s="62"/>
      <c r="X34" s="1">
        <f t="shared" ca="1" si="3"/>
        <v>1</v>
      </c>
      <c r="Z34" s="1">
        <f t="shared" si="12"/>
        <v>0</v>
      </c>
      <c r="AA34" s="1">
        <f t="shared" si="12"/>
        <v>0</v>
      </c>
      <c r="AB34" s="1">
        <f t="shared" si="12"/>
        <v>0</v>
      </c>
      <c r="AC34" s="1">
        <f t="shared" si="12"/>
        <v>0</v>
      </c>
      <c r="AD34" s="1">
        <f t="shared" si="12"/>
        <v>0</v>
      </c>
      <c r="AE34" s="1">
        <f t="shared" si="12"/>
        <v>0</v>
      </c>
      <c r="AF34" s="1">
        <f t="shared" si="12"/>
        <v>0</v>
      </c>
      <c r="AG34" s="1">
        <f t="shared" si="12"/>
        <v>0</v>
      </c>
      <c r="AH34" s="1">
        <f t="shared" si="12"/>
        <v>0</v>
      </c>
      <c r="AI34" s="1">
        <f t="shared" si="12"/>
        <v>0</v>
      </c>
      <c r="AJ34" s="1">
        <f t="shared" si="12"/>
        <v>0</v>
      </c>
      <c r="AK34" s="1">
        <f t="shared" si="12"/>
        <v>0</v>
      </c>
    </row>
    <row r="35" spans="1:37" ht="14.1" customHeight="1" x14ac:dyDescent="0.2">
      <c r="A35" s="16">
        <v>8</v>
      </c>
      <c r="B35" s="65"/>
      <c r="C35" s="118" t="str">
        <f t="shared" si="7"/>
        <v>---</v>
      </c>
      <c r="D35" s="119" t="str">
        <f t="shared" si="7"/>
        <v/>
      </c>
      <c r="E35" s="120">
        <f t="shared" ca="1" si="8"/>
        <v>0</v>
      </c>
      <c r="F35" s="120">
        <f t="shared" ca="1" si="9"/>
        <v>0</v>
      </c>
      <c r="G35" s="120">
        <f t="shared" ca="1" si="10"/>
        <v>0</v>
      </c>
      <c r="H35" s="62"/>
      <c r="I35" s="3"/>
      <c r="J35" s="3" t="b">
        <f t="shared" si="11"/>
        <v>0</v>
      </c>
      <c r="K35" s="3" t="b">
        <f t="shared" si="11"/>
        <v>0</v>
      </c>
      <c r="L35" s="3" t="b">
        <f t="shared" si="11"/>
        <v>0</v>
      </c>
      <c r="M35" s="3"/>
      <c r="N35" s="12">
        <v>27</v>
      </c>
      <c r="O35" s="65"/>
      <c r="P35" s="49"/>
      <c r="Q35" s="50"/>
      <c r="R35" s="51"/>
      <c r="S35" s="52"/>
      <c r="T35" s="53"/>
      <c r="U35" s="54"/>
      <c r="V35" s="62"/>
      <c r="X35" s="1">
        <f t="shared" ca="1" si="3"/>
        <v>1</v>
      </c>
      <c r="Z35" s="1">
        <f t="shared" si="12"/>
        <v>0</v>
      </c>
      <c r="AA35" s="1">
        <f t="shared" si="12"/>
        <v>0</v>
      </c>
      <c r="AB35" s="1">
        <f t="shared" si="12"/>
        <v>0</v>
      </c>
      <c r="AC35" s="1">
        <f t="shared" si="12"/>
        <v>0</v>
      </c>
      <c r="AD35" s="1">
        <f t="shared" si="12"/>
        <v>0</v>
      </c>
      <c r="AE35" s="1">
        <f t="shared" si="12"/>
        <v>0</v>
      </c>
      <c r="AF35" s="1">
        <f t="shared" si="12"/>
        <v>0</v>
      </c>
      <c r="AG35" s="1">
        <f t="shared" si="12"/>
        <v>0</v>
      </c>
      <c r="AH35" s="1">
        <f t="shared" si="12"/>
        <v>0</v>
      </c>
      <c r="AI35" s="1">
        <f t="shared" si="12"/>
        <v>0</v>
      </c>
      <c r="AJ35" s="1">
        <f t="shared" si="12"/>
        <v>0</v>
      </c>
      <c r="AK35" s="1">
        <f t="shared" si="12"/>
        <v>0</v>
      </c>
    </row>
    <row r="36" spans="1:37" ht="14.1" customHeight="1" x14ac:dyDescent="0.2">
      <c r="A36" s="12">
        <v>9</v>
      </c>
      <c r="B36" s="65"/>
      <c r="C36" s="115" t="str">
        <f t="shared" si="7"/>
        <v>---</v>
      </c>
      <c r="D36" s="116" t="str">
        <f t="shared" si="7"/>
        <v/>
      </c>
      <c r="E36" s="117">
        <f t="shared" ca="1" si="8"/>
        <v>0</v>
      </c>
      <c r="F36" s="117">
        <f t="shared" ca="1" si="9"/>
        <v>0</v>
      </c>
      <c r="G36" s="117">
        <f t="shared" ca="1" si="10"/>
        <v>0</v>
      </c>
      <c r="H36" s="62"/>
      <c r="I36" s="3"/>
      <c r="J36" s="3" t="b">
        <f t="shared" si="11"/>
        <v>0</v>
      </c>
      <c r="K36" s="3" t="b">
        <f t="shared" si="11"/>
        <v>0</v>
      </c>
      <c r="L36" s="3" t="b">
        <f t="shared" si="11"/>
        <v>0</v>
      </c>
      <c r="M36" s="3"/>
      <c r="N36" s="16">
        <v>28</v>
      </c>
      <c r="O36" s="65"/>
      <c r="P36" s="55"/>
      <c r="Q36" s="56"/>
      <c r="R36" s="57"/>
      <c r="S36" s="58"/>
      <c r="T36" s="59"/>
      <c r="U36" s="60"/>
      <c r="V36" s="62"/>
      <c r="X36" s="1">
        <f t="shared" ca="1" si="3"/>
        <v>1</v>
      </c>
      <c r="Z36" s="1">
        <f t="shared" si="12"/>
        <v>0</v>
      </c>
      <c r="AA36" s="1">
        <f t="shared" si="12"/>
        <v>0</v>
      </c>
      <c r="AB36" s="1">
        <f t="shared" si="12"/>
        <v>0</v>
      </c>
      <c r="AC36" s="1">
        <f t="shared" si="12"/>
        <v>0</v>
      </c>
      <c r="AD36" s="1">
        <f t="shared" si="12"/>
        <v>0</v>
      </c>
      <c r="AE36" s="1">
        <f t="shared" si="12"/>
        <v>0</v>
      </c>
      <c r="AF36" s="1">
        <f t="shared" si="12"/>
        <v>0</v>
      </c>
      <c r="AG36" s="1">
        <f t="shared" si="12"/>
        <v>0</v>
      </c>
      <c r="AH36" s="1">
        <f t="shared" si="12"/>
        <v>0</v>
      </c>
      <c r="AI36" s="1">
        <f t="shared" si="12"/>
        <v>0</v>
      </c>
      <c r="AJ36" s="1">
        <f t="shared" si="12"/>
        <v>0</v>
      </c>
      <c r="AK36" s="1">
        <f t="shared" si="12"/>
        <v>0</v>
      </c>
    </row>
    <row r="37" spans="1:37" ht="14.1" customHeight="1" x14ac:dyDescent="0.2">
      <c r="A37" s="16">
        <v>10</v>
      </c>
      <c r="B37" s="65"/>
      <c r="C37" s="118" t="str">
        <f t="shared" si="7"/>
        <v>---</v>
      </c>
      <c r="D37" s="119" t="str">
        <f t="shared" si="7"/>
        <v/>
      </c>
      <c r="E37" s="120">
        <f t="shared" ca="1" si="8"/>
        <v>0</v>
      </c>
      <c r="F37" s="120">
        <f t="shared" ca="1" si="9"/>
        <v>0</v>
      </c>
      <c r="G37" s="120">
        <f t="shared" ca="1" si="10"/>
        <v>0</v>
      </c>
      <c r="H37" s="62"/>
      <c r="I37" s="3"/>
      <c r="J37" s="3" t="b">
        <f t="shared" si="11"/>
        <v>0</v>
      </c>
      <c r="K37" s="3" t="b">
        <f t="shared" si="11"/>
        <v>0</v>
      </c>
      <c r="L37" s="3" t="b">
        <f t="shared" si="11"/>
        <v>0</v>
      </c>
      <c r="M37" s="3"/>
      <c r="N37" s="12">
        <v>29</v>
      </c>
      <c r="O37" s="65"/>
      <c r="P37" s="49"/>
      <c r="Q37" s="50"/>
      <c r="R37" s="51"/>
      <c r="S37" s="52"/>
      <c r="T37" s="53"/>
      <c r="U37" s="54"/>
      <c r="V37" s="62"/>
      <c r="X37" s="1">
        <f t="shared" ca="1" si="3"/>
        <v>1</v>
      </c>
      <c r="Z37" s="1">
        <f t="shared" si="12"/>
        <v>0</v>
      </c>
      <c r="AA37" s="1">
        <f t="shared" si="12"/>
        <v>0</v>
      </c>
      <c r="AB37" s="1">
        <f t="shared" si="12"/>
        <v>0</v>
      </c>
      <c r="AC37" s="1">
        <f t="shared" si="12"/>
        <v>0</v>
      </c>
      <c r="AD37" s="1">
        <f t="shared" si="12"/>
        <v>0</v>
      </c>
      <c r="AE37" s="1">
        <f t="shared" si="12"/>
        <v>0</v>
      </c>
      <c r="AF37" s="1">
        <f t="shared" si="12"/>
        <v>0</v>
      </c>
      <c r="AG37" s="1">
        <f t="shared" si="12"/>
        <v>0</v>
      </c>
      <c r="AH37" s="1">
        <f t="shared" si="12"/>
        <v>0</v>
      </c>
      <c r="AI37" s="1">
        <f t="shared" si="12"/>
        <v>0</v>
      </c>
      <c r="AJ37" s="1">
        <f t="shared" si="12"/>
        <v>0</v>
      </c>
      <c r="AK37" s="1">
        <f t="shared" si="12"/>
        <v>0</v>
      </c>
    </row>
    <row r="38" spans="1:37" ht="14.1" customHeight="1" x14ac:dyDescent="0.2">
      <c r="A38" s="12">
        <v>11</v>
      </c>
      <c r="B38" s="65"/>
      <c r="C38" s="115" t="str">
        <f t="shared" si="7"/>
        <v>---</v>
      </c>
      <c r="D38" s="116" t="str">
        <f t="shared" si="7"/>
        <v/>
      </c>
      <c r="E38" s="117">
        <f t="shared" ca="1" si="8"/>
        <v>0</v>
      </c>
      <c r="F38" s="117">
        <f t="shared" ca="1" si="9"/>
        <v>0</v>
      </c>
      <c r="G38" s="117">
        <f t="shared" ca="1" si="10"/>
        <v>0</v>
      </c>
      <c r="H38" s="62"/>
      <c r="I38" s="3"/>
      <c r="J38" s="3" t="b">
        <f t="shared" si="11"/>
        <v>0</v>
      </c>
      <c r="K38" s="3" t="b">
        <f t="shared" si="11"/>
        <v>0</v>
      </c>
      <c r="L38" s="3" t="b">
        <f t="shared" si="11"/>
        <v>0</v>
      </c>
      <c r="M38" s="3"/>
      <c r="N38" s="16">
        <v>30</v>
      </c>
      <c r="O38" s="65"/>
      <c r="P38" s="55"/>
      <c r="Q38" s="56"/>
      <c r="R38" s="57"/>
      <c r="S38" s="58"/>
      <c r="T38" s="59"/>
      <c r="U38" s="60"/>
      <c r="V38" s="62"/>
      <c r="X38" s="1">
        <f t="shared" ca="1" si="3"/>
        <v>1</v>
      </c>
      <c r="Z38" s="1">
        <f t="shared" si="12"/>
        <v>0</v>
      </c>
      <c r="AA38" s="1">
        <f t="shared" si="12"/>
        <v>0</v>
      </c>
      <c r="AB38" s="1">
        <f t="shared" si="12"/>
        <v>0</v>
      </c>
      <c r="AC38" s="1">
        <f t="shared" si="12"/>
        <v>0</v>
      </c>
      <c r="AD38" s="1">
        <f t="shared" si="12"/>
        <v>0</v>
      </c>
      <c r="AE38" s="1">
        <f t="shared" si="12"/>
        <v>0</v>
      </c>
      <c r="AF38" s="1">
        <f t="shared" si="12"/>
        <v>0</v>
      </c>
      <c r="AG38" s="1">
        <f t="shared" si="12"/>
        <v>0</v>
      </c>
      <c r="AH38" s="1">
        <f t="shared" si="12"/>
        <v>0</v>
      </c>
      <c r="AI38" s="1">
        <f t="shared" si="12"/>
        <v>0</v>
      </c>
      <c r="AJ38" s="1">
        <f t="shared" si="12"/>
        <v>0</v>
      </c>
      <c r="AK38" s="1">
        <f t="shared" si="12"/>
        <v>0</v>
      </c>
    </row>
    <row r="39" spans="1:37" ht="14.1" customHeight="1" x14ac:dyDescent="0.2">
      <c r="A39" s="16">
        <v>12</v>
      </c>
      <c r="B39" s="66"/>
      <c r="C39" s="121" t="str">
        <f t="shared" si="7"/>
        <v>---</v>
      </c>
      <c r="D39" s="122" t="str">
        <f t="shared" si="7"/>
        <v/>
      </c>
      <c r="E39" s="123">
        <f t="shared" ca="1" si="8"/>
        <v>0</v>
      </c>
      <c r="F39" s="123">
        <f t="shared" ca="1" si="9"/>
        <v>0</v>
      </c>
      <c r="G39" s="123">
        <f t="shared" ca="1" si="10"/>
        <v>0</v>
      </c>
      <c r="H39" s="63"/>
      <c r="I39" s="3"/>
      <c r="J39" s="3" t="b">
        <f t="shared" si="11"/>
        <v>0</v>
      </c>
      <c r="K39" s="3" t="b">
        <f t="shared" si="11"/>
        <v>0</v>
      </c>
      <c r="L39" s="3" t="b">
        <f t="shared" si="11"/>
        <v>0</v>
      </c>
      <c r="M39" s="3"/>
      <c r="N39" s="12">
        <v>31</v>
      </c>
      <c r="O39" s="65"/>
      <c r="P39" s="49"/>
      <c r="Q39" s="50"/>
      <c r="R39" s="51"/>
      <c r="S39" s="52"/>
      <c r="T39" s="53"/>
      <c r="U39" s="54"/>
      <c r="V39" s="62"/>
      <c r="X39" s="1">
        <f t="shared" ca="1" si="3"/>
        <v>1</v>
      </c>
      <c r="Z39" s="1">
        <f t="shared" ref="Z39:AK48" si="13">IF(Z$8=$R39,-$T39,0)+IF(Z$8=$S39,$T39,0)</f>
        <v>0</v>
      </c>
      <c r="AA39" s="1">
        <f t="shared" si="13"/>
        <v>0</v>
      </c>
      <c r="AB39" s="1">
        <f t="shared" si="13"/>
        <v>0</v>
      </c>
      <c r="AC39" s="1">
        <f t="shared" si="13"/>
        <v>0</v>
      </c>
      <c r="AD39" s="1">
        <f t="shared" si="13"/>
        <v>0</v>
      </c>
      <c r="AE39" s="1">
        <f t="shared" si="13"/>
        <v>0</v>
      </c>
      <c r="AF39" s="1">
        <f t="shared" si="13"/>
        <v>0</v>
      </c>
      <c r="AG39" s="1">
        <f t="shared" si="13"/>
        <v>0</v>
      </c>
      <c r="AH39" s="1">
        <f t="shared" si="13"/>
        <v>0</v>
      </c>
      <c r="AI39" s="1">
        <f t="shared" si="13"/>
        <v>0</v>
      </c>
      <c r="AJ39" s="1">
        <f t="shared" si="13"/>
        <v>0</v>
      </c>
      <c r="AK39" s="1">
        <f t="shared" si="13"/>
        <v>0</v>
      </c>
    </row>
    <row r="40" spans="1:37" ht="14.1" customHeight="1" x14ac:dyDescent="0.2">
      <c r="A40" s="12"/>
      <c r="B40" s="124"/>
      <c r="C40" s="125"/>
      <c r="D40" s="126"/>
      <c r="E40" s="126"/>
      <c r="F40" s="126"/>
      <c r="G40" s="126"/>
      <c r="H40" s="127"/>
      <c r="I40" s="3"/>
      <c r="J40" s="3"/>
      <c r="K40" s="3"/>
      <c r="L40" s="3"/>
      <c r="M40" s="3"/>
      <c r="N40" s="16">
        <v>32</v>
      </c>
      <c r="O40" s="65"/>
      <c r="P40" s="55"/>
      <c r="Q40" s="56"/>
      <c r="R40" s="57"/>
      <c r="S40" s="58"/>
      <c r="T40" s="59"/>
      <c r="U40" s="60"/>
      <c r="V40" s="62"/>
      <c r="X40" s="1">
        <f t="shared" ca="1" si="3"/>
        <v>1</v>
      </c>
      <c r="Z40" s="1">
        <f t="shared" si="13"/>
        <v>0</v>
      </c>
      <c r="AA40" s="1">
        <f t="shared" si="13"/>
        <v>0</v>
      </c>
      <c r="AB40" s="1">
        <f t="shared" si="13"/>
        <v>0</v>
      </c>
      <c r="AC40" s="1">
        <f t="shared" si="13"/>
        <v>0</v>
      </c>
      <c r="AD40" s="1">
        <f t="shared" si="13"/>
        <v>0</v>
      </c>
      <c r="AE40" s="1">
        <f t="shared" si="13"/>
        <v>0</v>
      </c>
      <c r="AF40" s="1">
        <f t="shared" si="13"/>
        <v>0</v>
      </c>
      <c r="AG40" s="1">
        <f t="shared" si="13"/>
        <v>0</v>
      </c>
      <c r="AH40" s="1">
        <f t="shared" si="13"/>
        <v>0</v>
      </c>
      <c r="AI40" s="1">
        <f t="shared" si="13"/>
        <v>0</v>
      </c>
      <c r="AJ40" s="1">
        <f t="shared" si="13"/>
        <v>0</v>
      </c>
      <c r="AK40" s="1">
        <f t="shared" si="13"/>
        <v>0</v>
      </c>
    </row>
    <row r="41" spans="1:37" ht="14.1" customHeight="1" x14ac:dyDescent="0.2">
      <c r="I41" s="3"/>
      <c r="J41" s="3"/>
      <c r="K41" s="3"/>
      <c r="L41" s="3"/>
      <c r="M41" s="3"/>
      <c r="N41" s="12">
        <v>33</v>
      </c>
      <c r="O41" s="65"/>
      <c r="P41" s="49"/>
      <c r="Q41" s="50"/>
      <c r="R41" s="51"/>
      <c r="S41" s="52"/>
      <c r="T41" s="53"/>
      <c r="U41" s="54"/>
      <c r="V41" s="62"/>
      <c r="X41" s="1">
        <f t="shared" ref="X41:X72" ca="1" si="14">IF(P41&lt;NOW(),1,0)</f>
        <v>1</v>
      </c>
      <c r="Z41" s="1">
        <f t="shared" si="13"/>
        <v>0</v>
      </c>
      <c r="AA41" s="1">
        <f t="shared" si="13"/>
        <v>0</v>
      </c>
      <c r="AB41" s="1">
        <f t="shared" si="13"/>
        <v>0</v>
      </c>
      <c r="AC41" s="1">
        <f t="shared" si="13"/>
        <v>0</v>
      </c>
      <c r="AD41" s="1">
        <f t="shared" si="13"/>
        <v>0</v>
      </c>
      <c r="AE41" s="1">
        <f t="shared" si="13"/>
        <v>0</v>
      </c>
      <c r="AF41" s="1">
        <f t="shared" si="13"/>
        <v>0</v>
      </c>
      <c r="AG41" s="1">
        <f t="shared" si="13"/>
        <v>0</v>
      </c>
      <c r="AH41" s="1">
        <f t="shared" si="13"/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</row>
    <row r="42" spans="1:37" ht="14.1" customHeight="1" x14ac:dyDescent="0.2">
      <c r="B42" s="91"/>
      <c r="C42" s="92"/>
      <c r="D42" s="93"/>
      <c r="E42" s="93"/>
      <c r="F42" s="93"/>
      <c r="G42" s="93"/>
      <c r="H42" s="94"/>
      <c r="I42" s="3"/>
      <c r="J42" s="3"/>
      <c r="K42" s="3"/>
      <c r="L42" s="3"/>
      <c r="M42" s="3"/>
      <c r="N42" s="16">
        <v>34</v>
      </c>
      <c r="O42" s="65"/>
      <c r="P42" s="55"/>
      <c r="Q42" s="56"/>
      <c r="R42" s="57"/>
      <c r="S42" s="58"/>
      <c r="T42" s="59"/>
      <c r="U42" s="60"/>
      <c r="V42" s="62"/>
      <c r="X42" s="1">
        <f t="shared" ca="1" si="14"/>
        <v>1</v>
      </c>
      <c r="Z42" s="1">
        <f t="shared" si="13"/>
        <v>0</v>
      </c>
      <c r="AA42" s="1">
        <f t="shared" si="13"/>
        <v>0</v>
      </c>
      <c r="AB42" s="1">
        <f t="shared" si="13"/>
        <v>0</v>
      </c>
      <c r="AC42" s="1">
        <f t="shared" si="13"/>
        <v>0</v>
      </c>
      <c r="AD42" s="1">
        <f t="shared" si="13"/>
        <v>0</v>
      </c>
      <c r="AE42" s="1">
        <f t="shared" si="13"/>
        <v>0</v>
      </c>
      <c r="AF42" s="1">
        <f t="shared" si="13"/>
        <v>0</v>
      </c>
      <c r="AG42" s="1">
        <f t="shared" si="13"/>
        <v>0</v>
      </c>
      <c r="AH42" s="1">
        <f t="shared" si="13"/>
        <v>0</v>
      </c>
      <c r="AI42" s="1">
        <f t="shared" si="13"/>
        <v>0</v>
      </c>
      <c r="AJ42" s="1">
        <f t="shared" si="13"/>
        <v>0</v>
      </c>
      <c r="AK42" s="1">
        <f t="shared" si="13"/>
        <v>0</v>
      </c>
    </row>
    <row r="43" spans="1:37" ht="14.1" customHeight="1" x14ac:dyDescent="0.2">
      <c r="B43" s="95"/>
      <c r="C43" s="286" t="s">
        <v>106</v>
      </c>
      <c r="D43" s="286"/>
      <c r="E43" s="286"/>
      <c r="F43" s="286"/>
      <c r="G43" s="286"/>
      <c r="H43" s="96"/>
      <c r="I43" s="3"/>
      <c r="J43" s="3"/>
      <c r="K43" s="3"/>
      <c r="L43" s="3"/>
      <c r="M43" s="3"/>
      <c r="N43" s="12">
        <v>35</v>
      </c>
      <c r="O43" s="65"/>
      <c r="P43" s="49"/>
      <c r="Q43" s="50"/>
      <c r="R43" s="51"/>
      <c r="S43" s="52"/>
      <c r="T43" s="53"/>
      <c r="U43" s="54"/>
      <c r="V43" s="62"/>
      <c r="X43" s="1">
        <f t="shared" ca="1" si="14"/>
        <v>1</v>
      </c>
      <c r="Z43" s="1">
        <f t="shared" si="13"/>
        <v>0</v>
      </c>
      <c r="AA43" s="1">
        <f t="shared" si="13"/>
        <v>0</v>
      </c>
      <c r="AB43" s="1">
        <f t="shared" si="13"/>
        <v>0</v>
      </c>
      <c r="AC43" s="1">
        <f t="shared" si="13"/>
        <v>0</v>
      </c>
      <c r="AD43" s="1">
        <f t="shared" si="13"/>
        <v>0</v>
      </c>
      <c r="AE43" s="1">
        <f t="shared" si="13"/>
        <v>0</v>
      </c>
      <c r="AF43" s="1">
        <f t="shared" si="13"/>
        <v>0</v>
      </c>
      <c r="AG43" s="1">
        <f t="shared" si="13"/>
        <v>0</v>
      </c>
      <c r="AH43" s="1">
        <f t="shared" si="13"/>
        <v>0</v>
      </c>
      <c r="AI43" s="1">
        <f t="shared" si="13"/>
        <v>0</v>
      </c>
      <c r="AJ43" s="1">
        <f t="shared" si="13"/>
        <v>0</v>
      </c>
      <c r="AK43" s="1">
        <f t="shared" si="13"/>
        <v>0</v>
      </c>
    </row>
    <row r="44" spans="1:37" ht="14.1" customHeight="1" x14ac:dyDescent="0.2">
      <c r="B44" s="95"/>
      <c r="C44" s="286"/>
      <c r="D44" s="286"/>
      <c r="E44" s="286"/>
      <c r="F44" s="286"/>
      <c r="G44" s="286"/>
      <c r="H44" s="96"/>
      <c r="I44" s="3"/>
      <c r="J44" s="3"/>
      <c r="K44" s="3"/>
      <c r="L44" s="3"/>
      <c r="M44" s="3"/>
      <c r="N44" s="16">
        <v>36</v>
      </c>
      <c r="O44" s="65"/>
      <c r="P44" s="55"/>
      <c r="Q44" s="56"/>
      <c r="R44" s="57"/>
      <c r="S44" s="58"/>
      <c r="T44" s="59"/>
      <c r="U44" s="60"/>
      <c r="V44" s="62"/>
      <c r="X44" s="1">
        <f t="shared" ca="1" si="14"/>
        <v>1</v>
      </c>
      <c r="Z44" s="1">
        <f t="shared" si="13"/>
        <v>0</v>
      </c>
      <c r="AA44" s="1">
        <f t="shared" si="13"/>
        <v>0</v>
      </c>
      <c r="AB44" s="1">
        <f t="shared" si="13"/>
        <v>0</v>
      </c>
      <c r="AC44" s="1">
        <f t="shared" si="13"/>
        <v>0</v>
      </c>
      <c r="AD44" s="1">
        <f t="shared" si="13"/>
        <v>0</v>
      </c>
      <c r="AE44" s="1">
        <f t="shared" si="13"/>
        <v>0</v>
      </c>
      <c r="AF44" s="1">
        <f t="shared" si="13"/>
        <v>0</v>
      </c>
      <c r="AG44" s="1">
        <f t="shared" si="13"/>
        <v>0</v>
      </c>
      <c r="AH44" s="1">
        <f t="shared" si="13"/>
        <v>0</v>
      </c>
      <c r="AI44" s="1">
        <f t="shared" si="13"/>
        <v>0</v>
      </c>
      <c r="AJ44" s="1">
        <f t="shared" si="13"/>
        <v>0</v>
      </c>
      <c r="AK44" s="1">
        <f t="shared" si="13"/>
        <v>0</v>
      </c>
    </row>
    <row r="45" spans="1:37" ht="14.1" customHeight="1" x14ac:dyDescent="0.2">
      <c r="B45" s="46"/>
      <c r="C45" s="271" t="s">
        <v>20</v>
      </c>
      <c r="D45" s="273" t="s">
        <v>5</v>
      </c>
      <c r="E45" s="275" t="s">
        <v>104</v>
      </c>
      <c r="F45" s="275" t="s">
        <v>89</v>
      </c>
      <c r="G45" s="276" t="s">
        <v>6</v>
      </c>
      <c r="H45" s="96"/>
      <c r="I45" s="3"/>
      <c r="J45" s="3"/>
      <c r="K45" s="3"/>
      <c r="L45" s="3"/>
      <c r="M45" s="3"/>
      <c r="N45" s="12">
        <v>37</v>
      </c>
      <c r="O45" s="65"/>
      <c r="P45" s="49"/>
      <c r="Q45" s="50"/>
      <c r="R45" s="51"/>
      <c r="S45" s="52"/>
      <c r="T45" s="53"/>
      <c r="U45" s="54"/>
      <c r="V45" s="62"/>
      <c r="X45" s="1">
        <f t="shared" ca="1" si="14"/>
        <v>1</v>
      </c>
      <c r="Z45" s="1">
        <f t="shared" si="13"/>
        <v>0</v>
      </c>
      <c r="AA45" s="1">
        <f t="shared" si="13"/>
        <v>0</v>
      </c>
      <c r="AB45" s="1">
        <f t="shared" si="13"/>
        <v>0</v>
      </c>
      <c r="AC45" s="1">
        <f t="shared" si="13"/>
        <v>0</v>
      </c>
      <c r="AD45" s="1">
        <f t="shared" si="13"/>
        <v>0</v>
      </c>
      <c r="AE45" s="1">
        <f t="shared" si="13"/>
        <v>0</v>
      </c>
      <c r="AF45" s="1">
        <f t="shared" si="13"/>
        <v>0</v>
      </c>
      <c r="AG45" s="1">
        <f t="shared" si="13"/>
        <v>0</v>
      </c>
      <c r="AH45" s="1">
        <f t="shared" si="13"/>
        <v>0</v>
      </c>
      <c r="AI45" s="1">
        <f t="shared" si="13"/>
        <v>0</v>
      </c>
      <c r="AJ45" s="1">
        <f t="shared" si="13"/>
        <v>0</v>
      </c>
      <c r="AK45" s="1">
        <f t="shared" si="13"/>
        <v>0</v>
      </c>
    </row>
    <row r="46" spans="1:37" ht="14.1" customHeight="1" x14ac:dyDescent="0.2">
      <c r="A46" s="3"/>
      <c r="B46" s="44"/>
      <c r="C46" s="272"/>
      <c r="D46" s="274"/>
      <c r="E46" s="99" t="s">
        <v>87</v>
      </c>
      <c r="F46" s="100" t="s">
        <v>89</v>
      </c>
      <c r="G46" s="98" t="s">
        <v>6</v>
      </c>
      <c r="H46" s="97"/>
      <c r="I46" s="3"/>
      <c r="J46" s="3"/>
      <c r="K46" s="3"/>
      <c r="L46" s="3"/>
      <c r="M46" s="3"/>
      <c r="N46" s="16">
        <v>38</v>
      </c>
      <c r="O46" s="65"/>
      <c r="P46" s="55"/>
      <c r="Q46" s="56"/>
      <c r="R46" s="57"/>
      <c r="S46" s="58"/>
      <c r="T46" s="59"/>
      <c r="U46" s="60"/>
      <c r="V46" s="62"/>
      <c r="X46" s="1">
        <f t="shared" ca="1" si="14"/>
        <v>1</v>
      </c>
      <c r="Z46" s="1">
        <f t="shared" si="13"/>
        <v>0</v>
      </c>
      <c r="AA46" s="1">
        <f t="shared" si="13"/>
        <v>0</v>
      </c>
      <c r="AB46" s="1">
        <f t="shared" si="13"/>
        <v>0</v>
      </c>
      <c r="AC46" s="1">
        <f t="shared" si="13"/>
        <v>0</v>
      </c>
      <c r="AD46" s="1">
        <f t="shared" si="13"/>
        <v>0</v>
      </c>
      <c r="AE46" s="1">
        <f t="shared" si="13"/>
        <v>0</v>
      </c>
      <c r="AF46" s="1">
        <f t="shared" si="13"/>
        <v>0</v>
      </c>
      <c r="AG46" s="1">
        <f t="shared" si="13"/>
        <v>0</v>
      </c>
      <c r="AH46" s="1">
        <f t="shared" si="13"/>
        <v>0</v>
      </c>
      <c r="AI46" s="1">
        <f t="shared" si="13"/>
        <v>0</v>
      </c>
      <c r="AJ46" s="1">
        <f t="shared" si="13"/>
        <v>0</v>
      </c>
      <c r="AK46" s="1">
        <f t="shared" si="13"/>
        <v>0</v>
      </c>
    </row>
    <row r="47" spans="1:37" ht="14.1" customHeight="1" x14ac:dyDescent="0.2">
      <c r="A47" s="12">
        <v>1</v>
      </c>
      <c r="B47" s="64"/>
      <c r="C47" s="115" t="str">
        <f>ANUAL!$C115</f>
        <v>CC</v>
      </c>
      <c r="D47" s="240" t="str">
        <f>ANUAL!$D115</f>
        <v>CONTA CORRENTE</v>
      </c>
      <c r="E47" s="117">
        <f>SUMIF($J$28:$J$39,TRUE,E$28:E$39)</f>
        <v>0</v>
      </c>
      <c r="F47" s="117">
        <f>SUMIF($J$28:$J$39,TRUE,F$28:F$39)</f>
        <v>0</v>
      </c>
      <c r="G47" s="117">
        <f>SUMIF($J$28:$J$39,TRUE,G$28:G$39)+SUMIF($J$9:$J$20,TRUE,E$9:E$20)</f>
        <v>0</v>
      </c>
      <c r="H47" s="61"/>
      <c r="N47" s="12">
        <v>39</v>
      </c>
      <c r="O47" s="65"/>
      <c r="P47" s="49"/>
      <c r="Q47" s="50"/>
      <c r="R47" s="51"/>
      <c r="S47" s="52"/>
      <c r="T47" s="53"/>
      <c r="U47" s="54"/>
      <c r="V47" s="62"/>
      <c r="X47" s="1">
        <f t="shared" ca="1" si="14"/>
        <v>1</v>
      </c>
      <c r="Z47" s="1">
        <f t="shared" si="13"/>
        <v>0</v>
      </c>
      <c r="AA47" s="1">
        <f t="shared" si="13"/>
        <v>0</v>
      </c>
      <c r="AB47" s="1">
        <f t="shared" si="13"/>
        <v>0</v>
      </c>
      <c r="AC47" s="1">
        <f t="shared" si="13"/>
        <v>0</v>
      </c>
      <c r="AD47" s="1">
        <f t="shared" si="13"/>
        <v>0</v>
      </c>
      <c r="AE47" s="1">
        <f t="shared" si="13"/>
        <v>0</v>
      </c>
      <c r="AF47" s="1">
        <f t="shared" si="13"/>
        <v>0</v>
      </c>
      <c r="AG47" s="1">
        <f t="shared" si="13"/>
        <v>0</v>
      </c>
      <c r="AH47" s="1">
        <f t="shared" si="13"/>
        <v>0</v>
      </c>
      <c r="AI47" s="1">
        <f t="shared" si="13"/>
        <v>0</v>
      </c>
      <c r="AJ47" s="1">
        <f t="shared" si="13"/>
        <v>0</v>
      </c>
      <c r="AK47" s="1">
        <f t="shared" si="13"/>
        <v>0</v>
      </c>
    </row>
    <row r="48" spans="1:37" ht="14.1" customHeight="1" x14ac:dyDescent="0.2">
      <c r="A48" s="16">
        <v>2</v>
      </c>
      <c r="B48" s="65"/>
      <c r="C48" s="118" t="str">
        <f>ANUAL!$C116</f>
        <v>INV</v>
      </c>
      <c r="D48" s="119" t="str">
        <f>ANUAL!$D116</f>
        <v>APLICAÇÕES DE INVESTIMENTO</v>
      </c>
      <c r="E48" s="120">
        <f ca="1">SUMIF($K$28:$K$39,TRUE,E$28:E$39)</f>
        <v>0</v>
      </c>
      <c r="F48" s="120">
        <f ca="1">SUMIF($K$28:$K$39,TRUE,F$28:F$39)</f>
        <v>0</v>
      </c>
      <c r="G48" s="120">
        <f ca="1">SUMIF($K$28:$K$39,TRUE,G$28:G$39)+SUMIF($K$9:$K$20,TRUE,E$9:E$20)</f>
        <v>0</v>
      </c>
      <c r="H48" s="62"/>
      <c r="N48" s="16">
        <v>40</v>
      </c>
      <c r="O48" s="65"/>
      <c r="P48" s="55"/>
      <c r="Q48" s="56"/>
      <c r="R48" s="57"/>
      <c r="S48" s="58"/>
      <c r="T48" s="59"/>
      <c r="U48" s="60"/>
      <c r="V48" s="62"/>
      <c r="X48" s="1">
        <f t="shared" ca="1" si="14"/>
        <v>1</v>
      </c>
      <c r="Z48" s="1">
        <f t="shared" si="13"/>
        <v>0</v>
      </c>
      <c r="AA48" s="1">
        <f t="shared" si="13"/>
        <v>0</v>
      </c>
      <c r="AB48" s="1">
        <f t="shared" si="13"/>
        <v>0</v>
      </c>
      <c r="AC48" s="1">
        <f t="shared" si="13"/>
        <v>0</v>
      </c>
      <c r="AD48" s="1">
        <f t="shared" si="13"/>
        <v>0</v>
      </c>
      <c r="AE48" s="1">
        <f t="shared" si="13"/>
        <v>0</v>
      </c>
      <c r="AF48" s="1">
        <f t="shared" si="13"/>
        <v>0</v>
      </c>
      <c r="AG48" s="1">
        <f t="shared" si="13"/>
        <v>0</v>
      </c>
      <c r="AH48" s="1">
        <f t="shared" si="13"/>
        <v>0</v>
      </c>
      <c r="AI48" s="1">
        <f t="shared" si="13"/>
        <v>0</v>
      </c>
      <c r="AJ48" s="1">
        <f t="shared" si="13"/>
        <v>0</v>
      </c>
      <c r="AK48" s="1">
        <f t="shared" si="13"/>
        <v>0</v>
      </c>
    </row>
    <row r="49" spans="1:37" ht="14.1" customHeight="1" x14ac:dyDescent="0.2">
      <c r="A49" s="12">
        <v>3</v>
      </c>
      <c r="B49" s="65"/>
      <c r="C49" s="115" t="str">
        <f>ANUAL!$C117</f>
        <v>DINH</v>
      </c>
      <c r="D49" s="240" t="str">
        <f>ANUAL!$D117</f>
        <v>EM ESPÉCIE</v>
      </c>
      <c r="E49" s="117">
        <f ca="1">SUMIF($L$28:$L$39,TRUE,E$28:E$39)</f>
        <v>0</v>
      </c>
      <c r="F49" s="117">
        <f ca="1">SUMIF($L$28:$L$39,TRUE,F$28:F$39)</f>
        <v>0</v>
      </c>
      <c r="G49" s="117">
        <f ca="1">SUMIF($L$28:$L$39,TRUE,G$28:G$39)+SUMIF($L$9:$L$20,TRUE,E$9:E$20)</f>
        <v>0</v>
      </c>
      <c r="H49" s="62"/>
      <c r="N49" s="12">
        <v>41</v>
      </c>
      <c r="O49" s="65"/>
      <c r="P49" s="49"/>
      <c r="Q49" s="50"/>
      <c r="R49" s="51"/>
      <c r="S49" s="52"/>
      <c r="T49" s="53"/>
      <c r="U49" s="54"/>
      <c r="V49" s="62"/>
      <c r="X49" s="1">
        <f t="shared" ca="1" si="14"/>
        <v>1</v>
      </c>
      <c r="Z49" s="1">
        <f t="shared" ref="Z49:AK58" si="15">IF(Z$8=$R49,-$T49,0)+IF(Z$8=$S49,$T49,0)</f>
        <v>0</v>
      </c>
      <c r="AA49" s="1">
        <f t="shared" si="15"/>
        <v>0</v>
      </c>
      <c r="AB49" s="1">
        <f t="shared" si="15"/>
        <v>0</v>
      </c>
      <c r="AC49" s="1">
        <f t="shared" si="15"/>
        <v>0</v>
      </c>
      <c r="AD49" s="1">
        <f t="shared" si="15"/>
        <v>0</v>
      </c>
      <c r="AE49" s="1">
        <f t="shared" si="15"/>
        <v>0</v>
      </c>
      <c r="AF49" s="1">
        <f t="shared" si="15"/>
        <v>0</v>
      </c>
      <c r="AG49" s="1">
        <f t="shared" si="15"/>
        <v>0</v>
      </c>
      <c r="AH49" s="1">
        <f t="shared" si="15"/>
        <v>0</v>
      </c>
      <c r="AI49" s="1">
        <f t="shared" si="15"/>
        <v>0</v>
      </c>
      <c r="AJ49" s="1">
        <f t="shared" si="15"/>
        <v>0</v>
      </c>
      <c r="AK49" s="1">
        <f t="shared" si="15"/>
        <v>0</v>
      </c>
    </row>
    <row r="50" spans="1:37" ht="14.1" customHeight="1" x14ac:dyDescent="0.2">
      <c r="A50" s="12"/>
      <c r="B50" s="109"/>
      <c r="C50" s="110"/>
      <c r="D50" s="111"/>
      <c r="E50" s="111"/>
      <c r="F50" s="111"/>
      <c r="G50" s="111"/>
      <c r="H50" s="112"/>
      <c r="I50" s="3"/>
      <c r="J50" s="3"/>
      <c r="K50" s="3"/>
      <c r="L50" s="3"/>
      <c r="M50" s="3"/>
      <c r="N50" s="16">
        <v>42</v>
      </c>
      <c r="O50" s="65"/>
      <c r="P50" s="55"/>
      <c r="Q50" s="56"/>
      <c r="R50" s="57"/>
      <c r="S50" s="58"/>
      <c r="T50" s="59"/>
      <c r="U50" s="60"/>
      <c r="V50" s="62"/>
      <c r="X50" s="1">
        <f t="shared" ca="1" si="14"/>
        <v>1</v>
      </c>
      <c r="Z50" s="1">
        <f t="shared" si="15"/>
        <v>0</v>
      </c>
      <c r="AA50" s="1">
        <f t="shared" si="15"/>
        <v>0</v>
      </c>
      <c r="AB50" s="1">
        <f t="shared" si="15"/>
        <v>0</v>
      </c>
      <c r="AC50" s="1">
        <f t="shared" si="15"/>
        <v>0</v>
      </c>
      <c r="AD50" s="1">
        <f t="shared" si="15"/>
        <v>0</v>
      </c>
      <c r="AE50" s="1">
        <f t="shared" si="15"/>
        <v>0</v>
      </c>
      <c r="AF50" s="1">
        <f t="shared" si="15"/>
        <v>0</v>
      </c>
      <c r="AG50" s="1">
        <f t="shared" si="15"/>
        <v>0</v>
      </c>
      <c r="AH50" s="1">
        <f t="shared" si="15"/>
        <v>0</v>
      </c>
      <c r="AI50" s="1">
        <f t="shared" si="15"/>
        <v>0</v>
      </c>
      <c r="AJ50" s="1">
        <f t="shared" si="15"/>
        <v>0</v>
      </c>
      <c r="AK50" s="1">
        <f t="shared" si="15"/>
        <v>0</v>
      </c>
    </row>
    <row r="51" spans="1:37" ht="14.1" customHeight="1" x14ac:dyDescent="0.2">
      <c r="I51" s="3"/>
      <c r="J51" s="3"/>
      <c r="K51" s="3"/>
      <c r="L51" s="3"/>
      <c r="M51" s="3"/>
      <c r="N51" s="12">
        <v>43</v>
      </c>
      <c r="O51" s="65"/>
      <c r="P51" s="49"/>
      <c r="Q51" s="50"/>
      <c r="R51" s="51"/>
      <c r="S51" s="52"/>
      <c r="T51" s="53"/>
      <c r="U51" s="54"/>
      <c r="V51" s="62"/>
      <c r="X51" s="1">
        <f t="shared" ca="1" si="14"/>
        <v>1</v>
      </c>
      <c r="Z51" s="1">
        <f t="shared" si="15"/>
        <v>0</v>
      </c>
      <c r="AA51" s="1">
        <f t="shared" si="15"/>
        <v>0</v>
      </c>
      <c r="AB51" s="1">
        <f t="shared" si="15"/>
        <v>0</v>
      </c>
      <c r="AC51" s="1">
        <f t="shared" si="15"/>
        <v>0</v>
      </c>
      <c r="AD51" s="1">
        <f t="shared" si="15"/>
        <v>0</v>
      </c>
      <c r="AE51" s="1">
        <f t="shared" si="15"/>
        <v>0</v>
      </c>
      <c r="AF51" s="1">
        <f t="shared" si="15"/>
        <v>0</v>
      </c>
      <c r="AG51" s="1">
        <f t="shared" si="15"/>
        <v>0</v>
      </c>
      <c r="AH51" s="1">
        <f t="shared" si="15"/>
        <v>0</v>
      </c>
      <c r="AI51" s="1">
        <f t="shared" si="15"/>
        <v>0</v>
      </c>
      <c r="AJ51" s="1">
        <f t="shared" si="15"/>
        <v>0</v>
      </c>
      <c r="AK51" s="1">
        <f t="shared" si="15"/>
        <v>0</v>
      </c>
    </row>
    <row r="52" spans="1:37" ht="14.1" customHeight="1" x14ac:dyDescent="0.2">
      <c r="B52" s="84"/>
      <c r="C52" s="85"/>
      <c r="D52" s="86"/>
      <c r="E52" s="86"/>
      <c r="F52" s="86"/>
      <c r="G52" s="86"/>
      <c r="H52" s="87"/>
      <c r="N52" s="16">
        <v>44</v>
      </c>
      <c r="O52" s="65"/>
      <c r="P52" s="55"/>
      <c r="Q52" s="56"/>
      <c r="R52" s="57"/>
      <c r="S52" s="58"/>
      <c r="T52" s="59"/>
      <c r="U52" s="60"/>
      <c r="V52" s="62"/>
      <c r="X52" s="1">
        <f t="shared" ca="1" si="14"/>
        <v>1</v>
      </c>
      <c r="Z52" s="1">
        <f t="shared" si="15"/>
        <v>0</v>
      </c>
      <c r="AA52" s="1">
        <f t="shared" si="15"/>
        <v>0</v>
      </c>
      <c r="AB52" s="1">
        <f t="shared" si="15"/>
        <v>0</v>
      </c>
      <c r="AC52" s="1">
        <f t="shared" si="15"/>
        <v>0</v>
      </c>
      <c r="AD52" s="1">
        <f t="shared" si="15"/>
        <v>0</v>
      </c>
      <c r="AE52" s="1">
        <f t="shared" si="15"/>
        <v>0</v>
      </c>
      <c r="AF52" s="1">
        <f t="shared" si="15"/>
        <v>0</v>
      </c>
      <c r="AG52" s="1">
        <f t="shared" si="15"/>
        <v>0</v>
      </c>
      <c r="AH52" s="1">
        <f t="shared" si="15"/>
        <v>0</v>
      </c>
      <c r="AI52" s="1">
        <f t="shared" si="15"/>
        <v>0</v>
      </c>
      <c r="AJ52" s="1">
        <f t="shared" si="15"/>
        <v>0</v>
      </c>
      <c r="AK52" s="1">
        <f t="shared" si="15"/>
        <v>0</v>
      </c>
    </row>
    <row r="53" spans="1:37" ht="14.1" customHeight="1" x14ac:dyDescent="0.2">
      <c r="B53" s="88"/>
      <c r="C53" s="304" t="s">
        <v>27</v>
      </c>
      <c r="D53" s="304"/>
      <c r="E53" s="304"/>
      <c r="F53" s="304"/>
      <c r="G53" s="304"/>
      <c r="H53" s="89"/>
      <c r="N53" s="12">
        <v>45</v>
      </c>
      <c r="O53" s="65"/>
      <c r="P53" s="49"/>
      <c r="Q53" s="50"/>
      <c r="R53" s="51"/>
      <c r="S53" s="52"/>
      <c r="T53" s="53"/>
      <c r="U53" s="54"/>
      <c r="V53" s="62"/>
      <c r="X53" s="1">
        <f t="shared" ca="1" si="14"/>
        <v>1</v>
      </c>
      <c r="Z53" s="1">
        <f t="shared" si="15"/>
        <v>0</v>
      </c>
      <c r="AA53" s="1">
        <f t="shared" si="15"/>
        <v>0</v>
      </c>
      <c r="AB53" s="1">
        <f t="shared" si="15"/>
        <v>0</v>
      </c>
      <c r="AC53" s="1">
        <f t="shared" si="15"/>
        <v>0</v>
      </c>
      <c r="AD53" s="1">
        <f t="shared" si="15"/>
        <v>0</v>
      </c>
      <c r="AE53" s="1">
        <f t="shared" si="15"/>
        <v>0</v>
      </c>
      <c r="AF53" s="1">
        <f t="shared" si="15"/>
        <v>0</v>
      </c>
      <c r="AG53" s="1">
        <f t="shared" si="15"/>
        <v>0</v>
      </c>
      <c r="AH53" s="1">
        <f t="shared" si="15"/>
        <v>0</v>
      </c>
      <c r="AI53" s="1">
        <f t="shared" si="15"/>
        <v>0</v>
      </c>
      <c r="AJ53" s="1">
        <f t="shared" si="15"/>
        <v>0</v>
      </c>
      <c r="AK53" s="1">
        <f t="shared" si="15"/>
        <v>0</v>
      </c>
    </row>
    <row r="54" spans="1:37" ht="14.1" customHeight="1" x14ac:dyDescent="0.2">
      <c r="B54" s="88"/>
      <c r="C54" s="304"/>
      <c r="D54" s="304"/>
      <c r="E54" s="304"/>
      <c r="F54" s="304"/>
      <c r="G54" s="304"/>
      <c r="H54" s="89"/>
      <c r="N54" s="16">
        <v>46</v>
      </c>
      <c r="O54" s="65"/>
      <c r="P54" s="55"/>
      <c r="Q54" s="56"/>
      <c r="R54" s="57"/>
      <c r="S54" s="58"/>
      <c r="T54" s="59"/>
      <c r="U54" s="60"/>
      <c r="V54" s="62"/>
      <c r="X54" s="1">
        <f t="shared" ca="1" si="14"/>
        <v>1</v>
      </c>
      <c r="Z54" s="1">
        <f t="shared" si="15"/>
        <v>0</v>
      </c>
      <c r="AA54" s="1">
        <f t="shared" si="15"/>
        <v>0</v>
      </c>
      <c r="AB54" s="1">
        <f t="shared" si="15"/>
        <v>0</v>
      </c>
      <c r="AC54" s="1">
        <f t="shared" si="15"/>
        <v>0</v>
      </c>
      <c r="AD54" s="1">
        <f t="shared" si="15"/>
        <v>0</v>
      </c>
      <c r="AE54" s="1">
        <f t="shared" si="15"/>
        <v>0</v>
      </c>
      <c r="AF54" s="1">
        <f t="shared" si="15"/>
        <v>0</v>
      </c>
      <c r="AG54" s="1">
        <f t="shared" si="15"/>
        <v>0</v>
      </c>
      <c r="AH54" s="1">
        <f t="shared" si="15"/>
        <v>0</v>
      </c>
      <c r="AI54" s="1">
        <f t="shared" si="15"/>
        <v>0</v>
      </c>
      <c r="AJ54" s="1">
        <f t="shared" si="15"/>
        <v>0</v>
      </c>
      <c r="AK54" s="1">
        <f t="shared" si="15"/>
        <v>0</v>
      </c>
    </row>
    <row r="55" spans="1:37" ht="14.1" customHeight="1" x14ac:dyDescent="0.2">
      <c r="B55" s="46"/>
      <c r="C55" s="271" t="s">
        <v>4</v>
      </c>
      <c r="D55" s="273" t="s">
        <v>5</v>
      </c>
      <c r="E55" s="310"/>
      <c r="F55" s="310"/>
      <c r="G55" s="276" t="s">
        <v>97</v>
      </c>
      <c r="H55" s="89"/>
      <c r="N55" s="12">
        <v>47</v>
      </c>
      <c r="O55" s="65"/>
      <c r="P55" s="49"/>
      <c r="Q55" s="50"/>
      <c r="R55" s="51"/>
      <c r="S55" s="52"/>
      <c r="T55" s="53"/>
      <c r="U55" s="54"/>
      <c r="V55" s="62"/>
      <c r="X55" s="1">
        <f t="shared" ca="1" si="14"/>
        <v>1</v>
      </c>
      <c r="Z55" s="1">
        <f t="shared" si="15"/>
        <v>0</v>
      </c>
      <c r="AA55" s="1">
        <f t="shared" si="15"/>
        <v>0</v>
      </c>
      <c r="AB55" s="1">
        <f t="shared" si="15"/>
        <v>0</v>
      </c>
      <c r="AC55" s="1">
        <f t="shared" si="15"/>
        <v>0</v>
      </c>
      <c r="AD55" s="1">
        <f t="shared" si="15"/>
        <v>0</v>
      </c>
      <c r="AE55" s="1">
        <f t="shared" si="15"/>
        <v>0</v>
      </c>
      <c r="AF55" s="1">
        <f t="shared" si="15"/>
        <v>0</v>
      </c>
      <c r="AG55" s="1">
        <f t="shared" si="15"/>
        <v>0</v>
      </c>
      <c r="AH55" s="1">
        <f t="shared" si="15"/>
        <v>0</v>
      </c>
      <c r="AI55" s="1">
        <f t="shared" si="15"/>
        <v>0</v>
      </c>
      <c r="AJ55" s="1">
        <f t="shared" si="15"/>
        <v>0</v>
      </c>
      <c r="AK55" s="1">
        <f t="shared" si="15"/>
        <v>0</v>
      </c>
    </row>
    <row r="56" spans="1:37" ht="14.1" customHeight="1" x14ac:dyDescent="0.2">
      <c r="A56" s="3"/>
      <c r="B56" s="44"/>
      <c r="C56" s="272"/>
      <c r="D56" s="274"/>
      <c r="E56" s="311"/>
      <c r="F56" s="311"/>
      <c r="G56" s="305"/>
      <c r="H56" s="90"/>
      <c r="N56" s="16">
        <v>48</v>
      </c>
      <c r="O56" s="65"/>
      <c r="P56" s="55"/>
      <c r="Q56" s="56"/>
      <c r="R56" s="57"/>
      <c r="S56" s="58"/>
      <c r="T56" s="59"/>
      <c r="U56" s="60"/>
      <c r="V56" s="62"/>
      <c r="X56" s="1">
        <f t="shared" ca="1" si="14"/>
        <v>1</v>
      </c>
      <c r="Z56" s="1">
        <f t="shared" si="15"/>
        <v>0</v>
      </c>
      <c r="AA56" s="1">
        <f t="shared" si="15"/>
        <v>0</v>
      </c>
      <c r="AB56" s="1">
        <f t="shared" si="15"/>
        <v>0</v>
      </c>
      <c r="AC56" s="1">
        <f t="shared" si="15"/>
        <v>0</v>
      </c>
      <c r="AD56" s="1">
        <f t="shared" si="15"/>
        <v>0</v>
      </c>
      <c r="AE56" s="1">
        <f t="shared" si="15"/>
        <v>0</v>
      </c>
      <c r="AF56" s="1">
        <f t="shared" si="15"/>
        <v>0</v>
      </c>
      <c r="AG56" s="1">
        <f t="shared" si="15"/>
        <v>0</v>
      </c>
      <c r="AH56" s="1">
        <f t="shared" si="15"/>
        <v>0</v>
      </c>
      <c r="AI56" s="1">
        <f t="shared" si="15"/>
        <v>0</v>
      </c>
      <c r="AJ56" s="1">
        <f t="shared" si="15"/>
        <v>0</v>
      </c>
      <c r="AK56" s="1">
        <f t="shared" si="15"/>
        <v>0</v>
      </c>
    </row>
    <row r="57" spans="1:37" ht="14.1" customHeight="1" x14ac:dyDescent="0.2">
      <c r="A57" s="12">
        <v>1</v>
      </c>
      <c r="B57" s="64"/>
      <c r="C57" s="101" t="str">
        <f>ANUAL!$C141</f>
        <v>M01</v>
      </c>
      <c r="D57" s="303" t="str">
        <f>ANUAL!$D141</f>
        <v>MORADIA – CONDOMÍNIO</v>
      </c>
      <c r="E57" s="303"/>
      <c r="F57" s="303"/>
      <c r="G57" s="102">
        <f t="shared" ref="G57:G88" si="16">SUMIF(U$9:U$88,C57,T$9:T$88)</f>
        <v>0</v>
      </c>
      <c r="H57" s="61"/>
      <c r="N57" s="12">
        <v>49</v>
      </c>
      <c r="O57" s="65"/>
      <c r="P57" s="49"/>
      <c r="Q57" s="50"/>
      <c r="R57" s="51"/>
      <c r="S57" s="52"/>
      <c r="T57" s="53"/>
      <c r="U57" s="54"/>
      <c r="V57" s="62"/>
      <c r="X57" s="1">
        <f t="shared" ca="1" si="14"/>
        <v>1</v>
      </c>
      <c r="Z57" s="1">
        <f t="shared" si="15"/>
        <v>0</v>
      </c>
      <c r="AA57" s="1">
        <f t="shared" si="15"/>
        <v>0</v>
      </c>
      <c r="AB57" s="1">
        <f t="shared" si="15"/>
        <v>0</v>
      </c>
      <c r="AC57" s="1">
        <f t="shared" si="15"/>
        <v>0</v>
      </c>
      <c r="AD57" s="1">
        <f t="shared" si="15"/>
        <v>0</v>
      </c>
      <c r="AE57" s="1">
        <f t="shared" si="15"/>
        <v>0</v>
      </c>
      <c r="AF57" s="1">
        <f t="shared" si="15"/>
        <v>0</v>
      </c>
      <c r="AG57" s="1">
        <f t="shared" si="15"/>
        <v>0</v>
      </c>
      <c r="AH57" s="1">
        <f t="shared" si="15"/>
        <v>0</v>
      </c>
      <c r="AI57" s="1">
        <f t="shared" si="15"/>
        <v>0</v>
      </c>
      <c r="AJ57" s="1">
        <f t="shared" si="15"/>
        <v>0</v>
      </c>
      <c r="AK57" s="1">
        <f t="shared" si="15"/>
        <v>0</v>
      </c>
    </row>
    <row r="58" spans="1:37" ht="14.1" customHeight="1" x14ac:dyDescent="0.2">
      <c r="A58" s="16">
        <v>2</v>
      </c>
      <c r="B58" s="65"/>
      <c r="C58" s="103" t="str">
        <f>ANUAL!$C142</f>
        <v>M02</v>
      </c>
      <c r="D58" s="302" t="str">
        <f>ANUAL!$D142</f>
        <v>MORADIA – IPTU</v>
      </c>
      <c r="E58" s="302"/>
      <c r="F58" s="302"/>
      <c r="G58" s="104">
        <f t="shared" si="16"/>
        <v>0</v>
      </c>
      <c r="H58" s="62"/>
      <c r="N58" s="16">
        <v>50</v>
      </c>
      <c r="O58" s="65"/>
      <c r="P58" s="55"/>
      <c r="Q58" s="56"/>
      <c r="R58" s="57"/>
      <c r="S58" s="58"/>
      <c r="T58" s="59"/>
      <c r="U58" s="60"/>
      <c r="V58" s="62"/>
      <c r="X58" s="1">
        <f t="shared" ca="1" si="14"/>
        <v>1</v>
      </c>
      <c r="Z58" s="1">
        <f t="shared" si="15"/>
        <v>0</v>
      </c>
      <c r="AA58" s="1">
        <f t="shared" si="15"/>
        <v>0</v>
      </c>
      <c r="AB58" s="1">
        <f t="shared" si="15"/>
        <v>0</v>
      </c>
      <c r="AC58" s="1">
        <f t="shared" si="15"/>
        <v>0</v>
      </c>
      <c r="AD58" s="1">
        <f t="shared" si="15"/>
        <v>0</v>
      </c>
      <c r="AE58" s="1">
        <f t="shared" si="15"/>
        <v>0</v>
      </c>
      <c r="AF58" s="1">
        <f t="shared" si="15"/>
        <v>0</v>
      </c>
      <c r="AG58" s="1">
        <f t="shared" si="15"/>
        <v>0</v>
      </c>
      <c r="AH58" s="1">
        <f t="shared" si="15"/>
        <v>0</v>
      </c>
      <c r="AI58" s="1">
        <f t="shared" si="15"/>
        <v>0</v>
      </c>
      <c r="AJ58" s="1">
        <f t="shared" si="15"/>
        <v>0</v>
      </c>
      <c r="AK58" s="1">
        <f t="shared" si="15"/>
        <v>0</v>
      </c>
    </row>
    <row r="59" spans="1:37" ht="14.1" customHeight="1" x14ac:dyDescent="0.2">
      <c r="A59" s="12">
        <v>3</v>
      </c>
      <c r="B59" s="65"/>
      <c r="C59" s="101" t="str">
        <f>ANUAL!$C143</f>
        <v>M03</v>
      </c>
      <c r="D59" s="303" t="str">
        <f>ANUAL!$D143</f>
        <v>MORADIA – ALUGUEL</v>
      </c>
      <c r="E59" s="303"/>
      <c r="F59" s="303"/>
      <c r="G59" s="102">
        <f t="shared" si="16"/>
        <v>0</v>
      </c>
      <c r="H59" s="62"/>
      <c r="N59" s="12">
        <v>51</v>
      </c>
      <c r="O59" s="65"/>
      <c r="P59" s="49"/>
      <c r="Q59" s="50"/>
      <c r="R59" s="51"/>
      <c r="S59" s="52"/>
      <c r="T59" s="53"/>
      <c r="U59" s="54"/>
      <c r="V59" s="62"/>
      <c r="X59" s="1">
        <f t="shared" ca="1" si="14"/>
        <v>1</v>
      </c>
      <c r="Z59" s="1">
        <f t="shared" ref="Z59:AK68" si="17">IF(Z$8=$R59,-$T59,0)+IF(Z$8=$S59,$T59,0)</f>
        <v>0</v>
      </c>
      <c r="AA59" s="1">
        <f t="shared" si="17"/>
        <v>0</v>
      </c>
      <c r="AB59" s="1">
        <f t="shared" si="17"/>
        <v>0</v>
      </c>
      <c r="AC59" s="1">
        <f t="shared" si="17"/>
        <v>0</v>
      </c>
      <c r="AD59" s="1">
        <f t="shared" si="17"/>
        <v>0</v>
      </c>
      <c r="AE59" s="1">
        <f t="shared" si="17"/>
        <v>0</v>
      </c>
      <c r="AF59" s="1">
        <f t="shared" si="17"/>
        <v>0</v>
      </c>
      <c r="AG59" s="1">
        <f t="shared" si="17"/>
        <v>0</v>
      </c>
      <c r="AH59" s="1">
        <f t="shared" si="17"/>
        <v>0</v>
      </c>
      <c r="AI59" s="1">
        <f t="shared" si="17"/>
        <v>0</v>
      </c>
      <c r="AJ59" s="1">
        <f t="shared" si="17"/>
        <v>0</v>
      </c>
      <c r="AK59" s="1">
        <f t="shared" si="17"/>
        <v>0</v>
      </c>
    </row>
    <row r="60" spans="1:37" ht="14.1" customHeight="1" x14ac:dyDescent="0.2">
      <c r="A60" s="16">
        <v>4</v>
      </c>
      <c r="B60" s="65"/>
      <c r="C60" s="103" t="str">
        <f>ANUAL!$C144</f>
        <v>M04</v>
      </c>
      <c r="D60" s="302" t="str">
        <f>ANUAL!$D144</f>
        <v>MORADIA – REFORMA</v>
      </c>
      <c r="E60" s="302"/>
      <c r="F60" s="302"/>
      <c r="G60" s="104">
        <f t="shared" si="16"/>
        <v>0</v>
      </c>
      <c r="H60" s="62"/>
      <c r="N60" s="16">
        <v>52</v>
      </c>
      <c r="O60" s="65"/>
      <c r="P60" s="55"/>
      <c r="Q60" s="56"/>
      <c r="R60" s="57"/>
      <c r="S60" s="58"/>
      <c r="T60" s="59"/>
      <c r="U60" s="60"/>
      <c r="V60" s="62"/>
      <c r="X60" s="1">
        <f t="shared" ca="1" si="14"/>
        <v>1</v>
      </c>
      <c r="Z60" s="1">
        <f t="shared" si="17"/>
        <v>0</v>
      </c>
      <c r="AA60" s="1">
        <f t="shared" si="17"/>
        <v>0</v>
      </c>
      <c r="AB60" s="1">
        <f t="shared" si="17"/>
        <v>0</v>
      </c>
      <c r="AC60" s="1">
        <f t="shared" si="17"/>
        <v>0</v>
      </c>
      <c r="AD60" s="1">
        <f t="shared" si="17"/>
        <v>0</v>
      </c>
      <c r="AE60" s="1">
        <f t="shared" si="17"/>
        <v>0</v>
      </c>
      <c r="AF60" s="1">
        <f t="shared" si="17"/>
        <v>0</v>
      </c>
      <c r="AG60" s="1">
        <f t="shared" si="17"/>
        <v>0</v>
      </c>
      <c r="AH60" s="1">
        <f t="shared" si="17"/>
        <v>0</v>
      </c>
      <c r="AI60" s="1">
        <f t="shared" si="17"/>
        <v>0</v>
      </c>
      <c r="AJ60" s="1">
        <f t="shared" si="17"/>
        <v>0</v>
      </c>
      <c r="AK60" s="1">
        <f t="shared" si="17"/>
        <v>0</v>
      </c>
    </row>
    <row r="61" spans="1:37" ht="14.1" customHeight="1" x14ac:dyDescent="0.2">
      <c r="A61" s="12">
        <v>5</v>
      </c>
      <c r="B61" s="65"/>
      <c r="C61" s="101" t="str">
        <f>ANUAL!$C145</f>
        <v>U01</v>
      </c>
      <c r="D61" s="303" t="str">
        <f>ANUAL!$D145</f>
        <v>UTILITIES – ENERGIA ELÉTRICA</v>
      </c>
      <c r="E61" s="303"/>
      <c r="F61" s="303"/>
      <c r="G61" s="102">
        <f t="shared" si="16"/>
        <v>0</v>
      </c>
      <c r="H61" s="62"/>
      <c r="N61" s="12">
        <v>53</v>
      </c>
      <c r="O61" s="65"/>
      <c r="P61" s="49"/>
      <c r="Q61" s="50"/>
      <c r="R61" s="51"/>
      <c r="S61" s="52"/>
      <c r="T61" s="53"/>
      <c r="U61" s="54"/>
      <c r="V61" s="62"/>
      <c r="X61" s="1">
        <f t="shared" ca="1" si="14"/>
        <v>1</v>
      </c>
      <c r="Z61" s="1">
        <f t="shared" si="17"/>
        <v>0</v>
      </c>
      <c r="AA61" s="1">
        <f t="shared" si="17"/>
        <v>0</v>
      </c>
      <c r="AB61" s="1">
        <f t="shared" si="17"/>
        <v>0</v>
      </c>
      <c r="AC61" s="1">
        <f t="shared" si="17"/>
        <v>0</v>
      </c>
      <c r="AD61" s="1">
        <f t="shared" si="17"/>
        <v>0</v>
      </c>
      <c r="AE61" s="1">
        <f t="shared" si="17"/>
        <v>0</v>
      </c>
      <c r="AF61" s="1">
        <f t="shared" si="17"/>
        <v>0</v>
      </c>
      <c r="AG61" s="1">
        <f t="shared" si="17"/>
        <v>0</v>
      </c>
      <c r="AH61" s="1">
        <f t="shared" si="17"/>
        <v>0</v>
      </c>
      <c r="AI61" s="1">
        <f t="shared" si="17"/>
        <v>0</v>
      </c>
      <c r="AJ61" s="1">
        <f t="shared" si="17"/>
        <v>0</v>
      </c>
      <c r="AK61" s="1">
        <f t="shared" si="17"/>
        <v>0</v>
      </c>
    </row>
    <row r="62" spans="1:37" ht="14.1" customHeight="1" x14ac:dyDescent="0.2">
      <c r="A62" s="16">
        <v>6</v>
      </c>
      <c r="B62" s="65"/>
      <c r="C62" s="103" t="str">
        <f>ANUAL!$C146</f>
        <v>U02</v>
      </c>
      <c r="D62" s="302" t="str">
        <f>ANUAL!$D146</f>
        <v>UTILITIES – ÁGUA POTÁVEL</v>
      </c>
      <c r="E62" s="302"/>
      <c r="F62" s="302"/>
      <c r="G62" s="104">
        <f t="shared" si="16"/>
        <v>0</v>
      </c>
      <c r="H62" s="62"/>
      <c r="N62" s="16">
        <v>54</v>
      </c>
      <c r="O62" s="65"/>
      <c r="P62" s="55"/>
      <c r="Q62" s="56"/>
      <c r="R62" s="57"/>
      <c r="S62" s="58"/>
      <c r="T62" s="59"/>
      <c r="U62" s="60"/>
      <c r="V62" s="62"/>
      <c r="X62" s="1">
        <f t="shared" ca="1" si="14"/>
        <v>1</v>
      </c>
      <c r="Z62" s="1">
        <f t="shared" si="17"/>
        <v>0</v>
      </c>
      <c r="AA62" s="1">
        <f t="shared" si="17"/>
        <v>0</v>
      </c>
      <c r="AB62" s="1">
        <f t="shared" si="17"/>
        <v>0</v>
      </c>
      <c r="AC62" s="1">
        <f t="shared" si="17"/>
        <v>0</v>
      </c>
      <c r="AD62" s="1">
        <f t="shared" si="17"/>
        <v>0</v>
      </c>
      <c r="AE62" s="1">
        <f t="shared" si="17"/>
        <v>0</v>
      </c>
      <c r="AF62" s="1">
        <f t="shared" si="17"/>
        <v>0</v>
      </c>
      <c r="AG62" s="1">
        <f t="shared" si="17"/>
        <v>0</v>
      </c>
      <c r="AH62" s="1">
        <f t="shared" si="17"/>
        <v>0</v>
      </c>
      <c r="AI62" s="1">
        <f t="shared" si="17"/>
        <v>0</v>
      </c>
      <c r="AJ62" s="1">
        <f t="shared" si="17"/>
        <v>0</v>
      </c>
      <c r="AK62" s="1">
        <f t="shared" si="17"/>
        <v>0</v>
      </c>
    </row>
    <row r="63" spans="1:37" ht="14.1" customHeight="1" x14ac:dyDescent="0.2">
      <c r="A63" s="12">
        <v>7</v>
      </c>
      <c r="B63" s="65"/>
      <c r="C63" s="101" t="str">
        <f>ANUAL!$C147</f>
        <v>U03</v>
      </c>
      <c r="D63" s="303" t="str">
        <f>ANUAL!$D147</f>
        <v>UTILITIES – DIVERSOS (ÁGUA, GÁS, SERV. GERAIS)</v>
      </c>
      <c r="E63" s="303"/>
      <c r="F63" s="303"/>
      <c r="G63" s="102">
        <f t="shared" si="16"/>
        <v>0</v>
      </c>
      <c r="H63" s="62"/>
      <c r="N63" s="12">
        <v>55</v>
      </c>
      <c r="O63" s="65"/>
      <c r="P63" s="49"/>
      <c r="Q63" s="50"/>
      <c r="R63" s="51"/>
      <c r="S63" s="52"/>
      <c r="T63" s="53"/>
      <c r="U63" s="54"/>
      <c r="V63" s="62"/>
      <c r="X63" s="1">
        <f t="shared" ca="1" si="14"/>
        <v>1</v>
      </c>
      <c r="Y63" s="30"/>
      <c r="Z63" s="1">
        <f t="shared" si="17"/>
        <v>0</v>
      </c>
      <c r="AA63" s="1">
        <f t="shared" si="17"/>
        <v>0</v>
      </c>
      <c r="AB63" s="1">
        <f t="shared" si="17"/>
        <v>0</v>
      </c>
      <c r="AC63" s="1">
        <f t="shared" si="17"/>
        <v>0</v>
      </c>
      <c r="AD63" s="1">
        <f t="shared" si="17"/>
        <v>0</v>
      </c>
      <c r="AE63" s="1">
        <f t="shared" si="17"/>
        <v>0</v>
      </c>
      <c r="AF63" s="1">
        <f t="shared" si="17"/>
        <v>0</v>
      </c>
      <c r="AG63" s="1">
        <f t="shared" si="17"/>
        <v>0</v>
      </c>
      <c r="AH63" s="1">
        <f t="shared" si="17"/>
        <v>0</v>
      </c>
      <c r="AI63" s="1">
        <f t="shared" si="17"/>
        <v>0</v>
      </c>
      <c r="AJ63" s="1">
        <f t="shared" si="17"/>
        <v>0</v>
      </c>
      <c r="AK63" s="1">
        <f t="shared" si="17"/>
        <v>0</v>
      </c>
    </row>
    <row r="64" spans="1:37" ht="14.1" customHeight="1" x14ac:dyDescent="0.2">
      <c r="A64" s="16">
        <v>8</v>
      </c>
      <c r="B64" s="65"/>
      <c r="C64" s="103" t="str">
        <f>ANUAL!$C148</f>
        <v>S01</v>
      </c>
      <c r="D64" s="302" t="str">
        <f>ANUAL!$D148</f>
        <v>SAÚDE – PLANO DE SAÚDE</v>
      </c>
      <c r="E64" s="302"/>
      <c r="F64" s="302"/>
      <c r="G64" s="104">
        <f t="shared" si="16"/>
        <v>0</v>
      </c>
      <c r="H64" s="62"/>
      <c r="N64" s="16">
        <v>56</v>
      </c>
      <c r="O64" s="65"/>
      <c r="P64" s="55"/>
      <c r="Q64" s="56"/>
      <c r="R64" s="57"/>
      <c r="S64" s="58"/>
      <c r="T64" s="59"/>
      <c r="U64" s="60"/>
      <c r="V64" s="62"/>
      <c r="X64" s="1">
        <f t="shared" ca="1" si="14"/>
        <v>1</v>
      </c>
      <c r="Z64" s="1">
        <f t="shared" si="17"/>
        <v>0</v>
      </c>
      <c r="AA64" s="1">
        <f t="shared" si="17"/>
        <v>0</v>
      </c>
      <c r="AB64" s="1">
        <f t="shared" si="17"/>
        <v>0</v>
      </c>
      <c r="AC64" s="1">
        <f t="shared" si="17"/>
        <v>0</v>
      </c>
      <c r="AD64" s="1">
        <f t="shared" si="17"/>
        <v>0</v>
      </c>
      <c r="AE64" s="1">
        <f t="shared" si="17"/>
        <v>0</v>
      </c>
      <c r="AF64" s="1">
        <f t="shared" si="17"/>
        <v>0</v>
      </c>
      <c r="AG64" s="1">
        <f t="shared" si="17"/>
        <v>0</v>
      </c>
      <c r="AH64" s="1">
        <f t="shared" si="17"/>
        <v>0</v>
      </c>
      <c r="AI64" s="1">
        <f t="shared" si="17"/>
        <v>0</v>
      </c>
      <c r="AJ64" s="1">
        <f t="shared" si="17"/>
        <v>0</v>
      </c>
      <c r="AK64" s="1">
        <f t="shared" si="17"/>
        <v>0</v>
      </c>
    </row>
    <row r="65" spans="1:37" ht="14.1" customHeight="1" x14ac:dyDescent="0.2">
      <c r="A65" s="12">
        <v>9</v>
      </c>
      <c r="B65" s="65"/>
      <c r="C65" s="101" t="str">
        <f>ANUAL!$C149</f>
        <v>S02</v>
      </c>
      <c r="D65" s="303" t="str">
        <f>ANUAL!$D149</f>
        <v>SAÚDE – REMÉDIOS</v>
      </c>
      <c r="E65" s="303"/>
      <c r="F65" s="303"/>
      <c r="G65" s="102">
        <f t="shared" si="16"/>
        <v>0</v>
      </c>
      <c r="H65" s="62"/>
      <c r="N65" s="12">
        <v>57</v>
      </c>
      <c r="O65" s="65"/>
      <c r="P65" s="49"/>
      <c r="Q65" s="50"/>
      <c r="R65" s="51"/>
      <c r="S65" s="52"/>
      <c r="T65" s="53"/>
      <c r="U65" s="54"/>
      <c r="V65" s="62"/>
      <c r="X65" s="1">
        <f t="shared" ca="1" si="14"/>
        <v>1</v>
      </c>
      <c r="Z65" s="1">
        <f t="shared" si="17"/>
        <v>0</v>
      </c>
      <c r="AA65" s="1">
        <f t="shared" si="17"/>
        <v>0</v>
      </c>
      <c r="AB65" s="1">
        <f t="shared" si="17"/>
        <v>0</v>
      </c>
      <c r="AC65" s="1">
        <f t="shared" si="17"/>
        <v>0</v>
      </c>
      <c r="AD65" s="1">
        <f t="shared" si="17"/>
        <v>0</v>
      </c>
      <c r="AE65" s="1">
        <f t="shared" si="17"/>
        <v>0</v>
      </c>
      <c r="AF65" s="1">
        <f t="shared" si="17"/>
        <v>0</v>
      </c>
      <c r="AG65" s="1">
        <f t="shared" si="17"/>
        <v>0</v>
      </c>
      <c r="AH65" s="1">
        <f t="shared" si="17"/>
        <v>0</v>
      </c>
      <c r="AI65" s="1">
        <f t="shared" si="17"/>
        <v>0</v>
      </c>
      <c r="AJ65" s="1">
        <f t="shared" si="17"/>
        <v>0</v>
      </c>
      <c r="AK65" s="1">
        <f t="shared" si="17"/>
        <v>0</v>
      </c>
    </row>
    <row r="66" spans="1:37" ht="14.1" customHeight="1" x14ac:dyDescent="0.2">
      <c r="A66" s="16">
        <v>10</v>
      </c>
      <c r="B66" s="65"/>
      <c r="C66" s="103" t="str">
        <f>ANUAL!$C150</f>
        <v>S03</v>
      </c>
      <c r="D66" s="302" t="str">
        <f>ANUAL!$D150</f>
        <v>SAÚDE – ACADEMIA</v>
      </c>
      <c r="E66" s="302"/>
      <c r="F66" s="302"/>
      <c r="G66" s="104">
        <f t="shared" si="16"/>
        <v>0</v>
      </c>
      <c r="H66" s="62"/>
      <c r="N66" s="16">
        <v>58</v>
      </c>
      <c r="O66" s="65"/>
      <c r="P66" s="55"/>
      <c r="Q66" s="56"/>
      <c r="R66" s="57"/>
      <c r="S66" s="58"/>
      <c r="T66" s="59"/>
      <c r="U66" s="60"/>
      <c r="V66" s="62"/>
      <c r="X66" s="1">
        <f t="shared" ca="1" si="14"/>
        <v>1</v>
      </c>
      <c r="Z66" s="1">
        <f t="shared" si="17"/>
        <v>0</v>
      </c>
      <c r="AA66" s="1">
        <f t="shared" si="17"/>
        <v>0</v>
      </c>
      <c r="AB66" s="1">
        <f t="shared" si="17"/>
        <v>0</v>
      </c>
      <c r="AC66" s="1">
        <f t="shared" si="17"/>
        <v>0</v>
      </c>
      <c r="AD66" s="1">
        <f t="shared" si="17"/>
        <v>0</v>
      </c>
      <c r="AE66" s="1">
        <f t="shared" si="17"/>
        <v>0</v>
      </c>
      <c r="AF66" s="1">
        <f t="shared" si="17"/>
        <v>0</v>
      </c>
      <c r="AG66" s="1">
        <f t="shared" si="17"/>
        <v>0</v>
      </c>
      <c r="AH66" s="1">
        <f t="shared" si="17"/>
        <v>0</v>
      </c>
      <c r="AI66" s="1">
        <f t="shared" si="17"/>
        <v>0</v>
      </c>
      <c r="AJ66" s="1">
        <f t="shared" si="17"/>
        <v>0</v>
      </c>
      <c r="AK66" s="1">
        <f t="shared" si="17"/>
        <v>0</v>
      </c>
    </row>
    <row r="67" spans="1:37" ht="14.1" customHeight="1" x14ac:dyDescent="0.2">
      <c r="A67" s="12">
        <v>11</v>
      </c>
      <c r="B67" s="65"/>
      <c r="C67" s="101" t="str">
        <f>ANUAL!$C151</f>
        <v>C01</v>
      </c>
      <c r="D67" s="303" t="str">
        <f>ANUAL!$D151</f>
        <v>COMPRAS</v>
      </c>
      <c r="E67" s="303"/>
      <c r="F67" s="303"/>
      <c r="G67" s="102">
        <f t="shared" si="16"/>
        <v>0</v>
      </c>
      <c r="H67" s="62"/>
      <c r="N67" s="12">
        <v>59</v>
      </c>
      <c r="O67" s="65"/>
      <c r="P67" s="49"/>
      <c r="Q67" s="50"/>
      <c r="R67" s="51"/>
      <c r="S67" s="52"/>
      <c r="T67" s="53"/>
      <c r="U67" s="54"/>
      <c r="V67" s="62"/>
      <c r="X67" s="1">
        <f t="shared" ca="1" si="14"/>
        <v>1</v>
      </c>
      <c r="Z67" s="1">
        <f t="shared" si="17"/>
        <v>0</v>
      </c>
      <c r="AA67" s="1">
        <f t="shared" si="17"/>
        <v>0</v>
      </c>
      <c r="AB67" s="1">
        <f t="shared" si="17"/>
        <v>0</v>
      </c>
      <c r="AC67" s="1">
        <f t="shared" si="17"/>
        <v>0</v>
      </c>
      <c r="AD67" s="1">
        <f t="shared" si="17"/>
        <v>0</v>
      </c>
      <c r="AE67" s="1">
        <f t="shared" si="17"/>
        <v>0</v>
      </c>
      <c r="AF67" s="1">
        <f t="shared" si="17"/>
        <v>0</v>
      </c>
      <c r="AG67" s="1">
        <f t="shared" si="17"/>
        <v>0</v>
      </c>
      <c r="AH67" s="1">
        <f t="shared" si="17"/>
        <v>0</v>
      </c>
      <c r="AI67" s="1">
        <f t="shared" si="17"/>
        <v>0</v>
      </c>
      <c r="AJ67" s="1">
        <f t="shared" si="17"/>
        <v>0</v>
      </c>
      <c r="AK67" s="1">
        <f t="shared" si="17"/>
        <v>0</v>
      </c>
    </row>
    <row r="68" spans="1:37" ht="14.1" customHeight="1" x14ac:dyDescent="0.2">
      <c r="A68" s="16">
        <v>12</v>
      </c>
      <c r="B68" s="65"/>
      <c r="C68" s="103" t="str">
        <f>ANUAL!$C152</f>
        <v>L01</v>
      </c>
      <c r="D68" s="302" t="str">
        <f>ANUAL!$D152</f>
        <v>LAZER</v>
      </c>
      <c r="E68" s="302"/>
      <c r="F68" s="302"/>
      <c r="G68" s="104">
        <f t="shared" si="16"/>
        <v>0</v>
      </c>
      <c r="H68" s="62"/>
      <c r="N68" s="16">
        <v>60</v>
      </c>
      <c r="O68" s="65"/>
      <c r="P68" s="55"/>
      <c r="Q68" s="56"/>
      <c r="R68" s="57"/>
      <c r="S68" s="58"/>
      <c r="T68" s="59"/>
      <c r="U68" s="60"/>
      <c r="V68" s="62"/>
      <c r="X68" s="1">
        <f t="shared" ca="1" si="14"/>
        <v>1</v>
      </c>
      <c r="Z68" s="1">
        <f t="shared" si="17"/>
        <v>0</v>
      </c>
      <c r="AA68" s="1">
        <f t="shared" si="17"/>
        <v>0</v>
      </c>
      <c r="AB68" s="1">
        <f t="shared" si="17"/>
        <v>0</v>
      </c>
      <c r="AC68" s="1">
        <f t="shared" si="17"/>
        <v>0</v>
      </c>
      <c r="AD68" s="1">
        <f t="shared" si="17"/>
        <v>0</v>
      </c>
      <c r="AE68" s="1">
        <f t="shared" si="17"/>
        <v>0</v>
      </c>
      <c r="AF68" s="1">
        <f t="shared" si="17"/>
        <v>0</v>
      </c>
      <c r="AG68" s="1">
        <f t="shared" si="17"/>
        <v>0</v>
      </c>
      <c r="AH68" s="1">
        <f t="shared" si="17"/>
        <v>0</v>
      </c>
      <c r="AI68" s="1">
        <f t="shared" si="17"/>
        <v>0</v>
      </c>
      <c r="AJ68" s="1">
        <f t="shared" si="17"/>
        <v>0</v>
      </c>
      <c r="AK68" s="1">
        <f t="shared" si="17"/>
        <v>0</v>
      </c>
    </row>
    <row r="69" spans="1:37" ht="14.1" customHeight="1" x14ac:dyDescent="0.2">
      <c r="A69" s="12">
        <v>13</v>
      </c>
      <c r="B69" s="65"/>
      <c r="C69" s="101" t="str">
        <f>ANUAL!$C153</f>
        <v>A01</v>
      </c>
      <c r="D69" s="303" t="str">
        <f>ANUAL!$D153</f>
        <v>ALIMENTAÇÃO – ALMOÇO</v>
      </c>
      <c r="E69" s="303"/>
      <c r="F69" s="303"/>
      <c r="G69" s="102">
        <f t="shared" si="16"/>
        <v>0</v>
      </c>
      <c r="H69" s="62"/>
      <c r="N69" s="12">
        <v>61</v>
      </c>
      <c r="O69" s="65"/>
      <c r="P69" s="49"/>
      <c r="Q69" s="50"/>
      <c r="R69" s="51"/>
      <c r="S69" s="52"/>
      <c r="T69" s="53"/>
      <c r="U69" s="54"/>
      <c r="V69" s="62"/>
      <c r="X69" s="1">
        <f t="shared" ca="1" si="14"/>
        <v>1</v>
      </c>
      <c r="Z69" s="1">
        <f t="shared" ref="Z69:AK78" si="18">IF(Z$8=$R69,-$T69,0)+IF(Z$8=$S69,$T69,0)</f>
        <v>0</v>
      </c>
      <c r="AA69" s="1">
        <f t="shared" si="18"/>
        <v>0</v>
      </c>
      <c r="AB69" s="1">
        <f t="shared" si="18"/>
        <v>0</v>
      </c>
      <c r="AC69" s="1">
        <f t="shared" si="18"/>
        <v>0</v>
      </c>
      <c r="AD69" s="1">
        <f t="shared" si="18"/>
        <v>0</v>
      </c>
      <c r="AE69" s="1">
        <f t="shared" si="18"/>
        <v>0</v>
      </c>
      <c r="AF69" s="1">
        <f t="shared" si="18"/>
        <v>0</v>
      </c>
      <c r="AG69" s="1">
        <f t="shared" si="18"/>
        <v>0</v>
      </c>
      <c r="AH69" s="1">
        <f t="shared" si="18"/>
        <v>0</v>
      </c>
      <c r="AI69" s="1">
        <f t="shared" si="18"/>
        <v>0</v>
      </c>
      <c r="AJ69" s="1">
        <f t="shared" si="18"/>
        <v>0</v>
      </c>
      <c r="AK69" s="1">
        <f t="shared" si="18"/>
        <v>0</v>
      </c>
    </row>
    <row r="70" spans="1:37" ht="14.1" customHeight="1" x14ac:dyDescent="0.2">
      <c r="A70" s="16">
        <v>14</v>
      </c>
      <c r="B70" s="65"/>
      <c r="C70" s="103" t="str">
        <f>ANUAL!$C154</f>
        <v>A02</v>
      </c>
      <c r="D70" s="302" t="str">
        <f>ANUAL!$D154</f>
        <v>ALIMENTAÇÃO – COMPRA MENSAL</v>
      </c>
      <c r="E70" s="302"/>
      <c r="F70" s="302"/>
      <c r="G70" s="104">
        <f t="shared" si="16"/>
        <v>0</v>
      </c>
      <c r="H70" s="62"/>
      <c r="N70" s="16">
        <v>62</v>
      </c>
      <c r="O70" s="65"/>
      <c r="P70" s="55"/>
      <c r="Q70" s="56"/>
      <c r="R70" s="57"/>
      <c r="S70" s="58"/>
      <c r="T70" s="59"/>
      <c r="U70" s="60"/>
      <c r="V70" s="62"/>
      <c r="X70" s="1">
        <f t="shared" ca="1" si="14"/>
        <v>1</v>
      </c>
      <c r="Z70" s="1">
        <f t="shared" si="18"/>
        <v>0</v>
      </c>
      <c r="AA70" s="1">
        <f t="shared" si="18"/>
        <v>0</v>
      </c>
      <c r="AB70" s="1">
        <f t="shared" si="18"/>
        <v>0</v>
      </c>
      <c r="AC70" s="1">
        <f t="shared" si="18"/>
        <v>0</v>
      </c>
      <c r="AD70" s="1">
        <f t="shared" si="18"/>
        <v>0</v>
      </c>
      <c r="AE70" s="1">
        <f t="shared" si="18"/>
        <v>0</v>
      </c>
      <c r="AF70" s="1">
        <f t="shared" si="18"/>
        <v>0</v>
      </c>
      <c r="AG70" s="1">
        <f t="shared" si="18"/>
        <v>0</v>
      </c>
      <c r="AH70" s="1">
        <f t="shared" si="18"/>
        <v>0</v>
      </c>
      <c r="AI70" s="1">
        <f t="shared" si="18"/>
        <v>0</v>
      </c>
      <c r="AJ70" s="1">
        <f t="shared" si="18"/>
        <v>0</v>
      </c>
      <c r="AK70" s="1">
        <f t="shared" si="18"/>
        <v>0</v>
      </c>
    </row>
    <row r="71" spans="1:37" ht="14.1" customHeight="1" x14ac:dyDescent="0.2">
      <c r="A71" s="12">
        <v>15</v>
      </c>
      <c r="B71" s="65"/>
      <c r="C71" s="101" t="str">
        <f>ANUAL!$C155</f>
        <v>A03</v>
      </c>
      <c r="D71" s="303" t="str">
        <f>ANUAL!$D155</f>
        <v>ALIMENTAÇÃO – FEIRAS SEMANAIS</v>
      </c>
      <c r="E71" s="303"/>
      <c r="F71" s="303"/>
      <c r="G71" s="102">
        <f t="shared" si="16"/>
        <v>0</v>
      </c>
      <c r="H71" s="62"/>
      <c r="N71" s="12">
        <v>63</v>
      </c>
      <c r="O71" s="65"/>
      <c r="P71" s="49"/>
      <c r="Q71" s="50"/>
      <c r="R71" s="51"/>
      <c r="S71" s="52"/>
      <c r="T71" s="53"/>
      <c r="U71" s="54"/>
      <c r="V71" s="62"/>
      <c r="X71" s="1">
        <f t="shared" ca="1" si="14"/>
        <v>1</v>
      </c>
      <c r="Z71" s="1">
        <f t="shared" si="18"/>
        <v>0</v>
      </c>
      <c r="AA71" s="1">
        <f t="shared" si="18"/>
        <v>0</v>
      </c>
      <c r="AB71" s="1">
        <f t="shared" si="18"/>
        <v>0</v>
      </c>
      <c r="AC71" s="1">
        <f t="shared" si="18"/>
        <v>0</v>
      </c>
      <c r="AD71" s="1">
        <f t="shared" si="18"/>
        <v>0</v>
      </c>
      <c r="AE71" s="1">
        <f t="shared" si="18"/>
        <v>0</v>
      </c>
      <c r="AF71" s="1">
        <f t="shared" si="18"/>
        <v>0</v>
      </c>
      <c r="AG71" s="1">
        <f t="shared" si="18"/>
        <v>0</v>
      </c>
      <c r="AH71" s="1">
        <f t="shared" si="18"/>
        <v>0</v>
      </c>
      <c r="AI71" s="1">
        <f t="shared" si="18"/>
        <v>0</v>
      </c>
      <c r="AJ71" s="1">
        <f t="shared" si="18"/>
        <v>0</v>
      </c>
      <c r="AK71" s="1">
        <f t="shared" si="18"/>
        <v>0</v>
      </c>
    </row>
    <row r="72" spans="1:37" ht="14.1" customHeight="1" x14ac:dyDescent="0.2">
      <c r="A72" s="16">
        <v>16</v>
      </c>
      <c r="B72" s="65"/>
      <c r="C72" s="103" t="str">
        <f>ANUAL!$C156</f>
        <v>T01</v>
      </c>
      <c r="D72" s="302" t="str">
        <f>ANUAL!$D156</f>
        <v>TELECOM – CELULAR</v>
      </c>
      <c r="E72" s="302"/>
      <c r="F72" s="302"/>
      <c r="G72" s="104">
        <f t="shared" si="16"/>
        <v>0</v>
      </c>
      <c r="H72" s="62"/>
      <c r="N72" s="16">
        <v>64</v>
      </c>
      <c r="O72" s="65"/>
      <c r="P72" s="55"/>
      <c r="Q72" s="56"/>
      <c r="R72" s="57"/>
      <c r="S72" s="58"/>
      <c r="T72" s="59"/>
      <c r="U72" s="60"/>
      <c r="V72" s="62"/>
      <c r="X72" s="1">
        <f t="shared" ca="1" si="14"/>
        <v>1</v>
      </c>
      <c r="Z72" s="1">
        <f t="shared" si="18"/>
        <v>0</v>
      </c>
      <c r="AA72" s="1">
        <f t="shared" si="18"/>
        <v>0</v>
      </c>
      <c r="AB72" s="1">
        <f t="shared" si="18"/>
        <v>0</v>
      </c>
      <c r="AC72" s="1">
        <f t="shared" si="18"/>
        <v>0</v>
      </c>
      <c r="AD72" s="1">
        <f t="shared" si="18"/>
        <v>0</v>
      </c>
      <c r="AE72" s="1">
        <f t="shared" si="18"/>
        <v>0</v>
      </c>
      <c r="AF72" s="1">
        <f t="shared" si="18"/>
        <v>0</v>
      </c>
      <c r="AG72" s="1">
        <f t="shared" si="18"/>
        <v>0</v>
      </c>
      <c r="AH72" s="1">
        <f t="shared" si="18"/>
        <v>0</v>
      </c>
      <c r="AI72" s="1">
        <f t="shared" si="18"/>
        <v>0</v>
      </c>
      <c r="AJ72" s="1">
        <f t="shared" si="18"/>
        <v>0</v>
      </c>
      <c r="AK72" s="1">
        <f t="shared" si="18"/>
        <v>0</v>
      </c>
    </row>
    <row r="73" spans="1:37" ht="14.1" customHeight="1" x14ac:dyDescent="0.2">
      <c r="A73" s="12">
        <v>17</v>
      </c>
      <c r="B73" s="65"/>
      <c r="C73" s="101" t="str">
        <f>ANUAL!$C157</f>
        <v>T02</v>
      </c>
      <c r="D73" s="303" t="str">
        <f>ANUAL!$D157</f>
        <v>TELECOM – INTERNET</v>
      </c>
      <c r="E73" s="303"/>
      <c r="F73" s="303"/>
      <c r="G73" s="102">
        <f t="shared" si="16"/>
        <v>0</v>
      </c>
      <c r="H73" s="62"/>
      <c r="N73" s="12">
        <v>65</v>
      </c>
      <c r="O73" s="65"/>
      <c r="P73" s="49"/>
      <c r="Q73" s="50"/>
      <c r="R73" s="51"/>
      <c r="S73" s="52"/>
      <c r="T73" s="53"/>
      <c r="U73" s="54"/>
      <c r="V73" s="62"/>
      <c r="X73" s="1">
        <f t="shared" ref="X73:X88" ca="1" si="19">IF(P73&lt;NOW(),1,0)</f>
        <v>1</v>
      </c>
      <c r="Z73" s="1">
        <f t="shared" si="18"/>
        <v>0</v>
      </c>
      <c r="AA73" s="1">
        <f t="shared" si="18"/>
        <v>0</v>
      </c>
      <c r="AB73" s="1">
        <f t="shared" si="18"/>
        <v>0</v>
      </c>
      <c r="AC73" s="1">
        <f t="shared" si="18"/>
        <v>0</v>
      </c>
      <c r="AD73" s="1">
        <f t="shared" si="18"/>
        <v>0</v>
      </c>
      <c r="AE73" s="1">
        <f t="shared" si="18"/>
        <v>0</v>
      </c>
      <c r="AF73" s="1">
        <f t="shared" si="18"/>
        <v>0</v>
      </c>
      <c r="AG73" s="1">
        <f t="shared" si="18"/>
        <v>0</v>
      </c>
      <c r="AH73" s="1">
        <f t="shared" si="18"/>
        <v>0</v>
      </c>
      <c r="AI73" s="1">
        <f t="shared" si="18"/>
        <v>0</v>
      </c>
      <c r="AJ73" s="1">
        <f t="shared" si="18"/>
        <v>0</v>
      </c>
      <c r="AK73" s="1">
        <f t="shared" si="18"/>
        <v>0</v>
      </c>
    </row>
    <row r="74" spans="1:37" ht="14.1" customHeight="1" x14ac:dyDescent="0.2">
      <c r="A74" s="16">
        <v>18</v>
      </c>
      <c r="B74" s="65"/>
      <c r="C74" s="103" t="str">
        <f>ANUAL!$C158</f>
        <v>T03</v>
      </c>
      <c r="D74" s="302" t="str">
        <f>ANUAL!$D158</f>
        <v>TELECOM – FIXO</v>
      </c>
      <c r="E74" s="302"/>
      <c r="F74" s="302"/>
      <c r="G74" s="104">
        <f t="shared" si="16"/>
        <v>0</v>
      </c>
      <c r="H74" s="62"/>
      <c r="N74" s="16">
        <v>66</v>
      </c>
      <c r="O74" s="65"/>
      <c r="P74" s="55"/>
      <c r="Q74" s="56"/>
      <c r="R74" s="57"/>
      <c r="S74" s="58"/>
      <c r="T74" s="59"/>
      <c r="U74" s="60"/>
      <c r="V74" s="62"/>
      <c r="X74" s="1">
        <f t="shared" ca="1" si="19"/>
        <v>1</v>
      </c>
      <c r="Z74" s="1">
        <f t="shared" si="18"/>
        <v>0</v>
      </c>
      <c r="AA74" s="1">
        <f t="shared" si="18"/>
        <v>0</v>
      </c>
      <c r="AB74" s="1">
        <f t="shared" si="18"/>
        <v>0</v>
      </c>
      <c r="AC74" s="1">
        <f t="shared" si="18"/>
        <v>0</v>
      </c>
      <c r="AD74" s="1">
        <f t="shared" si="18"/>
        <v>0</v>
      </c>
      <c r="AE74" s="1">
        <f t="shared" si="18"/>
        <v>0</v>
      </c>
      <c r="AF74" s="1">
        <f t="shared" si="18"/>
        <v>0</v>
      </c>
      <c r="AG74" s="1">
        <f t="shared" si="18"/>
        <v>0</v>
      </c>
      <c r="AH74" s="1">
        <f t="shared" si="18"/>
        <v>0</v>
      </c>
      <c r="AI74" s="1">
        <f t="shared" si="18"/>
        <v>0</v>
      </c>
      <c r="AJ74" s="1">
        <f t="shared" si="18"/>
        <v>0</v>
      </c>
      <c r="AK74" s="1">
        <f t="shared" si="18"/>
        <v>0</v>
      </c>
    </row>
    <row r="75" spans="1:37" ht="14.1" customHeight="1" x14ac:dyDescent="0.2">
      <c r="A75" s="12">
        <v>19</v>
      </c>
      <c r="B75" s="65"/>
      <c r="C75" s="101" t="str">
        <f>ANUAL!$C159</f>
        <v>R01</v>
      </c>
      <c r="D75" s="303" t="str">
        <f>ANUAL!$D159</f>
        <v>CARRO – SEGURO</v>
      </c>
      <c r="E75" s="303"/>
      <c r="F75" s="303"/>
      <c r="G75" s="102">
        <f t="shared" si="16"/>
        <v>0</v>
      </c>
      <c r="H75" s="62"/>
      <c r="N75" s="12">
        <v>67</v>
      </c>
      <c r="O75" s="65"/>
      <c r="P75" s="49"/>
      <c r="Q75" s="50"/>
      <c r="R75" s="51"/>
      <c r="S75" s="52"/>
      <c r="T75" s="53"/>
      <c r="U75" s="54"/>
      <c r="V75" s="62"/>
      <c r="X75" s="1">
        <f t="shared" ca="1" si="19"/>
        <v>1</v>
      </c>
      <c r="Z75" s="1">
        <f t="shared" si="18"/>
        <v>0</v>
      </c>
      <c r="AA75" s="1">
        <f t="shared" si="18"/>
        <v>0</v>
      </c>
      <c r="AB75" s="1">
        <f t="shared" si="18"/>
        <v>0</v>
      </c>
      <c r="AC75" s="1">
        <f t="shared" si="18"/>
        <v>0</v>
      </c>
      <c r="AD75" s="1">
        <f t="shared" si="18"/>
        <v>0</v>
      </c>
      <c r="AE75" s="1">
        <f t="shared" si="18"/>
        <v>0</v>
      </c>
      <c r="AF75" s="1">
        <f t="shared" si="18"/>
        <v>0</v>
      </c>
      <c r="AG75" s="1">
        <f t="shared" si="18"/>
        <v>0</v>
      </c>
      <c r="AH75" s="1">
        <f t="shared" si="18"/>
        <v>0</v>
      </c>
      <c r="AI75" s="1">
        <f t="shared" si="18"/>
        <v>0</v>
      </c>
      <c r="AJ75" s="1">
        <f t="shared" si="18"/>
        <v>0</v>
      </c>
      <c r="AK75" s="1">
        <f t="shared" si="18"/>
        <v>0</v>
      </c>
    </row>
    <row r="76" spans="1:37" ht="14.1" customHeight="1" x14ac:dyDescent="0.2">
      <c r="A76" s="16">
        <v>20</v>
      </c>
      <c r="B76" s="65"/>
      <c r="C76" s="103" t="str">
        <f>ANUAL!$C160</f>
        <v>R02</v>
      </c>
      <c r="D76" s="302" t="str">
        <f>ANUAL!$D160</f>
        <v>CARRO – COMBUSTÍVEL</v>
      </c>
      <c r="E76" s="302"/>
      <c r="F76" s="302"/>
      <c r="G76" s="104">
        <f t="shared" si="16"/>
        <v>0</v>
      </c>
      <c r="H76" s="62"/>
      <c r="N76" s="16">
        <v>68</v>
      </c>
      <c r="O76" s="65"/>
      <c r="P76" s="55"/>
      <c r="Q76" s="56"/>
      <c r="R76" s="57"/>
      <c r="S76" s="58"/>
      <c r="T76" s="59"/>
      <c r="U76" s="60"/>
      <c r="V76" s="62"/>
      <c r="X76" s="1">
        <f t="shared" ca="1" si="19"/>
        <v>1</v>
      </c>
      <c r="Z76" s="1">
        <f t="shared" si="18"/>
        <v>0</v>
      </c>
      <c r="AA76" s="1">
        <f t="shared" si="18"/>
        <v>0</v>
      </c>
      <c r="AB76" s="1">
        <f t="shared" si="18"/>
        <v>0</v>
      </c>
      <c r="AC76" s="1">
        <f t="shared" si="18"/>
        <v>0</v>
      </c>
      <c r="AD76" s="1">
        <f t="shared" si="18"/>
        <v>0</v>
      </c>
      <c r="AE76" s="1">
        <f t="shared" si="18"/>
        <v>0</v>
      </c>
      <c r="AF76" s="1">
        <f t="shared" si="18"/>
        <v>0</v>
      </c>
      <c r="AG76" s="1">
        <f t="shared" si="18"/>
        <v>0</v>
      </c>
      <c r="AH76" s="1">
        <f t="shared" si="18"/>
        <v>0</v>
      </c>
      <c r="AI76" s="1">
        <f t="shared" si="18"/>
        <v>0</v>
      </c>
      <c r="AJ76" s="1">
        <f t="shared" si="18"/>
        <v>0</v>
      </c>
      <c r="AK76" s="1">
        <f t="shared" si="18"/>
        <v>0</v>
      </c>
    </row>
    <row r="77" spans="1:37" ht="14.1" customHeight="1" x14ac:dyDescent="0.2">
      <c r="A77" s="12">
        <v>21</v>
      </c>
      <c r="B77" s="65"/>
      <c r="C77" s="101" t="str">
        <f>ANUAL!$C161</f>
        <v>R03</v>
      </c>
      <c r="D77" s="303" t="str">
        <f>ANUAL!$D161</f>
        <v>CARRO – CONSERTOS</v>
      </c>
      <c r="E77" s="303"/>
      <c r="F77" s="303"/>
      <c r="G77" s="102">
        <f t="shared" si="16"/>
        <v>0</v>
      </c>
      <c r="H77" s="62"/>
      <c r="N77" s="12">
        <v>69</v>
      </c>
      <c r="O77" s="65"/>
      <c r="P77" s="49"/>
      <c r="Q77" s="50"/>
      <c r="R77" s="51"/>
      <c r="S77" s="52"/>
      <c r="T77" s="53"/>
      <c r="U77" s="54"/>
      <c r="V77" s="62"/>
      <c r="X77" s="1">
        <f t="shared" ca="1" si="19"/>
        <v>1</v>
      </c>
      <c r="Z77" s="1">
        <f t="shared" si="18"/>
        <v>0</v>
      </c>
      <c r="AA77" s="1">
        <f t="shared" si="18"/>
        <v>0</v>
      </c>
      <c r="AB77" s="1">
        <f t="shared" si="18"/>
        <v>0</v>
      </c>
      <c r="AC77" s="1">
        <f t="shared" si="18"/>
        <v>0</v>
      </c>
      <c r="AD77" s="1">
        <f t="shared" si="18"/>
        <v>0</v>
      </c>
      <c r="AE77" s="1">
        <f t="shared" si="18"/>
        <v>0</v>
      </c>
      <c r="AF77" s="1">
        <f t="shared" si="18"/>
        <v>0</v>
      </c>
      <c r="AG77" s="1">
        <f t="shared" si="18"/>
        <v>0</v>
      </c>
      <c r="AH77" s="1">
        <f t="shared" si="18"/>
        <v>0</v>
      </c>
      <c r="AI77" s="1">
        <f t="shared" si="18"/>
        <v>0</v>
      </c>
      <c r="AJ77" s="1">
        <f t="shared" si="18"/>
        <v>0</v>
      </c>
      <c r="AK77" s="1">
        <f t="shared" si="18"/>
        <v>0</v>
      </c>
    </row>
    <row r="78" spans="1:37" ht="14.1" customHeight="1" x14ac:dyDescent="0.2">
      <c r="A78" s="16">
        <v>22</v>
      </c>
      <c r="B78" s="65"/>
      <c r="C78" s="103" t="str">
        <f>ANUAL!$C162</f>
        <v>R04</v>
      </c>
      <c r="D78" s="302" t="str">
        <f>ANUAL!$D162</f>
        <v>CARRO – PRESTAÇOES</v>
      </c>
      <c r="E78" s="302"/>
      <c r="F78" s="302"/>
      <c r="G78" s="104">
        <f t="shared" si="16"/>
        <v>0</v>
      </c>
      <c r="H78" s="62"/>
      <c r="N78" s="16">
        <v>70</v>
      </c>
      <c r="O78" s="65"/>
      <c r="P78" s="55"/>
      <c r="Q78" s="56"/>
      <c r="R78" s="57"/>
      <c r="S78" s="58"/>
      <c r="T78" s="59"/>
      <c r="U78" s="60"/>
      <c r="V78" s="62"/>
      <c r="X78" s="1">
        <f t="shared" ca="1" si="19"/>
        <v>1</v>
      </c>
      <c r="Z78" s="1">
        <f t="shared" si="18"/>
        <v>0</v>
      </c>
      <c r="AA78" s="1">
        <f t="shared" si="18"/>
        <v>0</v>
      </c>
      <c r="AB78" s="1">
        <f t="shared" si="18"/>
        <v>0</v>
      </c>
      <c r="AC78" s="1">
        <f t="shared" si="18"/>
        <v>0</v>
      </c>
      <c r="AD78" s="1">
        <f t="shared" si="18"/>
        <v>0</v>
      </c>
      <c r="AE78" s="1">
        <f t="shared" si="18"/>
        <v>0</v>
      </c>
      <c r="AF78" s="1">
        <f t="shared" si="18"/>
        <v>0</v>
      </c>
      <c r="AG78" s="1">
        <f t="shared" si="18"/>
        <v>0</v>
      </c>
      <c r="AH78" s="1">
        <f t="shared" si="18"/>
        <v>0</v>
      </c>
      <c r="AI78" s="1">
        <f t="shared" si="18"/>
        <v>0</v>
      </c>
      <c r="AJ78" s="1">
        <f t="shared" si="18"/>
        <v>0</v>
      </c>
      <c r="AK78" s="1">
        <f t="shared" si="18"/>
        <v>0</v>
      </c>
    </row>
    <row r="79" spans="1:37" ht="14.1" customHeight="1" x14ac:dyDescent="0.2">
      <c r="A79" s="12">
        <v>23</v>
      </c>
      <c r="B79" s="65"/>
      <c r="C79" s="101" t="str">
        <f>ANUAL!$C163</f>
        <v>B01</v>
      </c>
      <c r="D79" s="303" t="str">
        <f>ANUAL!$D163</f>
        <v>BANCO – TAXAS, JUROS ETC.</v>
      </c>
      <c r="E79" s="303"/>
      <c r="F79" s="303"/>
      <c r="G79" s="102">
        <f t="shared" si="16"/>
        <v>0</v>
      </c>
      <c r="H79" s="62"/>
      <c r="N79" s="12">
        <v>71</v>
      </c>
      <c r="O79" s="65"/>
      <c r="P79" s="49"/>
      <c r="Q79" s="50"/>
      <c r="R79" s="51"/>
      <c r="S79" s="52"/>
      <c r="T79" s="53"/>
      <c r="U79" s="54"/>
      <c r="V79" s="62"/>
      <c r="X79" s="1">
        <f t="shared" ca="1" si="19"/>
        <v>1</v>
      </c>
      <c r="Z79" s="1">
        <f t="shared" ref="Z79:AK88" si="20">IF(Z$8=$R79,-$T79,0)+IF(Z$8=$S79,$T79,0)</f>
        <v>0</v>
      </c>
      <c r="AA79" s="1">
        <f t="shared" si="20"/>
        <v>0</v>
      </c>
      <c r="AB79" s="1">
        <f t="shared" si="20"/>
        <v>0</v>
      </c>
      <c r="AC79" s="1">
        <f t="shared" si="20"/>
        <v>0</v>
      </c>
      <c r="AD79" s="1">
        <f t="shared" si="20"/>
        <v>0</v>
      </c>
      <c r="AE79" s="1">
        <f t="shared" si="20"/>
        <v>0</v>
      </c>
      <c r="AF79" s="1">
        <f t="shared" si="20"/>
        <v>0</v>
      </c>
      <c r="AG79" s="1">
        <f t="shared" si="20"/>
        <v>0</v>
      </c>
      <c r="AH79" s="1">
        <f t="shared" si="20"/>
        <v>0</v>
      </c>
      <c r="AI79" s="1">
        <f t="shared" si="20"/>
        <v>0</v>
      </c>
      <c r="AJ79" s="1">
        <f t="shared" si="20"/>
        <v>0</v>
      </c>
      <c r="AK79" s="1">
        <f t="shared" si="20"/>
        <v>0</v>
      </c>
    </row>
    <row r="80" spans="1:37" ht="14.1" customHeight="1" x14ac:dyDescent="0.2">
      <c r="A80" s="16">
        <v>24</v>
      </c>
      <c r="B80" s="65"/>
      <c r="C80" s="103" t="str">
        <f>ANUAL!$C164</f>
        <v>E01</v>
      </c>
      <c r="D80" s="302" t="str">
        <f>ANUAL!$D164</f>
        <v>EDUCAÇÃO / TREINAMENTO</v>
      </c>
      <c r="E80" s="302"/>
      <c r="F80" s="302"/>
      <c r="G80" s="104">
        <f t="shared" si="16"/>
        <v>0</v>
      </c>
      <c r="H80" s="62"/>
      <c r="N80" s="16">
        <v>72</v>
      </c>
      <c r="O80" s="65"/>
      <c r="P80" s="55"/>
      <c r="Q80" s="56"/>
      <c r="R80" s="57"/>
      <c r="S80" s="58"/>
      <c r="T80" s="59"/>
      <c r="U80" s="60"/>
      <c r="V80" s="62"/>
      <c r="X80" s="1">
        <f t="shared" ca="1" si="19"/>
        <v>1</v>
      </c>
      <c r="Z80" s="1">
        <f t="shared" si="20"/>
        <v>0</v>
      </c>
      <c r="AA80" s="1">
        <f t="shared" si="20"/>
        <v>0</v>
      </c>
      <c r="AB80" s="1">
        <f t="shared" si="20"/>
        <v>0</v>
      </c>
      <c r="AC80" s="1">
        <f t="shared" si="20"/>
        <v>0</v>
      </c>
      <c r="AD80" s="1">
        <f t="shared" si="20"/>
        <v>0</v>
      </c>
      <c r="AE80" s="1">
        <f t="shared" si="20"/>
        <v>0</v>
      </c>
      <c r="AF80" s="1">
        <f t="shared" si="20"/>
        <v>0</v>
      </c>
      <c r="AG80" s="1">
        <f t="shared" si="20"/>
        <v>0</v>
      </c>
      <c r="AH80" s="1">
        <f t="shared" si="20"/>
        <v>0</v>
      </c>
      <c r="AI80" s="1">
        <f t="shared" si="20"/>
        <v>0</v>
      </c>
      <c r="AJ80" s="1">
        <f t="shared" si="20"/>
        <v>0</v>
      </c>
      <c r="AK80" s="1">
        <f t="shared" si="20"/>
        <v>0</v>
      </c>
    </row>
    <row r="81" spans="1:37" ht="14.1" customHeight="1" x14ac:dyDescent="0.2">
      <c r="A81" s="12">
        <v>25</v>
      </c>
      <c r="B81" s="65"/>
      <c r="C81" s="101" t="str">
        <f>ANUAL!$C165</f>
        <v>V01</v>
      </c>
      <c r="D81" s="303" t="str">
        <f>ANUAL!$D165</f>
        <v>VIAGEM</v>
      </c>
      <c r="E81" s="303"/>
      <c r="F81" s="303"/>
      <c r="G81" s="102">
        <f t="shared" si="16"/>
        <v>0</v>
      </c>
      <c r="H81" s="62"/>
      <c r="N81" s="12">
        <v>73</v>
      </c>
      <c r="O81" s="65"/>
      <c r="P81" s="49"/>
      <c r="Q81" s="50"/>
      <c r="R81" s="51"/>
      <c r="S81" s="52"/>
      <c r="T81" s="53"/>
      <c r="U81" s="54"/>
      <c r="V81" s="62"/>
      <c r="X81" s="1">
        <f t="shared" ca="1" si="19"/>
        <v>1</v>
      </c>
      <c r="Z81" s="1">
        <f t="shared" si="20"/>
        <v>0</v>
      </c>
      <c r="AA81" s="1">
        <f t="shared" si="20"/>
        <v>0</v>
      </c>
      <c r="AB81" s="1">
        <f t="shared" si="20"/>
        <v>0</v>
      </c>
      <c r="AC81" s="1">
        <f t="shared" si="20"/>
        <v>0</v>
      </c>
      <c r="AD81" s="1">
        <f t="shared" si="20"/>
        <v>0</v>
      </c>
      <c r="AE81" s="1">
        <f t="shared" si="20"/>
        <v>0</v>
      </c>
      <c r="AF81" s="1">
        <f t="shared" si="20"/>
        <v>0</v>
      </c>
      <c r="AG81" s="1">
        <f t="shared" si="20"/>
        <v>0</v>
      </c>
      <c r="AH81" s="1">
        <f t="shared" si="20"/>
        <v>0</v>
      </c>
      <c r="AI81" s="1">
        <f t="shared" si="20"/>
        <v>0</v>
      </c>
      <c r="AJ81" s="1">
        <f t="shared" si="20"/>
        <v>0</v>
      </c>
      <c r="AK81" s="1">
        <f t="shared" si="20"/>
        <v>0</v>
      </c>
    </row>
    <row r="82" spans="1:37" ht="14.1" customHeight="1" x14ac:dyDescent="0.2">
      <c r="A82" s="16">
        <v>26</v>
      </c>
      <c r="B82" s="65"/>
      <c r="C82" s="103" t="str">
        <f>ANUAL!$C166</f>
        <v>P01</v>
      </c>
      <c r="D82" s="302" t="str">
        <f>ANUAL!$D166</f>
        <v>PESSOAL – DÍZIMO</v>
      </c>
      <c r="E82" s="302"/>
      <c r="F82" s="302"/>
      <c r="G82" s="104">
        <f t="shared" si="16"/>
        <v>0</v>
      </c>
      <c r="H82" s="62"/>
      <c r="I82" s="3"/>
      <c r="J82" s="3"/>
      <c r="K82" s="3"/>
      <c r="L82" s="3"/>
      <c r="M82" s="3"/>
      <c r="N82" s="16">
        <v>74</v>
      </c>
      <c r="O82" s="65"/>
      <c r="P82" s="55"/>
      <c r="Q82" s="56"/>
      <c r="R82" s="57"/>
      <c r="S82" s="58"/>
      <c r="T82" s="59"/>
      <c r="U82" s="60"/>
      <c r="V82" s="62"/>
      <c r="X82" s="1">
        <f t="shared" ca="1" si="19"/>
        <v>1</v>
      </c>
      <c r="Z82" s="1">
        <f t="shared" si="20"/>
        <v>0</v>
      </c>
      <c r="AA82" s="1">
        <f t="shared" si="20"/>
        <v>0</v>
      </c>
      <c r="AB82" s="1">
        <f t="shared" si="20"/>
        <v>0</v>
      </c>
      <c r="AC82" s="1">
        <f t="shared" si="20"/>
        <v>0</v>
      </c>
      <c r="AD82" s="1">
        <f t="shared" si="20"/>
        <v>0</v>
      </c>
      <c r="AE82" s="1">
        <f t="shared" si="20"/>
        <v>0</v>
      </c>
      <c r="AF82" s="1">
        <f t="shared" si="20"/>
        <v>0</v>
      </c>
      <c r="AG82" s="1">
        <f t="shared" si="20"/>
        <v>0</v>
      </c>
      <c r="AH82" s="1">
        <f t="shared" si="20"/>
        <v>0</v>
      </c>
      <c r="AI82" s="1">
        <f t="shared" si="20"/>
        <v>0</v>
      </c>
      <c r="AJ82" s="1">
        <f t="shared" si="20"/>
        <v>0</v>
      </c>
      <c r="AK82" s="1">
        <f t="shared" si="20"/>
        <v>0</v>
      </c>
    </row>
    <row r="83" spans="1:37" ht="14.1" customHeight="1" x14ac:dyDescent="0.2">
      <c r="A83" s="12">
        <v>27</v>
      </c>
      <c r="B83" s="65"/>
      <c r="C83" s="101" t="str">
        <f>ANUAL!$C167</f>
        <v>---</v>
      </c>
      <c r="D83" s="303" t="str">
        <f>ANUAL!$D167</f>
        <v>---</v>
      </c>
      <c r="E83" s="303"/>
      <c r="F83" s="303"/>
      <c r="G83" s="102">
        <f t="shared" si="16"/>
        <v>0</v>
      </c>
      <c r="H83" s="62"/>
      <c r="I83" s="3"/>
      <c r="J83" s="3"/>
      <c r="K83" s="3"/>
      <c r="L83" s="3"/>
      <c r="M83" s="3"/>
      <c r="N83" s="12">
        <v>75</v>
      </c>
      <c r="O83" s="65"/>
      <c r="P83" s="49"/>
      <c r="Q83" s="50"/>
      <c r="R83" s="51"/>
      <c r="S83" s="52"/>
      <c r="T83" s="53"/>
      <c r="U83" s="54"/>
      <c r="V83" s="62"/>
      <c r="X83" s="1">
        <f t="shared" ca="1" si="19"/>
        <v>1</v>
      </c>
      <c r="Z83" s="1">
        <f t="shared" si="20"/>
        <v>0</v>
      </c>
      <c r="AA83" s="1">
        <f t="shared" si="20"/>
        <v>0</v>
      </c>
      <c r="AB83" s="1">
        <f t="shared" si="20"/>
        <v>0</v>
      </c>
      <c r="AC83" s="1">
        <f t="shared" si="20"/>
        <v>0</v>
      </c>
      <c r="AD83" s="1">
        <f t="shared" si="20"/>
        <v>0</v>
      </c>
      <c r="AE83" s="1">
        <f t="shared" si="20"/>
        <v>0</v>
      </c>
      <c r="AF83" s="1">
        <f t="shared" si="20"/>
        <v>0</v>
      </c>
      <c r="AG83" s="1">
        <f t="shared" si="20"/>
        <v>0</v>
      </c>
      <c r="AH83" s="1">
        <f t="shared" si="20"/>
        <v>0</v>
      </c>
      <c r="AI83" s="1">
        <f t="shared" si="20"/>
        <v>0</v>
      </c>
      <c r="AJ83" s="1">
        <f t="shared" si="20"/>
        <v>0</v>
      </c>
      <c r="AK83" s="1">
        <f t="shared" si="20"/>
        <v>0</v>
      </c>
    </row>
    <row r="84" spans="1:37" ht="14.1" customHeight="1" x14ac:dyDescent="0.2">
      <c r="A84" s="16">
        <v>28</v>
      </c>
      <c r="B84" s="65"/>
      <c r="C84" s="103" t="str">
        <f>ANUAL!$C168</f>
        <v>---</v>
      </c>
      <c r="D84" s="302" t="str">
        <f>ANUAL!$D168</f>
        <v>---</v>
      </c>
      <c r="E84" s="302"/>
      <c r="F84" s="302"/>
      <c r="G84" s="104">
        <f t="shared" si="16"/>
        <v>0</v>
      </c>
      <c r="H84" s="62"/>
      <c r="I84" s="3"/>
      <c r="J84" s="3"/>
      <c r="K84" s="3"/>
      <c r="L84" s="3"/>
      <c r="M84" s="3"/>
      <c r="N84" s="16">
        <v>76</v>
      </c>
      <c r="O84" s="65"/>
      <c r="P84" s="55"/>
      <c r="Q84" s="56"/>
      <c r="R84" s="57"/>
      <c r="S84" s="58"/>
      <c r="T84" s="59"/>
      <c r="U84" s="60"/>
      <c r="V84" s="62"/>
      <c r="X84" s="1">
        <f t="shared" ca="1" si="19"/>
        <v>1</v>
      </c>
      <c r="Z84" s="1">
        <f t="shared" si="20"/>
        <v>0</v>
      </c>
      <c r="AA84" s="1">
        <f t="shared" si="20"/>
        <v>0</v>
      </c>
      <c r="AB84" s="1">
        <f t="shared" si="20"/>
        <v>0</v>
      </c>
      <c r="AC84" s="1">
        <f t="shared" si="20"/>
        <v>0</v>
      </c>
      <c r="AD84" s="1">
        <f t="shared" si="20"/>
        <v>0</v>
      </c>
      <c r="AE84" s="1">
        <f t="shared" si="20"/>
        <v>0</v>
      </c>
      <c r="AF84" s="1">
        <f t="shared" si="20"/>
        <v>0</v>
      </c>
      <c r="AG84" s="1">
        <f t="shared" si="20"/>
        <v>0</v>
      </c>
      <c r="AH84" s="1">
        <f t="shared" si="20"/>
        <v>0</v>
      </c>
      <c r="AI84" s="1">
        <f t="shared" si="20"/>
        <v>0</v>
      </c>
      <c r="AJ84" s="1">
        <f t="shared" si="20"/>
        <v>0</v>
      </c>
      <c r="AK84" s="1">
        <f t="shared" si="20"/>
        <v>0</v>
      </c>
    </row>
    <row r="85" spans="1:37" ht="14.1" customHeight="1" x14ac:dyDescent="0.2">
      <c r="A85" s="12">
        <v>29</v>
      </c>
      <c r="B85" s="65"/>
      <c r="C85" s="101" t="str">
        <f>ANUAL!$C169</f>
        <v>---</v>
      </c>
      <c r="D85" s="303" t="str">
        <f>ANUAL!$D169</f>
        <v>---</v>
      </c>
      <c r="E85" s="303"/>
      <c r="F85" s="303"/>
      <c r="G85" s="102">
        <f t="shared" si="16"/>
        <v>0</v>
      </c>
      <c r="H85" s="62"/>
      <c r="I85" s="3"/>
      <c r="J85" s="3"/>
      <c r="K85" s="3"/>
      <c r="L85" s="3"/>
      <c r="M85" s="3"/>
      <c r="N85" s="12">
        <v>77</v>
      </c>
      <c r="O85" s="65"/>
      <c r="P85" s="49"/>
      <c r="Q85" s="50"/>
      <c r="R85" s="51"/>
      <c r="S85" s="52"/>
      <c r="T85" s="53"/>
      <c r="U85" s="54"/>
      <c r="V85" s="62"/>
      <c r="X85" s="1">
        <f t="shared" ca="1" si="19"/>
        <v>1</v>
      </c>
      <c r="Z85" s="1">
        <f t="shared" si="20"/>
        <v>0</v>
      </c>
      <c r="AA85" s="1">
        <f t="shared" si="20"/>
        <v>0</v>
      </c>
      <c r="AB85" s="1">
        <f t="shared" si="20"/>
        <v>0</v>
      </c>
      <c r="AC85" s="1">
        <f t="shared" si="20"/>
        <v>0</v>
      </c>
      <c r="AD85" s="1">
        <f t="shared" si="20"/>
        <v>0</v>
      </c>
      <c r="AE85" s="1">
        <f t="shared" si="20"/>
        <v>0</v>
      </c>
      <c r="AF85" s="1">
        <f t="shared" si="20"/>
        <v>0</v>
      </c>
      <c r="AG85" s="1">
        <f t="shared" si="20"/>
        <v>0</v>
      </c>
      <c r="AH85" s="1">
        <f t="shared" si="20"/>
        <v>0</v>
      </c>
      <c r="AI85" s="1">
        <f t="shared" si="20"/>
        <v>0</v>
      </c>
      <c r="AJ85" s="1">
        <f t="shared" si="20"/>
        <v>0</v>
      </c>
      <c r="AK85" s="1">
        <f t="shared" si="20"/>
        <v>0</v>
      </c>
    </row>
    <row r="86" spans="1:37" ht="14.1" customHeight="1" x14ac:dyDescent="0.2">
      <c r="A86" s="16">
        <v>30</v>
      </c>
      <c r="B86" s="65"/>
      <c r="C86" s="103" t="str">
        <f>ANUAL!$C170</f>
        <v>---</v>
      </c>
      <c r="D86" s="302" t="str">
        <f>ANUAL!$D170</f>
        <v>---</v>
      </c>
      <c r="E86" s="302"/>
      <c r="F86" s="302"/>
      <c r="G86" s="104">
        <f t="shared" si="16"/>
        <v>0</v>
      </c>
      <c r="H86" s="62"/>
      <c r="I86" s="3"/>
      <c r="J86" s="3"/>
      <c r="K86" s="3"/>
      <c r="L86" s="3"/>
      <c r="M86" s="3"/>
      <c r="N86" s="16">
        <v>78</v>
      </c>
      <c r="O86" s="65"/>
      <c r="P86" s="55"/>
      <c r="Q86" s="56"/>
      <c r="R86" s="57"/>
      <c r="S86" s="58"/>
      <c r="T86" s="59"/>
      <c r="U86" s="60"/>
      <c r="V86" s="62"/>
      <c r="X86" s="1">
        <f t="shared" ca="1" si="19"/>
        <v>1</v>
      </c>
      <c r="Z86" s="1">
        <f t="shared" si="20"/>
        <v>0</v>
      </c>
      <c r="AA86" s="1">
        <f t="shared" si="20"/>
        <v>0</v>
      </c>
      <c r="AB86" s="1">
        <f t="shared" si="20"/>
        <v>0</v>
      </c>
      <c r="AC86" s="1">
        <f t="shared" si="20"/>
        <v>0</v>
      </c>
      <c r="AD86" s="1">
        <f t="shared" si="20"/>
        <v>0</v>
      </c>
      <c r="AE86" s="1">
        <f t="shared" si="20"/>
        <v>0</v>
      </c>
      <c r="AF86" s="1">
        <f t="shared" si="20"/>
        <v>0</v>
      </c>
      <c r="AG86" s="1">
        <f t="shared" si="20"/>
        <v>0</v>
      </c>
      <c r="AH86" s="1">
        <f t="shared" si="20"/>
        <v>0</v>
      </c>
      <c r="AI86" s="1">
        <f t="shared" si="20"/>
        <v>0</v>
      </c>
      <c r="AJ86" s="1">
        <f t="shared" si="20"/>
        <v>0</v>
      </c>
      <c r="AK86" s="1">
        <f t="shared" si="20"/>
        <v>0</v>
      </c>
    </row>
    <row r="87" spans="1:37" ht="14.1" customHeight="1" x14ac:dyDescent="0.2">
      <c r="A87" s="12">
        <v>31</v>
      </c>
      <c r="B87" s="65"/>
      <c r="C87" s="101" t="str">
        <f>ANUAL!$C171</f>
        <v>---</v>
      </c>
      <c r="D87" s="303" t="str">
        <f>ANUAL!$D171</f>
        <v>---</v>
      </c>
      <c r="E87" s="303"/>
      <c r="F87" s="303"/>
      <c r="G87" s="102">
        <f t="shared" si="16"/>
        <v>0</v>
      </c>
      <c r="H87" s="62"/>
      <c r="I87" s="3"/>
      <c r="J87" s="3"/>
      <c r="K87" s="3"/>
      <c r="L87" s="3"/>
      <c r="M87" s="3"/>
      <c r="N87" s="12">
        <v>79</v>
      </c>
      <c r="O87" s="65"/>
      <c r="P87" s="49"/>
      <c r="Q87" s="50"/>
      <c r="R87" s="51"/>
      <c r="S87" s="52"/>
      <c r="T87" s="53"/>
      <c r="U87" s="54"/>
      <c r="V87" s="62"/>
      <c r="X87" s="1">
        <f t="shared" ca="1" si="19"/>
        <v>1</v>
      </c>
      <c r="Z87" s="1">
        <f t="shared" si="20"/>
        <v>0</v>
      </c>
      <c r="AA87" s="1">
        <f t="shared" si="20"/>
        <v>0</v>
      </c>
      <c r="AB87" s="1">
        <f t="shared" si="20"/>
        <v>0</v>
      </c>
      <c r="AC87" s="1">
        <f t="shared" si="20"/>
        <v>0</v>
      </c>
      <c r="AD87" s="1">
        <f t="shared" si="20"/>
        <v>0</v>
      </c>
      <c r="AE87" s="1">
        <f t="shared" si="20"/>
        <v>0</v>
      </c>
      <c r="AF87" s="1">
        <f t="shared" si="20"/>
        <v>0</v>
      </c>
      <c r="AG87" s="1">
        <f t="shared" si="20"/>
        <v>0</v>
      </c>
      <c r="AH87" s="1">
        <f t="shared" si="20"/>
        <v>0</v>
      </c>
      <c r="AI87" s="1">
        <f t="shared" si="20"/>
        <v>0</v>
      </c>
      <c r="AJ87" s="1">
        <f t="shared" si="20"/>
        <v>0</v>
      </c>
      <c r="AK87" s="1">
        <f t="shared" si="20"/>
        <v>0</v>
      </c>
    </row>
    <row r="88" spans="1:37" ht="14.1" customHeight="1" x14ac:dyDescent="0.2">
      <c r="A88" s="16">
        <v>32</v>
      </c>
      <c r="B88" s="66"/>
      <c r="C88" s="103" t="str">
        <f>ANUAL!$C172</f>
        <v>---</v>
      </c>
      <c r="D88" s="302" t="str">
        <f>ANUAL!$D172</f>
        <v>---</v>
      </c>
      <c r="E88" s="302"/>
      <c r="F88" s="302"/>
      <c r="G88" s="104">
        <f t="shared" si="16"/>
        <v>0</v>
      </c>
      <c r="H88" s="63"/>
      <c r="I88" s="3"/>
      <c r="J88" s="3"/>
      <c r="K88" s="3"/>
      <c r="L88" s="3"/>
      <c r="M88" s="3"/>
      <c r="N88" s="16">
        <v>80</v>
      </c>
      <c r="O88" s="66"/>
      <c r="P88" s="55"/>
      <c r="Q88" s="56"/>
      <c r="R88" s="57"/>
      <c r="S88" s="58"/>
      <c r="T88" s="59"/>
      <c r="U88" s="60"/>
      <c r="V88" s="63"/>
      <c r="X88" s="1">
        <f t="shared" ca="1" si="19"/>
        <v>1</v>
      </c>
      <c r="Z88" s="1">
        <f t="shared" si="20"/>
        <v>0</v>
      </c>
      <c r="AA88" s="1">
        <f t="shared" si="20"/>
        <v>0</v>
      </c>
      <c r="AB88" s="1">
        <f t="shared" si="20"/>
        <v>0</v>
      </c>
      <c r="AC88" s="1">
        <f t="shared" si="20"/>
        <v>0</v>
      </c>
      <c r="AD88" s="1">
        <f t="shared" si="20"/>
        <v>0</v>
      </c>
      <c r="AE88" s="1">
        <f t="shared" si="20"/>
        <v>0</v>
      </c>
      <c r="AF88" s="1">
        <f t="shared" si="20"/>
        <v>0</v>
      </c>
      <c r="AG88" s="1">
        <f t="shared" si="20"/>
        <v>0</v>
      </c>
      <c r="AH88" s="1">
        <f t="shared" si="20"/>
        <v>0</v>
      </c>
      <c r="AI88" s="1">
        <f t="shared" si="20"/>
        <v>0</v>
      </c>
      <c r="AJ88" s="1">
        <f t="shared" si="20"/>
        <v>0</v>
      </c>
      <c r="AK88" s="1">
        <f t="shared" si="20"/>
        <v>0</v>
      </c>
    </row>
    <row r="89" spans="1:37" ht="14.1" customHeight="1" x14ac:dyDescent="0.2">
      <c r="B89" s="105"/>
      <c r="C89" s="106"/>
      <c r="D89" s="107"/>
      <c r="E89" s="107"/>
      <c r="F89" s="107"/>
      <c r="G89" s="107"/>
      <c r="H89" s="108"/>
      <c r="I89" s="3"/>
      <c r="J89" s="3"/>
      <c r="K89" s="3"/>
      <c r="L89" s="3"/>
      <c r="M89" s="3"/>
      <c r="O89" s="32"/>
      <c r="P89" s="33"/>
      <c r="Q89" s="33"/>
      <c r="R89" s="34"/>
      <c r="S89" s="34"/>
      <c r="T89" s="67"/>
      <c r="U89" s="34"/>
      <c r="V89" s="35"/>
    </row>
    <row r="90" spans="1:37" ht="14.1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37" ht="14.1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37" ht="14.1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37" ht="14.1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37" ht="14.1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37" ht="14.1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37" ht="14.1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1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1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1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</sheetData>
  <sheetProtection selectLockedCells="1"/>
  <mergeCells count="57">
    <mergeCell ref="C43:G44"/>
    <mergeCell ref="B1:H1"/>
    <mergeCell ref="C5:G6"/>
    <mergeCell ref="P5:U6"/>
    <mergeCell ref="C7:C8"/>
    <mergeCell ref="D7:D8"/>
    <mergeCell ref="E7:G7"/>
    <mergeCell ref="P7:P8"/>
    <mergeCell ref="Q7:Q8"/>
    <mergeCell ref="R7:S7"/>
    <mergeCell ref="T7:T8"/>
    <mergeCell ref="U7:U8"/>
    <mergeCell ref="C24:G25"/>
    <mergeCell ref="C26:C27"/>
    <mergeCell ref="D26:D27"/>
    <mergeCell ref="E26:G26"/>
    <mergeCell ref="D62:F62"/>
    <mergeCell ref="D63:F63"/>
    <mergeCell ref="D64:F64"/>
    <mergeCell ref="D65:F65"/>
    <mergeCell ref="C45:C46"/>
    <mergeCell ref="D45:D46"/>
    <mergeCell ref="E45:G45"/>
    <mergeCell ref="C53:G54"/>
    <mergeCell ref="C55:C56"/>
    <mergeCell ref="D55:D56"/>
    <mergeCell ref="E55:E56"/>
    <mergeCell ref="F55:F56"/>
    <mergeCell ref="G55:G56"/>
    <mergeCell ref="D57:F57"/>
    <mergeCell ref="D58:F58"/>
    <mergeCell ref="D59:F59"/>
    <mergeCell ref="D60:F60"/>
    <mergeCell ref="D61:F61"/>
    <mergeCell ref="D66:F66"/>
    <mergeCell ref="D67:F67"/>
    <mergeCell ref="D80:F80"/>
    <mergeCell ref="D69:F69"/>
    <mergeCell ref="D70:F70"/>
    <mergeCell ref="D71:F71"/>
    <mergeCell ref="D72:F72"/>
    <mergeCell ref="D73:F73"/>
    <mergeCell ref="D74:F74"/>
    <mergeCell ref="D75:F75"/>
    <mergeCell ref="D68:F68"/>
    <mergeCell ref="D88:F88"/>
    <mergeCell ref="D81:F81"/>
    <mergeCell ref="D82:F82"/>
    <mergeCell ref="D83:F83"/>
    <mergeCell ref="D84:F84"/>
    <mergeCell ref="D85:F85"/>
    <mergeCell ref="D86:F86"/>
    <mergeCell ref="D76:F76"/>
    <mergeCell ref="D77:F77"/>
    <mergeCell ref="D78:F78"/>
    <mergeCell ref="D79:F79"/>
    <mergeCell ref="D87:F87"/>
  </mergeCells>
  <conditionalFormatting sqref="U9:U11 P12:U88">
    <cfRule type="expression" dxfId="29" priority="6" stopIfTrue="1">
      <formula>$X9&lt;&gt;1</formula>
    </cfRule>
  </conditionalFormatting>
  <conditionalFormatting sqref="U9:U11 S12:U20">
    <cfRule type="expression" dxfId="28" priority="5" stopIfTrue="1">
      <formula>$X9&lt;&gt;1</formula>
    </cfRule>
  </conditionalFormatting>
  <conditionalFormatting sqref="S12:T20">
    <cfRule type="expression" dxfId="27" priority="4" stopIfTrue="1">
      <formula>$X12&lt;&gt;1</formula>
    </cfRule>
  </conditionalFormatting>
  <conditionalFormatting sqref="U12:U16">
    <cfRule type="expression" dxfId="26" priority="3" stopIfTrue="1">
      <formula>$X12&lt;&gt;1</formula>
    </cfRule>
  </conditionalFormatting>
  <conditionalFormatting sqref="P9:T11">
    <cfRule type="expression" dxfId="25" priority="1" stopIfTrue="1">
      <formula>$X9&lt;&gt;1</formula>
    </cfRule>
  </conditionalFormatting>
  <printOptions horizontalCentered="1"/>
  <pageMargins left="0.39374999999999999" right="0.39374999999999999" top="0.78749999999999998" bottom="0.59027777777777779" header="0.51180555555555551" footer="0.51180555555555551"/>
  <pageSetup paperSize="8" scale="59"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9"/>
  <sheetViews>
    <sheetView zoomScale="80" zoomScaleNormal="80" workbookViewId="0">
      <selection activeCell="P9" sqref="P9"/>
    </sheetView>
  </sheetViews>
  <sheetFormatPr defaultColWidth="11.5703125" defaultRowHeight="14.1" customHeight="1" x14ac:dyDescent="0.2"/>
  <cols>
    <col min="1" max="1" width="4.140625" style="1" customWidth="1"/>
    <col min="2" max="2" width="2.5703125" style="1" customWidth="1"/>
    <col min="3" max="3" width="9.140625" style="2" customWidth="1"/>
    <col min="4" max="4" width="40.85546875" style="1" customWidth="1"/>
    <col min="5" max="7" width="11.5703125" style="1"/>
    <col min="8" max="9" width="2.5703125" style="1" customWidth="1"/>
    <col min="10" max="12" width="11.5703125" style="1" hidden="1" customWidth="1"/>
    <col min="13" max="13" width="2.5703125" style="1" customWidth="1"/>
    <col min="14" max="14" width="4.140625" style="1" customWidth="1"/>
    <col min="15" max="15" width="2.5703125" style="1" customWidth="1"/>
    <col min="16" max="16" width="11.5703125" style="1"/>
    <col min="17" max="17" width="51" style="1" customWidth="1"/>
    <col min="18" max="19" width="12.7109375" style="24" customWidth="1"/>
    <col min="20" max="20" width="12.7109375" style="1" customWidth="1"/>
    <col min="21" max="21" width="10.140625" style="24" customWidth="1"/>
    <col min="22" max="22" width="2.5703125" style="1" customWidth="1"/>
    <col min="23" max="23" width="5.140625" style="1" customWidth="1"/>
    <col min="24" max="37" width="0" style="1" hidden="1" customWidth="1"/>
    <col min="38" max="255" width="11.5703125" style="1"/>
    <col min="256" max="16384" width="11.5703125" style="3"/>
  </cols>
  <sheetData>
    <row r="1" spans="1:256" s="4" customFormat="1" ht="33.950000000000003" customHeight="1" x14ac:dyDescent="0.2">
      <c r="B1" s="307">
        <f>DATE(ANUAL!B5,B2,8)</f>
        <v>40398</v>
      </c>
      <c r="C1" s="307"/>
      <c r="D1" s="307"/>
      <c r="E1" s="307"/>
      <c r="F1" s="307"/>
      <c r="G1" s="307"/>
      <c r="H1" s="307"/>
      <c r="I1" s="25" t="s">
        <v>2</v>
      </c>
      <c r="M1" s="26" t="s">
        <v>92</v>
      </c>
      <c r="R1" s="27"/>
      <c r="S1" s="27"/>
      <c r="U1" s="27"/>
      <c r="W1" s="25" t="s">
        <v>2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 t="s">
        <v>92</v>
      </c>
      <c r="IV1" s="3"/>
    </row>
    <row r="2" spans="1:256" ht="14.1" customHeight="1" x14ac:dyDescent="0.2">
      <c r="B2" s="28">
        <f>'M7'!B2+1</f>
        <v>8</v>
      </c>
    </row>
    <row r="4" spans="1:256" ht="14.1" customHeight="1" x14ac:dyDescent="0.2">
      <c r="B4" s="68"/>
      <c r="C4" s="69"/>
      <c r="D4" s="70"/>
      <c r="E4" s="70"/>
      <c r="F4" s="70"/>
      <c r="G4" s="70"/>
      <c r="H4" s="71"/>
      <c r="O4" s="36"/>
      <c r="P4" s="37"/>
      <c r="Q4" s="37"/>
      <c r="R4" s="38"/>
      <c r="S4" s="38"/>
      <c r="T4" s="37"/>
      <c r="U4" s="38"/>
      <c r="V4" s="39"/>
    </row>
    <row r="5" spans="1:256" ht="14.1" customHeight="1" x14ac:dyDescent="0.2">
      <c r="B5" s="72"/>
      <c r="C5" s="308" t="s">
        <v>107</v>
      </c>
      <c r="D5" s="308"/>
      <c r="E5" s="308"/>
      <c r="F5" s="308"/>
      <c r="G5" s="308"/>
      <c r="H5" s="73"/>
      <c r="O5" s="40"/>
      <c r="P5" s="309" t="s">
        <v>93</v>
      </c>
      <c r="Q5" s="309"/>
      <c r="R5" s="309"/>
      <c r="S5" s="309"/>
      <c r="T5" s="309"/>
      <c r="U5" s="309"/>
      <c r="V5" s="41"/>
    </row>
    <row r="6" spans="1:256" s="9" customFormat="1" ht="14.1" customHeight="1" x14ac:dyDescent="0.2">
      <c r="B6" s="74"/>
      <c r="C6" s="308"/>
      <c r="D6" s="308"/>
      <c r="E6" s="308"/>
      <c r="F6" s="308"/>
      <c r="G6" s="308"/>
      <c r="H6" s="75"/>
      <c r="I6" s="1"/>
      <c r="J6" s="1"/>
      <c r="K6" s="1"/>
      <c r="L6" s="1"/>
      <c r="M6" s="1"/>
      <c r="N6" s="1"/>
      <c r="O6" s="42"/>
      <c r="P6" s="309"/>
      <c r="Q6" s="309"/>
      <c r="R6" s="309"/>
      <c r="S6" s="309"/>
      <c r="T6" s="309"/>
      <c r="U6" s="309"/>
      <c r="V6" s="4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IV6" s="3"/>
    </row>
    <row r="7" spans="1:256" ht="14.1" customHeight="1" x14ac:dyDescent="0.2">
      <c r="B7" s="46"/>
      <c r="C7" s="271" t="s">
        <v>94</v>
      </c>
      <c r="D7" s="273" t="s">
        <v>5</v>
      </c>
      <c r="E7" s="275" t="s">
        <v>6</v>
      </c>
      <c r="F7" s="275"/>
      <c r="G7" s="276"/>
      <c r="H7" s="73"/>
      <c r="O7" s="46"/>
      <c r="P7" s="275" t="s">
        <v>95</v>
      </c>
      <c r="Q7" s="271" t="s">
        <v>5</v>
      </c>
      <c r="R7" s="275" t="s">
        <v>96</v>
      </c>
      <c r="S7" s="275"/>
      <c r="T7" s="275" t="s">
        <v>97</v>
      </c>
      <c r="U7" s="276" t="s">
        <v>98</v>
      </c>
      <c r="V7" s="41"/>
    </row>
    <row r="8" spans="1:256" ht="14.1" customHeight="1" x14ac:dyDescent="0.2">
      <c r="B8" s="44"/>
      <c r="C8" s="272"/>
      <c r="D8" s="274"/>
      <c r="E8" s="98" t="s">
        <v>99</v>
      </c>
      <c r="F8" s="98" t="s">
        <v>100</v>
      </c>
      <c r="G8" s="98" t="s">
        <v>101</v>
      </c>
      <c r="H8" s="76"/>
      <c r="O8" s="44"/>
      <c r="P8" s="306" t="s">
        <v>95</v>
      </c>
      <c r="Q8" s="272" t="s">
        <v>5</v>
      </c>
      <c r="R8" s="47" t="s">
        <v>89</v>
      </c>
      <c r="S8" s="48" t="s">
        <v>87</v>
      </c>
      <c r="T8" s="306" t="s">
        <v>97</v>
      </c>
      <c r="U8" s="305"/>
      <c r="V8" s="45"/>
      <c r="X8" s="1" t="s">
        <v>100</v>
      </c>
      <c r="Z8" s="1" t="str">
        <f>$C$9</f>
        <v/>
      </c>
      <c r="AA8" s="1" t="str">
        <f>$C$10</f>
        <v>INV1</v>
      </c>
      <c r="AB8" s="1" t="str">
        <f>$C$11</f>
        <v>DINH1</v>
      </c>
      <c r="AC8" s="1" t="str">
        <f>$C$12</f>
        <v>CRED1</v>
      </c>
      <c r="AD8" s="1" t="str">
        <f>$C$13</f>
        <v>---</v>
      </c>
      <c r="AE8" s="1" t="str">
        <f>$C$14</f>
        <v>---</v>
      </c>
      <c r="AF8" s="1" t="str">
        <f>$C$15</f>
        <v>---</v>
      </c>
      <c r="AG8" s="1" t="str">
        <f>$C$16</f>
        <v>---</v>
      </c>
      <c r="AH8" s="1" t="str">
        <f>$C$17</f>
        <v>---</v>
      </c>
      <c r="AI8" s="1" t="str">
        <f>$C$18</f>
        <v>---</v>
      </c>
      <c r="AJ8" s="1" t="str">
        <f>$C$19</f>
        <v>---</v>
      </c>
      <c r="AK8" s="1" t="str">
        <f>$C$20</f>
        <v>---</v>
      </c>
    </row>
    <row r="9" spans="1:256" ht="14.1" customHeight="1" x14ac:dyDescent="0.2">
      <c r="A9" s="12">
        <v>1</v>
      </c>
      <c r="B9" s="64"/>
      <c r="C9" s="115" t="str">
        <f>TRIM(ANUAL!C13)</f>
        <v/>
      </c>
      <c r="D9" s="116" t="str">
        <f>TRIM(ANUAL!D13)</f>
        <v>CONTA CORRENTE BANCO 1</v>
      </c>
      <c r="E9" s="117">
        <f ca="1">INDIRECT("M"&amp;B$2-1&amp;"!G"&amp;A9+ROW(A$8))</f>
        <v>0</v>
      </c>
      <c r="F9" s="117">
        <f t="shared" ref="F9:F20" ca="1" si="0">E9+SUMIF(X$9:X$88,1,OFFSET($Z$9:$Z$88,0,A9-1))</f>
        <v>0</v>
      </c>
      <c r="G9" s="117">
        <f t="shared" ref="G9:G20" ca="1" si="1">E9+SUM(OFFSET($Z$9:$Z$88,0,A9-1))</f>
        <v>0</v>
      </c>
      <c r="H9" s="61"/>
      <c r="J9" s="3" t="b">
        <f t="shared" ref="J9:L20" si="2">NOT(ISERR(SEARCH(J$27,$C9)))</f>
        <v>0</v>
      </c>
      <c r="K9" s="3" t="b">
        <f t="shared" si="2"/>
        <v>0</v>
      </c>
      <c r="L9" s="3" t="b">
        <f t="shared" si="2"/>
        <v>0</v>
      </c>
      <c r="N9" s="12">
        <v>1</v>
      </c>
      <c r="O9" s="64"/>
      <c r="P9" s="49"/>
      <c r="Q9" s="50"/>
      <c r="R9" s="51"/>
      <c r="S9" s="52"/>
      <c r="T9" s="53"/>
      <c r="U9" s="54"/>
      <c r="V9" s="61"/>
      <c r="X9" s="1">
        <f t="shared" ref="X9:X40" ca="1" si="3">IF(P9&lt;NOW(),1,0)</f>
        <v>1</v>
      </c>
      <c r="Z9" s="1">
        <f t="shared" ref="Z9:AK18" si="4">IF(Z$8=$R9,-$T9,0)+IF(Z$8=$S9,$T9,0)</f>
        <v>0</v>
      </c>
      <c r="AA9" s="1">
        <f t="shared" si="4"/>
        <v>0</v>
      </c>
      <c r="AB9" s="1">
        <f t="shared" si="4"/>
        <v>0</v>
      </c>
      <c r="AC9" s="1">
        <f t="shared" si="4"/>
        <v>0</v>
      </c>
      <c r="AD9" s="1">
        <f t="shared" si="4"/>
        <v>0</v>
      </c>
      <c r="AE9" s="1">
        <f t="shared" si="4"/>
        <v>0</v>
      </c>
      <c r="AF9" s="1">
        <f t="shared" si="4"/>
        <v>0</v>
      </c>
      <c r="AG9" s="1">
        <f t="shared" si="4"/>
        <v>0</v>
      </c>
      <c r="AH9" s="1">
        <f t="shared" si="4"/>
        <v>0</v>
      </c>
      <c r="AI9" s="1">
        <f t="shared" si="4"/>
        <v>0</v>
      </c>
      <c r="AJ9" s="1">
        <f t="shared" si="4"/>
        <v>0</v>
      </c>
      <c r="AK9" s="1">
        <f t="shared" si="4"/>
        <v>0</v>
      </c>
    </row>
    <row r="10" spans="1:256" ht="14.1" customHeight="1" x14ac:dyDescent="0.2">
      <c r="A10" s="16">
        <v>2</v>
      </c>
      <c r="B10" s="65"/>
      <c r="C10" s="118" t="str">
        <f>TRIM(ANUAL!C14)</f>
        <v>INV1</v>
      </c>
      <c r="D10" s="119" t="str">
        <f>TRIM(ANUAL!D14)</f>
        <v>POUPANÇA BANCO 1</v>
      </c>
      <c r="E10" s="120">
        <f t="shared" ref="E10:E20" ca="1" si="5">INDIRECT("M"&amp;B$2-1&amp;"!G"&amp;A10+ROW(A$8))</f>
        <v>0</v>
      </c>
      <c r="F10" s="120">
        <f t="shared" ca="1" si="0"/>
        <v>0</v>
      </c>
      <c r="G10" s="120">
        <f t="shared" ca="1" si="1"/>
        <v>0</v>
      </c>
      <c r="H10" s="62"/>
      <c r="J10" s="3" t="b">
        <f t="shared" si="2"/>
        <v>0</v>
      </c>
      <c r="K10" s="3" t="b">
        <f t="shared" si="2"/>
        <v>1</v>
      </c>
      <c r="L10" s="3" t="b">
        <f t="shared" si="2"/>
        <v>0</v>
      </c>
      <c r="N10" s="16">
        <v>2</v>
      </c>
      <c r="O10" s="65"/>
      <c r="P10" s="55"/>
      <c r="Q10" s="56"/>
      <c r="R10" s="57"/>
      <c r="S10" s="58"/>
      <c r="T10" s="59"/>
      <c r="U10" s="60"/>
      <c r="V10" s="62"/>
      <c r="X10" s="1">
        <f t="shared" ca="1" si="3"/>
        <v>1</v>
      </c>
      <c r="Z10" s="1">
        <f t="shared" si="4"/>
        <v>0</v>
      </c>
      <c r="AA10" s="1">
        <f t="shared" si="4"/>
        <v>0</v>
      </c>
      <c r="AB10" s="1">
        <f t="shared" si="4"/>
        <v>0</v>
      </c>
      <c r="AC10" s="1">
        <f t="shared" si="4"/>
        <v>0</v>
      </c>
      <c r="AD10" s="1">
        <f t="shared" si="4"/>
        <v>0</v>
      </c>
      <c r="AE10" s="1">
        <f t="shared" si="4"/>
        <v>0</v>
      </c>
      <c r="AF10" s="1">
        <f t="shared" si="4"/>
        <v>0</v>
      </c>
      <c r="AG10" s="1">
        <f t="shared" si="4"/>
        <v>0</v>
      </c>
      <c r="AH10" s="1">
        <f t="shared" si="4"/>
        <v>0</v>
      </c>
      <c r="AI10" s="1">
        <f t="shared" si="4"/>
        <v>0</v>
      </c>
      <c r="AJ10" s="1">
        <f t="shared" si="4"/>
        <v>0</v>
      </c>
      <c r="AK10" s="1">
        <f t="shared" si="4"/>
        <v>0</v>
      </c>
    </row>
    <row r="11" spans="1:256" ht="14.1" customHeight="1" x14ac:dyDescent="0.2">
      <c r="A11" s="12">
        <v>3</v>
      </c>
      <c r="B11" s="65"/>
      <c r="C11" s="115" t="str">
        <f>TRIM(ANUAL!C15)</f>
        <v>DINH1</v>
      </c>
      <c r="D11" s="116" t="str">
        <f>TRIM(ANUAL!D15)</f>
        <v>EM ESPÉCIE</v>
      </c>
      <c r="E11" s="117">
        <f t="shared" ca="1" si="5"/>
        <v>0</v>
      </c>
      <c r="F11" s="117">
        <f t="shared" ca="1" si="0"/>
        <v>0</v>
      </c>
      <c r="G11" s="117">
        <f t="shared" ca="1" si="1"/>
        <v>0</v>
      </c>
      <c r="H11" s="62"/>
      <c r="J11" s="3" t="b">
        <f t="shared" si="2"/>
        <v>0</v>
      </c>
      <c r="K11" s="3" t="b">
        <f t="shared" si="2"/>
        <v>0</v>
      </c>
      <c r="L11" s="3" t="b">
        <f t="shared" si="2"/>
        <v>1</v>
      </c>
      <c r="N11" s="12">
        <v>3</v>
      </c>
      <c r="O11" s="65"/>
      <c r="P11" s="49"/>
      <c r="Q11" s="50"/>
      <c r="R11" s="51"/>
      <c r="S11" s="52"/>
      <c r="T11" s="53"/>
      <c r="U11" s="54"/>
      <c r="V11" s="62"/>
      <c r="X11" s="1">
        <f t="shared" ca="1" si="3"/>
        <v>1</v>
      </c>
      <c r="Z11" s="1">
        <f t="shared" si="4"/>
        <v>0</v>
      </c>
      <c r="AA11" s="1">
        <f t="shared" si="4"/>
        <v>0</v>
      </c>
      <c r="AB11" s="1">
        <f t="shared" si="4"/>
        <v>0</v>
      </c>
      <c r="AC11" s="1">
        <f t="shared" si="4"/>
        <v>0</v>
      </c>
      <c r="AD11" s="1">
        <f t="shared" si="4"/>
        <v>0</v>
      </c>
      <c r="AE11" s="1">
        <f t="shared" si="4"/>
        <v>0</v>
      </c>
      <c r="AF11" s="1">
        <f t="shared" si="4"/>
        <v>0</v>
      </c>
      <c r="AG11" s="1">
        <f t="shared" si="4"/>
        <v>0</v>
      </c>
      <c r="AH11" s="1">
        <f t="shared" si="4"/>
        <v>0</v>
      </c>
      <c r="AI11" s="1">
        <f t="shared" si="4"/>
        <v>0</v>
      </c>
      <c r="AJ11" s="1">
        <f t="shared" si="4"/>
        <v>0</v>
      </c>
      <c r="AK11" s="1">
        <f t="shared" si="4"/>
        <v>0</v>
      </c>
    </row>
    <row r="12" spans="1:256" ht="14.1" customHeight="1" x14ac:dyDescent="0.2">
      <c r="A12" s="16">
        <v>4</v>
      </c>
      <c r="B12" s="65"/>
      <c r="C12" s="118" t="str">
        <f>TRIM(ANUAL!C16)</f>
        <v>CRED1</v>
      </c>
      <c r="D12" s="119" t="str">
        <f>TRIM(ANUAL!D16)</f>
        <v>CARTÃO DE CRÉDITO 1</v>
      </c>
      <c r="E12" s="120">
        <f t="shared" ca="1" si="5"/>
        <v>0</v>
      </c>
      <c r="F12" s="120">
        <f t="shared" ca="1" si="0"/>
        <v>0</v>
      </c>
      <c r="G12" s="120">
        <f t="shared" ca="1" si="1"/>
        <v>0</v>
      </c>
      <c r="H12" s="62"/>
      <c r="J12" s="3" t="b">
        <f t="shared" si="2"/>
        <v>0</v>
      </c>
      <c r="K12" s="3" t="b">
        <f t="shared" si="2"/>
        <v>0</v>
      </c>
      <c r="L12" s="3" t="b">
        <f t="shared" si="2"/>
        <v>0</v>
      </c>
      <c r="N12" s="16">
        <v>4</v>
      </c>
      <c r="O12" s="65"/>
      <c r="P12" s="55"/>
      <c r="Q12" s="56"/>
      <c r="R12" s="57"/>
      <c r="S12" s="58"/>
      <c r="T12" s="59"/>
      <c r="U12" s="60"/>
      <c r="V12" s="62"/>
      <c r="X12" s="1">
        <f t="shared" ca="1" si="3"/>
        <v>1</v>
      </c>
      <c r="Z12" s="1">
        <f t="shared" si="4"/>
        <v>0</v>
      </c>
      <c r="AA12" s="1">
        <f t="shared" si="4"/>
        <v>0</v>
      </c>
      <c r="AB12" s="1">
        <f t="shared" si="4"/>
        <v>0</v>
      </c>
      <c r="AC12" s="1">
        <f t="shared" si="4"/>
        <v>0</v>
      </c>
      <c r="AD12" s="1">
        <f t="shared" si="4"/>
        <v>0</v>
      </c>
      <c r="AE12" s="1">
        <f t="shared" si="4"/>
        <v>0</v>
      </c>
      <c r="AF12" s="1">
        <f t="shared" si="4"/>
        <v>0</v>
      </c>
      <c r="AG12" s="1">
        <f t="shared" si="4"/>
        <v>0</v>
      </c>
      <c r="AH12" s="1">
        <f t="shared" si="4"/>
        <v>0</v>
      </c>
      <c r="AI12" s="1">
        <f t="shared" si="4"/>
        <v>0</v>
      </c>
      <c r="AJ12" s="1">
        <f t="shared" si="4"/>
        <v>0</v>
      </c>
      <c r="AK12" s="1">
        <f t="shared" si="4"/>
        <v>0</v>
      </c>
    </row>
    <row r="13" spans="1:256" ht="14.1" customHeight="1" x14ac:dyDescent="0.2">
      <c r="A13" s="12">
        <v>5</v>
      </c>
      <c r="B13" s="65"/>
      <c r="C13" s="115" t="str">
        <f>TRIM(ANUAL!C17)</f>
        <v>---</v>
      </c>
      <c r="D13" s="116" t="str">
        <f>TRIM(ANUAL!D17)</f>
        <v/>
      </c>
      <c r="E13" s="117">
        <f t="shared" ca="1" si="5"/>
        <v>0</v>
      </c>
      <c r="F13" s="117">
        <f t="shared" ca="1" si="0"/>
        <v>0</v>
      </c>
      <c r="G13" s="117">
        <f t="shared" ca="1" si="1"/>
        <v>0</v>
      </c>
      <c r="H13" s="62"/>
      <c r="J13" s="3" t="b">
        <f t="shared" si="2"/>
        <v>0</v>
      </c>
      <c r="K13" s="3" t="b">
        <f t="shared" si="2"/>
        <v>0</v>
      </c>
      <c r="L13" s="3" t="b">
        <f t="shared" si="2"/>
        <v>0</v>
      </c>
      <c r="N13" s="12">
        <v>5</v>
      </c>
      <c r="O13" s="65"/>
      <c r="P13" s="49"/>
      <c r="Q13" s="50"/>
      <c r="R13" s="51"/>
      <c r="S13" s="52"/>
      <c r="T13" s="53"/>
      <c r="U13" s="54"/>
      <c r="V13" s="62"/>
      <c r="X13" s="1">
        <f t="shared" ca="1" si="3"/>
        <v>1</v>
      </c>
      <c r="Z13" s="1">
        <f t="shared" si="4"/>
        <v>0</v>
      </c>
      <c r="AA13" s="1">
        <f t="shared" si="4"/>
        <v>0</v>
      </c>
      <c r="AB13" s="1">
        <f t="shared" si="4"/>
        <v>0</v>
      </c>
      <c r="AC13" s="1">
        <f t="shared" si="4"/>
        <v>0</v>
      </c>
      <c r="AD13" s="1">
        <f t="shared" si="4"/>
        <v>0</v>
      </c>
      <c r="AE13" s="1">
        <f t="shared" si="4"/>
        <v>0</v>
      </c>
      <c r="AF13" s="1">
        <f t="shared" si="4"/>
        <v>0</v>
      </c>
      <c r="AG13" s="1">
        <f t="shared" si="4"/>
        <v>0</v>
      </c>
      <c r="AH13" s="1">
        <f t="shared" si="4"/>
        <v>0</v>
      </c>
      <c r="AI13" s="1">
        <f t="shared" si="4"/>
        <v>0</v>
      </c>
      <c r="AJ13" s="1">
        <f t="shared" si="4"/>
        <v>0</v>
      </c>
      <c r="AK13" s="1">
        <f t="shared" si="4"/>
        <v>0</v>
      </c>
    </row>
    <row r="14" spans="1:256" ht="14.1" customHeight="1" x14ac:dyDescent="0.2">
      <c r="A14" s="16">
        <v>6</v>
      </c>
      <c r="B14" s="65"/>
      <c r="C14" s="118" t="str">
        <f>TRIM(ANUAL!C18)</f>
        <v>---</v>
      </c>
      <c r="D14" s="119" t="str">
        <f>TRIM(ANUAL!D18)</f>
        <v/>
      </c>
      <c r="E14" s="120">
        <f t="shared" ca="1" si="5"/>
        <v>0</v>
      </c>
      <c r="F14" s="120">
        <f t="shared" ca="1" si="0"/>
        <v>0</v>
      </c>
      <c r="G14" s="120">
        <f t="shared" ca="1" si="1"/>
        <v>0</v>
      </c>
      <c r="H14" s="62"/>
      <c r="J14" s="3" t="b">
        <f t="shared" si="2"/>
        <v>0</v>
      </c>
      <c r="K14" s="3" t="b">
        <f t="shared" si="2"/>
        <v>0</v>
      </c>
      <c r="L14" s="3" t="b">
        <f t="shared" si="2"/>
        <v>0</v>
      </c>
      <c r="N14" s="16">
        <v>6</v>
      </c>
      <c r="O14" s="65"/>
      <c r="P14" s="55"/>
      <c r="Q14" s="56"/>
      <c r="R14" s="57"/>
      <c r="S14" s="58"/>
      <c r="T14" s="59"/>
      <c r="U14" s="60"/>
      <c r="V14" s="62"/>
      <c r="X14" s="1">
        <f t="shared" ca="1" si="3"/>
        <v>1</v>
      </c>
      <c r="Z14" s="1">
        <f t="shared" si="4"/>
        <v>0</v>
      </c>
      <c r="AA14" s="1">
        <f t="shared" si="4"/>
        <v>0</v>
      </c>
      <c r="AB14" s="1">
        <f t="shared" si="4"/>
        <v>0</v>
      </c>
      <c r="AC14" s="1">
        <f t="shared" si="4"/>
        <v>0</v>
      </c>
      <c r="AD14" s="1">
        <f t="shared" si="4"/>
        <v>0</v>
      </c>
      <c r="AE14" s="1">
        <f t="shared" si="4"/>
        <v>0</v>
      </c>
      <c r="AF14" s="1">
        <f t="shared" si="4"/>
        <v>0</v>
      </c>
      <c r="AG14" s="1">
        <f t="shared" si="4"/>
        <v>0</v>
      </c>
      <c r="AH14" s="1">
        <f t="shared" si="4"/>
        <v>0</v>
      </c>
      <c r="AI14" s="1">
        <f t="shared" si="4"/>
        <v>0</v>
      </c>
      <c r="AJ14" s="1">
        <f t="shared" si="4"/>
        <v>0</v>
      </c>
      <c r="AK14" s="1">
        <f t="shared" si="4"/>
        <v>0</v>
      </c>
    </row>
    <row r="15" spans="1:256" ht="14.1" customHeight="1" x14ac:dyDescent="0.2">
      <c r="A15" s="12">
        <v>7</v>
      </c>
      <c r="B15" s="65"/>
      <c r="C15" s="115" t="str">
        <f>TRIM(ANUAL!C19)</f>
        <v>---</v>
      </c>
      <c r="D15" s="116" t="str">
        <f>TRIM(ANUAL!D19)</f>
        <v/>
      </c>
      <c r="E15" s="117">
        <f t="shared" ca="1" si="5"/>
        <v>0</v>
      </c>
      <c r="F15" s="117">
        <f t="shared" ca="1" si="0"/>
        <v>0</v>
      </c>
      <c r="G15" s="117">
        <f t="shared" ca="1" si="1"/>
        <v>0</v>
      </c>
      <c r="H15" s="62"/>
      <c r="J15" s="3" t="b">
        <f t="shared" si="2"/>
        <v>0</v>
      </c>
      <c r="K15" s="3" t="b">
        <f t="shared" si="2"/>
        <v>0</v>
      </c>
      <c r="L15" s="3" t="b">
        <f t="shared" si="2"/>
        <v>0</v>
      </c>
      <c r="N15" s="12">
        <v>7</v>
      </c>
      <c r="O15" s="65"/>
      <c r="P15" s="49"/>
      <c r="Q15" s="50"/>
      <c r="R15" s="51"/>
      <c r="S15" s="52"/>
      <c r="T15" s="53"/>
      <c r="U15" s="54"/>
      <c r="V15" s="62"/>
      <c r="X15" s="1">
        <f t="shared" ca="1" si="3"/>
        <v>1</v>
      </c>
      <c r="Z15" s="1">
        <f t="shared" si="4"/>
        <v>0</v>
      </c>
      <c r="AA15" s="1">
        <f t="shared" si="4"/>
        <v>0</v>
      </c>
      <c r="AB15" s="1">
        <f t="shared" si="4"/>
        <v>0</v>
      </c>
      <c r="AC15" s="1">
        <f t="shared" si="4"/>
        <v>0</v>
      </c>
      <c r="AD15" s="1">
        <f t="shared" si="4"/>
        <v>0</v>
      </c>
      <c r="AE15" s="1">
        <f t="shared" si="4"/>
        <v>0</v>
      </c>
      <c r="AF15" s="1">
        <f t="shared" si="4"/>
        <v>0</v>
      </c>
      <c r="AG15" s="1">
        <f t="shared" si="4"/>
        <v>0</v>
      </c>
      <c r="AH15" s="1">
        <f t="shared" si="4"/>
        <v>0</v>
      </c>
      <c r="AI15" s="1">
        <f t="shared" si="4"/>
        <v>0</v>
      </c>
      <c r="AJ15" s="1">
        <f t="shared" si="4"/>
        <v>0</v>
      </c>
      <c r="AK15" s="1">
        <f t="shared" si="4"/>
        <v>0</v>
      </c>
    </row>
    <row r="16" spans="1:256" ht="14.1" customHeight="1" x14ac:dyDescent="0.2">
      <c r="A16" s="16">
        <v>8</v>
      </c>
      <c r="B16" s="65"/>
      <c r="C16" s="118" t="str">
        <f>TRIM(ANUAL!C20)</f>
        <v>---</v>
      </c>
      <c r="D16" s="119" t="str">
        <f>TRIM(ANUAL!D20)</f>
        <v/>
      </c>
      <c r="E16" s="120">
        <f t="shared" ca="1" si="5"/>
        <v>0</v>
      </c>
      <c r="F16" s="120">
        <f t="shared" ca="1" si="0"/>
        <v>0</v>
      </c>
      <c r="G16" s="120">
        <f t="shared" ca="1" si="1"/>
        <v>0</v>
      </c>
      <c r="H16" s="62"/>
      <c r="J16" s="3" t="b">
        <f t="shared" si="2"/>
        <v>0</v>
      </c>
      <c r="K16" s="3" t="b">
        <f t="shared" si="2"/>
        <v>0</v>
      </c>
      <c r="L16" s="3" t="b">
        <f t="shared" si="2"/>
        <v>0</v>
      </c>
      <c r="N16" s="16">
        <v>8</v>
      </c>
      <c r="O16" s="65"/>
      <c r="P16" s="55"/>
      <c r="Q16" s="56"/>
      <c r="R16" s="57"/>
      <c r="S16" s="58"/>
      <c r="T16" s="59"/>
      <c r="U16" s="60"/>
      <c r="V16" s="62"/>
      <c r="X16" s="1">
        <f t="shared" ca="1" si="3"/>
        <v>1</v>
      </c>
      <c r="Z16" s="1">
        <f t="shared" si="4"/>
        <v>0</v>
      </c>
      <c r="AA16" s="1">
        <f t="shared" si="4"/>
        <v>0</v>
      </c>
      <c r="AB16" s="1">
        <f t="shared" si="4"/>
        <v>0</v>
      </c>
      <c r="AC16" s="1">
        <f t="shared" si="4"/>
        <v>0</v>
      </c>
      <c r="AD16" s="1">
        <f t="shared" si="4"/>
        <v>0</v>
      </c>
      <c r="AE16" s="1">
        <f t="shared" si="4"/>
        <v>0</v>
      </c>
      <c r="AF16" s="1">
        <f t="shared" si="4"/>
        <v>0</v>
      </c>
      <c r="AG16" s="1">
        <f t="shared" si="4"/>
        <v>0</v>
      </c>
      <c r="AH16" s="1">
        <f t="shared" si="4"/>
        <v>0</v>
      </c>
      <c r="AI16" s="1">
        <f t="shared" si="4"/>
        <v>0</v>
      </c>
      <c r="AJ16" s="1">
        <f t="shared" si="4"/>
        <v>0</v>
      </c>
      <c r="AK16" s="1">
        <f t="shared" si="4"/>
        <v>0</v>
      </c>
    </row>
    <row r="17" spans="1:37" ht="14.1" customHeight="1" x14ac:dyDescent="0.2">
      <c r="A17" s="12">
        <v>9</v>
      </c>
      <c r="B17" s="65"/>
      <c r="C17" s="115" t="str">
        <f>TRIM(ANUAL!C21)</f>
        <v>---</v>
      </c>
      <c r="D17" s="116" t="str">
        <f>TRIM(ANUAL!D21)</f>
        <v/>
      </c>
      <c r="E17" s="117">
        <f t="shared" ca="1" si="5"/>
        <v>0</v>
      </c>
      <c r="F17" s="117">
        <f t="shared" ca="1" si="0"/>
        <v>0</v>
      </c>
      <c r="G17" s="117">
        <f t="shared" ca="1" si="1"/>
        <v>0</v>
      </c>
      <c r="H17" s="62"/>
      <c r="J17" s="3" t="b">
        <f t="shared" si="2"/>
        <v>0</v>
      </c>
      <c r="K17" s="3" t="b">
        <f t="shared" si="2"/>
        <v>0</v>
      </c>
      <c r="L17" s="3" t="b">
        <f t="shared" si="2"/>
        <v>0</v>
      </c>
      <c r="N17" s="12">
        <v>9</v>
      </c>
      <c r="O17" s="65"/>
      <c r="P17" s="49"/>
      <c r="Q17" s="50"/>
      <c r="R17" s="51"/>
      <c r="S17" s="52"/>
      <c r="T17" s="53"/>
      <c r="U17" s="54"/>
      <c r="V17" s="62"/>
      <c r="X17" s="1">
        <f t="shared" ca="1" si="3"/>
        <v>1</v>
      </c>
      <c r="Z17" s="1">
        <f t="shared" si="4"/>
        <v>0</v>
      </c>
      <c r="AA17" s="1">
        <f t="shared" si="4"/>
        <v>0</v>
      </c>
      <c r="AB17" s="1">
        <f t="shared" si="4"/>
        <v>0</v>
      </c>
      <c r="AC17" s="1">
        <f t="shared" si="4"/>
        <v>0</v>
      </c>
      <c r="AD17" s="1">
        <f t="shared" si="4"/>
        <v>0</v>
      </c>
      <c r="AE17" s="1">
        <f t="shared" si="4"/>
        <v>0</v>
      </c>
      <c r="AF17" s="1">
        <f t="shared" si="4"/>
        <v>0</v>
      </c>
      <c r="AG17" s="1">
        <f t="shared" si="4"/>
        <v>0</v>
      </c>
      <c r="AH17" s="1">
        <f t="shared" si="4"/>
        <v>0</v>
      </c>
      <c r="AI17" s="1">
        <f t="shared" si="4"/>
        <v>0</v>
      </c>
      <c r="AJ17" s="1">
        <f t="shared" si="4"/>
        <v>0</v>
      </c>
      <c r="AK17" s="1">
        <f t="shared" si="4"/>
        <v>0</v>
      </c>
    </row>
    <row r="18" spans="1:37" ht="14.1" customHeight="1" x14ac:dyDescent="0.2">
      <c r="A18" s="16">
        <v>10</v>
      </c>
      <c r="B18" s="65"/>
      <c r="C18" s="118" t="str">
        <f>TRIM(ANUAL!C22)</f>
        <v>---</v>
      </c>
      <c r="D18" s="119" t="str">
        <f>TRIM(ANUAL!D22)</f>
        <v/>
      </c>
      <c r="E18" s="120">
        <f t="shared" ca="1" si="5"/>
        <v>0</v>
      </c>
      <c r="F18" s="120">
        <f t="shared" ca="1" si="0"/>
        <v>0</v>
      </c>
      <c r="G18" s="120">
        <f t="shared" ca="1" si="1"/>
        <v>0</v>
      </c>
      <c r="H18" s="62"/>
      <c r="J18" s="3" t="b">
        <f t="shared" si="2"/>
        <v>0</v>
      </c>
      <c r="K18" s="3" t="b">
        <f t="shared" si="2"/>
        <v>0</v>
      </c>
      <c r="L18" s="3" t="b">
        <f t="shared" si="2"/>
        <v>0</v>
      </c>
      <c r="N18" s="16">
        <v>10</v>
      </c>
      <c r="O18" s="65"/>
      <c r="P18" s="55"/>
      <c r="Q18" s="56"/>
      <c r="R18" s="57"/>
      <c r="S18" s="58"/>
      <c r="T18" s="59"/>
      <c r="U18" s="60"/>
      <c r="V18" s="62"/>
      <c r="X18" s="1">
        <f t="shared" ca="1" si="3"/>
        <v>1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C18" s="1">
        <f t="shared" si="4"/>
        <v>0</v>
      </c>
      <c r="AD18" s="1">
        <f t="shared" si="4"/>
        <v>0</v>
      </c>
      <c r="AE18" s="1">
        <f t="shared" si="4"/>
        <v>0</v>
      </c>
      <c r="AF18" s="1">
        <f t="shared" si="4"/>
        <v>0</v>
      </c>
      <c r="AG18" s="1">
        <f t="shared" si="4"/>
        <v>0</v>
      </c>
      <c r="AH18" s="1">
        <f t="shared" si="4"/>
        <v>0</v>
      </c>
      <c r="AI18" s="1">
        <f t="shared" si="4"/>
        <v>0</v>
      </c>
      <c r="AJ18" s="1">
        <f t="shared" si="4"/>
        <v>0</v>
      </c>
      <c r="AK18" s="1">
        <f t="shared" si="4"/>
        <v>0</v>
      </c>
    </row>
    <row r="19" spans="1:37" ht="14.1" customHeight="1" x14ac:dyDescent="0.2">
      <c r="A19" s="12">
        <v>11</v>
      </c>
      <c r="B19" s="65"/>
      <c r="C19" s="115" t="str">
        <f>TRIM(ANUAL!C23)</f>
        <v>---</v>
      </c>
      <c r="D19" s="116" t="str">
        <f>TRIM(ANUAL!D23)</f>
        <v/>
      </c>
      <c r="E19" s="117">
        <f t="shared" ca="1" si="5"/>
        <v>0</v>
      </c>
      <c r="F19" s="117">
        <f t="shared" ca="1" si="0"/>
        <v>0</v>
      </c>
      <c r="G19" s="117">
        <f t="shared" ca="1" si="1"/>
        <v>0</v>
      </c>
      <c r="H19" s="62"/>
      <c r="J19" s="3" t="b">
        <f t="shared" si="2"/>
        <v>0</v>
      </c>
      <c r="K19" s="3" t="b">
        <f t="shared" si="2"/>
        <v>0</v>
      </c>
      <c r="L19" s="3" t="b">
        <f t="shared" si="2"/>
        <v>0</v>
      </c>
      <c r="N19" s="12">
        <v>11</v>
      </c>
      <c r="O19" s="65"/>
      <c r="P19" s="49"/>
      <c r="Q19" s="50"/>
      <c r="R19" s="51"/>
      <c r="S19" s="52"/>
      <c r="T19" s="53"/>
      <c r="U19" s="54"/>
      <c r="V19" s="62"/>
      <c r="X19" s="1">
        <f t="shared" ca="1" si="3"/>
        <v>1</v>
      </c>
      <c r="Z19" s="1">
        <f t="shared" ref="Z19:AK28" si="6">IF(Z$8=$R19,-$T19,0)+IF(Z$8=$S19,$T19,0)</f>
        <v>0</v>
      </c>
      <c r="AA19" s="1">
        <f t="shared" si="6"/>
        <v>0</v>
      </c>
      <c r="AB19" s="1">
        <f t="shared" si="6"/>
        <v>0</v>
      </c>
      <c r="AC19" s="1">
        <f t="shared" si="6"/>
        <v>0</v>
      </c>
      <c r="AD19" s="1">
        <f t="shared" si="6"/>
        <v>0</v>
      </c>
      <c r="AE19" s="1">
        <f t="shared" si="6"/>
        <v>0</v>
      </c>
      <c r="AF19" s="1">
        <f t="shared" si="6"/>
        <v>0</v>
      </c>
      <c r="AG19" s="1">
        <f t="shared" si="6"/>
        <v>0</v>
      </c>
      <c r="AH19" s="1">
        <f t="shared" si="6"/>
        <v>0</v>
      </c>
      <c r="AI19" s="1">
        <f t="shared" si="6"/>
        <v>0</v>
      </c>
      <c r="AJ19" s="1">
        <f t="shared" si="6"/>
        <v>0</v>
      </c>
      <c r="AK19" s="1">
        <f t="shared" si="6"/>
        <v>0</v>
      </c>
    </row>
    <row r="20" spans="1:37" ht="14.1" customHeight="1" x14ac:dyDescent="0.2">
      <c r="A20" s="16">
        <v>12</v>
      </c>
      <c r="B20" s="65"/>
      <c r="C20" s="121" t="str">
        <f>TRIM(ANUAL!C24)</f>
        <v>---</v>
      </c>
      <c r="D20" s="122" t="str">
        <f>TRIM(ANUAL!D24)</f>
        <v/>
      </c>
      <c r="E20" s="123">
        <f t="shared" ca="1" si="5"/>
        <v>0</v>
      </c>
      <c r="F20" s="123">
        <f t="shared" ca="1" si="0"/>
        <v>0</v>
      </c>
      <c r="G20" s="123">
        <f t="shared" ca="1" si="1"/>
        <v>0</v>
      </c>
      <c r="H20" s="62"/>
      <c r="J20" s="3" t="b">
        <f t="shared" si="2"/>
        <v>0</v>
      </c>
      <c r="K20" s="3" t="b">
        <f t="shared" si="2"/>
        <v>0</v>
      </c>
      <c r="L20" s="3" t="b">
        <f t="shared" si="2"/>
        <v>0</v>
      </c>
      <c r="N20" s="16">
        <v>12</v>
      </c>
      <c r="O20" s="65"/>
      <c r="P20" s="55"/>
      <c r="Q20" s="56"/>
      <c r="R20" s="57"/>
      <c r="S20" s="58"/>
      <c r="T20" s="59"/>
      <c r="U20" s="60"/>
      <c r="V20" s="62"/>
      <c r="X20" s="1">
        <f t="shared" ca="1" si="3"/>
        <v>1</v>
      </c>
      <c r="Z20" s="1">
        <f t="shared" si="6"/>
        <v>0</v>
      </c>
      <c r="AA20" s="1">
        <f t="shared" si="6"/>
        <v>0</v>
      </c>
      <c r="AB20" s="1">
        <f t="shared" si="6"/>
        <v>0</v>
      </c>
      <c r="AC20" s="1">
        <f t="shared" si="6"/>
        <v>0</v>
      </c>
      <c r="AD20" s="1">
        <f t="shared" si="6"/>
        <v>0</v>
      </c>
      <c r="AE20" s="1">
        <f t="shared" si="6"/>
        <v>0</v>
      </c>
      <c r="AF20" s="1">
        <f t="shared" si="6"/>
        <v>0</v>
      </c>
      <c r="AG20" s="1">
        <f t="shared" si="6"/>
        <v>0</v>
      </c>
      <c r="AH20" s="1">
        <f t="shared" si="6"/>
        <v>0</v>
      </c>
      <c r="AI20" s="1">
        <f t="shared" si="6"/>
        <v>0</v>
      </c>
      <c r="AJ20" s="1">
        <f t="shared" si="6"/>
        <v>0</v>
      </c>
      <c r="AK20" s="1">
        <f t="shared" si="6"/>
        <v>0</v>
      </c>
    </row>
    <row r="21" spans="1:37" ht="14.1" customHeight="1" x14ac:dyDescent="0.2">
      <c r="B21" s="128"/>
      <c r="C21" s="129"/>
      <c r="D21" s="130"/>
      <c r="E21" s="130"/>
      <c r="F21" s="130"/>
      <c r="G21" s="130"/>
      <c r="H21" s="131"/>
      <c r="N21" s="12">
        <v>13</v>
      </c>
      <c r="O21" s="65"/>
      <c r="P21" s="49"/>
      <c r="Q21" s="50"/>
      <c r="R21" s="51"/>
      <c r="S21" s="52"/>
      <c r="T21" s="53"/>
      <c r="U21" s="54"/>
      <c r="V21" s="62"/>
      <c r="X21" s="1">
        <f t="shared" ca="1" si="3"/>
        <v>1</v>
      </c>
      <c r="Z21" s="1">
        <f t="shared" si="6"/>
        <v>0</v>
      </c>
      <c r="AA21" s="1">
        <f t="shared" si="6"/>
        <v>0</v>
      </c>
      <c r="AB21" s="1">
        <f t="shared" si="6"/>
        <v>0</v>
      </c>
      <c r="AC21" s="1">
        <f t="shared" si="6"/>
        <v>0</v>
      </c>
      <c r="AD21" s="1">
        <f t="shared" si="6"/>
        <v>0</v>
      </c>
      <c r="AE21" s="1">
        <f t="shared" si="6"/>
        <v>0</v>
      </c>
      <c r="AF21" s="1">
        <f t="shared" si="6"/>
        <v>0</v>
      </c>
      <c r="AG21" s="1">
        <f t="shared" si="6"/>
        <v>0</v>
      </c>
      <c r="AH21" s="1">
        <f t="shared" si="6"/>
        <v>0</v>
      </c>
      <c r="AI21" s="1">
        <f t="shared" si="6"/>
        <v>0</v>
      </c>
      <c r="AJ21" s="1">
        <f t="shared" si="6"/>
        <v>0</v>
      </c>
      <c r="AK21" s="1">
        <f t="shared" si="6"/>
        <v>0</v>
      </c>
    </row>
    <row r="22" spans="1:37" ht="14.1" customHeight="1" x14ac:dyDescent="0.2">
      <c r="J22" s="29"/>
      <c r="K22" s="29"/>
      <c r="L22" s="29"/>
      <c r="N22" s="16">
        <v>14</v>
      </c>
      <c r="O22" s="65"/>
      <c r="P22" s="55"/>
      <c r="Q22" s="56"/>
      <c r="R22" s="57"/>
      <c r="S22" s="58"/>
      <c r="T22" s="59"/>
      <c r="U22" s="60"/>
      <c r="V22" s="62"/>
      <c r="X22" s="1">
        <f t="shared" ca="1" si="3"/>
        <v>1</v>
      </c>
      <c r="Z22" s="1">
        <f t="shared" si="6"/>
        <v>0</v>
      </c>
      <c r="AA22" s="1">
        <f t="shared" si="6"/>
        <v>0</v>
      </c>
      <c r="AB22" s="1">
        <f t="shared" si="6"/>
        <v>0</v>
      </c>
      <c r="AC22" s="1">
        <f t="shared" si="6"/>
        <v>0</v>
      </c>
      <c r="AD22" s="1">
        <f t="shared" si="6"/>
        <v>0</v>
      </c>
      <c r="AE22" s="1">
        <f t="shared" si="6"/>
        <v>0</v>
      </c>
      <c r="AF22" s="1">
        <f t="shared" si="6"/>
        <v>0</v>
      </c>
      <c r="AG22" s="1">
        <f t="shared" si="6"/>
        <v>0</v>
      </c>
      <c r="AH22" s="1">
        <f t="shared" si="6"/>
        <v>0</v>
      </c>
      <c r="AI22" s="1">
        <f t="shared" si="6"/>
        <v>0</v>
      </c>
      <c r="AJ22" s="1">
        <f t="shared" si="6"/>
        <v>0</v>
      </c>
      <c r="AK22" s="1">
        <f t="shared" si="6"/>
        <v>0</v>
      </c>
    </row>
    <row r="23" spans="1:37" ht="14.1" customHeight="1" x14ac:dyDescent="0.2">
      <c r="B23" s="77"/>
      <c r="C23" s="78"/>
      <c r="D23" s="79"/>
      <c r="E23" s="79"/>
      <c r="F23" s="79"/>
      <c r="G23" s="79"/>
      <c r="H23" s="80"/>
      <c r="I23" s="3"/>
      <c r="J23" s="3"/>
      <c r="K23" s="3"/>
      <c r="L23" s="3"/>
      <c r="M23" s="3"/>
      <c r="N23" s="12">
        <v>15</v>
      </c>
      <c r="O23" s="65"/>
      <c r="P23" s="49"/>
      <c r="Q23" s="50"/>
      <c r="R23" s="51"/>
      <c r="S23" s="52"/>
      <c r="T23" s="53"/>
      <c r="U23" s="54"/>
      <c r="V23" s="62"/>
      <c r="X23" s="1">
        <f t="shared" ca="1" si="3"/>
        <v>1</v>
      </c>
      <c r="Z23" s="1">
        <f t="shared" si="6"/>
        <v>0</v>
      </c>
      <c r="AA23" s="1">
        <f t="shared" si="6"/>
        <v>0</v>
      </c>
      <c r="AB23" s="1">
        <f t="shared" si="6"/>
        <v>0</v>
      </c>
      <c r="AC23" s="1">
        <f t="shared" si="6"/>
        <v>0</v>
      </c>
      <c r="AD23" s="1">
        <f t="shared" si="6"/>
        <v>0</v>
      </c>
      <c r="AE23" s="1">
        <f t="shared" si="6"/>
        <v>0</v>
      </c>
      <c r="AF23" s="1">
        <f t="shared" si="6"/>
        <v>0</v>
      </c>
      <c r="AG23" s="1">
        <f t="shared" si="6"/>
        <v>0</v>
      </c>
      <c r="AH23" s="1">
        <f t="shared" si="6"/>
        <v>0</v>
      </c>
      <c r="AI23" s="1">
        <f t="shared" si="6"/>
        <v>0</v>
      </c>
      <c r="AJ23" s="1">
        <f t="shared" si="6"/>
        <v>0</v>
      </c>
      <c r="AK23" s="1">
        <f t="shared" si="6"/>
        <v>0</v>
      </c>
    </row>
    <row r="24" spans="1:37" ht="14.1" customHeight="1" x14ac:dyDescent="0.2">
      <c r="B24" s="81"/>
      <c r="C24" s="285" t="s">
        <v>103</v>
      </c>
      <c r="D24" s="285"/>
      <c r="E24" s="285"/>
      <c r="F24" s="285"/>
      <c r="G24" s="285"/>
      <c r="H24" s="82"/>
      <c r="I24" s="3"/>
      <c r="J24" s="3"/>
      <c r="K24" s="3"/>
      <c r="L24" s="3"/>
      <c r="M24" s="3"/>
      <c r="N24" s="16">
        <v>16</v>
      </c>
      <c r="O24" s="65"/>
      <c r="P24" s="55"/>
      <c r="Q24" s="56"/>
      <c r="R24" s="57"/>
      <c r="S24" s="58"/>
      <c r="T24" s="59"/>
      <c r="U24" s="60"/>
      <c r="V24" s="62"/>
      <c r="X24" s="1">
        <f t="shared" ca="1" si="3"/>
        <v>1</v>
      </c>
      <c r="Z24" s="1">
        <f t="shared" si="6"/>
        <v>0</v>
      </c>
      <c r="AA24" s="1">
        <f t="shared" si="6"/>
        <v>0</v>
      </c>
      <c r="AB24" s="1">
        <f t="shared" si="6"/>
        <v>0</v>
      </c>
      <c r="AC24" s="1">
        <f t="shared" si="6"/>
        <v>0</v>
      </c>
      <c r="AD24" s="1">
        <f t="shared" si="6"/>
        <v>0</v>
      </c>
      <c r="AE24" s="1">
        <f t="shared" si="6"/>
        <v>0</v>
      </c>
      <c r="AF24" s="1">
        <f t="shared" si="6"/>
        <v>0</v>
      </c>
      <c r="AG24" s="1">
        <f t="shared" si="6"/>
        <v>0</v>
      </c>
      <c r="AH24" s="1">
        <f t="shared" si="6"/>
        <v>0</v>
      </c>
      <c r="AI24" s="1">
        <f t="shared" si="6"/>
        <v>0</v>
      </c>
      <c r="AJ24" s="1">
        <f t="shared" si="6"/>
        <v>0</v>
      </c>
      <c r="AK24" s="1">
        <f t="shared" si="6"/>
        <v>0</v>
      </c>
    </row>
    <row r="25" spans="1:37" ht="14.1" customHeight="1" x14ac:dyDescent="0.2">
      <c r="B25" s="81"/>
      <c r="C25" s="285"/>
      <c r="D25" s="285"/>
      <c r="E25" s="285"/>
      <c r="F25" s="285"/>
      <c r="G25" s="285"/>
      <c r="H25" s="82"/>
      <c r="I25" s="3"/>
      <c r="J25" s="3"/>
      <c r="K25" s="3"/>
      <c r="L25" s="3"/>
      <c r="M25" s="3"/>
      <c r="N25" s="12">
        <v>17</v>
      </c>
      <c r="O25" s="65"/>
      <c r="P25" s="49"/>
      <c r="Q25" s="50"/>
      <c r="R25" s="51"/>
      <c r="S25" s="52"/>
      <c r="T25" s="53"/>
      <c r="U25" s="54"/>
      <c r="V25" s="62"/>
      <c r="X25" s="1">
        <f t="shared" ca="1" si="3"/>
        <v>1</v>
      </c>
      <c r="Z25" s="1">
        <f t="shared" si="6"/>
        <v>0</v>
      </c>
      <c r="AA25" s="1">
        <f t="shared" si="6"/>
        <v>0</v>
      </c>
      <c r="AB25" s="1">
        <f t="shared" si="6"/>
        <v>0</v>
      </c>
      <c r="AC25" s="1">
        <f t="shared" si="6"/>
        <v>0</v>
      </c>
      <c r="AD25" s="1">
        <f t="shared" si="6"/>
        <v>0</v>
      </c>
      <c r="AE25" s="1">
        <f t="shared" si="6"/>
        <v>0</v>
      </c>
      <c r="AF25" s="1">
        <f t="shared" si="6"/>
        <v>0</v>
      </c>
      <c r="AG25" s="1">
        <f t="shared" si="6"/>
        <v>0</v>
      </c>
      <c r="AH25" s="1">
        <f t="shared" si="6"/>
        <v>0</v>
      </c>
      <c r="AI25" s="1">
        <f t="shared" si="6"/>
        <v>0</v>
      </c>
      <c r="AJ25" s="1">
        <f t="shared" si="6"/>
        <v>0</v>
      </c>
      <c r="AK25" s="1">
        <f t="shared" si="6"/>
        <v>0</v>
      </c>
    </row>
    <row r="26" spans="1:37" ht="14.1" customHeight="1" x14ac:dyDescent="0.2">
      <c r="B26" s="46"/>
      <c r="C26" s="271" t="s">
        <v>94</v>
      </c>
      <c r="D26" s="273" t="s">
        <v>5</v>
      </c>
      <c r="E26" s="275" t="s">
        <v>104</v>
      </c>
      <c r="F26" s="275" t="s">
        <v>89</v>
      </c>
      <c r="G26" s="276" t="s">
        <v>6</v>
      </c>
      <c r="H26" s="82"/>
      <c r="I26" s="3"/>
      <c r="J26" s="3"/>
      <c r="K26" s="3"/>
      <c r="L26" s="3"/>
      <c r="M26" s="3"/>
      <c r="N26" s="16">
        <v>18</v>
      </c>
      <c r="O26" s="65"/>
      <c r="P26" s="55"/>
      <c r="Q26" s="56"/>
      <c r="R26" s="57"/>
      <c r="S26" s="58"/>
      <c r="T26" s="59"/>
      <c r="U26" s="60"/>
      <c r="V26" s="62"/>
      <c r="X26" s="1">
        <f t="shared" ca="1" si="3"/>
        <v>1</v>
      </c>
      <c r="Z26" s="1">
        <f t="shared" si="6"/>
        <v>0</v>
      </c>
      <c r="AA26" s="1">
        <f t="shared" si="6"/>
        <v>0</v>
      </c>
      <c r="AB26" s="1">
        <f t="shared" si="6"/>
        <v>0</v>
      </c>
      <c r="AC26" s="1">
        <f t="shared" si="6"/>
        <v>0</v>
      </c>
      <c r="AD26" s="1">
        <f t="shared" si="6"/>
        <v>0</v>
      </c>
      <c r="AE26" s="1">
        <f t="shared" si="6"/>
        <v>0</v>
      </c>
      <c r="AF26" s="1">
        <f t="shared" si="6"/>
        <v>0</v>
      </c>
      <c r="AG26" s="1">
        <f t="shared" si="6"/>
        <v>0</v>
      </c>
      <c r="AH26" s="1">
        <f t="shared" si="6"/>
        <v>0</v>
      </c>
      <c r="AI26" s="1">
        <f t="shared" si="6"/>
        <v>0</v>
      </c>
      <c r="AJ26" s="1">
        <f t="shared" si="6"/>
        <v>0</v>
      </c>
      <c r="AK26" s="1">
        <f t="shared" si="6"/>
        <v>0</v>
      </c>
    </row>
    <row r="27" spans="1:37" ht="14.1" customHeight="1" x14ac:dyDescent="0.2">
      <c r="A27" s="3"/>
      <c r="B27" s="44"/>
      <c r="C27" s="272"/>
      <c r="D27" s="274"/>
      <c r="E27" s="99" t="s">
        <v>87</v>
      </c>
      <c r="F27" s="100" t="s">
        <v>89</v>
      </c>
      <c r="G27" s="98" t="s">
        <v>105</v>
      </c>
      <c r="H27" s="83"/>
      <c r="I27" s="3"/>
      <c r="J27" s="3" t="str">
        <f>ANUAL!C115</f>
        <v>CC</v>
      </c>
      <c r="K27" s="3" t="str">
        <f>ANUAL!C116</f>
        <v>INV</v>
      </c>
      <c r="L27" s="3" t="str">
        <f>ANUAL!C117</f>
        <v>DINH</v>
      </c>
      <c r="M27" s="3"/>
      <c r="N27" s="12">
        <v>19</v>
      </c>
      <c r="O27" s="65"/>
      <c r="P27" s="49"/>
      <c r="Q27" s="50"/>
      <c r="R27" s="51"/>
      <c r="S27" s="52"/>
      <c r="T27" s="53"/>
      <c r="U27" s="54"/>
      <c r="V27" s="62"/>
      <c r="X27" s="1">
        <f t="shared" ca="1" si="3"/>
        <v>1</v>
      </c>
      <c r="Z27" s="1">
        <f t="shared" si="6"/>
        <v>0</v>
      </c>
      <c r="AA27" s="1">
        <f t="shared" si="6"/>
        <v>0</v>
      </c>
      <c r="AB27" s="1">
        <f t="shared" si="6"/>
        <v>0</v>
      </c>
      <c r="AC27" s="1">
        <f t="shared" si="6"/>
        <v>0</v>
      </c>
      <c r="AD27" s="1">
        <f t="shared" si="6"/>
        <v>0</v>
      </c>
      <c r="AE27" s="1">
        <f t="shared" si="6"/>
        <v>0</v>
      </c>
      <c r="AF27" s="1">
        <f t="shared" si="6"/>
        <v>0</v>
      </c>
      <c r="AG27" s="1">
        <f t="shared" si="6"/>
        <v>0</v>
      </c>
      <c r="AH27" s="1">
        <f t="shared" si="6"/>
        <v>0</v>
      </c>
      <c r="AI27" s="1">
        <f t="shared" si="6"/>
        <v>0</v>
      </c>
      <c r="AJ27" s="1">
        <f t="shared" si="6"/>
        <v>0</v>
      </c>
      <c r="AK27" s="1">
        <f t="shared" si="6"/>
        <v>0</v>
      </c>
    </row>
    <row r="28" spans="1:37" ht="14.1" customHeight="1" x14ac:dyDescent="0.2">
      <c r="A28" s="12">
        <v>1</v>
      </c>
      <c r="B28" s="64"/>
      <c r="C28" s="115" t="str">
        <f t="shared" ref="C28:D39" si="7">C9</f>
        <v/>
      </c>
      <c r="D28" s="116" t="str">
        <f t="shared" si="7"/>
        <v>CONTA CORRENTE BANCO 1</v>
      </c>
      <c r="E28" s="117">
        <f t="shared" ref="E28:E39" ca="1" si="8">SUMIF(OFFSET($Z$9:$Z$88,0,A28-1),"&gt;0")</f>
        <v>0</v>
      </c>
      <c r="F28" s="117">
        <f t="shared" ref="F28:F39" ca="1" si="9">SUMIF(OFFSET($Z$9:$Z$88,0,A28-1),"&lt;0")</f>
        <v>0</v>
      </c>
      <c r="G28" s="117">
        <f t="shared" ref="G28:G39" ca="1" si="10">SUM(E28:F28)</f>
        <v>0</v>
      </c>
      <c r="H28" s="61"/>
      <c r="I28" s="3"/>
      <c r="J28" s="3" t="b">
        <f t="shared" ref="J28:L39" si="11">NOT(ISERR(SEARCH(J$27,$C28)))</f>
        <v>0</v>
      </c>
      <c r="K28" s="3" t="b">
        <f t="shared" si="11"/>
        <v>0</v>
      </c>
      <c r="L28" s="3" t="b">
        <f t="shared" si="11"/>
        <v>0</v>
      </c>
      <c r="M28" s="3"/>
      <c r="N28" s="16">
        <v>20</v>
      </c>
      <c r="O28" s="65"/>
      <c r="P28" s="55"/>
      <c r="Q28" s="56"/>
      <c r="R28" s="57"/>
      <c r="S28" s="58"/>
      <c r="T28" s="59"/>
      <c r="U28" s="60"/>
      <c r="V28" s="62"/>
      <c r="X28" s="1">
        <f t="shared" ca="1" si="3"/>
        <v>1</v>
      </c>
      <c r="Z28" s="1">
        <f t="shared" si="6"/>
        <v>0</v>
      </c>
      <c r="AA28" s="1">
        <f t="shared" si="6"/>
        <v>0</v>
      </c>
      <c r="AB28" s="1">
        <f t="shared" si="6"/>
        <v>0</v>
      </c>
      <c r="AC28" s="1">
        <f t="shared" si="6"/>
        <v>0</v>
      </c>
      <c r="AD28" s="1">
        <f t="shared" si="6"/>
        <v>0</v>
      </c>
      <c r="AE28" s="1">
        <f t="shared" si="6"/>
        <v>0</v>
      </c>
      <c r="AF28" s="1">
        <f t="shared" si="6"/>
        <v>0</v>
      </c>
      <c r="AG28" s="1">
        <f t="shared" si="6"/>
        <v>0</v>
      </c>
      <c r="AH28" s="1">
        <f t="shared" si="6"/>
        <v>0</v>
      </c>
      <c r="AI28" s="1">
        <f t="shared" si="6"/>
        <v>0</v>
      </c>
      <c r="AJ28" s="1">
        <f t="shared" si="6"/>
        <v>0</v>
      </c>
      <c r="AK28" s="1">
        <f t="shared" si="6"/>
        <v>0</v>
      </c>
    </row>
    <row r="29" spans="1:37" ht="14.1" customHeight="1" x14ac:dyDescent="0.2">
      <c r="A29" s="16">
        <v>2</v>
      </c>
      <c r="B29" s="65"/>
      <c r="C29" s="118" t="str">
        <f t="shared" si="7"/>
        <v>INV1</v>
      </c>
      <c r="D29" s="119" t="str">
        <f t="shared" si="7"/>
        <v>POUPANÇA BANCO 1</v>
      </c>
      <c r="E29" s="120">
        <f t="shared" ca="1" si="8"/>
        <v>0</v>
      </c>
      <c r="F29" s="120">
        <f t="shared" ca="1" si="9"/>
        <v>0</v>
      </c>
      <c r="G29" s="120">
        <f t="shared" ca="1" si="10"/>
        <v>0</v>
      </c>
      <c r="H29" s="62"/>
      <c r="I29" s="3"/>
      <c r="J29" s="3" t="b">
        <f t="shared" si="11"/>
        <v>0</v>
      </c>
      <c r="K29" s="3" t="b">
        <f t="shared" si="11"/>
        <v>1</v>
      </c>
      <c r="L29" s="3" t="b">
        <f t="shared" si="11"/>
        <v>0</v>
      </c>
      <c r="M29" s="3"/>
      <c r="N29" s="12">
        <v>21</v>
      </c>
      <c r="O29" s="65"/>
      <c r="P29" s="49"/>
      <c r="Q29" s="50"/>
      <c r="R29" s="51"/>
      <c r="S29" s="52"/>
      <c r="T29" s="53"/>
      <c r="U29" s="54"/>
      <c r="V29" s="62"/>
      <c r="X29" s="1">
        <f t="shared" ca="1" si="3"/>
        <v>1</v>
      </c>
      <c r="Z29" s="1">
        <f t="shared" ref="Z29:AK38" si="12">IF(Z$8=$R29,-$T29,0)+IF(Z$8=$S29,$T29,0)</f>
        <v>0</v>
      </c>
      <c r="AA29" s="1">
        <f t="shared" si="12"/>
        <v>0</v>
      </c>
      <c r="AB29" s="1">
        <f t="shared" si="12"/>
        <v>0</v>
      </c>
      <c r="AC29" s="1">
        <f t="shared" si="12"/>
        <v>0</v>
      </c>
      <c r="AD29" s="1">
        <f t="shared" si="12"/>
        <v>0</v>
      </c>
      <c r="AE29" s="1">
        <f t="shared" si="12"/>
        <v>0</v>
      </c>
      <c r="AF29" s="1">
        <f t="shared" si="12"/>
        <v>0</v>
      </c>
      <c r="AG29" s="1">
        <f t="shared" si="12"/>
        <v>0</v>
      </c>
      <c r="AH29" s="1">
        <f t="shared" si="12"/>
        <v>0</v>
      </c>
      <c r="AI29" s="1">
        <f t="shared" si="12"/>
        <v>0</v>
      </c>
      <c r="AJ29" s="1">
        <f t="shared" si="12"/>
        <v>0</v>
      </c>
      <c r="AK29" s="1">
        <f t="shared" si="12"/>
        <v>0</v>
      </c>
    </row>
    <row r="30" spans="1:37" ht="14.1" customHeight="1" x14ac:dyDescent="0.2">
      <c r="A30" s="12">
        <v>3</v>
      </c>
      <c r="B30" s="65"/>
      <c r="C30" s="115" t="str">
        <f t="shared" si="7"/>
        <v>DINH1</v>
      </c>
      <c r="D30" s="116" t="str">
        <f t="shared" si="7"/>
        <v>EM ESPÉCIE</v>
      </c>
      <c r="E30" s="117">
        <f t="shared" ca="1" si="8"/>
        <v>0</v>
      </c>
      <c r="F30" s="117">
        <f t="shared" ca="1" si="9"/>
        <v>0</v>
      </c>
      <c r="G30" s="117">
        <f t="shared" ca="1" si="10"/>
        <v>0</v>
      </c>
      <c r="H30" s="62"/>
      <c r="I30" s="3"/>
      <c r="J30" s="3" t="b">
        <f t="shared" si="11"/>
        <v>0</v>
      </c>
      <c r="K30" s="3" t="b">
        <f t="shared" si="11"/>
        <v>0</v>
      </c>
      <c r="L30" s="3" t="b">
        <f t="shared" si="11"/>
        <v>1</v>
      </c>
      <c r="M30" s="3"/>
      <c r="N30" s="16">
        <v>22</v>
      </c>
      <c r="O30" s="65"/>
      <c r="P30" s="55"/>
      <c r="Q30" s="56"/>
      <c r="R30" s="57"/>
      <c r="S30" s="58"/>
      <c r="T30" s="59"/>
      <c r="U30" s="60"/>
      <c r="V30" s="62"/>
      <c r="X30" s="1">
        <f t="shared" ca="1" si="3"/>
        <v>1</v>
      </c>
      <c r="Z30" s="1">
        <f t="shared" si="12"/>
        <v>0</v>
      </c>
      <c r="AA30" s="1">
        <f t="shared" si="12"/>
        <v>0</v>
      </c>
      <c r="AB30" s="1">
        <f t="shared" si="12"/>
        <v>0</v>
      </c>
      <c r="AC30" s="1">
        <f t="shared" si="12"/>
        <v>0</v>
      </c>
      <c r="AD30" s="1">
        <f t="shared" si="12"/>
        <v>0</v>
      </c>
      <c r="AE30" s="1">
        <f t="shared" si="12"/>
        <v>0</v>
      </c>
      <c r="AF30" s="1">
        <f t="shared" si="12"/>
        <v>0</v>
      </c>
      <c r="AG30" s="1">
        <f t="shared" si="12"/>
        <v>0</v>
      </c>
      <c r="AH30" s="1">
        <f t="shared" si="12"/>
        <v>0</v>
      </c>
      <c r="AI30" s="1">
        <f t="shared" si="12"/>
        <v>0</v>
      </c>
      <c r="AJ30" s="1">
        <f t="shared" si="12"/>
        <v>0</v>
      </c>
      <c r="AK30" s="1">
        <f t="shared" si="12"/>
        <v>0</v>
      </c>
    </row>
    <row r="31" spans="1:37" ht="14.1" customHeight="1" x14ac:dyDescent="0.2">
      <c r="A31" s="16">
        <v>4</v>
      </c>
      <c r="B31" s="65"/>
      <c r="C31" s="118" t="str">
        <f t="shared" si="7"/>
        <v>CRED1</v>
      </c>
      <c r="D31" s="119" t="str">
        <f t="shared" si="7"/>
        <v>CARTÃO DE CRÉDITO 1</v>
      </c>
      <c r="E31" s="120">
        <f t="shared" ca="1" si="8"/>
        <v>0</v>
      </c>
      <c r="F31" s="120">
        <f t="shared" ca="1" si="9"/>
        <v>0</v>
      </c>
      <c r="G31" s="120">
        <f t="shared" ca="1" si="10"/>
        <v>0</v>
      </c>
      <c r="H31" s="62"/>
      <c r="I31" s="3"/>
      <c r="J31" s="3" t="b">
        <f t="shared" si="11"/>
        <v>0</v>
      </c>
      <c r="K31" s="3" t="b">
        <f t="shared" si="11"/>
        <v>0</v>
      </c>
      <c r="L31" s="3" t="b">
        <f t="shared" si="11"/>
        <v>0</v>
      </c>
      <c r="M31" s="3"/>
      <c r="N31" s="12">
        <v>23</v>
      </c>
      <c r="O31" s="65"/>
      <c r="P31" s="49"/>
      <c r="Q31" s="50"/>
      <c r="R31" s="51"/>
      <c r="S31" s="52"/>
      <c r="T31" s="53"/>
      <c r="U31" s="54"/>
      <c r="V31" s="62"/>
      <c r="X31" s="1">
        <f t="shared" ca="1" si="3"/>
        <v>1</v>
      </c>
      <c r="Z31" s="1">
        <f t="shared" si="12"/>
        <v>0</v>
      </c>
      <c r="AA31" s="1">
        <f t="shared" si="12"/>
        <v>0</v>
      </c>
      <c r="AB31" s="1">
        <f t="shared" si="12"/>
        <v>0</v>
      </c>
      <c r="AC31" s="1">
        <f t="shared" si="12"/>
        <v>0</v>
      </c>
      <c r="AD31" s="1">
        <f t="shared" si="12"/>
        <v>0</v>
      </c>
      <c r="AE31" s="1">
        <f t="shared" si="12"/>
        <v>0</v>
      </c>
      <c r="AF31" s="1">
        <f t="shared" si="12"/>
        <v>0</v>
      </c>
      <c r="AG31" s="1">
        <f t="shared" si="12"/>
        <v>0</v>
      </c>
      <c r="AH31" s="1">
        <f t="shared" si="12"/>
        <v>0</v>
      </c>
      <c r="AI31" s="1">
        <f t="shared" si="12"/>
        <v>0</v>
      </c>
      <c r="AJ31" s="1">
        <f t="shared" si="12"/>
        <v>0</v>
      </c>
      <c r="AK31" s="1">
        <f t="shared" si="12"/>
        <v>0</v>
      </c>
    </row>
    <row r="32" spans="1:37" ht="14.1" customHeight="1" x14ac:dyDescent="0.2">
      <c r="A32" s="12">
        <v>5</v>
      </c>
      <c r="B32" s="65"/>
      <c r="C32" s="115" t="str">
        <f t="shared" si="7"/>
        <v>---</v>
      </c>
      <c r="D32" s="116" t="str">
        <f t="shared" si="7"/>
        <v/>
      </c>
      <c r="E32" s="117">
        <f t="shared" ca="1" si="8"/>
        <v>0</v>
      </c>
      <c r="F32" s="117">
        <f t="shared" ca="1" si="9"/>
        <v>0</v>
      </c>
      <c r="G32" s="117">
        <f t="shared" ca="1" si="10"/>
        <v>0</v>
      </c>
      <c r="H32" s="62"/>
      <c r="I32" s="3"/>
      <c r="J32" s="3" t="b">
        <f t="shared" si="11"/>
        <v>0</v>
      </c>
      <c r="K32" s="3" t="b">
        <f t="shared" si="11"/>
        <v>0</v>
      </c>
      <c r="L32" s="3" t="b">
        <f t="shared" si="11"/>
        <v>0</v>
      </c>
      <c r="M32" s="3"/>
      <c r="N32" s="16">
        <v>24</v>
      </c>
      <c r="O32" s="65"/>
      <c r="P32" s="55"/>
      <c r="Q32" s="56"/>
      <c r="R32" s="57"/>
      <c r="S32" s="58"/>
      <c r="T32" s="59"/>
      <c r="U32" s="60"/>
      <c r="V32" s="62"/>
      <c r="X32" s="1">
        <f t="shared" ca="1" si="3"/>
        <v>1</v>
      </c>
      <c r="Z32" s="1">
        <f t="shared" si="12"/>
        <v>0</v>
      </c>
      <c r="AA32" s="1">
        <f t="shared" si="12"/>
        <v>0</v>
      </c>
      <c r="AB32" s="1">
        <f t="shared" si="12"/>
        <v>0</v>
      </c>
      <c r="AC32" s="1">
        <f t="shared" si="12"/>
        <v>0</v>
      </c>
      <c r="AD32" s="1">
        <f t="shared" si="12"/>
        <v>0</v>
      </c>
      <c r="AE32" s="1">
        <f t="shared" si="12"/>
        <v>0</v>
      </c>
      <c r="AF32" s="1">
        <f t="shared" si="12"/>
        <v>0</v>
      </c>
      <c r="AG32" s="1">
        <f t="shared" si="12"/>
        <v>0</v>
      </c>
      <c r="AH32" s="1">
        <f t="shared" si="12"/>
        <v>0</v>
      </c>
      <c r="AI32" s="1">
        <f t="shared" si="12"/>
        <v>0</v>
      </c>
      <c r="AJ32" s="1">
        <f t="shared" si="12"/>
        <v>0</v>
      </c>
      <c r="AK32" s="1">
        <f t="shared" si="12"/>
        <v>0</v>
      </c>
    </row>
    <row r="33" spans="1:37" ht="14.1" customHeight="1" x14ac:dyDescent="0.2">
      <c r="A33" s="16">
        <v>6</v>
      </c>
      <c r="B33" s="65"/>
      <c r="C33" s="118" t="str">
        <f t="shared" si="7"/>
        <v>---</v>
      </c>
      <c r="D33" s="119" t="str">
        <f t="shared" si="7"/>
        <v/>
      </c>
      <c r="E33" s="120">
        <f t="shared" ca="1" si="8"/>
        <v>0</v>
      </c>
      <c r="F33" s="120">
        <f t="shared" ca="1" si="9"/>
        <v>0</v>
      </c>
      <c r="G33" s="120">
        <f t="shared" ca="1" si="10"/>
        <v>0</v>
      </c>
      <c r="H33" s="62"/>
      <c r="I33" s="3"/>
      <c r="J33" s="3" t="b">
        <f t="shared" si="11"/>
        <v>0</v>
      </c>
      <c r="K33" s="3" t="b">
        <f t="shared" si="11"/>
        <v>0</v>
      </c>
      <c r="L33" s="3" t="b">
        <f t="shared" si="11"/>
        <v>0</v>
      </c>
      <c r="M33" s="3"/>
      <c r="N33" s="12">
        <v>25</v>
      </c>
      <c r="O33" s="65"/>
      <c r="P33" s="49"/>
      <c r="Q33" s="50"/>
      <c r="R33" s="51"/>
      <c r="S33" s="52"/>
      <c r="T33" s="53"/>
      <c r="U33" s="54"/>
      <c r="V33" s="62"/>
      <c r="X33" s="1">
        <f t="shared" ca="1" si="3"/>
        <v>1</v>
      </c>
      <c r="Z33" s="1">
        <f t="shared" si="12"/>
        <v>0</v>
      </c>
      <c r="AA33" s="1">
        <f t="shared" si="12"/>
        <v>0</v>
      </c>
      <c r="AB33" s="1">
        <f t="shared" si="12"/>
        <v>0</v>
      </c>
      <c r="AC33" s="1">
        <f t="shared" si="12"/>
        <v>0</v>
      </c>
      <c r="AD33" s="1">
        <f t="shared" si="12"/>
        <v>0</v>
      </c>
      <c r="AE33" s="1">
        <f t="shared" si="12"/>
        <v>0</v>
      </c>
      <c r="AF33" s="1">
        <f t="shared" si="12"/>
        <v>0</v>
      </c>
      <c r="AG33" s="1">
        <f t="shared" si="12"/>
        <v>0</v>
      </c>
      <c r="AH33" s="1">
        <f t="shared" si="12"/>
        <v>0</v>
      </c>
      <c r="AI33" s="1">
        <f t="shared" si="12"/>
        <v>0</v>
      </c>
      <c r="AJ33" s="1">
        <f t="shared" si="12"/>
        <v>0</v>
      </c>
      <c r="AK33" s="1">
        <f t="shared" si="12"/>
        <v>0</v>
      </c>
    </row>
    <row r="34" spans="1:37" ht="14.1" customHeight="1" x14ac:dyDescent="0.2">
      <c r="A34" s="12">
        <v>7</v>
      </c>
      <c r="B34" s="65"/>
      <c r="C34" s="115" t="str">
        <f t="shared" si="7"/>
        <v>---</v>
      </c>
      <c r="D34" s="116" t="str">
        <f t="shared" si="7"/>
        <v/>
      </c>
      <c r="E34" s="117">
        <f t="shared" ca="1" si="8"/>
        <v>0</v>
      </c>
      <c r="F34" s="117">
        <f t="shared" ca="1" si="9"/>
        <v>0</v>
      </c>
      <c r="G34" s="117">
        <f t="shared" ca="1" si="10"/>
        <v>0</v>
      </c>
      <c r="H34" s="62"/>
      <c r="I34" s="3"/>
      <c r="J34" s="3" t="b">
        <f t="shared" si="11"/>
        <v>0</v>
      </c>
      <c r="K34" s="3" t="b">
        <f t="shared" si="11"/>
        <v>0</v>
      </c>
      <c r="L34" s="3" t="b">
        <f t="shared" si="11"/>
        <v>0</v>
      </c>
      <c r="M34" s="3"/>
      <c r="N34" s="16">
        <v>26</v>
      </c>
      <c r="O34" s="65"/>
      <c r="P34" s="55"/>
      <c r="Q34" s="56"/>
      <c r="R34" s="57"/>
      <c r="S34" s="58"/>
      <c r="T34" s="59"/>
      <c r="U34" s="60"/>
      <c r="V34" s="62"/>
      <c r="X34" s="1">
        <f t="shared" ca="1" si="3"/>
        <v>1</v>
      </c>
      <c r="Z34" s="1">
        <f t="shared" si="12"/>
        <v>0</v>
      </c>
      <c r="AA34" s="1">
        <f t="shared" si="12"/>
        <v>0</v>
      </c>
      <c r="AB34" s="1">
        <f t="shared" si="12"/>
        <v>0</v>
      </c>
      <c r="AC34" s="1">
        <f t="shared" si="12"/>
        <v>0</v>
      </c>
      <c r="AD34" s="1">
        <f t="shared" si="12"/>
        <v>0</v>
      </c>
      <c r="AE34" s="1">
        <f t="shared" si="12"/>
        <v>0</v>
      </c>
      <c r="AF34" s="1">
        <f t="shared" si="12"/>
        <v>0</v>
      </c>
      <c r="AG34" s="1">
        <f t="shared" si="12"/>
        <v>0</v>
      </c>
      <c r="AH34" s="1">
        <f t="shared" si="12"/>
        <v>0</v>
      </c>
      <c r="AI34" s="1">
        <f t="shared" si="12"/>
        <v>0</v>
      </c>
      <c r="AJ34" s="1">
        <f t="shared" si="12"/>
        <v>0</v>
      </c>
      <c r="AK34" s="1">
        <f t="shared" si="12"/>
        <v>0</v>
      </c>
    </row>
    <row r="35" spans="1:37" ht="14.1" customHeight="1" x14ac:dyDescent="0.2">
      <c r="A35" s="16">
        <v>8</v>
      </c>
      <c r="B35" s="65"/>
      <c r="C35" s="118" t="str">
        <f t="shared" si="7"/>
        <v>---</v>
      </c>
      <c r="D35" s="119" t="str">
        <f t="shared" si="7"/>
        <v/>
      </c>
      <c r="E35" s="120">
        <f t="shared" ca="1" si="8"/>
        <v>0</v>
      </c>
      <c r="F35" s="120">
        <f t="shared" ca="1" si="9"/>
        <v>0</v>
      </c>
      <c r="G35" s="120">
        <f t="shared" ca="1" si="10"/>
        <v>0</v>
      </c>
      <c r="H35" s="62"/>
      <c r="I35" s="3"/>
      <c r="J35" s="3" t="b">
        <f t="shared" si="11"/>
        <v>0</v>
      </c>
      <c r="K35" s="3" t="b">
        <f t="shared" si="11"/>
        <v>0</v>
      </c>
      <c r="L35" s="3" t="b">
        <f t="shared" si="11"/>
        <v>0</v>
      </c>
      <c r="M35" s="3"/>
      <c r="N35" s="12">
        <v>27</v>
      </c>
      <c r="O35" s="65"/>
      <c r="P35" s="49"/>
      <c r="Q35" s="50"/>
      <c r="R35" s="51"/>
      <c r="S35" s="52"/>
      <c r="T35" s="53"/>
      <c r="U35" s="54"/>
      <c r="V35" s="62"/>
      <c r="X35" s="1">
        <f t="shared" ca="1" si="3"/>
        <v>1</v>
      </c>
      <c r="Z35" s="1">
        <f t="shared" si="12"/>
        <v>0</v>
      </c>
      <c r="AA35" s="1">
        <f t="shared" si="12"/>
        <v>0</v>
      </c>
      <c r="AB35" s="1">
        <f t="shared" si="12"/>
        <v>0</v>
      </c>
      <c r="AC35" s="1">
        <f t="shared" si="12"/>
        <v>0</v>
      </c>
      <c r="AD35" s="1">
        <f t="shared" si="12"/>
        <v>0</v>
      </c>
      <c r="AE35" s="1">
        <f t="shared" si="12"/>
        <v>0</v>
      </c>
      <c r="AF35" s="1">
        <f t="shared" si="12"/>
        <v>0</v>
      </c>
      <c r="AG35" s="1">
        <f t="shared" si="12"/>
        <v>0</v>
      </c>
      <c r="AH35" s="1">
        <f t="shared" si="12"/>
        <v>0</v>
      </c>
      <c r="AI35" s="1">
        <f t="shared" si="12"/>
        <v>0</v>
      </c>
      <c r="AJ35" s="1">
        <f t="shared" si="12"/>
        <v>0</v>
      </c>
      <c r="AK35" s="1">
        <f t="shared" si="12"/>
        <v>0</v>
      </c>
    </row>
    <row r="36" spans="1:37" ht="14.1" customHeight="1" x14ac:dyDescent="0.2">
      <c r="A36" s="12">
        <v>9</v>
      </c>
      <c r="B36" s="65"/>
      <c r="C36" s="115" t="str">
        <f t="shared" si="7"/>
        <v>---</v>
      </c>
      <c r="D36" s="116" t="str">
        <f t="shared" si="7"/>
        <v/>
      </c>
      <c r="E36" s="117">
        <f t="shared" ca="1" si="8"/>
        <v>0</v>
      </c>
      <c r="F36" s="117">
        <f t="shared" ca="1" si="9"/>
        <v>0</v>
      </c>
      <c r="G36" s="117">
        <f t="shared" ca="1" si="10"/>
        <v>0</v>
      </c>
      <c r="H36" s="62"/>
      <c r="I36" s="3"/>
      <c r="J36" s="3" t="b">
        <f t="shared" si="11"/>
        <v>0</v>
      </c>
      <c r="K36" s="3" t="b">
        <f t="shared" si="11"/>
        <v>0</v>
      </c>
      <c r="L36" s="3" t="b">
        <f t="shared" si="11"/>
        <v>0</v>
      </c>
      <c r="M36" s="3"/>
      <c r="N36" s="16">
        <v>28</v>
      </c>
      <c r="O36" s="65"/>
      <c r="P36" s="55"/>
      <c r="Q36" s="56"/>
      <c r="R36" s="57"/>
      <c r="S36" s="58"/>
      <c r="T36" s="59"/>
      <c r="U36" s="60"/>
      <c r="V36" s="62"/>
      <c r="X36" s="1">
        <f t="shared" ca="1" si="3"/>
        <v>1</v>
      </c>
      <c r="Z36" s="1">
        <f t="shared" si="12"/>
        <v>0</v>
      </c>
      <c r="AA36" s="1">
        <f t="shared" si="12"/>
        <v>0</v>
      </c>
      <c r="AB36" s="1">
        <f t="shared" si="12"/>
        <v>0</v>
      </c>
      <c r="AC36" s="1">
        <f t="shared" si="12"/>
        <v>0</v>
      </c>
      <c r="AD36" s="1">
        <f t="shared" si="12"/>
        <v>0</v>
      </c>
      <c r="AE36" s="1">
        <f t="shared" si="12"/>
        <v>0</v>
      </c>
      <c r="AF36" s="1">
        <f t="shared" si="12"/>
        <v>0</v>
      </c>
      <c r="AG36" s="1">
        <f t="shared" si="12"/>
        <v>0</v>
      </c>
      <c r="AH36" s="1">
        <f t="shared" si="12"/>
        <v>0</v>
      </c>
      <c r="AI36" s="1">
        <f t="shared" si="12"/>
        <v>0</v>
      </c>
      <c r="AJ36" s="1">
        <f t="shared" si="12"/>
        <v>0</v>
      </c>
      <c r="AK36" s="1">
        <f t="shared" si="12"/>
        <v>0</v>
      </c>
    </row>
    <row r="37" spans="1:37" ht="14.1" customHeight="1" x14ac:dyDescent="0.2">
      <c r="A37" s="16">
        <v>10</v>
      </c>
      <c r="B37" s="65"/>
      <c r="C37" s="118" t="str">
        <f t="shared" si="7"/>
        <v>---</v>
      </c>
      <c r="D37" s="119" t="str">
        <f t="shared" si="7"/>
        <v/>
      </c>
      <c r="E37" s="120">
        <f t="shared" ca="1" si="8"/>
        <v>0</v>
      </c>
      <c r="F37" s="120">
        <f t="shared" ca="1" si="9"/>
        <v>0</v>
      </c>
      <c r="G37" s="120">
        <f t="shared" ca="1" si="10"/>
        <v>0</v>
      </c>
      <c r="H37" s="62"/>
      <c r="I37" s="3"/>
      <c r="J37" s="3" t="b">
        <f t="shared" si="11"/>
        <v>0</v>
      </c>
      <c r="K37" s="3" t="b">
        <f t="shared" si="11"/>
        <v>0</v>
      </c>
      <c r="L37" s="3" t="b">
        <f t="shared" si="11"/>
        <v>0</v>
      </c>
      <c r="M37" s="3"/>
      <c r="N37" s="12">
        <v>29</v>
      </c>
      <c r="O37" s="65"/>
      <c r="P37" s="49"/>
      <c r="Q37" s="50"/>
      <c r="R37" s="51"/>
      <c r="S37" s="52"/>
      <c r="T37" s="53"/>
      <c r="U37" s="54"/>
      <c r="V37" s="62"/>
      <c r="X37" s="1">
        <f t="shared" ca="1" si="3"/>
        <v>1</v>
      </c>
      <c r="Z37" s="1">
        <f t="shared" si="12"/>
        <v>0</v>
      </c>
      <c r="AA37" s="1">
        <f t="shared" si="12"/>
        <v>0</v>
      </c>
      <c r="AB37" s="1">
        <f t="shared" si="12"/>
        <v>0</v>
      </c>
      <c r="AC37" s="1">
        <f t="shared" si="12"/>
        <v>0</v>
      </c>
      <c r="AD37" s="1">
        <f t="shared" si="12"/>
        <v>0</v>
      </c>
      <c r="AE37" s="1">
        <f t="shared" si="12"/>
        <v>0</v>
      </c>
      <c r="AF37" s="1">
        <f t="shared" si="12"/>
        <v>0</v>
      </c>
      <c r="AG37" s="1">
        <f t="shared" si="12"/>
        <v>0</v>
      </c>
      <c r="AH37" s="1">
        <f t="shared" si="12"/>
        <v>0</v>
      </c>
      <c r="AI37" s="1">
        <f t="shared" si="12"/>
        <v>0</v>
      </c>
      <c r="AJ37" s="1">
        <f t="shared" si="12"/>
        <v>0</v>
      </c>
      <c r="AK37" s="1">
        <f t="shared" si="12"/>
        <v>0</v>
      </c>
    </row>
    <row r="38" spans="1:37" ht="14.1" customHeight="1" x14ac:dyDescent="0.2">
      <c r="A38" s="12">
        <v>11</v>
      </c>
      <c r="B38" s="65"/>
      <c r="C38" s="115" t="str">
        <f t="shared" si="7"/>
        <v>---</v>
      </c>
      <c r="D38" s="116" t="str">
        <f t="shared" si="7"/>
        <v/>
      </c>
      <c r="E38" s="117">
        <f t="shared" ca="1" si="8"/>
        <v>0</v>
      </c>
      <c r="F38" s="117">
        <f t="shared" ca="1" si="9"/>
        <v>0</v>
      </c>
      <c r="G38" s="117">
        <f t="shared" ca="1" si="10"/>
        <v>0</v>
      </c>
      <c r="H38" s="62"/>
      <c r="I38" s="3"/>
      <c r="J38" s="3" t="b">
        <f t="shared" si="11"/>
        <v>0</v>
      </c>
      <c r="K38" s="3" t="b">
        <f t="shared" si="11"/>
        <v>0</v>
      </c>
      <c r="L38" s="3" t="b">
        <f t="shared" si="11"/>
        <v>0</v>
      </c>
      <c r="M38" s="3"/>
      <c r="N38" s="16">
        <v>30</v>
      </c>
      <c r="O38" s="65"/>
      <c r="P38" s="55"/>
      <c r="Q38" s="56"/>
      <c r="R38" s="57"/>
      <c r="S38" s="58"/>
      <c r="T38" s="59"/>
      <c r="U38" s="60"/>
      <c r="V38" s="62"/>
      <c r="X38" s="1">
        <f t="shared" ca="1" si="3"/>
        <v>1</v>
      </c>
      <c r="Z38" s="1">
        <f t="shared" si="12"/>
        <v>0</v>
      </c>
      <c r="AA38" s="1">
        <f t="shared" si="12"/>
        <v>0</v>
      </c>
      <c r="AB38" s="1">
        <f t="shared" si="12"/>
        <v>0</v>
      </c>
      <c r="AC38" s="1">
        <f t="shared" si="12"/>
        <v>0</v>
      </c>
      <c r="AD38" s="1">
        <f t="shared" si="12"/>
        <v>0</v>
      </c>
      <c r="AE38" s="1">
        <f t="shared" si="12"/>
        <v>0</v>
      </c>
      <c r="AF38" s="1">
        <f t="shared" si="12"/>
        <v>0</v>
      </c>
      <c r="AG38" s="1">
        <f t="shared" si="12"/>
        <v>0</v>
      </c>
      <c r="AH38" s="1">
        <f t="shared" si="12"/>
        <v>0</v>
      </c>
      <c r="AI38" s="1">
        <f t="shared" si="12"/>
        <v>0</v>
      </c>
      <c r="AJ38" s="1">
        <f t="shared" si="12"/>
        <v>0</v>
      </c>
      <c r="AK38" s="1">
        <f t="shared" si="12"/>
        <v>0</v>
      </c>
    </row>
    <row r="39" spans="1:37" ht="14.1" customHeight="1" x14ac:dyDescent="0.2">
      <c r="A39" s="16">
        <v>12</v>
      </c>
      <c r="B39" s="66"/>
      <c r="C39" s="121" t="str">
        <f t="shared" si="7"/>
        <v>---</v>
      </c>
      <c r="D39" s="122" t="str">
        <f t="shared" si="7"/>
        <v/>
      </c>
      <c r="E39" s="123">
        <f t="shared" ca="1" si="8"/>
        <v>0</v>
      </c>
      <c r="F39" s="123">
        <f t="shared" ca="1" si="9"/>
        <v>0</v>
      </c>
      <c r="G39" s="123">
        <f t="shared" ca="1" si="10"/>
        <v>0</v>
      </c>
      <c r="H39" s="63"/>
      <c r="I39" s="3"/>
      <c r="J39" s="3" t="b">
        <f t="shared" si="11"/>
        <v>0</v>
      </c>
      <c r="K39" s="3" t="b">
        <f t="shared" si="11"/>
        <v>0</v>
      </c>
      <c r="L39" s="3" t="b">
        <f t="shared" si="11"/>
        <v>0</v>
      </c>
      <c r="M39" s="3"/>
      <c r="N39" s="12">
        <v>31</v>
      </c>
      <c r="O39" s="65"/>
      <c r="P39" s="49"/>
      <c r="Q39" s="50"/>
      <c r="R39" s="51"/>
      <c r="S39" s="52"/>
      <c r="T39" s="53"/>
      <c r="U39" s="54"/>
      <c r="V39" s="62"/>
      <c r="X39" s="1">
        <f t="shared" ca="1" si="3"/>
        <v>1</v>
      </c>
      <c r="Z39" s="1">
        <f t="shared" ref="Z39:AK48" si="13">IF(Z$8=$R39,-$T39,0)+IF(Z$8=$S39,$T39,0)</f>
        <v>0</v>
      </c>
      <c r="AA39" s="1">
        <f t="shared" si="13"/>
        <v>0</v>
      </c>
      <c r="AB39" s="1">
        <f t="shared" si="13"/>
        <v>0</v>
      </c>
      <c r="AC39" s="1">
        <f t="shared" si="13"/>
        <v>0</v>
      </c>
      <c r="AD39" s="1">
        <f t="shared" si="13"/>
        <v>0</v>
      </c>
      <c r="AE39" s="1">
        <f t="shared" si="13"/>
        <v>0</v>
      </c>
      <c r="AF39" s="1">
        <f t="shared" si="13"/>
        <v>0</v>
      </c>
      <c r="AG39" s="1">
        <f t="shared" si="13"/>
        <v>0</v>
      </c>
      <c r="AH39" s="1">
        <f t="shared" si="13"/>
        <v>0</v>
      </c>
      <c r="AI39" s="1">
        <f t="shared" si="13"/>
        <v>0</v>
      </c>
      <c r="AJ39" s="1">
        <f t="shared" si="13"/>
        <v>0</v>
      </c>
      <c r="AK39" s="1">
        <f t="shared" si="13"/>
        <v>0</v>
      </c>
    </row>
    <row r="40" spans="1:37" ht="14.1" customHeight="1" x14ac:dyDescent="0.2">
      <c r="A40" s="12"/>
      <c r="B40" s="124"/>
      <c r="C40" s="125"/>
      <c r="D40" s="126"/>
      <c r="E40" s="126"/>
      <c r="F40" s="126"/>
      <c r="G40" s="126"/>
      <c r="H40" s="127"/>
      <c r="I40" s="3"/>
      <c r="J40" s="3"/>
      <c r="K40" s="3"/>
      <c r="L40" s="3"/>
      <c r="M40" s="3"/>
      <c r="N40" s="16">
        <v>32</v>
      </c>
      <c r="O40" s="65"/>
      <c r="P40" s="55"/>
      <c r="Q40" s="56"/>
      <c r="R40" s="57"/>
      <c r="S40" s="58"/>
      <c r="T40" s="59"/>
      <c r="U40" s="60"/>
      <c r="V40" s="62"/>
      <c r="X40" s="1">
        <f t="shared" ca="1" si="3"/>
        <v>1</v>
      </c>
      <c r="Z40" s="1">
        <f t="shared" si="13"/>
        <v>0</v>
      </c>
      <c r="AA40" s="1">
        <f t="shared" si="13"/>
        <v>0</v>
      </c>
      <c r="AB40" s="1">
        <f t="shared" si="13"/>
        <v>0</v>
      </c>
      <c r="AC40" s="1">
        <f t="shared" si="13"/>
        <v>0</v>
      </c>
      <c r="AD40" s="1">
        <f t="shared" si="13"/>
        <v>0</v>
      </c>
      <c r="AE40" s="1">
        <f t="shared" si="13"/>
        <v>0</v>
      </c>
      <c r="AF40" s="1">
        <f t="shared" si="13"/>
        <v>0</v>
      </c>
      <c r="AG40" s="1">
        <f t="shared" si="13"/>
        <v>0</v>
      </c>
      <c r="AH40" s="1">
        <f t="shared" si="13"/>
        <v>0</v>
      </c>
      <c r="AI40" s="1">
        <f t="shared" si="13"/>
        <v>0</v>
      </c>
      <c r="AJ40" s="1">
        <f t="shared" si="13"/>
        <v>0</v>
      </c>
      <c r="AK40" s="1">
        <f t="shared" si="13"/>
        <v>0</v>
      </c>
    </row>
    <row r="41" spans="1:37" ht="14.1" customHeight="1" x14ac:dyDescent="0.2">
      <c r="I41" s="3"/>
      <c r="J41" s="3"/>
      <c r="K41" s="3"/>
      <c r="L41" s="3"/>
      <c r="M41" s="3"/>
      <c r="N41" s="12">
        <v>33</v>
      </c>
      <c r="O41" s="65"/>
      <c r="P41" s="49"/>
      <c r="Q41" s="50"/>
      <c r="R41" s="51"/>
      <c r="S41" s="52"/>
      <c r="T41" s="53"/>
      <c r="U41" s="54"/>
      <c r="V41" s="62"/>
      <c r="X41" s="1">
        <f t="shared" ref="X41:X72" ca="1" si="14">IF(P41&lt;NOW(),1,0)</f>
        <v>1</v>
      </c>
      <c r="Z41" s="1">
        <f t="shared" si="13"/>
        <v>0</v>
      </c>
      <c r="AA41" s="1">
        <f t="shared" si="13"/>
        <v>0</v>
      </c>
      <c r="AB41" s="1">
        <f t="shared" si="13"/>
        <v>0</v>
      </c>
      <c r="AC41" s="1">
        <f t="shared" si="13"/>
        <v>0</v>
      </c>
      <c r="AD41" s="1">
        <f t="shared" si="13"/>
        <v>0</v>
      </c>
      <c r="AE41" s="1">
        <f t="shared" si="13"/>
        <v>0</v>
      </c>
      <c r="AF41" s="1">
        <f t="shared" si="13"/>
        <v>0</v>
      </c>
      <c r="AG41" s="1">
        <f t="shared" si="13"/>
        <v>0</v>
      </c>
      <c r="AH41" s="1">
        <f t="shared" si="13"/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</row>
    <row r="42" spans="1:37" ht="14.1" customHeight="1" x14ac:dyDescent="0.2">
      <c r="B42" s="91"/>
      <c r="C42" s="92"/>
      <c r="D42" s="93"/>
      <c r="E42" s="93"/>
      <c r="F42" s="93"/>
      <c r="G42" s="93"/>
      <c r="H42" s="94"/>
      <c r="I42" s="3"/>
      <c r="J42" s="3"/>
      <c r="K42" s="3"/>
      <c r="L42" s="3"/>
      <c r="M42" s="3"/>
      <c r="N42" s="16">
        <v>34</v>
      </c>
      <c r="O42" s="65"/>
      <c r="P42" s="55"/>
      <c r="Q42" s="56"/>
      <c r="R42" s="57"/>
      <c r="S42" s="58"/>
      <c r="T42" s="59"/>
      <c r="U42" s="60"/>
      <c r="V42" s="62"/>
      <c r="X42" s="1">
        <f t="shared" ca="1" si="14"/>
        <v>1</v>
      </c>
      <c r="Z42" s="1">
        <f t="shared" si="13"/>
        <v>0</v>
      </c>
      <c r="AA42" s="1">
        <f t="shared" si="13"/>
        <v>0</v>
      </c>
      <c r="AB42" s="1">
        <f t="shared" si="13"/>
        <v>0</v>
      </c>
      <c r="AC42" s="1">
        <f t="shared" si="13"/>
        <v>0</v>
      </c>
      <c r="AD42" s="1">
        <f t="shared" si="13"/>
        <v>0</v>
      </c>
      <c r="AE42" s="1">
        <f t="shared" si="13"/>
        <v>0</v>
      </c>
      <c r="AF42" s="1">
        <f t="shared" si="13"/>
        <v>0</v>
      </c>
      <c r="AG42" s="1">
        <f t="shared" si="13"/>
        <v>0</v>
      </c>
      <c r="AH42" s="1">
        <f t="shared" si="13"/>
        <v>0</v>
      </c>
      <c r="AI42" s="1">
        <f t="shared" si="13"/>
        <v>0</v>
      </c>
      <c r="AJ42" s="1">
        <f t="shared" si="13"/>
        <v>0</v>
      </c>
      <c r="AK42" s="1">
        <f t="shared" si="13"/>
        <v>0</v>
      </c>
    </row>
    <row r="43" spans="1:37" ht="14.1" customHeight="1" x14ac:dyDescent="0.2">
      <c r="B43" s="95"/>
      <c r="C43" s="286" t="s">
        <v>106</v>
      </c>
      <c r="D43" s="286"/>
      <c r="E43" s="286"/>
      <c r="F43" s="286"/>
      <c r="G43" s="286"/>
      <c r="H43" s="96"/>
      <c r="I43" s="3"/>
      <c r="J43" s="3"/>
      <c r="K43" s="3"/>
      <c r="L43" s="3"/>
      <c r="M43" s="3"/>
      <c r="N43" s="12">
        <v>35</v>
      </c>
      <c r="O43" s="65"/>
      <c r="P43" s="49"/>
      <c r="Q43" s="50"/>
      <c r="R43" s="51"/>
      <c r="S43" s="52"/>
      <c r="T43" s="53"/>
      <c r="U43" s="54"/>
      <c r="V43" s="62"/>
      <c r="X43" s="1">
        <f t="shared" ca="1" si="14"/>
        <v>1</v>
      </c>
      <c r="Z43" s="1">
        <f t="shared" si="13"/>
        <v>0</v>
      </c>
      <c r="AA43" s="1">
        <f t="shared" si="13"/>
        <v>0</v>
      </c>
      <c r="AB43" s="1">
        <f t="shared" si="13"/>
        <v>0</v>
      </c>
      <c r="AC43" s="1">
        <f t="shared" si="13"/>
        <v>0</v>
      </c>
      <c r="AD43" s="1">
        <f t="shared" si="13"/>
        <v>0</v>
      </c>
      <c r="AE43" s="1">
        <f t="shared" si="13"/>
        <v>0</v>
      </c>
      <c r="AF43" s="1">
        <f t="shared" si="13"/>
        <v>0</v>
      </c>
      <c r="AG43" s="1">
        <f t="shared" si="13"/>
        <v>0</v>
      </c>
      <c r="AH43" s="1">
        <f t="shared" si="13"/>
        <v>0</v>
      </c>
      <c r="AI43" s="1">
        <f t="shared" si="13"/>
        <v>0</v>
      </c>
      <c r="AJ43" s="1">
        <f t="shared" si="13"/>
        <v>0</v>
      </c>
      <c r="AK43" s="1">
        <f t="shared" si="13"/>
        <v>0</v>
      </c>
    </row>
    <row r="44" spans="1:37" ht="14.1" customHeight="1" x14ac:dyDescent="0.2">
      <c r="B44" s="95"/>
      <c r="C44" s="286"/>
      <c r="D44" s="286"/>
      <c r="E44" s="286"/>
      <c r="F44" s="286"/>
      <c r="G44" s="286"/>
      <c r="H44" s="96"/>
      <c r="I44" s="3"/>
      <c r="J44" s="3"/>
      <c r="K44" s="3"/>
      <c r="L44" s="3"/>
      <c r="M44" s="3"/>
      <c r="N44" s="16">
        <v>36</v>
      </c>
      <c r="O44" s="65"/>
      <c r="P44" s="55"/>
      <c r="Q44" s="56"/>
      <c r="R44" s="57"/>
      <c r="S44" s="58"/>
      <c r="T44" s="59"/>
      <c r="U44" s="60"/>
      <c r="V44" s="62"/>
      <c r="X44" s="1">
        <f t="shared" ca="1" si="14"/>
        <v>1</v>
      </c>
      <c r="Z44" s="1">
        <f t="shared" si="13"/>
        <v>0</v>
      </c>
      <c r="AA44" s="1">
        <f t="shared" si="13"/>
        <v>0</v>
      </c>
      <c r="AB44" s="1">
        <f t="shared" si="13"/>
        <v>0</v>
      </c>
      <c r="AC44" s="1">
        <f t="shared" si="13"/>
        <v>0</v>
      </c>
      <c r="AD44" s="1">
        <f t="shared" si="13"/>
        <v>0</v>
      </c>
      <c r="AE44" s="1">
        <f t="shared" si="13"/>
        <v>0</v>
      </c>
      <c r="AF44" s="1">
        <f t="shared" si="13"/>
        <v>0</v>
      </c>
      <c r="AG44" s="1">
        <f t="shared" si="13"/>
        <v>0</v>
      </c>
      <c r="AH44" s="1">
        <f t="shared" si="13"/>
        <v>0</v>
      </c>
      <c r="AI44" s="1">
        <f t="shared" si="13"/>
        <v>0</v>
      </c>
      <c r="AJ44" s="1">
        <f t="shared" si="13"/>
        <v>0</v>
      </c>
      <c r="AK44" s="1">
        <f t="shared" si="13"/>
        <v>0</v>
      </c>
    </row>
    <row r="45" spans="1:37" ht="14.1" customHeight="1" x14ac:dyDescent="0.2">
      <c r="B45" s="46"/>
      <c r="C45" s="271" t="s">
        <v>20</v>
      </c>
      <c r="D45" s="273" t="s">
        <v>5</v>
      </c>
      <c r="E45" s="275" t="s">
        <v>104</v>
      </c>
      <c r="F45" s="275" t="s">
        <v>89</v>
      </c>
      <c r="G45" s="276" t="s">
        <v>6</v>
      </c>
      <c r="H45" s="96"/>
      <c r="I45" s="3"/>
      <c r="J45" s="3"/>
      <c r="K45" s="3"/>
      <c r="L45" s="3"/>
      <c r="M45" s="3"/>
      <c r="N45" s="12">
        <v>37</v>
      </c>
      <c r="O45" s="65"/>
      <c r="P45" s="49"/>
      <c r="Q45" s="50"/>
      <c r="R45" s="51"/>
      <c r="S45" s="52"/>
      <c r="T45" s="53"/>
      <c r="U45" s="54"/>
      <c r="V45" s="62"/>
      <c r="X45" s="1">
        <f t="shared" ca="1" si="14"/>
        <v>1</v>
      </c>
      <c r="Z45" s="1">
        <f t="shared" si="13"/>
        <v>0</v>
      </c>
      <c r="AA45" s="1">
        <f t="shared" si="13"/>
        <v>0</v>
      </c>
      <c r="AB45" s="1">
        <f t="shared" si="13"/>
        <v>0</v>
      </c>
      <c r="AC45" s="1">
        <f t="shared" si="13"/>
        <v>0</v>
      </c>
      <c r="AD45" s="1">
        <f t="shared" si="13"/>
        <v>0</v>
      </c>
      <c r="AE45" s="1">
        <f t="shared" si="13"/>
        <v>0</v>
      </c>
      <c r="AF45" s="1">
        <f t="shared" si="13"/>
        <v>0</v>
      </c>
      <c r="AG45" s="1">
        <f t="shared" si="13"/>
        <v>0</v>
      </c>
      <c r="AH45" s="1">
        <f t="shared" si="13"/>
        <v>0</v>
      </c>
      <c r="AI45" s="1">
        <f t="shared" si="13"/>
        <v>0</v>
      </c>
      <c r="AJ45" s="1">
        <f t="shared" si="13"/>
        <v>0</v>
      </c>
      <c r="AK45" s="1">
        <f t="shared" si="13"/>
        <v>0</v>
      </c>
    </row>
    <row r="46" spans="1:37" ht="14.1" customHeight="1" x14ac:dyDescent="0.2">
      <c r="A46" s="3"/>
      <c r="B46" s="44"/>
      <c r="C46" s="272"/>
      <c r="D46" s="274"/>
      <c r="E46" s="99" t="s">
        <v>87</v>
      </c>
      <c r="F46" s="100" t="s">
        <v>89</v>
      </c>
      <c r="G46" s="98" t="s">
        <v>6</v>
      </c>
      <c r="H46" s="97"/>
      <c r="I46" s="3"/>
      <c r="J46" s="3"/>
      <c r="K46" s="3"/>
      <c r="L46" s="3"/>
      <c r="M46" s="3"/>
      <c r="N46" s="16">
        <v>38</v>
      </c>
      <c r="O46" s="65"/>
      <c r="P46" s="55"/>
      <c r="Q46" s="56"/>
      <c r="R46" s="57"/>
      <c r="S46" s="58"/>
      <c r="T46" s="59"/>
      <c r="U46" s="60"/>
      <c r="V46" s="62"/>
      <c r="X46" s="1">
        <f t="shared" ca="1" si="14"/>
        <v>1</v>
      </c>
      <c r="Z46" s="1">
        <f t="shared" si="13"/>
        <v>0</v>
      </c>
      <c r="AA46" s="1">
        <f t="shared" si="13"/>
        <v>0</v>
      </c>
      <c r="AB46" s="1">
        <f t="shared" si="13"/>
        <v>0</v>
      </c>
      <c r="AC46" s="1">
        <f t="shared" si="13"/>
        <v>0</v>
      </c>
      <c r="AD46" s="1">
        <f t="shared" si="13"/>
        <v>0</v>
      </c>
      <c r="AE46" s="1">
        <f t="shared" si="13"/>
        <v>0</v>
      </c>
      <c r="AF46" s="1">
        <f t="shared" si="13"/>
        <v>0</v>
      </c>
      <c r="AG46" s="1">
        <f t="shared" si="13"/>
        <v>0</v>
      </c>
      <c r="AH46" s="1">
        <f t="shared" si="13"/>
        <v>0</v>
      </c>
      <c r="AI46" s="1">
        <f t="shared" si="13"/>
        <v>0</v>
      </c>
      <c r="AJ46" s="1">
        <f t="shared" si="13"/>
        <v>0</v>
      </c>
      <c r="AK46" s="1">
        <f t="shared" si="13"/>
        <v>0</v>
      </c>
    </row>
    <row r="47" spans="1:37" ht="14.1" customHeight="1" x14ac:dyDescent="0.2">
      <c r="A47" s="12">
        <v>1</v>
      </c>
      <c r="B47" s="64"/>
      <c r="C47" s="115" t="str">
        <f>ANUAL!$C115</f>
        <v>CC</v>
      </c>
      <c r="D47" s="240" t="str">
        <f>ANUAL!$D115</f>
        <v>CONTA CORRENTE</v>
      </c>
      <c r="E47" s="117">
        <f>SUMIF($J$28:$J$39,TRUE,E$28:E$39)</f>
        <v>0</v>
      </c>
      <c r="F47" s="117">
        <f>SUMIF($J$28:$J$39,TRUE,F$28:F$39)</f>
        <v>0</v>
      </c>
      <c r="G47" s="117">
        <f>SUMIF($J$28:$J$39,TRUE,G$28:G$39)+SUMIF($J$9:$J$20,TRUE,E$9:E$20)</f>
        <v>0</v>
      </c>
      <c r="H47" s="61"/>
      <c r="N47" s="12">
        <v>39</v>
      </c>
      <c r="O47" s="65"/>
      <c r="P47" s="49"/>
      <c r="Q47" s="50"/>
      <c r="R47" s="51"/>
      <c r="S47" s="52"/>
      <c r="T47" s="53"/>
      <c r="U47" s="54"/>
      <c r="V47" s="62"/>
      <c r="X47" s="1">
        <f t="shared" ca="1" si="14"/>
        <v>1</v>
      </c>
      <c r="Z47" s="1">
        <f t="shared" si="13"/>
        <v>0</v>
      </c>
      <c r="AA47" s="1">
        <f t="shared" si="13"/>
        <v>0</v>
      </c>
      <c r="AB47" s="1">
        <f t="shared" si="13"/>
        <v>0</v>
      </c>
      <c r="AC47" s="1">
        <f t="shared" si="13"/>
        <v>0</v>
      </c>
      <c r="AD47" s="1">
        <f t="shared" si="13"/>
        <v>0</v>
      </c>
      <c r="AE47" s="1">
        <f t="shared" si="13"/>
        <v>0</v>
      </c>
      <c r="AF47" s="1">
        <f t="shared" si="13"/>
        <v>0</v>
      </c>
      <c r="AG47" s="1">
        <f t="shared" si="13"/>
        <v>0</v>
      </c>
      <c r="AH47" s="1">
        <f t="shared" si="13"/>
        <v>0</v>
      </c>
      <c r="AI47" s="1">
        <f t="shared" si="13"/>
        <v>0</v>
      </c>
      <c r="AJ47" s="1">
        <f t="shared" si="13"/>
        <v>0</v>
      </c>
      <c r="AK47" s="1">
        <f t="shared" si="13"/>
        <v>0</v>
      </c>
    </row>
    <row r="48" spans="1:37" ht="14.1" customHeight="1" x14ac:dyDescent="0.2">
      <c r="A48" s="16">
        <v>2</v>
      </c>
      <c r="B48" s="65"/>
      <c r="C48" s="118" t="str">
        <f>ANUAL!$C116</f>
        <v>INV</v>
      </c>
      <c r="D48" s="119" t="str">
        <f>ANUAL!$D116</f>
        <v>APLICAÇÕES DE INVESTIMENTO</v>
      </c>
      <c r="E48" s="120">
        <f ca="1">SUMIF($K$28:$K$39,TRUE,E$28:E$39)</f>
        <v>0</v>
      </c>
      <c r="F48" s="120">
        <f ca="1">SUMIF($K$28:$K$39,TRUE,F$28:F$39)</f>
        <v>0</v>
      </c>
      <c r="G48" s="120">
        <f ca="1">SUMIF($K$28:$K$39,TRUE,G$28:G$39)+SUMIF($K$9:$K$20,TRUE,E$9:E$20)</f>
        <v>0</v>
      </c>
      <c r="H48" s="62"/>
      <c r="N48" s="16">
        <v>40</v>
      </c>
      <c r="O48" s="65"/>
      <c r="P48" s="55"/>
      <c r="Q48" s="56"/>
      <c r="R48" s="57"/>
      <c r="S48" s="58"/>
      <c r="T48" s="59"/>
      <c r="U48" s="60"/>
      <c r="V48" s="62"/>
      <c r="X48" s="1">
        <f t="shared" ca="1" si="14"/>
        <v>1</v>
      </c>
      <c r="Z48" s="1">
        <f t="shared" si="13"/>
        <v>0</v>
      </c>
      <c r="AA48" s="1">
        <f t="shared" si="13"/>
        <v>0</v>
      </c>
      <c r="AB48" s="1">
        <f t="shared" si="13"/>
        <v>0</v>
      </c>
      <c r="AC48" s="1">
        <f t="shared" si="13"/>
        <v>0</v>
      </c>
      <c r="AD48" s="1">
        <f t="shared" si="13"/>
        <v>0</v>
      </c>
      <c r="AE48" s="1">
        <f t="shared" si="13"/>
        <v>0</v>
      </c>
      <c r="AF48" s="1">
        <f t="shared" si="13"/>
        <v>0</v>
      </c>
      <c r="AG48" s="1">
        <f t="shared" si="13"/>
        <v>0</v>
      </c>
      <c r="AH48" s="1">
        <f t="shared" si="13"/>
        <v>0</v>
      </c>
      <c r="AI48" s="1">
        <f t="shared" si="13"/>
        <v>0</v>
      </c>
      <c r="AJ48" s="1">
        <f t="shared" si="13"/>
        <v>0</v>
      </c>
      <c r="AK48" s="1">
        <f t="shared" si="13"/>
        <v>0</v>
      </c>
    </row>
    <row r="49" spans="1:37" ht="14.1" customHeight="1" x14ac:dyDescent="0.2">
      <c r="A49" s="12">
        <v>3</v>
      </c>
      <c r="B49" s="65"/>
      <c r="C49" s="115" t="str">
        <f>ANUAL!$C117</f>
        <v>DINH</v>
      </c>
      <c r="D49" s="240" t="str">
        <f>ANUAL!$D117</f>
        <v>EM ESPÉCIE</v>
      </c>
      <c r="E49" s="117">
        <f ca="1">SUMIF($L$28:$L$39,TRUE,E$28:E$39)</f>
        <v>0</v>
      </c>
      <c r="F49" s="117">
        <f ca="1">SUMIF($L$28:$L$39,TRUE,F$28:F$39)</f>
        <v>0</v>
      </c>
      <c r="G49" s="117">
        <f ca="1">SUMIF($L$28:$L$39,TRUE,G$28:G$39)+SUMIF($L$9:$L$20,TRUE,E$9:E$20)</f>
        <v>0</v>
      </c>
      <c r="H49" s="62"/>
      <c r="N49" s="12">
        <v>41</v>
      </c>
      <c r="O49" s="65"/>
      <c r="P49" s="49"/>
      <c r="Q49" s="50"/>
      <c r="R49" s="51"/>
      <c r="S49" s="52"/>
      <c r="T49" s="53"/>
      <c r="U49" s="54"/>
      <c r="V49" s="62"/>
      <c r="X49" s="1">
        <f t="shared" ca="1" si="14"/>
        <v>1</v>
      </c>
      <c r="Z49" s="1">
        <f t="shared" ref="Z49:AK58" si="15">IF(Z$8=$R49,-$T49,0)+IF(Z$8=$S49,$T49,0)</f>
        <v>0</v>
      </c>
      <c r="AA49" s="1">
        <f t="shared" si="15"/>
        <v>0</v>
      </c>
      <c r="AB49" s="1">
        <f t="shared" si="15"/>
        <v>0</v>
      </c>
      <c r="AC49" s="1">
        <f t="shared" si="15"/>
        <v>0</v>
      </c>
      <c r="AD49" s="1">
        <f t="shared" si="15"/>
        <v>0</v>
      </c>
      <c r="AE49" s="1">
        <f t="shared" si="15"/>
        <v>0</v>
      </c>
      <c r="AF49" s="1">
        <f t="shared" si="15"/>
        <v>0</v>
      </c>
      <c r="AG49" s="1">
        <f t="shared" si="15"/>
        <v>0</v>
      </c>
      <c r="AH49" s="1">
        <f t="shared" si="15"/>
        <v>0</v>
      </c>
      <c r="AI49" s="1">
        <f t="shared" si="15"/>
        <v>0</v>
      </c>
      <c r="AJ49" s="1">
        <f t="shared" si="15"/>
        <v>0</v>
      </c>
      <c r="AK49" s="1">
        <f t="shared" si="15"/>
        <v>0</v>
      </c>
    </row>
    <row r="50" spans="1:37" ht="14.1" customHeight="1" x14ac:dyDescent="0.2">
      <c r="A50" s="12"/>
      <c r="B50" s="109"/>
      <c r="C50" s="110"/>
      <c r="D50" s="111"/>
      <c r="E50" s="111"/>
      <c r="F50" s="111"/>
      <c r="G50" s="111"/>
      <c r="H50" s="112"/>
      <c r="I50" s="3"/>
      <c r="J50" s="3"/>
      <c r="K50" s="3"/>
      <c r="L50" s="3"/>
      <c r="M50" s="3"/>
      <c r="N50" s="16">
        <v>42</v>
      </c>
      <c r="O50" s="65"/>
      <c r="P50" s="55"/>
      <c r="Q50" s="56"/>
      <c r="R50" s="57"/>
      <c r="S50" s="58"/>
      <c r="T50" s="59"/>
      <c r="U50" s="60"/>
      <c r="V50" s="62"/>
      <c r="X50" s="1">
        <f t="shared" ca="1" si="14"/>
        <v>1</v>
      </c>
      <c r="Z50" s="1">
        <f t="shared" si="15"/>
        <v>0</v>
      </c>
      <c r="AA50" s="1">
        <f t="shared" si="15"/>
        <v>0</v>
      </c>
      <c r="AB50" s="1">
        <f t="shared" si="15"/>
        <v>0</v>
      </c>
      <c r="AC50" s="1">
        <f t="shared" si="15"/>
        <v>0</v>
      </c>
      <c r="AD50" s="1">
        <f t="shared" si="15"/>
        <v>0</v>
      </c>
      <c r="AE50" s="1">
        <f t="shared" si="15"/>
        <v>0</v>
      </c>
      <c r="AF50" s="1">
        <f t="shared" si="15"/>
        <v>0</v>
      </c>
      <c r="AG50" s="1">
        <f t="shared" si="15"/>
        <v>0</v>
      </c>
      <c r="AH50" s="1">
        <f t="shared" si="15"/>
        <v>0</v>
      </c>
      <c r="AI50" s="1">
        <f t="shared" si="15"/>
        <v>0</v>
      </c>
      <c r="AJ50" s="1">
        <f t="shared" si="15"/>
        <v>0</v>
      </c>
      <c r="AK50" s="1">
        <f t="shared" si="15"/>
        <v>0</v>
      </c>
    </row>
    <row r="51" spans="1:37" ht="14.1" customHeight="1" x14ac:dyDescent="0.2">
      <c r="I51" s="3"/>
      <c r="J51" s="3"/>
      <c r="K51" s="3"/>
      <c r="L51" s="3"/>
      <c r="M51" s="3"/>
      <c r="N51" s="12">
        <v>43</v>
      </c>
      <c r="O51" s="65"/>
      <c r="P51" s="49"/>
      <c r="Q51" s="50"/>
      <c r="R51" s="51"/>
      <c r="S51" s="52"/>
      <c r="T51" s="53"/>
      <c r="U51" s="54"/>
      <c r="V51" s="62"/>
      <c r="X51" s="1">
        <f t="shared" ca="1" si="14"/>
        <v>1</v>
      </c>
      <c r="Z51" s="1">
        <f t="shared" si="15"/>
        <v>0</v>
      </c>
      <c r="AA51" s="1">
        <f t="shared" si="15"/>
        <v>0</v>
      </c>
      <c r="AB51" s="1">
        <f t="shared" si="15"/>
        <v>0</v>
      </c>
      <c r="AC51" s="1">
        <f t="shared" si="15"/>
        <v>0</v>
      </c>
      <c r="AD51" s="1">
        <f t="shared" si="15"/>
        <v>0</v>
      </c>
      <c r="AE51" s="1">
        <f t="shared" si="15"/>
        <v>0</v>
      </c>
      <c r="AF51" s="1">
        <f t="shared" si="15"/>
        <v>0</v>
      </c>
      <c r="AG51" s="1">
        <f t="shared" si="15"/>
        <v>0</v>
      </c>
      <c r="AH51" s="1">
        <f t="shared" si="15"/>
        <v>0</v>
      </c>
      <c r="AI51" s="1">
        <f t="shared" si="15"/>
        <v>0</v>
      </c>
      <c r="AJ51" s="1">
        <f t="shared" si="15"/>
        <v>0</v>
      </c>
      <c r="AK51" s="1">
        <f t="shared" si="15"/>
        <v>0</v>
      </c>
    </row>
    <row r="52" spans="1:37" ht="14.1" customHeight="1" x14ac:dyDescent="0.2">
      <c r="B52" s="84"/>
      <c r="C52" s="85"/>
      <c r="D52" s="86"/>
      <c r="E52" s="86"/>
      <c r="F52" s="86"/>
      <c r="G52" s="86"/>
      <c r="H52" s="87"/>
      <c r="N52" s="16">
        <v>44</v>
      </c>
      <c r="O52" s="65"/>
      <c r="P52" s="55"/>
      <c r="Q52" s="56"/>
      <c r="R52" s="57"/>
      <c r="S52" s="58"/>
      <c r="T52" s="59"/>
      <c r="U52" s="60"/>
      <c r="V52" s="62"/>
      <c r="X52" s="1">
        <f t="shared" ca="1" si="14"/>
        <v>1</v>
      </c>
      <c r="Z52" s="1">
        <f t="shared" si="15"/>
        <v>0</v>
      </c>
      <c r="AA52" s="1">
        <f t="shared" si="15"/>
        <v>0</v>
      </c>
      <c r="AB52" s="1">
        <f t="shared" si="15"/>
        <v>0</v>
      </c>
      <c r="AC52" s="1">
        <f t="shared" si="15"/>
        <v>0</v>
      </c>
      <c r="AD52" s="1">
        <f t="shared" si="15"/>
        <v>0</v>
      </c>
      <c r="AE52" s="1">
        <f t="shared" si="15"/>
        <v>0</v>
      </c>
      <c r="AF52" s="1">
        <f t="shared" si="15"/>
        <v>0</v>
      </c>
      <c r="AG52" s="1">
        <f t="shared" si="15"/>
        <v>0</v>
      </c>
      <c r="AH52" s="1">
        <f t="shared" si="15"/>
        <v>0</v>
      </c>
      <c r="AI52" s="1">
        <f t="shared" si="15"/>
        <v>0</v>
      </c>
      <c r="AJ52" s="1">
        <f t="shared" si="15"/>
        <v>0</v>
      </c>
      <c r="AK52" s="1">
        <f t="shared" si="15"/>
        <v>0</v>
      </c>
    </row>
    <row r="53" spans="1:37" ht="14.1" customHeight="1" x14ac:dyDescent="0.2">
      <c r="B53" s="88"/>
      <c r="C53" s="304" t="s">
        <v>27</v>
      </c>
      <c r="D53" s="304"/>
      <c r="E53" s="304"/>
      <c r="F53" s="304"/>
      <c r="G53" s="304"/>
      <c r="H53" s="89"/>
      <c r="N53" s="12">
        <v>45</v>
      </c>
      <c r="O53" s="65"/>
      <c r="P53" s="49"/>
      <c r="Q53" s="50"/>
      <c r="R53" s="51"/>
      <c r="S53" s="52"/>
      <c r="T53" s="53"/>
      <c r="U53" s="54"/>
      <c r="V53" s="62"/>
      <c r="X53" s="1">
        <f t="shared" ca="1" si="14"/>
        <v>1</v>
      </c>
      <c r="Z53" s="1">
        <f t="shared" si="15"/>
        <v>0</v>
      </c>
      <c r="AA53" s="1">
        <f t="shared" si="15"/>
        <v>0</v>
      </c>
      <c r="AB53" s="1">
        <f t="shared" si="15"/>
        <v>0</v>
      </c>
      <c r="AC53" s="1">
        <f t="shared" si="15"/>
        <v>0</v>
      </c>
      <c r="AD53" s="1">
        <f t="shared" si="15"/>
        <v>0</v>
      </c>
      <c r="AE53" s="1">
        <f t="shared" si="15"/>
        <v>0</v>
      </c>
      <c r="AF53" s="1">
        <f t="shared" si="15"/>
        <v>0</v>
      </c>
      <c r="AG53" s="1">
        <f t="shared" si="15"/>
        <v>0</v>
      </c>
      <c r="AH53" s="1">
        <f t="shared" si="15"/>
        <v>0</v>
      </c>
      <c r="AI53" s="1">
        <f t="shared" si="15"/>
        <v>0</v>
      </c>
      <c r="AJ53" s="1">
        <f t="shared" si="15"/>
        <v>0</v>
      </c>
      <c r="AK53" s="1">
        <f t="shared" si="15"/>
        <v>0</v>
      </c>
    </row>
    <row r="54" spans="1:37" ht="14.1" customHeight="1" x14ac:dyDescent="0.2">
      <c r="B54" s="88"/>
      <c r="C54" s="304"/>
      <c r="D54" s="304"/>
      <c r="E54" s="304"/>
      <c r="F54" s="304"/>
      <c r="G54" s="304"/>
      <c r="H54" s="89"/>
      <c r="N54" s="16">
        <v>46</v>
      </c>
      <c r="O54" s="65"/>
      <c r="P54" s="55"/>
      <c r="Q54" s="56"/>
      <c r="R54" s="57"/>
      <c r="S54" s="58"/>
      <c r="T54" s="59"/>
      <c r="U54" s="60"/>
      <c r="V54" s="62"/>
      <c r="X54" s="1">
        <f t="shared" ca="1" si="14"/>
        <v>1</v>
      </c>
      <c r="Z54" s="1">
        <f t="shared" si="15"/>
        <v>0</v>
      </c>
      <c r="AA54" s="1">
        <f t="shared" si="15"/>
        <v>0</v>
      </c>
      <c r="AB54" s="1">
        <f t="shared" si="15"/>
        <v>0</v>
      </c>
      <c r="AC54" s="1">
        <f t="shared" si="15"/>
        <v>0</v>
      </c>
      <c r="AD54" s="1">
        <f t="shared" si="15"/>
        <v>0</v>
      </c>
      <c r="AE54" s="1">
        <f t="shared" si="15"/>
        <v>0</v>
      </c>
      <c r="AF54" s="1">
        <f t="shared" si="15"/>
        <v>0</v>
      </c>
      <c r="AG54" s="1">
        <f t="shared" si="15"/>
        <v>0</v>
      </c>
      <c r="AH54" s="1">
        <f t="shared" si="15"/>
        <v>0</v>
      </c>
      <c r="AI54" s="1">
        <f t="shared" si="15"/>
        <v>0</v>
      </c>
      <c r="AJ54" s="1">
        <f t="shared" si="15"/>
        <v>0</v>
      </c>
      <c r="AK54" s="1">
        <f t="shared" si="15"/>
        <v>0</v>
      </c>
    </row>
    <row r="55" spans="1:37" ht="14.1" customHeight="1" x14ac:dyDescent="0.2">
      <c r="B55" s="46"/>
      <c r="C55" s="271" t="s">
        <v>4</v>
      </c>
      <c r="D55" s="273" t="s">
        <v>5</v>
      </c>
      <c r="E55" s="310"/>
      <c r="F55" s="310"/>
      <c r="G55" s="276" t="s">
        <v>97</v>
      </c>
      <c r="H55" s="89"/>
      <c r="N55" s="12">
        <v>47</v>
      </c>
      <c r="O55" s="65"/>
      <c r="P55" s="49"/>
      <c r="Q55" s="50"/>
      <c r="R55" s="51"/>
      <c r="S55" s="52"/>
      <c r="T55" s="53"/>
      <c r="U55" s="54"/>
      <c r="V55" s="62"/>
      <c r="X55" s="1">
        <f t="shared" ca="1" si="14"/>
        <v>1</v>
      </c>
      <c r="Z55" s="1">
        <f t="shared" si="15"/>
        <v>0</v>
      </c>
      <c r="AA55" s="1">
        <f t="shared" si="15"/>
        <v>0</v>
      </c>
      <c r="AB55" s="1">
        <f t="shared" si="15"/>
        <v>0</v>
      </c>
      <c r="AC55" s="1">
        <f t="shared" si="15"/>
        <v>0</v>
      </c>
      <c r="AD55" s="1">
        <f t="shared" si="15"/>
        <v>0</v>
      </c>
      <c r="AE55" s="1">
        <f t="shared" si="15"/>
        <v>0</v>
      </c>
      <c r="AF55" s="1">
        <f t="shared" si="15"/>
        <v>0</v>
      </c>
      <c r="AG55" s="1">
        <f t="shared" si="15"/>
        <v>0</v>
      </c>
      <c r="AH55" s="1">
        <f t="shared" si="15"/>
        <v>0</v>
      </c>
      <c r="AI55" s="1">
        <f t="shared" si="15"/>
        <v>0</v>
      </c>
      <c r="AJ55" s="1">
        <f t="shared" si="15"/>
        <v>0</v>
      </c>
      <c r="AK55" s="1">
        <f t="shared" si="15"/>
        <v>0</v>
      </c>
    </row>
    <row r="56" spans="1:37" ht="14.1" customHeight="1" x14ac:dyDescent="0.2">
      <c r="A56" s="3"/>
      <c r="B56" s="44"/>
      <c r="C56" s="272"/>
      <c r="D56" s="274"/>
      <c r="E56" s="311"/>
      <c r="F56" s="311"/>
      <c r="G56" s="305"/>
      <c r="H56" s="90"/>
      <c r="N56" s="16">
        <v>48</v>
      </c>
      <c r="O56" s="65"/>
      <c r="P56" s="55"/>
      <c r="Q56" s="56"/>
      <c r="R56" s="57"/>
      <c r="S56" s="58"/>
      <c r="T56" s="59"/>
      <c r="U56" s="60"/>
      <c r="V56" s="62"/>
      <c r="X56" s="1">
        <f t="shared" ca="1" si="14"/>
        <v>1</v>
      </c>
      <c r="Z56" s="1">
        <f t="shared" si="15"/>
        <v>0</v>
      </c>
      <c r="AA56" s="1">
        <f t="shared" si="15"/>
        <v>0</v>
      </c>
      <c r="AB56" s="1">
        <f t="shared" si="15"/>
        <v>0</v>
      </c>
      <c r="AC56" s="1">
        <f t="shared" si="15"/>
        <v>0</v>
      </c>
      <c r="AD56" s="1">
        <f t="shared" si="15"/>
        <v>0</v>
      </c>
      <c r="AE56" s="1">
        <f t="shared" si="15"/>
        <v>0</v>
      </c>
      <c r="AF56" s="1">
        <f t="shared" si="15"/>
        <v>0</v>
      </c>
      <c r="AG56" s="1">
        <f t="shared" si="15"/>
        <v>0</v>
      </c>
      <c r="AH56" s="1">
        <f t="shared" si="15"/>
        <v>0</v>
      </c>
      <c r="AI56" s="1">
        <f t="shared" si="15"/>
        <v>0</v>
      </c>
      <c r="AJ56" s="1">
        <f t="shared" si="15"/>
        <v>0</v>
      </c>
      <c r="AK56" s="1">
        <f t="shared" si="15"/>
        <v>0</v>
      </c>
    </row>
    <row r="57" spans="1:37" ht="14.1" customHeight="1" x14ac:dyDescent="0.2">
      <c r="A57" s="12">
        <v>1</v>
      </c>
      <c r="B57" s="64"/>
      <c r="C57" s="101" t="str">
        <f>ANUAL!$C141</f>
        <v>M01</v>
      </c>
      <c r="D57" s="303" t="str">
        <f>ANUAL!$D141</f>
        <v>MORADIA – CONDOMÍNIO</v>
      </c>
      <c r="E57" s="303"/>
      <c r="F57" s="303"/>
      <c r="G57" s="102">
        <f t="shared" ref="G57:G88" si="16">SUMIF(U$9:U$88,C57,T$9:T$88)</f>
        <v>0</v>
      </c>
      <c r="H57" s="61"/>
      <c r="N57" s="12">
        <v>49</v>
      </c>
      <c r="O57" s="65"/>
      <c r="P57" s="49"/>
      <c r="Q57" s="50"/>
      <c r="R57" s="51"/>
      <c r="S57" s="52"/>
      <c r="T57" s="53"/>
      <c r="U57" s="54"/>
      <c r="V57" s="62"/>
      <c r="X57" s="1">
        <f t="shared" ca="1" si="14"/>
        <v>1</v>
      </c>
      <c r="Z57" s="1">
        <f t="shared" si="15"/>
        <v>0</v>
      </c>
      <c r="AA57" s="1">
        <f t="shared" si="15"/>
        <v>0</v>
      </c>
      <c r="AB57" s="1">
        <f t="shared" si="15"/>
        <v>0</v>
      </c>
      <c r="AC57" s="1">
        <f t="shared" si="15"/>
        <v>0</v>
      </c>
      <c r="AD57" s="1">
        <f t="shared" si="15"/>
        <v>0</v>
      </c>
      <c r="AE57" s="1">
        <f t="shared" si="15"/>
        <v>0</v>
      </c>
      <c r="AF57" s="1">
        <f t="shared" si="15"/>
        <v>0</v>
      </c>
      <c r="AG57" s="1">
        <f t="shared" si="15"/>
        <v>0</v>
      </c>
      <c r="AH57" s="1">
        <f t="shared" si="15"/>
        <v>0</v>
      </c>
      <c r="AI57" s="1">
        <f t="shared" si="15"/>
        <v>0</v>
      </c>
      <c r="AJ57" s="1">
        <f t="shared" si="15"/>
        <v>0</v>
      </c>
      <c r="AK57" s="1">
        <f t="shared" si="15"/>
        <v>0</v>
      </c>
    </row>
    <row r="58" spans="1:37" ht="14.1" customHeight="1" x14ac:dyDescent="0.2">
      <c r="A58" s="16">
        <v>2</v>
      </c>
      <c r="B58" s="65"/>
      <c r="C58" s="103" t="str">
        <f>ANUAL!$C142</f>
        <v>M02</v>
      </c>
      <c r="D58" s="302" t="str">
        <f>ANUAL!$D142</f>
        <v>MORADIA – IPTU</v>
      </c>
      <c r="E58" s="302"/>
      <c r="F58" s="302"/>
      <c r="G58" s="104">
        <f t="shared" si="16"/>
        <v>0</v>
      </c>
      <c r="H58" s="62"/>
      <c r="N58" s="16">
        <v>50</v>
      </c>
      <c r="O58" s="65"/>
      <c r="P58" s="55"/>
      <c r="Q58" s="56"/>
      <c r="R58" s="57"/>
      <c r="S58" s="58"/>
      <c r="T58" s="59"/>
      <c r="U58" s="60"/>
      <c r="V58" s="62"/>
      <c r="X58" s="1">
        <f t="shared" ca="1" si="14"/>
        <v>1</v>
      </c>
      <c r="Z58" s="1">
        <f t="shared" si="15"/>
        <v>0</v>
      </c>
      <c r="AA58" s="1">
        <f t="shared" si="15"/>
        <v>0</v>
      </c>
      <c r="AB58" s="1">
        <f t="shared" si="15"/>
        <v>0</v>
      </c>
      <c r="AC58" s="1">
        <f t="shared" si="15"/>
        <v>0</v>
      </c>
      <c r="AD58" s="1">
        <f t="shared" si="15"/>
        <v>0</v>
      </c>
      <c r="AE58" s="1">
        <f t="shared" si="15"/>
        <v>0</v>
      </c>
      <c r="AF58" s="1">
        <f t="shared" si="15"/>
        <v>0</v>
      </c>
      <c r="AG58" s="1">
        <f t="shared" si="15"/>
        <v>0</v>
      </c>
      <c r="AH58" s="1">
        <f t="shared" si="15"/>
        <v>0</v>
      </c>
      <c r="AI58" s="1">
        <f t="shared" si="15"/>
        <v>0</v>
      </c>
      <c r="AJ58" s="1">
        <f t="shared" si="15"/>
        <v>0</v>
      </c>
      <c r="AK58" s="1">
        <f t="shared" si="15"/>
        <v>0</v>
      </c>
    </row>
    <row r="59" spans="1:37" ht="14.1" customHeight="1" x14ac:dyDescent="0.2">
      <c r="A59" s="12">
        <v>3</v>
      </c>
      <c r="B59" s="65"/>
      <c r="C59" s="101" t="str">
        <f>ANUAL!$C143</f>
        <v>M03</v>
      </c>
      <c r="D59" s="303" t="str">
        <f>ANUAL!$D143</f>
        <v>MORADIA – ALUGUEL</v>
      </c>
      <c r="E59" s="303"/>
      <c r="F59" s="303"/>
      <c r="G59" s="102">
        <f t="shared" si="16"/>
        <v>0</v>
      </c>
      <c r="H59" s="62"/>
      <c r="N59" s="12">
        <v>51</v>
      </c>
      <c r="O59" s="65"/>
      <c r="P59" s="49"/>
      <c r="Q59" s="50"/>
      <c r="R59" s="51"/>
      <c r="S59" s="52"/>
      <c r="T59" s="53"/>
      <c r="U59" s="54"/>
      <c r="V59" s="62"/>
      <c r="X59" s="1">
        <f t="shared" ca="1" si="14"/>
        <v>1</v>
      </c>
      <c r="Z59" s="1">
        <f t="shared" ref="Z59:AK68" si="17">IF(Z$8=$R59,-$T59,0)+IF(Z$8=$S59,$T59,0)</f>
        <v>0</v>
      </c>
      <c r="AA59" s="1">
        <f t="shared" si="17"/>
        <v>0</v>
      </c>
      <c r="AB59" s="1">
        <f t="shared" si="17"/>
        <v>0</v>
      </c>
      <c r="AC59" s="1">
        <f t="shared" si="17"/>
        <v>0</v>
      </c>
      <c r="AD59" s="1">
        <f t="shared" si="17"/>
        <v>0</v>
      </c>
      <c r="AE59" s="1">
        <f t="shared" si="17"/>
        <v>0</v>
      </c>
      <c r="AF59" s="1">
        <f t="shared" si="17"/>
        <v>0</v>
      </c>
      <c r="AG59" s="1">
        <f t="shared" si="17"/>
        <v>0</v>
      </c>
      <c r="AH59" s="1">
        <f t="shared" si="17"/>
        <v>0</v>
      </c>
      <c r="AI59" s="1">
        <f t="shared" si="17"/>
        <v>0</v>
      </c>
      <c r="AJ59" s="1">
        <f t="shared" si="17"/>
        <v>0</v>
      </c>
      <c r="AK59" s="1">
        <f t="shared" si="17"/>
        <v>0</v>
      </c>
    </row>
    <row r="60" spans="1:37" ht="14.1" customHeight="1" x14ac:dyDescent="0.2">
      <c r="A60" s="16">
        <v>4</v>
      </c>
      <c r="B60" s="65"/>
      <c r="C60" s="103" t="str">
        <f>ANUAL!$C144</f>
        <v>M04</v>
      </c>
      <c r="D60" s="302" t="str">
        <f>ANUAL!$D144</f>
        <v>MORADIA – REFORMA</v>
      </c>
      <c r="E60" s="302"/>
      <c r="F60" s="302"/>
      <c r="G60" s="104">
        <f t="shared" si="16"/>
        <v>0</v>
      </c>
      <c r="H60" s="62"/>
      <c r="N60" s="16">
        <v>52</v>
      </c>
      <c r="O60" s="65"/>
      <c r="P60" s="55"/>
      <c r="Q60" s="56"/>
      <c r="R60" s="57"/>
      <c r="S60" s="58"/>
      <c r="T60" s="59"/>
      <c r="U60" s="60"/>
      <c r="V60" s="62"/>
      <c r="X60" s="1">
        <f t="shared" ca="1" si="14"/>
        <v>1</v>
      </c>
      <c r="Z60" s="1">
        <f t="shared" si="17"/>
        <v>0</v>
      </c>
      <c r="AA60" s="1">
        <f t="shared" si="17"/>
        <v>0</v>
      </c>
      <c r="AB60" s="1">
        <f t="shared" si="17"/>
        <v>0</v>
      </c>
      <c r="AC60" s="1">
        <f t="shared" si="17"/>
        <v>0</v>
      </c>
      <c r="AD60" s="1">
        <f t="shared" si="17"/>
        <v>0</v>
      </c>
      <c r="AE60" s="1">
        <f t="shared" si="17"/>
        <v>0</v>
      </c>
      <c r="AF60" s="1">
        <f t="shared" si="17"/>
        <v>0</v>
      </c>
      <c r="AG60" s="1">
        <f t="shared" si="17"/>
        <v>0</v>
      </c>
      <c r="AH60" s="1">
        <f t="shared" si="17"/>
        <v>0</v>
      </c>
      <c r="AI60" s="1">
        <f t="shared" si="17"/>
        <v>0</v>
      </c>
      <c r="AJ60" s="1">
        <f t="shared" si="17"/>
        <v>0</v>
      </c>
      <c r="AK60" s="1">
        <f t="shared" si="17"/>
        <v>0</v>
      </c>
    </row>
    <row r="61" spans="1:37" ht="14.1" customHeight="1" x14ac:dyDescent="0.2">
      <c r="A61" s="12">
        <v>5</v>
      </c>
      <c r="B61" s="65"/>
      <c r="C61" s="101" t="str">
        <f>ANUAL!$C145</f>
        <v>U01</v>
      </c>
      <c r="D61" s="303" t="str">
        <f>ANUAL!$D145</f>
        <v>UTILITIES – ENERGIA ELÉTRICA</v>
      </c>
      <c r="E61" s="303"/>
      <c r="F61" s="303"/>
      <c r="G61" s="102">
        <f t="shared" si="16"/>
        <v>0</v>
      </c>
      <c r="H61" s="62"/>
      <c r="N61" s="12">
        <v>53</v>
      </c>
      <c r="O61" s="65"/>
      <c r="P61" s="49"/>
      <c r="Q61" s="50"/>
      <c r="R61" s="51"/>
      <c r="S61" s="52"/>
      <c r="T61" s="53"/>
      <c r="U61" s="54"/>
      <c r="V61" s="62"/>
      <c r="X61" s="1">
        <f t="shared" ca="1" si="14"/>
        <v>1</v>
      </c>
      <c r="Z61" s="1">
        <f t="shared" si="17"/>
        <v>0</v>
      </c>
      <c r="AA61" s="1">
        <f t="shared" si="17"/>
        <v>0</v>
      </c>
      <c r="AB61" s="1">
        <f t="shared" si="17"/>
        <v>0</v>
      </c>
      <c r="AC61" s="1">
        <f t="shared" si="17"/>
        <v>0</v>
      </c>
      <c r="AD61" s="1">
        <f t="shared" si="17"/>
        <v>0</v>
      </c>
      <c r="AE61" s="1">
        <f t="shared" si="17"/>
        <v>0</v>
      </c>
      <c r="AF61" s="1">
        <f t="shared" si="17"/>
        <v>0</v>
      </c>
      <c r="AG61" s="1">
        <f t="shared" si="17"/>
        <v>0</v>
      </c>
      <c r="AH61" s="1">
        <f t="shared" si="17"/>
        <v>0</v>
      </c>
      <c r="AI61" s="1">
        <f t="shared" si="17"/>
        <v>0</v>
      </c>
      <c r="AJ61" s="1">
        <f t="shared" si="17"/>
        <v>0</v>
      </c>
      <c r="AK61" s="1">
        <f t="shared" si="17"/>
        <v>0</v>
      </c>
    </row>
    <row r="62" spans="1:37" ht="14.1" customHeight="1" x14ac:dyDescent="0.2">
      <c r="A62" s="16">
        <v>6</v>
      </c>
      <c r="B62" s="65"/>
      <c r="C62" s="103" t="str">
        <f>ANUAL!$C146</f>
        <v>U02</v>
      </c>
      <c r="D62" s="302" t="str">
        <f>ANUAL!$D146</f>
        <v>UTILITIES – ÁGUA POTÁVEL</v>
      </c>
      <c r="E62" s="302"/>
      <c r="F62" s="302"/>
      <c r="G62" s="104">
        <f t="shared" si="16"/>
        <v>0</v>
      </c>
      <c r="H62" s="62"/>
      <c r="N62" s="16">
        <v>54</v>
      </c>
      <c r="O62" s="65"/>
      <c r="P62" s="55"/>
      <c r="Q62" s="56"/>
      <c r="R62" s="57"/>
      <c r="S62" s="58"/>
      <c r="T62" s="59"/>
      <c r="U62" s="60"/>
      <c r="V62" s="62"/>
      <c r="X62" s="1">
        <f t="shared" ca="1" si="14"/>
        <v>1</v>
      </c>
      <c r="Z62" s="1">
        <f t="shared" si="17"/>
        <v>0</v>
      </c>
      <c r="AA62" s="1">
        <f t="shared" si="17"/>
        <v>0</v>
      </c>
      <c r="AB62" s="1">
        <f t="shared" si="17"/>
        <v>0</v>
      </c>
      <c r="AC62" s="1">
        <f t="shared" si="17"/>
        <v>0</v>
      </c>
      <c r="AD62" s="1">
        <f t="shared" si="17"/>
        <v>0</v>
      </c>
      <c r="AE62" s="1">
        <f t="shared" si="17"/>
        <v>0</v>
      </c>
      <c r="AF62" s="1">
        <f t="shared" si="17"/>
        <v>0</v>
      </c>
      <c r="AG62" s="1">
        <f t="shared" si="17"/>
        <v>0</v>
      </c>
      <c r="AH62" s="1">
        <f t="shared" si="17"/>
        <v>0</v>
      </c>
      <c r="AI62" s="1">
        <f t="shared" si="17"/>
        <v>0</v>
      </c>
      <c r="AJ62" s="1">
        <f t="shared" si="17"/>
        <v>0</v>
      </c>
      <c r="AK62" s="1">
        <f t="shared" si="17"/>
        <v>0</v>
      </c>
    </row>
    <row r="63" spans="1:37" ht="14.1" customHeight="1" x14ac:dyDescent="0.2">
      <c r="A63" s="12">
        <v>7</v>
      </c>
      <c r="B63" s="65"/>
      <c r="C63" s="101" t="str">
        <f>ANUAL!$C147</f>
        <v>U03</v>
      </c>
      <c r="D63" s="303" t="str">
        <f>ANUAL!$D147</f>
        <v>UTILITIES – DIVERSOS (ÁGUA, GÁS, SERV. GERAIS)</v>
      </c>
      <c r="E63" s="303"/>
      <c r="F63" s="303"/>
      <c r="G63" s="102">
        <f t="shared" si="16"/>
        <v>0</v>
      </c>
      <c r="H63" s="62"/>
      <c r="N63" s="12">
        <v>55</v>
      </c>
      <c r="O63" s="65"/>
      <c r="P63" s="49"/>
      <c r="Q63" s="50"/>
      <c r="R63" s="51"/>
      <c r="S63" s="52"/>
      <c r="T63" s="53"/>
      <c r="U63" s="54"/>
      <c r="V63" s="62"/>
      <c r="X63" s="1">
        <f t="shared" ca="1" si="14"/>
        <v>1</v>
      </c>
      <c r="Y63" s="30"/>
      <c r="Z63" s="1">
        <f t="shared" si="17"/>
        <v>0</v>
      </c>
      <c r="AA63" s="1">
        <f t="shared" si="17"/>
        <v>0</v>
      </c>
      <c r="AB63" s="1">
        <f t="shared" si="17"/>
        <v>0</v>
      </c>
      <c r="AC63" s="1">
        <f t="shared" si="17"/>
        <v>0</v>
      </c>
      <c r="AD63" s="1">
        <f t="shared" si="17"/>
        <v>0</v>
      </c>
      <c r="AE63" s="1">
        <f t="shared" si="17"/>
        <v>0</v>
      </c>
      <c r="AF63" s="1">
        <f t="shared" si="17"/>
        <v>0</v>
      </c>
      <c r="AG63" s="1">
        <f t="shared" si="17"/>
        <v>0</v>
      </c>
      <c r="AH63" s="1">
        <f t="shared" si="17"/>
        <v>0</v>
      </c>
      <c r="AI63" s="1">
        <f t="shared" si="17"/>
        <v>0</v>
      </c>
      <c r="AJ63" s="1">
        <f t="shared" si="17"/>
        <v>0</v>
      </c>
      <c r="AK63" s="1">
        <f t="shared" si="17"/>
        <v>0</v>
      </c>
    </row>
    <row r="64" spans="1:37" ht="14.1" customHeight="1" x14ac:dyDescent="0.2">
      <c r="A64" s="16">
        <v>8</v>
      </c>
      <c r="B64" s="65"/>
      <c r="C64" s="103" t="str">
        <f>ANUAL!$C148</f>
        <v>S01</v>
      </c>
      <c r="D64" s="302" t="str">
        <f>ANUAL!$D148</f>
        <v>SAÚDE – PLANO DE SAÚDE</v>
      </c>
      <c r="E64" s="302"/>
      <c r="F64" s="302"/>
      <c r="G64" s="104">
        <f t="shared" si="16"/>
        <v>0</v>
      </c>
      <c r="H64" s="62"/>
      <c r="N64" s="16">
        <v>56</v>
      </c>
      <c r="O64" s="65"/>
      <c r="P64" s="55"/>
      <c r="Q64" s="56"/>
      <c r="R64" s="57"/>
      <c r="S64" s="58"/>
      <c r="T64" s="59"/>
      <c r="U64" s="60"/>
      <c r="V64" s="62"/>
      <c r="X64" s="1">
        <f t="shared" ca="1" si="14"/>
        <v>1</v>
      </c>
      <c r="Z64" s="1">
        <f t="shared" si="17"/>
        <v>0</v>
      </c>
      <c r="AA64" s="1">
        <f t="shared" si="17"/>
        <v>0</v>
      </c>
      <c r="AB64" s="1">
        <f t="shared" si="17"/>
        <v>0</v>
      </c>
      <c r="AC64" s="1">
        <f t="shared" si="17"/>
        <v>0</v>
      </c>
      <c r="AD64" s="1">
        <f t="shared" si="17"/>
        <v>0</v>
      </c>
      <c r="AE64" s="1">
        <f t="shared" si="17"/>
        <v>0</v>
      </c>
      <c r="AF64" s="1">
        <f t="shared" si="17"/>
        <v>0</v>
      </c>
      <c r="AG64" s="1">
        <f t="shared" si="17"/>
        <v>0</v>
      </c>
      <c r="AH64" s="1">
        <f t="shared" si="17"/>
        <v>0</v>
      </c>
      <c r="AI64" s="1">
        <f t="shared" si="17"/>
        <v>0</v>
      </c>
      <c r="AJ64" s="1">
        <f t="shared" si="17"/>
        <v>0</v>
      </c>
      <c r="AK64" s="1">
        <f t="shared" si="17"/>
        <v>0</v>
      </c>
    </row>
    <row r="65" spans="1:37" ht="14.1" customHeight="1" x14ac:dyDescent="0.2">
      <c r="A65" s="12">
        <v>9</v>
      </c>
      <c r="B65" s="65"/>
      <c r="C65" s="101" t="str">
        <f>ANUAL!$C149</f>
        <v>S02</v>
      </c>
      <c r="D65" s="303" t="str">
        <f>ANUAL!$D149</f>
        <v>SAÚDE – REMÉDIOS</v>
      </c>
      <c r="E65" s="303"/>
      <c r="F65" s="303"/>
      <c r="G65" s="102">
        <f t="shared" si="16"/>
        <v>0</v>
      </c>
      <c r="H65" s="62"/>
      <c r="N65" s="12">
        <v>57</v>
      </c>
      <c r="O65" s="65"/>
      <c r="P65" s="49"/>
      <c r="Q65" s="50"/>
      <c r="R65" s="51"/>
      <c r="S65" s="52"/>
      <c r="T65" s="53"/>
      <c r="U65" s="54"/>
      <c r="V65" s="62"/>
      <c r="X65" s="1">
        <f t="shared" ca="1" si="14"/>
        <v>1</v>
      </c>
      <c r="Z65" s="1">
        <f t="shared" si="17"/>
        <v>0</v>
      </c>
      <c r="AA65" s="1">
        <f t="shared" si="17"/>
        <v>0</v>
      </c>
      <c r="AB65" s="1">
        <f t="shared" si="17"/>
        <v>0</v>
      </c>
      <c r="AC65" s="1">
        <f t="shared" si="17"/>
        <v>0</v>
      </c>
      <c r="AD65" s="1">
        <f t="shared" si="17"/>
        <v>0</v>
      </c>
      <c r="AE65" s="1">
        <f t="shared" si="17"/>
        <v>0</v>
      </c>
      <c r="AF65" s="1">
        <f t="shared" si="17"/>
        <v>0</v>
      </c>
      <c r="AG65" s="1">
        <f t="shared" si="17"/>
        <v>0</v>
      </c>
      <c r="AH65" s="1">
        <f t="shared" si="17"/>
        <v>0</v>
      </c>
      <c r="AI65" s="1">
        <f t="shared" si="17"/>
        <v>0</v>
      </c>
      <c r="AJ65" s="1">
        <f t="shared" si="17"/>
        <v>0</v>
      </c>
      <c r="AK65" s="1">
        <f t="shared" si="17"/>
        <v>0</v>
      </c>
    </row>
    <row r="66" spans="1:37" ht="14.1" customHeight="1" x14ac:dyDescent="0.2">
      <c r="A66" s="16">
        <v>10</v>
      </c>
      <c r="B66" s="65"/>
      <c r="C66" s="103" t="str">
        <f>ANUAL!$C150</f>
        <v>S03</v>
      </c>
      <c r="D66" s="302" t="str">
        <f>ANUAL!$D150</f>
        <v>SAÚDE – ACADEMIA</v>
      </c>
      <c r="E66" s="302"/>
      <c r="F66" s="302"/>
      <c r="G66" s="104">
        <f t="shared" si="16"/>
        <v>0</v>
      </c>
      <c r="H66" s="62"/>
      <c r="N66" s="16">
        <v>58</v>
      </c>
      <c r="O66" s="65"/>
      <c r="P66" s="55"/>
      <c r="Q66" s="56"/>
      <c r="R66" s="57"/>
      <c r="S66" s="58"/>
      <c r="T66" s="59"/>
      <c r="U66" s="60"/>
      <c r="V66" s="62"/>
      <c r="X66" s="1">
        <f t="shared" ca="1" si="14"/>
        <v>1</v>
      </c>
      <c r="Z66" s="1">
        <f t="shared" si="17"/>
        <v>0</v>
      </c>
      <c r="AA66" s="1">
        <f t="shared" si="17"/>
        <v>0</v>
      </c>
      <c r="AB66" s="1">
        <f t="shared" si="17"/>
        <v>0</v>
      </c>
      <c r="AC66" s="1">
        <f t="shared" si="17"/>
        <v>0</v>
      </c>
      <c r="AD66" s="1">
        <f t="shared" si="17"/>
        <v>0</v>
      </c>
      <c r="AE66" s="1">
        <f t="shared" si="17"/>
        <v>0</v>
      </c>
      <c r="AF66" s="1">
        <f t="shared" si="17"/>
        <v>0</v>
      </c>
      <c r="AG66" s="1">
        <f t="shared" si="17"/>
        <v>0</v>
      </c>
      <c r="AH66" s="1">
        <f t="shared" si="17"/>
        <v>0</v>
      </c>
      <c r="AI66" s="1">
        <f t="shared" si="17"/>
        <v>0</v>
      </c>
      <c r="AJ66" s="1">
        <f t="shared" si="17"/>
        <v>0</v>
      </c>
      <c r="AK66" s="1">
        <f t="shared" si="17"/>
        <v>0</v>
      </c>
    </row>
    <row r="67" spans="1:37" ht="14.1" customHeight="1" x14ac:dyDescent="0.2">
      <c r="A67" s="12">
        <v>11</v>
      </c>
      <c r="B67" s="65"/>
      <c r="C67" s="101" t="str">
        <f>ANUAL!$C151</f>
        <v>C01</v>
      </c>
      <c r="D67" s="303" t="str">
        <f>ANUAL!$D151</f>
        <v>COMPRAS</v>
      </c>
      <c r="E67" s="303"/>
      <c r="F67" s="303"/>
      <c r="G67" s="102">
        <f t="shared" si="16"/>
        <v>0</v>
      </c>
      <c r="H67" s="62"/>
      <c r="N67" s="12">
        <v>59</v>
      </c>
      <c r="O67" s="65"/>
      <c r="P67" s="49"/>
      <c r="Q67" s="50"/>
      <c r="R67" s="51"/>
      <c r="S67" s="52"/>
      <c r="T67" s="53"/>
      <c r="U67" s="54"/>
      <c r="V67" s="62"/>
      <c r="X67" s="1">
        <f t="shared" ca="1" si="14"/>
        <v>1</v>
      </c>
      <c r="Z67" s="1">
        <f t="shared" si="17"/>
        <v>0</v>
      </c>
      <c r="AA67" s="1">
        <f t="shared" si="17"/>
        <v>0</v>
      </c>
      <c r="AB67" s="1">
        <f t="shared" si="17"/>
        <v>0</v>
      </c>
      <c r="AC67" s="1">
        <f t="shared" si="17"/>
        <v>0</v>
      </c>
      <c r="AD67" s="1">
        <f t="shared" si="17"/>
        <v>0</v>
      </c>
      <c r="AE67" s="1">
        <f t="shared" si="17"/>
        <v>0</v>
      </c>
      <c r="AF67" s="1">
        <f t="shared" si="17"/>
        <v>0</v>
      </c>
      <c r="AG67" s="1">
        <f t="shared" si="17"/>
        <v>0</v>
      </c>
      <c r="AH67" s="1">
        <f t="shared" si="17"/>
        <v>0</v>
      </c>
      <c r="AI67" s="1">
        <f t="shared" si="17"/>
        <v>0</v>
      </c>
      <c r="AJ67" s="1">
        <f t="shared" si="17"/>
        <v>0</v>
      </c>
      <c r="AK67" s="1">
        <f t="shared" si="17"/>
        <v>0</v>
      </c>
    </row>
    <row r="68" spans="1:37" ht="14.1" customHeight="1" x14ac:dyDescent="0.2">
      <c r="A68" s="16">
        <v>12</v>
      </c>
      <c r="B68" s="65"/>
      <c r="C68" s="103" t="str">
        <f>ANUAL!$C152</f>
        <v>L01</v>
      </c>
      <c r="D68" s="302" t="str">
        <f>ANUAL!$D152</f>
        <v>LAZER</v>
      </c>
      <c r="E68" s="302"/>
      <c r="F68" s="302"/>
      <c r="G68" s="104">
        <f t="shared" si="16"/>
        <v>0</v>
      </c>
      <c r="H68" s="62"/>
      <c r="N68" s="16">
        <v>60</v>
      </c>
      <c r="O68" s="65"/>
      <c r="P68" s="55"/>
      <c r="Q68" s="56"/>
      <c r="R68" s="57"/>
      <c r="S68" s="58"/>
      <c r="T68" s="59"/>
      <c r="U68" s="60"/>
      <c r="V68" s="62"/>
      <c r="X68" s="1">
        <f t="shared" ca="1" si="14"/>
        <v>1</v>
      </c>
      <c r="Z68" s="1">
        <f t="shared" si="17"/>
        <v>0</v>
      </c>
      <c r="AA68" s="1">
        <f t="shared" si="17"/>
        <v>0</v>
      </c>
      <c r="AB68" s="1">
        <f t="shared" si="17"/>
        <v>0</v>
      </c>
      <c r="AC68" s="1">
        <f t="shared" si="17"/>
        <v>0</v>
      </c>
      <c r="AD68" s="1">
        <f t="shared" si="17"/>
        <v>0</v>
      </c>
      <c r="AE68" s="1">
        <f t="shared" si="17"/>
        <v>0</v>
      </c>
      <c r="AF68" s="1">
        <f t="shared" si="17"/>
        <v>0</v>
      </c>
      <c r="AG68" s="1">
        <f t="shared" si="17"/>
        <v>0</v>
      </c>
      <c r="AH68" s="1">
        <f t="shared" si="17"/>
        <v>0</v>
      </c>
      <c r="AI68" s="1">
        <f t="shared" si="17"/>
        <v>0</v>
      </c>
      <c r="AJ68" s="1">
        <f t="shared" si="17"/>
        <v>0</v>
      </c>
      <c r="AK68" s="1">
        <f t="shared" si="17"/>
        <v>0</v>
      </c>
    </row>
    <row r="69" spans="1:37" ht="14.1" customHeight="1" x14ac:dyDescent="0.2">
      <c r="A69" s="12">
        <v>13</v>
      </c>
      <c r="B69" s="65"/>
      <c r="C69" s="101" t="str">
        <f>ANUAL!$C153</f>
        <v>A01</v>
      </c>
      <c r="D69" s="303" t="str">
        <f>ANUAL!$D153</f>
        <v>ALIMENTAÇÃO – ALMOÇO</v>
      </c>
      <c r="E69" s="303"/>
      <c r="F69" s="303"/>
      <c r="G69" s="102">
        <f t="shared" si="16"/>
        <v>0</v>
      </c>
      <c r="H69" s="62"/>
      <c r="N69" s="12">
        <v>61</v>
      </c>
      <c r="O69" s="65"/>
      <c r="P69" s="49"/>
      <c r="Q69" s="50"/>
      <c r="R69" s="51"/>
      <c r="S69" s="52"/>
      <c r="T69" s="53"/>
      <c r="U69" s="54"/>
      <c r="V69" s="62"/>
      <c r="X69" s="1">
        <f t="shared" ca="1" si="14"/>
        <v>1</v>
      </c>
      <c r="Z69" s="1">
        <f t="shared" ref="Z69:AK78" si="18">IF(Z$8=$R69,-$T69,0)+IF(Z$8=$S69,$T69,0)</f>
        <v>0</v>
      </c>
      <c r="AA69" s="1">
        <f t="shared" si="18"/>
        <v>0</v>
      </c>
      <c r="AB69" s="1">
        <f t="shared" si="18"/>
        <v>0</v>
      </c>
      <c r="AC69" s="1">
        <f t="shared" si="18"/>
        <v>0</v>
      </c>
      <c r="AD69" s="1">
        <f t="shared" si="18"/>
        <v>0</v>
      </c>
      <c r="AE69" s="1">
        <f t="shared" si="18"/>
        <v>0</v>
      </c>
      <c r="AF69" s="1">
        <f t="shared" si="18"/>
        <v>0</v>
      </c>
      <c r="AG69" s="1">
        <f t="shared" si="18"/>
        <v>0</v>
      </c>
      <c r="AH69" s="1">
        <f t="shared" si="18"/>
        <v>0</v>
      </c>
      <c r="AI69" s="1">
        <f t="shared" si="18"/>
        <v>0</v>
      </c>
      <c r="AJ69" s="1">
        <f t="shared" si="18"/>
        <v>0</v>
      </c>
      <c r="AK69" s="1">
        <f t="shared" si="18"/>
        <v>0</v>
      </c>
    </row>
    <row r="70" spans="1:37" ht="14.1" customHeight="1" x14ac:dyDescent="0.2">
      <c r="A70" s="16">
        <v>14</v>
      </c>
      <c r="B70" s="65"/>
      <c r="C70" s="103" t="str">
        <f>ANUAL!$C154</f>
        <v>A02</v>
      </c>
      <c r="D70" s="302" t="str">
        <f>ANUAL!$D154</f>
        <v>ALIMENTAÇÃO – COMPRA MENSAL</v>
      </c>
      <c r="E70" s="302"/>
      <c r="F70" s="302"/>
      <c r="G70" s="104">
        <f t="shared" si="16"/>
        <v>0</v>
      </c>
      <c r="H70" s="62"/>
      <c r="N70" s="16">
        <v>62</v>
      </c>
      <c r="O70" s="65"/>
      <c r="P70" s="55"/>
      <c r="Q70" s="56"/>
      <c r="R70" s="57"/>
      <c r="S70" s="58"/>
      <c r="T70" s="59"/>
      <c r="U70" s="60"/>
      <c r="V70" s="62"/>
      <c r="X70" s="1">
        <f t="shared" ca="1" si="14"/>
        <v>1</v>
      </c>
      <c r="Z70" s="1">
        <f t="shared" si="18"/>
        <v>0</v>
      </c>
      <c r="AA70" s="1">
        <f t="shared" si="18"/>
        <v>0</v>
      </c>
      <c r="AB70" s="1">
        <f t="shared" si="18"/>
        <v>0</v>
      </c>
      <c r="AC70" s="1">
        <f t="shared" si="18"/>
        <v>0</v>
      </c>
      <c r="AD70" s="1">
        <f t="shared" si="18"/>
        <v>0</v>
      </c>
      <c r="AE70" s="1">
        <f t="shared" si="18"/>
        <v>0</v>
      </c>
      <c r="AF70" s="1">
        <f t="shared" si="18"/>
        <v>0</v>
      </c>
      <c r="AG70" s="1">
        <f t="shared" si="18"/>
        <v>0</v>
      </c>
      <c r="AH70" s="1">
        <f t="shared" si="18"/>
        <v>0</v>
      </c>
      <c r="AI70" s="1">
        <f t="shared" si="18"/>
        <v>0</v>
      </c>
      <c r="AJ70" s="1">
        <f t="shared" si="18"/>
        <v>0</v>
      </c>
      <c r="AK70" s="1">
        <f t="shared" si="18"/>
        <v>0</v>
      </c>
    </row>
    <row r="71" spans="1:37" ht="14.1" customHeight="1" x14ac:dyDescent="0.2">
      <c r="A71" s="12">
        <v>15</v>
      </c>
      <c r="B71" s="65"/>
      <c r="C71" s="101" t="str">
        <f>ANUAL!$C155</f>
        <v>A03</v>
      </c>
      <c r="D71" s="303" t="str">
        <f>ANUAL!$D155</f>
        <v>ALIMENTAÇÃO – FEIRAS SEMANAIS</v>
      </c>
      <c r="E71" s="303"/>
      <c r="F71" s="303"/>
      <c r="G71" s="102">
        <f t="shared" si="16"/>
        <v>0</v>
      </c>
      <c r="H71" s="62"/>
      <c r="N71" s="12">
        <v>63</v>
      </c>
      <c r="O71" s="65"/>
      <c r="P71" s="49"/>
      <c r="Q71" s="50"/>
      <c r="R71" s="51"/>
      <c r="S71" s="52"/>
      <c r="T71" s="53"/>
      <c r="U71" s="54"/>
      <c r="V71" s="62"/>
      <c r="X71" s="1">
        <f t="shared" ca="1" si="14"/>
        <v>1</v>
      </c>
      <c r="Z71" s="1">
        <f t="shared" si="18"/>
        <v>0</v>
      </c>
      <c r="AA71" s="1">
        <f t="shared" si="18"/>
        <v>0</v>
      </c>
      <c r="AB71" s="1">
        <f t="shared" si="18"/>
        <v>0</v>
      </c>
      <c r="AC71" s="1">
        <f t="shared" si="18"/>
        <v>0</v>
      </c>
      <c r="AD71" s="1">
        <f t="shared" si="18"/>
        <v>0</v>
      </c>
      <c r="AE71" s="1">
        <f t="shared" si="18"/>
        <v>0</v>
      </c>
      <c r="AF71" s="1">
        <f t="shared" si="18"/>
        <v>0</v>
      </c>
      <c r="AG71" s="1">
        <f t="shared" si="18"/>
        <v>0</v>
      </c>
      <c r="AH71" s="1">
        <f t="shared" si="18"/>
        <v>0</v>
      </c>
      <c r="AI71" s="1">
        <f t="shared" si="18"/>
        <v>0</v>
      </c>
      <c r="AJ71" s="1">
        <f t="shared" si="18"/>
        <v>0</v>
      </c>
      <c r="AK71" s="1">
        <f t="shared" si="18"/>
        <v>0</v>
      </c>
    </row>
    <row r="72" spans="1:37" ht="14.1" customHeight="1" x14ac:dyDescent="0.2">
      <c r="A72" s="16">
        <v>16</v>
      </c>
      <c r="B72" s="65"/>
      <c r="C72" s="103" t="str">
        <f>ANUAL!$C156</f>
        <v>T01</v>
      </c>
      <c r="D72" s="302" t="str">
        <f>ANUAL!$D156</f>
        <v>TELECOM – CELULAR</v>
      </c>
      <c r="E72" s="302"/>
      <c r="F72" s="302"/>
      <c r="G72" s="104">
        <f t="shared" si="16"/>
        <v>0</v>
      </c>
      <c r="H72" s="62"/>
      <c r="N72" s="16">
        <v>64</v>
      </c>
      <c r="O72" s="65"/>
      <c r="P72" s="55"/>
      <c r="Q72" s="56"/>
      <c r="R72" s="57"/>
      <c r="S72" s="58"/>
      <c r="T72" s="59"/>
      <c r="U72" s="60"/>
      <c r="V72" s="62"/>
      <c r="X72" s="1">
        <f t="shared" ca="1" si="14"/>
        <v>1</v>
      </c>
      <c r="Z72" s="1">
        <f t="shared" si="18"/>
        <v>0</v>
      </c>
      <c r="AA72" s="1">
        <f t="shared" si="18"/>
        <v>0</v>
      </c>
      <c r="AB72" s="1">
        <f t="shared" si="18"/>
        <v>0</v>
      </c>
      <c r="AC72" s="1">
        <f t="shared" si="18"/>
        <v>0</v>
      </c>
      <c r="AD72" s="1">
        <f t="shared" si="18"/>
        <v>0</v>
      </c>
      <c r="AE72" s="1">
        <f t="shared" si="18"/>
        <v>0</v>
      </c>
      <c r="AF72" s="1">
        <f t="shared" si="18"/>
        <v>0</v>
      </c>
      <c r="AG72" s="1">
        <f t="shared" si="18"/>
        <v>0</v>
      </c>
      <c r="AH72" s="1">
        <f t="shared" si="18"/>
        <v>0</v>
      </c>
      <c r="AI72" s="1">
        <f t="shared" si="18"/>
        <v>0</v>
      </c>
      <c r="AJ72" s="1">
        <f t="shared" si="18"/>
        <v>0</v>
      </c>
      <c r="AK72" s="1">
        <f t="shared" si="18"/>
        <v>0</v>
      </c>
    </row>
    <row r="73" spans="1:37" ht="14.1" customHeight="1" x14ac:dyDescent="0.2">
      <c r="A73" s="12">
        <v>17</v>
      </c>
      <c r="B73" s="65"/>
      <c r="C73" s="101" t="str">
        <f>ANUAL!$C157</f>
        <v>T02</v>
      </c>
      <c r="D73" s="303" t="str">
        <f>ANUAL!$D157</f>
        <v>TELECOM – INTERNET</v>
      </c>
      <c r="E73" s="303"/>
      <c r="F73" s="303"/>
      <c r="G73" s="102">
        <f t="shared" si="16"/>
        <v>0</v>
      </c>
      <c r="H73" s="62"/>
      <c r="N73" s="12">
        <v>65</v>
      </c>
      <c r="O73" s="65"/>
      <c r="P73" s="49"/>
      <c r="Q73" s="50"/>
      <c r="R73" s="51"/>
      <c r="S73" s="52"/>
      <c r="T73" s="53"/>
      <c r="U73" s="54"/>
      <c r="V73" s="62"/>
      <c r="X73" s="1">
        <f t="shared" ref="X73:X88" ca="1" si="19">IF(P73&lt;NOW(),1,0)</f>
        <v>1</v>
      </c>
      <c r="Z73" s="1">
        <f t="shared" si="18"/>
        <v>0</v>
      </c>
      <c r="AA73" s="1">
        <f t="shared" si="18"/>
        <v>0</v>
      </c>
      <c r="AB73" s="1">
        <f t="shared" si="18"/>
        <v>0</v>
      </c>
      <c r="AC73" s="1">
        <f t="shared" si="18"/>
        <v>0</v>
      </c>
      <c r="AD73" s="1">
        <f t="shared" si="18"/>
        <v>0</v>
      </c>
      <c r="AE73" s="1">
        <f t="shared" si="18"/>
        <v>0</v>
      </c>
      <c r="AF73" s="1">
        <f t="shared" si="18"/>
        <v>0</v>
      </c>
      <c r="AG73" s="1">
        <f t="shared" si="18"/>
        <v>0</v>
      </c>
      <c r="AH73" s="1">
        <f t="shared" si="18"/>
        <v>0</v>
      </c>
      <c r="AI73" s="1">
        <f t="shared" si="18"/>
        <v>0</v>
      </c>
      <c r="AJ73" s="1">
        <f t="shared" si="18"/>
        <v>0</v>
      </c>
      <c r="AK73" s="1">
        <f t="shared" si="18"/>
        <v>0</v>
      </c>
    </row>
    <row r="74" spans="1:37" ht="14.1" customHeight="1" x14ac:dyDescent="0.2">
      <c r="A74" s="16">
        <v>18</v>
      </c>
      <c r="B74" s="65"/>
      <c r="C74" s="103" t="str">
        <f>ANUAL!$C158</f>
        <v>T03</v>
      </c>
      <c r="D74" s="302" t="str">
        <f>ANUAL!$D158</f>
        <v>TELECOM – FIXO</v>
      </c>
      <c r="E74" s="302"/>
      <c r="F74" s="302"/>
      <c r="G74" s="104">
        <f t="shared" si="16"/>
        <v>0</v>
      </c>
      <c r="H74" s="62"/>
      <c r="N74" s="16">
        <v>66</v>
      </c>
      <c r="O74" s="65"/>
      <c r="P74" s="55"/>
      <c r="Q74" s="56"/>
      <c r="R74" s="57"/>
      <c r="S74" s="58"/>
      <c r="T74" s="59"/>
      <c r="U74" s="60"/>
      <c r="V74" s="62"/>
      <c r="X74" s="1">
        <f t="shared" ca="1" si="19"/>
        <v>1</v>
      </c>
      <c r="Z74" s="1">
        <f t="shared" si="18"/>
        <v>0</v>
      </c>
      <c r="AA74" s="1">
        <f t="shared" si="18"/>
        <v>0</v>
      </c>
      <c r="AB74" s="1">
        <f t="shared" si="18"/>
        <v>0</v>
      </c>
      <c r="AC74" s="1">
        <f t="shared" si="18"/>
        <v>0</v>
      </c>
      <c r="AD74" s="1">
        <f t="shared" si="18"/>
        <v>0</v>
      </c>
      <c r="AE74" s="1">
        <f t="shared" si="18"/>
        <v>0</v>
      </c>
      <c r="AF74" s="1">
        <f t="shared" si="18"/>
        <v>0</v>
      </c>
      <c r="AG74" s="1">
        <f t="shared" si="18"/>
        <v>0</v>
      </c>
      <c r="AH74" s="1">
        <f t="shared" si="18"/>
        <v>0</v>
      </c>
      <c r="AI74" s="1">
        <f t="shared" si="18"/>
        <v>0</v>
      </c>
      <c r="AJ74" s="1">
        <f t="shared" si="18"/>
        <v>0</v>
      </c>
      <c r="AK74" s="1">
        <f t="shared" si="18"/>
        <v>0</v>
      </c>
    </row>
    <row r="75" spans="1:37" ht="14.1" customHeight="1" x14ac:dyDescent="0.2">
      <c r="A75" s="12">
        <v>19</v>
      </c>
      <c r="B75" s="65"/>
      <c r="C75" s="101" t="str">
        <f>ANUAL!$C159</f>
        <v>R01</v>
      </c>
      <c r="D75" s="303" t="str">
        <f>ANUAL!$D159</f>
        <v>CARRO – SEGURO</v>
      </c>
      <c r="E75" s="303"/>
      <c r="F75" s="303"/>
      <c r="G75" s="102">
        <f t="shared" si="16"/>
        <v>0</v>
      </c>
      <c r="H75" s="62"/>
      <c r="N75" s="12">
        <v>67</v>
      </c>
      <c r="O75" s="65"/>
      <c r="P75" s="49"/>
      <c r="Q75" s="50"/>
      <c r="R75" s="51"/>
      <c r="S75" s="52"/>
      <c r="T75" s="53"/>
      <c r="U75" s="54"/>
      <c r="V75" s="62"/>
      <c r="X75" s="1">
        <f t="shared" ca="1" si="19"/>
        <v>1</v>
      </c>
      <c r="Z75" s="1">
        <f t="shared" si="18"/>
        <v>0</v>
      </c>
      <c r="AA75" s="1">
        <f t="shared" si="18"/>
        <v>0</v>
      </c>
      <c r="AB75" s="1">
        <f t="shared" si="18"/>
        <v>0</v>
      </c>
      <c r="AC75" s="1">
        <f t="shared" si="18"/>
        <v>0</v>
      </c>
      <c r="AD75" s="1">
        <f t="shared" si="18"/>
        <v>0</v>
      </c>
      <c r="AE75" s="1">
        <f t="shared" si="18"/>
        <v>0</v>
      </c>
      <c r="AF75" s="1">
        <f t="shared" si="18"/>
        <v>0</v>
      </c>
      <c r="AG75" s="1">
        <f t="shared" si="18"/>
        <v>0</v>
      </c>
      <c r="AH75" s="1">
        <f t="shared" si="18"/>
        <v>0</v>
      </c>
      <c r="AI75" s="1">
        <f t="shared" si="18"/>
        <v>0</v>
      </c>
      <c r="AJ75" s="1">
        <f t="shared" si="18"/>
        <v>0</v>
      </c>
      <c r="AK75" s="1">
        <f t="shared" si="18"/>
        <v>0</v>
      </c>
    </row>
    <row r="76" spans="1:37" ht="14.1" customHeight="1" x14ac:dyDescent="0.2">
      <c r="A76" s="16">
        <v>20</v>
      </c>
      <c r="B76" s="65"/>
      <c r="C76" s="103" t="str">
        <f>ANUAL!$C160</f>
        <v>R02</v>
      </c>
      <c r="D76" s="302" t="str">
        <f>ANUAL!$D160</f>
        <v>CARRO – COMBUSTÍVEL</v>
      </c>
      <c r="E76" s="302"/>
      <c r="F76" s="302"/>
      <c r="G76" s="104">
        <f t="shared" si="16"/>
        <v>0</v>
      </c>
      <c r="H76" s="62"/>
      <c r="N76" s="16">
        <v>68</v>
      </c>
      <c r="O76" s="65"/>
      <c r="P76" s="55"/>
      <c r="Q76" s="56"/>
      <c r="R76" s="57"/>
      <c r="S76" s="58"/>
      <c r="T76" s="59"/>
      <c r="U76" s="60"/>
      <c r="V76" s="62"/>
      <c r="X76" s="1">
        <f t="shared" ca="1" si="19"/>
        <v>1</v>
      </c>
      <c r="Z76" s="1">
        <f t="shared" si="18"/>
        <v>0</v>
      </c>
      <c r="AA76" s="1">
        <f t="shared" si="18"/>
        <v>0</v>
      </c>
      <c r="AB76" s="1">
        <f t="shared" si="18"/>
        <v>0</v>
      </c>
      <c r="AC76" s="1">
        <f t="shared" si="18"/>
        <v>0</v>
      </c>
      <c r="AD76" s="1">
        <f t="shared" si="18"/>
        <v>0</v>
      </c>
      <c r="AE76" s="1">
        <f t="shared" si="18"/>
        <v>0</v>
      </c>
      <c r="AF76" s="1">
        <f t="shared" si="18"/>
        <v>0</v>
      </c>
      <c r="AG76" s="1">
        <f t="shared" si="18"/>
        <v>0</v>
      </c>
      <c r="AH76" s="1">
        <f t="shared" si="18"/>
        <v>0</v>
      </c>
      <c r="AI76" s="1">
        <f t="shared" si="18"/>
        <v>0</v>
      </c>
      <c r="AJ76" s="1">
        <f t="shared" si="18"/>
        <v>0</v>
      </c>
      <c r="AK76" s="1">
        <f t="shared" si="18"/>
        <v>0</v>
      </c>
    </row>
    <row r="77" spans="1:37" ht="14.1" customHeight="1" x14ac:dyDescent="0.2">
      <c r="A77" s="12">
        <v>21</v>
      </c>
      <c r="B77" s="65"/>
      <c r="C77" s="101" t="str">
        <f>ANUAL!$C161</f>
        <v>R03</v>
      </c>
      <c r="D77" s="303" t="str">
        <f>ANUAL!$D161</f>
        <v>CARRO – CONSERTOS</v>
      </c>
      <c r="E77" s="303"/>
      <c r="F77" s="303"/>
      <c r="G77" s="102">
        <f t="shared" si="16"/>
        <v>0</v>
      </c>
      <c r="H77" s="62"/>
      <c r="N77" s="12">
        <v>69</v>
      </c>
      <c r="O77" s="65"/>
      <c r="P77" s="49"/>
      <c r="Q77" s="50"/>
      <c r="R77" s="51"/>
      <c r="S77" s="52"/>
      <c r="T77" s="53"/>
      <c r="U77" s="54"/>
      <c r="V77" s="62"/>
      <c r="X77" s="1">
        <f t="shared" ca="1" si="19"/>
        <v>1</v>
      </c>
      <c r="Z77" s="1">
        <f t="shared" si="18"/>
        <v>0</v>
      </c>
      <c r="AA77" s="1">
        <f t="shared" si="18"/>
        <v>0</v>
      </c>
      <c r="AB77" s="1">
        <f t="shared" si="18"/>
        <v>0</v>
      </c>
      <c r="AC77" s="1">
        <f t="shared" si="18"/>
        <v>0</v>
      </c>
      <c r="AD77" s="1">
        <f t="shared" si="18"/>
        <v>0</v>
      </c>
      <c r="AE77" s="1">
        <f t="shared" si="18"/>
        <v>0</v>
      </c>
      <c r="AF77" s="1">
        <f t="shared" si="18"/>
        <v>0</v>
      </c>
      <c r="AG77" s="1">
        <f t="shared" si="18"/>
        <v>0</v>
      </c>
      <c r="AH77" s="1">
        <f t="shared" si="18"/>
        <v>0</v>
      </c>
      <c r="AI77" s="1">
        <f t="shared" si="18"/>
        <v>0</v>
      </c>
      <c r="AJ77" s="1">
        <f t="shared" si="18"/>
        <v>0</v>
      </c>
      <c r="AK77" s="1">
        <f t="shared" si="18"/>
        <v>0</v>
      </c>
    </row>
    <row r="78" spans="1:37" ht="14.1" customHeight="1" x14ac:dyDescent="0.2">
      <c r="A78" s="16">
        <v>22</v>
      </c>
      <c r="B78" s="65"/>
      <c r="C78" s="103" t="str">
        <f>ANUAL!$C162</f>
        <v>R04</v>
      </c>
      <c r="D78" s="302" t="str">
        <f>ANUAL!$D162</f>
        <v>CARRO – PRESTAÇOES</v>
      </c>
      <c r="E78" s="302"/>
      <c r="F78" s="302"/>
      <c r="G78" s="104">
        <f t="shared" si="16"/>
        <v>0</v>
      </c>
      <c r="H78" s="62"/>
      <c r="N78" s="16">
        <v>70</v>
      </c>
      <c r="O78" s="65"/>
      <c r="P78" s="55"/>
      <c r="Q78" s="56"/>
      <c r="R78" s="57"/>
      <c r="S78" s="58"/>
      <c r="T78" s="59"/>
      <c r="U78" s="60"/>
      <c r="V78" s="62"/>
      <c r="X78" s="1">
        <f t="shared" ca="1" si="19"/>
        <v>1</v>
      </c>
      <c r="Z78" s="1">
        <f t="shared" si="18"/>
        <v>0</v>
      </c>
      <c r="AA78" s="1">
        <f t="shared" si="18"/>
        <v>0</v>
      </c>
      <c r="AB78" s="1">
        <f t="shared" si="18"/>
        <v>0</v>
      </c>
      <c r="AC78" s="1">
        <f t="shared" si="18"/>
        <v>0</v>
      </c>
      <c r="AD78" s="1">
        <f t="shared" si="18"/>
        <v>0</v>
      </c>
      <c r="AE78" s="1">
        <f t="shared" si="18"/>
        <v>0</v>
      </c>
      <c r="AF78" s="1">
        <f t="shared" si="18"/>
        <v>0</v>
      </c>
      <c r="AG78" s="1">
        <f t="shared" si="18"/>
        <v>0</v>
      </c>
      <c r="AH78" s="1">
        <f t="shared" si="18"/>
        <v>0</v>
      </c>
      <c r="AI78" s="1">
        <f t="shared" si="18"/>
        <v>0</v>
      </c>
      <c r="AJ78" s="1">
        <f t="shared" si="18"/>
        <v>0</v>
      </c>
      <c r="AK78" s="1">
        <f t="shared" si="18"/>
        <v>0</v>
      </c>
    </row>
    <row r="79" spans="1:37" ht="14.1" customHeight="1" x14ac:dyDescent="0.2">
      <c r="A79" s="12">
        <v>23</v>
      </c>
      <c r="B79" s="65"/>
      <c r="C79" s="101" t="str">
        <f>ANUAL!$C163</f>
        <v>B01</v>
      </c>
      <c r="D79" s="303" t="str">
        <f>ANUAL!$D163</f>
        <v>BANCO – TAXAS, JUROS ETC.</v>
      </c>
      <c r="E79" s="303"/>
      <c r="F79" s="303"/>
      <c r="G79" s="102">
        <f t="shared" si="16"/>
        <v>0</v>
      </c>
      <c r="H79" s="62"/>
      <c r="N79" s="12">
        <v>71</v>
      </c>
      <c r="O79" s="65"/>
      <c r="P79" s="49"/>
      <c r="Q79" s="50"/>
      <c r="R79" s="51"/>
      <c r="S79" s="52"/>
      <c r="T79" s="53"/>
      <c r="U79" s="54"/>
      <c r="V79" s="62"/>
      <c r="X79" s="1">
        <f t="shared" ca="1" si="19"/>
        <v>1</v>
      </c>
      <c r="Z79" s="1">
        <f t="shared" ref="Z79:AK88" si="20">IF(Z$8=$R79,-$T79,0)+IF(Z$8=$S79,$T79,0)</f>
        <v>0</v>
      </c>
      <c r="AA79" s="1">
        <f t="shared" si="20"/>
        <v>0</v>
      </c>
      <c r="AB79" s="1">
        <f t="shared" si="20"/>
        <v>0</v>
      </c>
      <c r="AC79" s="1">
        <f t="shared" si="20"/>
        <v>0</v>
      </c>
      <c r="AD79" s="1">
        <f t="shared" si="20"/>
        <v>0</v>
      </c>
      <c r="AE79" s="1">
        <f t="shared" si="20"/>
        <v>0</v>
      </c>
      <c r="AF79" s="1">
        <f t="shared" si="20"/>
        <v>0</v>
      </c>
      <c r="AG79" s="1">
        <f t="shared" si="20"/>
        <v>0</v>
      </c>
      <c r="AH79" s="1">
        <f t="shared" si="20"/>
        <v>0</v>
      </c>
      <c r="AI79" s="1">
        <f t="shared" si="20"/>
        <v>0</v>
      </c>
      <c r="AJ79" s="1">
        <f t="shared" si="20"/>
        <v>0</v>
      </c>
      <c r="AK79" s="1">
        <f t="shared" si="20"/>
        <v>0</v>
      </c>
    </row>
    <row r="80" spans="1:37" ht="14.1" customHeight="1" x14ac:dyDescent="0.2">
      <c r="A80" s="16">
        <v>24</v>
      </c>
      <c r="B80" s="65"/>
      <c r="C80" s="103" t="str">
        <f>ANUAL!$C164</f>
        <v>E01</v>
      </c>
      <c r="D80" s="302" t="str">
        <f>ANUAL!$D164</f>
        <v>EDUCAÇÃO / TREINAMENTO</v>
      </c>
      <c r="E80" s="302"/>
      <c r="F80" s="302"/>
      <c r="G80" s="104">
        <f t="shared" si="16"/>
        <v>0</v>
      </c>
      <c r="H80" s="62"/>
      <c r="N80" s="16">
        <v>72</v>
      </c>
      <c r="O80" s="65"/>
      <c r="P80" s="55"/>
      <c r="Q80" s="56"/>
      <c r="R80" s="57"/>
      <c r="S80" s="58"/>
      <c r="T80" s="59"/>
      <c r="U80" s="60"/>
      <c r="V80" s="62"/>
      <c r="X80" s="1">
        <f t="shared" ca="1" si="19"/>
        <v>1</v>
      </c>
      <c r="Z80" s="1">
        <f t="shared" si="20"/>
        <v>0</v>
      </c>
      <c r="AA80" s="1">
        <f t="shared" si="20"/>
        <v>0</v>
      </c>
      <c r="AB80" s="1">
        <f t="shared" si="20"/>
        <v>0</v>
      </c>
      <c r="AC80" s="1">
        <f t="shared" si="20"/>
        <v>0</v>
      </c>
      <c r="AD80" s="1">
        <f t="shared" si="20"/>
        <v>0</v>
      </c>
      <c r="AE80" s="1">
        <f t="shared" si="20"/>
        <v>0</v>
      </c>
      <c r="AF80" s="1">
        <f t="shared" si="20"/>
        <v>0</v>
      </c>
      <c r="AG80" s="1">
        <f t="shared" si="20"/>
        <v>0</v>
      </c>
      <c r="AH80" s="1">
        <f t="shared" si="20"/>
        <v>0</v>
      </c>
      <c r="AI80" s="1">
        <f t="shared" si="20"/>
        <v>0</v>
      </c>
      <c r="AJ80" s="1">
        <f t="shared" si="20"/>
        <v>0</v>
      </c>
      <c r="AK80" s="1">
        <f t="shared" si="20"/>
        <v>0</v>
      </c>
    </row>
    <row r="81" spans="1:37" ht="14.1" customHeight="1" x14ac:dyDescent="0.2">
      <c r="A81" s="12">
        <v>25</v>
      </c>
      <c r="B81" s="65"/>
      <c r="C81" s="101" t="str">
        <f>ANUAL!$C165</f>
        <v>V01</v>
      </c>
      <c r="D81" s="303" t="str">
        <f>ANUAL!$D165</f>
        <v>VIAGEM</v>
      </c>
      <c r="E81" s="303"/>
      <c r="F81" s="303"/>
      <c r="G81" s="102">
        <f t="shared" si="16"/>
        <v>0</v>
      </c>
      <c r="H81" s="62"/>
      <c r="N81" s="12">
        <v>73</v>
      </c>
      <c r="O81" s="65"/>
      <c r="P81" s="49"/>
      <c r="Q81" s="50"/>
      <c r="R81" s="51"/>
      <c r="S81" s="52"/>
      <c r="T81" s="53"/>
      <c r="U81" s="54"/>
      <c r="V81" s="62"/>
      <c r="X81" s="1">
        <f t="shared" ca="1" si="19"/>
        <v>1</v>
      </c>
      <c r="Z81" s="1">
        <f t="shared" si="20"/>
        <v>0</v>
      </c>
      <c r="AA81" s="1">
        <f t="shared" si="20"/>
        <v>0</v>
      </c>
      <c r="AB81" s="1">
        <f t="shared" si="20"/>
        <v>0</v>
      </c>
      <c r="AC81" s="1">
        <f t="shared" si="20"/>
        <v>0</v>
      </c>
      <c r="AD81" s="1">
        <f t="shared" si="20"/>
        <v>0</v>
      </c>
      <c r="AE81" s="1">
        <f t="shared" si="20"/>
        <v>0</v>
      </c>
      <c r="AF81" s="1">
        <f t="shared" si="20"/>
        <v>0</v>
      </c>
      <c r="AG81" s="1">
        <f t="shared" si="20"/>
        <v>0</v>
      </c>
      <c r="AH81" s="1">
        <f t="shared" si="20"/>
        <v>0</v>
      </c>
      <c r="AI81" s="1">
        <f t="shared" si="20"/>
        <v>0</v>
      </c>
      <c r="AJ81" s="1">
        <f t="shared" si="20"/>
        <v>0</v>
      </c>
      <c r="AK81" s="1">
        <f t="shared" si="20"/>
        <v>0</v>
      </c>
    </row>
    <row r="82" spans="1:37" ht="14.1" customHeight="1" x14ac:dyDescent="0.2">
      <c r="A82" s="16">
        <v>26</v>
      </c>
      <c r="B82" s="65"/>
      <c r="C82" s="103" t="str">
        <f>ANUAL!$C166</f>
        <v>P01</v>
      </c>
      <c r="D82" s="302" t="str">
        <f>ANUAL!$D166</f>
        <v>PESSOAL – DÍZIMO</v>
      </c>
      <c r="E82" s="302"/>
      <c r="F82" s="302"/>
      <c r="G82" s="104">
        <f t="shared" si="16"/>
        <v>0</v>
      </c>
      <c r="H82" s="62"/>
      <c r="I82" s="3"/>
      <c r="J82" s="3"/>
      <c r="K82" s="3"/>
      <c r="L82" s="3"/>
      <c r="M82" s="3"/>
      <c r="N82" s="16">
        <v>74</v>
      </c>
      <c r="O82" s="65"/>
      <c r="P82" s="55"/>
      <c r="Q82" s="56"/>
      <c r="R82" s="57"/>
      <c r="S82" s="58"/>
      <c r="T82" s="59"/>
      <c r="U82" s="60"/>
      <c r="V82" s="62"/>
      <c r="X82" s="1">
        <f t="shared" ca="1" si="19"/>
        <v>1</v>
      </c>
      <c r="Z82" s="1">
        <f t="shared" si="20"/>
        <v>0</v>
      </c>
      <c r="AA82" s="1">
        <f t="shared" si="20"/>
        <v>0</v>
      </c>
      <c r="AB82" s="1">
        <f t="shared" si="20"/>
        <v>0</v>
      </c>
      <c r="AC82" s="1">
        <f t="shared" si="20"/>
        <v>0</v>
      </c>
      <c r="AD82" s="1">
        <f t="shared" si="20"/>
        <v>0</v>
      </c>
      <c r="AE82" s="1">
        <f t="shared" si="20"/>
        <v>0</v>
      </c>
      <c r="AF82" s="1">
        <f t="shared" si="20"/>
        <v>0</v>
      </c>
      <c r="AG82" s="1">
        <f t="shared" si="20"/>
        <v>0</v>
      </c>
      <c r="AH82" s="1">
        <f t="shared" si="20"/>
        <v>0</v>
      </c>
      <c r="AI82" s="1">
        <f t="shared" si="20"/>
        <v>0</v>
      </c>
      <c r="AJ82" s="1">
        <f t="shared" si="20"/>
        <v>0</v>
      </c>
      <c r="AK82" s="1">
        <f t="shared" si="20"/>
        <v>0</v>
      </c>
    </row>
    <row r="83" spans="1:37" ht="14.1" customHeight="1" x14ac:dyDescent="0.2">
      <c r="A83" s="12">
        <v>27</v>
      </c>
      <c r="B83" s="65"/>
      <c r="C83" s="101" t="str">
        <f>ANUAL!$C167</f>
        <v>---</v>
      </c>
      <c r="D83" s="303" t="str">
        <f>ANUAL!$D167</f>
        <v>---</v>
      </c>
      <c r="E83" s="303"/>
      <c r="F83" s="303"/>
      <c r="G83" s="102">
        <f t="shared" si="16"/>
        <v>0</v>
      </c>
      <c r="H83" s="62"/>
      <c r="I83" s="3"/>
      <c r="J83" s="3"/>
      <c r="K83" s="3"/>
      <c r="L83" s="3"/>
      <c r="M83" s="3"/>
      <c r="N83" s="12">
        <v>75</v>
      </c>
      <c r="O83" s="65"/>
      <c r="P83" s="49"/>
      <c r="Q83" s="50"/>
      <c r="R83" s="51"/>
      <c r="S83" s="52"/>
      <c r="T83" s="53"/>
      <c r="U83" s="54"/>
      <c r="V83" s="62"/>
      <c r="X83" s="1">
        <f t="shared" ca="1" si="19"/>
        <v>1</v>
      </c>
      <c r="Z83" s="1">
        <f t="shared" si="20"/>
        <v>0</v>
      </c>
      <c r="AA83" s="1">
        <f t="shared" si="20"/>
        <v>0</v>
      </c>
      <c r="AB83" s="1">
        <f t="shared" si="20"/>
        <v>0</v>
      </c>
      <c r="AC83" s="1">
        <f t="shared" si="20"/>
        <v>0</v>
      </c>
      <c r="AD83" s="1">
        <f t="shared" si="20"/>
        <v>0</v>
      </c>
      <c r="AE83" s="1">
        <f t="shared" si="20"/>
        <v>0</v>
      </c>
      <c r="AF83" s="1">
        <f t="shared" si="20"/>
        <v>0</v>
      </c>
      <c r="AG83" s="1">
        <f t="shared" si="20"/>
        <v>0</v>
      </c>
      <c r="AH83" s="1">
        <f t="shared" si="20"/>
        <v>0</v>
      </c>
      <c r="AI83" s="1">
        <f t="shared" si="20"/>
        <v>0</v>
      </c>
      <c r="AJ83" s="1">
        <f t="shared" si="20"/>
        <v>0</v>
      </c>
      <c r="AK83" s="1">
        <f t="shared" si="20"/>
        <v>0</v>
      </c>
    </row>
    <row r="84" spans="1:37" ht="14.1" customHeight="1" x14ac:dyDescent="0.2">
      <c r="A84" s="16">
        <v>28</v>
      </c>
      <c r="B84" s="65"/>
      <c r="C84" s="103" t="str">
        <f>ANUAL!$C168</f>
        <v>---</v>
      </c>
      <c r="D84" s="302" t="str">
        <f>ANUAL!$D168</f>
        <v>---</v>
      </c>
      <c r="E84" s="302"/>
      <c r="F84" s="302"/>
      <c r="G84" s="104">
        <f t="shared" si="16"/>
        <v>0</v>
      </c>
      <c r="H84" s="62"/>
      <c r="I84" s="3"/>
      <c r="J84" s="3"/>
      <c r="K84" s="3"/>
      <c r="L84" s="3"/>
      <c r="M84" s="3"/>
      <c r="N84" s="16">
        <v>76</v>
      </c>
      <c r="O84" s="65"/>
      <c r="P84" s="55"/>
      <c r="Q84" s="56"/>
      <c r="R84" s="57"/>
      <c r="S84" s="58"/>
      <c r="T84" s="59"/>
      <c r="U84" s="60"/>
      <c r="V84" s="62"/>
      <c r="X84" s="1">
        <f t="shared" ca="1" si="19"/>
        <v>1</v>
      </c>
      <c r="Z84" s="1">
        <f t="shared" si="20"/>
        <v>0</v>
      </c>
      <c r="AA84" s="1">
        <f t="shared" si="20"/>
        <v>0</v>
      </c>
      <c r="AB84" s="1">
        <f t="shared" si="20"/>
        <v>0</v>
      </c>
      <c r="AC84" s="1">
        <f t="shared" si="20"/>
        <v>0</v>
      </c>
      <c r="AD84" s="1">
        <f t="shared" si="20"/>
        <v>0</v>
      </c>
      <c r="AE84" s="1">
        <f t="shared" si="20"/>
        <v>0</v>
      </c>
      <c r="AF84" s="1">
        <f t="shared" si="20"/>
        <v>0</v>
      </c>
      <c r="AG84" s="1">
        <f t="shared" si="20"/>
        <v>0</v>
      </c>
      <c r="AH84" s="1">
        <f t="shared" si="20"/>
        <v>0</v>
      </c>
      <c r="AI84" s="1">
        <f t="shared" si="20"/>
        <v>0</v>
      </c>
      <c r="AJ84" s="1">
        <f t="shared" si="20"/>
        <v>0</v>
      </c>
      <c r="AK84" s="1">
        <f t="shared" si="20"/>
        <v>0</v>
      </c>
    </row>
    <row r="85" spans="1:37" ht="14.1" customHeight="1" x14ac:dyDescent="0.2">
      <c r="A85" s="12">
        <v>29</v>
      </c>
      <c r="B85" s="65"/>
      <c r="C85" s="101" t="str">
        <f>ANUAL!$C169</f>
        <v>---</v>
      </c>
      <c r="D85" s="303" t="str">
        <f>ANUAL!$D169</f>
        <v>---</v>
      </c>
      <c r="E85" s="303"/>
      <c r="F85" s="303"/>
      <c r="G85" s="102">
        <f t="shared" si="16"/>
        <v>0</v>
      </c>
      <c r="H85" s="62"/>
      <c r="I85" s="3"/>
      <c r="J85" s="3"/>
      <c r="K85" s="3"/>
      <c r="L85" s="3"/>
      <c r="M85" s="3"/>
      <c r="N85" s="12">
        <v>77</v>
      </c>
      <c r="O85" s="65"/>
      <c r="P85" s="49"/>
      <c r="Q85" s="50"/>
      <c r="R85" s="51"/>
      <c r="S85" s="52"/>
      <c r="T85" s="53"/>
      <c r="U85" s="54"/>
      <c r="V85" s="62"/>
      <c r="X85" s="1">
        <f t="shared" ca="1" si="19"/>
        <v>1</v>
      </c>
      <c r="Z85" s="1">
        <f t="shared" si="20"/>
        <v>0</v>
      </c>
      <c r="AA85" s="1">
        <f t="shared" si="20"/>
        <v>0</v>
      </c>
      <c r="AB85" s="1">
        <f t="shared" si="20"/>
        <v>0</v>
      </c>
      <c r="AC85" s="1">
        <f t="shared" si="20"/>
        <v>0</v>
      </c>
      <c r="AD85" s="1">
        <f t="shared" si="20"/>
        <v>0</v>
      </c>
      <c r="AE85" s="1">
        <f t="shared" si="20"/>
        <v>0</v>
      </c>
      <c r="AF85" s="1">
        <f t="shared" si="20"/>
        <v>0</v>
      </c>
      <c r="AG85" s="1">
        <f t="shared" si="20"/>
        <v>0</v>
      </c>
      <c r="AH85" s="1">
        <f t="shared" si="20"/>
        <v>0</v>
      </c>
      <c r="AI85" s="1">
        <f t="shared" si="20"/>
        <v>0</v>
      </c>
      <c r="AJ85" s="1">
        <f t="shared" si="20"/>
        <v>0</v>
      </c>
      <c r="AK85" s="1">
        <f t="shared" si="20"/>
        <v>0</v>
      </c>
    </row>
    <row r="86" spans="1:37" ht="14.1" customHeight="1" x14ac:dyDescent="0.2">
      <c r="A86" s="16">
        <v>30</v>
      </c>
      <c r="B86" s="65"/>
      <c r="C86" s="103" t="str">
        <f>ANUAL!$C170</f>
        <v>---</v>
      </c>
      <c r="D86" s="302" t="str">
        <f>ANUAL!$D170</f>
        <v>---</v>
      </c>
      <c r="E86" s="302"/>
      <c r="F86" s="302"/>
      <c r="G86" s="104">
        <f t="shared" si="16"/>
        <v>0</v>
      </c>
      <c r="H86" s="62"/>
      <c r="I86" s="3"/>
      <c r="J86" s="3"/>
      <c r="K86" s="3"/>
      <c r="L86" s="3"/>
      <c r="M86" s="3"/>
      <c r="N86" s="16">
        <v>78</v>
      </c>
      <c r="O86" s="65"/>
      <c r="P86" s="55"/>
      <c r="Q86" s="56"/>
      <c r="R86" s="57"/>
      <c r="S86" s="58"/>
      <c r="T86" s="59"/>
      <c r="U86" s="60"/>
      <c r="V86" s="62"/>
      <c r="X86" s="1">
        <f t="shared" ca="1" si="19"/>
        <v>1</v>
      </c>
      <c r="Z86" s="1">
        <f t="shared" si="20"/>
        <v>0</v>
      </c>
      <c r="AA86" s="1">
        <f t="shared" si="20"/>
        <v>0</v>
      </c>
      <c r="AB86" s="1">
        <f t="shared" si="20"/>
        <v>0</v>
      </c>
      <c r="AC86" s="1">
        <f t="shared" si="20"/>
        <v>0</v>
      </c>
      <c r="AD86" s="1">
        <f t="shared" si="20"/>
        <v>0</v>
      </c>
      <c r="AE86" s="1">
        <f t="shared" si="20"/>
        <v>0</v>
      </c>
      <c r="AF86" s="1">
        <f t="shared" si="20"/>
        <v>0</v>
      </c>
      <c r="AG86" s="1">
        <f t="shared" si="20"/>
        <v>0</v>
      </c>
      <c r="AH86" s="1">
        <f t="shared" si="20"/>
        <v>0</v>
      </c>
      <c r="AI86" s="1">
        <f t="shared" si="20"/>
        <v>0</v>
      </c>
      <c r="AJ86" s="1">
        <f t="shared" si="20"/>
        <v>0</v>
      </c>
      <c r="AK86" s="1">
        <f t="shared" si="20"/>
        <v>0</v>
      </c>
    </row>
    <row r="87" spans="1:37" ht="14.1" customHeight="1" x14ac:dyDescent="0.2">
      <c r="A87" s="12">
        <v>31</v>
      </c>
      <c r="B87" s="65"/>
      <c r="C87" s="101" t="str">
        <f>ANUAL!$C171</f>
        <v>---</v>
      </c>
      <c r="D87" s="303" t="str">
        <f>ANUAL!$D171</f>
        <v>---</v>
      </c>
      <c r="E87" s="303"/>
      <c r="F87" s="303"/>
      <c r="G87" s="102">
        <f t="shared" si="16"/>
        <v>0</v>
      </c>
      <c r="H87" s="62"/>
      <c r="I87" s="3"/>
      <c r="J87" s="3"/>
      <c r="K87" s="3"/>
      <c r="L87" s="3"/>
      <c r="M87" s="3"/>
      <c r="N87" s="12">
        <v>79</v>
      </c>
      <c r="O87" s="65"/>
      <c r="P87" s="49"/>
      <c r="Q87" s="50"/>
      <c r="R87" s="51"/>
      <c r="S87" s="52"/>
      <c r="T87" s="53"/>
      <c r="U87" s="54"/>
      <c r="V87" s="62"/>
      <c r="X87" s="1">
        <f t="shared" ca="1" si="19"/>
        <v>1</v>
      </c>
      <c r="Z87" s="1">
        <f t="shared" si="20"/>
        <v>0</v>
      </c>
      <c r="AA87" s="1">
        <f t="shared" si="20"/>
        <v>0</v>
      </c>
      <c r="AB87" s="1">
        <f t="shared" si="20"/>
        <v>0</v>
      </c>
      <c r="AC87" s="1">
        <f t="shared" si="20"/>
        <v>0</v>
      </c>
      <c r="AD87" s="1">
        <f t="shared" si="20"/>
        <v>0</v>
      </c>
      <c r="AE87" s="1">
        <f t="shared" si="20"/>
        <v>0</v>
      </c>
      <c r="AF87" s="1">
        <f t="shared" si="20"/>
        <v>0</v>
      </c>
      <c r="AG87" s="1">
        <f t="shared" si="20"/>
        <v>0</v>
      </c>
      <c r="AH87" s="1">
        <f t="shared" si="20"/>
        <v>0</v>
      </c>
      <c r="AI87" s="1">
        <f t="shared" si="20"/>
        <v>0</v>
      </c>
      <c r="AJ87" s="1">
        <f t="shared" si="20"/>
        <v>0</v>
      </c>
      <c r="AK87" s="1">
        <f t="shared" si="20"/>
        <v>0</v>
      </c>
    </row>
    <row r="88" spans="1:37" ht="14.1" customHeight="1" x14ac:dyDescent="0.2">
      <c r="A88" s="16">
        <v>32</v>
      </c>
      <c r="B88" s="66"/>
      <c r="C88" s="103" t="str">
        <f>ANUAL!$C172</f>
        <v>---</v>
      </c>
      <c r="D88" s="302" t="str">
        <f>ANUAL!$D172</f>
        <v>---</v>
      </c>
      <c r="E88" s="302"/>
      <c r="F88" s="302"/>
      <c r="G88" s="104">
        <f t="shared" si="16"/>
        <v>0</v>
      </c>
      <c r="H88" s="63"/>
      <c r="I88" s="3"/>
      <c r="J88" s="3"/>
      <c r="K88" s="3"/>
      <c r="L88" s="3"/>
      <c r="M88" s="3"/>
      <c r="N88" s="16">
        <v>80</v>
      </c>
      <c r="O88" s="66"/>
      <c r="P88" s="55"/>
      <c r="Q88" s="56"/>
      <c r="R88" s="57"/>
      <c r="S88" s="58"/>
      <c r="T88" s="59"/>
      <c r="U88" s="60"/>
      <c r="V88" s="63"/>
      <c r="X88" s="1">
        <f t="shared" ca="1" si="19"/>
        <v>1</v>
      </c>
      <c r="Z88" s="1">
        <f t="shared" si="20"/>
        <v>0</v>
      </c>
      <c r="AA88" s="1">
        <f t="shared" si="20"/>
        <v>0</v>
      </c>
      <c r="AB88" s="1">
        <f t="shared" si="20"/>
        <v>0</v>
      </c>
      <c r="AC88" s="1">
        <f t="shared" si="20"/>
        <v>0</v>
      </c>
      <c r="AD88" s="1">
        <f t="shared" si="20"/>
        <v>0</v>
      </c>
      <c r="AE88" s="1">
        <f t="shared" si="20"/>
        <v>0</v>
      </c>
      <c r="AF88" s="1">
        <f t="shared" si="20"/>
        <v>0</v>
      </c>
      <c r="AG88" s="1">
        <f t="shared" si="20"/>
        <v>0</v>
      </c>
      <c r="AH88" s="1">
        <f t="shared" si="20"/>
        <v>0</v>
      </c>
      <c r="AI88" s="1">
        <f t="shared" si="20"/>
        <v>0</v>
      </c>
      <c r="AJ88" s="1">
        <f t="shared" si="20"/>
        <v>0</v>
      </c>
      <c r="AK88" s="1">
        <f t="shared" si="20"/>
        <v>0</v>
      </c>
    </row>
    <row r="89" spans="1:37" ht="14.1" customHeight="1" x14ac:dyDescent="0.2">
      <c r="B89" s="105"/>
      <c r="C89" s="106"/>
      <c r="D89" s="107"/>
      <c r="E89" s="107"/>
      <c r="F89" s="107"/>
      <c r="G89" s="107"/>
      <c r="H89" s="108"/>
      <c r="I89" s="3"/>
      <c r="J89" s="3"/>
      <c r="K89" s="3"/>
      <c r="L89" s="3"/>
      <c r="M89" s="3"/>
      <c r="O89" s="32"/>
      <c r="P89" s="33"/>
      <c r="Q89" s="33"/>
      <c r="R89" s="34"/>
      <c r="S89" s="34"/>
      <c r="T89" s="67"/>
      <c r="U89" s="34"/>
      <c r="V89" s="35"/>
    </row>
    <row r="90" spans="1:37" ht="14.1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37" ht="14.1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37" ht="14.1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37" ht="14.1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37" ht="14.1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37" ht="14.1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37" ht="14.1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1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1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1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</sheetData>
  <sheetProtection selectLockedCells="1"/>
  <mergeCells count="57">
    <mergeCell ref="C43:G44"/>
    <mergeCell ref="B1:H1"/>
    <mergeCell ref="C5:G6"/>
    <mergeCell ref="P5:U6"/>
    <mergeCell ref="C7:C8"/>
    <mergeCell ref="D7:D8"/>
    <mergeCell ref="E7:G7"/>
    <mergeCell ref="P7:P8"/>
    <mergeCell ref="Q7:Q8"/>
    <mergeCell ref="R7:S7"/>
    <mergeCell ref="T7:T8"/>
    <mergeCell ref="U7:U8"/>
    <mergeCell ref="C24:G25"/>
    <mergeCell ref="C26:C27"/>
    <mergeCell ref="D26:D27"/>
    <mergeCell ref="E26:G26"/>
    <mergeCell ref="D62:F62"/>
    <mergeCell ref="D63:F63"/>
    <mergeCell ref="D64:F64"/>
    <mergeCell ref="D65:F65"/>
    <mergeCell ref="C45:C46"/>
    <mergeCell ref="D45:D46"/>
    <mergeCell ref="E45:G45"/>
    <mergeCell ref="C53:G54"/>
    <mergeCell ref="C55:C56"/>
    <mergeCell ref="D55:D56"/>
    <mergeCell ref="E55:E56"/>
    <mergeCell ref="F55:F56"/>
    <mergeCell ref="G55:G56"/>
    <mergeCell ref="D57:F57"/>
    <mergeCell ref="D58:F58"/>
    <mergeCell ref="D59:F59"/>
    <mergeCell ref="D60:F60"/>
    <mergeCell ref="D61:F61"/>
    <mergeCell ref="D66:F66"/>
    <mergeCell ref="D67:F67"/>
    <mergeCell ref="D80:F80"/>
    <mergeCell ref="D69:F69"/>
    <mergeCell ref="D70:F70"/>
    <mergeCell ref="D71:F71"/>
    <mergeCell ref="D72:F72"/>
    <mergeCell ref="D73:F73"/>
    <mergeCell ref="D74:F74"/>
    <mergeCell ref="D75:F75"/>
    <mergeCell ref="D68:F68"/>
    <mergeCell ref="D88:F88"/>
    <mergeCell ref="D81:F81"/>
    <mergeCell ref="D82:F82"/>
    <mergeCell ref="D83:F83"/>
    <mergeCell ref="D84:F84"/>
    <mergeCell ref="D85:F85"/>
    <mergeCell ref="D86:F86"/>
    <mergeCell ref="D76:F76"/>
    <mergeCell ref="D77:F77"/>
    <mergeCell ref="D78:F78"/>
    <mergeCell ref="D79:F79"/>
    <mergeCell ref="D87:F87"/>
  </mergeCells>
  <conditionalFormatting sqref="U9:U11 P12:U88">
    <cfRule type="expression" dxfId="24" priority="6" stopIfTrue="1">
      <formula>$X9&lt;&gt;1</formula>
    </cfRule>
  </conditionalFormatting>
  <conditionalFormatting sqref="U9:U11 S12:U20">
    <cfRule type="expression" dxfId="23" priority="5" stopIfTrue="1">
      <formula>$X9&lt;&gt;1</formula>
    </cfRule>
  </conditionalFormatting>
  <conditionalFormatting sqref="S12:T20">
    <cfRule type="expression" dxfId="22" priority="4" stopIfTrue="1">
      <formula>$X12&lt;&gt;1</formula>
    </cfRule>
  </conditionalFormatting>
  <conditionalFormatting sqref="U12:U16">
    <cfRule type="expression" dxfId="21" priority="3" stopIfTrue="1">
      <formula>$X12&lt;&gt;1</formula>
    </cfRule>
  </conditionalFormatting>
  <conditionalFormatting sqref="P9:T11">
    <cfRule type="expression" dxfId="20" priority="1" stopIfTrue="1">
      <formula>$X9&lt;&gt;1</formula>
    </cfRule>
  </conditionalFormatting>
  <printOptions horizontalCentered="1"/>
  <pageMargins left="0.39374999999999999" right="0.39374999999999999" top="0.78749999999999998" bottom="0.59027777777777779" header="0.51180555555555551" footer="0.51180555555555551"/>
  <pageSetup paperSize="8" scale="59" orientation="portrait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9"/>
  <sheetViews>
    <sheetView zoomScale="80" zoomScaleNormal="80" workbookViewId="0">
      <selection activeCell="P9" sqref="P9"/>
    </sheetView>
  </sheetViews>
  <sheetFormatPr defaultColWidth="11.5703125" defaultRowHeight="14.1" customHeight="1" x14ac:dyDescent="0.2"/>
  <cols>
    <col min="1" max="1" width="4.140625" style="1" customWidth="1"/>
    <col min="2" max="2" width="2.5703125" style="1" customWidth="1"/>
    <col min="3" max="3" width="9.140625" style="2" customWidth="1"/>
    <col min="4" max="4" width="40.85546875" style="1" customWidth="1"/>
    <col min="5" max="7" width="11.5703125" style="1"/>
    <col min="8" max="9" width="2.5703125" style="1" customWidth="1"/>
    <col min="10" max="12" width="11.5703125" style="1" hidden="1" customWidth="1"/>
    <col min="13" max="13" width="2.5703125" style="1" customWidth="1"/>
    <col min="14" max="14" width="4.140625" style="1" customWidth="1"/>
    <col min="15" max="15" width="2.5703125" style="1" customWidth="1"/>
    <col min="16" max="16" width="11.5703125" style="1"/>
    <col min="17" max="17" width="51" style="1" customWidth="1"/>
    <col min="18" max="19" width="12.7109375" style="24" customWidth="1"/>
    <col min="20" max="20" width="12.7109375" style="1" customWidth="1"/>
    <col min="21" max="21" width="10.140625" style="24" customWidth="1"/>
    <col min="22" max="22" width="2.5703125" style="1" customWidth="1"/>
    <col min="23" max="23" width="5.140625" style="1" customWidth="1"/>
    <col min="24" max="37" width="0" style="1" hidden="1" customWidth="1"/>
    <col min="38" max="255" width="11.5703125" style="1"/>
    <col min="256" max="16384" width="11.5703125" style="3"/>
  </cols>
  <sheetData>
    <row r="1" spans="1:256" s="4" customFormat="1" ht="33.950000000000003" customHeight="1" x14ac:dyDescent="0.2">
      <c r="B1" s="307">
        <f>DATE(ANUAL!B5,B2,8)</f>
        <v>40429</v>
      </c>
      <c r="C1" s="307"/>
      <c r="D1" s="307"/>
      <c r="E1" s="307"/>
      <c r="F1" s="307"/>
      <c r="G1" s="307"/>
      <c r="H1" s="307"/>
      <c r="I1" s="25" t="s">
        <v>2</v>
      </c>
      <c r="M1" s="26" t="s">
        <v>92</v>
      </c>
      <c r="R1" s="27"/>
      <c r="S1" s="27"/>
      <c r="U1" s="27"/>
      <c r="W1" s="25" t="s">
        <v>2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 t="s">
        <v>92</v>
      </c>
      <c r="IV1" s="3"/>
    </row>
    <row r="2" spans="1:256" ht="14.1" customHeight="1" x14ac:dyDescent="0.2">
      <c r="B2" s="28">
        <f>'M8'!B2+1</f>
        <v>9</v>
      </c>
    </row>
    <row r="4" spans="1:256" ht="14.1" customHeight="1" x14ac:dyDescent="0.2">
      <c r="B4" s="68"/>
      <c r="C4" s="69"/>
      <c r="D4" s="70"/>
      <c r="E4" s="70"/>
      <c r="F4" s="70"/>
      <c r="G4" s="70"/>
      <c r="H4" s="71"/>
      <c r="O4" s="36"/>
      <c r="P4" s="37"/>
      <c r="Q4" s="37"/>
      <c r="R4" s="38"/>
      <c r="S4" s="38"/>
      <c r="T4" s="37"/>
      <c r="U4" s="38"/>
      <c r="V4" s="39"/>
    </row>
    <row r="5" spans="1:256" ht="14.1" customHeight="1" x14ac:dyDescent="0.2">
      <c r="B5" s="72"/>
      <c r="C5" s="308" t="s">
        <v>107</v>
      </c>
      <c r="D5" s="308"/>
      <c r="E5" s="308"/>
      <c r="F5" s="308"/>
      <c r="G5" s="308"/>
      <c r="H5" s="73"/>
      <c r="O5" s="40"/>
      <c r="P5" s="309" t="s">
        <v>93</v>
      </c>
      <c r="Q5" s="309"/>
      <c r="R5" s="309"/>
      <c r="S5" s="309"/>
      <c r="T5" s="309"/>
      <c r="U5" s="309"/>
      <c r="V5" s="41"/>
    </row>
    <row r="6" spans="1:256" s="9" customFormat="1" ht="14.1" customHeight="1" x14ac:dyDescent="0.2">
      <c r="B6" s="74"/>
      <c r="C6" s="308"/>
      <c r="D6" s="308"/>
      <c r="E6" s="308"/>
      <c r="F6" s="308"/>
      <c r="G6" s="308"/>
      <c r="H6" s="75"/>
      <c r="I6" s="1"/>
      <c r="J6" s="1"/>
      <c r="K6" s="1"/>
      <c r="L6" s="1"/>
      <c r="M6" s="1"/>
      <c r="N6" s="1"/>
      <c r="O6" s="42"/>
      <c r="P6" s="309"/>
      <c r="Q6" s="309"/>
      <c r="R6" s="309"/>
      <c r="S6" s="309"/>
      <c r="T6" s="309"/>
      <c r="U6" s="309"/>
      <c r="V6" s="4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IV6" s="3"/>
    </row>
    <row r="7" spans="1:256" ht="14.1" customHeight="1" x14ac:dyDescent="0.2">
      <c r="B7" s="46"/>
      <c r="C7" s="271" t="s">
        <v>94</v>
      </c>
      <c r="D7" s="273" t="s">
        <v>5</v>
      </c>
      <c r="E7" s="275" t="s">
        <v>6</v>
      </c>
      <c r="F7" s="275"/>
      <c r="G7" s="276"/>
      <c r="H7" s="73"/>
      <c r="O7" s="46"/>
      <c r="P7" s="275" t="s">
        <v>95</v>
      </c>
      <c r="Q7" s="271" t="s">
        <v>5</v>
      </c>
      <c r="R7" s="275" t="s">
        <v>96</v>
      </c>
      <c r="S7" s="275"/>
      <c r="T7" s="275" t="s">
        <v>97</v>
      </c>
      <c r="U7" s="276" t="s">
        <v>98</v>
      </c>
      <c r="V7" s="41"/>
    </row>
    <row r="8" spans="1:256" ht="14.1" customHeight="1" x14ac:dyDescent="0.2">
      <c r="B8" s="44"/>
      <c r="C8" s="272"/>
      <c r="D8" s="274"/>
      <c r="E8" s="98" t="s">
        <v>99</v>
      </c>
      <c r="F8" s="98" t="s">
        <v>100</v>
      </c>
      <c r="G8" s="98" t="s">
        <v>101</v>
      </c>
      <c r="H8" s="76"/>
      <c r="O8" s="44"/>
      <c r="P8" s="306" t="s">
        <v>95</v>
      </c>
      <c r="Q8" s="272" t="s">
        <v>5</v>
      </c>
      <c r="R8" s="47" t="s">
        <v>89</v>
      </c>
      <c r="S8" s="48" t="s">
        <v>87</v>
      </c>
      <c r="T8" s="306" t="s">
        <v>97</v>
      </c>
      <c r="U8" s="305"/>
      <c r="V8" s="45"/>
      <c r="X8" s="1" t="s">
        <v>100</v>
      </c>
      <c r="Z8" s="1" t="str">
        <f>$C$9</f>
        <v/>
      </c>
      <c r="AA8" s="1" t="str">
        <f>$C$10</f>
        <v>INV1</v>
      </c>
      <c r="AB8" s="1" t="str">
        <f>$C$11</f>
        <v>DINH1</v>
      </c>
      <c r="AC8" s="1" t="str">
        <f>$C$12</f>
        <v>CRED1</v>
      </c>
      <c r="AD8" s="1" t="str">
        <f>$C$13</f>
        <v>---</v>
      </c>
      <c r="AE8" s="1" t="str">
        <f>$C$14</f>
        <v>---</v>
      </c>
      <c r="AF8" s="1" t="str">
        <f>$C$15</f>
        <v>---</v>
      </c>
      <c r="AG8" s="1" t="str">
        <f>$C$16</f>
        <v>---</v>
      </c>
      <c r="AH8" s="1" t="str">
        <f>$C$17</f>
        <v>---</v>
      </c>
      <c r="AI8" s="1" t="str">
        <f>$C$18</f>
        <v>---</v>
      </c>
      <c r="AJ8" s="1" t="str">
        <f>$C$19</f>
        <v>---</v>
      </c>
      <c r="AK8" s="1" t="str">
        <f>$C$20</f>
        <v>---</v>
      </c>
    </row>
    <row r="9" spans="1:256" ht="14.1" customHeight="1" x14ac:dyDescent="0.2">
      <c r="A9" s="12">
        <v>1</v>
      </c>
      <c r="B9" s="64"/>
      <c r="C9" s="115" t="str">
        <f>TRIM(ANUAL!C13)</f>
        <v/>
      </c>
      <c r="D9" s="116" t="str">
        <f>TRIM(ANUAL!D13)</f>
        <v>CONTA CORRENTE BANCO 1</v>
      </c>
      <c r="E9" s="117">
        <f ca="1">INDIRECT("M"&amp;B$2-1&amp;"!G"&amp;A9+ROW(A$8))</f>
        <v>0</v>
      </c>
      <c r="F9" s="117">
        <f t="shared" ref="F9:F20" ca="1" si="0">E9+SUMIF(X$9:X$88,1,OFFSET($Z$9:$Z$88,0,A9-1))</f>
        <v>0</v>
      </c>
      <c r="G9" s="117">
        <f t="shared" ref="G9:G20" ca="1" si="1">E9+SUM(OFFSET($Z$9:$Z$88,0,A9-1))</f>
        <v>0</v>
      </c>
      <c r="H9" s="61"/>
      <c r="J9" s="3" t="b">
        <f t="shared" ref="J9:L20" si="2">NOT(ISERR(SEARCH(J$27,$C9)))</f>
        <v>0</v>
      </c>
      <c r="K9" s="3" t="b">
        <f t="shared" si="2"/>
        <v>0</v>
      </c>
      <c r="L9" s="3" t="b">
        <f t="shared" si="2"/>
        <v>0</v>
      </c>
      <c r="N9" s="12">
        <v>1</v>
      </c>
      <c r="O9" s="64"/>
      <c r="P9" s="49"/>
      <c r="Q9" s="50"/>
      <c r="R9" s="51"/>
      <c r="S9" s="52"/>
      <c r="T9" s="53"/>
      <c r="U9" s="54"/>
      <c r="V9" s="61"/>
      <c r="X9" s="1">
        <f t="shared" ref="X9:X40" ca="1" si="3">IF(P9&lt;NOW(),1,0)</f>
        <v>1</v>
      </c>
      <c r="Z9" s="1">
        <f t="shared" ref="Z9:AK18" si="4">IF(Z$8=$R9,-$T9,0)+IF(Z$8=$S9,$T9,0)</f>
        <v>0</v>
      </c>
      <c r="AA9" s="1">
        <f t="shared" si="4"/>
        <v>0</v>
      </c>
      <c r="AB9" s="1">
        <f t="shared" si="4"/>
        <v>0</v>
      </c>
      <c r="AC9" s="1">
        <f t="shared" si="4"/>
        <v>0</v>
      </c>
      <c r="AD9" s="1">
        <f t="shared" si="4"/>
        <v>0</v>
      </c>
      <c r="AE9" s="1">
        <f t="shared" si="4"/>
        <v>0</v>
      </c>
      <c r="AF9" s="1">
        <f t="shared" si="4"/>
        <v>0</v>
      </c>
      <c r="AG9" s="1">
        <f t="shared" si="4"/>
        <v>0</v>
      </c>
      <c r="AH9" s="1">
        <f t="shared" si="4"/>
        <v>0</v>
      </c>
      <c r="AI9" s="1">
        <f t="shared" si="4"/>
        <v>0</v>
      </c>
      <c r="AJ9" s="1">
        <f t="shared" si="4"/>
        <v>0</v>
      </c>
      <c r="AK9" s="1">
        <f t="shared" si="4"/>
        <v>0</v>
      </c>
    </row>
    <row r="10" spans="1:256" ht="14.1" customHeight="1" x14ac:dyDescent="0.2">
      <c r="A10" s="16">
        <v>2</v>
      </c>
      <c r="B10" s="65"/>
      <c r="C10" s="118" t="str">
        <f>TRIM(ANUAL!C14)</f>
        <v>INV1</v>
      </c>
      <c r="D10" s="119" t="str">
        <f>TRIM(ANUAL!D14)</f>
        <v>POUPANÇA BANCO 1</v>
      </c>
      <c r="E10" s="120">
        <f t="shared" ref="E10:E20" ca="1" si="5">INDIRECT("M"&amp;B$2-1&amp;"!G"&amp;A10+ROW(A$8))</f>
        <v>0</v>
      </c>
      <c r="F10" s="120">
        <f t="shared" ca="1" si="0"/>
        <v>0</v>
      </c>
      <c r="G10" s="120">
        <f t="shared" ca="1" si="1"/>
        <v>0</v>
      </c>
      <c r="H10" s="62"/>
      <c r="J10" s="3" t="b">
        <f t="shared" si="2"/>
        <v>0</v>
      </c>
      <c r="K10" s="3" t="b">
        <f t="shared" si="2"/>
        <v>1</v>
      </c>
      <c r="L10" s="3" t="b">
        <f t="shared" si="2"/>
        <v>0</v>
      </c>
      <c r="N10" s="16">
        <v>2</v>
      </c>
      <c r="O10" s="65"/>
      <c r="P10" s="55"/>
      <c r="Q10" s="56"/>
      <c r="R10" s="57"/>
      <c r="S10" s="58"/>
      <c r="T10" s="59"/>
      <c r="U10" s="60"/>
      <c r="V10" s="62"/>
      <c r="X10" s="1">
        <f t="shared" ca="1" si="3"/>
        <v>1</v>
      </c>
      <c r="Z10" s="1">
        <f t="shared" si="4"/>
        <v>0</v>
      </c>
      <c r="AA10" s="1">
        <f t="shared" si="4"/>
        <v>0</v>
      </c>
      <c r="AB10" s="1">
        <f t="shared" si="4"/>
        <v>0</v>
      </c>
      <c r="AC10" s="1">
        <f t="shared" si="4"/>
        <v>0</v>
      </c>
      <c r="AD10" s="1">
        <f t="shared" si="4"/>
        <v>0</v>
      </c>
      <c r="AE10" s="1">
        <f t="shared" si="4"/>
        <v>0</v>
      </c>
      <c r="AF10" s="1">
        <f t="shared" si="4"/>
        <v>0</v>
      </c>
      <c r="AG10" s="1">
        <f t="shared" si="4"/>
        <v>0</v>
      </c>
      <c r="AH10" s="1">
        <f t="shared" si="4"/>
        <v>0</v>
      </c>
      <c r="AI10" s="1">
        <f t="shared" si="4"/>
        <v>0</v>
      </c>
      <c r="AJ10" s="1">
        <f t="shared" si="4"/>
        <v>0</v>
      </c>
      <c r="AK10" s="1">
        <f t="shared" si="4"/>
        <v>0</v>
      </c>
    </row>
    <row r="11" spans="1:256" ht="14.1" customHeight="1" x14ac:dyDescent="0.2">
      <c r="A11" s="12">
        <v>3</v>
      </c>
      <c r="B11" s="65"/>
      <c r="C11" s="115" t="str">
        <f>TRIM(ANUAL!C15)</f>
        <v>DINH1</v>
      </c>
      <c r="D11" s="116" t="str">
        <f>TRIM(ANUAL!D15)</f>
        <v>EM ESPÉCIE</v>
      </c>
      <c r="E11" s="117">
        <f t="shared" ca="1" si="5"/>
        <v>0</v>
      </c>
      <c r="F11" s="117">
        <f t="shared" ca="1" si="0"/>
        <v>0</v>
      </c>
      <c r="G11" s="117">
        <f t="shared" ca="1" si="1"/>
        <v>0</v>
      </c>
      <c r="H11" s="62"/>
      <c r="J11" s="3" t="b">
        <f t="shared" si="2"/>
        <v>0</v>
      </c>
      <c r="K11" s="3" t="b">
        <f t="shared" si="2"/>
        <v>0</v>
      </c>
      <c r="L11" s="3" t="b">
        <f t="shared" si="2"/>
        <v>1</v>
      </c>
      <c r="N11" s="12">
        <v>3</v>
      </c>
      <c r="O11" s="65"/>
      <c r="P11" s="49"/>
      <c r="Q11" s="50"/>
      <c r="R11" s="51"/>
      <c r="S11" s="52"/>
      <c r="T11" s="53"/>
      <c r="U11" s="54"/>
      <c r="V11" s="62"/>
      <c r="X11" s="1">
        <f t="shared" ca="1" si="3"/>
        <v>1</v>
      </c>
      <c r="Z11" s="1">
        <f t="shared" si="4"/>
        <v>0</v>
      </c>
      <c r="AA11" s="1">
        <f t="shared" si="4"/>
        <v>0</v>
      </c>
      <c r="AB11" s="1">
        <f t="shared" si="4"/>
        <v>0</v>
      </c>
      <c r="AC11" s="1">
        <f t="shared" si="4"/>
        <v>0</v>
      </c>
      <c r="AD11" s="1">
        <f t="shared" si="4"/>
        <v>0</v>
      </c>
      <c r="AE11" s="1">
        <f t="shared" si="4"/>
        <v>0</v>
      </c>
      <c r="AF11" s="1">
        <f t="shared" si="4"/>
        <v>0</v>
      </c>
      <c r="AG11" s="1">
        <f t="shared" si="4"/>
        <v>0</v>
      </c>
      <c r="AH11" s="1">
        <f t="shared" si="4"/>
        <v>0</v>
      </c>
      <c r="AI11" s="1">
        <f t="shared" si="4"/>
        <v>0</v>
      </c>
      <c r="AJ11" s="1">
        <f t="shared" si="4"/>
        <v>0</v>
      </c>
      <c r="AK11" s="1">
        <f t="shared" si="4"/>
        <v>0</v>
      </c>
    </row>
    <row r="12" spans="1:256" ht="14.1" customHeight="1" x14ac:dyDescent="0.2">
      <c r="A12" s="16">
        <v>4</v>
      </c>
      <c r="B12" s="65"/>
      <c r="C12" s="118" t="str">
        <f>TRIM(ANUAL!C16)</f>
        <v>CRED1</v>
      </c>
      <c r="D12" s="119" t="str">
        <f>TRIM(ANUAL!D16)</f>
        <v>CARTÃO DE CRÉDITO 1</v>
      </c>
      <c r="E12" s="120">
        <f t="shared" ca="1" si="5"/>
        <v>0</v>
      </c>
      <c r="F12" s="120">
        <f t="shared" ca="1" si="0"/>
        <v>0</v>
      </c>
      <c r="G12" s="120">
        <f t="shared" ca="1" si="1"/>
        <v>0</v>
      </c>
      <c r="H12" s="62"/>
      <c r="J12" s="3" t="b">
        <f t="shared" si="2"/>
        <v>0</v>
      </c>
      <c r="K12" s="3" t="b">
        <f t="shared" si="2"/>
        <v>0</v>
      </c>
      <c r="L12" s="3" t="b">
        <f t="shared" si="2"/>
        <v>0</v>
      </c>
      <c r="N12" s="16">
        <v>4</v>
      </c>
      <c r="O12" s="65"/>
      <c r="P12" s="55"/>
      <c r="Q12" s="56"/>
      <c r="R12" s="57"/>
      <c r="S12" s="58"/>
      <c r="T12" s="59"/>
      <c r="U12" s="60"/>
      <c r="V12" s="62"/>
      <c r="X12" s="1">
        <f t="shared" ca="1" si="3"/>
        <v>1</v>
      </c>
      <c r="Z12" s="1">
        <f t="shared" si="4"/>
        <v>0</v>
      </c>
      <c r="AA12" s="1">
        <f t="shared" si="4"/>
        <v>0</v>
      </c>
      <c r="AB12" s="1">
        <f t="shared" si="4"/>
        <v>0</v>
      </c>
      <c r="AC12" s="1">
        <f t="shared" si="4"/>
        <v>0</v>
      </c>
      <c r="AD12" s="1">
        <f t="shared" si="4"/>
        <v>0</v>
      </c>
      <c r="AE12" s="1">
        <f t="shared" si="4"/>
        <v>0</v>
      </c>
      <c r="AF12" s="1">
        <f t="shared" si="4"/>
        <v>0</v>
      </c>
      <c r="AG12" s="1">
        <f t="shared" si="4"/>
        <v>0</v>
      </c>
      <c r="AH12" s="1">
        <f t="shared" si="4"/>
        <v>0</v>
      </c>
      <c r="AI12" s="1">
        <f t="shared" si="4"/>
        <v>0</v>
      </c>
      <c r="AJ12" s="1">
        <f t="shared" si="4"/>
        <v>0</v>
      </c>
      <c r="AK12" s="1">
        <f t="shared" si="4"/>
        <v>0</v>
      </c>
    </row>
    <row r="13" spans="1:256" ht="14.1" customHeight="1" x14ac:dyDescent="0.2">
      <c r="A13" s="12">
        <v>5</v>
      </c>
      <c r="B13" s="65"/>
      <c r="C13" s="115" t="str">
        <f>TRIM(ANUAL!C17)</f>
        <v>---</v>
      </c>
      <c r="D13" s="116" t="str">
        <f>TRIM(ANUAL!D17)</f>
        <v/>
      </c>
      <c r="E13" s="117">
        <f t="shared" ca="1" si="5"/>
        <v>0</v>
      </c>
      <c r="F13" s="117">
        <f t="shared" ca="1" si="0"/>
        <v>0</v>
      </c>
      <c r="G13" s="117">
        <f t="shared" ca="1" si="1"/>
        <v>0</v>
      </c>
      <c r="H13" s="62"/>
      <c r="J13" s="3" t="b">
        <f t="shared" si="2"/>
        <v>0</v>
      </c>
      <c r="K13" s="3" t="b">
        <f t="shared" si="2"/>
        <v>0</v>
      </c>
      <c r="L13" s="3" t="b">
        <f t="shared" si="2"/>
        <v>0</v>
      </c>
      <c r="N13" s="12">
        <v>5</v>
      </c>
      <c r="O13" s="65"/>
      <c r="P13" s="49"/>
      <c r="Q13" s="50"/>
      <c r="R13" s="51"/>
      <c r="S13" s="52"/>
      <c r="T13" s="53"/>
      <c r="U13" s="54"/>
      <c r="V13" s="62"/>
      <c r="X13" s="1">
        <f t="shared" ca="1" si="3"/>
        <v>1</v>
      </c>
      <c r="Z13" s="1">
        <f t="shared" si="4"/>
        <v>0</v>
      </c>
      <c r="AA13" s="1">
        <f t="shared" si="4"/>
        <v>0</v>
      </c>
      <c r="AB13" s="1">
        <f t="shared" si="4"/>
        <v>0</v>
      </c>
      <c r="AC13" s="1">
        <f t="shared" si="4"/>
        <v>0</v>
      </c>
      <c r="AD13" s="1">
        <f t="shared" si="4"/>
        <v>0</v>
      </c>
      <c r="AE13" s="1">
        <f t="shared" si="4"/>
        <v>0</v>
      </c>
      <c r="AF13" s="1">
        <f t="shared" si="4"/>
        <v>0</v>
      </c>
      <c r="AG13" s="1">
        <f t="shared" si="4"/>
        <v>0</v>
      </c>
      <c r="AH13" s="1">
        <f t="shared" si="4"/>
        <v>0</v>
      </c>
      <c r="AI13" s="1">
        <f t="shared" si="4"/>
        <v>0</v>
      </c>
      <c r="AJ13" s="1">
        <f t="shared" si="4"/>
        <v>0</v>
      </c>
      <c r="AK13" s="1">
        <f t="shared" si="4"/>
        <v>0</v>
      </c>
    </row>
    <row r="14" spans="1:256" ht="14.1" customHeight="1" x14ac:dyDescent="0.2">
      <c r="A14" s="16">
        <v>6</v>
      </c>
      <c r="B14" s="65"/>
      <c r="C14" s="118" t="str">
        <f>TRIM(ANUAL!C18)</f>
        <v>---</v>
      </c>
      <c r="D14" s="119" t="str">
        <f>TRIM(ANUAL!D18)</f>
        <v/>
      </c>
      <c r="E14" s="120">
        <f t="shared" ca="1" si="5"/>
        <v>0</v>
      </c>
      <c r="F14" s="120">
        <f t="shared" ca="1" si="0"/>
        <v>0</v>
      </c>
      <c r="G14" s="120">
        <f t="shared" ca="1" si="1"/>
        <v>0</v>
      </c>
      <c r="H14" s="62"/>
      <c r="J14" s="3" t="b">
        <f t="shared" si="2"/>
        <v>0</v>
      </c>
      <c r="K14" s="3" t="b">
        <f t="shared" si="2"/>
        <v>0</v>
      </c>
      <c r="L14" s="3" t="b">
        <f t="shared" si="2"/>
        <v>0</v>
      </c>
      <c r="N14" s="16">
        <v>6</v>
      </c>
      <c r="O14" s="65"/>
      <c r="P14" s="55"/>
      <c r="Q14" s="56"/>
      <c r="R14" s="57"/>
      <c r="S14" s="58"/>
      <c r="T14" s="59"/>
      <c r="U14" s="60"/>
      <c r="V14" s="62"/>
      <c r="X14" s="1">
        <f t="shared" ca="1" si="3"/>
        <v>1</v>
      </c>
      <c r="Z14" s="1">
        <f t="shared" si="4"/>
        <v>0</v>
      </c>
      <c r="AA14" s="1">
        <f t="shared" si="4"/>
        <v>0</v>
      </c>
      <c r="AB14" s="1">
        <f t="shared" si="4"/>
        <v>0</v>
      </c>
      <c r="AC14" s="1">
        <f t="shared" si="4"/>
        <v>0</v>
      </c>
      <c r="AD14" s="1">
        <f t="shared" si="4"/>
        <v>0</v>
      </c>
      <c r="AE14" s="1">
        <f t="shared" si="4"/>
        <v>0</v>
      </c>
      <c r="AF14" s="1">
        <f t="shared" si="4"/>
        <v>0</v>
      </c>
      <c r="AG14" s="1">
        <f t="shared" si="4"/>
        <v>0</v>
      </c>
      <c r="AH14" s="1">
        <f t="shared" si="4"/>
        <v>0</v>
      </c>
      <c r="AI14" s="1">
        <f t="shared" si="4"/>
        <v>0</v>
      </c>
      <c r="AJ14" s="1">
        <f t="shared" si="4"/>
        <v>0</v>
      </c>
      <c r="AK14" s="1">
        <f t="shared" si="4"/>
        <v>0</v>
      </c>
    </row>
    <row r="15" spans="1:256" ht="14.1" customHeight="1" x14ac:dyDescent="0.2">
      <c r="A15" s="12">
        <v>7</v>
      </c>
      <c r="B15" s="65"/>
      <c r="C15" s="115" t="str">
        <f>TRIM(ANUAL!C19)</f>
        <v>---</v>
      </c>
      <c r="D15" s="116" t="str">
        <f>TRIM(ANUAL!D19)</f>
        <v/>
      </c>
      <c r="E15" s="117">
        <f t="shared" ca="1" si="5"/>
        <v>0</v>
      </c>
      <c r="F15" s="117">
        <f t="shared" ca="1" si="0"/>
        <v>0</v>
      </c>
      <c r="G15" s="117">
        <f t="shared" ca="1" si="1"/>
        <v>0</v>
      </c>
      <c r="H15" s="62"/>
      <c r="J15" s="3" t="b">
        <f t="shared" si="2"/>
        <v>0</v>
      </c>
      <c r="K15" s="3" t="b">
        <f t="shared" si="2"/>
        <v>0</v>
      </c>
      <c r="L15" s="3" t="b">
        <f t="shared" si="2"/>
        <v>0</v>
      </c>
      <c r="N15" s="12">
        <v>7</v>
      </c>
      <c r="O15" s="65"/>
      <c r="P15" s="49"/>
      <c r="Q15" s="50"/>
      <c r="R15" s="51"/>
      <c r="S15" s="52"/>
      <c r="T15" s="53"/>
      <c r="U15" s="54"/>
      <c r="V15" s="62"/>
      <c r="X15" s="1">
        <f t="shared" ca="1" si="3"/>
        <v>1</v>
      </c>
      <c r="Z15" s="1">
        <f t="shared" si="4"/>
        <v>0</v>
      </c>
      <c r="AA15" s="1">
        <f t="shared" si="4"/>
        <v>0</v>
      </c>
      <c r="AB15" s="1">
        <f t="shared" si="4"/>
        <v>0</v>
      </c>
      <c r="AC15" s="1">
        <f t="shared" si="4"/>
        <v>0</v>
      </c>
      <c r="AD15" s="1">
        <f t="shared" si="4"/>
        <v>0</v>
      </c>
      <c r="AE15" s="1">
        <f t="shared" si="4"/>
        <v>0</v>
      </c>
      <c r="AF15" s="1">
        <f t="shared" si="4"/>
        <v>0</v>
      </c>
      <c r="AG15" s="1">
        <f t="shared" si="4"/>
        <v>0</v>
      </c>
      <c r="AH15" s="1">
        <f t="shared" si="4"/>
        <v>0</v>
      </c>
      <c r="AI15" s="1">
        <f t="shared" si="4"/>
        <v>0</v>
      </c>
      <c r="AJ15" s="1">
        <f t="shared" si="4"/>
        <v>0</v>
      </c>
      <c r="AK15" s="1">
        <f t="shared" si="4"/>
        <v>0</v>
      </c>
    </row>
    <row r="16" spans="1:256" ht="14.1" customHeight="1" x14ac:dyDescent="0.2">
      <c r="A16" s="16">
        <v>8</v>
      </c>
      <c r="B16" s="65"/>
      <c r="C16" s="118" t="str">
        <f>TRIM(ANUAL!C20)</f>
        <v>---</v>
      </c>
      <c r="D16" s="119" t="str">
        <f>TRIM(ANUAL!D20)</f>
        <v/>
      </c>
      <c r="E16" s="120">
        <f t="shared" ca="1" si="5"/>
        <v>0</v>
      </c>
      <c r="F16" s="120">
        <f t="shared" ca="1" si="0"/>
        <v>0</v>
      </c>
      <c r="G16" s="120">
        <f t="shared" ca="1" si="1"/>
        <v>0</v>
      </c>
      <c r="H16" s="62"/>
      <c r="J16" s="3" t="b">
        <f t="shared" si="2"/>
        <v>0</v>
      </c>
      <c r="K16" s="3" t="b">
        <f t="shared" si="2"/>
        <v>0</v>
      </c>
      <c r="L16" s="3" t="b">
        <f t="shared" si="2"/>
        <v>0</v>
      </c>
      <c r="N16" s="16">
        <v>8</v>
      </c>
      <c r="O16" s="65"/>
      <c r="P16" s="55"/>
      <c r="Q16" s="56"/>
      <c r="R16" s="57"/>
      <c r="S16" s="58"/>
      <c r="T16" s="59"/>
      <c r="U16" s="60"/>
      <c r="V16" s="62"/>
      <c r="X16" s="1">
        <f t="shared" ca="1" si="3"/>
        <v>1</v>
      </c>
      <c r="Z16" s="1">
        <f t="shared" si="4"/>
        <v>0</v>
      </c>
      <c r="AA16" s="1">
        <f t="shared" si="4"/>
        <v>0</v>
      </c>
      <c r="AB16" s="1">
        <f t="shared" si="4"/>
        <v>0</v>
      </c>
      <c r="AC16" s="1">
        <f t="shared" si="4"/>
        <v>0</v>
      </c>
      <c r="AD16" s="1">
        <f t="shared" si="4"/>
        <v>0</v>
      </c>
      <c r="AE16" s="1">
        <f t="shared" si="4"/>
        <v>0</v>
      </c>
      <c r="AF16" s="1">
        <f t="shared" si="4"/>
        <v>0</v>
      </c>
      <c r="AG16" s="1">
        <f t="shared" si="4"/>
        <v>0</v>
      </c>
      <c r="AH16" s="1">
        <f t="shared" si="4"/>
        <v>0</v>
      </c>
      <c r="AI16" s="1">
        <f t="shared" si="4"/>
        <v>0</v>
      </c>
      <c r="AJ16" s="1">
        <f t="shared" si="4"/>
        <v>0</v>
      </c>
      <c r="AK16" s="1">
        <f t="shared" si="4"/>
        <v>0</v>
      </c>
    </row>
    <row r="17" spans="1:37" ht="14.1" customHeight="1" x14ac:dyDescent="0.2">
      <c r="A17" s="12">
        <v>9</v>
      </c>
      <c r="B17" s="65"/>
      <c r="C17" s="115" t="str">
        <f>TRIM(ANUAL!C21)</f>
        <v>---</v>
      </c>
      <c r="D17" s="116" t="str">
        <f>TRIM(ANUAL!D21)</f>
        <v/>
      </c>
      <c r="E17" s="117">
        <f t="shared" ca="1" si="5"/>
        <v>0</v>
      </c>
      <c r="F17" s="117">
        <f t="shared" ca="1" si="0"/>
        <v>0</v>
      </c>
      <c r="G17" s="117">
        <f t="shared" ca="1" si="1"/>
        <v>0</v>
      </c>
      <c r="H17" s="62"/>
      <c r="J17" s="3" t="b">
        <f t="shared" si="2"/>
        <v>0</v>
      </c>
      <c r="K17" s="3" t="b">
        <f t="shared" si="2"/>
        <v>0</v>
      </c>
      <c r="L17" s="3" t="b">
        <f t="shared" si="2"/>
        <v>0</v>
      </c>
      <c r="N17" s="12">
        <v>9</v>
      </c>
      <c r="O17" s="65"/>
      <c r="P17" s="49"/>
      <c r="Q17" s="50"/>
      <c r="R17" s="51"/>
      <c r="S17" s="52"/>
      <c r="T17" s="53"/>
      <c r="U17" s="54"/>
      <c r="V17" s="62"/>
      <c r="X17" s="1">
        <f t="shared" ca="1" si="3"/>
        <v>1</v>
      </c>
      <c r="Z17" s="1">
        <f t="shared" si="4"/>
        <v>0</v>
      </c>
      <c r="AA17" s="1">
        <f t="shared" si="4"/>
        <v>0</v>
      </c>
      <c r="AB17" s="1">
        <f t="shared" si="4"/>
        <v>0</v>
      </c>
      <c r="AC17" s="1">
        <f t="shared" si="4"/>
        <v>0</v>
      </c>
      <c r="AD17" s="1">
        <f t="shared" si="4"/>
        <v>0</v>
      </c>
      <c r="AE17" s="1">
        <f t="shared" si="4"/>
        <v>0</v>
      </c>
      <c r="AF17" s="1">
        <f t="shared" si="4"/>
        <v>0</v>
      </c>
      <c r="AG17" s="1">
        <f t="shared" si="4"/>
        <v>0</v>
      </c>
      <c r="AH17" s="1">
        <f t="shared" si="4"/>
        <v>0</v>
      </c>
      <c r="AI17" s="1">
        <f t="shared" si="4"/>
        <v>0</v>
      </c>
      <c r="AJ17" s="1">
        <f t="shared" si="4"/>
        <v>0</v>
      </c>
      <c r="AK17" s="1">
        <f t="shared" si="4"/>
        <v>0</v>
      </c>
    </row>
    <row r="18" spans="1:37" ht="14.1" customHeight="1" x14ac:dyDescent="0.2">
      <c r="A18" s="16">
        <v>10</v>
      </c>
      <c r="B18" s="65"/>
      <c r="C18" s="118" t="str">
        <f>TRIM(ANUAL!C22)</f>
        <v>---</v>
      </c>
      <c r="D18" s="119" t="str">
        <f>TRIM(ANUAL!D22)</f>
        <v/>
      </c>
      <c r="E18" s="120">
        <f t="shared" ca="1" si="5"/>
        <v>0</v>
      </c>
      <c r="F18" s="120">
        <f t="shared" ca="1" si="0"/>
        <v>0</v>
      </c>
      <c r="G18" s="120">
        <f t="shared" ca="1" si="1"/>
        <v>0</v>
      </c>
      <c r="H18" s="62"/>
      <c r="J18" s="3" t="b">
        <f t="shared" si="2"/>
        <v>0</v>
      </c>
      <c r="K18" s="3" t="b">
        <f t="shared" si="2"/>
        <v>0</v>
      </c>
      <c r="L18" s="3" t="b">
        <f t="shared" si="2"/>
        <v>0</v>
      </c>
      <c r="N18" s="16">
        <v>10</v>
      </c>
      <c r="O18" s="65"/>
      <c r="P18" s="55"/>
      <c r="Q18" s="56"/>
      <c r="R18" s="57"/>
      <c r="S18" s="58"/>
      <c r="T18" s="59"/>
      <c r="U18" s="60"/>
      <c r="V18" s="62"/>
      <c r="X18" s="1">
        <f t="shared" ca="1" si="3"/>
        <v>1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C18" s="1">
        <f t="shared" si="4"/>
        <v>0</v>
      </c>
      <c r="AD18" s="1">
        <f t="shared" si="4"/>
        <v>0</v>
      </c>
      <c r="AE18" s="1">
        <f t="shared" si="4"/>
        <v>0</v>
      </c>
      <c r="AF18" s="1">
        <f t="shared" si="4"/>
        <v>0</v>
      </c>
      <c r="AG18" s="1">
        <f t="shared" si="4"/>
        <v>0</v>
      </c>
      <c r="AH18" s="1">
        <f t="shared" si="4"/>
        <v>0</v>
      </c>
      <c r="AI18" s="1">
        <f t="shared" si="4"/>
        <v>0</v>
      </c>
      <c r="AJ18" s="1">
        <f t="shared" si="4"/>
        <v>0</v>
      </c>
      <c r="AK18" s="1">
        <f t="shared" si="4"/>
        <v>0</v>
      </c>
    </row>
    <row r="19" spans="1:37" ht="14.1" customHeight="1" x14ac:dyDescent="0.2">
      <c r="A19" s="12">
        <v>11</v>
      </c>
      <c r="B19" s="65"/>
      <c r="C19" s="115" t="str">
        <f>TRIM(ANUAL!C23)</f>
        <v>---</v>
      </c>
      <c r="D19" s="116" t="str">
        <f>TRIM(ANUAL!D23)</f>
        <v/>
      </c>
      <c r="E19" s="117">
        <f t="shared" ca="1" si="5"/>
        <v>0</v>
      </c>
      <c r="F19" s="117">
        <f t="shared" ca="1" si="0"/>
        <v>0</v>
      </c>
      <c r="G19" s="117">
        <f t="shared" ca="1" si="1"/>
        <v>0</v>
      </c>
      <c r="H19" s="62"/>
      <c r="J19" s="3" t="b">
        <f t="shared" si="2"/>
        <v>0</v>
      </c>
      <c r="K19" s="3" t="b">
        <f t="shared" si="2"/>
        <v>0</v>
      </c>
      <c r="L19" s="3" t="b">
        <f t="shared" si="2"/>
        <v>0</v>
      </c>
      <c r="N19" s="12">
        <v>11</v>
      </c>
      <c r="O19" s="65"/>
      <c r="P19" s="49"/>
      <c r="Q19" s="50"/>
      <c r="R19" s="51"/>
      <c r="S19" s="52"/>
      <c r="T19" s="53"/>
      <c r="U19" s="54"/>
      <c r="V19" s="62"/>
      <c r="X19" s="1">
        <f t="shared" ca="1" si="3"/>
        <v>1</v>
      </c>
      <c r="Z19" s="1">
        <f t="shared" ref="Z19:AK28" si="6">IF(Z$8=$R19,-$T19,0)+IF(Z$8=$S19,$T19,0)</f>
        <v>0</v>
      </c>
      <c r="AA19" s="1">
        <f t="shared" si="6"/>
        <v>0</v>
      </c>
      <c r="AB19" s="1">
        <f t="shared" si="6"/>
        <v>0</v>
      </c>
      <c r="AC19" s="1">
        <f t="shared" si="6"/>
        <v>0</v>
      </c>
      <c r="AD19" s="1">
        <f t="shared" si="6"/>
        <v>0</v>
      </c>
      <c r="AE19" s="1">
        <f t="shared" si="6"/>
        <v>0</v>
      </c>
      <c r="AF19" s="1">
        <f t="shared" si="6"/>
        <v>0</v>
      </c>
      <c r="AG19" s="1">
        <f t="shared" si="6"/>
        <v>0</v>
      </c>
      <c r="AH19" s="1">
        <f t="shared" si="6"/>
        <v>0</v>
      </c>
      <c r="AI19" s="1">
        <f t="shared" si="6"/>
        <v>0</v>
      </c>
      <c r="AJ19" s="1">
        <f t="shared" si="6"/>
        <v>0</v>
      </c>
      <c r="AK19" s="1">
        <f t="shared" si="6"/>
        <v>0</v>
      </c>
    </row>
    <row r="20" spans="1:37" ht="14.1" customHeight="1" x14ac:dyDescent="0.2">
      <c r="A20" s="16">
        <v>12</v>
      </c>
      <c r="B20" s="65"/>
      <c r="C20" s="121" t="str">
        <f>TRIM(ANUAL!C24)</f>
        <v>---</v>
      </c>
      <c r="D20" s="122" t="str">
        <f>TRIM(ANUAL!D24)</f>
        <v/>
      </c>
      <c r="E20" s="123">
        <f t="shared" ca="1" si="5"/>
        <v>0</v>
      </c>
      <c r="F20" s="123">
        <f t="shared" ca="1" si="0"/>
        <v>0</v>
      </c>
      <c r="G20" s="123">
        <f t="shared" ca="1" si="1"/>
        <v>0</v>
      </c>
      <c r="H20" s="62"/>
      <c r="J20" s="3" t="b">
        <f t="shared" si="2"/>
        <v>0</v>
      </c>
      <c r="K20" s="3" t="b">
        <f t="shared" si="2"/>
        <v>0</v>
      </c>
      <c r="L20" s="3" t="b">
        <f t="shared" si="2"/>
        <v>0</v>
      </c>
      <c r="N20" s="16">
        <v>12</v>
      </c>
      <c r="O20" s="65"/>
      <c r="P20" s="55"/>
      <c r="Q20" s="56"/>
      <c r="R20" s="57"/>
      <c r="S20" s="58"/>
      <c r="T20" s="59"/>
      <c r="U20" s="60"/>
      <c r="V20" s="62"/>
      <c r="X20" s="1">
        <f t="shared" ca="1" si="3"/>
        <v>1</v>
      </c>
      <c r="Z20" s="1">
        <f t="shared" si="6"/>
        <v>0</v>
      </c>
      <c r="AA20" s="1">
        <f t="shared" si="6"/>
        <v>0</v>
      </c>
      <c r="AB20" s="1">
        <f t="shared" si="6"/>
        <v>0</v>
      </c>
      <c r="AC20" s="1">
        <f t="shared" si="6"/>
        <v>0</v>
      </c>
      <c r="AD20" s="1">
        <f t="shared" si="6"/>
        <v>0</v>
      </c>
      <c r="AE20" s="1">
        <f t="shared" si="6"/>
        <v>0</v>
      </c>
      <c r="AF20" s="1">
        <f t="shared" si="6"/>
        <v>0</v>
      </c>
      <c r="AG20" s="1">
        <f t="shared" si="6"/>
        <v>0</v>
      </c>
      <c r="AH20" s="1">
        <f t="shared" si="6"/>
        <v>0</v>
      </c>
      <c r="AI20" s="1">
        <f t="shared" si="6"/>
        <v>0</v>
      </c>
      <c r="AJ20" s="1">
        <f t="shared" si="6"/>
        <v>0</v>
      </c>
      <c r="AK20" s="1">
        <f t="shared" si="6"/>
        <v>0</v>
      </c>
    </row>
    <row r="21" spans="1:37" ht="14.1" customHeight="1" x14ac:dyDescent="0.2">
      <c r="B21" s="128"/>
      <c r="C21" s="129"/>
      <c r="D21" s="130"/>
      <c r="E21" s="130"/>
      <c r="F21" s="130"/>
      <c r="G21" s="130"/>
      <c r="H21" s="131"/>
      <c r="N21" s="12">
        <v>13</v>
      </c>
      <c r="O21" s="65"/>
      <c r="P21" s="49"/>
      <c r="Q21" s="50"/>
      <c r="R21" s="51"/>
      <c r="S21" s="52"/>
      <c r="T21" s="53"/>
      <c r="U21" s="54"/>
      <c r="V21" s="62"/>
      <c r="X21" s="1">
        <f t="shared" ca="1" si="3"/>
        <v>1</v>
      </c>
      <c r="Z21" s="1">
        <f t="shared" si="6"/>
        <v>0</v>
      </c>
      <c r="AA21" s="1">
        <f t="shared" si="6"/>
        <v>0</v>
      </c>
      <c r="AB21" s="1">
        <f t="shared" si="6"/>
        <v>0</v>
      </c>
      <c r="AC21" s="1">
        <f t="shared" si="6"/>
        <v>0</v>
      </c>
      <c r="AD21" s="1">
        <f t="shared" si="6"/>
        <v>0</v>
      </c>
      <c r="AE21" s="1">
        <f t="shared" si="6"/>
        <v>0</v>
      </c>
      <c r="AF21" s="1">
        <f t="shared" si="6"/>
        <v>0</v>
      </c>
      <c r="AG21" s="1">
        <f t="shared" si="6"/>
        <v>0</v>
      </c>
      <c r="AH21" s="1">
        <f t="shared" si="6"/>
        <v>0</v>
      </c>
      <c r="AI21" s="1">
        <f t="shared" si="6"/>
        <v>0</v>
      </c>
      <c r="AJ21" s="1">
        <f t="shared" si="6"/>
        <v>0</v>
      </c>
      <c r="AK21" s="1">
        <f t="shared" si="6"/>
        <v>0</v>
      </c>
    </row>
    <row r="22" spans="1:37" ht="14.1" customHeight="1" x14ac:dyDescent="0.2">
      <c r="J22" s="29"/>
      <c r="K22" s="29"/>
      <c r="L22" s="29"/>
      <c r="N22" s="16">
        <v>14</v>
      </c>
      <c r="O22" s="65"/>
      <c r="P22" s="55"/>
      <c r="Q22" s="56"/>
      <c r="R22" s="57"/>
      <c r="S22" s="58"/>
      <c r="T22" s="59"/>
      <c r="U22" s="60"/>
      <c r="V22" s="62"/>
      <c r="X22" s="1">
        <f t="shared" ca="1" si="3"/>
        <v>1</v>
      </c>
      <c r="Z22" s="1">
        <f t="shared" si="6"/>
        <v>0</v>
      </c>
      <c r="AA22" s="1">
        <f t="shared" si="6"/>
        <v>0</v>
      </c>
      <c r="AB22" s="1">
        <f t="shared" si="6"/>
        <v>0</v>
      </c>
      <c r="AC22" s="1">
        <f t="shared" si="6"/>
        <v>0</v>
      </c>
      <c r="AD22" s="1">
        <f t="shared" si="6"/>
        <v>0</v>
      </c>
      <c r="AE22" s="1">
        <f t="shared" si="6"/>
        <v>0</v>
      </c>
      <c r="AF22" s="1">
        <f t="shared" si="6"/>
        <v>0</v>
      </c>
      <c r="AG22" s="1">
        <f t="shared" si="6"/>
        <v>0</v>
      </c>
      <c r="AH22" s="1">
        <f t="shared" si="6"/>
        <v>0</v>
      </c>
      <c r="AI22" s="1">
        <f t="shared" si="6"/>
        <v>0</v>
      </c>
      <c r="AJ22" s="1">
        <f t="shared" si="6"/>
        <v>0</v>
      </c>
      <c r="AK22" s="1">
        <f t="shared" si="6"/>
        <v>0</v>
      </c>
    </row>
    <row r="23" spans="1:37" ht="14.1" customHeight="1" x14ac:dyDescent="0.2">
      <c r="B23" s="77"/>
      <c r="C23" s="78"/>
      <c r="D23" s="79"/>
      <c r="E23" s="79"/>
      <c r="F23" s="79"/>
      <c r="G23" s="79"/>
      <c r="H23" s="80"/>
      <c r="I23" s="3"/>
      <c r="J23" s="3"/>
      <c r="K23" s="3"/>
      <c r="L23" s="3"/>
      <c r="M23" s="3"/>
      <c r="N23" s="12">
        <v>15</v>
      </c>
      <c r="O23" s="65"/>
      <c r="P23" s="49"/>
      <c r="Q23" s="50"/>
      <c r="R23" s="51"/>
      <c r="S23" s="52"/>
      <c r="T23" s="53"/>
      <c r="U23" s="54"/>
      <c r="V23" s="62"/>
      <c r="X23" s="1">
        <f t="shared" ca="1" si="3"/>
        <v>1</v>
      </c>
      <c r="Z23" s="1">
        <f t="shared" si="6"/>
        <v>0</v>
      </c>
      <c r="AA23" s="1">
        <f t="shared" si="6"/>
        <v>0</v>
      </c>
      <c r="AB23" s="1">
        <f t="shared" si="6"/>
        <v>0</v>
      </c>
      <c r="AC23" s="1">
        <f t="shared" si="6"/>
        <v>0</v>
      </c>
      <c r="AD23" s="1">
        <f t="shared" si="6"/>
        <v>0</v>
      </c>
      <c r="AE23" s="1">
        <f t="shared" si="6"/>
        <v>0</v>
      </c>
      <c r="AF23" s="1">
        <f t="shared" si="6"/>
        <v>0</v>
      </c>
      <c r="AG23" s="1">
        <f t="shared" si="6"/>
        <v>0</v>
      </c>
      <c r="AH23" s="1">
        <f t="shared" si="6"/>
        <v>0</v>
      </c>
      <c r="AI23" s="1">
        <f t="shared" si="6"/>
        <v>0</v>
      </c>
      <c r="AJ23" s="1">
        <f t="shared" si="6"/>
        <v>0</v>
      </c>
      <c r="AK23" s="1">
        <f t="shared" si="6"/>
        <v>0</v>
      </c>
    </row>
    <row r="24" spans="1:37" ht="14.1" customHeight="1" x14ac:dyDescent="0.2">
      <c r="B24" s="81"/>
      <c r="C24" s="285" t="s">
        <v>103</v>
      </c>
      <c r="D24" s="285"/>
      <c r="E24" s="285"/>
      <c r="F24" s="285"/>
      <c r="G24" s="285"/>
      <c r="H24" s="82"/>
      <c r="I24" s="3"/>
      <c r="J24" s="3"/>
      <c r="K24" s="3"/>
      <c r="L24" s="3"/>
      <c r="M24" s="3"/>
      <c r="N24" s="16">
        <v>16</v>
      </c>
      <c r="O24" s="65"/>
      <c r="P24" s="55"/>
      <c r="Q24" s="56"/>
      <c r="R24" s="57"/>
      <c r="S24" s="58"/>
      <c r="T24" s="59"/>
      <c r="U24" s="60"/>
      <c r="V24" s="62"/>
      <c r="X24" s="1">
        <f t="shared" ca="1" si="3"/>
        <v>1</v>
      </c>
      <c r="Z24" s="1">
        <f t="shared" si="6"/>
        <v>0</v>
      </c>
      <c r="AA24" s="1">
        <f t="shared" si="6"/>
        <v>0</v>
      </c>
      <c r="AB24" s="1">
        <f t="shared" si="6"/>
        <v>0</v>
      </c>
      <c r="AC24" s="1">
        <f t="shared" si="6"/>
        <v>0</v>
      </c>
      <c r="AD24" s="1">
        <f t="shared" si="6"/>
        <v>0</v>
      </c>
      <c r="AE24" s="1">
        <f t="shared" si="6"/>
        <v>0</v>
      </c>
      <c r="AF24" s="1">
        <f t="shared" si="6"/>
        <v>0</v>
      </c>
      <c r="AG24" s="1">
        <f t="shared" si="6"/>
        <v>0</v>
      </c>
      <c r="AH24" s="1">
        <f t="shared" si="6"/>
        <v>0</v>
      </c>
      <c r="AI24" s="1">
        <f t="shared" si="6"/>
        <v>0</v>
      </c>
      <c r="AJ24" s="1">
        <f t="shared" si="6"/>
        <v>0</v>
      </c>
      <c r="AK24" s="1">
        <f t="shared" si="6"/>
        <v>0</v>
      </c>
    </row>
    <row r="25" spans="1:37" ht="14.1" customHeight="1" x14ac:dyDescent="0.2">
      <c r="B25" s="81"/>
      <c r="C25" s="285"/>
      <c r="D25" s="285"/>
      <c r="E25" s="285"/>
      <c r="F25" s="285"/>
      <c r="G25" s="285"/>
      <c r="H25" s="82"/>
      <c r="I25" s="3"/>
      <c r="J25" s="3"/>
      <c r="K25" s="3"/>
      <c r="L25" s="3"/>
      <c r="M25" s="3"/>
      <c r="N25" s="12">
        <v>17</v>
      </c>
      <c r="O25" s="65"/>
      <c r="P25" s="49"/>
      <c r="Q25" s="50"/>
      <c r="R25" s="51"/>
      <c r="S25" s="52"/>
      <c r="T25" s="53"/>
      <c r="U25" s="54"/>
      <c r="V25" s="62"/>
      <c r="X25" s="1">
        <f t="shared" ca="1" si="3"/>
        <v>1</v>
      </c>
      <c r="Z25" s="1">
        <f t="shared" si="6"/>
        <v>0</v>
      </c>
      <c r="AA25" s="1">
        <f t="shared" si="6"/>
        <v>0</v>
      </c>
      <c r="AB25" s="1">
        <f t="shared" si="6"/>
        <v>0</v>
      </c>
      <c r="AC25" s="1">
        <f t="shared" si="6"/>
        <v>0</v>
      </c>
      <c r="AD25" s="1">
        <f t="shared" si="6"/>
        <v>0</v>
      </c>
      <c r="AE25" s="1">
        <f t="shared" si="6"/>
        <v>0</v>
      </c>
      <c r="AF25" s="1">
        <f t="shared" si="6"/>
        <v>0</v>
      </c>
      <c r="AG25" s="1">
        <f t="shared" si="6"/>
        <v>0</v>
      </c>
      <c r="AH25" s="1">
        <f t="shared" si="6"/>
        <v>0</v>
      </c>
      <c r="AI25" s="1">
        <f t="shared" si="6"/>
        <v>0</v>
      </c>
      <c r="AJ25" s="1">
        <f t="shared" si="6"/>
        <v>0</v>
      </c>
      <c r="AK25" s="1">
        <f t="shared" si="6"/>
        <v>0</v>
      </c>
    </row>
    <row r="26" spans="1:37" ht="14.1" customHeight="1" x14ac:dyDescent="0.2">
      <c r="B26" s="46"/>
      <c r="C26" s="271" t="s">
        <v>94</v>
      </c>
      <c r="D26" s="273" t="s">
        <v>5</v>
      </c>
      <c r="E26" s="275" t="s">
        <v>104</v>
      </c>
      <c r="F26" s="275" t="s">
        <v>89</v>
      </c>
      <c r="G26" s="276" t="s">
        <v>6</v>
      </c>
      <c r="H26" s="82"/>
      <c r="I26" s="3"/>
      <c r="J26" s="3"/>
      <c r="K26" s="3"/>
      <c r="L26" s="3"/>
      <c r="M26" s="3"/>
      <c r="N26" s="16">
        <v>18</v>
      </c>
      <c r="O26" s="65"/>
      <c r="P26" s="55"/>
      <c r="Q26" s="56"/>
      <c r="R26" s="57"/>
      <c r="S26" s="58"/>
      <c r="T26" s="59"/>
      <c r="U26" s="60"/>
      <c r="V26" s="62"/>
      <c r="X26" s="1">
        <f t="shared" ca="1" si="3"/>
        <v>1</v>
      </c>
      <c r="Z26" s="1">
        <f t="shared" si="6"/>
        <v>0</v>
      </c>
      <c r="AA26" s="1">
        <f t="shared" si="6"/>
        <v>0</v>
      </c>
      <c r="AB26" s="1">
        <f t="shared" si="6"/>
        <v>0</v>
      </c>
      <c r="AC26" s="1">
        <f t="shared" si="6"/>
        <v>0</v>
      </c>
      <c r="AD26" s="1">
        <f t="shared" si="6"/>
        <v>0</v>
      </c>
      <c r="AE26" s="1">
        <f t="shared" si="6"/>
        <v>0</v>
      </c>
      <c r="AF26" s="1">
        <f t="shared" si="6"/>
        <v>0</v>
      </c>
      <c r="AG26" s="1">
        <f t="shared" si="6"/>
        <v>0</v>
      </c>
      <c r="AH26" s="1">
        <f t="shared" si="6"/>
        <v>0</v>
      </c>
      <c r="AI26" s="1">
        <f t="shared" si="6"/>
        <v>0</v>
      </c>
      <c r="AJ26" s="1">
        <f t="shared" si="6"/>
        <v>0</v>
      </c>
      <c r="AK26" s="1">
        <f t="shared" si="6"/>
        <v>0</v>
      </c>
    </row>
    <row r="27" spans="1:37" ht="14.1" customHeight="1" x14ac:dyDescent="0.2">
      <c r="A27" s="3"/>
      <c r="B27" s="44"/>
      <c r="C27" s="272"/>
      <c r="D27" s="274"/>
      <c r="E27" s="99" t="s">
        <v>87</v>
      </c>
      <c r="F27" s="100" t="s">
        <v>89</v>
      </c>
      <c r="G27" s="98" t="s">
        <v>105</v>
      </c>
      <c r="H27" s="83"/>
      <c r="I27" s="3"/>
      <c r="J27" s="3" t="str">
        <f>ANUAL!C115</f>
        <v>CC</v>
      </c>
      <c r="K27" s="3" t="str">
        <f>ANUAL!C116</f>
        <v>INV</v>
      </c>
      <c r="L27" s="3" t="str">
        <f>ANUAL!C117</f>
        <v>DINH</v>
      </c>
      <c r="M27" s="3"/>
      <c r="N27" s="12">
        <v>19</v>
      </c>
      <c r="O27" s="65"/>
      <c r="P27" s="49"/>
      <c r="Q27" s="50"/>
      <c r="R27" s="51"/>
      <c r="S27" s="52"/>
      <c r="T27" s="53"/>
      <c r="U27" s="54"/>
      <c r="V27" s="62"/>
      <c r="X27" s="1">
        <f t="shared" ca="1" si="3"/>
        <v>1</v>
      </c>
      <c r="Z27" s="1">
        <f t="shared" si="6"/>
        <v>0</v>
      </c>
      <c r="AA27" s="1">
        <f t="shared" si="6"/>
        <v>0</v>
      </c>
      <c r="AB27" s="1">
        <f t="shared" si="6"/>
        <v>0</v>
      </c>
      <c r="AC27" s="1">
        <f t="shared" si="6"/>
        <v>0</v>
      </c>
      <c r="AD27" s="1">
        <f t="shared" si="6"/>
        <v>0</v>
      </c>
      <c r="AE27" s="1">
        <f t="shared" si="6"/>
        <v>0</v>
      </c>
      <c r="AF27" s="1">
        <f t="shared" si="6"/>
        <v>0</v>
      </c>
      <c r="AG27" s="1">
        <f t="shared" si="6"/>
        <v>0</v>
      </c>
      <c r="AH27" s="1">
        <f t="shared" si="6"/>
        <v>0</v>
      </c>
      <c r="AI27" s="1">
        <f t="shared" si="6"/>
        <v>0</v>
      </c>
      <c r="AJ27" s="1">
        <f t="shared" si="6"/>
        <v>0</v>
      </c>
      <c r="AK27" s="1">
        <f t="shared" si="6"/>
        <v>0</v>
      </c>
    </row>
    <row r="28" spans="1:37" ht="14.1" customHeight="1" x14ac:dyDescent="0.2">
      <c r="A28" s="12">
        <v>1</v>
      </c>
      <c r="B28" s="64"/>
      <c r="C28" s="115" t="str">
        <f t="shared" ref="C28:D39" si="7">C9</f>
        <v/>
      </c>
      <c r="D28" s="116" t="str">
        <f t="shared" si="7"/>
        <v>CONTA CORRENTE BANCO 1</v>
      </c>
      <c r="E28" s="117">
        <f t="shared" ref="E28:E39" ca="1" si="8">SUMIF(OFFSET($Z$9:$Z$88,0,A28-1),"&gt;0")</f>
        <v>0</v>
      </c>
      <c r="F28" s="117">
        <f t="shared" ref="F28:F39" ca="1" si="9">SUMIF(OFFSET($Z$9:$Z$88,0,A28-1),"&lt;0")</f>
        <v>0</v>
      </c>
      <c r="G28" s="117">
        <f t="shared" ref="G28:G39" ca="1" si="10">SUM(E28:F28)</f>
        <v>0</v>
      </c>
      <c r="H28" s="61"/>
      <c r="I28" s="3"/>
      <c r="J28" s="3" t="b">
        <f t="shared" ref="J28:L39" si="11">NOT(ISERR(SEARCH(J$27,$C28)))</f>
        <v>0</v>
      </c>
      <c r="K28" s="3" t="b">
        <f t="shared" si="11"/>
        <v>0</v>
      </c>
      <c r="L28" s="3" t="b">
        <f t="shared" si="11"/>
        <v>0</v>
      </c>
      <c r="M28" s="3"/>
      <c r="N28" s="16">
        <v>20</v>
      </c>
      <c r="O28" s="65"/>
      <c r="P28" s="55"/>
      <c r="Q28" s="56"/>
      <c r="R28" s="57"/>
      <c r="S28" s="58"/>
      <c r="T28" s="59"/>
      <c r="U28" s="60"/>
      <c r="V28" s="62"/>
      <c r="X28" s="1">
        <f t="shared" ca="1" si="3"/>
        <v>1</v>
      </c>
      <c r="Z28" s="1">
        <f t="shared" si="6"/>
        <v>0</v>
      </c>
      <c r="AA28" s="1">
        <f t="shared" si="6"/>
        <v>0</v>
      </c>
      <c r="AB28" s="1">
        <f t="shared" si="6"/>
        <v>0</v>
      </c>
      <c r="AC28" s="1">
        <f t="shared" si="6"/>
        <v>0</v>
      </c>
      <c r="AD28" s="1">
        <f t="shared" si="6"/>
        <v>0</v>
      </c>
      <c r="AE28" s="1">
        <f t="shared" si="6"/>
        <v>0</v>
      </c>
      <c r="AF28" s="1">
        <f t="shared" si="6"/>
        <v>0</v>
      </c>
      <c r="AG28" s="1">
        <f t="shared" si="6"/>
        <v>0</v>
      </c>
      <c r="AH28" s="1">
        <f t="shared" si="6"/>
        <v>0</v>
      </c>
      <c r="AI28" s="1">
        <f t="shared" si="6"/>
        <v>0</v>
      </c>
      <c r="AJ28" s="1">
        <f t="shared" si="6"/>
        <v>0</v>
      </c>
      <c r="AK28" s="1">
        <f t="shared" si="6"/>
        <v>0</v>
      </c>
    </row>
    <row r="29" spans="1:37" ht="14.1" customHeight="1" x14ac:dyDescent="0.2">
      <c r="A29" s="16">
        <v>2</v>
      </c>
      <c r="B29" s="65"/>
      <c r="C29" s="118" t="str">
        <f t="shared" si="7"/>
        <v>INV1</v>
      </c>
      <c r="D29" s="119" t="str">
        <f t="shared" si="7"/>
        <v>POUPANÇA BANCO 1</v>
      </c>
      <c r="E29" s="120">
        <f t="shared" ca="1" si="8"/>
        <v>0</v>
      </c>
      <c r="F29" s="120">
        <f t="shared" ca="1" si="9"/>
        <v>0</v>
      </c>
      <c r="G29" s="120">
        <f t="shared" ca="1" si="10"/>
        <v>0</v>
      </c>
      <c r="H29" s="62"/>
      <c r="I29" s="3"/>
      <c r="J29" s="3" t="b">
        <f t="shared" si="11"/>
        <v>0</v>
      </c>
      <c r="K29" s="3" t="b">
        <f t="shared" si="11"/>
        <v>1</v>
      </c>
      <c r="L29" s="3" t="b">
        <f t="shared" si="11"/>
        <v>0</v>
      </c>
      <c r="M29" s="3"/>
      <c r="N29" s="12">
        <v>21</v>
      </c>
      <c r="O29" s="65"/>
      <c r="P29" s="49"/>
      <c r="Q29" s="50"/>
      <c r="R29" s="51"/>
      <c r="S29" s="52"/>
      <c r="T29" s="53"/>
      <c r="U29" s="54"/>
      <c r="V29" s="62"/>
      <c r="X29" s="1">
        <f t="shared" ca="1" si="3"/>
        <v>1</v>
      </c>
      <c r="Z29" s="1">
        <f t="shared" ref="Z29:AK38" si="12">IF(Z$8=$R29,-$T29,0)+IF(Z$8=$S29,$T29,0)</f>
        <v>0</v>
      </c>
      <c r="AA29" s="1">
        <f t="shared" si="12"/>
        <v>0</v>
      </c>
      <c r="AB29" s="1">
        <f t="shared" si="12"/>
        <v>0</v>
      </c>
      <c r="AC29" s="1">
        <f t="shared" si="12"/>
        <v>0</v>
      </c>
      <c r="AD29" s="1">
        <f t="shared" si="12"/>
        <v>0</v>
      </c>
      <c r="AE29" s="1">
        <f t="shared" si="12"/>
        <v>0</v>
      </c>
      <c r="AF29" s="1">
        <f t="shared" si="12"/>
        <v>0</v>
      </c>
      <c r="AG29" s="1">
        <f t="shared" si="12"/>
        <v>0</v>
      </c>
      <c r="AH29" s="1">
        <f t="shared" si="12"/>
        <v>0</v>
      </c>
      <c r="AI29" s="1">
        <f t="shared" si="12"/>
        <v>0</v>
      </c>
      <c r="AJ29" s="1">
        <f t="shared" si="12"/>
        <v>0</v>
      </c>
      <c r="AK29" s="1">
        <f t="shared" si="12"/>
        <v>0</v>
      </c>
    </row>
    <row r="30" spans="1:37" ht="14.1" customHeight="1" x14ac:dyDescent="0.2">
      <c r="A30" s="12">
        <v>3</v>
      </c>
      <c r="B30" s="65"/>
      <c r="C30" s="115" t="str">
        <f t="shared" si="7"/>
        <v>DINH1</v>
      </c>
      <c r="D30" s="116" t="str">
        <f t="shared" si="7"/>
        <v>EM ESPÉCIE</v>
      </c>
      <c r="E30" s="117">
        <f t="shared" ca="1" si="8"/>
        <v>0</v>
      </c>
      <c r="F30" s="117">
        <f t="shared" ca="1" si="9"/>
        <v>0</v>
      </c>
      <c r="G30" s="117">
        <f t="shared" ca="1" si="10"/>
        <v>0</v>
      </c>
      <c r="H30" s="62"/>
      <c r="I30" s="3"/>
      <c r="J30" s="3" t="b">
        <f t="shared" si="11"/>
        <v>0</v>
      </c>
      <c r="K30" s="3" t="b">
        <f t="shared" si="11"/>
        <v>0</v>
      </c>
      <c r="L30" s="3" t="b">
        <f t="shared" si="11"/>
        <v>1</v>
      </c>
      <c r="M30" s="3"/>
      <c r="N30" s="16">
        <v>22</v>
      </c>
      <c r="O30" s="65"/>
      <c r="P30" s="55"/>
      <c r="Q30" s="56"/>
      <c r="R30" s="57"/>
      <c r="S30" s="58"/>
      <c r="T30" s="59"/>
      <c r="U30" s="60"/>
      <c r="V30" s="62"/>
      <c r="X30" s="1">
        <f t="shared" ca="1" si="3"/>
        <v>1</v>
      </c>
      <c r="Z30" s="1">
        <f t="shared" si="12"/>
        <v>0</v>
      </c>
      <c r="AA30" s="1">
        <f t="shared" si="12"/>
        <v>0</v>
      </c>
      <c r="AB30" s="1">
        <f t="shared" si="12"/>
        <v>0</v>
      </c>
      <c r="AC30" s="1">
        <f t="shared" si="12"/>
        <v>0</v>
      </c>
      <c r="AD30" s="1">
        <f t="shared" si="12"/>
        <v>0</v>
      </c>
      <c r="AE30" s="1">
        <f t="shared" si="12"/>
        <v>0</v>
      </c>
      <c r="AF30" s="1">
        <f t="shared" si="12"/>
        <v>0</v>
      </c>
      <c r="AG30" s="1">
        <f t="shared" si="12"/>
        <v>0</v>
      </c>
      <c r="AH30" s="1">
        <f t="shared" si="12"/>
        <v>0</v>
      </c>
      <c r="AI30" s="1">
        <f t="shared" si="12"/>
        <v>0</v>
      </c>
      <c r="AJ30" s="1">
        <f t="shared" si="12"/>
        <v>0</v>
      </c>
      <c r="AK30" s="1">
        <f t="shared" si="12"/>
        <v>0</v>
      </c>
    </row>
    <row r="31" spans="1:37" ht="14.1" customHeight="1" x14ac:dyDescent="0.2">
      <c r="A31" s="16">
        <v>4</v>
      </c>
      <c r="B31" s="65"/>
      <c r="C31" s="118" t="str">
        <f t="shared" si="7"/>
        <v>CRED1</v>
      </c>
      <c r="D31" s="119" t="str">
        <f t="shared" si="7"/>
        <v>CARTÃO DE CRÉDITO 1</v>
      </c>
      <c r="E31" s="120">
        <f t="shared" ca="1" si="8"/>
        <v>0</v>
      </c>
      <c r="F31" s="120">
        <f t="shared" ca="1" si="9"/>
        <v>0</v>
      </c>
      <c r="G31" s="120">
        <f t="shared" ca="1" si="10"/>
        <v>0</v>
      </c>
      <c r="H31" s="62"/>
      <c r="I31" s="3"/>
      <c r="J31" s="3" t="b">
        <f t="shared" si="11"/>
        <v>0</v>
      </c>
      <c r="K31" s="3" t="b">
        <f t="shared" si="11"/>
        <v>0</v>
      </c>
      <c r="L31" s="3" t="b">
        <f t="shared" si="11"/>
        <v>0</v>
      </c>
      <c r="M31" s="3"/>
      <c r="N31" s="12">
        <v>23</v>
      </c>
      <c r="O31" s="65"/>
      <c r="P31" s="49"/>
      <c r="Q31" s="50"/>
      <c r="R31" s="51"/>
      <c r="S31" s="52"/>
      <c r="T31" s="53"/>
      <c r="U31" s="54"/>
      <c r="V31" s="62"/>
      <c r="X31" s="1">
        <f t="shared" ca="1" si="3"/>
        <v>1</v>
      </c>
      <c r="Z31" s="1">
        <f t="shared" si="12"/>
        <v>0</v>
      </c>
      <c r="AA31" s="1">
        <f t="shared" si="12"/>
        <v>0</v>
      </c>
      <c r="AB31" s="1">
        <f t="shared" si="12"/>
        <v>0</v>
      </c>
      <c r="AC31" s="1">
        <f t="shared" si="12"/>
        <v>0</v>
      </c>
      <c r="AD31" s="1">
        <f t="shared" si="12"/>
        <v>0</v>
      </c>
      <c r="AE31" s="1">
        <f t="shared" si="12"/>
        <v>0</v>
      </c>
      <c r="AF31" s="1">
        <f t="shared" si="12"/>
        <v>0</v>
      </c>
      <c r="AG31" s="1">
        <f t="shared" si="12"/>
        <v>0</v>
      </c>
      <c r="AH31" s="1">
        <f t="shared" si="12"/>
        <v>0</v>
      </c>
      <c r="AI31" s="1">
        <f t="shared" si="12"/>
        <v>0</v>
      </c>
      <c r="AJ31" s="1">
        <f t="shared" si="12"/>
        <v>0</v>
      </c>
      <c r="AK31" s="1">
        <f t="shared" si="12"/>
        <v>0</v>
      </c>
    </row>
    <row r="32" spans="1:37" ht="14.1" customHeight="1" x14ac:dyDescent="0.2">
      <c r="A32" s="12">
        <v>5</v>
      </c>
      <c r="B32" s="65"/>
      <c r="C32" s="115" t="str">
        <f t="shared" si="7"/>
        <v>---</v>
      </c>
      <c r="D32" s="116" t="str">
        <f t="shared" si="7"/>
        <v/>
      </c>
      <c r="E32" s="117">
        <f t="shared" ca="1" si="8"/>
        <v>0</v>
      </c>
      <c r="F32" s="117">
        <f t="shared" ca="1" si="9"/>
        <v>0</v>
      </c>
      <c r="G32" s="117">
        <f t="shared" ca="1" si="10"/>
        <v>0</v>
      </c>
      <c r="H32" s="62"/>
      <c r="I32" s="3"/>
      <c r="J32" s="3" t="b">
        <f t="shared" si="11"/>
        <v>0</v>
      </c>
      <c r="K32" s="3" t="b">
        <f t="shared" si="11"/>
        <v>0</v>
      </c>
      <c r="L32" s="3" t="b">
        <f t="shared" si="11"/>
        <v>0</v>
      </c>
      <c r="M32" s="3"/>
      <c r="N32" s="16">
        <v>24</v>
      </c>
      <c r="O32" s="65"/>
      <c r="P32" s="55"/>
      <c r="Q32" s="56"/>
      <c r="R32" s="57"/>
      <c r="S32" s="58"/>
      <c r="T32" s="59"/>
      <c r="U32" s="60"/>
      <c r="V32" s="62"/>
      <c r="X32" s="1">
        <f t="shared" ca="1" si="3"/>
        <v>1</v>
      </c>
      <c r="Z32" s="1">
        <f t="shared" si="12"/>
        <v>0</v>
      </c>
      <c r="AA32" s="1">
        <f t="shared" si="12"/>
        <v>0</v>
      </c>
      <c r="AB32" s="1">
        <f t="shared" si="12"/>
        <v>0</v>
      </c>
      <c r="AC32" s="1">
        <f t="shared" si="12"/>
        <v>0</v>
      </c>
      <c r="AD32" s="1">
        <f t="shared" si="12"/>
        <v>0</v>
      </c>
      <c r="AE32" s="1">
        <f t="shared" si="12"/>
        <v>0</v>
      </c>
      <c r="AF32" s="1">
        <f t="shared" si="12"/>
        <v>0</v>
      </c>
      <c r="AG32" s="1">
        <f t="shared" si="12"/>
        <v>0</v>
      </c>
      <c r="AH32" s="1">
        <f t="shared" si="12"/>
        <v>0</v>
      </c>
      <c r="AI32" s="1">
        <f t="shared" si="12"/>
        <v>0</v>
      </c>
      <c r="AJ32" s="1">
        <f t="shared" si="12"/>
        <v>0</v>
      </c>
      <c r="AK32" s="1">
        <f t="shared" si="12"/>
        <v>0</v>
      </c>
    </row>
    <row r="33" spans="1:37" ht="14.1" customHeight="1" x14ac:dyDescent="0.2">
      <c r="A33" s="16">
        <v>6</v>
      </c>
      <c r="B33" s="65"/>
      <c r="C33" s="118" t="str">
        <f t="shared" si="7"/>
        <v>---</v>
      </c>
      <c r="D33" s="119" t="str">
        <f t="shared" si="7"/>
        <v/>
      </c>
      <c r="E33" s="120">
        <f t="shared" ca="1" si="8"/>
        <v>0</v>
      </c>
      <c r="F33" s="120">
        <f t="shared" ca="1" si="9"/>
        <v>0</v>
      </c>
      <c r="G33" s="120">
        <f t="shared" ca="1" si="10"/>
        <v>0</v>
      </c>
      <c r="H33" s="62"/>
      <c r="I33" s="3"/>
      <c r="J33" s="3" t="b">
        <f t="shared" si="11"/>
        <v>0</v>
      </c>
      <c r="K33" s="3" t="b">
        <f t="shared" si="11"/>
        <v>0</v>
      </c>
      <c r="L33" s="3" t="b">
        <f t="shared" si="11"/>
        <v>0</v>
      </c>
      <c r="M33" s="3"/>
      <c r="N33" s="12">
        <v>25</v>
      </c>
      <c r="O33" s="65"/>
      <c r="P33" s="49"/>
      <c r="Q33" s="50"/>
      <c r="R33" s="51"/>
      <c r="S33" s="52"/>
      <c r="T33" s="53"/>
      <c r="U33" s="54"/>
      <c r="V33" s="62"/>
      <c r="X33" s="1">
        <f t="shared" ca="1" si="3"/>
        <v>1</v>
      </c>
      <c r="Z33" s="1">
        <f t="shared" si="12"/>
        <v>0</v>
      </c>
      <c r="AA33" s="1">
        <f t="shared" si="12"/>
        <v>0</v>
      </c>
      <c r="AB33" s="1">
        <f t="shared" si="12"/>
        <v>0</v>
      </c>
      <c r="AC33" s="1">
        <f t="shared" si="12"/>
        <v>0</v>
      </c>
      <c r="AD33" s="1">
        <f t="shared" si="12"/>
        <v>0</v>
      </c>
      <c r="AE33" s="1">
        <f t="shared" si="12"/>
        <v>0</v>
      </c>
      <c r="AF33" s="1">
        <f t="shared" si="12"/>
        <v>0</v>
      </c>
      <c r="AG33" s="1">
        <f t="shared" si="12"/>
        <v>0</v>
      </c>
      <c r="AH33" s="1">
        <f t="shared" si="12"/>
        <v>0</v>
      </c>
      <c r="AI33" s="1">
        <f t="shared" si="12"/>
        <v>0</v>
      </c>
      <c r="AJ33" s="1">
        <f t="shared" si="12"/>
        <v>0</v>
      </c>
      <c r="AK33" s="1">
        <f t="shared" si="12"/>
        <v>0</v>
      </c>
    </row>
    <row r="34" spans="1:37" ht="14.1" customHeight="1" x14ac:dyDescent="0.2">
      <c r="A34" s="12">
        <v>7</v>
      </c>
      <c r="B34" s="65"/>
      <c r="C34" s="115" t="str">
        <f t="shared" si="7"/>
        <v>---</v>
      </c>
      <c r="D34" s="116" t="str">
        <f t="shared" si="7"/>
        <v/>
      </c>
      <c r="E34" s="117">
        <f t="shared" ca="1" si="8"/>
        <v>0</v>
      </c>
      <c r="F34" s="117">
        <f t="shared" ca="1" si="9"/>
        <v>0</v>
      </c>
      <c r="G34" s="117">
        <f t="shared" ca="1" si="10"/>
        <v>0</v>
      </c>
      <c r="H34" s="62"/>
      <c r="I34" s="3"/>
      <c r="J34" s="3" t="b">
        <f t="shared" si="11"/>
        <v>0</v>
      </c>
      <c r="K34" s="3" t="b">
        <f t="shared" si="11"/>
        <v>0</v>
      </c>
      <c r="L34" s="3" t="b">
        <f t="shared" si="11"/>
        <v>0</v>
      </c>
      <c r="M34" s="3"/>
      <c r="N34" s="16">
        <v>26</v>
      </c>
      <c r="O34" s="65"/>
      <c r="P34" s="55"/>
      <c r="Q34" s="56"/>
      <c r="R34" s="57"/>
      <c r="S34" s="58"/>
      <c r="T34" s="59"/>
      <c r="U34" s="60"/>
      <c r="V34" s="62"/>
      <c r="X34" s="1">
        <f t="shared" ca="1" si="3"/>
        <v>1</v>
      </c>
      <c r="Z34" s="1">
        <f t="shared" si="12"/>
        <v>0</v>
      </c>
      <c r="AA34" s="1">
        <f t="shared" si="12"/>
        <v>0</v>
      </c>
      <c r="AB34" s="1">
        <f t="shared" si="12"/>
        <v>0</v>
      </c>
      <c r="AC34" s="1">
        <f t="shared" si="12"/>
        <v>0</v>
      </c>
      <c r="AD34" s="1">
        <f t="shared" si="12"/>
        <v>0</v>
      </c>
      <c r="AE34" s="1">
        <f t="shared" si="12"/>
        <v>0</v>
      </c>
      <c r="AF34" s="1">
        <f t="shared" si="12"/>
        <v>0</v>
      </c>
      <c r="AG34" s="1">
        <f t="shared" si="12"/>
        <v>0</v>
      </c>
      <c r="AH34" s="1">
        <f t="shared" si="12"/>
        <v>0</v>
      </c>
      <c r="AI34" s="1">
        <f t="shared" si="12"/>
        <v>0</v>
      </c>
      <c r="AJ34" s="1">
        <f t="shared" si="12"/>
        <v>0</v>
      </c>
      <c r="AK34" s="1">
        <f t="shared" si="12"/>
        <v>0</v>
      </c>
    </row>
    <row r="35" spans="1:37" ht="14.1" customHeight="1" x14ac:dyDescent="0.2">
      <c r="A35" s="16">
        <v>8</v>
      </c>
      <c r="B35" s="65"/>
      <c r="C35" s="118" t="str">
        <f t="shared" si="7"/>
        <v>---</v>
      </c>
      <c r="D35" s="119" t="str">
        <f t="shared" si="7"/>
        <v/>
      </c>
      <c r="E35" s="120">
        <f t="shared" ca="1" si="8"/>
        <v>0</v>
      </c>
      <c r="F35" s="120">
        <f t="shared" ca="1" si="9"/>
        <v>0</v>
      </c>
      <c r="G35" s="120">
        <f t="shared" ca="1" si="10"/>
        <v>0</v>
      </c>
      <c r="H35" s="62"/>
      <c r="I35" s="3"/>
      <c r="J35" s="3" t="b">
        <f t="shared" si="11"/>
        <v>0</v>
      </c>
      <c r="K35" s="3" t="b">
        <f t="shared" si="11"/>
        <v>0</v>
      </c>
      <c r="L35" s="3" t="b">
        <f t="shared" si="11"/>
        <v>0</v>
      </c>
      <c r="M35" s="3"/>
      <c r="N35" s="12">
        <v>27</v>
      </c>
      <c r="O35" s="65"/>
      <c r="P35" s="49"/>
      <c r="Q35" s="50"/>
      <c r="R35" s="51"/>
      <c r="S35" s="52"/>
      <c r="T35" s="53"/>
      <c r="U35" s="54"/>
      <c r="V35" s="62"/>
      <c r="X35" s="1">
        <f t="shared" ca="1" si="3"/>
        <v>1</v>
      </c>
      <c r="Z35" s="1">
        <f t="shared" si="12"/>
        <v>0</v>
      </c>
      <c r="AA35" s="1">
        <f t="shared" si="12"/>
        <v>0</v>
      </c>
      <c r="AB35" s="1">
        <f t="shared" si="12"/>
        <v>0</v>
      </c>
      <c r="AC35" s="1">
        <f t="shared" si="12"/>
        <v>0</v>
      </c>
      <c r="AD35" s="1">
        <f t="shared" si="12"/>
        <v>0</v>
      </c>
      <c r="AE35" s="1">
        <f t="shared" si="12"/>
        <v>0</v>
      </c>
      <c r="AF35" s="1">
        <f t="shared" si="12"/>
        <v>0</v>
      </c>
      <c r="AG35" s="1">
        <f t="shared" si="12"/>
        <v>0</v>
      </c>
      <c r="AH35" s="1">
        <f t="shared" si="12"/>
        <v>0</v>
      </c>
      <c r="AI35" s="1">
        <f t="shared" si="12"/>
        <v>0</v>
      </c>
      <c r="AJ35" s="1">
        <f t="shared" si="12"/>
        <v>0</v>
      </c>
      <c r="AK35" s="1">
        <f t="shared" si="12"/>
        <v>0</v>
      </c>
    </row>
    <row r="36" spans="1:37" ht="14.1" customHeight="1" x14ac:dyDescent="0.2">
      <c r="A36" s="12">
        <v>9</v>
      </c>
      <c r="B36" s="65"/>
      <c r="C36" s="115" t="str">
        <f t="shared" si="7"/>
        <v>---</v>
      </c>
      <c r="D36" s="116" t="str">
        <f t="shared" si="7"/>
        <v/>
      </c>
      <c r="E36" s="117">
        <f t="shared" ca="1" si="8"/>
        <v>0</v>
      </c>
      <c r="F36" s="117">
        <f t="shared" ca="1" si="9"/>
        <v>0</v>
      </c>
      <c r="G36" s="117">
        <f t="shared" ca="1" si="10"/>
        <v>0</v>
      </c>
      <c r="H36" s="62"/>
      <c r="I36" s="3"/>
      <c r="J36" s="3" t="b">
        <f t="shared" si="11"/>
        <v>0</v>
      </c>
      <c r="K36" s="3" t="b">
        <f t="shared" si="11"/>
        <v>0</v>
      </c>
      <c r="L36" s="3" t="b">
        <f t="shared" si="11"/>
        <v>0</v>
      </c>
      <c r="M36" s="3"/>
      <c r="N36" s="16">
        <v>28</v>
      </c>
      <c r="O36" s="65"/>
      <c r="P36" s="55"/>
      <c r="Q36" s="56"/>
      <c r="R36" s="57"/>
      <c r="S36" s="58"/>
      <c r="T36" s="59"/>
      <c r="U36" s="60"/>
      <c r="V36" s="62"/>
      <c r="X36" s="1">
        <f t="shared" ca="1" si="3"/>
        <v>1</v>
      </c>
      <c r="Z36" s="1">
        <f t="shared" si="12"/>
        <v>0</v>
      </c>
      <c r="AA36" s="1">
        <f t="shared" si="12"/>
        <v>0</v>
      </c>
      <c r="AB36" s="1">
        <f t="shared" si="12"/>
        <v>0</v>
      </c>
      <c r="AC36" s="1">
        <f t="shared" si="12"/>
        <v>0</v>
      </c>
      <c r="AD36" s="1">
        <f t="shared" si="12"/>
        <v>0</v>
      </c>
      <c r="AE36" s="1">
        <f t="shared" si="12"/>
        <v>0</v>
      </c>
      <c r="AF36" s="1">
        <f t="shared" si="12"/>
        <v>0</v>
      </c>
      <c r="AG36" s="1">
        <f t="shared" si="12"/>
        <v>0</v>
      </c>
      <c r="AH36" s="1">
        <f t="shared" si="12"/>
        <v>0</v>
      </c>
      <c r="AI36" s="1">
        <f t="shared" si="12"/>
        <v>0</v>
      </c>
      <c r="AJ36" s="1">
        <f t="shared" si="12"/>
        <v>0</v>
      </c>
      <c r="AK36" s="1">
        <f t="shared" si="12"/>
        <v>0</v>
      </c>
    </row>
    <row r="37" spans="1:37" ht="14.1" customHeight="1" x14ac:dyDescent="0.2">
      <c r="A37" s="16">
        <v>10</v>
      </c>
      <c r="B37" s="65"/>
      <c r="C37" s="118" t="str">
        <f t="shared" si="7"/>
        <v>---</v>
      </c>
      <c r="D37" s="119" t="str">
        <f t="shared" si="7"/>
        <v/>
      </c>
      <c r="E37" s="120">
        <f t="shared" ca="1" si="8"/>
        <v>0</v>
      </c>
      <c r="F37" s="120">
        <f t="shared" ca="1" si="9"/>
        <v>0</v>
      </c>
      <c r="G37" s="120">
        <f t="shared" ca="1" si="10"/>
        <v>0</v>
      </c>
      <c r="H37" s="62"/>
      <c r="I37" s="3"/>
      <c r="J37" s="3" t="b">
        <f t="shared" si="11"/>
        <v>0</v>
      </c>
      <c r="K37" s="3" t="b">
        <f t="shared" si="11"/>
        <v>0</v>
      </c>
      <c r="L37" s="3" t="b">
        <f t="shared" si="11"/>
        <v>0</v>
      </c>
      <c r="M37" s="3"/>
      <c r="N37" s="12">
        <v>29</v>
      </c>
      <c r="O37" s="65"/>
      <c r="P37" s="49"/>
      <c r="Q37" s="50"/>
      <c r="R37" s="51"/>
      <c r="S37" s="52"/>
      <c r="T37" s="53"/>
      <c r="U37" s="54"/>
      <c r="V37" s="62"/>
      <c r="X37" s="1">
        <f t="shared" ca="1" si="3"/>
        <v>1</v>
      </c>
      <c r="Z37" s="1">
        <f t="shared" si="12"/>
        <v>0</v>
      </c>
      <c r="AA37" s="1">
        <f t="shared" si="12"/>
        <v>0</v>
      </c>
      <c r="AB37" s="1">
        <f t="shared" si="12"/>
        <v>0</v>
      </c>
      <c r="AC37" s="1">
        <f t="shared" si="12"/>
        <v>0</v>
      </c>
      <c r="AD37" s="1">
        <f t="shared" si="12"/>
        <v>0</v>
      </c>
      <c r="AE37" s="1">
        <f t="shared" si="12"/>
        <v>0</v>
      </c>
      <c r="AF37" s="1">
        <f t="shared" si="12"/>
        <v>0</v>
      </c>
      <c r="AG37" s="1">
        <f t="shared" si="12"/>
        <v>0</v>
      </c>
      <c r="AH37" s="1">
        <f t="shared" si="12"/>
        <v>0</v>
      </c>
      <c r="AI37" s="1">
        <f t="shared" si="12"/>
        <v>0</v>
      </c>
      <c r="AJ37" s="1">
        <f t="shared" si="12"/>
        <v>0</v>
      </c>
      <c r="AK37" s="1">
        <f t="shared" si="12"/>
        <v>0</v>
      </c>
    </row>
    <row r="38" spans="1:37" ht="14.1" customHeight="1" x14ac:dyDescent="0.2">
      <c r="A38" s="12">
        <v>11</v>
      </c>
      <c r="B38" s="65"/>
      <c r="C38" s="115" t="str">
        <f t="shared" si="7"/>
        <v>---</v>
      </c>
      <c r="D38" s="116" t="str">
        <f t="shared" si="7"/>
        <v/>
      </c>
      <c r="E38" s="117">
        <f t="shared" ca="1" si="8"/>
        <v>0</v>
      </c>
      <c r="F38" s="117">
        <f t="shared" ca="1" si="9"/>
        <v>0</v>
      </c>
      <c r="G38" s="117">
        <f t="shared" ca="1" si="10"/>
        <v>0</v>
      </c>
      <c r="H38" s="62"/>
      <c r="I38" s="3"/>
      <c r="J38" s="3" t="b">
        <f t="shared" si="11"/>
        <v>0</v>
      </c>
      <c r="K38" s="3" t="b">
        <f t="shared" si="11"/>
        <v>0</v>
      </c>
      <c r="L38" s="3" t="b">
        <f t="shared" si="11"/>
        <v>0</v>
      </c>
      <c r="M38" s="3"/>
      <c r="N38" s="16">
        <v>30</v>
      </c>
      <c r="O38" s="65"/>
      <c r="P38" s="55"/>
      <c r="Q38" s="56"/>
      <c r="R38" s="57"/>
      <c r="S38" s="58"/>
      <c r="T38" s="59"/>
      <c r="U38" s="60"/>
      <c r="V38" s="62"/>
      <c r="X38" s="1">
        <f t="shared" ca="1" si="3"/>
        <v>1</v>
      </c>
      <c r="Z38" s="1">
        <f t="shared" si="12"/>
        <v>0</v>
      </c>
      <c r="AA38" s="1">
        <f t="shared" si="12"/>
        <v>0</v>
      </c>
      <c r="AB38" s="1">
        <f t="shared" si="12"/>
        <v>0</v>
      </c>
      <c r="AC38" s="1">
        <f t="shared" si="12"/>
        <v>0</v>
      </c>
      <c r="AD38" s="1">
        <f t="shared" si="12"/>
        <v>0</v>
      </c>
      <c r="AE38" s="1">
        <f t="shared" si="12"/>
        <v>0</v>
      </c>
      <c r="AF38" s="1">
        <f t="shared" si="12"/>
        <v>0</v>
      </c>
      <c r="AG38" s="1">
        <f t="shared" si="12"/>
        <v>0</v>
      </c>
      <c r="AH38" s="1">
        <f t="shared" si="12"/>
        <v>0</v>
      </c>
      <c r="AI38" s="1">
        <f t="shared" si="12"/>
        <v>0</v>
      </c>
      <c r="AJ38" s="1">
        <f t="shared" si="12"/>
        <v>0</v>
      </c>
      <c r="AK38" s="1">
        <f t="shared" si="12"/>
        <v>0</v>
      </c>
    </row>
    <row r="39" spans="1:37" ht="14.1" customHeight="1" x14ac:dyDescent="0.2">
      <c r="A39" s="16">
        <v>12</v>
      </c>
      <c r="B39" s="66"/>
      <c r="C39" s="121" t="str">
        <f t="shared" si="7"/>
        <v>---</v>
      </c>
      <c r="D39" s="122" t="str">
        <f t="shared" si="7"/>
        <v/>
      </c>
      <c r="E39" s="123">
        <f t="shared" ca="1" si="8"/>
        <v>0</v>
      </c>
      <c r="F39" s="123">
        <f t="shared" ca="1" si="9"/>
        <v>0</v>
      </c>
      <c r="G39" s="123">
        <f t="shared" ca="1" si="10"/>
        <v>0</v>
      </c>
      <c r="H39" s="63"/>
      <c r="I39" s="3"/>
      <c r="J39" s="3" t="b">
        <f t="shared" si="11"/>
        <v>0</v>
      </c>
      <c r="K39" s="3" t="b">
        <f t="shared" si="11"/>
        <v>0</v>
      </c>
      <c r="L39" s="3" t="b">
        <f t="shared" si="11"/>
        <v>0</v>
      </c>
      <c r="M39" s="3"/>
      <c r="N39" s="12">
        <v>31</v>
      </c>
      <c r="O39" s="65"/>
      <c r="P39" s="49"/>
      <c r="Q39" s="50"/>
      <c r="R39" s="51"/>
      <c r="S39" s="52"/>
      <c r="T39" s="53"/>
      <c r="U39" s="54"/>
      <c r="V39" s="62"/>
      <c r="X39" s="1">
        <f t="shared" ca="1" si="3"/>
        <v>1</v>
      </c>
      <c r="Z39" s="1">
        <f t="shared" ref="Z39:AK48" si="13">IF(Z$8=$R39,-$T39,0)+IF(Z$8=$S39,$T39,0)</f>
        <v>0</v>
      </c>
      <c r="AA39" s="1">
        <f t="shared" si="13"/>
        <v>0</v>
      </c>
      <c r="AB39" s="1">
        <f t="shared" si="13"/>
        <v>0</v>
      </c>
      <c r="AC39" s="1">
        <f t="shared" si="13"/>
        <v>0</v>
      </c>
      <c r="AD39" s="1">
        <f t="shared" si="13"/>
        <v>0</v>
      </c>
      <c r="AE39" s="1">
        <f t="shared" si="13"/>
        <v>0</v>
      </c>
      <c r="AF39" s="1">
        <f t="shared" si="13"/>
        <v>0</v>
      </c>
      <c r="AG39" s="1">
        <f t="shared" si="13"/>
        <v>0</v>
      </c>
      <c r="AH39" s="1">
        <f t="shared" si="13"/>
        <v>0</v>
      </c>
      <c r="AI39" s="1">
        <f t="shared" si="13"/>
        <v>0</v>
      </c>
      <c r="AJ39" s="1">
        <f t="shared" si="13"/>
        <v>0</v>
      </c>
      <c r="AK39" s="1">
        <f t="shared" si="13"/>
        <v>0</v>
      </c>
    </row>
    <row r="40" spans="1:37" ht="14.1" customHeight="1" x14ac:dyDescent="0.2">
      <c r="A40" s="12"/>
      <c r="B40" s="124"/>
      <c r="C40" s="125"/>
      <c r="D40" s="126"/>
      <c r="E40" s="126"/>
      <c r="F40" s="126"/>
      <c r="G40" s="126"/>
      <c r="H40" s="127"/>
      <c r="I40" s="3"/>
      <c r="J40" s="3"/>
      <c r="K40" s="3"/>
      <c r="L40" s="3"/>
      <c r="M40" s="3"/>
      <c r="N40" s="16">
        <v>32</v>
      </c>
      <c r="O40" s="65"/>
      <c r="P40" s="55"/>
      <c r="Q40" s="56"/>
      <c r="R40" s="57"/>
      <c r="S40" s="58"/>
      <c r="T40" s="59"/>
      <c r="U40" s="60"/>
      <c r="V40" s="62"/>
      <c r="X40" s="1">
        <f t="shared" ca="1" si="3"/>
        <v>1</v>
      </c>
      <c r="Z40" s="1">
        <f t="shared" si="13"/>
        <v>0</v>
      </c>
      <c r="AA40" s="1">
        <f t="shared" si="13"/>
        <v>0</v>
      </c>
      <c r="AB40" s="1">
        <f t="shared" si="13"/>
        <v>0</v>
      </c>
      <c r="AC40" s="1">
        <f t="shared" si="13"/>
        <v>0</v>
      </c>
      <c r="AD40" s="1">
        <f t="shared" si="13"/>
        <v>0</v>
      </c>
      <c r="AE40" s="1">
        <f t="shared" si="13"/>
        <v>0</v>
      </c>
      <c r="AF40" s="1">
        <f t="shared" si="13"/>
        <v>0</v>
      </c>
      <c r="AG40" s="1">
        <f t="shared" si="13"/>
        <v>0</v>
      </c>
      <c r="AH40" s="1">
        <f t="shared" si="13"/>
        <v>0</v>
      </c>
      <c r="AI40" s="1">
        <f t="shared" si="13"/>
        <v>0</v>
      </c>
      <c r="AJ40" s="1">
        <f t="shared" si="13"/>
        <v>0</v>
      </c>
      <c r="AK40" s="1">
        <f t="shared" si="13"/>
        <v>0</v>
      </c>
    </row>
    <row r="41" spans="1:37" ht="14.1" customHeight="1" x14ac:dyDescent="0.2">
      <c r="I41" s="3"/>
      <c r="J41" s="3"/>
      <c r="K41" s="3"/>
      <c r="L41" s="3"/>
      <c r="M41" s="3"/>
      <c r="N41" s="12">
        <v>33</v>
      </c>
      <c r="O41" s="65"/>
      <c r="P41" s="49"/>
      <c r="Q41" s="50"/>
      <c r="R41" s="51"/>
      <c r="S41" s="52"/>
      <c r="T41" s="53"/>
      <c r="U41" s="54"/>
      <c r="V41" s="62"/>
      <c r="X41" s="1">
        <f t="shared" ref="X41:X72" ca="1" si="14">IF(P41&lt;NOW(),1,0)</f>
        <v>1</v>
      </c>
      <c r="Z41" s="1">
        <f t="shared" si="13"/>
        <v>0</v>
      </c>
      <c r="AA41" s="1">
        <f t="shared" si="13"/>
        <v>0</v>
      </c>
      <c r="AB41" s="1">
        <f t="shared" si="13"/>
        <v>0</v>
      </c>
      <c r="AC41" s="1">
        <f t="shared" si="13"/>
        <v>0</v>
      </c>
      <c r="AD41" s="1">
        <f t="shared" si="13"/>
        <v>0</v>
      </c>
      <c r="AE41" s="1">
        <f t="shared" si="13"/>
        <v>0</v>
      </c>
      <c r="AF41" s="1">
        <f t="shared" si="13"/>
        <v>0</v>
      </c>
      <c r="AG41" s="1">
        <f t="shared" si="13"/>
        <v>0</v>
      </c>
      <c r="AH41" s="1">
        <f t="shared" si="13"/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</row>
    <row r="42" spans="1:37" ht="14.1" customHeight="1" x14ac:dyDescent="0.2">
      <c r="B42" s="91"/>
      <c r="C42" s="92"/>
      <c r="D42" s="93"/>
      <c r="E42" s="93"/>
      <c r="F42" s="93"/>
      <c r="G42" s="93"/>
      <c r="H42" s="94"/>
      <c r="I42" s="3"/>
      <c r="J42" s="3"/>
      <c r="K42" s="3"/>
      <c r="L42" s="3"/>
      <c r="M42" s="3"/>
      <c r="N42" s="16">
        <v>34</v>
      </c>
      <c r="O42" s="65"/>
      <c r="P42" s="55"/>
      <c r="Q42" s="56"/>
      <c r="R42" s="57"/>
      <c r="S42" s="58"/>
      <c r="T42" s="59"/>
      <c r="U42" s="60"/>
      <c r="V42" s="62"/>
      <c r="X42" s="1">
        <f t="shared" ca="1" si="14"/>
        <v>1</v>
      </c>
      <c r="Z42" s="1">
        <f t="shared" si="13"/>
        <v>0</v>
      </c>
      <c r="AA42" s="1">
        <f t="shared" si="13"/>
        <v>0</v>
      </c>
      <c r="AB42" s="1">
        <f t="shared" si="13"/>
        <v>0</v>
      </c>
      <c r="AC42" s="1">
        <f t="shared" si="13"/>
        <v>0</v>
      </c>
      <c r="AD42" s="1">
        <f t="shared" si="13"/>
        <v>0</v>
      </c>
      <c r="AE42" s="1">
        <f t="shared" si="13"/>
        <v>0</v>
      </c>
      <c r="AF42" s="1">
        <f t="shared" si="13"/>
        <v>0</v>
      </c>
      <c r="AG42" s="1">
        <f t="shared" si="13"/>
        <v>0</v>
      </c>
      <c r="AH42" s="1">
        <f t="shared" si="13"/>
        <v>0</v>
      </c>
      <c r="AI42" s="1">
        <f t="shared" si="13"/>
        <v>0</v>
      </c>
      <c r="AJ42" s="1">
        <f t="shared" si="13"/>
        <v>0</v>
      </c>
      <c r="AK42" s="1">
        <f t="shared" si="13"/>
        <v>0</v>
      </c>
    </row>
    <row r="43" spans="1:37" ht="14.1" customHeight="1" x14ac:dyDescent="0.2">
      <c r="B43" s="95"/>
      <c r="C43" s="286" t="s">
        <v>106</v>
      </c>
      <c r="D43" s="286"/>
      <c r="E43" s="286"/>
      <c r="F43" s="286"/>
      <c r="G43" s="286"/>
      <c r="H43" s="96"/>
      <c r="I43" s="3"/>
      <c r="J43" s="3"/>
      <c r="K43" s="3"/>
      <c r="L43" s="3"/>
      <c r="M43" s="3"/>
      <c r="N43" s="12">
        <v>35</v>
      </c>
      <c r="O43" s="65"/>
      <c r="P43" s="49"/>
      <c r="Q43" s="50"/>
      <c r="R43" s="51"/>
      <c r="S43" s="52"/>
      <c r="T43" s="53"/>
      <c r="U43" s="54"/>
      <c r="V43" s="62"/>
      <c r="X43" s="1">
        <f t="shared" ca="1" si="14"/>
        <v>1</v>
      </c>
      <c r="Z43" s="1">
        <f t="shared" si="13"/>
        <v>0</v>
      </c>
      <c r="AA43" s="1">
        <f t="shared" si="13"/>
        <v>0</v>
      </c>
      <c r="AB43" s="1">
        <f t="shared" si="13"/>
        <v>0</v>
      </c>
      <c r="AC43" s="1">
        <f t="shared" si="13"/>
        <v>0</v>
      </c>
      <c r="AD43" s="1">
        <f t="shared" si="13"/>
        <v>0</v>
      </c>
      <c r="AE43" s="1">
        <f t="shared" si="13"/>
        <v>0</v>
      </c>
      <c r="AF43" s="1">
        <f t="shared" si="13"/>
        <v>0</v>
      </c>
      <c r="AG43" s="1">
        <f t="shared" si="13"/>
        <v>0</v>
      </c>
      <c r="AH43" s="1">
        <f t="shared" si="13"/>
        <v>0</v>
      </c>
      <c r="AI43" s="1">
        <f t="shared" si="13"/>
        <v>0</v>
      </c>
      <c r="AJ43" s="1">
        <f t="shared" si="13"/>
        <v>0</v>
      </c>
      <c r="AK43" s="1">
        <f t="shared" si="13"/>
        <v>0</v>
      </c>
    </row>
    <row r="44" spans="1:37" ht="14.1" customHeight="1" x14ac:dyDescent="0.2">
      <c r="B44" s="95"/>
      <c r="C44" s="286"/>
      <c r="D44" s="286"/>
      <c r="E44" s="286"/>
      <c r="F44" s="286"/>
      <c r="G44" s="286"/>
      <c r="H44" s="96"/>
      <c r="I44" s="3"/>
      <c r="J44" s="3"/>
      <c r="K44" s="3"/>
      <c r="L44" s="3"/>
      <c r="M44" s="3"/>
      <c r="N44" s="16">
        <v>36</v>
      </c>
      <c r="O44" s="65"/>
      <c r="P44" s="55"/>
      <c r="Q44" s="56"/>
      <c r="R44" s="57"/>
      <c r="S44" s="58"/>
      <c r="T44" s="59"/>
      <c r="U44" s="60"/>
      <c r="V44" s="62"/>
      <c r="X44" s="1">
        <f t="shared" ca="1" si="14"/>
        <v>1</v>
      </c>
      <c r="Z44" s="1">
        <f t="shared" si="13"/>
        <v>0</v>
      </c>
      <c r="AA44" s="1">
        <f t="shared" si="13"/>
        <v>0</v>
      </c>
      <c r="AB44" s="1">
        <f t="shared" si="13"/>
        <v>0</v>
      </c>
      <c r="AC44" s="1">
        <f t="shared" si="13"/>
        <v>0</v>
      </c>
      <c r="AD44" s="1">
        <f t="shared" si="13"/>
        <v>0</v>
      </c>
      <c r="AE44" s="1">
        <f t="shared" si="13"/>
        <v>0</v>
      </c>
      <c r="AF44" s="1">
        <f t="shared" si="13"/>
        <v>0</v>
      </c>
      <c r="AG44" s="1">
        <f t="shared" si="13"/>
        <v>0</v>
      </c>
      <c r="AH44" s="1">
        <f t="shared" si="13"/>
        <v>0</v>
      </c>
      <c r="AI44" s="1">
        <f t="shared" si="13"/>
        <v>0</v>
      </c>
      <c r="AJ44" s="1">
        <f t="shared" si="13"/>
        <v>0</v>
      </c>
      <c r="AK44" s="1">
        <f t="shared" si="13"/>
        <v>0</v>
      </c>
    </row>
    <row r="45" spans="1:37" ht="14.1" customHeight="1" x14ac:dyDescent="0.2">
      <c r="B45" s="46"/>
      <c r="C45" s="271" t="s">
        <v>20</v>
      </c>
      <c r="D45" s="273" t="s">
        <v>5</v>
      </c>
      <c r="E45" s="275" t="s">
        <v>104</v>
      </c>
      <c r="F45" s="275" t="s">
        <v>89</v>
      </c>
      <c r="G45" s="276" t="s">
        <v>6</v>
      </c>
      <c r="H45" s="96"/>
      <c r="I45" s="3"/>
      <c r="J45" s="3"/>
      <c r="K45" s="3"/>
      <c r="L45" s="3"/>
      <c r="M45" s="3"/>
      <c r="N45" s="12">
        <v>37</v>
      </c>
      <c r="O45" s="65"/>
      <c r="P45" s="49"/>
      <c r="Q45" s="50"/>
      <c r="R45" s="51"/>
      <c r="S45" s="52"/>
      <c r="T45" s="53"/>
      <c r="U45" s="54"/>
      <c r="V45" s="62"/>
      <c r="X45" s="1">
        <f t="shared" ca="1" si="14"/>
        <v>1</v>
      </c>
      <c r="Z45" s="1">
        <f t="shared" si="13"/>
        <v>0</v>
      </c>
      <c r="AA45" s="1">
        <f t="shared" si="13"/>
        <v>0</v>
      </c>
      <c r="AB45" s="1">
        <f t="shared" si="13"/>
        <v>0</v>
      </c>
      <c r="AC45" s="1">
        <f t="shared" si="13"/>
        <v>0</v>
      </c>
      <c r="AD45" s="1">
        <f t="shared" si="13"/>
        <v>0</v>
      </c>
      <c r="AE45" s="1">
        <f t="shared" si="13"/>
        <v>0</v>
      </c>
      <c r="AF45" s="1">
        <f t="shared" si="13"/>
        <v>0</v>
      </c>
      <c r="AG45" s="1">
        <f t="shared" si="13"/>
        <v>0</v>
      </c>
      <c r="AH45" s="1">
        <f t="shared" si="13"/>
        <v>0</v>
      </c>
      <c r="AI45" s="1">
        <f t="shared" si="13"/>
        <v>0</v>
      </c>
      <c r="AJ45" s="1">
        <f t="shared" si="13"/>
        <v>0</v>
      </c>
      <c r="AK45" s="1">
        <f t="shared" si="13"/>
        <v>0</v>
      </c>
    </row>
    <row r="46" spans="1:37" ht="14.1" customHeight="1" x14ac:dyDescent="0.2">
      <c r="A46" s="3"/>
      <c r="B46" s="44"/>
      <c r="C46" s="272"/>
      <c r="D46" s="274"/>
      <c r="E46" s="99" t="s">
        <v>87</v>
      </c>
      <c r="F46" s="100" t="s">
        <v>89</v>
      </c>
      <c r="G46" s="98" t="s">
        <v>6</v>
      </c>
      <c r="H46" s="97"/>
      <c r="I46" s="3"/>
      <c r="J46" s="3"/>
      <c r="K46" s="3"/>
      <c r="L46" s="3"/>
      <c r="M46" s="3"/>
      <c r="N46" s="16">
        <v>38</v>
      </c>
      <c r="O46" s="65"/>
      <c r="P46" s="55"/>
      <c r="Q46" s="56"/>
      <c r="R46" s="57"/>
      <c r="S46" s="58"/>
      <c r="T46" s="59"/>
      <c r="U46" s="60"/>
      <c r="V46" s="62"/>
      <c r="X46" s="1">
        <f t="shared" ca="1" si="14"/>
        <v>1</v>
      </c>
      <c r="Z46" s="1">
        <f t="shared" si="13"/>
        <v>0</v>
      </c>
      <c r="AA46" s="1">
        <f t="shared" si="13"/>
        <v>0</v>
      </c>
      <c r="AB46" s="1">
        <f t="shared" si="13"/>
        <v>0</v>
      </c>
      <c r="AC46" s="1">
        <f t="shared" si="13"/>
        <v>0</v>
      </c>
      <c r="AD46" s="1">
        <f t="shared" si="13"/>
        <v>0</v>
      </c>
      <c r="AE46" s="1">
        <f t="shared" si="13"/>
        <v>0</v>
      </c>
      <c r="AF46" s="1">
        <f t="shared" si="13"/>
        <v>0</v>
      </c>
      <c r="AG46" s="1">
        <f t="shared" si="13"/>
        <v>0</v>
      </c>
      <c r="AH46" s="1">
        <f t="shared" si="13"/>
        <v>0</v>
      </c>
      <c r="AI46" s="1">
        <f t="shared" si="13"/>
        <v>0</v>
      </c>
      <c r="AJ46" s="1">
        <f t="shared" si="13"/>
        <v>0</v>
      </c>
      <c r="AK46" s="1">
        <f t="shared" si="13"/>
        <v>0</v>
      </c>
    </row>
    <row r="47" spans="1:37" ht="14.1" customHeight="1" x14ac:dyDescent="0.2">
      <c r="A47" s="12">
        <v>1</v>
      </c>
      <c r="B47" s="64"/>
      <c r="C47" s="115" t="str">
        <f>ANUAL!$C115</f>
        <v>CC</v>
      </c>
      <c r="D47" s="240" t="str">
        <f>ANUAL!$D115</f>
        <v>CONTA CORRENTE</v>
      </c>
      <c r="E47" s="117">
        <f>SUMIF($J$28:$J$39,TRUE,E$28:E$39)</f>
        <v>0</v>
      </c>
      <c r="F47" s="117">
        <f>SUMIF($J$28:$J$39,TRUE,F$28:F$39)</f>
        <v>0</v>
      </c>
      <c r="G47" s="117">
        <f>SUMIF($J$28:$J$39,TRUE,G$28:G$39)+SUMIF($J$9:$J$20,TRUE,E$9:E$20)</f>
        <v>0</v>
      </c>
      <c r="H47" s="61"/>
      <c r="N47" s="12">
        <v>39</v>
      </c>
      <c r="O47" s="65"/>
      <c r="P47" s="49"/>
      <c r="Q47" s="50"/>
      <c r="R47" s="51"/>
      <c r="S47" s="52"/>
      <c r="T47" s="53"/>
      <c r="U47" s="54"/>
      <c r="V47" s="62"/>
      <c r="X47" s="1">
        <f t="shared" ca="1" si="14"/>
        <v>1</v>
      </c>
      <c r="Z47" s="1">
        <f t="shared" si="13"/>
        <v>0</v>
      </c>
      <c r="AA47" s="1">
        <f t="shared" si="13"/>
        <v>0</v>
      </c>
      <c r="AB47" s="1">
        <f t="shared" si="13"/>
        <v>0</v>
      </c>
      <c r="AC47" s="1">
        <f t="shared" si="13"/>
        <v>0</v>
      </c>
      <c r="AD47" s="1">
        <f t="shared" si="13"/>
        <v>0</v>
      </c>
      <c r="AE47" s="1">
        <f t="shared" si="13"/>
        <v>0</v>
      </c>
      <c r="AF47" s="1">
        <f t="shared" si="13"/>
        <v>0</v>
      </c>
      <c r="AG47" s="1">
        <f t="shared" si="13"/>
        <v>0</v>
      </c>
      <c r="AH47" s="1">
        <f t="shared" si="13"/>
        <v>0</v>
      </c>
      <c r="AI47" s="1">
        <f t="shared" si="13"/>
        <v>0</v>
      </c>
      <c r="AJ47" s="1">
        <f t="shared" si="13"/>
        <v>0</v>
      </c>
      <c r="AK47" s="1">
        <f t="shared" si="13"/>
        <v>0</v>
      </c>
    </row>
    <row r="48" spans="1:37" ht="14.1" customHeight="1" x14ac:dyDescent="0.2">
      <c r="A48" s="16">
        <v>2</v>
      </c>
      <c r="B48" s="65"/>
      <c r="C48" s="118" t="str">
        <f>ANUAL!$C116</f>
        <v>INV</v>
      </c>
      <c r="D48" s="119" t="str">
        <f>ANUAL!$D116</f>
        <v>APLICAÇÕES DE INVESTIMENTO</v>
      </c>
      <c r="E48" s="120">
        <f ca="1">SUMIF($K$28:$K$39,TRUE,E$28:E$39)</f>
        <v>0</v>
      </c>
      <c r="F48" s="120">
        <f ca="1">SUMIF($K$28:$K$39,TRUE,F$28:F$39)</f>
        <v>0</v>
      </c>
      <c r="G48" s="120">
        <f ca="1">SUMIF($K$28:$K$39,TRUE,G$28:G$39)+SUMIF($K$9:$K$20,TRUE,E$9:E$20)</f>
        <v>0</v>
      </c>
      <c r="H48" s="62"/>
      <c r="N48" s="16">
        <v>40</v>
      </c>
      <c r="O48" s="65"/>
      <c r="P48" s="55"/>
      <c r="Q48" s="56"/>
      <c r="R48" s="57"/>
      <c r="S48" s="58"/>
      <c r="T48" s="59"/>
      <c r="U48" s="60"/>
      <c r="V48" s="62"/>
      <c r="X48" s="1">
        <f t="shared" ca="1" si="14"/>
        <v>1</v>
      </c>
      <c r="Z48" s="1">
        <f t="shared" si="13"/>
        <v>0</v>
      </c>
      <c r="AA48" s="1">
        <f t="shared" si="13"/>
        <v>0</v>
      </c>
      <c r="AB48" s="1">
        <f t="shared" si="13"/>
        <v>0</v>
      </c>
      <c r="AC48" s="1">
        <f t="shared" si="13"/>
        <v>0</v>
      </c>
      <c r="AD48" s="1">
        <f t="shared" si="13"/>
        <v>0</v>
      </c>
      <c r="AE48" s="1">
        <f t="shared" si="13"/>
        <v>0</v>
      </c>
      <c r="AF48" s="1">
        <f t="shared" si="13"/>
        <v>0</v>
      </c>
      <c r="AG48" s="1">
        <f t="shared" si="13"/>
        <v>0</v>
      </c>
      <c r="AH48" s="1">
        <f t="shared" si="13"/>
        <v>0</v>
      </c>
      <c r="AI48" s="1">
        <f t="shared" si="13"/>
        <v>0</v>
      </c>
      <c r="AJ48" s="1">
        <f t="shared" si="13"/>
        <v>0</v>
      </c>
      <c r="AK48" s="1">
        <f t="shared" si="13"/>
        <v>0</v>
      </c>
    </row>
    <row r="49" spans="1:37" ht="14.1" customHeight="1" x14ac:dyDescent="0.2">
      <c r="A49" s="12">
        <v>3</v>
      </c>
      <c r="B49" s="65"/>
      <c r="C49" s="115" t="str">
        <f>ANUAL!$C117</f>
        <v>DINH</v>
      </c>
      <c r="D49" s="240" t="str">
        <f>ANUAL!$D117</f>
        <v>EM ESPÉCIE</v>
      </c>
      <c r="E49" s="117">
        <f ca="1">SUMIF($L$28:$L$39,TRUE,E$28:E$39)</f>
        <v>0</v>
      </c>
      <c r="F49" s="117">
        <f ca="1">SUMIF($L$28:$L$39,TRUE,F$28:F$39)</f>
        <v>0</v>
      </c>
      <c r="G49" s="117">
        <f ca="1">SUMIF($L$28:$L$39,TRUE,G$28:G$39)+SUMIF($L$9:$L$20,TRUE,E$9:E$20)</f>
        <v>0</v>
      </c>
      <c r="H49" s="62"/>
      <c r="N49" s="12">
        <v>41</v>
      </c>
      <c r="O49" s="65"/>
      <c r="P49" s="49"/>
      <c r="Q49" s="50"/>
      <c r="R49" s="51"/>
      <c r="S49" s="52"/>
      <c r="T49" s="53"/>
      <c r="U49" s="54"/>
      <c r="V49" s="62"/>
      <c r="X49" s="1">
        <f t="shared" ca="1" si="14"/>
        <v>1</v>
      </c>
      <c r="Z49" s="1">
        <f t="shared" ref="Z49:AK58" si="15">IF(Z$8=$R49,-$T49,0)+IF(Z$8=$S49,$T49,0)</f>
        <v>0</v>
      </c>
      <c r="AA49" s="1">
        <f t="shared" si="15"/>
        <v>0</v>
      </c>
      <c r="AB49" s="1">
        <f t="shared" si="15"/>
        <v>0</v>
      </c>
      <c r="AC49" s="1">
        <f t="shared" si="15"/>
        <v>0</v>
      </c>
      <c r="AD49" s="1">
        <f t="shared" si="15"/>
        <v>0</v>
      </c>
      <c r="AE49" s="1">
        <f t="shared" si="15"/>
        <v>0</v>
      </c>
      <c r="AF49" s="1">
        <f t="shared" si="15"/>
        <v>0</v>
      </c>
      <c r="AG49" s="1">
        <f t="shared" si="15"/>
        <v>0</v>
      </c>
      <c r="AH49" s="1">
        <f t="shared" si="15"/>
        <v>0</v>
      </c>
      <c r="AI49" s="1">
        <f t="shared" si="15"/>
        <v>0</v>
      </c>
      <c r="AJ49" s="1">
        <f t="shared" si="15"/>
        <v>0</v>
      </c>
      <c r="AK49" s="1">
        <f t="shared" si="15"/>
        <v>0</v>
      </c>
    </row>
    <row r="50" spans="1:37" ht="14.1" customHeight="1" x14ac:dyDescent="0.2">
      <c r="A50" s="12"/>
      <c r="B50" s="109"/>
      <c r="C50" s="110"/>
      <c r="D50" s="111"/>
      <c r="E50" s="111"/>
      <c r="F50" s="111"/>
      <c r="G50" s="111"/>
      <c r="H50" s="112"/>
      <c r="I50" s="3"/>
      <c r="J50" s="3"/>
      <c r="K50" s="3"/>
      <c r="L50" s="3"/>
      <c r="M50" s="3"/>
      <c r="N50" s="16">
        <v>42</v>
      </c>
      <c r="O50" s="65"/>
      <c r="P50" s="55"/>
      <c r="Q50" s="56"/>
      <c r="R50" s="57"/>
      <c r="S50" s="58"/>
      <c r="T50" s="59"/>
      <c r="U50" s="60"/>
      <c r="V50" s="62"/>
      <c r="X50" s="1">
        <f t="shared" ca="1" si="14"/>
        <v>1</v>
      </c>
      <c r="Z50" s="1">
        <f t="shared" si="15"/>
        <v>0</v>
      </c>
      <c r="AA50" s="1">
        <f t="shared" si="15"/>
        <v>0</v>
      </c>
      <c r="AB50" s="1">
        <f t="shared" si="15"/>
        <v>0</v>
      </c>
      <c r="AC50" s="1">
        <f t="shared" si="15"/>
        <v>0</v>
      </c>
      <c r="AD50" s="1">
        <f t="shared" si="15"/>
        <v>0</v>
      </c>
      <c r="AE50" s="1">
        <f t="shared" si="15"/>
        <v>0</v>
      </c>
      <c r="AF50" s="1">
        <f t="shared" si="15"/>
        <v>0</v>
      </c>
      <c r="AG50" s="1">
        <f t="shared" si="15"/>
        <v>0</v>
      </c>
      <c r="AH50" s="1">
        <f t="shared" si="15"/>
        <v>0</v>
      </c>
      <c r="AI50" s="1">
        <f t="shared" si="15"/>
        <v>0</v>
      </c>
      <c r="AJ50" s="1">
        <f t="shared" si="15"/>
        <v>0</v>
      </c>
      <c r="AK50" s="1">
        <f t="shared" si="15"/>
        <v>0</v>
      </c>
    </row>
    <row r="51" spans="1:37" ht="14.1" customHeight="1" x14ac:dyDescent="0.2">
      <c r="I51" s="3"/>
      <c r="J51" s="3"/>
      <c r="K51" s="3"/>
      <c r="L51" s="3"/>
      <c r="M51" s="3"/>
      <c r="N51" s="12">
        <v>43</v>
      </c>
      <c r="O51" s="65"/>
      <c r="P51" s="49"/>
      <c r="Q51" s="50"/>
      <c r="R51" s="51"/>
      <c r="S51" s="52"/>
      <c r="T51" s="53"/>
      <c r="U51" s="54"/>
      <c r="V51" s="62"/>
      <c r="X51" s="1">
        <f t="shared" ca="1" si="14"/>
        <v>1</v>
      </c>
      <c r="Z51" s="1">
        <f t="shared" si="15"/>
        <v>0</v>
      </c>
      <c r="AA51" s="1">
        <f t="shared" si="15"/>
        <v>0</v>
      </c>
      <c r="AB51" s="1">
        <f t="shared" si="15"/>
        <v>0</v>
      </c>
      <c r="AC51" s="1">
        <f t="shared" si="15"/>
        <v>0</v>
      </c>
      <c r="AD51" s="1">
        <f t="shared" si="15"/>
        <v>0</v>
      </c>
      <c r="AE51" s="1">
        <f t="shared" si="15"/>
        <v>0</v>
      </c>
      <c r="AF51" s="1">
        <f t="shared" si="15"/>
        <v>0</v>
      </c>
      <c r="AG51" s="1">
        <f t="shared" si="15"/>
        <v>0</v>
      </c>
      <c r="AH51" s="1">
        <f t="shared" si="15"/>
        <v>0</v>
      </c>
      <c r="AI51" s="1">
        <f t="shared" si="15"/>
        <v>0</v>
      </c>
      <c r="AJ51" s="1">
        <f t="shared" si="15"/>
        <v>0</v>
      </c>
      <c r="AK51" s="1">
        <f t="shared" si="15"/>
        <v>0</v>
      </c>
    </row>
    <row r="52" spans="1:37" ht="14.1" customHeight="1" x14ac:dyDescent="0.2">
      <c r="B52" s="84"/>
      <c r="C52" s="85"/>
      <c r="D52" s="86"/>
      <c r="E52" s="86"/>
      <c r="F52" s="86"/>
      <c r="G52" s="86"/>
      <c r="H52" s="87"/>
      <c r="N52" s="16">
        <v>44</v>
      </c>
      <c r="O52" s="65"/>
      <c r="P52" s="55"/>
      <c r="Q52" s="56"/>
      <c r="R52" s="57"/>
      <c r="S52" s="58"/>
      <c r="T52" s="59"/>
      <c r="U52" s="60"/>
      <c r="V52" s="62"/>
      <c r="X52" s="1">
        <f t="shared" ca="1" si="14"/>
        <v>1</v>
      </c>
      <c r="Z52" s="1">
        <f t="shared" si="15"/>
        <v>0</v>
      </c>
      <c r="AA52" s="1">
        <f t="shared" si="15"/>
        <v>0</v>
      </c>
      <c r="AB52" s="1">
        <f t="shared" si="15"/>
        <v>0</v>
      </c>
      <c r="AC52" s="1">
        <f t="shared" si="15"/>
        <v>0</v>
      </c>
      <c r="AD52" s="1">
        <f t="shared" si="15"/>
        <v>0</v>
      </c>
      <c r="AE52" s="1">
        <f t="shared" si="15"/>
        <v>0</v>
      </c>
      <c r="AF52" s="1">
        <f t="shared" si="15"/>
        <v>0</v>
      </c>
      <c r="AG52" s="1">
        <f t="shared" si="15"/>
        <v>0</v>
      </c>
      <c r="AH52" s="1">
        <f t="shared" si="15"/>
        <v>0</v>
      </c>
      <c r="AI52" s="1">
        <f t="shared" si="15"/>
        <v>0</v>
      </c>
      <c r="AJ52" s="1">
        <f t="shared" si="15"/>
        <v>0</v>
      </c>
      <c r="AK52" s="1">
        <f t="shared" si="15"/>
        <v>0</v>
      </c>
    </row>
    <row r="53" spans="1:37" ht="14.1" customHeight="1" x14ac:dyDescent="0.2">
      <c r="B53" s="88"/>
      <c r="C53" s="304" t="s">
        <v>27</v>
      </c>
      <c r="D53" s="304"/>
      <c r="E53" s="304"/>
      <c r="F53" s="304"/>
      <c r="G53" s="304"/>
      <c r="H53" s="89"/>
      <c r="N53" s="12">
        <v>45</v>
      </c>
      <c r="O53" s="65"/>
      <c r="P53" s="49"/>
      <c r="Q53" s="50"/>
      <c r="R53" s="51"/>
      <c r="S53" s="52"/>
      <c r="T53" s="53"/>
      <c r="U53" s="54"/>
      <c r="V53" s="62"/>
      <c r="X53" s="1">
        <f t="shared" ca="1" si="14"/>
        <v>1</v>
      </c>
      <c r="Z53" s="1">
        <f t="shared" si="15"/>
        <v>0</v>
      </c>
      <c r="AA53" s="1">
        <f t="shared" si="15"/>
        <v>0</v>
      </c>
      <c r="AB53" s="1">
        <f t="shared" si="15"/>
        <v>0</v>
      </c>
      <c r="AC53" s="1">
        <f t="shared" si="15"/>
        <v>0</v>
      </c>
      <c r="AD53" s="1">
        <f t="shared" si="15"/>
        <v>0</v>
      </c>
      <c r="AE53" s="1">
        <f t="shared" si="15"/>
        <v>0</v>
      </c>
      <c r="AF53" s="1">
        <f t="shared" si="15"/>
        <v>0</v>
      </c>
      <c r="AG53" s="1">
        <f t="shared" si="15"/>
        <v>0</v>
      </c>
      <c r="AH53" s="1">
        <f t="shared" si="15"/>
        <v>0</v>
      </c>
      <c r="AI53" s="1">
        <f t="shared" si="15"/>
        <v>0</v>
      </c>
      <c r="AJ53" s="1">
        <f t="shared" si="15"/>
        <v>0</v>
      </c>
      <c r="AK53" s="1">
        <f t="shared" si="15"/>
        <v>0</v>
      </c>
    </row>
    <row r="54" spans="1:37" ht="14.1" customHeight="1" x14ac:dyDescent="0.2">
      <c r="B54" s="88"/>
      <c r="C54" s="304"/>
      <c r="D54" s="304"/>
      <c r="E54" s="304"/>
      <c r="F54" s="304"/>
      <c r="G54" s="304"/>
      <c r="H54" s="89"/>
      <c r="N54" s="16">
        <v>46</v>
      </c>
      <c r="O54" s="65"/>
      <c r="P54" s="55"/>
      <c r="Q54" s="56"/>
      <c r="R54" s="57"/>
      <c r="S54" s="58"/>
      <c r="T54" s="59"/>
      <c r="U54" s="60"/>
      <c r="V54" s="62"/>
      <c r="X54" s="1">
        <f t="shared" ca="1" si="14"/>
        <v>1</v>
      </c>
      <c r="Z54" s="1">
        <f t="shared" si="15"/>
        <v>0</v>
      </c>
      <c r="AA54" s="1">
        <f t="shared" si="15"/>
        <v>0</v>
      </c>
      <c r="AB54" s="1">
        <f t="shared" si="15"/>
        <v>0</v>
      </c>
      <c r="AC54" s="1">
        <f t="shared" si="15"/>
        <v>0</v>
      </c>
      <c r="AD54" s="1">
        <f t="shared" si="15"/>
        <v>0</v>
      </c>
      <c r="AE54" s="1">
        <f t="shared" si="15"/>
        <v>0</v>
      </c>
      <c r="AF54" s="1">
        <f t="shared" si="15"/>
        <v>0</v>
      </c>
      <c r="AG54" s="1">
        <f t="shared" si="15"/>
        <v>0</v>
      </c>
      <c r="AH54" s="1">
        <f t="shared" si="15"/>
        <v>0</v>
      </c>
      <c r="AI54" s="1">
        <f t="shared" si="15"/>
        <v>0</v>
      </c>
      <c r="AJ54" s="1">
        <f t="shared" si="15"/>
        <v>0</v>
      </c>
      <c r="AK54" s="1">
        <f t="shared" si="15"/>
        <v>0</v>
      </c>
    </row>
    <row r="55" spans="1:37" ht="14.1" customHeight="1" x14ac:dyDescent="0.2">
      <c r="B55" s="46"/>
      <c r="C55" s="271" t="s">
        <v>4</v>
      </c>
      <c r="D55" s="273" t="s">
        <v>5</v>
      </c>
      <c r="E55" s="310"/>
      <c r="F55" s="310"/>
      <c r="G55" s="276" t="s">
        <v>97</v>
      </c>
      <c r="H55" s="89"/>
      <c r="N55" s="12">
        <v>47</v>
      </c>
      <c r="O55" s="65"/>
      <c r="P55" s="49"/>
      <c r="Q55" s="50"/>
      <c r="R55" s="51"/>
      <c r="S55" s="52"/>
      <c r="T55" s="53"/>
      <c r="U55" s="54"/>
      <c r="V55" s="62"/>
      <c r="X55" s="1">
        <f t="shared" ca="1" si="14"/>
        <v>1</v>
      </c>
      <c r="Z55" s="1">
        <f t="shared" si="15"/>
        <v>0</v>
      </c>
      <c r="AA55" s="1">
        <f t="shared" si="15"/>
        <v>0</v>
      </c>
      <c r="AB55" s="1">
        <f t="shared" si="15"/>
        <v>0</v>
      </c>
      <c r="AC55" s="1">
        <f t="shared" si="15"/>
        <v>0</v>
      </c>
      <c r="AD55" s="1">
        <f t="shared" si="15"/>
        <v>0</v>
      </c>
      <c r="AE55" s="1">
        <f t="shared" si="15"/>
        <v>0</v>
      </c>
      <c r="AF55" s="1">
        <f t="shared" si="15"/>
        <v>0</v>
      </c>
      <c r="AG55" s="1">
        <f t="shared" si="15"/>
        <v>0</v>
      </c>
      <c r="AH55" s="1">
        <f t="shared" si="15"/>
        <v>0</v>
      </c>
      <c r="AI55" s="1">
        <f t="shared" si="15"/>
        <v>0</v>
      </c>
      <c r="AJ55" s="1">
        <f t="shared" si="15"/>
        <v>0</v>
      </c>
      <c r="AK55" s="1">
        <f t="shared" si="15"/>
        <v>0</v>
      </c>
    </row>
    <row r="56" spans="1:37" ht="14.1" customHeight="1" x14ac:dyDescent="0.2">
      <c r="A56" s="3"/>
      <c r="B56" s="44"/>
      <c r="C56" s="272"/>
      <c r="D56" s="274"/>
      <c r="E56" s="311"/>
      <c r="F56" s="311"/>
      <c r="G56" s="305"/>
      <c r="H56" s="90"/>
      <c r="N56" s="16">
        <v>48</v>
      </c>
      <c r="O56" s="65"/>
      <c r="P56" s="55"/>
      <c r="Q56" s="56"/>
      <c r="R56" s="57"/>
      <c r="S56" s="58"/>
      <c r="T56" s="59"/>
      <c r="U56" s="60"/>
      <c r="V56" s="62"/>
      <c r="X56" s="1">
        <f t="shared" ca="1" si="14"/>
        <v>1</v>
      </c>
      <c r="Z56" s="1">
        <f t="shared" si="15"/>
        <v>0</v>
      </c>
      <c r="AA56" s="1">
        <f t="shared" si="15"/>
        <v>0</v>
      </c>
      <c r="AB56" s="1">
        <f t="shared" si="15"/>
        <v>0</v>
      </c>
      <c r="AC56" s="1">
        <f t="shared" si="15"/>
        <v>0</v>
      </c>
      <c r="AD56" s="1">
        <f t="shared" si="15"/>
        <v>0</v>
      </c>
      <c r="AE56" s="1">
        <f t="shared" si="15"/>
        <v>0</v>
      </c>
      <c r="AF56" s="1">
        <f t="shared" si="15"/>
        <v>0</v>
      </c>
      <c r="AG56" s="1">
        <f t="shared" si="15"/>
        <v>0</v>
      </c>
      <c r="AH56" s="1">
        <f t="shared" si="15"/>
        <v>0</v>
      </c>
      <c r="AI56" s="1">
        <f t="shared" si="15"/>
        <v>0</v>
      </c>
      <c r="AJ56" s="1">
        <f t="shared" si="15"/>
        <v>0</v>
      </c>
      <c r="AK56" s="1">
        <f t="shared" si="15"/>
        <v>0</v>
      </c>
    </row>
    <row r="57" spans="1:37" ht="14.1" customHeight="1" x14ac:dyDescent="0.2">
      <c r="A57" s="12">
        <v>1</v>
      </c>
      <c r="B57" s="64"/>
      <c r="C57" s="101" t="str">
        <f>ANUAL!$C141</f>
        <v>M01</v>
      </c>
      <c r="D57" s="303" t="str">
        <f>ANUAL!$D141</f>
        <v>MORADIA – CONDOMÍNIO</v>
      </c>
      <c r="E57" s="303"/>
      <c r="F57" s="303"/>
      <c r="G57" s="102">
        <f t="shared" ref="G57:G88" si="16">SUMIF(U$9:U$88,C57,T$9:T$88)</f>
        <v>0</v>
      </c>
      <c r="H57" s="61"/>
      <c r="N57" s="12">
        <v>49</v>
      </c>
      <c r="O57" s="65"/>
      <c r="P57" s="49"/>
      <c r="Q57" s="50"/>
      <c r="R57" s="51"/>
      <c r="S57" s="52"/>
      <c r="T57" s="53"/>
      <c r="U57" s="54"/>
      <c r="V57" s="62"/>
      <c r="X57" s="1">
        <f t="shared" ca="1" si="14"/>
        <v>1</v>
      </c>
      <c r="Z57" s="1">
        <f t="shared" si="15"/>
        <v>0</v>
      </c>
      <c r="AA57" s="1">
        <f t="shared" si="15"/>
        <v>0</v>
      </c>
      <c r="AB57" s="1">
        <f t="shared" si="15"/>
        <v>0</v>
      </c>
      <c r="AC57" s="1">
        <f t="shared" si="15"/>
        <v>0</v>
      </c>
      <c r="AD57" s="1">
        <f t="shared" si="15"/>
        <v>0</v>
      </c>
      <c r="AE57" s="1">
        <f t="shared" si="15"/>
        <v>0</v>
      </c>
      <c r="AF57" s="1">
        <f t="shared" si="15"/>
        <v>0</v>
      </c>
      <c r="AG57" s="1">
        <f t="shared" si="15"/>
        <v>0</v>
      </c>
      <c r="AH57" s="1">
        <f t="shared" si="15"/>
        <v>0</v>
      </c>
      <c r="AI57" s="1">
        <f t="shared" si="15"/>
        <v>0</v>
      </c>
      <c r="AJ57" s="1">
        <f t="shared" si="15"/>
        <v>0</v>
      </c>
      <c r="AK57" s="1">
        <f t="shared" si="15"/>
        <v>0</v>
      </c>
    </row>
    <row r="58" spans="1:37" ht="14.1" customHeight="1" x14ac:dyDescent="0.2">
      <c r="A58" s="16">
        <v>2</v>
      </c>
      <c r="B58" s="65"/>
      <c r="C58" s="103" t="str">
        <f>ANUAL!$C142</f>
        <v>M02</v>
      </c>
      <c r="D58" s="302" t="str">
        <f>ANUAL!$D142</f>
        <v>MORADIA – IPTU</v>
      </c>
      <c r="E58" s="302"/>
      <c r="F58" s="302"/>
      <c r="G58" s="104">
        <f t="shared" si="16"/>
        <v>0</v>
      </c>
      <c r="H58" s="62"/>
      <c r="N58" s="16">
        <v>50</v>
      </c>
      <c r="O58" s="65"/>
      <c r="P58" s="55"/>
      <c r="Q58" s="56"/>
      <c r="R58" s="57"/>
      <c r="S58" s="58"/>
      <c r="T58" s="59"/>
      <c r="U58" s="60"/>
      <c r="V58" s="62"/>
      <c r="X58" s="1">
        <f t="shared" ca="1" si="14"/>
        <v>1</v>
      </c>
      <c r="Z58" s="1">
        <f t="shared" si="15"/>
        <v>0</v>
      </c>
      <c r="AA58" s="1">
        <f t="shared" si="15"/>
        <v>0</v>
      </c>
      <c r="AB58" s="1">
        <f t="shared" si="15"/>
        <v>0</v>
      </c>
      <c r="AC58" s="1">
        <f t="shared" si="15"/>
        <v>0</v>
      </c>
      <c r="AD58" s="1">
        <f t="shared" si="15"/>
        <v>0</v>
      </c>
      <c r="AE58" s="1">
        <f t="shared" si="15"/>
        <v>0</v>
      </c>
      <c r="AF58" s="1">
        <f t="shared" si="15"/>
        <v>0</v>
      </c>
      <c r="AG58" s="1">
        <f t="shared" si="15"/>
        <v>0</v>
      </c>
      <c r="AH58" s="1">
        <f t="shared" si="15"/>
        <v>0</v>
      </c>
      <c r="AI58" s="1">
        <f t="shared" si="15"/>
        <v>0</v>
      </c>
      <c r="AJ58" s="1">
        <f t="shared" si="15"/>
        <v>0</v>
      </c>
      <c r="AK58" s="1">
        <f t="shared" si="15"/>
        <v>0</v>
      </c>
    </row>
    <row r="59" spans="1:37" ht="14.1" customHeight="1" x14ac:dyDescent="0.2">
      <c r="A59" s="12">
        <v>3</v>
      </c>
      <c r="B59" s="65"/>
      <c r="C59" s="101" t="str">
        <f>ANUAL!$C143</f>
        <v>M03</v>
      </c>
      <c r="D59" s="303" t="str">
        <f>ANUAL!$D143</f>
        <v>MORADIA – ALUGUEL</v>
      </c>
      <c r="E59" s="303"/>
      <c r="F59" s="303"/>
      <c r="G59" s="102">
        <f t="shared" si="16"/>
        <v>0</v>
      </c>
      <c r="H59" s="62"/>
      <c r="N59" s="12">
        <v>51</v>
      </c>
      <c r="O59" s="65"/>
      <c r="P59" s="49"/>
      <c r="Q59" s="50"/>
      <c r="R59" s="51"/>
      <c r="S59" s="52"/>
      <c r="T59" s="53"/>
      <c r="U59" s="54"/>
      <c r="V59" s="62"/>
      <c r="X59" s="1">
        <f t="shared" ca="1" si="14"/>
        <v>1</v>
      </c>
      <c r="Z59" s="1">
        <f t="shared" ref="Z59:AK68" si="17">IF(Z$8=$R59,-$T59,0)+IF(Z$8=$S59,$T59,0)</f>
        <v>0</v>
      </c>
      <c r="AA59" s="1">
        <f t="shared" si="17"/>
        <v>0</v>
      </c>
      <c r="AB59" s="1">
        <f t="shared" si="17"/>
        <v>0</v>
      </c>
      <c r="AC59" s="1">
        <f t="shared" si="17"/>
        <v>0</v>
      </c>
      <c r="AD59" s="1">
        <f t="shared" si="17"/>
        <v>0</v>
      </c>
      <c r="AE59" s="1">
        <f t="shared" si="17"/>
        <v>0</v>
      </c>
      <c r="AF59" s="1">
        <f t="shared" si="17"/>
        <v>0</v>
      </c>
      <c r="AG59" s="1">
        <f t="shared" si="17"/>
        <v>0</v>
      </c>
      <c r="AH59" s="1">
        <f t="shared" si="17"/>
        <v>0</v>
      </c>
      <c r="AI59" s="1">
        <f t="shared" si="17"/>
        <v>0</v>
      </c>
      <c r="AJ59" s="1">
        <f t="shared" si="17"/>
        <v>0</v>
      </c>
      <c r="AK59" s="1">
        <f t="shared" si="17"/>
        <v>0</v>
      </c>
    </row>
    <row r="60" spans="1:37" ht="14.1" customHeight="1" x14ac:dyDescent="0.2">
      <c r="A60" s="16">
        <v>4</v>
      </c>
      <c r="B60" s="65"/>
      <c r="C60" s="103" t="str">
        <f>ANUAL!$C144</f>
        <v>M04</v>
      </c>
      <c r="D60" s="302" t="str">
        <f>ANUAL!$D144</f>
        <v>MORADIA – REFORMA</v>
      </c>
      <c r="E60" s="302"/>
      <c r="F60" s="302"/>
      <c r="G60" s="104">
        <f t="shared" si="16"/>
        <v>0</v>
      </c>
      <c r="H60" s="62"/>
      <c r="N60" s="16">
        <v>52</v>
      </c>
      <c r="O60" s="65"/>
      <c r="P60" s="55"/>
      <c r="Q60" s="56"/>
      <c r="R60" s="57"/>
      <c r="S60" s="58"/>
      <c r="T60" s="59"/>
      <c r="U60" s="60"/>
      <c r="V60" s="62"/>
      <c r="X60" s="1">
        <f t="shared" ca="1" si="14"/>
        <v>1</v>
      </c>
      <c r="Z60" s="1">
        <f t="shared" si="17"/>
        <v>0</v>
      </c>
      <c r="AA60" s="1">
        <f t="shared" si="17"/>
        <v>0</v>
      </c>
      <c r="AB60" s="1">
        <f t="shared" si="17"/>
        <v>0</v>
      </c>
      <c r="AC60" s="1">
        <f t="shared" si="17"/>
        <v>0</v>
      </c>
      <c r="AD60" s="1">
        <f t="shared" si="17"/>
        <v>0</v>
      </c>
      <c r="AE60" s="1">
        <f t="shared" si="17"/>
        <v>0</v>
      </c>
      <c r="AF60" s="1">
        <f t="shared" si="17"/>
        <v>0</v>
      </c>
      <c r="AG60" s="1">
        <f t="shared" si="17"/>
        <v>0</v>
      </c>
      <c r="AH60" s="1">
        <f t="shared" si="17"/>
        <v>0</v>
      </c>
      <c r="AI60" s="1">
        <f t="shared" si="17"/>
        <v>0</v>
      </c>
      <c r="AJ60" s="1">
        <f t="shared" si="17"/>
        <v>0</v>
      </c>
      <c r="AK60" s="1">
        <f t="shared" si="17"/>
        <v>0</v>
      </c>
    </row>
    <row r="61" spans="1:37" ht="14.1" customHeight="1" x14ac:dyDescent="0.2">
      <c r="A61" s="12">
        <v>5</v>
      </c>
      <c r="B61" s="65"/>
      <c r="C61" s="101" t="str">
        <f>ANUAL!$C145</f>
        <v>U01</v>
      </c>
      <c r="D61" s="303" t="str">
        <f>ANUAL!$D145</f>
        <v>UTILITIES – ENERGIA ELÉTRICA</v>
      </c>
      <c r="E61" s="303"/>
      <c r="F61" s="303"/>
      <c r="G61" s="102">
        <f t="shared" si="16"/>
        <v>0</v>
      </c>
      <c r="H61" s="62"/>
      <c r="N61" s="12">
        <v>53</v>
      </c>
      <c r="O61" s="65"/>
      <c r="P61" s="49"/>
      <c r="Q61" s="50"/>
      <c r="R61" s="51"/>
      <c r="S61" s="52"/>
      <c r="T61" s="53"/>
      <c r="U61" s="54"/>
      <c r="V61" s="62"/>
      <c r="X61" s="1">
        <f t="shared" ca="1" si="14"/>
        <v>1</v>
      </c>
      <c r="Z61" s="1">
        <f t="shared" si="17"/>
        <v>0</v>
      </c>
      <c r="AA61" s="1">
        <f t="shared" si="17"/>
        <v>0</v>
      </c>
      <c r="AB61" s="1">
        <f t="shared" si="17"/>
        <v>0</v>
      </c>
      <c r="AC61" s="1">
        <f t="shared" si="17"/>
        <v>0</v>
      </c>
      <c r="AD61" s="1">
        <f t="shared" si="17"/>
        <v>0</v>
      </c>
      <c r="AE61" s="1">
        <f t="shared" si="17"/>
        <v>0</v>
      </c>
      <c r="AF61" s="1">
        <f t="shared" si="17"/>
        <v>0</v>
      </c>
      <c r="AG61" s="1">
        <f t="shared" si="17"/>
        <v>0</v>
      </c>
      <c r="AH61" s="1">
        <f t="shared" si="17"/>
        <v>0</v>
      </c>
      <c r="AI61" s="1">
        <f t="shared" si="17"/>
        <v>0</v>
      </c>
      <c r="AJ61" s="1">
        <f t="shared" si="17"/>
        <v>0</v>
      </c>
      <c r="AK61" s="1">
        <f t="shared" si="17"/>
        <v>0</v>
      </c>
    </row>
    <row r="62" spans="1:37" ht="14.1" customHeight="1" x14ac:dyDescent="0.2">
      <c r="A62" s="16">
        <v>6</v>
      </c>
      <c r="B62" s="65"/>
      <c r="C62" s="103" t="str">
        <f>ANUAL!$C146</f>
        <v>U02</v>
      </c>
      <c r="D62" s="302" t="str">
        <f>ANUAL!$D146</f>
        <v>UTILITIES – ÁGUA POTÁVEL</v>
      </c>
      <c r="E62" s="302"/>
      <c r="F62" s="302"/>
      <c r="G62" s="104">
        <f t="shared" si="16"/>
        <v>0</v>
      </c>
      <c r="H62" s="62"/>
      <c r="N62" s="16">
        <v>54</v>
      </c>
      <c r="O62" s="65"/>
      <c r="P62" s="55"/>
      <c r="Q62" s="56"/>
      <c r="R62" s="57"/>
      <c r="S62" s="58"/>
      <c r="T62" s="59"/>
      <c r="U62" s="60"/>
      <c r="V62" s="62"/>
      <c r="X62" s="1">
        <f t="shared" ca="1" si="14"/>
        <v>1</v>
      </c>
      <c r="Z62" s="1">
        <f t="shared" si="17"/>
        <v>0</v>
      </c>
      <c r="AA62" s="1">
        <f t="shared" si="17"/>
        <v>0</v>
      </c>
      <c r="AB62" s="1">
        <f t="shared" si="17"/>
        <v>0</v>
      </c>
      <c r="AC62" s="1">
        <f t="shared" si="17"/>
        <v>0</v>
      </c>
      <c r="AD62" s="1">
        <f t="shared" si="17"/>
        <v>0</v>
      </c>
      <c r="AE62" s="1">
        <f t="shared" si="17"/>
        <v>0</v>
      </c>
      <c r="AF62" s="1">
        <f t="shared" si="17"/>
        <v>0</v>
      </c>
      <c r="AG62" s="1">
        <f t="shared" si="17"/>
        <v>0</v>
      </c>
      <c r="AH62" s="1">
        <f t="shared" si="17"/>
        <v>0</v>
      </c>
      <c r="AI62" s="1">
        <f t="shared" si="17"/>
        <v>0</v>
      </c>
      <c r="AJ62" s="1">
        <f t="shared" si="17"/>
        <v>0</v>
      </c>
      <c r="AK62" s="1">
        <f t="shared" si="17"/>
        <v>0</v>
      </c>
    </row>
    <row r="63" spans="1:37" ht="14.1" customHeight="1" x14ac:dyDescent="0.2">
      <c r="A63" s="12">
        <v>7</v>
      </c>
      <c r="B63" s="65"/>
      <c r="C63" s="101" t="str">
        <f>ANUAL!$C147</f>
        <v>U03</v>
      </c>
      <c r="D63" s="303" t="str">
        <f>ANUAL!$D147</f>
        <v>UTILITIES – DIVERSOS (ÁGUA, GÁS, SERV. GERAIS)</v>
      </c>
      <c r="E63" s="303"/>
      <c r="F63" s="303"/>
      <c r="G63" s="102">
        <f t="shared" si="16"/>
        <v>0</v>
      </c>
      <c r="H63" s="62"/>
      <c r="N63" s="12">
        <v>55</v>
      </c>
      <c r="O63" s="65"/>
      <c r="P63" s="49"/>
      <c r="Q63" s="50"/>
      <c r="R63" s="51"/>
      <c r="S63" s="52"/>
      <c r="T63" s="53"/>
      <c r="U63" s="54"/>
      <c r="V63" s="62"/>
      <c r="X63" s="1">
        <f t="shared" ca="1" si="14"/>
        <v>1</v>
      </c>
      <c r="Y63" s="30"/>
      <c r="Z63" s="1">
        <f t="shared" si="17"/>
        <v>0</v>
      </c>
      <c r="AA63" s="1">
        <f t="shared" si="17"/>
        <v>0</v>
      </c>
      <c r="AB63" s="1">
        <f t="shared" si="17"/>
        <v>0</v>
      </c>
      <c r="AC63" s="1">
        <f t="shared" si="17"/>
        <v>0</v>
      </c>
      <c r="AD63" s="1">
        <f t="shared" si="17"/>
        <v>0</v>
      </c>
      <c r="AE63" s="1">
        <f t="shared" si="17"/>
        <v>0</v>
      </c>
      <c r="AF63" s="1">
        <f t="shared" si="17"/>
        <v>0</v>
      </c>
      <c r="AG63" s="1">
        <f t="shared" si="17"/>
        <v>0</v>
      </c>
      <c r="AH63" s="1">
        <f t="shared" si="17"/>
        <v>0</v>
      </c>
      <c r="AI63" s="1">
        <f t="shared" si="17"/>
        <v>0</v>
      </c>
      <c r="AJ63" s="1">
        <f t="shared" si="17"/>
        <v>0</v>
      </c>
      <c r="AK63" s="1">
        <f t="shared" si="17"/>
        <v>0</v>
      </c>
    </row>
    <row r="64" spans="1:37" ht="14.1" customHeight="1" x14ac:dyDescent="0.2">
      <c r="A64" s="16">
        <v>8</v>
      </c>
      <c r="B64" s="65"/>
      <c r="C64" s="103" t="str">
        <f>ANUAL!$C148</f>
        <v>S01</v>
      </c>
      <c r="D64" s="302" t="str">
        <f>ANUAL!$D148</f>
        <v>SAÚDE – PLANO DE SAÚDE</v>
      </c>
      <c r="E64" s="302"/>
      <c r="F64" s="302"/>
      <c r="G64" s="104">
        <f t="shared" si="16"/>
        <v>0</v>
      </c>
      <c r="H64" s="62"/>
      <c r="N64" s="16">
        <v>56</v>
      </c>
      <c r="O64" s="65"/>
      <c r="P64" s="55"/>
      <c r="Q64" s="56"/>
      <c r="R64" s="57"/>
      <c r="S64" s="58"/>
      <c r="T64" s="59"/>
      <c r="U64" s="60"/>
      <c r="V64" s="62"/>
      <c r="X64" s="1">
        <f t="shared" ca="1" si="14"/>
        <v>1</v>
      </c>
      <c r="Z64" s="1">
        <f t="shared" si="17"/>
        <v>0</v>
      </c>
      <c r="AA64" s="1">
        <f t="shared" si="17"/>
        <v>0</v>
      </c>
      <c r="AB64" s="1">
        <f t="shared" si="17"/>
        <v>0</v>
      </c>
      <c r="AC64" s="1">
        <f t="shared" si="17"/>
        <v>0</v>
      </c>
      <c r="AD64" s="1">
        <f t="shared" si="17"/>
        <v>0</v>
      </c>
      <c r="AE64" s="1">
        <f t="shared" si="17"/>
        <v>0</v>
      </c>
      <c r="AF64" s="1">
        <f t="shared" si="17"/>
        <v>0</v>
      </c>
      <c r="AG64" s="1">
        <f t="shared" si="17"/>
        <v>0</v>
      </c>
      <c r="AH64" s="1">
        <f t="shared" si="17"/>
        <v>0</v>
      </c>
      <c r="AI64" s="1">
        <f t="shared" si="17"/>
        <v>0</v>
      </c>
      <c r="AJ64" s="1">
        <f t="shared" si="17"/>
        <v>0</v>
      </c>
      <c r="AK64" s="1">
        <f t="shared" si="17"/>
        <v>0</v>
      </c>
    </row>
    <row r="65" spans="1:37" ht="14.1" customHeight="1" x14ac:dyDescent="0.2">
      <c r="A65" s="12">
        <v>9</v>
      </c>
      <c r="B65" s="65"/>
      <c r="C65" s="101" t="str">
        <f>ANUAL!$C149</f>
        <v>S02</v>
      </c>
      <c r="D65" s="303" t="str">
        <f>ANUAL!$D149</f>
        <v>SAÚDE – REMÉDIOS</v>
      </c>
      <c r="E65" s="303"/>
      <c r="F65" s="303"/>
      <c r="G65" s="102">
        <f t="shared" si="16"/>
        <v>0</v>
      </c>
      <c r="H65" s="62"/>
      <c r="N65" s="12">
        <v>57</v>
      </c>
      <c r="O65" s="65"/>
      <c r="P65" s="49"/>
      <c r="Q65" s="50"/>
      <c r="R65" s="51"/>
      <c r="S65" s="52"/>
      <c r="T65" s="53"/>
      <c r="U65" s="54"/>
      <c r="V65" s="62"/>
      <c r="X65" s="1">
        <f t="shared" ca="1" si="14"/>
        <v>1</v>
      </c>
      <c r="Z65" s="1">
        <f t="shared" si="17"/>
        <v>0</v>
      </c>
      <c r="AA65" s="1">
        <f t="shared" si="17"/>
        <v>0</v>
      </c>
      <c r="AB65" s="1">
        <f t="shared" si="17"/>
        <v>0</v>
      </c>
      <c r="AC65" s="1">
        <f t="shared" si="17"/>
        <v>0</v>
      </c>
      <c r="AD65" s="1">
        <f t="shared" si="17"/>
        <v>0</v>
      </c>
      <c r="AE65" s="1">
        <f t="shared" si="17"/>
        <v>0</v>
      </c>
      <c r="AF65" s="1">
        <f t="shared" si="17"/>
        <v>0</v>
      </c>
      <c r="AG65" s="1">
        <f t="shared" si="17"/>
        <v>0</v>
      </c>
      <c r="AH65" s="1">
        <f t="shared" si="17"/>
        <v>0</v>
      </c>
      <c r="AI65" s="1">
        <f t="shared" si="17"/>
        <v>0</v>
      </c>
      <c r="AJ65" s="1">
        <f t="shared" si="17"/>
        <v>0</v>
      </c>
      <c r="AK65" s="1">
        <f t="shared" si="17"/>
        <v>0</v>
      </c>
    </row>
    <row r="66" spans="1:37" ht="14.1" customHeight="1" x14ac:dyDescent="0.2">
      <c r="A66" s="16">
        <v>10</v>
      </c>
      <c r="B66" s="65"/>
      <c r="C66" s="103" t="str">
        <f>ANUAL!$C150</f>
        <v>S03</v>
      </c>
      <c r="D66" s="302" t="str">
        <f>ANUAL!$D150</f>
        <v>SAÚDE – ACADEMIA</v>
      </c>
      <c r="E66" s="302"/>
      <c r="F66" s="302"/>
      <c r="G66" s="104">
        <f t="shared" si="16"/>
        <v>0</v>
      </c>
      <c r="H66" s="62"/>
      <c r="N66" s="16">
        <v>58</v>
      </c>
      <c r="O66" s="65"/>
      <c r="P66" s="55"/>
      <c r="Q66" s="56"/>
      <c r="R66" s="57"/>
      <c r="S66" s="58"/>
      <c r="T66" s="59"/>
      <c r="U66" s="60"/>
      <c r="V66" s="62"/>
      <c r="X66" s="1">
        <f t="shared" ca="1" si="14"/>
        <v>1</v>
      </c>
      <c r="Z66" s="1">
        <f t="shared" si="17"/>
        <v>0</v>
      </c>
      <c r="AA66" s="1">
        <f t="shared" si="17"/>
        <v>0</v>
      </c>
      <c r="AB66" s="1">
        <f t="shared" si="17"/>
        <v>0</v>
      </c>
      <c r="AC66" s="1">
        <f t="shared" si="17"/>
        <v>0</v>
      </c>
      <c r="AD66" s="1">
        <f t="shared" si="17"/>
        <v>0</v>
      </c>
      <c r="AE66" s="1">
        <f t="shared" si="17"/>
        <v>0</v>
      </c>
      <c r="AF66" s="1">
        <f t="shared" si="17"/>
        <v>0</v>
      </c>
      <c r="AG66" s="1">
        <f t="shared" si="17"/>
        <v>0</v>
      </c>
      <c r="AH66" s="1">
        <f t="shared" si="17"/>
        <v>0</v>
      </c>
      <c r="AI66" s="1">
        <f t="shared" si="17"/>
        <v>0</v>
      </c>
      <c r="AJ66" s="1">
        <f t="shared" si="17"/>
        <v>0</v>
      </c>
      <c r="AK66" s="1">
        <f t="shared" si="17"/>
        <v>0</v>
      </c>
    </row>
    <row r="67" spans="1:37" ht="14.1" customHeight="1" x14ac:dyDescent="0.2">
      <c r="A67" s="12">
        <v>11</v>
      </c>
      <c r="B67" s="65"/>
      <c r="C67" s="101" t="str">
        <f>ANUAL!$C151</f>
        <v>C01</v>
      </c>
      <c r="D67" s="303" t="str">
        <f>ANUAL!$D151</f>
        <v>COMPRAS</v>
      </c>
      <c r="E67" s="303"/>
      <c r="F67" s="303"/>
      <c r="G67" s="102">
        <f t="shared" si="16"/>
        <v>0</v>
      </c>
      <c r="H67" s="62"/>
      <c r="N67" s="12">
        <v>59</v>
      </c>
      <c r="O67" s="65"/>
      <c r="P67" s="49"/>
      <c r="Q67" s="50"/>
      <c r="R67" s="51"/>
      <c r="S67" s="52"/>
      <c r="T67" s="53"/>
      <c r="U67" s="54"/>
      <c r="V67" s="62"/>
      <c r="X67" s="1">
        <f t="shared" ca="1" si="14"/>
        <v>1</v>
      </c>
      <c r="Z67" s="1">
        <f t="shared" si="17"/>
        <v>0</v>
      </c>
      <c r="AA67" s="1">
        <f t="shared" si="17"/>
        <v>0</v>
      </c>
      <c r="AB67" s="1">
        <f t="shared" si="17"/>
        <v>0</v>
      </c>
      <c r="AC67" s="1">
        <f t="shared" si="17"/>
        <v>0</v>
      </c>
      <c r="AD67" s="1">
        <f t="shared" si="17"/>
        <v>0</v>
      </c>
      <c r="AE67" s="1">
        <f t="shared" si="17"/>
        <v>0</v>
      </c>
      <c r="AF67" s="1">
        <f t="shared" si="17"/>
        <v>0</v>
      </c>
      <c r="AG67" s="1">
        <f t="shared" si="17"/>
        <v>0</v>
      </c>
      <c r="AH67" s="1">
        <f t="shared" si="17"/>
        <v>0</v>
      </c>
      <c r="AI67" s="1">
        <f t="shared" si="17"/>
        <v>0</v>
      </c>
      <c r="AJ67" s="1">
        <f t="shared" si="17"/>
        <v>0</v>
      </c>
      <c r="AK67" s="1">
        <f t="shared" si="17"/>
        <v>0</v>
      </c>
    </row>
    <row r="68" spans="1:37" ht="14.1" customHeight="1" x14ac:dyDescent="0.2">
      <c r="A68" s="16">
        <v>12</v>
      </c>
      <c r="B68" s="65"/>
      <c r="C68" s="103" t="str">
        <f>ANUAL!$C152</f>
        <v>L01</v>
      </c>
      <c r="D68" s="302" t="str">
        <f>ANUAL!$D152</f>
        <v>LAZER</v>
      </c>
      <c r="E68" s="302"/>
      <c r="F68" s="302"/>
      <c r="G68" s="104">
        <f t="shared" si="16"/>
        <v>0</v>
      </c>
      <c r="H68" s="62"/>
      <c r="N68" s="16">
        <v>60</v>
      </c>
      <c r="O68" s="65"/>
      <c r="P68" s="55"/>
      <c r="Q68" s="56"/>
      <c r="R68" s="57"/>
      <c r="S68" s="58"/>
      <c r="T68" s="59"/>
      <c r="U68" s="60"/>
      <c r="V68" s="62"/>
      <c r="X68" s="1">
        <f t="shared" ca="1" si="14"/>
        <v>1</v>
      </c>
      <c r="Z68" s="1">
        <f t="shared" si="17"/>
        <v>0</v>
      </c>
      <c r="AA68" s="1">
        <f t="shared" si="17"/>
        <v>0</v>
      </c>
      <c r="AB68" s="1">
        <f t="shared" si="17"/>
        <v>0</v>
      </c>
      <c r="AC68" s="1">
        <f t="shared" si="17"/>
        <v>0</v>
      </c>
      <c r="AD68" s="1">
        <f t="shared" si="17"/>
        <v>0</v>
      </c>
      <c r="AE68" s="1">
        <f t="shared" si="17"/>
        <v>0</v>
      </c>
      <c r="AF68" s="1">
        <f t="shared" si="17"/>
        <v>0</v>
      </c>
      <c r="AG68" s="1">
        <f t="shared" si="17"/>
        <v>0</v>
      </c>
      <c r="AH68" s="1">
        <f t="shared" si="17"/>
        <v>0</v>
      </c>
      <c r="AI68" s="1">
        <f t="shared" si="17"/>
        <v>0</v>
      </c>
      <c r="AJ68" s="1">
        <f t="shared" si="17"/>
        <v>0</v>
      </c>
      <c r="AK68" s="1">
        <f t="shared" si="17"/>
        <v>0</v>
      </c>
    </row>
    <row r="69" spans="1:37" ht="14.1" customHeight="1" x14ac:dyDescent="0.2">
      <c r="A69" s="12">
        <v>13</v>
      </c>
      <c r="B69" s="65"/>
      <c r="C69" s="101" t="str">
        <f>ANUAL!$C153</f>
        <v>A01</v>
      </c>
      <c r="D69" s="303" t="str">
        <f>ANUAL!$D153</f>
        <v>ALIMENTAÇÃO – ALMOÇO</v>
      </c>
      <c r="E69" s="303"/>
      <c r="F69" s="303"/>
      <c r="G69" s="102">
        <f t="shared" si="16"/>
        <v>0</v>
      </c>
      <c r="H69" s="62"/>
      <c r="N69" s="12">
        <v>61</v>
      </c>
      <c r="O69" s="65"/>
      <c r="P69" s="49"/>
      <c r="Q69" s="50"/>
      <c r="R69" s="51"/>
      <c r="S69" s="52"/>
      <c r="T69" s="53"/>
      <c r="U69" s="54"/>
      <c r="V69" s="62"/>
      <c r="X69" s="1">
        <f t="shared" ca="1" si="14"/>
        <v>1</v>
      </c>
      <c r="Z69" s="1">
        <f t="shared" ref="Z69:AK78" si="18">IF(Z$8=$R69,-$T69,0)+IF(Z$8=$S69,$T69,0)</f>
        <v>0</v>
      </c>
      <c r="AA69" s="1">
        <f t="shared" si="18"/>
        <v>0</v>
      </c>
      <c r="AB69" s="1">
        <f t="shared" si="18"/>
        <v>0</v>
      </c>
      <c r="AC69" s="1">
        <f t="shared" si="18"/>
        <v>0</v>
      </c>
      <c r="AD69" s="1">
        <f t="shared" si="18"/>
        <v>0</v>
      </c>
      <c r="AE69" s="1">
        <f t="shared" si="18"/>
        <v>0</v>
      </c>
      <c r="AF69" s="1">
        <f t="shared" si="18"/>
        <v>0</v>
      </c>
      <c r="AG69" s="1">
        <f t="shared" si="18"/>
        <v>0</v>
      </c>
      <c r="AH69" s="1">
        <f t="shared" si="18"/>
        <v>0</v>
      </c>
      <c r="AI69" s="1">
        <f t="shared" si="18"/>
        <v>0</v>
      </c>
      <c r="AJ69" s="1">
        <f t="shared" si="18"/>
        <v>0</v>
      </c>
      <c r="AK69" s="1">
        <f t="shared" si="18"/>
        <v>0</v>
      </c>
    </row>
    <row r="70" spans="1:37" ht="14.1" customHeight="1" x14ac:dyDescent="0.2">
      <c r="A70" s="16">
        <v>14</v>
      </c>
      <c r="B70" s="65"/>
      <c r="C70" s="103" t="str">
        <f>ANUAL!$C154</f>
        <v>A02</v>
      </c>
      <c r="D70" s="302" t="str">
        <f>ANUAL!$D154</f>
        <v>ALIMENTAÇÃO – COMPRA MENSAL</v>
      </c>
      <c r="E70" s="302"/>
      <c r="F70" s="302"/>
      <c r="G70" s="104">
        <f t="shared" si="16"/>
        <v>0</v>
      </c>
      <c r="H70" s="62"/>
      <c r="N70" s="16">
        <v>62</v>
      </c>
      <c r="O70" s="65"/>
      <c r="P70" s="55"/>
      <c r="Q70" s="56"/>
      <c r="R70" s="57"/>
      <c r="S70" s="58"/>
      <c r="T70" s="59"/>
      <c r="U70" s="60"/>
      <c r="V70" s="62"/>
      <c r="X70" s="1">
        <f t="shared" ca="1" si="14"/>
        <v>1</v>
      </c>
      <c r="Z70" s="1">
        <f t="shared" si="18"/>
        <v>0</v>
      </c>
      <c r="AA70" s="1">
        <f t="shared" si="18"/>
        <v>0</v>
      </c>
      <c r="AB70" s="1">
        <f t="shared" si="18"/>
        <v>0</v>
      </c>
      <c r="AC70" s="1">
        <f t="shared" si="18"/>
        <v>0</v>
      </c>
      <c r="AD70" s="1">
        <f t="shared" si="18"/>
        <v>0</v>
      </c>
      <c r="AE70" s="1">
        <f t="shared" si="18"/>
        <v>0</v>
      </c>
      <c r="AF70" s="1">
        <f t="shared" si="18"/>
        <v>0</v>
      </c>
      <c r="AG70" s="1">
        <f t="shared" si="18"/>
        <v>0</v>
      </c>
      <c r="AH70" s="1">
        <f t="shared" si="18"/>
        <v>0</v>
      </c>
      <c r="AI70" s="1">
        <f t="shared" si="18"/>
        <v>0</v>
      </c>
      <c r="AJ70" s="1">
        <f t="shared" si="18"/>
        <v>0</v>
      </c>
      <c r="AK70" s="1">
        <f t="shared" si="18"/>
        <v>0</v>
      </c>
    </row>
    <row r="71" spans="1:37" ht="14.1" customHeight="1" x14ac:dyDescent="0.2">
      <c r="A71" s="12">
        <v>15</v>
      </c>
      <c r="B71" s="65"/>
      <c r="C71" s="101" t="str">
        <f>ANUAL!$C155</f>
        <v>A03</v>
      </c>
      <c r="D71" s="303" t="str">
        <f>ANUAL!$D155</f>
        <v>ALIMENTAÇÃO – FEIRAS SEMANAIS</v>
      </c>
      <c r="E71" s="303"/>
      <c r="F71" s="303"/>
      <c r="G71" s="102">
        <f t="shared" si="16"/>
        <v>0</v>
      </c>
      <c r="H71" s="62"/>
      <c r="N71" s="12">
        <v>63</v>
      </c>
      <c r="O71" s="65"/>
      <c r="P71" s="49"/>
      <c r="Q71" s="50"/>
      <c r="R71" s="51"/>
      <c r="S71" s="52"/>
      <c r="T71" s="53"/>
      <c r="U71" s="54"/>
      <c r="V71" s="62"/>
      <c r="X71" s="1">
        <f t="shared" ca="1" si="14"/>
        <v>1</v>
      </c>
      <c r="Z71" s="1">
        <f t="shared" si="18"/>
        <v>0</v>
      </c>
      <c r="AA71" s="1">
        <f t="shared" si="18"/>
        <v>0</v>
      </c>
      <c r="AB71" s="1">
        <f t="shared" si="18"/>
        <v>0</v>
      </c>
      <c r="AC71" s="1">
        <f t="shared" si="18"/>
        <v>0</v>
      </c>
      <c r="AD71" s="1">
        <f t="shared" si="18"/>
        <v>0</v>
      </c>
      <c r="AE71" s="1">
        <f t="shared" si="18"/>
        <v>0</v>
      </c>
      <c r="AF71" s="1">
        <f t="shared" si="18"/>
        <v>0</v>
      </c>
      <c r="AG71" s="1">
        <f t="shared" si="18"/>
        <v>0</v>
      </c>
      <c r="AH71" s="1">
        <f t="shared" si="18"/>
        <v>0</v>
      </c>
      <c r="AI71" s="1">
        <f t="shared" si="18"/>
        <v>0</v>
      </c>
      <c r="AJ71" s="1">
        <f t="shared" si="18"/>
        <v>0</v>
      </c>
      <c r="AK71" s="1">
        <f t="shared" si="18"/>
        <v>0</v>
      </c>
    </row>
    <row r="72" spans="1:37" ht="14.1" customHeight="1" x14ac:dyDescent="0.2">
      <c r="A72" s="16">
        <v>16</v>
      </c>
      <c r="B72" s="65"/>
      <c r="C72" s="103" t="str">
        <f>ANUAL!$C156</f>
        <v>T01</v>
      </c>
      <c r="D72" s="302" t="str">
        <f>ANUAL!$D156</f>
        <v>TELECOM – CELULAR</v>
      </c>
      <c r="E72" s="302"/>
      <c r="F72" s="302"/>
      <c r="G72" s="104">
        <f t="shared" si="16"/>
        <v>0</v>
      </c>
      <c r="H72" s="62"/>
      <c r="N72" s="16">
        <v>64</v>
      </c>
      <c r="O72" s="65"/>
      <c r="P72" s="55"/>
      <c r="Q72" s="56"/>
      <c r="R72" s="57"/>
      <c r="S72" s="58"/>
      <c r="T72" s="59"/>
      <c r="U72" s="60"/>
      <c r="V72" s="62"/>
      <c r="X72" s="1">
        <f t="shared" ca="1" si="14"/>
        <v>1</v>
      </c>
      <c r="Z72" s="1">
        <f t="shared" si="18"/>
        <v>0</v>
      </c>
      <c r="AA72" s="1">
        <f t="shared" si="18"/>
        <v>0</v>
      </c>
      <c r="AB72" s="1">
        <f t="shared" si="18"/>
        <v>0</v>
      </c>
      <c r="AC72" s="1">
        <f t="shared" si="18"/>
        <v>0</v>
      </c>
      <c r="AD72" s="1">
        <f t="shared" si="18"/>
        <v>0</v>
      </c>
      <c r="AE72" s="1">
        <f t="shared" si="18"/>
        <v>0</v>
      </c>
      <c r="AF72" s="1">
        <f t="shared" si="18"/>
        <v>0</v>
      </c>
      <c r="AG72" s="1">
        <f t="shared" si="18"/>
        <v>0</v>
      </c>
      <c r="AH72" s="1">
        <f t="shared" si="18"/>
        <v>0</v>
      </c>
      <c r="AI72" s="1">
        <f t="shared" si="18"/>
        <v>0</v>
      </c>
      <c r="AJ72" s="1">
        <f t="shared" si="18"/>
        <v>0</v>
      </c>
      <c r="AK72" s="1">
        <f t="shared" si="18"/>
        <v>0</v>
      </c>
    </row>
    <row r="73" spans="1:37" ht="14.1" customHeight="1" x14ac:dyDescent="0.2">
      <c r="A73" s="12">
        <v>17</v>
      </c>
      <c r="B73" s="65"/>
      <c r="C73" s="101" t="str">
        <f>ANUAL!$C157</f>
        <v>T02</v>
      </c>
      <c r="D73" s="303" t="str">
        <f>ANUAL!$D157</f>
        <v>TELECOM – INTERNET</v>
      </c>
      <c r="E73" s="303"/>
      <c r="F73" s="303"/>
      <c r="G73" s="102">
        <f t="shared" si="16"/>
        <v>0</v>
      </c>
      <c r="H73" s="62"/>
      <c r="N73" s="12">
        <v>65</v>
      </c>
      <c r="O73" s="65"/>
      <c r="P73" s="49"/>
      <c r="Q73" s="50"/>
      <c r="R73" s="51"/>
      <c r="S73" s="52"/>
      <c r="T73" s="53"/>
      <c r="U73" s="54"/>
      <c r="V73" s="62"/>
      <c r="X73" s="1">
        <f t="shared" ref="X73:X88" ca="1" si="19">IF(P73&lt;NOW(),1,0)</f>
        <v>1</v>
      </c>
      <c r="Z73" s="1">
        <f t="shared" si="18"/>
        <v>0</v>
      </c>
      <c r="AA73" s="1">
        <f t="shared" si="18"/>
        <v>0</v>
      </c>
      <c r="AB73" s="1">
        <f t="shared" si="18"/>
        <v>0</v>
      </c>
      <c r="AC73" s="1">
        <f t="shared" si="18"/>
        <v>0</v>
      </c>
      <c r="AD73" s="1">
        <f t="shared" si="18"/>
        <v>0</v>
      </c>
      <c r="AE73" s="1">
        <f t="shared" si="18"/>
        <v>0</v>
      </c>
      <c r="AF73" s="1">
        <f t="shared" si="18"/>
        <v>0</v>
      </c>
      <c r="AG73" s="1">
        <f t="shared" si="18"/>
        <v>0</v>
      </c>
      <c r="AH73" s="1">
        <f t="shared" si="18"/>
        <v>0</v>
      </c>
      <c r="AI73" s="1">
        <f t="shared" si="18"/>
        <v>0</v>
      </c>
      <c r="AJ73" s="1">
        <f t="shared" si="18"/>
        <v>0</v>
      </c>
      <c r="AK73" s="1">
        <f t="shared" si="18"/>
        <v>0</v>
      </c>
    </row>
    <row r="74" spans="1:37" ht="14.1" customHeight="1" x14ac:dyDescent="0.2">
      <c r="A74" s="16">
        <v>18</v>
      </c>
      <c r="B74" s="65"/>
      <c r="C74" s="103" t="str">
        <f>ANUAL!$C158</f>
        <v>T03</v>
      </c>
      <c r="D74" s="302" t="str">
        <f>ANUAL!$D158</f>
        <v>TELECOM – FIXO</v>
      </c>
      <c r="E74" s="302"/>
      <c r="F74" s="302"/>
      <c r="G74" s="104">
        <f t="shared" si="16"/>
        <v>0</v>
      </c>
      <c r="H74" s="62"/>
      <c r="N74" s="16">
        <v>66</v>
      </c>
      <c r="O74" s="65"/>
      <c r="P74" s="55"/>
      <c r="Q74" s="56"/>
      <c r="R74" s="57"/>
      <c r="S74" s="58"/>
      <c r="T74" s="59"/>
      <c r="U74" s="60"/>
      <c r="V74" s="62"/>
      <c r="X74" s="1">
        <f t="shared" ca="1" si="19"/>
        <v>1</v>
      </c>
      <c r="Z74" s="1">
        <f t="shared" si="18"/>
        <v>0</v>
      </c>
      <c r="AA74" s="1">
        <f t="shared" si="18"/>
        <v>0</v>
      </c>
      <c r="AB74" s="1">
        <f t="shared" si="18"/>
        <v>0</v>
      </c>
      <c r="AC74" s="1">
        <f t="shared" si="18"/>
        <v>0</v>
      </c>
      <c r="AD74" s="1">
        <f t="shared" si="18"/>
        <v>0</v>
      </c>
      <c r="AE74" s="1">
        <f t="shared" si="18"/>
        <v>0</v>
      </c>
      <c r="AF74" s="1">
        <f t="shared" si="18"/>
        <v>0</v>
      </c>
      <c r="AG74" s="1">
        <f t="shared" si="18"/>
        <v>0</v>
      </c>
      <c r="AH74" s="1">
        <f t="shared" si="18"/>
        <v>0</v>
      </c>
      <c r="AI74" s="1">
        <f t="shared" si="18"/>
        <v>0</v>
      </c>
      <c r="AJ74" s="1">
        <f t="shared" si="18"/>
        <v>0</v>
      </c>
      <c r="AK74" s="1">
        <f t="shared" si="18"/>
        <v>0</v>
      </c>
    </row>
    <row r="75" spans="1:37" ht="14.1" customHeight="1" x14ac:dyDescent="0.2">
      <c r="A75" s="12">
        <v>19</v>
      </c>
      <c r="B75" s="65"/>
      <c r="C75" s="101" t="str">
        <f>ANUAL!$C159</f>
        <v>R01</v>
      </c>
      <c r="D75" s="303" t="str">
        <f>ANUAL!$D159</f>
        <v>CARRO – SEGURO</v>
      </c>
      <c r="E75" s="303"/>
      <c r="F75" s="303"/>
      <c r="G75" s="102">
        <f t="shared" si="16"/>
        <v>0</v>
      </c>
      <c r="H75" s="62"/>
      <c r="N75" s="12">
        <v>67</v>
      </c>
      <c r="O75" s="65"/>
      <c r="P75" s="49"/>
      <c r="Q75" s="50"/>
      <c r="R75" s="51"/>
      <c r="S75" s="52"/>
      <c r="T75" s="53"/>
      <c r="U75" s="54"/>
      <c r="V75" s="62"/>
      <c r="X75" s="1">
        <f t="shared" ca="1" si="19"/>
        <v>1</v>
      </c>
      <c r="Z75" s="1">
        <f t="shared" si="18"/>
        <v>0</v>
      </c>
      <c r="AA75" s="1">
        <f t="shared" si="18"/>
        <v>0</v>
      </c>
      <c r="AB75" s="1">
        <f t="shared" si="18"/>
        <v>0</v>
      </c>
      <c r="AC75" s="1">
        <f t="shared" si="18"/>
        <v>0</v>
      </c>
      <c r="AD75" s="1">
        <f t="shared" si="18"/>
        <v>0</v>
      </c>
      <c r="AE75" s="1">
        <f t="shared" si="18"/>
        <v>0</v>
      </c>
      <c r="AF75" s="1">
        <f t="shared" si="18"/>
        <v>0</v>
      </c>
      <c r="AG75" s="1">
        <f t="shared" si="18"/>
        <v>0</v>
      </c>
      <c r="AH75" s="1">
        <f t="shared" si="18"/>
        <v>0</v>
      </c>
      <c r="AI75" s="1">
        <f t="shared" si="18"/>
        <v>0</v>
      </c>
      <c r="AJ75" s="1">
        <f t="shared" si="18"/>
        <v>0</v>
      </c>
      <c r="AK75" s="1">
        <f t="shared" si="18"/>
        <v>0</v>
      </c>
    </row>
    <row r="76" spans="1:37" ht="14.1" customHeight="1" x14ac:dyDescent="0.2">
      <c r="A76" s="16">
        <v>20</v>
      </c>
      <c r="B76" s="65"/>
      <c r="C76" s="103" t="str">
        <f>ANUAL!$C160</f>
        <v>R02</v>
      </c>
      <c r="D76" s="302" t="str">
        <f>ANUAL!$D160</f>
        <v>CARRO – COMBUSTÍVEL</v>
      </c>
      <c r="E76" s="302"/>
      <c r="F76" s="302"/>
      <c r="G76" s="104">
        <f t="shared" si="16"/>
        <v>0</v>
      </c>
      <c r="H76" s="62"/>
      <c r="N76" s="16">
        <v>68</v>
      </c>
      <c r="O76" s="65"/>
      <c r="P76" s="55"/>
      <c r="Q76" s="56"/>
      <c r="R76" s="57"/>
      <c r="S76" s="58"/>
      <c r="T76" s="59"/>
      <c r="U76" s="60"/>
      <c r="V76" s="62"/>
      <c r="X76" s="1">
        <f t="shared" ca="1" si="19"/>
        <v>1</v>
      </c>
      <c r="Z76" s="1">
        <f t="shared" si="18"/>
        <v>0</v>
      </c>
      <c r="AA76" s="1">
        <f t="shared" si="18"/>
        <v>0</v>
      </c>
      <c r="AB76" s="1">
        <f t="shared" si="18"/>
        <v>0</v>
      </c>
      <c r="AC76" s="1">
        <f t="shared" si="18"/>
        <v>0</v>
      </c>
      <c r="AD76" s="1">
        <f t="shared" si="18"/>
        <v>0</v>
      </c>
      <c r="AE76" s="1">
        <f t="shared" si="18"/>
        <v>0</v>
      </c>
      <c r="AF76" s="1">
        <f t="shared" si="18"/>
        <v>0</v>
      </c>
      <c r="AG76" s="1">
        <f t="shared" si="18"/>
        <v>0</v>
      </c>
      <c r="AH76" s="1">
        <f t="shared" si="18"/>
        <v>0</v>
      </c>
      <c r="AI76" s="1">
        <f t="shared" si="18"/>
        <v>0</v>
      </c>
      <c r="AJ76" s="1">
        <f t="shared" si="18"/>
        <v>0</v>
      </c>
      <c r="AK76" s="1">
        <f t="shared" si="18"/>
        <v>0</v>
      </c>
    </row>
    <row r="77" spans="1:37" ht="14.1" customHeight="1" x14ac:dyDescent="0.2">
      <c r="A77" s="12">
        <v>21</v>
      </c>
      <c r="B77" s="65"/>
      <c r="C77" s="101" t="str">
        <f>ANUAL!$C161</f>
        <v>R03</v>
      </c>
      <c r="D77" s="303" t="str">
        <f>ANUAL!$D161</f>
        <v>CARRO – CONSERTOS</v>
      </c>
      <c r="E77" s="303"/>
      <c r="F77" s="303"/>
      <c r="G77" s="102">
        <f t="shared" si="16"/>
        <v>0</v>
      </c>
      <c r="H77" s="62"/>
      <c r="N77" s="12">
        <v>69</v>
      </c>
      <c r="O77" s="65"/>
      <c r="P77" s="49"/>
      <c r="Q77" s="50"/>
      <c r="R77" s="51"/>
      <c r="S77" s="52"/>
      <c r="T77" s="53"/>
      <c r="U77" s="54"/>
      <c r="V77" s="62"/>
      <c r="X77" s="1">
        <f t="shared" ca="1" si="19"/>
        <v>1</v>
      </c>
      <c r="Z77" s="1">
        <f t="shared" si="18"/>
        <v>0</v>
      </c>
      <c r="AA77" s="1">
        <f t="shared" si="18"/>
        <v>0</v>
      </c>
      <c r="AB77" s="1">
        <f t="shared" si="18"/>
        <v>0</v>
      </c>
      <c r="AC77" s="1">
        <f t="shared" si="18"/>
        <v>0</v>
      </c>
      <c r="AD77" s="1">
        <f t="shared" si="18"/>
        <v>0</v>
      </c>
      <c r="AE77" s="1">
        <f t="shared" si="18"/>
        <v>0</v>
      </c>
      <c r="AF77" s="1">
        <f t="shared" si="18"/>
        <v>0</v>
      </c>
      <c r="AG77" s="1">
        <f t="shared" si="18"/>
        <v>0</v>
      </c>
      <c r="AH77" s="1">
        <f t="shared" si="18"/>
        <v>0</v>
      </c>
      <c r="AI77" s="1">
        <f t="shared" si="18"/>
        <v>0</v>
      </c>
      <c r="AJ77" s="1">
        <f t="shared" si="18"/>
        <v>0</v>
      </c>
      <c r="AK77" s="1">
        <f t="shared" si="18"/>
        <v>0</v>
      </c>
    </row>
    <row r="78" spans="1:37" ht="14.1" customHeight="1" x14ac:dyDescent="0.2">
      <c r="A78" s="16">
        <v>22</v>
      </c>
      <c r="B78" s="65"/>
      <c r="C78" s="103" t="str">
        <f>ANUAL!$C162</f>
        <v>R04</v>
      </c>
      <c r="D78" s="302" t="str">
        <f>ANUAL!$D162</f>
        <v>CARRO – PRESTAÇOES</v>
      </c>
      <c r="E78" s="302"/>
      <c r="F78" s="302"/>
      <c r="G78" s="104">
        <f t="shared" si="16"/>
        <v>0</v>
      </c>
      <c r="H78" s="62"/>
      <c r="N78" s="16">
        <v>70</v>
      </c>
      <c r="O78" s="65"/>
      <c r="P78" s="55"/>
      <c r="Q78" s="56"/>
      <c r="R78" s="57"/>
      <c r="S78" s="58"/>
      <c r="T78" s="59"/>
      <c r="U78" s="60"/>
      <c r="V78" s="62"/>
      <c r="X78" s="1">
        <f t="shared" ca="1" si="19"/>
        <v>1</v>
      </c>
      <c r="Z78" s="1">
        <f t="shared" si="18"/>
        <v>0</v>
      </c>
      <c r="AA78" s="1">
        <f t="shared" si="18"/>
        <v>0</v>
      </c>
      <c r="AB78" s="1">
        <f t="shared" si="18"/>
        <v>0</v>
      </c>
      <c r="AC78" s="1">
        <f t="shared" si="18"/>
        <v>0</v>
      </c>
      <c r="AD78" s="1">
        <f t="shared" si="18"/>
        <v>0</v>
      </c>
      <c r="AE78" s="1">
        <f t="shared" si="18"/>
        <v>0</v>
      </c>
      <c r="AF78" s="1">
        <f t="shared" si="18"/>
        <v>0</v>
      </c>
      <c r="AG78" s="1">
        <f t="shared" si="18"/>
        <v>0</v>
      </c>
      <c r="AH78" s="1">
        <f t="shared" si="18"/>
        <v>0</v>
      </c>
      <c r="AI78" s="1">
        <f t="shared" si="18"/>
        <v>0</v>
      </c>
      <c r="AJ78" s="1">
        <f t="shared" si="18"/>
        <v>0</v>
      </c>
      <c r="AK78" s="1">
        <f t="shared" si="18"/>
        <v>0</v>
      </c>
    </row>
    <row r="79" spans="1:37" ht="14.1" customHeight="1" x14ac:dyDescent="0.2">
      <c r="A79" s="12">
        <v>23</v>
      </c>
      <c r="B79" s="65"/>
      <c r="C79" s="101" t="str">
        <f>ANUAL!$C163</f>
        <v>B01</v>
      </c>
      <c r="D79" s="303" t="str">
        <f>ANUAL!$D163</f>
        <v>BANCO – TAXAS, JUROS ETC.</v>
      </c>
      <c r="E79" s="303"/>
      <c r="F79" s="303"/>
      <c r="G79" s="102">
        <f t="shared" si="16"/>
        <v>0</v>
      </c>
      <c r="H79" s="62"/>
      <c r="N79" s="12">
        <v>71</v>
      </c>
      <c r="O79" s="65"/>
      <c r="P79" s="49"/>
      <c r="Q79" s="50"/>
      <c r="R79" s="51"/>
      <c r="S79" s="52"/>
      <c r="T79" s="53"/>
      <c r="U79" s="54"/>
      <c r="V79" s="62"/>
      <c r="X79" s="1">
        <f t="shared" ca="1" si="19"/>
        <v>1</v>
      </c>
      <c r="Z79" s="1">
        <f t="shared" ref="Z79:AK88" si="20">IF(Z$8=$R79,-$T79,0)+IF(Z$8=$S79,$T79,0)</f>
        <v>0</v>
      </c>
      <c r="AA79" s="1">
        <f t="shared" si="20"/>
        <v>0</v>
      </c>
      <c r="AB79" s="1">
        <f t="shared" si="20"/>
        <v>0</v>
      </c>
      <c r="AC79" s="1">
        <f t="shared" si="20"/>
        <v>0</v>
      </c>
      <c r="AD79" s="1">
        <f t="shared" si="20"/>
        <v>0</v>
      </c>
      <c r="AE79" s="1">
        <f t="shared" si="20"/>
        <v>0</v>
      </c>
      <c r="AF79" s="1">
        <f t="shared" si="20"/>
        <v>0</v>
      </c>
      <c r="AG79" s="1">
        <f t="shared" si="20"/>
        <v>0</v>
      </c>
      <c r="AH79" s="1">
        <f t="shared" si="20"/>
        <v>0</v>
      </c>
      <c r="AI79" s="1">
        <f t="shared" si="20"/>
        <v>0</v>
      </c>
      <c r="AJ79" s="1">
        <f t="shared" si="20"/>
        <v>0</v>
      </c>
      <c r="AK79" s="1">
        <f t="shared" si="20"/>
        <v>0</v>
      </c>
    </row>
    <row r="80" spans="1:37" ht="14.1" customHeight="1" x14ac:dyDescent="0.2">
      <c r="A80" s="16">
        <v>24</v>
      </c>
      <c r="B80" s="65"/>
      <c r="C80" s="103" t="str">
        <f>ANUAL!$C164</f>
        <v>E01</v>
      </c>
      <c r="D80" s="302" t="str">
        <f>ANUAL!$D164</f>
        <v>EDUCAÇÃO / TREINAMENTO</v>
      </c>
      <c r="E80" s="302"/>
      <c r="F80" s="302"/>
      <c r="G80" s="104">
        <f t="shared" si="16"/>
        <v>0</v>
      </c>
      <c r="H80" s="62"/>
      <c r="N80" s="16">
        <v>72</v>
      </c>
      <c r="O80" s="65"/>
      <c r="P80" s="55"/>
      <c r="Q80" s="56"/>
      <c r="R80" s="57"/>
      <c r="S80" s="58"/>
      <c r="T80" s="59"/>
      <c r="U80" s="60"/>
      <c r="V80" s="62"/>
      <c r="X80" s="1">
        <f t="shared" ca="1" si="19"/>
        <v>1</v>
      </c>
      <c r="Z80" s="1">
        <f t="shared" si="20"/>
        <v>0</v>
      </c>
      <c r="AA80" s="1">
        <f t="shared" si="20"/>
        <v>0</v>
      </c>
      <c r="AB80" s="1">
        <f t="shared" si="20"/>
        <v>0</v>
      </c>
      <c r="AC80" s="1">
        <f t="shared" si="20"/>
        <v>0</v>
      </c>
      <c r="AD80" s="1">
        <f t="shared" si="20"/>
        <v>0</v>
      </c>
      <c r="AE80" s="1">
        <f t="shared" si="20"/>
        <v>0</v>
      </c>
      <c r="AF80" s="1">
        <f t="shared" si="20"/>
        <v>0</v>
      </c>
      <c r="AG80" s="1">
        <f t="shared" si="20"/>
        <v>0</v>
      </c>
      <c r="AH80" s="1">
        <f t="shared" si="20"/>
        <v>0</v>
      </c>
      <c r="AI80" s="1">
        <f t="shared" si="20"/>
        <v>0</v>
      </c>
      <c r="AJ80" s="1">
        <f t="shared" si="20"/>
        <v>0</v>
      </c>
      <c r="AK80" s="1">
        <f t="shared" si="20"/>
        <v>0</v>
      </c>
    </row>
    <row r="81" spans="1:37" ht="14.1" customHeight="1" x14ac:dyDescent="0.2">
      <c r="A81" s="12">
        <v>25</v>
      </c>
      <c r="B81" s="65"/>
      <c r="C81" s="101" t="str">
        <f>ANUAL!$C165</f>
        <v>V01</v>
      </c>
      <c r="D81" s="303" t="str">
        <f>ANUAL!$D165</f>
        <v>VIAGEM</v>
      </c>
      <c r="E81" s="303"/>
      <c r="F81" s="303"/>
      <c r="G81" s="102">
        <f t="shared" si="16"/>
        <v>0</v>
      </c>
      <c r="H81" s="62"/>
      <c r="N81" s="12">
        <v>73</v>
      </c>
      <c r="O81" s="65"/>
      <c r="P81" s="49"/>
      <c r="Q81" s="50"/>
      <c r="R81" s="51"/>
      <c r="S81" s="52"/>
      <c r="T81" s="53"/>
      <c r="U81" s="54"/>
      <c r="V81" s="62"/>
      <c r="X81" s="1">
        <f t="shared" ca="1" si="19"/>
        <v>1</v>
      </c>
      <c r="Z81" s="1">
        <f t="shared" si="20"/>
        <v>0</v>
      </c>
      <c r="AA81" s="1">
        <f t="shared" si="20"/>
        <v>0</v>
      </c>
      <c r="AB81" s="1">
        <f t="shared" si="20"/>
        <v>0</v>
      </c>
      <c r="AC81" s="1">
        <f t="shared" si="20"/>
        <v>0</v>
      </c>
      <c r="AD81" s="1">
        <f t="shared" si="20"/>
        <v>0</v>
      </c>
      <c r="AE81" s="1">
        <f t="shared" si="20"/>
        <v>0</v>
      </c>
      <c r="AF81" s="1">
        <f t="shared" si="20"/>
        <v>0</v>
      </c>
      <c r="AG81" s="1">
        <f t="shared" si="20"/>
        <v>0</v>
      </c>
      <c r="AH81" s="1">
        <f t="shared" si="20"/>
        <v>0</v>
      </c>
      <c r="AI81" s="1">
        <f t="shared" si="20"/>
        <v>0</v>
      </c>
      <c r="AJ81" s="1">
        <f t="shared" si="20"/>
        <v>0</v>
      </c>
      <c r="AK81" s="1">
        <f t="shared" si="20"/>
        <v>0</v>
      </c>
    </row>
    <row r="82" spans="1:37" ht="14.1" customHeight="1" x14ac:dyDescent="0.2">
      <c r="A82" s="16">
        <v>26</v>
      </c>
      <c r="B82" s="65"/>
      <c r="C82" s="103" t="str">
        <f>ANUAL!$C166</f>
        <v>P01</v>
      </c>
      <c r="D82" s="302" t="str">
        <f>ANUAL!$D166</f>
        <v>PESSOAL – DÍZIMO</v>
      </c>
      <c r="E82" s="302"/>
      <c r="F82" s="302"/>
      <c r="G82" s="104">
        <f t="shared" si="16"/>
        <v>0</v>
      </c>
      <c r="H82" s="62"/>
      <c r="I82" s="3"/>
      <c r="J82" s="3"/>
      <c r="K82" s="3"/>
      <c r="L82" s="3"/>
      <c r="M82" s="3"/>
      <c r="N82" s="16">
        <v>74</v>
      </c>
      <c r="O82" s="65"/>
      <c r="P82" s="55"/>
      <c r="Q82" s="56"/>
      <c r="R82" s="57"/>
      <c r="S82" s="58"/>
      <c r="T82" s="59"/>
      <c r="U82" s="60"/>
      <c r="V82" s="62"/>
      <c r="X82" s="1">
        <f t="shared" ca="1" si="19"/>
        <v>1</v>
      </c>
      <c r="Z82" s="1">
        <f t="shared" si="20"/>
        <v>0</v>
      </c>
      <c r="AA82" s="1">
        <f t="shared" si="20"/>
        <v>0</v>
      </c>
      <c r="AB82" s="1">
        <f t="shared" si="20"/>
        <v>0</v>
      </c>
      <c r="AC82" s="1">
        <f t="shared" si="20"/>
        <v>0</v>
      </c>
      <c r="AD82" s="1">
        <f t="shared" si="20"/>
        <v>0</v>
      </c>
      <c r="AE82" s="1">
        <f t="shared" si="20"/>
        <v>0</v>
      </c>
      <c r="AF82" s="1">
        <f t="shared" si="20"/>
        <v>0</v>
      </c>
      <c r="AG82" s="1">
        <f t="shared" si="20"/>
        <v>0</v>
      </c>
      <c r="AH82" s="1">
        <f t="shared" si="20"/>
        <v>0</v>
      </c>
      <c r="AI82" s="1">
        <f t="shared" si="20"/>
        <v>0</v>
      </c>
      <c r="AJ82" s="1">
        <f t="shared" si="20"/>
        <v>0</v>
      </c>
      <c r="AK82" s="1">
        <f t="shared" si="20"/>
        <v>0</v>
      </c>
    </row>
    <row r="83" spans="1:37" ht="14.1" customHeight="1" x14ac:dyDescent="0.2">
      <c r="A83" s="12">
        <v>27</v>
      </c>
      <c r="B83" s="65"/>
      <c r="C83" s="101" t="str">
        <f>ANUAL!$C167</f>
        <v>---</v>
      </c>
      <c r="D83" s="303" t="str">
        <f>ANUAL!$D167</f>
        <v>---</v>
      </c>
      <c r="E83" s="303"/>
      <c r="F83" s="303"/>
      <c r="G83" s="102">
        <f t="shared" si="16"/>
        <v>0</v>
      </c>
      <c r="H83" s="62"/>
      <c r="I83" s="3"/>
      <c r="J83" s="3"/>
      <c r="K83" s="3"/>
      <c r="L83" s="3"/>
      <c r="M83" s="3"/>
      <c r="N83" s="12">
        <v>75</v>
      </c>
      <c r="O83" s="65"/>
      <c r="P83" s="49"/>
      <c r="Q83" s="50"/>
      <c r="R83" s="51"/>
      <c r="S83" s="52"/>
      <c r="T83" s="53"/>
      <c r="U83" s="54"/>
      <c r="V83" s="62"/>
      <c r="X83" s="1">
        <f t="shared" ca="1" si="19"/>
        <v>1</v>
      </c>
      <c r="Z83" s="1">
        <f t="shared" si="20"/>
        <v>0</v>
      </c>
      <c r="AA83" s="1">
        <f t="shared" si="20"/>
        <v>0</v>
      </c>
      <c r="AB83" s="1">
        <f t="shared" si="20"/>
        <v>0</v>
      </c>
      <c r="AC83" s="1">
        <f t="shared" si="20"/>
        <v>0</v>
      </c>
      <c r="AD83" s="1">
        <f t="shared" si="20"/>
        <v>0</v>
      </c>
      <c r="AE83" s="1">
        <f t="shared" si="20"/>
        <v>0</v>
      </c>
      <c r="AF83" s="1">
        <f t="shared" si="20"/>
        <v>0</v>
      </c>
      <c r="AG83" s="1">
        <f t="shared" si="20"/>
        <v>0</v>
      </c>
      <c r="AH83" s="1">
        <f t="shared" si="20"/>
        <v>0</v>
      </c>
      <c r="AI83" s="1">
        <f t="shared" si="20"/>
        <v>0</v>
      </c>
      <c r="AJ83" s="1">
        <f t="shared" si="20"/>
        <v>0</v>
      </c>
      <c r="AK83" s="1">
        <f t="shared" si="20"/>
        <v>0</v>
      </c>
    </row>
    <row r="84" spans="1:37" ht="14.1" customHeight="1" x14ac:dyDescent="0.2">
      <c r="A84" s="16">
        <v>28</v>
      </c>
      <c r="B84" s="65"/>
      <c r="C84" s="103" t="str">
        <f>ANUAL!$C168</f>
        <v>---</v>
      </c>
      <c r="D84" s="302" t="str">
        <f>ANUAL!$D168</f>
        <v>---</v>
      </c>
      <c r="E84" s="302"/>
      <c r="F84" s="302"/>
      <c r="G84" s="104">
        <f t="shared" si="16"/>
        <v>0</v>
      </c>
      <c r="H84" s="62"/>
      <c r="I84" s="3"/>
      <c r="J84" s="3"/>
      <c r="K84" s="3"/>
      <c r="L84" s="3"/>
      <c r="M84" s="3"/>
      <c r="N84" s="16">
        <v>76</v>
      </c>
      <c r="O84" s="65"/>
      <c r="P84" s="55"/>
      <c r="Q84" s="56"/>
      <c r="R84" s="57"/>
      <c r="S84" s="58"/>
      <c r="T84" s="59"/>
      <c r="U84" s="60"/>
      <c r="V84" s="62"/>
      <c r="X84" s="1">
        <f t="shared" ca="1" si="19"/>
        <v>1</v>
      </c>
      <c r="Z84" s="1">
        <f t="shared" si="20"/>
        <v>0</v>
      </c>
      <c r="AA84" s="1">
        <f t="shared" si="20"/>
        <v>0</v>
      </c>
      <c r="AB84" s="1">
        <f t="shared" si="20"/>
        <v>0</v>
      </c>
      <c r="AC84" s="1">
        <f t="shared" si="20"/>
        <v>0</v>
      </c>
      <c r="AD84" s="1">
        <f t="shared" si="20"/>
        <v>0</v>
      </c>
      <c r="AE84" s="1">
        <f t="shared" si="20"/>
        <v>0</v>
      </c>
      <c r="AF84" s="1">
        <f t="shared" si="20"/>
        <v>0</v>
      </c>
      <c r="AG84" s="1">
        <f t="shared" si="20"/>
        <v>0</v>
      </c>
      <c r="AH84" s="1">
        <f t="shared" si="20"/>
        <v>0</v>
      </c>
      <c r="AI84" s="1">
        <f t="shared" si="20"/>
        <v>0</v>
      </c>
      <c r="AJ84" s="1">
        <f t="shared" si="20"/>
        <v>0</v>
      </c>
      <c r="AK84" s="1">
        <f t="shared" si="20"/>
        <v>0</v>
      </c>
    </row>
    <row r="85" spans="1:37" ht="14.1" customHeight="1" x14ac:dyDescent="0.2">
      <c r="A85" s="12">
        <v>29</v>
      </c>
      <c r="B85" s="65"/>
      <c r="C85" s="101" t="str">
        <f>ANUAL!$C169</f>
        <v>---</v>
      </c>
      <c r="D85" s="303" t="str">
        <f>ANUAL!$D169</f>
        <v>---</v>
      </c>
      <c r="E85" s="303"/>
      <c r="F85" s="303"/>
      <c r="G85" s="102">
        <f t="shared" si="16"/>
        <v>0</v>
      </c>
      <c r="H85" s="62"/>
      <c r="I85" s="3"/>
      <c r="J85" s="3"/>
      <c r="K85" s="3"/>
      <c r="L85" s="3"/>
      <c r="M85" s="3"/>
      <c r="N85" s="12">
        <v>77</v>
      </c>
      <c r="O85" s="65"/>
      <c r="P85" s="49"/>
      <c r="Q85" s="50"/>
      <c r="R85" s="51"/>
      <c r="S85" s="52"/>
      <c r="T85" s="53"/>
      <c r="U85" s="54"/>
      <c r="V85" s="62"/>
      <c r="X85" s="1">
        <f t="shared" ca="1" si="19"/>
        <v>1</v>
      </c>
      <c r="Z85" s="1">
        <f t="shared" si="20"/>
        <v>0</v>
      </c>
      <c r="AA85" s="1">
        <f t="shared" si="20"/>
        <v>0</v>
      </c>
      <c r="AB85" s="1">
        <f t="shared" si="20"/>
        <v>0</v>
      </c>
      <c r="AC85" s="1">
        <f t="shared" si="20"/>
        <v>0</v>
      </c>
      <c r="AD85" s="1">
        <f t="shared" si="20"/>
        <v>0</v>
      </c>
      <c r="AE85" s="1">
        <f t="shared" si="20"/>
        <v>0</v>
      </c>
      <c r="AF85" s="1">
        <f t="shared" si="20"/>
        <v>0</v>
      </c>
      <c r="AG85" s="1">
        <f t="shared" si="20"/>
        <v>0</v>
      </c>
      <c r="AH85" s="1">
        <f t="shared" si="20"/>
        <v>0</v>
      </c>
      <c r="AI85" s="1">
        <f t="shared" si="20"/>
        <v>0</v>
      </c>
      <c r="AJ85" s="1">
        <f t="shared" si="20"/>
        <v>0</v>
      </c>
      <c r="AK85" s="1">
        <f t="shared" si="20"/>
        <v>0</v>
      </c>
    </row>
    <row r="86" spans="1:37" ht="14.1" customHeight="1" x14ac:dyDescent="0.2">
      <c r="A86" s="16">
        <v>30</v>
      </c>
      <c r="B86" s="65"/>
      <c r="C86" s="103" t="str">
        <f>ANUAL!$C170</f>
        <v>---</v>
      </c>
      <c r="D86" s="302" t="str">
        <f>ANUAL!$D170</f>
        <v>---</v>
      </c>
      <c r="E86" s="302"/>
      <c r="F86" s="302"/>
      <c r="G86" s="104">
        <f t="shared" si="16"/>
        <v>0</v>
      </c>
      <c r="H86" s="62"/>
      <c r="I86" s="3"/>
      <c r="J86" s="3"/>
      <c r="K86" s="3"/>
      <c r="L86" s="3"/>
      <c r="M86" s="3"/>
      <c r="N86" s="16">
        <v>78</v>
      </c>
      <c r="O86" s="65"/>
      <c r="P86" s="55"/>
      <c r="Q86" s="56"/>
      <c r="R86" s="57"/>
      <c r="S86" s="58"/>
      <c r="T86" s="59"/>
      <c r="U86" s="60"/>
      <c r="V86" s="62"/>
      <c r="X86" s="1">
        <f t="shared" ca="1" si="19"/>
        <v>1</v>
      </c>
      <c r="Z86" s="1">
        <f t="shared" si="20"/>
        <v>0</v>
      </c>
      <c r="AA86" s="1">
        <f t="shared" si="20"/>
        <v>0</v>
      </c>
      <c r="AB86" s="1">
        <f t="shared" si="20"/>
        <v>0</v>
      </c>
      <c r="AC86" s="1">
        <f t="shared" si="20"/>
        <v>0</v>
      </c>
      <c r="AD86" s="1">
        <f t="shared" si="20"/>
        <v>0</v>
      </c>
      <c r="AE86" s="1">
        <f t="shared" si="20"/>
        <v>0</v>
      </c>
      <c r="AF86" s="1">
        <f t="shared" si="20"/>
        <v>0</v>
      </c>
      <c r="AG86" s="1">
        <f t="shared" si="20"/>
        <v>0</v>
      </c>
      <c r="AH86" s="1">
        <f t="shared" si="20"/>
        <v>0</v>
      </c>
      <c r="AI86" s="1">
        <f t="shared" si="20"/>
        <v>0</v>
      </c>
      <c r="AJ86" s="1">
        <f t="shared" si="20"/>
        <v>0</v>
      </c>
      <c r="AK86" s="1">
        <f t="shared" si="20"/>
        <v>0</v>
      </c>
    </row>
    <row r="87" spans="1:37" ht="14.1" customHeight="1" x14ac:dyDescent="0.2">
      <c r="A87" s="12">
        <v>31</v>
      </c>
      <c r="B87" s="65"/>
      <c r="C87" s="101" t="str">
        <f>ANUAL!$C171</f>
        <v>---</v>
      </c>
      <c r="D87" s="303" t="str">
        <f>ANUAL!$D171</f>
        <v>---</v>
      </c>
      <c r="E87" s="303"/>
      <c r="F87" s="303"/>
      <c r="G87" s="102">
        <f t="shared" si="16"/>
        <v>0</v>
      </c>
      <c r="H87" s="62"/>
      <c r="I87" s="3"/>
      <c r="J87" s="3"/>
      <c r="K87" s="3"/>
      <c r="L87" s="3"/>
      <c r="M87" s="3"/>
      <c r="N87" s="12">
        <v>79</v>
      </c>
      <c r="O87" s="65"/>
      <c r="P87" s="49"/>
      <c r="Q87" s="50"/>
      <c r="R87" s="51"/>
      <c r="S87" s="52"/>
      <c r="T87" s="53"/>
      <c r="U87" s="54"/>
      <c r="V87" s="62"/>
      <c r="X87" s="1">
        <f t="shared" ca="1" si="19"/>
        <v>1</v>
      </c>
      <c r="Z87" s="1">
        <f t="shared" si="20"/>
        <v>0</v>
      </c>
      <c r="AA87" s="1">
        <f t="shared" si="20"/>
        <v>0</v>
      </c>
      <c r="AB87" s="1">
        <f t="shared" si="20"/>
        <v>0</v>
      </c>
      <c r="AC87" s="1">
        <f t="shared" si="20"/>
        <v>0</v>
      </c>
      <c r="AD87" s="1">
        <f t="shared" si="20"/>
        <v>0</v>
      </c>
      <c r="AE87" s="1">
        <f t="shared" si="20"/>
        <v>0</v>
      </c>
      <c r="AF87" s="1">
        <f t="shared" si="20"/>
        <v>0</v>
      </c>
      <c r="AG87" s="1">
        <f t="shared" si="20"/>
        <v>0</v>
      </c>
      <c r="AH87" s="1">
        <f t="shared" si="20"/>
        <v>0</v>
      </c>
      <c r="AI87" s="1">
        <f t="shared" si="20"/>
        <v>0</v>
      </c>
      <c r="AJ87" s="1">
        <f t="shared" si="20"/>
        <v>0</v>
      </c>
      <c r="AK87" s="1">
        <f t="shared" si="20"/>
        <v>0</v>
      </c>
    </row>
    <row r="88" spans="1:37" ht="14.1" customHeight="1" x14ac:dyDescent="0.2">
      <c r="A88" s="16">
        <v>32</v>
      </c>
      <c r="B88" s="66"/>
      <c r="C88" s="103" t="str">
        <f>ANUAL!$C172</f>
        <v>---</v>
      </c>
      <c r="D88" s="302" t="str">
        <f>ANUAL!$D172</f>
        <v>---</v>
      </c>
      <c r="E88" s="302"/>
      <c r="F88" s="302"/>
      <c r="G88" s="104">
        <f t="shared" si="16"/>
        <v>0</v>
      </c>
      <c r="H88" s="63"/>
      <c r="I88" s="3"/>
      <c r="J88" s="3"/>
      <c r="K88" s="3"/>
      <c r="L88" s="3"/>
      <c r="M88" s="3"/>
      <c r="N88" s="16">
        <v>80</v>
      </c>
      <c r="O88" s="66"/>
      <c r="P88" s="55"/>
      <c r="Q88" s="56"/>
      <c r="R88" s="57"/>
      <c r="S88" s="58"/>
      <c r="T88" s="59"/>
      <c r="U88" s="60"/>
      <c r="V88" s="63"/>
      <c r="X88" s="1">
        <f t="shared" ca="1" si="19"/>
        <v>1</v>
      </c>
      <c r="Z88" s="1">
        <f t="shared" si="20"/>
        <v>0</v>
      </c>
      <c r="AA88" s="1">
        <f t="shared" si="20"/>
        <v>0</v>
      </c>
      <c r="AB88" s="1">
        <f t="shared" si="20"/>
        <v>0</v>
      </c>
      <c r="AC88" s="1">
        <f t="shared" si="20"/>
        <v>0</v>
      </c>
      <c r="AD88" s="1">
        <f t="shared" si="20"/>
        <v>0</v>
      </c>
      <c r="AE88" s="1">
        <f t="shared" si="20"/>
        <v>0</v>
      </c>
      <c r="AF88" s="1">
        <f t="shared" si="20"/>
        <v>0</v>
      </c>
      <c r="AG88" s="1">
        <f t="shared" si="20"/>
        <v>0</v>
      </c>
      <c r="AH88" s="1">
        <f t="shared" si="20"/>
        <v>0</v>
      </c>
      <c r="AI88" s="1">
        <f t="shared" si="20"/>
        <v>0</v>
      </c>
      <c r="AJ88" s="1">
        <f t="shared" si="20"/>
        <v>0</v>
      </c>
      <c r="AK88" s="1">
        <f t="shared" si="20"/>
        <v>0</v>
      </c>
    </row>
    <row r="89" spans="1:37" ht="14.1" customHeight="1" x14ac:dyDescent="0.2">
      <c r="B89" s="105"/>
      <c r="C89" s="106"/>
      <c r="D89" s="107"/>
      <c r="E89" s="107"/>
      <c r="F89" s="107"/>
      <c r="G89" s="107"/>
      <c r="H89" s="108"/>
      <c r="I89" s="3"/>
      <c r="J89" s="3"/>
      <c r="K89" s="3"/>
      <c r="L89" s="3"/>
      <c r="M89" s="3"/>
      <c r="O89" s="32"/>
      <c r="P89" s="33"/>
      <c r="Q89" s="33"/>
      <c r="R89" s="34"/>
      <c r="S89" s="34"/>
      <c r="T89" s="67"/>
      <c r="U89" s="34"/>
      <c r="V89" s="35"/>
    </row>
    <row r="90" spans="1:37" ht="14.1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37" ht="14.1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37" ht="14.1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37" ht="14.1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37" ht="14.1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37" ht="14.1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37" ht="14.1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1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1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1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</sheetData>
  <sheetProtection selectLockedCells="1"/>
  <mergeCells count="57">
    <mergeCell ref="C43:G44"/>
    <mergeCell ref="B1:H1"/>
    <mergeCell ref="C5:G6"/>
    <mergeCell ref="P5:U6"/>
    <mergeCell ref="C7:C8"/>
    <mergeCell ref="D7:D8"/>
    <mergeCell ref="E7:G7"/>
    <mergeCell ref="P7:P8"/>
    <mergeCell ref="Q7:Q8"/>
    <mergeCell ref="R7:S7"/>
    <mergeCell ref="T7:T8"/>
    <mergeCell ref="U7:U8"/>
    <mergeCell ref="C24:G25"/>
    <mergeCell ref="C26:C27"/>
    <mergeCell ref="D26:D27"/>
    <mergeCell ref="E26:G26"/>
    <mergeCell ref="D62:F62"/>
    <mergeCell ref="D63:F63"/>
    <mergeCell ref="D64:F64"/>
    <mergeCell ref="D65:F65"/>
    <mergeCell ref="C45:C46"/>
    <mergeCell ref="D45:D46"/>
    <mergeCell ref="E45:G45"/>
    <mergeCell ref="C53:G54"/>
    <mergeCell ref="C55:C56"/>
    <mergeCell ref="D55:D56"/>
    <mergeCell ref="E55:E56"/>
    <mergeCell ref="F55:F56"/>
    <mergeCell ref="G55:G56"/>
    <mergeCell ref="D57:F57"/>
    <mergeCell ref="D58:F58"/>
    <mergeCell ref="D59:F59"/>
    <mergeCell ref="D60:F60"/>
    <mergeCell ref="D61:F61"/>
    <mergeCell ref="D66:F66"/>
    <mergeCell ref="D67:F67"/>
    <mergeCell ref="D80:F80"/>
    <mergeCell ref="D69:F69"/>
    <mergeCell ref="D70:F70"/>
    <mergeCell ref="D71:F71"/>
    <mergeCell ref="D72:F72"/>
    <mergeCell ref="D73:F73"/>
    <mergeCell ref="D74:F74"/>
    <mergeCell ref="D75:F75"/>
    <mergeCell ref="D68:F68"/>
    <mergeCell ref="D88:F88"/>
    <mergeCell ref="D81:F81"/>
    <mergeCell ref="D82:F82"/>
    <mergeCell ref="D83:F83"/>
    <mergeCell ref="D84:F84"/>
    <mergeCell ref="D85:F85"/>
    <mergeCell ref="D86:F86"/>
    <mergeCell ref="D76:F76"/>
    <mergeCell ref="D77:F77"/>
    <mergeCell ref="D78:F78"/>
    <mergeCell ref="D79:F79"/>
    <mergeCell ref="D87:F87"/>
  </mergeCells>
  <conditionalFormatting sqref="U9:U11 P12:U88">
    <cfRule type="expression" dxfId="19" priority="6" stopIfTrue="1">
      <formula>$X9&lt;&gt;1</formula>
    </cfRule>
  </conditionalFormatting>
  <conditionalFormatting sqref="U9:U11 S12:U20">
    <cfRule type="expression" dxfId="18" priority="5" stopIfTrue="1">
      <formula>$X9&lt;&gt;1</formula>
    </cfRule>
  </conditionalFormatting>
  <conditionalFormatting sqref="S12:T20">
    <cfRule type="expression" dxfId="17" priority="4" stopIfTrue="1">
      <formula>$X12&lt;&gt;1</formula>
    </cfRule>
  </conditionalFormatting>
  <conditionalFormatting sqref="U12:U16">
    <cfRule type="expression" dxfId="16" priority="3" stopIfTrue="1">
      <formula>$X12&lt;&gt;1</formula>
    </cfRule>
  </conditionalFormatting>
  <conditionalFormatting sqref="P9:T11">
    <cfRule type="expression" dxfId="15" priority="1" stopIfTrue="1">
      <formula>$X9&lt;&gt;1</formula>
    </cfRule>
  </conditionalFormatting>
  <printOptions horizontalCentered="1"/>
  <pageMargins left="0.39374999999999999" right="0.39374999999999999" top="0.78749999999999998" bottom="0.59027777777777779" header="0.51180555555555551" footer="0.51180555555555551"/>
  <pageSetup paperSize="8" scale="59" orientation="portrait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9"/>
  <sheetViews>
    <sheetView zoomScale="80" zoomScaleNormal="80" workbookViewId="0">
      <selection activeCell="P9" sqref="P9"/>
    </sheetView>
  </sheetViews>
  <sheetFormatPr defaultColWidth="11.5703125" defaultRowHeight="14.1" customHeight="1" x14ac:dyDescent="0.2"/>
  <cols>
    <col min="1" max="1" width="4.140625" style="1" customWidth="1"/>
    <col min="2" max="2" width="2.5703125" style="1" customWidth="1"/>
    <col min="3" max="3" width="9.140625" style="2" customWidth="1"/>
    <col min="4" max="4" width="40.85546875" style="1" customWidth="1"/>
    <col min="5" max="7" width="11.5703125" style="1"/>
    <col min="8" max="9" width="2.5703125" style="1" customWidth="1"/>
    <col min="10" max="12" width="11.5703125" style="1" hidden="1" customWidth="1"/>
    <col min="13" max="13" width="2.5703125" style="1" customWidth="1"/>
    <col min="14" max="14" width="4.140625" style="1" customWidth="1"/>
    <col min="15" max="15" width="2.5703125" style="1" customWidth="1"/>
    <col min="16" max="16" width="11.5703125" style="1"/>
    <col min="17" max="17" width="51" style="1" customWidth="1"/>
    <col min="18" max="19" width="12.7109375" style="24" customWidth="1"/>
    <col min="20" max="20" width="12.7109375" style="1" customWidth="1"/>
    <col min="21" max="21" width="10.140625" style="24" customWidth="1"/>
    <col min="22" max="22" width="2.5703125" style="1" customWidth="1"/>
    <col min="23" max="23" width="5.140625" style="1" customWidth="1"/>
    <col min="24" max="37" width="0" style="1" hidden="1" customWidth="1"/>
    <col min="38" max="255" width="11.5703125" style="1"/>
    <col min="256" max="16384" width="11.5703125" style="3"/>
  </cols>
  <sheetData>
    <row r="1" spans="1:256" s="4" customFormat="1" ht="33.950000000000003" customHeight="1" x14ac:dyDescent="0.2">
      <c r="B1" s="307">
        <f>DATE(ANUAL!B5,B2,8)</f>
        <v>40459</v>
      </c>
      <c r="C1" s="307"/>
      <c r="D1" s="307"/>
      <c r="E1" s="307"/>
      <c r="F1" s="307"/>
      <c r="G1" s="307"/>
      <c r="H1" s="307"/>
      <c r="I1" s="25" t="s">
        <v>2</v>
      </c>
      <c r="M1" s="26" t="s">
        <v>92</v>
      </c>
      <c r="R1" s="27"/>
      <c r="S1" s="27"/>
      <c r="U1" s="27"/>
      <c r="W1" s="25" t="s">
        <v>2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 t="s">
        <v>92</v>
      </c>
      <c r="IV1" s="3"/>
    </row>
    <row r="2" spans="1:256" ht="14.1" customHeight="1" x14ac:dyDescent="0.2">
      <c r="B2" s="28">
        <f>'M9'!B2+1</f>
        <v>10</v>
      </c>
    </row>
    <row r="4" spans="1:256" ht="14.1" customHeight="1" x14ac:dyDescent="0.2">
      <c r="B4" s="68"/>
      <c r="C4" s="69"/>
      <c r="D4" s="70"/>
      <c r="E4" s="70"/>
      <c r="F4" s="70"/>
      <c r="G4" s="70"/>
      <c r="H4" s="71"/>
      <c r="O4" s="36"/>
      <c r="P4" s="37"/>
      <c r="Q4" s="37"/>
      <c r="R4" s="38"/>
      <c r="S4" s="38"/>
      <c r="T4" s="37"/>
      <c r="U4" s="38"/>
      <c r="V4" s="39"/>
    </row>
    <row r="5" spans="1:256" ht="14.1" customHeight="1" x14ac:dyDescent="0.2">
      <c r="B5" s="72"/>
      <c r="C5" s="308" t="s">
        <v>107</v>
      </c>
      <c r="D5" s="308"/>
      <c r="E5" s="308"/>
      <c r="F5" s="308"/>
      <c r="G5" s="308"/>
      <c r="H5" s="73"/>
      <c r="O5" s="40"/>
      <c r="P5" s="309" t="s">
        <v>93</v>
      </c>
      <c r="Q5" s="309"/>
      <c r="R5" s="309"/>
      <c r="S5" s="309"/>
      <c r="T5" s="309"/>
      <c r="U5" s="309"/>
      <c r="V5" s="41"/>
    </row>
    <row r="6" spans="1:256" s="9" customFormat="1" ht="14.1" customHeight="1" x14ac:dyDescent="0.2">
      <c r="B6" s="74"/>
      <c r="C6" s="308"/>
      <c r="D6" s="308"/>
      <c r="E6" s="308"/>
      <c r="F6" s="308"/>
      <c r="G6" s="308"/>
      <c r="H6" s="75"/>
      <c r="I6" s="1"/>
      <c r="J6" s="1"/>
      <c r="K6" s="1"/>
      <c r="L6" s="1"/>
      <c r="M6" s="1"/>
      <c r="N6" s="1"/>
      <c r="O6" s="42"/>
      <c r="P6" s="309"/>
      <c r="Q6" s="309"/>
      <c r="R6" s="309"/>
      <c r="S6" s="309"/>
      <c r="T6" s="309"/>
      <c r="U6" s="309"/>
      <c r="V6" s="4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IV6" s="3"/>
    </row>
    <row r="7" spans="1:256" ht="14.1" customHeight="1" x14ac:dyDescent="0.2">
      <c r="B7" s="46"/>
      <c r="C7" s="271" t="s">
        <v>94</v>
      </c>
      <c r="D7" s="273" t="s">
        <v>5</v>
      </c>
      <c r="E7" s="275" t="s">
        <v>6</v>
      </c>
      <c r="F7" s="275"/>
      <c r="G7" s="276"/>
      <c r="H7" s="73"/>
      <c r="O7" s="46"/>
      <c r="P7" s="275" t="s">
        <v>95</v>
      </c>
      <c r="Q7" s="271" t="s">
        <v>5</v>
      </c>
      <c r="R7" s="275" t="s">
        <v>96</v>
      </c>
      <c r="S7" s="275"/>
      <c r="T7" s="275" t="s">
        <v>97</v>
      </c>
      <c r="U7" s="276" t="s">
        <v>98</v>
      </c>
      <c r="V7" s="41"/>
    </row>
    <row r="8" spans="1:256" ht="14.1" customHeight="1" x14ac:dyDescent="0.2">
      <c r="B8" s="44"/>
      <c r="C8" s="272"/>
      <c r="D8" s="274"/>
      <c r="E8" s="98" t="s">
        <v>99</v>
      </c>
      <c r="F8" s="98" t="s">
        <v>100</v>
      </c>
      <c r="G8" s="98" t="s">
        <v>101</v>
      </c>
      <c r="H8" s="76"/>
      <c r="O8" s="44"/>
      <c r="P8" s="306" t="s">
        <v>95</v>
      </c>
      <c r="Q8" s="272" t="s">
        <v>5</v>
      </c>
      <c r="R8" s="47" t="s">
        <v>89</v>
      </c>
      <c r="S8" s="48" t="s">
        <v>87</v>
      </c>
      <c r="T8" s="306" t="s">
        <v>97</v>
      </c>
      <c r="U8" s="305"/>
      <c r="V8" s="45"/>
      <c r="X8" s="1" t="s">
        <v>100</v>
      </c>
      <c r="Z8" s="1" t="str">
        <f>$C$9</f>
        <v/>
      </c>
      <c r="AA8" s="1" t="str">
        <f>$C$10</f>
        <v>INV1</v>
      </c>
      <c r="AB8" s="1" t="str">
        <f>$C$11</f>
        <v>DINH1</v>
      </c>
      <c r="AC8" s="1" t="str">
        <f>$C$12</f>
        <v>CRED1</v>
      </c>
      <c r="AD8" s="1" t="str">
        <f>$C$13</f>
        <v>---</v>
      </c>
      <c r="AE8" s="1" t="str">
        <f>$C$14</f>
        <v>---</v>
      </c>
      <c r="AF8" s="1" t="str">
        <f>$C$15</f>
        <v>---</v>
      </c>
      <c r="AG8" s="1" t="str">
        <f>$C$16</f>
        <v>---</v>
      </c>
      <c r="AH8" s="1" t="str">
        <f>$C$17</f>
        <v>---</v>
      </c>
      <c r="AI8" s="1" t="str">
        <f>$C$18</f>
        <v>---</v>
      </c>
      <c r="AJ8" s="1" t="str">
        <f>$C$19</f>
        <v>---</v>
      </c>
      <c r="AK8" s="1" t="str">
        <f>$C$20</f>
        <v>---</v>
      </c>
    </row>
    <row r="9" spans="1:256" ht="14.1" customHeight="1" x14ac:dyDescent="0.2">
      <c r="A9" s="12">
        <v>1</v>
      </c>
      <c r="B9" s="64"/>
      <c r="C9" s="115" t="str">
        <f>TRIM(ANUAL!C13)</f>
        <v/>
      </c>
      <c r="D9" s="116" t="str">
        <f>TRIM(ANUAL!D13)</f>
        <v>CONTA CORRENTE BANCO 1</v>
      </c>
      <c r="E9" s="117">
        <f ca="1">INDIRECT("M"&amp;B$2-1&amp;"!G"&amp;A9+ROW(A$8))</f>
        <v>0</v>
      </c>
      <c r="F9" s="117">
        <f t="shared" ref="F9:F20" ca="1" si="0">E9+SUMIF(X$9:X$88,1,OFFSET($Z$9:$Z$88,0,A9-1))</f>
        <v>0</v>
      </c>
      <c r="G9" s="117">
        <f t="shared" ref="G9:G20" ca="1" si="1">E9+SUM(OFFSET($Z$9:$Z$88,0,A9-1))</f>
        <v>0</v>
      </c>
      <c r="H9" s="61"/>
      <c r="J9" s="3" t="b">
        <f t="shared" ref="J9:L20" si="2">NOT(ISERR(SEARCH(J$27,$C9)))</f>
        <v>0</v>
      </c>
      <c r="K9" s="3" t="b">
        <f t="shared" si="2"/>
        <v>0</v>
      </c>
      <c r="L9" s="3" t="b">
        <f t="shared" si="2"/>
        <v>0</v>
      </c>
      <c r="N9" s="12">
        <v>1</v>
      </c>
      <c r="O9" s="64"/>
      <c r="P9" s="49"/>
      <c r="Q9" s="50"/>
      <c r="R9" s="51"/>
      <c r="S9" s="52"/>
      <c r="T9" s="53"/>
      <c r="U9" s="54"/>
      <c r="V9" s="61"/>
      <c r="X9" s="1">
        <f t="shared" ref="X9:X40" ca="1" si="3">IF(P9&lt;NOW(),1,0)</f>
        <v>1</v>
      </c>
      <c r="Z9" s="1">
        <f t="shared" ref="Z9:AK18" si="4">IF(Z$8=$R9,-$T9,0)+IF(Z$8=$S9,$T9,0)</f>
        <v>0</v>
      </c>
      <c r="AA9" s="1">
        <f t="shared" si="4"/>
        <v>0</v>
      </c>
      <c r="AB9" s="1">
        <f t="shared" si="4"/>
        <v>0</v>
      </c>
      <c r="AC9" s="1">
        <f t="shared" si="4"/>
        <v>0</v>
      </c>
      <c r="AD9" s="1">
        <f t="shared" si="4"/>
        <v>0</v>
      </c>
      <c r="AE9" s="1">
        <f t="shared" si="4"/>
        <v>0</v>
      </c>
      <c r="AF9" s="1">
        <f t="shared" si="4"/>
        <v>0</v>
      </c>
      <c r="AG9" s="1">
        <f t="shared" si="4"/>
        <v>0</v>
      </c>
      <c r="AH9" s="1">
        <f t="shared" si="4"/>
        <v>0</v>
      </c>
      <c r="AI9" s="1">
        <f t="shared" si="4"/>
        <v>0</v>
      </c>
      <c r="AJ9" s="1">
        <f t="shared" si="4"/>
        <v>0</v>
      </c>
      <c r="AK9" s="1">
        <f t="shared" si="4"/>
        <v>0</v>
      </c>
    </row>
    <row r="10" spans="1:256" ht="14.1" customHeight="1" x14ac:dyDescent="0.2">
      <c r="A10" s="16">
        <v>2</v>
      </c>
      <c r="B10" s="65"/>
      <c r="C10" s="118" t="str">
        <f>TRIM(ANUAL!C14)</f>
        <v>INV1</v>
      </c>
      <c r="D10" s="119" t="str">
        <f>TRIM(ANUAL!D14)</f>
        <v>POUPANÇA BANCO 1</v>
      </c>
      <c r="E10" s="120">
        <f t="shared" ref="E10:E20" ca="1" si="5">INDIRECT("M"&amp;B$2-1&amp;"!G"&amp;A10+ROW(A$8))</f>
        <v>0</v>
      </c>
      <c r="F10" s="120">
        <f t="shared" ca="1" si="0"/>
        <v>0</v>
      </c>
      <c r="G10" s="120">
        <f t="shared" ca="1" si="1"/>
        <v>0</v>
      </c>
      <c r="H10" s="62"/>
      <c r="J10" s="3" t="b">
        <f t="shared" si="2"/>
        <v>0</v>
      </c>
      <c r="K10" s="3" t="b">
        <f t="shared" si="2"/>
        <v>1</v>
      </c>
      <c r="L10" s="3" t="b">
        <f t="shared" si="2"/>
        <v>0</v>
      </c>
      <c r="N10" s="16">
        <v>2</v>
      </c>
      <c r="O10" s="65"/>
      <c r="P10" s="55"/>
      <c r="Q10" s="56"/>
      <c r="R10" s="57"/>
      <c r="S10" s="58"/>
      <c r="T10" s="59"/>
      <c r="U10" s="60"/>
      <c r="V10" s="62"/>
      <c r="X10" s="1">
        <f t="shared" ca="1" si="3"/>
        <v>1</v>
      </c>
      <c r="Z10" s="1">
        <f t="shared" si="4"/>
        <v>0</v>
      </c>
      <c r="AA10" s="1">
        <f t="shared" si="4"/>
        <v>0</v>
      </c>
      <c r="AB10" s="1">
        <f t="shared" si="4"/>
        <v>0</v>
      </c>
      <c r="AC10" s="1">
        <f t="shared" si="4"/>
        <v>0</v>
      </c>
      <c r="AD10" s="1">
        <f t="shared" si="4"/>
        <v>0</v>
      </c>
      <c r="AE10" s="1">
        <f t="shared" si="4"/>
        <v>0</v>
      </c>
      <c r="AF10" s="1">
        <f t="shared" si="4"/>
        <v>0</v>
      </c>
      <c r="AG10" s="1">
        <f t="shared" si="4"/>
        <v>0</v>
      </c>
      <c r="AH10" s="1">
        <f t="shared" si="4"/>
        <v>0</v>
      </c>
      <c r="AI10" s="1">
        <f t="shared" si="4"/>
        <v>0</v>
      </c>
      <c r="AJ10" s="1">
        <f t="shared" si="4"/>
        <v>0</v>
      </c>
      <c r="AK10" s="1">
        <f t="shared" si="4"/>
        <v>0</v>
      </c>
    </row>
    <row r="11" spans="1:256" ht="14.1" customHeight="1" x14ac:dyDescent="0.2">
      <c r="A11" s="12">
        <v>3</v>
      </c>
      <c r="B11" s="65"/>
      <c r="C11" s="115" t="str">
        <f>TRIM(ANUAL!C15)</f>
        <v>DINH1</v>
      </c>
      <c r="D11" s="116" t="str">
        <f>TRIM(ANUAL!D15)</f>
        <v>EM ESPÉCIE</v>
      </c>
      <c r="E11" s="117">
        <f t="shared" ca="1" si="5"/>
        <v>0</v>
      </c>
      <c r="F11" s="117">
        <f t="shared" ca="1" si="0"/>
        <v>0</v>
      </c>
      <c r="G11" s="117">
        <f t="shared" ca="1" si="1"/>
        <v>0</v>
      </c>
      <c r="H11" s="62"/>
      <c r="J11" s="3" t="b">
        <f t="shared" si="2"/>
        <v>0</v>
      </c>
      <c r="K11" s="3" t="b">
        <f t="shared" si="2"/>
        <v>0</v>
      </c>
      <c r="L11" s="3" t="b">
        <f t="shared" si="2"/>
        <v>1</v>
      </c>
      <c r="N11" s="12">
        <v>3</v>
      </c>
      <c r="O11" s="65"/>
      <c r="P11" s="49"/>
      <c r="Q11" s="50"/>
      <c r="R11" s="51"/>
      <c r="S11" s="52"/>
      <c r="T11" s="53"/>
      <c r="U11" s="54"/>
      <c r="V11" s="62"/>
      <c r="X11" s="1">
        <f t="shared" ca="1" si="3"/>
        <v>1</v>
      </c>
      <c r="Z11" s="1">
        <f t="shared" si="4"/>
        <v>0</v>
      </c>
      <c r="AA11" s="1">
        <f t="shared" si="4"/>
        <v>0</v>
      </c>
      <c r="AB11" s="1">
        <f t="shared" si="4"/>
        <v>0</v>
      </c>
      <c r="AC11" s="1">
        <f t="shared" si="4"/>
        <v>0</v>
      </c>
      <c r="AD11" s="1">
        <f t="shared" si="4"/>
        <v>0</v>
      </c>
      <c r="AE11" s="1">
        <f t="shared" si="4"/>
        <v>0</v>
      </c>
      <c r="AF11" s="1">
        <f t="shared" si="4"/>
        <v>0</v>
      </c>
      <c r="AG11" s="1">
        <f t="shared" si="4"/>
        <v>0</v>
      </c>
      <c r="AH11" s="1">
        <f t="shared" si="4"/>
        <v>0</v>
      </c>
      <c r="AI11" s="1">
        <f t="shared" si="4"/>
        <v>0</v>
      </c>
      <c r="AJ11" s="1">
        <f t="shared" si="4"/>
        <v>0</v>
      </c>
      <c r="AK11" s="1">
        <f t="shared" si="4"/>
        <v>0</v>
      </c>
    </row>
    <row r="12" spans="1:256" ht="14.1" customHeight="1" x14ac:dyDescent="0.2">
      <c r="A12" s="16">
        <v>4</v>
      </c>
      <c r="B12" s="65"/>
      <c r="C12" s="118" t="str">
        <f>TRIM(ANUAL!C16)</f>
        <v>CRED1</v>
      </c>
      <c r="D12" s="119" t="str">
        <f>TRIM(ANUAL!D16)</f>
        <v>CARTÃO DE CRÉDITO 1</v>
      </c>
      <c r="E12" s="120">
        <f t="shared" ca="1" si="5"/>
        <v>0</v>
      </c>
      <c r="F12" s="120">
        <f t="shared" ca="1" si="0"/>
        <v>0</v>
      </c>
      <c r="G12" s="120">
        <f t="shared" ca="1" si="1"/>
        <v>0</v>
      </c>
      <c r="H12" s="62"/>
      <c r="J12" s="3" t="b">
        <f t="shared" si="2"/>
        <v>0</v>
      </c>
      <c r="K12" s="3" t="b">
        <f t="shared" si="2"/>
        <v>0</v>
      </c>
      <c r="L12" s="3" t="b">
        <f t="shared" si="2"/>
        <v>0</v>
      </c>
      <c r="N12" s="16">
        <v>4</v>
      </c>
      <c r="O12" s="65"/>
      <c r="P12" s="55"/>
      <c r="Q12" s="56"/>
      <c r="R12" s="57"/>
      <c r="S12" s="58"/>
      <c r="T12" s="59"/>
      <c r="U12" s="60"/>
      <c r="V12" s="62"/>
      <c r="X12" s="1">
        <f t="shared" ca="1" si="3"/>
        <v>1</v>
      </c>
      <c r="Z12" s="1">
        <f t="shared" si="4"/>
        <v>0</v>
      </c>
      <c r="AA12" s="1">
        <f t="shared" si="4"/>
        <v>0</v>
      </c>
      <c r="AB12" s="1">
        <f t="shared" si="4"/>
        <v>0</v>
      </c>
      <c r="AC12" s="1">
        <f t="shared" si="4"/>
        <v>0</v>
      </c>
      <c r="AD12" s="1">
        <f t="shared" si="4"/>
        <v>0</v>
      </c>
      <c r="AE12" s="1">
        <f t="shared" si="4"/>
        <v>0</v>
      </c>
      <c r="AF12" s="1">
        <f t="shared" si="4"/>
        <v>0</v>
      </c>
      <c r="AG12" s="1">
        <f t="shared" si="4"/>
        <v>0</v>
      </c>
      <c r="AH12" s="1">
        <f t="shared" si="4"/>
        <v>0</v>
      </c>
      <c r="AI12" s="1">
        <f t="shared" si="4"/>
        <v>0</v>
      </c>
      <c r="AJ12" s="1">
        <f t="shared" si="4"/>
        <v>0</v>
      </c>
      <c r="AK12" s="1">
        <f t="shared" si="4"/>
        <v>0</v>
      </c>
    </row>
    <row r="13" spans="1:256" ht="14.1" customHeight="1" x14ac:dyDescent="0.2">
      <c r="A13" s="12">
        <v>5</v>
      </c>
      <c r="B13" s="65"/>
      <c r="C13" s="115" t="str">
        <f>TRIM(ANUAL!C17)</f>
        <v>---</v>
      </c>
      <c r="D13" s="116" t="str">
        <f>TRIM(ANUAL!D17)</f>
        <v/>
      </c>
      <c r="E13" s="117">
        <f t="shared" ca="1" si="5"/>
        <v>0</v>
      </c>
      <c r="F13" s="117">
        <f t="shared" ca="1" si="0"/>
        <v>0</v>
      </c>
      <c r="G13" s="117">
        <f t="shared" ca="1" si="1"/>
        <v>0</v>
      </c>
      <c r="H13" s="62"/>
      <c r="J13" s="3" t="b">
        <f t="shared" si="2"/>
        <v>0</v>
      </c>
      <c r="K13" s="3" t="b">
        <f t="shared" si="2"/>
        <v>0</v>
      </c>
      <c r="L13" s="3" t="b">
        <f t="shared" si="2"/>
        <v>0</v>
      </c>
      <c r="N13" s="12">
        <v>5</v>
      </c>
      <c r="O13" s="65"/>
      <c r="P13" s="49"/>
      <c r="Q13" s="50"/>
      <c r="R13" s="51"/>
      <c r="S13" s="52"/>
      <c r="T13" s="53"/>
      <c r="U13" s="54"/>
      <c r="V13" s="62"/>
      <c r="X13" s="1">
        <f t="shared" ca="1" si="3"/>
        <v>1</v>
      </c>
      <c r="Z13" s="1">
        <f t="shared" si="4"/>
        <v>0</v>
      </c>
      <c r="AA13" s="1">
        <f t="shared" si="4"/>
        <v>0</v>
      </c>
      <c r="AB13" s="1">
        <f t="shared" si="4"/>
        <v>0</v>
      </c>
      <c r="AC13" s="1">
        <f t="shared" si="4"/>
        <v>0</v>
      </c>
      <c r="AD13" s="1">
        <f t="shared" si="4"/>
        <v>0</v>
      </c>
      <c r="AE13" s="1">
        <f t="shared" si="4"/>
        <v>0</v>
      </c>
      <c r="AF13" s="1">
        <f t="shared" si="4"/>
        <v>0</v>
      </c>
      <c r="AG13" s="1">
        <f t="shared" si="4"/>
        <v>0</v>
      </c>
      <c r="AH13" s="1">
        <f t="shared" si="4"/>
        <v>0</v>
      </c>
      <c r="AI13" s="1">
        <f t="shared" si="4"/>
        <v>0</v>
      </c>
      <c r="AJ13" s="1">
        <f t="shared" si="4"/>
        <v>0</v>
      </c>
      <c r="AK13" s="1">
        <f t="shared" si="4"/>
        <v>0</v>
      </c>
    </row>
    <row r="14" spans="1:256" ht="14.1" customHeight="1" x14ac:dyDescent="0.2">
      <c r="A14" s="16">
        <v>6</v>
      </c>
      <c r="B14" s="65"/>
      <c r="C14" s="118" t="str">
        <f>TRIM(ANUAL!C18)</f>
        <v>---</v>
      </c>
      <c r="D14" s="119" t="str">
        <f>TRIM(ANUAL!D18)</f>
        <v/>
      </c>
      <c r="E14" s="120">
        <f t="shared" ca="1" si="5"/>
        <v>0</v>
      </c>
      <c r="F14" s="120">
        <f t="shared" ca="1" si="0"/>
        <v>0</v>
      </c>
      <c r="G14" s="120">
        <f t="shared" ca="1" si="1"/>
        <v>0</v>
      </c>
      <c r="H14" s="62"/>
      <c r="J14" s="3" t="b">
        <f t="shared" si="2"/>
        <v>0</v>
      </c>
      <c r="K14" s="3" t="b">
        <f t="shared" si="2"/>
        <v>0</v>
      </c>
      <c r="L14" s="3" t="b">
        <f t="shared" si="2"/>
        <v>0</v>
      </c>
      <c r="N14" s="16">
        <v>6</v>
      </c>
      <c r="O14" s="65"/>
      <c r="P14" s="55"/>
      <c r="Q14" s="56"/>
      <c r="R14" s="57"/>
      <c r="S14" s="58"/>
      <c r="T14" s="59"/>
      <c r="U14" s="60"/>
      <c r="V14" s="62"/>
      <c r="X14" s="1">
        <f t="shared" ca="1" si="3"/>
        <v>1</v>
      </c>
      <c r="Z14" s="1">
        <f t="shared" si="4"/>
        <v>0</v>
      </c>
      <c r="AA14" s="1">
        <f t="shared" si="4"/>
        <v>0</v>
      </c>
      <c r="AB14" s="1">
        <f t="shared" si="4"/>
        <v>0</v>
      </c>
      <c r="AC14" s="1">
        <f t="shared" si="4"/>
        <v>0</v>
      </c>
      <c r="AD14" s="1">
        <f t="shared" si="4"/>
        <v>0</v>
      </c>
      <c r="AE14" s="1">
        <f t="shared" si="4"/>
        <v>0</v>
      </c>
      <c r="AF14" s="1">
        <f t="shared" si="4"/>
        <v>0</v>
      </c>
      <c r="AG14" s="1">
        <f t="shared" si="4"/>
        <v>0</v>
      </c>
      <c r="AH14" s="1">
        <f t="shared" si="4"/>
        <v>0</v>
      </c>
      <c r="AI14" s="1">
        <f t="shared" si="4"/>
        <v>0</v>
      </c>
      <c r="AJ14" s="1">
        <f t="shared" si="4"/>
        <v>0</v>
      </c>
      <c r="AK14" s="1">
        <f t="shared" si="4"/>
        <v>0</v>
      </c>
    </row>
    <row r="15" spans="1:256" ht="14.1" customHeight="1" x14ac:dyDescent="0.2">
      <c r="A15" s="12">
        <v>7</v>
      </c>
      <c r="B15" s="65"/>
      <c r="C15" s="115" t="str">
        <f>TRIM(ANUAL!C19)</f>
        <v>---</v>
      </c>
      <c r="D15" s="116" t="str">
        <f>TRIM(ANUAL!D19)</f>
        <v/>
      </c>
      <c r="E15" s="117">
        <f t="shared" ca="1" si="5"/>
        <v>0</v>
      </c>
      <c r="F15" s="117">
        <f t="shared" ca="1" si="0"/>
        <v>0</v>
      </c>
      <c r="G15" s="117">
        <f t="shared" ca="1" si="1"/>
        <v>0</v>
      </c>
      <c r="H15" s="62"/>
      <c r="J15" s="3" t="b">
        <f t="shared" si="2"/>
        <v>0</v>
      </c>
      <c r="K15" s="3" t="b">
        <f t="shared" si="2"/>
        <v>0</v>
      </c>
      <c r="L15" s="3" t="b">
        <f t="shared" si="2"/>
        <v>0</v>
      </c>
      <c r="N15" s="12">
        <v>7</v>
      </c>
      <c r="O15" s="65"/>
      <c r="P15" s="49"/>
      <c r="Q15" s="50"/>
      <c r="R15" s="51"/>
      <c r="S15" s="52"/>
      <c r="T15" s="53"/>
      <c r="U15" s="54"/>
      <c r="V15" s="62"/>
      <c r="X15" s="1">
        <f t="shared" ca="1" si="3"/>
        <v>1</v>
      </c>
      <c r="Z15" s="1">
        <f t="shared" si="4"/>
        <v>0</v>
      </c>
      <c r="AA15" s="1">
        <f t="shared" si="4"/>
        <v>0</v>
      </c>
      <c r="AB15" s="1">
        <f t="shared" si="4"/>
        <v>0</v>
      </c>
      <c r="AC15" s="1">
        <f t="shared" si="4"/>
        <v>0</v>
      </c>
      <c r="AD15" s="1">
        <f t="shared" si="4"/>
        <v>0</v>
      </c>
      <c r="AE15" s="1">
        <f t="shared" si="4"/>
        <v>0</v>
      </c>
      <c r="AF15" s="1">
        <f t="shared" si="4"/>
        <v>0</v>
      </c>
      <c r="AG15" s="1">
        <f t="shared" si="4"/>
        <v>0</v>
      </c>
      <c r="AH15" s="1">
        <f t="shared" si="4"/>
        <v>0</v>
      </c>
      <c r="AI15" s="1">
        <f t="shared" si="4"/>
        <v>0</v>
      </c>
      <c r="AJ15" s="1">
        <f t="shared" si="4"/>
        <v>0</v>
      </c>
      <c r="AK15" s="1">
        <f t="shared" si="4"/>
        <v>0</v>
      </c>
    </row>
    <row r="16" spans="1:256" ht="14.1" customHeight="1" x14ac:dyDescent="0.2">
      <c r="A16" s="16">
        <v>8</v>
      </c>
      <c r="B16" s="65"/>
      <c r="C16" s="118" t="str">
        <f>TRIM(ANUAL!C20)</f>
        <v>---</v>
      </c>
      <c r="D16" s="119" t="str">
        <f>TRIM(ANUAL!D20)</f>
        <v/>
      </c>
      <c r="E16" s="120">
        <f t="shared" ca="1" si="5"/>
        <v>0</v>
      </c>
      <c r="F16" s="120">
        <f t="shared" ca="1" si="0"/>
        <v>0</v>
      </c>
      <c r="G16" s="120">
        <f t="shared" ca="1" si="1"/>
        <v>0</v>
      </c>
      <c r="H16" s="62"/>
      <c r="J16" s="3" t="b">
        <f t="shared" si="2"/>
        <v>0</v>
      </c>
      <c r="K16" s="3" t="b">
        <f t="shared" si="2"/>
        <v>0</v>
      </c>
      <c r="L16" s="3" t="b">
        <f t="shared" si="2"/>
        <v>0</v>
      </c>
      <c r="N16" s="16">
        <v>8</v>
      </c>
      <c r="O16" s="65"/>
      <c r="P16" s="55"/>
      <c r="Q16" s="56"/>
      <c r="R16" s="57"/>
      <c r="S16" s="58"/>
      <c r="T16" s="59"/>
      <c r="U16" s="60"/>
      <c r="V16" s="62"/>
      <c r="X16" s="1">
        <f t="shared" ca="1" si="3"/>
        <v>1</v>
      </c>
      <c r="Z16" s="1">
        <f t="shared" si="4"/>
        <v>0</v>
      </c>
      <c r="AA16" s="1">
        <f t="shared" si="4"/>
        <v>0</v>
      </c>
      <c r="AB16" s="1">
        <f t="shared" si="4"/>
        <v>0</v>
      </c>
      <c r="AC16" s="1">
        <f t="shared" si="4"/>
        <v>0</v>
      </c>
      <c r="AD16" s="1">
        <f t="shared" si="4"/>
        <v>0</v>
      </c>
      <c r="AE16" s="1">
        <f t="shared" si="4"/>
        <v>0</v>
      </c>
      <c r="AF16" s="1">
        <f t="shared" si="4"/>
        <v>0</v>
      </c>
      <c r="AG16" s="1">
        <f t="shared" si="4"/>
        <v>0</v>
      </c>
      <c r="AH16" s="1">
        <f t="shared" si="4"/>
        <v>0</v>
      </c>
      <c r="AI16" s="1">
        <f t="shared" si="4"/>
        <v>0</v>
      </c>
      <c r="AJ16" s="1">
        <f t="shared" si="4"/>
        <v>0</v>
      </c>
      <c r="AK16" s="1">
        <f t="shared" si="4"/>
        <v>0</v>
      </c>
    </row>
    <row r="17" spans="1:37" ht="14.1" customHeight="1" x14ac:dyDescent="0.2">
      <c r="A17" s="12">
        <v>9</v>
      </c>
      <c r="B17" s="65"/>
      <c r="C17" s="115" t="str">
        <f>TRIM(ANUAL!C21)</f>
        <v>---</v>
      </c>
      <c r="D17" s="116" t="str">
        <f>TRIM(ANUAL!D21)</f>
        <v/>
      </c>
      <c r="E17" s="117">
        <f t="shared" ca="1" si="5"/>
        <v>0</v>
      </c>
      <c r="F17" s="117">
        <f t="shared" ca="1" si="0"/>
        <v>0</v>
      </c>
      <c r="G17" s="117">
        <f t="shared" ca="1" si="1"/>
        <v>0</v>
      </c>
      <c r="H17" s="62"/>
      <c r="J17" s="3" t="b">
        <f t="shared" si="2"/>
        <v>0</v>
      </c>
      <c r="K17" s="3" t="b">
        <f t="shared" si="2"/>
        <v>0</v>
      </c>
      <c r="L17" s="3" t="b">
        <f t="shared" si="2"/>
        <v>0</v>
      </c>
      <c r="N17" s="12">
        <v>9</v>
      </c>
      <c r="O17" s="65"/>
      <c r="P17" s="49"/>
      <c r="Q17" s="50"/>
      <c r="R17" s="51"/>
      <c r="S17" s="52"/>
      <c r="T17" s="53"/>
      <c r="U17" s="54"/>
      <c r="V17" s="62"/>
      <c r="X17" s="1">
        <f t="shared" ca="1" si="3"/>
        <v>1</v>
      </c>
      <c r="Z17" s="1">
        <f t="shared" si="4"/>
        <v>0</v>
      </c>
      <c r="AA17" s="1">
        <f t="shared" si="4"/>
        <v>0</v>
      </c>
      <c r="AB17" s="1">
        <f t="shared" si="4"/>
        <v>0</v>
      </c>
      <c r="AC17" s="1">
        <f t="shared" si="4"/>
        <v>0</v>
      </c>
      <c r="AD17" s="1">
        <f t="shared" si="4"/>
        <v>0</v>
      </c>
      <c r="AE17" s="1">
        <f t="shared" si="4"/>
        <v>0</v>
      </c>
      <c r="AF17" s="1">
        <f t="shared" si="4"/>
        <v>0</v>
      </c>
      <c r="AG17" s="1">
        <f t="shared" si="4"/>
        <v>0</v>
      </c>
      <c r="AH17" s="1">
        <f t="shared" si="4"/>
        <v>0</v>
      </c>
      <c r="AI17" s="1">
        <f t="shared" si="4"/>
        <v>0</v>
      </c>
      <c r="AJ17" s="1">
        <f t="shared" si="4"/>
        <v>0</v>
      </c>
      <c r="AK17" s="1">
        <f t="shared" si="4"/>
        <v>0</v>
      </c>
    </row>
    <row r="18" spans="1:37" ht="14.1" customHeight="1" x14ac:dyDescent="0.2">
      <c r="A18" s="16">
        <v>10</v>
      </c>
      <c r="B18" s="65"/>
      <c r="C18" s="118" t="str">
        <f>TRIM(ANUAL!C22)</f>
        <v>---</v>
      </c>
      <c r="D18" s="119" t="str">
        <f>TRIM(ANUAL!D22)</f>
        <v/>
      </c>
      <c r="E18" s="120">
        <f t="shared" ca="1" si="5"/>
        <v>0</v>
      </c>
      <c r="F18" s="120">
        <f t="shared" ca="1" si="0"/>
        <v>0</v>
      </c>
      <c r="G18" s="120">
        <f t="shared" ca="1" si="1"/>
        <v>0</v>
      </c>
      <c r="H18" s="62"/>
      <c r="J18" s="3" t="b">
        <f t="shared" si="2"/>
        <v>0</v>
      </c>
      <c r="K18" s="3" t="b">
        <f t="shared" si="2"/>
        <v>0</v>
      </c>
      <c r="L18" s="3" t="b">
        <f t="shared" si="2"/>
        <v>0</v>
      </c>
      <c r="N18" s="16">
        <v>10</v>
      </c>
      <c r="O18" s="65"/>
      <c r="P18" s="55"/>
      <c r="Q18" s="56"/>
      <c r="R18" s="57"/>
      <c r="S18" s="58"/>
      <c r="T18" s="59"/>
      <c r="U18" s="60"/>
      <c r="V18" s="62"/>
      <c r="X18" s="1">
        <f t="shared" ca="1" si="3"/>
        <v>1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C18" s="1">
        <f t="shared" si="4"/>
        <v>0</v>
      </c>
      <c r="AD18" s="1">
        <f t="shared" si="4"/>
        <v>0</v>
      </c>
      <c r="AE18" s="1">
        <f t="shared" si="4"/>
        <v>0</v>
      </c>
      <c r="AF18" s="1">
        <f t="shared" si="4"/>
        <v>0</v>
      </c>
      <c r="AG18" s="1">
        <f t="shared" si="4"/>
        <v>0</v>
      </c>
      <c r="AH18" s="1">
        <f t="shared" si="4"/>
        <v>0</v>
      </c>
      <c r="AI18" s="1">
        <f t="shared" si="4"/>
        <v>0</v>
      </c>
      <c r="AJ18" s="1">
        <f t="shared" si="4"/>
        <v>0</v>
      </c>
      <c r="AK18" s="1">
        <f t="shared" si="4"/>
        <v>0</v>
      </c>
    </row>
    <row r="19" spans="1:37" ht="14.1" customHeight="1" x14ac:dyDescent="0.2">
      <c r="A19" s="12">
        <v>11</v>
      </c>
      <c r="B19" s="65"/>
      <c r="C19" s="115" t="str">
        <f>TRIM(ANUAL!C23)</f>
        <v>---</v>
      </c>
      <c r="D19" s="116" t="str">
        <f>TRIM(ANUAL!D23)</f>
        <v/>
      </c>
      <c r="E19" s="117">
        <f t="shared" ca="1" si="5"/>
        <v>0</v>
      </c>
      <c r="F19" s="117">
        <f t="shared" ca="1" si="0"/>
        <v>0</v>
      </c>
      <c r="G19" s="117">
        <f t="shared" ca="1" si="1"/>
        <v>0</v>
      </c>
      <c r="H19" s="62"/>
      <c r="J19" s="3" t="b">
        <f t="shared" si="2"/>
        <v>0</v>
      </c>
      <c r="K19" s="3" t="b">
        <f t="shared" si="2"/>
        <v>0</v>
      </c>
      <c r="L19" s="3" t="b">
        <f t="shared" si="2"/>
        <v>0</v>
      </c>
      <c r="N19" s="12">
        <v>11</v>
      </c>
      <c r="O19" s="65"/>
      <c r="P19" s="49"/>
      <c r="Q19" s="50"/>
      <c r="R19" s="51"/>
      <c r="S19" s="52"/>
      <c r="T19" s="53"/>
      <c r="U19" s="54"/>
      <c r="V19" s="62"/>
      <c r="X19" s="1">
        <f t="shared" ca="1" si="3"/>
        <v>1</v>
      </c>
      <c r="Z19" s="1">
        <f t="shared" ref="Z19:AK28" si="6">IF(Z$8=$R19,-$T19,0)+IF(Z$8=$S19,$T19,0)</f>
        <v>0</v>
      </c>
      <c r="AA19" s="1">
        <f t="shared" si="6"/>
        <v>0</v>
      </c>
      <c r="AB19" s="1">
        <f t="shared" si="6"/>
        <v>0</v>
      </c>
      <c r="AC19" s="1">
        <f t="shared" si="6"/>
        <v>0</v>
      </c>
      <c r="AD19" s="1">
        <f t="shared" si="6"/>
        <v>0</v>
      </c>
      <c r="AE19" s="1">
        <f t="shared" si="6"/>
        <v>0</v>
      </c>
      <c r="AF19" s="1">
        <f t="shared" si="6"/>
        <v>0</v>
      </c>
      <c r="AG19" s="1">
        <f t="shared" si="6"/>
        <v>0</v>
      </c>
      <c r="AH19" s="1">
        <f t="shared" si="6"/>
        <v>0</v>
      </c>
      <c r="AI19" s="1">
        <f t="shared" si="6"/>
        <v>0</v>
      </c>
      <c r="AJ19" s="1">
        <f t="shared" si="6"/>
        <v>0</v>
      </c>
      <c r="AK19" s="1">
        <f t="shared" si="6"/>
        <v>0</v>
      </c>
    </row>
    <row r="20" spans="1:37" ht="14.1" customHeight="1" x14ac:dyDescent="0.2">
      <c r="A20" s="16">
        <v>12</v>
      </c>
      <c r="B20" s="65"/>
      <c r="C20" s="121" t="str">
        <f>TRIM(ANUAL!C24)</f>
        <v>---</v>
      </c>
      <c r="D20" s="122" t="str">
        <f>TRIM(ANUAL!D24)</f>
        <v/>
      </c>
      <c r="E20" s="123">
        <f t="shared" ca="1" si="5"/>
        <v>0</v>
      </c>
      <c r="F20" s="123">
        <f t="shared" ca="1" si="0"/>
        <v>0</v>
      </c>
      <c r="G20" s="123">
        <f t="shared" ca="1" si="1"/>
        <v>0</v>
      </c>
      <c r="H20" s="62"/>
      <c r="J20" s="3" t="b">
        <f t="shared" si="2"/>
        <v>0</v>
      </c>
      <c r="K20" s="3" t="b">
        <f t="shared" si="2"/>
        <v>0</v>
      </c>
      <c r="L20" s="3" t="b">
        <f t="shared" si="2"/>
        <v>0</v>
      </c>
      <c r="N20" s="16">
        <v>12</v>
      </c>
      <c r="O20" s="65"/>
      <c r="P20" s="55"/>
      <c r="Q20" s="56"/>
      <c r="R20" s="57"/>
      <c r="S20" s="58"/>
      <c r="T20" s="59"/>
      <c r="U20" s="60"/>
      <c r="V20" s="62"/>
      <c r="X20" s="1">
        <f t="shared" ca="1" si="3"/>
        <v>1</v>
      </c>
      <c r="Z20" s="1">
        <f t="shared" si="6"/>
        <v>0</v>
      </c>
      <c r="AA20" s="1">
        <f t="shared" si="6"/>
        <v>0</v>
      </c>
      <c r="AB20" s="1">
        <f t="shared" si="6"/>
        <v>0</v>
      </c>
      <c r="AC20" s="1">
        <f t="shared" si="6"/>
        <v>0</v>
      </c>
      <c r="AD20" s="1">
        <f t="shared" si="6"/>
        <v>0</v>
      </c>
      <c r="AE20" s="1">
        <f t="shared" si="6"/>
        <v>0</v>
      </c>
      <c r="AF20" s="1">
        <f t="shared" si="6"/>
        <v>0</v>
      </c>
      <c r="AG20" s="1">
        <f t="shared" si="6"/>
        <v>0</v>
      </c>
      <c r="AH20" s="1">
        <f t="shared" si="6"/>
        <v>0</v>
      </c>
      <c r="AI20" s="1">
        <f t="shared" si="6"/>
        <v>0</v>
      </c>
      <c r="AJ20" s="1">
        <f t="shared" si="6"/>
        <v>0</v>
      </c>
      <c r="AK20" s="1">
        <f t="shared" si="6"/>
        <v>0</v>
      </c>
    </row>
    <row r="21" spans="1:37" ht="14.1" customHeight="1" x14ac:dyDescent="0.2">
      <c r="B21" s="128"/>
      <c r="C21" s="129"/>
      <c r="D21" s="130"/>
      <c r="E21" s="130"/>
      <c r="F21" s="130"/>
      <c r="G21" s="130"/>
      <c r="H21" s="131"/>
      <c r="N21" s="12">
        <v>13</v>
      </c>
      <c r="O21" s="65"/>
      <c r="P21" s="49"/>
      <c r="Q21" s="50"/>
      <c r="R21" s="51"/>
      <c r="S21" s="52"/>
      <c r="T21" s="53"/>
      <c r="U21" s="54"/>
      <c r="V21" s="62"/>
      <c r="X21" s="1">
        <f t="shared" ca="1" si="3"/>
        <v>1</v>
      </c>
      <c r="Z21" s="1">
        <f t="shared" si="6"/>
        <v>0</v>
      </c>
      <c r="AA21" s="1">
        <f t="shared" si="6"/>
        <v>0</v>
      </c>
      <c r="AB21" s="1">
        <f t="shared" si="6"/>
        <v>0</v>
      </c>
      <c r="AC21" s="1">
        <f t="shared" si="6"/>
        <v>0</v>
      </c>
      <c r="AD21" s="1">
        <f t="shared" si="6"/>
        <v>0</v>
      </c>
      <c r="AE21" s="1">
        <f t="shared" si="6"/>
        <v>0</v>
      </c>
      <c r="AF21" s="1">
        <f t="shared" si="6"/>
        <v>0</v>
      </c>
      <c r="AG21" s="1">
        <f t="shared" si="6"/>
        <v>0</v>
      </c>
      <c r="AH21" s="1">
        <f t="shared" si="6"/>
        <v>0</v>
      </c>
      <c r="AI21" s="1">
        <f t="shared" si="6"/>
        <v>0</v>
      </c>
      <c r="AJ21" s="1">
        <f t="shared" si="6"/>
        <v>0</v>
      </c>
      <c r="AK21" s="1">
        <f t="shared" si="6"/>
        <v>0</v>
      </c>
    </row>
    <row r="22" spans="1:37" ht="14.1" customHeight="1" x14ac:dyDescent="0.2">
      <c r="J22" s="29"/>
      <c r="K22" s="29"/>
      <c r="L22" s="29"/>
      <c r="N22" s="16">
        <v>14</v>
      </c>
      <c r="O22" s="65"/>
      <c r="P22" s="55"/>
      <c r="Q22" s="56"/>
      <c r="R22" s="57"/>
      <c r="S22" s="58"/>
      <c r="T22" s="59"/>
      <c r="U22" s="60"/>
      <c r="V22" s="62"/>
      <c r="X22" s="1">
        <f t="shared" ca="1" si="3"/>
        <v>1</v>
      </c>
      <c r="Z22" s="1">
        <f t="shared" si="6"/>
        <v>0</v>
      </c>
      <c r="AA22" s="1">
        <f t="shared" si="6"/>
        <v>0</v>
      </c>
      <c r="AB22" s="1">
        <f t="shared" si="6"/>
        <v>0</v>
      </c>
      <c r="AC22" s="1">
        <f t="shared" si="6"/>
        <v>0</v>
      </c>
      <c r="AD22" s="1">
        <f t="shared" si="6"/>
        <v>0</v>
      </c>
      <c r="AE22" s="1">
        <f t="shared" si="6"/>
        <v>0</v>
      </c>
      <c r="AF22" s="1">
        <f t="shared" si="6"/>
        <v>0</v>
      </c>
      <c r="AG22" s="1">
        <f t="shared" si="6"/>
        <v>0</v>
      </c>
      <c r="AH22" s="1">
        <f t="shared" si="6"/>
        <v>0</v>
      </c>
      <c r="AI22" s="1">
        <f t="shared" si="6"/>
        <v>0</v>
      </c>
      <c r="AJ22" s="1">
        <f t="shared" si="6"/>
        <v>0</v>
      </c>
      <c r="AK22" s="1">
        <f t="shared" si="6"/>
        <v>0</v>
      </c>
    </row>
    <row r="23" spans="1:37" ht="14.1" customHeight="1" x14ac:dyDescent="0.2">
      <c r="B23" s="77"/>
      <c r="C23" s="78"/>
      <c r="D23" s="79"/>
      <c r="E23" s="79"/>
      <c r="F23" s="79"/>
      <c r="G23" s="79"/>
      <c r="H23" s="80"/>
      <c r="I23" s="3"/>
      <c r="J23" s="3"/>
      <c r="K23" s="3"/>
      <c r="L23" s="3"/>
      <c r="M23" s="3"/>
      <c r="N23" s="12">
        <v>15</v>
      </c>
      <c r="O23" s="65"/>
      <c r="P23" s="49"/>
      <c r="Q23" s="50"/>
      <c r="R23" s="51"/>
      <c r="S23" s="52"/>
      <c r="T23" s="53"/>
      <c r="U23" s="54"/>
      <c r="V23" s="62"/>
      <c r="X23" s="1">
        <f t="shared" ca="1" si="3"/>
        <v>1</v>
      </c>
      <c r="Z23" s="1">
        <f t="shared" si="6"/>
        <v>0</v>
      </c>
      <c r="AA23" s="1">
        <f t="shared" si="6"/>
        <v>0</v>
      </c>
      <c r="AB23" s="1">
        <f t="shared" si="6"/>
        <v>0</v>
      </c>
      <c r="AC23" s="1">
        <f t="shared" si="6"/>
        <v>0</v>
      </c>
      <c r="AD23" s="1">
        <f t="shared" si="6"/>
        <v>0</v>
      </c>
      <c r="AE23" s="1">
        <f t="shared" si="6"/>
        <v>0</v>
      </c>
      <c r="AF23" s="1">
        <f t="shared" si="6"/>
        <v>0</v>
      </c>
      <c r="AG23" s="1">
        <f t="shared" si="6"/>
        <v>0</v>
      </c>
      <c r="AH23" s="1">
        <f t="shared" si="6"/>
        <v>0</v>
      </c>
      <c r="AI23" s="1">
        <f t="shared" si="6"/>
        <v>0</v>
      </c>
      <c r="AJ23" s="1">
        <f t="shared" si="6"/>
        <v>0</v>
      </c>
      <c r="AK23" s="1">
        <f t="shared" si="6"/>
        <v>0</v>
      </c>
    </row>
    <row r="24" spans="1:37" ht="14.1" customHeight="1" x14ac:dyDescent="0.2">
      <c r="B24" s="81"/>
      <c r="C24" s="285" t="s">
        <v>103</v>
      </c>
      <c r="D24" s="285"/>
      <c r="E24" s="285"/>
      <c r="F24" s="285"/>
      <c r="G24" s="285"/>
      <c r="H24" s="82"/>
      <c r="I24" s="3"/>
      <c r="J24" s="3"/>
      <c r="K24" s="3"/>
      <c r="L24" s="3"/>
      <c r="M24" s="3"/>
      <c r="N24" s="16">
        <v>16</v>
      </c>
      <c r="O24" s="65"/>
      <c r="P24" s="55"/>
      <c r="Q24" s="56"/>
      <c r="R24" s="57"/>
      <c r="S24" s="58"/>
      <c r="T24" s="59"/>
      <c r="U24" s="60"/>
      <c r="V24" s="62"/>
      <c r="X24" s="1">
        <f t="shared" ca="1" si="3"/>
        <v>1</v>
      </c>
      <c r="Z24" s="1">
        <f t="shared" si="6"/>
        <v>0</v>
      </c>
      <c r="AA24" s="1">
        <f t="shared" si="6"/>
        <v>0</v>
      </c>
      <c r="AB24" s="1">
        <f t="shared" si="6"/>
        <v>0</v>
      </c>
      <c r="AC24" s="1">
        <f t="shared" si="6"/>
        <v>0</v>
      </c>
      <c r="AD24" s="1">
        <f t="shared" si="6"/>
        <v>0</v>
      </c>
      <c r="AE24" s="1">
        <f t="shared" si="6"/>
        <v>0</v>
      </c>
      <c r="AF24" s="1">
        <f t="shared" si="6"/>
        <v>0</v>
      </c>
      <c r="AG24" s="1">
        <f t="shared" si="6"/>
        <v>0</v>
      </c>
      <c r="AH24" s="1">
        <f t="shared" si="6"/>
        <v>0</v>
      </c>
      <c r="AI24" s="1">
        <f t="shared" si="6"/>
        <v>0</v>
      </c>
      <c r="AJ24" s="1">
        <f t="shared" si="6"/>
        <v>0</v>
      </c>
      <c r="AK24" s="1">
        <f t="shared" si="6"/>
        <v>0</v>
      </c>
    </row>
    <row r="25" spans="1:37" ht="14.1" customHeight="1" x14ac:dyDescent="0.2">
      <c r="B25" s="81"/>
      <c r="C25" s="285"/>
      <c r="D25" s="285"/>
      <c r="E25" s="285"/>
      <c r="F25" s="285"/>
      <c r="G25" s="285"/>
      <c r="H25" s="82"/>
      <c r="I25" s="3"/>
      <c r="J25" s="3"/>
      <c r="K25" s="3"/>
      <c r="L25" s="3"/>
      <c r="M25" s="3"/>
      <c r="N25" s="12">
        <v>17</v>
      </c>
      <c r="O25" s="65"/>
      <c r="P25" s="49"/>
      <c r="Q25" s="50"/>
      <c r="R25" s="51"/>
      <c r="S25" s="52"/>
      <c r="T25" s="53"/>
      <c r="U25" s="54"/>
      <c r="V25" s="62"/>
      <c r="X25" s="1">
        <f t="shared" ca="1" si="3"/>
        <v>1</v>
      </c>
      <c r="Z25" s="1">
        <f t="shared" si="6"/>
        <v>0</v>
      </c>
      <c r="AA25" s="1">
        <f t="shared" si="6"/>
        <v>0</v>
      </c>
      <c r="AB25" s="1">
        <f t="shared" si="6"/>
        <v>0</v>
      </c>
      <c r="AC25" s="1">
        <f t="shared" si="6"/>
        <v>0</v>
      </c>
      <c r="AD25" s="1">
        <f t="shared" si="6"/>
        <v>0</v>
      </c>
      <c r="AE25" s="1">
        <f t="shared" si="6"/>
        <v>0</v>
      </c>
      <c r="AF25" s="1">
        <f t="shared" si="6"/>
        <v>0</v>
      </c>
      <c r="AG25" s="1">
        <f t="shared" si="6"/>
        <v>0</v>
      </c>
      <c r="AH25" s="1">
        <f t="shared" si="6"/>
        <v>0</v>
      </c>
      <c r="AI25" s="1">
        <f t="shared" si="6"/>
        <v>0</v>
      </c>
      <c r="AJ25" s="1">
        <f t="shared" si="6"/>
        <v>0</v>
      </c>
      <c r="AK25" s="1">
        <f t="shared" si="6"/>
        <v>0</v>
      </c>
    </row>
    <row r="26" spans="1:37" ht="14.1" customHeight="1" x14ac:dyDescent="0.2">
      <c r="B26" s="46"/>
      <c r="C26" s="271" t="s">
        <v>94</v>
      </c>
      <c r="D26" s="273" t="s">
        <v>5</v>
      </c>
      <c r="E26" s="275" t="s">
        <v>104</v>
      </c>
      <c r="F26" s="275" t="s">
        <v>89</v>
      </c>
      <c r="G26" s="276" t="s">
        <v>6</v>
      </c>
      <c r="H26" s="82"/>
      <c r="I26" s="3"/>
      <c r="J26" s="3"/>
      <c r="K26" s="3"/>
      <c r="L26" s="3"/>
      <c r="M26" s="3"/>
      <c r="N26" s="16">
        <v>18</v>
      </c>
      <c r="O26" s="65"/>
      <c r="P26" s="55"/>
      <c r="Q26" s="56"/>
      <c r="R26" s="57"/>
      <c r="S26" s="58"/>
      <c r="T26" s="59"/>
      <c r="U26" s="60"/>
      <c r="V26" s="62"/>
      <c r="X26" s="1">
        <f t="shared" ca="1" si="3"/>
        <v>1</v>
      </c>
      <c r="Z26" s="1">
        <f t="shared" si="6"/>
        <v>0</v>
      </c>
      <c r="AA26" s="1">
        <f t="shared" si="6"/>
        <v>0</v>
      </c>
      <c r="AB26" s="1">
        <f t="shared" si="6"/>
        <v>0</v>
      </c>
      <c r="AC26" s="1">
        <f t="shared" si="6"/>
        <v>0</v>
      </c>
      <c r="AD26" s="1">
        <f t="shared" si="6"/>
        <v>0</v>
      </c>
      <c r="AE26" s="1">
        <f t="shared" si="6"/>
        <v>0</v>
      </c>
      <c r="AF26" s="1">
        <f t="shared" si="6"/>
        <v>0</v>
      </c>
      <c r="AG26" s="1">
        <f t="shared" si="6"/>
        <v>0</v>
      </c>
      <c r="AH26" s="1">
        <f t="shared" si="6"/>
        <v>0</v>
      </c>
      <c r="AI26" s="1">
        <f t="shared" si="6"/>
        <v>0</v>
      </c>
      <c r="AJ26" s="1">
        <f t="shared" si="6"/>
        <v>0</v>
      </c>
      <c r="AK26" s="1">
        <f t="shared" si="6"/>
        <v>0</v>
      </c>
    </row>
    <row r="27" spans="1:37" ht="14.1" customHeight="1" x14ac:dyDescent="0.2">
      <c r="A27" s="3"/>
      <c r="B27" s="44"/>
      <c r="C27" s="272"/>
      <c r="D27" s="274"/>
      <c r="E27" s="99" t="s">
        <v>87</v>
      </c>
      <c r="F27" s="100" t="s">
        <v>89</v>
      </c>
      <c r="G27" s="98" t="s">
        <v>105</v>
      </c>
      <c r="H27" s="83"/>
      <c r="I27" s="3"/>
      <c r="J27" s="3" t="str">
        <f>ANUAL!C115</f>
        <v>CC</v>
      </c>
      <c r="K27" s="3" t="str">
        <f>ANUAL!C116</f>
        <v>INV</v>
      </c>
      <c r="L27" s="3" t="str">
        <f>ANUAL!C117</f>
        <v>DINH</v>
      </c>
      <c r="M27" s="3"/>
      <c r="N27" s="12">
        <v>19</v>
      </c>
      <c r="O27" s="65"/>
      <c r="P27" s="49"/>
      <c r="Q27" s="50"/>
      <c r="R27" s="51"/>
      <c r="S27" s="52"/>
      <c r="T27" s="53"/>
      <c r="U27" s="54"/>
      <c r="V27" s="62"/>
      <c r="X27" s="1">
        <f t="shared" ca="1" si="3"/>
        <v>1</v>
      </c>
      <c r="Z27" s="1">
        <f t="shared" si="6"/>
        <v>0</v>
      </c>
      <c r="AA27" s="1">
        <f t="shared" si="6"/>
        <v>0</v>
      </c>
      <c r="AB27" s="1">
        <f t="shared" si="6"/>
        <v>0</v>
      </c>
      <c r="AC27" s="1">
        <f t="shared" si="6"/>
        <v>0</v>
      </c>
      <c r="AD27" s="1">
        <f t="shared" si="6"/>
        <v>0</v>
      </c>
      <c r="AE27" s="1">
        <f t="shared" si="6"/>
        <v>0</v>
      </c>
      <c r="AF27" s="1">
        <f t="shared" si="6"/>
        <v>0</v>
      </c>
      <c r="AG27" s="1">
        <f t="shared" si="6"/>
        <v>0</v>
      </c>
      <c r="AH27" s="1">
        <f t="shared" si="6"/>
        <v>0</v>
      </c>
      <c r="AI27" s="1">
        <f t="shared" si="6"/>
        <v>0</v>
      </c>
      <c r="AJ27" s="1">
        <f t="shared" si="6"/>
        <v>0</v>
      </c>
      <c r="AK27" s="1">
        <f t="shared" si="6"/>
        <v>0</v>
      </c>
    </row>
    <row r="28" spans="1:37" ht="14.1" customHeight="1" x14ac:dyDescent="0.2">
      <c r="A28" s="12">
        <v>1</v>
      </c>
      <c r="B28" s="64"/>
      <c r="C28" s="115" t="str">
        <f t="shared" ref="C28:D39" si="7">C9</f>
        <v/>
      </c>
      <c r="D28" s="116" t="str">
        <f t="shared" si="7"/>
        <v>CONTA CORRENTE BANCO 1</v>
      </c>
      <c r="E28" s="117">
        <f t="shared" ref="E28:E39" ca="1" si="8">SUMIF(OFFSET($Z$9:$Z$88,0,A28-1),"&gt;0")</f>
        <v>0</v>
      </c>
      <c r="F28" s="117">
        <f t="shared" ref="F28:F39" ca="1" si="9">SUMIF(OFFSET($Z$9:$Z$88,0,A28-1),"&lt;0")</f>
        <v>0</v>
      </c>
      <c r="G28" s="117">
        <f t="shared" ref="G28:G39" ca="1" si="10">SUM(E28:F28)</f>
        <v>0</v>
      </c>
      <c r="H28" s="61"/>
      <c r="I28" s="3"/>
      <c r="J28" s="3" t="b">
        <f t="shared" ref="J28:L39" si="11">NOT(ISERR(SEARCH(J$27,$C28)))</f>
        <v>0</v>
      </c>
      <c r="K28" s="3" t="b">
        <f t="shared" si="11"/>
        <v>0</v>
      </c>
      <c r="L28" s="3" t="b">
        <f t="shared" si="11"/>
        <v>0</v>
      </c>
      <c r="M28" s="3"/>
      <c r="N28" s="16">
        <v>20</v>
      </c>
      <c r="O28" s="65"/>
      <c r="P28" s="55"/>
      <c r="Q28" s="56"/>
      <c r="R28" s="57"/>
      <c r="S28" s="58"/>
      <c r="T28" s="59"/>
      <c r="U28" s="60"/>
      <c r="V28" s="62"/>
      <c r="X28" s="1">
        <f t="shared" ca="1" si="3"/>
        <v>1</v>
      </c>
      <c r="Z28" s="1">
        <f t="shared" si="6"/>
        <v>0</v>
      </c>
      <c r="AA28" s="1">
        <f t="shared" si="6"/>
        <v>0</v>
      </c>
      <c r="AB28" s="1">
        <f t="shared" si="6"/>
        <v>0</v>
      </c>
      <c r="AC28" s="1">
        <f t="shared" si="6"/>
        <v>0</v>
      </c>
      <c r="AD28" s="1">
        <f t="shared" si="6"/>
        <v>0</v>
      </c>
      <c r="AE28" s="1">
        <f t="shared" si="6"/>
        <v>0</v>
      </c>
      <c r="AF28" s="1">
        <f t="shared" si="6"/>
        <v>0</v>
      </c>
      <c r="AG28" s="1">
        <f t="shared" si="6"/>
        <v>0</v>
      </c>
      <c r="AH28" s="1">
        <f t="shared" si="6"/>
        <v>0</v>
      </c>
      <c r="AI28" s="1">
        <f t="shared" si="6"/>
        <v>0</v>
      </c>
      <c r="AJ28" s="1">
        <f t="shared" si="6"/>
        <v>0</v>
      </c>
      <c r="AK28" s="1">
        <f t="shared" si="6"/>
        <v>0</v>
      </c>
    </row>
    <row r="29" spans="1:37" ht="14.1" customHeight="1" x14ac:dyDescent="0.2">
      <c r="A29" s="16">
        <v>2</v>
      </c>
      <c r="B29" s="65"/>
      <c r="C29" s="118" t="str">
        <f t="shared" si="7"/>
        <v>INV1</v>
      </c>
      <c r="D29" s="119" t="str">
        <f t="shared" si="7"/>
        <v>POUPANÇA BANCO 1</v>
      </c>
      <c r="E29" s="120">
        <f t="shared" ca="1" si="8"/>
        <v>0</v>
      </c>
      <c r="F29" s="120">
        <f t="shared" ca="1" si="9"/>
        <v>0</v>
      </c>
      <c r="G29" s="120">
        <f t="shared" ca="1" si="10"/>
        <v>0</v>
      </c>
      <c r="H29" s="62"/>
      <c r="I29" s="3"/>
      <c r="J29" s="3" t="b">
        <f t="shared" si="11"/>
        <v>0</v>
      </c>
      <c r="K29" s="3" t="b">
        <f t="shared" si="11"/>
        <v>1</v>
      </c>
      <c r="L29" s="3" t="b">
        <f t="shared" si="11"/>
        <v>0</v>
      </c>
      <c r="M29" s="3"/>
      <c r="N29" s="12">
        <v>21</v>
      </c>
      <c r="O29" s="65"/>
      <c r="P29" s="49"/>
      <c r="Q29" s="50"/>
      <c r="R29" s="51"/>
      <c r="S29" s="52"/>
      <c r="T29" s="53"/>
      <c r="U29" s="54"/>
      <c r="V29" s="62"/>
      <c r="X29" s="1">
        <f t="shared" ca="1" si="3"/>
        <v>1</v>
      </c>
      <c r="Z29" s="1">
        <f t="shared" ref="Z29:AK38" si="12">IF(Z$8=$R29,-$T29,0)+IF(Z$8=$S29,$T29,0)</f>
        <v>0</v>
      </c>
      <c r="AA29" s="1">
        <f t="shared" si="12"/>
        <v>0</v>
      </c>
      <c r="AB29" s="1">
        <f t="shared" si="12"/>
        <v>0</v>
      </c>
      <c r="AC29" s="1">
        <f t="shared" si="12"/>
        <v>0</v>
      </c>
      <c r="AD29" s="1">
        <f t="shared" si="12"/>
        <v>0</v>
      </c>
      <c r="AE29" s="1">
        <f t="shared" si="12"/>
        <v>0</v>
      </c>
      <c r="AF29" s="1">
        <f t="shared" si="12"/>
        <v>0</v>
      </c>
      <c r="AG29" s="1">
        <f t="shared" si="12"/>
        <v>0</v>
      </c>
      <c r="AH29" s="1">
        <f t="shared" si="12"/>
        <v>0</v>
      </c>
      <c r="AI29" s="1">
        <f t="shared" si="12"/>
        <v>0</v>
      </c>
      <c r="AJ29" s="1">
        <f t="shared" si="12"/>
        <v>0</v>
      </c>
      <c r="AK29" s="1">
        <f t="shared" si="12"/>
        <v>0</v>
      </c>
    </row>
    <row r="30" spans="1:37" ht="14.1" customHeight="1" x14ac:dyDescent="0.2">
      <c r="A30" s="12">
        <v>3</v>
      </c>
      <c r="B30" s="65"/>
      <c r="C30" s="115" t="str">
        <f t="shared" si="7"/>
        <v>DINH1</v>
      </c>
      <c r="D30" s="116" t="str">
        <f t="shared" si="7"/>
        <v>EM ESPÉCIE</v>
      </c>
      <c r="E30" s="117">
        <f t="shared" ca="1" si="8"/>
        <v>0</v>
      </c>
      <c r="F30" s="117">
        <f t="shared" ca="1" si="9"/>
        <v>0</v>
      </c>
      <c r="G30" s="117">
        <f t="shared" ca="1" si="10"/>
        <v>0</v>
      </c>
      <c r="H30" s="62"/>
      <c r="I30" s="3"/>
      <c r="J30" s="3" t="b">
        <f t="shared" si="11"/>
        <v>0</v>
      </c>
      <c r="K30" s="3" t="b">
        <f t="shared" si="11"/>
        <v>0</v>
      </c>
      <c r="L30" s="3" t="b">
        <f t="shared" si="11"/>
        <v>1</v>
      </c>
      <c r="M30" s="3"/>
      <c r="N30" s="16">
        <v>22</v>
      </c>
      <c r="O30" s="65"/>
      <c r="P30" s="55"/>
      <c r="Q30" s="56"/>
      <c r="R30" s="57"/>
      <c r="S30" s="58"/>
      <c r="T30" s="59"/>
      <c r="U30" s="60"/>
      <c r="V30" s="62"/>
      <c r="X30" s="1">
        <f t="shared" ca="1" si="3"/>
        <v>1</v>
      </c>
      <c r="Z30" s="1">
        <f t="shared" si="12"/>
        <v>0</v>
      </c>
      <c r="AA30" s="1">
        <f t="shared" si="12"/>
        <v>0</v>
      </c>
      <c r="AB30" s="1">
        <f t="shared" si="12"/>
        <v>0</v>
      </c>
      <c r="AC30" s="1">
        <f t="shared" si="12"/>
        <v>0</v>
      </c>
      <c r="AD30" s="1">
        <f t="shared" si="12"/>
        <v>0</v>
      </c>
      <c r="AE30" s="1">
        <f t="shared" si="12"/>
        <v>0</v>
      </c>
      <c r="AF30" s="1">
        <f t="shared" si="12"/>
        <v>0</v>
      </c>
      <c r="AG30" s="1">
        <f t="shared" si="12"/>
        <v>0</v>
      </c>
      <c r="AH30" s="1">
        <f t="shared" si="12"/>
        <v>0</v>
      </c>
      <c r="AI30" s="1">
        <f t="shared" si="12"/>
        <v>0</v>
      </c>
      <c r="AJ30" s="1">
        <f t="shared" si="12"/>
        <v>0</v>
      </c>
      <c r="AK30" s="1">
        <f t="shared" si="12"/>
        <v>0</v>
      </c>
    </row>
    <row r="31" spans="1:37" ht="14.1" customHeight="1" x14ac:dyDescent="0.2">
      <c r="A31" s="16">
        <v>4</v>
      </c>
      <c r="B31" s="65"/>
      <c r="C31" s="118" t="str">
        <f t="shared" si="7"/>
        <v>CRED1</v>
      </c>
      <c r="D31" s="119" t="str">
        <f t="shared" si="7"/>
        <v>CARTÃO DE CRÉDITO 1</v>
      </c>
      <c r="E31" s="120">
        <f t="shared" ca="1" si="8"/>
        <v>0</v>
      </c>
      <c r="F31" s="120">
        <f t="shared" ca="1" si="9"/>
        <v>0</v>
      </c>
      <c r="G31" s="120">
        <f t="shared" ca="1" si="10"/>
        <v>0</v>
      </c>
      <c r="H31" s="62"/>
      <c r="I31" s="3"/>
      <c r="J31" s="3" t="b">
        <f t="shared" si="11"/>
        <v>0</v>
      </c>
      <c r="K31" s="3" t="b">
        <f t="shared" si="11"/>
        <v>0</v>
      </c>
      <c r="L31" s="3" t="b">
        <f t="shared" si="11"/>
        <v>0</v>
      </c>
      <c r="M31" s="3"/>
      <c r="N31" s="12">
        <v>23</v>
      </c>
      <c r="O31" s="65"/>
      <c r="P31" s="49"/>
      <c r="Q31" s="50"/>
      <c r="R31" s="51"/>
      <c r="S31" s="52"/>
      <c r="T31" s="53"/>
      <c r="U31" s="54"/>
      <c r="V31" s="62"/>
      <c r="X31" s="1">
        <f t="shared" ca="1" si="3"/>
        <v>1</v>
      </c>
      <c r="Z31" s="1">
        <f t="shared" si="12"/>
        <v>0</v>
      </c>
      <c r="AA31" s="1">
        <f t="shared" si="12"/>
        <v>0</v>
      </c>
      <c r="AB31" s="1">
        <f t="shared" si="12"/>
        <v>0</v>
      </c>
      <c r="AC31" s="1">
        <f t="shared" si="12"/>
        <v>0</v>
      </c>
      <c r="AD31" s="1">
        <f t="shared" si="12"/>
        <v>0</v>
      </c>
      <c r="AE31" s="1">
        <f t="shared" si="12"/>
        <v>0</v>
      </c>
      <c r="AF31" s="1">
        <f t="shared" si="12"/>
        <v>0</v>
      </c>
      <c r="AG31" s="1">
        <f t="shared" si="12"/>
        <v>0</v>
      </c>
      <c r="AH31" s="1">
        <f t="shared" si="12"/>
        <v>0</v>
      </c>
      <c r="AI31" s="1">
        <f t="shared" si="12"/>
        <v>0</v>
      </c>
      <c r="AJ31" s="1">
        <f t="shared" si="12"/>
        <v>0</v>
      </c>
      <c r="AK31" s="1">
        <f t="shared" si="12"/>
        <v>0</v>
      </c>
    </row>
    <row r="32" spans="1:37" ht="14.1" customHeight="1" x14ac:dyDescent="0.2">
      <c r="A32" s="12">
        <v>5</v>
      </c>
      <c r="B32" s="65"/>
      <c r="C32" s="115" t="str">
        <f t="shared" si="7"/>
        <v>---</v>
      </c>
      <c r="D32" s="116" t="str">
        <f t="shared" si="7"/>
        <v/>
      </c>
      <c r="E32" s="117">
        <f t="shared" ca="1" si="8"/>
        <v>0</v>
      </c>
      <c r="F32" s="117">
        <f t="shared" ca="1" si="9"/>
        <v>0</v>
      </c>
      <c r="G32" s="117">
        <f t="shared" ca="1" si="10"/>
        <v>0</v>
      </c>
      <c r="H32" s="62"/>
      <c r="I32" s="3"/>
      <c r="J32" s="3" t="b">
        <f t="shared" si="11"/>
        <v>0</v>
      </c>
      <c r="K32" s="3" t="b">
        <f t="shared" si="11"/>
        <v>0</v>
      </c>
      <c r="L32" s="3" t="b">
        <f t="shared" si="11"/>
        <v>0</v>
      </c>
      <c r="M32" s="3"/>
      <c r="N32" s="16">
        <v>24</v>
      </c>
      <c r="O32" s="65"/>
      <c r="P32" s="55"/>
      <c r="Q32" s="56"/>
      <c r="R32" s="57"/>
      <c r="S32" s="58"/>
      <c r="T32" s="59"/>
      <c r="U32" s="60"/>
      <c r="V32" s="62"/>
      <c r="X32" s="1">
        <f t="shared" ca="1" si="3"/>
        <v>1</v>
      </c>
      <c r="Z32" s="1">
        <f t="shared" si="12"/>
        <v>0</v>
      </c>
      <c r="AA32" s="1">
        <f t="shared" si="12"/>
        <v>0</v>
      </c>
      <c r="AB32" s="1">
        <f t="shared" si="12"/>
        <v>0</v>
      </c>
      <c r="AC32" s="1">
        <f t="shared" si="12"/>
        <v>0</v>
      </c>
      <c r="AD32" s="1">
        <f t="shared" si="12"/>
        <v>0</v>
      </c>
      <c r="AE32" s="1">
        <f t="shared" si="12"/>
        <v>0</v>
      </c>
      <c r="AF32" s="1">
        <f t="shared" si="12"/>
        <v>0</v>
      </c>
      <c r="AG32" s="1">
        <f t="shared" si="12"/>
        <v>0</v>
      </c>
      <c r="AH32" s="1">
        <f t="shared" si="12"/>
        <v>0</v>
      </c>
      <c r="AI32" s="1">
        <f t="shared" si="12"/>
        <v>0</v>
      </c>
      <c r="AJ32" s="1">
        <f t="shared" si="12"/>
        <v>0</v>
      </c>
      <c r="AK32" s="1">
        <f t="shared" si="12"/>
        <v>0</v>
      </c>
    </row>
    <row r="33" spans="1:37" ht="14.1" customHeight="1" x14ac:dyDescent="0.2">
      <c r="A33" s="16">
        <v>6</v>
      </c>
      <c r="B33" s="65"/>
      <c r="C33" s="118" t="str">
        <f t="shared" si="7"/>
        <v>---</v>
      </c>
      <c r="D33" s="119" t="str">
        <f t="shared" si="7"/>
        <v/>
      </c>
      <c r="E33" s="120">
        <f t="shared" ca="1" si="8"/>
        <v>0</v>
      </c>
      <c r="F33" s="120">
        <f t="shared" ca="1" si="9"/>
        <v>0</v>
      </c>
      <c r="G33" s="120">
        <f t="shared" ca="1" si="10"/>
        <v>0</v>
      </c>
      <c r="H33" s="62"/>
      <c r="I33" s="3"/>
      <c r="J33" s="3" t="b">
        <f t="shared" si="11"/>
        <v>0</v>
      </c>
      <c r="K33" s="3" t="b">
        <f t="shared" si="11"/>
        <v>0</v>
      </c>
      <c r="L33" s="3" t="b">
        <f t="shared" si="11"/>
        <v>0</v>
      </c>
      <c r="M33" s="3"/>
      <c r="N33" s="12">
        <v>25</v>
      </c>
      <c r="O33" s="65"/>
      <c r="P33" s="49"/>
      <c r="Q33" s="50"/>
      <c r="R33" s="51"/>
      <c r="S33" s="52"/>
      <c r="T33" s="53"/>
      <c r="U33" s="54"/>
      <c r="V33" s="62"/>
      <c r="X33" s="1">
        <f t="shared" ca="1" si="3"/>
        <v>1</v>
      </c>
      <c r="Z33" s="1">
        <f t="shared" si="12"/>
        <v>0</v>
      </c>
      <c r="AA33" s="1">
        <f t="shared" si="12"/>
        <v>0</v>
      </c>
      <c r="AB33" s="1">
        <f t="shared" si="12"/>
        <v>0</v>
      </c>
      <c r="AC33" s="1">
        <f t="shared" si="12"/>
        <v>0</v>
      </c>
      <c r="AD33" s="1">
        <f t="shared" si="12"/>
        <v>0</v>
      </c>
      <c r="AE33" s="1">
        <f t="shared" si="12"/>
        <v>0</v>
      </c>
      <c r="AF33" s="1">
        <f t="shared" si="12"/>
        <v>0</v>
      </c>
      <c r="AG33" s="1">
        <f t="shared" si="12"/>
        <v>0</v>
      </c>
      <c r="AH33" s="1">
        <f t="shared" si="12"/>
        <v>0</v>
      </c>
      <c r="AI33" s="1">
        <f t="shared" si="12"/>
        <v>0</v>
      </c>
      <c r="AJ33" s="1">
        <f t="shared" si="12"/>
        <v>0</v>
      </c>
      <c r="AK33" s="1">
        <f t="shared" si="12"/>
        <v>0</v>
      </c>
    </row>
    <row r="34" spans="1:37" ht="14.1" customHeight="1" x14ac:dyDescent="0.2">
      <c r="A34" s="12">
        <v>7</v>
      </c>
      <c r="B34" s="65"/>
      <c r="C34" s="115" t="str">
        <f t="shared" si="7"/>
        <v>---</v>
      </c>
      <c r="D34" s="116" t="str">
        <f t="shared" si="7"/>
        <v/>
      </c>
      <c r="E34" s="117">
        <f t="shared" ca="1" si="8"/>
        <v>0</v>
      </c>
      <c r="F34" s="117">
        <f t="shared" ca="1" si="9"/>
        <v>0</v>
      </c>
      <c r="G34" s="117">
        <f t="shared" ca="1" si="10"/>
        <v>0</v>
      </c>
      <c r="H34" s="62"/>
      <c r="I34" s="3"/>
      <c r="J34" s="3" t="b">
        <f t="shared" si="11"/>
        <v>0</v>
      </c>
      <c r="K34" s="3" t="b">
        <f t="shared" si="11"/>
        <v>0</v>
      </c>
      <c r="L34" s="3" t="b">
        <f t="shared" si="11"/>
        <v>0</v>
      </c>
      <c r="M34" s="3"/>
      <c r="N34" s="16">
        <v>26</v>
      </c>
      <c r="O34" s="65"/>
      <c r="P34" s="55"/>
      <c r="Q34" s="56"/>
      <c r="R34" s="57"/>
      <c r="S34" s="58"/>
      <c r="T34" s="59"/>
      <c r="U34" s="60"/>
      <c r="V34" s="62"/>
      <c r="X34" s="1">
        <f t="shared" ca="1" si="3"/>
        <v>1</v>
      </c>
      <c r="Z34" s="1">
        <f t="shared" si="12"/>
        <v>0</v>
      </c>
      <c r="AA34" s="1">
        <f t="shared" si="12"/>
        <v>0</v>
      </c>
      <c r="AB34" s="1">
        <f t="shared" si="12"/>
        <v>0</v>
      </c>
      <c r="AC34" s="1">
        <f t="shared" si="12"/>
        <v>0</v>
      </c>
      <c r="AD34" s="1">
        <f t="shared" si="12"/>
        <v>0</v>
      </c>
      <c r="AE34" s="1">
        <f t="shared" si="12"/>
        <v>0</v>
      </c>
      <c r="AF34" s="1">
        <f t="shared" si="12"/>
        <v>0</v>
      </c>
      <c r="AG34" s="1">
        <f t="shared" si="12"/>
        <v>0</v>
      </c>
      <c r="AH34" s="1">
        <f t="shared" si="12"/>
        <v>0</v>
      </c>
      <c r="AI34" s="1">
        <f t="shared" si="12"/>
        <v>0</v>
      </c>
      <c r="AJ34" s="1">
        <f t="shared" si="12"/>
        <v>0</v>
      </c>
      <c r="AK34" s="1">
        <f t="shared" si="12"/>
        <v>0</v>
      </c>
    </row>
    <row r="35" spans="1:37" ht="14.1" customHeight="1" x14ac:dyDescent="0.2">
      <c r="A35" s="16">
        <v>8</v>
      </c>
      <c r="B35" s="65"/>
      <c r="C35" s="118" t="str">
        <f t="shared" si="7"/>
        <v>---</v>
      </c>
      <c r="D35" s="119" t="str">
        <f t="shared" si="7"/>
        <v/>
      </c>
      <c r="E35" s="120">
        <f t="shared" ca="1" si="8"/>
        <v>0</v>
      </c>
      <c r="F35" s="120">
        <f t="shared" ca="1" si="9"/>
        <v>0</v>
      </c>
      <c r="G35" s="120">
        <f t="shared" ca="1" si="10"/>
        <v>0</v>
      </c>
      <c r="H35" s="62"/>
      <c r="I35" s="3"/>
      <c r="J35" s="3" t="b">
        <f t="shared" si="11"/>
        <v>0</v>
      </c>
      <c r="K35" s="3" t="b">
        <f t="shared" si="11"/>
        <v>0</v>
      </c>
      <c r="L35" s="3" t="b">
        <f t="shared" si="11"/>
        <v>0</v>
      </c>
      <c r="M35" s="3"/>
      <c r="N35" s="12">
        <v>27</v>
      </c>
      <c r="O35" s="65"/>
      <c r="P35" s="49"/>
      <c r="Q35" s="50"/>
      <c r="R35" s="51"/>
      <c r="S35" s="52"/>
      <c r="T35" s="53"/>
      <c r="U35" s="54"/>
      <c r="V35" s="62"/>
      <c r="X35" s="1">
        <f t="shared" ca="1" si="3"/>
        <v>1</v>
      </c>
      <c r="Z35" s="1">
        <f t="shared" si="12"/>
        <v>0</v>
      </c>
      <c r="AA35" s="1">
        <f t="shared" si="12"/>
        <v>0</v>
      </c>
      <c r="AB35" s="1">
        <f t="shared" si="12"/>
        <v>0</v>
      </c>
      <c r="AC35" s="1">
        <f t="shared" si="12"/>
        <v>0</v>
      </c>
      <c r="AD35" s="1">
        <f t="shared" si="12"/>
        <v>0</v>
      </c>
      <c r="AE35" s="1">
        <f t="shared" si="12"/>
        <v>0</v>
      </c>
      <c r="AF35" s="1">
        <f t="shared" si="12"/>
        <v>0</v>
      </c>
      <c r="AG35" s="1">
        <f t="shared" si="12"/>
        <v>0</v>
      </c>
      <c r="AH35" s="1">
        <f t="shared" si="12"/>
        <v>0</v>
      </c>
      <c r="AI35" s="1">
        <f t="shared" si="12"/>
        <v>0</v>
      </c>
      <c r="AJ35" s="1">
        <f t="shared" si="12"/>
        <v>0</v>
      </c>
      <c r="AK35" s="1">
        <f t="shared" si="12"/>
        <v>0</v>
      </c>
    </row>
    <row r="36" spans="1:37" ht="14.1" customHeight="1" x14ac:dyDescent="0.2">
      <c r="A36" s="12">
        <v>9</v>
      </c>
      <c r="B36" s="65"/>
      <c r="C36" s="115" t="str">
        <f t="shared" si="7"/>
        <v>---</v>
      </c>
      <c r="D36" s="116" t="str">
        <f t="shared" si="7"/>
        <v/>
      </c>
      <c r="E36" s="117">
        <f t="shared" ca="1" si="8"/>
        <v>0</v>
      </c>
      <c r="F36" s="117">
        <f t="shared" ca="1" si="9"/>
        <v>0</v>
      </c>
      <c r="G36" s="117">
        <f t="shared" ca="1" si="10"/>
        <v>0</v>
      </c>
      <c r="H36" s="62"/>
      <c r="I36" s="3"/>
      <c r="J36" s="3" t="b">
        <f t="shared" si="11"/>
        <v>0</v>
      </c>
      <c r="K36" s="3" t="b">
        <f t="shared" si="11"/>
        <v>0</v>
      </c>
      <c r="L36" s="3" t="b">
        <f t="shared" si="11"/>
        <v>0</v>
      </c>
      <c r="M36" s="3"/>
      <c r="N36" s="16">
        <v>28</v>
      </c>
      <c r="O36" s="65"/>
      <c r="P36" s="55"/>
      <c r="Q36" s="56"/>
      <c r="R36" s="57"/>
      <c r="S36" s="58"/>
      <c r="T36" s="59"/>
      <c r="U36" s="60"/>
      <c r="V36" s="62"/>
      <c r="X36" s="1">
        <f t="shared" ca="1" si="3"/>
        <v>1</v>
      </c>
      <c r="Z36" s="1">
        <f t="shared" si="12"/>
        <v>0</v>
      </c>
      <c r="AA36" s="1">
        <f t="shared" si="12"/>
        <v>0</v>
      </c>
      <c r="AB36" s="1">
        <f t="shared" si="12"/>
        <v>0</v>
      </c>
      <c r="AC36" s="1">
        <f t="shared" si="12"/>
        <v>0</v>
      </c>
      <c r="AD36" s="1">
        <f t="shared" si="12"/>
        <v>0</v>
      </c>
      <c r="AE36" s="1">
        <f t="shared" si="12"/>
        <v>0</v>
      </c>
      <c r="AF36" s="1">
        <f t="shared" si="12"/>
        <v>0</v>
      </c>
      <c r="AG36" s="1">
        <f t="shared" si="12"/>
        <v>0</v>
      </c>
      <c r="AH36" s="1">
        <f t="shared" si="12"/>
        <v>0</v>
      </c>
      <c r="AI36" s="1">
        <f t="shared" si="12"/>
        <v>0</v>
      </c>
      <c r="AJ36" s="1">
        <f t="shared" si="12"/>
        <v>0</v>
      </c>
      <c r="AK36" s="1">
        <f t="shared" si="12"/>
        <v>0</v>
      </c>
    </row>
    <row r="37" spans="1:37" ht="14.1" customHeight="1" x14ac:dyDescent="0.2">
      <c r="A37" s="16">
        <v>10</v>
      </c>
      <c r="B37" s="65"/>
      <c r="C37" s="118" t="str">
        <f t="shared" si="7"/>
        <v>---</v>
      </c>
      <c r="D37" s="119" t="str">
        <f t="shared" si="7"/>
        <v/>
      </c>
      <c r="E37" s="120">
        <f t="shared" ca="1" si="8"/>
        <v>0</v>
      </c>
      <c r="F37" s="120">
        <f t="shared" ca="1" si="9"/>
        <v>0</v>
      </c>
      <c r="G37" s="120">
        <f t="shared" ca="1" si="10"/>
        <v>0</v>
      </c>
      <c r="H37" s="62"/>
      <c r="I37" s="3"/>
      <c r="J37" s="3" t="b">
        <f t="shared" si="11"/>
        <v>0</v>
      </c>
      <c r="K37" s="3" t="b">
        <f t="shared" si="11"/>
        <v>0</v>
      </c>
      <c r="L37" s="3" t="b">
        <f t="shared" si="11"/>
        <v>0</v>
      </c>
      <c r="M37" s="3"/>
      <c r="N37" s="12">
        <v>29</v>
      </c>
      <c r="O37" s="65"/>
      <c r="P37" s="49"/>
      <c r="Q37" s="50"/>
      <c r="R37" s="51"/>
      <c r="S37" s="52"/>
      <c r="T37" s="53"/>
      <c r="U37" s="54"/>
      <c r="V37" s="62"/>
      <c r="X37" s="1">
        <f t="shared" ca="1" si="3"/>
        <v>1</v>
      </c>
      <c r="Z37" s="1">
        <f t="shared" si="12"/>
        <v>0</v>
      </c>
      <c r="AA37" s="1">
        <f t="shared" si="12"/>
        <v>0</v>
      </c>
      <c r="AB37" s="1">
        <f t="shared" si="12"/>
        <v>0</v>
      </c>
      <c r="AC37" s="1">
        <f t="shared" si="12"/>
        <v>0</v>
      </c>
      <c r="AD37" s="1">
        <f t="shared" si="12"/>
        <v>0</v>
      </c>
      <c r="AE37" s="1">
        <f t="shared" si="12"/>
        <v>0</v>
      </c>
      <c r="AF37" s="1">
        <f t="shared" si="12"/>
        <v>0</v>
      </c>
      <c r="AG37" s="1">
        <f t="shared" si="12"/>
        <v>0</v>
      </c>
      <c r="AH37" s="1">
        <f t="shared" si="12"/>
        <v>0</v>
      </c>
      <c r="AI37" s="1">
        <f t="shared" si="12"/>
        <v>0</v>
      </c>
      <c r="AJ37" s="1">
        <f t="shared" si="12"/>
        <v>0</v>
      </c>
      <c r="AK37" s="1">
        <f t="shared" si="12"/>
        <v>0</v>
      </c>
    </row>
    <row r="38" spans="1:37" ht="14.1" customHeight="1" x14ac:dyDescent="0.2">
      <c r="A38" s="12">
        <v>11</v>
      </c>
      <c r="B38" s="65"/>
      <c r="C38" s="115" t="str">
        <f t="shared" si="7"/>
        <v>---</v>
      </c>
      <c r="D38" s="116" t="str">
        <f t="shared" si="7"/>
        <v/>
      </c>
      <c r="E38" s="117">
        <f t="shared" ca="1" si="8"/>
        <v>0</v>
      </c>
      <c r="F38" s="117">
        <f t="shared" ca="1" si="9"/>
        <v>0</v>
      </c>
      <c r="G38" s="117">
        <f t="shared" ca="1" si="10"/>
        <v>0</v>
      </c>
      <c r="H38" s="62"/>
      <c r="I38" s="3"/>
      <c r="J38" s="3" t="b">
        <f t="shared" si="11"/>
        <v>0</v>
      </c>
      <c r="K38" s="3" t="b">
        <f t="shared" si="11"/>
        <v>0</v>
      </c>
      <c r="L38" s="3" t="b">
        <f t="shared" si="11"/>
        <v>0</v>
      </c>
      <c r="M38" s="3"/>
      <c r="N38" s="16">
        <v>30</v>
      </c>
      <c r="O38" s="65"/>
      <c r="P38" s="55"/>
      <c r="Q38" s="56"/>
      <c r="R38" s="57"/>
      <c r="S38" s="58"/>
      <c r="T38" s="59"/>
      <c r="U38" s="60"/>
      <c r="V38" s="62"/>
      <c r="X38" s="1">
        <f t="shared" ca="1" si="3"/>
        <v>1</v>
      </c>
      <c r="Z38" s="1">
        <f t="shared" si="12"/>
        <v>0</v>
      </c>
      <c r="AA38" s="1">
        <f t="shared" si="12"/>
        <v>0</v>
      </c>
      <c r="AB38" s="1">
        <f t="shared" si="12"/>
        <v>0</v>
      </c>
      <c r="AC38" s="1">
        <f t="shared" si="12"/>
        <v>0</v>
      </c>
      <c r="AD38" s="1">
        <f t="shared" si="12"/>
        <v>0</v>
      </c>
      <c r="AE38" s="1">
        <f t="shared" si="12"/>
        <v>0</v>
      </c>
      <c r="AF38" s="1">
        <f t="shared" si="12"/>
        <v>0</v>
      </c>
      <c r="AG38" s="1">
        <f t="shared" si="12"/>
        <v>0</v>
      </c>
      <c r="AH38" s="1">
        <f t="shared" si="12"/>
        <v>0</v>
      </c>
      <c r="AI38" s="1">
        <f t="shared" si="12"/>
        <v>0</v>
      </c>
      <c r="AJ38" s="1">
        <f t="shared" si="12"/>
        <v>0</v>
      </c>
      <c r="AK38" s="1">
        <f t="shared" si="12"/>
        <v>0</v>
      </c>
    </row>
    <row r="39" spans="1:37" ht="14.1" customHeight="1" x14ac:dyDescent="0.2">
      <c r="A39" s="16">
        <v>12</v>
      </c>
      <c r="B39" s="66"/>
      <c r="C39" s="121" t="str">
        <f t="shared" si="7"/>
        <v>---</v>
      </c>
      <c r="D39" s="122" t="str">
        <f t="shared" si="7"/>
        <v/>
      </c>
      <c r="E39" s="123">
        <f t="shared" ca="1" si="8"/>
        <v>0</v>
      </c>
      <c r="F39" s="123">
        <f t="shared" ca="1" si="9"/>
        <v>0</v>
      </c>
      <c r="G39" s="123">
        <f t="shared" ca="1" si="10"/>
        <v>0</v>
      </c>
      <c r="H39" s="63"/>
      <c r="I39" s="3"/>
      <c r="J39" s="3" t="b">
        <f t="shared" si="11"/>
        <v>0</v>
      </c>
      <c r="K39" s="3" t="b">
        <f t="shared" si="11"/>
        <v>0</v>
      </c>
      <c r="L39" s="3" t="b">
        <f t="shared" si="11"/>
        <v>0</v>
      </c>
      <c r="M39" s="3"/>
      <c r="N39" s="12">
        <v>31</v>
      </c>
      <c r="O39" s="65"/>
      <c r="P39" s="49"/>
      <c r="Q39" s="50"/>
      <c r="R39" s="51"/>
      <c r="S39" s="52"/>
      <c r="T39" s="53"/>
      <c r="U39" s="54"/>
      <c r="V39" s="62"/>
      <c r="X39" s="1">
        <f t="shared" ca="1" si="3"/>
        <v>1</v>
      </c>
      <c r="Z39" s="1">
        <f t="shared" ref="Z39:AK48" si="13">IF(Z$8=$R39,-$T39,0)+IF(Z$8=$S39,$T39,0)</f>
        <v>0</v>
      </c>
      <c r="AA39" s="1">
        <f t="shared" si="13"/>
        <v>0</v>
      </c>
      <c r="AB39" s="1">
        <f t="shared" si="13"/>
        <v>0</v>
      </c>
      <c r="AC39" s="1">
        <f t="shared" si="13"/>
        <v>0</v>
      </c>
      <c r="AD39" s="1">
        <f t="shared" si="13"/>
        <v>0</v>
      </c>
      <c r="AE39" s="1">
        <f t="shared" si="13"/>
        <v>0</v>
      </c>
      <c r="AF39" s="1">
        <f t="shared" si="13"/>
        <v>0</v>
      </c>
      <c r="AG39" s="1">
        <f t="shared" si="13"/>
        <v>0</v>
      </c>
      <c r="AH39" s="1">
        <f t="shared" si="13"/>
        <v>0</v>
      </c>
      <c r="AI39" s="1">
        <f t="shared" si="13"/>
        <v>0</v>
      </c>
      <c r="AJ39" s="1">
        <f t="shared" si="13"/>
        <v>0</v>
      </c>
      <c r="AK39" s="1">
        <f t="shared" si="13"/>
        <v>0</v>
      </c>
    </row>
    <row r="40" spans="1:37" ht="14.1" customHeight="1" x14ac:dyDescent="0.2">
      <c r="A40" s="12"/>
      <c r="B40" s="124"/>
      <c r="C40" s="125"/>
      <c r="D40" s="126"/>
      <c r="E40" s="126"/>
      <c r="F40" s="126"/>
      <c r="G40" s="126"/>
      <c r="H40" s="127"/>
      <c r="I40" s="3"/>
      <c r="J40" s="3"/>
      <c r="K40" s="3"/>
      <c r="L40" s="3"/>
      <c r="M40" s="3"/>
      <c r="N40" s="16">
        <v>32</v>
      </c>
      <c r="O40" s="65"/>
      <c r="P40" s="55"/>
      <c r="Q40" s="56"/>
      <c r="R40" s="57"/>
      <c r="S40" s="58"/>
      <c r="T40" s="59"/>
      <c r="U40" s="60"/>
      <c r="V40" s="62"/>
      <c r="X40" s="1">
        <f t="shared" ca="1" si="3"/>
        <v>1</v>
      </c>
      <c r="Z40" s="1">
        <f t="shared" si="13"/>
        <v>0</v>
      </c>
      <c r="AA40" s="1">
        <f t="shared" si="13"/>
        <v>0</v>
      </c>
      <c r="AB40" s="1">
        <f t="shared" si="13"/>
        <v>0</v>
      </c>
      <c r="AC40" s="1">
        <f t="shared" si="13"/>
        <v>0</v>
      </c>
      <c r="AD40" s="1">
        <f t="shared" si="13"/>
        <v>0</v>
      </c>
      <c r="AE40" s="1">
        <f t="shared" si="13"/>
        <v>0</v>
      </c>
      <c r="AF40" s="1">
        <f t="shared" si="13"/>
        <v>0</v>
      </c>
      <c r="AG40" s="1">
        <f t="shared" si="13"/>
        <v>0</v>
      </c>
      <c r="AH40" s="1">
        <f t="shared" si="13"/>
        <v>0</v>
      </c>
      <c r="AI40" s="1">
        <f t="shared" si="13"/>
        <v>0</v>
      </c>
      <c r="AJ40" s="1">
        <f t="shared" si="13"/>
        <v>0</v>
      </c>
      <c r="AK40" s="1">
        <f t="shared" si="13"/>
        <v>0</v>
      </c>
    </row>
    <row r="41" spans="1:37" ht="14.1" customHeight="1" x14ac:dyDescent="0.2">
      <c r="I41" s="3"/>
      <c r="J41" s="3"/>
      <c r="K41" s="3"/>
      <c r="L41" s="3"/>
      <c r="M41" s="3"/>
      <c r="N41" s="12">
        <v>33</v>
      </c>
      <c r="O41" s="65"/>
      <c r="P41" s="49"/>
      <c r="Q41" s="50"/>
      <c r="R41" s="51"/>
      <c r="S41" s="52"/>
      <c r="T41" s="53"/>
      <c r="U41" s="54"/>
      <c r="V41" s="62"/>
      <c r="X41" s="1">
        <f t="shared" ref="X41:X72" ca="1" si="14">IF(P41&lt;NOW(),1,0)</f>
        <v>1</v>
      </c>
      <c r="Z41" s="1">
        <f t="shared" si="13"/>
        <v>0</v>
      </c>
      <c r="AA41" s="1">
        <f t="shared" si="13"/>
        <v>0</v>
      </c>
      <c r="AB41" s="1">
        <f t="shared" si="13"/>
        <v>0</v>
      </c>
      <c r="AC41" s="1">
        <f t="shared" si="13"/>
        <v>0</v>
      </c>
      <c r="AD41" s="1">
        <f t="shared" si="13"/>
        <v>0</v>
      </c>
      <c r="AE41" s="1">
        <f t="shared" si="13"/>
        <v>0</v>
      </c>
      <c r="AF41" s="1">
        <f t="shared" si="13"/>
        <v>0</v>
      </c>
      <c r="AG41" s="1">
        <f t="shared" si="13"/>
        <v>0</v>
      </c>
      <c r="AH41" s="1">
        <f t="shared" si="13"/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</row>
    <row r="42" spans="1:37" ht="14.1" customHeight="1" x14ac:dyDescent="0.2">
      <c r="B42" s="91"/>
      <c r="C42" s="92"/>
      <c r="D42" s="93"/>
      <c r="E42" s="93"/>
      <c r="F42" s="93"/>
      <c r="G42" s="93"/>
      <c r="H42" s="94"/>
      <c r="I42" s="3"/>
      <c r="J42" s="3"/>
      <c r="K42" s="3"/>
      <c r="L42" s="3"/>
      <c r="M42" s="3"/>
      <c r="N42" s="16">
        <v>34</v>
      </c>
      <c r="O42" s="65"/>
      <c r="P42" s="55"/>
      <c r="Q42" s="56"/>
      <c r="R42" s="57"/>
      <c r="S42" s="58"/>
      <c r="T42" s="59"/>
      <c r="U42" s="60"/>
      <c r="V42" s="62"/>
      <c r="X42" s="1">
        <f t="shared" ca="1" si="14"/>
        <v>1</v>
      </c>
      <c r="Z42" s="1">
        <f t="shared" si="13"/>
        <v>0</v>
      </c>
      <c r="AA42" s="1">
        <f t="shared" si="13"/>
        <v>0</v>
      </c>
      <c r="AB42" s="1">
        <f t="shared" si="13"/>
        <v>0</v>
      </c>
      <c r="AC42" s="1">
        <f t="shared" si="13"/>
        <v>0</v>
      </c>
      <c r="AD42" s="1">
        <f t="shared" si="13"/>
        <v>0</v>
      </c>
      <c r="AE42" s="1">
        <f t="shared" si="13"/>
        <v>0</v>
      </c>
      <c r="AF42" s="1">
        <f t="shared" si="13"/>
        <v>0</v>
      </c>
      <c r="AG42" s="1">
        <f t="shared" si="13"/>
        <v>0</v>
      </c>
      <c r="AH42" s="1">
        <f t="shared" si="13"/>
        <v>0</v>
      </c>
      <c r="AI42" s="1">
        <f t="shared" si="13"/>
        <v>0</v>
      </c>
      <c r="AJ42" s="1">
        <f t="shared" si="13"/>
        <v>0</v>
      </c>
      <c r="AK42" s="1">
        <f t="shared" si="13"/>
        <v>0</v>
      </c>
    </row>
    <row r="43" spans="1:37" ht="14.1" customHeight="1" x14ac:dyDescent="0.2">
      <c r="B43" s="95"/>
      <c r="C43" s="286" t="s">
        <v>106</v>
      </c>
      <c r="D43" s="286"/>
      <c r="E43" s="286"/>
      <c r="F43" s="286"/>
      <c r="G43" s="286"/>
      <c r="H43" s="96"/>
      <c r="I43" s="3"/>
      <c r="J43" s="3"/>
      <c r="K43" s="3"/>
      <c r="L43" s="3"/>
      <c r="M43" s="3"/>
      <c r="N43" s="12">
        <v>35</v>
      </c>
      <c r="O43" s="65"/>
      <c r="P43" s="49"/>
      <c r="Q43" s="50"/>
      <c r="R43" s="51"/>
      <c r="S43" s="52"/>
      <c r="T43" s="53"/>
      <c r="U43" s="54"/>
      <c r="V43" s="62"/>
      <c r="X43" s="1">
        <f t="shared" ca="1" si="14"/>
        <v>1</v>
      </c>
      <c r="Z43" s="1">
        <f t="shared" si="13"/>
        <v>0</v>
      </c>
      <c r="AA43" s="1">
        <f t="shared" si="13"/>
        <v>0</v>
      </c>
      <c r="AB43" s="1">
        <f t="shared" si="13"/>
        <v>0</v>
      </c>
      <c r="AC43" s="1">
        <f t="shared" si="13"/>
        <v>0</v>
      </c>
      <c r="AD43" s="1">
        <f t="shared" si="13"/>
        <v>0</v>
      </c>
      <c r="AE43" s="1">
        <f t="shared" si="13"/>
        <v>0</v>
      </c>
      <c r="AF43" s="1">
        <f t="shared" si="13"/>
        <v>0</v>
      </c>
      <c r="AG43" s="1">
        <f t="shared" si="13"/>
        <v>0</v>
      </c>
      <c r="AH43" s="1">
        <f t="shared" si="13"/>
        <v>0</v>
      </c>
      <c r="AI43" s="1">
        <f t="shared" si="13"/>
        <v>0</v>
      </c>
      <c r="AJ43" s="1">
        <f t="shared" si="13"/>
        <v>0</v>
      </c>
      <c r="AK43" s="1">
        <f t="shared" si="13"/>
        <v>0</v>
      </c>
    </row>
    <row r="44" spans="1:37" ht="14.1" customHeight="1" x14ac:dyDescent="0.2">
      <c r="B44" s="95"/>
      <c r="C44" s="286"/>
      <c r="D44" s="286"/>
      <c r="E44" s="286"/>
      <c r="F44" s="286"/>
      <c r="G44" s="286"/>
      <c r="H44" s="96"/>
      <c r="I44" s="3"/>
      <c r="J44" s="3"/>
      <c r="K44" s="3"/>
      <c r="L44" s="3"/>
      <c r="M44" s="3"/>
      <c r="N44" s="16">
        <v>36</v>
      </c>
      <c r="O44" s="65"/>
      <c r="P44" s="55"/>
      <c r="Q44" s="56"/>
      <c r="R44" s="57"/>
      <c r="S44" s="58"/>
      <c r="T44" s="59"/>
      <c r="U44" s="60"/>
      <c r="V44" s="62"/>
      <c r="X44" s="1">
        <f t="shared" ca="1" si="14"/>
        <v>1</v>
      </c>
      <c r="Z44" s="1">
        <f t="shared" si="13"/>
        <v>0</v>
      </c>
      <c r="AA44" s="1">
        <f t="shared" si="13"/>
        <v>0</v>
      </c>
      <c r="AB44" s="1">
        <f t="shared" si="13"/>
        <v>0</v>
      </c>
      <c r="AC44" s="1">
        <f t="shared" si="13"/>
        <v>0</v>
      </c>
      <c r="AD44" s="1">
        <f t="shared" si="13"/>
        <v>0</v>
      </c>
      <c r="AE44" s="1">
        <f t="shared" si="13"/>
        <v>0</v>
      </c>
      <c r="AF44" s="1">
        <f t="shared" si="13"/>
        <v>0</v>
      </c>
      <c r="AG44" s="1">
        <f t="shared" si="13"/>
        <v>0</v>
      </c>
      <c r="AH44" s="1">
        <f t="shared" si="13"/>
        <v>0</v>
      </c>
      <c r="AI44" s="1">
        <f t="shared" si="13"/>
        <v>0</v>
      </c>
      <c r="AJ44" s="1">
        <f t="shared" si="13"/>
        <v>0</v>
      </c>
      <c r="AK44" s="1">
        <f t="shared" si="13"/>
        <v>0</v>
      </c>
    </row>
    <row r="45" spans="1:37" ht="14.1" customHeight="1" x14ac:dyDescent="0.2">
      <c r="B45" s="46"/>
      <c r="C45" s="271" t="s">
        <v>20</v>
      </c>
      <c r="D45" s="273" t="s">
        <v>5</v>
      </c>
      <c r="E45" s="275" t="s">
        <v>104</v>
      </c>
      <c r="F45" s="275" t="s">
        <v>89</v>
      </c>
      <c r="G45" s="276" t="s">
        <v>6</v>
      </c>
      <c r="H45" s="96"/>
      <c r="I45" s="3"/>
      <c r="J45" s="3"/>
      <c r="K45" s="3"/>
      <c r="L45" s="3"/>
      <c r="M45" s="3"/>
      <c r="N45" s="12">
        <v>37</v>
      </c>
      <c r="O45" s="65"/>
      <c r="P45" s="49"/>
      <c r="Q45" s="50"/>
      <c r="R45" s="51"/>
      <c r="S45" s="52"/>
      <c r="T45" s="53"/>
      <c r="U45" s="54"/>
      <c r="V45" s="62"/>
      <c r="X45" s="1">
        <f t="shared" ca="1" si="14"/>
        <v>1</v>
      </c>
      <c r="Z45" s="1">
        <f t="shared" si="13"/>
        <v>0</v>
      </c>
      <c r="AA45" s="1">
        <f t="shared" si="13"/>
        <v>0</v>
      </c>
      <c r="AB45" s="1">
        <f t="shared" si="13"/>
        <v>0</v>
      </c>
      <c r="AC45" s="1">
        <f t="shared" si="13"/>
        <v>0</v>
      </c>
      <c r="AD45" s="1">
        <f t="shared" si="13"/>
        <v>0</v>
      </c>
      <c r="AE45" s="1">
        <f t="shared" si="13"/>
        <v>0</v>
      </c>
      <c r="AF45" s="1">
        <f t="shared" si="13"/>
        <v>0</v>
      </c>
      <c r="AG45" s="1">
        <f t="shared" si="13"/>
        <v>0</v>
      </c>
      <c r="AH45" s="1">
        <f t="shared" si="13"/>
        <v>0</v>
      </c>
      <c r="AI45" s="1">
        <f t="shared" si="13"/>
        <v>0</v>
      </c>
      <c r="AJ45" s="1">
        <f t="shared" si="13"/>
        <v>0</v>
      </c>
      <c r="AK45" s="1">
        <f t="shared" si="13"/>
        <v>0</v>
      </c>
    </row>
    <row r="46" spans="1:37" ht="14.1" customHeight="1" x14ac:dyDescent="0.2">
      <c r="A46" s="3"/>
      <c r="B46" s="44"/>
      <c r="C46" s="272"/>
      <c r="D46" s="274"/>
      <c r="E46" s="99" t="s">
        <v>87</v>
      </c>
      <c r="F46" s="100" t="s">
        <v>89</v>
      </c>
      <c r="G46" s="98" t="s">
        <v>6</v>
      </c>
      <c r="H46" s="97"/>
      <c r="I46" s="3"/>
      <c r="J46" s="3"/>
      <c r="K46" s="3"/>
      <c r="L46" s="3"/>
      <c r="M46" s="3"/>
      <c r="N46" s="16">
        <v>38</v>
      </c>
      <c r="O46" s="65"/>
      <c r="P46" s="55"/>
      <c r="Q46" s="56"/>
      <c r="R46" s="57"/>
      <c r="S46" s="58"/>
      <c r="T46" s="59"/>
      <c r="U46" s="60"/>
      <c r="V46" s="62"/>
      <c r="X46" s="1">
        <f t="shared" ca="1" si="14"/>
        <v>1</v>
      </c>
      <c r="Z46" s="1">
        <f t="shared" si="13"/>
        <v>0</v>
      </c>
      <c r="AA46" s="1">
        <f t="shared" si="13"/>
        <v>0</v>
      </c>
      <c r="AB46" s="1">
        <f t="shared" si="13"/>
        <v>0</v>
      </c>
      <c r="AC46" s="1">
        <f t="shared" si="13"/>
        <v>0</v>
      </c>
      <c r="AD46" s="1">
        <f t="shared" si="13"/>
        <v>0</v>
      </c>
      <c r="AE46" s="1">
        <f t="shared" si="13"/>
        <v>0</v>
      </c>
      <c r="AF46" s="1">
        <f t="shared" si="13"/>
        <v>0</v>
      </c>
      <c r="AG46" s="1">
        <f t="shared" si="13"/>
        <v>0</v>
      </c>
      <c r="AH46" s="1">
        <f t="shared" si="13"/>
        <v>0</v>
      </c>
      <c r="AI46" s="1">
        <f t="shared" si="13"/>
        <v>0</v>
      </c>
      <c r="AJ46" s="1">
        <f t="shared" si="13"/>
        <v>0</v>
      </c>
      <c r="AK46" s="1">
        <f t="shared" si="13"/>
        <v>0</v>
      </c>
    </row>
    <row r="47" spans="1:37" ht="14.1" customHeight="1" x14ac:dyDescent="0.2">
      <c r="A47" s="12">
        <v>1</v>
      </c>
      <c r="B47" s="64"/>
      <c r="C47" s="115" t="str">
        <f>ANUAL!$C115</f>
        <v>CC</v>
      </c>
      <c r="D47" s="240" t="str">
        <f>ANUAL!$D115</f>
        <v>CONTA CORRENTE</v>
      </c>
      <c r="E47" s="117">
        <f>SUMIF($J$28:$J$39,TRUE,E$28:E$39)</f>
        <v>0</v>
      </c>
      <c r="F47" s="117">
        <f>SUMIF($J$28:$J$39,TRUE,F$28:F$39)</f>
        <v>0</v>
      </c>
      <c r="G47" s="117">
        <f>SUMIF($J$28:$J$39,TRUE,G$28:G$39)+SUMIF($J$9:$J$20,TRUE,E$9:E$20)</f>
        <v>0</v>
      </c>
      <c r="H47" s="61"/>
      <c r="N47" s="12">
        <v>39</v>
      </c>
      <c r="O47" s="65"/>
      <c r="P47" s="49"/>
      <c r="Q47" s="50"/>
      <c r="R47" s="51"/>
      <c r="S47" s="52"/>
      <c r="T47" s="53"/>
      <c r="U47" s="54"/>
      <c r="V47" s="62"/>
      <c r="X47" s="1">
        <f t="shared" ca="1" si="14"/>
        <v>1</v>
      </c>
      <c r="Z47" s="1">
        <f t="shared" si="13"/>
        <v>0</v>
      </c>
      <c r="AA47" s="1">
        <f t="shared" si="13"/>
        <v>0</v>
      </c>
      <c r="AB47" s="1">
        <f t="shared" si="13"/>
        <v>0</v>
      </c>
      <c r="AC47" s="1">
        <f t="shared" si="13"/>
        <v>0</v>
      </c>
      <c r="AD47" s="1">
        <f t="shared" si="13"/>
        <v>0</v>
      </c>
      <c r="AE47" s="1">
        <f t="shared" si="13"/>
        <v>0</v>
      </c>
      <c r="AF47" s="1">
        <f t="shared" si="13"/>
        <v>0</v>
      </c>
      <c r="AG47" s="1">
        <f t="shared" si="13"/>
        <v>0</v>
      </c>
      <c r="AH47" s="1">
        <f t="shared" si="13"/>
        <v>0</v>
      </c>
      <c r="AI47" s="1">
        <f t="shared" si="13"/>
        <v>0</v>
      </c>
      <c r="AJ47" s="1">
        <f t="shared" si="13"/>
        <v>0</v>
      </c>
      <c r="AK47" s="1">
        <f t="shared" si="13"/>
        <v>0</v>
      </c>
    </row>
    <row r="48" spans="1:37" ht="14.1" customHeight="1" x14ac:dyDescent="0.2">
      <c r="A48" s="16">
        <v>2</v>
      </c>
      <c r="B48" s="65"/>
      <c r="C48" s="118" t="str">
        <f>ANUAL!$C116</f>
        <v>INV</v>
      </c>
      <c r="D48" s="119" t="str">
        <f>ANUAL!$D116</f>
        <v>APLICAÇÕES DE INVESTIMENTO</v>
      </c>
      <c r="E48" s="120">
        <f ca="1">SUMIF($K$28:$K$39,TRUE,E$28:E$39)</f>
        <v>0</v>
      </c>
      <c r="F48" s="120">
        <f ca="1">SUMIF($K$28:$K$39,TRUE,F$28:F$39)</f>
        <v>0</v>
      </c>
      <c r="G48" s="120">
        <f ca="1">SUMIF($K$28:$K$39,TRUE,G$28:G$39)+SUMIF($K$9:$K$20,TRUE,E$9:E$20)</f>
        <v>0</v>
      </c>
      <c r="H48" s="62"/>
      <c r="N48" s="16">
        <v>40</v>
      </c>
      <c r="O48" s="65"/>
      <c r="P48" s="55"/>
      <c r="Q48" s="56"/>
      <c r="R48" s="57"/>
      <c r="S48" s="58"/>
      <c r="T48" s="59"/>
      <c r="U48" s="60"/>
      <c r="V48" s="62"/>
      <c r="X48" s="1">
        <f t="shared" ca="1" si="14"/>
        <v>1</v>
      </c>
      <c r="Z48" s="1">
        <f t="shared" si="13"/>
        <v>0</v>
      </c>
      <c r="AA48" s="1">
        <f t="shared" si="13"/>
        <v>0</v>
      </c>
      <c r="AB48" s="1">
        <f t="shared" si="13"/>
        <v>0</v>
      </c>
      <c r="AC48" s="1">
        <f t="shared" si="13"/>
        <v>0</v>
      </c>
      <c r="AD48" s="1">
        <f t="shared" si="13"/>
        <v>0</v>
      </c>
      <c r="AE48" s="1">
        <f t="shared" si="13"/>
        <v>0</v>
      </c>
      <c r="AF48" s="1">
        <f t="shared" si="13"/>
        <v>0</v>
      </c>
      <c r="AG48" s="1">
        <f t="shared" si="13"/>
        <v>0</v>
      </c>
      <c r="AH48" s="1">
        <f t="shared" si="13"/>
        <v>0</v>
      </c>
      <c r="AI48" s="1">
        <f t="shared" si="13"/>
        <v>0</v>
      </c>
      <c r="AJ48" s="1">
        <f t="shared" si="13"/>
        <v>0</v>
      </c>
      <c r="AK48" s="1">
        <f t="shared" si="13"/>
        <v>0</v>
      </c>
    </row>
    <row r="49" spans="1:37" ht="14.1" customHeight="1" x14ac:dyDescent="0.2">
      <c r="A49" s="12">
        <v>3</v>
      </c>
      <c r="B49" s="65"/>
      <c r="C49" s="115" t="str">
        <f>ANUAL!$C117</f>
        <v>DINH</v>
      </c>
      <c r="D49" s="240" t="str">
        <f>ANUAL!$D117</f>
        <v>EM ESPÉCIE</v>
      </c>
      <c r="E49" s="117">
        <f ca="1">SUMIF($L$28:$L$39,TRUE,E$28:E$39)</f>
        <v>0</v>
      </c>
      <c r="F49" s="117">
        <f ca="1">SUMIF($L$28:$L$39,TRUE,F$28:F$39)</f>
        <v>0</v>
      </c>
      <c r="G49" s="117">
        <f ca="1">SUMIF($L$28:$L$39,TRUE,G$28:G$39)+SUMIF($L$9:$L$20,TRUE,E$9:E$20)</f>
        <v>0</v>
      </c>
      <c r="H49" s="62"/>
      <c r="N49" s="12">
        <v>41</v>
      </c>
      <c r="O49" s="65"/>
      <c r="P49" s="49"/>
      <c r="Q49" s="50"/>
      <c r="R49" s="51"/>
      <c r="S49" s="52"/>
      <c r="T49" s="53"/>
      <c r="U49" s="54"/>
      <c r="V49" s="62"/>
      <c r="X49" s="1">
        <f t="shared" ca="1" si="14"/>
        <v>1</v>
      </c>
      <c r="Z49" s="1">
        <f t="shared" ref="Z49:AK58" si="15">IF(Z$8=$R49,-$T49,0)+IF(Z$8=$S49,$T49,0)</f>
        <v>0</v>
      </c>
      <c r="AA49" s="1">
        <f t="shared" si="15"/>
        <v>0</v>
      </c>
      <c r="AB49" s="1">
        <f t="shared" si="15"/>
        <v>0</v>
      </c>
      <c r="AC49" s="1">
        <f t="shared" si="15"/>
        <v>0</v>
      </c>
      <c r="AD49" s="1">
        <f t="shared" si="15"/>
        <v>0</v>
      </c>
      <c r="AE49" s="1">
        <f t="shared" si="15"/>
        <v>0</v>
      </c>
      <c r="AF49" s="1">
        <f t="shared" si="15"/>
        <v>0</v>
      </c>
      <c r="AG49" s="1">
        <f t="shared" si="15"/>
        <v>0</v>
      </c>
      <c r="AH49" s="1">
        <f t="shared" si="15"/>
        <v>0</v>
      </c>
      <c r="AI49" s="1">
        <f t="shared" si="15"/>
        <v>0</v>
      </c>
      <c r="AJ49" s="1">
        <f t="shared" si="15"/>
        <v>0</v>
      </c>
      <c r="AK49" s="1">
        <f t="shared" si="15"/>
        <v>0</v>
      </c>
    </row>
    <row r="50" spans="1:37" ht="14.1" customHeight="1" x14ac:dyDescent="0.2">
      <c r="A50" s="12"/>
      <c r="B50" s="109"/>
      <c r="C50" s="110"/>
      <c r="D50" s="111"/>
      <c r="E50" s="111"/>
      <c r="F50" s="111"/>
      <c r="G50" s="111"/>
      <c r="H50" s="112"/>
      <c r="I50" s="3"/>
      <c r="J50" s="3"/>
      <c r="K50" s="3"/>
      <c r="L50" s="3"/>
      <c r="M50" s="3"/>
      <c r="N50" s="16">
        <v>42</v>
      </c>
      <c r="O50" s="65"/>
      <c r="P50" s="55"/>
      <c r="Q50" s="56"/>
      <c r="R50" s="57"/>
      <c r="S50" s="58"/>
      <c r="T50" s="59"/>
      <c r="U50" s="60"/>
      <c r="V50" s="62"/>
      <c r="X50" s="1">
        <f t="shared" ca="1" si="14"/>
        <v>1</v>
      </c>
      <c r="Z50" s="1">
        <f t="shared" si="15"/>
        <v>0</v>
      </c>
      <c r="AA50" s="1">
        <f t="shared" si="15"/>
        <v>0</v>
      </c>
      <c r="AB50" s="1">
        <f t="shared" si="15"/>
        <v>0</v>
      </c>
      <c r="AC50" s="1">
        <f t="shared" si="15"/>
        <v>0</v>
      </c>
      <c r="AD50" s="1">
        <f t="shared" si="15"/>
        <v>0</v>
      </c>
      <c r="AE50" s="1">
        <f t="shared" si="15"/>
        <v>0</v>
      </c>
      <c r="AF50" s="1">
        <f t="shared" si="15"/>
        <v>0</v>
      </c>
      <c r="AG50" s="1">
        <f t="shared" si="15"/>
        <v>0</v>
      </c>
      <c r="AH50" s="1">
        <f t="shared" si="15"/>
        <v>0</v>
      </c>
      <c r="AI50" s="1">
        <f t="shared" si="15"/>
        <v>0</v>
      </c>
      <c r="AJ50" s="1">
        <f t="shared" si="15"/>
        <v>0</v>
      </c>
      <c r="AK50" s="1">
        <f t="shared" si="15"/>
        <v>0</v>
      </c>
    </row>
    <row r="51" spans="1:37" ht="14.1" customHeight="1" x14ac:dyDescent="0.2">
      <c r="I51" s="3"/>
      <c r="J51" s="3"/>
      <c r="K51" s="3"/>
      <c r="L51" s="3"/>
      <c r="M51" s="3"/>
      <c r="N51" s="12">
        <v>43</v>
      </c>
      <c r="O51" s="65"/>
      <c r="P51" s="49"/>
      <c r="Q51" s="50"/>
      <c r="R51" s="51"/>
      <c r="S51" s="52"/>
      <c r="T51" s="53"/>
      <c r="U51" s="54"/>
      <c r="V51" s="62"/>
      <c r="X51" s="1">
        <f t="shared" ca="1" si="14"/>
        <v>1</v>
      </c>
      <c r="Z51" s="1">
        <f t="shared" si="15"/>
        <v>0</v>
      </c>
      <c r="AA51" s="1">
        <f t="shared" si="15"/>
        <v>0</v>
      </c>
      <c r="AB51" s="1">
        <f t="shared" si="15"/>
        <v>0</v>
      </c>
      <c r="AC51" s="1">
        <f t="shared" si="15"/>
        <v>0</v>
      </c>
      <c r="AD51" s="1">
        <f t="shared" si="15"/>
        <v>0</v>
      </c>
      <c r="AE51" s="1">
        <f t="shared" si="15"/>
        <v>0</v>
      </c>
      <c r="AF51" s="1">
        <f t="shared" si="15"/>
        <v>0</v>
      </c>
      <c r="AG51" s="1">
        <f t="shared" si="15"/>
        <v>0</v>
      </c>
      <c r="AH51" s="1">
        <f t="shared" si="15"/>
        <v>0</v>
      </c>
      <c r="AI51" s="1">
        <f t="shared" si="15"/>
        <v>0</v>
      </c>
      <c r="AJ51" s="1">
        <f t="shared" si="15"/>
        <v>0</v>
      </c>
      <c r="AK51" s="1">
        <f t="shared" si="15"/>
        <v>0</v>
      </c>
    </row>
    <row r="52" spans="1:37" ht="14.1" customHeight="1" x14ac:dyDescent="0.2">
      <c r="B52" s="84"/>
      <c r="C52" s="85"/>
      <c r="D52" s="86"/>
      <c r="E52" s="86"/>
      <c r="F52" s="86"/>
      <c r="G52" s="86"/>
      <c r="H52" s="87"/>
      <c r="N52" s="16">
        <v>44</v>
      </c>
      <c r="O52" s="65"/>
      <c r="P52" s="55"/>
      <c r="Q52" s="56"/>
      <c r="R52" s="57"/>
      <c r="S52" s="58"/>
      <c r="T52" s="59"/>
      <c r="U52" s="60"/>
      <c r="V52" s="62"/>
      <c r="X52" s="1">
        <f t="shared" ca="1" si="14"/>
        <v>1</v>
      </c>
      <c r="Z52" s="1">
        <f t="shared" si="15"/>
        <v>0</v>
      </c>
      <c r="AA52" s="1">
        <f t="shared" si="15"/>
        <v>0</v>
      </c>
      <c r="AB52" s="1">
        <f t="shared" si="15"/>
        <v>0</v>
      </c>
      <c r="AC52" s="1">
        <f t="shared" si="15"/>
        <v>0</v>
      </c>
      <c r="AD52" s="1">
        <f t="shared" si="15"/>
        <v>0</v>
      </c>
      <c r="AE52" s="1">
        <f t="shared" si="15"/>
        <v>0</v>
      </c>
      <c r="AF52" s="1">
        <f t="shared" si="15"/>
        <v>0</v>
      </c>
      <c r="AG52" s="1">
        <f t="shared" si="15"/>
        <v>0</v>
      </c>
      <c r="AH52" s="1">
        <f t="shared" si="15"/>
        <v>0</v>
      </c>
      <c r="AI52" s="1">
        <f t="shared" si="15"/>
        <v>0</v>
      </c>
      <c r="AJ52" s="1">
        <f t="shared" si="15"/>
        <v>0</v>
      </c>
      <c r="AK52" s="1">
        <f t="shared" si="15"/>
        <v>0</v>
      </c>
    </row>
    <row r="53" spans="1:37" ht="14.1" customHeight="1" x14ac:dyDescent="0.2">
      <c r="B53" s="88"/>
      <c r="C53" s="304" t="s">
        <v>27</v>
      </c>
      <c r="D53" s="304"/>
      <c r="E53" s="304"/>
      <c r="F53" s="304"/>
      <c r="G53" s="304"/>
      <c r="H53" s="89"/>
      <c r="N53" s="12">
        <v>45</v>
      </c>
      <c r="O53" s="65"/>
      <c r="P53" s="49"/>
      <c r="Q53" s="50"/>
      <c r="R53" s="51"/>
      <c r="S53" s="52"/>
      <c r="T53" s="53"/>
      <c r="U53" s="54"/>
      <c r="V53" s="62"/>
      <c r="X53" s="1">
        <f t="shared" ca="1" si="14"/>
        <v>1</v>
      </c>
      <c r="Z53" s="1">
        <f t="shared" si="15"/>
        <v>0</v>
      </c>
      <c r="AA53" s="1">
        <f t="shared" si="15"/>
        <v>0</v>
      </c>
      <c r="AB53" s="1">
        <f t="shared" si="15"/>
        <v>0</v>
      </c>
      <c r="AC53" s="1">
        <f t="shared" si="15"/>
        <v>0</v>
      </c>
      <c r="AD53" s="1">
        <f t="shared" si="15"/>
        <v>0</v>
      </c>
      <c r="AE53" s="1">
        <f t="shared" si="15"/>
        <v>0</v>
      </c>
      <c r="AF53" s="1">
        <f t="shared" si="15"/>
        <v>0</v>
      </c>
      <c r="AG53" s="1">
        <f t="shared" si="15"/>
        <v>0</v>
      </c>
      <c r="AH53" s="1">
        <f t="shared" si="15"/>
        <v>0</v>
      </c>
      <c r="AI53" s="1">
        <f t="shared" si="15"/>
        <v>0</v>
      </c>
      <c r="AJ53" s="1">
        <f t="shared" si="15"/>
        <v>0</v>
      </c>
      <c r="AK53" s="1">
        <f t="shared" si="15"/>
        <v>0</v>
      </c>
    </row>
    <row r="54" spans="1:37" ht="14.1" customHeight="1" x14ac:dyDescent="0.2">
      <c r="B54" s="88"/>
      <c r="C54" s="304"/>
      <c r="D54" s="304"/>
      <c r="E54" s="304"/>
      <c r="F54" s="304"/>
      <c r="G54" s="304"/>
      <c r="H54" s="89"/>
      <c r="N54" s="16">
        <v>46</v>
      </c>
      <c r="O54" s="65"/>
      <c r="P54" s="55"/>
      <c r="Q54" s="56"/>
      <c r="R54" s="57"/>
      <c r="S54" s="58"/>
      <c r="T54" s="59"/>
      <c r="U54" s="60"/>
      <c r="V54" s="62"/>
      <c r="X54" s="1">
        <f t="shared" ca="1" si="14"/>
        <v>1</v>
      </c>
      <c r="Z54" s="1">
        <f t="shared" si="15"/>
        <v>0</v>
      </c>
      <c r="AA54" s="1">
        <f t="shared" si="15"/>
        <v>0</v>
      </c>
      <c r="AB54" s="1">
        <f t="shared" si="15"/>
        <v>0</v>
      </c>
      <c r="AC54" s="1">
        <f t="shared" si="15"/>
        <v>0</v>
      </c>
      <c r="AD54" s="1">
        <f t="shared" si="15"/>
        <v>0</v>
      </c>
      <c r="AE54" s="1">
        <f t="shared" si="15"/>
        <v>0</v>
      </c>
      <c r="AF54" s="1">
        <f t="shared" si="15"/>
        <v>0</v>
      </c>
      <c r="AG54" s="1">
        <f t="shared" si="15"/>
        <v>0</v>
      </c>
      <c r="AH54" s="1">
        <f t="shared" si="15"/>
        <v>0</v>
      </c>
      <c r="AI54" s="1">
        <f t="shared" si="15"/>
        <v>0</v>
      </c>
      <c r="AJ54" s="1">
        <f t="shared" si="15"/>
        <v>0</v>
      </c>
      <c r="AK54" s="1">
        <f t="shared" si="15"/>
        <v>0</v>
      </c>
    </row>
    <row r="55" spans="1:37" ht="14.1" customHeight="1" x14ac:dyDescent="0.2">
      <c r="B55" s="46"/>
      <c r="C55" s="271" t="s">
        <v>4</v>
      </c>
      <c r="D55" s="273" t="s">
        <v>5</v>
      </c>
      <c r="E55" s="310"/>
      <c r="F55" s="310"/>
      <c r="G55" s="276" t="s">
        <v>97</v>
      </c>
      <c r="H55" s="89"/>
      <c r="N55" s="12">
        <v>47</v>
      </c>
      <c r="O55" s="65"/>
      <c r="P55" s="49"/>
      <c r="Q55" s="50"/>
      <c r="R55" s="51"/>
      <c r="S55" s="52"/>
      <c r="T55" s="53"/>
      <c r="U55" s="54"/>
      <c r="V55" s="62"/>
      <c r="X55" s="1">
        <f t="shared" ca="1" si="14"/>
        <v>1</v>
      </c>
      <c r="Z55" s="1">
        <f t="shared" si="15"/>
        <v>0</v>
      </c>
      <c r="AA55" s="1">
        <f t="shared" si="15"/>
        <v>0</v>
      </c>
      <c r="AB55" s="1">
        <f t="shared" si="15"/>
        <v>0</v>
      </c>
      <c r="AC55" s="1">
        <f t="shared" si="15"/>
        <v>0</v>
      </c>
      <c r="AD55" s="1">
        <f t="shared" si="15"/>
        <v>0</v>
      </c>
      <c r="AE55" s="1">
        <f t="shared" si="15"/>
        <v>0</v>
      </c>
      <c r="AF55" s="1">
        <f t="shared" si="15"/>
        <v>0</v>
      </c>
      <c r="AG55" s="1">
        <f t="shared" si="15"/>
        <v>0</v>
      </c>
      <c r="AH55" s="1">
        <f t="shared" si="15"/>
        <v>0</v>
      </c>
      <c r="AI55" s="1">
        <f t="shared" si="15"/>
        <v>0</v>
      </c>
      <c r="AJ55" s="1">
        <f t="shared" si="15"/>
        <v>0</v>
      </c>
      <c r="AK55" s="1">
        <f t="shared" si="15"/>
        <v>0</v>
      </c>
    </row>
    <row r="56" spans="1:37" ht="14.1" customHeight="1" x14ac:dyDescent="0.2">
      <c r="A56" s="3"/>
      <c r="B56" s="44"/>
      <c r="C56" s="272"/>
      <c r="D56" s="274"/>
      <c r="E56" s="311"/>
      <c r="F56" s="311"/>
      <c r="G56" s="305"/>
      <c r="H56" s="90"/>
      <c r="N56" s="16">
        <v>48</v>
      </c>
      <c r="O56" s="65"/>
      <c r="P56" s="55"/>
      <c r="Q56" s="56"/>
      <c r="R56" s="57"/>
      <c r="S56" s="58"/>
      <c r="T56" s="59"/>
      <c r="U56" s="60"/>
      <c r="V56" s="62"/>
      <c r="X56" s="1">
        <f t="shared" ca="1" si="14"/>
        <v>1</v>
      </c>
      <c r="Z56" s="1">
        <f t="shared" si="15"/>
        <v>0</v>
      </c>
      <c r="AA56" s="1">
        <f t="shared" si="15"/>
        <v>0</v>
      </c>
      <c r="AB56" s="1">
        <f t="shared" si="15"/>
        <v>0</v>
      </c>
      <c r="AC56" s="1">
        <f t="shared" si="15"/>
        <v>0</v>
      </c>
      <c r="AD56" s="1">
        <f t="shared" si="15"/>
        <v>0</v>
      </c>
      <c r="AE56" s="1">
        <f t="shared" si="15"/>
        <v>0</v>
      </c>
      <c r="AF56" s="1">
        <f t="shared" si="15"/>
        <v>0</v>
      </c>
      <c r="AG56" s="1">
        <f t="shared" si="15"/>
        <v>0</v>
      </c>
      <c r="AH56" s="1">
        <f t="shared" si="15"/>
        <v>0</v>
      </c>
      <c r="AI56" s="1">
        <f t="shared" si="15"/>
        <v>0</v>
      </c>
      <c r="AJ56" s="1">
        <f t="shared" si="15"/>
        <v>0</v>
      </c>
      <c r="AK56" s="1">
        <f t="shared" si="15"/>
        <v>0</v>
      </c>
    </row>
    <row r="57" spans="1:37" ht="14.1" customHeight="1" x14ac:dyDescent="0.2">
      <c r="A57" s="12">
        <v>1</v>
      </c>
      <c r="B57" s="64"/>
      <c r="C57" s="101" t="str">
        <f>ANUAL!$C141</f>
        <v>M01</v>
      </c>
      <c r="D57" s="303" t="str">
        <f>ANUAL!$D141</f>
        <v>MORADIA – CONDOMÍNIO</v>
      </c>
      <c r="E57" s="303"/>
      <c r="F57" s="303"/>
      <c r="G57" s="102">
        <f t="shared" ref="G57:G88" si="16">SUMIF(U$9:U$88,C57,T$9:T$88)</f>
        <v>0</v>
      </c>
      <c r="H57" s="61"/>
      <c r="N57" s="12">
        <v>49</v>
      </c>
      <c r="O57" s="65"/>
      <c r="P57" s="49"/>
      <c r="Q57" s="50"/>
      <c r="R57" s="51"/>
      <c r="S57" s="52"/>
      <c r="T57" s="53"/>
      <c r="U57" s="54"/>
      <c r="V57" s="62"/>
      <c r="X57" s="1">
        <f t="shared" ca="1" si="14"/>
        <v>1</v>
      </c>
      <c r="Z57" s="1">
        <f t="shared" si="15"/>
        <v>0</v>
      </c>
      <c r="AA57" s="1">
        <f t="shared" si="15"/>
        <v>0</v>
      </c>
      <c r="AB57" s="1">
        <f t="shared" si="15"/>
        <v>0</v>
      </c>
      <c r="AC57" s="1">
        <f t="shared" si="15"/>
        <v>0</v>
      </c>
      <c r="AD57" s="1">
        <f t="shared" si="15"/>
        <v>0</v>
      </c>
      <c r="AE57" s="1">
        <f t="shared" si="15"/>
        <v>0</v>
      </c>
      <c r="AF57" s="1">
        <f t="shared" si="15"/>
        <v>0</v>
      </c>
      <c r="AG57" s="1">
        <f t="shared" si="15"/>
        <v>0</v>
      </c>
      <c r="AH57" s="1">
        <f t="shared" si="15"/>
        <v>0</v>
      </c>
      <c r="AI57" s="1">
        <f t="shared" si="15"/>
        <v>0</v>
      </c>
      <c r="AJ57" s="1">
        <f t="shared" si="15"/>
        <v>0</v>
      </c>
      <c r="AK57" s="1">
        <f t="shared" si="15"/>
        <v>0</v>
      </c>
    </row>
    <row r="58" spans="1:37" ht="14.1" customHeight="1" x14ac:dyDescent="0.2">
      <c r="A58" s="16">
        <v>2</v>
      </c>
      <c r="B58" s="65"/>
      <c r="C58" s="103" t="str">
        <f>ANUAL!$C142</f>
        <v>M02</v>
      </c>
      <c r="D58" s="302" t="str">
        <f>ANUAL!$D142</f>
        <v>MORADIA – IPTU</v>
      </c>
      <c r="E58" s="302"/>
      <c r="F58" s="302"/>
      <c r="G58" s="104">
        <f t="shared" si="16"/>
        <v>0</v>
      </c>
      <c r="H58" s="62"/>
      <c r="N58" s="16">
        <v>50</v>
      </c>
      <c r="O58" s="65"/>
      <c r="P58" s="55"/>
      <c r="Q58" s="56"/>
      <c r="R58" s="57"/>
      <c r="S58" s="58"/>
      <c r="T58" s="59"/>
      <c r="U58" s="60"/>
      <c r="V58" s="62"/>
      <c r="X58" s="1">
        <f t="shared" ca="1" si="14"/>
        <v>1</v>
      </c>
      <c r="Z58" s="1">
        <f t="shared" si="15"/>
        <v>0</v>
      </c>
      <c r="AA58" s="1">
        <f t="shared" si="15"/>
        <v>0</v>
      </c>
      <c r="AB58" s="1">
        <f t="shared" si="15"/>
        <v>0</v>
      </c>
      <c r="AC58" s="1">
        <f t="shared" si="15"/>
        <v>0</v>
      </c>
      <c r="AD58" s="1">
        <f t="shared" si="15"/>
        <v>0</v>
      </c>
      <c r="AE58" s="1">
        <f t="shared" si="15"/>
        <v>0</v>
      </c>
      <c r="AF58" s="1">
        <f t="shared" si="15"/>
        <v>0</v>
      </c>
      <c r="AG58" s="1">
        <f t="shared" si="15"/>
        <v>0</v>
      </c>
      <c r="AH58" s="1">
        <f t="shared" si="15"/>
        <v>0</v>
      </c>
      <c r="AI58" s="1">
        <f t="shared" si="15"/>
        <v>0</v>
      </c>
      <c r="AJ58" s="1">
        <f t="shared" si="15"/>
        <v>0</v>
      </c>
      <c r="AK58" s="1">
        <f t="shared" si="15"/>
        <v>0</v>
      </c>
    </row>
    <row r="59" spans="1:37" ht="14.1" customHeight="1" x14ac:dyDescent="0.2">
      <c r="A59" s="12">
        <v>3</v>
      </c>
      <c r="B59" s="65"/>
      <c r="C59" s="101" t="str">
        <f>ANUAL!$C143</f>
        <v>M03</v>
      </c>
      <c r="D59" s="303" t="str">
        <f>ANUAL!$D143</f>
        <v>MORADIA – ALUGUEL</v>
      </c>
      <c r="E59" s="303"/>
      <c r="F59" s="303"/>
      <c r="G59" s="102">
        <f t="shared" si="16"/>
        <v>0</v>
      </c>
      <c r="H59" s="62"/>
      <c r="N59" s="12">
        <v>51</v>
      </c>
      <c r="O59" s="65"/>
      <c r="P59" s="49"/>
      <c r="Q59" s="50"/>
      <c r="R59" s="51"/>
      <c r="S59" s="52"/>
      <c r="T59" s="53"/>
      <c r="U59" s="54"/>
      <c r="V59" s="62"/>
      <c r="X59" s="1">
        <f t="shared" ca="1" si="14"/>
        <v>1</v>
      </c>
      <c r="Z59" s="1">
        <f t="shared" ref="Z59:AK68" si="17">IF(Z$8=$R59,-$T59,0)+IF(Z$8=$S59,$T59,0)</f>
        <v>0</v>
      </c>
      <c r="AA59" s="1">
        <f t="shared" si="17"/>
        <v>0</v>
      </c>
      <c r="AB59" s="1">
        <f t="shared" si="17"/>
        <v>0</v>
      </c>
      <c r="AC59" s="1">
        <f t="shared" si="17"/>
        <v>0</v>
      </c>
      <c r="AD59" s="1">
        <f t="shared" si="17"/>
        <v>0</v>
      </c>
      <c r="AE59" s="1">
        <f t="shared" si="17"/>
        <v>0</v>
      </c>
      <c r="AF59" s="1">
        <f t="shared" si="17"/>
        <v>0</v>
      </c>
      <c r="AG59" s="1">
        <f t="shared" si="17"/>
        <v>0</v>
      </c>
      <c r="AH59" s="1">
        <f t="shared" si="17"/>
        <v>0</v>
      </c>
      <c r="AI59" s="1">
        <f t="shared" si="17"/>
        <v>0</v>
      </c>
      <c r="AJ59" s="1">
        <f t="shared" si="17"/>
        <v>0</v>
      </c>
      <c r="AK59" s="1">
        <f t="shared" si="17"/>
        <v>0</v>
      </c>
    </row>
    <row r="60" spans="1:37" ht="14.1" customHeight="1" x14ac:dyDescent="0.2">
      <c r="A60" s="16">
        <v>4</v>
      </c>
      <c r="B60" s="65"/>
      <c r="C60" s="103" t="str">
        <f>ANUAL!$C144</f>
        <v>M04</v>
      </c>
      <c r="D60" s="302" t="str">
        <f>ANUAL!$D144</f>
        <v>MORADIA – REFORMA</v>
      </c>
      <c r="E60" s="302"/>
      <c r="F60" s="302"/>
      <c r="G60" s="104">
        <f t="shared" si="16"/>
        <v>0</v>
      </c>
      <c r="H60" s="62"/>
      <c r="N60" s="16">
        <v>52</v>
      </c>
      <c r="O60" s="65"/>
      <c r="P60" s="55"/>
      <c r="Q60" s="56"/>
      <c r="R60" s="57"/>
      <c r="S60" s="58"/>
      <c r="T60" s="59"/>
      <c r="U60" s="60"/>
      <c r="V60" s="62"/>
      <c r="X60" s="1">
        <f t="shared" ca="1" si="14"/>
        <v>1</v>
      </c>
      <c r="Z60" s="1">
        <f t="shared" si="17"/>
        <v>0</v>
      </c>
      <c r="AA60" s="1">
        <f t="shared" si="17"/>
        <v>0</v>
      </c>
      <c r="AB60" s="1">
        <f t="shared" si="17"/>
        <v>0</v>
      </c>
      <c r="AC60" s="1">
        <f t="shared" si="17"/>
        <v>0</v>
      </c>
      <c r="AD60" s="1">
        <f t="shared" si="17"/>
        <v>0</v>
      </c>
      <c r="AE60" s="1">
        <f t="shared" si="17"/>
        <v>0</v>
      </c>
      <c r="AF60" s="1">
        <f t="shared" si="17"/>
        <v>0</v>
      </c>
      <c r="AG60" s="1">
        <f t="shared" si="17"/>
        <v>0</v>
      </c>
      <c r="AH60" s="1">
        <f t="shared" si="17"/>
        <v>0</v>
      </c>
      <c r="AI60" s="1">
        <f t="shared" si="17"/>
        <v>0</v>
      </c>
      <c r="AJ60" s="1">
        <f t="shared" si="17"/>
        <v>0</v>
      </c>
      <c r="AK60" s="1">
        <f t="shared" si="17"/>
        <v>0</v>
      </c>
    </row>
    <row r="61" spans="1:37" ht="14.1" customHeight="1" x14ac:dyDescent="0.2">
      <c r="A61" s="12">
        <v>5</v>
      </c>
      <c r="B61" s="65"/>
      <c r="C61" s="101" t="str">
        <f>ANUAL!$C145</f>
        <v>U01</v>
      </c>
      <c r="D61" s="303" t="str">
        <f>ANUAL!$D145</f>
        <v>UTILITIES – ENERGIA ELÉTRICA</v>
      </c>
      <c r="E61" s="303"/>
      <c r="F61" s="303"/>
      <c r="G61" s="102">
        <f t="shared" si="16"/>
        <v>0</v>
      </c>
      <c r="H61" s="62"/>
      <c r="N61" s="12">
        <v>53</v>
      </c>
      <c r="O61" s="65"/>
      <c r="P61" s="49"/>
      <c r="Q61" s="50"/>
      <c r="R61" s="51"/>
      <c r="S61" s="52"/>
      <c r="T61" s="53"/>
      <c r="U61" s="54"/>
      <c r="V61" s="62"/>
      <c r="X61" s="1">
        <f t="shared" ca="1" si="14"/>
        <v>1</v>
      </c>
      <c r="Z61" s="1">
        <f t="shared" si="17"/>
        <v>0</v>
      </c>
      <c r="AA61" s="1">
        <f t="shared" si="17"/>
        <v>0</v>
      </c>
      <c r="AB61" s="1">
        <f t="shared" si="17"/>
        <v>0</v>
      </c>
      <c r="AC61" s="1">
        <f t="shared" si="17"/>
        <v>0</v>
      </c>
      <c r="AD61" s="1">
        <f t="shared" si="17"/>
        <v>0</v>
      </c>
      <c r="AE61" s="1">
        <f t="shared" si="17"/>
        <v>0</v>
      </c>
      <c r="AF61" s="1">
        <f t="shared" si="17"/>
        <v>0</v>
      </c>
      <c r="AG61" s="1">
        <f t="shared" si="17"/>
        <v>0</v>
      </c>
      <c r="AH61" s="1">
        <f t="shared" si="17"/>
        <v>0</v>
      </c>
      <c r="AI61" s="1">
        <f t="shared" si="17"/>
        <v>0</v>
      </c>
      <c r="AJ61" s="1">
        <f t="shared" si="17"/>
        <v>0</v>
      </c>
      <c r="AK61" s="1">
        <f t="shared" si="17"/>
        <v>0</v>
      </c>
    </row>
    <row r="62" spans="1:37" ht="14.1" customHeight="1" x14ac:dyDescent="0.2">
      <c r="A62" s="16">
        <v>6</v>
      </c>
      <c r="B62" s="65"/>
      <c r="C62" s="103" t="str">
        <f>ANUAL!$C146</f>
        <v>U02</v>
      </c>
      <c r="D62" s="302" t="str">
        <f>ANUAL!$D146</f>
        <v>UTILITIES – ÁGUA POTÁVEL</v>
      </c>
      <c r="E62" s="302"/>
      <c r="F62" s="302"/>
      <c r="G62" s="104">
        <f t="shared" si="16"/>
        <v>0</v>
      </c>
      <c r="H62" s="62"/>
      <c r="N62" s="16">
        <v>54</v>
      </c>
      <c r="O62" s="65"/>
      <c r="P62" s="55"/>
      <c r="Q62" s="56"/>
      <c r="R62" s="57"/>
      <c r="S62" s="58"/>
      <c r="T62" s="59"/>
      <c r="U62" s="60"/>
      <c r="V62" s="62"/>
      <c r="X62" s="1">
        <f t="shared" ca="1" si="14"/>
        <v>1</v>
      </c>
      <c r="Z62" s="1">
        <f t="shared" si="17"/>
        <v>0</v>
      </c>
      <c r="AA62" s="1">
        <f t="shared" si="17"/>
        <v>0</v>
      </c>
      <c r="AB62" s="1">
        <f t="shared" si="17"/>
        <v>0</v>
      </c>
      <c r="AC62" s="1">
        <f t="shared" si="17"/>
        <v>0</v>
      </c>
      <c r="AD62" s="1">
        <f t="shared" si="17"/>
        <v>0</v>
      </c>
      <c r="AE62" s="1">
        <f t="shared" si="17"/>
        <v>0</v>
      </c>
      <c r="AF62" s="1">
        <f t="shared" si="17"/>
        <v>0</v>
      </c>
      <c r="AG62" s="1">
        <f t="shared" si="17"/>
        <v>0</v>
      </c>
      <c r="AH62" s="1">
        <f t="shared" si="17"/>
        <v>0</v>
      </c>
      <c r="AI62" s="1">
        <f t="shared" si="17"/>
        <v>0</v>
      </c>
      <c r="AJ62" s="1">
        <f t="shared" si="17"/>
        <v>0</v>
      </c>
      <c r="AK62" s="1">
        <f t="shared" si="17"/>
        <v>0</v>
      </c>
    </row>
    <row r="63" spans="1:37" ht="14.1" customHeight="1" x14ac:dyDescent="0.2">
      <c r="A63" s="12">
        <v>7</v>
      </c>
      <c r="B63" s="65"/>
      <c r="C63" s="101" t="str">
        <f>ANUAL!$C147</f>
        <v>U03</v>
      </c>
      <c r="D63" s="303" t="str">
        <f>ANUAL!$D147</f>
        <v>UTILITIES – DIVERSOS (ÁGUA, GÁS, SERV. GERAIS)</v>
      </c>
      <c r="E63" s="303"/>
      <c r="F63" s="303"/>
      <c r="G63" s="102">
        <f t="shared" si="16"/>
        <v>0</v>
      </c>
      <c r="H63" s="62"/>
      <c r="N63" s="12">
        <v>55</v>
      </c>
      <c r="O63" s="65"/>
      <c r="P63" s="49"/>
      <c r="Q63" s="50"/>
      <c r="R63" s="51"/>
      <c r="S63" s="52"/>
      <c r="T63" s="53"/>
      <c r="U63" s="54"/>
      <c r="V63" s="62"/>
      <c r="X63" s="1">
        <f t="shared" ca="1" si="14"/>
        <v>1</v>
      </c>
      <c r="Y63" s="30"/>
      <c r="Z63" s="1">
        <f t="shared" si="17"/>
        <v>0</v>
      </c>
      <c r="AA63" s="1">
        <f t="shared" si="17"/>
        <v>0</v>
      </c>
      <c r="AB63" s="1">
        <f t="shared" si="17"/>
        <v>0</v>
      </c>
      <c r="AC63" s="1">
        <f t="shared" si="17"/>
        <v>0</v>
      </c>
      <c r="AD63" s="1">
        <f t="shared" si="17"/>
        <v>0</v>
      </c>
      <c r="AE63" s="1">
        <f t="shared" si="17"/>
        <v>0</v>
      </c>
      <c r="AF63" s="1">
        <f t="shared" si="17"/>
        <v>0</v>
      </c>
      <c r="AG63" s="1">
        <f t="shared" si="17"/>
        <v>0</v>
      </c>
      <c r="AH63" s="1">
        <f t="shared" si="17"/>
        <v>0</v>
      </c>
      <c r="AI63" s="1">
        <f t="shared" si="17"/>
        <v>0</v>
      </c>
      <c r="AJ63" s="1">
        <f t="shared" si="17"/>
        <v>0</v>
      </c>
      <c r="AK63" s="1">
        <f t="shared" si="17"/>
        <v>0</v>
      </c>
    </row>
    <row r="64" spans="1:37" ht="14.1" customHeight="1" x14ac:dyDescent="0.2">
      <c r="A64" s="16">
        <v>8</v>
      </c>
      <c r="B64" s="65"/>
      <c r="C64" s="103" t="str">
        <f>ANUAL!$C148</f>
        <v>S01</v>
      </c>
      <c r="D64" s="302" t="str">
        <f>ANUAL!$D148</f>
        <v>SAÚDE – PLANO DE SAÚDE</v>
      </c>
      <c r="E64" s="302"/>
      <c r="F64" s="302"/>
      <c r="G64" s="104">
        <f t="shared" si="16"/>
        <v>0</v>
      </c>
      <c r="H64" s="62"/>
      <c r="N64" s="16">
        <v>56</v>
      </c>
      <c r="O64" s="65"/>
      <c r="P64" s="55"/>
      <c r="Q64" s="56"/>
      <c r="R64" s="57"/>
      <c r="S64" s="58"/>
      <c r="T64" s="59"/>
      <c r="U64" s="60"/>
      <c r="V64" s="62"/>
      <c r="X64" s="1">
        <f t="shared" ca="1" si="14"/>
        <v>1</v>
      </c>
      <c r="Z64" s="1">
        <f t="shared" si="17"/>
        <v>0</v>
      </c>
      <c r="AA64" s="1">
        <f t="shared" si="17"/>
        <v>0</v>
      </c>
      <c r="AB64" s="1">
        <f t="shared" si="17"/>
        <v>0</v>
      </c>
      <c r="AC64" s="1">
        <f t="shared" si="17"/>
        <v>0</v>
      </c>
      <c r="AD64" s="1">
        <f t="shared" si="17"/>
        <v>0</v>
      </c>
      <c r="AE64" s="1">
        <f t="shared" si="17"/>
        <v>0</v>
      </c>
      <c r="AF64" s="1">
        <f t="shared" si="17"/>
        <v>0</v>
      </c>
      <c r="AG64" s="1">
        <f t="shared" si="17"/>
        <v>0</v>
      </c>
      <c r="AH64" s="1">
        <f t="shared" si="17"/>
        <v>0</v>
      </c>
      <c r="AI64" s="1">
        <f t="shared" si="17"/>
        <v>0</v>
      </c>
      <c r="AJ64" s="1">
        <f t="shared" si="17"/>
        <v>0</v>
      </c>
      <c r="AK64" s="1">
        <f t="shared" si="17"/>
        <v>0</v>
      </c>
    </row>
    <row r="65" spans="1:37" ht="14.1" customHeight="1" x14ac:dyDescent="0.2">
      <c r="A65" s="12">
        <v>9</v>
      </c>
      <c r="B65" s="65"/>
      <c r="C65" s="101" t="str">
        <f>ANUAL!$C149</f>
        <v>S02</v>
      </c>
      <c r="D65" s="303" t="str">
        <f>ANUAL!$D149</f>
        <v>SAÚDE – REMÉDIOS</v>
      </c>
      <c r="E65" s="303"/>
      <c r="F65" s="303"/>
      <c r="G65" s="102">
        <f t="shared" si="16"/>
        <v>0</v>
      </c>
      <c r="H65" s="62"/>
      <c r="N65" s="12">
        <v>57</v>
      </c>
      <c r="O65" s="65"/>
      <c r="P65" s="49"/>
      <c r="Q65" s="50"/>
      <c r="R65" s="51"/>
      <c r="S65" s="52"/>
      <c r="T65" s="53"/>
      <c r="U65" s="54"/>
      <c r="V65" s="62"/>
      <c r="X65" s="1">
        <f t="shared" ca="1" si="14"/>
        <v>1</v>
      </c>
      <c r="Z65" s="1">
        <f t="shared" si="17"/>
        <v>0</v>
      </c>
      <c r="AA65" s="1">
        <f t="shared" si="17"/>
        <v>0</v>
      </c>
      <c r="AB65" s="1">
        <f t="shared" si="17"/>
        <v>0</v>
      </c>
      <c r="AC65" s="1">
        <f t="shared" si="17"/>
        <v>0</v>
      </c>
      <c r="AD65" s="1">
        <f t="shared" si="17"/>
        <v>0</v>
      </c>
      <c r="AE65" s="1">
        <f t="shared" si="17"/>
        <v>0</v>
      </c>
      <c r="AF65" s="1">
        <f t="shared" si="17"/>
        <v>0</v>
      </c>
      <c r="AG65" s="1">
        <f t="shared" si="17"/>
        <v>0</v>
      </c>
      <c r="AH65" s="1">
        <f t="shared" si="17"/>
        <v>0</v>
      </c>
      <c r="AI65" s="1">
        <f t="shared" si="17"/>
        <v>0</v>
      </c>
      <c r="AJ65" s="1">
        <f t="shared" si="17"/>
        <v>0</v>
      </c>
      <c r="AK65" s="1">
        <f t="shared" si="17"/>
        <v>0</v>
      </c>
    </row>
    <row r="66" spans="1:37" ht="14.1" customHeight="1" x14ac:dyDescent="0.2">
      <c r="A66" s="16">
        <v>10</v>
      </c>
      <c r="B66" s="65"/>
      <c r="C66" s="103" t="str">
        <f>ANUAL!$C150</f>
        <v>S03</v>
      </c>
      <c r="D66" s="302" t="str">
        <f>ANUAL!$D150</f>
        <v>SAÚDE – ACADEMIA</v>
      </c>
      <c r="E66" s="302"/>
      <c r="F66" s="302"/>
      <c r="G66" s="104">
        <f t="shared" si="16"/>
        <v>0</v>
      </c>
      <c r="H66" s="62"/>
      <c r="N66" s="16">
        <v>58</v>
      </c>
      <c r="O66" s="65"/>
      <c r="P66" s="55"/>
      <c r="Q66" s="56"/>
      <c r="R66" s="57"/>
      <c r="S66" s="58"/>
      <c r="T66" s="59"/>
      <c r="U66" s="60"/>
      <c r="V66" s="62"/>
      <c r="X66" s="1">
        <f t="shared" ca="1" si="14"/>
        <v>1</v>
      </c>
      <c r="Z66" s="1">
        <f t="shared" si="17"/>
        <v>0</v>
      </c>
      <c r="AA66" s="1">
        <f t="shared" si="17"/>
        <v>0</v>
      </c>
      <c r="AB66" s="1">
        <f t="shared" si="17"/>
        <v>0</v>
      </c>
      <c r="AC66" s="1">
        <f t="shared" si="17"/>
        <v>0</v>
      </c>
      <c r="AD66" s="1">
        <f t="shared" si="17"/>
        <v>0</v>
      </c>
      <c r="AE66" s="1">
        <f t="shared" si="17"/>
        <v>0</v>
      </c>
      <c r="AF66" s="1">
        <f t="shared" si="17"/>
        <v>0</v>
      </c>
      <c r="AG66" s="1">
        <f t="shared" si="17"/>
        <v>0</v>
      </c>
      <c r="AH66" s="1">
        <f t="shared" si="17"/>
        <v>0</v>
      </c>
      <c r="AI66" s="1">
        <f t="shared" si="17"/>
        <v>0</v>
      </c>
      <c r="AJ66" s="1">
        <f t="shared" si="17"/>
        <v>0</v>
      </c>
      <c r="AK66" s="1">
        <f t="shared" si="17"/>
        <v>0</v>
      </c>
    </row>
    <row r="67" spans="1:37" ht="14.1" customHeight="1" x14ac:dyDescent="0.2">
      <c r="A67" s="12">
        <v>11</v>
      </c>
      <c r="B67" s="65"/>
      <c r="C67" s="101" t="str">
        <f>ANUAL!$C151</f>
        <v>C01</v>
      </c>
      <c r="D67" s="303" t="str">
        <f>ANUAL!$D151</f>
        <v>COMPRAS</v>
      </c>
      <c r="E67" s="303"/>
      <c r="F67" s="303"/>
      <c r="G67" s="102">
        <f t="shared" si="16"/>
        <v>0</v>
      </c>
      <c r="H67" s="62"/>
      <c r="N67" s="12">
        <v>59</v>
      </c>
      <c r="O67" s="65"/>
      <c r="P67" s="49"/>
      <c r="Q67" s="50"/>
      <c r="R67" s="51"/>
      <c r="S67" s="52"/>
      <c r="T67" s="53"/>
      <c r="U67" s="54"/>
      <c r="V67" s="62"/>
      <c r="X67" s="1">
        <f t="shared" ca="1" si="14"/>
        <v>1</v>
      </c>
      <c r="Z67" s="1">
        <f t="shared" si="17"/>
        <v>0</v>
      </c>
      <c r="AA67" s="1">
        <f t="shared" si="17"/>
        <v>0</v>
      </c>
      <c r="AB67" s="1">
        <f t="shared" si="17"/>
        <v>0</v>
      </c>
      <c r="AC67" s="1">
        <f t="shared" si="17"/>
        <v>0</v>
      </c>
      <c r="AD67" s="1">
        <f t="shared" si="17"/>
        <v>0</v>
      </c>
      <c r="AE67" s="1">
        <f t="shared" si="17"/>
        <v>0</v>
      </c>
      <c r="AF67" s="1">
        <f t="shared" si="17"/>
        <v>0</v>
      </c>
      <c r="AG67" s="1">
        <f t="shared" si="17"/>
        <v>0</v>
      </c>
      <c r="AH67" s="1">
        <f t="shared" si="17"/>
        <v>0</v>
      </c>
      <c r="AI67" s="1">
        <f t="shared" si="17"/>
        <v>0</v>
      </c>
      <c r="AJ67" s="1">
        <f t="shared" si="17"/>
        <v>0</v>
      </c>
      <c r="AK67" s="1">
        <f t="shared" si="17"/>
        <v>0</v>
      </c>
    </row>
    <row r="68" spans="1:37" ht="14.1" customHeight="1" x14ac:dyDescent="0.2">
      <c r="A68" s="16">
        <v>12</v>
      </c>
      <c r="B68" s="65"/>
      <c r="C68" s="103" t="str">
        <f>ANUAL!$C152</f>
        <v>L01</v>
      </c>
      <c r="D68" s="302" t="str">
        <f>ANUAL!$D152</f>
        <v>LAZER</v>
      </c>
      <c r="E68" s="302"/>
      <c r="F68" s="302"/>
      <c r="G68" s="104">
        <f t="shared" si="16"/>
        <v>0</v>
      </c>
      <c r="H68" s="62"/>
      <c r="N68" s="16">
        <v>60</v>
      </c>
      <c r="O68" s="65"/>
      <c r="P68" s="55"/>
      <c r="Q68" s="56"/>
      <c r="R68" s="57"/>
      <c r="S68" s="58"/>
      <c r="T68" s="59"/>
      <c r="U68" s="60"/>
      <c r="V68" s="62"/>
      <c r="X68" s="1">
        <f t="shared" ca="1" si="14"/>
        <v>1</v>
      </c>
      <c r="Z68" s="1">
        <f t="shared" si="17"/>
        <v>0</v>
      </c>
      <c r="AA68" s="1">
        <f t="shared" si="17"/>
        <v>0</v>
      </c>
      <c r="AB68" s="1">
        <f t="shared" si="17"/>
        <v>0</v>
      </c>
      <c r="AC68" s="1">
        <f t="shared" si="17"/>
        <v>0</v>
      </c>
      <c r="AD68" s="1">
        <f t="shared" si="17"/>
        <v>0</v>
      </c>
      <c r="AE68" s="1">
        <f t="shared" si="17"/>
        <v>0</v>
      </c>
      <c r="AF68" s="1">
        <f t="shared" si="17"/>
        <v>0</v>
      </c>
      <c r="AG68" s="1">
        <f t="shared" si="17"/>
        <v>0</v>
      </c>
      <c r="AH68" s="1">
        <f t="shared" si="17"/>
        <v>0</v>
      </c>
      <c r="AI68" s="1">
        <f t="shared" si="17"/>
        <v>0</v>
      </c>
      <c r="AJ68" s="1">
        <f t="shared" si="17"/>
        <v>0</v>
      </c>
      <c r="AK68" s="1">
        <f t="shared" si="17"/>
        <v>0</v>
      </c>
    </row>
    <row r="69" spans="1:37" ht="14.1" customHeight="1" x14ac:dyDescent="0.2">
      <c r="A69" s="12">
        <v>13</v>
      </c>
      <c r="B69" s="65"/>
      <c r="C69" s="101" t="str">
        <f>ANUAL!$C153</f>
        <v>A01</v>
      </c>
      <c r="D69" s="303" t="str">
        <f>ANUAL!$D153</f>
        <v>ALIMENTAÇÃO – ALMOÇO</v>
      </c>
      <c r="E69" s="303"/>
      <c r="F69" s="303"/>
      <c r="G69" s="102">
        <f t="shared" si="16"/>
        <v>0</v>
      </c>
      <c r="H69" s="62"/>
      <c r="N69" s="12">
        <v>61</v>
      </c>
      <c r="O69" s="65"/>
      <c r="P69" s="49"/>
      <c r="Q69" s="50"/>
      <c r="R69" s="51"/>
      <c r="S69" s="52"/>
      <c r="T69" s="53"/>
      <c r="U69" s="54"/>
      <c r="V69" s="62"/>
      <c r="X69" s="1">
        <f t="shared" ca="1" si="14"/>
        <v>1</v>
      </c>
      <c r="Z69" s="1">
        <f t="shared" ref="Z69:AK78" si="18">IF(Z$8=$R69,-$T69,0)+IF(Z$8=$S69,$T69,0)</f>
        <v>0</v>
      </c>
      <c r="AA69" s="1">
        <f t="shared" si="18"/>
        <v>0</v>
      </c>
      <c r="AB69" s="1">
        <f t="shared" si="18"/>
        <v>0</v>
      </c>
      <c r="AC69" s="1">
        <f t="shared" si="18"/>
        <v>0</v>
      </c>
      <c r="AD69" s="1">
        <f t="shared" si="18"/>
        <v>0</v>
      </c>
      <c r="AE69" s="1">
        <f t="shared" si="18"/>
        <v>0</v>
      </c>
      <c r="AF69" s="1">
        <f t="shared" si="18"/>
        <v>0</v>
      </c>
      <c r="AG69" s="1">
        <f t="shared" si="18"/>
        <v>0</v>
      </c>
      <c r="AH69" s="1">
        <f t="shared" si="18"/>
        <v>0</v>
      </c>
      <c r="AI69" s="1">
        <f t="shared" si="18"/>
        <v>0</v>
      </c>
      <c r="AJ69" s="1">
        <f t="shared" si="18"/>
        <v>0</v>
      </c>
      <c r="AK69" s="1">
        <f t="shared" si="18"/>
        <v>0</v>
      </c>
    </row>
    <row r="70" spans="1:37" ht="14.1" customHeight="1" x14ac:dyDescent="0.2">
      <c r="A70" s="16">
        <v>14</v>
      </c>
      <c r="B70" s="65"/>
      <c r="C70" s="103" t="str">
        <f>ANUAL!$C154</f>
        <v>A02</v>
      </c>
      <c r="D70" s="302" t="str">
        <f>ANUAL!$D154</f>
        <v>ALIMENTAÇÃO – COMPRA MENSAL</v>
      </c>
      <c r="E70" s="302"/>
      <c r="F70" s="302"/>
      <c r="G70" s="104">
        <f t="shared" si="16"/>
        <v>0</v>
      </c>
      <c r="H70" s="62"/>
      <c r="N70" s="16">
        <v>62</v>
      </c>
      <c r="O70" s="65"/>
      <c r="P70" s="55"/>
      <c r="Q70" s="56"/>
      <c r="R70" s="57"/>
      <c r="S70" s="58"/>
      <c r="T70" s="59"/>
      <c r="U70" s="60"/>
      <c r="V70" s="62"/>
      <c r="X70" s="1">
        <f t="shared" ca="1" si="14"/>
        <v>1</v>
      </c>
      <c r="Z70" s="1">
        <f t="shared" si="18"/>
        <v>0</v>
      </c>
      <c r="AA70" s="1">
        <f t="shared" si="18"/>
        <v>0</v>
      </c>
      <c r="AB70" s="1">
        <f t="shared" si="18"/>
        <v>0</v>
      </c>
      <c r="AC70" s="1">
        <f t="shared" si="18"/>
        <v>0</v>
      </c>
      <c r="AD70" s="1">
        <f t="shared" si="18"/>
        <v>0</v>
      </c>
      <c r="AE70" s="1">
        <f t="shared" si="18"/>
        <v>0</v>
      </c>
      <c r="AF70" s="1">
        <f t="shared" si="18"/>
        <v>0</v>
      </c>
      <c r="AG70" s="1">
        <f t="shared" si="18"/>
        <v>0</v>
      </c>
      <c r="AH70" s="1">
        <f t="shared" si="18"/>
        <v>0</v>
      </c>
      <c r="AI70" s="1">
        <f t="shared" si="18"/>
        <v>0</v>
      </c>
      <c r="AJ70" s="1">
        <f t="shared" si="18"/>
        <v>0</v>
      </c>
      <c r="AK70" s="1">
        <f t="shared" si="18"/>
        <v>0</v>
      </c>
    </row>
    <row r="71" spans="1:37" ht="14.1" customHeight="1" x14ac:dyDescent="0.2">
      <c r="A71" s="12">
        <v>15</v>
      </c>
      <c r="B71" s="65"/>
      <c r="C71" s="101" t="str">
        <f>ANUAL!$C155</f>
        <v>A03</v>
      </c>
      <c r="D71" s="303" t="str">
        <f>ANUAL!$D155</f>
        <v>ALIMENTAÇÃO – FEIRAS SEMANAIS</v>
      </c>
      <c r="E71" s="303"/>
      <c r="F71" s="303"/>
      <c r="G71" s="102">
        <f t="shared" si="16"/>
        <v>0</v>
      </c>
      <c r="H71" s="62"/>
      <c r="N71" s="12">
        <v>63</v>
      </c>
      <c r="O71" s="65"/>
      <c r="P71" s="49"/>
      <c r="Q71" s="50"/>
      <c r="R71" s="51"/>
      <c r="S71" s="52"/>
      <c r="T71" s="53"/>
      <c r="U71" s="54"/>
      <c r="V71" s="62"/>
      <c r="X71" s="1">
        <f t="shared" ca="1" si="14"/>
        <v>1</v>
      </c>
      <c r="Z71" s="1">
        <f t="shared" si="18"/>
        <v>0</v>
      </c>
      <c r="AA71" s="1">
        <f t="shared" si="18"/>
        <v>0</v>
      </c>
      <c r="AB71" s="1">
        <f t="shared" si="18"/>
        <v>0</v>
      </c>
      <c r="AC71" s="1">
        <f t="shared" si="18"/>
        <v>0</v>
      </c>
      <c r="AD71" s="1">
        <f t="shared" si="18"/>
        <v>0</v>
      </c>
      <c r="AE71" s="1">
        <f t="shared" si="18"/>
        <v>0</v>
      </c>
      <c r="AF71" s="1">
        <f t="shared" si="18"/>
        <v>0</v>
      </c>
      <c r="AG71" s="1">
        <f t="shared" si="18"/>
        <v>0</v>
      </c>
      <c r="AH71" s="1">
        <f t="shared" si="18"/>
        <v>0</v>
      </c>
      <c r="AI71" s="1">
        <f t="shared" si="18"/>
        <v>0</v>
      </c>
      <c r="AJ71" s="1">
        <f t="shared" si="18"/>
        <v>0</v>
      </c>
      <c r="AK71" s="1">
        <f t="shared" si="18"/>
        <v>0</v>
      </c>
    </row>
    <row r="72" spans="1:37" ht="14.1" customHeight="1" x14ac:dyDescent="0.2">
      <c r="A72" s="16">
        <v>16</v>
      </c>
      <c r="B72" s="65"/>
      <c r="C72" s="103" t="str">
        <f>ANUAL!$C156</f>
        <v>T01</v>
      </c>
      <c r="D72" s="302" t="str">
        <f>ANUAL!$D156</f>
        <v>TELECOM – CELULAR</v>
      </c>
      <c r="E72" s="302"/>
      <c r="F72" s="302"/>
      <c r="G72" s="104">
        <f t="shared" si="16"/>
        <v>0</v>
      </c>
      <c r="H72" s="62"/>
      <c r="N72" s="16">
        <v>64</v>
      </c>
      <c r="O72" s="65"/>
      <c r="P72" s="55"/>
      <c r="Q72" s="56"/>
      <c r="R72" s="57"/>
      <c r="S72" s="58"/>
      <c r="T72" s="59"/>
      <c r="U72" s="60"/>
      <c r="V72" s="62"/>
      <c r="X72" s="1">
        <f t="shared" ca="1" si="14"/>
        <v>1</v>
      </c>
      <c r="Z72" s="1">
        <f t="shared" si="18"/>
        <v>0</v>
      </c>
      <c r="AA72" s="1">
        <f t="shared" si="18"/>
        <v>0</v>
      </c>
      <c r="AB72" s="1">
        <f t="shared" si="18"/>
        <v>0</v>
      </c>
      <c r="AC72" s="1">
        <f t="shared" si="18"/>
        <v>0</v>
      </c>
      <c r="AD72" s="1">
        <f t="shared" si="18"/>
        <v>0</v>
      </c>
      <c r="AE72" s="1">
        <f t="shared" si="18"/>
        <v>0</v>
      </c>
      <c r="AF72" s="1">
        <f t="shared" si="18"/>
        <v>0</v>
      </c>
      <c r="AG72" s="1">
        <f t="shared" si="18"/>
        <v>0</v>
      </c>
      <c r="AH72" s="1">
        <f t="shared" si="18"/>
        <v>0</v>
      </c>
      <c r="AI72" s="1">
        <f t="shared" si="18"/>
        <v>0</v>
      </c>
      <c r="AJ72" s="1">
        <f t="shared" si="18"/>
        <v>0</v>
      </c>
      <c r="AK72" s="1">
        <f t="shared" si="18"/>
        <v>0</v>
      </c>
    </row>
    <row r="73" spans="1:37" ht="14.1" customHeight="1" x14ac:dyDescent="0.2">
      <c r="A73" s="12">
        <v>17</v>
      </c>
      <c r="B73" s="65"/>
      <c r="C73" s="101" t="str">
        <f>ANUAL!$C157</f>
        <v>T02</v>
      </c>
      <c r="D73" s="303" t="str">
        <f>ANUAL!$D157</f>
        <v>TELECOM – INTERNET</v>
      </c>
      <c r="E73" s="303"/>
      <c r="F73" s="303"/>
      <c r="G73" s="102">
        <f t="shared" si="16"/>
        <v>0</v>
      </c>
      <c r="H73" s="62"/>
      <c r="N73" s="12">
        <v>65</v>
      </c>
      <c r="O73" s="65"/>
      <c r="P73" s="49"/>
      <c r="Q73" s="50"/>
      <c r="R73" s="51"/>
      <c r="S73" s="52"/>
      <c r="T73" s="53"/>
      <c r="U73" s="54"/>
      <c r="V73" s="62"/>
      <c r="X73" s="1">
        <f t="shared" ref="X73:X88" ca="1" si="19">IF(P73&lt;NOW(),1,0)</f>
        <v>1</v>
      </c>
      <c r="Z73" s="1">
        <f t="shared" si="18"/>
        <v>0</v>
      </c>
      <c r="AA73" s="1">
        <f t="shared" si="18"/>
        <v>0</v>
      </c>
      <c r="AB73" s="1">
        <f t="shared" si="18"/>
        <v>0</v>
      </c>
      <c r="AC73" s="1">
        <f t="shared" si="18"/>
        <v>0</v>
      </c>
      <c r="AD73" s="1">
        <f t="shared" si="18"/>
        <v>0</v>
      </c>
      <c r="AE73" s="1">
        <f t="shared" si="18"/>
        <v>0</v>
      </c>
      <c r="AF73" s="1">
        <f t="shared" si="18"/>
        <v>0</v>
      </c>
      <c r="AG73" s="1">
        <f t="shared" si="18"/>
        <v>0</v>
      </c>
      <c r="AH73" s="1">
        <f t="shared" si="18"/>
        <v>0</v>
      </c>
      <c r="AI73" s="1">
        <f t="shared" si="18"/>
        <v>0</v>
      </c>
      <c r="AJ73" s="1">
        <f t="shared" si="18"/>
        <v>0</v>
      </c>
      <c r="AK73" s="1">
        <f t="shared" si="18"/>
        <v>0</v>
      </c>
    </row>
    <row r="74" spans="1:37" ht="14.1" customHeight="1" x14ac:dyDescent="0.2">
      <c r="A74" s="16">
        <v>18</v>
      </c>
      <c r="B74" s="65"/>
      <c r="C74" s="103" t="str">
        <f>ANUAL!$C158</f>
        <v>T03</v>
      </c>
      <c r="D74" s="302" t="str">
        <f>ANUAL!$D158</f>
        <v>TELECOM – FIXO</v>
      </c>
      <c r="E74" s="302"/>
      <c r="F74" s="302"/>
      <c r="G74" s="104">
        <f t="shared" si="16"/>
        <v>0</v>
      </c>
      <c r="H74" s="62"/>
      <c r="N74" s="16">
        <v>66</v>
      </c>
      <c r="O74" s="65"/>
      <c r="P74" s="55"/>
      <c r="Q74" s="56"/>
      <c r="R74" s="57"/>
      <c r="S74" s="58"/>
      <c r="T74" s="59"/>
      <c r="U74" s="60"/>
      <c r="V74" s="62"/>
      <c r="X74" s="1">
        <f t="shared" ca="1" si="19"/>
        <v>1</v>
      </c>
      <c r="Z74" s="1">
        <f t="shared" si="18"/>
        <v>0</v>
      </c>
      <c r="AA74" s="1">
        <f t="shared" si="18"/>
        <v>0</v>
      </c>
      <c r="AB74" s="1">
        <f t="shared" si="18"/>
        <v>0</v>
      </c>
      <c r="AC74" s="1">
        <f t="shared" si="18"/>
        <v>0</v>
      </c>
      <c r="AD74" s="1">
        <f t="shared" si="18"/>
        <v>0</v>
      </c>
      <c r="AE74" s="1">
        <f t="shared" si="18"/>
        <v>0</v>
      </c>
      <c r="AF74" s="1">
        <f t="shared" si="18"/>
        <v>0</v>
      </c>
      <c r="AG74" s="1">
        <f t="shared" si="18"/>
        <v>0</v>
      </c>
      <c r="AH74" s="1">
        <f t="shared" si="18"/>
        <v>0</v>
      </c>
      <c r="AI74" s="1">
        <f t="shared" si="18"/>
        <v>0</v>
      </c>
      <c r="AJ74" s="1">
        <f t="shared" si="18"/>
        <v>0</v>
      </c>
      <c r="AK74" s="1">
        <f t="shared" si="18"/>
        <v>0</v>
      </c>
    </row>
    <row r="75" spans="1:37" ht="14.1" customHeight="1" x14ac:dyDescent="0.2">
      <c r="A75" s="12">
        <v>19</v>
      </c>
      <c r="B75" s="65"/>
      <c r="C75" s="101" t="str">
        <f>ANUAL!$C159</f>
        <v>R01</v>
      </c>
      <c r="D75" s="303" t="str">
        <f>ANUAL!$D159</f>
        <v>CARRO – SEGURO</v>
      </c>
      <c r="E75" s="303"/>
      <c r="F75" s="303"/>
      <c r="G75" s="102">
        <f t="shared" si="16"/>
        <v>0</v>
      </c>
      <c r="H75" s="62"/>
      <c r="N75" s="12">
        <v>67</v>
      </c>
      <c r="O75" s="65"/>
      <c r="P75" s="49"/>
      <c r="Q75" s="50"/>
      <c r="R75" s="51"/>
      <c r="S75" s="52"/>
      <c r="T75" s="53"/>
      <c r="U75" s="54"/>
      <c r="V75" s="62"/>
      <c r="X75" s="1">
        <f t="shared" ca="1" si="19"/>
        <v>1</v>
      </c>
      <c r="Z75" s="1">
        <f t="shared" si="18"/>
        <v>0</v>
      </c>
      <c r="AA75" s="1">
        <f t="shared" si="18"/>
        <v>0</v>
      </c>
      <c r="AB75" s="1">
        <f t="shared" si="18"/>
        <v>0</v>
      </c>
      <c r="AC75" s="1">
        <f t="shared" si="18"/>
        <v>0</v>
      </c>
      <c r="AD75" s="1">
        <f t="shared" si="18"/>
        <v>0</v>
      </c>
      <c r="AE75" s="1">
        <f t="shared" si="18"/>
        <v>0</v>
      </c>
      <c r="AF75" s="1">
        <f t="shared" si="18"/>
        <v>0</v>
      </c>
      <c r="AG75" s="1">
        <f t="shared" si="18"/>
        <v>0</v>
      </c>
      <c r="AH75" s="1">
        <f t="shared" si="18"/>
        <v>0</v>
      </c>
      <c r="AI75" s="1">
        <f t="shared" si="18"/>
        <v>0</v>
      </c>
      <c r="AJ75" s="1">
        <f t="shared" si="18"/>
        <v>0</v>
      </c>
      <c r="AK75" s="1">
        <f t="shared" si="18"/>
        <v>0</v>
      </c>
    </row>
    <row r="76" spans="1:37" ht="14.1" customHeight="1" x14ac:dyDescent="0.2">
      <c r="A76" s="16">
        <v>20</v>
      </c>
      <c r="B76" s="65"/>
      <c r="C76" s="103" t="str">
        <f>ANUAL!$C160</f>
        <v>R02</v>
      </c>
      <c r="D76" s="302" t="str">
        <f>ANUAL!$D160</f>
        <v>CARRO – COMBUSTÍVEL</v>
      </c>
      <c r="E76" s="302"/>
      <c r="F76" s="302"/>
      <c r="G76" s="104">
        <f t="shared" si="16"/>
        <v>0</v>
      </c>
      <c r="H76" s="62"/>
      <c r="N76" s="16">
        <v>68</v>
      </c>
      <c r="O76" s="65"/>
      <c r="P76" s="55"/>
      <c r="Q76" s="56"/>
      <c r="R76" s="57"/>
      <c r="S76" s="58"/>
      <c r="T76" s="59"/>
      <c r="U76" s="60"/>
      <c r="V76" s="62"/>
      <c r="X76" s="1">
        <f t="shared" ca="1" si="19"/>
        <v>1</v>
      </c>
      <c r="Z76" s="1">
        <f t="shared" si="18"/>
        <v>0</v>
      </c>
      <c r="AA76" s="1">
        <f t="shared" si="18"/>
        <v>0</v>
      </c>
      <c r="AB76" s="1">
        <f t="shared" si="18"/>
        <v>0</v>
      </c>
      <c r="AC76" s="1">
        <f t="shared" si="18"/>
        <v>0</v>
      </c>
      <c r="AD76" s="1">
        <f t="shared" si="18"/>
        <v>0</v>
      </c>
      <c r="AE76" s="1">
        <f t="shared" si="18"/>
        <v>0</v>
      </c>
      <c r="AF76" s="1">
        <f t="shared" si="18"/>
        <v>0</v>
      </c>
      <c r="AG76" s="1">
        <f t="shared" si="18"/>
        <v>0</v>
      </c>
      <c r="AH76" s="1">
        <f t="shared" si="18"/>
        <v>0</v>
      </c>
      <c r="AI76" s="1">
        <f t="shared" si="18"/>
        <v>0</v>
      </c>
      <c r="AJ76" s="1">
        <f t="shared" si="18"/>
        <v>0</v>
      </c>
      <c r="AK76" s="1">
        <f t="shared" si="18"/>
        <v>0</v>
      </c>
    </row>
    <row r="77" spans="1:37" ht="14.1" customHeight="1" x14ac:dyDescent="0.2">
      <c r="A77" s="12">
        <v>21</v>
      </c>
      <c r="B77" s="65"/>
      <c r="C77" s="101" t="str">
        <f>ANUAL!$C161</f>
        <v>R03</v>
      </c>
      <c r="D77" s="303" t="str">
        <f>ANUAL!$D161</f>
        <v>CARRO – CONSERTOS</v>
      </c>
      <c r="E77" s="303"/>
      <c r="F77" s="303"/>
      <c r="G77" s="102">
        <f t="shared" si="16"/>
        <v>0</v>
      </c>
      <c r="H77" s="62"/>
      <c r="N77" s="12">
        <v>69</v>
      </c>
      <c r="O77" s="65"/>
      <c r="P77" s="49"/>
      <c r="Q77" s="50"/>
      <c r="R77" s="51"/>
      <c r="S77" s="52"/>
      <c r="T77" s="53"/>
      <c r="U77" s="54"/>
      <c r="V77" s="62"/>
      <c r="X77" s="1">
        <f t="shared" ca="1" si="19"/>
        <v>1</v>
      </c>
      <c r="Z77" s="1">
        <f t="shared" si="18"/>
        <v>0</v>
      </c>
      <c r="AA77" s="1">
        <f t="shared" si="18"/>
        <v>0</v>
      </c>
      <c r="AB77" s="1">
        <f t="shared" si="18"/>
        <v>0</v>
      </c>
      <c r="AC77" s="1">
        <f t="shared" si="18"/>
        <v>0</v>
      </c>
      <c r="AD77" s="1">
        <f t="shared" si="18"/>
        <v>0</v>
      </c>
      <c r="AE77" s="1">
        <f t="shared" si="18"/>
        <v>0</v>
      </c>
      <c r="AF77" s="1">
        <f t="shared" si="18"/>
        <v>0</v>
      </c>
      <c r="AG77" s="1">
        <f t="shared" si="18"/>
        <v>0</v>
      </c>
      <c r="AH77" s="1">
        <f t="shared" si="18"/>
        <v>0</v>
      </c>
      <c r="AI77" s="1">
        <f t="shared" si="18"/>
        <v>0</v>
      </c>
      <c r="AJ77" s="1">
        <f t="shared" si="18"/>
        <v>0</v>
      </c>
      <c r="AK77" s="1">
        <f t="shared" si="18"/>
        <v>0</v>
      </c>
    </row>
    <row r="78" spans="1:37" ht="14.1" customHeight="1" x14ac:dyDescent="0.2">
      <c r="A78" s="16">
        <v>22</v>
      </c>
      <c r="B78" s="65"/>
      <c r="C78" s="103" t="str">
        <f>ANUAL!$C162</f>
        <v>R04</v>
      </c>
      <c r="D78" s="302" t="str">
        <f>ANUAL!$D162</f>
        <v>CARRO – PRESTAÇOES</v>
      </c>
      <c r="E78" s="302"/>
      <c r="F78" s="302"/>
      <c r="G78" s="104">
        <f t="shared" si="16"/>
        <v>0</v>
      </c>
      <c r="H78" s="62"/>
      <c r="N78" s="16">
        <v>70</v>
      </c>
      <c r="O78" s="65"/>
      <c r="P78" s="55"/>
      <c r="Q78" s="56"/>
      <c r="R78" s="57"/>
      <c r="S78" s="58"/>
      <c r="T78" s="59"/>
      <c r="U78" s="60"/>
      <c r="V78" s="62"/>
      <c r="X78" s="1">
        <f t="shared" ca="1" si="19"/>
        <v>1</v>
      </c>
      <c r="Z78" s="1">
        <f t="shared" si="18"/>
        <v>0</v>
      </c>
      <c r="AA78" s="1">
        <f t="shared" si="18"/>
        <v>0</v>
      </c>
      <c r="AB78" s="1">
        <f t="shared" si="18"/>
        <v>0</v>
      </c>
      <c r="AC78" s="1">
        <f t="shared" si="18"/>
        <v>0</v>
      </c>
      <c r="AD78" s="1">
        <f t="shared" si="18"/>
        <v>0</v>
      </c>
      <c r="AE78" s="1">
        <f t="shared" si="18"/>
        <v>0</v>
      </c>
      <c r="AF78" s="1">
        <f t="shared" si="18"/>
        <v>0</v>
      </c>
      <c r="AG78" s="1">
        <f t="shared" si="18"/>
        <v>0</v>
      </c>
      <c r="AH78" s="1">
        <f t="shared" si="18"/>
        <v>0</v>
      </c>
      <c r="AI78" s="1">
        <f t="shared" si="18"/>
        <v>0</v>
      </c>
      <c r="AJ78" s="1">
        <f t="shared" si="18"/>
        <v>0</v>
      </c>
      <c r="AK78" s="1">
        <f t="shared" si="18"/>
        <v>0</v>
      </c>
    </row>
    <row r="79" spans="1:37" ht="14.1" customHeight="1" x14ac:dyDescent="0.2">
      <c r="A79" s="12">
        <v>23</v>
      </c>
      <c r="B79" s="65"/>
      <c r="C79" s="101" t="str">
        <f>ANUAL!$C163</f>
        <v>B01</v>
      </c>
      <c r="D79" s="303" t="str">
        <f>ANUAL!$D163</f>
        <v>BANCO – TAXAS, JUROS ETC.</v>
      </c>
      <c r="E79" s="303"/>
      <c r="F79" s="303"/>
      <c r="G79" s="102">
        <f t="shared" si="16"/>
        <v>0</v>
      </c>
      <c r="H79" s="62"/>
      <c r="N79" s="12">
        <v>71</v>
      </c>
      <c r="O79" s="65"/>
      <c r="P79" s="49"/>
      <c r="Q79" s="50"/>
      <c r="R79" s="51"/>
      <c r="S79" s="52"/>
      <c r="T79" s="53"/>
      <c r="U79" s="54"/>
      <c r="V79" s="62"/>
      <c r="X79" s="1">
        <f t="shared" ca="1" si="19"/>
        <v>1</v>
      </c>
      <c r="Z79" s="1">
        <f t="shared" ref="Z79:AK88" si="20">IF(Z$8=$R79,-$T79,0)+IF(Z$8=$S79,$T79,0)</f>
        <v>0</v>
      </c>
      <c r="AA79" s="1">
        <f t="shared" si="20"/>
        <v>0</v>
      </c>
      <c r="AB79" s="1">
        <f t="shared" si="20"/>
        <v>0</v>
      </c>
      <c r="AC79" s="1">
        <f t="shared" si="20"/>
        <v>0</v>
      </c>
      <c r="AD79" s="1">
        <f t="shared" si="20"/>
        <v>0</v>
      </c>
      <c r="AE79" s="1">
        <f t="shared" si="20"/>
        <v>0</v>
      </c>
      <c r="AF79" s="1">
        <f t="shared" si="20"/>
        <v>0</v>
      </c>
      <c r="AG79" s="1">
        <f t="shared" si="20"/>
        <v>0</v>
      </c>
      <c r="AH79" s="1">
        <f t="shared" si="20"/>
        <v>0</v>
      </c>
      <c r="AI79" s="1">
        <f t="shared" si="20"/>
        <v>0</v>
      </c>
      <c r="AJ79" s="1">
        <f t="shared" si="20"/>
        <v>0</v>
      </c>
      <c r="AK79" s="1">
        <f t="shared" si="20"/>
        <v>0</v>
      </c>
    </row>
    <row r="80" spans="1:37" ht="14.1" customHeight="1" x14ac:dyDescent="0.2">
      <c r="A80" s="16">
        <v>24</v>
      </c>
      <c r="B80" s="65"/>
      <c r="C80" s="103" t="str">
        <f>ANUAL!$C164</f>
        <v>E01</v>
      </c>
      <c r="D80" s="302" t="str">
        <f>ANUAL!$D164</f>
        <v>EDUCAÇÃO / TREINAMENTO</v>
      </c>
      <c r="E80" s="302"/>
      <c r="F80" s="302"/>
      <c r="G80" s="104">
        <f t="shared" si="16"/>
        <v>0</v>
      </c>
      <c r="H80" s="62"/>
      <c r="N80" s="16">
        <v>72</v>
      </c>
      <c r="O80" s="65"/>
      <c r="P80" s="55"/>
      <c r="Q80" s="56"/>
      <c r="R80" s="57"/>
      <c r="S80" s="58"/>
      <c r="T80" s="59"/>
      <c r="U80" s="60"/>
      <c r="V80" s="62"/>
      <c r="X80" s="1">
        <f t="shared" ca="1" si="19"/>
        <v>1</v>
      </c>
      <c r="Z80" s="1">
        <f t="shared" si="20"/>
        <v>0</v>
      </c>
      <c r="AA80" s="1">
        <f t="shared" si="20"/>
        <v>0</v>
      </c>
      <c r="AB80" s="1">
        <f t="shared" si="20"/>
        <v>0</v>
      </c>
      <c r="AC80" s="1">
        <f t="shared" si="20"/>
        <v>0</v>
      </c>
      <c r="AD80" s="1">
        <f t="shared" si="20"/>
        <v>0</v>
      </c>
      <c r="AE80" s="1">
        <f t="shared" si="20"/>
        <v>0</v>
      </c>
      <c r="AF80" s="1">
        <f t="shared" si="20"/>
        <v>0</v>
      </c>
      <c r="AG80" s="1">
        <f t="shared" si="20"/>
        <v>0</v>
      </c>
      <c r="AH80" s="1">
        <f t="shared" si="20"/>
        <v>0</v>
      </c>
      <c r="AI80" s="1">
        <f t="shared" si="20"/>
        <v>0</v>
      </c>
      <c r="AJ80" s="1">
        <f t="shared" si="20"/>
        <v>0</v>
      </c>
      <c r="AK80" s="1">
        <f t="shared" si="20"/>
        <v>0</v>
      </c>
    </row>
    <row r="81" spans="1:37" ht="14.1" customHeight="1" x14ac:dyDescent="0.2">
      <c r="A81" s="12">
        <v>25</v>
      </c>
      <c r="B81" s="65"/>
      <c r="C81" s="101" t="str">
        <f>ANUAL!$C165</f>
        <v>V01</v>
      </c>
      <c r="D81" s="303" t="str">
        <f>ANUAL!$D165</f>
        <v>VIAGEM</v>
      </c>
      <c r="E81" s="303"/>
      <c r="F81" s="303"/>
      <c r="G81" s="102">
        <f t="shared" si="16"/>
        <v>0</v>
      </c>
      <c r="H81" s="62"/>
      <c r="N81" s="12">
        <v>73</v>
      </c>
      <c r="O81" s="65"/>
      <c r="P81" s="49"/>
      <c r="Q81" s="50"/>
      <c r="R81" s="51"/>
      <c r="S81" s="52"/>
      <c r="T81" s="53"/>
      <c r="U81" s="54"/>
      <c r="V81" s="62"/>
      <c r="X81" s="1">
        <f t="shared" ca="1" si="19"/>
        <v>1</v>
      </c>
      <c r="Z81" s="1">
        <f t="shared" si="20"/>
        <v>0</v>
      </c>
      <c r="AA81" s="1">
        <f t="shared" si="20"/>
        <v>0</v>
      </c>
      <c r="AB81" s="1">
        <f t="shared" si="20"/>
        <v>0</v>
      </c>
      <c r="AC81" s="1">
        <f t="shared" si="20"/>
        <v>0</v>
      </c>
      <c r="AD81" s="1">
        <f t="shared" si="20"/>
        <v>0</v>
      </c>
      <c r="AE81" s="1">
        <f t="shared" si="20"/>
        <v>0</v>
      </c>
      <c r="AF81" s="1">
        <f t="shared" si="20"/>
        <v>0</v>
      </c>
      <c r="AG81" s="1">
        <f t="shared" si="20"/>
        <v>0</v>
      </c>
      <c r="AH81" s="1">
        <f t="shared" si="20"/>
        <v>0</v>
      </c>
      <c r="AI81" s="1">
        <f t="shared" si="20"/>
        <v>0</v>
      </c>
      <c r="AJ81" s="1">
        <f t="shared" si="20"/>
        <v>0</v>
      </c>
      <c r="AK81" s="1">
        <f t="shared" si="20"/>
        <v>0</v>
      </c>
    </row>
    <row r="82" spans="1:37" ht="14.1" customHeight="1" x14ac:dyDescent="0.2">
      <c r="A82" s="16">
        <v>26</v>
      </c>
      <c r="B82" s="65"/>
      <c r="C82" s="103" t="str">
        <f>ANUAL!$C166</f>
        <v>P01</v>
      </c>
      <c r="D82" s="302" t="str">
        <f>ANUAL!$D166</f>
        <v>PESSOAL – DÍZIMO</v>
      </c>
      <c r="E82" s="302"/>
      <c r="F82" s="302"/>
      <c r="G82" s="104">
        <f t="shared" si="16"/>
        <v>0</v>
      </c>
      <c r="H82" s="62"/>
      <c r="I82" s="3"/>
      <c r="J82" s="3"/>
      <c r="K82" s="3"/>
      <c r="L82" s="3"/>
      <c r="M82" s="3"/>
      <c r="N82" s="16">
        <v>74</v>
      </c>
      <c r="O82" s="65"/>
      <c r="P82" s="55"/>
      <c r="Q82" s="56"/>
      <c r="R82" s="57"/>
      <c r="S82" s="58"/>
      <c r="T82" s="59"/>
      <c r="U82" s="60"/>
      <c r="V82" s="62"/>
      <c r="X82" s="1">
        <f t="shared" ca="1" si="19"/>
        <v>1</v>
      </c>
      <c r="Z82" s="1">
        <f t="shared" si="20"/>
        <v>0</v>
      </c>
      <c r="AA82" s="1">
        <f t="shared" si="20"/>
        <v>0</v>
      </c>
      <c r="AB82" s="1">
        <f t="shared" si="20"/>
        <v>0</v>
      </c>
      <c r="AC82" s="1">
        <f t="shared" si="20"/>
        <v>0</v>
      </c>
      <c r="AD82" s="1">
        <f t="shared" si="20"/>
        <v>0</v>
      </c>
      <c r="AE82" s="1">
        <f t="shared" si="20"/>
        <v>0</v>
      </c>
      <c r="AF82" s="1">
        <f t="shared" si="20"/>
        <v>0</v>
      </c>
      <c r="AG82" s="1">
        <f t="shared" si="20"/>
        <v>0</v>
      </c>
      <c r="AH82" s="1">
        <f t="shared" si="20"/>
        <v>0</v>
      </c>
      <c r="AI82" s="1">
        <f t="shared" si="20"/>
        <v>0</v>
      </c>
      <c r="AJ82" s="1">
        <f t="shared" si="20"/>
        <v>0</v>
      </c>
      <c r="AK82" s="1">
        <f t="shared" si="20"/>
        <v>0</v>
      </c>
    </row>
    <row r="83" spans="1:37" ht="14.1" customHeight="1" x14ac:dyDescent="0.2">
      <c r="A83" s="12">
        <v>27</v>
      </c>
      <c r="B83" s="65"/>
      <c r="C83" s="101" t="str">
        <f>ANUAL!$C167</f>
        <v>---</v>
      </c>
      <c r="D83" s="303" t="str">
        <f>ANUAL!$D167</f>
        <v>---</v>
      </c>
      <c r="E83" s="303"/>
      <c r="F83" s="303"/>
      <c r="G83" s="102">
        <f t="shared" si="16"/>
        <v>0</v>
      </c>
      <c r="H83" s="62"/>
      <c r="I83" s="3"/>
      <c r="J83" s="3"/>
      <c r="K83" s="3"/>
      <c r="L83" s="3"/>
      <c r="M83" s="3"/>
      <c r="N83" s="12">
        <v>75</v>
      </c>
      <c r="O83" s="65"/>
      <c r="P83" s="49"/>
      <c r="Q83" s="50"/>
      <c r="R83" s="51"/>
      <c r="S83" s="52"/>
      <c r="T83" s="53"/>
      <c r="U83" s="54"/>
      <c r="V83" s="62"/>
      <c r="X83" s="1">
        <f t="shared" ca="1" si="19"/>
        <v>1</v>
      </c>
      <c r="Z83" s="1">
        <f t="shared" si="20"/>
        <v>0</v>
      </c>
      <c r="AA83" s="1">
        <f t="shared" si="20"/>
        <v>0</v>
      </c>
      <c r="AB83" s="1">
        <f t="shared" si="20"/>
        <v>0</v>
      </c>
      <c r="AC83" s="1">
        <f t="shared" si="20"/>
        <v>0</v>
      </c>
      <c r="AD83" s="1">
        <f t="shared" si="20"/>
        <v>0</v>
      </c>
      <c r="AE83" s="1">
        <f t="shared" si="20"/>
        <v>0</v>
      </c>
      <c r="AF83" s="1">
        <f t="shared" si="20"/>
        <v>0</v>
      </c>
      <c r="AG83" s="1">
        <f t="shared" si="20"/>
        <v>0</v>
      </c>
      <c r="AH83" s="1">
        <f t="shared" si="20"/>
        <v>0</v>
      </c>
      <c r="AI83" s="1">
        <f t="shared" si="20"/>
        <v>0</v>
      </c>
      <c r="AJ83" s="1">
        <f t="shared" si="20"/>
        <v>0</v>
      </c>
      <c r="AK83" s="1">
        <f t="shared" si="20"/>
        <v>0</v>
      </c>
    </row>
    <row r="84" spans="1:37" ht="14.1" customHeight="1" x14ac:dyDescent="0.2">
      <c r="A84" s="16">
        <v>28</v>
      </c>
      <c r="B84" s="65"/>
      <c r="C84" s="103" t="str">
        <f>ANUAL!$C168</f>
        <v>---</v>
      </c>
      <c r="D84" s="302" t="str">
        <f>ANUAL!$D168</f>
        <v>---</v>
      </c>
      <c r="E84" s="302"/>
      <c r="F84" s="302"/>
      <c r="G84" s="104">
        <f t="shared" si="16"/>
        <v>0</v>
      </c>
      <c r="H84" s="62"/>
      <c r="I84" s="3"/>
      <c r="J84" s="3"/>
      <c r="K84" s="3"/>
      <c r="L84" s="3"/>
      <c r="M84" s="3"/>
      <c r="N84" s="16">
        <v>76</v>
      </c>
      <c r="O84" s="65"/>
      <c r="P84" s="55"/>
      <c r="Q84" s="56"/>
      <c r="R84" s="57"/>
      <c r="S84" s="58"/>
      <c r="T84" s="59"/>
      <c r="U84" s="60"/>
      <c r="V84" s="62"/>
      <c r="X84" s="1">
        <f t="shared" ca="1" si="19"/>
        <v>1</v>
      </c>
      <c r="Z84" s="1">
        <f t="shared" si="20"/>
        <v>0</v>
      </c>
      <c r="AA84" s="1">
        <f t="shared" si="20"/>
        <v>0</v>
      </c>
      <c r="AB84" s="1">
        <f t="shared" si="20"/>
        <v>0</v>
      </c>
      <c r="AC84" s="1">
        <f t="shared" si="20"/>
        <v>0</v>
      </c>
      <c r="AD84" s="1">
        <f t="shared" si="20"/>
        <v>0</v>
      </c>
      <c r="AE84" s="1">
        <f t="shared" si="20"/>
        <v>0</v>
      </c>
      <c r="AF84" s="1">
        <f t="shared" si="20"/>
        <v>0</v>
      </c>
      <c r="AG84" s="1">
        <f t="shared" si="20"/>
        <v>0</v>
      </c>
      <c r="AH84" s="1">
        <f t="shared" si="20"/>
        <v>0</v>
      </c>
      <c r="AI84" s="1">
        <f t="shared" si="20"/>
        <v>0</v>
      </c>
      <c r="AJ84" s="1">
        <f t="shared" si="20"/>
        <v>0</v>
      </c>
      <c r="AK84" s="1">
        <f t="shared" si="20"/>
        <v>0</v>
      </c>
    </row>
    <row r="85" spans="1:37" ht="14.1" customHeight="1" x14ac:dyDescent="0.2">
      <c r="A85" s="12">
        <v>29</v>
      </c>
      <c r="B85" s="65"/>
      <c r="C85" s="101" t="str">
        <f>ANUAL!$C169</f>
        <v>---</v>
      </c>
      <c r="D85" s="303" t="str">
        <f>ANUAL!$D169</f>
        <v>---</v>
      </c>
      <c r="E85" s="303"/>
      <c r="F85" s="303"/>
      <c r="G85" s="102">
        <f t="shared" si="16"/>
        <v>0</v>
      </c>
      <c r="H85" s="62"/>
      <c r="I85" s="3"/>
      <c r="J85" s="3"/>
      <c r="K85" s="3"/>
      <c r="L85" s="3"/>
      <c r="M85" s="3"/>
      <c r="N85" s="12">
        <v>77</v>
      </c>
      <c r="O85" s="65"/>
      <c r="P85" s="49"/>
      <c r="Q85" s="50"/>
      <c r="R85" s="51"/>
      <c r="S85" s="52"/>
      <c r="T85" s="53"/>
      <c r="U85" s="54"/>
      <c r="V85" s="62"/>
      <c r="X85" s="1">
        <f t="shared" ca="1" si="19"/>
        <v>1</v>
      </c>
      <c r="Z85" s="1">
        <f t="shared" si="20"/>
        <v>0</v>
      </c>
      <c r="AA85" s="1">
        <f t="shared" si="20"/>
        <v>0</v>
      </c>
      <c r="AB85" s="1">
        <f t="shared" si="20"/>
        <v>0</v>
      </c>
      <c r="AC85" s="1">
        <f t="shared" si="20"/>
        <v>0</v>
      </c>
      <c r="AD85" s="1">
        <f t="shared" si="20"/>
        <v>0</v>
      </c>
      <c r="AE85" s="1">
        <f t="shared" si="20"/>
        <v>0</v>
      </c>
      <c r="AF85" s="1">
        <f t="shared" si="20"/>
        <v>0</v>
      </c>
      <c r="AG85" s="1">
        <f t="shared" si="20"/>
        <v>0</v>
      </c>
      <c r="AH85" s="1">
        <f t="shared" si="20"/>
        <v>0</v>
      </c>
      <c r="AI85" s="1">
        <f t="shared" si="20"/>
        <v>0</v>
      </c>
      <c r="AJ85" s="1">
        <f t="shared" si="20"/>
        <v>0</v>
      </c>
      <c r="AK85" s="1">
        <f t="shared" si="20"/>
        <v>0</v>
      </c>
    </row>
    <row r="86" spans="1:37" ht="14.1" customHeight="1" x14ac:dyDescent="0.2">
      <c r="A86" s="16">
        <v>30</v>
      </c>
      <c r="B86" s="65"/>
      <c r="C86" s="103" t="str">
        <f>ANUAL!$C170</f>
        <v>---</v>
      </c>
      <c r="D86" s="302" t="str">
        <f>ANUAL!$D170</f>
        <v>---</v>
      </c>
      <c r="E86" s="302"/>
      <c r="F86" s="302"/>
      <c r="G86" s="104">
        <f t="shared" si="16"/>
        <v>0</v>
      </c>
      <c r="H86" s="62"/>
      <c r="I86" s="3"/>
      <c r="J86" s="3"/>
      <c r="K86" s="3"/>
      <c r="L86" s="3"/>
      <c r="M86" s="3"/>
      <c r="N86" s="16">
        <v>78</v>
      </c>
      <c r="O86" s="65"/>
      <c r="P86" s="55"/>
      <c r="Q86" s="56"/>
      <c r="R86" s="57"/>
      <c r="S86" s="58"/>
      <c r="T86" s="59"/>
      <c r="U86" s="60"/>
      <c r="V86" s="62"/>
      <c r="X86" s="1">
        <f t="shared" ca="1" si="19"/>
        <v>1</v>
      </c>
      <c r="Z86" s="1">
        <f t="shared" si="20"/>
        <v>0</v>
      </c>
      <c r="AA86" s="1">
        <f t="shared" si="20"/>
        <v>0</v>
      </c>
      <c r="AB86" s="1">
        <f t="shared" si="20"/>
        <v>0</v>
      </c>
      <c r="AC86" s="1">
        <f t="shared" si="20"/>
        <v>0</v>
      </c>
      <c r="AD86" s="1">
        <f t="shared" si="20"/>
        <v>0</v>
      </c>
      <c r="AE86" s="1">
        <f t="shared" si="20"/>
        <v>0</v>
      </c>
      <c r="AF86" s="1">
        <f t="shared" si="20"/>
        <v>0</v>
      </c>
      <c r="AG86" s="1">
        <f t="shared" si="20"/>
        <v>0</v>
      </c>
      <c r="AH86" s="1">
        <f t="shared" si="20"/>
        <v>0</v>
      </c>
      <c r="AI86" s="1">
        <f t="shared" si="20"/>
        <v>0</v>
      </c>
      <c r="AJ86" s="1">
        <f t="shared" si="20"/>
        <v>0</v>
      </c>
      <c r="AK86" s="1">
        <f t="shared" si="20"/>
        <v>0</v>
      </c>
    </row>
    <row r="87" spans="1:37" ht="14.1" customHeight="1" x14ac:dyDescent="0.2">
      <c r="A87" s="12">
        <v>31</v>
      </c>
      <c r="B87" s="65"/>
      <c r="C87" s="101" t="str">
        <f>ANUAL!$C171</f>
        <v>---</v>
      </c>
      <c r="D87" s="303" t="str">
        <f>ANUAL!$D171</f>
        <v>---</v>
      </c>
      <c r="E87" s="303"/>
      <c r="F87" s="303"/>
      <c r="G87" s="102">
        <f t="shared" si="16"/>
        <v>0</v>
      </c>
      <c r="H87" s="62"/>
      <c r="I87" s="3"/>
      <c r="J87" s="3"/>
      <c r="K87" s="3"/>
      <c r="L87" s="3"/>
      <c r="M87" s="3"/>
      <c r="N87" s="12">
        <v>79</v>
      </c>
      <c r="O87" s="65"/>
      <c r="P87" s="49"/>
      <c r="Q87" s="50"/>
      <c r="R87" s="51"/>
      <c r="S87" s="52"/>
      <c r="T87" s="53"/>
      <c r="U87" s="54"/>
      <c r="V87" s="62"/>
      <c r="X87" s="1">
        <f t="shared" ca="1" si="19"/>
        <v>1</v>
      </c>
      <c r="Z87" s="1">
        <f t="shared" si="20"/>
        <v>0</v>
      </c>
      <c r="AA87" s="1">
        <f t="shared" si="20"/>
        <v>0</v>
      </c>
      <c r="AB87" s="1">
        <f t="shared" si="20"/>
        <v>0</v>
      </c>
      <c r="AC87" s="1">
        <f t="shared" si="20"/>
        <v>0</v>
      </c>
      <c r="AD87" s="1">
        <f t="shared" si="20"/>
        <v>0</v>
      </c>
      <c r="AE87" s="1">
        <f t="shared" si="20"/>
        <v>0</v>
      </c>
      <c r="AF87" s="1">
        <f t="shared" si="20"/>
        <v>0</v>
      </c>
      <c r="AG87" s="1">
        <f t="shared" si="20"/>
        <v>0</v>
      </c>
      <c r="AH87" s="1">
        <f t="shared" si="20"/>
        <v>0</v>
      </c>
      <c r="AI87" s="1">
        <f t="shared" si="20"/>
        <v>0</v>
      </c>
      <c r="AJ87" s="1">
        <f t="shared" si="20"/>
        <v>0</v>
      </c>
      <c r="AK87" s="1">
        <f t="shared" si="20"/>
        <v>0</v>
      </c>
    </row>
    <row r="88" spans="1:37" ht="14.1" customHeight="1" x14ac:dyDescent="0.2">
      <c r="A88" s="16">
        <v>32</v>
      </c>
      <c r="B88" s="66"/>
      <c r="C88" s="103" t="str">
        <f>ANUAL!$C172</f>
        <v>---</v>
      </c>
      <c r="D88" s="302" t="str">
        <f>ANUAL!$D172</f>
        <v>---</v>
      </c>
      <c r="E88" s="302"/>
      <c r="F88" s="302"/>
      <c r="G88" s="104">
        <f t="shared" si="16"/>
        <v>0</v>
      </c>
      <c r="H88" s="63"/>
      <c r="I88" s="3"/>
      <c r="J88" s="3"/>
      <c r="K88" s="3"/>
      <c r="L88" s="3"/>
      <c r="M88" s="3"/>
      <c r="N88" s="16">
        <v>80</v>
      </c>
      <c r="O88" s="66"/>
      <c r="P88" s="55"/>
      <c r="Q88" s="56"/>
      <c r="R88" s="57"/>
      <c r="S88" s="58"/>
      <c r="T88" s="59"/>
      <c r="U88" s="60"/>
      <c r="V88" s="63"/>
      <c r="X88" s="1">
        <f t="shared" ca="1" si="19"/>
        <v>1</v>
      </c>
      <c r="Z88" s="1">
        <f t="shared" si="20"/>
        <v>0</v>
      </c>
      <c r="AA88" s="1">
        <f t="shared" si="20"/>
        <v>0</v>
      </c>
      <c r="AB88" s="1">
        <f t="shared" si="20"/>
        <v>0</v>
      </c>
      <c r="AC88" s="1">
        <f t="shared" si="20"/>
        <v>0</v>
      </c>
      <c r="AD88" s="1">
        <f t="shared" si="20"/>
        <v>0</v>
      </c>
      <c r="AE88" s="1">
        <f t="shared" si="20"/>
        <v>0</v>
      </c>
      <c r="AF88" s="1">
        <f t="shared" si="20"/>
        <v>0</v>
      </c>
      <c r="AG88" s="1">
        <f t="shared" si="20"/>
        <v>0</v>
      </c>
      <c r="AH88" s="1">
        <f t="shared" si="20"/>
        <v>0</v>
      </c>
      <c r="AI88" s="1">
        <f t="shared" si="20"/>
        <v>0</v>
      </c>
      <c r="AJ88" s="1">
        <f t="shared" si="20"/>
        <v>0</v>
      </c>
      <c r="AK88" s="1">
        <f t="shared" si="20"/>
        <v>0</v>
      </c>
    </row>
    <row r="89" spans="1:37" ht="14.1" customHeight="1" x14ac:dyDescent="0.2">
      <c r="B89" s="105"/>
      <c r="C89" s="106"/>
      <c r="D89" s="107"/>
      <c r="E89" s="107"/>
      <c r="F89" s="107"/>
      <c r="G89" s="107"/>
      <c r="H89" s="108"/>
      <c r="I89" s="3"/>
      <c r="J89" s="3"/>
      <c r="K89" s="3"/>
      <c r="L89" s="3"/>
      <c r="M89" s="3"/>
      <c r="O89" s="32"/>
      <c r="P89" s="33"/>
      <c r="Q89" s="33"/>
      <c r="R89" s="34"/>
      <c r="S89" s="34"/>
      <c r="T89" s="67"/>
      <c r="U89" s="34"/>
      <c r="V89" s="35"/>
    </row>
    <row r="90" spans="1:37" ht="14.1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37" ht="14.1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37" ht="14.1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37" ht="14.1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37" ht="14.1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37" ht="14.1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37" ht="14.1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1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1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1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</sheetData>
  <sheetProtection selectLockedCells="1"/>
  <mergeCells count="57">
    <mergeCell ref="C43:G44"/>
    <mergeCell ref="B1:H1"/>
    <mergeCell ref="C5:G6"/>
    <mergeCell ref="P5:U6"/>
    <mergeCell ref="C7:C8"/>
    <mergeCell ref="D7:D8"/>
    <mergeCell ref="E7:G7"/>
    <mergeCell ref="P7:P8"/>
    <mergeCell ref="Q7:Q8"/>
    <mergeCell ref="R7:S7"/>
    <mergeCell ref="T7:T8"/>
    <mergeCell ref="U7:U8"/>
    <mergeCell ref="C24:G25"/>
    <mergeCell ref="C26:C27"/>
    <mergeCell ref="D26:D27"/>
    <mergeCell ref="E26:G26"/>
    <mergeCell ref="D62:F62"/>
    <mergeCell ref="D63:F63"/>
    <mergeCell ref="D64:F64"/>
    <mergeCell ref="D65:F65"/>
    <mergeCell ref="C45:C46"/>
    <mergeCell ref="D45:D46"/>
    <mergeCell ref="E45:G45"/>
    <mergeCell ref="C53:G54"/>
    <mergeCell ref="C55:C56"/>
    <mergeCell ref="D55:D56"/>
    <mergeCell ref="E55:E56"/>
    <mergeCell ref="F55:F56"/>
    <mergeCell ref="G55:G56"/>
    <mergeCell ref="D57:F57"/>
    <mergeCell ref="D58:F58"/>
    <mergeCell ref="D59:F59"/>
    <mergeCell ref="D60:F60"/>
    <mergeCell ref="D61:F61"/>
    <mergeCell ref="D66:F66"/>
    <mergeCell ref="D67:F67"/>
    <mergeCell ref="D80:F80"/>
    <mergeCell ref="D69:F69"/>
    <mergeCell ref="D70:F70"/>
    <mergeCell ref="D71:F71"/>
    <mergeCell ref="D72:F72"/>
    <mergeCell ref="D73:F73"/>
    <mergeCell ref="D74:F74"/>
    <mergeCell ref="D75:F75"/>
    <mergeCell ref="D68:F68"/>
    <mergeCell ref="D88:F88"/>
    <mergeCell ref="D81:F81"/>
    <mergeCell ref="D82:F82"/>
    <mergeCell ref="D83:F83"/>
    <mergeCell ref="D84:F84"/>
    <mergeCell ref="D85:F85"/>
    <mergeCell ref="D86:F86"/>
    <mergeCell ref="D76:F76"/>
    <mergeCell ref="D77:F77"/>
    <mergeCell ref="D78:F78"/>
    <mergeCell ref="D79:F79"/>
    <mergeCell ref="D87:F87"/>
  </mergeCells>
  <conditionalFormatting sqref="U9:U11 P12:U88">
    <cfRule type="expression" dxfId="14" priority="6" stopIfTrue="1">
      <formula>$X9&lt;&gt;1</formula>
    </cfRule>
  </conditionalFormatting>
  <conditionalFormatting sqref="U9:U11 S12:U20">
    <cfRule type="expression" dxfId="13" priority="5" stopIfTrue="1">
      <formula>$X9&lt;&gt;1</formula>
    </cfRule>
  </conditionalFormatting>
  <conditionalFormatting sqref="S12:T20">
    <cfRule type="expression" dxfId="12" priority="4" stopIfTrue="1">
      <formula>$X12&lt;&gt;1</formula>
    </cfRule>
  </conditionalFormatting>
  <conditionalFormatting sqref="U12:U16">
    <cfRule type="expression" dxfId="11" priority="3" stopIfTrue="1">
      <formula>$X12&lt;&gt;1</formula>
    </cfRule>
  </conditionalFormatting>
  <conditionalFormatting sqref="P9:T11">
    <cfRule type="expression" dxfId="10" priority="1" stopIfTrue="1">
      <formula>$X9&lt;&gt;1</formula>
    </cfRule>
  </conditionalFormatting>
  <printOptions horizontalCentered="1"/>
  <pageMargins left="0.39374999999999999" right="0.39374999999999999" top="0.78749999999999998" bottom="0.59027777777777779" header="0.51180555555555551" footer="0.51180555555555551"/>
  <pageSetup paperSize="8" scale="59" orientation="portrait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9"/>
  <sheetViews>
    <sheetView zoomScale="80" zoomScaleNormal="80" workbookViewId="0">
      <selection activeCell="P9" sqref="P9"/>
    </sheetView>
  </sheetViews>
  <sheetFormatPr defaultColWidth="11.5703125" defaultRowHeight="14.1" customHeight="1" x14ac:dyDescent="0.2"/>
  <cols>
    <col min="1" max="1" width="4.140625" style="1" customWidth="1"/>
    <col min="2" max="2" width="2.5703125" style="1" customWidth="1"/>
    <col min="3" max="3" width="9.140625" style="2" customWidth="1"/>
    <col min="4" max="4" width="40.85546875" style="1" customWidth="1"/>
    <col min="5" max="7" width="11.5703125" style="1"/>
    <col min="8" max="9" width="2.5703125" style="1" customWidth="1"/>
    <col min="10" max="12" width="11.5703125" style="1" hidden="1" customWidth="1"/>
    <col min="13" max="13" width="2.5703125" style="1" customWidth="1"/>
    <col min="14" max="14" width="4.140625" style="1" customWidth="1"/>
    <col min="15" max="15" width="2.5703125" style="1" customWidth="1"/>
    <col min="16" max="16" width="11.5703125" style="1"/>
    <col min="17" max="17" width="51" style="1" customWidth="1"/>
    <col min="18" max="19" width="12.7109375" style="24" customWidth="1"/>
    <col min="20" max="20" width="12.7109375" style="1" customWidth="1"/>
    <col min="21" max="21" width="10.140625" style="24" customWidth="1"/>
    <col min="22" max="22" width="2.5703125" style="1" customWidth="1"/>
    <col min="23" max="23" width="5.140625" style="1" customWidth="1"/>
    <col min="24" max="37" width="0" style="1" hidden="1" customWidth="1"/>
    <col min="38" max="255" width="11.5703125" style="1"/>
    <col min="256" max="16384" width="11.5703125" style="3"/>
  </cols>
  <sheetData>
    <row r="1" spans="1:256" s="4" customFormat="1" ht="33.950000000000003" customHeight="1" x14ac:dyDescent="0.2">
      <c r="B1" s="307">
        <f>DATE(ANUAL!B5,B2,8)</f>
        <v>40490</v>
      </c>
      <c r="C1" s="307"/>
      <c r="D1" s="307"/>
      <c r="E1" s="307"/>
      <c r="F1" s="307"/>
      <c r="G1" s="307"/>
      <c r="H1" s="307"/>
      <c r="I1" s="25" t="s">
        <v>2</v>
      </c>
      <c r="M1" s="26" t="s">
        <v>92</v>
      </c>
      <c r="R1" s="27"/>
      <c r="S1" s="27"/>
      <c r="U1" s="27"/>
      <c r="W1" s="25" t="s">
        <v>2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 t="s">
        <v>92</v>
      </c>
      <c r="IV1" s="3"/>
    </row>
    <row r="2" spans="1:256" ht="14.1" customHeight="1" x14ac:dyDescent="0.2">
      <c r="B2" s="28">
        <f>'M10'!B2+1</f>
        <v>11</v>
      </c>
    </row>
    <row r="4" spans="1:256" ht="14.1" customHeight="1" x14ac:dyDescent="0.2">
      <c r="B4" s="68"/>
      <c r="C4" s="69"/>
      <c r="D4" s="70"/>
      <c r="E4" s="70"/>
      <c r="F4" s="70"/>
      <c r="G4" s="70"/>
      <c r="H4" s="71"/>
      <c r="O4" s="36"/>
      <c r="P4" s="37"/>
      <c r="Q4" s="37"/>
      <c r="R4" s="38"/>
      <c r="S4" s="38"/>
      <c r="T4" s="37"/>
      <c r="U4" s="38"/>
      <c r="V4" s="39"/>
    </row>
    <row r="5" spans="1:256" ht="14.1" customHeight="1" x14ac:dyDescent="0.2">
      <c r="B5" s="72"/>
      <c r="C5" s="308" t="s">
        <v>107</v>
      </c>
      <c r="D5" s="308"/>
      <c r="E5" s="308"/>
      <c r="F5" s="308"/>
      <c r="G5" s="308"/>
      <c r="H5" s="73"/>
      <c r="O5" s="40"/>
      <c r="P5" s="309" t="s">
        <v>93</v>
      </c>
      <c r="Q5" s="309"/>
      <c r="R5" s="309"/>
      <c r="S5" s="309"/>
      <c r="T5" s="309"/>
      <c r="U5" s="309"/>
      <c r="V5" s="41"/>
    </row>
    <row r="6" spans="1:256" s="9" customFormat="1" ht="14.1" customHeight="1" x14ac:dyDescent="0.2">
      <c r="B6" s="74"/>
      <c r="C6" s="308"/>
      <c r="D6" s="308"/>
      <c r="E6" s="308"/>
      <c r="F6" s="308"/>
      <c r="G6" s="308"/>
      <c r="H6" s="75"/>
      <c r="I6" s="1"/>
      <c r="J6" s="1"/>
      <c r="K6" s="1"/>
      <c r="L6" s="1"/>
      <c r="M6" s="1"/>
      <c r="N6" s="1"/>
      <c r="O6" s="42"/>
      <c r="P6" s="309"/>
      <c r="Q6" s="309"/>
      <c r="R6" s="309"/>
      <c r="S6" s="309"/>
      <c r="T6" s="309"/>
      <c r="U6" s="309"/>
      <c r="V6" s="4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IV6" s="3"/>
    </row>
    <row r="7" spans="1:256" ht="14.1" customHeight="1" x14ac:dyDescent="0.2">
      <c r="B7" s="46"/>
      <c r="C7" s="271" t="s">
        <v>94</v>
      </c>
      <c r="D7" s="273" t="s">
        <v>5</v>
      </c>
      <c r="E7" s="275" t="s">
        <v>6</v>
      </c>
      <c r="F7" s="275"/>
      <c r="G7" s="276"/>
      <c r="H7" s="73"/>
      <c r="O7" s="46"/>
      <c r="P7" s="275" t="s">
        <v>95</v>
      </c>
      <c r="Q7" s="271" t="s">
        <v>5</v>
      </c>
      <c r="R7" s="275" t="s">
        <v>96</v>
      </c>
      <c r="S7" s="275"/>
      <c r="T7" s="275" t="s">
        <v>97</v>
      </c>
      <c r="U7" s="276" t="s">
        <v>98</v>
      </c>
      <c r="V7" s="41"/>
    </row>
    <row r="8" spans="1:256" ht="14.1" customHeight="1" x14ac:dyDescent="0.2">
      <c r="B8" s="44"/>
      <c r="C8" s="272"/>
      <c r="D8" s="274"/>
      <c r="E8" s="98" t="s">
        <v>99</v>
      </c>
      <c r="F8" s="98" t="s">
        <v>100</v>
      </c>
      <c r="G8" s="98" t="s">
        <v>101</v>
      </c>
      <c r="H8" s="76"/>
      <c r="O8" s="44"/>
      <c r="P8" s="306" t="s">
        <v>95</v>
      </c>
      <c r="Q8" s="272" t="s">
        <v>5</v>
      </c>
      <c r="R8" s="47" t="s">
        <v>89</v>
      </c>
      <c r="S8" s="48" t="s">
        <v>87</v>
      </c>
      <c r="T8" s="306" t="s">
        <v>97</v>
      </c>
      <c r="U8" s="305"/>
      <c r="V8" s="45"/>
      <c r="X8" s="1" t="s">
        <v>100</v>
      </c>
      <c r="Z8" s="1" t="str">
        <f>$C$9</f>
        <v/>
      </c>
      <c r="AA8" s="1" t="str">
        <f>$C$10</f>
        <v>INV1</v>
      </c>
      <c r="AB8" s="1" t="str">
        <f>$C$11</f>
        <v>DINH1</v>
      </c>
      <c r="AC8" s="1" t="str">
        <f>$C$12</f>
        <v>CRED1</v>
      </c>
      <c r="AD8" s="1" t="str">
        <f>$C$13</f>
        <v>---</v>
      </c>
      <c r="AE8" s="1" t="str">
        <f>$C$14</f>
        <v>---</v>
      </c>
      <c r="AF8" s="1" t="str">
        <f>$C$15</f>
        <v>---</v>
      </c>
      <c r="AG8" s="1" t="str">
        <f>$C$16</f>
        <v>---</v>
      </c>
      <c r="AH8" s="1" t="str">
        <f>$C$17</f>
        <v>---</v>
      </c>
      <c r="AI8" s="1" t="str">
        <f>$C$18</f>
        <v>---</v>
      </c>
      <c r="AJ8" s="1" t="str">
        <f>$C$19</f>
        <v>---</v>
      </c>
      <c r="AK8" s="1" t="str">
        <f>$C$20</f>
        <v>---</v>
      </c>
    </row>
    <row r="9" spans="1:256" ht="14.1" customHeight="1" x14ac:dyDescent="0.2">
      <c r="A9" s="12">
        <v>1</v>
      </c>
      <c r="B9" s="64"/>
      <c r="C9" s="115" t="str">
        <f>TRIM(ANUAL!C13)</f>
        <v/>
      </c>
      <c r="D9" s="116" t="str">
        <f>TRIM(ANUAL!D13)</f>
        <v>CONTA CORRENTE BANCO 1</v>
      </c>
      <c r="E9" s="117">
        <f ca="1">INDIRECT("M"&amp;B$2-1&amp;"!G"&amp;A9+ROW(A$8))</f>
        <v>0</v>
      </c>
      <c r="F9" s="117">
        <f t="shared" ref="F9:F20" ca="1" si="0">E9+SUMIF(X$9:X$88,1,OFFSET($Z$9:$Z$88,0,A9-1))</f>
        <v>0</v>
      </c>
      <c r="G9" s="117">
        <f t="shared" ref="G9:G20" ca="1" si="1">E9+SUM(OFFSET($Z$9:$Z$88,0,A9-1))</f>
        <v>0</v>
      </c>
      <c r="H9" s="61"/>
      <c r="J9" s="3" t="b">
        <f t="shared" ref="J9:L20" si="2">NOT(ISERR(SEARCH(J$27,$C9)))</f>
        <v>0</v>
      </c>
      <c r="K9" s="3" t="b">
        <f t="shared" si="2"/>
        <v>0</v>
      </c>
      <c r="L9" s="3" t="b">
        <f t="shared" si="2"/>
        <v>0</v>
      </c>
      <c r="N9" s="12">
        <v>1</v>
      </c>
      <c r="O9" s="64"/>
      <c r="P9" s="49"/>
      <c r="Q9" s="50"/>
      <c r="R9" s="51"/>
      <c r="S9" s="52"/>
      <c r="T9" s="53"/>
      <c r="U9" s="54"/>
      <c r="V9" s="61"/>
      <c r="X9" s="1">
        <f t="shared" ref="X9:X40" ca="1" si="3">IF(P9&lt;NOW(),1,0)</f>
        <v>1</v>
      </c>
      <c r="Z9" s="1">
        <f t="shared" ref="Z9:AK18" si="4">IF(Z$8=$R9,-$T9,0)+IF(Z$8=$S9,$T9,0)</f>
        <v>0</v>
      </c>
      <c r="AA9" s="1">
        <f t="shared" si="4"/>
        <v>0</v>
      </c>
      <c r="AB9" s="1">
        <f t="shared" si="4"/>
        <v>0</v>
      </c>
      <c r="AC9" s="1">
        <f t="shared" si="4"/>
        <v>0</v>
      </c>
      <c r="AD9" s="1">
        <f t="shared" si="4"/>
        <v>0</v>
      </c>
      <c r="AE9" s="1">
        <f t="shared" si="4"/>
        <v>0</v>
      </c>
      <c r="AF9" s="1">
        <f t="shared" si="4"/>
        <v>0</v>
      </c>
      <c r="AG9" s="1">
        <f t="shared" si="4"/>
        <v>0</v>
      </c>
      <c r="AH9" s="1">
        <f t="shared" si="4"/>
        <v>0</v>
      </c>
      <c r="AI9" s="1">
        <f t="shared" si="4"/>
        <v>0</v>
      </c>
      <c r="AJ9" s="1">
        <f t="shared" si="4"/>
        <v>0</v>
      </c>
      <c r="AK9" s="1">
        <f t="shared" si="4"/>
        <v>0</v>
      </c>
    </row>
    <row r="10" spans="1:256" ht="14.1" customHeight="1" x14ac:dyDescent="0.2">
      <c r="A10" s="16">
        <v>2</v>
      </c>
      <c r="B10" s="65"/>
      <c r="C10" s="118" t="str">
        <f>TRIM(ANUAL!C14)</f>
        <v>INV1</v>
      </c>
      <c r="D10" s="119" t="str">
        <f>TRIM(ANUAL!D14)</f>
        <v>POUPANÇA BANCO 1</v>
      </c>
      <c r="E10" s="120">
        <f t="shared" ref="E10:E20" ca="1" si="5">INDIRECT("M"&amp;B$2-1&amp;"!G"&amp;A10+ROW(A$8))</f>
        <v>0</v>
      </c>
      <c r="F10" s="120">
        <f t="shared" ca="1" si="0"/>
        <v>0</v>
      </c>
      <c r="G10" s="120">
        <f t="shared" ca="1" si="1"/>
        <v>0</v>
      </c>
      <c r="H10" s="62"/>
      <c r="J10" s="3" t="b">
        <f t="shared" si="2"/>
        <v>0</v>
      </c>
      <c r="K10" s="3" t="b">
        <f t="shared" si="2"/>
        <v>1</v>
      </c>
      <c r="L10" s="3" t="b">
        <f t="shared" si="2"/>
        <v>0</v>
      </c>
      <c r="N10" s="16">
        <v>2</v>
      </c>
      <c r="O10" s="65"/>
      <c r="P10" s="55"/>
      <c r="Q10" s="56"/>
      <c r="R10" s="57"/>
      <c r="S10" s="58"/>
      <c r="T10" s="59"/>
      <c r="U10" s="60"/>
      <c r="V10" s="62"/>
      <c r="X10" s="1">
        <f t="shared" ca="1" si="3"/>
        <v>1</v>
      </c>
      <c r="Z10" s="1">
        <f t="shared" si="4"/>
        <v>0</v>
      </c>
      <c r="AA10" s="1">
        <f t="shared" si="4"/>
        <v>0</v>
      </c>
      <c r="AB10" s="1">
        <f t="shared" si="4"/>
        <v>0</v>
      </c>
      <c r="AC10" s="1">
        <f t="shared" si="4"/>
        <v>0</v>
      </c>
      <c r="AD10" s="1">
        <f t="shared" si="4"/>
        <v>0</v>
      </c>
      <c r="AE10" s="1">
        <f t="shared" si="4"/>
        <v>0</v>
      </c>
      <c r="AF10" s="1">
        <f t="shared" si="4"/>
        <v>0</v>
      </c>
      <c r="AG10" s="1">
        <f t="shared" si="4"/>
        <v>0</v>
      </c>
      <c r="AH10" s="1">
        <f t="shared" si="4"/>
        <v>0</v>
      </c>
      <c r="AI10" s="1">
        <f t="shared" si="4"/>
        <v>0</v>
      </c>
      <c r="AJ10" s="1">
        <f t="shared" si="4"/>
        <v>0</v>
      </c>
      <c r="AK10" s="1">
        <f t="shared" si="4"/>
        <v>0</v>
      </c>
    </row>
    <row r="11" spans="1:256" ht="14.1" customHeight="1" x14ac:dyDescent="0.2">
      <c r="A11" s="12">
        <v>3</v>
      </c>
      <c r="B11" s="65"/>
      <c r="C11" s="115" t="str">
        <f>TRIM(ANUAL!C15)</f>
        <v>DINH1</v>
      </c>
      <c r="D11" s="116" t="str">
        <f>TRIM(ANUAL!D15)</f>
        <v>EM ESPÉCIE</v>
      </c>
      <c r="E11" s="117">
        <f t="shared" ca="1" si="5"/>
        <v>0</v>
      </c>
      <c r="F11" s="117">
        <f t="shared" ca="1" si="0"/>
        <v>0</v>
      </c>
      <c r="G11" s="117">
        <f t="shared" ca="1" si="1"/>
        <v>0</v>
      </c>
      <c r="H11" s="62"/>
      <c r="J11" s="3" t="b">
        <f t="shared" si="2"/>
        <v>0</v>
      </c>
      <c r="K11" s="3" t="b">
        <f t="shared" si="2"/>
        <v>0</v>
      </c>
      <c r="L11" s="3" t="b">
        <f t="shared" si="2"/>
        <v>1</v>
      </c>
      <c r="N11" s="12">
        <v>3</v>
      </c>
      <c r="O11" s="65"/>
      <c r="P11" s="49"/>
      <c r="Q11" s="50"/>
      <c r="R11" s="51"/>
      <c r="S11" s="52"/>
      <c r="T11" s="53"/>
      <c r="U11" s="54"/>
      <c r="V11" s="62"/>
      <c r="X11" s="1">
        <f t="shared" ca="1" si="3"/>
        <v>1</v>
      </c>
      <c r="Z11" s="1">
        <f t="shared" si="4"/>
        <v>0</v>
      </c>
      <c r="AA11" s="1">
        <f t="shared" si="4"/>
        <v>0</v>
      </c>
      <c r="AB11" s="1">
        <f t="shared" si="4"/>
        <v>0</v>
      </c>
      <c r="AC11" s="1">
        <f t="shared" si="4"/>
        <v>0</v>
      </c>
      <c r="AD11" s="1">
        <f t="shared" si="4"/>
        <v>0</v>
      </c>
      <c r="AE11" s="1">
        <f t="shared" si="4"/>
        <v>0</v>
      </c>
      <c r="AF11" s="1">
        <f t="shared" si="4"/>
        <v>0</v>
      </c>
      <c r="AG11" s="1">
        <f t="shared" si="4"/>
        <v>0</v>
      </c>
      <c r="AH11" s="1">
        <f t="shared" si="4"/>
        <v>0</v>
      </c>
      <c r="AI11" s="1">
        <f t="shared" si="4"/>
        <v>0</v>
      </c>
      <c r="AJ11" s="1">
        <f t="shared" si="4"/>
        <v>0</v>
      </c>
      <c r="AK11" s="1">
        <f t="shared" si="4"/>
        <v>0</v>
      </c>
    </row>
    <row r="12" spans="1:256" ht="14.1" customHeight="1" x14ac:dyDescent="0.2">
      <c r="A12" s="16">
        <v>4</v>
      </c>
      <c r="B12" s="65"/>
      <c r="C12" s="118" t="str">
        <f>TRIM(ANUAL!C16)</f>
        <v>CRED1</v>
      </c>
      <c r="D12" s="119" t="str">
        <f>TRIM(ANUAL!D16)</f>
        <v>CARTÃO DE CRÉDITO 1</v>
      </c>
      <c r="E12" s="120">
        <f t="shared" ca="1" si="5"/>
        <v>0</v>
      </c>
      <c r="F12" s="120">
        <f t="shared" ca="1" si="0"/>
        <v>0</v>
      </c>
      <c r="G12" s="120">
        <f t="shared" ca="1" si="1"/>
        <v>0</v>
      </c>
      <c r="H12" s="62"/>
      <c r="J12" s="3" t="b">
        <f t="shared" si="2"/>
        <v>0</v>
      </c>
      <c r="K12" s="3" t="b">
        <f t="shared" si="2"/>
        <v>0</v>
      </c>
      <c r="L12" s="3" t="b">
        <f t="shared" si="2"/>
        <v>0</v>
      </c>
      <c r="N12" s="16">
        <v>4</v>
      </c>
      <c r="O12" s="65"/>
      <c r="P12" s="55"/>
      <c r="Q12" s="56"/>
      <c r="R12" s="57"/>
      <c r="S12" s="58"/>
      <c r="T12" s="59"/>
      <c r="U12" s="60"/>
      <c r="V12" s="62"/>
      <c r="X12" s="1">
        <f t="shared" ca="1" si="3"/>
        <v>1</v>
      </c>
      <c r="Z12" s="1">
        <f t="shared" si="4"/>
        <v>0</v>
      </c>
      <c r="AA12" s="1">
        <f t="shared" si="4"/>
        <v>0</v>
      </c>
      <c r="AB12" s="1">
        <f t="shared" si="4"/>
        <v>0</v>
      </c>
      <c r="AC12" s="1">
        <f t="shared" si="4"/>
        <v>0</v>
      </c>
      <c r="AD12" s="1">
        <f t="shared" si="4"/>
        <v>0</v>
      </c>
      <c r="AE12" s="1">
        <f t="shared" si="4"/>
        <v>0</v>
      </c>
      <c r="AF12" s="1">
        <f t="shared" si="4"/>
        <v>0</v>
      </c>
      <c r="AG12" s="1">
        <f t="shared" si="4"/>
        <v>0</v>
      </c>
      <c r="AH12" s="1">
        <f t="shared" si="4"/>
        <v>0</v>
      </c>
      <c r="AI12" s="1">
        <f t="shared" si="4"/>
        <v>0</v>
      </c>
      <c r="AJ12" s="1">
        <f t="shared" si="4"/>
        <v>0</v>
      </c>
      <c r="AK12" s="1">
        <f t="shared" si="4"/>
        <v>0</v>
      </c>
    </row>
    <row r="13" spans="1:256" ht="14.1" customHeight="1" x14ac:dyDescent="0.2">
      <c r="A13" s="12">
        <v>5</v>
      </c>
      <c r="B13" s="65"/>
      <c r="C13" s="115" t="str">
        <f>TRIM(ANUAL!C17)</f>
        <v>---</v>
      </c>
      <c r="D13" s="116" t="str">
        <f>TRIM(ANUAL!D17)</f>
        <v/>
      </c>
      <c r="E13" s="117">
        <f t="shared" ca="1" si="5"/>
        <v>0</v>
      </c>
      <c r="F13" s="117">
        <f t="shared" ca="1" si="0"/>
        <v>0</v>
      </c>
      <c r="G13" s="117">
        <f t="shared" ca="1" si="1"/>
        <v>0</v>
      </c>
      <c r="H13" s="62"/>
      <c r="J13" s="3" t="b">
        <f t="shared" si="2"/>
        <v>0</v>
      </c>
      <c r="K13" s="3" t="b">
        <f t="shared" si="2"/>
        <v>0</v>
      </c>
      <c r="L13" s="3" t="b">
        <f t="shared" si="2"/>
        <v>0</v>
      </c>
      <c r="N13" s="12">
        <v>5</v>
      </c>
      <c r="O13" s="65"/>
      <c r="P13" s="49"/>
      <c r="Q13" s="50"/>
      <c r="R13" s="51"/>
      <c r="S13" s="52"/>
      <c r="T13" s="53"/>
      <c r="U13" s="54"/>
      <c r="V13" s="62"/>
      <c r="X13" s="1">
        <f t="shared" ca="1" si="3"/>
        <v>1</v>
      </c>
      <c r="Z13" s="1">
        <f t="shared" si="4"/>
        <v>0</v>
      </c>
      <c r="AA13" s="1">
        <f t="shared" si="4"/>
        <v>0</v>
      </c>
      <c r="AB13" s="1">
        <f t="shared" si="4"/>
        <v>0</v>
      </c>
      <c r="AC13" s="1">
        <f t="shared" si="4"/>
        <v>0</v>
      </c>
      <c r="AD13" s="1">
        <f t="shared" si="4"/>
        <v>0</v>
      </c>
      <c r="AE13" s="1">
        <f t="shared" si="4"/>
        <v>0</v>
      </c>
      <c r="AF13" s="1">
        <f t="shared" si="4"/>
        <v>0</v>
      </c>
      <c r="AG13" s="1">
        <f t="shared" si="4"/>
        <v>0</v>
      </c>
      <c r="AH13" s="1">
        <f t="shared" si="4"/>
        <v>0</v>
      </c>
      <c r="AI13" s="1">
        <f t="shared" si="4"/>
        <v>0</v>
      </c>
      <c r="AJ13" s="1">
        <f t="shared" si="4"/>
        <v>0</v>
      </c>
      <c r="AK13" s="1">
        <f t="shared" si="4"/>
        <v>0</v>
      </c>
    </row>
    <row r="14" spans="1:256" ht="14.1" customHeight="1" x14ac:dyDescent="0.2">
      <c r="A14" s="16">
        <v>6</v>
      </c>
      <c r="B14" s="65"/>
      <c r="C14" s="118" t="str">
        <f>TRIM(ANUAL!C18)</f>
        <v>---</v>
      </c>
      <c r="D14" s="119" t="str">
        <f>TRIM(ANUAL!D18)</f>
        <v/>
      </c>
      <c r="E14" s="120">
        <f t="shared" ca="1" si="5"/>
        <v>0</v>
      </c>
      <c r="F14" s="120">
        <f t="shared" ca="1" si="0"/>
        <v>0</v>
      </c>
      <c r="G14" s="120">
        <f t="shared" ca="1" si="1"/>
        <v>0</v>
      </c>
      <c r="H14" s="62"/>
      <c r="J14" s="3" t="b">
        <f t="shared" si="2"/>
        <v>0</v>
      </c>
      <c r="K14" s="3" t="b">
        <f t="shared" si="2"/>
        <v>0</v>
      </c>
      <c r="L14" s="3" t="b">
        <f t="shared" si="2"/>
        <v>0</v>
      </c>
      <c r="N14" s="16">
        <v>6</v>
      </c>
      <c r="O14" s="65"/>
      <c r="P14" s="55"/>
      <c r="Q14" s="56"/>
      <c r="R14" s="57"/>
      <c r="S14" s="58"/>
      <c r="T14" s="59"/>
      <c r="U14" s="60"/>
      <c r="V14" s="62"/>
      <c r="X14" s="1">
        <f t="shared" ca="1" si="3"/>
        <v>1</v>
      </c>
      <c r="Z14" s="1">
        <f t="shared" si="4"/>
        <v>0</v>
      </c>
      <c r="AA14" s="1">
        <f t="shared" si="4"/>
        <v>0</v>
      </c>
      <c r="AB14" s="1">
        <f t="shared" si="4"/>
        <v>0</v>
      </c>
      <c r="AC14" s="1">
        <f t="shared" si="4"/>
        <v>0</v>
      </c>
      <c r="AD14" s="1">
        <f t="shared" si="4"/>
        <v>0</v>
      </c>
      <c r="AE14" s="1">
        <f t="shared" si="4"/>
        <v>0</v>
      </c>
      <c r="AF14" s="1">
        <f t="shared" si="4"/>
        <v>0</v>
      </c>
      <c r="AG14" s="1">
        <f t="shared" si="4"/>
        <v>0</v>
      </c>
      <c r="AH14" s="1">
        <f t="shared" si="4"/>
        <v>0</v>
      </c>
      <c r="AI14" s="1">
        <f t="shared" si="4"/>
        <v>0</v>
      </c>
      <c r="AJ14" s="1">
        <f t="shared" si="4"/>
        <v>0</v>
      </c>
      <c r="AK14" s="1">
        <f t="shared" si="4"/>
        <v>0</v>
      </c>
    </row>
    <row r="15" spans="1:256" ht="14.1" customHeight="1" x14ac:dyDescent="0.2">
      <c r="A15" s="12">
        <v>7</v>
      </c>
      <c r="B15" s="65"/>
      <c r="C15" s="115" t="str">
        <f>TRIM(ANUAL!C19)</f>
        <v>---</v>
      </c>
      <c r="D15" s="116" t="str">
        <f>TRIM(ANUAL!D19)</f>
        <v/>
      </c>
      <c r="E15" s="117">
        <f t="shared" ca="1" si="5"/>
        <v>0</v>
      </c>
      <c r="F15" s="117">
        <f t="shared" ca="1" si="0"/>
        <v>0</v>
      </c>
      <c r="G15" s="117">
        <f t="shared" ca="1" si="1"/>
        <v>0</v>
      </c>
      <c r="H15" s="62"/>
      <c r="J15" s="3" t="b">
        <f t="shared" si="2"/>
        <v>0</v>
      </c>
      <c r="K15" s="3" t="b">
        <f t="shared" si="2"/>
        <v>0</v>
      </c>
      <c r="L15" s="3" t="b">
        <f t="shared" si="2"/>
        <v>0</v>
      </c>
      <c r="N15" s="12">
        <v>7</v>
      </c>
      <c r="O15" s="65"/>
      <c r="P15" s="49"/>
      <c r="Q15" s="50"/>
      <c r="R15" s="51"/>
      <c r="S15" s="52"/>
      <c r="T15" s="53"/>
      <c r="U15" s="54"/>
      <c r="V15" s="62"/>
      <c r="X15" s="1">
        <f t="shared" ca="1" si="3"/>
        <v>1</v>
      </c>
      <c r="Z15" s="1">
        <f t="shared" si="4"/>
        <v>0</v>
      </c>
      <c r="AA15" s="1">
        <f t="shared" si="4"/>
        <v>0</v>
      </c>
      <c r="AB15" s="1">
        <f t="shared" si="4"/>
        <v>0</v>
      </c>
      <c r="AC15" s="1">
        <f t="shared" si="4"/>
        <v>0</v>
      </c>
      <c r="AD15" s="1">
        <f t="shared" si="4"/>
        <v>0</v>
      </c>
      <c r="AE15" s="1">
        <f t="shared" si="4"/>
        <v>0</v>
      </c>
      <c r="AF15" s="1">
        <f t="shared" si="4"/>
        <v>0</v>
      </c>
      <c r="AG15" s="1">
        <f t="shared" si="4"/>
        <v>0</v>
      </c>
      <c r="AH15" s="1">
        <f t="shared" si="4"/>
        <v>0</v>
      </c>
      <c r="AI15" s="1">
        <f t="shared" si="4"/>
        <v>0</v>
      </c>
      <c r="AJ15" s="1">
        <f t="shared" si="4"/>
        <v>0</v>
      </c>
      <c r="AK15" s="1">
        <f t="shared" si="4"/>
        <v>0</v>
      </c>
    </row>
    <row r="16" spans="1:256" ht="14.1" customHeight="1" x14ac:dyDescent="0.2">
      <c r="A16" s="16">
        <v>8</v>
      </c>
      <c r="B16" s="65"/>
      <c r="C16" s="118" t="str">
        <f>TRIM(ANUAL!C20)</f>
        <v>---</v>
      </c>
      <c r="D16" s="119" t="str">
        <f>TRIM(ANUAL!D20)</f>
        <v/>
      </c>
      <c r="E16" s="120">
        <f t="shared" ca="1" si="5"/>
        <v>0</v>
      </c>
      <c r="F16" s="120">
        <f t="shared" ca="1" si="0"/>
        <v>0</v>
      </c>
      <c r="G16" s="120">
        <f t="shared" ca="1" si="1"/>
        <v>0</v>
      </c>
      <c r="H16" s="62"/>
      <c r="J16" s="3" t="b">
        <f t="shared" si="2"/>
        <v>0</v>
      </c>
      <c r="K16" s="3" t="b">
        <f t="shared" si="2"/>
        <v>0</v>
      </c>
      <c r="L16" s="3" t="b">
        <f t="shared" si="2"/>
        <v>0</v>
      </c>
      <c r="N16" s="16">
        <v>8</v>
      </c>
      <c r="O16" s="65"/>
      <c r="P16" s="55"/>
      <c r="Q16" s="56"/>
      <c r="R16" s="57"/>
      <c r="S16" s="58"/>
      <c r="T16" s="59"/>
      <c r="U16" s="60"/>
      <c r="V16" s="62"/>
      <c r="X16" s="1">
        <f t="shared" ca="1" si="3"/>
        <v>1</v>
      </c>
      <c r="Z16" s="1">
        <f t="shared" si="4"/>
        <v>0</v>
      </c>
      <c r="AA16" s="1">
        <f t="shared" si="4"/>
        <v>0</v>
      </c>
      <c r="AB16" s="1">
        <f t="shared" si="4"/>
        <v>0</v>
      </c>
      <c r="AC16" s="1">
        <f t="shared" si="4"/>
        <v>0</v>
      </c>
      <c r="AD16" s="1">
        <f t="shared" si="4"/>
        <v>0</v>
      </c>
      <c r="AE16" s="1">
        <f t="shared" si="4"/>
        <v>0</v>
      </c>
      <c r="AF16" s="1">
        <f t="shared" si="4"/>
        <v>0</v>
      </c>
      <c r="AG16" s="1">
        <f t="shared" si="4"/>
        <v>0</v>
      </c>
      <c r="AH16" s="1">
        <f t="shared" si="4"/>
        <v>0</v>
      </c>
      <c r="AI16" s="1">
        <f t="shared" si="4"/>
        <v>0</v>
      </c>
      <c r="AJ16" s="1">
        <f t="shared" si="4"/>
        <v>0</v>
      </c>
      <c r="AK16" s="1">
        <f t="shared" si="4"/>
        <v>0</v>
      </c>
    </row>
    <row r="17" spans="1:37" ht="14.1" customHeight="1" x14ac:dyDescent="0.2">
      <c r="A17" s="12">
        <v>9</v>
      </c>
      <c r="B17" s="65"/>
      <c r="C17" s="115" t="str">
        <f>TRIM(ANUAL!C21)</f>
        <v>---</v>
      </c>
      <c r="D17" s="116" t="str">
        <f>TRIM(ANUAL!D21)</f>
        <v/>
      </c>
      <c r="E17" s="117">
        <f t="shared" ca="1" si="5"/>
        <v>0</v>
      </c>
      <c r="F17" s="117">
        <f t="shared" ca="1" si="0"/>
        <v>0</v>
      </c>
      <c r="G17" s="117">
        <f t="shared" ca="1" si="1"/>
        <v>0</v>
      </c>
      <c r="H17" s="62"/>
      <c r="J17" s="3" t="b">
        <f t="shared" si="2"/>
        <v>0</v>
      </c>
      <c r="K17" s="3" t="b">
        <f t="shared" si="2"/>
        <v>0</v>
      </c>
      <c r="L17" s="3" t="b">
        <f t="shared" si="2"/>
        <v>0</v>
      </c>
      <c r="N17" s="12">
        <v>9</v>
      </c>
      <c r="O17" s="65"/>
      <c r="P17" s="49"/>
      <c r="Q17" s="50"/>
      <c r="R17" s="51"/>
      <c r="S17" s="52"/>
      <c r="T17" s="53"/>
      <c r="U17" s="54"/>
      <c r="V17" s="62"/>
      <c r="X17" s="1">
        <f t="shared" ca="1" si="3"/>
        <v>1</v>
      </c>
      <c r="Z17" s="1">
        <f t="shared" si="4"/>
        <v>0</v>
      </c>
      <c r="AA17" s="1">
        <f t="shared" si="4"/>
        <v>0</v>
      </c>
      <c r="AB17" s="1">
        <f t="shared" si="4"/>
        <v>0</v>
      </c>
      <c r="AC17" s="1">
        <f t="shared" si="4"/>
        <v>0</v>
      </c>
      <c r="AD17" s="1">
        <f t="shared" si="4"/>
        <v>0</v>
      </c>
      <c r="AE17" s="1">
        <f t="shared" si="4"/>
        <v>0</v>
      </c>
      <c r="AF17" s="1">
        <f t="shared" si="4"/>
        <v>0</v>
      </c>
      <c r="AG17" s="1">
        <f t="shared" si="4"/>
        <v>0</v>
      </c>
      <c r="AH17" s="1">
        <f t="shared" si="4"/>
        <v>0</v>
      </c>
      <c r="AI17" s="1">
        <f t="shared" si="4"/>
        <v>0</v>
      </c>
      <c r="AJ17" s="1">
        <f t="shared" si="4"/>
        <v>0</v>
      </c>
      <c r="AK17" s="1">
        <f t="shared" si="4"/>
        <v>0</v>
      </c>
    </row>
    <row r="18" spans="1:37" ht="14.1" customHeight="1" x14ac:dyDescent="0.2">
      <c r="A18" s="16">
        <v>10</v>
      </c>
      <c r="B18" s="65"/>
      <c r="C18" s="118" t="str">
        <f>TRIM(ANUAL!C22)</f>
        <v>---</v>
      </c>
      <c r="D18" s="119" t="str">
        <f>TRIM(ANUAL!D22)</f>
        <v/>
      </c>
      <c r="E18" s="120">
        <f t="shared" ca="1" si="5"/>
        <v>0</v>
      </c>
      <c r="F18" s="120">
        <f t="shared" ca="1" si="0"/>
        <v>0</v>
      </c>
      <c r="G18" s="120">
        <f t="shared" ca="1" si="1"/>
        <v>0</v>
      </c>
      <c r="H18" s="62"/>
      <c r="J18" s="3" t="b">
        <f t="shared" si="2"/>
        <v>0</v>
      </c>
      <c r="K18" s="3" t="b">
        <f t="shared" si="2"/>
        <v>0</v>
      </c>
      <c r="L18" s="3" t="b">
        <f t="shared" si="2"/>
        <v>0</v>
      </c>
      <c r="N18" s="16">
        <v>10</v>
      </c>
      <c r="O18" s="65"/>
      <c r="P18" s="55"/>
      <c r="Q18" s="56"/>
      <c r="R18" s="57"/>
      <c r="S18" s="58"/>
      <c r="T18" s="59"/>
      <c r="U18" s="60"/>
      <c r="V18" s="62"/>
      <c r="X18" s="1">
        <f t="shared" ca="1" si="3"/>
        <v>1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C18" s="1">
        <f t="shared" si="4"/>
        <v>0</v>
      </c>
      <c r="AD18" s="1">
        <f t="shared" si="4"/>
        <v>0</v>
      </c>
      <c r="AE18" s="1">
        <f t="shared" si="4"/>
        <v>0</v>
      </c>
      <c r="AF18" s="1">
        <f t="shared" si="4"/>
        <v>0</v>
      </c>
      <c r="AG18" s="1">
        <f t="shared" si="4"/>
        <v>0</v>
      </c>
      <c r="AH18" s="1">
        <f t="shared" si="4"/>
        <v>0</v>
      </c>
      <c r="AI18" s="1">
        <f t="shared" si="4"/>
        <v>0</v>
      </c>
      <c r="AJ18" s="1">
        <f t="shared" si="4"/>
        <v>0</v>
      </c>
      <c r="AK18" s="1">
        <f t="shared" si="4"/>
        <v>0</v>
      </c>
    </row>
    <row r="19" spans="1:37" ht="14.1" customHeight="1" x14ac:dyDescent="0.2">
      <c r="A19" s="12">
        <v>11</v>
      </c>
      <c r="B19" s="65"/>
      <c r="C19" s="115" t="str">
        <f>TRIM(ANUAL!C23)</f>
        <v>---</v>
      </c>
      <c r="D19" s="116" t="str">
        <f>TRIM(ANUAL!D23)</f>
        <v/>
      </c>
      <c r="E19" s="117">
        <f t="shared" ca="1" si="5"/>
        <v>0</v>
      </c>
      <c r="F19" s="117">
        <f t="shared" ca="1" si="0"/>
        <v>0</v>
      </c>
      <c r="G19" s="117">
        <f t="shared" ca="1" si="1"/>
        <v>0</v>
      </c>
      <c r="H19" s="62"/>
      <c r="J19" s="3" t="b">
        <f t="shared" si="2"/>
        <v>0</v>
      </c>
      <c r="K19" s="3" t="b">
        <f t="shared" si="2"/>
        <v>0</v>
      </c>
      <c r="L19" s="3" t="b">
        <f t="shared" si="2"/>
        <v>0</v>
      </c>
      <c r="N19" s="12">
        <v>11</v>
      </c>
      <c r="O19" s="65"/>
      <c r="P19" s="49"/>
      <c r="Q19" s="50"/>
      <c r="R19" s="51"/>
      <c r="S19" s="52"/>
      <c r="T19" s="53"/>
      <c r="U19" s="54"/>
      <c r="V19" s="62"/>
      <c r="X19" s="1">
        <f t="shared" ca="1" si="3"/>
        <v>1</v>
      </c>
      <c r="Z19" s="1">
        <f t="shared" ref="Z19:AK28" si="6">IF(Z$8=$R19,-$T19,0)+IF(Z$8=$S19,$T19,0)</f>
        <v>0</v>
      </c>
      <c r="AA19" s="1">
        <f t="shared" si="6"/>
        <v>0</v>
      </c>
      <c r="AB19" s="1">
        <f t="shared" si="6"/>
        <v>0</v>
      </c>
      <c r="AC19" s="1">
        <f t="shared" si="6"/>
        <v>0</v>
      </c>
      <c r="AD19" s="1">
        <f t="shared" si="6"/>
        <v>0</v>
      </c>
      <c r="AE19" s="1">
        <f t="shared" si="6"/>
        <v>0</v>
      </c>
      <c r="AF19" s="1">
        <f t="shared" si="6"/>
        <v>0</v>
      </c>
      <c r="AG19" s="1">
        <f t="shared" si="6"/>
        <v>0</v>
      </c>
      <c r="AH19" s="1">
        <f t="shared" si="6"/>
        <v>0</v>
      </c>
      <c r="AI19" s="1">
        <f t="shared" si="6"/>
        <v>0</v>
      </c>
      <c r="AJ19" s="1">
        <f t="shared" si="6"/>
        <v>0</v>
      </c>
      <c r="AK19" s="1">
        <f t="shared" si="6"/>
        <v>0</v>
      </c>
    </row>
    <row r="20" spans="1:37" ht="14.1" customHeight="1" x14ac:dyDescent="0.2">
      <c r="A20" s="16">
        <v>12</v>
      </c>
      <c r="B20" s="65"/>
      <c r="C20" s="121" t="str">
        <f>TRIM(ANUAL!C24)</f>
        <v>---</v>
      </c>
      <c r="D20" s="122" t="str">
        <f>TRIM(ANUAL!D24)</f>
        <v/>
      </c>
      <c r="E20" s="123">
        <f t="shared" ca="1" si="5"/>
        <v>0</v>
      </c>
      <c r="F20" s="123">
        <f t="shared" ca="1" si="0"/>
        <v>0</v>
      </c>
      <c r="G20" s="123">
        <f t="shared" ca="1" si="1"/>
        <v>0</v>
      </c>
      <c r="H20" s="62"/>
      <c r="J20" s="3" t="b">
        <f t="shared" si="2"/>
        <v>0</v>
      </c>
      <c r="K20" s="3" t="b">
        <f t="shared" si="2"/>
        <v>0</v>
      </c>
      <c r="L20" s="3" t="b">
        <f t="shared" si="2"/>
        <v>0</v>
      </c>
      <c r="N20" s="16">
        <v>12</v>
      </c>
      <c r="O20" s="65"/>
      <c r="P20" s="55"/>
      <c r="Q20" s="56"/>
      <c r="R20" s="57"/>
      <c r="S20" s="58"/>
      <c r="T20" s="59"/>
      <c r="U20" s="60"/>
      <c r="V20" s="62"/>
      <c r="X20" s="1">
        <f t="shared" ca="1" si="3"/>
        <v>1</v>
      </c>
      <c r="Z20" s="1">
        <f t="shared" si="6"/>
        <v>0</v>
      </c>
      <c r="AA20" s="1">
        <f t="shared" si="6"/>
        <v>0</v>
      </c>
      <c r="AB20" s="1">
        <f t="shared" si="6"/>
        <v>0</v>
      </c>
      <c r="AC20" s="1">
        <f t="shared" si="6"/>
        <v>0</v>
      </c>
      <c r="AD20" s="1">
        <f t="shared" si="6"/>
        <v>0</v>
      </c>
      <c r="AE20" s="1">
        <f t="shared" si="6"/>
        <v>0</v>
      </c>
      <c r="AF20" s="1">
        <f t="shared" si="6"/>
        <v>0</v>
      </c>
      <c r="AG20" s="1">
        <f t="shared" si="6"/>
        <v>0</v>
      </c>
      <c r="AH20" s="1">
        <f t="shared" si="6"/>
        <v>0</v>
      </c>
      <c r="AI20" s="1">
        <f t="shared" si="6"/>
        <v>0</v>
      </c>
      <c r="AJ20" s="1">
        <f t="shared" si="6"/>
        <v>0</v>
      </c>
      <c r="AK20" s="1">
        <f t="shared" si="6"/>
        <v>0</v>
      </c>
    </row>
    <row r="21" spans="1:37" ht="14.1" customHeight="1" x14ac:dyDescent="0.2">
      <c r="B21" s="128"/>
      <c r="C21" s="129"/>
      <c r="D21" s="130"/>
      <c r="E21" s="130"/>
      <c r="F21" s="130"/>
      <c r="G21" s="130"/>
      <c r="H21" s="131"/>
      <c r="N21" s="12">
        <v>13</v>
      </c>
      <c r="O21" s="65"/>
      <c r="P21" s="49"/>
      <c r="Q21" s="50"/>
      <c r="R21" s="51"/>
      <c r="S21" s="52"/>
      <c r="T21" s="53"/>
      <c r="U21" s="54"/>
      <c r="V21" s="62"/>
      <c r="X21" s="1">
        <f t="shared" ca="1" si="3"/>
        <v>1</v>
      </c>
      <c r="Z21" s="1">
        <f t="shared" si="6"/>
        <v>0</v>
      </c>
      <c r="AA21" s="1">
        <f t="shared" si="6"/>
        <v>0</v>
      </c>
      <c r="AB21" s="1">
        <f t="shared" si="6"/>
        <v>0</v>
      </c>
      <c r="AC21" s="1">
        <f t="shared" si="6"/>
        <v>0</v>
      </c>
      <c r="AD21" s="1">
        <f t="shared" si="6"/>
        <v>0</v>
      </c>
      <c r="AE21" s="1">
        <f t="shared" si="6"/>
        <v>0</v>
      </c>
      <c r="AF21" s="1">
        <f t="shared" si="6"/>
        <v>0</v>
      </c>
      <c r="AG21" s="1">
        <f t="shared" si="6"/>
        <v>0</v>
      </c>
      <c r="AH21" s="1">
        <f t="shared" si="6"/>
        <v>0</v>
      </c>
      <c r="AI21" s="1">
        <f t="shared" si="6"/>
        <v>0</v>
      </c>
      <c r="AJ21" s="1">
        <f t="shared" si="6"/>
        <v>0</v>
      </c>
      <c r="AK21" s="1">
        <f t="shared" si="6"/>
        <v>0</v>
      </c>
    </row>
    <row r="22" spans="1:37" ht="14.1" customHeight="1" x14ac:dyDescent="0.2">
      <c r="J22" s="29"/>
      <c r="K22" s="29"/>
      <c r="L22" s="29"/>
      <c r="N22" s="16">
        <v>14</v>
      </c>
      <c r="O22" s="65"/>
      <c r="P22" s="55"/>
      <c r="Q22" s="56"/>
      <c r="R22" s="57"/>
      <c r="S22" s="58"/>
      <c r="T22" s="59"/>
      <c r="U22" s="60"/>
      <c r="V22" s="62"/>
      <c r="X22" s="1">
        <f t="shared" ca="1" si="3"/>
        <v>1</v>
      </c>
      <c r="Z22" s="1">
        <f t="shared" si="6"/>
        <v>0</v>
      </c>
      <c r="AA22" s="1">
        <f t="shared" si="6"/>
        <v>0</v>
      </c>
      <c r="AB22" s="1">
        <f t="shared" si="6"/>
        <v>0</v>
      </c>
      <c r="AC22" s="1">
        <f t="shared" si="6"/>
        <v>0</v>
      </c>
      <c r="AD22" s="1">
        <f t="shared" si="6"/>
        <v>0</v>
      </c>
      <c r="AE22" s="1">
        <f t="shared" si="6"/>
        <v>0</v>
      </c>
      <c r="AF22" s="1">
        <f t="shared" si="6"/>
        <v>0</v>
      </c>
      <c r="AG22" s="1">
        <f t="shared" si="6"/>
        <v>0</v>
      </c>
      <c r="AH22" s="1">
        <f t="shared" si="6"/>
        <v>0</v>
      </c>
      <c r="AI22" s="1">
        <f t="shared" si="6"/>
        <v>0</v>
      </c>
      <c r="AJ22" s="1">
        <f t="shared" si="6"/>
        <v>0</v>
      </c>
      <c r="AK22" s="1">
        <f t="shared" si="6"/>
        <v>0</v>
      </c>
    </row>
    <row r="23" spans="1:37" ht="14.1" customHeight="1" x14ac:dyDescent="0.2">
      <c r="B23" s="77"/>
      <c r="C23" s="78"/>
      <c r="D23" s="79"/>
      <c r="E23" s="79"/>
      <c r="F23" s="79"/>
      <c r="G23" s="79"/>
      <c r="H23" s="80"/>
      <c r="I23" s="3"/>
      <c r="J23" s="3"/>
      <c r="K23" s="3"/>
      <c r="L23" s="3"/>
      <c r="M23" s="3"/>
      <c r="N23" s="12">
        <v>15</v>
      </c>
      <c r="O23" s="65"/>
      <c r="P23" s="49"/>
      <c r="Q23" s="50"/>
      <c r="R23" s="51"/>
      <c r="S23" s="52"/>
      <c r="T23" s="53"/>
      <c r="U23" s="54"/>
      <c r="V23" s="62"/>
      <c r="X23" s="1">
        <f t="shared" ca="1" si="3"/>
        <v>1</v>
      </c>
      <c r="Z23" s="1">
        <f t="shared" si="6"/>
        <v>0</v>
      </c>
      <c r="AA23" s="1">
        <f t="shared" si="6"/>
        <v>0</v>
      </c>
      <c r="AB23" s="1">
        <f t="shared" si="6"/>
        <v>0</v>
      </c>
      <c r="AC23" s="1">
        <f t="shared" si="6"/>
        <v>0</v>
      </c>
      <c r="AD23" s="1">
        <f t="shared" si="6"/>
        <v>0</v>
      </c>
      <c r="AE23" s="1">
        <f t="shared" si="6"/>
        <v>0</v>
      </c>
      <c r="AF23" s="1">
        <f t="shared" si="6"/>
        <v>0</v>
      </c>
      <c r="AG23" s="1">
        <f t="shared" si="6"/>
        <v>0</v>
      </c>
      <c r="AH23" s="1">
        <f t="shared" si="6"/>
        <v>0</v>
      </c>
      <c r="AI23" s="1">
        <f t="shared" si="6"/>
        <v>0</v>
      </c>
      <c r="AJ23" s="1">
        <f t="shared" si="6"/>
        <v>0</v>
      </c>
      <c r="AK23" s="1">
        <f t="shared" si="6"/>
        <v>0</v>
      </c>
    </row>
    <row r="24" spans="1:37" ht="14.1" customHeight="1" x14ac:dyDescent="0.2">
      <c r="B24" s="81"/>
      <c r="C24" s="285" t="s">
        <v>103</v>
      </c>
      <c r="D24" s="285"/>
      <c r="E24" s="285"/>
      <c r="F24" s="285"/>
      <c r="G24" s="285"/>
      <c r="H24" s="82"/>
      <c r="I24" s="3"/>
      <c r="J24" s="3"/>
      <c r="K24" s="3"/>
      <c r="L24" s="3"/>
      <c r="M24" s="3"/>
      <c r="N24" s="16">
        <v>16</v>
      </c>
      <c r="O24" s="65"/>
      <c r="P24" s="55"/>
      <c r="Q24" s="56"/>
      <c r="R24" s="57"/>
      <c r="S24" s="58"/>
      <c r="T24" s="59"/>
      <c r="U24" s="60"/>
      <c r="V24" s="62"/>
      <c r="X24" s="1">
        <f t="shared" ca="1" si="3"/>
        <v>1</v>
      </c>
      <c r="Z24" s="1">
        <f t="shared" si="6"/>
        <v>0</v>
      </c>
      <c r="AA24" s="1">
        <f t="shared" si="6"/>
        <v>0</v>
      </c>
      <c r="AB24" s="1">
        <f t="shared" si="6"/>
        <v>0</v>
      </c>
      <c r="AC24" s="1">
        <f t="shared" si="6"/>
        <v>0</v>
      </c>
      <c r="AD24" s="1">
        <f t="shared" si="6"/>
        <v>0</v>
      </c>
      <c r="AE24" s="1">
        <f t="shared" si="6"/>
        <v>0</v>
      </c>
      <c r="AF24" s="1">
        <f t="shared" si="6"/>
        <v>0</v>
      </c>
      <c r="AG24" s="1">
        <f t="shared" si="6"/>
        <v>0</v>
      </c>
      <c r="AH24" s="1">
        <f t="shared" si="6"/>
        <v>0</v>
      </c>
      <c r="AI24" s="1">
        <f t="shared" si="6"/>
        <v>0</v>
      </c>
      <c r="AJ24" s="1">
        <f t="shared" si="6"/>
        <v>0</v>
      </c>
      <c r="AK24" s="1">
        <f t="shared" si="6"/>
        <v>0</v>
      </c>
    </row>
    <row r="25" spans="1:37" ht="14.1" customHeight="1" x14ac:dyDescent="0.2">
      <c r="B25" s="81"/>
      <c r="C25" s="285"/>
      <c r="D25" s="285"/>
      <c r="E25" s="285"/>
      <c r="F25" s="285"/>
      <c r="G25" s="285"/>
      <c r="H25" s="82"/>
      <c r="I25" s="3"/>
      <c r="J25" s="3"/>
      <c r="K25" s="3"/>
      <c r="L25" s="3"/>
      <c r="M25" s="3"/>
      <c r="N25" s="12">
        <v>17</v>
      </c>
      <c r="O25" s="65"/>
      <c r="P25" s="49"/>
      <c r="Q25" s="50"/>
      <c r="R25" s="51"/>
      <c r="S25" s="52"/>
      <c r="T25" s="53"/>
      <c r="U25" s="54"/>
      <c r="V25" s="62"/>
      <c r="X25" s="1">
        <f t="shared" ca="1" si="3"/>
        <v>1</v>
      </c>
      <c r="Z25" s="1">
        <f t="shared" si="6"/>
        <v>0</v>
      </c>
      <c r="AA25" s="1">
        <f t="shared" si="6"/>
        <v>0</v>
      </c>
      <c r="AB25" s="1">
        <f t="shared" si="6"/>
        <v>0</v>
      </c>
      <c r="AC25" s="1">
        <f t="shared" si="6"/>
        <v>0</v>
      </c>
      <c r="AD25" s="1">
        <f t="shared" si="6"/>
        <v>0</v>
      </c>
      <c r="AE25" s="1">
        <f t="shared" si="6"/>
        <v>0</v>
      </c>
      <c r="AF25" s="1">
        <f t="shared" si="6"/>
        <v>0</v>
      </c>
      <c r="AG25" s="1">
        <f t="shared" si="6"/>
        <v>0</v>
      </c>
      <c r="AH25" s="1">
        <f t="shared" si="6"/>
        <v>0</v>
      </c>
      <c r="AI25" s="1">
        <f t="shared" si="6"/>
        <v>0</v>
      </c>
      <c r="AJ25" s="1">
        <f t="shared" si="6"/>
        <v>0</v>
      </c>
      <c r="AK25" s="1">
        <f t="shared" si="6"/>
        <v>0</v>
      </c>
    </row>
    <row r="26" spans="1:37" ht="14.1" customHeight="1" x14ac:dyDescent="0.2">
      <c r="B26" s="46"/>
      <c r="C26" s="271" t="s">
        <v>94</v>
      </c>
      <c r="D26" s="273" t="s">
        <v>5</v>
      </c>
      <c r="E26" s="275" t="s">
        <v>104</v>
      </c>
      <c r="F26" s="275" t="s">
        <v>89</v>
      </c>
      <c r="G26" s="276" t="s">
        <v>6</v>
      </c>
      <c r="H26" s="82"/>
      <c r="I26" s="3"/>
      <c r="J26" s="3"/>
      <c r="K26" s="3"/>
      <c r="L26" s="3"/>
      <c r="M26" s="3"/>
      <c r="N26" s="16">
        <v>18</v>
      </c>
      <c r="O26" s="65"/>
      <c r="P26" s="55"/>
      <c r="Q26" s="56"/>
      <c r="R26" s="57"/>
      <c r="S26" s="58"/>
      <c r="T26" s="59"/>
      <c r="U26" s="60"/>
      <c r="V26" s="62"/>
      <c r="X26" s="1">
        <f t="shared" ca="1" si="3"/>
        <v>1</v>
      </c>
      <c r="Z26" s="1">
        <f t="shared" si="6"/>
        <v>0</v>
      </c>
      <c r="AA26" s="1">
        <f t="shared" si="6"/>
        <v>0</v>
      </c>
      <c r="AB26" s="1">
        <f t="shared" si="6"/>
        <v>0</v>
      </c>
      <c r="AC26" s="1">
        <f t="shared" si="6"/>
        <v>0</v>
      </c>
      <c r="AD26" s="1">
        <f t="shared" si="6"/>
        <v>0</v>
      </c>
      <c r="AE26" s="1">
        <f t="shared" si="6"/>
        <v>0</v>
      </c>
      <c r="AF26" s="1">
        <f t="shared" si="6"/>
        <v>0</v>
      </c>
      <c r="AG26" s="1">
        <f t="shared" si="6"/>
        <v>0</v>
      </c>
      <c r="AH26" s="1">
        <f t="shared" si="6"/>
        <v>0</v>
      </c>
      <c r="AI26" s="1">
        <f t="shared" si="6"/>
        <v>0</v>
      </c>
      <c r="AJ26" s="1">
        <f t="shared" si="6"/>
        <v>0</v>
      </c>
      <c r="AK26" s="1">
        <f t="shared" si="6"/>
        <v>0</v>
      </c>
    </row>
    <row r="27" spans="1:37" ht="14.1" customHeight="1" x14ac:dyDescent="0.2">
      <c r="A27" s="3"/>
      <c r="B27" s="44"/>
      <c r="C27" s="272"/>
      <c r="D27" s="274"/>
      <c r="E27" s="99" t="s">
        <v>87</v>
      </c>
      <c r="F27" s="100" t="s">
        <v>89</v>
      </c>
      <c r="G27" s="98" t="s">
        <v>105</v>
      </c>
      <c r="H27" s="83"/>
      <c r="I27" s="3"/>
      <c r="J27" s="3" t="str">
        <f>ANUAL!C115</f>
        <v>CC</v>
      </c>
      <c r="K27" s="3" t="str">
        <f>ANUAL!C116</f>
        <v>INV</v>
      </c>
      <c r="L27" s="3" t="str">
        <f>ANUAL!C117</f>
        <v>DINH</v>
      </c>
      <c r="M27" s="3"/>
      <c r="N27" s="12">
        <v>19</v>
      </c>
      <c r="O27" s="65"/>
      <c r="P27" s="49"/>
      <c r="Q27" s="50"/>
      <c r="R27" s="51"/>
      <c r="S27" s="52"/>
      <c r="T27" s="53"/>
      <c r="U27" s="54"/>
      <c r="V27" s="62"/>
      <c r="X27" s="1">
        <f t="shared" ca="1" si="3"/>
        <v>1</v>
      </c>
      <c r="Z27" s="1">
        <f t="shared" si="6"/>
        <v>0</v>
      </c>
      <c r="AA27" s="1">
        <f t="shared" si="6"/>
        <v>0</v>
      </c>
      <c r="AB27" s="1">
        <f t="shared" si="6"/>
        <v>0</v>
      </c>
      <c r="AC27" s="1">
        <f t="shared" si="6"/>
        <v>0</v>
      </c>
      <c r="AD27" s="1">
        <f t="shared" si="6"/>
        <v>0</v>
      </c>
      <c r="AE27" s="1">
        <f t="shared" si="6"/>
        <v>0</v>
      </c>
      <c r="AF27" s="1">
        <f t="shared" si="6"/>
        <v>0</v>
      </c>
      <c r="AG27" s="1">
        <f t="shared" si="6"/>
        <v>0</v>
      </c>
      <c r="AH27" s="1">
        <f t="shared" si="6"/>
        <v>0</v>
      </c>
      <c r="AI27" s="1">
        <f t="shared" si="6"/>
        <v>0</v>
      </c>
      <c r="AJ27" s="1">
        <f t="shared" si="6"/>
        <v>0</v>
      </c>
      <c r="AK27" s="1">
        <f t="shared" si="6"/>
        <v>0</v>
      </c>
    </row>
    <row r="28" spans="1:37" ht="14.1" customHeight="1" x14ac:dyDescent="0.2">
      <c r="A28" s="12">
        <v>1</v>
      </c>
      <c r="B28" s="64"/>
      <c r="C28" s="115" t="str">
        <f t="shared" ref="C28:D39" si="7">C9</f>
        <v/>
      </c>
      <c r="D28" s="116" t="str">
        <f t="shared" si="7"/>
        <v>CONTA CORRENTE BANCO 1</v>
      </c>
      <c r="E28" s="117">
        <f t="shared" ref="E28:E39" ca="1" si="8">SUMIF(OFFSET($Z$9:$Z$88,0,A28-1),"&gt;0")</f>
        <v>0</v>
      </c>
      <c r="F28" s="117">
        <f t="shared" ref="F28:F39" ca="1" si="9">SUMIF(OFFSET($Z$9:$Z$88,0,A28-1),"&lt;0")</f>
        <v>0</v>
      </c>
      <c r="G28" s="117">
        <f t="shared" ref="G28:G39" ca="1" si="10">SUM(E28:F28)</f>
        <v>0</v>
      </c>
      <c r="H28" s="61"/>
      <c r="I28" s="3"/>
      <c r="J28" s="3" t="b">
        <f t="shared" ref="J28:L39" si="11">NOT(ISERR(SEARCH(J$27,$C28)))</f>
        <v>0</v>
      </c>
      <c r="K28" s="3" t="b">
        <f t="shared" si="11"/>
        <v>0</v>
      </c>
      <c r="L28" s="3" t="b">
        <f t="shared" si="11"/>
        <v>0</v>
      </c>
      <c r="M28" s="3"/>
      <c r="N28" s="16">
        <v>20</v>
      </c>
      <c r="O28" s="65"/>
      <c r="P28" s="55"/>
      <c r="Q28" s="56"/>
      <c r="R28" s="57"/>
      <c r="S28" s="58"/>
      <c r="T28" s="59"/>
      <c r="U28" s="60"/>
      <c r="V28" s="62"/>
      <c r="X28" s="1">
        <f t="shared" ca="1" si="3"/>
        <v>1</v>
      </c>
      <c r="Z28" s="1">
        <f t="shared" si="6"/>
        <v>0</v>
      </c>
      <c r="AA28" s="1">
        <f t="shared" si="6"/>
        <v>0</v>
      </c>
      <c r="AB28" s="1">
        <f t="shared" si="6"/>
        <v>0</v>
      </c>
      <c r="AC28" s="1">
        <f t="shared" si="6"/>
        <v>0</v>
      </c>
      <c r="AD28" s="1">
        <f t="shared" si="6"/>
        <v>0</v>
      </c>
      <c r="AE28" s="1">
        <f t="shared" si="6"/>
        <v>0</v>
      </c>
      <c r="AF28" s="1">
        <f t="shared" si="6"/>
        <v>0</v>
      </c>
      <c r="AG28" s="1">
        <f t="shared" si="6"/>
        <v>0</v>
      </c>
      <c r="AH28" s="1">
        <f t="shared" si="6"/>
        <v>0</v>
      </c>
      <c r="AI28" s="1">
        <f t="shared" si="6"/>
        <v>0</v>
      </c>
      <c r="AJ28" s="1">
        <f t="shared" si="6"/>
        <v>0</v>
      </c>
      <c r="AK28" s="1">
        <f t="shared" si="6"/>
        <v>0</v>
      </c>
    </row>
    <row r="29" spans="1:37" ht="14.1" customHeight="1" x14ac:dyDescent="0.2">
      <c r="A29" s="16">
        <v>2</v>
      </c>
      <c r="B29" s="65"/>
      <c r="C29" s="118" t="str">
        <f t="shared" si="7"/>
        <v>INV1</v>
      </c>
      <c r="D29" s="119" t="str">
        <f t="shared" si="7"/>
        <v>POUPANÇA BANCO 1</v>
      </c>
      <c r="E29" s="120">
        <f t="shared" ca="1" si="8"/>
        <v>0</v>
      </c>
      <c r="F29" s="120">
        <f t="shared" ca="1" si="9"/>
        <v>0</v>
      </c>
      <c r="G29" s="120">
        <f t="shared" ca="1" si="10"/>
        <v>0</v>
      </c>
      <c r="H29" s="62"/>
      <c r="I29" s="3"/>
      <c r="J29" s="3" t="b">
        <f t="shared" si="11"/>
        <v>0</v>
      </c>
      <c r="K29" s="3" t="b">
        <f t="shared" si="11"/>
        <v>1</v>
      </c>
      <c r="L29" s="3" t="b">
        <f t="shared" si="11"/>
        <v>0</v>
      </c>
      <c r="M29" s="3"/>
      <c r="N29" s="12">
        <v>21</v>
      </c>
      <c r="O29" s="65"/>
      <c r="P29" s="49"/>
      <c r="Q29" s="50"/>
      <c r="R29" s="51"/>
      <c r="S29" s="52"/>
      <c r="T29" s="53"/>
      <c r="U29" s="54"/>
      <c r="V29" s="62"/>
      <c r="X29" s="1">
        <f t="shared" ca="1" si="3"/>
        <v>1</v>
      </c>
      <c r="Z29" s="1">
        <f t="shared" ref="Z29:AK38" si="12">IF(Z$8=$R29,-$T29,0)+IF(Z$8=$S29,$T29,0)</f>
        <v>0</v>
      </c>
      <c r="AA29" s="1">
        <f t="shared" si="12"/>
        <v>0</v>
      </c>
      <c r="AB29" s="1">
        <f t="shared" si="12"/>
        <v>0</v>
      </c>
      <c r="AC29" s="1">
        <f t="shared" si="12"/>
        <v>0</v>
      </c>
      <c r="AD29" s="1">
        <f t="shared" si="12"/>
        <v>0</v>
      </c>
      <c r="AE29" s="1">
        <f t="shared" si="12"/>
        <v>0</v>
      </c>
      <c r="AF29" s="1">
        <f t="shared" si="12"/>
        <v>0</v>
      </c>
      <c r="AG29" s="1">
        <f t="shared" si="12"/>
        <v>0</v>
      </c>
      <c r="AH29" s="1">
        <f t="shared" si="12"/>
        <v>0</v>
      </c>
      <c r="AI29" s="1">
        <f t="shared" si="12"/>
        <v>0</v>
      </c>
      <c r="AJ29" s="1">
        <f t="shared" si="12"/>
        <v>0</v>
      </c>
      <c r="AK29" s="1">
        <f t="shared" si="12"/>
        <v>0</v>
      </c>
    </row>
    <row r="30" spans="1:37" ht="14.1" customHeight="1" x14ac:dyDescent="0.2">
      <c r="A30" s="12">
        <v>3</v>
      </c>
      <c r="B30" s="65"/>
      <c r="C30" s="115" t="str">
        <f t="shared" si="7"/>
        <v>DINH1</v>
      </c>
      <c r="D30" s="116" t="str">
        <f t="shared" si="7"/>
        <v>EM ESPÉCIE</v>
      </c>
      <c r="E30" s="117">
        <f t="shared" ca="1" si="8"/>
        <v>0</v>
      </c>
      <c r="F30" s="117">
        <f t="shared" ca="1" si="9"/>
        <v>0</v>
      </c>
      <c r="G30" s="117">
        <f t="shared" ca="1" si="10"/>
        <v>0</v>
      </c>
      <c r="H30" s="62"/>
      <c r="I30" s="3"/>
      <c r="J30" s="3" t="b">
        <f t="shared" si="11"/>
        <v>0</v>
      </c>
      <c r="K30" s="3" t="b">
        <f t="shared" si="11"/>
        <v>0</v>
      </c>
      <c r="L30" s="3" t="b">
        <f t="shared" si="11"/>
        <v>1</v>
      </c>
      <c r="M30" s="3"/>
      <c r="N30" s="16">
        <v>22</v>
      </c>
      <c r="O30" s="65"/>
      <c r="P30" s="55"/>
      <c r="Q30" s="56"/>
      <c r="R30" s="57"/>
      <c r="S30" s="58"/>
      <c r="T30" s="59"/>
      <c r="U30" s="60"/>
      <c r="V30" s="62"/>
      <c r="X30" s="1">
        <f t="shared" ca="1" si="3"/>
        <v>1</v>
      </c>
      <c r="Z30" s="1">
        <f t="shared" si="12"/>
        <v>0</v>
      </c>
      <c r="AA30" s="1">
        <f t="shared" si="12"/>
        <v>0</v>
      </c>
      <c r="AB30" s="1">
        <f t="shared" si="12"/>
        <v>0</v>
      </c>
      <c r="AC30" s="1">
        <f t="shared" si="12"/>
        <v>0</v>
      </c>
      <c r="AD30" s="1">
        <f t="shared" si="12"/>
        <v>0</v>
      </c>
      <c r="AE30" s="1">
        <f t="shared" si="12"/>
        <v>0</v>
      </c>
      <c r="AF30" s="1">
        <f t="shared" si="12"/>
        <v>0</v>
      </c>
      <c r="AG30" s="1">
        <f t="shared" si="12"/>
        <v>0</v>
      </c>
      <c r="AH30" s="1">
        <f t="shared" si="12"/>
        <v>0</v>
      </c>
      <c r="AI30" s="1">
        <f t="shared" si="12"/>
        <v>0</v>
      </c>
      <c r="AJ30" s="1">
        <f t="shared" si="12"/>
        <v>0</v>
      </c>
      <c r="AK30" s="1">
        <f t="shared" si="12"/>
        <v>0</v>
      </c>
    </row>
    <row r="31" spans="1:37" ht="14.1" customHeight="1" x14ac:dyDescent="0.2">
      <c r="A31" s="16">
        <v>4</v>
      </c>
      <c r="B31" s="65"/>
      <c r="C31" s="118" t="str">
        <f t="shared" si="7"/>
        <v>CRED1</v>
      </c>
      <c r="D31" s="119" t="str">
        <f t="shared" si="7"/>
        <v>CARTÃO DE CRÉDITO 1</v>
      </c>
      <c r="E31" s="120">
        <f t="shared" ca="1" si="8"/>
        <v>0</v>
      </c>
      <c r="F31" s="120">
        <f t="shared" ca="1" si="9"/>
        <v>0</v>
      </c>
      <c r="G31" s="120">
        <f t="shared" ca="1" si="10"/>
        <v>0</v>
      </c>
      <c r="H31" s="62"/>
      <c r="I31" s="3"/>
      <c r="J31" s="3" t="b">
        <f t="shared" si="11"/>
        <v>0</v>
      </c>
      <c r="K31" s="3" t="b">
        <f t="shared" si="11"/>
        <v>0</v>
      </c>
      <c r="L31" s="3" t="b">
        <f t="shared" si="11"/>
        <v>0</v>
      </c>
      <c r="M31" s="3"/>
      <c r="N31" s="12">
        <v>23</v>
      </c>
      <c r="O31" s="65"/>
      <c r="P31" s="49"/>
      <c r="Q31" s="50"/>
      <c r="R31" s="51"/>
      <c r="S31" s="52"/>
      <c r="T31" s="53"/>
      <c r="U31" s="54"/>
      <c r="V31" s="62"/>
      <c r="X31" s="1">
        <f t="shared" ca="1" si="3"/>
        <v>1</v>
      </c>
      <c r="Z31" s="1">
        <f t="shared" si="12"/>
        <v>0</v>
      </c>
      <c r="AA31" s="1">
        <f t="shared" si="12"/>
        <v>0</v>
      </c>
      <c r="AB31" s="1">
        <f t="shared" si="12"/>
        <v>0</v>
      </c>
      <c r="AC31" s="1">
        <f t="shared" si="12"/>
        <v>0</v>
      </c>
      <c r="AD31" s="1">
        <f t="shared" si="12"/>
        <v>0</v>
      </c>
      <c r="AE31" s="1">
        <f t="shared" si="12"/>
        <v>0</v>
      </c>
      <c r="AF31" s="1">
        <f t="shared" si="12"/>
        <v>0</v>
      </c>
      <c r="AG31" s="1">
        <f t="shared" si="12"/>
        <v>0</v>
      </c>
      <c r="AH31" s="1">
        <f t="shared" si="12"/>
        <v>0</v>
      </c>
      <c r="AI31" s="1">
        <f t="shared" si="12"/>
        <v>0</v>
      </c>
      <c r="AJ31" s="1">
        <f t="shared" si="12"/>
        <v>0</v>
      </c>
      <c r="AK31" s="1">
        <f t="shared" si="12"/>
        <v>0</v>
      </c>
    </row>
    <row r="32" spans="1:37" ht="14.1" customHeight="1" x14ac:dyDescent="0.2">
      <c r="A32" s="12">
        <v>5</v>
      </c>
      <c r="B32" s="65"/>
      <c r="C32" s="115" t="str">
        <f t="shared" si="7"/>
        <v>---</v>
      </c>
      <c r="D32" s="116" t="str">
        <f t="shared" si="7"/>
        <v/>
      </c>
      <c r="E32" s="117">
        <f t="shared" ca="1" si="8"/>
        <v>0</v>
      </c>
      <c r="F32" s="117">
        <f t="shared" ca="1" si="9"/>
        <v>0</v>
      </c>
      <c r="G32" s="117">
        <f t="shared" ca="1" si="10"/>
        <v>0</v>
      </c>
      <c r="H32" s="62"/>
      <c r="I32" s="3"/>
      <c r="J32" s="3" t="b">
        <f t="shared" si="11"/>
        <v>0</v>
      </c>
      <c r="K32" s="3" t="b">
        <f t="shared" si="11"/>
        <v>0</v>
      </c>
      <c r="L32" s="3" t="b">
        <f t="shared" si="11"/>
        <v>0</v>
      </c>
      <c r="M32" s="3"/>
      <c r="N32" s="16">
        <v>24</v>
      </c>
      <c r="O32" s="65"/>
      <c r="P32" s="55"/>
      <c r="Q32" s="56"/>
      <c r="R32" s="57"/>
      <c r="S32" s="58"/>
      <c r="T32" s="59"/>
      <c r="U32" s="60"/>
      <c r="V32" s="62"/>
      <c r="X32" s="1">
        <f t="shared" ca="1" si="3"/>
        <v>1</v>
      </c>
      <c r="Z32" s="1">
        <f t="shared" si="12"/>
        <v>0</v>
      </c>
      <c r="AA32" s="1">
        <f t="shared" si="12"/>
        <v>0</v>
      </c>
      <c r="AB32" s="1">
        <f t="shared" si="12"/>
        <v>0</v>
      </c>
      <c r="AC32" s="1">
        <f t="shared" si="12"/>
        <v>0</v>
      </c>
      <c r="AD32" s="1">
        <f t="shared" si="12"/>
        <v>0</v>
      </c>
      <c r="AE32" s="1">
        <f t="shared" si="12"/>
        <v>0</v>
      </c>
      <c r="AF32" s="1">
        <f t="shared" si="12"/>
        <v>0</v>
      </c>
      <c r="AG32" s="1">
        <f t="shared" si="12"/>
        <v>0</v>
      </c>
      <c r="AH32" s="1">
        <f t="shared" si="12"/>
        <v>0</v>
      </c>
      <c r="AI32" s="1">
        <f t="shared" si="12"/>
        <v>0</v>
      </c>
      <c r="AJ32" s="1">
        <f t="shared" si="12"/>
        <v>0</v>
      </c>
      <c r="AK32" s="1">
        <f t="shared" si="12"/>
        <v>0</v>
      </c>
    </row>
    <row r="33" spans="1:37" ht="14.1" customHeight="1" x14ac:dyDescent="0.2">
      <c r="A33" s="16">
        <v>6</v>
      </c>
      <c r="B33" s="65"/>
      <c r="C33" s="118" t="str">
        <f t="shared" si="7"/>
        <v>---</v>
      </c>
      <c r="D33" s="119" t="str">
        <f t="shared" si="7"/>
        <v/>
      </c>
      <c r="E33" s="120">
        <f t="shared" ca="1" si="8"/>
        <v>0</v>
      </c>
      <c r="F33" s="120">
        <f t="shared" ca="1" si="9"/>
        <v>0</v>
      </c>
      <c r="G33" s="120">
        <f t="shared" ca="1" si="10"/>
        <v>0</v>
      </c>
      <c r="H33" s="62"/>
      <c r="I33" s="3"/>
      <c r="J33" s="3" t="b">
        <f t="shared" si="11"/>
        <v>0</v>
      </c>
      <c r="K33" s="3" t="b">
        <f t="shared" si="11"/>
        <v>0</v>
      </c>
      <c r="L33" s="3" t="b">
        <f t="shared" si="11"/>
        <v>0</v>
      </c>
      <c r="M33" s="3"/>
      <c r="N33" s="12">
        <v>25</v>
      </c>
      <c r="O33" s="65"/>
      <c r="P33" s="49"/>
      <c r="Q33" s="50"/>
      <c r="R33" s="51"/>
      <c r="S33" s="52"/>
      <c r="T33" s="53"/>
      <c r="U33" s="54"/>
      <c r="V33" s="62"/>
      <c r="X33" s="1">
        <f t="shared" ca="1" si="3"/>
        <v>1</v>
      </c>
      <c r="Z33" s="1">
        <f t="shared" si="12"/>
        <v>0</v>
      </c>
      <c r="AA33" s="1">
        <f t="shared" si="12"/>
        <v>0</v>
      </c>
      <c r="AB33" s="1">
        <f t="shared" si="12"/>
        <v>0</v>
      </c>
      <c r="AC33" s="1">
        <f t="shared" si="12"/>
        <v>0</v>
      </c>
      <c r="AD33" s="1">
        <f t="shared" si="12"/>
        <v>0</v>
      </c>
      <c r="AE33" s="1">
        <f t="shared" si="12"/>
        <v>0</v>
      </c>
      <c r="AF33" s="1">
        <f t="shared" si="12"/>
        <v>0</v>
      </c>
      <c r="AG33" s="1">
        <f t="shared" si="12"/>
        <v>0</v>
      </c>
      <c r="AH33" s="1">
        <f t="shared" si="12"/>
        <v>0</v>
      </c>
      <c r="AI33" s="1">
        <f t="shared" si="12"/>
        <v>0</v>
      </c>
      <c r="AJ33" s="1">
        <f t="shared" si="12"/>
        <v>0</v>
      </c>
      <c r="AK33" s="1">
        <f t="shared" si="12"/>
        <v>0</v>
      </c>
    </row>
    <row r="34" spans="1:37" ht="14.1" customHeight="1" x14ac:dyDescent="0.2">
      <c r="A34" s="12">
        <v>7</v>
      </c>
      <c r="B34" s="65"/>
      <c r="C34" s="115" t="str">
        <f t="shared" si="7"/>
        <v>---</v>
      </c>
      <c r="D34" s="116" t="str">
        <f t="shared" si="7"/>
        <v/>
      </c>
      <c r="E34" s="117">
        <f t="shared" ca="1" si="8"/>
        <v>0</v>
      </c>
      <c r="F34" s="117">
        <f t="shared" ca="1" si="9"/>
        <v>0</v>
      </c>
      <c r="G34" s="117">
        <f t="shared" ca="1" si="10"/>
        <v>0</v>
      </c>
      <c r="H34" s="62"/>
      <c r="I34" s="3"/>
      <c r="J34" s="3" t="b">
        <f t="shared" si="11"/>
        <v>0</v>
      </c>
      <c r="K34" s="3" t="b">
        <f t="shared" si="11"/>
        <v>0</v>
      </c>
      <c r="L34" s="3" t="b">
        <f t="shared" si="11"/>
        <v>0</v>
      </c>
      <c r="M34" s="3"/>
      <c r="N34" s="16">
        <v>26</v>
      </c>
      <c r="O34" s="65"/>
      <c r="P34" s="55"/>
      <c r="Q34" s="56"/>
      <c r="R34" s="57"/>
      <c r="S34" s="58"/>
      <c r="T34" s="59"/>
      <c r="U34" s="60"/>
      <c r="V34" s="62"/>
      <c r="X34" s="1">
        <f t="shared" ca="1" si="3"/>
        <v>1</v>
      </c>
      <c r="Z34" s="1">
        <f t="shared" si="12"/>
        <v>0</v>
      </c>
      <c r="AA34" s="1">
        <f t="shared" si="12"/>
        <v>0</v>
      </c>
      <c r="AB34" s="1">
        <f t="shared" si="12"/>
        <v>0</v>
      </c>
      <c r="AC34" s="1">
        <f t="shared" si="12"/>
        <v>0</v>
      </c>
      <c r="AD34" s="1">
        <f t="shared" si="12"/>
        <v>0</v>
      </c>
      <c r="AE34" s="1">
        <f t="shared" si="12"/>
        <v>0</v>
      </c>
      <c r="AF34" s="1">
        <f t="shared" si="12"/>
        <v>0</v>
      </c>
      <c r="AG34" s="1">
        <f t="shared" si="12"/>
        <v>0</v>
      </c>
      <c r="AH34" s="1">
        <f t="shared" si="12"/>
        <v>0</v>
      </c>
      <c r="AI34" s="1">
        <f t="shared" si="12"/>
        <v>0</v>
      </c>
      <c r="AJ34" s="1">
        <f t="shared" si="12"/>
        <v>0</v>
      </c>
      <c r="AK34" s="1">
        <f t="shared" si="12"/>
        <v>0</v>
      </c>
    </row>
    <row r="35" spans="1:37" ht="14.1" customHeight="1" x14ac:dyDescent="0.2">
      <c r="A35" s="16">
        <v>8</v>
      </c>
      <c r="B35" s="65"/>
      <c r="C35" s="118" t="str">
        <f t="shared" si="7"/>
        <v>---</v>
      </c>
      <c r="D35" s="119" t="str">
        <f t="shared" si="7"/>
        <v/>
      </c>
      <c r="E35" s="120">
        <f t="shared" ca="1" si="8"/>
        <v>0</v>
      </c>
      <c r="F35" s="120">
        <f t="shared" ca="1" si="9"/>
        <v>0</v>
      </c>
      <c r="G35" s="120">
        <f t="shared" ca="1" si="10"/>
        <v>0</v>
      </c>
      <c r="H35" s="62"/>
      <c r="I35" s="3"/>
      <c r="J35" s="3" t="b">
        <f t="shared" si="11"/>
        <v>0</v>
      </c>
      <c r="K35" s="3" t="b">
        <f t="shared" si="11"/>
        <v>0</v>
      </c>
      <c r="L35" s="3" t="b">
        <f t="shared" si="11"/>
        <v>0</v>
      </c>
      <c r="M35" s="3"/>
      <c r="N35" s="12">
        <v>27</v>
      </c>
      <c r="O35" s="65"/>
      <c r="P35" s="49"/>
      <c r="Q35" s="50"/>
      <c r="R35" s="51"/>
      <c r="S35" s="52"/>
      <c r="T35" s="53"/>
      <c r="U35" s="54"/>
      <c r="V35" s="62"/>
      <c r="X35" s="1">
        <f t="shared" ca="1" si="3"/>
        <v>1</v>
      </c>
      <c r="Z35" s="1">
        <f t="shared" si="12"/>
        <v>0</v>
      </c>
      <c r="AA35" s="1">
        <f t="shared" si="12"/>
        <v>0</v>
      </c>
      <c r="AB35" s="1">
        <f t="shared" si="12"/>
        <v>0</v>
      </c>
      <c r="AC35" s="1">
        <f t="shared" si="12"/>
        <v>0</v>
      </c>
      <c r="AD35" s="1">
        <f t="shared" si="12"/>
        <v>0</v>
      </c>
      <c r="AE35" s="1">
        <f t="shared" si="12"/>
        <v>0</v>
      </c>
      <c r="AF35" s="1">
        <f t="shared" si="12"/>
        <v>0</v>
      </c>
      <c r="AG35" s="1">
        <f t="shared" si="12"/>
        <v>0</v>
      </c>
      <c r="AH35" s="1">
        <f t="shared" si="12"/>
        <v>0</v>
      </c>
      <c r="AI35" s="1">
        <f t="shared" si="12"/>
        <v>0</v>
      </c>
      <c r="AJ35" s="1">
        <f t="shared" si="12"/>
        <v>0</v>
      </c>
      <c r="AK35" s="1">
        <f t="shared" si="12"/>
        <v>0</v>
      </c>
    </row>
    <row r="36" spans="1:37" ht="14.1" customHeight="1" x14ac:dyDescent="0.2">
      <c r="A36" s="12">
        <v>9</v>
      </c>
      <c r="B36" s="65"/>
      <c r="C36" s="115" t="str">
        <f t="shared" si="7"/>
        <v>---</v>
      </c>
      <c r="D36" s="116" t="str">
        <f t="shared" si="7"/>
        <v/>
      </c>
      <c r="E36" s="117">
        <f t="shared" ca="1" si="8"/>
        <v>0</v>
      </c>
      <c r="F36" s="117">
        <f t="shared" ca="1" si="9"/>
        <v>0</v>
      </c>
      <c r="G36" s="117">
        <f t="shared" ca="1" si="10"/>
        <v>0</v>
      </c>
      <c r="H36" s="62"/>
      <c r="I36" s="3"/>
      <c r="J36" s="3" t="b">
        <f t="shared" si="11"/>
        <v>0</v>
      </c>
      <c r="K36" s="3" t="b">
        <f t="shared" si="11"/>
        <v>0</v>
      </c>
      <c r="L36" s="3" t="b">
        <f t="shared" si="11"/>
        <v>0</v>
      </c>
      <c r="M36" s="3"/>
      <c r="N36" s="16">
        <v>28</v>
      </c>
      <c r="O36" s="65"/>
      <c r="P36" s="55"/>
      <c r="Q36" s="56"/>
      <c r="R36" s="57"/>
      <c r="S36" s="58"/>
      <c r="T36" s="59"/>
      <c r="U36" s="60"/>
      <c r="V36" s="62"/>
      <c r="X36" s="1">
        <f t="shared" ca="1" si="3"/>
        <v>1</v>
      </c>
      <c r="Z36" s="1">
        <f t="shared" si="12"/>
        <v>0</v>
      </c>
      <c r="AA36" s="1">
        <f t="shared" si="12"/>
        <v>0</v>
      </c>
      <c r="AB36" s="1">
        <f t="shared" si="12"/>
        <v>0</v>
      </c>
      <c r="AC36" s="1">
        <f t="shared" si="12"/>
        <v>0</v>
      </c>
      <c r="AD36" s="1">
        <f t="shared" si="12"/>
        <v>0</v>
      </c>
      <c r="AE36" s="1">
        <f t="shared" si="12"/>
        <v>0</v>
      </c>
      <c r="AF36" s="1">
        <f t="shared" si="12"/>
        <v>0</v>
      </c>
      <c r="AG36" s="1">
        <f t="shared" si="12"/>
        <v>0</v>
      </c>
      <c r="AH36" s="1">
        <f t="shared" si="12"/>
        <v>0</v>
      </c>
      <c r="AI36" s="1">
        <f t="shared" si="12"/>
        <v>0</v>
      </c>
      <c r="AJ36" s="1">
        <f t="shared" si="12"/>
        <v>0</v>
      </c>
      <c r="AK36" s="1">
        <f t="shared" si="12"/>
        <v>0</v>
      </c>
    </row>
    <row r="37" spans="1:37" ht="14.1" customHeight="1" x14ac:dyDescent="0.2">
      <c r="A37" s="16">
        <v>10</v>
      </c>
      <c r="B37" s="65"/>
      <c r="C37" s="118" t="str">
        <f t="shared" si="7"/>
        <v>---</v>
      </c>
      <c r="D37" s="119" t="str">
        <f t="shared" si="7"/>
        <v/>
      </c>
      <c r="E37" s="120">
        <f t="shared" ca="1" si="8"/>
        <v>0</v>
      </c>
      <c r="F37" s="120">
        <f t="shared" ca="1" si="9"/>
        <v>0</v>
      </c>
      <c r="G37" s="120">
        <f t="shared" ca="1" si="10"/>
        <v>0</v>
      </c>
      <c r="H37" s="62"/>
      <c r="I37" s="3"/>
      <c r="J37" s="3" t="b">
        <f t="shared" si="11"/>
        <v>0</v>
      </c>
      <c r="K37" s="3" t="b">
        <f t="shared" si="11"/>
        <v>0</v>
      </c>
      <c r="L37" s="3" t="b">
        <f t="shared" si="11"/>
        <v>0</v>
      </c>
      <c r="M37" s="3"/>
      <c r="N37" s="12">
        <v>29</v>
      </c>
      <c r="O37" s="65"/>
      <c r="P37" s="49"/>
      <c r="Q37" s="50"/>
      <c r="R37" s="51"/>
      <c r="S37" s="52"/>
      <c r="T37" s="53"/>
      <c r="U37" s="54"/>
      <c r="V37" s="62"/>
      <c r="X37" s="1">
        <f t="shared" ca="1" si="3"/>
        <v>1</v>
      </c>
      <c r="Z37" s="1">
        <f t="shared" si="12"/>
        <v>0</v>
      </c>
      <c r="AA37" s="1">
        <f t="shared" si="12"/>
        <v>0</v>
      </c>
      <c r="AB37" s="1">
        <f t="shared" si="12"/>
        <v>0</v>
      </c>
      <c r="AC37" s="1">
        <f t="shared" si="12"/>
        <v>0</v>
      </c>
      <c r="AD37" s="1">
        <f t="shared" si="12"/>
        <v>0</v>
      </c>
      <c r="AE37" s="1">
        <f t="shared" si="12"/>
        <v>0</v>
      </c>
      <c r="AF37" s="1">
        <f t="shared" si="12"/>
        <v>0</v>
      </c>
      <c r="AG37" s="1">
        <f t="shared" si="12"/>
        <v>0</v>
      </c>
      <c r="AH37" s="1">
        <f t="shared" si="12"/>
        <v>0</v>
      </c>
      <c r="AI37" s="1">
        <f t="shared" si="12"/>
        <v>0</v>
      </c>
      <c r="AJ37" s="1">
        <f t="shared" si="12"/>
        <v>0</v>
      </c>
      <c r="AK37" s="1">
        <f t="shared" si="12"/>
        <v>0</v>
      </c>
    </row>
    <row r="38" spans="1:37" ht="14.1" customHeight="1" x14ac:dyDescent="0.2">
      <c r="A38" s="12">
        <v>11</v>
      </c>
      <c r="B38" s="65"/>
      <c r="C38" s="115" t="str">
        <f t="shared" si="7"/>
        <v>---</v>
      </c>
      <c r="D38" s="116" t="str">
        <f t="shared" si="7"/>
        <v/>
      </c>
      <c r="E38" s="117">
        <f t="shared" ca="1" si="8"/>
        <v>0</v>
      </c>
      <c r="F38" s="117">
        <f t="shared" ca="1" si="9"/>
        <v>0</v>
      </c>
      <c r="G38" s="117">
        <f t="shared" ca="1" si="10"/>
        <v>0</v>
      </c>
      <c r="H38" s="62"/>
      <c r="I38" s="3"/>
      <c r="J38" s="3" t="b">
        <f t="shared" si="11"/>
        <v>0</v>
      </c>
      <c r="K38" s="3" t="b">
        <f t="shared" si="11"/>
        <v>0</v>
      </c>
      <c r="L38" s="3" t="b">
        <f t="shared" si="11"/>
        <v>0</v>
      </c>
      <c r="M38" s="3"/>
      <c r="N38" s="16">
        <v>30</v>
      </c>
      <c r="O38" s="65"/>
      <c r="P38" s="55"/>
      <c r="Q38" s="56"/>
      <c r="R38" s="57"/>
      <c r="S38" s="58"/>
      <c r="T38" s="59"/>
      <c r="U38" s="60"/>
      <c r="V38" s="62"/>
      <c r="X38" s="1">
        <f t="shared" ca="1" si="3"/>
        <v>1</v>
      </c>
      <c r="Z38" s="1">
        <f t="shared" si="12"/>
        <v>0</v>
      </c>
      <c r="AA38" s="1">
        <f t="shared" si="12"/>
        <v>0</v>
      </c>
      <c r="AB38" s="1">
        <f t="shared" si="12"/>
        <v>0</v>
      </c>
      <c r="AC38" s="1">
        <f t="shared" si="12"/>
        <v>0</v>
      </c>
      <c r="AD38" s="1">
        <f t="shared" si="12"/>
        <v>0</v>
      </c>
      <c r="AE38" s="1">
        <f t="shared" si="12"/>
        <v>0</v>
      </c>
      <c r="AF38" s="1">
        <f t="shared" si="12"/>
        <v>0</v>
      </c>
      <c r="AG38" s="1">
        <f t="shared" si="12"/>
        <v>0</v>
      </c>
      <c r="AH38" s="1">
        <f t="shared" si="12"/>
        <v>0</v>
      </c>
      <c r="AI38" s="1">
        <f t="shared" si="12"/>
        <v>0</v>
      </c>
      <c r="AJ38" s="1">
        <f t="shared" si="12"/>
        <v>0</v>
      </c>
      <c r="AK38" s="1">
        <f t="shared" si="12"/>
        <v>0</v>
      </c>
    </row>
    <row r="39" spans="1:37" ht="14.1" customHeight="1" x14ac:dyDescent="0.2">
      <c r="A39" s="16">
        <v>12</v>
      </c>
      <c r="B39" s="66"/>
      <c r="C39" s="121" t="str">
        <f t="shared" si="7"/>
        <v>---</v>
      </c>
      <c r="D39" s="122" t="str">
        <f t="shared" si="7"/>
        <v/>
      </c>
      <c r="E39" s="123">
        <f t="shared" ca="1" si="8"/>
        <v>0</v>
      </c>
      <c r="F39" s="123">
        <f t="shared" ca="1" si="9"/>
        <v>0</v>
      </c>
      <c r="G39" s="123">
        <f t="shared" ca="1" si="10"/>
        <v>0</v>
      </c>
      <c r="H39" s="63"/>
      <c r="I39" s="3"/>
      <c r="J39" s="3" t="b">
        <f t="shared" si="11"/>
        <v>0</v>
      </c>
      <c r="K39" s="3" t="b">
        <f t="shared" si="11"/>
        <v>0</v>
      </c>
      <c r="L39" s="3" t="b">
        <f t="shared" si="11"/>
        <v>0</v>
      </c>
      <c r="M39" s="3"/>
      <c r="N39" s="12">
        <v>31</v>
      </c>
      <c r="O39" s="65"/>
      <c r="P39" s="49"/>
      <c r="Q39" s="50"/>
      <c r="R39" s="51"/>
      <c r="S39" s="52"/>
      <c r="T39" s="53"/>
      <c r="U39" s="54"/>
      <c r="V39" s="62"/>
      <c r="X39" s="1">
        <f t="shared" ca="1" si="3"/>
        <v>1</v>
      </c>
      <c r="Z39" s="1">
        <f t="shared" ref="Z39:AK48" si="13">IF(Z$8=$R39,-$T39,0)+IF(Z$8=$S39,$T39,0)</f>
        <v>0</v>
      </c>
      <c r="AA39" s="1">
        <f t="shared" si="13"/>
        <v>0</v>
      </c>
      <c r="AB39" s="1">
        <f t="shared" si="13"/>
        <v>0</v>
      </c>
      <c r="AC39" s="1">
        <f t="shared" si="13"/>
        <v>0</v>
      </c>
      <c r="AD39" s="1">
        <f t="shared" si="13"/>
        <v>0</v>
      </c>
      <c r="AE39" s="1">
        <f t="shared" si="13"/>
        <v>0</v>
      </c>
      <c r="AF39" s="1">
        <f t="shared" si="13"/>
        <v>0</v>
      </c>
      <c r="AG39" s="1">
        <f t="shared" si="13"/>
        <v>0</v>
      </c>
      <c r="AH39" s="1">
        <f t="shared" si="13"/>
        <v>0</v>
      </c>
      <c r="AI39" s="1">
        <f t="shared" si="13"/>
        <v>0</v>
      </c>
      <c r="AJ39" s="1">
        <f t="shared" si="13"/>
        <v>0</v>
      </c>
      <c r="AK39" s="1">
        <f t="shared" si="13"/>
        <v>0</v>
      </c>
    </row>
    <row r="40" spans="1:37" ht="14.1" customHeight="1" x14ac:dyDescent="0.2">
      <c r="A40" s="12"/>
      <c r="B40" s="124"/>
      <c r="C40" s="125"/>
      <c r="D40" s="126"/>
      <c r="E40" s="126"/>
      <c r="F40" s="126"/>
      <c r="G40" s="126"/>
      <c r="H40" s="127"/>
      <c r="I40" s="3"/>
      <c r="J40" s="3"/>
      <c r="K40" s="3"/>
      <c r="L40" s="3"/>
      <c r="M40" s="3"/>
      <c r="N40" s="16">
        <v>32</v>
      </c>
      <c r="O40" s="65"/>
      <c r="P40" s="55"/>
      <c r="Q40" s="56"/>
      <c r="R40" s="57"/>
      <c r="S40" s="58"/>
      <c r="T40" s="59"/>
      <c r="U40" s="60"/>
      <c r="V40" s="62"/>
      <c r="X40" s="1">
        <f t="shared" ca="1" si="3"/>
        <v>1</v>
      </c>
      <c r="Z40" s="1">
        <f t="shared" si="13"/>
        <v>0</v>
      </c>
      <c r="AA40" s="1">
        <f t="shared" si="13"/>
        <v>0</v>
      </c>
      <c r="AB40" s="1">
        <f t="shared" si="13"/>
        <v>0</v>
      </c>
      <c r="AC40" s="1">
        <f t="shared" si="13"/>
        <v>0</v>
      </c>
      <c r="AD40" s="1">
        <f t="shared" si="13"/>
        <v>0</v>
      </c>
      <c r="AE40" s="1">
        <f t="shared" si="13"/>
        <v>0</v>
      </c>
      <c r="AF40" s="1">
        <f t="shared" si="13"/>
        <v>0</v>
      </c>
      <c r="AG40" s="1">
        <f t="shared" si="13"/>
        <v>0</v>
      </c>
      <c r="AH40" s="1">
        <f t="shared" si="13"/>
        <v>0</v>
      </c>
      <c r="AI40" s="1">
        <f t="shared" si="13"/>
        <v>0</v>
      </c>
      <c r="AJ40" s="1">
        <f t="shared" si="13"/>
        <v>0</v>
      </c>
      <c r="AK40" s="1">
        <f t="shared" si="13"/>
        <v>0</v>
      </c>
    </row>
    <row r="41" spans="1:37" ht="14.1" customHeight="1" x14ac:dyDescent="0.2">
      <c r="I41" s="3"/>
      <c r="J41" s="3"/>
      <c r="K41" s="3"/>
      <c r="L41" s="3"/>
      <c r="M41" s="3"/>
      <c r="N41" s="12">
        <v>33</v>
      </c>
      <c r="O41" s="65"/>
      <c r="P41" s="49"/>
      <c r="Q41" s="50"/>
      <c r="R41" s="51"/>
      <c r="S41" s="52"/>
      <c r="T41" s="53"/>
      <c r="U41" s="54"/>
      <c r="V41" s="62"/>
      <c r="X41" s="1">
        <f t="shared" ref="X41:X72" ca="1" si="14">IF(P41&lt;NOW(),1,0)</f>
        <v>1</v>
      </c>
      <c r="Z41" s="1">
        <f t="shared" si="13"/>
        <v>0</v>
      </c>
      <c r="AA41" s="1">
        <f t="shared" si="13"/>
        <v>0</v>
      </c>
      <c r="AB41" s="1">
        <f t="shared" si="13"/>
        <v>0</v>
      </c>
      <c r="AC41" s="1">
        <f t="shared" si="13"/>
        <v>0</v>
      </c>
      <c r="AD41" s="1">
        <f t="shared" si="13"/>
        <v>0</v>
      </c>
      <c r="AE41" s="1">
        <f t="shared" si="13"/>
        <v>0</v>
      </c>
      <c r="AF41" s="1">
        <f t="shared" si="13"/>
        <v>0</v>
      </c>
      <c r="AG41" s="1">
        <f t="shared" si="13"/>
        <v>0</v>
      </c>
      <c r="AH41" s="1">
        <f t="shared" si="13"/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</row>
    <row r="42" spans="1:37" ht="14.1" customHeight="1" x14ac:dyDescent="0.2">
      <c r="B42" s="91"/>
      <c r="C42" s="92"/>
      <c r="D42" s="93"/>
      <c r="E42" s="93"/>
      <c r="F42" s="93"/>
      <c r="G42" s="93"/>
      <c r="H42" s="94"/>
      <c r="I42" s="3"/>
      <c r="J42" s="3"/>
      <c r="K42" s="3"/>
      <c r="L42" s="3"/>
      <c r="M42" s="3"/>
      <c r="N42" s="16">
        <v>34</v>
      </c>
      <c r="O42" s="65"/>
      <c r="P42" s="55"/>
      <c r="Q42" s="56"/>
      <c r="R42" s="57"/>
      <c r="S42" s="58"/>
      <c r="T42" s="59"/>
      <c r="U42" s="60"/>
      <c r="V42" s="62"/>
      <c r="X42" s="1">
        <f t="shared" ca="1" si="14"/>
        <v>1</v>
      </c>
      <c r="Z42" s="1">
        <f t="shared" si="13"/>
        <v>0</v>
      </c>
      <c r="AA42" s="1">
        <f t="shared" si="13"/>
        <v>0</v>
      </c>
      <c r="AB42" s="1">
        <f t="shared" si="13"/>
        <v>0</v>
      </c>
      <c r="AC42" s="1">
        <f t="shared" si="13"/>
        <v>0</v>
      </c>
      <c r="AD42" s="1">
        <f t="shared" si="13"/>
        <v>0</v>
      </c>
      <c r="AE42" s="1">
        <f t="shared" si="13"/>
        <v>0</v>
      </c>
      <c r="AF42" s="1">
        <f t="shared" si="13"/>
        <v>0</v>
      </c>
      <c r="AG42" s="1">
        <f t="shared" si="13"/>
        <v>0</v>
      </c>
      <c r="AH42" s="1">
        <f t="shared" si="13"/>
        <v>0</v>
      </c>
      <c r="AI42" s="1">
        <f t="shared" si="13"/>
        <v>0</v>
      </c>
      <c r="AJ42" s="1">
        <f t="shared" si="13"/>
        <v>0</v>
      </c>
      <c r="AK42" s="1">
        <f t="shared" si="13"/>
        <v>0</v>
      </c>
    </row>
    <row r="43" spans="1:37" ht="14.1" customHeight="1" x14ac:dyDescent="0.2">
      <c r="B43" s="95"/>
      <c r="C43" s="286" t="s">
        <v>106</v>
      </c>
      <c r="D43" s="286"/>
      <c r="E43" s="286"/>
      <c r="F43" s="286"/>
      <c r="G43" s="286"/>
      <c r="H43" s="96"/>
      <c r="I43" s="3"/>
      <c r="J43" s="3"/>
      <c r="K43" s="3"/>
      <c r="L43" s="3"/>
      <c r="M43" s="3"/>
      <c r="N43" s="12">
        <v>35</v>
      </c>
      <c r="O43" s="65"/>
      <c r="P43" s="49"/>
      <c r="Q43" s="50"/>
      <c r="R43" s="51"/>
      <c r="S43" s="52"/>
      <c r="T43" s="53"/>
      <c r="U43" s="54"/>
      <c r="V43" s="62"/>
      <c r="X43" s="1">
        <f t="shared" ca="1" si="14"/>
        <v>1</v>
      </c>
      <c r="Z43" s="1">
        <f t="shared" si="13"/>
        <v>0</v>
      </c>
      <c r="AA43" s="1">
        <f t="shared" si="13"/>
        <v>0</v>
      </c>
      <c r="AB43" s="1">
        <f t="shared" si="13"/>
        <v>0</v>
      </c>
      <c r="AC43" s="1">
        <f t="shared" si="13"/>
        <v>0</v>
      </c>
      <c r="AD43" s="1">
        <f t="shared" si="13"/>
        <v>0</v>
      </c>
      <c r="AE43" s="1">
        <f t="shared" si="13"/>
        <v>0</v>
      </c>
      <c r="AF43" s="1">
        <f t="shared" si="13"/>
        <v>0</v>
      </c>
      <c r="AG43" s="1">
        <f t="shared" si="13"/>
        <v>0</v>
      </c>
      <c r="AH43" s="1">
        <f t="shared" si="13"/>
        <v>0</v>
      </c>
      <c r="AI43" s="1">
        <f t="shared" si="13"/>
        <v>0</v>
      </c>
      <c r="AJ43" s="1">
        <f t="shared" si="13"/>
        <v>0</v>
      </c>
      <c r="AK43" s="1">
        <f t="shared" si="13"/>
        <v>0</v>
      </c>
    </row>
    <row r="44" spans="1:37" ht="14.1" customHeight="1" x14ac:dyDescent="0.2">
      <c r="B44" s="95"/>
      <c r="C44" s="286"/>
      <c r="D44" s="286"/>
      <c r="E44" s="286"/>
      <c r="F44" s="286"/>
      <c r="G44" s="286"/>
      <c r="H44" s="96"/>
      <c r="I44" s="3"/>
      <c r="J44" s="3"/>
      <c r="K44" s="3"/>
      <c r="L44" s="3"/>
      <c r="M44" s="3"/>
      <c r="N44" s="16">
        <v>36</v>
      </c>
      <c r="O44" s="65"/>
      <c r="P44" s="55"/>
      <c r="Q44" s="56"/>
      <c r="R44" s="57"/>
      <c r="S44" s="58"/>
      <c r="T44" s="59"/>
      <c r="U44" s="60"/>
      <c r="V44" s="62"/>
      <c r="X44" s="1">
        <f t="shared" ca="1" si="14"/>
        <v>1</v>
      </c>
      <c r="Z44" s="1">
        <f t="shared" si="13"/>
        <v>0</v>
      </c>
      <c r="AA44" s="1">
        <f t="shared" si="13"/>
        <v>0</v>
      </c>
      <c r="AB44" s="1">
        <f t="shared" si="13"/>
        <v>0</v>
      </c>
      <c r="AC44" s="1">
        <f t="shared" si="13"/>
        <v>0</v>
      </c>
      <c r="AD44" s="1">
        <f t="shared" si="13"/>
        <v>0</v>
      </c>
      <c r="AE44" s="1">
        <f t="shared" si="13"/>
        <v>0</v>
      </c>
      <c r="AF44" s="1">
        <f t="shared" si="13"/>
        <v>0</v>
      </c>
      <c r="AG44" s="1">
        <f t="shared" si="13"/>
        <v>0</v>
      </c>
      <c r="AH44" s="1">
        <f t="shared" si="13"/>
        <v>0</v>
      </c>
      <c r="AI44" s="1">
        <f t="shared" si="13"/>
        <v>0</v>
      </c>
      <c r="AJ44" s="1">
        <f t="shared" si="13"/>
        <v>0</v>
      </c>
      <c r="AK44" s="1">
        <f t="shared" si="13"/>
        <v>0</v>
      </c>
    </row>
    <row r="45" spans="1:37" ht="14.1" customHeight="1" x14ac:dyDescent="0.2">
      <c r="B45" s="46"/>
      <c r="C45" s="271" t="s">
        <v>20</v>
      </c>
      <c r="D45" s="273" t="s">
        <v>5</v>
      </c>
      <c r="E45" s="275" t="s">
        <v>104</v>
      </c>
      <c r="F45" s="275" t="s">
        <v>89</v>
      </c>
      <c r="G45" s="276" t="s">
        <v>6</v>
      </c>
      <c r="H45" s="96"/>
      <c r="I45" s="3"/>
      <c r="J45" s="3"/>
      <c r="K45" s="3"/>
      <c r="L45" s="3"/>
      <c r="M45" s="3"/>
      <c r="N45" s="12">
        <v>37</v>
      </c>
      <c r="O45" s="65"/>
      <c r="P45" s="49"/>
      <c r="Q45" s="50"/>
      <c r="R45" s="51"/>
      <c r="S45" s="52"/>
      <c r="T45" s="53"/>
      <c r="U45" s="54"/>
      <c r="V45" s="62"/>
      <c r="X45" s="1">
        <f t="shared" ca="1" si="14"/>
        <v>1</v>
      </c>
      <c r="Z45" s="1">
        <f t="shared" si="13"/>
        <v>0</v>
      </c>
      <c r="AA45" s="1">
        <f t="shared" si="13"/>
        <v>0</v>
      </c>
      <c r="AB45" s="1">
        <f t="shared" si="13"/>
        <v>0</v>
      </c>
      <c r="AC45" s="1">
        <f t="shared" si="13"/>
        <v>0</v>
      </c>
      <c r="AD45" s="1">
        <f t="shared" si="13"/>
        <v>0</v>
      </c>
      <c r="AE45" s="1">
        <f t="shared" si="13"/>
        <v>0</v>
      </c>
      <c r="AF45" s="1">
        <f t="shared" si="13"/>
        <v>0</v>
      </c>
      <c r="AG45" s="1">
        <f t="shared" si="13"/>
        <v>0</v>
      </c>
      <c r="AH45" s="1">
        <f t="shared" si="13"/>
        <v>0</v>
      </c>
      <c r="AI45" s="1">
        <f t="shared" si="13"/>
        <v>0</v>
      </c>
      <c r="AJ45" s="1">
        <f t="shared" si="13"/>
        <v>0</v>
      </c>
      <c r="AK45" s="1">
        <f t="shared" si="13"/>
        <v>0</v>
      </c>
    </row>
    <row r="46" spans="1:37" ht="14.1" customHeight="1" x14ac:dyDescent="0.2">
      <c r="A46" s="3"/>
      <c r="B46" s="44"/>
      <c r="C46" s="272"/>
      <c r="D46" s="274"/>
      <c r="E46" s="99" t="s">
        <v>87</v>
      </c>
      <c r="F46" s="100" t="s">
        <v>89</v>
      </c>
      <c r="G46" s="98" t="s">
        <v>6</v>
      </c>
      <c r="H46" s="97"/>
      <c r="I46" s="3"/>
      <c r="J46" s="3"/>
      <c r="K46" s="3"/>
      <c r="L46" s="3"/>
      <c r="M46" s="3"/>
      <c r="N46" s="16">
        <v>38</v>
      </c>
      <c r="O46" s="65"/>
      <c r="P46" s="55"/>
      <c r="Q46" s="56"/>
      <c r="R46" s="57"/>
      <c r="S46" s="58"/>
      <c r="T46" s="59"/>
      <c r="U46" s="60"/>
      <c r="V46" s="62"/>
      <c r="X46" s="1">
        <f t="shared" ca="1" si="14"/>
        <v>1</v>
      </c>
      <c r="Z46" s="1">
        <f t="shared" si="13"/>
        <v>0</v>
      </c>
      <c r="AA46" s="1">
        <f t="shared" si="13"/>
        <v>0</v>
      </c>
      <c r="AB46" s="1">
        <f t="shared" si="13"/>
        <v>0</v>
      </c>
      <c r="AC46" s="1">
        <f t="shared" si="13"/>
        <v>0</v>
      </c>
      <c r="AD46" s="1">
        <f t="shared" si="13"/>
        <v>0</v>
      </c>
      <c r="AE46" s="1">
        <f t="shared" si="13"/>
        <v>0</v>
      </c>
      <c r="AF46" s="1">
        <f t="shared" si="13"/>
        <v>0</v>
      </c>
      <c r="AG46" s="1">
        <f t="shared" si="13"/>
        <v>0</v>
      </c>
      <c r="AH46" s="1">
        <f t="shared" si="13"/>
        <v>0</v>
      </c>
      <c r="AI46" s="1">
        <f t="shared" si="13"/>
        <v>0</v>
      </c>
      <c r="AJ46" s="1">
        <f t="shared" si="13"/>
        <v>0</v>
      </c>
      <c r="AK46" s="1">
        <f t="shared" si="13"/>
        <v>0</v>
      </c>
    </row>
    <row r="47" spans="1:37" ht="14.1" customHeight="1" x14ac:dyDescent="0.2">
      <c r="A47" s="12">
        <v>1</v>
      </c>
      <c r="B47" s="64"/>
      <c r="C47" s="115" t="str">
        <f>ANUAL!$C115</f>
        <v>CC</v>
      </c>
      <c r="D47" s="240" t="str">
        <f>ANUAL!$D115</f>
        <v>CONTA CORRENTE</v>
      </c>
      <c r="E47" s="117">
        <f>SUMIF($J$28:$J$39,TRUE,E$28:E$39)</f>
        <v>0</v>
      </c>
      <c r="F47" s="117">
        <f>SUMIF($J$28:$J$39,TRUE,F$28:F$39)</f>
        <v>0</v>
      </c>
      <c r="G47" s="117">
        <f>SUMIF($J$28:$J$39,TRUE,G$28:G$39)+SUMIF($J$9:$J$20,TRUE,E$9:E$20)</f>
        <v>0</v>
      </c>
      <c r="H47" s="61"/>
      <c r="N47" s="12">
        <v>39</v>
      </c>
      <c r="O47" s="65"/>
      <c r="P47" s="49"/>
      <c r="Q47" s="50"/>
      <c r="R47" s="51"/>
      <c r="S47" s="52"/>
      <c r="T47" s="53"/>
      <c r="U47" s="54"/>
      <c r="V47" s="62"/>
      <c r="X47" s="1">
        <f t="shared" ca="1" si="14"/>
        <v>1</v>
      </c>
      <c r="Z47" s="1">
        <f t="shared" si="13"/>
        <v>0</v>
      </c>
      <c r="AA47" s="1">
        <f t="shared" si="13"/>
        <v>0</v>
      </c>
      <c r="AB47" s="1">
        <f t="shared" si="13"/>
        <v>0</v>
      </c>
      <c r="AC47" s="1">
        <f t="shared" si="13"/>
        <v>0</v>
      </c>
      <c r="AD47" s="1">
        <f t="shared" si="13"/>
        <v>0</v>
      </c>
      <c r="AE47" s="1">
        <f t="shared" si="13"/>
        <v>0</v>
      </c>
      <c r="AF47" s="1">
        <f t="shared" si="13"/>
        <v>0</v>
      </c>
      <c r="AG47" s="1">
        <f t="shared" si="13"/>
        <v>0</v>
      </c>
      <c r="AH47" s="1">
        <f t="shared" si="13"/>
        <v>0</v>
      </c>
      <c r="AI47" s="1">
        <f t="shared" si="13"/>
        <v>0</v>
      </c>
      <c r="AJ47" s="1">
        <f t="shared" si="13"/>
        <v>0</v>
      </c>
      <c r="AK47" s="1">
        <f t="shared" si="13"/>
        <v>0</v>
      </c>
    </row>
    <row r="48" spans="1:37" ht="14.1" customHeight="1" x14ac:dyDescent="0.2">
      <c r="A48" s="16">
        <v>2</v>
      </c>
      <c r="B48" s="65"/>
      <c r="C48" s="118" t="str">
        <f>ANUAL!$C116</f>
        <v>INV</v>
      </c>
      <c r="D48" s="119" t="str">
        <f>ANUAL!$D116</f>
        <v>APLICAÇÕES DE INVESTIMENTO</v>
      </c>
      <c r="E48" s="120">
        <f ca="1">SUMIF($K$28:$K$39,TRUE,E$28:E$39)</f>
        <v>0</v>
      </c>
      <c r="F48" s="120">
        <f ca="1">SUMIF($K$28:$K$39,TRUE,F$28:F$39)</f>
        <v>0</v>
      </c>
      <c r="G48" s="120">
        <f ca="1">SUMIF($K$28:$K$39,TRUE,G$28:G$39)+SUMIF($K$9:$K$20,TRUE,E$9:E$20)</f>
        <v>0</v>
      </c>
      <c r="H48" s="62"/>
      <c r="N48" s="16">
        <v>40</v>
      </c>
      <c r="O48" s="65"/>
      <c r="P48" s="55"/>
      <c r="Q48" s="56"/>
      <c r="R48" s="57"/>
      <c r="S48" s="58"/>
      <c r="T48" s="59"/>
      <c r="U48" s="60"/>
      <c r="V48" s="62"/>
      <c r="X48" s="1">
        <f t="shared" ca="1" si="14"/>
        <v>1</v>
      </c>
      <c r="Z48" s="1">
        <f t="shared" si="13"/>
        <v>0</v>
      </c>
      <c r="AA48" s="1">
        <f t="shared" si="13"/>
        <v>0</v>
      </c>
      <c r="AB48" s="1">
        <f t="shared" si="13"/>
        <v>0</v>
      </c>
      <c r="AC48" s="1">
        <f t="shared" si="13"/>
        <v>0</v>
      </c>
      <c r="AD48" s="1">
        <f t="shared" si="13"/>
        <v>0</v>
      </c>
      <c r="AE48" s="1">
        <f t="shared" si="13"/>
        <v>0</v>
      </c>
      <c r="AF48" s="1">
        <f t="shared" si="13"/>
        <v>0</v>
      </c>
      <c r="AG48" s="1">
        <f t="shared" si="13"/>
        <v>0</v>
      </c>
      <c r="AH48" s="1">
        <f t="shared" si="13"/>
        <v>0</v>
      </c>
      <c r="AI48" s="1">
        <f t="shared" si="13"/>
        <v>0</v>
      </c>
      <c r="AJ48" s="1">
        <f t="shared" si="13"/>
        <v>0</v>
      </c>
      <c r="AK48" s="1">
        <f t="shared" si="13"/>
        <v>0</v>
      </c>
    </row>
    <row r="49" spans="1:37" ht="14.1" customHeight="1" x14ac:dyDescent="0.2">
      <c r="A49" s="12">
        <v>3</v>
      </c>
      <c r="B49" s="65"/>
      <c r="C49" s="115" t="str">
        <f>ANUAL!$C117</f>
        <v>DINH</v>
      </c>
      <c r="D49" s="240" t="str">
        <f>ANUAL!$D117</f>
        <v>EM ESPÉCIE</v>
      </c>
      <c r="E49" s="117">
        <f ca="1">SUMIF($L$28:$L$39,TRUE,E$28:E$39)</f>
        <v>0</v>
      </c>
      <c r="F49" s="117">
        <f ca="1">SUMIF($L$28:$L$39,TRUE,F$28:F$39)</f>
        <v>0</v>
      </c>
      <c r="G49" s="117">
        <f ca="1">SUMIF($L$28:$L$39,TRUE,G$28:G$39)+SUMIF($L$9:$L$20,TRUE,E$9:E$20)</f>
        <v>0</v>
      </c>
      <c r="H49" s="62"/>
      <c r="N49" s="12">
        <v>41</v>
      </c>
      <c r="O49" s="65"/>
      <c r="P49" s="49"/>
      <c r="Q49" s="50"/>
      <c r="R49" s="51"/>
      <c r="S49" s="52"/>
      <c r="T49" s="53"/>
      <c r="U49" s="54"/>
      <c r="V49" s="62"/>
      <c r="X49" s="1">
        <f t="shared" ca="1" si="14"/>
        <v>1</v>
      </c>
      <c r="Z49" s="1">
        <f t="shared" ref="Z49:AK58" si="15">IF(Z$8=$R49,-$T49,0)+IF(Z$8=$S49,$T49,0)</f>
        <v>0</v>
      </c>
      <c r="AA49" s="1">
        <f t="shared" si="15"/>
        <v>0</v>
      </c>
      <c r="AB49" s="1">
        <f t="shared" si="15"/>
        <v>0</v>
      </c>
      <c r="AC49" s="1">
        <f t="shared" si="15"/>
        <v>0</v>
      </c>
      <c r="AD49" s="1">
        <f t="shared" si="15"/>
        <v>0</v>
      </c>
      <c r="AE49" s="1">
        <f t="shared" si="15"/>
        <v>0</v>
      </c>
      <c r="AF49" s="1">
        <f t="shared" si="15"/>
        <v>0</v>
      </c>
      <c r="AG49" s="1">
        <f t="shared" si="15"/>
        <v>0</v>
      </c>
      <c r="AH49" s="1">
        <f t="shared" si="15"/>
        <v>0</v>
      </c>
      <c r="AI49" s="1">
        <f t="shared" si="15"/>
        <v>0</v>
      </c>
      <c r="AJ49" s="1">
        <f t="shared" si="15"/>
        <v>0</v>
      </c>
      <c r="AK49" s="1">
        <f t="shared" si="15"/>
        <v>0</v>
      </c>
    </row>
    <row r="50" spans="1:37" ht="14.1" customHeight="1" x14ac:dyDescent="0.2">
      <c r="A50" s="12"/>
      <c r="B50" s="109"/>
      <c r="C50" s="110"/>
      <c r="D50" s="111"/>
      <c r="E50" s="111"/>
      <c r="F50" s="111"/>
      <c r="G50" s="111"/>
      <c r="H50" s="112"/>
      <c r="I50" s="3"/>
      <c r="J50" s="3"/>
      <c r="K50" s="3"/>
      <c r="L50" s="3"/>
      <c r="M50" s="3"/>
      <c r="N50" s="16">
        <v>42</v>
      </c>
      <c r="O50" s="65"/>
      <c r="P50" s="55"/>
      <c r="Q50" s="56"/>
      <c r="R50" s="57"/>
      <c r="S50" s="58"/>
      <c r="T50" s="59"/>
      <c r="U50" s="60"/>
      <c r="V50" s="62"/>
      <c r="X50" s="1">
        <f t="shared" ca="1" si="14"/>
        <v>1</v>
      </c>
      <c r="Z50" s="1">
        <f t="shared" si="15"/>
        <v>0</v>
      </c>
      <c r="AA50" s="1">
        <f t="shared" si="15"/>
        <v>0</v>
      </c>
      <c r="AB50" s="1">
        <f t="shared" si="15"/>
        <v>0</v>
      </c>
      <c r="AC50" s="1">
        <f t="shared" si="15"/>
        <v>0</v>
      </c>
      <c r="AD50" s="1">
        <f t="shared" si="15"/>
        <v>0</v>
      </c>
      <c r="AE50" s="1">
        <f t="shared" si="15"/>
        <v>0</v>
      </c>
      <c r="AF50" s="1">
        <f t="shared" si="15"/>
        <v>0</v>
      </c>
      <c r="AG50" s="1">
        <f t="shared" si="15"/>
        <v>0</v>
      </c>
      <c r="AH50" s="1">
        <f t="shared" si="15"/>
        <v>0</v>
      </c>
      <c r="AI50" s="1">
        <f t="shared" si="15"/>
        <v>0</v>
      </c>
      <c r="AJ50" s="1">
        <f t="shared" si="15"/>
        <v>0</v>
      </c>
      <c r="AK50" s="1">
        <f t="shared" si="15"/>
        <v>0</v>
      </c>
    </row>
    <row r="51" spans="1:37" ht="14.1" customHeight="1" x14ac:dyDescent="0.2">
      <c r="I51" s="3"/>
      <c r="J51" s="3"/>
      <c r="K51" s="3"/>
      <c r="L51" s="3"/>
      <c r="M51" s="3"/>
      <c r="N51" s="12">
        <v>43</v>
      </c>
      <c r="O51" s="65"/>
      <c r="P51" s="49"/>
      <c r="Q51" s="50"/>
      <c r="R51" s="51"/>
      <c r="S51" s="52"/>
      <c r="T51" s="53"/>
      <c r="U51" s="54"/>
      <c r="V51" s="62"/>
      <c r="X51" s="1">
        <f t="shared" ca="1" si="14"/>
        <v>1</v>
      </c>
      <c r="Z51" s="1">
        <f t="shared" si="15"/>
        <v>0</v>
      </c>
      <c r="AA51" s="1">
        <f t="shared" si="15"/>
        <v>0</v>
      </c>
      <c r="AB51" s="1">
        <f t="shared" si="15"/>
        <v>0</v>
      </c>
      <c r="AC51" s="1">
        <f t="shared" si="15"/>
        <v>0</v>
      </c>
      <c r="AD51" s="1">
        <f t="shared" si="15"/>
        <v>0</v>
      </c>
      <c r="AE51" s="1">
        <f t="shared" si="15"/>
        <v>0</v>
      </c>
      <c r="AF51" s="1">
        <f t="shared" si="15"/>
        <v>0</v>
      </c>
      <c r="AG51" s="1">
        <f t="shared" si="15"/>
        <v>0</v>
      </c>
      <c r="AH51" s="1">
        <f t="shared" si="15"/>
        <v>0</v>
      </c>
      <c r="AI51" s="1">
        <f t="shared" si="15"/>
        <v>0</v>
      </c>
      <c r="AJ51" s="1">
        <f t="shared" si="15"/>
        <v>0</v>
      </c>
      <c r="AK51" s="1">
        <f t="shared" si="15"/>
        <v>0</v>
      </c>
    </row>
    <row r="52" spans="1:37" ht="14.1" customHeight="1" x14ac:dyDescent="0.2">
      <c r="B52" s="84"/>
      <c r="C52" s="85"/>
      <c r="D52" s="86"/>
      <c r="E52" s="86"/>
      <c r="F52" s="86"/>
      <c r="G52" s="86"/>
      <c r="H52" s="87"/>
      <c r="N52" s="16">
        <v>44</v>
      </c>
      <c r="O52" s="65"/>
      <c r="P52" s="55"/>
      <c r="Q52" s="56"/>
      <c r="R52" s="57"/>
      <c r="S52" s="58"/>
      <c r="T52" s="59"/>
      <c r="U52" s="60"/>
      <c r="V52" s="62"/>
      <c r="X52" s="1">
        <f t="shared" ca="1" si="14"/>
        <v>1</v>
      </c>
      <c r="Z52" s="1">
        <f t="shared" si="15"/>
        <v>0</v>
      </c>
      <c r="AA52" s="1">
        <f t="shared" si="15"/>
        <v>0</v>
      </c>
      <c r="AB52" s="1">
        <f t="shared" si="15"/>
        <v>0</v>
      </c>
      <c r="AC52" s="1">
        <f t="shared" si="15"/>
        <v>0</v>
      </c>
      <c r="AD52" s="1">
        <f t="shared" si="15"/>
        <v>0</v>
      </c>
      <c r="AE52" s="1">
        <f t="shared" si="15"/>
        <v>0</v>
      </c>
      <c r="AF52" s="1">
        <f t="shared" si="15"/>
        <v>0</v>
      </c>
      <c r="AG52" s="1">
        <f t="shared" si="15"/>
        <v>0</v>
      </c>
      <c r="AH52" s="1">
        <f t="shared" si="15"/>
        <v>0</v>
      </c>
      <c r="AI52" s="1">
        <f t="shared" si="15"/>
        <v>0</v>
      </c>
      <c r="AJ52" s="1">
        <f t="shared" si="15"/>
        <v>0</v>
      </c>
      <c r="AK52" s="1">
        <f t="shared" si="15"/>
        <v>0</v>
      </c>
    </row>
    <row r="53" spans="1:37" ht="14.1" customHeight="1" x14ac:dyDescent="0.2">
      <c r="B53" s="88"/>
      <c r="C53" s="304" t="s">
        <v>27</v>
      </c>
      <c r="D53" s="304"/>
      <c r="E53" s="304"/>
      <c r="F53" s="304"/>
      <c r="G53" s="304"/>
      <c r="H53" s="89"/>
      <c r="N53" s="12">
        <v>45</v>
      </c>
      <c r="O53" s="65"/>
      <c r="P53" s="49"/>
      <c r="Q53" s="50"/>
      <c r="R53" s="51"/>
      <c r="S53" s="52"/>
      <c r="T53" s="53"/>
      <c r="U53" s="54"/>
      <c r="V53" s="62"/>
      <c r="X53" s="1">
        <f t="shared" ca="1" si="14"/>
        <v>1</v>
      </c>
      <c r="Z53" s="1">
        <f t="shared" si="15"/>
        <v>0</v>
      </c>
      <c r="AA53" s="1">
        <f t="shared" si="15"/>
        <v>0</v>
      </c>
      <c r="AB53" s="1">
        <f t="shared" si="15"/>
        <v>0</v>
      </c>
      <c r="AC53" s="1">
        <f t="shared" si="15"/>
        <v>0</v>
      </c>
      <c r="AD53" s="1">
        <f t="shared" si="15"/>
        <v>0</v>
      </c>
      <c r="AE53" s="1">
        <f t="shared" si="15"/>
        <v>0</v>
      </c>
      <c r="AF53" s="1">
        <f t="shared" si="15"/>
        <v>0</v>
      </c>
      <c r="AG53" s="1">
        <f t="shared" si="15"/>
        <v>0</v>
      </c>
      <c r="AH53" s="1">
        <f t="shared" si="15"/>
        <v>0</v>
      </c>
      <c r="AI53" s="1">
        <f t="shared" si="15"/>
        <v>0</v>
      </c>
      <c r="AJ53" s="1">
        <f t="shared" si="15"/>
        <v>0</v>
      </c>
      <c r="AK53" s="1">
        <f t="shared" si="15"/>
        <v>0</v>
      </c>
    </row>
    <row r="54" spans="1:37" ht="14.1" customHeight="1" x14ac:dyDescent="0.2">
      <c r="B54" s="88"/>
      <c r="C54" s="304"/>
      <c r="D54" s="304"/>
      <c r="E54" s="304"/>
      <c r="F54" s="304"/>
      <c r="G54" s="304"/>
      <c r="H54" s="89"/>
      <c r="N54" s="16">
        <v>46</v>
      </c>
      <c r="O54" s="65"/>
      <c r="P54" s="55"/>
      <c r="Q54" s="56"/>
      <c r="R54" s="57"/>
      <c r="S54" s="58"/>
      <c r="T54" s="59"/>
      <c r="U54" s="60"/>
      <c r="V54" s="62"/>
      <c r="X54" s="1">
        <f t="shared" ca="1" si="14"/>
        <v>1</v>
      </c>
      <c r="Z54" s="1">
        <f t="shared" si="15"/>
        <v>0</v>
      </c>
      <c r="AA54" s="1">
        <f t="shared" si="15"/>
        <v>0</v>
      </c>
      <c r="AB54" s="1">
        <f t="shared" si="15"/>
        <v>0</v>
      </c>
      <c r="AC54" s="1">
        <f t="shared" si="15"/>
        <v>0</v>
      </c>
      <c r="AD54" s="1">
        <f t="shared" si="15"/>
        <v>0</v>
      </c>
      <c r="AE54" s="1">
        <f t="shared" si="15"/>
        <v>0</v>
      </c>
      <c r="AF54" s="1">
        <f t="shared" si="15"/>
        <v>0</v>
      </c>
      <c r="AG54" s="1">
        <f t="shared" si="15"/>
        <v>0</v>
      </c>
      <c r="AH54" s="1">
        <f t="shared" si="15"/>
        <v>0</v>
      </c>
      <c r="AI54" s="1">
        <f t="shared" si="15"/>
        <v>0</v>
      </c>
      <c r="AJ54" s="1">
        <f t="shared" si="15"/>
        <v>0</v>
      </c>
      <c r="AK54" s="1">
        <f t="shared" si="15"/>
        <v>0</v>
      </c>
    </row>
    <row r="55" spans="1:37" ht="14.1" customHeight="1" x14ac:dyDescent="0.2">
      <c r="B55" s="46"/>
      <c r="C55" s="271" t="s">
        <v>4</v>
      </c>
      <c r="D55" s="273" t="s">
        <v>5</v>
      </c>
      <c r="E55" s="310"/>
      <c r="F55" s="310"/>
      <c r="G55" s="276" t="s">
        <v>97</v>
      </c>
      <c r="H55" s="89"/>
      <c r="N55" s="12">
        <v>47</v>
      </c>
      <c r="O55" s="65"/>
      <c r="P55" s="49"/>
      <c r="Q55" s="50"/>
      <c r="R55" s="51"/>
      <c r="S55" s="52"/>
      <c r="T55" s="53"/>
      <c r="U55" s="54"/>
      <c r="V55" s="62"/>
      <c r="X55" s="1">
        <f t="shared" ca="1" si="14"/>
        <v>1</v>
      </c>
      <c r="Z55" s="1">
        <f t="shared" si="15"/>
        <v>0</v>
      </c>
      <c r="AA55" s="1">
        <f t="shared" si="15"/>
        <v>0</v>
      </c>
      <c r="AB55" s="1">
        <f t="shared" si="15"/>
        <v>0</v>
      </c>
      <c r="AC55" s="1">
        <f t="shared" si="15"/>
        <v>0</v>
      </c>
      <c r="AD55" s="1">
        <f t="shared" si="15"/>
        <v>0</v>
      </c>
      <c r="AE55" s="1">
        <f t="shared" si="15"/>
        <v>0</v>
      </c>
      <c r="AF55" s="1">
        <f t="shared" si="15"/>
        <v>0</v>
      </c>
      <c r="AG55" s="1">
        <f t="shared" si="15"/>
        <v>0</v>
      </c>
      <c r="AH55" s="1">
        <f t="shared" si="15"/>
        <v>0</v>
      </c>
      <c r="AI55" s="1">
        <f t="shared" si="15"/>
        <v>0</v>
      </c>
      <c r="AJ55" s="1">
        <f t="shared" si="15"/>
        <v>0</v>
      </c>
      <c r="AK55" s="1">
        <f t="shared" si="15"/>
        <v>0</v>
      </c>
    </row>
    <row r="56" spans="1:37" ht="14.1" customHeight="1" x14ac:dyDescent="0.2">
      <c r="A56" s="3"/>
      <c r="B56" s="44"/>
      <c r="C56" s="272"/>
      <c r="D56" s="274"/>
      <c r="E56" s="311"/>
      <c r="F56" s="311"/>
      <c r="G56" s="305"/>
      <c r="H56" s="90"/>
      <c r="N56" s="16">
        <v>48</v>
      </c>
      <c r="O56" s="65"/>
      <c r="P56" s="55"/>
      <c r="Q56" s="56"/>
      <c r="R56" s="57"/>
      <c r="S56" s="58"/>
      <c r="T56" s="59"/>
      <c r="U56" s="60"/>
      <c r="V56" s="62"/>
      <c r="X56" s="1">
        <f t="shared" ca="1" si="14"/>
        <v>1</v>
      </c>
      <c r="Z56" s="1">
        <f t="shared" si="15"/>
        <v>0</v>
      </c>
      <c r="AA56" s="1">
        <f t="shared" si="15"/>
        <v>0</v>
      </c>
      <c r="AB56" s="1">
        <f t="shared" si="15"/>
        <v>0</v>
      </c>
      <c r="AC56" s="1">
        <f t="shared" si="15"/>
        <v>0</v>
      </c>
      <c r="AD56" s="1">
        <f t="shared" si="15"/>
        <v>0</v>
      </c>
      <c r="AE56" s="1">
        <f t="shared" si="15"/>
        <v>0</v>
      </c>
      <c r="AF56" s="1">
        <f t="shared" si="15"/>
        <v>0</v>
      </c>
      <c r="AG56" s="1">
        <f t="shared" si="15"/>
        <v>0</v>
      </c>
      <c r="AH56" s="1">
        <f t="shared" si="15"/>
        <v>0</v>
      </c>
      <c r="AI56" s="1">
        <f t="shared" si="15"/>
        <v>0</v>
      </c>
      <c r="AJ56" s="1">
        <f t="shared" si="15"/>
        <v>0</v>
      </c>
      <c r="AK56" s="1">
        <f t="shared" si="15"/>
        <v>0</v>
      </c>
    </row>
    <row r="57" spans="1:37" ht="14.1" customHeight="1" x14ac:dyDescent="0.2">
      <c r="A57" s="12">
        <v>1</v>
      </c>
      <c r="B57" s="64"/>
      <c r="C57" s="101" t="str">
        <f>ANUAL!$C141</f>
        <v>M01</v>
      </c>
      <c r="D57" s="303" t="str">
        <f>ANUAL!$D141</f>
        <v>MORADIA – CONDOMÍNIO</v>
      </c>
      <c r="E57" s="303"/>
      <c r="F57" s="303"/>
      <c r="G57" s="102">
        <f t="shared" ref="G57:G88" si="16">SUMIF(U$9:U$88,C57,T$9:T$88)</f>
        <v>0</v>
      </c>
      <c r="H57" s="61"/>
      <c r="N57" s="12">
        <v>49</v>
      </c>
      <c r="O57" s="65"/>
      <c r="P57" s="49"/>
      <c r="Q57" s="50"/>
      <c r="R57" s="51"/>
      <c r="S57" s="52"/>
      <c r="T57" s="53"/>
      <c r="U57" s="54"/>
      <c r="V57" s="62"/>
      <c r="X57" s="1">
        <f t="shared" ca="1" si="14"/>
        <v>1</v>
      </c>
      <c r="Z57" s="1">
        <f t="shared" si="15"/>
        <v>0</v>
      </c>
      <c r="AA57" s="1">
        <f t="shared" si="15"/>
        <v>0</v>
      </c>
      <c r="AB57" s="1">
        <f t="shared" si="15"/>
        <v>0</v>
      </c>
      <c r="AC57" s="1">
        <f t="shared" si="15"/>
        <v>0</v>
      </c>
      <c r="AD57" s="1">
        <f t="shared" si="15"/>
        <v>0</v>
      </c>
      <c r="AE57" s="1">
        <f t="shared" si="15"/>
        <v>0</v>
      </c>
      <c r="AF57" s="1">
        <f t="shared" si="15"/>
        <v>0</v>
      </c>
      <c r="AG57" s="1">
        <f t="shared" si="15"/>
        <v>0</v>
      </c>
      <c r="AH57" s="1">
        <f t="shared" si="15"/>
        <v>0</v>
      </c>
      <c r="AI57" s="1">
        <f t="shared" si="15"/>
        <v>0</v>
      </c>
      <c r="AJ57" s="1">
        <f t="shared" si="15"/>
        <v>0</v>
      </c>
      <c r="AK57" s="1">
        <f t="shared" si="15"/>
        <v>0</v>
      </c>
    </row>
    <row r="58" spans="1:37" ht="14.1" customHeight="1" x14ac:dyDescent="0.2">
      <c r="A58" s="16">
        <v>2</v>
      </c>
      <c r="B58" s="65"/>
      <c r="C58" s="103" t="str">
        <f>ANUAL!$C142</f>
        <v>M02</v>
      </c>
      <c r="D58" s="302" t="str">
        <f>ANUAL!$D142</f>
        <v>MORADIA – IPTU</v>
      </c>
      <c r="E58" s="302"/>
      <c r="F58" s="302"/>
      <c r="G58" s="104">
        <f t="shared" si="16"/>
        <v>0</v>
      </c>
      <c r="H58" s="62"/>
      <c r="N58" s="16">
        <v>50</v>
      </c>
      <c r="O58" s="65"/>
      <c r="P58" s="55"/>
      <c r="Q58" s="56"/>
      <c r="R58" s="57"/>
      <c r="S58" s="58"/>
      <c r="T58" s="59"/>
      <c r="U58" s="60"/>
      <c r="V58" s="62"/>
      <c r="X58" s="1">
        <f t="shared" ca="1" si="14"/>
        <v>1</v>
      </c>
      <c r="Z58" s="1">
        <f t="shared" si="15"/>
        <v>0</v>
      </c>
      <c r="AA58" s="1">
        <f t="shared" si="15"/>
        <v>0</v>
      </c>
      <c r="AB58" s="1">
        <f t="shared" si="15"/>
        <v>0</v>
      </c>
      <c r="AC58" s="1">
        <f t="shared" si="15"/>
        <v>0</v>
      </c>
      <c r="AD58" s="1">
        <f t="shared" si="15"/>
        <v>0</v>
      </c>
      <c r="AE58" s="1">
        <f t="shared" si="15"/>
        <v>0</v>
      </c>
      <c r="AF58" s="1">
        <f t="shared" si="15"/>
        <v>0</v>
      </c>
      <c r="AG58" s="1">
        <f t="shared" si="15"/>
        <v>0</v>
      </c>
      <c r="AH58" s="1">
        <f t="shared" si="15"/>
        <v>0</v>
      </c>
      <c r="AI58" s="1">
        <f t="shared" si="15"/>
        <v>0</v>
      </c>
      <c r="AJ58" s="1">
        <f t="shared" si="15"/>
        <v>0</v>
      </c>
      <c r="AK58" s="1">
        <f t="shared" si="15"/>
        <v>0</v>
      </c>
    </row>
    <row r="59" spans="1:37" ht="14.1" customHeight="1" x14ac:dyDescent="0.2">
      <c r="A59" s="12">
        <v>3</v>
      </c>
      <c r="B59" s="65"/>
      <c r="C59" s="101" t="str">
        <f>ANUAL!$C143</f>
        <v>M03</v>
      </c>
      <c r="D59" s="303" t="str">
        <f>ANUAL!$D143</f>
        <v>MORADIA – ALUGUEL</v>
      </c>
      <c r="E59" s="303"/>
      <c r="F59" s="303"/>
      <c r="G59" s="102">
        <f t="shared" si="16"/>
        <v>0</v>
      </c>
      <c r="H59" s="62"/>
      <c r="N59" s="12">
        <v>51</v>
      </c>
      <c r="O59" s="65"/>
      <c r="P59" s="49"/>
      <c r="Q59" s="50"/>
      <c r="R59" s="51"/>
      <c r="S59" s="52"/>
      <c r="T59" s="53"/>
      <c r="U59" s="54"/>
      <c r="V59" s="62"/>
      <c r="X59" s="1">
        <f t="shared" ca="1" si="14"/>
        <v>1</v>
      </c>
      <c r="Z59" s="1">
        <f t="shared" ref="Z59:AK68" si="17">IF(Z$8=$R59,-$T59,0)+IF(Z$8=$S59,$T59,0)</f>
        <v>0</v>
      </c>
      <c r="AA59" s="1">
        <f t="shared" si="17"/>
        <v>0</v>
      </c>
      <c r="AB59" s="1">
        <f t="shared" si="17"/>
        <v>0</v>
      </c>
      <c r="AC59" s="1">
        <f t="shared" si="17"/>
        <v>0</v>
      </c>
      <c r="AD59" s="1">
        <f t="shared" si="17"/>
        <v>0</v>
      </c>
      <c r="AE59" s="1">
        <f t="shared" si="17"/>
        <v>0</v>
      </c>
      <c r="AF59" s="1">
        <f t="shared" si="17"/>
        <v>0</v>
      </c>
      <c r="AG59" s="1">
        <f t="shared" si="17"/>
        <v>0</v>
      </c>
      <c r="AH59" s="1">
        <f t="shared" si="17"/>
        <v>0</v>
      </c>
      <c r="AI59" s="1">
        <f t="shared" si="17"/>
        <v>0</v>
      </c>
      <c r="AJ59" s="1">
        <f t="shared" si="17"/>
        <v>0</v>
      </c>
      <c r="AK59" s="1">
        <f t="shared" si="17"/>
        <v>0</v>
      </c>
    </row>
    <row r="60" spans="1:37" ht="14.1" customHeight="1" x14ac:dyDescent="0.2">
      <c r="A60" s="16">
        <v>4</v>
      </c>
      <c r="B60" s="65"/>
      <c r="C60" s="103" t="str">
        <f>ANUAL!$C144</f>
        <v>M04</v>
      </c>
      <c r="D60" s="302" t="str">
        <f>ANUAL!$D144</f>
        <v>MORADIA – REFORMA</v>
      </c>
      <c r="E60" s="302"/>
      <c r="F60" s="302"/>
      <c r="G60" s="104">
        <f t="shared" si="16"/>
        <v>0</v>
      </c>
      <c r="H60" s="62"/>
      <c r="N60" s="16">
        <v>52</v>
      </c>
      <c r="O60" s="65"/>
      <c r="P60" s="55"/>
      <c r="Q60" s="56"/>
      <c r="R60" s="57"/>
      <c r="S60" s="58"/>
      <c r="T60" s="59"/>
      <c r="U60" s="60"/>
      <c r="V60" s="62"/>
      <c r="X60" s="1">
        <f t="shared" ca="1" si="14"/>
        <v>1</v>
      </c>
      <c r="Z60" s="1">
        <f t="shared" si="17"/>
        <v>0</v>
      </c>
      <c r="AA60" s="1">
        <f t="shared" si="17"/>
        <v>0</v>
      </c>
      <c r="AB60" s="1">
        <f t="shared" si="17"/>
        <v>0</v>
      </c>
      <c r="AC60" s="1">
        <f t="shared" si="17"/>
        <v>0</v>
      </c>
      <c r="AD60" s="1">
        <f t="shared" si="17"/>
        <v>0</v>
      </c>
      <c r="AE60" s="1">
        <f t="shared" si="17"/>
        <v>0</v>
      </c>
      <c r="AF60" s="1">
        <f t="shared" si="17"/>
        <v>0</v>
      </c>
      <c r="AG60" s="1">
        <f t="shared" si="17"/>
        <v>0</v>
      </c>
      <c r="AH60" s="1">
        <f t="shared" si="17"/>
        <v>0</v>
      </c>
      <c r="AI60" s="1">
        <f t="shared" si="17"/>
        <v>0</v>
      </c>
      <c r="AJ60" s="1">
        <f t="shared" si="17"/>
        <v>0</v>
      </c>
      <c r="AK60" s="1">
        <f t="shared" si="17"/>
        <v>0</v>
      </c>
    </row>
    <row r="61" spans="1:37" ht="14.1" customHeight="1" x14ac:dyDescent="0.2">
      <c r="A61" s="12">
        <v>5</v>
      </c>
      <c r="B61" s="65"/>
      <c r="C61" s="101" t="str">
        <f>ANUAL!$C145</f>
        <v>U01</v>
      </c>
      <c r="D61" s="303" t="str">
        <f>ANUAL!$D145</f>
        <v>UTILITIES – ENERGIA ELÉTRICA</v>
      </c>
      <c r="E61" s="303"/>
      <c r="F61" s="303"/>
      <c r="G61" s="102">
        <f t="shared" si="16"/>
        <v>0</v>
      </c>
      <c r="H61" s="62"/>
      <c r="N61" s="12">
        <v>53</v>
      </c>
      <c r="O61" s="65"/>
      <c r="P61" s="49"/>
      <c r="Q61" s="50"/>
      <c r="R61" s="51"/>
      <c r="S61" s="52"/>
      <c r="T61" s="53"/>
      <c r="U61" s="54"/>
      <c r="V61" s="62"/>
      <c r="X61" s="1">
        <f t="shared" ca="1" si="14"/>
        <v>1</v>
      </c>
      <c r="Z61" s="1">
        <f t="shared" si="17"/>
        <v>0</v>
      </c>
      <c r="AA61" s="1">
        <f t="shared" si="17"/>
        <v>0</v>
      </c>
      <c r="AB61" s="1">
        <f t="shared" si="17"/>
        <v>0</v>
      </c>
      <c r="AC61" s="1">
        <f t="shared" si="17"/>
        <v>0</v>
      </c>
      <c r="AD61" s="1">
        <f t="shared" si="17"/>
        <v>0</v>
      </c>
      <c r="AE61" s="1">
        <f t="shared" si="17"/>
        <v>0</v>
      </c>
      <c r="AF61" s="1">
        <f t="shared" si="17"/>
        <v>0</v>
      </c>
      <c r="AG61" s="1">
        <f t="shared" si="17"/>
        <v>0</v>
      </c>
      <c r="AH61" s="1">
        <f t="shared" si="17"/>
        <v>0</v>
      </c>
      <c r="AI61" s="1">
        <f t="shared" si="17"/>
        <v>0</v>
      </c>
      <c r="AJ61" s="1">
        <f t="shared" si="17"/>
        <v>0</v>
      </c>
      <c r="AK61" s="1">
        <f t="shared" si="17"/>
        <v>0</v>
      </c>
    </row>
    <row r="62" spans="1:37" ht="14.1" customHeight="1" x14ac:dyDescent="0.2">
      <c r="A62" s="16">
        <v>6</v>
      </c>
      <c r="B62" s="65"/>
      <c r="C62" s="103" t="str">
        <f>ANUAL!$C146</f>
        <v>U02</v>
      </c>
      <c r="D62" s="302" t="str">
        <f>ANUAL!$D146</f>
        <v>UTILITIES – ÁGUA POTÁVEL</v>
      </c>
      <c r="E62" s="302"/>
      <c r="F62" s="302"/>
      <c r="G62" s="104">
        <f t="shared" si="16"/>
        <v>0</v>
      </c>
      <c r="H62" s="62"/>
      <c r="N62" s="16">
        <v>54</v>
      </c>
      <c r="O62" s="65"/>
      <c r="P62" s="55"/>
      <c r="Q62" s="56"/>
      <c r="R62" s="57"/>
      <c r="S62" s="58"/>
      <c r="T62" s="59"/>
      <c r="U62" s="60"/>
      <c r="V62" s="62"/>
      <c r="X62" s="1">
        <f t="shared" ca="1" si="14"/>
        <v>1</v>
      </c>
      <c r="Z62" s="1">
        <f t="shared" si="17"/>
        <v>0</v>
      </c>
      <c r="AA62" s="1">
        <f t="shared" si="17"/>
        <v>0</v>
      </c>
      <c r="AB62" s="1">
        <f t="shared" si="17"/>
        <v>0</v>
      </c>
      <c r="AC62" s="1">
        <f t="shared" si="17"/>
        <v>0</v>
      </c>
      <c r="AD62" s="1">
        <f t="shared" si="17"/>
        <v>0</v>
      </c>
      <c r="AE62" s="1">
        <f t="shared" si="17"/>
        <v>0</v>
      </c>
      <c r="AF62" s="1">
        <f t="shared" si="17"/>
        <v>0</v>
      </c>
      <c r="AG62" s="1">
        <f t="shared" si="17"/>
        <v>0</v>
      </c>
      <c r="AH62" s="1">
        <f t="shared" si="17"/>
        <v>0</v>
      </c>
      <c r="AI62" s="1">
        <f t="shared" si="17"/>
        <v>0</v>
      </c>
      <c r="AJ62" s="1">
        <f t="shared" si="17"/>
        <v>0</v>
      </c>
      <c r="AK62" s="1">
        <f t="shared" si="17"/>
        <v>0</v>
      </c>
    </row>
    <row r="63" spans="1:37" ht="14.1" customHeight="1" x14ac:dyDescent="0.2">
      <c r="A63" s="12">
        <v>7</v>
      </c>
      <c r="B63" s="65"/>
      <c r="C63" s="101" t="str">
        <f>ANUAL!$C147</f>
        <v>U03</v>
      </c>
      <c r="D63" s="303" t="str">
        <f>ANUAL!$D147</f>
        <v>UTILITIES – DIVERSOS (ÁGUA, GÁS, SERV. GERAIS)</v>
      </c>
      <c r="E63" s="303"/>
      <c r="F63" s="303"/>
      <c r="G63" s="102">
        <f t="shared" si="16"/>
        <v>0</v>
      </c>
      <c r="H63" s="62"/>
      <c r="N63" s="12">
        <v>55</v>
      </c>
      <c r="O63" s="65"/>
      <c r="P63" s="49"/>
      <c r="Q63" s="50"/>
      <c r="R63" s="51"/>
      <c r="S63" s="52"/>
      <c r="T63" s="53"/>
      <c r="U63" s="54"/>
      <c r="V63" s="62"/>
      <c r="X63" s="1">
        <f t="shared" ca="1" si="14"/>
        <v>1</v>
      </c>
      <c r="Y63" s="30"/>
      <c r="Z63" s="1">
        <f t="shared" si="17"/>
        <v>0</v>
      </c>
      <c r="AA63" s="1">
        <f t="shared" si="17"/>
        <v>0</v>
      </c>
      <c r="AB63" s="1">
        <f t="shared" si="17"/>
        <v>0</v>
      </c>
      <c r="AC63" s="1">
        <f t="shared" si="17"/>
        <v>0</v>
      </c>
      <c r="AD63" s="1">
        <f t="shared" si="17"/>
        <v>0</v>
      </c>
      <c r="AE63" s="1">
        <f t="shared" si="17"/>
        <v>0</v>
      </c>
      <c r="AF63" s="1">
        <f t="shared" si="17"/>
        <v>0</v>
      </c>
      <c r="AG63" s="1">
        <f t="shared" si="17"/>
        <v>0</v>
      </c>
      <c r="AH63" s="1">
        <f t="shared" si="17"/>
        <v>0</v>
      </c>
      <c r="AI63" s="1">
        <f t="shared" si="17"/>
        <v>0</v>
      </c>
      <c r="AJ63" s="1">
        <f t="shared" si="17"/>
        <v>0</v>
      </c>
      <c r="AK63" s="1">
        <f t="shared" si="17"/>
        <v>0</v>
      </c>
    </row>
    <row r="64" spans="1:37" ht="14.1" customHeight="1" x14ac:dyDescent="0.2">
      <c r="A64" s="16">
        <v>8</v>
      </c>
      <c r="B64" s="65"/>
      <c r="C64" s="103" t="str">
        <f>ANUAL!$C148</f>
        <v>S01</v>
      </c>
      <c r="D64" s="302" t="str">
        <f>ANUAL!$D148</f>
        <v>SAÚDE – PLANO DE SAÚDE</v>
      </c>
      <c r="E64" s="302"/>
      <c r="F64" s="302"/>
      <c r="G64" s="104">
        <f t="shared" si="16"/>
        <v>0</v>
      </c>
      <c r="H64" s="62"/>
      <c r="N64" s="16">
        <v>56</v>
      </c>
      <c r="O64" s="65"/>
      <c r="P64" s="55"/>
      <c r="Q64" s="56"/>
      <c r="R64" s="57"/>
      <c r="S64" s="58"/>
      <c r="T64" s="59"/>
      <c r="U64" s="60"/>
      <c r="V64" s="62"/>
      <c r="X64" s="1">
        <f t="shared" ca="1" si="14"/>
        <v>1</v>
      </c>
      <c r="Z64" s="1">
        <f t="shared" si="17"/>
        <v>0</v>
      </c>
      <c r="AA64" s="1">
        <f t="shared" si="17"/>
        <v>0</v>
      </c>
      <c r="AB64" s="1">
        <f t="shared" si="17"/>
        <v>0</v>
      </c>
      <c r="AC64" s="1">
        <f t="shared" si="17"/>
        <v>0</v>
      </c>
      <c r="AD64" s="1">
        <f t="shared" si="17"/>
        <v>0</v>
      </c>
      <c r="AE64" s="1">
        <f t="shared" si="17"/>
        <v>0</v>
      </c>
      <c r="AF64" s="1">
        <f t="shared" si="17"/>
        <v>0</v>
      </c>
      <c r="AG64" s="1">
        <f t="shared" si="17"/>
        <v>0</v>
      </c>
      <c r="AH64" s="1">
        <f t="shared" si="17"/>
        <v>0</v>
      </c>
      <c r="AI64" s="1">
        <f t="shared" si="17"/>
        <v>0</v>
      </c>
      <c r="AJ64" s="1">
        <f t="shared" si="17"/>
        <v>0</v>
      </c>
      <c r="AK64" s="1">
        <f t="shared" si="17"/>
        <v>0</v>
      </c>
    </row>
    <row r="65" spans="1:37" ht="14.1" customHeight="1" x14ac:dyDescent="0.2">
      <c r="A65" s="12">
        <v>9</v>
      </c>
      <c r="B65" s="65"/>
      <c r="C65" s="101" t="str">
        <f>ANUAL!$C149</f>
        <v>S02</v>
      </c>
      <c r="D65" s="303" t="str">
        <f>ANUAL!$D149</f>
        <v>SAÚDE – REMÉDIOS</v>
      </c>
      <c r="E65" s="303"/>
      <c r="F65" s="303"/>
      <c r="G65" s="102">
        <f t="shared" si="16"/>
        <v>0</v>
      </c>
      <c r="H65" s="62"/>
      <c r="N65" s="12">
        <v>57</v>
      </c>
      <c r="O65" s="65"/>
      <c r="P65" s="49"/>
      <c r="Q65" s="50"/>
      <c r="R65" s="51"/>
      <c r="S65" s="52"/>
      <c r="T65" s="53"/>
      <c r="U65" s="54"/>
      <c r="V65" s="62"/>
      <c r="X65" s="1">
        <f t="shared" ca="1" si="14"/>
        <v>1</v>
      </c>
      <c r="Z65" s="1">
        <f t="shared" si="17"/>
        <v>0</v>
      </c>
      <c r="AA65" s="1">
        <f t="shared" si="17"/>
        <v>0</v>
      </c>
      <c r="AB65" s="1">
        <f t="shared" si="17"/>
        <v>0</v>
      </c>
      <c r="AC65" s="1">
        <f t="shared" si="17"/>
        <v>0</v>
      </c>
      <c r="AD65" s="1">
        <f t="shared" si="17"/>
        <v>0</v>
      </c>
      <c r="AE65" s="1">
        <f t="shared" si="17"/>
        <v>0</v>
      </c>
      <c r="AF65" s="1">
        <f t="shared" si="17"/>
        <v>0</v>
      </c>
      <c r="AG65" s="1">
        <f t="shared" si="17"/>
        <v>0</v>
      </c>
      <c r="AH65" s="1">
        <f t="shared" si="17"/>
        <v>0</v>
      </c>
      <c r="AI65" s="1">
        <f t="shared" si="17"/>
        <v>0</v>
      </c>
      <c r="AJ65" s="1">
        <f t="shared" si="17"/>
        <v>0</v>
      </c>
      <c r="AK65" s="1">
        <f t="shared" si="17"/>
        <v>0</v>
      </c>
    </row>
    <row r="66" spans="1:37" ht="14.1" customHeight="1" x14ac:dyDescent="0.2">
      <c r="A66" s="16">
        <v>10</v>
      </c>
      <c r="B66" s="65"/>
      <c r="C66" s="103" t="str">
        <f>ANUAL!$C150</f>
        <v>S03</v>
      </c>
      <c r="D66" s="302" t="str">
        <f>ANUAL!$D150</f>
        <v>SAÚDE – ACADEMIA</v>
      </c>
      <c r="E66" s="302"/>
      <c r="F66" s="302"/>
      <c r="G66" s="104">
        <f t="shared" si="16"/>
        <v>0</v>
      </c>
      <c r="H66" s="62"/>
      <c r="N66" s="16">
        <v>58</v>
      </c>
      <c r="O66" s="65"/>
      <c r="P66" s="55"/>
      <c r="Q66" s="56"/>
      <c r="R66" s="57"/>
      <c r="S66" s="58"/>
      <c r="T66" s="59"/>
      <c r="U66" s="60"/>
      <c r="V66" s="62"/>
      <c r="X66" s="1">
        <f t="shared" ca="1" si="14"/>
        <v>1</v>
      </c>
      <c r="Z66" s="1">
        <f t="shared" si="17"/>
        <v>0</v>
      </c>
      <c r="AA66" s="1">
        <f t="shared" si="17"/>
        <v>0</v>
      </c>
      <c r="AB66" s="1">
        <f t="shared" si="17"/>
        <v>0</v>
      </c>
      <c r="AC66" s="1">
        <f t="shared" si="17"/>
        <v>0</v>
      </c>
      <c r="AD66" s="1">
        <f t="shared" si="17"/>
        <v>0</v>
      </c>
      <c r="AE66" s="1">
        <f t="shared" si="17"/>
        <v>0</v>
      </c>
      <c r="AF66" s="1">
        <f t="shared" si="17"/>
        <v>0</v>
      </c>
      <c r="AG66" s="1">
        <f t="shared" si="17"/>
        <v>0</v>
      </c>
      <c r="AH66" s="1">
        <f t="shared" si="17"/>
        <v>0</v>
      </c>
      <c r="AI66" s="1">
        <f t="shared" si="17"/>
        <v>0</v>
      </c>
      <c r="AJ66" s="1">
        <f t="shared" si="17"/>
        <v>0</v>
      </c>
      <c r="AK66" s="1">
        <f t="shared" si="17"/>
        <v>0</v>
      </c>
    </row>
    <row r="67" spans="1:37" ht="14.1" customHeight="1" x14ac:dyDescent="0.2">
      <c r="A67" s="12">
        <v>11</v>
      </c>
      <c r="B67" s="65"/>
      <c r="C67" s="101" t="str">
        <f>ANUAL!$C151</f>
        <v>C01</v>
      </c>
      <c r="D67" s="303" t="str">
        <f>ANUAL!$D151</f>
        <v>COMPRAS</v>
      </c>
      <c r="E67" s="303"/>
      <c r="F67" s="303"/>
      <c r="G67" s="102">
        <f t="shared" si="16"/>
        <v>0</v>
      </c>
      <c r="H67" s="62"/>
      <c r="N67" s="12">
        <v>59</v>
      </c>
      <c r="O67" s="65"/>
      <c r="P67" s="49"/>
      <c r="Q67" s="50"/>
      <c r="R67" s="51"/>
      <c r="S67" s="52"/>
      <c r="T67" s="53"/>
      <c r="U67" s="54"/>
      <c r="V67" s="62"/>
      <c r="X67" s="1">
        <f t="shared" ca="1" si="14"/>
        <v>1</v>
      </c>
      <c r="Z67" s="1">
        <f t="shared" si="17"/>
        <v>0</v>
      </c>
      <c r="AA67" s="1">
        <f t="shared" si="17"/>
        <v>0</v>
      </c>
      <c r="AB67" s="1">
        <f t="shared" si="17"/>
        <v>0</v>
      </c>
      <c r="AC67" s="1">
        <f t="shared" si="17"/>
        <v>0</v>
      </c>
      <c r="AD67" s="1">
        <f t="shared" si="17"/>
        <v>0</v>
      </c>
      <c r="AE67" s="1">
        <f t="shared" si="17"/>
        <v>0</v>
      </c>
      <c r="AF67" s="1">
        <f t="shared" si="17"/>
        <v>0</v>
      </c>
      <c r="AG67" s="1">
        <f t="shared" si="17"/>
        <v>0</v>
      </c>
      <c r="AH67" s="1">
        <f t="shared" si="17"/>
        <v>0</v>
      </c>
      <c r="AI67" s="1">
        <f t="shared" si="17"/>
        <v>0</v>
      </c>
      <c r="AJ67" s="1">
        <f t="shared" si="17"/>
        <v>0</v>
      </c>
      <c r="AK67" s="1">
        <f t="shared" si="17"/>
        <v>0</v>
      </c>
    </row>
    <row r="68" spans="1:37" ht="14.1" customHeight="1" x14ac:dyDescent="0.2">
      <c r="A68" s="16">
        <v>12</v>
      </c>
      <c r="B68" s="65"/>
      <c r="C68" s="103" t="str">
        <f>ANUAL!$C152</f>
        <v>L01</v>
      </c>
      <c r="D68" s="302" t="str">
        <f>ANUAL!$D152</f>
        <v>LAZER</v>
      </c>
      <c r="E68" s="302"/>
      <c r="F68" s="302"/>
      <c r="G68" s="104">
        <f t="shared" si="16"/>
        <v>0</v>
      </c>
      <c r="H68" s="62"/>
      <c r="N68" s="16">
        <v>60</v>
      </c>
      <c r="O68" s="65"/>
      <c r="P68" s="55"/>
      <c r="Q68" s="56"/>
      <c r="R68" s="57"/>
      <c r="S68" s="58"/>
      <c r="T68" s="59"/>
      <c r="U68" s="60"/>
      <c r="V68" s="62"/>
      <c r="X68" s="1">
        <f t="shared" ca="1" si="14"/>
        <v>1</v>
      </c>
      <c r="Z68" s="1">
        <f t="shared" si="17"/>
        <v>0</v>
      </c>
      <c r="AA68" s="1">
        <f t="shared" si="17"/>
        <v>0</v>
      </c>
      <c r="AB68" s="1">
        <f t="shared" si="17"/>
        <v>0</v>
      </c>
      <c r="AC68" s="1">
        <f t="shared" si="17"/>
        <v>0</v>
      </c>
      <c r="AD68" s="1">
        <f t="shared" si="17"/>
        <v>0</v>
      </c>
      <c r="AE68" s="1">
        <f t="shared" si="17"/>
        <v>0</v>
      </c>
      <c r="AF68" s="1">
        <f t="shared" si="17"/>
        <v>0</v>
      </c>
      <c r="AG68" s="1">
        <f t="shared" si="17"/>
        <v>0</v>
      </c>
      <c r="AH68" s="1">
        <f t="shared" si="17"/>
        <v>0</v>
      </c>
      <c r="AI68" s="1">
        <f t="shared" si="17"/>
        <v>0</v>
      </c>
      <c r="AJ68" s="1">
        <f t="shared" si="17"/>
        <v>0</v>
      </c>
      <c r="AK68" s="1">
        <f t="shared" si="17"/>
        <v>0</v>
      </c>
    </row>
    <row r="69" spans="1:37" ht="14.1" customHeight="1" x14ac:dyDescent="0.2">
      <c r="A69" s="12">
        <v>13</v>
      </c>
      <c r="B69" s="65"/>
      <c r="C69" s="101" t="str">
        <f>ANUAL!$C153</f>
        <v>A01</v>
      </c>
      <c r="D69" s="303" t="str">
        <f>ANUAL!$D153</f>
        <v>ALIMENTAÇÃO – ALMOÇO</v>
      </c>
      <c r="E69" s="303"/>
      <c r="F69" s="303"/>
      <c r="G69" s="102">
        <f t="shared" si="16"/>
        <v>0</v>
      </c>
      <c r="H69" s="62"/>
      <c r="N69" s="12">
        <v>61</v>
      </c>
      <c r="O69" s="65"/>
      <c r="P69" s="49"/>
      <c r="Q69" s="50"/>
      <c r="R69" s="51"/>
      <c r="S69" s="52"/>
      <c r="T69" s="53"/>
      <c r="U69" s="54"/>
      <c r="V69" s="62"/>
      <c r="X69" s="1">
        <f t="shared" ca="1" si="14"/>
        <v>1</v>
      </c>
      <c r="Z69" s="1">
        <f t="shared" ref="Z69:AK78" si="18">IF(Z$8=$R69,-$T69,0)+IF(Z$8=$S69,$T69,0)</f>
        <v>0</v>
      </c>
      <c r="AA69" s="1">
        <f t="shared" si="18"/>
        <v>0</v>
      </c>
      <c r="AB69" s="1">
        <f t="shared" si="18"/>
        <v>0</v>
      </c>
      <c r="AC69" s="1">
        <f t="shared" si="18"/>
        <v>0</v>
      </c>
      <c r="AD69" s="1">
        <f t="shared" si="18"/>
        <v>0</v>
      </c>
      <c r="AE69" s="1">
        <f t="shared" si="18"/>
        <v>0</v>
      </c>
      <c r="AF69" s="1">
        <f t="shared" si="18"/>
        <v>0</v>
      </c>
      <c r="AG69" s="1">
        <f t="shared" si="18"/>
        <v>0</v>
      </c>
      <c r="AH69" s="1">
        <f t="shared" si="18"/>
        <v>0</v>
      </c>
      <c r="AI69" s="1">
        <f t="shared" si="18"/>
        <v>0</v>
      </c>
      <c r="AJ69" s="1">
        <f t="shared" si="18"/>
        <v>0</v>
      </c>
      <c r="AK69" s="1">
        <f t="shared" si="18"/>
        <v>0</v>
      </c>
    </row>
    <row r="70" spans="1:37" ht="14.1" customHeight="1" x14ac:dyDescent="0.2">
      <c r="A70" s="16">
        <v>14</v>
      </c>
      <c r="B70" s="65"/>
      <c r="C70" s="103" t="str">
        <f>ANUAL!$C154</f>
        <v>A02</v>
      </c>
      <c r="D70" s="302" t="str">
        <f>ANUAL!$D154</f>
        <v>ALIMENTAÇÃO – COMPRA MENSAL</v>
      </c>
      <c r="E70" s="302"/>
      <c r="F70" s="302"/>
      <c r="G70" s="104">
        <f t="shared" si="16"/>
        <v>0</v>
      </c>
      <c r="H70" s="62"/>
      <c r="N70" s="16">
        <v>62</v>
      </c>
      <c r="O70" s="65"/>
      <c r="P70" s="55"/>
      <c r="Q70" s="56"/>
      <c r="R70" s="57"/>
      <c r="S70" s="58"/>
      <c r="T70" s="59"/>
      <c r="U70" s="60"/>
      <c r="V70" s="62"/>
      <c r="X70" s="1">
        <f t="shared" ca="1" si="14"/>
        <v>1</v>
      </c>
      <c r="Z70" s="1">
        <f t="shared" si="18"/>
        <v>0</v>
      </c>
      <c r="AA70" s="1">
        <f t="shared" si="18"/>
        <v>0</v>
      </c>
      <c r="AB70" s="1">
        <f t="shared" si="18"/>
        <v>0</v>
      </c>
      <c r="AC70" s="1">
        <f t="shared" si="18"/>
        <v>0</v>
      </c>
      <c r="AD70" s="1">
        <f t="shared" si="18"/>
        <v>0</v>
      </c>
      <c r="AE70" s="1">
        <f t="shared" si="18"/>
        <v>0</v>
      </c>
      <c r="AF70" s="1">
        <f t="shared" si="18"/>
        <v>0</v>
      </c>
      <c r="AG70" s="1">
        <f t="shared" si="18"/>
        <v>0</v>
      </c>
      <c r="AH70" s="1">
        <f t="shared" si="18"/>
        <v>0</v>
      </c>
      <c r="AI70" s="1">
        <f t="shared" si="18"/>
        <v>0</v>
      </c>
      <c r="AJ70" s="1">
        <f t="shared" si="18"/>
        <v>0</v>
      </c>
      <c r="AK70" s="1">
        <f t="shared" si="18"/>
        <v>0</v>
      </c>
    </row>
    <row r="71" spans="1:37" ht="14.1" customHeight="1" x14ac:dyDescent="0.2">
      <c r="A71" s="12">
        <v>15</v>
      </c>
      <c r="B71" s="65"/>
      <c r="C71" s="101" t="str">
        <f>ANUAL!$C155</f>
        <v>A03</v>
      </c>
      <c r="D71" s="303" t="str">
        <f>ANUAL!$D155</f>
        <v>ALIMENTAÇÃO – FEIRAS SEMANAIS</v>
      </c>
      <c r="E71" s="303"/>
      <c r="F71" s="303"/>
      <c r="G71" s="102">
        <f t="shared" si="16"/>
        <v>0</v>
      </c>
      <c r="H71" s="62"/>
      <c r="N71" s="12">
        <v>63</v>
      </c>
      <c r="O71" s="65"/>
      <c r="P71" s="49"/>
      <c r="Q71" s="50"/>
      <c r="R71" s="51"/>
      <c r="S71" s="52"/>
      <c r="T71" s="53"/>
      <c r="U71" s="54"/>
      <c r="V71" s="62"/>
      <c r="X71" s="1">
        <f t="shared" ca="1" si="14"/>
        <v>1</v>
      </c>
      <c r="Z71" s="1">
        <f t="shared" si="18"/>
        <v>0</v>
      </c>
      <c r="AA71" s="1">
        <f t="shared" si="18"/>
        <v>0</v>
      </c>
      <c r="AB71" s="1">
        <f t="shared" si="18"/>
        <v>0</v>
      </c>
      <c r="AC71" s="1">
        <f t="shared" si="18"/>
        <v>0</v>
      </c>
      <c r="AD71" s="1">
        <f t="shared" si="18"/>
        <v>0</v>
      </c>
      <c r="AE71" s="1">
        <f t="shared" si="18"/>
        <v>0</v>
      </c>
      <c r="AF71" s="1">
        <f t="shared" si="18"/>
        <v>0</v>
      </c>
      <c r="AG71" s="1">
        <f t="shared" si="18"/>
        <v>0</v>
      </c>
      <c r="AH71" s="1">
        <f t="shared" si="18"/>
        <v>0</v>
      </c>
      <c r="AI71" s="1">
        <f t="shared" si="18"/>
        <v>0</v>
      </c>
      <c r="AJ71" s="1">
        <f t="shared" si="18"/>
        <v>0</v>
      </c>
      <c r="AK71" s="1">
        <f t="shared" si="18"/>
        <v>0</v>
      </c>
    </row>
    <row r="72" spans="1:37" ht="14.1" customHeight="1" x14ac:dyDescent="0.2">
      <c r="A72" s="16">
        <v>16</v>
      </c>
      <c r="B72" s="65"/>
      <c r="C72" s="103" t="str">
        <f>ANUAL!$C156</f>
        <v>T01</v>
      </c>
      <c r="D72" s="302" t="str">
        <f>ANUAL!$D156</f>
        <v>TELECOM – CELULAR</v>
      </c>
      <c r="E72" s="302"/>
      <c r="F72" s="302"/>
      <c r="G72" s="104">
        <f t="shared" si="16"/>
        <v>0</v>
      </c>
      <c r="H72" s="62"/>
      <c r="N72" s="16">
        <v>64</v>
      </c>
      <c r="O72" s="65"/>
      <c r="P72" s="55"/>
      <c r="Q72" s="56"/>
      <c r="R72" s="57"/>
      <c r="S72" s="58"/>
      <c r="T72" s="59"/>
      <c r="U72" s="60"/>
      <c r="V72" s="62"/>
      <c r="X72" s="1">
        <f t="shared" ca="1" si="14"/>
        <v>1</v>
      </c>
      <c r="Z72" s="1">
        <f t="shared" si="18"/>
        <v>0</v>
      </c>
      <c r="AA72" s="1">
        <f t="shared" si="18"/>
        <v>0</v>
      </c>
      <c r="AB72" s="1">
        <f t="shared" si="18"/>
        <v>0</v>
      </c>
      <c r="AC72" s="1">
        <f t="shared" si="18"/>
        <v>0</v>
      </c>
      <c r="AD72" s="1">
        <f t="shared" si="18"/>
        <v>0</v>
      </c>
      <c r="AE72" s="1">
        <f t="shared" si="18"/>
        <v>0</v>
      </c>
      <c r="AF72" s="1">
        <f t="shared" si="18"/>
        <v>0</v>
      </c>
      <c r="AG72" s="1">
        <f t="shared" si="18"/>
        <v>0</v>
      </c>
      <c r="AH72" s="1">
        <f t="shared" si="18"/>
        <v>0</v>
      </c>
      <c r="AI72" s="1">
        <f t="shared" si="18"/>
        <v>0</v>
      </c>
      <c r="AJ72" s="1">
        <f t="shared" si="18"/>
        <v>0</v>
      </c>
      <c r="AK72" s="1">
        <f t="shared" si="18"/>
        <v>0</v>
      </c>
    </row>
    <row r="73" spans="1:37" ht="14.1" customHeight="1" x14ac:dyDescent="0.2">
      <c r="A73" s="12">
        <v>17</v>
      </c>
      <c r="B73" s="65"/>
      <c r="C73" s="101" t="str">
        <f>ANUAL!$C157</f>
        <v>T02</v>
      </c>
      <c r="D73" s="303" t="str">
        <f>ANUAL!$D157</f>
        <v>TELECOM – INTERNET</v>
      </c>
      <c r="E73" s="303"/>
      <c r="F73" s="303"/>
      <c r="G73" s="102">
        <f t="shared" si="16"/>
        <v>0</v>
      </c>
      <c r="H73" s="62"/>
      <c r="N73" s="12">
        <v>65</v>
      </c>
      <c r="O73" s="65"/>
      <c r="P73" s="49"/>
      <c r="Q73" s="50"/>
      <c r="R73" s="51"/>
      <c r="S73" s="52"/>
      <c r="T73" s="53"/>
      <c r="U73" s="54"/>
      <c r="V73" s="62"/>
      <c r="X73" s="1">
        <f t="shared" ref="X73:X88" ca="1" si="19">IF(P73&lt;NOW(),1,0)</f>
        <v>1</v>
      </c>
      <c r="Z73" s="1">
        <f t="shared" si="18"/>
        <v>0</v>
      </c>
      <c r="AA73" s="1">
        <f t="shared" si="18"/>
        <v>0</v>
      </c>
      <c r="AB73" s="1">
        <f t="shared" si="18"/>
        <v>0</v>
      </c>
      <c r="AC73" s="1">
        <f t="shared" si="18"/>
        <v>0</v>
      </c>
      <c r="AD73" s="1">
        <f t="shared" si="18"/>
        <v>0</v>
      </c>
      <c r="AE73" s="1">
        <f t="shared" si="18"/>
        <v>0</v>
      </c>
      <c r="AF73" s="1">
        <f t="shared" si="18"/>
        <v>0</v>
      </c>
      <c r="AG73" s="1">
        <f t="shared" si="18"/>
        <v>0</v>
      </c>
      <c r="AH73" s="1">
        <f t="shared" si="18"/>
        <v>0</v>
      </c>
      <c r="AI73" s="1">
        <f t="shared" si="18"/>
        <v>0</v>
      </c>
      <c r="AJ73" s="1">
        <f t="shared" si="18"/>
        <v>0</v>
      </c>
      <c r="AK73" s="1">
        <f t="shared" si="18"/>
        <v>0</v>
      </c>
    </row>
    <row r="74" spans="1:37" ht="14.1" customHeight="1" x14ac:dyDescent="0.2">
      <c r="A74" s="16">
        <v>18</v>
      </c>
      <c r="B74" s="65"/>
      <c r="C74" s="103" t="str">
        <f>ANUAL!$C158</f>
        <v>T03</v>
      </c>
      <c r="D74" s="302" t="str">
        <f>ANUAL!$D158</f>
        <v>TELECOM – FIXO</v>
      </c>
      <c r="E74" s="302"/>
      <c r="F74" s="302"/>
      <c r="G74" s="104">
        <f t="shared" si="16"/>
        <v>0</v>
      </c>
      <c r="H74" s="62"/>
      <c r="N74" s="16">
        <v>66</v>
      </c>
      <c r="O74" s="65"/>
      <c r="P74" s="55"/>
      <c r="Q74" s="56"/>
      <c r="R74" s="57"/>
      <c r="S74" s="58"/>
      <c r="T74" s="59"/>
      <c r="U74" s="60"/>
      <c r="V74" s="62"/>
      <c r="X74" s="1">
        <f t="shared" ca="1" si="19"/>
        <v>1</v>
      </c>
      <c r="Z74" s="1">
        <f t="shared" si="18"/>
        <v>0</v>
      </c>
      <c r="AA74" s="1">
        <f t="shared" si="18"/>
        <v>0</v>
      </c>
      <c r="AB74" s="1">
        <f t="shared" si="18"/>
        <v>0</v>
      </c>
      <c r="AC74" s="1">
        <f t="shared" si="18"/>
        <v>0</v>
      </c>
      <c r="AD74" s="1">
        <f t="shared" si="18"/>
        <v>0</v>
      </c>
      <c r="AE74" s="1">
        <f t="shared" si="18"/>
        <v>0</v>
      </c>
      <c r="AF74" s="1">
        <f t="shared" si="18"/>
        <v>0</v>
      </c>
      <c r="AG74" s="1">
        <f t="shared" si="18"/>
        <v>0</v>
      </c>
      <c r="AH74" s="1">
        <f t="shared" si="18"/>
        <v>0</v>
      </c>
      <c r="AI74" s="1">
        <f t="shared" si="18"/>
        <v>0</v>
      </c>
      <c r="AJ74" s="1">
        <f t="shared" si="18"/>
        <v>0</v>
      </c>
      <c r="AK74" s="1">
        <f t="shared" si="18"/>
        <v>0</v>
      </c>
    </row>
    <row r="75" spans="1:37" ht="14.1" customHeight="1" x14ac:dyDescent="0.2">
      <c r="A75" s="12">
        <v>19</v>
      </c>
      <c r="B75" s="65"/>
      <c r="C75" s="101" t="str">
        <f>ANUAL!$C159</f>
        <v>R01</v>
      </c>
      <c r="D75" s="303" t="str">
        <f>ANUAL!$D159</f>
        <v>CARRO – SEGURO</v>
      </c>
      <c r="E75" s="303"/>
      <c r="F75" s="303"/>
      <c r="G75" s="102">
        <f t="shared" si="16"/>
        <v>0</v>
      </c>
      <c r="H75" s="62"/>
      <c r="N75" s="12">
        <v>67</v>
      </c>
      <c r="O75" s="65"/>
      <c r="P75" s="49"/>
      <c r="Q75" s="50"/>
      <c r="R75" s="51"/>
      <c r="S75" s="52"/>
      <c r="T75" s="53"/>
      <c r="U75" s="54"/>
      <c r="V75" s="62"/>
      <c r="X75" s="1">
        <f t="shared" ca="1" si="19"/>
        <v>1</v>
      </c>
      <c r="Z75" s="1">
        <f t="shared" si="18"/>
        <v>0</v>
      </c>
      <c r="AA75" s="1">
        <f t="shared" si="18"/>
        <v>0</v>
      </c>
      <c r="AB75" s="1">
        <f t="shared" si="18"/>
        <v>0</v>
      </c>
      <c r="AC75" s="1">
        <f t="shared" si="18"/>
        <v>0</v>
      </c>
      <c r="AD75" s="1">
        <f t="shared" si="18"/>
        <v>0</v>
      </c>
      <c r="AE75" s="1">
        <f t="shared" si="18"/>
        <v>0</v>
      </c>
      <c r="AF75" s="1">
        <f t="shared" si="18"/>
        <v>0</v>
      </c>
      <c r="AG75" s="1">
        <f t="shared" si="18"/>
        <v>0</v>
      </c>
      <c r="AH75" s="1">
        <f t="shared" si="18"/>
        <v>0</v>
      </c>
      <c r="AI75" s="1">
        <f t="shared" si="18"/>
        <v>0</v>
      </c>
      <c r="AJ75" s="1">
        <f t="shared" si="18"/>
        <v>0</v>
      </c>
      <c r="AK75" s="1">
        <f t="shared" si="18"/>
        <v>0</v>
      </c>
    </row>
    <row r="76" spans="1:37" ht="14.1" customHeight="1" x14ac:dyDescent="0.2">
      <c r="A76" s="16">
        <v>20</v>
      </c>
      <c r="B76" s="65"/>
      <c r="C76" s="103" t="str">
        <f>ANUAL!$C160</f>
        <v>R02</v>
      </c>
      <c r="D76" s="302" t="str">
        <f>ANUAL!$D160</f>
        <v>CARRO – COMBUSTÍVEL</v>
      </c>
      <c r="E76" s="302"/>
      <c r="F76" s="302"/>
      <c r="G76" s="104">
        <f t="shared" si="16"/>
        <v>0</v>
      </c>
      <c r="H76" s="62"/>
      <c r="N76" s="16">
        <v>68</v>
      </c>
      <c r="O76" s="65"/>
      <c r="P76" s="55"/>
      <c r="Q76" s="56"/>
      <c r="R76" s="57"/>
      <c r="S76" s="58"/>
      <c r="T76" s="59"/>
      <c r="U76" s="60"/>
      <c r="V76" s="62"/>
      <c r="X76" s="1">
        <f t="shared" ca="1" si="19"/>
        <v>1</v>
      </c>
      <c r="Z76" s="1">
        <f t="shared" si="18"/>
        <v>0</v>
      </c>
      <c r="AA76" s="1">
        <f t="shared" si="18"/>
        <v>0</v>
      </c>
      <c r="AB76" s="1">
        <f t="shared" si="18"/>
        <v>0</v>
      </c>
      <c r="AC76" s="1">
        <f t="shared" si="18"/>
        <v>0</v>
      </c>
      <c r="AD76" s="1">
        <f t="shared" si="18"/>
        <v>0</v>
      </c>
      <c r="AE76" s="1">
        <f t="shared" si="18"/>
        <v>0</v>
      </c>
      <c r="AF76" s="1">
        <f t="shared" si="18"/>
        <v>0</v>
      </c>
      <c r="AG76" s="1">
        <f t="shared" si="18"/>
        <v>0</v>
      </c>
      <c r="AH76" s="1">
        <f t="shared" si="18"/>
        <v>0</v>
      </c>
      <c r="AI76" s="1">
        <f t="shared" si="18"/>
        <v>0</v>
      </c>
      <c r="AJ76" s="1">
        <f t="shared" si="18"/>
        <v>0</v>
      </c>
      <c r="AK76" s="1">
        <f t="shared" si="18"/>
        <v>0</v>
      </c>
    </row>
    <row r="77" spans="1:37" ht="14.1" customHeight="1" x14ac:dyDescent="0.2">
      <c r="A77" s="12">
        <v>21</v>
      </c>
      <c r="B77" s="65"/>
      <c r="C77" s="101" t="str">
        <f>ANUAL!$C161</f>
        <v>R03</v>
      </c>
      <c r="D77" s="303" t="str">
        <f>ANUAL!$D161</f>
        <v>CARRO – CONSERTOS</v>
      </c>
      <c r="E77" s="303"/>
      <c r="F77" s="303"/>
      <c r="G77" s="102">
        <f t="shared" si="16"/>
        <v>0</v>
      </c>
      <c r="H77" s="62"/>
      <c r="N77" s="12">
        <v>69</v>
      </c>
      <c r="O77" s="65"/>
      <c r="P77" s="49"/>
      <c r="Q77" s="50"/>
      <c r="R77" s="51"/>
      <c r="S77" s="52"/>
      <c r="T77" s="53"/>
      <c r="U77" s="54"/>
      <c r="V77" s="62"/>
      <c r="X77" s="1">
        <f t="shared" ca="1" si="19"/>
        <v>1</v>
      </c>
      <c r="Z77" s="1">
        <f t="shared" si="18"/>
        <v>0</v>
      </c>
      <c r="AA77" s="1">
        <f t="shared" si="18"/>
        <v>0</v>
      </c>
      <c r="AB77" s="1">
        <f t="shared" si="18"/>
        <v>0</v>
      </c>
      <c r="AC77" s="1">
        <f t="shared" si="18"/>
        <v>0</v>
      </c>
      <c r="AD77" s="1">
        <f t="shared" si="18"/>
        <v>0</v>
      </c>
      <c r="AE77" s="1">
        <f t="shared" si="18"/>
        <v>0</v>
      </c>
      <c r="AF77" s="1">
        <f t="shared" si="18"/>
        <v>0</v>
      </c>
      <c r="AG77" s="1">
        <f t="shared" si="18"/>
        <v>0</v>
      </c>
      <c r="AH77" s="1">
        <f t="shared" si="18"/>
        <v>0</v>
      </c>
      <c r="AI77" s="1">
        <f t="shared" si="18"/>
        <v>0</v>
      </c>
      <c r="AJ77" s="1">
        <f t="shared" si="18"/>
        <v>0</v>
      </c>
      <c r="AK77" s="1">
        <f t="shared" si="18"/>
        <v>0</v>
      </c>
    </row>
    <row r="78" spans="1:37" ht="14.1" customHeight="1" x14ac:dyDescent="0.2">
      <c r="A78" s="16">
        <v>22</v>
      </c>
      <c r="B78" s="65"/>
      <c r="C78" s="103" t="str">
        <f>ANUAL!$C162</f>
        <v>R04</v>
      </c>
      <c r="D78" s="302" t="str">
        <f>ANUAL!$D162</f>
        <v>CARRO – PRESTAÇOES</v>
      </c>
      <c r="E78" s="302"/>
      <c r="F78" s="302"/>
      <c r="G78" s="104">
        <f t="shared" si="16"/>
        <v>0</v>
      </c>
      <c r="H78" s="62"/>
      <c r="N78" s="16">
        <v>70</v>
      </c>
      <c r="O78" s="65"/>
      <c r="P78" s="55"/>
      <c r="Q78" s="56"/>
      <c r="R78" s="57"/>
      <c r="S78" s="58"/>
      <c r="T78" s="59"/>
      <c r="U78" s="60"/>
      <c r="V78" s="62"/>
      <c r="X78" s="1">
        <f t="shared" ca="1" si="19"/>
        <v>1</v>
      </c>
      <c r="Z78" s="1">
        <f t="shared" si="18"/>
        <v>0</v>
      </c>
      <c r="AA78" s="1">
        <f t="shared" si="18"/>
        <v>0</v>
      </c>
      <c r="AB78" s="1">
        <f t="shared" si="18"/>
        <v>0</v>
      </c>
      <c r="AC78" s="1">
        <f t="shared" si="18"/>
        <v>0</v>
      </c>
      <c r="AD78" s="1">
        <f t="shared" si="18"/>
        <v>0</v>
      </c>
      <c r="AE78" s="1">
        <f t="shared" si="18"/>
        <v>0</v>
      </c>
      <c r="AF78" s="1">
        <f t="shared" si="18"/>
        <v>0</v>
      </c>
      <c r="AG78" s="1">
        <f t="shared" si="18"/>
        <v>0</v>
      </c>
      <c r="AH78" s="1">
        <f t="shared" si="18"/>
        <v>0</v>
      </c>
      <c r="AI78" s="1">
        <f t="shared" si="18"/>
        <v>0</v>
      </c>
      <c r="AJ78" s="1">
        <f t="shared" si="18"/>
        <v>0</v>
      </c>
      <c r="AK78" s="1">
        <f t="shared" si="18"/>
        <v>0</v>
      </c>
    </row>
    <row r="79" spans="1:37" ht="14.1" customHeight="1" x14ac:dyDescent="0.2">
      <c r="A79" s="12">
        <v>23</v>
      </c>
      <c r="B79" s="65"/>
      <c r="C79" s="101" t="str">
        <f>ANUAL!$C163</f>
        <v>B01</v>
      </c>
      <c r="D79" s="303" t="str">
        <f>ANUAL!$D163</f>
        <v>BANCO – TAXAS, JUROS ETC.</v>
      </c>
      <c r="E79" s="303"/>
      <c r="F79" s="303"/>
      <c r="G79" s="102">
        <f t="shared" si="16"/>
        <v>0</v>
      </c>
      <c r="H79" s="62"/>
      <c r="N79" s="12">
        <v>71</v>
      </c>
      <c r="O79" s="65"/>
      <c r="P79" s="49"/>
      <c r="Q79" s="50"/>
      <c r="R79" s="51"/>
      <c r="S79" s="52"/>
      <c r="T79" s="53"/>
      <c r="U79" s="54"/>
      <c r="V79" s="62"/>
      <c r="X79" s="1">
        <f t="shared" ca="1" si="19"/>
        <v>1</v>
      </c>
      <c r="Z79" s="1">
        <f t="shared" ref="Z79:AK88" si="20">IF(Z$8=$R79,-$T79,0)+IF(Z$8=$S79,$T79,0)</f>
        <v>0</v>
      </c>
      <c r="AA79" s="1">
        <f t="shared" si="20"/>
        <v>0</v>
      </c>
      <c r="AB79" s="1">
        <f t="shared" si="20"/>
        <v>0</v>
      </c>
      <c r="AC79" s="1">
        <f t="shared" si="20"/>
        <v>0</v>
      </c>
      <c r="AD79" s="1">
        <f t="shared" si="20"/>
        <v>0</v>
      </c>
      <c r="AE79" s="1">
        <f t="shared" si="20"/>
        <v>0</v>
      </c>
      <c r="AF79" s="1">
        <f t="shared" si="20"/>
        <v>0</v>
      </c>
      <c r="AG79" s="1">
        <f t="shared" si="20"/>
        <v>0</v>
      </c>
      <c r="AH79" s="1">
        <f t="shared" si="20"/>
        <v>0</v>
      </c>
      <c r="AI79" s="1">
        <f t="shared" si="20"/>
        <v>0</v>
      </c>
      <c r="AJ79" s="1">
        <f t="shared" si="20"/>
        <v>0</v>
      </c>
      <c r="AK79" s="1">
        <f t="shared" si="20"/>
        <v>0</v>
      </c>
    </row>
    <row r="80" spans="1:37" ht="14.1" customHeight="1" x14ac:dyDescent="0.2">
      <c r="A80" s="16">
        <v>24</v>
      </c>
      <c r="B80" s="65"/>
      <c r="C80" s="103" t="str">
        <f>ANUAL!$C164</f>
        <v>E01</v>
      </c>
      <c r="D80" s="302" t="str">
        <f>ANUAL!$D164</f>
        <v>EDUCAÇÃO / TREINAMENTO</v>
      </c>
      <c r="E80" s="302"/>
      <c r="F80" s="302"/>
      <c r="G80" s="104">
        <f t="shared" si="16"/>
        <v>0</v>
      </c>
      <c r="H80" s="62"/>
      <c r="N80" s="16">
        <v>72</v>
      </c>
      <c r="O80" s="65"/>
      <c r="P80" s="55"/>
      <c r="Q80" s="56"/>
      <c r="R80" s="57"/>
      <c r="S80" s="58"/>
      <c r="T80" s="59"/>
      <c r="U80" s="60"/>
      <c r="V80" s="62"/>
      <c r="X80" s="1">
        <f t="shared" ca="1" si="19"/>
        <v>1</v>
      </c>
      <c r="Z80" s="1">
        <f t="shared" si="20"/>
        <v>0</v>
      </c>
      <c r="AA80" s="1">
        <f t="shared" si="20"/>
        <v>0</v>
      </c>
      <c r="AB80" s="1">
        <f t="shared" si="20"/>
        <v>0</v>
      </c>
      <c r="AC80" s="1">
        <f t="shared" si="20"/>
        <v>0</v>
      </c>
      <c r="AD80" s="1">
        <f t="shared" si="20"/>
        <v>0</v>
      </c>
      <c r="AE80" s="1">
        <f t="shared" si="20"/>
        <v>0</v>
      </c>
      <c r="AF80" s="1">
        <f t="shared" si="20"/>
        <v>0</v>
      </c>
      <c r="AG80" s="1">
        <f t="shared" si="20"/>
        <v>0</v>
      </c>
      <c r="AH80" s="1">
        <f t="shared" si="20"/>
        <v>0</v>
      </c>
      <c r="AI80" s="1">
        <f t="shared" si="20"/>
        <v>0</v>
      </c>
      <c r="AJ80" s="1">
        <f t="shared" si="20"/>
        <v>0</v>
      </c>
      <c r="AK80" s="1">
        <f t="shared" si="20"/>
        <v>0</v>
      </c>
    </row>
    <row r="81" spans="1:37" ht="14.1" customHeight="1" x14ac:dyDescent="0.2">
      <c r="A81" s="12">
        <v>25</v>
      </c>
      <c r="B81" s="65"/>
      <c r="C81" s="101" t="str">
        <f>ANUAL!$C165</f>
        <v>V01</v>
      </c>
      <c r="D81" s="303" t="str">
        <f>ANUAL!$D165</f>
        <v>VIAGEM</v>
      </c>
      <c r="E81" s="303"/>
      <c r="F81" s="303"/>
      <c r="G81" s="102">
        <f t="shared" si="16"/>
        <v>0</v>
      </c>
      <c r="H81" s="62"/>
      <c r="N81" s="12">
        <v>73</v>
      </c>
      <c r="O81" s="65"/>
      <c r="P81" s="49"/>
      <c r="Q81" s="50"/>
      <c r="R81" s="51"/>
      <c r="S81" s="52"/>
      <c r="T81" s="53"/>
      <c r="U81" s="54"/>
      <c r="V81" s="62"/>
      <c r="X81" s="1">
        <f t="shared" ca="1" si="19"/>
        <v>1</v>
      </c>
      <c r="Z81" s="1">
        <f t="shared" si="20"/>
        <v>0</v>
      </c>
      <c r="AA81" s="1">
        <f t="shared" si="20"/>
        <v>0</v>
      </c>
      <c r="AB81" s="1">
        <f t="shared" si="20"/>
        <v>0</v>
      </c>
      <c r="AC81" s="1">
        <f t="shared" si="20"/>
        <v>0</v>
      </c>
      <c r="AD81" s="1">
        <f t="shared" si="20"/>
        <v>0</v>
      </c>
      <c r="AE81" s="1">
        <f t="shared" si="20"/>
        <v>0</v>
      </c>
      <c r="AF81" s="1">
        <f t="shared" si="20"/>
        <v>0</v>
      </c>
      <c r="AG81" s="1">
        <f t="shared" si="20"/>
        <v>0</v>
      </c>
      <c r="AH81" s="1">
        <f t="shared" si="20"/>
        <v>0</v>
      </c>
      <c r="AI81" s="1">
        <f t="shared" si="20"/>
        <v>0</v>
      </c>
      <c r="AJ81" s="1">
        <f t="shared" si="20"/>
        <v>0</v>
      </c>
      <c r="AK81" s="1">
        <f t="shared" si="20"/>
        <v>0</v>
      </c>
    </row>
    <row r="82" spans="1:37" ht="14.1" customHeight="1" x14ac:dyDescent="0.2">
      <c r="A82" s="16">
        <v>26</v>
      </c>
      <c r="B82" s="65"/>
      <c r="C82" s="103" t="str">
        <f>ANUAL!$C166</f>
        <v>P01</v>
      </c>
      <c r="D82" s="302" t="str">
        <f>ANUAL!$D166</f>
        <v>PESSOAL – DÍZIMO</v>
      </c>
      <c r="E82" s="302"/>
      <c r="F82" s="302"/>
      <c r="G82" s="104">
        <f t="shared" si="16"/>
        <v>0</v>
      </c>
      <c r="H82" s="62"/>
      <c r="I82" s="3"/>
      <c r="J82" s="3"/>
      <c r="K82" s="3"/>
      <c r="L82" s="3"/>
      <c r="M82" s="3"/>
      <c r="N82" s="16">
        <v>74</v>
      </c>
      <c r="O82" s="65"/>
      <c r="P82" s="55"/>
      <c r="Q82" s="56"/>
      <c r="R82" s="57"/>
      <c r="S82" s="58"/>
      <c r="T82" s="59"/>
      <c r="U82" s="60"/>
      <c r="V82" s="62"/>
      <c r="X82" s="1">
        <f t="shared" ca="1" si="19"/>
        <v>1</v>
      </c>
      <c r="Z82" s="1">
        <f t="shared" si="20"/>
        <v>0</v>
      </c>
      <c r="AA82" s="1">
        <f t="shared" si="20"/>
        <v>0</v>
      </c>
      <c r="AB82" s="1">
        <f t="shared" si="20"/>
        <v>0</v>
      </c>
      <c r="AC82" s="1">
        <f t="shared" si="20"/>
        <v>0</v>
      </c>
      <c r="AD82" s="1">
        <f t="shared" si="20"/>
        <v>0</v>
      </c>
      <c r="AE82" s="1">
        <f t="shared" si="20"/>
        <v>0</v>
      </c>
      <c r="AF82" s="1">
        <f t="shared" si="20"/>
        <v>0</v>
      </c>
      <c r="AG82" s="1">
        <f t="shared" si="20"/>
        <v>0</v>
      </c>
      <c r="AH82" s="1">
        <f t="shared" si="20"/>
        <v>0</v>
      </c>
      <c r="AI82" s="1">
        <f t="shared" si="20"/>
        <v>0</v>
      </c>
      <c r="AJ82" s="1">
        <f t="shared" si="20"/>
        <v>0</v>
      </c>
      <c r="AK82" s="1">
        <f t="shared" si="20"/>
        <v>0</v>
      </c>
    </row>
    <row r="83" spans="1:37" ht="14.1" customHeight="1" x14ac:dyDescent="0.2">
      <c r="A83" s="12">
        <v>27</v>
      </c>
      <c r="B83" s="65"/>
      <c r="C83" s="101" t="str">
        <f>ANUAL!$C167</f>
        <v>---</v>
      </c>
      <c r="D83" s="303" t="str">
        <f>ANUAL!$D167</f>
        <v>---</v>
      </c>
      <c r="E83" s="303"/>
      <c r="F83" s="303"/>
      <c r="G83" s="102">
        <f t="shared" si="16"/>
        <v>0</v>
      </c>
      <c r="H83" s="62"/>
      <c r="I83" s="3"/>
      <c r="J83" s="3"/>
      <c r="K83" s="3"/>
      <c r="L83" s="3"/>
      <c r="M83" s="3"/>
      <c r="N83" s="12">
        <v>75</v>
      </c>
      <c r="O83" s="65"/>
      <c r="P83" s="49"/>
      <c r="Q83" s="50"/>
      <c r="R83" s="51"/>
      <c r="S83" s="52"/>
      <c r="T83" s="53"/>
      <c r="U83" s="54"/>
      <c r="V83" s="62"/>
      <c r="X83" s="1">
        <f t="shared" ca="1" si="19"/>
        <v>1</v>
      </c>
      <c r="Z83" s="1">
        <f t="shared" si="20"/>
        <v>0</v>
      </c>
      <c r="AA83" s="1">
        <f t="shared" si="20"/>
        <v>0</v>
      </c>
      <c r="AB83" s="1">
        <f t="shared" si="20"/>
        <v>0</v>
      </c>
      <c r="AC83" s="1">
        <f t="shared" si="20"/>
        <v>0</v>
      </c>
      <c r="AD83" s="1">
        <f t="shared" si="20"/>
        <v>0</v>
      </c>
      <c r="AE83" s="1">
        <f t="shared" si="20"/>
        <v>0</v>
      </c>
      <c r="AF83" s="1">
        <f t="shared" si="20"/>
        <v>0</v>
      </c>
      <c r="AG83" s="1">
        <f t="shared" si="20"/>
        <v>0</v>
      </c>
      <c r="AH83" s="1">
        <f t="shared" si="20"/>
        <v>0</v>
      </c>
      <c r="AI83" s="1">
        <f t="shared" si="20"/>
        <v>0</v>
      </c>
      <c r="AJ83" s="1">
        <f t="shared" si="20"/>
        <v>0</v>
      </c>
      <c r="AK83" s="1">
        <f t="shared" si="20"/>
        <v>0</v>
      </c>
    </row>
    <row r="84" spans="1:37" ht="14.1" customHeight="1" x14ac:dyDescent="0.2">
      <c r="A84" s="16">
        <v>28</v>
      </c>
      <c r="B84" s="65"/>
      <c r="C84" s="103" t="str">
        <f>ANUAL!$C168</f>
        <v>---</v>
      </c>
      <c r="D84" s="302" t="str">
        <f>ANUAL!$D168</f>
        <v>---</v>
      </c>
      <c r="E84" s="302"/>
      <c r="F84" s="302"/>
      <c r="G84" s="104">
        <f t="shared" si="16"/>
        <v>0</v>
      </c>
      <c r="H84" s="62"/>
      <c r="I84" s="3"/>
      <c r="J84" s="3"/>
      <c r="K84" s="3"/>
      <c r="L84" s="3"/>
      <c r="M84" s="3"/>
      <c r="N84" s="16">
        <v>76</v>
      </c>
      <c r="O84" s="65"/>
      <c r="P84" s="55"/>
      <c r="Q84" s="56"/>
      <c r="R84" s="57"/>
      <c r="S84" s="58"/>
      <c r="T84" s="59"/>
      <c r="U84" s="60"/>
      <c r="V84" s="62"/>
      <c r="X84" s="1">
        <f t="shared" ca="1" si="19"/>
        <v>1</v>
      </c>
      <c r="Z84" s="1">
        <f t="shared" si="20"/>
        <v>0</v>
      </c>
      <c r="AA84" s="1">
        <f t="shared" si="20"/>
        <v>0</v>
      </c>
      <c r="AB84" s="1">
        <f t="shared" si="20"/>
        <v>0</v>
      </c>
      <c r="AC84" s="1">
        <f t="shared" si="20"/>
        <v>0</v>
      </c>
      <c r="AD84" s="1">
        <f t="shared" si="20"/>
        <v>0</v>
      </c>
      <c r="AE84" s="1">
        <f t="shared" si="20"/>
        <v>0</v>
      </c>
      <c r="AF84" s="1">
        <f t="shared" si="20"/>
        <v>0</v>
      </c>
      <c r="AG84" s="1">
        <f t="shared" si="20"/>
        <v>0</v>
      </c>
      <c r="AH84" s="1">
        <f t="shared" si="20"/>
        <v>0</v>
      </c>
      <c r="AI84" s="1">
        <f t="shared" si="20"/>
        <v>0</v>
      </c>
      <c r="AJ84" s="1">
        <f t="shared" si="20"/>
        <v>0</v>
      </c>
      <c r="AK84" s="1">
        <f t="shared" si="20"/>
        <v>0</v>
      </c>
    </row>
    <row r="85" spans="1:37" ht="14.1" customHeight="1" x14ac:dyDescent="0.2">
      <c r="A85" s="12">
        <v>29</v>
      </c>
      <c r="B85" s="65"/>
      <c r="C85" s="101" t="str">
        <f>ANUAL!$C169</f>
        <v>---</v>
      </c>
      <c r="D85" s="303" t="str">
        <f>ANUAL!$D169</f>
        <v>---</v>
      </c>
      <c r="E85" s="303"/>
      <c r="F85" s="303"/>
      <c r="G85" s="102">
        <f t="shared" si="16"/>
        <v>0</v>
      </c>
      <c r="H85" s="62"/>
      <c r="I85" s="3"/>
      <c r="J85" s="3"/>
      <c r="K85" s="3"/>
      <c r="L85" s="3"/>
      <c r="M85" s="3"/>
      <c r="N85" s="12">
        <v>77</v>
      </c>
      <c r="O85" s="65"/>
      <c r="P85" s="49"/>
      <c r="Q85" s="50"/>
      <c r="R85" s="51"/>
      <c r="S85" s="52"/>
      <c r="T85" s="53"/>
      <c r="U85" s="54"/>
      <c r="V85" s="62"/>
      <c r="X85" s="1">
        <f t="shared" ca="1" si="19"/>
        <v>1</v>
      </c>
      <c r="Z85" s="1">
        <f t="shared" si="20"/>
        <v>0</v>
      </c>
      <c r="AA85" s="1">
        <f t="shared" si="20"/>
        <v>0</v>
      </c>
      <c r="AB85" s="1">
        <f t="shared" si="20"/>
        <v>0</v>
      </c>
      <c r="AC85" s="1">
        <f t="shared" si="20"/>
        <v>0</v>
      </c>
      <c r="AD85" s="1">
        <f t="shared" si="20"/>
        <v>0</v>
      </c>
      <c r="AE85" s="1">
        <f t="shared" si="20"/>
        <v>0</v>
      </c>
      <c r="AF85" s="1">
        <f t="shared" si="20"/>
        <v>0</v>
      </c>
      <c r="AG85" s="1">
        <f t="shared" si="20"/>
        <v>0</v>
      </c>
      <c r="AH85" s="1">
        <f t="shared" si="20"/>
        <v>0</v>
      </c>
      <c r="AI85" s="1">
        <f t="shared" si="20"/>
        <v>0</v>
      </c>
      <c r="AJ85" s="1">
        <f t="shared" si="20"/>
        <v>0</v>
      </c>
      <c r="AK85" s="1">
        <f t="shared" si="20"/>
        <v>0</v>
      </c>
    </row>
    <row r="86" spans="1:37" ht="14.1" customHeight="1" x14ac:dyDescent="0.2">
      <c r="A86" s="16">
        <v>30</v>
      </c>
      <c r="B86" s="65"/>
      <c r="C86" s="103" t="str">
        <f>ANUAL!$C170</f>
        <v>---</v>
      </c>
      <c r="D86" s="302" t="str">
        <f>ANUAL!$D170</f>
        <v>---</v>
      </c>
      <c r="E86" s="302"/>
      <c r="F86" s="302"/>
      <c r="G86" s="104">
        <f t="shared" si="16"/>
        <v>0</v>
      </c>
      <c r="H86" s="62"/>
      <c r="I86" s="3"/>
      <c r="J86" s="3"/>
      <c r="K86" s="3"/>
      <c r="L86" s="3"/>
      <c r="M86" s="3"/>
      <c r="N86" s="16">
        <v>78</v>
      </c>
      <c r="O86" s="65"/>
      <c r="P86" s="55"/>
      <c r="Q86" s="56"/>
      <c r="R86" s="57"/>
      <c r="S86" s="58"/>
      <c r="T86" s="59"/>
      <c r="U86" s="60"/>
      <c r="V86" s="62"/>
      <c r="X86" s="1">
        <f t="shared" ca="1" si="19"/>
        <v>1</v>
      </c>
      <c r="Z86" s="1">
        <f t="shared" si="20"/>
        <v>0</v>
      </c>
      <c r="AA86" s="1">
        <f t="shared" si="20"/>
        <v>0</v>
      </c>
      <c r="AB86" s="1">
        <f t="shared" si="20"/>
        <v>0</v>
      </c>
      <c r="AC86" s="1">
        <f t="shared" si="20"/>
        <v>0</v>
      </c>
      <c r="AD86" s="1">
        <f t="shared" si="20"/>
        <v>0</v>
      </c>
      <c r="AE86" s="1">
        <f t="shared" si="20"/>
        <v>0</v>
      </c>
      <c r="AF86" s="1">
        <f t="shared" si="20"/>
        <v>0</v>
      </c>
      <c r="AG86" s="1">
        <f t="shared" si="20"/>
        <v>0</v>
      </c>
      <c r="AH86" s="1">
        <f t="shared" si="20"/>
        <v>0</v>
      </c>
      <c r="AI86" s="1">
        <f t="shared" si="20"/>
        <v>0</v>
      </c>
      <c r="AJ86" s="1">
        <f t="shared" si="20"/>
        <v>0</v>
      </c>
      <c r="AK86" s="1">
        <f t="shared" si="20"/>
        <v>0</v>
      </c>
    </row>
    <row r="87" spans="1:37" ht="14.1" customHeight="1" x14ac:dyDescent="0.2">
      <c r="A87" s="12">
        <v>31</v>
      </c>
      <c r="B87" s="65"/>
      <c r="C87" s="101" t="str">
        <f>ANUAL!$C171</f>
        <v>---</v>
      </c>
      <c r="D87" s="303" t="str">
        <f>ANUAL!$D171</f>
        <v>---</v>
      </c>
      <c r="E87" s="303"/>
      <c r="F87" s="303"/>
      <c r="G87" s="102">
        <f t="shared" si="16"/>
        <v>0</v>
      </c>
      <c r="H87" s="62"/>
      <c r="I87" s="3"/>
      <c r="J87" s="3"/>
      <c r="K87" s="3"/>
      <c r="L87" s="3"/>
      <c r="M87" s="3"/>
      <c r="N87" s="12">
        <v>79</v>
      </c>
      <c r="O87" s="65"/>
      <c r="P87" s="49"/>
      <c r="Q87" s="50"/>
      <c r="R87" s="51"/>
      <c r="S87" s="52"/>
      <c r="T87" s="53"/>
      <c r="U87" s="54"/>
      <c r="V87" s="62"/>
      <c r="X87" s="1">
        <f t="shared" ca="1" si="19"/>
        <v>1</v>
      </c>
      <c r="Z87" s="1">
        <f t="shared" si="20"/>
        <v>0</v>
      </c>
      <c r="AA87" s="1">
        <f t="shared" si="20"/>
        <v>0</v>
      </c>
      <c r="AB87" s="1">
        <f t="shared" si="20"/>
        <v>0</v>
      </c>
      <c r="AC87" s="1">
        <f t="shared" si="20"/>
        <v>0</v>
      </c>
      <c r="AD87" s="1">
        <f t="shared" si="20"/>
        <v>0</v>
      </c>
      <c r="AE87" s="1">
        <f t="shared" si="20"/>
        <v>0</v>
      </c>
      <c r="AF87" s="1">
        <f t="shared" si="20"/>
        <v>0</v>
      </c>
      <c r="AG87" s="1">
        <f t="shared" si="20"/>
        <v>0</v>
      </c>
      <c r="AH87" s="1">
        <f t="shared" si="20"/>
        <v>0</v>
      </c>
      <c r="AI87" s="1">
        <f t="shared" si="20"/>
        <v>0</v>
      </c>
      <c r="AJ87" s="1">
        <f t="shared" si="20"/>
        <v>0</v>
      </c>
      <c r="AK87" s="1">
        <f t="shared" si="20"/>
        <v>0</v>
      </c>
    </row>
    <row r="88" spans="1:37" ht="14.1" customHeight="1" x14ac:dyDescent="0.2">
      <c r="A88" s="16">
        <v>32</v>
      </c>
      <c r="B88" s="66"/>
      <c r="C88" s="103" t="str">
        <f>ANUAL!$C172</f>
        <v>---</v>
      </c>
      <c r="D88" s="302" t="str">
        <f>ANUAL!$D172</f>
        <v>---</v>
      </c>
      <c r="E88" s="302"/>
      <c r="F88" s="302"/>
      <c r="G88" s="104">
        <f t="shared" si="16"/>
        <v>0</v>
      </c>
      <c r="H88" s="63"/>
      <c r="I88" s="3"/>
      <c r="J88" s="3"/>
      <c r="K88" s="3"/>
      <c r="L88" s="3"/>
      <c r="M88" s="3"/>
      <c r="N88" s="16">
        <v>80</v>
      </c>
      <c r="O88" s="66"/>
      <c r="P88" s="55"/>
      <c r="Q88" s="56"/>
      <c r="R88" s="57"/>
      <c r="S88" s="58"/>
      <c r="T88" s="59"/>
      <c r="U88" s="60"/>
      <c r="V88" s="63"/>
      <c r="X88" s="1">
        <f t="shared" ca="1" si="19"/>
        <v>1</v>
      </c>
      <c r="Z88" s="1">
        <f t="shared" si="20"/>
        <v>0</v>
      </c>
      <c r="AA88" s="1">
        <f t="shared" si="20"/>
        <v>0</v>
      </c>
      <c r="AB88" s="1">
        <f t="shared" si="20"/>
        <v>0</v>
      </c>
      <c r="AC88" s="1">
        <f t="shared" si="20"/>
        <v>0</v>
      </c>
      <c r="AD88" s="1">
        <f t="shared" si="20"/>
        <v>0</v>
      </c>
      <c r="AE88" s="1">
        <f t="shared" si="20"/>
        <v>0</v>
      </c>
      <c r="AF88" s="1">
        <f t="shared" si="20"/>
        <v>0</v>
      </c>
      <c r="AG88" s="1">
        <f t="shared" si="20"/>
        <v>0</v>
      </c>
      <c r="AH88" s="1">
        <f t="shared" si="20"/>
        <v>0</v>
      </c>
      <c r="AI88" s="1">
        <f t="shared" si="20"/>
        <v>0</v>
      </c>
      <c r="AJ88" s="1">
        <f t="shared" si="20"/>
        <v>0</v>
      </c>
      <c r="AK88" s="1">
        <f t="shared" si="20"/>
        <v>0</v>
      </c>
    </row>
    <row r="89" spans="1:37" ht="14.1" customHeight="1" x14ac:dyDescent="0.2">
      <c r="B89" s="105"/>
      <c r="C89" s="106"/>
      <c r="D89" s="107"/>
      <c r="E89" s="107"/>
      <c r="F89" s="107"/>
      <c r="G89" s="107"/>
      <c r="H89" s="108"/>
      <c r="I89" s="3"/>
      <c r="J89" s="3"/>
      <c r="K89" s="3"/>
      <c r="L89" s="3"/>
      <c r="M89" s="3"/>
      <c r="O89" s="32"/>
      <c r="P89" s="33"/>
      <c r="Q89" s="33"/>
      <c r="R89" s="34"/>
      <c r="S89" s="34"/>
      <c r="T89" s="67"/>
      <c r="U89" s="34"/>
      <c r="V89" s="35"/>
    </row>
    <row r="90" spans="1:37" ht="14.1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37" ht="14.1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37" ht="14.1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37" ht="14.1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37" ht="14.1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37" ht="14.1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37" ht="14.1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1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1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1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</sheetData>
  <sheetProtection selectLockedCells="1"/>
  <mergeCells count="57">
    <mergeCell ref="C43:G44"/>
    <mergeCell ref="B1:H1"/>
    <mergeCell ref="C5:G6"/>
    <mergeCell ref="P5:U6"/>
    <mergeCell ref="C7:C8"/>
    <mergeCell ref="D7:D8"/>
    <mergeCell ref="E7:G7"/>
    <mergeCell ref="P7:P8"/>
    <mergeCell ref="Q7:Q8"/>
    <mergeCell ref="R7:S7"/>
    <mergeCell ref="T7:T8"/>
    <mergeCell ref="U7:U8"/>
    <mergeCell ref="C24:G25"/>
    <mergeCell ref="C26:C27"/>
    <mergeCell ref="D26:D27"/>
    <mergeCell ref="E26:G26"/>
    <mergeCell ref="D62:F62"/>
    <mergeCell ref="D63:F63"/>
    <mergeCell ref="D64:F64"/>
    <mergeCell ref="D65:F65"/>
    <mergeCell ref="C45:C46"/>
    <mergeCell ref="D45:D46"/>
    <mergeCell ref="E45:G45"/>
    <mergeCell ref="C53:G54"/>
    <mergeCell ref="C55:C56"/>
    <mergeCell ref="D55:D56"/>
    <mergeCell ref="E55:E56"/>
    <mergeCell ref="F55:F56"/>
    <mergeCell ref="G55:G56"/>
    <mergeCell ref="D57:F57"/>
    <mergeCell ref="D58:F58"/>
    <mergeCell ref="D59:F59"/>
    <mergeCell ref="D60:F60"/>
    <mergeCell ref="D61:F61"/>
    <mergeCell ref="D66:F66"/>
    <mergeCell ref="D67:F67"/>
    <mergeCell ref="D80:F80"/>
    <mergeCell ref="D69:F69"/>
    <mergeCell ref="D70:F70"/>
    <mergeCell ref="D71:F71"/>
    <mergeCell ref="D72:F72"/>
    <mergeCell ref="D73:F73"/>
    <mergeCell ref="D74:F74"/>
    <mergeCell ref="D75:F75"/>
    <mergeCell ref="D68:F68"/>
    <mergeCell ref="D88:F88"/>
    <mergeCell ref="D81:F81"/>
    <mergeCell ref="D82:F82"/>
    <mergeCell ref="D83:F83"/>
    <mergeCell ref="D84:F84"/>
    <mergeCell ref="D85:F85"/>
    <mergeCell ref="D86:F86"/>
    <mergeCell ref="D76:F76"/>
    <mergeCell ref="D77:F77"/>
    <mergeCell ref="D78:F78"/>
    <mergeCell ref="D79:F79"/>
    <mergeCell ref="D87:F87"/>
  </mergeCells>
  <conditionalFormatting sqref="U9:U11 P12:U88">
    <cfRule type="expression" dxfId="9" priority="6" stopIfTrue="1">
      <formula>$X9&lt;&gt;1</formula>
    </cfRule>
  </conditionalFormatting>
  <conditionalFormatting sqref="U9:U11 S12:U20">
    <cfRule type="expression" dxfId="8" priority="5" stopIfTrue="1">
      <formula>$X9&lt;&gt;1</formula>
    </cfRule>
  </conditionalFormatting>
  <conditionalFormatting sqref="S12:T20">
    <cfRule type="expression" dxfId="7" priority="4" stopIfTrue="1">
      <formula>$X12&lt;&gt;1</formula>
    </cfRule>
  </conditionalFormatting>
  <conditionalFormatting sqref="U12:U16">
    <cfRule type="expression" dxfId="6" priority="3" stopIfTrue="1">
      <formula>$X12&lt;&gt;1</formula>
    </cfRule>
  </conditionalFormatting>
  <conditionalFormatting sqref="P9:T11">
    <cfRule type="expression" dxfId="5" priority="1" stopIfTrue="1">
      <formula>$X9&lt;&gt;1</formula>
    </cfRule>
  </conditionalFormatting>
  <printOptions horizontalCentered="1"/>
  <pageMargins left="0.39374999999999999" right="0.39374999999999999" top="0.78749999999999998" bottom="0.59027777777777779" header="0.51180555555555551" footer="0.51180555555555551"/>
  <pageSetup paperSize="8" scale="59" orientation="portrait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9"/>
  <sheetViews>
    <sheetView zoomScale="80" zoomScaleNormal="80" workbookViewId="0">
      <selection activeCell="P9" sqref="P9"/>
    </sheetView>
  </sheetViews>
  <sheetFormatPr defaultColWidth="11.5703125" defaultRowHeight="14.1" customHeight="1" x14ac:dyDescent="0.2"/>
  <cols>
    <col min="1" max="1" width="4.140625" style="1" customWidth="1"/>
    <col min="2" max="2" width="2.5703125" style="1" customWidth="1"/>
    <col min="3" max="3" width="9.140625" style="2" customWidth="1"/>
    <col min="4" max="4" width="40.85546875" style="1" customWidth="1"/>
    <col min="5" max="7" width="11.5703125" style="1"/>
    <col min="8" max="9" width="2.5703125" style="1" customWidth="1"/>
    <col min="10" max="12" width="11.5703125" style="1" hidden="1" customWidth="1"/>
    <col min="13" max="13" width="2.5703125" style="1" customWidth="1"/>
    <col min="14" max="14" width="4.140625" style="1" customWidth="1"/>
    <col min="15" max="15" width="2.5703125" style="1" customWidth="1"/>
    <col min="16" max="16" width="11.5703125" style="1"/>
    <col min="17" max="17" width="51" style="1" customWidth="1"/>
    <col min="18" max="19" width="12.7109375" style="24" customWidth="1"/>
    <col min="20" max="20" width="12.7109375" style="1" customWidth="1"/>
    <col min="21" max="21" width="10.140625" style="24" customWidth="1"/>
    <col min="22" max="22" width="2.5703125" style="1" customWidth="1"/>
    <col min="23" max="23" width="5.140625" style="1" customWidth="1"/>
    <col min="24" max="37" width="0" style="1" hidden="1" customWidth="1"/>
    <col min="38" max="255" width="11.5703125" style="1"/>
    <col min="256" max="16384" width="11.5703125" style="3"/>
  </cols>
  <sheetData>
    <row r="1" spans="1:256" s="4" customFormat="1" ht="33.950000000000003" customHeight="1" x14ac:dyDescent="0.2">
      <c r="B1" s="307">
        <f>DATE(ANUAL!B5,B2,8)</f>
        <v>40520</v>
      </c>
      <c r="C1" s="307"/>
      <c r="D1" s="307"/>
      <c r="E1" s="307"/>
      <c r="F1" s="307"/>
      <c r="G1" s="307"/>
      <c r="H1" s="307"/>
      <c r="I1" s="25" t="s">
        <v>2</v>
      </c>
      <c r="M1" s="26" t="s">
        <v>92</v>
      </c>
      <c r="R1" s="27"/>
      <c r="S1" s="27"/>
      <c r="U1" s="27"/>
      <c r="W1" s="25" t="s">
        <v>2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 t="s">
        <v>92</v>
      </c>
      <c r="IV1" s="3"/>
    </row>
    <row r="2" spans="1:256" ht="14.1" customHeight="1" x14ac:dyDescent="0.2">
      <c r="B2" s="28">
        <f>'M11'!B2+1</f>
        <v>12</v>
      </c>
    </row>
    <row r="4" spans="1:256" ht="14.1" customHeight="1" x14ac:dyDescent="0.2">
      <c r="B4" s="68"/>
      <c r="C4" s="69"/>
      <c r="D4" s="70"/>
      <c r="E4" s="70"/>
      <c r="F4" s="70"/>
      <c r="G4" s="70"/>
      <c r="H4" s="71"/>
      <c r="O4" s="36"/>
      <c r="P4" s="37"/>
      <c r="Q4" s="37"/>
      <c r="R4" s="38"/>
      <c r="S4" s="38"/>
      <c r="T4" s="37"/>
      <c r="U4" s="38"/>
      <c r="V4" s="39"/>
    </row>
    <row r="5" spans="1:256" ht="14.1" customHeight="1" x14ac:dyDescent="0.2">
      <c r="B5" s="72"/>
      <c r="C5" s="308" t="s">
        <v>107</v>
      </c>
      <c r="D5" s="308"/>
      <c r="E5" s="308"/>
      <c r="F5" s="308"/>
      <c r="G5" s="308"/>
      <c r="H5" s="73"/>
      <c r="O5" s="40"/>
      <c r="P5" s="309" t="s">
        <v>93</v>
      </c>
      <c r="Q5" s="309"/>
      <c r="R5" s="309"/>
      <c r="S5" s="309"/>
      <c r="T5" s="309"/>
      <c r="U5" s="309"/>
      <c r="V5" s="41"/>
    </row>
    <row r="6" spans="1:256" s="9" customFormat="1" ht="14.1" customHeight="1" x14ac:dyDescent="0.2">
      <c r="B6" s="74"/>
      <c r="C6" s="308"/>
      <c r="D6" s="308"/>
      <c r="E6" s="308"/>
      <c r="F6" s="308"/>
      <c r="G6" s="308"/>
      <c r="H6" s="75"/>
      <c r="I6" s="1"/>
      <c r="J6" s="1"/>
      <c r="K6" s="1"/>
      <c r="L6" s="1"/>
      <c r="M6" s="1"/>
      <c r="N6" s="1"/>
      <c r="O6" s="42"/>
      <c r="P6" s="309"/>
      <c r="Q6" s="309"/>
      <c r="R6" s="309"/>
      <c r="S6" s="309"/>
      <c r="T6" s="309"/>
      <c r="U6" s="309"/>
      <c r="V6" s="4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IV6" s="3"/>
    </row>
    <row r="7" spans="1:256" ht="14.1" customHeight="1" x14ac:dyDescent="0.2">
      <c r="B7" s="46"/>
      <c r="C7" s="271" t="s">
        <v>94</v>
      </c>
      <c r="D7" s="273" t="s">
        <v>5</v>
      </c>
      <c r="E7" s="275" t="s">
        <v>6</v>
      </c>
      <c r="F7" s="275"/>
      <c r="G7" s="276"/>
      <c r="H7" s="73"/>
      <c r="O7" s="46"/>
      <c r="P7" s="275" t="s">
        <v>95</v>
      </c>
      <c r="Q7" s="271" t="s">
        <v>5</v>
      </c>
      <c r="R7" s="275" t="s">
        <v>96</v>
      </c>
      <c r="S7" s="275"/>
      <c r="T7" s="275" t="s">
        <v>97</v>
      </c>
      <c r="U7" s="276" t="s">
        <v>98</v>
      </c>
      <c r="V7" s="41"/>
    </row>
    <row r="8" spans="1:256" ht="14.1" customHeight="1" x14ac:dyDescent="0.2">
      <c r="B8" s="44"/>
      <c r="C8" s="272"/>
      <c r="D8" s="274"/>
      <c r="E8" s="98" t="s">
        <v>99</v>
      </c>
      <c r="F8" s="98" t="s">
        <v>100</v>
      </c>
      <c r="G8" s="98" t="s">
        <v>101</v>
      </c>
      <c r="H8" s="76"/>
      <c r="O8" s="44"/>
      <c r="P8" s="306" t="s">
        <v>95</v>
      </c>
      <c r="Q8" s="272" t="s">
        <v>5</v>
      </c>
      <c r="R8" s="47" t="s">
        <v>89</v>
      </c>
      <c r="S8" s="48" t="s">
        <v>87</v>
      </c>
      <c r="T8" s="306" t="s">
        <v>97</v>
      </c>
      <c r="U8" s="305"/>
      <c r="V8" s="45"/>
      <c r="X8" s="1" t="s">
        <v>100</v>
      </c>
      <c r="Z8" s="1" t="str">
        <f>$C$9</f>
        <v/>
      </c>
      <c r="AA8" s="1" t="str">
        <f>$C$10</f>
        <v>INV1</v>
      </c>
      <c r="AB8" s="1" t="str">
        <f>$C$11</f>
        <v>DINH1</v>
      </c>
      <c r="AC8" s="1" t="str">
        <f>$C$12</f>
        <v>CRED1</v>
      </c>
      <c r="AD8" s="1" t="str">
        <f>$C$13</f>
        <v>---</v>
      </c>
      <c r="AE8" s="1" t="str">
        <f>$C$14</f>
        <v>---</v>
      </c>
      <c r="AF8" s="1" t="str">
        <f>$C$15</f>
        <v>---</v>
      </c>
      <c r="AG8" s="1" t="str">
        <f>$C$16</f>
        <v>---</v>
      </c>
      <c r="AH8" s="1" t="str">
        <f>$C$17</f>
        <v>---</v>
      </c>
      <c r="AI8" s="1" t="str">
        <f>$C$18</f>
        <v>---</v>
      </c>
      <c r="AJ8" s="1" t="str">
        <f>$C$19</f>
        <v>---</v>
      </c>
      <c r="AK8" s="1" t="str">
        <f>$C$20</f>
        <v>---</v>
      </c>
    </row>
    <row r="9" spans="1:256" ht="14.1" customHeight="1" x14ac:dyDescent="0.2">
      <c r="A9" s="12">
        <v>1</v>
      </c>
      <c r="B9" s="64"/>
      <c r="C9" s="115" t="str">
        <f>TRIM(ANUAL!C13)</f>
        <v/>
      </c>
      <c r="D9" s="116" t="str">
        <f>TRIM(ANUAL!D13)</f>
        <v>CONTA CORRENTE BANCO 1</v>
      </c>
      <c r="E9" s="117">
        <f ca="1">INDIRECT("M"&amp;B$2-1&amp;"!G"&amp;A9+ROW(A$8))</f>
        <v>0</v>
      </c>
      <c r="F9" s="117">
        <f t="shared" ref="F9:F20" ca="1" si="0">E9+SUMIF(X$9:X$88,1,OFFSET($Z$9:$Z$88,0,A9-1))</f>
        <v>0</v>
      </c>
      <c r="G9" s="117">
        <f t="shared" ref="G9:G20" ca="1" si="1">E9+SUM(OFFSET($Z$9:$Z$88,0,A9-1))</f>
        <v>0</v>
      </c>
      <c r="H9" s="61"/>
      <c r="J9" s="3" t="b">
        <f t="shared" ref="J9:L20" si="2">NOT(ISERR(SEARCH(J$27,$C9)))</f>
        <v>0</v>
      </c>
      <c r="K9" s="3" t="b">
        <f t="shared" si="2"/>
        <v>0</v>
      </c>
      <c r="L9" s="3" t="b">
        <f t="shared" si="2"/>
        <v>0</v>
      </c>
      <c r="N9" s="12">
        <v>1</v>
      </c>
      <c r="O9" s="64"/>
      <c r="P9" s="49"/>
      <c r="Q9" s="50"/>
      <c r="R9" s="51"/>
      <c r="S9" s="52"/>
      <c r="T9" s="53"/>
      <c r="U9" s="54"/>
      <c r="V9" s="61"/>
      <c r="X9" s="1">
        <f t="shared" ref="X9:X40" ca="1" si="3">IF(P9&lt;NOW(),1,0)</f>
        <v>1</v>
      </c>
      <c r="Z9" s="1">
        <f t="shared" ref="Z9:AK18" si="4">IF(Z$8=$R9,-$T9,0)+IF(Z$8=$S9,$T9,0)</f>
        <v>0</v>
      </c>
      <c r="AA9" s="1">
        <f t="shared" si="4"/>
        <v>0</v>
      </c>
      <c r="AB9" s="1">
        <f t="shared" si="4"/>
        <v>0</v>
      </c>
      <c r="AC9" s="1">
        <f t="shared" si="4"/>
        <v>0</v>
      </c>
      <c r="AD9" s="1">
        <f t="shared" si="4"/>
        <v>0</v>
      </c>
      <c r="AE9" s="1">
        <f t="shared" si="4"/>
        <v>0</v>
      </c>
      <c r="AF9" s="1">
        <f t="shared" si="4"/>
        <v>0</v>
      </c>
      <c r="AG9" s="1">
        <f t="shared" si="4"/>
        <v>0</v>
      </c>
      <c r="AH9" s="1">
        <f t="shared" si="4"/>
        <v>0</v>
      </c>
      <c r="AI9" s="1">
        <f t="shared" si="4"/>
        <v>0</v>
      </c>
      <c r="AJ9" s="1">
        <f t="shared" si="4"/>
        <v>0</v>
      </c>
      <c r="AK9" s="1">
        <f t="shared" si="4"/>
        <v>0</v>
      </c>
    </row>
    <row r="10" spans="1:256" ht="14.1" customHeight="1" x14ac:dyDescent="0.2">
      <c r="A10" s="16">
        <v>2</v>
      </c>
      <c r="B10" s="65"/>
      <c r="C10" s="118" t="str">
        <f>TRIM(ANUAL!C14)</f>
        <v>INV1</v>
      </c>
      <c r="D10" s="119" t="str">
        <f>TRIM(ANUAL!D14)</f>
        <v>POUPANÇA BANCO 1</v>
      </c>
      <c r="E10" s="120">
        <f t="shared" ref="E10:E20" ca="1" si="5">INDIRECT("M"&amp;B$2-1&amp;"!G"&amp;A10+ROW(A$8))</f>
        <v>0</v>
      </c>
      <c r="F10" s="120">
        <f t="shared" ca="1" si="0"/>
        <v>0</v>
      </c>
      <c r="G10" s="120">
        <f t="shared" ca="1" si="1"/>
        <v>0</v>
      </c>
      <c r="H10" s="62"/>
      <c r="J10" s="3" t="b">
        <f t="shared" si="2"/>
        <v>0</v>
      </c>
      <c r="K10" s="3" t="b">
        <f t="shared" si="2"/>
        <v>1</v>
      </c>
      <c r="L10" s="3" t="b">
        <f t="shared" si="2"/>
        <v>0</v>
      </c>
      <c r="N10" s="16">
        <v>2</v>
      </c>
      <c r="O10" s="65"/>
      <c r="P10" s="55"/>
      <c r="Q10" s="56"/>
      <c r="R10" s="57"/>
      <c r="S10" s="58"/>
      <c r="T10" s="59"/>
      <c r="U10" s="60"/>
      <c r="V10" s="62"/>
      <c r="X10" s="1">
        <f t="shared" ca="1" si="3"/>
        <v>1</v>
      </c>
      <c r="Z10" s="1">
        <f t="shared" si="4"/>
        <v>0</v>
      </c>
      <c r="AA10" s="1">
        <f t="shared" si="4"/>
        <v>0</v>
      </c>
      <c r="AB10" s="1">
        <f t="shared" si="4"/>
        <v>0</v>
      </c>
      <c r="AC10" s="1">
        <f t="shared" si="4"/>
        <v>0</v>
      </c>
      <c r="AD10" s="1">
        <f t="shared" si="4"/>
        <v>0</v>
      </c>
      <c r="AE10" s="1">
        <f t="shared" si="4"/>
        <v>0</v>
      </c>
      <c r="AF10" s="1">
        <f t="shared" si="4"/>
        <v>0</v>
      </c>
      <c r="AG10" s="1">
        <f t="shared" si="4"/>
        <v>0</v>
      </c>
      <c r="AH10" s="1">
        <f t="shared" si="4"/>
        <v>0</v>
      </c>
      <c r="AI10" s="1">
        <f t="shared" si="4"/>
        <v>0</v>
      </c>
      <c r="AJ10" s="1">
        <f t="shared" si="4"/>
        <v>0</v>
      </c>
      <c r="AK10" s="1">
        <f t="shared" si="4"/>
        <v>0</v>
      </c>
    </row>
    <row r="11" spans="1:256" ht="14.1" customHeight="1" x14ac:dyDescent="0.2">
      <c r="A11" s="12">
        <v>3</v>
      </c>
      <c r="B11" s="65"/>
      <c r="C11" s="115" t="str">
        <f>TRIM(ANUAL!C15)</f>
        <v>DINH1</v>
      </c>
      <c r="D11" s="116" t="str">
        <f>TRIM(ANUAL!D15)</f>
        <v>EM ESPÉCIE</v>
      </c>
      <c r="E11" s="117">
        <f t="shared" ca="1" si="5"/>
        <v>0</v>
      </c>
      <c r="F11" s="117">
        <f t="shared" ca="1" si="0"/>
        <v>0</v>
      </c>
      <c r="G11" s="117">
        <f t="shared" ca="1" si="1"/>
        <v>0</v>
      </c>
      <c r="H11" s="62"/>
      <c r="J11" s="3" t="b">
        <f t="shared" si="2"/>
        <v>0</v>
      </c>
      <c r="K11" s="3" t="b">
        <f t="shared" si="2"/>
        <v>0</v>
      </c>
      <c r="L11" s="3" t="b">
        <f t="shared" si="2"/>
        <v>1</v>
      </c>
      <c r="N11" s="12">
        <v>3</v>
      </c>
      <c r="O11" s="65"/>
      <c r="P11" s="49"/>
      <c r="Q11" s="50"/>
      <c r="R11" s="51"/>
      <c r="S11" s="52"/>
      <c r="T11" s="53"/>
      <c r="U11" s="54"/>
      <c r="V11" s="62"/>
      <c r="X11" s="1">
        <f t="shared" ca="1" si="3"/>
        <v>1</v>
      </c>
      <c r="Z11" s="1">
        <f t="shared" si="4"/>
        <v>0</v>
      </c>
      <c r="AA11" s="1">
        <f t="shared" si="4"/>
        <v>0</v>
      </c>
      <c r="AB11" s="1">
        <f t="shared" si="4"/>
        <v>0</v>
      </c>
      <c r="AC11" s="1">
        <f t="shared" si="4"/>
        <v>0</v>
      </c>
      <c r="AD11" s="1">
        <f t="shared" si="4"/>
        <v>0</v>
      </c>
      <c r="AE11" s="1">
        <f t="shared" si="4"/>
        <v>0</v>
      </c>
      <c r="AF11" s="1">
        <f t="shared" si="4"/>
        <v>0</v>
      </c>
      <c r="AG11" s="1">
        <f t="shared" si="4"/>
        <v>0</v>
      </c>
      <c r="AH11" s="1">
        <f t="shared" si="4"/>
        <v>0</v>
      </c>
      <c r="AI11" s="1">
        <f t="shared" si="4"/>
        <v>0</v>
      </c>
      <c r="AJ11" s="1">
        <f t="shared" si="4"/>
        <v>0</v>
      </c>
      <c r="AK11" s="1">
        <f t="shared" si="4"/>
        <v>0</v>
      </c>
    </row>
    <row r="12" spans="1:256" ht="14.1" customHeight="1" x14ac:dyDescent="0.2">
      <c r="A12" s="16">
        <v>4</v>
      </c>
      <c r="B12" s="65"/>
      <c r="C12" s="118" t="str">
        <f>TRIM(ANUAL!C16)</f>
        <v>CRED1</v>
      </c>
      <c r="D12" s="119" t="str">
        <f>TRIM(ANUAL!D16)</f>
        <v>CARTÃO DE CRÉDITO 1</v>
      </c>
      <c r="E12" s="120">
        <f t="shared" ca="1" si="5"/>
        <v>0</v>
      </c>
      <c r="F12" s="120">
        <f t="shared" ca="1" si="0"/>
        <v>0</v>
      </c>
      <c r="G12" s="120">
        <f t="shared" ca="1" si="1"/>
        <v>0</v>
      </c>
      <c r="H12" s="62"/>
      <c r="J12" s="3" t="b">
        <f t="shared" si="2"/>
        <v>0</v>
      </c>
      <c r="K12" s="3" t="b">
        <f t="shared" si="2"/>
        <v>0</v>
      </c>
      <c r="L12" s="3" t="b">
        <f t="shared" si="2"/>
        <v>0</v>
      </c>
      <c r="N12" s="16">
        <v>4</v>
      </c>
      <c r="O12" s="65"/>
      <c r="P12" s="55"/>
      <c r="Q12" s="56"/>
      <c r="R12" s="57"/>
      <c r="S12" s="58"/>
      <c r="T12" s="59"/>
      <c r="U12" s="60"/>
      <c r="V12" s="62"/>
      <c r="X12" s="1">
        <f t="shared" ca="1" si="3"/>
        <v>1</v>
      </c>
      <c r="Z12" s="1">
        <f t="shared" si="4"/>
        <v>0</v>
      </c>
      <c r="AA12" s="1">
        <f t="shared" si="4"/>
        <v>0</v>
      </c>
      <c r="AB12" s="1">
        <f t="shared" si="4"/>
        <v>0</v>
      </c>
      <c r="AC12" s="1">
        <f t="shared" si="4"/>
        <v>0</v>
      </c>
      <c r="AD12" s="1">
        <f t="shared" si="4"/>
        <v>0</v>
      </c>
      <c r="AE12" s="1">
        <f t="shared" si="4"/>
        <v>0</v>
      </c>
      <c r="AF12" s="1">
        <f t="shared" si="4"/>
        <v>0</v>
      </c>
      <c r="AG12" s="1">
        <f t="shared" si="4"/>
        <v>0</v>
      </c>
      <c r="AH12" s="1">
        <f t="shared" si="4"/>
        <v>0</v>
      </c>
      <c r="AI12" s="1">
        <f t="shared" si="4"/>
        <v>0</v>
      </c>
      <c r="AJ12" s="1">
        <f t="shared" si="4"/>
        <v>0</v>
      </c>
      <c r="AK12" s="1">
        <f t="shared" si="4"/>
        <v>0</v>
      </c>
    </row>
    <row r="13" spans="1:256" ht="14.1" customHeight="1" x14ac:dyDescent="0.2">
      <c r="A13" s="12">
        <v>5</v>
      </c>
      <c r="B13" s="65"/>
      <c r="C13" s="115" t="str">
        <f>TRIM(ANUAL!C17)</f>
        <v>---</v>
      </c>
      <c r="D13" s="116" t="str">
        <f>TRIM(ANUAL!D17)</f>
        <v/>
      </c>
      <c r="E13" s="117">
        <f t="shared" ca="1" si="5"/>
        <v>0</v>
      </c>
      <c r="F13" s="117">
        <f t="shared" ca="1" si="0"/>
        <v>0</v>
      </c>
      <c r="G13" s="117">
        <f t="shared" ca="1" si="1"/>
        <v>0</v>
      </c>
      <c r="H13" s="62"/>
      <c r="J13" s="3" t="b">
        <f t="shared" si="2"/>
        <v>0</v>
      </c>
      <c r="K13" s="3" t="b">
        <f t="shared" si="2"/>
        <v>0</v>
      </c>
      <c r="L13" s="3" t="b">
        <f t="shared" si="2"/>
        <v>0</v>
      </c>
      <c r="N13" s="12">
        <v>5</v>
      </c>
      <c r="O13" s="65"/>
      <c r="P13" s="49"/>
      <c r="Q13" s="50"/>
      <c r="R13" s="51"/>
      <c r="S13" s="52"/>
      <c r="T13" s="53"/>
      <c r="U13" s="54"/>
      <c r="V13" s="62"/>
      <c r="X13" s="1">
        <f t="shared" ca="1" si="3"/>
        <v>1</v>
      </c>
      <c r="Z13" s="1">
        <f t="shared" si="4"/>
        <v>0</v>
      </c>
      <c r="AA13" s="1">
        <f t="shared" si="4"/>
        <v>0</v>
      </c>
      <c r="AB13" s="1">
        <f t="shared" si="4"/>
        <v>0</v>
      </c>
      <c r="AC13" s="1">
        <f t="shared" si="4"/>
        <v>0</v>
      </c>
      <c r="AD13" s="1">
        <f t="shared" si="4"/>
        <v>0</v>
      </c>
      <c r="AE13" s="1">
        <f t="shared" si="4"/>
        <v>0</v>
      </c>
      <c r="AF13" s="1">
        <f t="shared" si="4"/>
        <v>0</v>
      </c>
      <c r="AG13" s="1">
        <f t="shared" si="4"/>
        <v>0</v>
      </c>
      <c r="AH13" s="1">
        <f t="shared" si="4"/>
        <v>0</v>
      </c>
      <c r="AI13" s="1">
        <f t="shared" si="4"/>
        <v>0</v>
      </c>
      <c r="AJ13" s="1">
        <f t="shared" si="4"/>
        <v>0</v>
      </c>
      <c r="AK13" s="1">
        <f t="shared" si="4"/>
        <v>0</v>
      </c>
    </row>
    <row r="14" spans="1:256" ht="14.1" customHeight="1" x14ac:dyDescent="0.2">
      <c r="A14" s="16">
        <v>6</v>
      </c>
      <c r="B14" s="65"/>
      <c r="C14" s="118" t="str">
        <f>TRIM(ANUAL!C18)</f>
        <v>---</v>
      </c>
      <c r="D14" s="119" t="str">
        <f>TRIM(ANUAL!D18)</f>
        <v/>
      </c>
      <c r="E14" s="120">
        <f t="shared" ca="1" si="5"/>
        <v>0</v>
      </c>
      <c r="F14" s="120">
        <f t="shared" ca="1" si="0"/>
        <v>0</v>
      </c>
      <c r="G14" s="120">
        <f t="shared" ca="1" si="1"/>
        <v>0</v>
      </c>
      <c r="H14" s="62"/>
      <c r="J14" s="3" t="b">
        <f t="shared" si="2"/>
        <v>0</v>
      </c>
      <c r="K14" s="3" t="b">
        <f t="shared" si="2"/>
        <v>0</v>
      </c>
      <c r="L14" s="3" t="b">
        <f t="shared" si="2"/>
        <v>0</v>
      </c>
      <c r="N14" s="16">
        <v>6</v>
      </c>
      <c r="O14" s="65"/>
      <c r="P14" s="55"/>
      <c r="Q14" s="56"/>
      <c r="R14" s="57"/>
      <c r="S14" s="58"/>
      <c r="T14" s="59"/>
      <c r="U14" s="60"/>
      <c r="V14" s="62"/>
      <c r="X14" s="1">
        <f t="shared" ca="1" si="3"/>
        <v>1</v>
      </c>
      <c r="Z14" s="1">
        <f t="shared" si="4"/>
        <v>0</v>
      </c>
      <c r="AA14" s="1">
        <f t="shared" si="4"/>
        <v>0</v>
      </c>
      <c r="AB14" s="1">
        <f t="shared" si="4"/>
        <v>0</v>
      </c>
      <c r="AC14" s="1">
        <f t="shared" si="4"/>
        <v>0</v>
      </c>
      <c r="AD14" s="1">
        <f t="shared" si="4"/>
        <v>0</v>
      </c>
      <c r="AE14" s="1">
        <f t="shared" si="4"/>
        <v>0</v>
      </c>
      <c r="AF14" s="1">
        <f t="shared" si="4"/>
        <v>0</v>
      </c>
      <c r="AG14" s="1">
        <f t="shared" si="4"/>
        <v>0</v>
      </c>
      <c r="AH14" s="1">
        <f t="shared" si="4"/>
        <v>0</v>
      </c>
      <c r="AI14" s="1">
        <f t="shared" si="4"/>
        <v>0</v>
      </c>
      <c r="AJ14" s="1">
        <f t="shared" si="4"/>
        <v>0</v>
      </c>
      <c r="AK14" s="1">
        <f t="shared" si="4"/>
        <v>0</v>
      </c>
    </row>
    <row r="15" spans="1:256" ht="14.1" customHeight="1" x14ac:dyDescent="0.2">
      <c r="A15" s="12">
        <v>7</v>
      </c>
      <c r="B15" s="65"/>
      <c r="C15" s="115" t="str">
        <f>TRIM(ANUAL!C19)</f>
        <v>---</v>
      </c>
      <c r="D15" s="116" t="str">
        <f>TRIM(ANUAL!D19)</f>
        <v/>
      </c>
      <c r="E15" s="117">
        <f t="shared" ca="1" si="5"/>
        <v>0</v>
      </c>
      <c r="F15" s="117">
        <f t="shared" ca="1" si="0"/>
        <v>0</v>
      </c>
      <c r="G15" s="117">
        <f t="shared" ca="1" si="1"/>
        <v>0</v>
      </c>
      <c r="H15" s="62"/>
      <c r="J15" s="3" t="b">
        <f t="shared" si="2"/>
        <v>0</v>
      </c>
      <c r="K15" s="3" t="b">
        <f t="shared" si="2"/>
        <v>0</v>
      </c>
      <c r="L15" s="3" t="b">
        <f t="shared" si="2"/>
        <v>0</v>
      </c>
      <c r="N15" s="12">
        <v>7</v>
      </c>
      <c r="O15" s="65"/>
      <c r="P15" s="49"/>
      <c r="Q15" s="50"/>
      <c r="R15" s="51"/>
      <c r="S15" s="52"/>
      <c r="T15" s="53"/>
      <c r="U15" s="54"/>
      <c r="V15" s="62"/>
      <c r="X15" s="1">
        <f t="shared" ca="1" si="3"/>
        <v>1</v>
      </c>
      <c r="Z15" s="1">
        <f t="shared" si="4"/>
        <v>0</v>
      </c>
      <c r="AA15" s="1">
        <f t="shared" si="4"/>
        <v>0</v>
      </c>
      <c r="AB15" s="1">
        <f t="shared" si="4"/>
        <v>0</v>
      </c>
      <c r="AC15" s="1">
        <f t="shared" si="4"/>
        <v>0</v>
      </c>
      <c r="AD15" s="1">
        <f t="shared" si="4"/>
        <v>0</v>
      </c>
      <c r="AE15" s="1">
        <f t="shared" si="4"/>
        <v>0</v>
      </c>
      <c r="AF15" s="1">
        <f t="shared" si="4"/>
        <v>0</v>
      </c>
      <c r="AG15" s="1">
        <f t="shared" si="4"/>
        <v>0</v>
      </c>
      <c r="AH15" s="1">
        <f t="shared" si="4"/>
        <v>0</v>
      </c>
      <c r="AI15" s="1">
        <f t="shared" si="4"/>
        <v>0</v>
      </c>
      <c r="AJ15" s="1">
        <f t="shared" si="4"/>
        <v>0</v>
      </c>
      <c r="AK15" s="1">
        <f t="shared" si="4"/>
        <v>0</v>
      </c>
    </row>
    <row r="16" spans="1:256" ht="14.1" customHeight="1" x14ac:dyDescent="0.2">
      <c r="A16" s="16">
        <v>8</v>
      </c>
      <c r="B16" s="65"/>
      <c r="C16" s="118" t="str">
        <f>TRIM(ANUAL!C20)</f>
        <v>---</v>
      </c>
      <c r="D16" s="119" t="str">
        <f>TRIM(ANUAL!D20)</f>
        <v/>
      </c>
      <c r="E16" s="120">
        <f t="shared" ca="1" si="5"/>
        <v>0</v>
      </c>
      <c r="F16" s="120">
        <f t="shared" ca="1" si="0"/>
        <v>0</v>
      </c>
      <c r="G16" s="120">
        <f t="shared" ca="1" si="1"/>
        <v>0</v>
      </c>
      <c r="H16" s="62"/>
      <c r="J16" s="3" t="b">
        <f t="shared" si="2"/>
        <v>0</v>
      </c>
      <c r="K16" s="3" t="b">
        <f t="shared" si="2"/>
        <v>0</v>
      </c>
      <c r="L16" s="3" t="b">
        <f t="shared" si="2"/>
        <v>0</v>
      </c>
      <c r="N16" s="16">
        <v>8</v>
      </c>
      <c r="O16" s="65"/>
      <c r="P16" s="55"/>
      <c r="Q16" s="56"/>
      <c r="R16" s="57"/>
      <c r="S16" s="58"/>
      <c r="T16" s="59"/>
      <c r="U16" s="60"/>
      <c r="V16" s="62"/>
      <c r="X16" s="1">
        <f t="shared" ca="1" si="3"/>
        <v>1</v>
      </c>
      <c r="Z16" s="1">
        <f t="shared" si="4"/>
        <v>0</v>
      </c>
      <c r="AA16" s="1">
        <f t="shared" si="4"/>
        <v>0</v>
      </c>
      <c r="AB16" s="1">
        <f t="shared" si="4"/>
        <v>0</v>
      </c>
      <c r="AC16" s="1">
        <f t="shared" si="4"/>
        <v>0</v>
      </c>
      <c r="AD16" s="1">
        <f t="shared" si="4"/>
        <v>0</v>
      </c>
      <c r="AE16" s="1">
        <f t="shared" si="4"/>
        <v>0</v>
      </c>
      <c r="AF16" s="1">
        <f t="shared" si="4"/>
        <v>0</v>
      </c>
      <c r="AG16" s="1">
        <f t="shared" si="4"/>
        <v>0</v>
      </c>
      <c r="AH16" s="1">
        <f t="shared" si="4"/>
        <v>0</v>
      </c>
      <c r="AI16" s="1">
        <f t="shared" si="4"/>
        <v>0</v>
      </c>
      <c r="AJ16" s="1">
        <f t="shared" si="4"/>
        <v>0</v>
      </c>
      <c r="AK16" s="1">
        <f t="shared" si="4"/>
        <v>0</v>
      </c>
    </row>
    <row r="17" spans="1:37" ht="14.1" customHeight="1" x14ac:dyDescent="0.2">
      <c r="A17" s="12">
        <v>9</v>
      </c>
      <c r="B17" s="65"/>
      <c r="C17" s="115" t="str">
        <f>TRIM(ANUAL!C21)</f>
        <v>---</v>
      </c>
      <c r="D17" s="116" t="str">
        <f>TRIM(ANUAL!D21)</f>
        <v/>
      </c>
      <c r="E17" s="117">
        <f t="shared" ca="1" si="5"/>
        <v>0</v>
      </c>
      <c r="F17" s="117">
        <f t="shared" ca="1" si="0"/>
        <v>0</v>
      </c>
      <c r="G17" s="117">
        <f t="shared" ca="1" si="1"/>
        <v>0</v>
      </c>
      <c r="H17" s="62"/>
      <c r="J17" s="3" t="b">
        <f t="shared" si="2"/>
        <v>0</v>
      </c>
      <c r="K17" s="3" t="b">
        <f t="shared" si="2"/>
        <v>0</v>
      </c>
      <c r="L17" s="3" t="b">
        <f t="shared" si="2"/>
        <v>0</v>
      </c>
      <c r="N17" s="12">
        <v>9</v>
      </c>
      <c r="O17" s="65"/>
      <c r="P17" s="49"/>
      <c r="Q17" s="50"/>
      <c r="R17" s="51"/>
      <c r="S17" s="52"/>
      <c r="T17" s="53"/>
      <c r="U17" s="54"/>
      <c r="V17" s="62"/>
      <c r="X17" s="1">
        <f t="shared" ca="1" si="3"/>
        <v>1</v>
      </c>
      <c r="Z17" s="1">
        <f t="shared" si="4"/>
        <v>0</v>
      </c>
      <c r="AA17" s="1">
        <f t="shared" si="4"/>
        <v>0</v>
      </c>
      <c r="AB17" s="1">
        <f t="shared" si="4"/>
        <v>0</v>
      </c>
      <c r="AC17" s="1">
        <f t="shared" si="4"/>
        <v>0</v>
      </c>
      <c r="AD17" s="1">
        <f t="shared" si="4"/>
        <v>0</v>
      </c>
      <c r="AE17" s="1">
        <f t="shared" si="4"/>
        <v>0</v>
      </c>
      <c r="AF17" s="1">
        <f t="shared" si="4"/>
        <v>0</v>
      </c>
      <c r="AG17" s="1">
        <f t="shared" si="4"/>
        <v>0</v>
      </c>
      <c r="AH17" s="1">
        <f t="shared" si="4"/>
        <v>0</v>
      </c>
      <c r="AI17" s="1">
        <f t="shared" si="4"/>
        <v>0</v>
      </c>
      <c r="AJ17" s="1">
        <f t="shared" si="4"/>
        <v>0</v>
      </c>
      <c r="AK17" s="1">
        <f t="shared" si="4"/>
        <v>0</v>
      </c>
    </row>
    <row r="18" spans="1:37" ht="14.1" customHeight="1" x14ac:dyDescent="0.2">
      <c r="A18" s="16">
        <v>10</v>
      </c>
      <c r="B18" s="65"/>
      <c r="C18" s="118" t="str">
        <f>TRIM(ANUAL!C22)</f>
        <v>---</v>
      </c>
      <c r="D18" s="119" t="str">
        <f>TRIM(ANUAL!D22)</f>
        <v/>
      </c>
      <c r="E18" s="120">
        <f t="shared" ca="1" si="5"/>
        <v>0</v>
      </c>
      <c r="F18" s="120">
        <f t="shared" ca="1" si="0"/>
        <v>0</v>
      </c>
      <c r="G18" s="120">
        <f t="shared" ca="1" si="1"/>
        <v>0</v>
      </c>
      <c r="H18" s="62"/>
      <c r="J18" s="3" t="b">
        <f t="shared" si="2"/>
        <v>0</v>
      </c>
      <c r="K18" s="3" t="b">
        <f t="shared" si="2"/>
        <v>0</v>
      </c>
      <c r="L18" s="3" t="b">
        <f t="shared" si="2"/>
        <v>0</v>
      </c>
      <c r="N18" s="16">
        <v>10</v>
      </c>
      <c r="O18" s="65"/>
      <c r="P18" s="55"/>
      <c r="Q18" s="56"/>
      <c r="R18" s="57"/>
      <c r="S18" s="58"/>
      <c r="T18" s="59"/>
      <c r="U18" s="60"/>
      <c r="V18" s="62"/>
      <c r="X18" s="1">
        <f t="shared" ca="1" si="3"/>
        <v>1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C18" s="1">
        <f t="shared" si="4"/>
        <v>0</v>
      </c>
      <c r="AD18" s="1">
        <f t="shared" si="4"/>
        <v>0</v>
      </c>
      <c r="AE18" s="1">
        <f t="shared" si="4"/>
        <v>0</v>
      </c>
      <c r="AF18" s="1">
        <f t="shared" si="4"/>
        <v>0</v>
      </c>
      <c r="AG18" s="1">
        <f t="shared" si="4"/>
        <v>0</v>
      </c>
      <c r="AH18" s="1">
        <f t="shared" si="4"/>
        <v>0</v>
      </c>
      <c r="AI18" s="1">
        <f t="shared" si="4"/>
        <v>0</v>
      </c>
      <c r="AJ18" s="1">
        <f t="shared" si="4"/>
        <v>0</v>
      </c>
      <c r="AK18" s="1">
        <f t="shared" si="4"/>
        <v>0</v>
      </c>
    </row>
    <row r="19" spans="1:37" ht="14.1" customHeight="1" x14ac:dyDescent="0.2">
      <c r="A19" s="12">
        <v>11</v>
      </c>
      <c r="B19" s="65"/>
      <c r="C19" s="115" t="str">
        <f>TRIM(ANUAL!C23)</f>
        <v>---</v>
      </c>
      <c r="D19" s="116" t="str">
        <f>TRIM(ANUAL!D23)</f>
        <v/>
      </c>
      <c r="E19" s="117">
        <f t="shared" ca="1" si="5"/>
        <v>0</v>
      </c>
      <c r="F19" s="117">
        <f t="shared" ca="1" si="0"/>
        <v>0</v>
      </c>
      <c r="G19" s="117">
        <f t="shared" ca="1" si="1"/>
        <v>0</v>
      </c>
      <c r="H19" s="62"/>
      <c r="J19" s="3" t="b">
        <f t="shared" si="2"/>
        <v>0</v>
      </c>
      <c r="K19" s="3" t="b">
        <f t="shared" si="2"/>
        <v>0</v>
      </c>
      <c r="L19" s="3" t="b">
        <f t="shared" si="2"/>
        <v>0</v>
      </c>
      <c r="N19" s="12">
        <v>11</v>
      </c>
      <c r="O19" s="65"/>
      <c r="P19" s="49"/>
      <c r="Q19" s="50"/>
      <c r="R19" s="51"/>
      <c r="S19" s="52"/>
      <c r="T19" s="53"/>
      <c r="U19" s="54"/>
      <c r="V19" s="62"/>
      <c r="X19" s="1">
        <f t="shared" ca="1" si="3"/>
        <v>1</v>
      </c>
      <c r="Z19" s="1">
        <f t="shared" ref="Z19:AK28" si="6">IF(Z$8=$R19,-$T19,0)+IF(Z$8=$S19,$T19,0)</f>
        <v>0</v>
      </c>
      <c r="AA19" s="1">
        <f t="shared" si="6"/>
        <v>0</v>
      </c>
      <c r="AB19" s="1">
        <f t="shared" si="6"/>
        <v>0</v>
      </c>
      <c r="AC19" s="1">
        <f t="shared" si="6"/>
        <v>0</v>
      </c>
      <c r="AD19" s="1">
        <f t="shared" si="6"/>
        <v>0</v>
      </c>
      <c r="AE19" s="1">
        <f t="shared" si="6"/>
        <v>0</v>
      </c>
      <c r="AF19" s="1">
        <f t="shared" si="6"/>
        <v>0</v>
      </c>
      <c r="AG19" s="1">
        <f t="shared" si="6"/>
        <v>0</v>
      </c>
      <c r="AH19" s="1">
        <f t="shared" si="6"/>
        <v>0</v>
      </c>
      <c r="AI19" s="1">
        <f t="shared" si="6"/>
        <v>0</v>
      </c>
      <c r="AJ19" s="1">
        <f t="shared" si="6"/>
        <v>0</v>
      </c>
      <c r="AK19" s="1">
        <f t="shared" si="6"/>
        <v>0</v>
      </c>
    </row>
    <row r="20" spans="1:37" ht="14.1" customHeight="1" x14ac:dyDescent="0.2">
      <c r="A20" s="16">
        <v>12</v>
      </c>
      <c r="B20" s="65"/>
      <c r="C20" s="121" t="str">
        <f>TRIM(ANUAL!C24)</f>
        <v>---</v>
      </c>
      <c r="D20" s="122" t="str">
        <f>TRIM(ANUAL!D24)</f>
        <v/>
      </c>
      <c r="E20" s="123">
        <f t="shared" ca="1" si="5"/>
        <v>0</v>
      </c>
      <c r="F20" s="123">
        <f t="shared" ca="1" si="0"/>
        <v>0</v>
      </c>
      <c r="G20" s="123">
        <f t="shared" ca="1" si="1"/>
        <v>0</v>
      </c>
      <c r="H20" s="62"/>
      <c r="J20" s="3" t="b">
        <f t="shared" si="2"/>
        <v>0</v>
      </c>
      <c r="K20" s="3" t="b">
        <f t="shared" si="2"/>
        <v>0</v>
      </c>
      <c r="L20" s="3" t="b">
        <f t="shared" si="2"/>
        <v>0</v>
      </c>
      <c r="N20" s="16">
        <v>12</v>
      </c>
      <c r="O20" s="65"/>
      <c r="P20" s="55"/>
      <c r="Q20" s="56"/>
      <c r="R20" s="57"/>
      <c r="S20" s="58"/>
      <c r="T20" s="59"/>
      <c r="U20" s="60"/>
      <c r="V20" s="62"/>
      <c r="X20" s="1">
        <f t="shared" ca="1" si="3"/>
        <v>1</v>
      </c>
      <c r="Z20" s="1">
        <f t="shared" si="6"/>
        <v>0</v>
      </c>
      <c r="AA20" s="1">
        <f t="shared" si="6"/>
        <v>0</v>
      </c>
      <c r="AB20" s="1">
        <f t="shared" si="6"/>
        <v>0</v>
      </c>
      <c r="AC20" s="1">
        <f t="shared" si="6"/>
        <v>0</v>
      </c>
      <c r="AD20" s="1">
        <f t="shared" si="6"/>
        <v>0</v>
      </c>
      <c r="AE20" s="1">
        <f t="shared" si="6"/>
        <v>0</v>
      </c>
      <c r="AF20" s="1">
        <f t="shared" si="6"/>
        <v>0</v>
      </c>
      <c r="AG20" s="1">
        <f t="shared" si="6"/>
        <v>0</v>
      </c>
      <c r="AH20" s="1">
        <f t="shared" si="6"/>
        <v>0</v>
      </c>
      <c r="AI20" s="1">
        <f t="shared" si="6"/>
        <v>0</v>
      </c>
      <c r="AJ20" s="1">
        <f t="shared" si="6"/>
        <v>0</v>
      </c>
      <c r="AK20" s="1">
        <f t="shared" si="6"/>
        <v>0</v>
      </c>
    </row>
    <row r="21" spans="1:37" ht="14.1" customHeight="1" x14ac:dyDescent="0.2">
      <c r="B21" s="128"/>
      <c r="C21" s="129"/>
      <c r="D21" s="130"/>
      <c r="E21" s="130"/>
      <c r="F21" s="130"/>
      <c r="G21" s="130"/>
      <c r="H21" s="131"/>
      <c r="N21" s="12">
        <v>13</v>
      </c>
      <c r="O21" s="65"/>
      <c r="P21" s="49"/>
      <c r="Q21" s="50"/>
      <c r="R21" s="51"/>
      <c r="S21" s="52"/>
      <c r="T21" s="53"/>
      <c r="U21" s="54"/>
      <c r="V21" s="62"/>
      <c r="X21" s="1">
        <f t="shared" ca="1" si="3"/>
        <v>1</v>
      </c>
      <c r="Z21" s="1">
        <f t="shared" si="6"/>
        <v>0</v>
      </c>
      <c r="AA21" s="1">
        <f t="shared" si="6"/>
        <v>0</v>
      </c>
      <c r="AB21" s="1">
        <f t="shared" si="6"/>
        <v>0</v>
      </c>
      <c r="AC21" s="1">
        <f t="shared" si="6"/>
        <v>0</v>
      </c>
      <c r="AD21" s="1">
        <f t="shared" si="6"/>
        <v>0</v>
      </c>
      <c r="AE21" s="1">
        <f t="shared" si="6"/>
        <v>0</v>
      </c>
      <c r="AF21" s="1">
        <f t="shared" si="6"/>
        <v>0</v>
      </c>
      <c r="AG21" s="1">
        <f t="shared" si="6"/>
        <v>0</v>
      </c>
      <c r="AH21" s="1">
        <f t="shared" si="6"/>
        <v>0</v>
      </c>
      <c r="AI21" s="1">
        <f t="shared" si="6"/>
        <v>0</v>
      </c>
      <c r="AJ21" s="1">
        <f t="shared" si="6"/>
        <v>0</v>
      </c>
      <c r="AK21" s="1">
        <f t="shared" si="6"/>
        <v>0</v>
      </c>
    </row>
    <row r="22" spans="1:37" ht="14.1" customHeight="1" x14ac:dyDescent="0.2">
      <c r="J22" s="29"/>
      <c r="K22" s="29"/>
      <c r="L22" s="29"/>
      <c r="N22" s="16">
        <v>14</v>
      </c>
      <c r="O22" s="65"/>
      <c r="P22" s="55"/>
      <c r="Q22" s="56"/>
      <c r="R22" s="57"/>
      <c r="S22" s="58"/>
      <c r="T22" s="59"/>
      <c r="U22" s="60"/>
      <c r="V22" s="62"/>
      <c r="X22" s="1">
        <f t="shared" ca="1" si="3"/>
        <v>1</v>
      </c>
      <c r="Z22" s="1">
        <f t="shared" si="6"/>
        <v>0</v>
      </c>
      <c r="AA22" s="1">
        <f t="shared" si="6"/>
        <v>0</v>
      </c>
      <c r="AB22" s="1">
        <f t="shared" si="6"/>
        <v>0</v>
      </c>
      <c r="AC22" s="1">
        <f t="shared" si="6"/>
        <v>0</v>
      </c>
      <c r="AD22" s="1">
        <f t="shared" si="6"/>
        <v>0</v>
      </c>
      <c r="AE22" s="1">
        <f t="shared" si="6"/>
        <v>0</v>
      </c>
      <c r="AF22" s="1">
        <f t="shared" si="6"/>
        <v>0</v>
      </c>
      <c r="AG22" s="1">
        <f t="shared" si="6"/>
        <v>0</v>
      </c>
      <c r="AH22" s="1">
        <f t="shared" si="6"/>
        <v>0</v>
      </c>
      <c r="AI22" s="1">
        <f t="shared" si="6"/>
        <v>0</v>
      </c>
      <c r="AJ22" s="1">
        <f t="shared" si="6"/>
        <v>0</v>
      </c>
      <c r="AK22" s="1">
        <f t="shared" si="6"/>
        <v>0</v>
      </c>
    </row>
    <row r="23" spans="1:37" ht="14.1" customHeight="1" x14ac:dyDescent="0.2">
      <c r="B23" s="77"/>
      <c r="C23" s="78"/>
      <c r="D23" s="79"/>
      <c r="E23" s="79"/>
      <c r="F23" s="79"/>
      <c r="G23" s="79"/>
      <c r="H23" s="80"/>
      <c r="I23" s="3"/>
      <c r="J23" s="3"/>
      <c r="K23" s="3"/>
      <c r="L23" s="3"/>
      <c r="M23" s="3"/>
      <c r="N23" s="12">
        <v>15</v>
      </c>
      <c r="O23" s="65"/>
      <c r="P23" s="49"/>
      <c r="Q23" s="50"/>
      <c r="R23" s="51"/>
      <c r="S23" s="52"/>
      <c r="T23" s="53"/>
      <c r="U23" s="54"/>
      <c r="V23" s="62"/>
      <c r="X23" s="1">
        <f t="shared" ca="1" si="3"/>
        <v>1</v>
      </c>
      <c r="Z23" s="1">
        <f t="shared" si="6"/>
        <v>0</v>
      </c>
      <c r="AA23" s="1">
        <f t="shared" si="6"/>
        <v>0</v>
      </c>
      <c r="AB23" s="1">
        <f t="shared" si="6"/>
        <v>0</v>
      </c>
      <c r="AC23" s="1">
        <f t="shared" si="6"/>
        <v>0</v>
      </c>
      <c r="AD23" s="1">
        <f t="shared" si="6"/>
        <v>0</v>
      </c>
      <c r="AE23" s="1">
        <f t="shared" si="6"/>
        <v>0</v>
      </c>
      <c r="AF23" s="1">
        <f t="shared" si="6"/>
        <v>0</v>
      </c>
      <c r="AG23" s="1">
        <f t="shared" si="6"/>
        <v>0</v>
      </c>
      <c r="AH23" s="1">
        <f t="shared" si="6"/>
        <v>0</v>
      </c>
      <c r="AI23" s="1">
        <f t="shared" si="6"/>
        <v>0</v>
      </c>
      <c r="AJ23" s="1">
        <f t="shared" si="6"/>
        <v>0</v>
      </c>
      <c r="AK23" s="1">
        <f t="shared" si="6"/>
        <v>0</v>
      </c>
    </row>
    <row r="24" spans="1:37" ht="14.1" customHeight="1" x14ac:dyDescent="0.2">
      <c r="B24" s="81"/>
      <c r="C24" s="285" t="s">
        <v>103</v>
      </c>
      <c r="D24" s="285"/>
      <c r="E24" s="285"/>
      <c r="F24" s="285"/>
      <c r="G24" s="285"/>
      <c r="H24" s="82"/>
      <c r="I24" s="3"/>
      <c r="J24" s="3"/>
      <c r="K24" s="3"/>
      <c r="L24" s="3"/>
      <c r="M24" s="3"/>
      <c r="N24" s="16">
        <v>16</v>
      </c>
      <c r="O24" s="65"/>
      <c r="P24" s="55"/>
      <c r="Q24" s="56"/>
      <c r="R24" s="57"/>
      <c r="S24" s="58"/>
      <c r="T24" s="59"/>
      <c r="U24" s="60"/>
      <c r="V24" s="62"/>
      <c r="X24" s="1">
        <f t="shared" ca="1" si="3"/>
        <v>1</v>
      </c>
      <c r="Z24" s="1">
        <f t="shared" si="6"/>
        <v>0</v>
      </c>
      <c r="AA24" s="1">
        <f t="shared" si="6"/>
        <v>0</v>
      </c>
      <c r="AB24" s="1">
        <f t="shared" si="6"/>
        <v>0</v>
      </c>
      <c r="AC24" s="1">
        <f t="shared" si="6"/>
        <v>0</v>
      </c>
      <c r="AD24" s="1">
        <f t="shared" si="6"/>
        <v>0</v>
      </c>
      <c r="AE24" s="1">
        <f t="shared" si="6"/>
        <v>0</v>
      </c>
      <c r="AF24" s="1">
        <f t="shared" si="6"/>
        <v>0</v>
      </c>
      <c r="AG24" s="1">
        <f t="shared" si="6"/>
        <v>0</v>
      </c>
      <c r="AH24" s="1">
        <f t="shared" si="6"/>
        <v>0</v>
      </c>
      <c r="AI24" s="1">
        <f t="shared" si="6"/>
        <v>0</v>
      </c>
      <c r="AJ24" s="1">
        <f t="shared" si="6"/>
        <v>0</v>
      </c>
      <c r="AK24" s="1">
        <f t="shared" si="6"/>
        <v>0</v>
      </c>
    </row>
    <row r="25" spans="1:37" ht="14.1" customHeight="1" x14ac:dyDescent="0.2">
      <c r="B25" s="81"/>
      <c r="C25" s="285"/>
      <c r="D25" s="285"/>
      <c r="E25" s="285"/>
      <c r="F25" s="285"/>
      <c r="G25" s="285"/>
      <c r="H25" s="82"/>
      <c r="I25" s="3"/>
      <c r="J25" s="3"/>
      <c r="K25" s="3"/>
      <c r="L25" s="3"/>
      <c r="M25" s="3"/>
      <c r="N25" s="12">
        <v>17</v>
      </c>
      <c r="O25" s="65"/>
      <c r="P25" s="49"/>
      <c r="Q25" s="50"/>
      <c r="R25" s="51"/>
      <c r="S25" s="52"/>
      <c r="T25" s="53"/>
      <c r="U25" s="54"/>
      <c r="V25" s="62"/>
      <c r="X25" s="1">
        <f t="shared" ca="1" si="3"/>
        <v>1</v>
      </c>
      <c r="Z25" s="1">
        <f t="shared" si="6"/>
        <v>0</v>
      </c>
      <c r="AA25" s="1">
        <f t="shared" si="6"/>
        <v>0</v>
      </c>
      <c r="AB25" s="1">
        <f t="shared" si="6"/>
        <v>0</v>
      </c>
      <c r="AC25" s="1">
        <f t="shared" si="6"/>
        <v>0</v>
      </c>
      <c r="AD25" s="1">
        <f t="shared" si="6"/>
        <v>0</v>
      </c>
      <c r="AE25" s="1">
        <f t="shared" si="6"/>
        <v>0</v>
      </c>
      <c r="AF25" s="1">
        <f t="shared" si="6"/>
        <v>0</v>
      </c>
      <c r="AG25" s="1">
        <f t="shared" si="6"/>
        <v>0</v>
      </c>
      <c r="AH25" s="1">
        <f t="shared" si="6"/>
        <v>0</v>
      </c>
      <c r="AI25" s="1">
        <f t="shared" si="6"/>
        <v>0</v>
      </c>
      <c r="AJ25" s="1">
        <f t="shared" si="6"/>
        <v>0</v>
      </c>
      <c r="AK25" s="1">
        <f t="shared" si="6"/>
        <v>0</v>
      </c>
    </row>
    <row r="26" spans="1:37" ht="14.1" customHeight="1" x14ac:dyDescent="0.2">
      <c r="B26" s="46"/>
      <c r="C26" s="271" t="s">
        <v>94</v>
      </c>
      <c r="D26" s="273" t="s">
        <v>5</v>
      </c>
      <c r="E26" s="275" t="s">
        <v>104</v>
      </c>
      <c r="F26" s="275" t="s">
        <v>89</v>
      </c>
      <c r="G26" s="276" t="s">
        <v>6</v>
      </c>
      <c r="H26" s="82"/>
      <c r="I26" s="3"/>
      <c r="J26" s="3"/>
      <c r="K26" s="3"/>
      <c r="L26" s="3"/>
      <c r="M26" s="3"/>
      <c r="N26" s="16">
        <v>18</v>
      </c>
      <c r="O26" s="65"/>
      <c r="P26" s="55"/>
      <c r="Q26" s="56"/>
      <c r="R26" s="57"/>
      <c r="S26" s="58"/>
      <c r="T26" s="59"/>
      <c r="U26" s="60"/>
      <c r="V26" s="62"/>
      <c r="X26" s="1">
        <f t="shared" ca="1" si="3"/>
        <v>1</v>
      </c>
      <c r="Z26" s="1">
        <f t="shared" si="6"/>
        <v>0</v>
      </c>
      <c r="AA26" s="1">
        <f t="shared" si="6"/>
        <v>0</v>
      </c>
      <c r="AB26" s="1">
        <f t="shared" si="6"/>
        <v>0</v>
      </c>
      <c r="AC26" s="1">
        <f t="shared" si="6"/>
        <v>0</v>
      </c>
      <c r="AD26" s="1">
        <f t="shared" si="6"/>
        <v>0</v>
      </c>
      <c r="AE26" s="1">
        <f t="shared" si="6"/>
        <v>0</v>
      </c>
      <c r="AF26" s="1">
        <f t="shared" si="6"/>
        <v>0</v>
      </c>
      <c r="AG26" s="1">
        <f t="shared" si="6"/>
        <v>0</v>
      </c>
      <c r="AH26" s="1">
        <f t="shared" si="6"/>
        <v>0</v>
      </c>
      <c r="AI26" s="1">
        <f t="shared" si="6"/>
        <v>0</v>
      </c>
      <c r="AJ26" s="1">
        <f t="shared" si="6"/>
        <v>0</v>
      </c>
      <c r="AK26" s="1">
        <f t="shared" si="6"/>
        <v>0</v>
      </c>
    </row>
    <row r="27" spans="1:37" ht="14.1" customHeight="1" x14ac:dyDescent="0.2">
      <c r="A27" s="3"/>
      <c r="B27" s="44"/>
      <c r="C27" s="272"/>
      <c r="D27" s="274"/>
      <c r="E27" s="99" t="s">
        <v>87</v>
      </c>
      <c r="F27" s="100" t="s">
        <v>89</v>
      </c>
      <c r="G27" s="98" t="s">
        <v>105</v>
      </c>
      <c r="H27" s="83"/>
      <c r="I27" s="3"/>
      <c r="J27" s="3" t="str">
        <f>ANUAL!C115</f>
        <v>CC</v>
      </c>
      <c r="K27" s="3" t="str">
        <f>ANUAL!C116</f>
        <v>INV</v>
      </c>
      <c r="L27" s="3" t="str">
        <f>ANUAL!C117</f>
        <v>DINH</v>
      </c>
      <c r="M27" s="3"/>
      <c r="N27" s="12">
        <v>19</v>
      </c>
      <c r="O27" s="65"/>
      <c r="P27" s="49"/>
      <c r="Q27" s="50"/>
      <c r="R27" s="51"/>
      <c r="S27" s="52"/>
      <c r="T27" s="53"/>
      <c r="U27" s="54"/>
      <c r="V27" s="62"/>
      <c r="X27" s="1">
        <f t="shared" ca="1" si="3"/>
        <v>1</v>
      </c>
      <c r="Z27" s="1">
        <f t="shared" si="6"/>
        <v>0</v>
      </c>
      <c r="AA27" s="1">
        <f t="shared" si="6"/>
        <v>0</v>
      </c>
      <c r="AB27" s="1">
        <f t="shared" si="6"/>
        <v>0</v>
      </c>
      <c r="AC27" s="1">
        <f t="shared" si="6"/>
        <v>0</v>
      </c>
      <c r="AD27" s="1">
        <f t="shared" si="6"/>
        <v>0</v>
      </c>
      <c r="AE27" s="1">
        <f t="shared" si="6"/>
        <v>0</v>
      </c>
      <c r="AF27" s="1">
        <f t="shared" si="6"/>
        <v>0</v>
      </c>
      <c r="AG27" s="1">
        <f t="shared" si="6"/>
        <v>0</v>
      </c>
      <c r="AH27" s="1">
        <f t="shared" si="6"/>
        <v>0</v>
      </c>
      <c r="AI27" s="1">
        <f t="shared" si="6"/>
        <v>0</v>
      </c>
      <c r="AJ27" s="1">
        <f t="shared" si="6"/>
        <v>0</v>
      </c>
      <c r="AK27" s="1">
        <f t="shared" si="6"/>
        <v>0</v>
      </c>
    </row>
    <row r="28" spans="1:37" ht="14.1" customHeight="1" x14ac:dyDescent="0.2">
      <c r="A28" s="12">
        <v>1</v>
      </c>
      <c r="B28" s="64"/>
      <c r="C28" s="115" t="str">
        <f t="shared" ref="C28:D39" si="7">C9</f>
        <v/>
      </c>
      <c r="D28" s="116" t="str">
        <f t="shared" si="7"/>
        <v>CONTA CORRENTE BANCO 1</v>
      </c>
      <c r="E28" s="117">
        <f t="shared" ref="E28:E39" ca="1" si="8">SUMIF(OFFSET($Z$9:$Z$88,0,A28-1),"&gt;0")</f>
        <v>0</v>
      </c>
      <c r="F28" s="117">
        <f t="shared" ref="F28:F39" ca="1" si="9">SUMIF(OFFSET($Z$9:$Z$88,0,A28-1),"&lt;0")</f>
        <v>0</v>
      </c>
      <c r="G28" s="117">
        <f t="shared" ref="G28:G39" ca="1" si="10">SUM(E28:F28)</f>
        <v>0</v>
      </c>
      <c r="H28" s="61"/>
      <c r="I28" s="3"/>
      <c r="J28" s="3" t="b">
        <f t="shared" ref="J28:L39" si="11">NOT(ISERR(SEARCH(J$27,$C28)))</f>
        <v>0</v>
      </c>
      <c r="K28" s="3" t="b">
        <f t="shared" si="11"/>
        <v>0</v>
      </c>
      <c r="L28" s="3" t="b">
        <f t="shared" si="11"/>
        <v>0</v>
      </c>
      <c r="M28" s="3"/>
      <c r="N28" s="16">
        <v>20</v>
      </c>
      <c r="O28" s="65"/>
      <c r="P28" s="55"/>
      <c r="Q28" s="56"/>
      <c r="R28" s="57"/>
      <c r="S28" s="58"/>
      <c r="T28" s="59"/>
      <c r="U28" s="60"/>
      <c r="V28" s="62"/>
      <c r="X28" s="1">
        <f t="shared" ca="1" si="3"/>
        <v>1</v>
      </c>
      <c r="Z28" s="1">
        <f t="shared" si="6"/>
        <v>0</v>
      </c>
      <c r="AA28" s="1">
        <f t="shared" si="6"/>
        <v>0</v>
      </c>
      <c r="AB28" s="1">
        <f t="shared" si="6"/>
        <v>0</v>
      </c>
      <c r="AC28" s="1">
        <f t="shared" si="6"/>
        <v>0</v>
      </c>
      <c r="AD28" s="1">
        <f t="shared" si="6"/>
        <v>0</v>
      </c>
      <c r="AE28" s="1">
        <f t="shared" si="6"/>
        <v>0</v>
      </c>
      <c r="AF28" s="1">
        <f t="shared" si="6"/>
        <v>0</v>
      </c>
      <c r="AG28" s="1">
        <f t="shared" si="6"/>
        <v>0</v>
      </c>
      <c r="AH28" s="1">
        <f t="shared" si="6"/>
        <v>0</v>
      </c>
      <c r="AI28" s="1">
        <f t="shared" si="6"/>
        <v>0</v>
      </c>
      <c r="AJ28" s="1">
        <f t="shared" si="6"/>
        <v>0</v>
      </c>
      <c r="AK28" s="1">
        <f t="shared" si="6"/>
        <v>0</v>
      </c>
    </row>
    <row r="29" spans="1:37" ht="14.1" customHeight="1" x14ac:dyDescent="0.2">
      <c r="A29" s="16">
        <v>2</v>
      </c>
      <c r="B29" s="65"/>
      <c r="C29" s="118" t="str">
        <f t="shared" si="7"/>
        <v>INV1</v>
      </c>
      <c r="D29" s="119" t="str">
        <f t="shared" si="7"/>
        <v>POUPANÇA BANCO 1</v>
      </c>
      <c r="E29" s="120">
        <f t="shared" ca="1" si="8"/>
        <v>0</v>
      </c>
      <c r="F29" s="120">
        <f t="shared" ca="1" si="9"/>
        <v>0</v>
      </c>
      <c r="G29" s="120">
        <f t="shared" ca="1" si="10"/>
        <v>0</v>
      </c>
      <c r="H29" s="62"/>
      <c r="I29" s="3"/>
      <c r="J29" s="3" t="b">
        <f t="shared" si="11"/>
        <v>0</v>
      </c>
      <c r="K29" s="3" t="b">
        <f t="shared" si="11"/>
        <v>1</v>
      </c>
      <c r="L29" s="3" t="b">
        <f t="shared" si="11"/>
        <v>0</v>
      </c>
      <c r="M29" s="3"/>
      <c r="N29" s="12">
        <v>21</v>
      </c>
      <c r="O29" s="65"/>
      <c r="P29" s="49"/>
      <c r="Q29" s="50"/>
      <c r="R29" s="51"/>
      <c r="S29" s="52"/>
      <c r="T29" s="53"/>
      <c r="U29" s="54"/>
      <c r="V29" s="62"/>
      <c r="X29" s="1">
        <f t="shared" ca="1" si="3"/>
        <v>1</v>
      </c>
      <c r="Z29" s="1">
        <f t="shared" ref="Z29:AK38" si="12">IF(Z$8=$R29,-$T29,0)+IF(Z$8=$S29,$T29,0)</f>
        <v>0</v>
      </c>
      <c r="AA29" s="1">
        <f t="shared" si="12"/>
        <v>0</v>
      </c>
      <c r="AB29" s="1">
        <f t="shared" si="12"/>
        <v>0</v>
      </c>
      <c r="AC29" s="1">
        <f t="shared" si="12"/>
        <v>0</v>
      </c>
      <c r="AD29" s="1">
        <f t="shared" si="12"/>
        <v>0</v>
      </c>
      <c r="AE29" s="1">
        <f t="shared" si="12"/>
        <v>0</v>
      </c>
      <c r="AF29" s="1">
        <f t="shared" si="12"/>
        <v>0</v>
      </c>
      <c r="AG29" s="1">
        <f t="shared" si="12"/>
        <v>0</v>
      </c>
      <c r="AH29" s="1">
        <f t="shared" si="12"/>
        <v>0</v>
      </c>
      <c r="AI29" s="1">
        <f t="shared" si="12"/>
        <v>0</v>
      </c>
      <c r="AJ29" s="1">
        <f t="shared" si="12"/>
        <v>0</v>
      </c>
      <c r="AK29" s="1">
        <f t="shared" si="12"/>
        <v>0</v>
      </c>
    </row>
    <row r="30" spans="1:37" ht="14.1" customHeight="1" x14ac:dyDescent="0.2">
      <c r="A30" s="12">
        <v>3</v>
      </c>
      <c r="B30" s="65"/>
      <c r="C30" s="115" t="str">
        <f t="shared" si="7"/>
        <v>DINH1</v>
      </c>
      <c r="D30" s="116" t="str">
        <f t="shared" si="7"/>
        <v>EM ESPÉCIE</v>
      </c>
      <c r="E30" s="117">
        <f t="shared" ca="1" si="8"/>
        <v>0</v>
      </c>
      <c r="F30" s="117">
        <f t="shared" ca="1" si="9"/>
        <v>0</v>
      </c>
      <c r="G30" s="117">
        <f t="shared" ca="1" si="10"/>
        <v>0</v>
      </c>
      <c r="H30" s="62"/>
      <c r="I30" s="3"/>
      <c r="J30" s="3" t="b">
        <f t="shared" si="11"/>
        <v>0</v>
      </c>
      <c r="K30" s="3" t="b">
        <f t="shared" si="11"/>
        <v>0</v>
      </c>
      <c r="L30" s="3" t="b">
        <f t="shared" si="11"/>
        <v>1</v>
      </c>
      <c r="M30" s="3"/>
      <c r="N30" s="16">
        <v>22</v>
      </c>
      <c r="O30" s="65"/>
      <c r="P30" s="55"/>
      <c r="Q30" s="56"/>
      <c r="R30" s="57"/>
      <c r="S30" s="58"/>
      <c r="T30" s="59"/>
      <c r="U30" s="60"/>
      <c r="V30" s="62"/>
      <c r="X30" s="1">
        <f t="shared" ca="1" si="3"/>
        <v>1</v>
      </c>
      <c r="Z30" s="1">
        <f t="shared" si="12"/>
        <v>0</v>
      </c>
      <c r="AA30" s="1">
        <f t="shared" si="12"/>
        <v>0</v>
      </c>
      <c r="AB30" s="1">
        <f t="shared" si="12"/>
        <v>0</v>
      </c>
      <c r="AC30" s="1">
        <f t="shared" si="12"/>
        <v>0</v>
      </c>
      <c r="AD30" s="1">
        <f t="shared" si="12"/>
        <v>0</v>
      </c>
      <c r="AE30" s="1">
        <f t="shared" si="12"/>
        <v>0</v>
      </c>
      <c r="AF30" s="1">
        <f t="shared" si="12"/>
        <v>0</v>
      </c>
      <c r="AG30" s="1">
        <f t="shared" si="12"/>
        <v>0</v>
      </c>
      <c r="AH30" s="1">
        <f t="shared" si="12"/>
        <v>0</v>
      </c>
      <c r="AI30" s="1">
        <f t="shared" si="12"/>
        <v>0</v>
      </c>
      <c r="AJ30" s="1">
        <f t="shared" si="12"/>
        <v>0</v>
      </c>
      <c r="AK30" s="1">
        <f t="shared" si="12"/>
        <v>0</v>
      </c>
    </row>
    <row r="31" spans="1:37" ht="14.1" customHeight="1" x14ac:dyDescent="0.2">
      <c r="A31" s="16">
        <v>4</v>
      </c>
      <c r="B31" s="65"/>
      <c r="C31" s="118" t="str">
        <f t="shared" si="7"/>
        <v>CRED1</v>
      </c>
      <c r="D31" s="119" t="str">
        <f t="shared" si="7"/>
        <v>CARTÃO DE CRÉDITO 1</v>
      </c>
      <c r="E31" s="120">
        <f t="shared" ca="1" si="8"/>
        <v>0</v>
      </c>
      <c r="F31" s="120">
        <f t="shared" ca="1" si="9"/>
        <v>0</v>
      </c>
      <c r="G31" s="120">
        <f t="shared" ca="1" si="10"/>
        <v>0</v>
      </c>
      <c r="H31" s="62"/>
      <c r="I31" s="3"/>
      <c r="J31" s="3" t="b">
        <f t="shared" si="11"/>
        <v>0</v>
      </c>
      <c r="K31" s="3" t="b">
        <f t="shared" si="11"/>
        <v>0</v>
      </c>
      <c r="L31" s="3" t="b">
        <f t="shared" si="11"/>
        <v>0</v>
      </c>
      <c r="M31" s="3"/>
      <c r="N31" s="12">
        <v>23</v>
      </c>
      <c r="O31" s="65"/>
      <c r="P31" s="49"/>
      <c r="Q31" s="50"/>
      <c r="R31" s="51"/>
      <c r="S31" s="52"/>
      <c r="T31" s="53"/>
      <c r="U31" s="54"/>
      <c r="V31" s="62"/>
      <c r="X31" s="1">
        <f t="shared" ca="1" si="3"/>
        <v>1</v>
      </c>
      <c r="Z31" s="1">
        <f t="shared" si="12"/>
        <v>0</v>
      </c>
      <c r="AA31" s="1">
        <f t="shared" si="12"/>
        <v>0</v>
      </c>
      <c r="AB31" s="1">
        <f t="shared" si="12"/>
        <v>0</v>
      </c>
      <c r="AC31" s="1">
        <f t="shared" si="12"/>
        <v>0</v>
      </c>
      <c r="AD31" s="1">
        <f t="shared" si="12"/>
        <v>0</v>
      </c>
      <c r="AE31" s="1">
        <f t="shared" si="12"/>
        <v>0</v>
      </c>
      <c r="AF31" s="1">
        <f t="shared" si="12"/>
        <v>0</v>
      </c>
      <c r="AG31" s="1">
        <f t="shared" si="12"/>
        <v>0</v>
      </c>
      <c r="AH31" s="1">
        <f t="shared" si="12"/>
        <v>0</v>
      </c>
      <c r="AI31" s="1">
        <f t="shared" si="12"/>
        <v>0</v>
      </c>
      <c r="AJ31" s="1">
        <f t="shared" si="12"/>
        <v>0</v>
      </c>
      <c r="AK31" s="1">
        <f t="shared" si="12"/>
        <v>0</v>
      </c>
    </row>
    <row r="32" spans="1:37" ht="14.1" customHeight="1" x14ac:dyDescent="0.2">
      <c r="A32" s="12">
        <v>5</v>
      </c>
      <c r="B32" s="65"/>
      <c r="C32" s="115" t="str">
        <f t="shared" si="7"/>
        <v>---</v>
      </c>
      <c r="D32" s="116" t="str">
        <f t="shared" si="7"/>
        <v/>
      </c>
      <c r="E32" s="117">
        <f t="shared" ca="1" si="8"/>
        <v>0</v>
      </c>
      <c r="F32" s="117">
        <f t="shared" ca="1" si="9"/>
        <v>0</v>
      </c>
      <c r="G32" s="117">
        <f t="shared" ca="1" si="10"/>
        <v>0</v>
      </c>
      <c r="H32" s="62"/>
      <c r="I32" s="3"/>
      <c r="J32" s="3" t="b">
        <f t="shared" si="11"/>
        <v>0</v>
      </c>
      <c r="K32" s="3" t="b">
        <f t="shared" si="11"/>
        <v>0</v>
      </c>
      <c r="L32" s="3" t="b">
        <f t="shared" si="11"/>
        <v>0</v>
      </c>
      <c r="M32" s="3"/>
      <c r="N32" s="16">
        <v>24</v>
      </c>
      <c r="O32" s="65"/>
      <c r="P32" s="55"/>
      <c r="Q32" s="56"/>
      <c r="R32" s="57"/>
      <c r="S32" s="58"/>
      <c r="T32" s="59"/>
      <c r="U32" s="60"/>
      <c r="V32" s="62"/>
      <c r="X32" s="1">
        <f t="shared" ca="1" si="3"/>
        <v>1</v>
      </c>
      <c r="Z32" s="1">
        <f t="shared" si="12"/>
        <v>0</v>
      </c>
      <c r="AA32" s="1">
        <f t="shared" si="12"/>
        <v>0</v>
      </c>
      <c r="AB32" s="1">
        <f t="shared" si="12"/>
        <v>0</v>
      </c>
      <c r="AC32" s="1">
        <f t="shared" si="12"/>
        <v>0</v>
      </c>
      <c r="AD32" s="1">
        <f t="shared" si="12"/>
        <v>0</v>
      </c>
      <c r="AE32" s="1">
        <f t="shared" si="12"/>
        <v>0</v>
      </c>
      <c r="AF32" s="1">
        <f t="shared" si="12"/>
        <v>0</v>
      </c>
      <c r="AG32" s="1">
        <f t="shared" si="12"/>
        <v>0</v>
      </c>
      <c r="AH32" s="1">
        <f t="shared" si="12"/>
        <v>0</v>
      </c>
      <c r="AI32" s="1">
        <f t="shared" si="12"/>
        <v>0</v>
      </c>
      <c r="AJ32" s="1">
        <f t="shared" si="12"/>
        <v>0</v>
      </c>
      <c r="AK32" s="1">
        <f t="shared" si="12"/>
        <v>0</v>
      </c>
    </row>
    <row r="33" spans="1:37" ht="14.1" customHeight="1" x14ac:dyDescent="0.2">
      <c r="A33" s="16">
        <v>6</v>
      </c>
      <c r="B33" s="65"/>
      <c r="C33" s="118" t="str">
        <f t="shared" si="7"/>
        <v>---</v>
      </c>
      <c r="D33" s="119" t="str">
        <f t="shared" si="7"/>
        <v/>
      </c>
      <c r="E33" s="120">
        <f t="shared" ca="1" si="8"/>
        <v>0</v>
      </c>
      <c r="F33" s="120">
        <f t="shared" ca="1" si="9"/>
        <v>0</v>
      </c>
      <c r="G33" s="120">
        <f t="shared" ca="1" si="10"/>
        <v>0</v>
      </c>
      <c r="H33" s="62"/>
      <c r="I33" s="3"/>
      <c r="J33" s="3" t="b">
        <f t="shared" si="11"/>
        <v>0</v>
      </c>
      <c r="K33" s="3" t="b">
        <f t="shared" si="11"/>
        <v>0</v>
      </c>
      <c r="L33" s="3" t="b">
        <f t="shared" si="11"/>
        <v>0</v>
      </c>
      <c r="M33" s="3"/>
      <c r="N33" s="12">
        <v>25</v>
      </c>
      <c r="O33" s="65"/>
      <c r="P33" s="49"/>
      <c r="Q33" s="50"/>
      <c r="R33" s="51"/>
      <c r="S33" s="52"/>
      <c r="T33" s="53"/>
      <c r="U33" s="54"/>
      <c r="V33" s="62"/>
      <c r="X33" s="1">
        <f t="shared" ca="1" si="3"/>
        <v>1</v>
      </c>
      <c r="Z33" s="1">
        <f t="shared" si="12"/>
        <v>0</v>
      </c>
      <c r="AA33" s="1">
        <f t="shared" si="12"/>
        <v>0</v>
      </c>
      <c r="AB33" s="1">
        <f t="shared" si="12"/>
        <v>0</v>
      </c>
      <c r="AC33" s="1">
        <f t="shared" si="12"/>
        <v>0</v>
      </c>
      <c r="AD33" s="1">
        <f t="shared" si="12"/>
        <v>0</v>
      </c>
      <c r="AE33" s="1">
        <f t="shared" si="12"/>
        <v>0</v>
      </c>
      <c r="AF33" s="1">
        <f t="shared" si="12"/>
        <v>0</v>
      </c>
      <c r="AG33" s="1">
        <f t="shared" si="12"/>
        <v>0</v>
      </c>
      <c r="AH33" s="1">
        <f t="shared" si="12"/>
        <v>0</v>
      </c>
      <c r="AI33" s="1">
        <f t="shared" si="12"/>
        <v>0</v>
      </c>
      <c r="AJ33" s="1">
        <f t="shared" si="12"/>
        <v>0</v>
      </c>
      <c r="AK33" s="1">
        <f t="shared" si="12"/>
        <v>0</v>
      </c>
    </row>
    <row r="34" spans="1:37" ht="14.1" customHeight="1" x14ac:dyDescent="0.2">
      <c r="A34" s="12">
        <v>7</v>
      </c>
      <c r="B34" s="65"/>
      <c r="C34" s="115" t="str">
        <f t="shared" si="7"/>
        <v>---</v>
      </c>
      <c r="D34" s="116" t="str">
        <f t="shared" si="7"/>
        <v/>
      </c>
      <c r="E34" s="117">
        <f t="shared" ca="1" si="8"/>
        <v>0</v>
      </c>
      <c r="F34" s="117">
        <f t="shared" ca="1" si="9"/>
        <v>0</v>
      </c>
      <c r="G34" s="117">
        <f t="shared" ca="1" si="10"/>
        <v>0</v>
      </c>
      <c r="H34" s="62"/>
      <c r="I34" s="3"/>
      <c r="J34" s="3" t="b">
        <f t="shared" si="11"/>
        <v>0</v>
      </c>
      <c r="K34" s="3" t="b">
        <f t="shared" si="11"/>
        <v>0</v>
      </c>
      <c r="L34" s="3" t="b">
        <f t="shared" si="11"/>
        <v>0</v>
      </c>
      <c r="M34" s="3"/>
      <c r="N34" s="16">
        <v>26</v>
      </c>
      <c r="O34" s="65"/>
      <c r="P34" s="55"/>
      <c r="Q34" s="56"/>
      <c r="R34" s="57"/>
      <c r="S34" s="58"/>
      <c r="T34" s="59"/>
      <c r="U34" s="60"/>
      <c r="V34" s="62"/>
      <c r="X34" s="1">
        <f t="shared" ca="1" si="3"/>
        <v>1</v>
      </c>
      <c r="Z34" s="1">
        <f t="shared" si="12"/>
        <v>0</v>
      </c>
      <c r="AA34" s="1">
        <f t="shared" si="12"/>
        <v>0</v>
      </c>
      <c r="AB34" s="1">
        <f t="shared" si="12"/>
        <v>0</v>
      </c>
      <c r="AC34" s="1">
        <f t="shared" si="12"/>
        <v>0</v>
      </c>
      <c r="AD34" s="1">
        <f t="shared" si="12"/>
        <v>0</v>
      </c>
      <c r="AE34" s="1">
        <f t="shared" si="12"/>
        <v>0</v>
      </c>
      <c r="AF34" s="1">
        <f t="shared" si="12"/>
        <v>0</v>
      </c>
      <c r="AG34" s="1">
        <f t="shared" si="12"/>
        <v>0</v>
      </c>
      <c r="AH34" s="1">
        <f t="shared" si="12"/>
        <v>0</v>
      </c>
      <c r="AI34" s="1">
        <f t="shared" si="12"/>
        <v>0</v>
      </c>
      <c r="AJ34" s="1">
        <f t="shared" si="12"/>
        <v>0</v>
      </c>
      <c r="AK34" s="1">
        <f t="shared" si="12"/>
        <v>0</v>
      </c>
    </row>
    <row r="35" spans="1:37" ht="14.1" customHeight="1" x14ac:dyDescent="0.2">
      <c r="A35" s="16">
        <v>8</v>
      </c>
      <c r="B35" s="65"/>
      <c r="C35" s="118" t="str">
        <f t="shared" si="7"/>
        <v>---</v>
      </c>
      <c r="D35" s="119" t="str">
        <f t="shared" si="7"/>
        <v/>
      </c>
      <c r="E35" s="120">
        <f t="shared" ca="1" si="8"/>
        <v>0</v>
      </c>
      <c r="F35" s="120">
        <f t="shared" ca="1" si="9"/>
        <v>0</v>
      </c>
      <c r="G35" s="120">
        <f t="shared" ca="1" si="10"/>
        <v>0</v>
      </c>
      <c r="H35" s="62"/>
      <c r="I35" s="3"/>
      <c r="J35" s="3" t="b">
        <f t="shared" si="11"/>
        <v>0</v>
      </c>
      <c r="K35" s="3" t="b">
        <f t="shared" si="11"/>
        <v>0</v>
      </c>
      <c r="L35" s="3" t="b">
        <f t="shared" si="11"/>
        <v>0</v>
      </c>
      <c r="M35" s="3"/>
      <c r="N35" s="12">
        <v>27</v>
      </c>
      <c r="O35" s="65"/>
      <c r="P35" s="49"/>
      <c r="Q35" s="50"/>
      <c r="R35" s="51"/>
      <c r="S35" s="52"/>
      <c r="T35" s="53"/>
      <c r="U35" s="54"/>
      <c r="V35" s="62"/>
      <c r="X35" s="1">
        <f t="shared" ca="1" si="3"/>
        <v>1</v>
      </c>
      <c r="Z35" s="1">
        <f t="shared" si="12"/>
        <v>0</v>
      </c>
      <c r="AA35" s="1">
        <f t="shared" si="12"/>
        <v>0</v>
      </c>
      <c r="AB35" s="1">
        <f t="shared" si="12"/>
        <v>0</v>
      </c>
      <c r="AC35" s="1">
        <f t="shared" si="12"/>
        <v>0</v>
      </c>
      <c r="AD35" s="1">
        <f t="shared" si="12"/>
        <v>0</v>
      </c>
      <c r="AE35" s="1">
        <f t="shared" si="12"/>
        <v>0</v>
      </c>
      <c r="AF35" s="1">
        <f t="shared" si="12"/>
        <v>0</v>
      </c>
      <c r="AG35" s="1">
        <f t="shared" si="12"/>
        <v>0</v>
      </c>
      <c r="AH35" s="1">
        <f t="shared" si="12"/>
        <v>0</v>
      </c>
      <c r="AI35" s="1">
        <f t="shared" si="12"/>
        <v>0</v>
      </c>
      <c r="AJ35" s="1">
        <f t="shared" si="12"/>
        <v>0</v>
      </c>
      <c r="AK35" s="1">
        <f t="shared" si="12"/>
        <v>0</v>
      </c>
    </row>
    <row r="36" spans="1:37" ht="14.1" customHeight="1" x14ac:dyDescent="0.2">
      <c r="A36" s="12">
        <v>9</v>
      </c>
      <c r="B36" s="65"/>
      <c r="C36" s="115" t="str">
        <f t="shared" si="7"/>
        <v>---</v>
      </c>
      <c r="D36" s="116" t="str">
        <f t="shared" si="7"/>
        <v/>
      </c>
      <c r="E36" s="117">
        <f t="shared" ca="1" si="8"/>
        <v>0</v>
      </c>
      <c r="F36" s="117">
        <f t="shared" ca="1" si="9"/>
        <v>0</v>
      </c>
      <c r="G36" s="117">
        <f t="shared" ca="1" si="10"/>
        <v>0</v>
      </c>
      <c r="H36" s="62"/>
      <c r="I36" s="3"/>
      <c r="J36" s="3" t="b">
        <f t="shared" si="11"/>
        <v>0</v>
      </c>
      <c r="K36" s="3" t="b">
        <f t="shared" si="11"/>
        <v>0</v>
      </c>
      <c r="L36" s="3" t="b">
        <f t="shared" si="11"/>
        <v>0</v>
      </c>
      <c r="M36" s="3"/>
      <c r="N36" s="16">
        <v>28</v>
      </c>
      <c r="O36" s="65"/>
      <c r="P36" s="55"/>
      <c r="Q36" s="56"/>
      <c r="R36" s="57"/>
      <c r="S36" s="58"/>
      <c r="T36" s="59"/>
      <c r="U36" s="60"/>
      <c r="V36" s="62"/>
      <c r="X36" s="1">
        <f t="shared" ca="1" si="3"/>
        <v>1</v>
      </c>
      <c r="Z36" s="1">
        <f t="shared" si="12"/>
        <v>0</v>
      </c>
      <c r="AA36" s="1">
        <f t="shared" si="12"/>
        <v>0</v>
      </c>
      <c r="AB36" s="1">
        <f t="shared" si="12"/>
        <v>0</v>
      </c>
      <c r="AC36" s="1">
        <f t="shared" si="12"/>
        <v>0</v>
      </c>
      <c r="AD36" s="1">
        <f t="shared" si="12"/>
        <v>0</v>
      </c>
      <c r="AE36" s="1">
        <f t="shared" si="12"/>
        <v>0</v>
      </c>
      <c r="AF36" s="1">
        <f t="shared" si="12"/>
        <v>0</v>
      </c>
      <c r="AG36" s="1">
        <f t="shared" si="12"/>
        <v>0</v>
      </c>
      <c r="AH36" s="1">
        <f t="shared" si="12"/>
        <v>0</v>
      </c>
      <c r="AI36" s="1">
        <f t="shared" si="12"/>
        <v>0</v>
      </c>
      <c r="AJ36" s="1">
        <f t="shared" si="12"/>
        <v>0</v>
      </c>
      <c r="AK36" s="1">
        <f t="shared" si="12"/>
        <v>0</v>
      </c>
    </row>
    <row r="37" spans="1:37" ht="14.1" customHeight="1" x14ac:dyDescent="0.2">
      <c r="A37" s="16">
        <v>10</v>
      </c>
      <c r="B37" s="65"/>
      <c r="C37" s="118" t="str">
        <f t="shared" si="7"/>
        <v>---</v>
      </c>
      <c r="D37" s="119" t="str">
        <f t="shared" si="7"/>
        <v/>
      </c>
      <c r="E37" s="120">
        <f t="shared" ca="1" si="8"/>
        <v>0</v>
      </c>
      <c r="F37" s="120">
        <f t="shared" ca="1" si="9"/>
        <v>0</v>
      </c>
      <c r="G37" s="120">
        <f t="shared" ca="1" si="10"/>
        <v>0</v>
      </c>
      <c r="H37" s="62"/>
      <c r="I37" s="3"/>
      <c r="J37" s="3" t="b">
        <f t="shared" si="11"/>
        <v>0</v>
      </c>
      <c r="K37" s="3" t="b">
        <f t="shared" si="11"/>
        <v>0</v>
      </c>
      <c r="L37" s="3" t="b">
        <f t="shared" si="11"/>
        <v>0</v>
      </c>
      <c r="M37" s="3"/>
      <c r="N37" s="12">
        <v>29</v>
      </c>
      <c r="O37" s="65"/>
      <c r="P37" s="49"/>
      <c r="Q37" s="50"/>
      <c r="R37" s="51"/>
      <c r="S37" s="52"/>
      <c r="T37" s="53"/>
      <c r="U37" s="54"/>
      <c r="V37" s="62"/>
      <c r="X37" s="1">
        <f t="shared" ca="1" si="3"/>
        <v>1</v>
      </c>
      <c r="Z37" s="1">
        <f t="shared" si="12"/>
        <v>0</v>
      </c>
      <c r="AA37" s="1">
        <f t="shared" si="12"/>
        <v>0</v>
      </c>
      <c r="AB37" s="1">
        <f t="shared" si="12"/>
        <v>0</v>
      </c>
      <c r="AC37" s="1">
        <f t="shared" si="12"/>
        <v>0</v>
      </c>
      <c r="AD37" s="1">
        <f t="shared" si="12"/>
        <v>0</v>
      </c>
      <c r="AE37" s="1">
        <f t="shared" si="12"/>
        <v>0</v>
      </c>
      <c r="AF37" s="1">
        <f t="shared" si="12"/>
        <v>0</v>
      </c>
      <c r="AG37" s="1">
        <f t="shared" si="12"/>
        <v>0</v>
      </c>
      <c r="AH37" s="1">
        <f t="shared" si="12"/>
        <v>0</v>
      </c>
      <c r="AI37" s="1">
        <f t="shared" si="12"/>
        <v>0</v>
      </c>
      <c r="AJ37" s="1">
        <f t="shared" si="12"/>
        <v>0</v>
      </c>
      <c r="AK37" s="1">
        <f t="shared" si="12"/>
        <v>0</v>
      </c>
    </row>
    <row r="38" spans="1:37" ht="14.1" customHeight="1" x14ac:dyDescent="0.2">
      <c r="A38" s="12">
        <v>11</v>
      </c>
      <c r="B38" s="65"/>
      <c r="C38" s="115" t="str">
        <f t="shared" si="7"/>
        <v>---</v>
      </c>
      <c r="D38" s="116" t="str">
        <f t="shared" si="7"/>
        <v/>
      </c>
      <c r="E38" s="117">
        <f t="shared" ca="1" si="8"/>
        <v>0</v>
      </c>
      <c r="F38" s="117">
        <f t="shared" ca="1" si="9"/>
        <v>0</v>
      </c>
      <c r="G38" s="117">
        <f t="shared" ca="1" si="10"/>
        <v>0</v>
      </c>
      <c r="H38" s="62"/>
      <c r="I38" s="3"/>
      <c r="J38" s="3" t="b">
        <f t="shared" si="11"/>
        <v>0</v>
      </c>
      <c r="K38" s="3" t="b">
        <f t="shared" si="11"/>
        <v>0</v>
      </c>
      <c r="L38" s="3" t="b">
        <f t="shared" si="11"/>
        <v>0</v>
      </c>
      <c r="M38" s="3"/>
      <c r="N38" s="16">
        <v>30</v>
      </c>
      <c r="O38" s="65"/>
      <c r="P38" s="55"/>
      <c r="Q38" s="56"/>
      <c r="R38" s="57"/>
      <c r="S38" s="58"/>
      <c r="T38" s="59"/>
      <c r="U38" s="60"/>
      <c r="V38" s="62"/>
      <c r="X38" s="1">
        <f t="shared" ca="1" si="3"/>
        <v>1</v>
      </c>
      <c r="Z38" s="1">
        <f t="shared" si="12"/>
        <v>0</v>
      </c>
      <c r="AA38" s="1">
        <f t="shared" si="12"/>
        <v>0</v>
      </c>
      <c r="AB38" s="1">
        <f t="shared" si="12"/>
        <v>0</v>
      </c>
      <c r="AC38" s="1">
        <f t="shared" si="12"/>
        <v>0</v>
      </c>
      <c r="AD38" s="1">
        <f t="shared" si="12"/>
        <v>0</v>
      </c>
      <c r="AE38" s="1">
        <f t="shared" si="12"/>
        <v>0</v>
      </c>
      <c r="AF38" s="1">
        <f t="shared" si="12"/>
        <v>0</v>
      </c>
      <c r="AG38" s="1">
        <f t="shared" si="12"/>
        <v>0</v>
      </c>
      <c r="AH38" s="1">
        <f t="shared" si="12"/>
        <v>0</v>
      </c>
      <c r="AI38" s="1">
        <f t="shared" si="12"/>
        <v>0</v>
      </c>
      <c r="AJ38" s="1">
        <f t="shared" si="12"/>
        <v>0</v>
      </c>
      <c r="AK38" s="1">
        <f t="shared" si="12"/>
        <v>0</v>
      </c>
    </row>
    <row r="39" spans="1:37" ht="14.1" customHeight="1" x14ac:dyDescent="0.2">
      <c r="A39" s="16">
        <v>12</v>
      </c>
      <c r="B39" s="66"/>
      <c r="C39" s="121" t="str">
        <f t="shared" si="7"/>
        <v>---</v>
      </c>
      <c r="D39" s="122" t="str">
        <f t="shared" si="7"/>
        <v/>
      </c>
      <c r="E39" s="123">
        <f t="shared" ca="1" si="8"/>
        <v>0</v>
      </c>
      <c r="F39" s="123">
        <f t="shared" ca="1" si="9"/>
        <v>0</v>
      </c>
      <c r="G39" s="123">
        <f t="shared" ca="1" si="10"/>
        <v>0</v>
      </c>
      <c r="H39" s="63"/>
      <c r="I39" s="3"/>
      <c r="J39" s="3" t="b">
        <f t="shared" si="11"/>
        <v>0</v>
      </c>
      <c r="K39" s="3" t="b">
        <f t="shared" si="11"/>
        <v>0</v>
      </c>
      <c r="L39" s="3" t="b">
        <f t="shared" si="11"/>
        <v>0</v>
      </c>
      <c r="M39" s="3"/>
      <c r="N39" s="12">
        <v>31</v>
      </c>
      <c r="O39" s="65"/>
      <c r="P39" s="49"/>
      <c r="Q39" s="50"/>
      <c r="R39" s="51"/>
      <c r="S39" s="52"/>
      <c r="T39" s="53"/>
      <c r="U39" s="54"/>
      <c r="V39" s="62"/>
      <c r="X39" s="1">
        <f t="shared" ca="1" si="3"/>
        <v>1</v>
      </c>
      <c r="Z39" s="1">
        <f t="shared" ref="Z39:AK48" si="13">IF(Z$8=$R39,-$T39,0)+IF(Z$8=$S39,$T39,0)</f>
        <v>0</v>
      </c>
      <c r="AA39" s="1">
        <f t="shared" si="13"/>
        <v>0</v>
      </c>
      <c r="AB39" s="1">
        <f t="shared" si="13"/>
        <v>0</v>
      </c>
      <c r="AC39" s="1">
        <f t="shared" si="13"/>
        <v>0</v>
      </c>
      <c r="AD39" s="1">
        <f t="shared" si="13"/>
        <v>0</v>
      </c>
      <c r="AE39" s="1">
        <f t="shared" si="13"/>
        <v>0</v>
      </c>
      <c r="AF39" s="1">
        <f t="shared" si="13"/>
        <v>0</v>
      </c>
      <c r="AG39" s="1">
        <f t="shared" si="13"/>
        <v>0</v>
      </c>
      <c r="AH39" s="1">
        <f t="shared" si="13"/>
        <v>0</v>
      </c>
      <c r="AI39" s="1">
        <f t="shared" si="13"/>
        <v>0</v>
      </c>
      <c r="AJ39" s="1">
        <f t="shared" si="13"/>
        <v>0</v>
      </c>
      <c r="AK39" s="1">
        <f t="shared" si="13"/>
        <v>0</v>
      </c>
    </row>
    <row r="40" spans="1:37" ht="14.1" customHeight="1" x14ac:dyDescent="0.2">
      <c r="A40" s="12"/>
      <c r="B40" s="124"/>
      <c r="C40" s="125"/>
      <c r="D40" s="126"/>
      <c r="E40" s="126"/>
      <c r="F40" s="126"/>
      <c r="G40" s="126"/>
      <c r="H40" s="127"/>
      <c r="I40" s="3"/>
      <c r="J40" s="3"/>
      <c r="K40" s="3"/>
      <c r="L40" s="3"/>
      <c r="M40" s="3"/>
      <c r="N40" s="16">
        <v>32</v>
      </c>
      <c r="O40" s="65"/>
      <c r="P40" s="55"/>
      <c r="Q40" s="56"/>
      <c r="R40" s="57"/>
      <c r="S40" s="58"/>
      <c r="T40" s="59"/>
      <c r="U40" s="60"/>
      <c r="V40" s="62"/>
      <c r="X40" s="1">
        <f t="shared" ca="1" si="3"/>
        <v>1</v>
      </c>
      <c r="Z40" s="1">
        <f t="shared" si="13"/>
        <v>0</v>
      </c>
      <c r="AA40" s="1">
        <f t="shared" si="13"/>
        <v>0</v>
      </c>
      <c r="AB40" s="1">
        <f t="shared" si="13"/>
        <v>0</v>
      </c>
      <c r="AC40" s="1">
        <f t="shared" si="13"/>
        <v>0</v>
      </c>
      <c r="AD40" s="1">
        <f t="shared" si="13"/>
        <v>0</v>
      </c>
      <c r="AE40" s="1">
        <f t="shared" si="13"/>
        <v>0</v>
      </c>
      <c r="AF40" s="1">
        <f t="shared" si="13"/>
        <v>0</v>
      </c>
      <c r="AG40" s="1">
        <f t="shared" si="13"/>
        <v>0</v>
      </c>
      <c r="AH40" s="1">
        <f t="shared" si="13"/>
        <v>0</v>
      </c>
      <c r="AI40" s="1">
        <f t="shared" si="13"/>
        <v>0</v>
      </c>
      <c r="AJ40" s="1">
        <f t="shared" si="13"/>
        <v>0</v>
      </c>
      <c r="AK40" s="1">
        <f t="shared" si="13"/>
        <v>0</v>
      </c>
    </row>
    <row r="41" spans="1:37" ht="14.1" customHeight="1" x14ac:dyDescent="0.2">
      <c r="I41" s="3"/>
      <c r="J41" s="3"/>
      <c r="K41" s="3"/>
      <c r="L41" s="3"/>
      <c r="M41" s="3"/>
      <c r="N41" s="12">
        <v>33</v>
      </c>
      <c r="O41" s="65"/>
      <c r="P41" s="49"/>
      <c r="Q41" s="50"/>
      <c r="R41" s="51"/>
      <c r="S41" s="52"/>
      <c r="T41" s="53"/>
      <c r="U41" s="54"/>
      <c r="V41" s="62"/>
      <c r="X41" s="1">
        <f t="shared" ref="X41:X72" ca="1" si="14">IF(P41&lt;NOW(),1,0)</f>
        <v>1</v>
      </c>
      <c r="Z41" s="1">
        <f t="shared" si="13"/>
        <v>0</v>
      </c>
      <c r="AA41" s="1">
        <f t="shared" si="13"/>
        <v>0</v>
      </c>
      <c r="AB41" s="1">
        <f t="shared" si="13"/>
        <v>0</v>
      </c>
      <c r="AC41" s="1">
        <f t="shared" si="13"/>
        <v>0</v>
      </c>
      <c r="AD41" s="1">
        <f t="shared" si="13"/>
        <v>0</v>
      </c>
      <c r="AE41" s="1">
        <f t="shared" si="13"/>
        <v>0</v>
      </c>
      <c r="AF41" s="1">
        <f t="shared" si="13"/>
        <v>0</v>
      </c>
      <c r="AG41" s="1">
        <f t="shared" si="13"/>
        <v>0</v>
      </c>
      <c r="AH41" s="1">
        <f t="shared" si="13"/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</row>
    <row r="42" spans="1:37" ht="14.1" customHeight="1" x14ac:dyDescent="0.2">
      <c r="B42" s="91"/>
      <c r="C42" s="92"/>
      <c r="D42" s="93"/>
      <c r="E42" s="93"/>
      <c r="F42" s="93"/>
      <c r="G42" s="93"/>
      <c r="H42" s="94"/>
      <c r="I42" s="3"/>
      <c r="J42" s="3"/>
      <c r="K42" s="3"/>
      <c r="L42" s="3"/>
      <c r="M42" s="3"/>
      <c r="N42" s="16">
        <v>34</v>
      </c>
      <c r="O42" s="65"/>
      <c r="P42" s="55"/>
      <c r="Q42" s="56"/>
      <c r="R42" s="57"/>
      <c r="S42" s="58"/>
      <c r="T42" s="59"/>
      <c r="U42" s="60"/>
      <c r="V42" s="62"/>
      <c r="X42" s="1">
        <f t="shared" ca="1" si="14"/>
        <v>1</v>
      </c>
      <c r="Z42" s="1">
        <f t="shared" si="13"/>
        <v>0</v>
      </c>
      <c r="AA42" s="1">
        <f t="shared" si="13"/>
        <v>0</v>
      </c>
      <c r="AB42" s="1">
        <f t="shared" si="13"/>
        <v>0</v>
      </c>
      <c r="AC42" s="1">
        <f t="shared" si="13"/>
        <v>0</v>
      </c>
      <c r="AD42" s="1">
        <f t="shared" si="13"/>
        <v>0</v>
      </c>
      <c r="AE42" s="1">
        <f t="shared" si="13"/>
        <v>0</v>
      </c>
      <c r="AF42" s="1">
        <f t="shared" si="13"/>
        <v>0</v>
      </c>
      <c r="AG42" s="1">
        <f t="shared" si="13"/>
        <v>0</v>
      </c>
      <c r="AH42" s="1">
        <f t="shared" si="13"/>
        <v>0</v>
      </c>
      <c r="AI42" s="1">
        <f t="shared" si="13"/>
        <v>0</v>
      </c>
      <c r="AJ42" s="1">
        <f t="shared" si="13"/>
        <v>0</v>
      </c>
      <c r="AK42" s="1">
        <f t="shared" si="13"/>
        <v>0</v>
      </c>
    </row>
    <row r="43" spans="1:37" ht="14.1" customHeight="1" x14ac:dyDescent="0.2">
      <c r="B43" s="95"/>
      <c r="C43" s="286" t="s">
        <v>106</v>
      </c>
      <c r="D43" s="286"/>
      <c r="E43" s="286"/>
      <c r="F43" s="286"/>
      <c r="G43" s="286"/>
      <c r="H43" s="96"/>
      <c r="I43" s="3"/>
      <c r="J43" s="3"/>
      <c r="K43" s="3"/>
      <c r="L43" s="3"/>
      <c r="M43" s="3"/>
      <c r="N43" s="12">
        <v>35</v>
      </c>
      <c r="O43" s="65"/>
      <c r="P43" s="49"/>
      <c r="Q43" s="50"/>
      <c r="R43" s="51"/>
      <c r="S43" s="52"/>
      <c r="T43" s="53"/>
      <c r="U43" s="54"/>
      <c r="V43" s="62"/>
      <c r="X43" s="1">
        <f t="shared" ca="1" si="14"/>
        <v>1</v>
      </c>
      <c r="Z43" s="1">
        <f t="shared" si="13"/>
        <v>0</v>
      </c>
      <c r="AA43" s="1">
        <f t="shared" si="13"/>
        <v>0</v>
      </c>
      <c r="AB43" s="1">
        <f t="shared" si="13"/>
        <v>0</v>
      </c>
      <c r="AC43" s="1">
        <f t="shared" si="13"/>
        <v>0</v>
      </c>
      <c r="AD43" s="1">
        <f t="shared" si="13"/>
        <v>0</v>
      </c>
      <c r="AE43" s="1">
        <f t="shared" si="13"/>
        <v>0</v>
      </c>
      <c r="AF43" s="1">
        <f t="shared" si="13"/>
        <v>0</v>
      </c>
      <c r="AG43" s="1">
        <f t="shared" si="13"/>
        <v>0</v>
      </c>
      <c r="AH43" s="1">
        <f t="shared" si="13"/>
        <v>0</v>
      </c>
      <c r="AI43" s="1">
        <f t="shared" si="13"/>
        <v>0</v>
      </c>
      <c r="AJ43" s="1">
        <f t="shared" si="13"/>
        <v>0</v>
      </c>
      <c r="AK43" s="1">
        <f t="shared" si="13"/>
        <v>0</v>
      </c>
    </row>
    <row r="44" spans="1:37" ht="14.1" customHeight="1" x14ac:dyDescent="0.2">
      <c r="B44" s="95"/>
      <c r="C44" s="286"/>
      <c r="D44" s="286"/>
      <c r="E44" s="286"/>
      <c r="F44" s="286"/>
      <c r="G44" s="286"/>
      <c r="H44" s="96"/>
      <c r="I44" s="3"/>
      <c r="J44" s="3"/>
      <c r="K44" s="3"/>
      <c r="L44" s="3"/>
      <c r="M44" s="3"/>
      <c r="N44" s="16">
        <v>36</v>
      </c>
      <c r="O44" s="65"/>
      <c r="P44" s="55"/>
      <c r="Q44" s="56"/>
      <c r="R44" s="57"/>
      <c r="S44" s="58"/>
      <c r="T44" s="59"/>
      <c r="U44" s="60"/>
      <c r="V44" s="62"/>
      <c r="X44" s="1">
        <f t="shared" ca="1" si="14"/>
        <v>1</v>
      </c>
      <c r="Z44" s="1">
        <f t="shared" si="13"/>
        <v>0</v>
      </c>
      <c r="AA44" s="1">
        <f t="shared" si="13"/>
        <v>0</v>
      </c>
      <c r="AB44" s="1">
        <f t="shared" si="13"/>
        <v>0</v>
      </c>
      <c r="AC44" s="1">
        <f t="shared" si="13"/>
        <v>0</v>
      </c>
      <c r="AD44" s="1">
        <f t="shared" si="13"/>
        <v>0</v>
      </c>
      <c r="AE44" s="1">
        <f t="shared" si="13"/>
        <v>0</v>
      </c>
      <c r="AF44" s="1">
        <f t="shared" si="13"/>
        <v>0</v>
      </c>
      <c r="AG44" s="1">
        <f t="shared" si="13"/>
        <v>0</v>
      </c>
      <c r="AH44" s="1">
        <f t="shared" si="13"/>
        <v>0</v>
      </c>
      <c r="AI44" s="1">
        <f t="shared" si="13"/>
        <v>0</v>
      </c>
      <c r="AJ44" s="1">
        <f t="shared" si="13"/>
        <v>0</v>
      </c>
      <c r="AK44" s="1">
        <f t="shared" si="13"/>
        <v>0</v>
      </c>
    </row>
    <row r="45" spans="1:37" ht="14.1" customHeight="1" x14ac:dyDescent="0.2">
      <c r="B45" s="46"/>
      <c r="C45" s="271" t="s">
        <v>20</v>
      </c>
      <c r="D45" s="273" t="s">
        <v>5</v>
      </c>
      <c r="E45" s="275" t="s">
        <v>104</v>
      </c>
      <c r="F45" s="275" t="s">
        <v>89</v>
      </c>
      <c r="G45" s="276" t="s">
        <v>6</v>
      </c>
      <c r="H45" s="96"/>
      <c r="I45" s="3"/>
      <c r="J45" s="3"/>
      <c r="K45" s="3"/>
      <c r="L45" s="3"/>
      <c r="M45" s="3"/>
      <c r="N45" s="12">
        <v>37</v>
      </c>
      <c r="O45" s="65"/>
      <c r="P45" s="49"/>
      <c r="Q45" s="50"/>
      <c r="R45" s="51"/>
      <c r="S45" s="52"/>
      <c r="T45" s="53"/>
      <c r="U45" s="54"/>
      <c r="V45" s="62"/>
      <c r="X45" s="1">
        <f t="shared" ca="1" si="14"/>
        <v>1</v>
      </c>
      <c r="Z45" s="1">
        <f t="shared" si="13"/>
        <v>0</v>
      </c>
      <c r="AA45" s="1">
        <f t="shared" si="13"/>
        <v>0</v>
      </c>
      <c r="AB45" s="1">
        <f t="shared" si="13"/>
        <v>0</v>
      </c>
      <c r="AC45" s="1">
        <f t="shared" si="13"/>
        <v>0</v>
      </c>
      <c r="AD45" s="1">
        <f t="shared" si="13"/>
        <v>0</v>
      </c>
      <c r="AE45" s="1">
        <f t="shared" si="13"/>
        <v>0</v>
      </c>
      <c r="AF45" s="1">
        <f t="shared" si="13"/>
        <v>0</v>
      </c>
      <c r="AG45" s="1">
        <f t="shared" si="13"/>
        <v>0</v>
      </c>
      <c r="AH45" s="1">
        <f t="shared" si="13"/>
        <v>0</v>
      </c>
      <c r="AI45" s="1">
        <f t="shared" si="13"/>
        <v>0</v>
      </c>
      <c r="AJ45" s="1">
        <f t="shared" si="13"/>
        <v>0</v>
      </c>
      <c r="AK45" s="1">
        <f t="shared" si="13"/>
        <v>0</v>
      </c>
    </row>
    <row r="46" spans="1:37" ht="14.1" customHeight="1" x14ac:dyDescent="0.2">
      <c r="A46" s="3"/>
      <c r="B46" s="44"/>
      <c r="C46" s="272"/>
      <c r="D46" s="274"/>
      <c r="E46" s="99" t="s">
        <v>87</v>
      </c>
      <c r="F46" s="100" t="s">
        <v>89</v>
      </c>
      <c r="G46" s="98" t="s">
        <v>6</v>
      </c>
      <c r="H46" s="97"/>
      <c r="I46" s="3"/>
      <c r="J46" s="3"/>
      <c r="K46" s="3"/>
      <c r="L46" s="3"/>
      <c r="M46" s="3"/>
      <c r="N46" s="16">
        <v>38</v>
      </c>
      <c r="O46" s="65"/>
      <c r="P46" s="55"/>
      <c r="Q46" s="56"/>
      <c r="R46" s="57"/>
      <c r="S46" s="58"/>
      <c r="T46" s="59"/>
      <c r="U46" s="60"/>
      <c r="V46" s="62"/>
      <c r="X46" s="1">
        <f t="shared" ca="1" si="14"/>
        <v>1</v>
      </c>
      <c r="Z46" s="1">
        <f t="shared" si="13"/>
        <v>0</v>
      </c>
      <c r="AA46" s="1">
        <f t="shared" si="13"/>
        <v>0</v>
      </c>
      <c r="AB46" s="1">
        <f t="shared" si="13"/>
        <v>0</v>
      </c>
      <c r="AC46" s="1">
        <f t="shared" si="13"/>
        <v>0</v>
      </c>
      <c r="AD46" s="1">
        <f t="shared" si="13"/>
        <v>0</v>
      </c>
      <c r="AE46" s="1">
        <f t="shared" si="13"/>
        <v>0</v>
      </c>
      <c r="AF46" s="1">
        <f t="shared" si="13"/>
        <v>0</v>
      </c>
      <c r="AG46" s="1">
        <f t="shared" si="13"/>
        <v>0</v>
      </c>
      <c r="AH46" s="1">
        <f t="shared" si="13"/>
        <v>0</v>
      </c>
      <c r="AI46" s="1">
        <f t="shared" si="13"/>
        <v>0</v>
      </c>
      <c r="AJ46" s="1">
        <f t="shared" si="13"/>
        <v>0</v>
      </c>
      <c r="AK46" s="1">
        <f t="shared" si="13"/>
        <v>0</v>
      </c>
    </row>
    <row r="47" spans="1:37" ht="14.1" customHeight="1" x14ac:dyDescent="0.2">
      <c r="A47" s="12">
        <v>1</v>
      </c>
      <c r="B47" s="64"/>
      <c r="C47" s="115" t="str">
        <f>ANUAL!$C115</f>
        <v>CC</v>
      </c>
      <c r="D47" s="240" t="str">
        <f>ANUAL!$D115</f>
        <v>CONTA CORRENTE</v>
      </c>
      <c r="E47" s="117">
        <f>SUMIF($J$28:$J$39,TRUE,E$28:E$39)</f>
        <v>0</v>
      </c>
      <c r="F47" s="117">
        <f>SUMIF($J$28:$J$39,TRUE,F$28:F$39)</f>
        <v>0</v>
      </c>
      <c r="G47" s="117">
        <f>SUMIF($J$28:$J$39,TRUE,G$28:G$39)+SUMIF($J$9:$J$20,TRUE,E$9:E$20)</f>
        <v>0</v>
      </c>
      <c r="H47" s="61"/>
      <c r="N47" s="12">
        <v>39</v>
      </c>
      <c r="O47" s="65"/>
      <c r="P47" s="49"/>
      <c r="Q47" s="50"/>
      <c r="R47" s="51"/>
      <c r="S47" s="52"/>
      <c r="T47" s="53"/>
      <c r="U47" s="54"/>
      <c r="V47" s="62"/>
      <c r="X47" s="1">
        <f t="shared" ca="1" si="14"/>
        <v>1</v>
      </c>
      <c r="Z47" s="1">
        <f t="shared" si="13"/>
        <v>0</v>
      </c>
      <c r="AA47" s="1">
        <f t="shared" si="13"/>
        <v>0</v>
      </c>
      <c r="AB47" s="1">
        <f t="shared" si="13"/>
        <v>0</v>
      </c>
      <c r="AC47" s="1">
        <f t="shared" si="13"/>
        <v>0</v>
      </c>
      <c r="AD47" s="1">
        <f t="shared" si="13"/>
        <v>0</v>
      </c>
      <c r="AE47" s="1">
        <f t="shared" si="13"/>
        <v>0</v>
      </c>
      <c r="AF47" s="1">
        <f t="shared" si="13"/>
        <v>0</v>
      </c>
      <c r="AG47" s="1">
        <f t="shared" si="13"/>
        <v>0</v>
      </c>
      <c r="AH47" s="1">
        <f t="shared" si="13"/>
        <v>0</v>
      </c>
      <c r="AI47" s="1">
        <f t="shared" si="13"/>
        <v>0</v>
      </c>
      <c r="AJ47" s="1">
        <f t="shared" si="13"/>
        <v>0</v>
      </c>
      <c r="AK47" s="1">
        <f t="shared" si="13"/>
        <v>0</v>
      </c>
    </row>
    <row r="48" spans="1:37" ht="14.1" customHeight="1" x14ac:dyDescent="0.2">
      <c r="A48" s="16">
        <v>2</v>
      </c>
      <c r="B48" s="65"/>
      <c r="C48" s="118" t="str">
        <f>ANUAL!$C116</f>
        <v>INV</v>
      </c>
      <c r="D48" s="119" t="str">
        <f>ANUAL!$D116</f>
        <v>APLICAÇÕES DE INVESTIMENTO</v>
      </c>
      <c r="E48" s="120">
        <f ca="1">SUMIF($K$28:$K$39,TRUE,E$28:E$39)</f>
        <v>0</v>
      </c>
      <c r="F48" s="120">
        <f ca="1">SUMIF($K$28:$K$39,TRUE,F$28:F$39)</f>
        <v>0</v>
      </c>
      <c r="G48" s="120">
        <f ca="1">SUMIF($K$28:$K$39,TRUE,G$28:G$39)+SUMIF($K$9:$K$20,TRUE,E$9:E$20)</f>
        <v>0</v>
      </c>
      <c r="H48" s="62"/>
      <c r="N48" s="16">
        <v>40</v>
      </c>
      <c r="O48" s="65"/>
      <c r="P48" s="55"/>
      <c r="Q48" s="56"/>
      <c r="R48" s="57"/>
      <c r="S48" s="58"/>
      <c r="T48" s="59"/>
      <c r="U48" s="60"/>
      <c r="V48" s="62"/>
      <c r="X48" s="1">
        <f t="shared" ca="1" si="14"/>
        <v>1</v>
      </c>
      <c r="Z48" s="1">
        <f t="shared" si="13"/>
        <v>0</v>
      </c>
      <c r="AA48" s="1">
        <f t="shared" si="13"/>
        <v>0</v>
      </c>
      <c r="AB48" s="1">
        <f t="shared" si="13"/>
        <v>0</v>
      </c>
      <c r="AC48" s="1">
        <f t="shared" si="13"/>
        <v>0</v>
      </c>
      <c r="AD48" s="1">
        <f t="shared" si="13"/>
        <v>0</v>
      </c>
      <c r="AE48" s="1">
        <f t="shared" si="13"/>
        <v>0</v>
      </c>
      <c r="AF48" s="1">
        <f t="shared" si="13"/>
        <v>0</v>
      </c>
      <c r="AG48" s="1">
        <f t="shared" si="13"/>
        <v>0</v>
      </c>
      <c r="AH48" s="1">
        <f t="shared" si="13"/>
        <v>0</v>
      </c>
      <c r="AI48" s="1">
        <f t="shared" si="13"/>
        <v>0</v>
      </c>
      <c r="AJ48" s="1">
        <f t="shared" si="13"/>
        <v>0</v>
      </c>
      <c r="AK48" s="1">
        <f t="shared" si="13"/>
        <v>0</v>
      </c>
    </row>
    <row r="49" spans="1:37" ht="14.1" customHeight="1" x14ac:dyDescent="0.2">
      <c r="A49" s="12">
        <v>3</v>
      </c>
      <c r="B49" s="65"/>
      <c r="C49" s="115" t="str">
        <f>ANUAL!$C117</f>
        <v>DINH</v>
      </c>
      <c r="D49" s="240" t="str">
        <f>ANUAL!$D117</f>
        <v>EM ESPÉCIE</v>
      </c>
      <c r="E49" s="117">
        <f ca="1">SUMIF($L$28:$L$39,TRUE,E$28:E$39)</f>
        <v>0</v>
      </c>
      <c r="F49" s="117">
        <f ca="1">SUMIF($L$28:$L$39,TRUE,F$28:F$39)</f>
        <v>0</v>
      </c>
      <c r="G49" s="117">
        <f ca="1">SUMIF($L$28:$L$39,TRUE,G$28:G$39)+SUMIF($L$9:$L$20,TRUE,E$9:E$20)</f>
        <v>0</v>
      </c>
      <c r="H49" s="62"/>
      <c r="N49" s="12">
        <v>41</v>
      </c>
      <c r="O49" s="65"/>
      <c r="P49" s="49"/>
      <c r="Q49" s="50"/>
      <c r="R49" s="51"/>
      <c r="S49" s="52"/>
      <c r="T49" s="53"/>
      <c r="U49" s="54"/>
      <c r="V49" s="62"/>
      <c r="X49" s="1">
        <f t="shared" ca="1" si="14"/>
        <v>1</v>
      </c>
      <c r="Z49" s="1">
        <f t="shared" ref="Z49:AK58" si="15">IF(Z$8=$R49,-$T49,0)+IF(Z$8=$S49,$T49,0)</f>
        <v>0</v>
      </c>
      <c r="AA49" s="1">
        <f t="shared" si="15"/>
        <v>0</v>
      </c>
      <c r="AB49" s="1">
        <f t="shared" si="15"/>
        <v>0</v>
      </c>
      <c r="AC49" s="1">
        <f t="shared" si="15"/>
        <v>0</v>
      </c>
      <c r="AD49" s="1">
        <f t="shared" si="15"/>
        <v>0</v>
      </c>
      <c r="AE49" s="1">
        <f t="shared" si="15"/>
        <v>0</v>
      </c>
      <c r="AF49" s="1">
        <f t="shared" si="15"/>
        <v>0</v>
      </c>
      <c r="AG49" s="1">
        <f t="shared" si="15"/>
        <v>0</v>
      </c>
      <c r="AH49" s="1">
        <f t="shared" si="15"/>
        <v>0</v>
      </c>
      <c r="AI49" s="1">
        <f t="shared" si="15"/>
        <v>0</v>
      </c>
      <c r="AJ49" s="1">
        <f t="shared" si="15"/>
        <v>0</v>
      </c>
      <c r="AK49" s="1">
        <f t="shared" si="15"/>
        <v>0</v>
      </c>
    </row>
    <row r="50" spans="1:37" ht="14.1" customHeight="1" x14ac:dyDescent="0.2">
      <c r="A50" s="12"/>
      <c r="B50" s="109"/>
      <c r="C50" s="110"/>
      <c r="D50" s="111"/>
      <c r="E50" s="111"/>
      <c r="F50" s="111"/>
      <c r="G50" s="111"/>
      <c r="H50" s="112"/>
      <c r="I50" s="3"/>
      <c r="J50" s="3"/>
      <c r="K50" s="3"/>
      <c r="L50" s="3"/>
      <c r="M50" s="3"/>
      <c r="N50" s="16">
        <v>42</v>
      </c>
      <c r="O50" s="65"/>
      <c r="P50" s="55"/>
      <c r="Q50" s="56"/>
      <c r="R50" s="57"/>
      <c r="S50" s="58"/>
      <c r="T50" s="59"/>
      <c r="U50" s="60"/>
      <c r="V50" s="62"/>
      <c r="X50" s="1">
        <f t="shared" ca="1" si="14"/>
        <v>1</v>
      </c>
      <c r="Z50" s="1">
        <f t="shared" si="15"/>
        <v>0</v>
      </c>
      <c r="AA50" s="1">
        <f t="shared" si="15"/>
        <v>0</v>
      </c>
      <c r="AB50" s="1">
        <f t="shared" si="15"/>
        <v>0</v>
      </c>
      <c r="AC50" s="1">
        <f t="shared" si="15"/>
        <v>0</v>
      </c>
      <c r="AD50" s="1">
        <f t="shared" si="15"/>
        <v>0</v>
      </c>
      <c r="AE50" s="1">
        <f t="shared" si="15"/>
        <v>0</v>
      </c>
      <c r="AF50" s="1">
        <f t="shared" si="15"/>
        <v>0</v>
      </c>
      <c r="AG50" s="1">
        <f t="shared" si="15"/>
        <v>0</v>
      </c>
      <c r="AH50" s="1">
        <f t="shared" si="15"/>
        <v>0</v>
      </c>
      <c r="AI50" s="1">
        <f t="shared" si="15"/>
        <v>0</v>
      </c>
      <c r="AJ50" s="1">
        <f t="shared" si="15"/>
        <v>0</v>
      </c>
      <c r="AK50" s="1">
        <f t="shared" si="15"/>
        <v>0</v>
      </c>
    </row>
    <row r="51" spans="1:37" ht="14.1" customHeight="1" x14ac:dyDescent="0.2">
      <c r="I51" s="3"/>
      <c r="J51" s="3"/>
      <c r="K51" s="3"/>
      <c r="L51" s="3"/>
      <c r="M51" s="3"/>
      <c r="N51" s="12">
        <v>43</v>
      </c>
      <c r="O51" s="65"/>
      <c r="P51" s="49"/>
      <c r="Q51" s="50"/>
      <c r="R51" s="51"/>
      <c r="S51" s="52"/>
      <c r="T51" s="53"/>
      <c r="U51" s="54"/>
      <c r="V51" s="62"/>
      <c r="X51" s="1">
        <f t="shared" ca="1" si="14"/>
        <v>1</v>
      </c>
      <c r="Z51" s="1">
        <f t="shared" si="15"/>
        <v>0</v>
      </c>
      <c r="AA51" s="1">
        <f t="shared" si="15"/>
        <v>0</v>
      </c>
      <c r="AB51" s="1">
        <f t="shared" si="15"/>
        <v>0</v>
      </c>
      <c r="AC51" s="1">
        <f t="shared" si="15"/>
        <v>0</v>
      </c>
      <c r="AD51" s="1">
        <f t="shared" si="15"/>
        <v>0</v>
      </c>
      <c r="AE51" s="1">
        <f t="shared" si="15"/>
        <v>0</v>
      </c>
      <c r="AF51" s="1">
        <f t="shared" si="15"/>
        <v>0</v>
      </c>
      <c r="AG51" s="1">
        <f t="shared" si="15"/>
        <v>0</v>
      </c>
      <c r="AH51" s="1">
        <f t="shared" si="15"/>
        <v>0</v>
      </c>
      <c r="AI51" s="1">
        <f t="shared" si="15"/>
        <v>0</v>
      </c>
      <c r="AJ51" s="1">
        <f t="shared" si="15"/>
        <v>0</v>
      </c>
      <c r="AK51" s="1">
        <f t="shared" si="15"/>
        <v>0</v>
      </c>
    </row>
    <row r="52" spans="1:37" ht="14.1" customHeight="1" x14ac:dyDescent="0.2">
      <c r="B52" s="84"/>
      <c r="C52" s="85"/>
      <c r="D52" s="86"/>
      <c r="E52" s="86"/>
      <c r="F52" s="86"/>
      <c r="G52" s="86"/>
      <c r="H52" s="87"/>
      <c r="N52" s="16">
        <v>44</v>
      </c>
      <c r="O52" s="65"/>
      <c r="P52" s="55"/>
      <c r="Q52" s="56"/>
      <c r="R52" s="57"/>
      <c r="S52" s="58"/>
      <c r="T52" s="59"/>
      <c r="U52" s="60"/>
      <c r="V52" s="62"/>
      <c r="X52" s="1">
        <f t="shared" ca="1" si="14"/>
        <v>1</v>
      </c>
      <c r="Z52" s="1">
        <f t="shared" si="15"/>
        <v>0</v>
      </c>
      <c r="AA52" s="1">
        <f t="shared" si="15"/>
        <v>0</v>
      </c>
      <c r="AB52" s="1">
        <f t="shared" si="15"/>
        <v>0</v>
      </c>
      <c r="AC52" s="1">
        <f t="shared" si="15"/>
        <v>0</v>
      </c>
      <c r="AD52" s="1">
        <f t="shared" si="15"/>
        <v>0</v>
      </c>
      <c r="AE52" s="1">
        <f t="shared" si="15"/>
        <v>0</v>
      </c>
      <c r="AF52" s="1">
        <f t="shared" si="15"/>
        <v>0</v>
      </c>
      <c r="AG52" s="1">
        <f t="shared" si="15"/>
        <v>0</v>
      </c>
      <c r="AH52" s="1">
        <f t="shared" si="15"/>
        <v>0</v>
      </c>
      <c r="AI52" s="1">
        <f t="shared" si="15"/>
        <v>0</v>
      </c>
      <c r="AJ52" s="1">
        <f t="shared" si="15"/>
        <v>0</v>
      </c>
      <c r="AK52" s="1">
        <f t="shared" si="15"/>
        <v>0</v>
      </c>
    </row>
    <row r="53" spans="1:37" ht="14.1" customHeight="1" x14ac:dyDescent="0.2">
      <c r="B53" s="88"/>
      <c r="C53" s="304" t="s">
        <v>27</v>
      </c>
      <c r="D53" s="304"/>
      <c r="E53" s="304"/>
      <c r="F53" s="304"/>
      <c r="G53" s="304"/>
      <c r="H53" s="89"/>
      <c r="N53" s="12">
        <v>45</v>
      </c>
      <c r="O53" s="65"/>
      <c r="P53" s="49"/>
      <c r="Q53" s="50"/>
      <c r="R53" s="51"/>
      <c r="S53" s="52"/>
      <c r="T53" s="53"/>
      <c r="U53" s="54"/>
      <c r="V53" s="62"/>
      <c r="X53" s="1">
        <f t="shared" ca="1" si="14"/>
        <v>1</v>
      </c>
      <c r="Z53" s="1">
        <f t="shared" si="15"/>
        <v>0</v>
      </c>
      <c r="AA53" s="1">
        <f t="shared" si="15"/>
        <v>0</v>
      </c>
      <c r="AB53" s="1">
        <f t="shared" si="15"/>
        <v>0</v>
      </c>
      <c r="AC53" s="1">
        <f t="shared" si="15"/>
        <v>0</v>
      </c>
      <c r="AD53" s="1">
        <f t="shared" si="15"/>
        <v>0</v>
      </c>
      <c r="AE53" s="1">
        <f t="shared" si="15"/>
        <v>0</v>
      </c>
      <c r="AF53" s="1">
        <f t="shared" si="15"/>
        <v>0</v>
      </c>
      <c r="AG53" s="1">
        <f t="shared" si="15"/>
        <v>0</v>
      </c>
      <c r="AH53" s="1">
        <f t="shared" si="15"/>
        <v>0</v>
      </c>
      <c r="AI53" s="1">
        <f t="shared" si="15"/>
        <v>0</v>
      </c>
      <c r="AJ53" s="1">
        <f t="shared" si="15"/>
        <v>0</v>
      </c>
      <c r="AK53" s="1">
        <f t="shared" si="15"/>
        <v>0</v>
      </c>
    </row>
    <row r="54" spans="1:37" ht="14.1" customHeight="1" x14ac:dyDescent="0.2">
      <c r="B54" s="88"/>
      <c r="C54" s="304"/>
      <c r="D54" s="304"/>
      <c r="E54" s="304"/>
      <c r="F54" s="304"/>
      <c r="G54" s="304"/>
      <c r="H54" s="89"/>
      <c r="N54" s="16">
        <v>46</v>
      </c>
      <c r="O54" s="65"/>
      <c r="P54" s="55"/>
      <c r="Q54" s="56"/>
      <c r="R54" s="57"/>
      <c r="S54" s="58"/>
      <c r="T54" s="59"/>
      <c r="U54" s="60"/>
      <c r="V54" s="62"/>
      <c r="X54" s="1">
        <f t="shared" ca="1" si="14"/>
        <v>1</v>
      </c>
      <c r="Z54" s="1">
        <f t="shared" si="15"/>
        <v>0</v>
      </c>
      <c r="AA54" s="1">
        <f t="shared" si="15"/>
        <v>0</v>
      </c>
      <c r="AB54" s="1">
        <f t="shared" si="15"/>
        <v>0</v>
      </c>
      <c r="AC54" s="1">
        <f t="shared" si="15"/>
        <v>0</v>
      </c>
      <c r="AD54" s="1">
        <f t="shared" si="15"/>
        <v>0</v>
      </c>
      <c r="AE54" s="1">
        <f t="shared" si="15"/>
        <v>0</v>
      </c>
      <c r="AF54" s="1">
        <f t="shared" si="15"/>
        <v>0</v>
      </c>
      <c r="AG54" s="1">
        <f t="shared" si="15"/>
        <v>0</v>
      </c>
      <c r="AH54" s="1">
        <f t="shared" si="15"/>
        <v>0</v>
      </c>
      <c r="AI54" s="1">
        <f t="shared" si="15"/>
        <v>0</v>
      </c>
      <c r="AJ54" s="1">
        <f t="shared" si="15"/>
        <v>0</v>
      </c>
      <c r="AK54" s="1">
        <f t="shared" si="15"/>
        <v>0</v>
      </c>
    </row>
    <row r="55" spans="1:37" ht="14.1" customHeight="1" x14ac:dyDescent="0.2">
      <c r="B55" s="46"/>
      <c r="C55" s="271" t="s">
        <v>4</v>
      </c>
      <c r="D55" s="273" t="s">
        <v>5</v>
      </c>
      <c r="E55" s="310"/>
      <c r="F55" s="310"/>
      <c r="G55" s="276" t="s">
        <v>97</v>
      </c>
      <c r="H55" s="89"/>
      <c r="N55" s="12">
        <v>47</v>
      </c>
      <c r="O55" s="65"/>
      <c r="P55" s="49"/>
      <c r="Q55" s="50"/>
      <c r="R55" s="51"/>
      <c r="S55" s="52"/>
      <c r="T55" s="53"/>
      <c r="U55" s="54"/>
      <c r="V55" s="62"/>
      <c r="X55" s="1">
        <f t="shared" ca="1" si="14"/>
        <v>1</v>
      </c>
      <c r="Z55" s="1">
        <f t="shared" si="15"/>
        <v>0</v>
      </c>
      <c r="AA55" s="1">
        <f t="shared" si="15"/>
        <v>0</v>
      </c>
      <c r="AB55" s="1">
        <f t="shared" si="15"/>
        <v>0</v>
      </c>
      <c r="AC55" s="1">
        <f t="shared" si="15"/>
        <v>0</v>
      </c>
      <c r="AD55" s="1">
        <f t="shared" si="15"/>
        <v>0</v>
      </c>
      <c r="AE55" s="1">
        <f t="shared" si="15"/>
        <v>0</v>
      </c>
      <c r="AF55" s="1">
        <f t="shared" si="15"/>
        <v>0</v>
      </c>
      <c r="AG55" s="1">
        <f t="shared" si="15"/>
        <v>0</v>
      </c>
      <c r="AH55" s="1">
        <f t="shared" si="15"/>
        <v>0</v>
      </c>
      <c r="AI55" s="1">
        <f t="shared" si="15"/>
        <v>0</v>
      </c>
      <c r="AJ55" s="1">
        <f t="shared" si="15"/>
        <v>0</v>
      </c>
      <c r="AK55" s="1">
        <f t="shared" si="15"/>
        <v>0</v>
      </c>
    </row>
    <row r="56" spans="1:37" ht="14.1" customHeight="1" x14ac:dyDescent="0.2">
      <c r="A56" s="3"/>
      <c r="B56" s="44"/>
      <c r="C56" s="272"/>
      <c r="D56" s="274"/>
      <c r="E56" s="311"/>
      <c r="F56" s="311"/>
      <c r="G56" s="305"/>
      <c r="H56" s="90"/>
      <c r="N56" s="16">
        <v>48</v>
      </c>
      <c r="O56" s="65"/>
      <c r="P56" s="55"/>
      <c r="Q56" s="56"/>
      <c r="R56" s="57"/>
      <c r="S56" s="58"/>
      <c r="T56" s="59"/>
      <c r="U56" s="60"/>
      <c r="V56" s="62"/>
      <c r="X56" s="1">
        <f t="shared" ca="1" si="14"/>
        <v>1</v>
      </c>
      <c r="Z56" s="1">
        <f t="shared" si="15"/>
        <v>0</v>
      </c>
      <c r="AA56" s="1">
        <f t="shared" si="15"/>
        <v>0</v>
      </c>
      <c r="AB56" s="1">
        <f t="shared" si="15"/>
        <v>0</v>
      </c>
      <c r="AC56" s="1">
        <f t="shared" si="15"/>
        <v>0</v>
      </c>
      <c r="AD56" s="1">
        <f t="shared" si="15"/>
        <v>0</v>
      </c>
      <c r="AE56" s="1">
        <f t="shared" si="15"/>
        <v>0</v>
      </c>
      <c r="AF56" s="1">
        <f t="shared" si="15"/>
        <v>0</v>
      </c>
      <c r="AG56" s="1">
        <f t="shared" si="15"/>
        <v>0</v>
      </c>
      <c r="AH56" s="1">
        <f t="shared" si="15"/>
        <v>0</v>
      </c>
      <c r="AI56" s="1">
        <f t="shared" si="15"/>
        <v>0</v>
      </c>
      <c r="AJ56" s="1">
        <f t="shared" si="15"/>
        <v>0</v>
      </c>
      <c r="AK56" s="1">
        <f t="shared" si="15"/>
        <v>0</v>
      </c>
    </row>
    <row r="57" spans="1:37" ht="14.1" customHeight="1" x14ac:dyDescent="0.2">
      <c r="A57" s="12">
        <v>1</v>
      </c>
      <c r="B57" s="64"/>
      <c r="C57" s="101" t="str">
        <f>ANUAL!$C141</f>
        <v>M01</v>
      </c>
      <c r="D57" s="303" t="str">
        <f>ANUAL!$D141</f>
        <v>MORADIA – CONDOMÍNIO</v>
      </c>
      <c r="E57" s="303"/>
      <c r="F57" s="303"/>
      <c r="G57" s="102">
        <f t="shared" ref="G57:G88" si="16">SUMIF(U$9:U$88,C57,T$9:T$88)</f>
        <v>0</v>
      </c>
      <c r="H57" s="61"/>
      <c r="N57" s="12">
        <v>49</v>
      </c>
      <c r="O57" s="65"/>
      <c r="P57" s="49"/>
      <c r="Q57" s="50"/>
      <c r="R57" s="51"/>
      <c r="S57" s="52"/>
      <c r="T57" s="53"/>
      <c r="U57" s="54"/>
      <c r="V57" s="62"/>
      <c r="X57" s="1">
        <f t="shared" ca="1" si="14"/>
        <v>1</v>
      </c>
      <c r="Z57" s="1">
        <f t="shared" si="15"/>
        <v>0</v>
      </c>
      <c r="AA57" s="1">
        <f t="shared" si="15"/>
        <v>0</v>
      </c>
      <c r="AB57" s="1">
        <f t="shared" si="15"/>
        <v>0</v>
      </c>
      <c r="AC57" s="1">
        <f t="shared" si="15"/>
        <v>0</v>
      </c>
      <c r="AD57" s="1">
        <f t="shared" si="15"/>
        <v>0</v>
      </c>
      <c r="AE57" s="1">
        <f t="shared" si="15"/>
        <v>0</v>
      </c>
      <c r="AF57" s="1">
        <f t="shared" si="15"/>
        <v>0</v>
      </c>
      <c r="AG57" s="1">
        <f t="shared" si="15"/>
        <v>0</v>
      </c>
      <c r="AH57" s="1">
        <f t="shared" si="15"/>
        <v>0</v>
      </c>
      <c r="AI57" s="1">
        <f t="shared" si="15"/>
        <v>0</v>
      </c>
      <c r="AJ57" s="1">
        <f t="shared" si="15"/>
        <v>0</v>
      </c>
      <c r="AK57" s="1">
        <f t="shared" si="15"/>
        <v>0</v>
      </c>
    </row>
    <row r="58" spans="1:37" ht="14.1" customHeight="1" x14ac:dyDescent="0.2">
      <c r="A58" s="16">
        <v>2</v>
      </c>
      <c r="B58" s="65"/>
      <c r="C58" s="103" t="str">
        <f>ANUAL!$C142</f>
        <v>M02</v>
      </c>
      <c r="D58" s="302" t="str">
        <f>ANUAL!$D142</f>
        <v>MORADIA – IPTU</v>
      </c>
      <c r="E58" s="302"/>
      <c r="F58" s="302"/>
      <c r="G58" s="104">
        <f t="shared" si="16"/>
        <v>0</v>
      </c>
      <c r="H58" s="62"/>
      <c r="N58" s="16">
        <v>50</v>
      </c>
      <c r="O58" s="65"/>
      <c r="P58" s="55"/>
      <c r="Q58" s="56"/>
      <c r="R58" s="57"/>
      <c r="S58" s="58"/>
      <c r="T58" s="59"/>
      <c r="U58" s="60"/>
      <c r="V58" s="62"/>
      <c r="X58" s="1">
        <f t="shared" ca="1" si="14"/>
        <v>1</v>
      </c>
      <c r="Z58" s="1">
        <f t="shared" si="15"/>
        <v>0</v>
      </c>
      <c r="AA58" s="1">
        <f t="shared" si="15"/>
        <v>0</v>
      </c>
      <c r="AB58" s="1">
        <f t="shared" si="15"/>
        <v>0</v>
      </c>
      <c r="AC58" s="1">
        <f t="shared" si="15"/>
        <v>0</v>
      </c>
      <c r="AD58" s="1">
        <f t="shared" si="15"/>
        <v>0</v>
      </c>
      <c r="AE58" s="1">
        <f t="shared" si="15"/>
        <v>0</v>
      </c>
      <c r="AF58" s="1">
        <f t="shared" si="15"/>
        <v>0</v>
      </c>
      <c r="AG58" s="1">
        <f t="shared" si="15"/>
        <v>0</v>
      </c>
      <c r="AH58" s="1">
        <f t="shared" si="15"/>
        <v>0</v>
      </c>
      <c r="AI58" s="1">
        <f t="shared" si="15"/>
        <v>0</v>
      </c>
      <c r="AJ58" s="1">
        <f t="shared" si="15"/>
        <v>0</v>
      </c>
      <c r="AK58" s="1">
        <f t="shared" si="15"/>
        <v>0</v>
      </c>
    </row>
    <row r="59" spans="1:37" ht="14.1" customHeight="1" x14ac:dyDescent="0.2">
      <c r="A59" s="12">
        <v>3</v>
      </c>
      <c r="B59" s="65"/>
      <c r="C59" s="101" t="str">
        <f>ANUAL!$C143</f>
        <v>M03</v>
      </c>
      <c r="D59" s="303" t="str">
        <f>ANUAL!$D143</f>
        <v>MORADIA – ALUGUEL</v>
      </c>
      <c r="E59" s="303"/>
      <c r="F59" s="303"/>
      <c r="G59" s="102">
        <f t="shared" si="16"/>
        <v>0</v>
      </c>
      <c r="H59" s="62"/>
      <c r="N59" s="12">
        <v>51</v>
      </c>
      <c r="O59" s="65"/>
      <c r="P59" s="49"/>
      <c r="Q59" s="50"/>
      <c r="R59" s="51"/>
      <c r="S59" s="52"/>
      <c r="T59" s="53"/>
      <c r="U59" s="54"/>
      <c r="V59" s="62"/>
      <c r="X59" s="1">
        <f t="shared" ca="1" si="14"/>
        <v>1</v>
      </c>
      <c r="Z59" s="1">
        <f t="shared" ref="Z59:AK68" si="17">IF(Z$8=$R59,-$T59,0)+IF(Z$8=$S59,$T59,0)</f>
        <v>0</v>
      </c>
      <c r="AA59" s="1">
        <f t="shared" si="17"/>
        <v>0</v>
      </c>
      <c r="AB59" s="1">
        <f t="shared" si="17"/>
        <v>0</v>
      </c>
      <c r="AC59" s="1">
        <f t="shared" si="17"/>
        <v>0</v>
      </c>
      <c r="AD59" s="1">
        <f t="shared" si="17"/>
        <v>0</v>
      </c>
      <c r="AE59" s="1">
        <f t="shared" si="17"/>
        <v>0</v>
      </c>
      <c r="AF59" s="1">
        <f t="shared" si="17"/>
        <v>0</v>
      </c>
      <c r="AG59" s="1">
        <f t="shared" si="17"/>
        <v>0</v>
      </c>
      <c r="AH59" s="1">
        <f t="shared" si="17"/>
        <v>0</v>
      </c>
      <c r="AI59" s="1">
        <f t="shared" si="17"/>
        <v>0</v>
      </c>
      <c r="AJ59" s="1">
        <f t="shared" si="17"/>
        <v>0</v>
      </c>
      <c r="AK59" s="1">
        <f t="shared" si="17"/>
        <v>0</v>
      </c>
    </row>
    <row r="60" spans="1:37" ht="14.1" customHeight="1" x14ac:dyDescent="0.2">
      <c r="A60" s="16">
        <v>4</v>
      </c>
      <c r="B60" s="65"/>
      <c r="C60" s="103" t="str">
        <f>ANUAL!$C144</f>
        <v>M04</v>
      </c>
      <c r="D60" s="302" t="str">
        <f>ANUAL!$D144</f>
        <v>MORADIA – REFORMA</v>
      </c>
      <c r="E60" s="302"/>
      <c r="F60" s="302"/>
      <c r="G60" s="104">
        <f t="shared" si="16"/>
        <v>0</v>
      </c>
      <c r="H60" s="62"/>
      <c r="N60" s="16">
        <v>52</v>
      </c>
      <c r="O60" s="65"/>
      <c r="P60" s="55"/>
      <c r="Q60" s="56"/>
      <c r="R60" s="57"/>
      <c r="S60" s="58"/>
      <c r="T60" s="59"/>
      <c r="U60" s="60"/>
      <c r="V60" s="62"/>
      <c r="X60" s="1">
        <f t="shared" ca="1" si="14"/>
        <v>1</v>
      </c>
      <c r="Z60" s="1">
        <f t="shared" si="17"/>
        <v>0</v>
      </c>
      <c r="AA60" s="1">
        <f t="shared" si="17"/>
        <v>0</v>
      </c>
      <c r="AB60" s="1">
        <f t="shared" si="17"/>
        <v>0</v>
      </c>
      <c r="AC60" s="1">
        <f t="shared" si="17"/>
        <v>0</v>
      </c>
      <c r="AD60" s="1">
        <f t="shared" si="17"/>
        <v>0</v>
      </c>
      <c r="AE60" s="1">
        <f t="shared" si="17"/>
        <v>0</v>
      </c>
      <c r="AF60" s="1">
        <f t="shared" si="17"/>
        <v>0</v>
      </c>
      <c r="AG60" s="1">
        <f t="shared" si="17"/>
        <v>0</v>
      </c>
      <c r="AH60" s="1">
        <f t="shared" si="17"/>
        <v>0</v>
      </c>
      <c r="AI60" s="1">
        <f t="shared" si="17"/>
        <v>0</v>
      </c>
      <c r="AJ60" s="1">
        <f t="shared" si="17"/>
        <v>0</v>
      </c>
      <c r="AK60" s="1">
        <f t="shared" si="17"/>
        <v>0</v>
      </c>
    </row>
    <row r="61" spans="1:37" ht="14.1" customHeight="1" x14ac:dyDescent="0.2">
      <c r="A61" s="12">
        <v>5</v>
      </c>
      <c r="B61" s="65"/>
      <c r="C61" s="101" t="str">
        <f>ANUAL!$C145</f>
        <v>U01</v>
      </c>
      <c r="D61" s="303" t="str">
        <f>ANUAL!$D145</f>
        <v>UTILITIES – ENERGIA ELÉTRICA</v>
      </c>
      <c r="E61" s="303"/>
      <c r="F61" s="303"/>
      <c r="G61" s="102">
        <f t="shared" si="16"/>
        <v>0</v>
      </c>
      <c r="H61" s="62"/>
      <c r="N61" s="12">
        <v>53</v>
      </c>
      <c r="O61" s="65"/>
      <c r="P61" s="49"/>
      <c r="Q61" s="50"/>
      <c r="R61" s="51"/>
      <c r="S61" s="52"/>
      <c r="T61" s="53"/>
      <c r="U61" s="54"/>
      <c r="V61" s="62"/>
      <c r="X61" s="1">
        <f t="shared" ca="1" si="14"/>
        <v>1</v>
      </c>
      <c r="Z61" s="1">
        <f t="shared" si="17"/>
        <v>0</v>
      </c>
      <c r="AA61" s="1">
        <f t="shared" si="17"/>
        <v>0</v>
      </c>
      <c r="AB61" s="1">
        <f t="shared" si="17"/>
        <v>0</v>
      </c>
      <c r="AC61" s="1">
        <f t="shared" si="17"/>
        <v>0</v>
      </c>
      <c r="AD61" s="1">
        <f t="shared" si="17"/>
        <v>0</v>
      </c>
      <c r="AE61" s="1">
        <f t="shared" si="17"/>
        <v>0</v>
      </c>
      <c r="AF61" s="1">
        <f t="shared" si="17"/>
        <v>0</v>
      </c>
      <c r="AG61" s="1">
        <f t="shared" si="17"/>
        <v>0</v>
      </c>
      <c r="AH61" s="1">
        <f t="shared" si="17"/>
        <v>0</v>
      </c>
      <c r="AI61" s="1">
        <f t="shared" si="17"/>
        <v>0</v>
      </c>
      <c r="AJ61" s="1">
        <f t="shared" si="17"/>
        <v>0</v>
      </c>
      <c r="AK61" s="1">
        <f t="shared" si="17"/>
        <v>0</v>
      </c>
    </row>
    <row r="62" spans="1:37" ht="14.1" customHeight="1" x14ac:dyDescent="0.2">
      <c r="A62" s="16">
        <v>6</v>
      </c>
      <c r="B62" s="65"/>
      <c r="C62" s="103" t="str">
        <f>ANUAL!$C146</f>
        <v>U02</v>
      </c>
      <c r="D62" s="302" t="str">
        <f>ANUAL!$D146</f>
        <v>UTILITIES – ÁGUA POTÁVEL</v>
      </c>
      <c r="E62" s="302"/>
      <c r="F62" s="302"/>
      <c r="G62" s="104">
        <f t="shared" si="16"/>
        <v>0</v>
      </c>
      <c r="H62" s="62"/>
      <c r="N62" s="16">
        <v>54</v>
      </c>
      <c r="O62" s="65"/>
      <c r="P62" s="55"/>
      <c r="Q62" s="56"/>
      <c r="R62" s="57"/>
      <c r="S62" s="58"/>
      <c r="T62" s="59"/>
      <c r="U62" s="60"/>
      <c r="V62" s="62"/>
      <c r="X62" s="1">
        <f t="shared" ca="1" si="14"/>
        <v>1</v>
      </c>
      <c r="Z62" s="1">
        <f t="shared" si="17"/>
        <v>0</v>
      </c>
      <c r="AA62" s="1">
        <f t="shared" si="17"/>
        <v>0</v>
      </c>
      <c r="AB62" s="1">
        <f t="shared" si="17"/>
        <v>0</v>
      </c>
      <c r="AC62" s="1">
        <f t="shared" si="17"/>
        <v>0</v>
      </c>
      <c r="AD62" s="1">
        <f t="shared" si="17"/>
        <v>0</v>
      </c>
      <c r="AE62" s="1">
        <f t="shared" si="17"/>
        <v>0</v>
      </c>
      <c r="AF62" s="1">
        <f t="shared" si="17"/>
        <v>0</v>
      </c>
      <c r="AG62" s="1">
        <f t="shared" si="17"/>
        <v>0</v>
      </c>
      <c r="AH62" s="1">
        <f t="shared" si="17"/>
        <v>0</v>
      </c>
      <c r="AI62" s="1">
        <f t="shared" si="17"/>
        <v>0</v>
      </c>
      <c r="AJ62" s="1">
        <f t="shared" si="17"/>
        <v>0</v>
      </c>
      <c r="AK62" s="1">
        <f t="shared" si="17"/>
        <v>0</v>
      </c>
    </row>
    <row r="63" spans="1:37" ht="14.1" customHeight="1" x14ac:dyDescent="0.2">
      <c r="A63" s="12">
        <v>7</v>
      </c>
      <c r="B63" s="65"/>
      <c r="C63" s="101" t="str">
        <f>ANUAL!$C147</f>
        <v>U03</v>
      </c>
      <c r="D63" s="303" t="str">
        <f>ANUAL!$D147</f>
        <v>UTILITIES – DIVERSOS (ÁGUA, GÁS, SERV. GERAIS)</v>
      </c>
      <c r="E63" s="303"/>
      <c r="F63" s="303"/>
      <c r="G63" s="102">
        <f t="shared" si="16"/>
        <v>0</v>
      </c>
      <c r="H63" s="62"/>
      <c r="N63" s="12">
        <v>55</v>
      </c>
      <c r="O63" s="65"/>
      <c r="P63" s="49"/>
      <c r="Q63" s="50"/>
      <c r="R63" s="51"/>
      <c r="S63" s="52"/>
      <c r="T63" s="53"/>
      <c r="U63" s="54"/>
      <c r="V63" s="62"/>
      <c r="X63" s="1">
        <f t="shared" ca="1" si="14"/>
        <v>1</v>
      </c>
      <c r="Y63" s="30"/>
      <c r="Z63" s="1">
        <f t="shared" si="17"/>
        <v>0</v>
      </c>
      <c r="AA63" s="1">
        <f t="shared" si="17"/>
        <v>0</v>
      </c>
      <c r="AB63" s="1">
        <f t="shared" si="17"/>
        <v>0</v>
      </c>
      <c r="AC63" s="1">
        <f t="shared" si="17"/>
        <v>0</v>
      </c>
      <c r="AD63" s="1">
        <f t="shared" si="17"/>
        <v>0</v>
      </c>
      <c r="AE63" s="1">
        <f t="shared" si="17"/>
        <v>0</v>
      </c>
      <c r="AF63" s="1">
        <f t="shared" si="17"/>
        <v>0</v>
      </c>
      <c r="AG63" s="1">
        <f t="shared" si="17"/>
        <v>0</v>
      </c>
      <c r="AH63" s="1">
        <f t="shared" si="17"/>
        <v>0</v>
      </c>
      <c r="AI63" s="1">
        <f t="shared" si="17"/>
        <v>0</v>
      </c>
      <c r="AJ63" s="1">
        <f t="shared" si="17"/>
        <v>0</v>
      </c>
      <c r="AK63" s="1">
        <f t="shared" si="17"/>
        <v>0</v>
      </c>
    </row>
    <row r="64" spans="1:37" ht="14.1" customHeight="1" x14ac:dyDescent="0.2">
      <c r="A64" s="16">
        <v>8</v>
      </c>
      <c r="B64" s="65"/>
      <c r="C64" s="103" t="str">
        <f>ANUAL!$C148</f>
        <v>S01</v>
      </c>
      <c r="D64" s="302" t="str">
        <f>ANUAL!$D148</f>
        <v>SAÚDE – PLANO DE SAÚDE</v>
      </c>
      <c r="E64" s="302"/>
      <c r="F64" s="302"/>
      <c r="G64" s="104">
        <f t="shared" si="16"/>
        <v>0</v>
      </c>
      <c r="H64" s="62"/>
      <c r="N64" s="16">
        <v>56</v>
      </c>
      <c r="O64" s="65"/>
      <c r="P64" s="55"/>
      <c r="Q64" s="56"/>
      <c r="R64" s="57"/>
      <c r="S64" s="58"/>
      <c r="T64" s="59"/>
      <c r="U64" s="60"/>
      <c r="V64" s="62"/>
      <c r="X64" s="1">
        <f t="shared" ca="1" si="14"/>
        <v>1</v>
      </c>
      <c r="Z64" s="1">
        <f t="shared" si="17"/>
        <v>0</v>
      </c>
      <c r="AA64" s="1">
        <f t="shared" si="17"/>
        <v>0</v>
      </c>
      <c r="AB64" s="1">
        <f t="shared" si="17"/>
        <v>0</v>
      </c>
      <c r="AC64" s="1">
        <f t="shared" si="17"/>
        <v>0</v>
      </c>
      <c r="AD64" s="1">
        <f t="shared" si="17"/>
        <v>0</v>
      </c>
      <c r="AE64" s="1">
        <f t="shared" si="17"/>
        <v>0</v>
      </c>
      <c r="AF64" s="1">
        <f t="shared" si="17"/>
        <v>0</v>
      </c>
      <c r="AG64" s="1">
        <f t="shared" si="17"/>
        <v>0</v>
      </c>
      <c r="AH64" s="1">
        <f t="shared" si="17"/>
        <v>0</v>
      </c>
      <c r="AI64" s="1">
        <f t="shared" si="17"/>
        <v>0</v>
      </c>
      <c r="AJ64" s="1">
        <f t="shared" si="17"/>
        <v>0</v>
      </c>
      <c r="AK64" s="1">
        <f t="shared" si="17"/>
        <v>0</v>
      </c>
    </row>
    <row r="65" spans="1:37" ht="14.1" customHeight="1" x14ac:dyDescent="0.2">
      <c r="A65" s="12">
        <v>9</v>
      </c>
      <c r="B65" s="65"/>
      <c r="C65" s="101" t="str">
        <f>ANUAL!$C149</f>
        <v>S02</v>
      </c>
      <c r="D65" s="303" t="str">
        <f>ANUAL!$D149</f>
        <v>SAÚDE – REMÉDIOS</v>
      </c>
      <c r="E65" s="303"/>
      <c r="F65" s="303"/>
      <c r="G65" s="102">
        <f t="shared" si="16"/>
        <v>0</v>
      </c>
      <c r="H65" s="62"/>
      <c r="N65" s="12">
        <v>57</v>
      </c>
      <c r="O65" s="65"/>
      <c r="P65" s="49"/>
      <c r="Q65" s="50"/>
      <c r="R65" s="51"/>
      <c r="S65" s="52"/>
      <c r="T65" s="53"/>
      <c r="U65" s="54"/>
      <c r="V65" s="62"/>
      <c r="X65" s="1">
        <f t="shared" ca="1" si="14"/>
        <v>1</v>
      </c>
      <c r="Z65" s="1">
        <f t="shared" si="17"/>
        <v>0</v>
      </c>
      <c r="AA65" s="1">
        <f t="shared" si="17"/>
        <v>0</v>
      </c>
      <c r="AB65" s="1">
        <f t="shared" si="17"/>
        <v>0</v>
      </c>
      <c r="AC65" s="1">
        <f t="shared" si="17"/>
        <v>0</v>
      </c>
      <c r="AD65" s="1">
        <f t="shared" si="17"/>
        <v>0</v>
      </c>
      <c r="AE65" s="1">
        <f t="shared" si="17"/>
        <v>0</v>
      </c>
      <c r="AF65" s="1">
        <f t="shared" si="17"/>
        <v>0</v>
      </c>
      <c r="AG65" s="1">
        <f t="shared" si="17"/>
        <v>0</v>
      </c>
      <c r="AH65" s="1">
        <f t="shared" si="17"/>
        <v>0</v>
      </c>
      <c r="AI65" s="1">
        <f t="shared" si="17"/>
        <v>0</v>
      </c>
      <c r="AJ65" s="1">
        <f t="shared" si="17"/>
        <v>0</v>
      </c>
      <c r="AK65" s="1">
        <f t="shared" si="17"/>
        <v>0</v>
      </c>
    </row>
    <row r="66" spans="1:37" ht="14.1" customHeight="1" x14ac:dyDescent="0.2">
      <c r="A66" s="16">
        <v>10</v>
      </c>
      <c r="B66" s="65"/>
      <c r="C66" s="103" t="str">
        <f>ANUAL!$C150</f>
        <v>S03</v>
      </c>
      <c r="D66" s="302" t="str">
        <f>ANUAL!$D150</f>
        <v>SAÚDE – ACADEMIA</v>
      </c>
      <c r="E66" s="302"/>
      <c r="F66" s="302"/>
      <c r="G66" s="104">
        <f t="shared" si="16"/>
        <v>0</v>
      </c>
      <c r="H66" s="62"/>
      <c r="N66" s="16">
        <v>58</v>
      </c>
      <c r="O66" s="65"/>
      <c r="P66" s="55"/>
      <c r="Q66" s="56"/>
      <c r="R66" s="57"/>
      <c r="S66" s="58"/>
      <c r="T66" s="59"/>
      <c r="U66" s="60"/>
      <c r="V66" s="62"/>
      <c r="X66" s="1">
        <f t="shared" ca="1" si="14"/>
        <v>1</v>
      </c>
      <c r="Z66" s="1">
        <f t="shared" si="17"/>
        <v>0</v>
      </c>
      <c r="AA66" s="1">
        <f t="shared" si="17"/>
        <v>0</v>
      </c>
      <c r="AB66" s="1">
        <f t="shared" si="17"/>
        <v>0</v>
      </c>
      <c r="AC66" s="1">
        <f t="shared" si="17"/>
        <v>0</v>
      </c>
      <c r="AD66" s="1">
        <f t="shared" si="17"/>
        <v>0</v>
      </c>
      <c r="AE66" s="1">
        <f t="shared" si="17"/>
        <v>0</v>
      </c>
      <c r="AF66" s="1">
        <f t="shared" si="17"/>
        <v>0</v>
      </c>
      <c r="AG66" s="1">
        <f t="shared" si="17"/>
        <v>0</v>
      </c>
      <c r="AH66" s="1">
        <f t="shared" si="17"/>
        <v>0</v>
      </c>
      <c r="AI66" s="1">
        <f t="shared" si="17"/>
        <v>0</v>
      </c>
      <c r="AJ66" s="1">
        <f t="shared" si="17"/>
        <v>0</v>
      </c>
      <c r="AK66" s="1">
        <f t="shared" si="17"/>
        <v>0</v>
      </c>
    </row>
    <row r="67" spans="1:37" ht="14.1" customHeight="1" x14ac:dyDescent="0.2">
      <c r="A67" s="12">
        <v>11</v>
      </c>
      <c r="B67" s="65"/>
      <c r="C67" s="101" t="str">
        <f>ANUAL!$C151</f>
        <v>C01</v>
      </c>
      <c r="D67" s="303" t="str">
        <f>ANUAL!$D151</f>
        <v>COMPRAS</v>
      </c>
      <c r="E67" s="303"/>
      <c r="F67" s="303"/>
      <c r="G67" s="102">
        <f t="shared" si="16"/>
        <v>0</v>
      </c>
      <c r="H67" s="62"/>
      <c r="N67" s="12">
        <v>59</v>
      </c>
      <c r="O67" s="65"/>
      <c r="P67" s="49"/>
      <c r="Q67" s="50"/>
      <c r="R67" s="51"/>
      <c r="S67" s="52"/>
      <c r="T67" s="53"/>
      <c r="U67" s="54"/>
      <c r="V67" s="62"/>
      <c r="X67" s="1">
        <f t="shared" ca="1" si="14"/>
        <v>1</v>
      </c>
      <c r="Z67" s="1">
        <f t="shared" si="17"/>
        <v>0</v>
      </c>
      <c r="AA67" s="1">
        <f t="shared" si="17"/>
        <v>0</v>
      </c>
      <c r="AB67" s="1">
        <f t="shared" si="17"/>
        <v>0</v>
      </c>
      <c r="AC67" s="1">
        <f t="shared" si="17"/>
        <v>0</v>
      </c>
      <c r="AD67" s="1">
        <f t="shared" si="17"/>
        <v>0</v>
      </c>
      <c r="AE67" s="1">
        <f t="shared" si="17"/>
        <v>0</v>
      </c>
      <c r="AF67" s="1">
        <f t="shared" si="17"/>
        <v>0</v>
      </c>
      <c r="AG67" s="1">
        <f t="shared" si="17"/>
        <v>0</v>
      </c>
      <c r="AH67" s="1">
        <f t="shared" si="17"/>
        <v>0</v>
      </c>
      <c r="AI67" s="1">
        <f t="shared" si="17"/>
        <v>0</v>
      </c>
      <c r="AJ67" s="1">
        <f t="shared" si="17"/>
        <v>0</v>
      </c>
      <c r="AK67" s="1">
        <f t="shared" si="17"/>
        <v>0</v>
      </c>
    </row>
    <row r="68" spans="1:37" ht="14.1" customHeight="1" x14ac:dyDescent="0.2">
      <c r="A68" s="16">
        <v>12</v>
      </c>
      <c r="B68" s="65"/>
      <c r="C68" s="103" t="str">
        <f>ANUAL!$C152</f>
        <v>L01</v>
      </c>
      <c r="D68" s="302" t="str">
        <f>ANUAL!$D152</f>
        <v>LAZER</v>
      </c>
      <c r="E68" s="302"/>
      <c r="F68" s="302"/>
      <c r="G68" s="104">
        <f t="shared" si="16"/>
        <v>0</v>
      </c>
      <c r="H68" s="62"/>
      <c r="N68" s="16">
        <v>60</v>
      </c>
      <c r="O68" s="65"/>
      <c r="P68" s="55"/>
      <c r="Q68" s="56"/>
      <c r="R68" s="57"/>
      <c r="S68" s="58"/>
      <c r="T68" s="59"/>
      <c r="U68" s="60"/>
      <c r="V68" s="62"/>
      <c r="X68" s="1">
        <f t="shared" ca="1" si="14"/>
        <v>1</v>
      </c>
      <c r="Z68" s="1">
        <f t="shared" si="17"/>
        <v>0</v>
      </c>
      <c r="AA68" s="1">
        <f t="shared" si="17"/>
        <v>0</v>
      </c>
      <c r="AB68" s="1">
        <f t="shared" si="17"/>
        <v>0</v>
      </c>
      <c r="AC68" s="1">
        <f t="shared" si="17"/>
        <v>0</v>
      </c>
      <c r="AD68" s="1">
        <f t="shared" si="17"/>
        <v>0</v>
      </c>
      <c r="AE68" s="1">
        <f t="shared" si="17"/>
        <v>0</v>
      </c>
      <c r="AF68" s="1">
        <f t="shared" si="17"/>
        <v>0</v>
      </c>
      <c r="AG68" s="1">
        <f t="shared" si="17"/>
        <v>0</v>
      </c>
      <c r="AH68" s="1">
        <f t="shared" si="17"/>
        <v>0</v>
      </c>
      <c r="AI68" s="1">
        <f t="shared" si="17"/>
        <v>0</v>
      </c>
      <c r="AJ68" s="1">
        <f t="shared" si="17"/>
        <v>0</v>
      </c>
      <c r="AK68" s="1">
        <f t="shared" si="17"/>
        <v>0</v>
      </c>
    </row>
    <row r="69" spans="1:37" ht="14.1" customHeight="1" x14ac:dyDescent="0.2">
      <c r="A69" s="12">
        <v>13</v>
      </c>
      <c r="B69" s="65"/>
      <c r="C69" s="101" t="str">
        <f>ANUAL!$C153</f>
        <v>A01</v>
      </c>
      <c r="D69" s="303" t="str">
        <f>ANUAL!$D153</f>
        <v>ALIMENTAÇÃO – ALMOÇO</v>
      </c>
      <c r="E69" s="303"/>
      <c r="F69" s="303"/>
      <c r="G69" s="102">
        <f t="shared" si="16"/>
        <v>0</v>
      </c>
      <c r="H69" s="62"/>
      <c r="N69" s="12">
        <v>61</v>
      </c>
      <c r="O69" s="65"/>
      <c r="P69" s="49"/>
      <c r="Q69" s="50"/>
      <c r="R69" s="51"/>
      <c r="S69" s="52"/>
      <c r="T69" s="53"/>
      <c r="U69" s="54"/>
      <c r="V69" s="62"/>
      <c r="X69" s="1">
        <f t="shared" ca="1" si="14"/>
        <v>1</v>
      </c>
      <c r="Z69" s="1">
        <f t="shared" ref="Z69:AK78" si="18">IF(Z$8=$R69,-$T69,0)+IF(Z$8=$S69,$T69,0)</f>
        <v>0</v>
      </c>
      <c r="AA69" s="1">
        <f t="shared" si="18"/>
        <v>0</v>
      </c>
      <c r="AB69" s="1">
        <f t="shared" si="18"/>
        <v>0</v>
      </c>
      <c r="AC69" s="1">
        <f t="shared" si="18"/>
        <v>0</v>
      </c>
      <c r="AD69" s="1">
        <f t="shared" si="18"/>
        <v>0</v>
      </c>
      <c r="AE69" s="1">
        <f t="shared" si="18"/>
        <v>0</v>
      </c>
      <c r="AF69" s="1">
        <f t="shared" si="18"/>
        <v>0</v>
      </c>
      <c r="AG69" s="1">
        <f t="shared" si="18"/>
        <v>0</v>
      </c>
      <c r="AH69" s="1">
        <f t="shared" si="18"/>
        <v>0</v>
      </c>
      <c r="AI69" s="1">
        <f t="shared" si="18"/>
        <v>0</v>
      </c>
      <c r="AJ69" s="1">
        <f t="shared" si="18"/>
        <v>0</v>
      </c>
      <c r="AK69" s="1">
        <f t="shared" si="18"/>
        <v>0</v>
      </c>
    </row>
    <row r="70" spans="1:37" ht="14.1" customHeight="1" x14ac:dyDescent="0.2">
      <c r="A70" s="16">
        <v>14</v>
      </c>
      <c r="B70" s="65"/>
      <c r="C70" s="103" t="str">
        <f>ANUAL!$C154</f>
        <v>A02</v>
      </c>
      <c r="D70" s="302" t="str">
        <f>ANUAL!$D154</f>
        <v>ALIMENTAÇÃO – COMPRA MENSAL</v>
      </c>
      <c r="E70" s="302"/>
      <c r="F70" s="302"/>
      <c r="G70" s="104">
        <f t="shared" si="16"/>
        <v>0</v>
      </c>
      <c r="H70" s="62"/>
      <c r="N70" s="16">
        <v>62</v>
      </c>
      <c r="O70" s="65"/>
      <c r="P70" s="55"/>
      <c r="Q70" s="56"/>
      <c r="R70" s="57"/>
      <c r="S70" s="58"/>
      <c r="T70" s="59"/>
      <c r="U70" s="60"/>
      <c r="V70" s="62"/>
      <c r="X70" s="1">
        <f t="shared" ca="1" si="14"/>
        <v>1</v>
      </c>
      <c r="Z70" s="1">
        <f t="shared" si="18"/>
        <v>0</v>
      </c>
      <c r="AA70" s="1">
        <f t="shared" si="18"/>
        <v>0</v>
      </c>
      <c r="AB70" s="1">
        <f t="shared" si="18"/>
        <v>0</v>
      </c>
      <c r="AC70" s="1">
        <f t="shared" si="18"/>
        <v>0</v>
      </c>
      <c r="AD70" s="1">
        <f t="shared" si="18"/>
        <v>0</v>
      </c>
      <c r="AE70" s="1">
        <f t="shared" si="18"/>
        <v>0</v>
      </c>
      <c r="AF70" s="1">
        <f t="shared" si="18"/>
        <v>0</v>
      </c>
      <c r="AG70" s="1">
        <f t="shared" si="18"/>
        <v>0</v>
      </c>
      <c r="AH70" s="1">
        <f t="shared" si="18"/>
        <v>0</v>
      </c>
      <c r="AI70" s="1">
        <f t="shared" si="18"/>
        <v>0</v>
      </c>
      <c r="AJ70" s="1">
        <f t="shared" si="18"/>
        <v>0</v>
      </c>
      <c r="AK70" s="1">
        <f t="shared" si="18"/>
        <v>0</v>
      </c>
    </row>
    <row r="71" spans="1:37" ht="14.1" customHeight="1" x14ac:dyDescent="0.2">
      <c r="A71" s="12">
        <v>15</v>
      </c>
      <c r="B71" s="65"/>
      <c r="C71" s="101" t="str">
        <f>ANUAL!$C155</f>
        <v>A03</v>
      </c>
      <c r="D71" s="303" t="str">
        <f>ANUAL!$D155</f>
        <v>ALIMENTAÇÃO – FEIRAS SEMANAIS</v>
      </c>
      <c r="E71" s="303"/>
      <c r="F71" s="303"/>
      <c r="G71" s="102">
        <f t="shared" si="16"/>
        <v>0</v>
      </c>
      <c r="H71" s="62"/>
      <c r="N71" s="12">
        <v>63</v>
      </c>
      <c r="O71" s="65"/>
      <c r="P71" s="49"/>
      <c r="Q71" s="50"/>
      <c r="R71" s="51"/>
      <c r="S71" s="52"/>
      <c r="T71" s="53"/>
      <c r="U71" s="54"/>
      <c r="V71" s="62"/>
      <c r="X71" s="1">
        <f t="shared" ca="1" si="14"/>
        <v>1</v>
      </c>
      <c r="Z71" s="1">
        <f t="shared" si="18"/>
        <v>0</v>
      </c>
      <c r="AA71" s="1">
        <f t="shared" si="18"/>
        <v>0</v>
      </c>
      <c r="AB71" s="1">
        <f t="shared" si="18"/>
        <v>0</v>
      </c>
      <c r="AC71" s="1">
        <f t="shared" si="18"/>
        <v>0</v>
      </c>
      <c r="AD71" s="1">
        <f t="shared" si="18"/>
        <v>0</v>
      </c>
      <c r="AE71" s="1">
        <f t="shared" si="18"/>
        <v>0</v>
      </c>
      <c r="AF71" s="1">
        <f t="shared" si="18"/>
        <v>0</v>
      </c>
      <c r="AG71" s="1">
        <f t="shared" si="18"/>
        <v>0</v>
      </c>
      <c r="AH71" s="1">
        <f t="shared" si="18"/>
        <v>0</v>
      </c>
      <c r="AI71" s="1">
        <f t="shared" si="18"/>
        <v>0</v>
      </c>
      <c r="AJ71" s="1">
        <f t="shared" si="18"/>
        <v>0</v>
      </c>
      <c r="AK71" s="1">
        <f t="shared" si="18"/>
        <v>0</v>
      </c>
    </row>
    <row r="72" spans="1:37" ht="14.1" customHeight="1" x14ac:dyDescent="0.2">
      <c r="A72" s="16">
        <v>16</v>
      </c>
      <c r="B72" s="65"/>
      <c r="C72" s="103" t="str">
        <f>ANUAL!$C156</f>
        <v>T01</v>
      </c>
      <c r="D72" s="302" t="str">
        <f>ANUAL!$D156</f>
        <v>TELECOM – CELULAR</v>
      </c>
      <c r="E72" s="302"/>
      <c r="F72" s="302"/>
      <c r="G72" s="104">
        <f t="shared" si="16"/>
        <v>0</v>
      </c>
      <c r="H72" s="62"/>
      <c r="N72" s="16">
        <v>64</v>
      </c>
      <c r="O72" s="65"/>
      <c r="P72" s="55"/>
      <c r="Q72" s="56"/>
      <c r="R72" s="57"/>
      <c r="S72" s="58"/>
      <c r="T72" s="59"/>
      <c r="U72" s="60"/>
      <c r="V72" s="62"/>
      <c r="X72" s="1">
        <f t="shared" ca="1" si="14"/>
        <v>1</v>
      </c>
      <c r="Z72" s="1">
        <f t="shared" si="18"/>
        <v>0</v>
      </c>
      <c r="AA72" s="1">
        <f t="shared" si="18"/>
        <v>0</v>
      </c>
      <c r="AB72" s="1">
        <f t="shared" si="18"/>
        <v>0</v>
      </c>
      <c r="AC72" s="1">
        <f t="shared" si="18"/>
        <v>0</v>
      </c>
      <c r="AD72" s="1">
        <f t="shared" si="18"/>
        <v>0</v>
      </c>
      <c r="AE72" s="1">
        <f t="shared" si="18"/>
        <v>0</v>
      </c>
      <c r="AF72" s="1">
        <f t="shared" si="18"/>
        <v>0</v>
      </c>
      <c r="AG72" s="1">
        <f t="shared" si="18"/>
        <v>0</v>
      </c>
      <c r="AH72" s="1">
        <f t="shared" si="18"/>
        <v>0</v>
      </c>
      <c r="AI72" s="1">
        <f t="shared" si="18"/>
        <v>0</v>
      </c>
      <c r="AJ72" s="1">
        <f t="shared" si="18"/>
        <v>0</v>
      </c>
      <c r="AK72" s="1">
        <f t="shared" si="18"/>
        <v>0</v>
      </c>
    </row>
    <row r="73" spans="1:37" ht="14.1" customHeight="1" x14ac:dyDescent="0.2">
      <c r="A73" s="12">
        <v>17</v>
      </c>
      <c r="B73" s="65"/>
      <c r="C73" s="101" t="str">
        <f>ANUAL!$C157</f>
        <v>T02</v>
      </c>
      <c r="D73" s="303" t="str">
        <f>ANUAL!$D157</f>
        <v>TELECOM – INTERNET</v>
      </c>
      <c r="E73" s="303"/>
      <c r="F73" s="303"/>
      <c r="G73" s="102">
        <f t="shared" si="16"/>
        <v>0</v>
      </c>
      <c r="H73" s="62"/>
      <c r="N73" s="12">
        <v>65</v>
      </c>
      <c r="O73" s="65"/>
      <c r="P73" s="49"/>
      <c r="Q73" s="50"/>
      <c r="R73" s="51"/>
      <c r="S73" s="52"/>
      <c r="T73" s="53"/>
      <c r="U73" s="54"/>
      <c r="V73" s="62"/>
      <c r="X73" s="1">
        <f t="shared" ref="X73:X88" ca="1" si="19">IF(P73&lt;NOW(),1,0)</f>
        <v>1</v>
      </c>
      <c r="Z73" s="1">
        <f t="shared" si="18"/>
        <v>0</v>
      </c>
      <c r="AA73" s="1">
        <f t="shared" si="18"/>
        <v>0</v>
      </c>
      <c r="AB73" s="1">
        <f t="shared" si="18"/>
        <v>0</v>
      </c>
      <c r="AC73" s="1">
        <f t="shared" si="18"/>
        <v>0</v>
      </c>
      <c r="AD73" s="1">
        <f t="shared" si="18"/>
        <v>0</v>
      </c>
      <c r="AE73" s="1">
        <f t="shared" si="18"/>
        <v>0</v>
      </c>
      <c r="AF73" s="1">
        <f t="shared" si="18"/>
        <v>0</v>
      </c>
      <c r="AG73" s="1">
        <f t="shared" si="18"/>
        <v>0</v>
      </c>
      <c r="AH73" s="1">
        <f t="shared" si="18"/>
        <v>0</v>
      </c>
      <c r="AI73" s="1">
        <f t="shared" si="18"/>
        <v>0</v>
      </c>
      <c r="AJ73" s="1">
        <f t="shared" si="18"/>
        <v>0</v>
      </c>
      <c r="AK73" s="1">
        <f t="shared" si="18"/>
        <v>0</v>
      </c>
    </row>
    <row r="74" spans="1:37" ht="14.1" customHeight="1" x14ac:dyDescent="0.2">
      <c r="A74" s="16">
        <v>18</v>
      </c>
      <c r="B74" s="65"/>
      <c r="C74" s="103" t="str">
        <f>ANUAL!$C158</f>
        <v>T03</v>
      </c>
      <c r="D74" s="302" t="str">
        <f>ANUAL!$D158</f>
        <v>TELECOM – FIXO</v>
      </c>
      <c r="E74" s="302"/>
      <c r="F74" s="302"/>
      <c r="G74" s="104">
        <f t="shared" si="16"/>
        <v>0</v>
      </c>
      <c r="H74" s="62"/>
      <c r="N74" s="16">
        <v>66</v>
      </c>
      <c r="O74" s="65"/>
      <c r="P74" s="55"/>
      <c r="Q74" s="56"/>
      <c r="R74" s="57"/>
      <c r="S74" s="58"/>
      <c r="T74" s="59"/>
      <c r="U74" s="60"/>
      <c r="V74" s="62"/>
      <c r="X74" s="1">
        <f t="shared" ca="1" si="19"/>
        <v>1</v>
      </c>
      <c r="Z74" s="1">
        <f t="shared" si="18"/>
        <v>0</v>
      </c>
      <c r="AA74" s="1">
        <f t="shared" si="18"/>
        <v>0</v>
      </c>
      <c r="AB74" s="1">
        <f t="shared" si="18"/>
        <v>0</v>
      </c>
      <c r="AC74" s="1">
        <f t="shared" si="18"/>
        <v>0</v>
      </c>
      <c r="AD74" s="1">
        <f t="shared" si="18"/>
        <v>0</v>
      </c>
      <c r="AE74" s="1">
        <f t="shared" si="18"/>
        <v>0</v>
      </c>
      <c r="AF74" s="1">
        <f t="shared" si="18"/>
        <v>0</v>
      </c>
      <c r="AG74" s="1">
        <f t="shared" si="18"/>
        <v>0</v>
      </c>
      <c r="AH74" s="1">
        <f t="shared" si="18"/>
        <v>0</v>
      </c>
      <c r="AI74" s="1">
        <f t="shared" si="18"/>
        <v>0</v>
      </c>
      <c r="AJ74" s="1">
        <f t="shared" si="18"/>
        <v>0</v>
      </c>
      <c r="AK74" s="1">
        <f t="shared" si="18"/>
        <v>0</v>
      </c>
    </row>
    <row r="75" spans="1:37" ht="14.1" customHeight="1" x14ac:dyDescent="0.2">
      <c r="A75" s="12">
        <v>19</v>
      </c>
      <c r="B75" s="65"/>
      <c r="C75" s="101" t="str">
        <f>ANUAL!$C159</f>
        <v>R01</v>
      </c>
      <c r="D75" s="303" t="str">
        <f>ANUAL!$D159</f>
        <v>CARRO – SEGURO</v>
      </c>
      <c r="E75" s="303"/>
      <c r="F75" s="303"/>
      <c r="G75" s="102">
        <f t="shared" si="16"/>
        <v>0</v>
      </c>
      <c r="H75" s="62"/>
      <c r="N75" s="12">
        <v>67</v>
      </c>
      <c r="O75" s="65"/>
      <c r="P75" s="49"/>
      <c r="Q75" s="50"/>
      <c r="R75" s="51"/>
      <c r="S75" s="52"/>
      <c r="T75" s="53"/>
      <c r="U75" s="54"/>
      <c r="V75" s="62"/>
      <c r="X75" s="1">
        <f t="shared" ca="1" si="19"/>
        <v>1</v>
      </c>
      <c r="Z75" s="1">
        <f t="shared" si="18"/>
        <v>0</v>
      </c>
      <c r="AA75" s="1">
        <f t="shared" si="18"/>
        <v>0</v>
      </c>
      <c r="AB75" s="1">
        <f t="shared" si="18"/>
        <v>0</v>
      </c>
      <c r="AC75" s="1">
        <f t="shared" si="18"/>
        <v>0</v>
      </c>
      <c r="AD75" s="1">
        <f t="shared" si="18"/>
        <v>0</v>
      </c>
      <c r="AE75" s="1">
        <f t="shared" si="18"/>
        <v>0</v>
      </c>
      <c r="AF75" s="1">
        <f t="shared" si="18"/>
        <v>0</v>
      </c>
      <c r="AG75" s="1">
        <f t="shared" si="18"/>
        <v>0</v>
      </c>
      <c r="AH75" s="1">
        <f t="shared" si="18"/>
        <v>0</v>
      </c>
      <c r="AI75" s="1">
        <f t="shared" si="18"/>
        <v>0</v>
      </c>
      <c r="AJ75" s="1">
        <f t="shared" si="18"/>
        <v>0</v>
      </c>
      <c r="AK75" s="1">
        <f t="shared" si="18"/>
        <v>0</v>
      </c>
    </row>
    <row r="76" spans="1:37" ht="14.1" customHeight="1" x14ac:dyDescent="0.2">
      <c r="A76" s="16">
        <v>20</v>
      </c>
      <c r="B76" s="65"/>
      <c r="C76" s="103" t="str">
        <f>ANUAL!$C160</f>
        <v>R02</v>
      </c>
      <c r="D76" s="302" t="str">
        <f>ANUAL!$D160</f>
        <v>CARRO – COMBUSTÍVEL</v>
      </c>
      <c r="E76" s="302"/>
      <c r="F76" s="302"/>
      <c r="G76" s="104">
        <f t="shared" si="16"/>
        <v>0</v>
      </c>
      <c r="H76" s="62"/>
      <c r="N76" s="16">
        <v>68</v>
      </c>
      <c r="O76" s="65"/>
      <c r="P76" s="55"/>
      <c r="Q76" s="56"/>
      <c r="R76" s="57"/>
      <c r="S76" s="58"/>
      <c r="T76" s="59"/>
      <c r="U76" s="60"/>
      <c r="V76" s="62"/>
      <c r="X76" s="1">
        <f t="shared" ca="1" si="19"/>
        <v>1</v>
      </c>
      <c r="Z76" s="1">
        <f t="shared" si="18"/>
        <v>0</v>
      </c>
      <c r="AA76" s="1">
        <f t="shared" si="18"/>
        <v>0</v>
      </c>
      <c r="AB76" s="1">
        <f t="shared" si="18"/>
        <v>0</v>
      </c>
      <c r="AC76" s="1">
        <f t="shared" si="18"/>
        <v>0</v>
      </c>
      <c r="AD76" s="1">
        <f t="shared" si="18"/>
        <v>0</v>
      </c>
      <c r="AE76" s="1">
        <f t="shared" si="18"/>
        <v>0</v>
      </c>
      <c r="AF76" s="1">
        <f t="shared" si="18"/>
        <v>0</v>
      </c>
      <c r="AG76" s="1">
        <f t="shared" si="18"/>
        <v>0</v>
      </c>
      <c r="AH76" s="1">
        <f t="shared" si="18"/>
        <v>0</v>
      </c>
      <c r="AI76" s="1">
        <f t="shared" si="18"/>
        <v>0</v>
      </c>
      <c r="AJ76" s="1">
        <f t="shared" si="18"/>
        <v>0</v>
      </c>
      <c r="AK76" s="1">
        <f t="shared" si="18"/>
        <v>0</v>
      </c>
    </row>
    <row r="77" spans="1:37" ht="14.1" customHeight="1" x14ac:dyDescent="0.2">
      <c r="A77" s="12">
        <v>21</v>
      </c>
      <c r="B77" s="65"/>
      <c r="C77" s="101" t="str">
        <f>ANUAL!$C161</f>
        <v>R03</v>
      </c>
      <c r="D77" s="303" t="str">
        <f>ANUAL!$D161</f>
        <v>CARRO – CONSERTOS</v>
      </c>
      <c r="E77" s="303"/>
      <c r="F77" s="303"/>
      <c r="G77" s="102">
        <f t="shared" si="16"/>
        <v>0</v>
      </c>
      <c r="H77" s="62"/>
      <c r="N77" s="12">
        <v>69</v>
      </c>
      <c r="O77" s="65"/>
      <c r="P77" s="49"/>
      <c r="Q77" s="50"/>
      <c r="R77" s="51"/>
      <c r="S77" s="52"/>
      <c r="T77" s="53"/>
      <c r="U77" s="54"/>
      <c r="V77" s="62"/>
      <c r="X77" s="1">
        <f t="shared" ca="1" si="19"/>
        <v>1</v>
      </c>
      <c r="Z77" s="1">
        <f t="shared" si="18"/>
        <v>0</v>
      </c>
      <c r="AA77" s="1">
        <f t="shared" si="18"/>
        <v>0</v>
      </c>
      <c r="AB77" s="1">
        <f t="shared" si="18"/>
        <v>0</v>
      </c>
      <c r="AC77" s="1">
        <f t="shared" si="18"/>
        <v>0</v>
      </c>
      <c r="AD77" s="1">
        <f t="shared" si="18"/>
        <v>0</v>
      </c>
      <c r="AE77" s="1">
        <f t="shared" si="18"/>
        <v>0</v>
      </c>
      <c r="AF77" s="1">
        <f t="shared" si="18"/>
        <v>0</v>
      </c>
      <c r="AG77" s="1">
        <f t="shared" si="18"/>
        <v>0</v>
      </c>
      <c r="AH77" s="1">
        <f t="shared" si="18"/>
        <v>0</v>
      </c>
      <c r="AI77" s="1">
        <f t="shared" si="18"/>
        <v>0</v>
      </c>
      <c r="AJ77" s="1">
        <f t="shared" si="18"/>
        <v>0</v>
      </c>
      <c r="AK77" s="1">
        <f t="shared" si="18"/>
        <v>0</v>
      </c>
    </row>
    <row r="78" spans="1:37" ht="14.1" customHeight="1" x14ac:dyDescent="0.2">
      <c r="A78" s="16">
        <v>22</v>
      </c>
      <c r="B78" s="65"/>
      <c r="C78" s="103" t="str">
        <f>ANUAL!$C162</f>
        <v>R04</v>
      </c>
      <c r="D78" s="302" t="str">
        <f>ANUAL!$D162</f>
        <v>CARRO – PRESTAÇOES</v>
      </c>
      <c r="E78" s="302"/>
      <c r="F78" s="302"/>
      <c r="G78" s="104">
        <f t="shared" si="16"/>
        <v>0</v>
      </c>
      <c r="H78" s="62"/>
      <c r="N78" s="16">
        <v>70</v>
      </c>
      <c r="O78" s="65"/>
      <c r="P78" s="55"/>
      <c r="Q78" s="56"/>
      <c r="R78" s="57"/>
      <c r="S78" s="58"/>
      <c r="T78" s="59"/>
      <c r="U78" s="60"/>
      <c r="V78" s="62"/>
      <c r="X78" s="1">
        <f t="shared" ca="1" si="19"/>
        <v>1</v>
      </c>
      <c r="Z78" s="1">
        <f t="shared" si="18"/>
        <v>0</v>
      </c>
      <c r="AA78" s="1">
        <f t="shared" si="18"/>
        <v>0</v>
      </c>
      <c r="AB78" s="1">
        <f t="shared" si="18"/>
        <v>0</v>
      </c>
      <c r="AC78" s="1">
        <f t="shared" si="18"/>
        <v>0</v>
      </c>
      <c r="AD78" s="1">
        <f t="shared" si="18"/>
        <v>0</v>
      </c>
      <c r="AE78" s="1">
        <f t="shared" si="18"/>
        <v>0</v>
      </c>
      <c r="AF78" s="1">
        <f t="shared" si="18"/>
        <v>0</v>
      </c>
      <c r="AG78" s="1">
        <f t="shared" si="18"/>
        <v>0</v>
      </c>
      <c r="AH78" s="1">
        <f t="shared" si="18"/>
        <v>0</v>
      </c>
      <c r="AI78" s="1">
        <f t="shared" si="18"/>
        <v>0</v>
      </c>
      <c r="AJ78" s="1">
        <f t="shared" si="18"/>
        <v>0</v>
      </c>
      <c r="AK78" s="1">
        <f t="shared" si="18"/>
        <v>0</v>
      </c>
    </row>
    <row r="79" spans="1:37" ht="14.1" customHeight="1" x14ac:dyDescent="0.2">
      <c r="A79" s="12">
        <v>23</v>
      </c>
      <c r="B79" s="65"/>
      <c r="C79" s="101" t="str">
        <f>ANUAL!$C163</f>
        <v>B01</v>
      </c>
      <c r="D79" s="303" t="str">
        <f>ANUAL!$D163</f>
        <v>BANCO – TAXAS, JUROS ETC.</v>
      </c>
      <c r="E79" s="303"/>
      <c r="F79" s="303"/>
      <c r="G79" s="102">
        <f t="shared" si="16"/>
        <v>0</v>
      </c>
      <c r="H79" s="62"/>
      <c r="N79" s="12">
        <v>71</v>
      </c>
      <c r="O79" s="65"/>
      <c r="P79" s="49"/>
      <c r="Q79" s="50"/>
      <c r="R79" s="51"/>
      <c r="S79" s="52"/>
      <c r="T79" s="53"/>
      <c r="U79" s="54"/>
      <c r="V79" s="62"/>
      <c r="X79" s="1">
        <f t="shared" ca="1" si="19"/>
        <v>1</v>
      </c>
      <c r="Z79" s="1">
        <f t="shared" ref="Z79:AK88" si="20">IF(Z$8=$R79,-$T79,0)+IF(Z$8=$S79,$T79,0)</f>
        <v>0</v>
      </c>
      <c r="AA79" s="1">
        <f t="shared" si="20"/>
        <v>0</v>
      </c>
      <c r="AB79" s="1">
        <f t="shared" si="20"/>
        <v>0</v>
      </c>
      <c r="AC79" s="1">
        <f t="shared" si="20"/>
        <v>0</v>
      </c>
      <c r="AD79" s="1">
        <f t="shared" si="20"/>
        <v>0</v>
      </c>
      <c r="AE79" s="1">
        <f t="shared" si="20"/>
        <v>0</v>
      </c>
      <c r="AF79" s="1">
        <f t="shared" si="20"/>
        <v>0</v>
      </c>
      <c r="AG79" s="1">
        <f t="shared" si="20"/>
        <v>0</v>
      </c>
      <c r="AH79" s="1">
        <f t="shared" si="20"/>
        <v>0</v>
      </c>
      <c r="AI79" s="1">
        <f t="shared" si="20"/>
        <v>0</v>
      </c>
      <c r="AJ79" s="1">
        <f t="shared" si="20"/>
        <v>0</v>
      </c>
      <c r="AK79" s="1">
        <f t="shared" si="20"/>
        <v>0</v>
      </c>
    </row>
    <row r="80" spans="1:37" ht="14.1" customHeight="1" x14ac:dyDescent="0.2">
      <c r="A80" s="16">
        <v>24</v>
      </c>
      <c r="B80" s="65"/>
      <c r="C80" s="103" t="str">
        <f>ANUAL!$C164</f>
        <v>E01</v>
      </c>
      <c r="D80" s="302" t="str">
        <f>ANUAL!$D164</f>
        <v>EDUCAÇÃO / TREINAMENTO</v>
      </c>
      <c r="E80" s="302"/>
      <c r="F80" s="302"/>
      <c r="G80" s="104">
        <f t="shared" si="16"/>
        <v>0</v>
      </c>
      <c r="H80" s="62"/>
      <c r="N80" s="16">
        <v>72</v>
      </c>
      <c r="O80" s="65"/>
      <c r="P80" s="55"/>
      <c r="Q80" s="56"/>
      <c r="R80" s="57"/>
      <c r="S80" s="58"/>
      <c r="T80" s="59"/>
      <c r="U80" s="60"/>
      <c r="V80" s="62"/>
      <c r="X80" s="1">
        <f t="shared" ca="1" si="19"/>
        <v>1</v>
      </c>
      <c r="Z80" s="1">
        <f t="shared" si="20"/>
        <v>0</v>
      </c>
      <c r="AA80" s="1">
        <f t="shared" si="20"/>
        <v>0</v>
      </c>
      <c r="AB80" s="1">
        <f t="shared" si="20"/>
        <v>0</v>
      </c>
      <c r="AC80" s="1">
        <f t="shared" si="20"/>
        <v>0</v>
      </c>
      <c r="AD80" s="1">
        <f t="shared" si="20"/>
        <v>0</v>
      </c>
      <c r="AE80" s="1">
        <f t="shared" si="20"/>
        <v>0</v>
      </c>
      <c r="AF80" s="1">
        <f t="shared" si="20"/>
        <v>0</v>
      </c>
      <c r="AG80" s="1">
        <f t="shared" si="20"/>
        <v>0</v>
      </c>
      <c r="AH80" s="1">
        <f t="shared" si="20"/>
        <v>0</v>
      </c>
      <c r="AI80" s="1">
        <f t="shared" si="20"/>
        <v>0</v>
      </c>
      <c r="AJ80" s="1">
        <f t="shared" si="20"/>
        <v>0</v>
      </c>
      <c r="AK80" s="1">
        <f t="shared" si="20"/>
        <v>0</v>
      </c>
    </row>
    <row r="81" spans="1:37" ht="14.1" customHeight="1" x14ac:dyDescent="0.2">
      <c r="A81" s="12">
        <v>25</v>
      </c>
      <c r="B81" s="65"/>
      <c r="C81" s="101" t="str">
        <f>ANUAL!$C165</f>
        <v>V01</v>
      </c>
      <c r="D81" s="303" t="str">
        <f>ANUAL!$D165</f>
        <v>VIAGEM</v>
      </c>
      <c r="E81" s="303"/>
      <c r="F81" s="303"/>
      <c r="G81" s="102">
        <f t="shared" si="16"/>
        <v>0</v>
      </c>
      <c r="H81" s="62"/>
      <c r="N81" s="12">
        <v>73</v>
      </c>
      <c r="O81" s="65"/>
      <c r="P81" s="49"/>
      <c r="Q81" s="50"/>
      <c r="R81" s="51"/>
      <c r="S81" s="52"/>
      <c r="T81" s="53"/>
      <c r="U81" s="54"/>
      <c r="V81" s="62"/>
      <c r="X81" s="1">
        <f t="shared" ca="1" si="19"/>
        <v>1</v>
      </c>
      <c r="Z81" s="1">
        <f t="shared" si="20"/>
        <v>0</v>
      </c>
      <c r="AA81" s="1">
        <f t="shared" si="20"/>
        <v>0</v>
      </c>
      <c r="AB81" s="1">
        <f t="shared" si="20"/>
        <v>0</v>
      </c>
      <c r="AC81" s="1">
        <f t="shared" si="20"/>
        <v>0</v>
      </c>
      <c r="AD81" s="1">
        <f t="shared" si="20"/>
        <v>0</v>
      </c>
      <c r="AE81" s="1">
        <f t="shared" si="20"/>
        <v>0</v>
      </c>
      <c r="AF81" s="1">
        <f t="shared" si="20"/>
        <v>0</v>
      </c>
      <c r="AG81" s="1">
        <f t="shared" si="20"/>
        <v>0</v>
      </c>
      <c r="AH81" s="1">
        <f t="shared" si="20"/>
        <v>0</v>
      </c>
      <c r="AI81" s="1">
        <f t="shared" si="20"/>
        <v>0</v>
      </c>
      <c r="AJ81" s="1">
        <f t="shared" si="20"/>
        <v>0</v>
      </c>
      <c r="AK81" s="1">
        <f t="shared" si="20"/>
        <v>0</v>
      </c>
    </row>
    <row r="82" spans="1:37" ht="14.1" customHeight="1" x14ac:dyDescent="0.2">
      <c r="A82" s="16">
        <v>26</v>
      </c>
      <c r="B82" s="65"/>
      <c r="C82" s="103" t="str">
        <f>ANUAL!$C166</f>
        <v>P01</v>
      </c>
      <c r="D82" s="302" t="str">
        <f>ANUAL!$D166</f>
        <v>PESSOAL – DÍZIMO</v>
      </c>
      <c r="E82" s="302"/>
      <c r="F82" s="302"/>
      <c r="G82" s="104">
        <f t="shared" si="16"/>
        <v>0</v>
      </c>
      <c r="H82" s="62"/>
      <c r="I82" s="3"/>
      <c r="J82" s="3"/>
      <c r="K82" s="3"/>
      <c r="L82" s="3"/>
      <c r="M82" s="3"/>
      <c r="N82" s="16">
        <v>74</v>
      </c>
      <c r="O82" s="65"/>
      <c r="P82" s="55"/>
      <c r="Q82" s="56"/>
      <c r="R82" s="57"/>
      <c r="S82" s="58"/>
      <c r="T82" s="59"/>
      <c r="U82" s="60"/>
      <c r="V82" s="62"/>
      <c r="X82" s="1">
        <f t="shared" ca="1" si="19"/>
        <v>1</v>
      </c>
      <c r="Z82" s="1">
        <f t="shared" si="20"/>
        <v>0</v>
      </c>
      <c r="AA82" s="1">
        <f t="shared" si="20"/>
        <v>0</v>
      </c>
      <c r="AB82" s="1">
        <f t="shared" si="20"/>
        <v>0</v>
      </c>
      <c r="AC82" s="1">
        <f t="shared" si="20"/>
        <v>0</v>
      </c>
      <c r="AD82" s="1">
        <f t="shared" si="20"/>
        <v>0</v>
      </c>
      <c r="AE82" s="1">
        <f t="shared" si="20"/>
        <v>0</v>
      </c>
      <c r="AF82" s="1">
        <f t="shared" si="20"/>
        <v>0</v>
      </c>
      <c r="AG82" s="1">
        <f t="shared" si="20"/>
        <v>0</v>
      </c>
      <c r="AH82" s="1">
        <f t="shared" si="20"/>
        <v>0</v>
      </c>
      <c r="AI82" s="1">
        <f t="shared" si="20"/>
        <v>0</v>
      </c>
      <c r="AJ82" s="1">
        <f t="shared" si="20"/>
        <v>0</v>
      </c>
      <c r="AK82" s="1">
        <f t="shared" si="20"/>
        <v>0</v>
      </c>
    </row>
    <row r="83" spans="1:37" ht="14.1" customHeight="1" x14ac:dyDescent="0.2">
      <c r="A83" s="12">
        <v>27</v>
      </c>
      <c r="B83" s="65"/>
      <c r="C83" s="101" t="str">
        <f>ANUAL!$C167</f>
        <v>---</v>
      </c>
      <c r="D83" s="303" t="str">
        <f>ANUAL!$D167</f>
        <v>---</v>
      </c>
      <c r="E83" s="303"/>
      <c r="F83" s="303"/>
      <c r="G83" s="102">
        <f t="shared" si="16"/>
        <v>0</v>
      </c>
      <c r="H83" s="62"/>
      <c r="I83" s="3"/>
      <c r="J83" s="3"/>
      <c r="K83" s="3"/>
      <c r="L83" s="3"/>
      <c r="M83" s="3"/>
      <c r="N83" s="12">
        <v>75</v>
      </c>
      <c r="O83" s="65"/>
      <c r="P83" s="49"/>
      <c r="Q83" s="50"/>
      <c r="R83" s="51"/>
      <c r="S83" s="52"/>
      <c r="T83" s="53"/>
      <c r="U83" s="54"/>
      <c r="V83" s="62"/>
      <c r="X83" s="1">
        <f t="shared" ca="1" si="19"/>
        <v>1</v>
      </c>
      <c r="Z83" s="1">
        <f t="shared" si="20"/>
        <v>0</v>
      </c>
      <c r="AA83" s="1">
        <f t="shared" si="20"/>
        <v>0</v>
      </c>
      <c r="AB83" s="1">
        <f t="shared" si="20"/>
        <v>0</v>
      </c>
      <c r="AC83" s="1">
        <f t="shared" si="20"/>
        <v>0</v>
      </c>
      <c r="AD83" s="1">
        <f t="shared" si="20"/>
        <v>0</v>
      </c>
      <c r="AE83" s="1">
        <f t="shared" si="20"/>
        <v>0</v>
      </c>
      <c r="AF83" s="1">
        <f t="shared" si="20"/>
        <v>0</v>
      </c>
      <c r="AG83" s="1">
        <f t="shared" si="20"/>
        <v>0</v>
      </c>
      <c r="AH83" s="1">
        <f t="shared" si="20"/>
        <v>0</v>
      </c>
      <c r="AI83" s="1">
        <f t="shared" si="20"/>
        <v>0</v>
      </c>
      <c r="AJ83" s="1">
        <f t="shared" si="20"/>
        <v>0</v>
      </c>
      <c r="AK83" s="1">
        <f t="shared" si="20"/>
        <v>0</v>
      </c>
    </row>
    <row r="84" spans="1:37" ht="14.1" customHeight="1" x14ac:dyDescent="0.2">
      <c r="A84" s="16">
        <v>28</v>
      </c>
      <c r="B84" s="65"/>
      <c r="C84" s="103" t="str">
        <f>ANUAL!$C168</f>
        <v>---</v>
      </c>
      <c r="D84" s="302" t="str">
        <f>ANUAL!$D168</f>
        <v>---</v>
      </c>
      <c r="E84" s="302"/>
      <c r="F84" s="302"/>
      <c r="G84" s="104">
        <f t="shared" si="16"/>
        <v>0</v>
      </c>
      <c r="H84" s="62"/>
      <c r="I84" s="3"/>
      <c r="J84" s="3"/>
      <c r="K84" s="3"/>
      <c r="L84" s="3"/>
      <c r="M84" s="3"/>
      <c r="N84" s="16">
        <v>76</v>
      </c>
      <c r="O84" s="65"/>
      <c r="P84" s="55"/>
      <c r="Q84" s="56"/>
      <c r="R84" s="57"/>
      <c r="S84" s="58"/>
      <c r="T84" s="59"/>
      <c r="U84" s="60"/>
      <c r="V84" s="62"/>
      <c r="X84" s="1">
        <f t="shared" ca="1" si="19"/>
        <v>1</v>
      </c>
      <c r="Z84" s="1">
        <f t="shared" si="20"/>
        <v>0</v>
      </c>
      <c r="AA84" s="1">
        <f t="shared" si="20"/>
        <v>0</v>
      </c>
      <c r="AB84" s="1">
        <f t="shared" si="20"/>
        <v>0</v>
      </c>
      <c r="AC84" s="1">
        <f t="shared" si="20"/>
        <v>0</v>
      </c>
      <c r="AD84" s="1">
        <f t="shared" si="20"/>
        <v>0</v>
      </c>
      <c r="AE84" s="1">
        <f t="shared" si="20"/>
        <v>0</v>
      </c>
      <c r="AF84" s="1">
        <f t="shared" si="20"/>
        <v>0</v>
      </c>
      <c r="AG84" s="1">
        <f t="shared" si="20"/>
        <v>0</v>
      </c>
      <c r="AH84" s="1">
        <f t="shared" si="20"/>
        <v>0</v>
      </c>
      <c r="AI84" s="1">
        <f t="shared" si="20"/>
        <v>0</v>
      </c>
      <c r="AJ84" s="1">
        <f t="shared" si="20"/>
        <v>0</v>
      </c>
      <c r="AK84" s="1">
        <f t="shared" si="20"/>
        <v>0</v>
      </c>
    </row>
    <row r="85" spans="1:37" ht="14.1" customHeight="1" x14ac:dyDescent="0.2">
      <c r="A85" s="12">
        <v>29</v>
      </c>
      <c r="B85" s="65"/>
      <c r="C85" s="101" t="str">
        <f>ANUAL!$C169</f>
        <v>---</v>
      </c>
      <c r="D85" s="303" t="str">
        <f>ANUAL!$D169</f>
        <v>---</v>
      </c>
      <c r="E85" s="303"/>
      <c r="F85" s="303"/>
      <c r="G85" s="102">
        <f t="shared" si="16"/>
        <v>0</v>
      </c>
      <c r="H85" s="62"/>
      <c r="I85" s="3"/>
      <c r="J85" s="3"/>
      <c r="K85" s="3"/>
      <c r="L85" s="3"/>
      <c r="M85" s="3"/>
      <c r="N85" s="12">
        <v>77</v>
      </c>
      <c r="O85" s="65"/>
      <c r="P85" s="49"/>
      <c r="Q85" s="50"/>
      <c r="R85" s="51"/>
      <c r="S85" s="52"/>
      <c r="T85" s="53"/>
      <c r="U85" s="54"/>
      <c r="V85" s="62"/>
      <c r="X85" s="1">
        <f t="shared" ca="1" si="19"/>
        <v>1</v>
      </c>
      <c r="Z85" s="1">
        <f t="shared" si="20"/>
        <v>0</v>
      </c>
      <c r="AA85" s="1">
        <f t="shared" si="20"/>
        <v>0</v>
      </c>
      <c r="AB85" s="1">
        <f t="shared" si="20"/>
        <v>0</v>
      </c>
      <c r="AC85" s="1">
        <f t="shared" si="20"/>
        <v>0</v>
      </c>
      <c r="AD85" s="1">
        <f t="shared" si="20"/>
        <v>0</v>
      </c>
      <c r="AE85" s="1">
        <f t="shared" si="20"/>
        <v>0</v>
      </c>
      <c r="AF85" s="1">
        <f t="shared" si="20"/>
        <v>0</v>
      </c>
      <c r="AG85" s="1">
        <f t="shared" si="20"/>
        <v>0</v>
      </c>
      <c r="AH85" s="1">
        <f t="shared" si="20"/>
        <v>0</v>
      </c>
      <c r="AI85" s="1">
        <f t="shared" si="20"/>
        <v>0</v>
      </c>
      <c r="AJ85" s="1">
        <f t="shared" si="20"/>
        <v>0</v>
      </c>
      <c r="AK85" s="1">
        <f t="shared" si="20"/>
        <v>0</v>
      </c>
    </row>
    <row r="86" spans="1:37" ht="14.1" customHeight="1" x14ac:dyDescent="0.2">
      <c r="A86" s="16">
        <v>30</v>
      </c>
      <c r="B86" s="65"/>
      <c r="C86" s="103" t="str">
        <f>ANUAL!$C170</f>
        <v>---</v>
      </c>
      <c r="D86" s="302" t="str">
        <f>ANUAL!$D170</f>
        <v>---</v>
      </c>
      <c r="E86" s="302"/>
      <c r="F86" s="302"/>
      <c r="G86" s="104">
        <f t="shared" si="16"/>
        <v>0</v>
      </c>
      <c r="H86" s="62"/>
      <c r="I86" s="3"/>
      <c r="J86" s="3"/>
      <c r="K86" s="3"/>
      <c r="L86" s="3"/>
      <c r="M86" s="3"/>
      <c r="N86" s="16">
        <v>78</v>
      </c>
      <c r="O86" s="65"/>
      <c r="P86" s="55"/>
      <c r="Q86" s="56"/>
      <c r="R86" s="57"/>
      <c r="S86" s="58"/>
      <c r="T86" s="59"/>
      <c r="U86" s="60"/>
      <c r="V86" s="62"/>
      <c r="X86" s="1">
        <f t="shared" ca="1" si="19"/>
        <v>1</v>
      </c>
      <c r="Z86" s="1">
        <f t="shared" si="20"/>
        <v>0</v>
      </c>
      <c r="AA86" s="1">
        <f t="shared" si="20"/>
        <v>0</v>
      </c>
      <c r="AB86" s="1">
        <f t="shared" si="20"/>
        <v>0</v>
      </c>
      <c r="AC86" s="1">
        <f t="shared" si="20"/>
        <v>0</v>
      </c>
      <c r="AD86" s="1">
        <f t="shared" si="20"/>
        <v>0</v>
      </c>
      <c r="AE86" s="1">
        <f t="shared" si="20"/>
        <v>0</v>
      </c>
      <c r="AF86" s="1">
        <f t="shared" si="20"/>
        <v>0</v>
      </c>
      <c r="AG86" s="1">
        <f t="shared" si="20"/>
        <v>0</v>
      </c>
      <c r="AH86" s="1">
        <f t="shared" si="20"/>
        <v>0</v>
      </c>
      <c r="AI86" s="1">
        <f t="shared" si="20"/>
        <v>0</v>
      </c>
      <c r="AJ86" s="1">
        <f t="shared" si="20"/>
        <v>0</v>
      </c>
      <c r="AK86" s="1">
        <f t="shared" si="20"/>
        <v>0</v>
      </c>
    </row>
    <row r="87" spans="1:37" ht="14.1" customHeight="1" x14ac:dyDescent="0.2">
      <c r="A87" s="12">
        <v>31</v>
      </c>
      <c r="B87" s="65"/>
      <c r="C87" s="101" t="str">
        <f>ANUAL!$C171</f>
        <v>---</v>
      </c>
      <c r="D87" s="303" t="str">
        <f>ANUAL!$D171</f>
        <v>---</v>
      </c>
      <c r="E87" s="303"/>
      <c r="F87" s="303"/>
      <c r="G87" s="102">
        <f t="shared" si="16"/>
        <v>0</v>
      </c>
      <c r="H87" s="62"/>
      <c r="I87" s="3"/>
      <c r="J87" s="3"/>
      <c r="K87" s="3"/>
      <c r="L87" s="3"/>
      <c r="M87" s="3"/>
      <c r="N87" s="12">
        <v>79</v>
      </c>
      <c r="O87" s="65"/>
      <c r="P87" s="49"/>
      <c r="Q87" s="50"/>
      <c r="R87" s="51"/>
      <c r="S87" s="52"/>
      <c r="T87" s="53"/>
      <c r="U87" s="54"/>
      <c r="V87" s="62"/>
      <c r="X87" s="1">
        <f t="shared" ca="1" si="19"/>
        <v>1</v>
      </c>
      <c r="Z87" s="1">
        <f t="shared" si="20"/>
        <v>0</v>
      </c>
      <c r="AA87" s="1">
        <f t="shared" si="20"/>
        <v>0</v>
      </c>
      <c r="AB87" s="1">
        <f t="shared" si="20"/>
        <v>0</v>
      </c>
      <c r="AC87" s="1">
        <f t="shared" si="20"/>
        <v>0</v>
      </c>
      <c r="AD87" s="1">
        <f t="shared" si="20"/>
        <v>0</v>
      </c>
      <c r="AE87" s="1">
        <f t="shared" si="20"/>
        <v>0</v>
      </c>
      <c r="AF87" s="1">
        <f t="shared" si="20"/>
        <v>0</v>
      </c>
      <c r="AG87" s="1">
        <f t="shared" si="20"/>
        <v>0</v>
      </c>
      <c r="AH87" s="1">
        <f t="shared" si="20"/>
        <v>0</v>
      </c>
      <c r="AI87" s="1">
        <f t="shared" si="20"/>
        <v>0</v>
      </c>
      <c r="AJ87" s="1">
        <f t="shared" si="20"/>
        <v>0</v>
      </c>
      <c r="AK87" s="1">
        <f t="shared" si="20"/>
        <v>0</v>
      </c>
    </row>
    <row r="88" spans="1:37" ht="14.1" customHeight="1" x14ac:dyDescent="0.2">
      <c r="A88" s="16">
        <v>32</v>
      </c>
      <c r="B88" s="66"/>
      <c r="C88" s="103" t="str">
        <f>ANUAL!$C172</f>
        <v>---</v>
      </c>
      <c r="D88" s="302" t="str">
        <f>ANUAL!$D172</f>
        <v>---</v>
      </c>
      <c r="E88" s="302"/>
      <c r="F88" s="302"/>
      <c r="G88" s="104">
        <f t="shared" si="16"/>
        <v>0</v>
      </c>
      <c r="H88" s="63"/>
      <c r="I88" s="3"/>
      <c r="J88" s="3"/>
      <c r="K88" s="3"/>
      <c r="L88" s="3"/>
      <c r="M88" s="3"/>
      <c r="N88" s="16">
        <v>80</v>
      </c>
      <c r="O88" s="66"/>
      <c r="P88" s="55"/>
      <c r="Q88" s="56"/>
      <c r="R88" s="57"/>
      <c r="S88" s="58"/>
      <c r="T88" s="59"/>
      <c r="U88" s="60"/>
      <c r="V88" s="63"/>
      <c r="X88" s="1">
        <f t="shared" ca="1" si="19"/>
        <v>1</v>
      </c>
      <c r="Z88" s="1">
        <f t="shared" si="20"/>
        <v>0</v>
      </c>
      <c r="AA88" s="1">
        <f t="shared" si="20"/>
        <v>0</v>
      </c>
      <c r="AB88" s="1">
        <f t="shared" si="20"/>
        <v>0</v>
      </c>
      <c r="AC88" s="1">
        <f t="shared" si="20"/>
        <v>0</v>
      </c>
      <c r="AD88" s="1">
        <f t="shared" si="20"/>
        <v>0</v>
      </c>
      <c r="AE88" s="1">
        <f t="shared" si="20"/>
        <v>0</v>
      </c>
      <c r="AF88" s="1">
        <f t="shared" si="20"/>
        <v>0</v>
      </c>
      <c r="AG88" s="1">
        <f t="shared" si="20"/>
        <v>0</v>
      </c>
      <c r="AH88" s="1">
        <f t="shared" si="20"/>
        <v>0</v>
      </c>
      <c r="AI88" s="1">
        <f t="shared" si="20"/>
        <v>0</v>
      </c>
      <c r="AJ88" s="1">
        <f t="shared" si="20"/>
        <v>0</v>
      </c>
      <c r="AK88" s="1">
        <f t="shared" si="20"/>
        <v>0</v>
      </c>
    </row>
    <row r="89" spans="1:37" ht="14.1" customHeight="1" x14ac:dyDescent="0.2">
      <c r="B89" s="105"/>
      <c r="C89" s="106"/>
      <c r="D89" s="107"/>
      <c r="E89" s="107"/>
      <c r="F89" s="107"/>
      <c r="G89" s="107"/>
      <c r="H89" s="108"/>
      <c r="I89" s="3"/>
      <c r="J89" s="3"/>
      <c r="K89" s="3"/>
      <c r="L89" s="3"/>
      <c r="M89" s="3"/>
      <c r="O89" s="32"/>
      <c r="P89" s="33"/>
      <c r="Q89" s="33"/>
      <c r="R89" s="34"/>
      <c r="S89" s="34"/>
      <c r="T89" s="67"/>
      <c r="U89" s="34"/>
      <c r="V89" s="35"/>
    </row>
    <row r="90" spans="1:37" ht="14.1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37" ht="14.1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37" ht="14.1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37" ht="14.1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37" ht="14.1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37" ht="14.1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37" ht="14.1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1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1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1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</sheetData>
  <sheetProtection selectLockedCells="1"/>
  <mergeCells count="57">
    <mergeCell ref="C43:G44"/>
    <mergeCell ref="B1:H1"/>
    <mergeCell ref="C5:G6"/>
    <mergeCell ref="P5:U6"/>
    <mergeCell ref="C7:C8"/>
    <mergeCell ref="D7:D8"/>
    <mergeCell ref="E7:G7"/>
    <mergeCell ref="P7:P8"/>
    <mergeCell ref="Q7:Q8"/>
    <mergeCell ref="R7:S7"/>
    <mergeCell ref="T7:T8"/>
    <mergeCell ref="U7:U8"/>
    <mergeCell ref="C24:G25"/>
    <mergeCell ref="C26:C27"/>
    <mergeCell ref="D26:D27"/>
    <mergeCell ref="E26:G26"/>
    <mergeCell ref="D62:F62"/>
    <mergeCell ref="D63:F63"/>
    <mergeCell ref="D64:F64"/>
    <mergeCell ref="D65:F65"/>
    <mergeCell ref="C45:C46"/>
    <mergeCell ref="D45:D46"/>
    <mergeCell ref="E45:G45"/>
    <mergeCell ref="C53:G54"/>
    <mergeCell ref="C55:C56"/>
    <mergeCell ref="D55:D56"/>
    <mergeCell ref="E55:E56"/>
    <mergeCell ref="F55:F56"/>
    <mergeCell ref="G55:G56"/>
    <mergeCell ref="D57:F57"/>
    <mergeCell ref="D58:F58"/>
    <mergeCell ref="D59:F59"/>
    <mergeCell ref="D60:F60"/>
    <mergeCell ref="D61:F61"/>
    <mergeCell ref="D66:F66"/>
    <mergeCell ref="D67:F67"/>
    <mergeCell ref="D80:F80"/>
    <mergeCell ref="D69:F69"/>
    <mergeCell ref="D70:F70"/>
    <mergeCell ref="D71:F71"/>
    <mergeCell ref="D72:F72"/>
    <mergeCell ref="D73:F73"/>
    <mergeCell ref="D74:F74"/>
    <mergeCell ref="D75:F75"/>
    <mergeCell ref="D68:F68"/>
    <mergeCell ref="D88:F88"/>
    <mergeCell ref="D81:F81"/>
    <mergeCell ref="D82:F82"/>
    <mergeCell ref="D83:F83"/>
    <mergeCell ref="D84:F84"/>
    <mergeCell ref="D85:F85"/>
    <mergeCell ref="D86:F86"/>
    <mergeCell ref="D76:F76"/>
    <mergeCell ref="D77:F77"/>
    <mergeCell ref="D78:F78"/>
    <mergeCell ref="D79:F79"/>
    <mergeCell ref="D87:F87"/>
  </mergeCells>
  <conditionalFormatting sqref="U9:U11 P12:U88">
    <cfRule type="expression" dxfId="4" priority="6" stopIfTrue="1">
      <formula>$X9&lt;&gt;1</formula>
    </cfRule>
  </conditionalFormatting>
  <conditionalFormatting sqref="U9:U11 S12:U20">
    <cfRule type="expression" dxfId="3" priority="5" stopIfTrue="1">
      <formula>$X9&lt;&gt;1</formula>
    </cfRule>
  </conditionalFormatting>
  <conditionalFormatting sqref="S12:T20">
    <cfRule type="expression" dxfId="2" priority="4" stopIfTrue="1">
      <formula>$X12&lt;&gt;1</formula>
    </cfRule>
  </conditionalFormatting>
  <conditionalFormatting sqref="U12:U16">
    <cfRule type="expression" dxfId="1" priority="3" stopIfTrue="1">
      <formula>$X12&lt;&gt;1</formula>
    </cfRule>
  </conditionalFormatting>
  <conditionalFormatting sqref="P9:T11">
    <cfRule type="expression" dxfId="0" priority="1" stopIfTrue="1">
      <formula>$X9&lt;&gt;1</formula>
    </cfRule>
  </conditionalFormatting>
  <printOptions horizontalCentered="1"/>
  <pageMargins left="0.39374999999999999" right="0.39374999999999999" top="0.78749999999999998" bottom="0.59027777777777779" header="0.51180555555555551" footer="0.51180555555555551"/>
  <pageSetup paperSize="8" scale="5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13</vt:i4>
      </vt:variant>
    </vt:vector>
  </HeadingPairs>
  <TitlesOfParts>
    <vt:vector size="26" baseType="lpstr">
      <vt:lpstr>ANUAL</vt:lpstr>
      <vt:lpstr>M1</vt:lpstr>
      <vt:lpstr>M2</vt:lpstr>
      <vt:lpstr>M3</vt:lpstr>
      <vt:lpstr>M4</vt:lpstr>
      <vt:lpstr>M5</vt:lpstr>
      <vt:lpstr>M6</vt:lpstr>
      <vt:lpstr>M7</vt:lpstr>
      <vt:lpstr>M8</vt:lpstr>
      <vt:lpstr>M9</vt:lpstr>
      <vt:lpstr>M10</vt:lpstr>
      <vt:lpstr>M11</vt:lpstr>
      <vt:lpstr>M12</vt:lpstr>
      <vt:lpstr>ANUAL!Area_de_impressao</vt:lpstr>
      <vt:lpstr>'M1'!Area_de_impressao</vt:lpstr>
      <vt:lpstr>'M10'!Area_de_impressao</vt:lpstr>
      <vt:lpstr>'M11'!Area_de_impressao</vt:lpstr>
      <vt:lpstr>'M12'!Area_de_impressao</vt:lpstr>
      <vt:lpstr>'M2'!Area_de_impressao</vt:lpstr>
      <vt:lpstr>'M3'!Area_de_impressao</vt:lpstr>
      <vt:lpstr>'M4'!Area_de_impressao</vt:lpstr>
      <vt:lpstr>'M5'!Area_de_impressao</vt:lpstr>
      <vt:lpstr>'M6'!Area_de_impressao</vt:lpstr>
      <vt:lpstr>'M7'!Area_de_impressao</vt:lpstr>
      <vt:lpstr>'M8'!Area_de_impressao</vt:lpstr>
      <vt:lpstr>'M9'!Area_de_impressao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2010-10-08T09:57:08Z</dcterms:created>
  <dcterms:modified xsi:type="dcterms:W3CDTF">2014-10-23T15:49:36Z</dcterms:modified>
</cp:coreProperties>
</file>