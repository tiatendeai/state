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aepi Ilhabela Bom Preço #157\Apuração Lucro Presumido\"/>
    </mc:Choice>
  </mc:AlternateContent>
  <bookViews>
    <workbookView xWindow="-120" yWindow="-120" windowWidth="20730" windowHeight="11160"/>
  </bookViews>
  <sheets>
    <sheet name="APURACAO " sheetId="3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39" l="1"/>
  <c r="D18" i="39"/>
  <c r="C18" i="39"/>
  <c r="C13" i="39"/>
  <c r="D13" i="39"/>
  <c r="J16" i="39" l="1"/>
  <c r="J18" i="39" s="1"/>
  <c r="I16" i="39"/>
  <c r="I18" i="39" s="1"/>
  <c r="H16" i="39"/>
  <c r="H18" i="39" s="1"/>
  <c r="G24" i="39"/>
  <c r="G26" i="39" s="1"/>
  <c r="F21" i="39"/>
  <c r="F23" i="39" s="1"/>
  <c r="E24" i="39"/>
  <c r="E26" i="39" s="1"/>
  <c r="D4" i="39"/>
  <c r="D6" i="39" s="1"/>
  <c r="C16" i="39"/>
  <c r="M24" i="39"/>
  <c r="M26" i="39" s="1"/>
  <c r="E19" i="39"/>
  <c r="D19" i="39" s="1"/>
  <c r="L16" i="39"/>
  <c r="L18" i="39" s="1"/>
  <c r="O5" i="39"/>
  <c r="M4" i="39"/>
  <c r="M6" i="39" s="1"/>
  <c r="L4" i="39"/>
  <c r="L6" i="39" s="1"/>
  <c r="K4" i="39"/>
  <c r="K6" i="39" s="1"/>
  <c r="N16" i="39"/>
  <c r="N18" i="39" s="1"/>
  <c r="M16" i="39"/>
  <c r="M18" i="39" s="1"/>
  <c r="L21" i="39"/>
  <c r="L23" i="39" s="1"/>
  <c r="K24" i="39"/>
  <c r="K26" i="39" s="1"/>
  <c r="G16" i="39" l="1"/>
  <c r="G18" i="39" s="1"/>
  <c r="H24" i="39"/>
  <c r="H26" i="39" s="1"/>
  <c r="G4" i="39"/>
  <c r="G6" i="39" s="1"/>
  <c r="G9" i="39" s="1"/>
  <c r="F16" i="39"/>
  <c r="F18" i="39" s="1"/>
  <c r="F4" i="39"/>
  <c r="F6" i="39" s="1"/>
  <c r="F9" i="39" s="1"/>
  <c r="E4" i="39"/>
  <c r="E6" i="39" s="1"/>
  <c r="E10" i="39" s="1"/>
  <c r="D16" i="39"/>
  <c r="D24" i="39"/>
  <c r="D26" i="39" s="1"/>
  <c r="D21" i="39"/>
  <c r="D23" i="39" s="1"/>
  <c r="C24" i="39"/>
  <c r="C26" i="39" s="1"/>
  <c r="C21" i="39"/>
  <c r="C23" i="39" s="1"/>
  <c r="C4" i="39"/>
  <c r="C6" i="39" s="1"/>
  <c r="C10" i="39" s="1"/>
  <c r="N21" i="39"/>
  <c r="N23" i="39" s="1"/>
  <c r="N19" i="39"/>
  <c r="M19" i="39" s="1"/>
  <c r="O2" i="39"/>
  <c r="K10" i="39"/>
  <c r="K9" i="39"/>
  <c r="D10" i="39"/>
  <c r="D9" i="39"/>
  <c r="L10" i="39"/>
  <c r="L9" i="39"/>
  <c r="M10" i="39"/>
  <c r="M9" i="39"/>
  <c r="K16" i="39"/>
  <c r="K18" i="39" s="1"/>
  <c r="K19" i="39" s="1"/>
  <c r="J19" i="39" s="1"/>
  <c r="E21" i="39"/>
  <c r="M21" i="39"/>
  <c r="M23" i="39" s="1"/>
  <c r="L24" i="39"/>
  <c r="L26" i="39" s="1"/>
  <c r="G21" i="39"/>
  <c r="G23" i="39" s="1"/>
  <c r="F24" i="39"/>
  <c r="F26" i="39" s="1"/>
  <c r="N24" i="39"/>
  <c r="N26" i="39" s="1"/>
  <c r="N4" i="39"/>
  <c r="N6" i="39" s="1"/>
  <c r="N7" i="39" s="1"/>
  <c r="E16" i="39"/>
  <c r="H21" i="39"/>
  <c r="H23" i="39" s="1"/>
  <c r="I21" i="39"/>
  <c r="I23" i="39" s="1"/>
  <c r="H4" i="39"/>
  <c r="H6" i="39" s="1"/>
  <c r="J21" i="39"/>
  <c r="J23" i="39" s="1"/>
  <c r="I24" i="39"/>
  <c r="I26" i="39" s="1"/>
  <c r="I4" i="39"/>
  <c r="I6" i="39" s="1"/>
  <c r="K21" i="39"/>
  <c r="K23" i="39" s="1"/>
  <c r="J24" i="39"/>
  <c r="J26" i="39" s="1"/>
  <c r="J4" i="39"/>
  <c r="J6" i="39" s="1"/>
  <c r="H19" i="39" l="1"/>
  <c r="G19" i="39" s="1"/>
  <c r="C9" i="39"/>
  <c r="C11" i="39" s="1"/>
  <c r="E7" i="39"/>
  <c r="G10" i="39"/>
  <c r="G11" i="39" s="1"/>
  <c r="G13" i="39" s="1"/>
  <c r="F10" i="39"/>
  <c r="F11" i="39" s="1"/>
  <c r="F13" i="39" s="1"/>
  <c r="H7" i="39"/>
  <c r="E9" i="39"/>
  <c r="O16" i="39"/>
  <c r="O4" i="39"/>
  <c r="M11" i="39"/>
  <c r="M13" i="39" s="1"/>
  <c r="I9" i="39"/>
  <c r="K7" i="39"/>
  <c r="I10" i="39"/>
  <c r="N9" i="39"/>
  <c r="N10" i="39"/>
  <c r="O24" i="39"/>
  <c r="O6" i="39"/>
  <c r="D11" i="39"/>
  <c r="E23" i="39"/>
  <c r="O21" i="39"/>
  <c r="H9" i="39"/>
  <c r="H10" i="39"/>
  <c r="J9" i="39"/>
  <c r="J10" i="39"/>
  <c r="L11" i="39"/>
  <c r="L13" i="39" s="1"/>
  <c r="K11" i="39"/>
  <c r="K13" i="39" s="1"/>
  <c r="E11" i="39"/>
  <c r="E13" i="39" s="1"/>
  <c r="E14" i="39" s="1"/>
  <c r="D14" i="39" s="1"/>
  <c r="O7" i="39" l="1"/>
  <c r="I11" i="39"/>
  <c r="I13" i="39" s="1"/>
  <c r="J11" i="39"/>
  <c r="J13" i="39" s="1"/>
  <c r="O10" i="39"/>
  <c r="H11" i="39"/>
  <c r="H13" i="39" s="1"/>
  <c r="H14" i="39" s="1"/>
  <c r="G14" i="39" s="1"/>
  <c r="O9" i="39"/>
  <c r="N11" i="39"/>
  <c r="N13" i="39" s="1"/>
  <c r="N14" i="39" s="1"/>
  <c r="M14" i="39" s="1"/>
  <c r="K14" i="39" l="1"/>
  <c r="J14" i="39" s="1"/>
  <c r="O11" i="39"/>
</calcChain>
</file>

<file path=xl/sharedStrings.xml><?xml version="1.0" encoding="utf-8"?>
<sst xmlns="http://schemas.openxmlformats.org/spreadsheetml/2006/main" count="34" uniqueCount="27">
  <si>
    <t>FATURAMENTO</t>
  </si>
  <si>
    <t>Alíquota LP</t>
  </si>
  <si>
    <t>Outras receitas</t>
  </si>
  <si>
    <t>Lucro Presumido parcial</t>
  </si>
  <si>
    <t>Lucro Presumido Total</t>
  </si>
  <si>
    <t>TOTAL</t>
  </si>
  <si>
    <t>ADIC IRPJ</t>
  </si>
  <si>
    <t>DARF IRPJ</t>
  </si>
  <si>
    <t>Lucro Presumido Trimestral</t>
  </si>
  <si>
    <t>PIS</t>
  </si>
  <si>
    <t>COFINS</t>
  </si>
  <si>
    <t>IRPJ retidos</t>
  </si>
  <si>
    <t>IRPJ A RECOLHER</t>
  </si>
  <si>
    <t>PIS RETIDO</t>
  </si>
  <si>
    <t>PIS A RECOLHER</t>
  </si>
  <si>
    <t>COFINS RETIDO</t>
  </si>
  <si>
    <t>COFINS A RECOLHER</t>
  </si>
  <si>
    <t>CSLL RETIDO</t>
  </si>
  <si>
    <t>CSLL A RECOLHER</t>
  </si>
  <si>
    <t>IRPJ A RECOLHER TRIM</t>
  </si>
  <si>
    <t>CSLL A RECOLHER TRIM</t>
  </si>
  <si>
    <t>3x</t>
  </si>
  <si>
    <t>CSLL 2372</t>
  </si>
  <si>
    <t>IRPJ 2089</t>
  </si>
  <si>
    <t>Faturamento Comercio</t>
  </si>
  <si>
    <t>Regra:</t>
  </si>
  <si>
    <t>preencher somente nas cálulas em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</si>
</sst>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43" fontId="0" fillId="0" borderId="0" xfId="0" applyNumberForma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43" fontId="6" fillId="0" borderId="0" xfId="1" applyFont="1" applyFill="1" applyBorder="1"/>
    <xf numFmtId="43" fontId="6" fillId="0" borderId="7" xfId="1" applyFont="1" applyFill="1" applyBorder="1"/>
    <xf numFmtId="17" fontId="4" fillId="3" borderId="12" xfId="0" applyNumberFormat="1" applyFont="1" applyFill="1" applyBorder="1" applyAlignment="1">
      <alignment horizontal="center"/>
    </xf>
    <xf numFmtId="17" fontId="4" fillId="3" borderId="13" xfId="0" applyNumberFormat="1" applyFont="1" applyFill="1" applyBorder="1" applyAlignment="1">
      <alignment horizontal="center"/>
    </xf>
    <xf numFmtId="17" fontId="4" fillId="3" borderId="14" xfId="0" applyNumberFormat="1" applyFont="1" applyFill="1" applyBorder="1" applyAlignment="1">
      <alignment horizontal="center"/>
    </xf>
    <xf numFmtId="43" fontId="6" fillId="0" borderId="22" xfId="1" applyFont="1" applyFill="1" applyBorder="1"/>
    <xf numFmtId="43" fontId="6" fillId="0" borderId="21" xfId="1" applyFont="1" applyFill="1" applyBorder="1"/>
    <xf numFmtId="0" fontId="2" fillId="4" borderId="0" xfId="0" applyFont="1" applyFill="1"/>
    <xf numFmtId="0" fontId="0" fillId="4" borderId="0" xfId="0" applyFill="1"/>
    <xf numFmtId="43" fontId="6" fillId="4" borderId="9" xfId="1" applyFont="1" applyFill="1" applyBorder="1"/>
    <xf numFmtId="43" fontId="6" fillId="4" borderId="3" xfId="1" applyFont="1" applyFill="1" applyBorder="1"/>
    <xf numFmtId="9" fontId="6" fillId="4" borderId="17" xfId="1" applyNumberFormat="1" applyFont="1" applyFill="1" applyBorder="1"/>
    <xf numFmtId="9" fontId="6" fillId="4" borderId="10" xfId="1" applyNumberFormat="1" applyFont="1" applyFill="1" applyBorder="1"/>
    <xf numFmtId="9" fontId="6" fillId="4" borderId="18" xfId="1" applyNumberFormat="1" applyFont="1" applyFill="1" applyBorder="1"/>
    <xf numFmtId="43" fontId="6" fillId="4" borderId="8" xfId="1" applyFont="1" applyFill="1" applyBorder="1"/>
    <xf numFmtId="43" fontId="6" fillId="4" borderId="17" xfId="1" applyFont="1" applyFill="1" applyBorder="1"/>
    <xf numFmtId="43" fontId="6" fillId="4" borderId="10" xfId="1" applyFont="1" applyFill="1" applyBorder="1"/>
    <xf numFmtId="43" fontId="6" fillId="4" borderId="18" xfId="1" applyFont="1" applyFill="1" applyBorder="1"/>
    <xf numFmtId="43" fontId="6" fillId="4" borderId="19" xfId="1" applyFont="1" applyFill="1" applyBorder="1"/>
    <xf numFmtId="43" fontId="6" fillId="4" borderId="11" xfId="1" applyFont="1" applyFill="1" applyBorder="1"/>
    <xf numFmtId="43" fontId="6" fillId="4" borderId="20" xfId="1" applyFont="1" applyFill="1" applyBorder="1"/>
    <xf numFmtId="43" fontId="6" fillId="4" borderId="6" xfId="1" applyFont="1" applyFill="1" applyBorder="1"/>
    <xf numFmtId="43" fontId="6" fillId="4" borderId="21" xfId="1" applyFont="1" applyFill="1" applyBorder="1"/>
    <xf numFmtId="43" fontId="6" fillId="4" borderId="0" xfId="1" applyFont="1" applyFill="1" applyBorder="1"/>
    <xf numFmtId="43" fontId="6" fillId="4" borderId="22" xfId="1" applyFont="1" applyFill="1" applyBorder="1"/>
    <xf numFmtId="43" fontId="6" fillId="4" borderId="23" xfId="1" applyFont="1" applyFill="1" applyBorder="1"/>
    <xf numFmtId="43" fontId="6" fillId="4" borderId="5" xfId="1" applyFont="1" applyFill="1" applyBorder="1"/>
    <xf numFmtId="43" fontId="6" fillId="4" borderId="24" xfId="1" applyFont="1" applyFill="1" applyBorder="1"/>
    <xf numFmtId="43" fontId="6" fillId="0" borderId="15" xfId="1" applyFont="1" applyFill="1" applyBorder="1"/>
    <xf numFmtId="43" fontId="6" fillId="0" borderId="9" xfId="1" applyFont="1" applyFill="1" applyBorder="1"/>
    <xf numFmtId="43" fontId="6" fillId="0" borderId="16" xfId="1" applyFont="1" applyFill="1" applyBorder="1"/>
    <xf numFmtId="43" fontId="7" fillId="0" borderId="0" xfId="1" applyFont="1" applyFill="1" applyBorder="1"/>
    <xf numFmtId="43" fontId="7" fillId="0" borderId="22" xfId="1" applyFont="1" applyFill="1" applyBorder="1"/>
    <xf numFmtId="0" fontId="0" fillId="4" borderId="1" xfId="0" applyFill="1" applyBorder="1"/>
    <xf numFmtId="0" fontId="0" fillId="4" borderId="2" xfId="0" applyFill="1" applyBorder="1"/>
    <xf numFmtId="43" fontId="6" fillId="4" borderId="25" xfId="1" applyFont="1" applyFill="1" applyBorder="1"/>
    <xf numFmtId="43" fontId="6" fillId="4" borderId="2" xfId="1" applyFont="1" applyFill="1" applyBorder="1"/>
    <xf numFmtId="43" fontId="6" fillId="4" borderId="26" xfId="1" applyFont="1" applyFill="1" applyBorder="1"/>
    <xf numFmtId="0" fontId="0" fillId="4" borderId="7" xfId="0" applyFill="1" applyBorder="1"/>
    <xf numFmtId="0" fontId="0" fillId="4" borderId="0" xfId="0" applyFill="1" applyBorder="1"/>
    <xf numFmtId="43" fontId="7" fillId="4" borderId="25" xfId="1" applyFont="1" applyFill="1" applyBorder="1"/>
    <xf numFmtId="43" fontId="7" fillId="4" borderId="2" xfId="1" applyFont="1" applyFill="1" applyBorder="1"/>
    <xf numFmtId="43" fontId="7" fillId="4" borderId="26" xfId="1" applyFont="1" applyFill="1" applyBorder="1"/>
    <xf numFmtId="43" fontId="7" fillId="4" borderId="8" xfId="1" applyFont="1" applyFill="1" applyBorder="1"/>
    <xf numFmtId="43" fontId="7" fillId="4" borderId="0" xfId="1" applyFont="1" applyFill="1" applyBorder="1"/>
    <xf numFmtId="43" fontId="7" fillId="4" borderId="24" xfId="1" applyFont="1" applyFill="1" applyBorder="1"/>
    <xf numFmtId="43" fontId="6" fillId="4" borderId="23" xfId="1" applyFont="1" applyFill="1" applyBorder="1" applyAlignment="1">
      <alignment horizontal="right"/>
    </xf>
    <xf numFmtId="43" fontId="7" fillId="4" borderId="3" xfId="1" applyFont="1" applyFill="1" applyBorder="1"/>
    <xf numFmtId="0" fontId="0" fillId="4" borderId="4" xfId="0" applyFill="1" applyBorder="1"/>
    <xf numFmtId="0" fontId="0" fillId="4" borderId="5" xfId="0" applyFill="1" applyBorder="1"/>
    <xf numFmtId="43" fontId="6" fillId="4" borderId="27" xfId="1" applyFont="1" applyFill="1" applyBorder="1"/>
    <xf numFmtId="43" fontId="6" fillId="4" borderId="28" xfId="1" applyFont="1" applyFill="1" applyBorder="1"/>
    <xf numFmtId="43" fontId="6" fillId="4" borderId="29" xfId="1" applyFont="1" applyFill="1" applyBorder="1"/>
    <xf numFmtId="43" fontId="6" fillId="4" borderId="7" xfId="1" applyFont="1" applyFill="1" applyBorder="1"/>
    <xf numFmtId="43" fontId="6" fillId="4" borderId="4" xfId="1" applyFont="1" applyFill="1" applyBorder="1"/>
    <xf numFmtId="43" fontId="6" fillId="4" borderId="1" xfId="1" applyFont="1" applyFill="1" applyBorder="1"/>
  </cellXfs>
  <cellStyles count="5">
    <cellStyle name="Normal" xfId="0" builtinId="0"/>
    <cellStyle name="Normal 2" xfId="2"/>
    <cellStyle name="Porcentagem 2" xfId="3"/>
    <cellStyle name="Vírgula" xfId="1" builtinId="3"/>
    <cellStyle name="Vírgula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defaultRowHeight="15" x14ac:dyDescent="0.25"/>
  <cols>
    <col min="1" max="1" width="22.7109375" customWidth="1"/>
    <col min="3" max="3" width="11.5703125" customWidth="1"/>
    <col min="4" max="8" width="9.5703125" customWidth="1"/>
    <col min="9" max="10" width="9.5703125" bestFit="1" customWidth="1"/>
    <col min="11" max="11" width="10.85546875" bestFit="1" customWidth="1"/>
    <col min="12" max="14" width="9.5703125" bestFit="1" customWidth="1"/>
    <col min="15" max="15" width="11.7109375" bestFit="1" customWidth="1"/>
    <col min="16" max="16" width="14.140625" customWidth="1"/>
  </cols>
  <sheetData>
    <row r="1" spans="1:16" ht="15.75" thickTop="1" x14ac:dyDescent="0.25">
      <c r="A1" s="5" t="s">
        <v>0</v>
      </c>
      <c r="B1" s="5"/>
      <c r="C1" s="9">
        <v>44562</v>
      </c>
      <c r="D1" s="10">
        <v>44593</v>
      </c>
      <c r="E1" s="11">
        <v>44621</v>
      </c>
      <c r="F1" s="9">
        <v>44652</v>
      </c>
      <c r="G1" s="10">
        <v>44682</v>
      </c>
      <c r="H1" s="11">
        <v>44713</v>
      </c>
      <c r="I1" s="9">
        <v>44743</v>
      </c>
      <c r="J1" s="10">
        <v>44774</v>
      </c>
      <c r="K1" s="11">
        <v>44805</v>
      </c>
      <c r="L1" s="9">
        <v>44835</v>
      </c>
      <c r="M1" s="10">
        <v>44866</v>
      </c>
      <c r="N1" s="11">
        <v>44896</v>
      </c>
      <c r="O1" s="6" t="s">
        <v>5</v>
      </c>
    </row>
    <row r="2" spans="1:16" x14ac:dyDescent="0.25">
      <c r="A2" s="14" t="s">
        <v>24</v>
      </c>
      <c r="B2" s="15"/>
      <c r="C2" s="35">
        <v>10000</v>
      </c>
      <c r="D2" s="36">
        <v>10000</v>
      </c>
      <c r="E2" s="37">
        <v>10000</v>
      </c>
      <c r="F2" s="35">
        <v>10000</v>
      </c>
      <c r="G2" s="36">
        <v>10000</v>
      </c>
      <c r="H2" s="37">
        <v>10000</v>
      </c>
      <c r="I2" s="35">
        <v>10000</v>
      </c>
      <c r="J2" s="36">
        <v>10000</v>
      </c>
      <c r="K2" s="37">
        <v>10000</v>
      </c>
      <c r="L2" s="35">
        <v>10000</v>
      </c>
      <c r="M2" s="36">
        <v>10000</v>
      </c>
      <c r="N2" s="37">
        <v>10000</v>
      </c>
      <c r="O2" s="17">
        <f t="shared" ref="O2:O7" si="0">SUM(C2:N2)</f>
        <v>120000</v>
      </c>
      <c r="P2" s="2"/>
    </row>
    <row r="3" spans="1:16" x14ac:dyDescent="0.25">
      <c r="A3" s="15" t="s">
        <v>1</v>
      </c>
      <c r="B3" s="15"/>
      <c r="C3" s="18">
        <v>0.08</v>
      </c>
      <c r="D3" s="19">
        <v>0.08</v>
      </c>
      <c r="E3" s="20">
        <v>0.08</v>
      </c>
      <c r="F3" s="18">
        <v>0.08</v>
      </c>
      <c r="G3" s="19">
        <v>0.08</v>
      </c>
      <c r="H3" s="20">
        <v>0.08</v>
      </c>
      <c r="I3" s="18">
        <v>0.08</v>
      </c>
      <c r="J3" s="19">
        <v>0.08</v>
      </c>
      <c r="K3" s="20">
        <v>0.08</v>
      </c>
      <c r="L3" s="18">
        <v>0.08</v>
      </c>
      <c r="M3" s="19">
        <v>0.08</v>
      </c>
      <c r="N3" s="20">
        <v>0.08</v>
      </c>
      <c r="O3" s="21"/>
    </row>
    <row r="4" spans="1:16" x14ac:dyDescent="0.25">
      <c r="A4" s="15" t="s">
        <v>3</v>
      </c>
      <c r="B4" s="15"/>
      <c r="C4" s="22">
        <f>+C2*C3</f>
        <v>800</v>
      </c>
      <c r="D4" s="23">
        <f>+D2*D3</f>
        <v>800</v>
      </c>
      <c r="E4" s="24">
        <f>+E2*E3</f>
        <v>800</v>
      </c>
      <c r="F4" s="22">
        <f t="shared" ref="F4:N4" si="1">+F2*F3</f>
        <v>800</v>
      </c>
      <c r="G4" s="23">
        <f t="shared" si="1"/>
        <v>800</v>
      </c>
      <c r="H4" s="24">
        <f t="shared" si="1"/>
        <v>800</v>
      </c>
      <c r="I4" s="22">
        <f t="shared" si="1"/>
        <v>800</v>
      </c>
      <c r="J4" s="23">
        <f t="shared" si="1"/>
        <v>800</v>
      </c>
      <c r="K4" s="24">
        <f t="shared" si="1"/>
        <v>800</v>
      </c>
      <c r="L4" s="22">
        <f t="shared" si="1"/>
        <v>800</v>
      </c>
      <c r="M4" s="23">
        <f t="shared" si="1"/>
        <v>800</v>
      </c>
      <c r="N4" s="24">
        <f t="shared" si="1"/>
        <v>800</v>
      </c>
      <c r="O4" s="21">
        <f t="shared" si="0"/>
        <v>9600</v>
      </c>
    </row>
    <row r="5" spans="1:16" x14ac:dyDescent="0.25">
      <c r="A5" s="15" t="s">
        <v>2</v>
      </c>
      <c r="B5" s="15"/>
      <c r="C5" s="25">
        <v>0</v>
      </c>
      <c r="D5" s="26">
        <v>0</v>
      </c>
      <c r="E5" s="27">
        <v>0</v>
      </c>
      <c r="F5" s="25">
        <v>0</v>
      </c>
      <c r="G5" s="26">
        <v>0</v>
      </c>
      <c r="H5" s="27">
        <v>0</v>
      </c>
      <c r="I5" s="25">
        <v>0</v>
      </c>
      <c r="J5" s="26">
        <v>0</v>
      </c>
      <c r="K5" s="27">
        <v>0</v>
      </c>
      <c r="L5" s="25">
        <v>0</v>
      </c>
      <c r="M5" s="26">
        <v>0</v>
      </c>
      <c r="N5" s="27">
        <v>0</v>
      </c>
      <c r="O5" s="28">
        <f t="shared" si="0"/>
        <v>0</v>
      </c>
    </row>
    <row r="6" spans="1:16" x14ac:dyDescent="0.25">
      <c r="A6" s="15" t="s">
        <v>4</v>
      </c>
      <c r="B6" s="15"/>
      <c r="C6" s="29">
        <f>+C5+C4</f>
        <v>800</v>
      </c>
      <c r="D6" s="30">
        <f t="shared" ref="D6:N6" si="2">+D5+D4</f>
        <v>800</v>
      </c>
      <c r="E6" s="31">
        <f t="shared" si="2"/>
        <v>800</v>
      </c>
      <c r="F6" s="29">
        <f t="shared" si="2"/>
        <v>800</v>
      </c>
      <c r="G6" s="30">
        <f t="shared" si="2"/>
        <v>800</v>
      </c>
      <c r="H6" s="31">
        <f t="shared" si="2"/>
        <v>800</v>
      </c>
      <c r="I6" s="29">
        <f t="shared" si="2"/>
        <v>800</v>
      </c>
      <c r="J6" s="30">
        <f t="shared" si="2"/>
        <v>800</v>
      </c>
      <c r="K6" s="31">
        <f t="shared" si="2"/>
        <v>800</v>
      </c>
      <c r="L6" s="29">
        <f t="shared" si="2"/>
        <v>800</v>
      </c>
      <c r="M6" s="30">
        <f t="shared" si="2"/>
        <v>800</v>
      </c>
      <c r="N6" s="31">
        <f t="shared" si="2"/>
        <v>800</v>
      </c>
      <c r="O6" s="21">
        <f t="shared" si="0"/>
        <v>9600</v>
      </c>
    </row>
    <row r="7" spans="1:16" x14ac:dyDescent="0.25">
      <c r="A7" s="15" t="s">
        <v>8</v>
      </c>
      <c r="B7" s="15"/>
      <c r="C7" s="32"/>
      <c r="D7" s="33"/>
      <c r="E7" s="34">
        <f>SUM(C6:E6)</f>
        <v>2400</v>
      </c>
      <c r="F7" s="32"/>
      <c r="G7" s="33"/>
      <c r="H7" s="34">
        <f>SUM(F6:H6)</f>
        <v>2400</v>
      </c>
      <c r="I7" s="32"/>
      <c r="J7" s="33"/>
      <c r="K7" s="34">
        <f>SUM(I6:K6)</f>
        <v>2400</v>
      </c>
      <c r="L7" s="32"/>
      <c r="M7" s="33"/>
      <c r="N7" s="34">
        <f>SUM(L6:N6)</f>
        <v>2400</v>
      </c>
      <c r="O7" s="21">
        <f t="shared" si="0"/>
        <v>9600</v>
      </c>
    </row>
    <row r="8" spans="1:16" x14ac:dyDescent="0.25">
      <c r="A8" s="15"/>
      <c r="B8" s="15"/>
      <c r="C8" s="29"/>
      <c r="D8" s="30"/>
      <c r="E8" s="31"/>
      <c r="F8" s="29"/>
      <c r="G8" s="30"/>
      <c r="H8" s="31"/>
      <c r="I8" s="29"/>
      <c r="J8" s="30"/>
      <c r="K8" s="31"/>
      <c r="L8" s="29"/>
      <c r="M8" s="30"/>
      <c r="N8" s="31"/>
      <c r="O8" s="21"/>
    </row>
    <row r="9" spans="1:16" x14ac:dyDescent="0.25">
      <c r="A9" s="40" t="s">
        <v>23</v>
      </c>
      <c r="B9" s="41"/>
      <c r="C9" s="42">
        <f t="shared" ref="C9:N9" si="3">+C6*0.15</f>
        <v>120</v>
      </c>
      <c r="D9" s="43">
        <f t="shared" si="3"/>
        <v>120</v>
      </c>
      <c r="E9" s="44">
        <f t="shared" si="3"/>
        <v>120</v>
      </c>
      <c r="F9" s="42">
        <f t="shared" si="3"/>
        <v>120</v>
      </c>
      <c r="G9" s="43">
        <f t="shared" si="3"/>
        <v>120</v>
      </c>
      <c r="H9" s="44">
        <f t="shared" si="3"/>
        <v>120</v>
      </c>
      <c r="I9" s="42">
        <f t="shared" si="3"/>
        <v>120</v>
      </c>
      <c r="J9" s="43">
        <f t="shared" si="3"/>
        <v>120</v>
      </c>
      <c r="K9" s="44">
        <f t="shared" si="3"/>
        <v>120</v>
      </c>
      <c r="L9" s="42">
        <f t="shared" si="3"/>
        <v>120</v>
      </c>
      <c r="M9" s="43">
        <f t="shared" si="3"/>
        <v>120</v>
      </c>
      <c r="N9" s="44">
        <f t="shared" si="3"/>
        <v>120</v>
      </c>
      <c r="O9" s="17">
        <f>SUM(C9:N9)</f>
        <v>1440</v>
      </c>
      <c r="P9" s="1"/>
    </row>
    <row r="10" spans="1:16" x14ac:dyDescent="0.25">
      <c r="A10" s="45" t="s">
        <v>6</v>
      </c>
      <c r="B10" s="46"/>
      <c r="C10" s="29">
        <f>IF(C6&gt;20000,(+C6-20000)*0.1,0)</f>
        <v>0</v>
      </c>
      <c r="D10" s="30">
        <f>IF(D6&gt;20000,(+D6-20000)*0.1,0)</f>
        <v>0</v>
      </c>
      <c r="E10" s="31">
        <f>IF(E6&gt;20000,(+E6-20000)*0.1,0)</f>
        <v>0</v>
      </c>
      <c r="F10" s="29">
        <f t="shared" ref="F10:N10" si="4">IF(F6&gt;20000,(+F6-20000)*0.1,0)</f>
        <v>0</v>
      </c>
      <c r="G10" s="30">
        <f t="shared" si="4"/>
        <v>0</v>
      </c>
      <c r="H10" s="31">
        <f t="shared" si="4"/>
        <v>0</v>
      </c>
      <c r="I10" s="29">
        <f t="shared" si="4"/>
        <v>0</v>
      </c>
      <c r="J10" s="30">
        <f t="shared" si="4"/>
        <v>0</v>
      </c>
      <c r="K10" s="31">
        <f t="shared" si="4"/>
        <v>0</v>
      </c>
      <c r="L10" s="29">
        <f t="shared" si="4"/>
        <v>0</v>
      </c>
      <c r="M10" s="30">
        <f t="shared" si="4"/>
        <v>0</v>
      </c>
      <c r="N10" s="31">
        <f t="shared" si="4"/>
        <v>0</v>
      </c>
      <c r="O10" s="21">
        <f>SUM(C10:N10)</f>
        <v>0</v>
      </c>
      <c r="P10" s="1"/>
    </row>
    <row r="11" spans="1:16" x14ac:dyDescent="0.25">
      <c r="A11" s="45" t="s">
        <v>7</v>
      </c>
      <c r="B11" s="46"/>
      <c r="C11" s="47">
        <f>+C9+C10</f>
        <v>120</v>
      </c>
      <c r="D11" s="48">
        <f t="shared" ref="D11:N11" si="5">+D9+D10</f>
        <v>120</v>
      </c>
      <c r="E11" s="49">
        <f t="shared" si="5"/>
        <v>120</v>
      </c>
      <c r="F11" s="47">
        <f t="shared" si="5"/>
        <v>120</v>
      </c>
      <c r="G11" s="48">
        <f t="shared" si="5"/>
        <v>120</v>
      </c>
      <c r="H11" s="49">
        <f t="shared" si="5"/>
        <v>120</v>
      </c>
      <c r="I11" s="47">
        <f t="shared" si="5"/>
        <v>120</v>
      </c>
      <c r="J11" s="48">
        <f t="shared" si="5"/>
        <v>120</v>
      </c>
      <c r="K11" s="49">
        <f t="shared" si="5"/>
        <v>120</v>
      </c>
      <c r="L11" s="47">
        <f t="shared" si="5"/>
        <v>120</v>
      </c>
      <c r="M11" s="48">
        <f t="shared" si="5"/>
        <v>120</v>
      </c>
      <c r="N11" s="49">
        <f t="shared" si="5"/>
        <v>120</v>
      </c>
      <c r="O11" s="50">
        <f>SUM(C11:N11)</f>
        <v>1440</v>
      </c>
      <c r="P11" s="1"/>
    </row>
    <row r="12" spans="1:16" x14ac:dyDescent="0.25">
      <c r="A12" s="45" t="s">
        <v>11</v>
      </c>
      <c r="B12" s="46"/>
      <c r="C12" s="13">
        <v>0</v>
      </c>
      <c r="D12" s="7">
        <v>0</v>
      </c>
      <c r="E12" s="12">
        <v>0</v>
      </c>
      <c r="F12" s="13">
        <v>0</v>
      </c>
      <c r="G12" s="7">
        <v>0</v>
      </c>
      <c r="H12" s="12">
        <v>0</v>
      </c>
      <c r="I12" s="13">
        <v>0</v>
      </c>
      <c r="J12" s="7">
        <v>0</v>
      </c>
      <c r="K12" s="12">
        <v>0</v>
      </c>
      <c r="L12" s="13">
        <v>0</v>
      </c>
      <c r="M12" s="38">
        <v>0</v>
      </c>
      <c r="N12" s="39">
        <v>0</v>
      </c>
      <c r="O12" s="21"/>
      <c r="P12" s="1"/>
    </row>
    <row r="13" spans="1:16" x14ac:dyDescent="0.25">
      <c r="A13" s="45" t="s">
        <v>12</v>
      </c>
      <c r="B13" s="46"/>
      <c r="C13" s="29">
        <f t="shared" ref="C13:D13" si="6">+C11-C12</f>
        <v>120</v>
      </c>
      <c r="D13" s="30">
        <f t="shared" si="6"/>
        <v>120</v>
      </c>
      <c r="E13" s="31">
        <f t="shared" ref="C13:N13" si="7">+E11-E12</f>
        <v>120</v>
      </c>
      <c r="F13" s="29">
        <f t="shared" si="7"/>
        <v>120</v>
      </c>
      <c r="G13" s="30">
        <f t="shared" si="7"/>
        <v>120</v>
      </c>
      <c r="H13" s="31">
        <f t="shared" si="7"/>
        <v>120</v>
      </c>
      <c r="I13" s="29">
        <f t="shared" si="7"/>
        <v>120</v>
      </c>
      <c r="J13" s="30">
        <f t="shared" si="7"/>
        <v>120</v>
      </c>
      <c r="K13" s="31">
        <f t="shared" si="7"/>
        <v>120</v>
      </c>
      <c r="L13" s="29">
        <f t="shared" si="7"/>
        <v>120</v>
      </c>
      <c r="M13" s="30">
        <f t="shared" si="7"/>
        <v>120</v>
      </c>
      <c r="N13" s="31">
        <f t="shared" si="7"/>
        <v>120</v>
      </c>
      <c r="O13" s="21"/>
      <c r="P13" s="1"/>
    </row>
    <row r="14" spans="1:16" x14ac:dyDescent="0.25">
      <c r="A14" s="45" t="s">
        <v>19</v>
      </c>
      <c r="B14" s="46"/>
      <c r="C14" s="32" t="s">
        <v>21</v>
      </c>
      <c r="D14" s="33">
        <f>+E14/3</f>
        <v>120</v>
      </c>
      <c r="E14" s="52">
        <f>SUM(C13:E13)</f>
        <v>360</v>
      </c>
      <c r="F14" s="53" t="s">
        <v>21</v>
      </c>
      <c r="G14" s="33">
        <f>+H14/3</f>
        <v>120</v>
      </c>
      <c r="H14" s="52">
        <f>SUM(F13:H13)</f>
        <v>360</v>
      </c>
      <c r="I14" s="53" t="s">
        <v>21</v>
      </c>
      <c r="J14" s="33">
        <f>+K14/3</f>
        <v>120</v>
      </c>
      <c r="K14" s="52">
        <f>SUM(I13:K13)</f>
        <v>360</v>
      </c>
      <c r="L14" s="53" t="s">
        <v>21</v>
      </c>
      <c r="M14" s="33">
        <f>+N14/3</f>
        <v>120</v>
      </c>
      <c r="N14" s="52">
        <f>SUM(L13:N13)</f>
        <v>360</v>
      </c>
      <c r="O14" s="21"/>
      <c r="P14" s="1"/>
    </row>
    <row r="15" spans="1:16" x14ac:dyDescent="0.25">
      <c r="A15" s="15"/>
      <c r="B15" s="15"/>
      <c r="C15" s="29"/>
      <c r="D15" s="30"/>
      <c r="E15" s="31"/>
      <c r="F15" s="29"/>
      <c r="G15" s="30"/>
      <c r="H15" s="31"/>
      <c r="I15" s="29"/>
      <c r="J15" s="30"/>
      <c r="K15" s="31"/>
      <c r="L15" s="29"/>
      <c r="M15" s="30"/>
      <c r="N15" s="31"/>
      <c r="O15" s="21"/>
    </row>
    <row r="16" spans="1:16" x14ac:dyDescent="0.25">
      <c r="A16" s="40" t="s">
        <v>22</v>
      </c>
      <c r="B16" s="41"/>
      <c r="C16" s="47">
        <f t="shared" ref="C16:N16" si="8">+C2*1.08%</f>
        <v>108</v>
      </c>
      <c r="D16" s="48">
        <f t="shared" si="8"/>
        <v>108</v>
      </c>
      <c r="E16" s="49">
        <f t="shared" si="8"/>
        <v>108</v>
      </c>
      <c r="F16" s="47">
        <f t="shared" si="8"/>
        <v>108</v>
      </c>
      <c r="G16" s="48">
        <f t="shared" si="8"/>
        <v>108</v>
      </c>
      <c r="H16" s="49">
        <f t="shared" si="8"/>
        <v>108</v>
      </c>
      <c r="I16" s="47">
        <f t="shared" si="8"/>
        <v>108</v>
      </c>
      <c r="J16" s="48">
        <f t="shared" si="8"/>
        <v>108</v>
      </c>
      <c r="K16" s="49">
        <f t="shared" si="8"/>
        <v>108</v>
      </c>
      <c r="L16" s="47">
        <f t="shared" si="8"/>
        <v>108</v>
      </c>
      <c r="M16" s="48">
        <f t="shared" si="8"/>
        <v>108</v>
      </c>
      <c r="N16" s="49">
        <f t="shared" si="8"/>
        <v>108</v>
      </c>
      <c r="O16" s="54">
        <f>SUM(C16:N16)</f>
        <v>1296</v>
      </c>
      <c r="P16" s="1"/>
    </row>
    <row r="17" spans="1:16" x14ac:dyDescent="0.25">
      <c r="A17" s="45" t="s">
        <v>17</v>
      </c>
      <c r="B17" s="46"/>
      <c r="C17" s="13">
        <v>0</v>
      </c>
      <c r="D17" s="7">
        <v>0</v>
      </c>
      <c r="E17" s="12">
        <v>0</v>
      </c>
      <c r="F17" s="13">
        <v>0</v>
      </c>
      <c r="G17" s="7">
        <v>0</v>
      </c>
      <c r="H17" s="12">
        <v>0</v>
      </c>
      <c r="I17" s="13">
        <v>0</v>
      </c>
      <c r="J17" s="7">
        <v>0</v>
      </c>
      <c r="K17" s="12">
        <v>0</v>
      </c>
      <c r="L17" s="13">
        <v>0</v>
      </c>
      <c r="M17" s="7">
        <v>0</v>
      </c>
      <c r="N17" s="12">
        <v>0</v>
      </c>
      <c r="O17" s="21"/>
      <c r="P17" s="1"/>
    </row>
    <row r="18" spans="1:16" x14ac:dyDescent="0.25">
      <c r="A18" s="45" t="s">
        <v>18</v>
      </c>
      <c r="B18" s="46"/>
      <c r="C18" s="29">
        <f t="shared" ref="C18:E18" si="9">+C16-C17</f>
        <v>108</v>
      </c>
      <c r="D18" s="30">
        <f t="shared" si="9"/>
        <v>108</v>
      </c>
      <c r="E18" s="31">
        <f t="shared" si="9"/>
        <v>108</v>
      </c>
      <c r="F18" s="29">
        <f t="shared" ref="F18:N18" si="10">+F16-F17</f>
        <v>108</v>
      </c>
      <c r="G18" s="30">
        <f t="shared" si="10"/>
        <v>108</v>
      </c>
      <c r="H18" s="31">
        <f t="shared" si="10"/>
        <v>108</v>
      </c>
      <c r="I18" s="29">
        <f t="shared" si="10"/>
        <v>108</v>
      </c>
      <c r="J18" s="30">
        <f t="shared" si="10"/>
        <v>108</v>
      </c>
      <c r="K18" s="31">
        <f t="shared" si="10"/>
        <v>108</v>
      </c>
      <c r="L18" s="29">
        <f t="shared" si="10"/>
        <v>108</v>
      </c>
      <c r="M18" s="30">
        <f t="shared" si="10"/>
        <v>108</v>
      </c>
      <c r="N18" s="31">
        <f t="shared" si="10"/>
        <v>108</v>
      </c>
      <c r="O18" s="21"/>
      <c r="P18" s="1"/>
    </row>
    <row r="19" spans="1:16" x14ac:dyDescent="0.25">
      <c r="A19" s="45" t="s">
        <v>20</v>
      </c>
      <c r="B19" s="46"/>
      <c r="C19" s="32" t="s">
        <v>21</v>
      </c>
      <c r="D19" s="33">
        <f>+E19/3</f>
        <v>108</v>
      </c>
      <c r="E19" s="52">
        <f>SUM(C18:E18)</f>
        <v>324</v>
      </c>
      <c r="F19" s="53" t="s">
        <v>21</v>
      </c>
      <c r="G19" s="33">
        <f>+H19/3</f>
        <v>108</v>
      </c>
      <c r="H19" s="52">
        <f>SUM(F18:H18)</f>
        <v>324</v>
      </c>
      <c r="I19" s="53" t="s">
        <v>21</v>
      </c>
      <c r="J19" s="33">
        <f>+K19/3</f>
        <v>108</v>
      </c>
      <c r="K19" s="52">
        <f>SUM(I18:K18)</f>
        <v>324</v>
      </c>
      <c r="L19" s="53" t="s">
        <v>21</v>
      </c>
      <c r="M19" s="33">
        <f>+N19/3</f>
        <v>108</v>
      </c>
      <c r="N19" s="52">
        <f>SUM(L18:N18)</f>
        <v>324</v>
      </c>
      <c r="O19" s="21"/>
      <c r="P19" s="1"/>
    </row>
    <row r="20" spans="1:16" ht="15.75" thickBot="1" x14ac:dyDescent="0.3">
      <c r="A20" s="55"/>
      <c r="B20" s="56"/>
      <c r="C20" s="57"/>
      <c r="D20" s="58"/>
      <c r="E20" s="59"/>
      <c r="F20" s="57"/>
      <c r="G20" s="58"/>
      <c r="H20" s="59"/>
      <c r="I20" s="57"/>
      <c r="J20" s="58"/>
      <c r="K20" s="59"/>
      <c r="L20" s="57"/>
      <c r="M20" s="58"/>
      <c r="N20" s="59"/>
      <c r="O20" s="28"/>
      <c r="P20" s="1"/>
    </row>
    <row r="21" spans="1:16" ht="15.75" thickTop="1" x14ac:dyDescent="0.25">
      <c r="A21" s="40" t="s">
        <v>9</v>
      </c>
      <c r="B21" s="41"/>
      <c r="C21" s="60">
        <f t="shared" ref="C21:N21" si="11">+C2*0.65%</f>
        <v>65</v>
      </c>
      <c r="D21" s="30">
        <f t="shared" si="11"/>
        <v>65</v>
      </c>
      <c r="E21" s="30">
        <f t="shared" si="11"/>
        <v>65</v>
      </c>
      <c r="F21" s="30">
        <f t="shared" si="11"/>
        <v>65</v>
      </c>
      <c r="G21" s="30">
        <f t="shared" si="11"/>
        <v>65</v>
      </c>
      <c r="H21" s="30">
        <f t="shared" si="11"/>
        <v>65</v>
      </c>
      <c r="I21" s="51">
        <f t="shared" si="11"/>
        <v>65</v>
      </c>
      <c r="J21" s="51">
        <f t="shared" si="11"/>
        <v>65</v>
      </c>
      <c r="K21" s="51">
        <f t="shared" si="11"/>
        <v>65</v>
      </c>
      <c r="L21" s="51">
        <f t="shared" si="11"/>
        <v>65</v>
      </c>
      <c r="M21" s="51">
        <f t="shared" si="11"/>
        <v>65</v>
      </c>
      <c r="N21" s="51">
        <f t="shared" si="11"/>
        <v>65</v>
      </c>
      <c r="O21" s="16">
        <f>SUM(C21:N21)</f>
        <v>780</v>
      </c>
      <c r="P21" s="1"/>
    </row>
    <row r="22" spans="1:16" x14ac:dyDescent="0.25">
      <c r="A22" s="45" t="s">
        <v>13</v>
      </c>
      <c r="B22" s="46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23"/>
      <c r="P22" s="1"/>
    </row>
    <row r="23" spans="1:16" x14ac:dyDescent="0.25">
      <c r="A23" s="55" t="s">
        <v>14</v>
      </c>
      <c r="B23" s="56"/>
      <c r="C23" s="61">
        <f t="shared" ref="C23:N23" si="12">+C21-C22</f>
        <v>65</v>
      </c>
      <c r="D23" s="33">
        <f t="shared" si="12"/>
        <v>65</v>
      </c>
      <c r="E23" s="33">
        <f t="shared" si="12"/>
        <v>65</v>
      </c>
      <c r="F23" s="33">
        <f t="shared" si="12"/>
        <v>65</v>
      </c>
      <c r="G23" s="33">
        <f t="shared" si="12"/>
        <v>65</v>
      </c>
      <c r="H23" s="33">
        <f t="shared" si="12"/>
        <v>65</v>
      </c>
      <c r="I23" s="33">
        <f t="shared" si="12"/>
        <v>65</v>
      </c>
      <c r="J23" s="33">
        <f t="shared" si="12"/>
        <v>65</v>
      </c>
      <c r="K23" s="33">
        <f t="shared" si="12"/>
        <v>65</v>
      </c>
      <c r="L23" s="33">
        <f t="shared" si="12"/>
        <v>65</v>
      </c>
      <c r="M23" s="33">
        <f t="shared" si="12"/>
        <v>65</v>
      </c>
      <c r="N23" s="33">
        <f t="shared" si="12"/>
        <v>65</v>
      </c>
      <c r="O23" s="26"/>
      <c r="P23" s="1"/>
    </row>
    <row r="24" spans="1:16" x14ac:dyDescent="0.25">
      <c r="A24" s="40" t="s">
        <v>10</v>
      </c>
      <c r="B24" s="41"/>
      <c r="C24" s="62">
        <f>+C2*3%</f>
        <v>300</v>
      </c>
      <c r="D24" s="43">
        <f t="shared" ref="D24:N24" si="13">+D2*3%</f>
        <v>300</v>
      </c>
      <c r="E24" s="43">
        <f t="shared" si="13"/>
        <v>300</v>
      </c>
      <c r="F24" s="43">
        <f t="shared" si="13"/>
        <v>300</v>
      </c>
      <c r="G24" s="43">
        <f t="shared" si="13"/>
        <v>300</v>
      </c>
      <c r="H24" s="43">
        <f t="shared" si="13"/>
        <v>300</v>
      </c>
      <c r="I24" s="48">
        <f t="shared" si="13"/>
        <v>300</v>
      </c>
      <c r="J24" s="48">
        <f t="shared" si="13"/>
        <v>300</v>
      </c>
      <c r="K24" s="48">
        <f t="shared" si="13"/>
        <v>300</v>
      </c>
      <c r="L24" s="48">
        <f t="shared" si="13"/>
        <v>300</v>
      </c>
      <c r="M24" s="48">
        <f t="shared" si="13"/>
        <v>300</v>
      </c>
      <c r="N24" s="48">
        <f t="shared" si="13"/>
        <v>300</v>
      </c>
      <c r="O24" s="16">
        <f>SUM(C24:N24)</f>
        <v>3600</v>
      </c>
      <c r="P24" s="1"/>
    </row>
    <row r="25" spans="1:16" x14ac:dyDescent="0.25">
      <c r="A25" s="45" t="s">
        <v>15</v>
      </c>
      <c r="B25" s="46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23"/>
      <c r="P25" s="1"/>
    </row>
    <row r="26" spans="1:16" x14ac:dyDescent="0.25">
      <c r="A26" s="55" t="s">
        <v>16</v>
      </c>
      <c r="B26" s="56"/>
      <c r="C26" s="61">
        <f t="shared" ref="C26:N26" si="14">+C24-C25</f>
        <v>300</v>
      </c>
      <c r="D26" s="33">
        <f t="shared" si="14"/>
        <v>300</v>
      </c>
      <c r="E26" s="33">
        <f t="shared" si="14"/>
        <v>300</v>
      </c>
      <c r="F26" s="33">
        <f t="shared" si="14"/>
        <v>300</v>
      </c>
      <c r="G26" s="33">
        <f t="shared" si="14"/>
        <v>300</v>
      </c>
      <c r="H26" s="33">
        <f t="shared" si="14"/>
        <v>300</v>
      </c>
      <c r="I26" s="33">
        <f t="shared" si="14"/>
        <v>300</v>
      </c>
      <c r="J26" s="33">
        <f t="shared" si="14"/>
        <v>300</v>
      </c>
      <c r="K26" s="33">
        <f t="shared" si="14"/>
        <v>300</v>
      </c>
      <c r="L26" s="33">
        <f t="shared" si="14"/>
        <v>300</v>
      </c>
      <c r="M26" s="33">
        <f t="shared" si="14"/>
        <v>300</v>
      </c>
      <c r="N26" s="33">
        <f t="shared" si="14"/>
        <v>300</v>
      </c>
      <c r="O26" s="26"/>
      <c r="P26" s="1"/>
    </row>
    <row r="27" spans="1:16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9" spans="1:16" x14ac:dyDescent="0.25">
      <c r="A29" s="46" t="s">
        <v>25</v>
      </c>
    </row>
    <row r="30" spans="1:16" x14ac:dyDescent="0.25">
      <c r="A30" s="46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APURACAO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cp:lastPrinted>2018-12-28T17:49:49Z</cp:lastPrinted>
  <dcterms:created xsi:type="dcterms:W3CDTF">2018-10-10T20:27:44Z</dcterms:created>
  <dcterms:modified xsi:type="dcterms:W3CDTF">2021-12-07T16:33:01Z</dcterms:modified>
</cp:coreProperties>
</file>