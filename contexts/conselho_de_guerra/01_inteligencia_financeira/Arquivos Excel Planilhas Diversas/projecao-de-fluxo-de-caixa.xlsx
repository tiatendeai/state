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ED3A5513-EF48-4BE2-A4B7-E038BADE484F}" xr6:coauthVersionLast="45" xr6:coauthVersionMax="45" xr10:uidLastSave="{00000000-0000-0000-0000-000000000000}"/>
  <bookViews>
    <workbookView xWindow="-108" yWindow="-108" windowWidth="23256" windowHeight="12576" xr2:uid="{DEB9CD4F-08F1-4A20-81E9-C8044BF9202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F29" i="1"/>
  <c r="G29" i="1"/>
  <c r="I29" i="1"/>
  <c r="K29" i="1"/>
  <c r="D29" i="1"/>
  <c r="C29" i="1"/>
  <c r="B29" i="1"/>
  <c r="M29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14" i="1"/>
  <c r="M13" i="1"/>
  <c r="M11" i="1"/>
  <c r="M10" i="1"/>
  <c r="M9" i="1"/>
  <c r="M8" i="1"/>
  <c r="M7" i="1"/>
  <c r="M6" i="1"/>
  <c r="M5" i="1"/>
  <c r="K13" i="1"/>
  <c r="I13" i="1"/>
  <c r="G13" i="1"/>
  <c r="E13" i="1"/>
  <c r="C13" i="1"/>
  <c r="K5" i="1"/>
  <c r="I5" i="1"/>
  <c r="G5" i="1"/>
  <c r="E5" i="1"/>
  <c r="C5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13" i="1"/>
  <c r="L6" i="1"/>
  <c r="L7" i="1"/>
  <c r="L8" i="1"/>
  <c r="L9" i="1"/>
  <c r="L10" i="1"/>
  <c r="L11" i="1"/>
  <c r="J5" i="1"/>
  <c r="M4" i="1"/>
  <c r="M12" i="1" s="1"/>
  <c r="L4" i="1"/>
  <c r="K12" i="1"/>
  <c r="I12" i="1"/>
  <c r="G12" i="1"/>
  <c r="E12" i="1"/>
  <c r="C28" i="1"/>
  <c r="C12" i="1"/>
  <c r="J13" i="1"/>
  <c r="H13" i="1"/>
  <c r="H5" i="1"/>
  <c r="L5" i="1" s="1"/>
  <c r="F13" i="1"/>
  <c r="F5" i="1"/>
  <c r="D5" i="1"/>
  <c r="B5" i="1"/>
  <c r="B12" i="1" s="1"/>
  <c r="D13" i="1"/>
  <c r="D28" i="1" s="1"/>
  <c r="B13" i="1"/>
  <c r="D4" i="1" s="1"/>
  <c r="J28" i="1" l="1"/>
  <c r="E28" i="1"/>
  <c r="H28" i="1"/>
  <c r="I28" i="1"/>
  <c r="G28" i="1"/>
  <c r="K28" i="1"/>
  <c r="B28" i="1"/>
  <c r="F28" i="1"/>
  <c r="D12" i="1"/>
  <c r="F4" i="1"/>
  <c r="F12" i="1" s="1"/>
  <c r="L28" i="1" l="1"/>
  <c r="L12" i="1"/>
  <c r="L29" i="1"/>
  <c r="H4" i="1"/>
  <c r="H12" i="1" l="1"/>
  <c r="H29" i="1" s="1"/>
  <c r="J4" i="1"/>
  <c r="J12" i="1" l="1"/>
  <c r="J29" i="1" s="1"/>
  <c r="M28" i="1"/>
</calcChain>
</file>

<file path=xl/sharedStrings.xml><?xml version="1.0" encoding="utf-8"?>
<sst xmlns="http://schemas.openxmlformats.org/spreadsheetml/2006/main" count="37" uniqueCount="25">
  <si>
    <t>EMPRESA</t>
  </si>
  <si>
    <t>FLUXO DE CAIXA</t>
  </si>
  <si>
    <t>MÊS/ANO:</t>
  </si>
  <si>
    <t>ITENS</t>
  </si>
  <si>
    <t>Previsto</t>
  </si>
  <si>
    <t>Realizado</t>
  </si>
  <si>
    <t>A - Existência (caixa + bancos)</t>
  </si>
  <si>
    <t>B - Entradas</t>
  </si>
  <si>
    <t>Vendas a Vista</t>
  </si>
  <si>
    <t>Empréstimos</t>
  </si>
  <si>
    <t>C - Disponível (A + B)</t>
  </si>
  <si>
    <t>D - Saídas</t>
  </si>
  <si>
    <t>Fornecedores</t>
  </si>
  <si>
    <t>F - Saldo Final (C - D)</t>
  </si>
  <si>
    <t>Cobranças Clientes</t>
  </si>
  <si>
    <t>Folha de Pagamento</t>
  </si>
  <si>
    <t>Adiantamentos Viagens</t>
  </si>
  <si>
    <t>Tributos</t>
  </si>
  <si>
    <t>Comissões</t>
  </si>
  <si>
    <t>FGTS</t>
  </si>
  <si>
    <t>DIAS</t>
  </si>
  <si>
    <t>Férias</t>
  </si>
  <si>
    <t>13º</t>
  </si>
  <si>
    <t>NO MÊS</t>
  </si>
  <si>
    <t>E - Saldo  (B -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</si>
</sst>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b/>
      <sz val="10"/>
      <name val="Book Antiqua"/>
      <family val="1"/>
    </font>
    <font>
      <b/>
      <sz val="10"/>
      <color indexed="9"/>
      <name val="Book Antiqua"/>
      <family val="1"/>
    </font>
    <font>
      <sz val="10"/>
      <name val="Book Antiqua"/>
      <family val="1"/>
    </font>
    <font>
      <sz val="10"/>
      <color indexed="8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 vertical="center"/>
    </xf>
    <xf numFmtId="17" fontId="1" fillId="3" borderId="3" xfId="0" quotePrefix="1" applyNumberFormat="1" applyFont="1" applyFill="1" applyBorder="1" applyAlignment="1" applyProtection="1">
      <alignment horizontal="center" vertical="center"/>
      <protection locked="0" hidden="1"/>
    </xf>
    <xf numFmtId="0" fontId="2" fillId="4" borderId="1" xfId="0" applyFont="1" applyFill="1" applyBorder="1"/>
    <xf numFmtId="1" fontId="1" fillId="5" borderId="1" xfId="0" applyNumberFormat="1" applyFont="1" applyFill="1" applyBorder="1" applyAlignment="1" applyProtection="1">
      <alignment horizontal="center"/>
      <protection locked="0"/>
    </xf>
    <xf numFmtId="1" fontId="1" fillId="5" borderId="3" xfId="0" applyNumberFormat="1" applyFont="1" applyFill="1" applyBorder="1" applyAlignment="1" applyProtection="1">
      <alignment horizontal="center"/>
      <protection locked="0"/>
    </xf>
    <xf numFmtId="1" fontId="1" fillId="2" borderId="2" xfId="0" applyNumberFormat="1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1" fontId="1" fillId="5" borderId="2" xfId="0" applyNumberFormat="1" applyFont="1" applyFill="1" applyBorder="1" applyAlignment="1" applyProtection="1">
      <alignment horizontal="center"/>
      <protection locked="0"/>
    </xf>
    <xf numFmtId="0" fontId="2" fillId="4" borderId="4" xfId="0" applyFont="1" applyFill="1" applyBorder="1"/>
    <xf numFmtId="0" fontId="3" fillId="5" borderId="5" xfId="0" applyFont="1" applyFill="1" applyBorder="1" applyAlignment="1" applyProtection="1">
      <alignment horizontal="center"/>
      <protection locked="0"/>
    </xf>
    <xf numFmtId="0" fontId="3" fillId="5" borderId="3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1" fillId="6" borderId="4" xfId="0" applyFont="1" applyFill="1" applyBorder="1" applyProtection="1"/>
    <xf numFmtId="4" fontId="3" fillId="0" borderId="5" xfId="0" applyNumberFormat="1" applyFont="1" applyBorder="1" applyAlignment="1" applyProtection="1">
      <alignment horizontal="right"/>
      <protection locked="0"/>
    </xf>
    <xf numFmtId="4" fontId="3" fillId="0" borderId="3" xfId="0" applyNumberFormat="1" applyFont="1" applyFill="1" applyBorder="1" applyAlignment="1" applyProtection="1">
      <alignment horizontal="right"/>
      <protection locked="0"/>
    </xf>
    <xf numFmtId="4" fontId="3" fillId="6" borderId="5" xfId="0" applyNumberFormat="1" applyFont="1" applyFill="1" applyBorder="1" applyAlignment="1" applyProtection="1">
      <alignment horizontal="right"/>
      <protection hidden="1"/>
    </xf>
    <xf numFmtId="4" fontId="3" fillId="6" borderId="7" xfId="0" applyNumberFormat="1" applyFont="1" applyFill="1" applyBorder="1" applyAlignment="1" applyProtection="1">
      <alignment horizontal="right"/>
      <protection hidden="1"/>
    </xf>
    <xf numFmtId="4" fontId="1" fillId="6" borderId="7" xfId="0" applyNumberFormat="1" applyFont="1" applyFill="1" applyBorder="1" applyAlignment="1" applyProtection="1">
      <alignment horizontal="left"/>
    </xf>
    <xf numFmtId="4" fontId="4" fillId="6" borderId="5" xfId="0" applyNumberFormat="1" applyFont="1" applyFill="1" applyBorder="1" applyAlignment="1" applyProtection="1">
      <alignment horizontal="right"/>
      <protection hidden="1"/>
    </xf>
    <xf numFmtId="0" fontId="3" fillId="5" borderId="4" xfId="0" applyFont="1" applyFill="1" applyBorder="1" applyProtection="1">
      <protection locked="0"/>
    </xf>
    <xf numFmtId="4" fontId="3" fillId="0" borderId="6" xfId="0" applyNumberFormat="1" applyFont="1" applyBorder="1" applyAlignment="1" applyProtection="1">
      <alignment horizontal="right"/>
      <protection locked="0"/>
    </xf>
    <xf numFmtId="4" fontId="3" fillId="0" borderId="3" xfId="0" applyNumberFormat="1" applyFont="1" applyBorder="1" applyAlignment="1" applyProtection="1">
      <alignment horizontal="right"/>
      <protection locked="0"/>
    </xf>
    <xf numFmtId="0" fontId="3" fillId="6" borderId="4" xfId="0" applyFont="1" applyFill="1" applyBorder="1" applyProtection="1"/>
    <xf numFmtId="4" fontId="3" fillId="6" borderId="6" xfId="0" applyNumberFormat="1" applyFont="1" applyFill="1" applyBorder="1" applyAlignment="1" applyProtection="1">
      <alignment horizontal="right"/>
      <protection locked="0"/>
    </xf>
    <xf numFmtId="4" fontId="1" fillId="6" borderId="5" xfId="0" applyNumberFormat="1" applyFont="1" applyFill="1" applyBorder="1" applyAlignment="1" applyProtection="1">
      <alignment horizontal="left"/>
    </xf>
    <xf numFmtId="4" fontId="3" fillId="0" borderId="7" xfId="0" applyNumberFormat="1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3119-EA0B-4B44-B885-E3EBF785676A}">
  <dimension ref="A1:M29"/>
  <sheetViews>
    <sheetView tabSelected="1" workbookViewId="0"/>
  </sheetViews>
  <sheetFormatPr defaultRowHeight="15.6" x14ac:dyDescent="0.3"/>
  <cols>
    <col min="1" max="1" width="23.59765625" bestFit="1" customWidth="1"/>
  </cols>
  <sheetData>
    <row r="1" spans="1:13" ht="16.2" thickBo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 t="s">
        <v>2</v>
      </c>
      <c r="K1" s="5">
        <v>43435</v>
      </c>
      <c r="L1" s="4"/>
      <c r="M1" s="5"/>
    </row>
    <row r="2" spans="1:13" ht="16.2" thickBot="1" x14ac:dyDescent="0.35">
      <c r="A2" s="6" t="s">
        <v>20</v>
      </c>
      <c r="B2" s="7">
        <v>1</v>
      </c>
      <c r="C2" s="8">
        <v>7</v>
      </c>
      <c r="D2" s="9">
        <v>8</v>
      </c>
      <c r="E2" s="10">
        <v>12</v>
      </c>
      <c r="F2" s="11">
        <v>13</v>
      </c>
      <c r="G2" s="8">
        <v>19</v>
      </c>
      <c r="H2" s="9">
        <v>20</v>
      </c>
      <c r="I2" s="10">
        <v>26</v>
      </c>
      <c r="J2" s="11">
        <v>27</v>
      </c>
      <c r="K2" s="8">
        <v>30</v>
      </c>
      <c r="L2" s="11" t="s">
        <v>23</v>
      </c>
      <c r="M2" s="8" t="s">
        <v>23</v>
      </c>
    </row>
    <row r="3" spans="1:13" ht="16.2" thickBot="1" x14ac:dyDescent="0.35">
      <c r="A3" s="12" t="s">
        <v>3</v>
      </c>
      <c r="B3" s="13" t="s">
        <v>4</v>
      </c>
      <c r="C3" s="14" t="s">
        <v>5</v>
      </c>
      <c r="D3" s="15" t="s">
        <v>4</v>
      </c>
      <c r="E3" s="16" t="s">
        <v>5</v>
      </c>
      <c r="F3" s="13" t="s">
        <v>4</v>
      </c>
      <c r="G3" s="14" t="s">
        <v>5</v>
      </c>
      <c r="H3" s="15" t="s">
        <v>4</v>
      </c>
      <c r="I3" s="17" t="s">
        <v>5</v>
      </c>
      <c r="J3" s="13" t="s">
        <v>4</v>
      </c>
      <c r="K3" s="14" t="s">
        <v>5</v>
      </c>
      <c r="L3" s="13" t="s">
        <v>4</v>
      </c>
      <c r="M3" s="14" t="s">
        <v>5</v>
      </c>
    </row>
    <row r="4" spans="1:13" ht="16.2" thickBot="1" x14ac:dyDescent="0.35">
      <c r="A4" s="18" t="s">
        <v>6</v>
      </c>
      <c r="B4" s="19">
        <v>12980</v>
      </c>
      <c r="C4" s="20"/>
      <c r="D4" s="21">
        <f>B29</f>
        <v>7780</v>
      </c>
      <c r="E4" s="20"/>
      <c r="F4" s="21">
        <f>D29</f>
        <v>11480</v>
      </c>
      <c r="G4" s="20"/>
      <c r="H4" s="21">
        <f>F29</f>
        <v>11835</v>
      </c>
      <c r="I4" s="20"/>
      <c r="J4" s="21">
        <f>H29</f>
        <v>3205</v>
      </c>
      <c r="K4" s="20"/>
      <c r="L4" s="21">
        <f>B4</f>
        <v>12980</v>
      </c>
      <c r="M4" s="20">
        <f>C4</f>
        <v>0</v>
      </c>
    </row>
    <row r="5" spans="1:13" ht="16.2" thickBot="1" x14ac:dyDescent="0.35">
      <c r="A5" s="23" t="s">
        <v>7</v>
      </c>
      <c r="B5" s="24">
        <f t="shared" ref="B5:K5" si="0">SUM(B6:B11)</f>
        <v>7800</v>
      </c>
      <c r="C5" s="24">
        <f t="shared" si="0"/>
        <v>0</v>
      </c>
      <c r="D5" s="24">
        <f t="shared" si="0"/>
        <v>9000</v>
      </c>
      <c r="E5" s="24">
        <f t="shared" si="0"/>
        <v>0</v>
      </c>
      <c r="F5" s="24">
        <f t="shared" si="0"/>
        <v>7250</v>
      </c>
      <c r="G5" s="24">
        <f t="shared" si="0"/>
        <v>0</v>
      </c>
      <c r="H5" s="22">
        <f t="shared" si="0"/>
        <v>4400</v>
      </c>
      <c r="I5" s="24">
        <f t="shared" si="0"/>
        <v>0</v>
      </c>
      <c r="J5" s="22">
        <f t="shared" si="0"/>
        <v>3500</v>
      </c>
      <c r="K5" s="24">
        <f t="shared" si="0"/>
        <v>0</v>
      </c>
      <c r="L5" s="22">
        <f>B5+D5+F5+H5+J5</f>
        <v>31950</v>
      </c>
      <c r="M5" s="22">
        <f>C5+E5+G5+I5+K5</f>
        <v>0</v>
      </c>
    </row>
    <row r="6" spans="1:13" ht="16.2" thickBot="1" x14ac:dyDescent="0.35">
      <c r="A6" s="25" t="s">
        <v>8</v>
      </c>
      <c r="B6" s="19">
        <v>900</v>
      </c>
      <c r="C6" s="26"/>
      <c r="D6" s="19">
        <v>1500</v>
      </c>
      <c r="E6" s="26"/>
      <c r="F6" s="19">
        <v>2500</v>
      </c>
      <c r="G6" s="26"/>
      <c r="H6" s="19">
        <v>500</v>
      </c>
      <c r="I6" s="26"/>
      <c r="J6" s="19">
        <v>400</v>
      </c>
      <c r="K6" s="26"/>
      <c r="L6" s="22">
        <f t="shared" ref="L6:M11" si="1">B6+D6+F6+H6+J6</f>
        <v>5800</v>
      </c>
      <c r="M6" s="22">
        <f t="shared" si="1"/>
        <v>0</v>
      </c>
    </row>
    <row r="7" spans="1:13" ht="16.2" thickBot="1" x14ac:dyDescent="0.35">
      <c r="A7" s="28" t="s">
        <v>14</v>
      </c>
      <c r="B7" s="21">
        <v>6900</v>
      </c>
      <c r="C7" s="29"/>
      <c r="D7" s="21">
        <v>7500</v>
      </c>
      <c r="E7" s="29"/>
      <c r="F7" s="21">
        <v>4750</v>
      </c>
      <c r="G7" s="29"/>
      <c r="H7" s="21">
        <v>3900</v>
      </c>
      <c r="I7" s="29"/>
      <c r="J7" s="21">
        <v>3100</v>
      </c>
      <c r="K7" s="29"/>
      <c r="L7" s="22">
        <f t="shared" si="1"/>
        <v>26150</v>
      </c>
      <c r="M7" s="22">
        <f t="shared" si="1"/>
        <v>0</v>
      </c>
    </row>
    <row r="8" spans="1:13" ht="16.2" thickBot="1" x14ac:dyDescent="0.35">
      <c r="A8" s="25" t="s">
        <v>9</v>
      </c>
      <c r="B8" s="19"/>
      <c r="C8" s="26"/>
      <c r="D8" s="19"/>
      <c r="E8" s="26"/>
      <c r="F8" s="19"/>
      <c r="G8" s="26"/>
      <c r="H8" s="19"/>
      <c r="I8" s="26"/>
      <c r="J8" s="19"/>
      <c r="K8" s="26"/>
      <c r="L8" s="22">
        <f t="shared" si="1"/>
        <v>0</v>
      </c>
      <c r="M8" s="22">
        <f t="shared" si="1"/>
        <v>0</v>
      </c>
    </row>
    <row r="9" spans="1:13" ht="16.2" thickBot="1" x14ac:dyDescent="0.35">
      <c r="A9" s="25"/>
      <c r="B9" s="19"/>
      <c r="C9" s="26"/>
      <c r="D9" s="19"/>
      <c r="E9" s="26"/>
      <c r="F9" s="19"/>
      <c r="G9" s="26"/>
      <c r="H9" s="19"/>
      <c r="I9" s="26"/>
      <c r="J9" s="19"/>
      <c r="K9" s="26"/>
      <c r="L9" s="22">
        <f t="shared" si="1"/>
        <v>0</v>
      </c>
      <c r="M9" s="22">
        <f t="shared" si="1"/>
        <v>0</v>
      </c>
    </row>
    <row r="10" spans="1:13" ht="16.2" thickBot="1" x14ac:dyDescent="0.35">
      <c r="A10" s="25"/>
      <c r="B10" s="19"/>
      <c r="C10" s="26"/>
      <c r="D10" s="19"/>
      <c r="E10" s="26"/>
      <c r="F10" s="19"/>
      <c r="G10" s="26"/>
      <c r="H10" s="19"/>
      <c r="I10" s="26"/>
      <c r="J10" s="19"/>
      <c r="K10" s="26"/>
      <c r="L10" s="22">
        <f t="shared" si="1"/>
        <v>0</v>
      </c>
      <c r="M10" s="22">
        <f t="shared" si="1"/>
        <v>0</v>
      </c>
    </row>
    <row r="11" spans="1:13" ht="16.2" thickBot="1" x14ac:dyDescent="0.35">
      <c r="A11" s="25"/>
      <c r="B11" s="19"/>
      <c r="C11" s="26"/>
      <c r="D11" s="19"/>
      <c r="E11" s="26"/>
      <c r="F11" s="19"/>
      <c r="G11" s="26"/>
      <c r="H11" s="19"/>
      <c r="I11" s="26"/>
      <c r="J11" s="19"/>
      <c r="K11" s="26"/>
      <c r="L11" s="22">
        <f t="shared" si="1"/>
        <v>0</v>
      </c>
      <c r="M11" s="22">
        <f t="shared" si="1"/>
        <v>0</v>
      </c>
    </row>
    <row r="12" spans="1:13" ht="16.2" thickBot="1" x14ac:dyDescent="0.35">
      <c r="A12" s="30" t="s">
        <v>10</v>
      </c>
      <c r="B12" s="21">
        <f t="shared" ref="B12:M12" si="2">B4+B5</f>
        <v>20780</v>
      </c>
      <c r="C12" s="21">
        <f t="shared" si="2"/>
        <v>0</v>
      </c>
      <c r="D12" s="21">
        <f t="shared" si="2"/>
        <v>16780</v>
      </c>
      <c r="E12" s="21">
        <f t="shared" si="2"/>
        <v>0</v>
      </c>
      <c r="F12" s="21">
        <f t="shared" si="2"/>
        <v>18730</v>
      </c>
      <c r="G12" s="21">
        <f t="shared" si="2"/>
        <v>0</v>
      </c>
      <c r="H12" s="21">
        <f t="shared" si="2"/>
        <v>16235</v>
      </c>
      <c r="I12" s="21">
        <f t="shared" si="2"/>
        <v>0</v>
      </c>
      <c r="J12" s="21">
        <f t="shared" si="2"/>
        <v>6705</v>
      </c>
      <c r="K12" s="21">
        <f t="shared" si="2"/>
        <v>0</v>
      </c>
      <c r="L12" s="21">
        <f t="shared" si="2"/>
        <v>44930</v>
      </c>
      <c r="M12" s="21">
        <f t="shared" si="2"/>
        <v>0</v>
      </c>
    </row>
    <row r="13" spans="1:13" ht="16.2" thickBot="1" x14ac:dyDescent="0.35">
      <c r="A13" s="18" t="s">
        <v>11</v>
      </c>
      <c r="B13" s="21">
        <f t="shared" ref="B13:K13" si="3">SUM(B14:B27)</f>
        <v>13000</v>
      </c>
      <c r="C13" s="21">
        <f t="shared" si="3"/>
        <v>0</v>
      </c>
      <c r="D13" s="21">
        <f t="shared" si="3"/>
        <v>5300</v>
      </c>
      <c r="E13" s="21">
        <f t="shared" si="3"/>
        <v>0</v>
      </c>
      <c r="F13" s="21">
        <f t="shared" si="3"/>
        <v>6895</v>
      </c>
      <c r="G13" s="21">
        <f t="shared" si="3"/>
        <v>0</v>
      </c>
      <c r="H13" s="21">
        <f t="shared" si="3"/>
        <v>13030</v>
      </c>
      <c r="I13" s="21">
        <f t="shared" si="3"/>
        <v>0</v>
      </c>
      <c r="J13" s="21">
        <f t="shared" si="3"/>
        <v>4180</v>
      </c>
      <c r="K13" s="21">
        <f t="shared" si="3"/>
        <v>0</v>
      </c>
      <c r="L13" s="22">
        <f>B13+D13+F13+H13+J13</f>
        <v>42405</v>
      </c>
      <c r="M13" s="22">
        <f>C13+E13+G13+I13+K13</f>
        <v>0</v>
      </c>
    </row>
    <row r="14" spans="1:13" ht="16.2" thickBot="1" x14ac:dyDescent="0.35">
      <c r="A14" s="25" t="s">
        <v>12</v>
      </c>
      <c r="B14" s="19">
        <v>1500</v>
      </c>
      <c r="C14" s="27"/>
      <c r="D14" s="19">
        <v>2700</v>
      </c>
      <c r="E14" s="27"/>
      <c r="F14" s="19">
        <v>1950</v>
      </c>
      <c r="G14" s="27"/>
      <c r="H14" s="31">
        <v>1300</v>
      </c>
      <c r="I14" s="27"/>
      <c r="J14" s="31">
        <v>990</v>
      </c>
      <c r="K14" s="27"/>
      <c r="L14" s="22">
        <f t="shared" ref="L14:M27" si="4">B14+D14+F14+H14+J14</f>
        <v>8440</v>
      </c>
      <c r="M14" s="22">
        <f t="shared" si="4"/>
        <v>0</v>
      </c>
    </row>
    <row r="15" spans="1:13" ht="16.2" thickBot="1" x14ac:dyDescent="0.35">
      <c r="A15" s="25" t="s">
        <v>15</v>
      </c>
      <c r="B15" s="19">
        <v>6000</v>
      </c>
      <c r="C15" s="27"/>
      <c r="D15" s="19">
        <v>0</v>
      </c>
      <c r="E15" s="27"/>
      <c r="F15" s="19">
        <v>0</v>
      </c>
      <c r="G15" s="27"/>
      <c r="H15" s="31">
        <v>1000</v>
      </c>
      <c r="I15" s="27"/>
      <c r="J15" s="31">
        <v>0</v>
      </c>
      <c r="K15" s="27"/>
      <c r="L15" s="22">
        <f t="shared" si="4"/>
        <v>7000</v>
      </c>
      <c r="M15" s="22">
        <f t="shared" si="4"/>
        <v>0</v>
      </c>
    </row>
    <row r="16" spans="1:13" ht="16.2" thickBot="1" x14ac:dyDescent="0.35">
      <c r="A16" s="25" t="s">
        <v>19</v>
      </c>
      <c r="B16" s="19">
        <v>650</v>
      </c>
      <c r="C16" s="27"/>
      <c r="D16" s="19">
        <v>0</v>
      </c>
      <c r="E16" s="27"/>
      <c r="F16" s="19">
        <v>0</v>
      </c>
      <c r="G16" s="27"/>
      <c r="H16" s="31">
        <v>0</v>
      </c>
      <c r="I16" s="27"/>
      <c r="J16" s="31">
        <v>0</v>
      </c>
      <c r="K16" s="27"/>
      <c r="L16" s="22">
        <f t="shared" si="4"/>
        <v>650</v>
      </c>
      <c r="M16" s="22">
        <f t="shared" si="4"/>
        <v>0</v>
      </c>
    </row>
    <row r="17" spans="1:13" ht="16.2" thickBot="1" x14ac:dyDescent="0.35">
      <c r="A17" s="25" t="s">
        <v>16</v>
      </c>
      <c r="B17" s="19">
        <v>1000</v>
      </c>
      <c r="C17" s="27"/>
      <c r="D17" s="19">
        <v>600</v>
      </c>
      <c r="E17" s="27"/>
      <c r="F17" s="19">
        <v>0</v>
      </c>
      <c r="G17" s="27"/>
      <c r="H17" s="31">
        <v>0</v>
      </c>
      <c r="I17" s="27"/>
      <c r="J17" s="31">
        <v>0</v>
      </c>
      <c r="K17" s="27"/>
      <c r="L17" s="22">
        <f t="shared" si="4"/>
        <v>1600</v>
      </c>
      <c r="M17" s="22">
        <f t="shared" si="4"/>
        <v>0</v>
      </c>
    </row>
    <row r="18" spans="1:13" ht="16.2" thickBot="1" x14ac:dyDescent="0.35">
      <c r="A18" s="25" t="s">
        <v>18</v>
      </c>
      <c r="B18" s="19">
        <v>1200</v>
      </c>
      <c r="C18" s="27"/>
      <c r="D18" s="19">
        <v>500</v>
      </c>
      <c r="E18" s="27"/>
      <c r="F18" s="19">
        <v>0</v>
      </c>
      <c r="G18" s="27"/>
      <c r="H18" s="31">
        <v>0</v>
      </c>
      <c r="I18" s="27"/>
      <c r="J18" s="31">
        <v>0</v>
      </c>
      <c r="K18" s="27"/>
      <c r="L18" s="22">
        <f t="shared" si="4"/>
        <v>1700</v>
      </c>
      <c r="M18" s="22">
        <f t="shared" si="4"/>
        <v>0</v>
      </c>
    </row>
    <row r="19" spans="1:13" ht="16.2" thickBot="1" x14ac:dyDescent="0.35">
      <c r="A19" s="25" t="s">
        <v>17</v>
      </c>
      <c r="B19" s="19"/>
      <c r="C19" s="27"/>
      <c r="D19" s="19">
        <v>1500</v>
      </c>
      <c r="E19" s="27"/>
      <c r="F19" s="19">
        <v>695</v>
      </c>
      <c r="G19" s="27"/>
      <c r="H19" s="31">
        <v>1900</v>
      </c>
      <c r="I19" s="27"/>
      <c r="J19" s="31">
        <v>690</v>
      </c>
      <c r="K19" s="27"/>
      <c r="L19" s="22">
        <f t="shared" si="4"/>
        <v>4785</v>
      </c>
      <c r="M19" s="22">
        <f t="shared" si="4"/>
        <v>0</v>
      </c>
    </row>
    <row r="20" spans="1:13" ht="16.2" thickBot="1" x14ac:dyDescent="0.35">
      <c r="A20" s="25" t="s">
        <v>21</v>
      </c>
      <c r="B20" s="19"/>
      <c r="C20" s="27"/>
      <c r="D20" s="19"/>
      <c r="E20" s="27"/>
      <c r="F20" s="19">
        <v>4250</v>
      </c>
      <c r="G20" s="27"/>
      <c r="H20" s="31">
        <v>4980</v>
      </c>
      <c r="I20" s="27"/>
      <c r="J20" s="31">
        <v>2500</v>
      </c>
      <c r="K20" s="27"/>
      <c r="L20" s="22">
        <f t="shared" si="4"/>
        <v>11730</v>
      </c>
      <c r="M20" s="22">
        <f t="shared" si="4"/>
        <v>0</v>
      </c>
    </row>
    <row r="21" spans="1:13" ht="16.2" thickBot="1" x14ac:dyDescent="0.35">
      <c r="A21" s="25" t="s">
        <v>22</v>
      </c>
      <c r="B21" s="19"/>
      <c r="C21" s="27"/>
      <c r="D21" s="19"/>
      <c r="E21" s="27"/>
      <c r="F21" s="19"/>
      <c r="G21" s="27"/>
      <c r="H21" s="31">
        <v>3850</v>
      </c>
      <c r="I21" s="27"/>
      <c r="J21" s="31"/>
      <c r="K21" s="27"/>
      <c r="L21" s="22">
        <f t="shared" si="4"/>
        <v>3850</v>
      </c>
      <c r="M21" s="22">
        <f t="shared" si="4"/>
        <v>0</v>
      </c>
    </row>
    <row r="22" spans="1:13" ht="16.2" thickBot="1" x14ac:dyDescent="0.35">
      <c r="A22" s="25" t="s">
        <v>9</v>
      </c>
      <c r="B22" s="19">
        <v>2650</v>
      </c>
      <c r="C22" s="27"/>
      <c r="D22" s="19"/>
      <c r="E22" s="27"/>
      <c r="F22" s="19"/>
      <c r="G22" s="27"/>
      <c r="H22" s="31"/>
      <c r="I22" s="27"/>
      <c r="J22" s="31"/>
      <c r="K22" s="27"/>
      <c r="L22" s="22">
        <f t="shared" si="4"/>
        <v>2650</v>
      </c>
      <c r="M22" s="22">
        <f t="shared" si="4"/>
        <v>0</v>
      </c>
    </row>
    <row r="23" spans="1:13" ht="16.2" thickBot="1" x14ac:dyDescent="0.35">
      <c r="A23" s="25"/>
      <c r="B23" s="19"/>
      <c r="C23" s="27"/>
      <c r="D23" s="19"/>
      <c r="E23" s="27"/>
      <c r="F23" s="19"/>
      <c r="G23" s="27"/>
      <c r="H23" s="31"/>
      <c r="I23" s="27"/>
      <c r="J23" s="31"/>
      <c r="K23" s="27"/>
      <c r="L23" s="22">
        <f t="shared" si="4"/>
        <v>0</v>
      </c>
      <c r="M23" s="22">
        <f t="shared" si="4"/>
        <v>0</v>
      </c>
    </row>
    <row r="24" spans="1:13" ht="16.2" thickBot="1" x14ac:dyDescent="0.35">
      <c r="A24" s="25"/>
      <c r="B24" s="19"/>
      <c r="C24" s="27"/>
      <c r="D24" s="19"/>
      <c r="E24" s="27"/>
      <c r="F24" s="19"/>
      <c r="G24" s="27"/>
      <c r="H24" s="31"/>
      <c r="I24" s="27"/>
      <c r="J24" s="31"/>
      <c r="K24" s="27"/>
      <c r="L24" s="22">
        <f t="shared" si="4"/>
        <v>0</v>
      </c>
      <c r="M24" s="22">
        <f t="shared" si="4"/>
        <v>0</v>
      </c>
    </row>
    <row r="25" spans="1:13" ht="16.2" thickBot="1" x14ac:dyDescent="0.35">
      <c r="A25" s="25"/>
      <c r="B25" s="19"/>
      <c r="C25" s="27"/>
      <c r="D25" s="19"/>
      <c r="E25" s="27"/>
      <c r="F25" s="19"/>
      <c r="G25" s="27"/>
      <c r="H25" s="31"/>
      <c r="I25" s="27"/>
      <c r="J25" s="31"/>
      <c r="K25" s="27"/>
      <c r="L25" s="22">
        <f t="shared" si="4"/>
        <v>0</v>
      </c>
      <c r="M25" s="22">
        <f t="shared" si="4"/>
        <v>0</v>
      </c>
    </row>
    <row r="26" spans="1:13" ht="16.2" thickBot="1" x14ac:dyDescent="0.35">
      <c r="A26" s="25"/>
      <c r="B26" s="19"/>
      <c r="C26" s="27"/>
      <c r="D26" s="19"/>
      <c r="E26" s="27"/>
      <c r="F26" s="19"/>
      <c r="G26" s="27"/>
      <c r="H26" s="31"/>
      <c r="I26" s="27"/>
      <c r="J26" s="31"/>
      <c r="K26" s="27"/>
      <c r="L26" s="22">
        <f t="shared" si="4"/>
        <v>0</v>
      </c>
      <c r="M26" s="22">
        <f t="shared" si="4"/>
        <v>0</v>
      </c>
    </row>
    <row r="27" spans="1:13" ht="16.2" thickBot="1" x14ac:dyDescent="0.35">
      <c r="A27" s="25"/>
      <c r="B27" s="19"/>
      <c r="C27" s="27"/>
      <c r="D27" s="19"/>
      <c r="E27" s="27"/>
      <c r="F27" s="19"/>
      <c r="G27" s="27"/>
      <c r="H27" s="31"/>
      <c r="I27" s="27"/>
      <c r="J27" s="31"/>
      <c r="K27" s="27"/>
      <c r="L27" s="22">
        <f t="shared" si="4"/>
        <v>0</v>
      </c>
      <c r="M27" s="22">
        <f t="shared" si="4"/>
        <v>0</v>
      </c>
    </row>
    <row r="28" spans="1:13" ht="16.2" thickBot="1" x14ac:dyDescent="0.35">
      <c r="A28" s="18" t="s">
        <v>24</v>
      </c>
      <c r="B28" s="21">
        <f t="shared" ref="B28:M28" si="5">B5-B13</f>
        <v>-5200</v>
      </c>
      <c r="C28" s="21">
        <f t="shared" si="5"/>
        <v>0</v>
      </c>
      <c r="D28" s="21">
        <f t="shared" si="5"/>
        <v>3700</v>
      </c>
      <c r="E28" s="21">
        <f t="shared" si="5"/>
        <v>0</v>
      </c>
      <c r="F28" s="21">
        <f t="shared" si="5"/>
        <v>355</v>
      </c>
      <c r="G28" s="21">
        <f t="shared" si="5"/>
        <v>0</v>
      </c>
      <c r="H28" s="21">
        <f t="shared" si="5"/>
        <v>-8630</v>
      </c>
      <c r="I28" s="21">
        <f t="shared" si="5"/>
        <v>0</v>
      </c>
      <c r="J28" s="21">
        <f t="shared" si="5"/>
        <v>-680</v>
      </c>
      <c r="K28" s="21">
        <f t="shared" si="5"/>
        <v>0</v>
      </c>
      <c r="L28" s="21">
        <f t="shared" si="5"/>
        <v>-10455</v>
      </c>
      <c r="M28" s="21">
        <f t="shared" si="5"/>
        <v>0</v>
      </c>
    </row>
    <row r="29" spans="1:13" ht="16.2" thickBot="1" x14ac:dyDescent="0.35">
      <c r="A29" s="18" t="s">
        <v>13</v>
      </c>
      <c r="B29" s="21">
        <f>B12-B13</f>
        <v>7780</v>
      </c>
      <c r="C29" s="21">
        <f>C12-C13</f>
        <v>0</v>
      </c>
      <c r="D29" s="21">
        <f>D12-D13</f>
        <v>11480</v>
      </c>
      <c r="E29" s="21">
        <f t="shared" ref="E29:K29" si="6">E12-E13</f>
        <v>0</v>
      </c>
      <c r="F29" s="21">
        <f t="shared" si="6"/>
        <v>11835</v>
      </c>
      <c r="G29" s="21">
        <f t="shared" si="6"/>
        <v>0</v>
      </c>
      <c r="H29" s="21">
        <f t="shared" si="6"/>
        <v>3205</v>
      </c>
      <c r="I29" s="21">
        <f t="shared" si="6"/>
        <v>0</v>
      </c>
      <c r="J29" s="21">
        <f t="shared" si="6"/>
        <v>2525</v>
      </c>
      <c r="K29" s="21">
        <f t="shared" si="6"/>
        <v>0</v>
      </c>
      <c r="L29" s="21">
        <f>L4+L5-L13</f>
        <v>2525</v>
      </c>
      <c r="M29" s="21">
        <f>M4+M5-M13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2018-12-06T18:17:05Z</dcterms:created>
  <dcterms:modified xsi:type="dcterms:W3CDTF">2020-10-12T12:10:25Z</dcterms:modified>
</cp:coreProperties>
</file>