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Instruções" sheetId="2" r:id="rId5"/>
    <sheet state="visible" name="PROD" sheetId="3" r:id="rId6"/>
    <sheet state="visible" name="FORN" sheetId="4" r:id="rId7"/>
    <sheet state="visible" name="LOJAS" sheetId="5" r:id="rId8"/>
    <sheet state="visible" name="ENTRADAS" sheetId="6" r:id="rId9"/>
    <sheet state="visible" name="SAÍDAS" sheetId="7" r:id="rId10"/>
    <sheet state="visible" name="CONT. ESTOQUE" sheetId="8" r:id="rId11"/>
    <sheet state="visible" name="DASH VG" sheetId="9" r:id="rId12"/>
    <sheet state="visible" name="DASH ESTOQUE" sheetId="10" r:id="rId13"/>
    <sheet state="visible" name="DASH RESULTADOS" sheetId="11" r:id="rId14"/>
    <sheet state="hidden" name="Auxiliar" sheetId="12" r:id="rId15"/>
  </sheets>
  <definedNames/>
  <calcPr/>
</workbook>
</file>

<file path=xl/sharedStrings.xml><?xml version="1.0" encoding="utf-8"?>
<sst xmlns="http://schemas.openxmlformats.org/spreadsheetml/2006/main" count="179" uniqueCount="128">
  <si>
    <t>INTRUÇÕES</t>
  </si>
  <si>
    <t>Abaixo, você encontra a explicação para todas as abas da planilha.</t>
  </si>
  <si>
    <t>ABAS: 
CADASTRO/
ENTRADAS/
SAÍDAS</t>
  </si>
  <si>
    <r>
      <rPr>
        <rFont val="Calibri"/>
        <color rgb="FFFF0000"/>
        <sz val="11.0"/>
      </rPr>
      <t xml:space="preserve">As cores das fontes dos valores nas tabelas dessas abas indicam que:
(1) Células com fontes na cor </t>
    </r>
    <r>
      <rPr>
        <rFont val="Calibri"/>
        <b/>
        <color rgb="FF000000"/>
        <sz val="11.0"/>
      </rPr>
      <t>PRETA</t>
    </r>
    <r>
      <rPr>
        <rFont val="Calibri"/>
        <color rgb="FFFF0000"/>
        <sz val="11.0"/>
      </rPr>
      <t xml:space="preserve"> devem ser </t>
    </r>
    <r>
      <rPr>
        <rFont val="Calibri"/>
        <b/>
        <color rgb="FFFF0000"/>
        <sz val="11.0"/>
      </rPr>
      <t>preenchidas manualmente</t>
    </r>
    <r>
      <rPr>
        <rFont val="Calibri"/>
        <color rgb="FFFF0000"/>
        <sz val="11.0"/>
      </rPr>
      <t xml:space="preserve">.
(2) Células com fontes na cor </t>
    </r>
    <r>
      <rPr>
        <rFont val="Calibri"/>
        <b/>
        <color rgb="FF0000FF"/>
        <sz val="11.0"/>
      </rPr>
      <t>AZUL</t>
    </r>
    <r>
      <rPr>
        <rFont val="Calibri"/>
        <color rgb="FFFF0000"/>
        <sz val="11.0"/>
      </rPr>
      <t xml:space="preserve"> são calculadas automaticamente por fórmulas, portanto </t>
    </r>
    <r>
      <rPr>
        <rFont val="Calibri"/>
        <b/>
        <color rgb="FF0000FF"/>
        <sz val="11.0"/>
      </rPr>
      <t>NÃO devem ser editadas</t>
    </r>
    <r>
      <rPr>
        <rFont val="Calibri"/>
        <color rgb="FFFF0000"/>
        <sz val="11.0"/>
      </rPr>
      <t>.</t>
    </r>
  </si>
  <si>
    <t>CADASTRO PRODUTOS</t>
  </si>
  <si>
    <r>
      <rPr>
        <rFont val="Calibri"/>
        <color rgb="FFFF0000"/>
        <sz val="11.0"/>
      </rPr>
      <t xml:space="preserve">#========= </t>
    </r>
    <r>
      <rPr>
        <rFont val="Calibri"/>
        <b/>
        <color rgb="FFFF0000"/>
        <sz val="11.0"/>
      </rPr>
      <t>OBSERVAÇÃO 1</t>
    </r>
    <r>
      <rPr>
        <rFont val="Calibri"/>
        <color rgb="FFFF0000"/>
        <sz val="11.0"/>
      </rPr>
      <t xml:space="preserve"> =========#
Esta aba faz parte do conjunto de 3 abas para cadastro de informações. Aqui, você pode cadastrar os dados referentes aos seus </t>
    </r>
    <r>
      <rPr>
        <rFont val="Calibri"/>
        <b/>
        <color rgb="FFFF0000"/>
        <sz val="11.0"/>
      </rPr>
      <t>PRODUTOS</t>
    </r>
    <r>
      <rPr>
        <rFont val="Calibri"/>
        <color rgb="FFFF0000"/>
        <sz val="11.0"/>
      </rPr>
      <t xml:space="preserve">. Esta tabela possui uma Validação de Dados que impede o cadastro de produtos duplicados.
#========= </t>
    </r>
    <r>
      <rPr>
        <rFont val="Calibri"/>
        <b/>
        <color rgb="FFFF0000"/>
        <sz val="11.0"/>
      </rPr>
      <t>OBSERVAÇÃO 2</t>
    </r>
    <r>
      <rPr>
        <rFont val="Calibri"/>
        <color rgb="FFFF0000"/>
        <sz val="11.0"/>
      </rPr>
      <t xml:space="preserve"> =========#
</t>
    </r>
    <r>
      <rPr>
        <rFont val="Calibri"/>
        <b/>
        <color rgb="FFC00000"/>
        <sz val="11.0"/>
      </rPr>
      <t>Para cadastrar um novo PRODUTO, basta preencher a primeira linha vazia logo abaixo da tabela. Ela está configurada de modo que toda a formatação da linha e fórmulas usadas sejam arrastadas automaticamente para a nova linha.</t>
    </r>
  </si>
  <si>
    <t>CADASTRO FORNECEDORES</t>
  </si>
  <si>
    <r>
      <rPr>
        <rFont val="Calibri"/>
        <color rgb="FFFF0000"/>
        <sz val="11.0"/>
      </rPr>
      <t xml:space="preserve">#========= </t>
    </r>
    <r>
      <rPr>
        <rFont val="Calibri"/>
        <b/>
        <color rgb="FFFF0000"/>
        <sz val="11.0"/>
      </rPr>
      <t>OBSERVAÇÃO 1</t>
    </r>
    <r>
      <rPr>
        <rFont val="Calibri"/>
        <color rgb="FFFF0000"/>
        <sz val="11.0"/>
      </rPr>
      <t xml:space="preserve"> =========#
Esta aba faz parte do conjunto de 3 abas para cadastro de informações. Aqui, você pode cadastrar os dados referentes aos seus </t>
    </r>
    <r>
      <rPr>
        <rFont val="Calibri"/>
        <b/>
        <color rgb="FFFF0000"/>
        <sz val="11.0"/>
      </rPr>
      <t>FORNECEDORES</t>
    </r>
    <r>
      <rPr>
        <rFont val="Calibri"/>
        <color rgb="FFFF0000"/>
        <sz val="11.0"/>
      </rPr>
      <t xml:space="preserve"> Esta tabela possui uma Validação de Dados que impede o cadastro de fornecedores duplicados.
#=========</t>
    </r>
    <r>
      <rPr>
        <rFont val="Calibri"/>
        <b/>
        <color rgb="FFFF0000"/>
        <sz val="11.0"/>
      </rPr>
      <t xml:space="preserve"> OBSERVAÇÃO 2</t>
    </r>
    <r>
      <rPr>
        <rFont val="Calibri"/>
        <color rgb="FFFF0000"/>
        <sz val="11.0"/>
      </rPr>
      <t xml:space="preserve"> =========#
</t>
    </r>
    <r>
      <rPr>
        <rFont val="Calibri"/>
        <b/>
        <color rgb="FFC00000"/>
        <sz val="11.0"/>
      </rPr>
      <t>Para cadastrar um novo FORNECEDOR, basta preencher a primeira linha vazia logo abaixo da tabela. Ela está configurada de modo que toda a formatação da linha e fórmulas usadas sejam arrastadas automaticamente para a nova linha.</t>
    </r>
  </si>
  <si>
    <t>CADASTRO LOJAS</t>
  </si>
  <si>
    <r>
      <rPr>
        <rFont val="Calibri"/>
        <color rgb="FFFF0000"/>
        <sz val="11.0"/>
      </rPr>
      <t xml:space="preserve">#========= </t>
    </r>
    <r>
      <rPr>
        <rFont val="Calibri"/>
        <b/>
        <color rgb="FFFF0000"/>
        <sz val="11.0"/>
      </rPr>
      <t>OBSERVAÇÃO 1</t>
    </r>
    <r>
      <rPr>
        <rFont val="Calibri"/>
        <color rgb="FFFF0000"/>
        <sz val="11.0"/>
      </rPr>
      <t xml:space="preserve"> =========#
Esta aba faz parte do conjunto de 3 abas para cadastro de informações. Aqui, você pode cadastrar os dados referentes às suas </t>
    </r>
    <r>
      <rPr>
        <rFont val="Calibri"/>
        <b/>
        <color rgb="FFFF0000"/>
        <sz val="11.0"/>
      </rPr>
      <t>LOJAS.</t>
    </r>
    <r>
      <rPr>
        <rFont val="Calibri"/>
        <color rgb="FFFF0000"/>
        <sz val="11.0"/>
      </rPr>
      <t xml:space="preserve"> Esta tabela possui uma Validação de Dados que impede o cadastro de produtos duplicados.
#========= </t>
    </r>
    <r>
      <rPr>
        <rFont val="Calibri"/>
        <b/>
        <color rgb="FFFF0000"/>
        <sz val="11.0"/>
      </rPr>
      <t>OBSERVAÇÃO 2</t>
    </r>
    <r>
      <rPr>
        <rFont val="Calibri"/>
        <color rgb="FFFF0000"/>
        <sz val="11.0"/>
      </rPr>
      <t xml:space="preserve"> =========#
</t>
    </r>
    <r>
      <rPr>
        <rFont val="Calibri"/>
        <b/>
        <color rgb="FFC00000"/>
        <sz val="11.0"/>
      </rPr>
      <t>Para cadastrar uma nova LOJA, basta preencher a primeira linha vazia logo abaixo da tabela. Ela está configurada de modo que toda a formatação da linha e fórmulas usadas sejam arrastadas automaticamente para a nova linha.</t>
    </r>
  </si>
  <si>
    <t>ENTRADAS</t>
  </si>
  <si>
    <r>
      <rPr>
        <rFont val="Calibri"/>
        <color rgb="FFFF0000"/>
        <sz val="11.0"/>
      </rPr>
      <t xml:space="preserve">#========= </t>
    </r>
    <r>
      <rPr>
        <rFont val="Calibri"/>
        <b/>
        <color rgb="FFFF0000"/>
        <sz val="11.0"/>
      </rPr>
      <t>OBSERVAÇÃO 1</t>
    </r>
    <r>
      <rPr>
        <rFont val="Calibri"/>
        <color rgb="FFFF0000"/>
        <sz val="11.0"/>
      </rPr>
      <t xml:space="preserve"> =========#
Nesta aba você irá registrar todas as </t>
    </r>
    <r>
      <rPr>
        <rFont val="Calibri"/>
        <b/>
        <color rgb="FFFF0000"/>
        <sz val="11.0"/>
      </rPr>
      <t>ENTRADAS</t>
    </r>
    <r>
      <rPr>
        <rFont val="Calibri"/>
        <color rgb="FFFF0000"/>
        <sz val="11.0"/>
      </rPr>
      <t xml:space="preserve">, ou seja, compras para recomposição de estoque. Para cadastrar uma nova ENTRADA de um produto, basta utilizar a Validação de Dados (lista de opções) que se encontra nas células da coluna de PRODUTO. Essa lista se atualiza automaticamente quando você cadastra um novo produto na aba de CADASTRO.
#========= </t>
    </r>
    <r>
      <rPr>
        <rFont val="Calibri"/>
        <b/>
        <color rgb="FFFF0000"/>
        <sz val="11.0"/>
      </rPr>
      <t>OBSERVAÇÃO 2</t>
    </r>
    <r>
      <rPr>
        <rFont val="Calibri"/>
        <color rgb="FFFF0000"/>
        <sz val="11.0"/>
      </rPr>
      <t xml:space="preserve"> =========#
</t>
    </r>
    <r>
      <rPr>
        <rFont val="Calibri"/>
        <b/>
        <color rgb="FFC00000"/>
        <sz val="11.0"/>
      </rPr>
      <t>Para registrar uma nova ENTRADA, basta preencher a primeira linha vazia logo abaixo da tabela. Ela está configurada de modo que toda a formatação da linha e fórmulas usadas sejam arrastadas automaticamente para a nova linha.</t>
    </r>
  </si>
  <si>
    <t>SAÍDAS</t>
  </si>
  <si>
    <r>
      <rPr>
        <rFont val="Calibri"/>
        <color rgb="FFFF0000"/>
        <sz val="11.0"/>
      </rPr>
      <t xml:space="preserve">#========= </t>
    </r>
    <r>
      <rPr>
        <rFont val="Calibri"/>
        <b/>
        <color rgb="FFFF0000"/>
        <sz val="11.0"/>
      </rPr>
      <t>OBSERVAÇÃO 1</t>
    </r>
    <r>
      <rPr>
        <rFont val="Calibri"/>
        <color rgb="FFFF0000"/>
        <sz val="11.0"/>
      </rPr>
      <t xml:space="preserve"> =========#
Nesta aba você irá registrar todas as </t>
    </r>
    <r>
      <rPr>
        <rFont val="Calibri"/>
        <b/>
        <color rgb="FFFF0000"/>
        <sz val="11.0"/>
      </rPr>
      <t>SAÍDAS</t>
    </r>
    <r>
      <rPr>
        <rFont val="Calibri"/>
        <color rgb="FFFF0000"/>
        <sz val="11.0"/>
      </rPr>
      <t xml:space="preserve">, ou seja, vendas de produtos. A coluna QUANTIDADE possui uma Validação de Dados que impede que seja registrada uma venda caso não tenha estoque no momento da venda. </t>
    </r>
    <r>
      <rPr>
        <rFont val="Calibri"/>
        <color rgb="FFFF0000"/>
        <sz val="11.0"/>
        <u/>
      </rPr>
      <t>Obs: Fique atento na coluna de ESTOQUE ACUMULADO, pois a sua venda depende do seu saldo em estoque. Você pode verificar o status de cada produto na aba de CONTROLE DE ESTOQUE, explicada mais abaixo</t>
    </r>
    <r>
      <rPr>
        <rFont val="Calibri"/>
        <color rgb="FFFF0000"/>
        <sz val="11.0"/>
      </rPr>
      <t xml:space="preserve">.
#========= </t>
    </r>
    <r>
      <rPr>
        <rFont val="Calibri"/>
        <b/>
        <color rgb="FFFF0000"/>
        <sz val="11.0"/>
      </rPr>
      <t>OBSERVAÇÃO 2</t>
    </r>
    <r>
      <rPr>
        <rFont val="Calibri"/>
        <color rgb="FFFF0000"/>
        <sz val="11.0"/>
      </rPr>
      <t xml:space="preserve"> =========#
Para cadastrar uma nova SAÍDA de um produto, basta utilizar a Validação de Dados (lista de opções) que se encontra nas células da coluna de PRODUTO. Essa lista se atualiza automaticamente quando você cadastra um novo produto na aba de CADASTRO.
#========= </t>
    </r>
    <r>
      <rPr>
        <rFont val="Calibri"/>
        <b/>
        <color rgb="FFFF0000"/>
        <sz val="11.0"/>
      </rPr>
      <t>OBSERVAÇÃO 3</t>
    </r>
    <r>
      <rPr>
        <rFont val="Calibri"/>
        <color rgb="FFFF0000"/>
        <sz val="11.0"/>
      </rPr>
      <t xml:space="preserve"> =========#
As colunas de Quantidade Devolvida e Data da Devolução devem ser preenchidas SOMENTE se houver devolução da venda.
#========= </t>
    </r>
    <r>
      <rPr>
        <rFont val="Calibri"/>
        <b/>
        <color rgb="FFFF0000"/>
        <sz val="11.0"/>
      </rPr>
      <t>OBSERVAÇÃO 4</t>
    </r>
    <r>
      <rPr>
        <rFont val="Calibri"/>
        <color rgb="FFFF0000"/>
        <sz val="11.0"/>
      </rPr>
      <t xml:space="preserve"> =========#
</t>
    </r>
    <r>
      <rPr>
        <rFont val="Calibri"/>
        <b/>
        <color rgb="FFC00000"/>
        <sz val="11.0"/>
      </rPr>
      <t>Para registrar uma nova ENTRADA, basta preencher a primeira linha vazia logo abaixo da tabela. Ela está configurada de modo que toda a formatação da linha e fórmulas usadas sejam arrastadas automaticamente para a nova linha.</t>
    </r>
  </si>
  <si>
    <t>CONT. ESTOQUE</t>
  </si>
  <si>
    <r>
      <rPr>
        <rFont val="Calibri"/>
        <color rgb="FFFF0000"/>
        <sz val="11.0"/>
      </rPr>
      <t xml:space="preserve">#========= </t>
    </r>
    <r>
      <rPr>
        <rFont val="Calibri"/>
        <b/>
        <color rgb="FFFF0000"/>
        <sz val="11.0"/>
      </rPr>
      <t>OBSERVAÇÃO 1</t>
    </r>
    <r>
      <rPr>
        <rFont val="Calibri"/>
        <color rgb="FFFF0000"/>
        <sz val="11.0"/>
      </rPr>
      <t xml:space="preserve"> =========#
Na aba CONTROLE DE ESTOQUE, a única coluna a ser preenchida manualmente é a de PRODUTO, sempre que um novo produto for adicionado à sua aba de CADASTRO DE PRODUTOS. 
#========= </t>
    </r>
    <r>
      <rPr>
        <rFont val="Calibri"/>
        <b/>
        <color rgb="FFFF0000"/>
        <sz val="11.0"/>
      </rPr>
      <t>OBSERVAÇÃO 2</t>
    </r>
    <r>
      <rPr>
        <rFont val="Calibri"/>
        <color rgb="FFFF0000"/>
        <sz val="11.0"/>
      </rPr>
      <t xml:space="preserve"> =========#
Toda vez que um novo produto for adicionado na aba de CADASTRO DE PRODUTO, a célula F4 da aba CONTROLE DE ESTOQUE apontará que a tabela está defasada. Para corrigir isso, basta adicionar este produto recém-cadastrado também na tabela de CONTROLE DE ESTOQUE. O processo para adicionar um novo produto é o mesmo feito para as outras tabelas: preencher a última linha vazia logo abaixo da tabela. Obs: Preencher somente a coluna de PRODUTO já é suficiente para que todas as fórmulas das demais colunas sejam calculadas!
Outra forma de aumentar a tabela de modo geral, é clicar na quina azul na última linha da coluna J e arrastar uma linha para baixo. Feito isso, basta selecionar o produto que acabou de ser cadastrado dentre as opções da lista da coluna B na linha que você acabou de adicionar.
Pronto! Seguindo esse passo a passo a mensagem na célula F4 vai mudar para "Sim!" e a tabela de Controle de Estoque estará 100% atualizada!
#========= </t>
    </r>
    <r>
      <rPr>
        <rFont val="Calibri"/>
        <b/>
        <color rgb="FFFF0000"/>
        <sz val="11.0"/>
      </rPr>
      <t>OBSERVAÇÃO 3</t>
    </r>
    <r>
      <rPr>
        <rFont val="Calibri"/>
        <color rgb="FFFF0000"/>
        <sz val="11.0"/>
      </rPr>
      <t xml:space="preserve"> =========#
Nesta tabela, você pode verificar a situação atual de estoque de cada um dos seus produtos. Os status possíveis são os seguintes:
</t>
    </r>
    <r>
      <rPr>
        <rFont val="Calibri"/>
        <b/>
        <color rgb="FF548135"/>
        <sz val="11.0"/>
      </rPr>
      <t>(a) Estoque Confortável: Você possui estoque suficiente para as vendas daquele produto. A linha daquele produto ficará verde.</t>
    </r>
    <r>
      <rPr>
        <rFont val="Calibri"/>
        <color rgb="FFFF0000"/>
        <sz val="11.0"/>
      </rPr>
      <t xml:space="preserve">
</t>
    </r>
    <r>
      <rPr>
        <rFont val="Calibri"/>
        <b/>
        <color rgb="FFBF9000"/>
        <sz val="11.0"/>
      </rPr>
      <t>(b) Estoque Perigoso: Você ainda possui estoque, porém ele está abaixo do mínimo de segurança estabelecido. A linha daquele produto ficará pintada de amarelo.</t>
    </r>
    <r>
      <rPr>
        <rFont val="Calibri"/>
        <color rgb="FFFF0000"/>
        <sz val="11.0"/>
      </rPr>
      <t xml:space="preserve">
</t>
    </r>
    <r>
      <rPr>
        <rFont val="Calibri"/>
        <b/>
        <color rgb="FFC55A11"/>
        <sz val="11.0"/>
      </rPr>
      <t>(c) Sem Estoque: Se o seu estoque zerar, esta mensagem aparece e a linha da tabela fica laranja.</t>
    </r>
  </si>
  <si>
    <t>DASHBOARDS</t>
  </si>
  <si>
    <t>Nestas abas você encontrará gráficos e indicadores gerais do seu controle de estoque, podendo realizar análises por produtos específicos.</t>
  </si>
  <si>
    <r>
      <rPr>
        <rFont val="Calibri"/>
        <color rgb="FFFFFFFF"/>
        <sz val="18.0"/>
      </rPr>
      <t xml:space="preserve">CADASTRO DE </t>
    </r>
    <r>
      <rPr>
        <rFont val="Calibri"/>
        <b/>
        <color rgb="FFFFC000"/>
        <sz val="18.0"/>
      </rPr>
      <t>PRODUTOS</t>
    </r>
  </si>
  <si>
    <t>Item</t>
  </si>
  <si>
    <t># Código Produto</t>
  </si>
  <si>
    <t>Unidade de Medida</t>
  </si>
  <si>
    <t>Estoque Mínimo</t>
  </si>
  <si>
    <t>Custo Unitário</t>
  </si>
  <si>
    <t>Preço Unitário</t>
  </si>
  <si>
    <t>Shampoo Recife</t>
  </si>
  <si>
    <t>Máscara Olinda</t>
  </si>
  <si>
    <t>Condicionador Calhetas</t>
  </si>
  <si>
    <t>Finalizador Petrolina</t>
  </si>
  <si>
    <t>Shampoo Salvador</t>
  </si>
  <si>
    <t>Biosfera Resistente</t>
  </si>
  <si>
    <t>kg</t>
  </si>
  <si>
    <t>Booster Ilhéus</t>
  </si>
  <si>
    <t>Máscara Biosfera</t>
  </si>
  <si>
    <t>Pré Escova Bainema</t>
  </si>
  <si>
    <t>Shampoo São Lius</t>
  </si>
  <si>
    <t>Cabelo Líquido</t>
  </si>
  <si>
    <t>Máscara Imperatriz</t>
  </si>
  <si>
    <t>Condicionador Balças</t>
  </si>
  <si>
    <t>Shampoo Matizador Curitiba</t>
  </si>
  <si>
    <t>Máscara Matizadora Londrina</t>
  </si>
  <si>
    <t>Shampoo Guaruja</t>
  </si>
  <si>
    <t>Ampola Power Santos</t>
  </si>
  <si>
    <t>Pré Escova Maresias</t>
  </si>
  <si>
    <t>Máscara Juquitiba</t>
  </si>
  <si>
    <t>Shampoo Manaus</t>
  </si>
  <si>
    <t>Condicionador Nhamundá</t>
  </si>
  <si>
    <t>Máscara Apuí</t>
  </si>
  <si>
    <t>Tônico Silves</t>
  </si>
  <si>
    <t>Shampoo Cuiabá</t>
  </si>
  <si>
    <t>Condicionador Nobres</t>
  </si>
  <si>
    <t>Máscara Poconé</t>
  </si>
  <si>
    <t>Tônico Jaciara</t>
  </si>
  <si>
    <t>Biosfera Alisante Sensitive</t>
  </si>
  <si>
    <t xml:space="preserve">Máscara </t>
  </si>
  <si>
    <t>Óleo reparador de pontas</t>
  </si>
  <si>
    <r>
      <rPr>
        <rFont val="Calibri"/>
        <color rgb="FFFFFFFF"/>
        <sz val="18.0"/>
      </rPr>
      <t xml:space="preserve">CADASTRO DE </t>
    </r>
    <r>
      <rPr>
        <rFont val="Calibri"/>
        <b/>
        <color rgb="FFFFC000"/>
        <sz val="18.0"/>
      </rPr>
      <t>FORNECEDORES</t>
    </r>
  </si>
  <si>
    <t>Empresa</t>
  </si>
  <si>
    <t>Telefone</t>
  </si>
  <si>
    <t>E-mail</t>
  </si>
  <si>
    <t>Endereço</t>
  </si>
  <si>
    <t>Total Comprado</t>
  </si>
  <si>
    <t xml:space="preserve">GL. COMERCIO </t>
  </si>
  <si>
    <t>PSS10@UOL.COM.BR</t>
  </si>
  <si>
    <t>R JOSE COSTA JUNIOR, 137, JARDIM SANTA ADELIA CEP 03.974-070</t>
  </si>
  <si>
    <r>
      <rPr>
        <rFont val="Calibri"/>
        <color rgb="FFFFFFFF"/>
        <sz val="18.0"/>
      </rPr>
      <t xml:space="preserve">CADASTRO DE </t>
    </r>
    <r>
      <rPr>
        <rFont val="Calibri"/>
        <b/>
        <color rgb="FFFFC000"/>
        <sz val="18.0"/>
      </rPr>
      <t>LOJAS</t>
    </r>
  </si>
  <si>
    <t>Loja</t>
  </si>
  <si>
    <t>Responsável</t>
  </si>
  <si>
    <t>Total Vendido</t>
  </si>
  <si>
    <t>Rio de Janeiro</t>
  </si>
  <si>
    <t>Adriana</t>
  </si>
  <si>
    <t>(81) 99735-0727</t>
  </si>
  <si>
    <t>adryanadyas39@gmail.com</t>
  </si>
  <si>
    <t>Rua: 60, Qr 264, Lote 15, S/N, Bairro: Jardim Atlatico, CEP: 24.934-440, Marica-RJ</t>
  </si>
  <si>
    <t>Pernambuco</t>
  </si>
  <si>
    <t>Raquel</t>
  </si>
  <si>
    <t>(81) 95344-9193</t>
  </si>
  <si>
    <t>raquelnathalia57@gmail.com</t>
  </si>
  <si>
    <t>Rua: Dois de Julho, 251, apto 1607 torre B, Santo Amaro, Recife -PE, CEP: 50.040-180</t>
  </si>
  <si>
    <t>Espanha</t>
  </si>
  <si>
    <t>Denilson</t>
  </si>
  <si>
    <t>34 692 96 91 91</t>
  </si>
  <si>
    <t>denilsoncarneirodurval@gmail.com</t>
  </si>
  <si>
    <t>Distrito Federal/Góias</t>
  </si>
  <si>
    <t>Edson/Williams</t>
  </si>
  <si>
    <t>(81) 98193-5594</t>
  </si>
  <si>
    <t>edson.ferre@globomail.com</t>
  </si>
  <si>
    <t>QRC 16, 15 - Condomínio Santos Drumont, Bairro: Santa Maria, CEP: 72.593-116, Brasilia - DF</t>
  </si>
  <si>
    <r>
      <rPr>
        <rFont val="Calibri"/>
        <color rgb="FFFFFFFF"/>
        <sz val="18.0"/>
      </rPr>
      <t>CONTROLE DE</t>
    </r>
    <r>
      <rPr>
        <rFont val="Calibri"/>
        <color rgb="FFFFC000"/>
        <sz val="18.0"/>
      </rPr>
      <t xml:space="preserve"> </t>
    </r>
    <r>
      <rPr>
        <rFont val="Calibri"/>
        <b/>
        <color rgb="FFFFC000"/>
        <sz val="18.0"/>
      </rPr>
      <t>ENTRADAS</t>
    </r>
  </si>
  <si>
    <t>Data da Compra</t>
  </si>
  <si>
    <t>Produto</t>
  </si>
  <si>
    <t>Fornecedor</t>
  </si>
  <si>
    <t>Quantidade</t>
  </si>
  <si>
    <t>Valor de Compra Total</t>
  </si>
  <si>
    <r>
      <rPr>
        <rFont val="Calibri"/>
        <color rgb="FFFFFFFF"/>
        <sz val="18.0"/>
      </rPr>
      <t xml:space="preserve">CONTROLE DE </t>
    </r>
    <r>
      <rPr>
        <rFont val="Calibri"/>
        <b/>
        <color rgb="FFFFC000"/>
        <sz val="18.0"/>
      </rPr>
      <t>SAÍDAS</t>
    </r>
  </si>
  <si>
    <t>Data da Venda</t>
  </si>
  <si>
    <t>Quantidade Devolvida</t>
  </si>
  <si>
    <t>Data da Devolução</t>
  </si>
  <si>
    <t>Quantidade Vendida</t>
  </si>
  <si>
    <t>Estoque Acumulado</t>
  </si>
  <si>
    <t>Valor de Venda Total</t>
  </si>
  <si>
    <t>CONTROLE DE ESTOQUE</t>
  </si>
  <si>
    <t>Check automático: A tabela de Controle de Estoque está completa?</t>
  </si>
  <si>
    <t>Entradas</t>
  </si>
  <si>
    <t>Saídas</t>
  </si>
  <si>
    <t>Saldo</t>
  </si>
  <si>
    <t>Status</t>
  </si>
  <si>
    <t>Receita Total</t>
  </si>
  <si>
    <t>Custo Total</t>
  </si>
  <si>
    <t>Lucro/Prejuízo Total</t>
  </si>
  <si>
    <t>Joelho</t>
  </si>
  <si>
    <t>DASHBOARD</t>
  </si>
  <si>
    <t>Ano</t>
  </si>
  <si>
    <t>Qtd Entrada x Saída</t>
  </si>
  <si>
    <t>Mês</t>
  </si>
  <si>
    <t>Compras</t>
  </si>
  <si>
    <t>Vendas</t>
  </si>
  <si>
    <t>R$ Entrada x Saída</t>
  </si>
  <si>
    <t>Estoque no Tempo</t>
  </si>
  <si>
    <t>Entrada Acumulada</t>
  </si>
  <si>
    <t>Saída Acumulada</t>
  </si>
  <si>
    <t>Dados Gerais</t>
  </si>
  <si>
    <t>Total de Produtos</t>
  </si>
  <si>
    <t>Total de Lojas</t>
  </si>
  <si>
    <t>Total de Fornecedores</t>
  </si>
  <si>
    <t>Qtd. Produtos em Estoque</t>
  </si>
  <si>
    <t>Lucro Total</t>
  </si>
  <si>
    <t>Margem % Lucro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</si>
</sst>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.00"/>
    <numFmt numFmtId="165" formatCode="_-&quot;R$&quot;\ * #,##0_-;\-&quot;R$&quot;\ * #,##0_-;_-&quot;R$&quot;\ * &quot;-&quot;??_-;_-@"/>
  </numFmts>
  <fonts count="16">
    <font>
      <sz val="11.0"/>
      <color rgb="FF000000"/>
      <name val="Calibri"/>
    </font>
    <font>
      <sz val="18.0"/>
      <color rgb="FFFFFFFF"/>
      <name val="Calibri"/>
    </font>
    <font>
      <b/>
      <sz val="11.0"/>
      <color rgb="FFFFFFFF"/>
      <name val="Calibri"/>
    </font>
    <font>
      <sz val="11.0"/>
      <color rgb="FFFF0000"/>
      <name val="Calibri"/>
    </font>
    <font/>
    <font>
      <b/>
      <sz val="11.0"/>
      <color rgb="FF000000"/>
      <name val="Calibri"/>
    </font>
    <font>
      <i/>
      <sz val="14.0"/>
      <color rgb="FFFF0000"/>
      <name val="Calibri"/>
    </font>
    <font>
      <sz val="12.0"/>
      <color rgb="FF000000"/>
      <name val="Calibri"/>
    </font>
    <font>
      <b/>
      <sz val="11.0"/>
      <name val="Calibri"/>
    </font>
    <font>
      <u/>
      <sz val="11.0"/>
      <color rgb="FF0563C1"/>
      <name val="Calibri"/>
    </font>
    <font>
      <sz val="11.0"/>
      <color rgb="FF0000FF"/>
      <name val="Calibri"/>
    </font>
    <font>
      <i/>
      <sz val="12.0"/>
      <color rgb="FFFF0000"/>
      <name val="Calibri"/>
    </font>
    <font>
      <sz val="11.0"/>
      <name val="Calibri"/>
    </font>
    <font>
      <sz val="11.0"/>
      <color rgb="FFFFFFFF"/>
      <name val="Calibri"/>
    </font>
    <font>
      <sz val="28.0"/>
      <color rgb="FFFFFFFF"/>
      <name val="Calibri"/>
    </font>
    <font>
      <b/>
      <sz val="28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283D3B"/>
        <bgColor rgb="FF283D3B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</fills>
  <borders count="7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0" numFmtId="0" xfId="0" applyBorder="1" applyFill="1" applyFont="1"/>
    <xf borderId="0" fillId="0" fontId="0" numFmtId="0" xfId="0" applyFont="1"/>
    <xf borderId="1" fillId="3" fontId="0" numFmtId="0" xfId="0" applyBorder="1" applyFill="1" applyFont="1"/>
    <xf borderId="1" fillId="3" fontId="1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2" fillId="4" fontId="5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vertical="center"/>
    </xf>
    <xf borderId="1" fillId="5" fontId="0" numFmtId="0" xfId="0" applyBorder="1" applyFill="1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1" fillId="6" fontId="8" numFmtId="0" xfId="0" applyAlignment="1" applyBorder="1" applyFill="1" applyFont="1">
      <alignment horizontal="center" vertical="center"/>
    </xf>
    <xf borderId="0" fillId="0" fontId="0" numFmtId="14" xfId="0" applyAlignment="1" applyFont="1" applyNumberForma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0" numFmtId="164" xfId="0" applyAlignment="1" applyFont="1" applyNumberFormat="1">
      <alignment horizontal="center" vertical="center"/>
    </xf>
    <xf borderId="0" fillId="0" fontId="0" numFmtId="164" xfId="0" applyFont="1" applyNumberFormat="1"/>
    <xf borderId="0" fillId="0" fontId="9" numFmtId="0" xfId="0" applyAlignment="1" applyFont="1">
      <alignment horizontal="center" vertical="center"/>
    </xf>
    <xf borderId="1" fillId="7" fontId="10" numFmtId="164" xfId="0" applyAlignment="1" applyBorder="1" applyFill="1" applyFont="1" applyNumberFormat="1">
      <alignment horizontal="center" vertical="center"/>
    </xf>
    <xf borderId="0" fillId="0" fontId="0" numFmtId="0" xfId="0" applyAlignment="1" applyFont="1">
      <alignment horizontal="center" shrinkToFit="0" vertical="center" wrapText="1"/>
    </xf>
    <xf borderId="0" fillId="0" fontId="10" numFmtId="164" xfId="0" applyAlignment="1" applyFont="1" applyNumberFormat="1">
      <alignment horizontal="center" vertical="center"/>
    </xf>
    <xf borderId="0" fillId="0" fontId="11" numFmtId="0" xfId="0" applyAlignment="1" applyFont="1">
      <alignment horizontal="center"/>
    </xf>
    <xf borderId="1" fillId="6" fontId="8" numFmtId="0" xfId="0" applyAlignment="1" applyBorder="1" applyFont="1">
      <alignment horizontal="center" shrinkToFit="0" vertical="center" wrapText="1"/>
    </xf>
    <xf borderId="0" fillId="0" fontId="12" numFmtId="14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5" numFmtId="0" xfId="0" applyFont="1"/>
    <xf borderId="0" fillId="0" fontId="13" numFmtId="0" xfId="0" applyAlignment="1" applyFon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3" numFmtId="14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14" numFmtId="0" xfId="0" applyAlignment="1" applyFon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0" fillId="0" fontId="15" numFmtId="164" xfId="0" applyAlignment="1" applyFont="1" applyNumberFormat="1">
      <alignment horizontal="center" vertical="center"/>
    </xf>
    <xf borderId="0" fillId="0" fontId="14" numFmtId="10" xfId="0" applyAlignment="1" applyFont="1" applyNumberFormat="1">
      <alignment horizontal="center" vertical="center"/>
    </xf>
    <xf borderId="6" fillId="3" fontId="2" numFmtId="0" xfId="0" applyBorder="1" applyFont="1"/>
    <xf borderId="6" fillId="0" fontId="0" numFmtId="0" xfId="0" applyAlignment="1" applyBorder="1" applyFont="1">
      <alignment horizontal="center"/>
    </xf>
    <xf borderId="0" fillId="0" fontId="0" numFmtId="17" xfId="0" applyFont="1" applyNumberFormat="1"/>
    <xf borderId="0" fillId="0" fontId="0" numFmtId="165" xfId="0" applyFont="1" applyNumberFormat="1"/>
    <xf borderId="0" fillId="0" fontId="0" numFmtId="10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C55A11"/>
          <bgColor rgb="FFC55A11"/>
        </patternFill>
      </fill>
      <border/>
    </dxf>
    <dxf>
      <font/>
      <fill>
        <patternFill patternType="solid">
          <fgColor rgb="FF548135"/>
          <bgColor rgb="FF548135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>
        <b/>
        <color rgb="FFFF0000"/>
      </font>
      <fill>
        <patternFill patternType="none"/>
      </fill>
      <border/>
    </dxf>
    <dxf>
      <font>
        <b/>
        <color rgb="FF00B05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Saldo em Estoque para os meses do ano de 2021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Auxiliar!$E$42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283D3B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Auxiliar!$B$43:$B$54</c:f>
            </c:strRef>
          </c:cat>
          <c:val>
            <c:numRef>
              <c:f>Auxiliar!$E$43:$E$54</c:f>
              <c:numCache/>
            </c:numRef>
          </c:val>
        </c:ser>
        <c:axId val="1450447260"/>
        <c:axId val="946579201"/>
      </c:barChart>
      <c:catAx>
        <c:axId val="1450447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283D3B"/>
                </a:solidFill>
                <a:latin typeface="+mn-lt"/>
              </a:defRPr>
            </a:pPr>
          </a:p>
        </c:txPr>
        <c:crossAx val="946579201"/>
      </c:catAx>
      <c:valAx>
        <c:axId val="946579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283D3B"/>
                </a:solidFill>
                <a:latin typeface="+mn-lt"/>
              </a:defRPr>
            </a:pPr>
          </a:p>
        </c:txPr>
        <c:crossAx val="145044726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Resultado de Compras X Vendas para o ano de 2021
Quantidades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Auxiliar!$C$6</c:f>
            </c:strRef>
          </c:tx>
          <c:spPr>
            <a:solidFill>
              <a:srgbClr val="FA4824"/>
            </a:solidFill>
            <a:ln cmpd="sng">
              <a:solidFill>
                <a:srgbClr val="000000"/>
              </a:solidFill>
            </a:ln>
          </c:spPr>
          <c:cat>
            <c:strRef>
              <c:f>Auxiliar!$B$7:$B$18</c:f>
            </c:strRef>
          </c:cat>
          <c:val>
            <c:numRef>
              <c:f>Auxiliar!$C$7:$C$18</c:f>
              <c:numCache/>
            </c:numRef>
          </c:val>
        </c:ser>
        <c:ser>
          <c:idx val="1"/>
          <c:order val="1"/>
          <c:tx>
            <c:strRef>
              <c:f>Auxiliar!$D$6</c:f>
            </c:strRef>
          </c:tx>
          <c:spPr>
            <a:solidFill>
              <a:srgbClr val="41C764"/>
            </a:solidFill>
            <a:ln cmpd="sng">
              <a:solidFill>
                <a:srgbClr val="000000"/>
              </a:solidFill>
            </a:ln>
          </c:spPr>
          <c:cat>
            <c:strRef>
              <c:f>Auxiliar!$B$7:$B$18</c:f>
            </c:strRef>
          </c:cat>
          <c:val>
            <c:numRef>
              <c:f>Auxiliar!$D$7:$D$18</c:f>
              <c:numCache/>
            </c:numRef>
          </c:val>
        </c:ser>
        <c:axId val="1859296574"/>
        <c:axId val="1369427341"/>
      </c:barChart>
      <c:catAx>
        <c:axId val="1859296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283D3B"/>
                </a:solidFill>
                <a:latin typeface="+mn-lt"/>
              </a:defRPr>
            </a:pPr>
          </a:p>
        </c:txPr>
        <c:crossAx val="1369427341"/>
      </c:catAx>
      <c:valAx>
        <c:axId val="1369427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283D3B"/>
                </a:solidFill>
                <a:latin typeface="+mn-lt"/>
              </a:defRPr>
            </a:pPr>
          </a:p>
        </c:txPr>
        <c:crossAx val="185929657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Resultado de Compras X Vendas para o ano de 2021
Valor em R$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Auxiliar!$C$23</c:f>
            </c:strRef>
          </c:tx>
          <c:spPr>
            <a:solidFill>
              <a:srgbClr val="FA4824"/>
            </a:solidFill>
            <a:ln cmpd="sng">
              <a:solidFill>
                <a:srgbClr val="000000"/>
              </a:solidFill>
            </a:ln>
          </c:spPr>
          <c:cat>
            <c:strRef>
              <c:f>Auxiliar!$B$24:$B$35</c:f>
            </c:strRef>
          </c:cat>
          <c:val>
            <c:numRef>
              <c:f>Auxiliar!$C$24:$C$35</c:f>
              <c:numCache/>
            </c:numRef>
          </c:val>
        </c:ser>
        <c:ser>
          <c:idx val="1"/>
          <c:order val="1"/>
          <c:tx>
            <c:strRef>
              <c:f>Auxiliar!$D$23</c:f>
            </c:strRef>
          </c:tx>
          <c:spPr>
            <a:solidFill>
              <a:srgbClr val="41C764"/>
            </a:solidFill>
            <a:ln cmpd="sng">
              <a:solidFill>
                <a:srgbClr val="000000"/>
              </a:solidFill>
            </a:ln>
          </c:spPr>
          <c:cat>
            <c:strRef>
              <c:f>Auxiliar!$B$24:$B$35</c:f>
            </c:strRef>
          </c:cat>
          <c:val>
            <c:numRef>
              <c:f>Auxiliar!$D$24:$D$35</c:f>
              <c:numCache/>
            </c:numRef>
          </c:val>
        </c:ser>
        <c:axId val="1747663510"/>
        <c:axId val="1048377299"/>
      </c:barChart>
      <c:catAx>
        <c:axId val="1747663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283D3B"/>
                </a:solidFill>
                <a:latin typeface="+mn-lt"/>
              </a:defRPr>
            </a:pPr>
          </a:p>
        </c:txPr>
        <c:crossAx val="1048377299"/>
      </c:catAx>
      <c:valAx>
        <c:axId val="1048377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283D3B"/>
                </a:solidFill>
                <a:latin typeface="+mn-lt"/>
              </a:defRPr>
            </a:pPr>
          </a:p>
        </c:txPr>
        <c:crossAx val="174766351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Resultado de Compras X Vendas para o ano de 2021
Quantidades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Auxiliar!$C$6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Auxiliar!$B$7:$B$18</c:f>
            </c:strRef>
          </c:cat>
          <c:val>
            <c:numRef>
              <c:f>Auxiliar!$C$7:$C$18</c:f>
              <c:numCache/>
            </c:numRef>
          </c:val>
        </c:ser>
        <c:ser>
          <c:idx val="1"/>
          <c:order val="1"/>
          <c:tx>
            <c:strRef>
              <c:f>Auxiliar!$D$6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Auxiliar!$B$7:$B$18</c:f>
            </c:strRef>
          </c:cat>
          <c:val>
            <c:numRef>
              <c:f>Auxiliar!$D$7:$D$18</c:f>
              <c:numCache/>
            </c:numRef>
          </c:val>
        </c:ser>
        <c:axId val="1548043878"/>
        <c:axId val="750960187"/>
      </c:barChart>
      <c:catAx>
        <c:axId val="1548043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0960187"/>
      </c:catAx>
      <c:valAx>
        <c:axId val="750960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8043878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Resultado de Compras X Vendas para o ano de 2021
Valor em R$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Auxiliar!$C$23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Auxiliar!$B$24:$B$35</c:f>
            </c:strRef>
          </c:cat>
          <c:val>
            <c:numRef>
              <c:f>Auxiliar!$C$24:$C$35</c:f>
              <c:numCache/>
            </c:numRef>
          </c:val>
        </c:ser>
        <c:ser>
          <c:idx val="1"/>
          <c:order val="1"/>
          <c:tx>
            <c:strRef>
              <c:f>Auxiliar!$D$23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Auxiliar!$B$24:$B$35</c:f>
            </c:strRef>
          </c:cat>
          <c:val>
            <c:numRef>
              <c:f>Auxiliar!$D$24:$D$35</c:f>
              <c:numCache/>
            </c:numRef>
          </c:val>
        </c:ser>
        <c:axId val="623115915"/>
        <c:axId val="1363526078"/>
      </c:barChart>
      <c:catAx>
        <c:axId val="623115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3526078"/>
      </c:catAx>
      <c:valAx>
        <c:axId val="1363526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3115915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Saldo em Estoque para os meses do ano de 2021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Auxiliar!$E$42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Auxiliar!$B$43:$B$54</c:f>
            </c:strRef>
          </c:cat>
          <c:val>
            <c:numRef>
              <c:f>Auxiliar!$E$43:$E$54</c:f>
              <c:numCache/>
            </c:numRef>
          </c:val>
        </c:ser>
        <c:axId val="167402266"/>
        <c:axId val="1481190020"/>
      </c:barChart>
      <c:catAx>
        <c:axId val="167402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81190020"/>
      </c:catAx>
      <c:valAx>
        <c:axId val="1481190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40226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PROD!A1"/><Relationship Id="rId2" Type="http://schemas.openxmlformats.org/officeDocument/2006/relationships/hyperlink" Target="#ENTRADAS!A1"/><Relationship Id="rId3" Type="http://schemas.openxmlformats.org/officeDocument/2006/relationships/hyperlink" Target="#SA&#205;DAS!A1"/><Relationship Id="rId4" Type="http://schemas.openxmlformats.org/officeDocument/2006/relationships/hyperlink" Target="#'CONT. ESTOQUE'!A1"/><Relationship Id="rId5" Type="http://schemas.openxmlformats.org/officeDocument/2006/relationships/hyperlink" Target="#'DASH VG'!A1"/><Relationship Id="rId6" Type="http://schemas.openxmlformats.org/officeDocument/2006/relationships/image" Target="../media/image1.png"/><Relationship Id="rId7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SA&#205;DAS!A1"/><Relationship Id="rId2" Type="http://schemas.openxmlformats.org/officeDocument/2006/relationships/image" Target="../media/image4.png"/><Relationship Id="rId3" Type="http://schemas.openxmlformats.org/officeDocument/2006/relationships/hyperlink" Target="#'CONT. ESTOQUE'!A1"/><Relationship Id="rId4" Type="http://schemas.openxmlformats.org/officeDocument/2006/relationships/hyperlink" Target="#ENTRADAS!A1"/><Relationship Id="rId5" Type="http://schemas.openxmlformats.org/officeDocument/2006/relationships/hyperlink" Target="#LOJAS!A1"/><Relationship Id="rId6" Type="http://schemas.openxmlformats.org/officeDocument/2006/relationships/hyperlink" Target="#FORN!A1"/><Relationship Id="rId7" Type="http://schemas.openxmlformats.org/officeDocument/2006/relationships/hyperlink" Target="#PROD!A1"/><Relationship Id="rId8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ENTRADAS!A1"/><Relationship Id="rId2" Type="http://schemas.openxmlformats.org/officeDocument/2006/relationships/hyperlink" Target="#SA&#205;DAS!A1"/><Relationship Id="rId3" Type="http://schemas.openxmlformats.org/officeDocument/2006/relationships/hyperlink" Target="#'CONT. ESTOQUE'!A1"/><Relationship Id="rId4" Type="http://schemas.openxmlformats.org/officeDocument/2006/relationships/hyperlink" Target="#'DASH VG'!A1"/><Relationship Id="rId9" Type="http://schemas.openxmlformats.org/officeDocument/2006/relationships/image" Target="../media/image6.png"/><Relationship Id="rId5" Type="http://schemas.openxmlformats.org/officeDocument/2006/relationships/hyperlink" Target="#FORN!A1"/><Relationship Id="rId6" Type="http://schemas.openxmlformats.org/officeDocument/2006/relationships/hyperlink" Target="#LOJAS!A1"/><Relationship Id="rId7" Type="http://schemas.openxmlformats.org/officeDocument/2006/relationships/hyperlink" Target="#Instru&#231;&#245;es!C8"/><Relationship Id="rId8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ENTRADAS!A1"/><Relationship Id="rId2" Type="http://schemas.openxmlformats.org/officeDocument/2006/relationships/hyperlink" Target="#SA&#205;DAS!A1"/><Relationship Id="rId3" Type="http://schemas.openxmlformats.org/officeDocument/2006/relationships/hyperlink" Target="#'CONT. ESTOQUE'!A1"/><Relationship Id="rId4" Type="http://schemas.openxmlformats.org/officeDocument/2006/relationships/hyperlink" Target="#'DASH VG'!A1"/><Relationship Id="rId10" Type="http://schemas.openxmlformats.org/officeDocument/2006/relationships/image" Target="../media/image8.png"/><Relationship Id="rId9" Type="http://schemas.openxmlformats.org/officeDocument/2006/relationships/image" Target="../media/image7.png"/><Relationship Id="rId5" Type="http://schemas.openxmlformats.org/officeDocument/2006/relationships/hyperlink" Target="#PROD!A1"/><Relationship Id="rId6" Type="http://schemas.openxmlformats.org/officeDocument/2006/relationships/hyperlink" Target="#LOJAS!A1"/><Relationship Id="rId7" Type="http://schemas.openxmlformats.org/officeDocument/2006/relationships/hyperlink" Target="#Instru&#231;&#245;es!C10"/><Relationship Id="rId8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hyperlink" Target="#ENTRADAS!A1"/><Relationship Id="rId2" Type="http://schemas.openxmlformats.org/officeDocument/2006/relationships/hyperlink" Target="#SA&#205;DAS!A1"/><Relationship Id="rId3" Type="http://schemas.openxmlformats.org/officeDocument/2006/relationships/hyperlink" Target="#'CONT. ESTOQUE'!A1"/><Relationship Id="rId4" Type="http://schemas.openxmlformats.org/officeDocument/2006/relationships/hyperlink" Target="#'DASH VG'!A1"/><Relationship Id="rId10" Type="http://schemas.openxmlformats.org/officeDocument/2006/relationships/image" Target="../media/image10.png"/><Relationship Id="rId9" Type="http://schemas.openxmlformats.org/officeDocument/2006/relationships/image" Target="../media/image9.png"/><Relationship Id="rId5" Type="http://schemas.openxmlformats.org/officeDocument/2006/relationships/hyperlink" Target="#FORN!A1"/><Relationship Id="rId6" Type="http://schemas.openxmlformats.org/officeDocument/2006/relationships/hyperlink" Target="#FORN!A1"/><Relationship Id="rId7" Type="http://schemas.openxmlformats.org/officeDocument/2006/relationships/hyperlink" Target="#Instru&#231;&#245;es!C12"/><Relationship Id="rId8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SA&#205;DAS!A1"/><Relationship Id="rId2" Type="http://schemas.openxmlformats.org/officeDocument/2006/relationships/hyperlink" Target="#PROD!A1"/><Relationship Id="rId3" Type="http://schemas.openxmlformats.org/officeDocument/2006/relationships/hyperlink" Target="#'CONT. ESTOQUE'!A1"/><Relationship Id="rId4" Type="http://schemas.openxmlformats.org/officeDocument/2006/relationships/hyperlink" Target="#'DASH VG'!A1"/><Relationship Id="rId5" Type="http://schemas.openxmlformats.org/officeDocument/2006/relationships/hyperlink" Target="#Instru&#231;&#245;es!C14"/><Relationship Id="rId6" Type="http://schemas.openxmlformats.org/officeDocument/2006/relationships/image" Target="../media/image5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hyperlink" Target="#ENTRADAS!A1"/><Relationship Id="rId2" Type="http://schemas.openxmlformats.org/officeDocument/2006/relationships/hyperlink" Target="#PROD!A1"/><Relationship Id="rId3" Type="http://schemas.openxmlformats.org/officeDocument/2006/relationships/hyperlink" Target="#'CONT. ESTOQUE'!A1"/><Relationship Id="rId4" Type="http://schemas.openxmlformats.org/officeDocument/2006/relationships/hyperlink" Target="#'DASH VG'!A1"/><Relationship Id="rId5" Type="http://schemas.openxmlformats.org/officeDocument/2006/relationships/hyperlink" Target="#Instru&#231;&#245;es!C16"/><Relationship Id="rId6" Type="http://schemas.openxmlformats.org/officeDocument/2006/relationships/image" Target="../media/image5.png"/><Relationship Id="rId7" Type="http://schemas.openxmlformats.org/officeDocument/2006/relationships/image" Target="../media/image13.png"/><Relationship Id="rId8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ENTRADAS!A1"/><Relationship Id="rId2" Type="http://schemas.openxmlformats.org/officeDocument/2006/relationships/hyperlink" Target="#SA&#205;DAS!A1"/><Relationship Id="rId3" Type="http://schemas.openxmlformats.org/officeDocument/2006/relationships/hyperlink" Target="#PROD!A1"/><Relationship Id="rId4" Type="http://schemas.openxmlformats.org/officeDocument/2006/relationships/hyperlink" Target="#'DASH VG'!A1"/><Relationship Id="rId5" Type="http://schemas.openxmlformats.org/officeDocument/2006/relationships/hyperlink" Target="#Instru&#231;&#245;es!C18"/><Relationship Id="rId6" Type="http://schemas.openxmlformats.org/officeDocument/2006/relationships/image" Target="../media/image5.png"/><Relationship Id="rId7" Type="http://schemas.openxmlformats.org/officeDocument/2006/relationships/image" Target="../media/image15.png"/><Relationship Id="rId8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hyperlink" Target="#ENTRADAS!A1"/><Relationship Id="rId2" Type="http://schemas.openxmlformats.org/officeDocument/2006/relationships/hyperlink" Target="#SA&#205;DAS!A1"/><Relationship Id="rId3" Type="http://schemas.openxmlformats.org/officeDocument/2006/relationships/hyperlink" Target="#PROD!A1"/><Relationship Id="rId4" Type="http://schemas.openxmlformats.org/officeDocument/2006/relationships/hyperlink" Target="#'CONT. ESTOQUE'!A1"/><Relationship Id="rId5" Type="http://schemas.openxmlformats.org/officeDocument/2006/relationships/hyperlink" Target="#'DASH ESTOQUE'!A1"/><Relationship Id="rId6" Type="http://schemas.openxmlformats.org/officeDocument/2006/relationships/hyperlink" Target="#'DASH RESULTADOS'!A1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hyperlink" Target="#ENTRADAS!A1"/><Relationship Id="rId2" Type="http://schemas.openxmlformats.org/officeDocument/2006/relationships/hyperlink" Target="#SA&#205;DAS!A1"/><Relationship Id="rId3" Type="http://schemas.openxmlformats.org/officeDocument/2006/relationships/hyperlink" Target="#PROD!A1"/><Relationship Id="rId4" Type="http://schemas.openxmlformats.org/officeDocument/2006/relationships/hyperlink" Target="#'CONT. ESTOQUE'!A1"/><Relationship Id="rId9" Type="http://schemas.openxmlformats.org/officeDocument/2006/relationships/image" Target="../media/image20.png"/><Relationship Id="rId5" Type="http://schemas.openxmlformats.org/officeDocument/2006/relationships/hyperlink" Target="#'DASH VG'!A1"/><Relationship Id="rId6" Type="http://schemas.openxmlformats.org/officeDocument/2006/relationships/hyperlink" Target="#'DASH RESULTADOS'!A1"/><Relationship Id="rId7" Type="http://schemas.openxmlformats.org/officeDocument/2006/relationships/chart" Target="../charts/chart1.xml"/><Relationship Id="rId8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hyperlink" Target="#ENTRADAS!A1"/><Relationship Id="rId2" Type="http://schemas.openxmlformats.org/officeDocument/2006/relationships/hyperlink" Target="#SA&#205;DAS!A1"/><Relationship Id="rId3" Type="http://schemas.openxmlformats.org/officeDocument/2006/relationships/hyperlink" Target="#PROD!A1"/><Relationship Id="rId4" Type="http://schemas.openxmlformats.org/officeDocument/2006/relationships/hyperlink" Target="#'CONT. ESTOQUE'!A1"/><Relationship Id="rId10" Type="http://schemas.openxmlformats.org/officeDocument/2006/relationships/image" Target="../media/image22.png"/><Relationship Id="rId9" Type="http://schemas.openxmlformats.org/officeDocument/2006/relationships/image" Target="../media/image21.png"/><Relationship Id="rId5" Type="http://schemas.openxmlformats.org/officeDocument/2006/relationships/hyperlink" Target="#'DASH VG'!A1"/><Relationship Id="rId6" Type="http://schemas.openxmlformats.org/officeDocument/2006/relationships/hyperlink" Target="#'DASH ESTOQUE'!A1"/><Relationship Id="rId7" Type="http://schemas.openxmlformats.org/officeDocument/2006/relationships/chart" Target="../charts/chart2.xml"/><Relationship Id="rId8" Type="http://schemas.openxmlformats.org/officeDocument/2006/relationships/chart" Target="../charts/chart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76200</xdr:rowOff>
    </xdr:from>
    <xdr:ext cx="5486400" cy="1476375"/>
    <xdr:sp macro="" textlink="">
      <xdr:nvSpPr>
        <xdr:cNvPr id="3" name="CaixaDeTexto 2">
          <a:extLst>
            <a:ext uri="{FF2B5EF4-FFF2-40B4-BE49-F238E27FC236}"/>
          </a:extLst>
        </xdr:cNvPr>
        <xdr:cNvSpPr txBox="1"/>
      </xdr:nvSpPr>
      <xdr:spPr>
        <a:xfrm>
          <a:off x="2438401" y="76200"/>
          <a:ext cx="5486400" cy="1409701"/>
        </a:xfrm>
        <a:prstGeom prst="rect">
          <a:avLst/>
        </a:prstGeom>
        <a:noFill/>
        <a:ln cmpd="sng" w="9525">
          <a:noFill/>
        </a:ln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dk1"/>
        </a:fontRef>
      </xdr:style>
      <xdr:txBody>
        <a:bodyPr anchor="ctr" rtlCol="0" horzOverflow="clip" wrap="square" vertOverflow="clip"/>
        <a:lstStyle/>
        <a:p>
          <a:pPr lvl="0" algn="ctr"/>
          <a:r>
            <a:rPr b="1" lang="pt-BR" sz="2800">
              <a:solidFill>
                <a:schemeClr val="bg1"/>
              </a:solidFill>
            </a:rPr>
            <a:t>CONTROLE</a:t>
          </a:r>
          <a:r>
            <a:rPr b="1" lang="pt-BR" sz="2800">
              <a:solidFill>
                <a:schemeClr val="bg1"/>
              </a:solidFill>
            </a:rPr>
            <a:t> DE ESTOQUE</a:t>
          </a:r>
          <a:endParaRPr b="1" lang="pt-BR" sz="2800">
            <a:solidFill>
              <a:schemeClr val="bg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1381125" cy="523875"/>
    <xdr:sp macro="" textlink="">
      <xdr:nvSpPr>
        <xdr:cNvPr id="5" name="Retângulo 4">
          <a:hlinkClick r:id="rId1"/>
          <a:extLst>
            <a:ext uri="{FF2B5EF4-FFF2-40B4-BE49-F238E27FC236}"/>
          </a:extLst>
        </xdr:cNvPr>
        <xdr:cNvSpPr/>
      </xdr:nvSpPr>
      <xdr:spPr>
        <a:xfrm>
          <a:off x="1828800" y="1905000"/>
          <a:ext cx="1381126" cy="504826"/>
        </a:xfrm>
        <a:prstGeom prst="rect">
          <a:avLst/>
        </a:prstGeom>
        <a:solidFill>
          <a:schemeClr val="bg1"/>
        </a:solidFill>
        <a:ln cap="flat" cmpd="sng" w="12700" algn="ctr">
          <a:noFill/>
          <a:prstDash val="solid"/>
          <a:miter lim="800000"/>
        </a:ln>
        <a:effectLst>
          <a:outerShdw blurRad="44450" algn="ctr" dir="5400000" dist="2794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dir="t" rig="balanced">
            <a:rot lat="0" lon="0" rev="8700000"/>
          </a:lightRig>
        </a:scene3d>
        <a:sp3d>
          <a:bevelT h="38100" w="190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pt-BR" sz="1100">
              <a:solidFill>
                <a:srgbClr val="283D3B"/>
              </a:solidFill>
            </a:rPr>
            <a:t>CADASTRO</a:t>
          </a:r>
          <a:r>
            <a:rPr b="1" lang="pt-BR" sz="1100">
              <a:solidFill>
                <a:srgbClr val="283D3B"/>
              </a:solidFill>
            </a:rPr>
            <a:t> DE PRODUTOS</a:t>
          </a:r>
          <a:endParaRPr b="1" lang="pt-BR" sz="1100">
            <a:solidFill>
              <a:srgbClr val="283D3B"/>
            </a:solidFill>
          </a:endParaRPr>
        </a:p>
      </xdr:txBody>
    </xdr:sp>
    <xdr:clientData fLocksWithSheet="0"/>
  </xdr:oneCellAnchor>
  <xdr:oneCellAnchor>
    <xdr:from>
      <xdr:col>6</xdr:col>
      <xdr:colOff>0</xdr:colOff>
      <xdr:row>10</xdr:row>
      <xdr:rowOff>0</xdr:rowOff>
    </xdr:from>
    <xdr:ext cx="1381125" cy="523875"/>
    <xdr:sp macro="" textlink="">
      <xdr:nvSpPr>
        <xdr:cNvPr id="7" name="Retângulo 6">
          <a:hlinkClick r:id="rId2"/>
          <a:extLst>
            <a:ext uri="{FF2B5EF4-FFF2-40B4-BE49-F238E27FC236}"/>
          </a:extLst>
        </xdr:cNvPr>
        <xdr:cNvSpPr/>
      </xdr:nvSpPr>
      <xdr:spPr>
        <a:xfrm>
          <a:off x="3657600" y="1905000"/>
          <a:ext cx="1381126" cy="504826"/>
        </a:xfrm>
        <a:prstGeom prst="rect">
          <a:avLst/>
        </a:prstGeom>
        <a:solidFill>
          <a:schemeClr val="bg1"/>
        </a:solidFill>
        <a:ln cap="flat" cmpd="sng" w="12700" algn="ctr">
          <a:noFill/>
          <a:prstDash val="solid"/>
          <a:miter lim="800000"/>
        </a:ln>
        <a:effectLst>
          <a:outerShdw blurRad="44450" algn="ctr" dir="5400000" dist="2794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dir="t" rig="balanced">
            <a:rot lat="0" lon="0" rev="8700000"/>
          </a:lightRig>
        </a:scene3d>
        <a:sp3d>
          <a:bevelT h="38100" w="190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pt-BR" sz="1100">
              <a:solidFill>
                <a:srgbClr val="283D3B"/>
              </a:solidFill>
            </a:rPr>
            <a:t>CONTROLE DE ENTRADAS</a:t>
          </a:r>
        </a:p>
      </xdr:txBody>
    </xdr:sp>
    <xdr:clientData fLocksWithSheet="0"/>
  </xdr:oneCellAnchor>
  <xdr:oneCellAnchor>
    <xdr:from>
      <xdr:col>9</xdr:col>
      <xdr:colOff>0</xdr:colOff>
      <xdr:row>10</xdr:row>
      <xdr:rowOff>0</xdr:rowOff>
    </xdr:from>
    <xdr:ext cx="1381125" cy="523875"/>
    <xdr:sp macro="" textlink="">
      <xdr:nvSpPr>
        <xdr:cNvPr id="8" name="Retângulo 7">
          <a:hlinkClick r:id="rId3"/>
          <a:extLst>
            <a:ext uri="{FF2B5EF4-FFF2-40B4-BE49-F238E27FC236}"/>
          </a:extLst>
        </xdr:cNvPr>
        <xdr:cNvSpPr/>
      </xdr:nvSpPr>
      <xdr:spPr>
        <a:xfrm>
          <a:off x="5486400" y="1905000"/>
          <a:ext cx="1381126" cy="504826"/>
        </a:xfrm>
        <a:prstGeom prst="rect">
          <a:avLst/>
        </a:prstGeom>
        <a:solidFill>
          <a:schemeClr val="bg1"/>
        </a:solidFill>
        <a:ln cap="flat" cmpd="sng" w="12700" algn="ctr">
          <a:noFill/>
          <a:prstDash val="solid"/>
          <a:miter lim="800000"/>
        </a:ln>
        <a:effectLst>
          <a:outerShdw blurRad="44450" algn="ctr" dir="5400000" dist="2794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dir="t" rig="balanced">
            <a:rot lat="0" lon="0" rev="8700000"/>
          </a:lightRig>
        </a:scene3d>
        <a:sp3d>
          <a:bevelT h="38100" w="190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pt-BR" sz="1100">
              <a:solidFill>
                <a:srgbClr val="283D3B"/>
              </a:solidFill>
            </a:rPr>
            <a:t>CONTROLE DE SAÍDAS</a:t>
          </a:r>
        </a:p>
      </xdr:txBody>
    </xdr:sp>
    <xdr:clientData fLocksWithSheet="0"/>
  </xdr:oneCellAnchor>
  <xdr:oneCellAnchor>
    <xdr:from>
      <xdr:col>12</xdr:col>
      <xdr:colOff>28575</xdr:colOff>
      <xdr:row>10</xdr:row>
      <xdr:rowOff>0</xdr:rowOff>
    </xdr:from>
    <xdr:ext cx="1381125" cy="523875"/>
    <xdr:sp macro="" textlink="">
      <xdr:nvSpPr>
        <xdr:cNvPr id="9" name="Retângulo 8">
          <a:hlinkClick r:id="rId4"/>
          <a:extLst>
            <a:ext uri="{FF2B5EF4-FFF2-40B4-BE49-F238E27FC236}"/>
          </a:extLst>
        </xdr:cNvPr>
        <xdr:cNvSpPr/>
      </xdr:nvSpPr>
      <xdr:spPr>
        <a:xfrm>
          <a:off x="7343775" y="1905000"/>
          <a:ext cx="1381126" cy="504826"/>
        </a:xfrm>
        <a:prstGeom prst="rect">
          <a:avLst/>
        </a:prstGeom>
        <a:solidFill>
          <a:schemeClr val="bg1"/>
        </a:solidFill>
        <a:ln cap="flat" cmpd="sng" w="12700" algn="ctr">
          <a:noFill/>
          <a:prstDash val="solid"/>
          <a:miter lim="800000"/>
        </a:ln>
        <a:effectLst>
          <a:outerShdw blurRad="44450" algn="ctr" dir="5400000" dist="2794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dir="t" rig="balanced">
            <a:rot lat="0" lon="0" rev="8700000"/>
          </a:lightRig>
        </a:scene3d>
        <a:sp3d>
          <a:bevelT h="38100" w="190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pt-BR" sz="1100">
              <a:solidFill>
                <a:srgbClr val="283D3B"/>
              </a:solidFill>
            </a:rPr>
            <a:t>CONTROLE DE ESTOQUE</a:t>
          </a:r>
        </a:p>
      </xdr:txBody>
    </xdr:sp>
    <xdr:clientData fLocksWithSheet="0"/>
  </xdr:oneCellAnchor>
  <xdr:oneCellAnchor>
    <xdr:from>
      <xdr:col>7</xdr:col>
      <xdr:colOff>314325</xdr:colOff>
      <xdr:row>14</xdr:row>
      <xdr:rowOff>104775</xdr:rowOff>
    </xdr:from>
    <xdr:ext cx="1381125" cy="542925"/>
    <xdr:sp macro="" textlink="">
      <xdr:nvSpPr>
        <xdr:cNvPr id="10" name="Retângulo 9">
          <a:hlinkClick r:id="rId5"/>
          <a:extLst>
            <a:ext uri="{FF2B5EF4-FFF2-40B4-BE49-F238E27FC236}"/>
          </a:extLst>
        </xdr:cNvPr>
        <xdr:cNvSpPr/>
      </xdr:nvSpPr>
      <xdr:spPr>
        <a:xfrm>
          <a:off x="4591049" y="2771775"/>
          <a:ext cx="1381126" cy="504826"/>
        </a:xfrm>
        <a:prstGeom prst="rect">
          <a:avLst/>
        </a:prstGeom>
        <a:solidFill>
          <a:srgbClr val="FF9F1C"/>
        </a:solidFill>
        <a:ln cap="flat" cmpd="sng" w="12700" algn="ctr">
          <a:noFill/>
          <a:prstDash val="solid"/>
          <a:miter lim="800000"/>
        </a:ln>
        <a:effectLst>
          <a:outerShdw blurRad="44450" algn="ctr" dir="5400000" dist="27940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dir="t" rig="balanced">
            <a:rot lat="0" lon="0" rev="8700000"/>
          </a:lightRig>
        </a:scene3d>
        <a:sp3d>
          <a:bevelT h="38100" w="190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pt-BR" sz="1100">
              <a:solidFill>
                <a:srgbClr val="283D3B"/>
              </a:solidFill>
            </a:rPr>
            <a:t>RESUMO</a:t>
          </a:r>
        </a:p>
      </xdr:txBody>
    </xdr:sp>
    <xdr:clientData fLocksWithSheet="0"/>
  </xdr:oneCellAnchor>
  <xdr:oneCellAnchor>
    <xdr:from>
      <xdr:col>15</xdr:col>
      <xdr:colOff>581025</xdr:colOff>
      <xdr:row>20</xdr:row>
      <xdr:rowOff>114300</xdr:rowOff>
    </xdr:from>
    <xdr:ext cx="304800" cy="3238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18</xdr:row>
      <xdr:rowOff>38100</xdr:rowOff>
    </xdr:from>
    <xdr:ext cx="1038225" cy="6000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428625</xdr:colOff>
      <xdr:row>15</xdr:row>
      <xdr:rowOff>1314450</xdr:rowOff>
    </xdr:from>
    <xdr:ext cx="1438275" cy="619125"/>
    <xdr:grpSp>
      <xdr:nvGrpSpPr>
        <xdr:cNvPr id="7" name="Agrupar 6">
          <a:hlinkClick r:id="rId1"/>
          <a:extLst>
            <a:ext uri="{FF2B5EF4-FFF2-40B4-BE49-F238E27FC236}"/>
          </a:extLst>
        </xdr:cNvPr>
        <xdr:cNvGrpSpPr/>
      </xdr:nvGrpSpPr>
      <xdr:grpSpPr>
        <a:xfrm>
          <a:off x="12699835" y="12393705"/>
          <a:ext cx="1509224" cy="627530"/>
          <a:chOff x="12677423" y="10141323"/>
          <a:chExt cx="1509224" cy="627530"/>
        </a:xfrm>
      </xdr:grpSpPr>
      <xdr:pic>
        <xdr:nvPicPr>
          <xdr:cNvPr id="3" name="Imagem 2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2">
            <a:extLst>
              <a:ext uri="{28A0092B-C50C-407E-A947-70E740481C1C}"/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6" name="CaixaDeTexto 5">
            <a:extLst>
              <a:ext uri="{FF2B5EF4-FFF2-40B4-BE49-F238E27FC236}"/>
            </a:extLst>
          </xdr:cNvPr>
          <xdr:cNvSpPr txBox="1"/>
        </xdr:nvSpPr>
        <xdr:spPr>
          <a:xfrm>
            <a:off x="13133294" y="10141323"/>
            <a:ext cx="1053353" cy="62753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b="0" lang="pt-BR" sz="1100">
                <a:solidFill>
                  <a:srgbClr val="0000FF"/>
                </a:solidFill>
              </a:rPr>
              <a:t>Voltar para a aba SAÍDAS</a:t>
            </a:r>
          </a:p>
        </xdr:txBody>
      </xdr:sp>
    </xdr:grpSp>
    <xdr:clientData fLocksWithSheet="0"/>
  </xdr:oneCellAnchor>
  <xdr:oneCellAnchor>
    <xdr:from>
      <xdr:col>18</xdr:col>
      <xdr:colOff>457200</xdr:colOff>
      <xdr:row>17</xdr:row>
      <xdr:rowOff>2009775</xdr:rowOff>
    </xdr:from>
    <xdr:ext cx="1438275" cy="619125"/>
    <xdr:grpSp>
      <xdr:nvGrpSpPr>
        <xdr:cNvPr id="8" name="Agrupar 7">
          <a:hlinkClick r:id="rId3"/>
          <a:extLst>
            <a:ext uri="{FF2B5EF4-FFF2-40B4-BE49-F238E27FC236}"/>
          </a:extLst>
        </xdr:cNvPr>
        <xdr:cNvGrpSpPr/>
      </xdr:nvGrpSpPr>
      <xdr:grpSpPr>
        <a:xfrm>
          <a:off x="12729882" y="17066558"/>
          <a:ext cx="1509224" cy="627530"/>
          <a:chOff x="12677423" y="10141323"/>
          <a:chExt cx="1509224" cy="627530"/>
        </a:xfrm>
      </xdr:grpSpPr>
      <xdr:pic>
        <xdr:nvPicPr>
          <xdr:cNvPr id="9" name="Imagem 8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2">
            <a:extLst>
              <a:ext uri="{28A0092B-C50C-407E-A947-70E740481C1C}"/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10" name="CaixaDeTexto 9">
            <a:extLst>
              <a:ext uri="{FF2B5EF4-FFF2-40B4-BE49-F238E27FC236}"/>
            </a:extLst>
          </xdr:cNvPr>
          <xdr:cNvSpPr txBox="1"/>
        </xdr:nvSpPr>
        <xdr:spPr>
          <a:xfrm>
            <a:off x="13133294" y="10141323"/>
            <a:ext cx="1053353" cy="62753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b="0" lang="pt-BR" sz="1100">
                <a:solidFill>
                  <a:srgbClr val="0000FF"/>
                </a:solidFill>
              </a:rPr>
              <a:t>Voltar para a aba CONTROLE</a:t>
            </a:r>
            <a:r>
              <a:rPr b="0" lang="pt-BR" sz="1100">
                <a:solidFill>
                  <a:srgbClr val="0000FF"/>
                </a:solidFill>
              </a:rPr>
              <a:t> DE ESTOQUE</a:t>
            </a:r>
            <a:endParaRPr b="0" lang="pt-BR" sz="1100">
              <a:solidFill>
                <a:srgbClr val="0000FF"/>
              </a:solidFill>
            </a:endParaRPr>
          </a:p>
        </xdr:txBody>
      </xdr:sp>
    </xdr:grpSp>
    <xdr:clientData fLocksWithSheet="0"/>
  </xdr:oneCellAnchor>
  <xdr:oneCellAnchor>
    <xdr:from>
      <xdr:col>18</xdr:col>
      <xdr:colOff>390525</xdr:colOff>
      <xdr:row>13</xdr:row>
      <xdr:rowOff>647700</xdr:rowOff>
    </xdr:from>
    <xdr:ext cx="1438275" cy="619125"/>
    <xdr:grpSp>
      <xdr:nvGrpSpPr>
        <xdr:cNvPr id="11" name="Agrupar 10">
          <a:hlinkClick r:id="rId4"/>
          <a:extLst>
            <a:ext uri="{FF2B5EF4-FFF2-40B4-BE49-F238E27FC236}"/>
          </a:extLst>
        </xdr:cNvPr>
        <xdr:cNvGrpSpPr/>
      </xdr:nvGrpSpPr>
      <xdr:grpSpPr>
        <a:xfrm>
          <a:off x="12662647" y="9625853"/>
          <a:ext cx="1509224" cy="627530"/>
          <a:chOff x="12677423" y="10141323"/>
          <a:chExt cx="1509224" cy="627530"/>
        </a:xfrm>
      </xdr:grpSpPr>
      <xdr:pic>
        <xdr:nvPicPr>
          <xdr:cNvPr id="12" name="Imagem 11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2">
            <a:extLst>
              <a:ext uri="{28A0092B-C50C-407E-A947-70E740481C1C}"/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13" name="CaixaDeTexto 12">
            <a:extLst>
              <a:ext uri="{FF2B5EF4-FFF2-40B4-BE49-F238E27FC236}"/>
            </a:extLst>
          </xdr:cNvPr>
          <xdr:cNvSpPr txBox="1"/>
        </xdr:nvSpPr>
        <xdr:spPr>
          <a:xfrm>
            <a:off x="13133294" y="10141323"/>
            <a:ext cx="1053353" cy="62753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b="0" lang="pt-BR" sz="1100">
                <a:solidFill>
                  <a:srgbClr val="0000FF"/>
                </a:solidFill>
              </a:rPr>
              <a:t>Voltar para a aba ENTRADAS</a:t>
            </a:r>
          </a:p>
        </xdr:txBody>
      </xdr:sp>
    </xdr:grpSp>
    <xdr:clientData fLocksWithSheet="0"/>
  </xdr:oneCellAnchor>
  <xdr:oneCellAnchor>
    <xdr:from>
      <xdr:col>18</xdr:col>
      <xdr:colOff>342900</xdr:colOff>
      <xdr:row>11</xdr:row>
      <xdr:rowOff>523875</xdr:rowOff>
    </xdr:from>
    <xdr:ext cx="1438275" cy="619125"/>
    <xdr:grpSp>
      <xdr:nvGrpSpPr>
        <xdr:cNvPr id="14" name="Agrupar 13">
          <a:hlinkClick r:id="rId5"/>
          <a:extLst>
            <a:ext uri="{FF2B5EF4-FFF2-40B4-BE49-F238E27FC236}"/>
          </a:extLst>
        </xdr:cNvPr>
        <xdr:cNvGrpSpPr/>
      </xdr:nvGrpSpPr>
      <xdr:grpSpPr>
        <a:xfrm>
          <a:off x="12617824" y="7395883"/>
          <a:ext cx="1509224" cy="627530"/>
          <a:chOff x="12677423" y="10141323"/>
          <a:chExt cx="1509224" cy="627530"/>
        </a:xfrm>
      </xdr:grpSpPr>
      <xdr:pic>
        <xdr:nvPicPr>
          <xdr:cNvPr id="15" name="Imagem 14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2">
            <a:extLst>
              <a:ext uri="{28A0092B-C50C-407E-A947-70E740481C1C}"/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16" name="CaixaDeTexto 15">
            <a:extLst>
              <a:ext uri="{FF2B5EF4-FFF2-40B4-BE49-F238E27FC236}"/>
            </a:extLst>
          </xdr:cNvPr>
          <xdr:cNvSpPr txBox="1"/>
        </xdr:nvSpPr>
        <xdr:spPr>
          <a:xfrm>
            <a:off x="13133294" y="10141323"/>
            <a:ext cx="1053353" cy="62753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b="0" lang="pt-BR" sz="1100">
                <a:solidFill>
                  <a:srgbClr val="0000FF"/>
                </a:solidFill>
              </a:rPr>
              <a:t>Voltar para a aba LOJAS</a:t>
            </a:r>
          </a:p>
        </xdr:txBody>
      </xdr:sp>
    </xdr:grpSp>
    <xdr:clientData fLocksWithSheet="0"/>
  </xdr:oneCellAnchor>
  <xdr:oneCellAnchor>
    <xdr:from>
      <xdr:col>18</xdr:col>
      <xdr:colOff>323850</xdr:colOff>
      <xdr:row>9</xdr:row>
      <xdr:rowOff>571500</xdr:rowOff>
    </xdr:from>
    <xdr:ext cx="1514475" cy="619125"/>
    <xdr:grpSp>
      <xdr:nvGrpSpPr>
        <xdr:cNvPr id="17" name="Agrupar 16">
          <a:hlinkClick r:id="rId6"/>
          <a:extLst>
            <a:ext uri="{FF2B5EF4-FFF2-40B4-BE49-F238E27FC236}"/>
          </a:extLst>
        </xdr:cNvPr>
        <xdr:cNvGrpSpPr/>
      </xdr:nvGrpSpPr>
      <xdr:grpSpPr>
        <a:xfrm>
          <a:off x="12602135" y="5318312"/>
          <a:ext cx="1584511" cy="627530"/>
          <a:chOff x="12677423" y="10141323"/>
          <a:chExt cx="1584511" cy="627530"/>
        </a:xfrm>
      </xdr:grpSpPr>
      <xdr:pic>
        <xdr:nvPicPr>
          <xdr:cNvPr id="18" name="Imagem 17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2">
            <a:extLst>
              <a:ext uri="{28A0092B-C50C-407E-A947-70E740481C1C}"/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19" name="CaixaDeTexto 18">
            <a:extLst>
              <a:ext uri="{FF2B5EF4-FFF2-40B4-BE49-F238E27FC236}"/>
            </a:extLst>
          </xdr:cNvPr>
          <xdr:cNvSpPr txBox="1"/>
        </xdr:nvSpPr>
        <xdr:spPr>
          <a:xfrm>
            <a:off x="13133294" y="10141323"/>
            <a:ext cx="1128640" cy="62753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b="0" lang="pt-BR" sz="1100">
                <a:solidFill>
                  <a:srgbClr val="0000FF"/>
                </a:solidFill>
              </a:rPr>
              <a:t>Voltar para a aba FORNECEDORES</a:t>
            </a:r>
          </a:p>
        </xdr:txBody>
      </xdr:sp>
    </xdr:grpSp>
    <xdr:clientData fLocksWithSheet="0"/>
  </xdr:oneCellAnchor>
  <xdr:oneCellAnchor>
    <xdr:from>
      <xdr:col>18</xdr:col>
      <xdr:colOff>304800</xdr:colOff>
      <xdr:row>7</xdr:row>
      <xdr:rowOff>647700</xdr:rowOff>
    </xdr:from>
    <xdr:ext cx="1438275" cy="619125"/>
    <xdr:grpSp>
      <xdr:nvGrpSpPr>
        <xdr:cNvPr id="20" name="Agrupar 19">
          <a:hlinkClick r:id="rId7"/>
          <a:extLst>
            <a:ext uri="{FF2B5EF4-FFF2-40B4-BE49-F238E27FC236}"/>
          </a:extLst>
        </xdr:cNvPr>
        <xdr:cNvGrpSpPr/>
      </xdr:nvGrpSpPr>
      <xdr:grpSpPr>
        <a:xfrm>
          <a:off x="12584207" y="3260913"/>
          <a:ext cx="1509224" cy="627530"/>
          <a:chOff x="12677423" y="10141323"/>
          <a:chExt cx="1509224" cy="627530"/>
        </a:xfrm>
      </xdr:grpSpPr>
      <xdr:pic>
        <xdr:nvPicPr>
          <xdr:cNvPr id="21" name="Imagem 20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2">
            <a:extLst>
              <a:ext uri="{28A0092B-C50C-407E-A947-70E740481C1C}"/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22" name="CaixaDeTexto 21">
            <a:extLst>
              <a:ext uri="{FF2B5EF4-FFF2-40B4-BE49-F238E27FC236}"/>
            </a:extLst>
          </xdr:cNvPr>
          <xdr:cNvSpPr txBox="1"/>
        </xdr:nvSpPr>
        <xdr:spPr>
          <a:xfrm>
            <a:off x="13133294" y="10141323"/>
            <a:ext cx="1053353" cy="62753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b="0" lang="pt-BR" sz="1100">
                <a:solidFill>
                  <a:srgbClr val="0000FF"/>
                </a:solidFill>
              </a:rPr>
              <a:t>Voltar para a aba PRODUTOS</a:t>
            </a:r>
          </a:p>
        </xdr:txBody>
      </xdr:sp>
    </xdr:grpSp>
    <xdr:clientData fLocksWithSheet="0"/>
  </xdr:oneCellAnchor>
  <xdr:oneCellAnchor>
    <xdr:from>
      <xdr:col>17</xdr:col>
      <xdr:colOff>247650</xdr:colOff>
      <xdr:row>0</xdr:row>
      <xdr:rowOff>133350</xdr:rowOff>
    </xdr:from>
    <xdr:ext cx="323850" cy="257175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0</xdr:rowOff>
    </xdr:from>
    <xdr:ext cx="790575" cy="5143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561975</xdr:colOff>
      <xdr:row>0</xdr:row>
      <xdr:rowOff>104775</xdr:rowOff>
    </xdr:from>
    <xdr:ext cx="981075" cy="352425"/>
    <xdr:sp macro="" textlink="">
      <xdr:nvSpPr>
        <xdr:cNvPr id="2" name="Retângulo 1">
          <a:hlinkClick r:id="rId1"/>
          <a:extLst>
            <a:ext uri="{FF2B5EF4-FFF2-40B4-BE49-F238E27FC236}"/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 fLocksWithSheet="0"/>
  </xdr:oneCellAnchor>
  <xdr:oneCellAnchor>
    <xdr:from>
      <xdr:col>5</xdr:col>
      <xdr:colOff>114300</xdr:colOff>
      <xdr:row>0</xdr:row>
      <xdr:rowOff>104775</xdr:rowOff>
    </xdr:from>
    <xdr:ext cx="971550" cy="352425"/>
    <xdr:sp macro="" textlink="">
      <xdr:nvSpPr>
        <xdr:cNvPr id="3" name="Retângulo 2">
          <a:hlinkClick r:id="rId2"/>
          <a:extLst>
            <a:ext uri="{FF2B5EF4-FFF2-40B4-BE49-F238E27FC236}"/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 fLocksWithSheet="0"/>
  </xdr:oneCellAnchor>
  <xdr:oneCellAnchor>
    <xdr:from>
      <xdr:col>3</xdr:col>
      <xdr:colOff>1381125</xdr:colOff>
      <xdr:row>0</xdr:row>
      <xdr:rowOff>104775</xdr:rowOff>
    </xdr:from>
    <xdr:ext cx="981075" cy="352425"/>
    <xdr:sp macro="" textlink="">
      <xdr:nvSpPr>
        <xdr:cNvPr id="4" name="Retângulo 3">
          <a:extLst>
            <a:ext uri="{FF2B5EF4-FFF2-40B4-BE49-F238E27FC236}"/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chemeClr val="accent4"/>
        </a:solidFill>
        <a:ln cap="flat" cmpd="sng" w="12700" algn="ctr">
          <a:solidFill>
            <a:schemeClr val="accent4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1" lang="pt-BR" sz="800">
              <a:solidFill>
                <a:srgbClr val="283D3B"/>
              </a:solidFill>
              <a:latin typeface="+mn-lt"/>
              <a:ea typeface="+mn-ea"/>
              <a:cs typeface="+mn-cs"/>
            </a:rPr>
            <a:t>CADASTRO</a:t>
          </a:r>
        </a:p>
      </xdr:txBody>
    </xdr:sp>
    <xdr:clientData fLocksWithSheet="0"/>
  </xdr:oneCellAnchor>
  <xdr:oneCellAnchor>
    <xdr:from>
      <xdr:col>5</xdr:col>
      <xdr:colOff>1190625</xdr:colOff>
      <xdr:row>0</xdr:row>
      <xdr:rowOff>104775</xdr:rowOff>
    </xdr:from>
    <xdr:ext cx="981075" cy="352425"/>
    <xdr:sp macro="" textlink="">
      <xdr:nvSpPr>
        <xdr:cNvPr id="5" name="Retângulo 4">
          <a:hlinkClick r:id="rId3"/>
          <a:extLst>
            <a:ext uri="{FF2B5EF4-FFF2-40B4-BE49-F238E27FC236}"/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 fLocksWithSheet="0"/>
  </xdr:oneCellAnchor>
  <xdr:oneCellAnchor>
    <xdr:from>
      <xdr:col>6</xdr:col>
      <xdr:colOff>752475</xdr:colOff>
      <xdr:row>0</xdr:row>
      <xdr:rowOff>104775</xdr:rowOff>
    </xdr:from>
    <xdr:ext cx="981075" cy="352425"/>
    <xdr:sp macro="" textlink="">
      <xdr:nvSpPr>
        <xdr:cNvPr id="7" name="Retângulo 6">
          <a:hlinkClick r:id="rId4"/>
          <a:extLst>
            <a:ext uri="{FF2B5EF4-FFF2-40B4-BE49-F238E27FC236}"/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RESUMO</a:t>
          </a:r>
        </a:p>
      </xdr:txBody>
    </xdr:sp>
    <xdr:clientData fLocksWithSheet="0"/>
  </xdr:oneCellAnchor>
  <xdr:oneCellAnchor>
    <xdr:from>
      <xdr:col>1</xdr:col>
      <xdr:colOff>9525</xdr:colOff>
      <xdr:row>2</xdr:row>
      <xdr:rowOff>161925</xdr:rowOff>
    </xdr:from>
    <xdr:ext cx="904875" cy="323850"/>
    <xdr:sp macro="" textlink="">
      <xdr:nvSpPr>
        <xdr:cNvPr id="8" name="Retângulo 7">
          <a:extLst>
            <a:ext uri="{FF2B5EF4-FFF2-40B4-BE49-F238E27FC236}"/>
          </a:extLst>
        </xdr:cNvPr>
        <xdr:cNvSpPr/>
      </xdr:nvSpPr>
      <xdr:spPr>
        <a:xfrm>
          <a:off x="200025" y="714376"/>
          <a:ext cx="904875" cy="304799"/>
        </a:xfrm>
        <a:prstGeom prst="rect">
          <a:avLst/>
        </a:prstGeom>
        <a:solidFill>
          <a:srgbClr val="9E2A2B"/>
        </a:solidFill>
        <a:ln cap="flat" cmpd="sng" w="12700" algn="ctr">
          <a:solidFill>
            <a:schemeClr val="accent6">
              <a:lumMod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1000"/>
            <a:t>Produtos</a:t>
          </a:r>
        </a:p>
      </xdr:txBody>
    </xdr:sp>
    <xdr:clientData fLocksWithSheet="0"/>
  </xdr:oneCellAnchor>
  <xdr:oneCellAnchor>
    <xdr:from>
      <xdr:col>1</xdr:col>
      <xdr:colOff>1028700</xdr:colOff>
      <xdr:row>2</xdr:row>
      <xdr:rowOff>161925</xdr:rowOff>
    </xdr:from>
    <xdr:ext cx="904875" cy="323850"/>
    <xdr:sp macro="" textlink="">
      <xdr:nvSpPr>
        <xdr:cNvPr id="9" name="Retângulo 8">
          <a:hlinkClick r:id="rId5"/>
          <a:extLst>
            <a:ext uri="{FF2B5EF4-FFF2-40B4-BE49-F238E27FC236}"/>
          </a:extLst>
        </xdr:cNvPr>
        <xdr:cNvSpPr/>
      </xdr:nvSpPr>
      <xdr:spPr>
        <a:xfrm>
          <a:off x="1223963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1000"/>
            <a:t>Fornecedores</a:t>
          </a:r>
        </a:p>
      </xdr:txBody>
    </xdr:sp>
    <xdr:clientData fLocksWithSheet="0"/>
  </xdr:oneCellAnchor>
  <xdr:oneCellAnchor>
    <xdr:from>
      <xdr:col>2</xdr:col>
      <xdr:colOff>600075</xdr:colOff>
      <xdr:row>2</xdr:row>
      <xdr:rowOff>161925</xdr:rowOff>
    </xdr:from>
    <xdr:ext cx="904875" cy="323850"/>
    <xdr:sp macro="" textlink="">
      <xdr:nvSpPr>
        <xdr:cNvPr id="10" name="Retângulo 9">
          <a:hlinkClick r:id="rId6"/>
          <a:extLst>
            <a:ext uri="{FF2B5EF4-FFF2-40B4-BE49-F238E27FC236}"/>
          </a:extLst>
        </xdr:cNvPr>
        <xdr:cNvSpPr/>
      </xdr:nvSpPr>
      <xdr:spPr>
        <a:xfrm>
          <a:off x="2247900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1000"/>
            <a:t>Lojas</a:t>
          </a:r>
        </a:p>
      </xdr:txBody>
    </xdr:sp>
    <xdr:clientData fLocksWithSheet="0"/>
  </xdr:oneCellAnchor>
  <xdr:oneCellAnchor>
    <xdr:from>
      <xdr:col>6</xdr:col>
      <xdr:colOff>657225</xdr:colOff>
      <xdr:row>2</xdr:row>
      <xdr:rowOff>161925</xdr:rowOff>
    </xdr:from>
    <xdr:ext cx="942975" cy="285750"/>
    <xdr:grpSp>
      <xdr:nvGrpSpPr>
        <xdr:cNvPr id="14" name="Agrupar 13">
          <a:hlinkClick r:id="rId7"/>
          <a:extLst>
            <a:ext uri="{FF2B5EF4-FFF2-40B4-BE49-F238E27FC236}"/>
          </a:extLst>
        </xdr:cNvPr>
        <xdr:cNvGrpSpPr/>
      </xdr:nvGrpSpPr>
      <xdr:grpSpPr>
        <a:xfrm>
          <a:off x="8886825" y="714375"/>
          <a:ext cx="942975" cy="257176"/>
          <a:chOff x="8620125" y="723899"/>
          <a:chExt cx="942975" cy="257176"/>
        </a:xfrm>
      </xdr:grpSpPr>
      <xdr:sp macro="" textlink="">
        <xdr:nvSpPr>
          <xdr:cNvPr id="15" name="CaixaDeTexto 14">
            <a:extLst>
              <a:ext uri="{FF2B5EF4-FFF2-40B4-BE49-F238E27FC236}"/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t" rtlCol="0" horzOverflow="clip" wrap="square" vertOverflow="clip"/>
          <a:lstStyle/>
          <a:p>
            <a:r>
              <a:rPr b="0" lang="pt-BR" sz="110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6" name="Imagem 15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8">
            <a:extLst>
              <a:ext uri="{28A0092B-C50C-407E-A947-70E740481C1C}"/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 fLocksWithSheet="0"/>
  </xdr:oneCellAnchor>
  <xdr:oneCellAnchor>
    <xdr:from>
      <xdr:col>7</xdr:col>
      <xdr:colOff>1514475</xdr:colOff>
      <xdr:row>0</xdr:row>
      <xdr:rowOff>142875</xdr:rowOff>
    </xdr:from>
    <xdr:ext cx="333375" cy="25717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0</xdr:rowOff>
    </xdr:from>
    <xdr:ext cx="895350" cy="4953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838200</xdr:colOff>
      <xdr:row>0</xdr:row>
      <xdr:rowOff>104775</xdr:rowOff>
    </xdr:from>
    <xdr:ext cx="971550" cy="352425"/>
    <xdr:sp macro="" textlink="">
      <xdr:nvSpPr>
        <xdr:cNvPr id="2" name="Retângulo 1">
          <a:hlinkClick r:id="rId1"/>
          <a:extLst>
            <a:ext uri="{FF2B5EF4-FFF2-40B4-BE49-F238E27FC236}"/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 fLocksWithSheet="0"/>
  </xdr:oneCellAnchor>
  <xdr:oneCellAnchor>
    <xdr:from>
      <xdr:col>4</xdr:col>
      <xdr:colOff>1914525</xdr:colOff>
      <xdr:row>0</xdr:row>
      <xdr:rowOff>104775</xdr:rowOff>
    </xdr:from>
    <xdr:ext cx="971550" cy="352425"/>
    <xdr:sp macro="" textlink="">
      <xdr:nvSpPr>
        <xdr:cNvPr id="3" name="Retângulo 2">
          <a:hlinkClick r:id="rId2"/>
          <a:extLst>
            <a:ext uri="{FF2B5EF4-FFF2-40B4-BE49-F238E27FC236}"/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 fLocksWithSheet="0"/>
  </xdr:oneCellAnchor>
  <xdr:oneCellAnchor>
    <xdr:from>
      <xdr:col>3</xdr:col>
      <xdr:colOff>1657350</xdr:colOff>
      <xdr:row>0</xdr:row>
      <xdr:rowOff>104775</xdr:rowOff>
    </xdr:from>
    <xdr:ext cx="981075" cy="352425"/>
    <xdr:sp macro="" textlink="">
      <xdr:nvSpPr>
        <xdr:cNvPr id="4" name="Retângulo 3">
          <a:extLst>
            <a:ext uri="{FF2B5EF4-FFF2-40B4-BE49-F238E27FC236}"/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chemeClr val="accent4"/>
        </a:solidFill>
        <a:ln cap="flat" cmpd="sng" w="12700" algn="ctr">
          <a:solidFill>
            <a:schemeClr val="accent4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1" lang="pt-BR" sz="800">
              <a:solidFill>
                <a:srgbClr val="283D3B"/>
              </a:solidFill>
              <a:latin typeface="+mn-lt"/>
              <a:ea typeface="+mn-ea"/>
              <a:cs typeface="+mn-cs"/>
            </a:rPr>
            <a:t>CADASTRO</a:t>
          </a:r>
        </a:p>
      </xdr:txBody>
    </xdr:sp>
    <xdr:clientData fLocksWithSheet="0"/>
  </xdr:oneCellAnchor>
  <xdr:oneCellAnchor>
    <xdr:from>
      <xdr:col>4</xdr:col>
      <xdr:colOff>2990850</xdr:colOff>
      <xdr:row>0</xdr:row>
      <xdr:rowOff>104775</xdr:rowOff>
    </xdr:from>
    <xdr:ext cx="981075" cy="352425"/>
    <xdr:sp macro="" textlink="">
      <xdr:nvSpPr>
        <xdr:cNvPr id="5" name="Retângulo 4">
          <a:hlinkClick r:id="rId3"/>
          <a:extLst>
            <a:ext uri="{FF2B5EF4-FFF2-40B4-BE49-F238E27FC236}"/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 fLocksWithSheet="0"/>
  </xdr:oneCellAnchor>
  <xdr:oneCellAnchor>
    <xdr:from>
      <xdr:col>5</xdr:col>
      <xdr:colOff>971550</xdr:colOff>
      <xdr:row>0</xdr:row>
      <xdr:rowOff>104775</xdr:rowOff>
    </xdr:from>
    <xdr:ext cx="981075" cy="352425"/>
    <xdr:sp macro="" textlink="">
      <xdr:nvSpPr>
        <xdr:cNvPr id="7" name="Retângulo 6">
          <a:hlinkClick r:id="rId4"/>
          <a:extLst>
            <a:ext uri="{FF2B5EF4-FFF2-40B4-BE49-F238E27FC236}"/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RESUMO</a:t>
          </a:r>
        </a:p>
      </xdr:txBody>
    </xdr:sp>
    <xdr:clientData fLocksWithSheet="0"/>
  </xdr:oneCellAnchor>
  <xdr:oneCellAnchor>
    <xdr:from>
      <xdr:col>1</xdr:col>
      <xdr:colOff>9525</xdr:colOff>
      <xdr:row>2</xdr:row>
      <xdr:rowOff>161925</xdr:rowOff>
    </xdr:from>
    <xdr:ext cx="904875" cy="323850"/>
    <xdr:sp macro="" textlink="">
      <xdr:nvSpPr>
        <xdr:cNvPr id="8" name="Retângulo 7">
          <a:hlinkClick r:id="rId5"/>
          <a:extLst>
            <a:ext uri="{FF2B5EF4-FFF2-40B4-BE49-F238E27FC236}"/>
          </a:extLst>
        </xdr:cNvPr>
        <xdr:cNvSpPr/>
      </xdr:nvSpPr>
      <xdr:spPr>
        <a:xfrm>
          <a:off x="200025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Produtos</a:t>
          </a:r>
        </a:p>
      </xdr:txBody>
    </xdr:sp>
    <xdr:clientData fLocksWithSheet="0"/>
  </xdr:oneCellAnchor>
  <xdr:oneCellAnchor>
    <xdr:from>
      <xdr:col>1</xdr:col>
      <xdr:colOff>1028700</xdr:colOff>
      <xdr:row>2</xdr:row>
      <xdr:rowOff>161925</xdr:rowOff>
    </xdr:from>
    <xdr:ext cx="904875" cy="323850"/>
    <xdr:sp macro="" textlink="">
      <xdr:nvSpPr>
        <xdr:cNvPr id="9" name="Retângulo 8">
          <a:extLst>
            <a:ext uri="{FF2B5EF4-FFF2-40B4-BE49-F238E27FC236}"/>
          </a:extLst>
        </xdr:cNvPr>
        <xdr:cNvSpPr/>
      </xdr:nvSpPr>
      <xdr:spPr>
        <a:xfrm>
          <a:off x="1223963" y="714376"/>
          <a:ext cx="904875" cy="304799"/>
        </a:xfrm>
        <a:prstGeom prst="rect">
          <a:avLst/>
        </a:prstGeom>
        <a:solidFill>
          <a:srgbClr val="9E2A2B"/>
        </a:solidFill>
        <a:ln cap="flat" cmpd="sng" w="12700" algn="ctr">
          <a:solidFill>
            <a:schemeClr val="accent6">
              <a:lumMod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Fornecedores</a:t>
          </a:r>
        </a:p>
      </xdr:txBody>
    </xdr:sp>
    <xdr:clientData fLocksWithSheet="0"/>
  </xdr:oneCellAnchor>
  <xdr:oneCellAnchor>
    <xdr:from>
      <xdr:col>2</xdr:col>
      <xdr:colOff>876300</xdr:colOff>
      <xdr:row>2</xdr:row>
      <xdr:rowOff>161925</xdr:rowOff>
    </xdr:from>
    <xdr:ext cx="904875" cy="323850"/>
    <xdr:sp macro="" textlink="">
      <xdr:nvSpPr>
        <xdr:cNvPr id="10" name="Retângulo 9">
          <a:hlinkClick r:id="rId6"/>
          <a:extLst>
            <a:ext uri="{FF2B5EF4-FFF2-40B4-BE49-F238E27FC236}"/>
          </a:extLst>
        </xdr:cNvPr>
        <xdr:cNvSpPr/>
      </xdr:nvSpPr>
      <xdr:spPr>
        <a:xfrm>
          <a:off x="2247900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1000"/>
            <a:t>Lojas</a:t>
          </a:r>
        </a:p>
      </xdr:txBody>
    </xdr:sp>
    <xdr:clientData fLocksWithSheet="0"/>
  </xdr:oneCellAnchor>
  <xdr:oneCellAnchor>
    <xdr:from>
      <xdr:col>5</xdr:col>
      <xdr:colOff>571500</xdr:colOff>
      <xdr:row>2</xdr:row>
      <xdr:rowOff>161925</xdr:rowOff>
    </xdr:from>
    <xdr:ext cx="942975" cy="285750"/>
    <xdr:grpSp>
      <xdr:nvGrpSpPr>
        <xdr:cNvPr id="12" name="Agrupar 11">
          <a:hlinkClick r:id="rId7"/>
          <a:extLst>
            <a:ext uri="{FF2B5EF4-FFF2-40B4-BE49-F238E27FC236}"/>
          </a:extLst>
        </xdr:cNvPr>
        <xdr:cNvGrpSpPr/>
      </xdr:nvGrpSpPr>
      <xdr:grpSpPr>
        <a:xfrm>
          <a:off x="8582025" y="714375"/>
          <a:ext cx="942975" cy="257176"/>
          <a:chOff x="8620125" y="723899"/>
          <a:chExt cx="942975" cy="257176"/>
        </a:xfrm>
      </xdr:grpSpPr>
      <xdr:sp macro="" textlink="">
        <xdr:nvSpPr>
          <xdr:cNvPr id="13" name="CaixaDeTexto 12">
            <a:extLst>
              <a:ext uri="{FF2B5EF4-FFF2-40B4-BE49-F238E27FC236}"/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t" rtlCol="0" horzOverflow="clip" wrap="square" vertOverflow="clip"/>
          <a:lstStyle/>
          <a:p>
            <a:r>
              <a:rPr b="0" lang="pt-BR" sz="110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4" name="Imagem 13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8">
            <a:extLst>
              <a:ext uri="{28A0092B-C50C-407E-A947-70E740481C1C}"/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 fLocksWithSheet="0"/>
  </xdr:oneCellAnchor>
  <xdr:oneCellAnchor>
    <xdr:from>
      <xdr:col>6</xdr:col>
      <xdr:colOff>1552575</xdr:colOff>
      <xdr:row>0</xdr:row>
      <xdr:rowOff>152400</xdr:rowOff>
    </xdr:from>
    <xdr:ext cx="333375" cy="2571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504825" cy="50482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838200</xdr:colOff>
      <xdr:row>0</xdr:row>
      <xdr:rowOff>104775</xdr:rowOff>
    </xdr:from>
    <xdr:ext cx="971550" cy="352425"/>
    <xdr:sp macro="" textlink="">
      <xdr:nvSpPr>
        <xdr:cNvPr id="2" name="Retângulo 1">
          <a:hlinkClick r:id="rId1"/>
          <a:extLst>
            <a:ext uri="{FF2B5EF4-FFF2-40B4-BE49-F238E27FC236}"/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 fLocksWithSheet="0"/>
  </xdr:oneCellAnchor>
  <xdr:oneCellAnchor>
    <xdr:from>
      <xdr:col>4</xdr:col>
      <xdr:colOff>1914525</xdr:colOff>
      <xdr:row>0</xdr:row>
      <xdr:rowOff>104775</xdr:rowOff>
    </xdr:from>
    <xdr:ext cx="971550" cy="352425"/>
    <xdr:sp macro="" textlink="">
      <xdr:nvSpPr>
        <xdr:cNvPr id="3" name="Retângulo 2">
          <a:hlinkClick r:id="rId2"/>
          <a:extLst>
            <a:ext uri="{FF2B5EF4-FFF2-40B4-BE49-F238E27FC236}"/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 fLocksWithSheet="0"/>
  </xdr:oneCellAnchor>
  <xdr:oneCellAnchor>
    <xdr:from>
      <xdr:col>3</xdr:col>
      <xdr:colOff>1657350</xdr:colOff>
      <xdr:row>0</xdr:row>
      <xdr:rowOff>104775</xdr:rowOff>
    </xdr:from>
    <xdr:ext cx="981075" cy="352425"/>
    <xdr:sp macro="" textlink="">
      <xdr:nvSpPr>
        <xdr:cNvPr id="4" name="Retângulo 3">
          <a:extLst>
            <a:ext uri="{FF2B5EF4-FFF2-40B4-BE49-F238E27FC236}"/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chemeClr val="accent4"/>
        </a:solidFill>
        <a:ln cap="flat" cmpd="sng" w="12700" algn="ctr">
          <a:solidFill>
            <a:schemeClr val="accent4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1" lang="pt-BR" sz="800">
              <a:solidFill>
                <a:srgbClr val="283D3B"/>
              </a:solidFill>
              <a:latin typeface="+mn-lt"/>
              <a:ea typeface="+mn-ea"/>
              <a:cs typeface="+mn-cs"/>
            </a:rPr>
            <a:t>CADASTRO</a:t>
          </a:r>
        </a:p>
      </xdr:txBody>
    </xdr:sp>
    <xdr:clientData fLocksWithSheet="0"/>
  </xdr:oneCellAnchor>
  <xdr:oneCellAnchor>
    <xdr:from>
      <xdr:col>4</xdr:col>
      <xdr:colOff>2990850</xdr:colOff>
      <xdr:row>0</xdr:row>
      <xdr:rowOff>104775</xdr:rowOff>
    </xdr:from>
    <xdr:ext cx="981075" cy="352425"/>
    <xdr:sp macro="" textlink="">
      <xdr:nvSpPr>
        <xdr:cNvPr id="5" name="Retângulo 4">
          <a:hlinkClick r:id="rId3"/>
          <a:extLst>
            <a:ext uri="{FF2B5EF4-FFF2-40B4-BE49-F238E27FC236}"/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 fLocksWithSheet="0"/>
  </xdr:oneCellAnchor>
  <xdr:oneCellAnchor>
    <xdr:from>
      <xdr:col>5</xdr:col>
      <xdr:colOff>971550</xdr:colOff>
      <xdr:row>0</xdr:row>
      <xdr:rowOff>104775</xdr:rowOff>
    </xdr:from>
    <xdr:ext cx="971550" cy="352425"/>
    <xdr:sp macro="" textlink="">
      <xdr:nvSpPr>
        <xdr:cNvPr id="7" name="Retângulo 6">
          <a:hlinkClick r:id="rId4"/>
          <a:extLst>
            <a:ext uri="{FF2B5EF4-FFF2-40B4-BE49-F238E27FC236}"/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RESUMO</a:t>
          </a:r>
        </a:p>
      </xdr:txBody>
    </xdr:sp>
    <xdr:clientData fLocksWithSheet="0"/>
  </xdr:oneCellAnchor>
  <xdr:oneCellAnchor>
    <xdr:from>
      <xdr:col>1</xdr:col>
      <xdr:colOff>9525</xdr:colOff>
      <xdr:row>2</xdr:row>
      <xdr:rowOff>161925</xdr:rowOff>
    </xdr:from>
    <xdr:ext cx="904875" cy="323850"/>
    <xdr:sp macro="" textlink="">
      <xdr:nvSpPr>
        <xdr:cNvPr id="8" name="Retângulo 7">
          <a:hlinkClick r:id="rId5"/>
          <a:extLst>
            <a:ext uri="{FF2B5EF4-FFF2-40B4-BE49-F238E27FC236}"/>
          </a:extLst>
        </xdr:cNvPr>
        <xdr:cNvSpPr/>
      </xdr:nvSpPr>
      <xdr:spPr>
        <a:xfrm>
          <a:off x="200025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Produtos</a:t>
          </a:r>
        </a:p>
      </xdr:txBody>
    </xdr:sp>
    <xdr:clientData fLocksWithSheet="0"/>
  </xdr:oneCellAnchor>
  <xdr:oneCellAnchor>
    <xdr:from>
      <xdr:col>1</xdr:col>
      <xdr:colOff>1028700</xdr:colOff>
      <xdr:row>2</xdr:row>
      <xdr:rowOff>161925</xdr:rowOff>
    </xdr:from>
    <xdr:ext cx="904875" cy="323850"/>
    <xdr:sp macro="" textlink="">
      <xdr:nvSpPr>
        <xdr:cNvPr id="9" name="Retângulo 8">
          <a:hlinkClick r:id="rId6"/>
          <a:extLst>
            <a:ext uri="{FF2B5EF4-FFF2-40B4-BE49-F238E27FC236}"/>
          </a:extLst>
        </xdr:cNvPr>
        <xdr:cNvSpPr/>
      </xdr:nvSpPr>
      <xdr:spPr>
        <a:xfrm>
          <a:off x="1223963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Fornecedores</a:t>
          </a:r>
        </a:p>
      </xdr:txBody>
    </xdr:sp>
    <xdr:clientData fLocksWithSheet="0"/>
  </xdr:oneCellAnchor>
  <xdr:oneCellAnchor>
    <xdr:from>
      <xdr:col>2</xdr:col>
      <xdr:colOff>876300</xdr:colOff>
      <xdr:row>2</xdr:row>
      <xdr:rowOff>161925</xdr:rowOff>
    </xdr:from>
    <xdr:ext cx="904875" cy="323850"/>
    <xdr:sp macro="" textlink="">
      <xdr:nvSpPr>
        <xdr:cNvPr id="10" name="Retângulo 9">
          <a:extLst>
            <a:ext uri="{FF2B5EF4-FFF2-40B4-BE49-F238E27FC236}"/>
          </a:extLst>
        </xdr:cNvPr>
        <xdr:cNvSpPr/>
      </xdr:nvSpPr>
      <xdr:spPr>
        <a:xfrm>
          <a:off x="2247900" y="714376"/>
          <a:ext cx="904875" cy="304799"/>
        </a:xfrm>
        <a:prstGeom prst="rect">
          <a:avLst/>
        </a:prstGeom>
        <a:solidFill>
          <a:srgbClr val="9E2A2B"/>
        </a:solidFill>
        <a:ln cap="flat" cmpd="sng" w="12700" algn="ctr">
          <a:solidFill>
            <a:schemeClr val="accent6">
              <a:lumMod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Lojas</a:t>
          </a:r>
        </a:p>
      </xdr:txBody>
    </xdr:sp>
    <xdr:clientData fLocksWithSheet="0"/>
  </xdr:oneCellAnchor>
  <xdr:oneCellAnchor>
    <xdr:from>
      <xdr:col>5</xdr:col>
      <xdr:colOff>542925</xdr:colOff>
      <xdr:row>2</xdr:row>
      <xdr:rowOff>180975</xdr:rowOff>
    </xdr:from>
    <xdr:ext cx="942975" cy="285750"/>
    <xdr:grpSp>
      <xdr:nvGrpSpPr>
        <xdr:cNvPr id="13" name="Agrupar 12">
          <a:hlinkClick r:id="rId7"/>
          <a:extLst>
            <a:ext uri="{FF2B5EF4-FFF2-40B4-BE49-F238E27FC236}"/>
          </a:extLst>
        </xdr:cNvPr>
        <xdr:cNvGrpSpPr/>
      </xdr:nvGrpSpPr>
      <xdr:grpSpPr>
        <a:xfrm>
          <a:off x="8553450" y="733425"/>
          <a:ext cx="942975" cy="257176"/>
          <a:chOff x="8620125" y="723899"/>
          <a:chExt cx="942975" cy="257176"/>
        </a:xfrm>
      </xdr:grpSpPr>
      <xdr:sp macro="" textlink="">
        <xdr:nvSpPr>
          <xdr:cNvPr id="14" name="CaixaDeTexto 13">
            <a:extLst>
              <a:ext uri="{FF2B5EF4-FFF2-40B4-BE49-F238E27FC236}"/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t" rtlCol="0" horzOverflow="clip" wrap="square" vertOverflow="clip"/>
          <a:lstStyle/>
          <a:p>
            <a:r>
              <a:rPr b="0" lang="pt-BR" sz="110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5" name="Imagem 14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8">
            <a:extLst>
              <a:ext uri="{28A0092B-C50C-407E-A947-70E740481C1C}"/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 fLocksWithSheet="0"/>
  </xdr:oneCellAnchor>
  <xdr:oneCellAnchor>
    <xdr:from>
      <xdr:col>6</xdr:col>
      <xdr:colOff>1552575</xdr:colOff>
      <xdr:row>0</xdr:row>
      <xdr:rowOff>142875</xdr:rowOff>
    </xdr:from>
    <xdr:ext cx="333375" cy="2571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504825" cy="5048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838200</xdr:colOff>
      <xdr:row>0</xdr:row>
      <xdr:rowOff>104775</xdr:rowOff>
    </xdr:from>
    <xdr:ext cx="981075" cy="352425"/>
    <xdr:sp macro="" textlink="">
      <xdr:nvSpPr>
        <xdr:cNvPr id="2" name="Retângulo 1">
          <a:extLst>
            <a:ext uri="{FF2B5EF4-FFF2-40B4-BE49-F238E27FC236}"/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chemeClr val="accent4"/>
        </a:solidFill>
        <a:ln cap="flat" cmpd="sng" w="12700" algn="ctr">
          <a:solidFill>
            <a:schemeClr val="accent4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b="1" lang="pt-BR" sz="800">
              <a:solidFill>
                <a:schemeClr val="tx2"/>
              </a:solidFill>
            </a:rPr>
            <a:t>ENTRADAS</a:t>
          </a:r>
        </a:p>
      </xdr:txBody>
    </xdr:sp>
    <xdr:clientData fLocksWithSheet="0"/>
  </xdr:oneCellAnchor>
  <xdr:oneCellAnchor>
    <xdr:from>
      <xdr:col>5</xdr:col>
      <xdr:colOff>390525</xdr:colOff>
      <xdr:row>0</xdr:row>
      <xdr:rowOff>104775</xdr:rowOff>
    </xdr:from>
    <xdr:ext cx="971550" cy="352425"/>
    <xdr:sp macro="" textlink="">
      <xdr:nvSpPr>
        <xdr:cNvPr id="3" name="Retângulo 2">
          <a:hlinkClick r:id="rId1"/>
          <a:extLst>
            <a:ext uri="{FF2B5EF4-FFF2-40B4-BE49-F238E27FC236}"/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 fLocksWithSheet="0"/>
  </xdr:oneCellAnchor>
  <xdr:oneCellAnchor>
    <xdr:from>
      <xdr:col>3</xdr:col>
      <xdr:colOff>1657350</xdr:colOff>
      <xdr:row>0</xdr:row>
      <xdr:rowOff>104775</xdr:rowOff>
    </xdr:from>
    <xdr:ext cx="981075" cy="352425"/>
    <xdr:sp macro="" textlink="">
      <xdr:nvSpPr>
        <xdr:cNvPr id="4" name="Retângulo 3">
          <a:hlinkClick r:id="rId2"/>
          <a:extLst>
            <a:ext uri="{FF2B5EF4-FFF2-40B4-BE49-F238E27FC236}"/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800"/>
            <a:t>CADASTRO</a:t>
          </a:r>
        </a:p>
      </xdr:txBody>
    </xdr:sp>
    <xdr:clientData fLocksWithSheet="0"/>
  </xdr:oneCellAnchor>
  <xdr:oneCellAnchor>
    <xdr:from>
      <xdr:col>5</xdr:col>
      <xdr:colOff>1466850</xdr:colOff>
      <xdr:row>0</xdr:row>
      <xdr:rowOff>104775</xdr:rowOff>
    </xdr:from>
    <xdr:ext cx="981075" cy="352425"/>
    <xdr:sp macro="" textlink="">
      <xdr:nvSpPr>
        <xdr:cNvPr id="5" name="Retângulo 4">
          <a:hlinkClick r:id="rId3"/>
          <a:extLst>
            <a:ext uri="{FF2B5EF4-FFF2-40B4-BE49-F238E27FC236}"/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 fLocksWithSheet="0"/>
  </xdr:oneCellAnchor>
  <xdr:oneCellAnchor>
    <xdr:from>
      <xdr:col>6</xdr:col>
      <xdr:colOff>1028700</xdr:colOff>
      <xdr:row>0</xdr:row>
      <xdr:rowOff>104775</xdr:rowOff>
    </xdr:from>
    <xdr:ext cx="981075" cy="352425"/>
    <xdr:sp macro="" textlink="">
      <xdr:nvSpPr>
        <xdr:cNvPr id="19" name="Retângulo 18">
          <a:hlinkClick r:id="rId4"/>
          <a:extLst>
            <a:ext uri="{FF2B5EF4-FFF2-40B4-BE49-F238E27FC236}"/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RESUMO</a:t>
          </a:r>
        </a:p>
      </xdr:txBody>
    </xdr:sp>
    <xdr:clientData fLocksWithSheet="0"/>
  </xdr:oneCellAnchor>
  <xdr:oneCellAnchor>
    <xdr:from>
      <xdr:col>6</xdr:col>
      <xdr:colOff>666750</xdr:colOff>
      <xdr:row>2</xdr:row>
      <xdr:rowOff>161925</xdr:rowOff>
    </xdr:from>
    <xdr:ext cx="942975" cy="285750"/>
    <xdr:grpSp>
      <xdr:nvGrpSpPr>
        <xdr:cNvPr id="11" name="Agrupar 10">
          <a:hlinkClick r:id="rId5"/>
          <a:extLst>
            <a:ext uri="{FF2B5EF4-FFF2-40B4-BE49-F238E27FC236}"/>
          </a:extLst>
        </xdr:cNvPr>
        <xdr:cNvGrpSpPr/>
      </xdr:nvGrpSpPr>
      <xdr:grpSpPr>
        <a:xfrm>
          <a:off x="8620125" y="723899"/>
          <a:ext cx="942975" cy="257176"/>
          <a:chOff x="8620125" y="723899"/>
          <a:chExt cx="942975" cy="257176"/>
        </a:xfrm>
      </xdr:grpSpPr>
      <xdr:sp macro="" textlink="">
        <xdr:nvSpPr>
          <xdr:cNvPr id="6" name="CaixaDeTexto 5">
            <a:extLst>
              <a:ext uri="{FF2B5EF4-FFF2-40B4-BE49-F238E27FC236}"/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t" rtlCol="0" horzOverflow="clip" wrap="square" vertOverflow="clip"/>
          <a:lstStyle/>
          <a:p>
            <a:r>
              <a:rPr b="0" lang="pt-BR" sz="110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0" name="Imagem 9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6">
            <a:extLst>
              <a:ext uri="{28A0092B-C50C-407E-A947-70E740481C1C}"/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 fLocksWithSheet="0"/>
  </xdr:oneCellAnchor>
  <xdr:oneCellAnchor>
    <xdr:from>
      <xdr:col>7</xdr:col>
      <xdr:colOff>1524000</xdr:colOff>
      <xdr:row>0</xdr:row>
      <xdr:rowOff>161925</xdr:rowOff>
    </xdr:from>
    <xdr:ext cx="0" cy="257175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0</xdr:rowOff>
    </xdr:from>
    <xdr:ext cx="895350" cy="4953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1152525</xdr:colOff>
      <xdr:row>0</xdr:row>
      <xdr:rowOff>104775</xdr:rowOff>
    </xdr:from>
    <xdr:ext cx="981075" cy="352425"/>
    <xdr:sp macro="" textlink="">
      <xdr:nvSpPr>
        <xdr:cNvPr id="2" name="Retângulo 1">
          <a:hlinkClick r:id="rId1"/>
          <a:extLst>
            <a:ext uri="{FF2B5EF4-FFF2-40B4-BE49-F238E27FC236}"/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 fLocksWithSheet="0"/>
  </xdr:oneCellAnchor>
  <xdr:oneCellAnchor>
    <xdr:from>
      <xdr:col>5</xdr:col>
      <xdr:colOff>1028700</xdr:colOff>
      <xdr:row>0</xdr:row>
      <xdr:rowOff>104775</xdr:rowOff>
    </xdr:from>
    <xdr:ext cx="981075" cy="352425"/>
    <xdr:sp macro="" textlink="">
      <xdr:nvSpPr>
        <xdr:cNvPr id="3" name="Retângulo 2">
          <a:extLst>
            <a:ext uri="{FF2B5EF4-FFF2-40B4-BE49-F238E27FC236}"/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chemeClr val="accent4"/>
        </a:solidFill>
        <a:ln cap="flat" cmpd="sng" w="12700" algn="ctr">
          <a:solidFill>
            <a:schemeClr val="accent4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1" lang="pt-BR" sz="800">
              <a:solidFill>
                <a:schemeClr val="tx2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 fLocksWithSheet="0"/>
  </xdr:oneCellAnchor>
  <xdr:oneCellAnchor>
    <xdr:from>
      <xdr:col>4</xdr:col>
      <xdr:colOff>66675</xdr:colOff>
      <xdr:row>0</xdr:row>
      <xdr:rowOff>104775</xdr:rowOff>
    </xdr:from>
    <xdr:ext cx="971550" cy="352425"/>
    <xdr:sp macro="" textlink="">
      <xdr:nvSpPr>
        <xdr:cNvPr id="4" name="Retângulo 3">
          <a:hlinkClick r:id="rId2"/>
          <a:extLst>
            <a:ext uri="{FF2B5EF4-FFF2-40B4-BE49-F238E27FC236}"/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800"/>
            <a:t>CADASTRO</a:t>
          </a:r>
        </a:p>
      </xdr:txBody>
    </xdr:sp>
    <xdr:clientData fLocksWithSheet="0"/>
  </xdr:oneCellAnchor>
  <xdr:oneCellAnchor>
    <xdr:from>
      <xdr:col>6</xdr:col>
      <xdr:colOff>828675</xdr:colOff>
      <xdr:row>0</xdr:row>
      <xdr:rowOff>104775</xdr:rowOff>
    </xdr:from>
    <xdr:ext cx="981075" cy="352425"/>
    <xdr:sp macro="" textlink="">
      <xdr:nvSpPr>
        <xdr:cNvPr id="5" name="Retângulo 4">
          <a:hlinkClick r:id="rId3"/>
          <a:extLst>
            <a:ext uri="{FF2B5EF4-FFF2-40B4-BE49-F238E27FC236}"/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 fLocksWithSheet="0"/>
  </xdr:oneCellAnchor>
  <xdr:oneCellAnchor>
    <xdr:from>
      <xdr:col>7</xdr:col>
      <xdr:colOff>790575</xdr:colOff>
      <xdr:row>0</xdr:row>
      <xdr:rowOff>104775</xdr:rowOff>
    </xdr:from>
    <xdr:ext cx="981075" cy="352425"/>
    <xdr:sp macro="" textlink="">
      <xdr:nvSpPr>
        <xdr:cNvPr id="7" name="Retângulo 6">
          <a:hlinkClick r:id="rId4"/>
          <a:extLst>
            <a:ext uri="{FF2B5EF4-FFF2-40B4-BE49-F238E27FC236}"/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RESUMO</a:t>
          </a:r>
        </a:p>
      </xdr:txBody>
    </xdr:sp>
    <xdr:clientData fLocksWithSheet="0"/>
  </xdr:oneCellAnchor>
  <xdr:oneCellAnchor>
    <xdr:from>
      <xdr:col>9</xdr:col>
      <xdr:colOff>847725</xdr:colOff>
      <xdr:row>3</xdr:row>
      <xdr:rowOff>19050</xdr:rowOff>
    </xdr:from>
    <xdr:ext cx="942975" cy="266700"/>
    <xdr:grpSp>
      <xdr:nvGrpSpPr>
        <xdr:cNvPr id="9" name="Agrupar 8">
          <a:hlinkClick r:id="rId5"/>
          <a:extLst>
            <a:ext uri="{FF2B5EF4-FFF2-40B4-BE49-F238E27FC236}"/>
          </a:extLst>
        </xdr:cNvPr>
        <xdr:cNvGrpSpPr/>
      </xdr:nvGrpSpPr>
      <xdr:grpSpPr>
        <a:xfrm>
          <a:off x="11287125" y="762000"/>
          <a:ext cx="942975" cy="257176"/>
          <a:chOff x="8620125" y="723899"/>
          <a:chExt cx="942975" cy="257176"/>
        </a:xfrm>
      </xdr:grpSpPr>
      <xdr:sp macro="" textlink="">
        <xdr:nvSpPr>
          <xdr:cNvPr id="10" name="CaixaDeTexto 9">
            <a:extLst>
              <a:ext uri="{FF2B5EF4-FFF2-40B4-BE49-F238E27FC236}"/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t" rtlCol="0" horzOverflow="clip" wrap="square" vertOverflow="clip"/>
          <a:lstStyle/>
          <a:p>
            <a:r>
              <a:rPr b="0" lang="pt-BR" sz="110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1" name="Imagem 10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6">
            <a:extLst>
              <a:ext uri="{28A0092B-C50C-407E-A947-70E740481C1C}"/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 fLocksWithSheet="0"/>
  </xdr:oneCellAnchor>
  <xdr:oneCellAnchor>
    <xdr:from>
      <xdr:col>9</xdr:col>
      <xdr:colOff>647700</xdr:colOff>
      <xdr:row>0</xdr:row>
      <xdr:rowOff>142875</xdr:rowOff>
    </xdr:from>
    <xdr:ext cx="323850" cy="257175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504825" cy="504825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714375</xdr:colOff>
      <xdr:row>0</xdr:row>
      <xdr:rowOff>104775</xdr:rowOff>
    </xdr:from>
    <xdr:ext cx="981075" cy="352425"/>
    <xdr:sp macro="" textlink="">
      <xdr:nvSpPr>
        <xdr:cNvPr id="2" name="Retângulo 1">
          <a:hlinkClick r:id="rId1"/>
          <a:extLst>
            <a:ext uri="{FF2B5EF4-FFF2-40B4-BE49-F238E27FC236}"/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 fLocksWithSheet="0"/>
  </xdr:oneCellAnchor>
  <xdr:oneCellAnchor>
    <xdr:from>
      <xdr:col>6</xdr:col>
      <xdr:colOff>571500</xdr:colOff>
      <xdr:row>0</xdr:row>
      <xdr:rowOff>104775</xdr:rowOff>
    </xdr:from>
    <xdr:ext cx="981075" cy="352425"/>
    <xdr:sp macro="" textlink="">
      <xdr:nvSpPr>
        <xdr:cNvPr id="3" name="Retângulo 2">
          <a:hlinkClick r:id="rId2"/>
          <a:extLst>
            <a:ext uri="{FF2B5EF4-FFF2-40B4-BE49-F238E27FC236}"/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 fLocksWithSheet="0"/>
  </xdr:oneCellAnchor>
  <xdr:oneCellAnchor>
    <xdr:from>
      <xdr:col>4</xdr:col>
      <xdr:colOff>847725</xdr:colOff>
      <xdr:row>0</xdr:row>
      <xdr:rowOff>104775</xdr:rowOff>
    </xdr:from>
    <xdr:ext cx="981075" cy="352425"/>
    <xdr:sp macro="" textlink="">
      <xdr:nvSpPr>
        <xdr:cNvPr id="4" name="Retângulo 3">
          <a:hlinkClick r:id="rId3"/>
          <a:extLst>
            <a:ext uri="{FF2B5EF4-FFF2-40B4-BE49-F238E27FC236}"/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800"/>
            <a:t>CADASTRO DE</a:t>
          </a:r>
          <a:r>
            <a:rPr lang="pt-BR" sz="800"/>
            <a:t> PRODUTOS</a:t>
          </a:r>
          <a:endParaRPr lang="pt-BR" sz="800"/>
        </a:p>
      </xdr:txBody>
    </xdr:sp>
    <xdr:clientData fLocksWithSheet="0"/>
  </xdr:oneCellAnchor>
  <xdr:oneCellAnchor>
    <xdr:from>
      <xdr:col>7</xdr:col>
      <xdr:colOff>219075</xdr:colOff>
      <xdr:row>0</xdr:row>
      <xdr:rowOff>104775</xdr:rowOff>
    </xdr:from>
    <xdr:ext cx="971550" cy="352425"/>
    <xdr:sp macro="" textlink="">
      <xdr:nvSpPr>
        <xdr:cNvPr id="5" name="Retângulo 4">
          <a:extLst>
            <a:ext uri="{FF2B5EF4-FFF2-40B4-BE49-F238E27FC236}"/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chemeClr val="accent4"/>
        </a:solidFill>
        <a:ln cap="flat" cmpd="sng" w="12700" algn="ctr">
          <a:solidFill>
            <a:schemeClr val="accent4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1" lang="pt-BR" sz="800">
              <a:solidFill>
                <a:schemeClr val="tx2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 fLocksWithSheet="0"/>
  </xdr:oneCellAnchor>
  <xdr:oneCellAnchor>
    <xdr:from>
      <xdr:col>7</xdr:col>
      <xdr:colOff>1304925</xdr:colOff>
      <xdr:row>0</xdr:row>
      <xdr:rowOff>104775</xdr:rowOff>
    </xdr:from>
    <xdr:ext cx="981075" cy="352425"/>
    <xdr:sp macro="" textlink="">
      <xdr:nvSpPr>
        <xdr:cNvPr id="7" name="Retângulo 6">
          <a:hlinkClick r:id="rId4"/>
          <a:extLst>
            <a:ext uri="{FF2B5EF4-FFF2-40B4-BE49-F238E27FC236}"/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RESUMO</a:t>
          </a:r>
        </a:p>
      </xdr:txBody>
    </xdr:sp>
    <xdr:clientData fLocksWithSheet="0"/>
  </xdr:oneCellAnchor>
  <xdr:oneCellAnchor>
    <xdr:from>
      <xdr:col>8</xdr:col>
      <xdr:colOff>942975</xdr:colOff>
      <xdr:row>2</xdr:row>
      <xdr:rowOff>180975</xdr:rowOff>
    </xdr:from>
    <xdr:ext cx="942975" cy="285750"/>
    <xdr:grpSp>
      <xdr:nvGrpSpPr>
        <xdr:cNvPr id="9" name="Agrupar 8">
          <a:hlinkClick r:id="rId5"/>
          <a:extLst>
            <a:ext uri="{FF2B5EF4-FFF2-40B4-BE49-F238E27FC236}"/>
          </a:extLst>
        </xdr:cNvPr>
        <xdr:cNvGrpSpPr/>
      </xdr:nvGrpSpPr>
      <xdr:grpSpPr>
        <a:xfrm>
          <a:off x="10086975" y="733425"/>
          <a:ext cx="942975" cy="257176"/>
          <a:chOff x="8620125" y="723899"/>
          <a:chExt cx="942975" cy="257176"/>
        </a:xfrm>
      </xdr:grpSpPr>
      <xdr:sp macro="" textlink="">
        <xdr:nvSpPr>
          <xdr:cNvPr id="10" name="CaixaDeTexto 9">
            <a:extLst>
              <a:ext uri="{FF2B5EF4-FFF2-40B4-BE49-F238E27FC236}"/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t" rtlCol="0" horzOverflow="clip" wrap="square" vertOverflow="clip"/>
          <a:lstStyle/>
          <a:p>
            <a:r>
              <a:rPr b="0" lang="pt-BR" sz="110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1" name="Imagem 10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6">
            <a:extLst>
              <a:ext uri="{28A0092B-C50C-407E-A947-70E740481C1C}"/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 fLocksWithSheet="0"/>
  </xdr:oneCellAnchor>
  <xdr:oneCellAnchor>
    <xdr:from>
      <xdr:col>10</xdr:col>
      <xdr:colOff>19050</xdr:colOff>
      <xdr:row>0</xdr:row>
      <xdr:rowOff>152400</xdr:rowOff>
    </xdr:from>
    <xdr:ext cx="323850" cy="257175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504825" cy="504825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0</xdr:row>
      <xdr:rowOff>104775</xdr:rowOff>
    </xdr:from>
    <xdr:ext cx="971550" cy="352425"/>
    <xdr:sp macro="" textlink="">
      <xdr:nvSpPr>
        <xdr:cNvPr id="2" name="Retângulo 1">
          <a:hlinkClick r:id="rId1"/>
          <a:extLst>
            <a:ext uri="{FF2B5EF4-FFF2-40B4-BE49-F238E27FC236}"/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 fLocksWithSheet="0"/>
  </xdr:oneCellAnchor>
  <xdr:oneCellAnchor>
    <xdr:from>
      <xdr:col>5</xdr:col>
      <xdr:colOff>1638300</xdr:colOff>
      <xdr:row>0</xdr:row>
      <xdr:rowOff>104775</xdr:rowOff>
    </xdr:from>
    <xdr:ext cx="981075" cy="352425"/>
    <xdr:sp macro="" textlink="">
      <xdr:nvSpPr>
        <xdr:cNvPr id="3" name="Retângulo 2">
          <a:hlinkClick r:id="rId2"/>
          <a:extLst>
            <a:ext uri="{FF2B5EF4-FFF2-40B4-BE49-F238E27FC236}"/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 fLocksWithSheet="0"/>
  </xdr:oneCellAnchor>
  <xdr:oneCellAnchor>
    <xdr:from>
      <xdr:col>3</xdr:col>
      <xdr:colOff>1971675</xdr:colOff>
      <xdr:row>0</xdr:row>
      <xdr:rowOff>104775</xdr:rowOff>
    </xdr:from>
    <xdr:ext cx="981075" cy="352425"/>
    <xdr:sp macro="" textlink="">
      <xdr:nvSpPr>
        <xdr:cNvPr id="4" name="Retângulo 3">
          <a:hlinkClick r:id="rId3"/>
          <a:extLst>
            <a:ext uri="{FF2B5EF4-FFF2-40B4-BE49-F238E27FC236}"/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800"/>
            <a:t>CADASTRO DE</a:t>
          </a:r>
          <a:r>
            <a:rPr lang="pt-BR" sz="800"/>
            <a:t> PRODUTOS</a:t>
          </a:r>
          <a:endParaRPr lang="pt-BR" sz="800"/>
        </a:p>
      </xdr:txBody>
    </xdr:sp>
    <xdr:clientData fLocksWithSheet="0"/>
  </xdr:oneCellAnchor>
  <xdr:oneCellAnchor>
    <xdr:from>
      <xdr:col>7</xdr:col>
      <xdr:colOff>219075</xdr:colOff>
      <xdr:row>0</xdr:row>
      <xdr:rowOff>104775</xdr:rowOff>
    </xdr:from>
    <xdr:ext cx="971550" cy="352425"/>
    <xdr:sp macro="" textlink="">
      <xdr:nvSpPr>
        <xdr:cNvPr id="5" name="Retângulo 4">
          <a:hlinkClick r:id="rId4"/>
          <a:extLst>
            <a:ext uri="{FF2B5EF4-FFF2-40B4-BE49-F238E27FC236}"/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 fLocksWithSheet="0"/>
  </xdr:oneCellAnchor>
  <xdr:oneCellAnchor>
    <xdr:from>
      <xdr:col>7</xdr:col>
      <xdr:colOff>1304925</xdr:colOff>
      <xdr:row>0</xdr:row>
      <xdr:rowOff>104775</xdr:rowOff>
    </xdr:from>
    <xdr:ext cx="981075" cy="352425"/>
    <xdr:sp macro="" textlink="">
      <xdr:nvSpPr>
        <xdr:cNvPr id="7" name="Retângulo 6">
          <a:extLst>
            <a:ext uri="{FF2B5EF4-FFF2-40B4-BE49-F238E27FC236}"/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chemeClr val="accent4"/>
        </a:solidFill>
        <a:ln cap="flat" cmpd="sng" w="12700" algn="ctr">
          <a:solidFill>
            <a:schemeClr val="accent4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1" lang="pt-BR" sz="800">
              <a:solidFill>
                <a:schemeClr val="tx2"/>
              </a:solidFill>
              <a:latin typeface="+mn-lt"/>
              <a:ea typeface="+mn-ea"/>
              <a:cs typeface="+mn-cs"/>
            </a:rPr>
            <a:t>RESUMO</a:t>
          </a:r>
        </a:p>
      </xdr:txBody>
    </xdr:sp>
    <xdr:clientData fLocksWithSheet="0"/>
  </xdr:oneCellAnchor>
  <xdr:oneCellAnchor>
    <xdr:from>
      <xdr:col>3</xdr:col>
      <xdr:colOff>990600</xdr:colOff>
      <xdr:row>3</xdr:row>
      <xdr:rowOff>19050</xdr:rowOff>
    </xdr:from>
    <xdr:ext cx="904875" cy="304800"/>
    <xdr:sp macro="" textlink="">
      <xdr:nvSpPr>
        <xdr:cNvPr id="10" name="Retângulo 9">
          <a:extLst>
            <a:ext uri="{FF2B5EF4-FFF2-40B4-BE49-F238E27FC236}"/>
          </a:extLst>
        </xdr:cNvPr>
        <xdr:cNvSpPr/>
      </xdr:nvSpPr>
      <xdr:spPr>
        <a:xfrm>
          <a:off x="3676650" y="762000"/>
          <a:ext cx="904875" cy="304799"/>
        </a:xfrm>
        <a:prstGeom prst="rect">
          <a:avLst/>
        </a:prstGeom>
        <a:solidFill>
          <a:srgbClr val="9E2A2B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1000"/>
            <a:t>Visão</a:t>
          </a:r>
          <a:r>
            <a:rPr lang="pt-BR" sz="1000"/>
            <a:t> Geral</a:t>
          </a:r>
          <a:endParaRPr lang="pt-BR" sz="1000"/>
        </a:p>
      </xdr:txBody>
    </xdr:sp>
    <xdr:clientData fLocksWithSheet="0"/>
  </xdr:oneCellAnchor>
  <xdr:oneCellAnchor>
    <xdr:from>
      <xdr:col>3</xdr:col>
      <xdr:colOff>2009775</xdr:colOff>
      <xdr:row>3</xdr:row>
      <xdr:rowOff>19050</xdr:rowOff>
    </xdr:from>
    <xdr:ext cx="904875" cy="304800"/>
    <xdr:sp macro="" textlink="">
      <xdr:nvSpPr>
        <xdr:cNvPr id="11" name="Retângulo 10">
          <a:hlinkClick r:id="rId5"/>
          <a:extLst>
            <a:ext uri="{FF2B5EF4-FFF2-40B4-BE49-F238E27FC236}"/>
          </a:extLst>
        </xdr:cNvPr>
        <xdr:cNvSpPr/>
      </xdr:nvSpPr>
      <xdr:spPr>
        <a:xfrm>
          <a:off x="4700588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900"/>
            <a:t>Saldo Estoque</a:t>
          </a:r>
        </a:p>
      </xdr:txBody>
    </xdr:sp>
    <xdr:clientData fLocksWithSheet="0"/>
  </xdr:oneCellAnchor>
  <xdr:oneCellAnchor>
    <xdr:from>
      <xdr:col>5</xdr:col>
      <xdr:colOff>542925</xdr:colOff>
      <xdr:row>3</xdr:row>
      <xdr:rowOff>19050</xdr:rowOff>
    </xdr:from>
    <xdr:ext cx="904875" cy="304800"/>
    <xdr:sp macro="" textlink="">
      <xdr:nvSpPr>
        <xdr:cNvPr id="12" name="Retângulo 11">
          <a:hlinkClick r:id="rId6"/>
          <a:extLst>
            <a:ext uri="{FF2B5EF4-FFF2-40B4-BE49-F238E27FC236}"/>
          </a:extLst>
        </xdr:cNvPr>
        <xdr:cNvSpPr/>
      </xdr:nvSpPr>
      <xdr:spPr>
        <a:xfrm>
          <a:off x="5724525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1000"/>
            <a:t>Produtos</a:t>
          </a:r>
        </a:p>
      </xdr:txBody>
    </xdr:sp>
    <xdr:clientData fLocksWithSheet="0"/>
  </xdr:oneCellAnchor>
  <xdr:oneCellAnchor>
    <xdr:from>
      <xdr:col>1</xdr:col>
      <xdr:colOff>57150</xdr:colOff>
      <xdr:row>7</xdr:row>
      <xdr:rowOff>180975</xdr:rowOff>
    </xdr:from>
    <xdr:ext cx="2171700" cy="714375"/>
    <xdr:grpSp>
      <xdr:nvGrpSpPr>
        <xdr:cNvPr id="15" name="Agrupar 14">
          <a:extLst>
            <a:ext uri="{FF2B5EF4-FFF2-40B4-BE49-F238E27FC236}"/>
          </a:extLst>
        </xdr:cNvPr>
        <xdr:cNvGrpSpPr/>
      </xdr:nvGrpSpPr>
      <xdr:grpSpPr>
        <a:xfrm>
          <a:off x="247650" y="1685925"/>
          <a:ext cx="2171700" cy="704850"/>
          <a:chOff x="1190625" y="4229100"/>
          <a:chExt cx="2171700" cy="704850"/>
        </a:xfrm>
      </xdr:grpSpPr>
      <xdr:sp macro="" textlink="">
        <xdr:nvSpPr>
          <xdr:cNvPr id="8" name="Retângulo 7">
            <a:extLst>
              <a:ext uri="{FF2B5EF4-FFF2-40B4-BE49-F238E27FC236}"/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lastClr="000000" val="windowText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t" rtlCol="0" horzOverflow="clip" vertOverflow="clip"/>
          <a:lstStyle/>
          <a:p>
            <a:pPr lvl="0"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/>
            </a:extLst>
          </xdr:cNvPr>
          <xdr:cNvSpPr txBox="1"/>
        </xdr:nvSpPr>
        <xdr:spPr>
          <a:xfrm>
            <a:off x="1624013" y="4257675"/>
            <a:ext cx="1304925" cy="1905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lang="pt-BR" sz="1100">
                <a:solidFill>
                  <a:srgbClr val="283D3B"/>
                </a:solidFill>
              </a:rPr>
              <a:t>Total de Produtos</a:t>
            </a:r>
          </a:p>
        </xdr:txBody>
      </xdr:sp>
      <xdr:sp macro="" textlink="Auxiliar!C59">
        <xdr:nvSpPr>
          <xdr:cNvPr id="14" name="CaixaDeTexto 13">
            <a:extLst>
              <a:ext uri="{FF2B5EF4-FFF2-40B4-BE49-F238E27FC236}"/>
            </a:extLst>
          </xdr:cNvPr>
          <xdr:cNvSpPr txBox="1"/>
        </xdr:nvSpPr>
        <xdr:spPr>
          <a:xfrm>
            <a:off x="1547813" y="4438650"/>
            <a:ext cx="1457325" cy="4953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fld id="{62E5E92D-810A-41AB-813D-A7A9B8BE73A0}" type="TxLink">
              <a:rPr b="1" i="0" lang="en-US" sz="2400" u="none" strike="noStrike">
                <a:solidFill>
                  <a:srgbClr val="283D3B"/>
                </a:solidFill>
                <a:latin typeface="Calibri"/>
                <a:cs typeface="Calibri"/>
              </a:rPr>
              <a:pPr lvl="0" algn="ctr"/>
              <a:t>30</a:t>
            </a:fld>
            <a:endParaRPr b="1" lang="pt-BR" sz="2400">
              <a:solidFill>
                <a:srgbClr val="283D3B"/>
              </a:solidFill>
            </a:endParaRPr>
          </a:p>
        </xdr:txBody>
      </xdr:sp>
    </xdr:grpSp>
    <xdr:clientData fLocksWithSheet="0"/>
  </xdr:oneCellAnchor>
  <xdr:oneCellAnchor>
    <xdr:from>
      <xdr:col>2</xdr:col>
      <xdr:colOff>314325</xdr:colOff>
      <xdr:row>7</xdr:row>
      <xdr:rowOff>180975</xdr:rowOff>
    </xdr:from>
    <xdr:ext cx="2171700" cy="714375"/>
    <xdr:grpSp>
      <xdr:nvGrpSpPr>
        <xdr:cNvPr id="16" name="Agrupar 15">
          <a:extLst>
            <a:ext uri="{FF2B5EF4-FFF2-40B4-BE49-F238E27FC236}"/>
          </a:extLst>
        </xdr:cNvPr>
        <xdr:cNvGrpSpPr/>
      </xdr:nvGrpSpPr>
      <xdr:grpSpPr>
        <a:xfrm>
          <a:off x="2676525" y="1685925"/>
          <a:ext cx="2171700" cy="704850"/>
          <a:chOff x="1190625" y="4229100"/>
          <a:chExt cx="2171700" cy="704850"/>
        </a:xfrm>
      </xdr:grpSpPr>
      <xdr:sp macro="" textlink="">
        <xdr:nvSpPr>
          <xdr:cNvPr id="17" name="Retângulo 16">
            <a:extLst>
              <a:ext uri="{FF2B5EF4-FFF2-40B4-BE49-F238E27FC236}"/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lastClr="000000" val="windowText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t" rtlCol="0" horzOverflow="clip" vertOverflow="clip"/>
          <a:lstStyle/>
          <a:p>
            <a:pPr lvl="0"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18" name="CaixaDeTexto 17">
            <a:extLst>
              <a:ext uri="{FF2B5EF4-FFF2-40B4-BE49-F238E27FC236}"/>
            </a:extLst>
          </xdr:cNvPr>
          <xdr:cNvSpPr txBox="1"/>
        </xdr:nvSpPr>
        <xdr:spPr>
          <a:xfrm>
            <a:off x="1604963" y="4248150"/>
            <a:ext cx="1304925" cy="1905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lang="pt-BR" sz="1100">
                <a:solidFill>
                  <a:srgbClr val="283D3B"/>
                </a:solidFill>
              </a:rPr>
              <a:t>Total de Lojas</a:t>
            </a:r>
          </a:p>
        </xdr:txBody>
      </xdr:sp>
      <xdr:sp macro="" textlink="Auxiliar!C60">
        <xdr:nvSpPr>
          <xdr:cNvPr id="19" name="CaixaDeTexto 18">
            <a:extLst>
              <a:ext uri="{FF2B5EF4-FFF2-40B4-BE49-F238E27FC236}"/>
            </a:extLst>
          </xdr:cNvPr>
          <xdr:cNvSpPr txBox="1"/>
        </xdr:nvSpPr>
        <xdr:spPr>
          <a:xfrm>
            <a:off x="1547813" y="4438650"/>
            <a:ext cx="1457325" cy="4953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fld id="{AFA84721-D58B-416C-926B-5DEFB01A1610}" type="TxLink">
              <a:rPr b="1" i="0" lang="en-US" sz="2400" u="none" strike="noStrike">
                <a:solidFill>
                  <a:srgbClr val="283D3B"/>
                </a:solidFill>
                <a:latin typeface="Calibri"/>
                <a:cs typeface="Calibri"/>
              </a:rPr>
              <a:pPr lvl="0" algn="ctr"/>
              <a:t>4</a:t>
            </a:fld>
            <a:endParaRPr b="1" lang="pt-BR" sz="2400">
              <a:solidFill>
                <a:srgbClr val="283D3B"/>
              </a:solidFill>
            </a:endParaRPr>
          </a:p>
        </xdr:txBody>
      </xdr:sp>
    </xdr:grpSp>
    <xdr:clientData fLocksWithSheet="0"/>
  </xdr:oneCellAnchor>
  <xdr:oneCellAnchor>
    <xdr:from>
      <xdr:col>5</xdr:col>
      <xdr:colOff>0</xdr:colOff>
      <xdr:row>8</xdr:row>
      <xdr:rowOff>0</xdr:rowOff>
    </xdr:from>
    <xdr:ext cx="2171700" cy="704850"/>
    <xdr:grpSp>
      <xdr:nvGrpSpPr>
        <xdr:cNvPr id="20" name="Agrupar 19">
          <a:extLst>
            <a:ext uri="{FF2B5EF4-FFF2-40B4-BE49-F238E27FC236}"/>
          </a:extLst>
        </xdr:cNvPr>
        <xdr:cNvGrpSpPr/>
      </xdr:nvGrpSpPr>
      <xdr:grpSpPr>
        <a:xfrm>
          <a:off x="5181600" y="1695450"/>
          <a:ext cx="2171700" cy="704850"/>
          <a:chOff x="1190625" y="4229100"/>
          <a:chExt cx="2171700" cy="704850"/>
        </a:xfrm>
      </xdr:grpSpPr>
      <xdr:sp macro="" textlink="">
        <xdr:nvSpPr>
          <xdr:cNvPr id="21" name="Retângulo 20">
            <a:extLst>
              <a:ext uri="{FF2B5EF4-FFF2-40B4-BE49-F238E27FC236}"/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lastClr="000000" val="windowText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t" rtlCol="0" horzOverflow="clip" vertOverflow="clip"/>
          <a:lstStyle/>
          <a:p>
            <a:pPr lvl="0"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22" name="CaixaDeTexto 21">
            <a:extLst>
              <a:ext uri="{FF2B5EF4-FFF2-40B4-BE49-F238E27FC236}"/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lang="pt-BR" sz="1100">
                <a:solidFill>
                  <a:srgbClr val="283D3B"/>
                </a:solidFill>
              </a:rPr>
              <a:t>Total de Fornecedores</a:t>
            </a:r>
          </a:p>
        </xdr:txBody>
      </xdr:sp>
      <xdr:sp macro="" textlink="Auxiliar!C61">
        <xdr:nvSpPr>
          <xdr:cNvPr id="23" name="CaixaDeTexto 22">
            <a:extLst>
              <a:ext uri="{FF2B5EF4-FFF2-40B4-BE49-F238E27FC236}"/>
            </a:extLst>
          </xdr:cNvPr>
          <xdr:cNvSpPr txBox="1"/>
        </xdr:nvSpPr>
        <xdr:spPr>
          <a:xfrm>
            <a:off x="1547813" y="4438650"/>
            <a:ext cx="1457325" cy="4953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fld id="{0902B817-09FA-4B76-B600-4CA67EF0B06C}" type="TxLink">
              <a:rPr b="1" i="0" lang="en-US" sz="2400" u="none" strike="noStrike">
                <a:solidFill>
                  <a:srgbClr val="283D3B"/>
                </a:solidFill>
                <a:latin typeface="Calibri"/>
                <a:cs typeface="Calibri"/>
              </a:rPr>
              <a:pPr lvl="0" algn="ctr"/>
              <a:t>1</a:t>
            </a:fld>
            <a:endParaRPr b="1" lang="pt-BR" sz="2400">
              <a:solidFill>
                <a:srgbClr val="283D3B"/>
              </a:solidFill>
            </a:endParaRPr>
          </a:p>
        </xdr:txBody>
      </xdr:sp>
    </xdr:grpSp>
    <xdr:clientData fLocksWithSheet="0"/>
  </xdr:oneCellAnchor>
  <xdr:oneCellAnchor>
    <xdr:from>
      <xdr:col>7</xdr:col>
      <xdr:colOff>0</xdr:colOff>
      <xdr:row>8</xdr:row>
      <xdr:rowOff>38100</xdr:rowOff>
    </xdr:from>
    <xdr:ext cx="2171700" cy="704850"/>
    <xdr:grpSp>
      <xdr:nvGrpSpPr>
        <xdr:cNvPr id="24" name="Agrupar 23">
          <a:extLst>
            <a:ext uri="{FF2B5EF4-FFF2-40B4-BE49-F238E27FC236}"/>
          </a:extLst>
        </xdr:cNvPr>
        <xdr:cNvGrpSpPr/>
      </xdr:nvGrpSpPr>
      <xdr:grpSpPr>
        <a:xfrm>
          <a:off x="7677150" y="1733550"/>
          <a:ext cx="2171700" cy="704850"/>
          <a:chOff x="1190625" y="4229100"/>
          <a:chExt cx="2171700" cy="704850"/>
        </a:xfrm>
      </xdr:grpSpPr>
      <xdr:sp macro="" textlink="">
        <xdr:nvSpPr>
          <xdr:cNvPr id="25" name="Retângulo 24">
            <a:extLst>
              <a:ext uri="{FF2B5EF4-FFF2-40B4-BE49-F238E27FC236}"/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lastClr="000000" val="windowText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t" rtlCol="0" horzOverflow="clip" vertOverflow="clip"/>
          <a:lstStyle/>
          <a:p>
            <a:pPr lvl="0"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26" name="CaixaDeTexto 25">
            <a:extLst>
              <a:ext uri="{FF2B5EF4-FFF2-40B4-BE49-F238E27FC236}"/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lang="pt-BR" sz="1100">
                <a:solidFill>
                  <a:srgbClr val="283D3B"/>
                </a:solidFill>
              </a:rPr>
              <a:t>Qtd. Produtos em Estoque</a:t>
            </a:r>
          </a:p>
        </xdr:txBody>
      </xdr:sp>
      <xdr:sp macro="" textlink="Auxiliar!C62">
        <xdr:nvSpPr>
          <xdr:cNvPr id="27" name="CaixaDeTexto 26">
            <a:extLst>
              <a:ext uri="{FF2B5EF4-FFF2-40B4-BE49-F238E27FC236}"/>
            </a:extLst>
          </xdr:cNvPr>
          <xdr:cNvSpPr txBox="1"/>
        </xdr:nvSpPr>
        <xdr:spPr>
          <a:xfrm>
            <a:off x="1547813" y="4438650"/>
            <a:ext cx="1457325" cy="4953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fld id="{1E170EDA-6824-4493-91BD-92325EA931AB}" type="TxLink">
              <a:rPr b="1" i="0" lang="en-US" sz="2400" u="none" strike="noStrike">
                <a:solidFill>
                  <a:srgbClr val="283D3B"/>
                </a:solidFill>
                <a:latin typeface="Calibri"/>
                <a:cs typeface="Calibri"/>
              </a:rPr>
              <a:pPr lvl="0" algn="ctr"/>
              <a:t>1000</a:t>
            </a:fld>
            <a:endParaRPr b="1" lang="pt-BR" sz="2400">
              <a:solidFill>
                <a:srgbClr val="283D3B"/>
              </a:solidFill>
            </a:endParaRPr>
          </a:p>
        </xdr:txBody>
      </xdr:sp>
    </xdr:grpSp>
    <xdr:clientData fLocksWithSheet="0"/>
  </xdr:oneCellAnchor>
  <xdr:oneCellAnchor>
    <xdr:from>
      <xdr:col>1</xdr:col>
      <xdr:colOff>38100</xdr:colOff>
      <xdr:row>12</xdr:row>
      <xdr:rowOff>0</xdr:rowOff>
    </xdr:from>
    <xdr:ext cx="2171700" cy="704850"/>
    <xdr:grpSp>
      <xdr:nvGrpSpPr>
        <xdr:cNvPr id="28" name="Agrupar 27">
          <a:extLst>
            <a:ext uri="{FF2B5EF4-FFF2-40B4-BE49-F238E27FC236}"/>
          </a:extLst>
        </xdr:cNvPr>
        <xdr:cNvGrpSpPr/>
      </xdr:nvGrpSpPr>
      <xdr:grpSpPr>
        <a:xfrm>
          <a:off x="228600" y="2981325"/>
          <a:ext cx="2171700" cy="704850"/>
          <a:chOff x="1190625" y="4229100"/>
          <a:chExt cx="2171700" cy="704850"/>
        </a:xfrm>
      </xdr:grpSpPr>
      <xdr:sp macro="" textlink="">
        <xdr:nvSpPr>
          <xdr:cNvPr id="29" name="Retângulo 28">
            <a:extLst>
              <a:ext uri="{FF2B5EF4-FFF2-40B4-BE49-F238E27FC236}"/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lastClr="000000" val="windowText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t" rtlCol="0" horzOverflow="clip" vertOverflow="clip"/>
          <a:lstStyle/>
          <a:p>
            <a:pPr lvl="0"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/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lang="pt-BR" sz="1100">
                <a:solidFill>
                  <a:srgbClr val="283D3B"/>
                </a:solidFill>
              </a:rPr>
              <a:t>Receita</a:t>
            </a:r>
            <a:r>
              <a:rPr lang="pt-BR" sz="1100">
                <a:solidFill>
                  <a:srgbClr val="283D3B"/>
                </a:solidFill>
              </a:rPr>
              <a:t> Total</a:t>
            </a:r>
            <a:endParaRPr lang="pt-BR" sz="1100">
              <a:solidFill>
                <a:srgbClr val="283D3B"/>
              </a:solidFill>
            </a:endParaRPr>
          </a:p>
        </xdr:txBody>
      </xdr:sp>
      <xdr:sp macro="" textlink="Auxiliar!C63">
        <xdr:nvSpPr>
          <xdr:cNvPr id="31" name="CaixaDeTexto 30">
            <a:extLst>
              <a:ext uri="{FF2B5EF4-FFF2-40B4-BE49-F238E27FC236}"/>
            </a:extLst>
          </xdr:cNvPr>
          <xdr:cNvSpPr txBox="1"/>
        </xdr:nvSpPr>
        <xdr:spPr>
          <a:xfrm>
            <a:off x="1228725" y="4438650"/>
            <a:ext cx="2114550" cy="4953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fld id="{B8FF1DBF-F880-4183-9C30-CE2DD9908BB4}" type="TxLink">
              <a:rPr b="1" i="0" lang="en-US" sz="2400" u="none" strike="noStrike">
                <a:solidFill>
                  <a:srgbClr val="283D3B"/>
                </a:solidFill>
                <a:latin typeface="Calibri"/>
                <a:cs typeface="Calibri"/>
              </a:rPr>
              <a:pPr lvl="0" algn="ctr"/>
              <a:t>#N/D</a:t>
            </a:fld>
            <a:endParaRPr b="1" lang="pt-BR" sz="2400">
              <a:solidFill>
                <a:srgbClr val="283D3B"/>
              </a:solidFill>
            </a:endParaRPr>
          </a:p>
        </xdr:txBody>
      </xdr:sp>
    </xdr:grpSp>
    <xdr:clientData fLocksWithSheet="0"/>
  </xdr:oneCellAnchor>
  <xdr:oneCellAnchor>
    <xdr:from>
      <xdr:col>2</xdr:col>
      <xdr:colOff>314325</xdr:colOff>
      <xdr:row>12</xdr:row>
      <xdr:rowOff>9525</xdr:rowOff>
    </xdr:from>
    <xdr:ext cx="2171700" cy="704850"/>
    <xdr:grpSp>
      <xdr:nvGrpSpPr>
        <xdr:cNvPr id="32" name="Agrupar 31">
          <a:extLst>
            <a:ext uri="{FF2B5EF4-FFF2-40B4-BE49-F238E27FC236}"/>
          </a:extLst>
        </xdr:cNvPr>
        <xdr:cNvGrpSpPr/>
      </xdr:nvGrpSpPr>
      <xdr:grpSpPr>
        <a:xfrm>
          <a:off x="2676525" y="2990850"/>
          <a:ext cx="2171700" cy="704850"/>
          <a:chOff x="1190625" y="4229100"/>
          <a:chExt cx="2171700" cy="704850"/>
        </a:xfrm>
      </xdr:grpSpPr>
      <xdr:sp macro="" textlink="">
        <xdr:nvSpPr>
          <xdr:cNvPr id="33" name="Retângulo 32">
            <a:extLst>
              <a:ext uri="{FF2B5EF4-FFF2-40B4-BE49-F238E27FC236}"/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lastClr="000000" val="windowText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t" rtlCol="0" horzOverflow="clip" vertOverflow="clip"/>
          <a:lstStyle/>
          <a:p>
            <a:pPr lvl="0"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34" name="CaixaDeTexto 33">
            <a:extLst>
              <a:ext uri="{FF2B5EF4-FFF2-40B4-BE49-F238E27FC236}"/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lang="pt-BR" sz="1100">
                <a:solidFill>
                  <a:srgbClr val="283D3B"/>
                </a:solidFill>
              </a:rPr>
              <a:t>Custo Total</a:t>
            </a:r>
            <a:endParaRPr lang="pt-BR" sz="1100">
              <a:solidFill>
                <a:srgbClr val="283D3B"/>
              </a:solidFill>
            </a:endParaRPr>
          </a:p>
        </xdr:txBody>
      </xdr:sp>
      <xdr:sp macro="" textlink="Auxiliar!C64">
        <xdr:nvSpPr>
          <xdr:cNvPr id="35" name="CaixaDeTexto 34">
            <a:extLst>
              <a:ext uri="{FF2B5EF4-FFF2-40B4-BE49-F238E27FC236}"/>
            </a:extLst>
          </xdr:cNvPr>
          <xdr:cNvSpPr txBox="1"/>
        </xdr:nvSpPr>
        <xdr:spPr>
          <a:xfrm>
            <a:off x="1228725" y="4438650"/>
            <a:ext cx="2114550" cy="4953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fld id="{2BC7E803-6489-4072-A016-3E1471C2B6DC}" type="TxLink">
              <a:rPr b="1" i="0" lang="en-US" sz="2400" u="none" strike="noStrike">
                <a:solidFill>
                  <a:srgbClr val="283D3B"/>
                </a:solidFill>
                <a:latin typeface="Calibri"/>
                <a:cs typeface="Calibri"/>
              </a:rPr>
              <a:pPr lvl="0" algn="ctr"/>
              <a:t>#N/D</a:t>
            </a:fld>
            <a:endParaRPr b="1" lang="pt-BR" sz="2400">
              <a:solidFill>
                <a:srgbClr val="283D3B"/>
              </a:solidFill>
            </a:endParaRPr>
          </a:p>
        </xdr:txBody>
      </xdr:sp>
    </xdr:grpSp>
    <xdr:clientData fLocksWithSheet="0"/>
  </xdr:oneCellAnchor>
  <xdr:oneCellAnchor>
    <xdr:from>
      <xdr:col>4</xdr:col>
      <xdr:colOff>295275</xdr:colOff>
      <xdr:row>12</xdr:row>
      <xdr:rowOff>9525</xdr:rowOff>
    </xdr:from>
    <xdr:ext cx="2171700" cy="704850"/>
    <xdr:grpSp>
      <xdr:nvGrpSpPr>
        <xdr:cNvPr id="36" name="Agrupar 35">
          <a:extLst>
            <a:ext uri="{FF2B5EF4-FFF2-40B4-BE49-F238E27FC236}"/>
          </a:extLst>
        </xdr:cNvPr>
        <xdr:cNvGrpSpPr/>
      </xdr:nvGrpSpPr>
      <xdr:grpSpPr>
        <a:xfrm>
          <a:off x="5153025" y="2990850"/>
          <a:ext cx="2171700" cy="704850"/>
          <a:chOff x="1190625" y="4229100"/>
          <a:chExt cx="2171700" cy="704850"/>
        </a:xfrm>
      </xdr:grpSpPr>
      <xdr:sp macro="" textlink="">
        <xdr:nvSpPr>
          <xdr:cNvPr id="37" name="Retângulo 36">
            <a:extLst>
              <a:ext uri="{FF2B5EF4-FFF2-40B4-BE49-F238E27FC236}"/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lastClr="000000" val="windowText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t" rtlCol="0" horzOverflow="clip" vertOverflow="clip"/>
          <a:lstStyle/>
          <a:p>
            <a:pPr lvl="0"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38" name="CaixaDeTexto 37">
            <a:extLst>
              <a:ext uri="{FF2B5EF4-FFF2-40B4-BE49-F238E27FC236}"/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lang="pt-BR" sz="1100">
                <a:solidFill>
                  <a:srgbClr val="283D3B"/>
                </a:solidFill>
              </a:rPr>
              <a:t>Lucro Total</a:t>
            </a:r>
          </a:p>
        </xdr:txBody>
      </xdr:sp>
      <xdr:sp macro="" textlink="Auxiliar!C65">
        <xdr:nvSpPr>
          <xdr:cNvPr id="39" name="CaixaDeTexto 38">
            <a:extLst>
              <a:ext uri="{FF2B5EF4-FFF2-40B4-BE49-F238E27FC236}"/>
            </a:extLst>
          </xdr:cNvPr>
          <xdr:cNvSpPr txBox="1"/>
        </xdr:nvSpPr>
        <xdr:spPr>
          <a:xfrm>
            <a:off x="1228725" y="4438650"/>
            <a:ext cx="2114550" cy="4953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fld id="{658EF6F8-5BA3-40A3-9377-7EAD8E6E0036}" type="TxLink">
              <a:rPr b="1" i="0" lang="en-US" sz="2400" u="none" strike="noStrike">
                <a:solidFill>
                  <a:srgbClr val="283D3B"/>
                </a:solidFill>
                <a:latin typeface="Calibri"/>
                <a:cs typeface="Calibri"/>
              </a:rPr>
              <a:pPr lvl="0" algn="ctr"/>
              <a:t>#N/D</a:t>
            </a:fld>
            <a:endParaRPr b="1" lang="pt-BR" sz="2400">
              <a:solidFill>
                <a:srgbClr val="283D3B"/>
              </a:solidFill>
            </a:endParaRPr>
          </a:p>
        </xdr:txBody>
      </xdr:sp>
    </xdr:grpSp>
    <xdr:clientData fLocksWithSheet="0"/>
  </xdr:oneCellAnchor>
  <xdr:oneCellAnchor>
    <xdr:from>
      <xdr:col>7</xdr:col>
      <xdr:colOff>0</xdr:colOff>
      <xdr:row>12</xdr:row>
      <xdr:rowOff>9525</xdr:rowOff>
    </xdr:from>
    <xdr:ext cx="2171700" cy="704850"/>
    <xdr:grpSp>
      <xdr:nvGrpSpPr>
        <xdr:cNvPr id="40" name="Agrupar 39">
          <a:extLst>
            <a:ext uri="{FF2B5EF4-FFF2-40B4-BE49-F238E27FC236}"/>
          </a:extLst>
        </xdr:cNvPr>
        <xdr:cNvGrpSpPr/>
      </xdr:nvGrpSpPr>
      <xdr:grpSpPr>
        <a:xfrm>
          <a:off x="7677150" y="2990850"/>
          <a:ext cx="2171700" cy="704850"/>
          <a:chOff x="1190625" y="4229100"/>
          <a:chExt cx="2171700" cy="704850"/>
        </a:xfrm>
      </xdr:grpSpPr>
      <xdr:sp macro="" textlink="">
        <xdr:nvSpPr>
          <xdr:cNvPr id="41" name="Retângulo 40">
            <a:extLst>
              <a:ext uri="{FF2B5EF4-FFF2-40B4-BE49-F238E27FC236}"/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lastClr="000000" val="windowText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t" rtlCol="0" horzOverflow="clip" vertOverflow="clip"/>
          <a:lstStyle/>
          <a:p>
            <a:pPr lvl="0"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/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r>
              <a:rPr lang="pt-BR" sz="1100">
                <a:solidFill>
                  <a:srgbClr val="283D3B"/>
                </a:solidFill>
              </a:rPr>
              <a:t>Margem % Luco</a:t>
            </a:r>
          </a:p>
        </xdr:txBody>
      </xdr:sp>
      <xdr:sp macro="" textlink="Auxiliar!C66">
        <xdr:nvSpPr>
          <xdr:cNvPr id="43" name="CaixaDeTexto 42">
            <a:extLst>
              <a:ext uri="{FF2B5EF4-FFF2-40B4-BE49-F238E27FC236}"/>
            </a:extLst>
          </xdr:cNvPr>
          <xdr:cNvSpPr txBox="1"/>
        </xdr:nvSpPr>
        <xdr:spPr>
          <a:xfrm>
            <a:off x="1228725" y="4438650"/>
            <a:ext cx="2114550" cy="495300"/>
          </a:xfrm>
          <a:prstGeom prst="rect">
            <a:avLst/>
          </a:prstGeom>
          <a:noFill/>
          <a:ln cmpd="sng" w="9525">
            <a:noFill/>
          </a:ln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dk1"/>
          </a:fontRef>
        </xdr:style>
        <xdr:txBody>
          <a:bodyPr anchor="ctr" rtlCol="0" horzOverflow="clip" wrap="square" vertOverflow="clip"/>
          <a:lstStyle/>
          <a:p>
            <a:pPr lvl="0" algn="ctr"/>
            <a:fld id="{47074AD9-A0BF-4D43-9423-5E6BDD8B088B}" type="TxLink">
              <a:rPr b="1" i="0" lang="en-US" sz="2400" u="none" strike="noStrike">
                <a:solidFill>
                  <a:srgbClr val="283D3B"/>
                </a:solidFill>
                <a:latin typeface="Calibri"/>
                <a:cs typeface="Calibri"/>
              </a:rPr>
              <a:pPr lvl="0" algn="ctr"/>
              <a:t>#N/D</a:t>
            </a:fld>
            <a:endParaRPr b="1" lang="pt-BR" sz="2400">
              <a:solidFill>
                <a:srgbClr val="283D3B"/>
              </a:solidFill>
            </a:endParaRPr>
          </a:p>
        </xdr:txBody>
      </xdr:sp>
    </xdr:grpSp>
    <xdr:clientData fLocksWithSheet="0"/>
  </xdr:oneCellAnchor>
  <xdr:oneCellAnchor>
    <xdr:from>
      <xdr:col>8</xdr:col>
      <xdr:colOff>1238250</xdr:colOff>
      <xdr:row>0</xdr:row>
      <xdr:rowOff>142875</xdr:rowOff>
    </xdr:from>
    <xdr:ext cx="323850" cy="25717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504825" cy="504825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0</xdr:row>
      <xdr:rowOff>104775</xdr:rowOff>
    </xdr:from>
    <xdr:ext cx="971550" cy="352425"/>
    <xdr:sp macro="" textlink="">
      <xdr:nvSpPr>
        <xdr:cNvPr id="2" name="Retângulo 1">
          <a:hlinkClick r:id="rId1"/>
          <a:extLst>
            <a:ext uri="{FF2B5EF4-FFF2-40B4-BE49-F238E27FC236}"/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 fLocksWithSheet="0"/>
  </xdr:oneCellAnchor>
  <xdr:oneCellAnchor>
    <xdr:from>
      <xdr:col>6</xdr:col>
      <xdr:colOff>95250</xdr:colOff>
      <xdr:row>0</xdr:row>
      <xdr:rowOff>104775</xdr:rowOff>
    </xdr:from>
    <xdr:ext cx="971550" cy="352425"/>
    <xdr:sp macro="" textlink="">
      <xdr:nvSpPr>
        <xdr:cNvPr id="3" name="Retângulo 2">
          <a:hlinkClick r:id="rId2"/>
          <a:extLst>
            <a:ext uri="{FF2B5EF4-FFF2-40B4-BE49-F238E27FC236}"/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 fLocksWithSheet="0"/>
  </xdr:oneCellAnchor>
  <xdr:oneCellAnchor>
    <xdr:from>
      <xdr:col>4</xdr:col>
      <xdr:colOff>371475</xdr:colOff>
      <xdr:row>0</xdr:row>
      <xdr:rowOff>104775</xdr:rowOff>
    </xdr:from>
    <xdr:ext cx="981075" cy="352425"/>
    <xdr:sp macro="" textlink="">
      <xdr:nvSpPr>
        <xdr:cNvPr id="4" name="Retângulo 3">
          <a:hlinkClick r:id="rId3"/>
          <a:extLst>
            <a:ext uri="{FF2B5EF4-FFF2-40B4-BE49-F238E27FC236}"/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800"/>
            <a:t>CADASTRO DE</a:t>
          </a:r>
          <a:r>
            <a:rPr lang="pt-BR" sz="800"/>
            <a:t> PRODUTOS</a:t>
          </a:r>
          <a:endParaRPr lang="pt-BR" sz="800"/>
        </a:p>
      </xdr:txBody>
    </xdr:sp>
    <xdr:clientData fLocksWithSheet="0"/>
  </xdr:oneCellAnchor>
  <xdr:oneCellAnchor>
    <xdr:from>
      <xdr:col>6</xdr:col>
      <xdr:colOff>1171575</xdr:colOff>
      <xdr:row>0</xdr:row>
      <xdr:rowOff>104775</xdr:rowOff>
    </xdr:from>
    <xdr:ext cx="133350" cy="352425"/>
    <xdr:sp macro="" textlink="">
      <xdr:nvSpPr>
        <xdr:cNvPr id="5" name="Retângulo 4">
          <a:hlinkClick r:id="rId4"/>
          <a:extLst>
            <a:ext uri="{FF2B5EF4-FFF2-40B4-BE49-F238E27FC236}"/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 fLocksWithSheet="0"/>
  </xdr:oneCellAnchor>
  <xdr:oneCellAnchor>
    <xdr:from>
      <xdr:col>7</xdr:col>
      <xdr:colOff>828675</xdr:colOff>
      <xdr:row>0</xdr:row>
      <xdr:rowOff>104775</xdr:rowOff>
    </xdr:from>
    <xdr:ext cx="95250" cy="352425"/>
    <xdr:sp macro="" textlink="">
      <xdr:nvSpPr>
        <xdr:cNvPr id="7" name="Retângulo 6">
          <a:extLst>
            <a:ext uri="{FF2B5EF4-FFF2-40B4-BE49-F238E27FC236}"/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chemeClr val="accent4"/>
        </a:solidFill>
        <a:ln cap="flat" cmpd="sng" w="12700" algn="ctr">
          <a:solidFill>
            <a:schemeClr val="accent4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1" lang="pt-BR" sz="800">
              <a:solidFill>
                <a:schemeClr val="tx2"/>
              </a:solidFill>
              <a:latin typeface="+mn-lt"/>
              <a:ea typeface="+mn-ea"/>
              <a:cs typeface="+mn-cs"/>
            </a:rPr>
            <a:t>RESUMO</a:t>
          </a:r>
        </a:p>
      </xdr:txBody>
    </xdr:sp>
    <xdr:clientData fLocksWithSheet="0"/>
  </xdr:oneCellAnchor>
  <xdr:oneCellAnchor>
    <xdr:from>
      <xdr:col>3</xdr:col>
      <xdr:colOff>609600</xdr:colOff>
      <xdr:row>3</xdr:row>
      <xdr:rowOff>19050</xdr:rowOff>
    </xdr:from>
    <xdr:ext cx="904875" cy="304800"/>
    <xdr:sp macro="" textlink="">
      <xdr:nvSpPr>
        <xdr:cNvPr id="27" name="Retângulo 26">
          <a:hlinkClick r:id="rId5"/>
          <a:extLst>
            <a:ext uri="{FF2B5EF4-FFF2-40B4-BE49-F238E27FC236}"/>
          </a:extLst>
        </xdr:cNvPr>
        <xdr:cNvSpPr/>
      </xdr:nvSpPr>
      <xdr:spPr>
        <a:xfrm>
          <a:off x="3676650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1000"/>
            <a:t>Visão</a:t>
          </a:r>
          <a:r>
            <a:rPr lang="pt-BR" sz="1000"/>
            <a:t> Geral</a:t>
          </a:r>
          <a:endParaRPr lang="pt-BR" sz="1000"/>
        </a:p>
      </xdr:txBody>
    </xdr:sp>
    <xdr:clientData fLocksWithSheet="0"/>
  </xdr:oneCellAnchor>
  <xdr:oneCellAnchor>
    <xdr:from>
      <xdr:col>4</xdr:col>
      <xdr:colOff>409575</xdr:colOff>
      <xdr:row>3</xdr:row>
      <xdr:rowOff>19050</xdr:rowOff>
    </xdr:from>
    <xdr:ext cx="904875" cy="304800"/>
    <xdr:sp macro="" textlink="">
      <xdr:nvSpPr>
        <xdr:cNvPr id="28" name="Retângulo 27">
          <a:extLst>
            <a:ext uri="{FF2B5EF4-FFF2-40B4-BE49-F238E27FC236}"/>
          </a:extLst>
        </xdr:cNvPr>
        <xdr:cNvSpPr/>
      </xdr:nvSpPr>
      <xdr:spPr>
        <a:xfrm>
          <a:off x="4700588" y="762000"/>
          <a:ext cx="904875" cy="304799"/>
        </a:xfrm>
        <a:prstGeom prst="rect">
          <a:avLst/>
        </a:prstGeom>
        <a:solidFill>
          <a:srgbClr val="9E2A2B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900"/>
            <a:t>Saldo Estoque</a:t>
          </a:r>
        </a:p>
      </xdr:txBody>
    </xdr:sp>
    <xdr:clientData fLocksWithSheet="0"/>
  </xdr:oneCellAnchor>
  <xdr:oneCellAnchor>
    <xdr:from>
      <xdr:col>5</xdr:col>
      <xdr:colOff>219075</xdr:colOff>
      <xdr:row>3</xdr:row>
      <xdr:rowOff>19050</xdr:rowOff>
    </xdr:from>
    <xdr:ext cx="904875" cy="304800"/>
    <xdr:sp macro="" textlink="">
      <xdr:nvSpPr>
        <xdr:cNvPr id="29" name="Retângulo 28">
          <a:hlinkClick r:id="rId6"/>
          <a:extLst>
            <a:ext uri="{FF2B5EF4-FFF2-40B4-BE49-F238E27FC236}"/>
          </a:extLst>
        </xdr:cNvPr>
        <xdr:cNvSpPr/>
      </xdr:nvSpPr>
      <xdr:spPr>
        <a:xfrm>
          <a:off x="5724525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1000"/>
            <a:t>Produtos</a:t>
          </a:r>
        </a:p>
      </xdr:txBody>
    </xdr:sp>
    <xdr:clientData fLocksWithSheet="0"/>
  </xdr:oneCellAnchor>
  <xdr:oneCellAnchor>
    <xdr:from>
      <xdr:col>1</xdr:col>
      <xdr:colOff>9525</xdr:colOff>
      <xdr:row>10</xdr:row>
      <xdr:rowOff>9525</xdr:rowOff>
    </xdr:from>
    <xdr:ext cx="9058275" cy="2533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495300</xdr:colOff>
      <xdr:row>0</xdr:row>
      <xdr:rowOff>133350</xdr:rowOff>
    </xdr:from>
    <xdr:ext cx="323850" cy="257175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504825" cy="504825"/>
    <xdr:pic>
      <xdr:nvPicPr>
        <xdr:cNvPr id="0" name="image2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0</xdr:row>
      <xdr:rowOff>104775</xdr:rowOff>
    </xdr:from>
    <xdr:ext cx="971550" cy="352425"/>
    <xdr:sp macro="" textlink="">
      <xdr:nvSpPr>
        <xdr:cNvPr id="2" name="Retângulo 1">
          <a:hlinkClick r:id="rId1"/>
          <a:extLst>
            <a:ext uri="{FF2B5EF4-FFF2-40B4-BE49-F238E27FC236}"/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 fLocksWithSheet="0"/>
  </xdr:oneCellAnchor>
  <xdr:oneCellAnchor>
    <xdr:from>
      <xdr:col>6</xdr:col>
      <xdr:colOff>647700</xdr:colOff>
      <xdr:row>0</xdr:row>
      <xdr:rowOff>104775</xdr:rowOff>
    </xdr:from>
    <xdr:ext cx="133350" cy="352425"/>
    <xdr:sp macro="" textlink="">
      <xdr:nvSpPr>
        <xdr:cNvPr id="3" name="Retângulo 2">
          <a:hlinkClick r:id="rId2"/>
          <a:extLst>
            <a:ext uri="{FF2B5EF4-FFF2-40B4-BE49-F238E27FC236}"/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 fLocksWithSheet="0"/>
  </xdr:oneCellAnchor>
  <xdr:oneCellAnchor>
    <xdr:from>
      <xdr:col>4</xdr:col>
      <xdr:colOff>371475</xdr:colOff>
      <xdr:row>0</xdr:row>
      <xdr:rowOff>104775</xdr:rowOff>
    </xdr:from>
    <xdr:ext cx="971550" cy="352425"/>
    <xdr:sp macro="" textlink="">
      <xdr:nvSpPr>
        <xdr:cNvPr id="4" name="Retângulo 3">
          <a:hlinkClick r:id="rId3"/>
          <a:extLst>
            <a:ext uri="{FF2B5EF4-FFF2-40B4-BE49-F238E27FC236}"/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800"/>
            <a:t>CADASTRO DE</a:t>
          </a:r>
          <a:r>
            <a:rPr lang="pt-BR" sz="800"/>
            <a:t> PRODUTOS</a:t>
          </a:r>
          <a:endParaRPr lang="pt-BR" sz="800"/>
        </a:p>
      </xdr:txBody>
    </xdr:sp>
    <xdr:clientData fLocksWithSheet="0"/>
  </xdr:oneCellAnchor>
  <xdr:oneCellAnchor>
    <xdr:from>
      <xdr:col>7</xdr:col>
      <xdr:colOff>295275</xdr:colOff>
      <xdr:row>0</xdr:row>
      <xdr:rowOff>104775</xdr:rowOff>
    </xdr:from>
    <xdr:ext cx="971550" cy="352425"/>
    <xdr:sp macro="" textlink="">
      <xdr:nvSpPr>
        <xdr:cNvPr id="5" name="Retângulo 4">
          <a:hlinkClick r:id="rId4"/>
          <a:extLst>
            <a:ext uri="{FF2B5EF4-FFF2-40B4-BE49-F238E27FC236}"/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 cap="flat" cmpd="sng" w="12700" algn="ctr">
          <a:solidFill>
            <a:schemeClr val="bg1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 fLocksWithSheet="0"/>
  </xdr:oneCellAnchor>
  <xdr:oneCellAnchor>
    <xdr:from>
      <xdr:col>7</xdr:col>
      <xdr:colOff>1381125</xdr:colOff>
      <xdr:row>0</xdr:row>
      <xdr:rowOff>104775</xdr:rowOff>
    </xdr:from>
    <xdr:ext cx="95250" cy="352425"/>
    <xdr:sp macro="" textlink="">
      <xdr:nvSpPr>
        <xdr:cNvPr id="7" name="Retângulo 6">
          <a:extLst>
            <a:ext uri="{FF2B5EF4-FFF2-40B4-BE49-F238E27FC236}"/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chemeClr val="accent4"/>
        </a:solidFill>
        <a:ln cap="flat" cmpd="sng" w="12700" algn="ctr">
          <a:solidFill>
            <a:schemeClr val="accent4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1" lang="pt-BR" sz="800">
              <a:solidFill>
                <a:schemeClr val="tx2"/>
              </a:solidFill>
              <a:latin typeface="+mn-lt"/>
              <a:ea typeface="+mn-ea"/>
              <a:cs typeface="+mn-cs"/>
            </a:rPr>
            <a:t>RESUMO</a:t>
          </a:r>
        </a:p>
      </xdr:txBody>
    </xdr:sp>
    <xdr:clientData fLocksWithSheet="0"/>
  </xdr:oneCellAnchor>
  <xdr:oneCellAnchor>
    <xdr:from>
      <xdr:col>3</xdr:col>
      <xdr:colOff>609600</xdr:colOff>
      <xdr:row>3</xdr:row>
      <xdr:rowOff>19050</xdr:rowOff>
    </xdr:from>
    <xdr:ext cx="904875" cy="304800"/>
    <xdr:sp macro="" textlink="">
      <xdr:nvSpPr>
        <xdr:cNvPr id="16" name="Retângulo 15">
          <a:hlinkClick r:id="rId5"/>
          <a:extLst>
            <a:ext uri="{FF2B5EF4-FFF2-40B4-BE49-F238E27FC236}"/>
          </a:extLst>
        </xdr:cNvPr>
        <xdr:cNvSpPr/>
      </xdr:nvSpPr>
      <xdr:spPr>
        <a:xfrm>
          <a:off x="3676650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1000"/>
            <a:t>Visão</a:t>
          </a:r>
          <a:r>
            <a:rPr lang="pt-BR" sz="1000"/>
            <a:t> Geral</a:t>
          </a:r>
          <a:endParaRPr lang="pt-BR" sz="1000"/>
        </a:p>
      </xdr:txBody>
    </xdr:sp>
    <xdr:clientData fLocksWithSheet="0"/>
  </xdr:oneCellAnchor>
  <xdr:oneCellAnchor>
    <xdr:from>
      <xdr:col>4</xdr:col>
      <xdr:colOff>409575</xdr:colOff>
      <xdr:row>3</xdr:row>
      <xdr:rowOff>19050</xdr:rowOff>
    </xdr:from>
    <xdr:ext cx="904875" cy="304800"/>
    <xdr:sp macro="" textlink="">
      <xdr:nvSpPr>
        <xdr:cNvPr id="17" name="Retângulo 16">
          <a:hlinkClick r:id="rId6"/>
          <a:extLst>
            <a:ext uri="{FF2B5EF4-FFF2-40B4-BE49-F238E27FC236}"/>
          </a:extLst>
        </xdr:cNvPr>
        <xdr:cNvSpPr/>
      </xdr:nvSpPr>
      <xdr:spPr>
        <a:xfrm>
          <a:off x="4700588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 cap="flat" cmpd="sng" w="12700" algn="ctr">
          <a:solidFill>
            <a:schemeClr val="bg1">
              <a:lumMod val="65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900"/>
            <a:t>Saldo Estoque</a:t>
          </a:r>
        </a:p>
      </xdr:txBody>
    </xdr:sp>
    <xdr:clientData fLocksWithSheet="0"/>
  </xdr:oneCellAnchor>
  <xdr:oneCellAnchor>
    <xdr:from>
      <xdr:col>5</xdr:col>
      <xdr:colOff>495300</xdr:colOff>
      <xdr:row>3</xdr:row>
      <xdr:rowOff>19050</xdr:rowOff>
    </xdr:from>
    <xdr:ext cx="904875" cy="304800"/>
    <xdr:sp macro="" textlink="">
      <xdr:nvSpPr>
        <xdr:cNvPr id="18" name="Retângulo 17">
          <a:extLst>
            <a:ext uri="{FF2B5EF4-FFF2-40B4-BE49-F238E27FC236}"/>
          </a:extLst>
        </xdr:cNvPr>
        <xdr:cNvSpPr/>
      </xdr:nvSpPr>
      <xdr:spPr>
        <a:xfrm>
          <a:off x="5724525" y="762000"/>
          <a:ext cx="904875" cy="304799"/>
        </a:xfrm>
        <a:prstGeom prst="rect">
          <a:avLst/>
        </a:prstGeom>
        <a:solidFill>
          <a:srgbClr val="9E2A2B"/>
        </a:solidFill>
        <a:ln cap="flat" cmpd="sng" w="12700" algn="ctr">
          <a:solidFill>
            <a:sysClr lastClr="000000" val="windowText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r>
            <a:rPr lang="pt-BR" sz="1000"/>
            <a:t>Produtos</a:t>
          </a:r>
        </a:p>
      </xdr:txBody>
    </xdr:sp>
    <xdr:clientData fLocksWithSheet="0"/>
  </xdr:oneCellAnchor>
  <xdr:oneCellAnchor>
    <xdr:from>
      <xdr:col>0</xdr:col>
      <xdr:colOff>142875</xdr:colOff>
      <xdr:row>10</xdr:row>
      <xdr:rowOff>0</xdr:rowOff>
    </xdr:from>
    <xdr:ext cx="5591175" cy="2514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657225</xdr:colOff>
      <xdr:row>9</xdr:row>
      <xdr:rowOff>180975</xdr:rowOff>
    </xdr:from>
    <xdr:ext cx="3571875" cy="25336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10</xdr:col>
      <xdr:colOff>95250</xdr:colOff>
      <xdr:row>0</xdr:row>
      <xdr:rowOff>161925</xdr:rowOff>
    </xdr:from>
    <xdr:ext cx="323850" cy="257175"/>
    <xdr:pic>
      <xdr:nvPicPr>
        <xdr:cNvPr id="0" name="image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504825" cy="504825"/>
    <xdr:pic>
      <xdr:nvPicPr>
        <xdr:cNvPr id="0" name="image2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5</xdr:row>
      <xdr:rowOff>85725</xdr:rowOff>
    </xdr:from>
    <xdr:ext cx="8305800" cy="24384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171450</xdr:colOff>
      <xdr:row>21</xdr:row>
      <xdr:rowOff>47625</xdr:rowOff>
    </xdr:from>
    <xdr:ext cx="8315325" cy="2638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180975</xdr:colOff>
      <xdr:row>41</xdr:row>
      <xdr:rowOff>19050</xdr:rowOff>
    </xdr:from>
    <xdr:ext cx="6934200" cy="23622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PSS10@UOL.COM.BR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adryanadyas39@gmail.com" TargetMode="External"/><Relationship Id="rId2" Type="http://schemas.openxmlformats.org/officeDocument/2006/relationships/hyperlink" Target="mailto:raquelnathalia57@gmail.com" TargetMode="External"/><Relationship Id="rId3" Type="http://schemas.openxmlformats.org/officeDocument/2006/relationships/hyperlink" Target="mailto:denilsoncarneirodurval@gmail.com" TargetMode="External"/><Relationship Id="rId4" Type="http://schemas.openxmlformats.org/officeDocument/2006/relationships/hyperlink" Target="mailto:edson.ferre@globomail.com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7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18" width="9.71"/>
    <col customWidth="1" min="19" max="22" width="8.71"/>
  </cols>
  <sheetData>
    <row r="1" ht="39.75" customHeight="1">
      <c r="A1" s="3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3">
      <c r="B3" t="s">
        <v>1</v>
      </c>
    </row>
    <row r="6" ht="90.75" customHeight="1">
      <c r="B6" s="5" t="s">
        <v>2</v>
      </c>
      <c r="C6" s="6" t="s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/>
    </row>
    <row r="8" ht="153.0" customHeight="1">
      <c r="B8" s="9" t="s">
        <v>4</v>
      </c>
      <c r="C8" s="6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/>
    </row>
    <row r="10" ht="152.25" customHeight="1">
      <c r="B10" s="9" t="s">
        <v>6</v>
      </c>
      <c r="C10" s="6" t="s">
        <v>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8"/>
    </row>
    <row r="12" ht="150.75" customHeight="1">
      <c r="B12" s="9" t="s">
        <v>8</v>
      </c>
      <c r="C12" s="6" t="s">
        <v>9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/>
    </row>
    <row r="14" ht="150.0" customHeight="1">
      <c r="B14" s="9" t="s">
        <v>10</v>
      </c>
      <c r="C14" s="6" t="s">
        <v>11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/>
    </row>
    <row r="16" ht="298.5" customHeight="1">
      <c r="B16" s="9" t="s">
        <v>12</v>
      </c>
      <c r="C16" s="6" t="s">
        <v>13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/>
    </row>
    <row r="18" ht="381.75" customHeight="1">
      <c r="B18" s="9" t="s">
        <v>14</v>
      </c>
      <c r="C18" s="6" t="s">
        <v>15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/>
    </row>
    <row r="20" ht="90.75" customHeight="1">
      <c r="B20" s="9" t="s">
        <v>16</v>
      </c>
      <c r="C20" s="6" t="s">
        <v>17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C16:R16"/>
    <mergeCell ref="C18:R18"/>
    <mergeCell ref="C20:R20"/>
    <mergeCell ref="C6:R6"/>
    <mergeCell ref="C8:R8"/>
    <mergeCell ref="C10:R10"/>
    <mergeCell ref="C12:R12"/>
    <mergeCell ref="C14:R14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86"/>
    <col customWidth="1" min="2" max="2" width="21.86"/>
    <col customWidth="1" min="3" max="3" width="24.43"/>
    <col customWidth="1" min="4" max="4" width="28.57"/>
    <col customWidth="1" min="5" max="6" width="22.86"/>
    <col customWidth="1" min="7" max="7" width="24.43"/>
    <col customWidth="1" min="8" max="8" width="25.29"/>
    <col customWidth="1" min="9" max="9" width="11.71"/>
    <col customWidth="1" min="10" max="11" width="8.71"/>
  </cols>
  <sheetData>
    <row r="1" ht="39.75" customHeight="1">
      <c r="A1" s="1"/>
      <c r="B1" s="1"/>
      <c r="C1" s="10" t="s">
        <v>18</v>
      </c>
      <c r="D1" s="1"/>
      <c r="E1" s="1"/>
      <c r="F1" s="1"/>
      <c r="G1" s="1"/>
      <c r="H1" s="1"/>
      <c r="I1" s="1"/>
      <c r="J1" s="1"/>
      <c r="K1" s="1"/>
    </row>
    <row r="2" ht="3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5">
      <c r="B5" s="12"/>
      <c r="C5" s="13"/>
      <c r="D5" s="13"/>
      <c r="E5" s="13"/>
      <c r="F5" s="13"/>
      <c r="G5" s="13"/>
    </row>
    <row r="6" ht="35.25" customHeight="1">
      <c r="B6" s="14" t="s">
        <v>19</v>
      </c>
      <c r="C6" s="14" t="s">
        <v>20</v>
      </c>
      <c r="D6" s="14" t="s">
        <v>21</v>
      </c>
      <c r="E6" s="14" t="s">
        <v>22</v>
      </c>
      <c r="F6" s="14" t="s">
        <v>23</v>
      </c>
      <c r="G6" s="14" t="s">
        <v>24</v>
      </c>
    </row>
    <row r="7">
      <c r="B7" s="15" t="s">
        <v>25</v>
      </c>
      <c r="C7" s="16"/>
      <c r="D7" s="16"/>
      <c r="E7" s="16"/>
      <c r="F7" s="17"/>
      <c r="G7" s="17"/>
    </row>
    <row r="8">
      <c r="B8" s="15" t="s">
        <v>26</v>
      </c>
      <c r="C8" s="16"/>
      <c r="D8" s="16"/>
      <c r="E8" s="16"/>
      <c r="F8" s="17"/>
      <c r="G8" s="17"/>
    </row>
    <row r="9">
      <c r="B9" s="15" t="s">
        <v>27</v>
      </c>
      <c r="C9" s="16"/>
      <c r="D9" s="16"/>
      <c r="E9" s="16"/>
      <c r="F9" s="17"/>
      <c r="G9" s="17"/>
    </row>
    <row r="10">
      <c r="B10" s="15" t="s">
        <v>28</v>
      </c>
      <c r="C10" s="16"/>
      <c r="D10" s="16"/>
      <c r="E10" s="16"/>
      <c r="F10" s="17"/>
      <c r="G10" s="17"/>
    </row>
    <row r="11">
      <c r="B11" s="15" t="s">
        <v>29</v>
      </c>
      <c r="C11" s="16"/>
      <c r="D11" s="16"/>
      <c r="E11" s="16"/>
      <c r="F11" s="17"/>
      <c r="G11" s="17"/>
    </row>
    <row r="12">
      <c r="B12" s="15" t="s">
        <v>30</v>
      </c>
      <c r="C12" s="16">
        <v>3.3059E7</v>
      </c>
      <c r="D12" s="16" t="s">
        <v>31</v>
      </c>
      <c r="E12" s="16">
        <v>20.0</v>
      </c>
      <c r="F12" s="17">
        <v>86.61</v>
      </c>
      <c r="G12" s="17">
        <v>240.0</v>
      </c>
      <c r="H12" s="18"/>
      <c r="I12" s="18"/>
    </row>
    <row r="13">
      <c r="B13" s="15" t="s">
        <v>32</v>
      </c>
      <c r="C13" s="16"/>
      <c r="D13" s="16"/>
      <c r="E13" s="16"/>
      <c r="F13" s="17"/>
      <c r="G13" s="17"/>
    </row>
    <row r="14">
      <c r="B14" s="15" t="s">
        <v>33</v>
      </c>
      <c r="C14" s="16">
        <v>3.3059E7</v>
      </c>
      <c r="D14" s="16" t="s">
        <v>31</v>
      </c>
      <c r="E14" s="16">
        <v>20.0</v>
      </c>
      <c r="F14" s="17">
        <v>46.44</v>
      </c>
      <c r="G14" s="17">
        <v>110.0</v>
      </c>
      <c r="H14" s="18"/>
    </row>
    <row r="15">
      <c r="B15" s="15" t="s">
        <v>34</v>
      </c>
      <c r="C15" s="16"/>
      <c r="D15" s="16"/>
      <c r="E15" s="16"/>
      <c r="F15" s="17"/>
      <c r="G15" s="17"/>
      <c r="J15" s="18"/>
    </row>
    <row r="16">
      <c r="B16" s="15" t="s">
        <v>35</v>
      </c>
      <c r="C16" s="16"/>
      <c r="D16" s="16"/>
      <c r="E16" s="16"/>
      <c r="F16" s="17"/>
      <c r="G16" s="17"/>
      <c r="H16" s="18"/>
    </row>
    <row r="17">
      <c r="B17" s="15" t="s">
        <v>36</v>
      </c>
      <c r="C17" s="16"/>
      <c r="D17" s="16"/>
      <c r="E17" s="16"/>
      <c r="F17" s="17"/>
      <c r="G17" s="17"/>
      <c r="J17" s="18"/>
    </row>
    <row r="18">
      <c r="B18" s="15" t="s">
        <v>37</v>
      </c>
      <c r="C18" s="16"/>
      <c r="D18" s="16"/>
      <c r="E18" s="16"/>
      <c r="F18" s="17"/>
      <c r="G18" s="17"/>
    </row>
    <row r="19">
      <c r="B19" s="15" t="s">
        <v>38</v>
      </c>
      <c r="C19" s="16"/>
      <c r="D19" s="16"/>
      <c r="E19" s="16"/>
      <c r="F19" s="17"/>
      <c r="G19" s="17"/>
    </row>
    <row r="20">
      <c r="B20" s="15" t="s">
        <v>39</v>
      </c>
      <c r="C20" s="16"/>
      <c r="D20" s="16"/>
      <c r="E20" s="16"/>
      <c r="F20" s="17"/>
      <c r="G20" s="17"/>
    </row>
    <row r="21" ht="15.75" customHeight="1">
      <c r="B21" s="15" t="s">
        <v>40</v>
      </c>
      <c r="C21" s="16"/>
      <c r="D21" s="16"/>
      <c r="E21" s="16"/>
      <c r="F21" s="17"/>
      <c r="G21" s="17"/>
    </row>
    <row r="22" ht="15.75" customHeight="1">
      <c r="B22" s="15" t="s">
        <v>41</v>
      </c>
      <c r="C22" s="16"/>
      <c r="D22" s="16"/>
      <c r="E22" s="16"/>
      <c r="F22" s="17"/>
      <c r="G22" s="17"/>
    </row>
    <row r="23" ht="15.75" customHeight="1">
      <c r="B23" s="15" t="s">
        <v>42</v>
      </c>
      <c r="C23" s="16"/>
      <c r="D23" s="16"/>
      <c r="E23" s="16"/>
      <c r="F23" s="17"/>
      <c r="G23" s="17"/>
    </row>
    <row r="24" ht="15.75" customHeight="1">
      <c r="B24" s="15" t="s">
        <v>43</v>
      </c>
      <c r="C24" s="16"/>
      <c r="D24" s="16"/>
      <c r="E24" s="16"/>
      <c r="F24" s="17"/>
      <c r="G24" s="17"/>
    </row>
    <row r="25" ht="15.75" customHeight="1">
      <c r="B25" s="15" t="s">
        <v>44</v>
      </c>
      <c r="C25" s="16"/>
      <c r="D25" s="16"/>
      <c r="E25" s="16"/>
      <c r="F25" s="17"/>
      <c r="G25" s="17"/>
    </row>
    <row r="26" ht="15.75" customHeight="1">
      <c r="B26" s="15" t="s">
        <v>45</v>
      </c>
      <c r="C26" s="16"/>
      <c r="D26" s="16"/>
      <c r="E26" s="16"/>
      <c r="F26" s="17"/>
      <c r="G26" s="17"/>
    </row>
    <row r="27" ht="15.75" customHeight="1">
      <c r="B27" s="15" t="s">
        <v>46</v>
      </c>
      <c r="C27" s="16"/>
      <c r="D27" s="16"/>
      <c r="E27" s="16"/>
      <c r="F27" s="17"/>
      <c r="G27" s="17"/>
    </row>
    <row r="28" ht="15.75" customHeight="1">
      <c r="B28" s="15" t="s">
        <v>47</v>
      </c>
      <c r="C28" s="16"/>
      <c r="D28" s="16"/>
      <c r="E28" s="16"/>
      <c r="F28" s="17"/>
      <c r="G28" s="17"/>
    </row>
    <row r="29" ht="15.75" customHeight="1">
      <c r="B29" s="15" t="s">
        <v>48</v>
      </c>
      <c r="C29" s="16"/>
      <c r="D29" s="16"/>
      <c r="E29" s="16"/>
      <c r="F29" s="17"/>
      <c r="G29" s="17"/>
    </row>
    <row r="30" ht="15.75" customHeight="1">
      <c r="B30" s="15" t="s">
        <v>49</v>
      </c>
      <c r="C30" s="16"/>
      <c r="D30" s="16"/>
      <c r="E30" s="16"/>
      <c r="F30" s="17"/>
      <c r="G30" s="17"/>
    </row>
    <row r="31" ht="15.75" customHeight="1">
      <c r="B31" s="15" t="s">
        <v>50</v>
      </c>
      <c r="C31" s="16"/>
      <c r="D31" s="16"/>
      <c r="E31" s="16"/>
      <c r="F31" s="17"/>
      <c r="G31" s="17"/>
    </row>
    <row r="32" ht="15.75" customHeight="1">
      <c r="B32" s="15" t="s">
        <v>51</v>
      </c>
      <c r="C32" s="16"/>
      <c r="D32" s="16"/>
      <c r="E32" s="16"/>
      <c r="F32" s="17"/>
      <c r="G32" s="17"/>
    </row>
    <row r="33" ht="15.75" customHeight="1">
      <c r="B33" s="15" t="s">
        <v>52</v>
      </c>
      <c r="C33" s="16"/>
      <c r="D33" s="16"/>
      <c r="E33" s="16"/>
      <c r="F33" s="17"/>
      <c r="G33" s="17"/>
    </row>
    <row r="34" ht="15.75" customHeight="1">
      <c r="B34" s="15" t="s">
        <v>53</v>
      </c>
      <c r="C34" s="16"/>
      <c r="D34" s="16"/>
      <c r="E34" s="16"/>
      <c r="F34" s="17"/>
      <c r="G34" s="17"/>
    </row>
    <row r="35" ht="15.75" customHeight="1">
      <c r="B35" s="15" t="s">
        <v>54</v>
      </c>
      <c r="C35" s="16"/>
      <c r="D35" s="16"/>
      <c r="E35" s="16"/>
      <c r="F35" s="17"/>
      <c r="G35" s="17"/>
    </row>
    <row r="36" ht="15.75" customHeight="1">
      <c r="B36" s="15" t="s">
        <v>55</v>
      </c>
      <c r="C36" s="16"/>
      <c r="D36" s="16"/>
      <c r="E36" s="16"/>
      <c r="F36" s="17"/>
      <c r="G36" s="17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custom" allowBlank="1" showInputMessage="1" showErrorMessage="1" prompt="ITEM JÁ EXISTE - O item que você tentou adicionar já foi adicionado anteriormente." sqref="B7:B36">
      <formula1>COUNTIF(INDIRECT("PRODUTO[Item]"),$B7)&lt;2</formula1>
    </dataValidation>
    <dataValidation type="custom" allowBlank="1" showInputMessage="1" showErrorMessage="1" prompt="CÓDIGO JÁ EXISTE - O código que você tentou adicionar já foi adicionado anteriormente." sqref="C7:C36">
      <formula1>COUNTIF(INDIRECT("PRODUTO['# Código Produto]"),$C7)&lt;2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86"/>
    <col customWidth="1" min="2" max="2" width="17.71"/>
    <col customWidth="1" min="3" max="3" width="24.43"/>
    <col customWidth="1" min="4" max="4" width="28.57"/>
    <col customWidth="1" min="5" max="5" width="46.57"/>
    <col customWidth="1" min="6" max="6" width="22.86"/>
    <col customWidth="1" min="7" max="7" width="24.43"/>
    <col customWidth="1" min="8" max="11" width="8.71"/>
  </cols>
  <sheetData>
    <row r="1" ht="39.75" customHeight="1">
      <c r="A1" s="1"/>
      <c r="B1" s="1"/>
      <c r="C1" s="10" t="s">
        <v>56</v>
      </c>
      <c r="D1" s="1"/>
      <c r="E1" s="1"/>
      <c r="F1" s="1"/>
      <c r="G1" s="1"/>
      <c r="H1" s="1"/>
      <c r="I1" s="1"/>
      <c r="J1" s="1"/>
      <c r="K1" s="1"/>
    </row>
    <row r="2" ht="3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5">
      <c r="B5" s="12"/>
      <c r="C5" s="13"/>
      <c r="D5" s="13"/>
      <c r="E5" s="13"/>
      <c r="F5" s="13"/>
      <c r="G5" s="13"/>
    </row>
    <row r="6" ht="35.25" customHeight="1">
      <c r="B6" s="14" t="s">
        <v>57</v>
      </c>
      <c r="C6" s="14" t="s">
        <v>58</v>
      </c>
      <c r="D6" s="14" t="s">
        <v>59</v>
      </c>
      <c r="E6" s="14" t="s">
        <v>60</v>
      </c>
      <c r="F6" s="14" t="s">
        <v>61</v>
      </c>
    </row>
    <row r="7">
      <c r="B7" s="15" t="s">
        <v>62</v>
      </c>
      <c r="C7" s="16"/>
      <c r="D7" s="19" t="s">
        <v>63</v>
      </c>
      <c r="E7" s="16" t="s">
        <v>64</v>
      </c>
      <c r="F7" s="20" t="str">
        <f>IF(FORN!$B7&lt;&gt;"",SUMIF(ENTRADAS!$D$7:$D$57,FORN!$B7,ENTRADAS!$G$7:$G$57),"")</f>
        <v>R$ 66,525.00</v>
      </c>
    </row>
    <row r="8">
      <c r="B8" s="15"/>
      <c r="C8" s="16"/>
      <c r="D8" s="19"/>
      <c r="E8" s="16"/>
      <c r="F8" s="20" t="str">
        <f>IF(FORN!$B8&lt;&gt;"",SUMIF(ENTRADAS!$D$7:$D$57,FORN!$B8,ENTRADAS!$G$7:$G$57),"")</f>
        <v/>
      </c>
    </row>
    <row r="9">
      <c r="B9" s="15"/>
      <c r="C9" s="16"/>
      <c r="D9" s="19"/>
      <c r="E9" s="16"/>
      <c r="F9" s="20" t="str">
        <f>IF(FORN!$B9&lt;&gt;"",SUMIF(ENTRADAS!$D$7:$D$57,FORN!$B9,ENTRADAS!$G$7:$G$57),"")</f>
        <v/>
      </c>
    </row>
    <row r="10">
      <c r="B10" s="15"/>
      <c r="C10" s="16"/>
      <c r="D10" s="19"/>
      <c r="E10" s="16"/>
      <c r="F10" s="20" t="str">
        <f>IF(FORN!$B10&lt;&gt;"",SUMIF(ENTRADAS!$D$7:$D$57,FORN!$B10,ENTRADAS!$G$7:$G$57),"")</f>
        <v/>
      </c>
    </row>
    <row r="11">
      <c r="B11" s="15"/>
      <c r="C11" s="16"/>
      <c r="D11" s="19"/>
      <c r="E11" s="16"/>
      <c r="F11" s="20" t="str">
        <f>IF(FORN!$B11&lt;&gt;"",SUMIF(ENTRADAS!$D$7:$D$57,FORN!$B11,ENTRADAS!$G$7:$G$57),"")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custom" allowBlank="1" showErrorMessage="1" sqref="B7:B11">
      <formula1>COUNTIF(INDIRECT("FORNECEDORES[Empresa]"),$B7)&lt;2</formula1>
    </dataValidation>
  </dataValidations>
  <hyperlinks>
    <hyperlink r:id="rId1" ref="D7"/>
  </hyperlinks>
  <printOptions/>
  <pageMargins bottom="0.787401575" footer="0.0" header="0.0" left="0.511811024" right="0.511811024" top="0.7874015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86"/>
    <col customWidth="1" min="2" max="2" width="17.71"/>
    <col customWidth="1" min="3" max="3" width="24.43"/>
    <col customWidth="1" min="4" max="4" width="28.57"/>
    <col customWidth="1" min="5" max="5" width="46.57"/>
    <col customWidth="1" min="6" max="6" width="52.71"/>
    <col customWidth="1" min="7" max="7" width="24.43"/>
    <col customWidth="1" min="8" max="11" width="8.71"/>
  </cols>
  <sheetData>
    <row r="1" ht="39.75" customHeight="1">
      <c r="A1" s="1"/>
      <c r="B1" s="1"/>
      <c r="C1" s="10" t="s">
        <v>65</v>
      </c>
      <c r="D1" s="1"/>
      <c r="E1" s="1"/>
      <c r="F1" s="1"/>
      <c r="G1" s="1"/>
      <c r="H1" s="1"/>
      <c r="I1" s="1"/>
      <c r="J1" s="1"/>
      <c r="K1" s="1"/>
    </row>
    <row r="2" ht="3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5">
      <c r="B5" s="12"/>
      <c r="C5" s="13"/>
      <c r="D5" s="13"/>
      <c r="E5" s="13"/>
      <c r="F5" s="13"/>
      <c r="G5" s="13"/>
    </row>
    <row r="6" ht="35.25" customHeight="1">
      <c r="B6" s="14" t="s">
        <v>66</v>
      </c>
      <c r="C6" s="14" t="s">
        <v>67</v>
      </c>
      <c r="D6" s="14" t="s">
        <v>58</v>
      </c>
      <c r="E6" s="14" t="s">
        <v>59</v>
      </c>
      <c r="F6" s="14" t="s">
        <v>60</v>
      </c>
      <c r="G6" s="14" t="s">
        <v>68</v>
      </c>
    </row>
    <row r="7">
      <c r="B7" s="15" t="s">
        <v>69</v>
      </c>
      <c r="C7" s="15" t="s">
        <v>70</v>
      </c>
      <c r="D7" s="16" t="s">
        <v>71</v>
      </c>
      <c r="E7" s="19" t="s">
        <v>72</v>
      </c>
      <c r="F7" s="21" t="s">
        <v>73</v>
      </c>
      <c r="G7" s="20" t="str">
        <f>IF(LOJAS!$B7&lt;&gt;"",SUMIF('SAÍDAS'!$D$7:$D$76,LOJAS!$B7,'SAÍDAS'!$K$7:$K$76),"")</f>
        <v>R$ 0.00</v>
      </c>
    </row>
    <row r="8">
      <c r="B8" s="15" t="s">
        <v>74</v>
      </c>
      <c r="C8" s="15" t="s">
        <v>75</v>
      </c>
      <c r="D8" s="16" t="s">
        <v>76</v>
      </c>
      <c r="E8" s="19" t="s">
        <v>77</v>
      </c>
      <c r="F8" s="21" t="s">
        <v>78</v>
      </c>
      <c r="G8" s="20" t="str">
        <f>IF(LOJAS!$B8&lt;&gt;"",SUMIF('SAÍDAS'!$D$7:$D$76,LOJAS!$B8,'SAÍDAS'!$K$7:$K$76),"")</f>
        <v>R$ 0.00</v>
      </c>
    </row>
    <row r="9">
      <c r="B9" s="15" t="s">
        <v>79</v>
      </c>
      <c r="C9" s="15" t="s">
        <v>80</v>
      </c>
      <c r="D9" s="16" t="s">
        <v>81</v>
      </c>
      <c r="E9" s="19" t="s">
        <v>82</v>
      </c>
      <c r="F9" s="21"/>
      <c r="G9" s="20" t="str">
        <f>IF(LOJAS!$B9&lt;&gt;"",SUMIF('SAÍDAS'!$D$7:$D$76,LOJAS!$B9,'SAÍDAS'!$K$7:$K$76),"")</f>
        <v>R$ 0.00</v>
      </c>
    </row>
    <row r="10">
      <c r="B10" s="15" t="s">
        <v>83</v>
      </c>
      <c r="C10" s="15" t="s">
        <v>84</v>
      </c>
      <c r="D10" s="16" t="s">
        <v>85</v>
      </c>
      <c r="E10" s="19" t="s">
        <v>86</v>
      </c>
      <c r="F10" s="21" t="s">
        <v>87</v>
      </c>
      <c r="G10" s="20" t="str">
        <f>IF(LOJAS!$B10&lt;&gt;"",SUMIF('SAÍDAS'!$D$7:$D$76,LOJAS!$B10,'SAÍDAS'!$K$7:$K$76),"")</f>
        <v>R$ 0.00</v>
      </c>
    </row>
    <row r="11">
      <c r="B11" s="15"/>
      <c r="C11" s="15"/>
      <c r="D11" s="16"/>
      <c r="E11" s="19"/>
      <c r="F11" s="21"/>
      <c r="G11" s="22" t="str">
        <f>IF(LOJAS!$B11&lt;&gt;"",SUMIF('SAÍDAS'!$D$7:$D$76,LOJAS!$B11,'SAÍDAS'!$K$7:$K$76),"")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custom" allowBlank="1" showInputMessage="1" showErrorMessage="1" prompt="LOJA JÁ CADASTRADA - Esta loja já foi cadastrada anteriormente." sqref="B7:C11">
      <formula1>COUNTIF(INDIRECT("LOJAS[Loja]"),$B7)&lt;2</formula1>
    </dataValidation>
  </dataValidations>
  <hyperlinks>
    <hyperlink r:id="rId1" ref="E7"/>
    <hyperlink r:id="rId2" ref="E8"/>
    <hyperlink r:id="rId3" ref="E9"/>
    <hyperlink r:id="rId4" ref="E10"/>
  </hyperlinks>
  <printOptions/>
  <pageMargins bottom="0.787401575" footer="0.0" header="0.0" left="0.511811024" right="0.511811024" top="0.787401575"/>
  <pageSetup paperSize="9" orientation="portrait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86"/>
    <col customWidth="1" min="2" max="2" width="17.71"/>
    <col customWidth="1" min="3" max="3" width="24.43"/>
    <col customWidth="1" min="4" max="4" width="28.57"/>
    <col customWidth="1" min="5" max="6" width="22.86"/>
    <col customWidth="1" min="7" max="7" width="24.43"/>
    <col customWidth="1" min="8" max="11" width="8.71"/>
  </cols>
  <sheetData>
    <row r="1" ht="39.75" customHeight="1">
      <c r="A1" s="1"/>
      <c r="B1" s="1"/>
      <c r="C1" s="10" t="s">
        <v>88</v>
      </c>
      <c r="D1" s="1"/>
      <c r="E1" s="1"/>
      <c r="F1" s="1"/>
      <c r="G1" s="1"/>
      <c r="H1" s="1"/>
      <c r="I1" s="1"/>
      <c r="J1" s="1"/>
      <c r="K1" s="1"/>
    </row>
    <row r="2" ht="3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5">
      <c r="B5" s="12"/>
      <c r="C5" s="13"/>
      <c r="D5" s="13"/>
      <c r="E5" s="13"/>
      <c r="F5" s="13"/>
      <c r="G5" s="13"/>
    </row>
    <row r="6" ht="35.25" customHeight="1">
      <c r="B6" s="14" t="s">
        <v>89</v>
      </c>
      <c r="C6" s="14" t="s">
        <v>90</v>
      </c>
      <c r="D6" s="14" t="s">
        <v>91</v>
      </c>
      <c r="E6" s="14" t="s">
        <v>92</v>
      </c>
      <c r="F6" s="14" t="s">
        <v>23</v>
      </c>
      <c r="G6" s="14" t="s">
        <v>93</v>
      </c>
    </row>
    <row r="7">
      <c r="B7" s="15">
        <v>44208.0</v>
      </c>
      <c r="C7" s="16" t="s">
        <v>30</v>
      </c>
      <c r="D7" s="16" t="s">
        <v>62</v>
      </c>
      <c r="E7" s="16">
        <v>300.0</v>
      </c>
      <c r="F7" s="22" t="str">
        <f>VLOOKUP(ENTRADAS!$C7,PROD!$B$7:$G$36,5,0)</f>
        <v>R$ 86.61</v>
      </c>
      <c r="G7" s="22" t="str">
        <f t="shared" ref="G7:G57" si="1">F7*E7</f>
        <v>R$ 25,983.00</v>
      </c>
    </row>
    <row r="8">
      <c r="B8" s="15">
        <v>44208.0</v>
      </c>
      <c r="C8" s="16" t="s">
        <v>33</v>
      </c>
      <c r="D8" s="16" t="s">
        <v>62</v>
      </c>
      <c r="E8" s="16">
        <v>300.0</v>
      </c>
      <c r="F8" s="22" t="str">
        <f>VLOOKUP(ENTRADAS!$C8,PROD!$B$7:$G$36,5,0)</f>
        <v>R$ 46.44</v>
      </c>
      <c r="G8" s="22" t="str">
        <f t="shared" si="1"/>
        <v>R$ 13,932.00</v>
      </c>
    </row>
    <row r="9">
      <c r="B9" s="15">
        <v>44208.0</v>
      </c>
      <c r="C9" s="16" t="s">
        <v>30</v>
      </c>
      <c r="D9" s="16" t="s">
        <v>62</v>
      </c>
      <c r="E9" s="16">
        <v>100.0</v>
      </c>
      <c r="F9" s="22" t="str">
        <f>VLOOKUP(ENTRADAS!$C9,PROD!$B$7:$G$36,5,0)</f>
        <v>R$ 86.61</v>
      </c>
      <c r="G9" s="22" t="str">
        <f t="shared" si="1"/>
        <v>R$ 8,661.00</v>
      </c>
    </row>
    <row r="10">
      <c r="B10" s="15">
        <v>44208.0</v>
      </c>
      <c r="C10" s="16" t="s">
        <v>33</v>
      </c>
      <c r="D10" s="16" t="s">
        <v>62</v>
      </c>
      <c r="E10" s="16">
        <v>100.0</v>
      </c>
      <c r="F10" s="22" t="str">
        <f>VLOOKUP(ENTRADAS!$C10,PROD!$B$7:$G$36,5,0)</f>
        <v>R$ 46.44</v>
      </c>
      <c r="G10" s="22" t="str">
        <f t="shared" si="1"/>
        <v>R$ 4,644.00</v>
      </c>
    </row>
    <row r="11">
      <c r="B11" s="15">
        <v>44208.0</v>
      </c>
      <c r="C11" s="16" t="s">
        <v>30</v>
      </c>
      <c r="D11" s="16" t="s">
        <v>62</v>
      </c>
      <c r="E11" s="16">
        <v>100.0</v>
      </c>
      <c r="F11" s="22" t="str">
        <f>VLOOKUP(ENTRADAS!$C11,PROD!$B$7:$G$36,5,0)</f>
        <v>R$ 86.61</v>
      </c>
      <c r="G11" s="22" t="str">
        <f t="shared" si="1"/>
        <v>R$ 8,661.00</v>
      </c>
    </row>
    <row r="12">
      <c r="B12" s="15">
        <v>44208.0</v>
      </c>
      <c r="C12" s="16" t="s">
        <v>33</v>
      </c>
      <c r="D12" s="16" t="s">
        <v>62</v>
      </c>
      <c r="E12" s="16">
        <v>100.0</v>
      </c>
      <c r="F12" s="22" t="str">
        <f>VLOOKUP(ENTRADAS!$C12,PROD!$B$7:$G$36,5,0)</f>
        <v>R$ 46.44</v>
      </c>
      <c r="G12" s="22" t="str">
        <f t="shared" si="1"/>
        <v>R$ 4,644.00</v>
      </c>
    </row>
    <row r="13">
      <c r="B13" s="15"/>
      <c r="C13" s="16"/>
      <c r="D13" s="16"/>
      <c r="E13" s="16"/>
      <c r="F13" s="22" t="str">
        <f>VLOOKUP(ENTRADAS!$C13,PROD!$B$7:$G$36,5,0)</f>
        <v>#N/A</v>
      </c>
      <c r="G13" s="22" t="str">
        <f t="shared" si="1"/>
        <v>#N/A</v>
      </c>
    </row>
    <row r="14">
      <c r="B14" s="15"/>
      <c r="C14" s="16"/>
      <c r="D14" s="16"/>
      <c r="E14" s="16"/>
      <c r="F14" s="22" t="str">
        <f>VLOOKUP(ENTRADAS!$C14,PROD!$B$7:$G$36,5,0)</f>
        <v>#N/A</v>
      </c>
      <c r="G14" s="22" t="str">
        <f t="shared" si="1"/>
        <v>#N/A</v>
      </c>
    </row>
    <row r="15">
      <c r="B15" s="15"/>
      <c r="C15" s="16"/>
      <c r="D15" s="16"/>
      <c r="E15" s="16"/>
      <c r="F15" s="22" t="str">
        <f>VLOOKUP(ENTRADAS!$C15,PROD!$B$7:$G$36,5,0)</f>
        <v>#N/A</v>
      </c>
      <c r="G15" s="22" t="str">
        <f t="shared" si="1"/>
        <v>#N/A</v>
      </c>
    </row>
    <row r="16">
      <c r="B16" s="15"/>
      <c r="C16" s="16"/>
      <c r="D16" s="16"/>
      <c r="E16" s="16"/>
      <c r="F16" s="22" t="str">
        <f>VLOOKUP(ENTRADAS!$C16,PROD!$B$7:$G$36,5,0)</f>
        <v>#N/A</v>
      </c>
      <c r="G16" s="22" t="str">
        <f t="shared" si="1"/>
        <v>#N/A</v>
      </c>
    </row>
    <row r="17">
      <c r="B17" s="15"/>
      <c r="C17" s="16"/>
      <c r="D17" s="16"/>
      <c r="E17" s="16"/>
      <c r="F17" s="22" t="str">
        <f>VLOOKUP(ENTRADAS!$C17,PROD!$B$7:$G$36,5,0)</f>
        <v>#N/A</v>
      </c>
      <c r="G17" s="22" t="str">
        <f t="shared" si="1"/>
        <v>#N/A</v>
      </c>
    </row>
    <row r="18">
      <c r="B18" s="15"/>
      <c r="C18" s="16"/>
      <c r="D18" s="16"/>
      <c r="E18" s="16"/>
      <c r="F18" s="22" t="str">
        <f>VLOOKUP(ENTRADAS!$C18,PROD!$B$7:$G$36,5,0)</f>
        <v>#N/A</v>
      </c>
      <c r="G18" s="22" t="str">
        <f t="shared" si="1"/>
        <v>#N/A</v>
      </c>
    </row>
    <row r="19">
      <c r="B19" s="15"/>
      <c r="C19" s="16"/>
      <c r="D19" s="16"/>
      <c r="E19" s="16"/>
      <c r="F19" s="22" t="str">
        <f>VLOOKUP(ENTRADAS!$C19,PROD!$B$7:$G$36,5,0)</f>
        <v>#N/A</v>
      </c>
      <c r="G19" s="22" t="str">
        <f t="shared" si="1"/>
        <v>#N/A</v>
      </c>
    </row>
    <row r="20">
      <c r="B20" s="15"/>
      <c r="C20" s="16"/>
      <c r="D20" s="16"/>
      <c r="E20" s="16"/>
      <c r="F20" s="22" t="str">
        <f>VLOOKUP(ENTRADAS!$C20,PROD!$B$7:$G$36,5,0)</f>
        <v>#N/A</v>
      </c>
      <c r="G20" s="22" t="str">
        <f t="shared" si="1"/>
        <v>#N/A</v>
      </c>
    </row>
    <row r="21" ht="15.75" customHeight="1">
      <c r="B21" s="15"/>
      <c r="C21" s="16"/>
      <c r="D21" s="16"/>
      <c r="E21" s="16"/>
      <c r="F21" s="22" t="str">
        <f>VLOOKUP(ENTRADAS!$C21,PROD!$B$7:$G$36,5,0)</f>
        <v>#N/A</v>
      </c>
      <c r="G21" s="22" t="str">
        <f t="shared" si="1"/>
        <v>#N/A</v>
      </c>
    </row>
    <row r="22" ht="15.75" customHeight="1">
      <c r="B22" s="15"/>
      <c r="C22" s="16"/>
      <c r="D22" s="16"/>
      <c r="E22" s="16"/>
      <c r="F22" s="22" t="str">
        <f>VLOOKUP(ENTRADAS!$C22,PROD!$B$7:$G$36,5,0)</f>
        <v>#N/A</v>
      </c>
      <c r="G22" s="22" t="str">
        <f t="shared" si="1"/>
        <v>#N/A</v>
      </c>
    </row>
    <row r="23" ht="15.75" customHeight="1">
      <c r="B23" s="15"/>
      <c r="C23" s="16"/>
      <c r="D23" s="16"/>
      <c r="E23" s="16"/>
      <c r="F23" s="22" t="str">
        <f>VLOOKUP(ENTRADAS!$C23,PROD!$B$7:$G$36,5,0)</f>
        <v>#N/A</v>
      </c>
      <c r="G23" s="22" t="str">
        <f t="shared" si="1"/>
        <v>#N/A</v>
      </c>
    </row>
    <row r="24" ht="15.75" customHeight="1">
      <c r="B24" s="15"/>
      <c r="C24" s="16"/>
      <c r="D24" s="16"/>
      <c r="E24" s="16"/>
      <c r="F24" s="22" t="str">
        <f>VLOOKUP(ENTRADAS!$C24,PROD!$B$7:$G$36,5,0)</f>
        <v>#N/A</v>
      </c>
      <c r="G24" s="22" t="str">
        <f t="shared" si="1"/>
        <v>#N/A</v>
      </c>
    </row>
    <row r="25" ht="15.75" customHeight="1">
      <c r="B25" s="15"/>
      <c r="C25" s="16"/>
      <c r="D25" s="16"/>
      <c r="E25" s="16"/>
      <c r="F25" s="22" t="str">
        <f>VLOOKUP(ENTRADAS!$C25,PROD!$B$7:$G$36,5,0)</f>
        <v>#N/A</v>
      </c>
      <c r="G25" s="22" t="str">
        <f t="shared" si="1"/>
        <v>#N/A</v>
      </c>
    </row>
    <row r="26" ht="15.75" customHeight="1">
      <c r="B26" s="15"/>
      <c r="C26" s="16"/>
      <c r="D26" s="16"/>
      <c r="E26" s="16"/>
      <c r="F26" s="22" t="str">
        <f>VLOOKUP(ENTRADAS!$C26,PROD!$B$7:$G$36,5,0)</f>
        <v>#N/A</v>
      </c>
      <c r="G26" s="22" t="str">
        <f t="shared" si="1"/>
        <v>#N/A</v>
      </c>
    </row>
    <row r="27" ht="15.75" customHeight="1">
      <c r="B27" s="15"/>
      <c r="C27" s="16"/>
      <c r="D27" s="16"/>
      <c r="E27" s="16"/>
      <c r="F27" s="22" t="str">
        <f>VLOOKUP(ENTRADAS!$C27,PROD!$B$7:$G$36,5,0)</f>
        <v>#N/A</v>
      </c>
      <c r="G27" s="22" t="str">
        <f t="shared" si="1"/>
        <v>#N/A</v>
      </c>
    </row>
    <row r="28" ht="15.75" customHeight="1">
      <c r="B28" s="15"/>
      <c r="C28" s="16"/>
      <c r="D28" s="16"/>
      <c r="E28" s="16"/>
      <c r="F28" s="22" t="str">
        <f>VLOOKUP(ENTRADAS!$C28,PROD!$B$7:$G$36,5,0)</f>
        <v>#N/A</v>
      </c>
      <c r="G28" s="22" t="str">
        <f t="shared" si="1"/>
        <v>#N/A</v>
      </c>
    </row>
    <row r="29" ht="15.75" customHeight="1">
      <c r="B29" s="15"/>
      <c r="C29" s="16"/>
      <c r="D29" s="16"/>
      <c r="E29" s="16"/>
      <c r="F29" s="22" t="str">
        <f>VLOOKUP(ENTRADAS!$C29,PROD!$B$7:$G$36,5,0)</f>
        <v>#N/A</v>
      </c>
      <c r="G29" s="22" t="str">
        <f t="shared" si="1"/>
        <v>#N/A</v>
      </c>
    </row>
    <row r="30" ht="15.75" customHeight="1">
      <c r="B30" s="15"/>
      <c r="C30" s="16"/>
      <c r="D30" s="16"/>
      <c r="E30" s="16"/>
      <c r="F30" s="22" t="str">
        <f>VLOOKUP(ENTRADAS!$C30,PROD!$B$7:$G$36,5,0)</f>
        <v>#N/A</v>
      </c>
      <c r="G30" s="22" t="str">
        <f t="shared" si="1"/>
        <v>#N/A</v>
      </c>
    </row>
    <row r="31" ht="15.75" customHeight="1">
      <c r="B31" s="15"/>
      <c r="C31" s="16"/>
      <c r="D31" s="16"/>
      <c r="E31" s="16"/>
      <c r="F31" s="22" t="str">
        <f>VLOOKUP(ENTRADAS!$C31,PROD!$B$7:$G$36,5,0)</f>
        <v>#N/A</v>
      </c>
      <c r="G31" s="22" t="str">
        <f t="shared" si="1"/>
        <v>#N/A</v>
      </c>
    </row>
    <row r="32" ht="15.75" customHeight="1">
      <c r="B32" s="15"/>
      <c r="C32" s="16"/>
      <c r="D32" s="16"/>
      <c r="E32" s="16"/>
      <c r="F32" s="22" t="str">
        <f>VLOOKUP(ENTRADAS!$C32,PROD!$B$7:$G$36,5,0)</f>
        <v>#N/A</v>
      </c>
      <c r="G32" s="22" t="str">
        <f t="shared" si="1"/>
        <v>#N/A</v>
      </c>
    </row>
    <row r="33" ht="15.75" customHeight="1">
      <c r="B33" s="15"/>
      <c r="C33" s="16"/>
      <c r="D33" s="16"/>
      <c r="E33" s="16"/>
      <c r="F33" s="22" t="str">
        <f>VLOOKUP(ENTRADAS!$C33,PROD!$B$7:$G$36,5,0)</f>
        <v>#N/A</v>
      </c>
      <c r="G33" s="22" t="str">
        <f t="shared" si="1"/>
        <v>#N/A</v>
      </c>
    </row>
    <row r="34" ht="15.75" customHeight="1">
      <c r="B34" s="15"/>
      <c r="C34" s="16"/>
      <c r="D34" s="16"/>
      <c r="E34" s="16"/>
      <c r="F34" s="22" t="str">
        <f>VLOOKUP(ENTRADAS!$C34,PROD!$B$7:$G$36,5,0)</f>
        <v>#N/A</v>
      </c>
      <c r="G34" s="22" t="str">
        <f t="shared" si="1"/>
        <v>#N/A</v>
      </c>
    </row>
    <row r="35" ht="15.75" customHeight="1">
      <c r="B35" s="15"/>
      <c r="C35" s="16"/>
      <c r="D35" s="16"/>
      <c r="E35" s="16"/>
      <c r="F35" s="22" t="str">
        <f>VLOOKUP(ENTRADAS!$C35,PROD!$B$7:$G$36,5,0)</f>
        <v>#N/A</v>
      </c>
      <c r="G35" s="22" t="str">
        <f t="shared" si="1"/>
        <v>#N/A</v>
      </c>
    </row>
    <row r="36" ht="15.75" customHeight="1">
      <c r="B36" s="15"/>
      <c r="C36" s="16"/>
      <c r="D36" s="16"/>
      <c r="E36" s="16"/>
      <c r="F36" s="22" t="str">
        <f>VLOOKUP(ENTRADAS!$C36,PROD!$B$7:$G$36,5,0)</f>
        <v>#N/A</v>
      </c>
      <c r="G36" s="22" t="str">
        <f t="shared" si="1"/>
        <v>#N/A</v>
      </c>
    </row>
    <row r="37" ht="15.75" customHeight="1">
      <c r="B37" s="15"/>
      <c r="C37" s="16"/>
      <c r="D37" s="16"/>
      <c r="E37" s="16"/>
      <c r="F37" s="22" t="str">
        <f>VLOOKUP(ENTRADAS!$C37,PROD!$B$7:$G$36,5,0)</f>
        <v>#N/A</v>
      </c>
      <c r="G37" s="22" t="str">
        <f t="shared" si="1"/>
        <v>#N/A</v>
      </c>
    </row>
    <row r="38" ht="15.75" customHeight="1">
      <c r="B38" s="15"/>
      <c r="C38" s="16"/>
      <c r="D38" s="16"/>
      <c r="E38" s="16"/>
      <c r="F38" s="22" t="str">
        <f>VLOOKUP(ENTRADAS!$C38,PROD!$B$7:$G$36,5,0)</f>
        <v>#N/A</v>
      </c>
      <c r="G38" s="22" t="str">
        <f t="shared" si="1"/>
        <v>#N/A</v>
      </c>
    </row>
    <row r="39" ht="15.75" customHeight="1">
      <c r="B39" s="15"/>
      <c r="C39" s="16"/>
      <c r="D39" s="16"/>
      <c r="E39" s="16"/>
      <c r="F39" s="22" t="str">
        <f>VLOOKUP(ENTRADAS!$C39,PROD!$B$7:$G$36,5,0)</f>
        <v>#N/A</v>
      </c>
      <c r="G39" s="22" t="str">
        <f t="shared" si="1"/>
        <v>#N/A</v>
      </c>
    </row>
    <row r="40" ht="15.75" customHeight="1">
      <c r="B40" s="15"/>
      <c r="C40" s="16"/>
      <c r="D40" s="16"/>
      <c r="E40" s="16"/>
      <c r="F40" s="22" t="str">
        <f>VLOOKUP(ENTRADAS!$C40,PROD!$B$7:$G$36,5,0)</f>
        <v>#N/A</v>
      </c>
      <c r="G40" s="22" t="str">
        <f t="shared" si="1"/>
        <v>#N/A</v>
      </c>
    </row>
    <row r="41" ht="15.75" customHeight="1">
      <c r="B41" s="15"/>
      <c r="C41" s="16"/>
      <c r="D41" s="16"/>
      <c r="E41" s="16"/>
      <c r="F41" s="22" t="str">
        <f>VLOOKUP(ENTRADAS!$C41,PROD!$B$7:$G$36,5,0)</f>
        <v>#N/A</v>
      </c>
      <c r="G41" s="22" t="str">
        <f t="shared" si="1"/>
        <v>#N/A</v>
      </c>
    </row>
    <row r="42" ht="15.75" customHeight="1">
      <c r="B42" s="15"/>
      <c r="C42" s="16"/>
      <c r="D42" s="16"/>
      <c r="E42" s="16"/>
      <c r="F42" s="22" t="str">
        <f>VLOOKUP(ENTRADAS!$C42,PROD!$B$7:$G$36,5,0)</f>
        <v>#N/A</v>
      </c>
      <c r="G42" s="22" t="str">
        <f t="shared" si="1"/>
        <v>#N/A</v>
      </c>
    </row>
    <row r="43" ht="15.75" customHeight="1">
      <c r="B43" s="15"/>
      <c r="C43" s="16"/>
      <c r="D43" s="16"/>
      <c r="E43" s="16"/>
      <c r="F43" s="22" t="str">
        <f>VLOOKUP(ENTRADAS!$C43,PROD!$B$7:$G$36,5,0)</f>
        <v>#N/A</v>
      </c>
      <c r="G43" s="22" t="str">
        <f t="shared" si="1"/>
        <v>#N/A</v>
      </c>
    </row>
    <row r="44" ht="15.75" customHeight="1">
      <c r="B44" s="15"/>
      <c r="C44" s="16"/>
      <c r="D44" s="16"/>
      <c r="E44" s="16"/>
      <c r="F44" s="22" t="str">
        <f>VLOOKUP(ENTRADAS!$C44,PROD!$B$7:$G$36,5,0)</f>
        <v>#N/A</v>
      </c>
      <c r="G44" s="22" t="str">
        <f t="shared" si="1"/>
        <v>#N/A</v>
      </c>
    </row>
    <row r="45" ht="15.75" customHeight="1">
      <c r="B45" s="15"/>
      <c r="C45" s="16"/>
      <c r="D45" s="16"/>
      <c r="E45" s="16"/>
      <c r="F45" s="22" t="str">
        <f>VLOOKUP(ENTRADAS!$C45,PROD!$B$7:$G$36,5,0)</f>
        <v>#N/A</v>
      </c>
      <c r="G45" s="22" t="str">
        <f t="shared" si="1"/>
        <v>#N/A</v>
      </c>
    </row>
    <row r="46" ht="15.75" customHeight="1">
      <c r="B46" s="15"/>
      <c r="C46" s="16"/>
      <c r="D46" s="16"/>
      <c r="E46" s="16"/>
      <c r="F46" s="22" t="str">
        <f>VLOOKUP(ENTRADAS!$C46,PROD!$B$7:$G$36,5,0)</f>
        <v>#N/A</v>
      </c>
      <c r="G46" s="22" t="str">
        <f t="shared" si="1"/>
        <v>#N/A</v>
      </c>
    </row>
    <row r="47" ht="15.75" customHeight="1">
      <c r="B47" s="15"/>
      <c r="C47" s="16"/>
      <c r="D47" s="16"/>
      <c r="E47" s="16"/>
      <c r="F47" s="22" t="str">
        <f>VLOOKUP(ENTRADAS!$C47,PROD!$B$7:$G$36,5,0)</f>
        <v>#N/A</v>
      </c>
      <c r="G47" s="22" t="str">
        <f t="shared" si="1"/>
        <v>#N/A</v>
      </c>
    </row>
    <row r="48" ht="15.75" customHeight="1">
      <c r="B48" s="15"/>
      <c r="C48" s="16"/>
      <c r="D48" s="16"/>
      <c r="E48" s="16"/>
      <c r="F48" s="22" t="str">
        <f>VLOOKUP(ENTRADAS!$C48,PROD!$B$7:$G$36,5,0)</f>
        <v>#N/A</v>
      </c>
      <c r="G48" s="22" t="str">
        <f t="shared" si="1"/>
        <v>#N/A</v>
      </c>
    </row>
    <row r="49" ht="15.75" customHeight="1">
      <c r="B49" s="15"/>
      <c r="C49" s="16"/>
      <c r="D49" s="16"/>
      <c r="E49" s="16"/>
      <c r="F49" s="22" t="str">
        <f>VLOOKUP(ENTRADAS!$C49,PROD!$B$7:$G$36,5,0)</f>
        <v>#N/A</v>
      </c>
      <c r="G49" s="22" t="str">
        <f t="shared" si="1"/>
        <v>#N/A</v>
      </c>
    </row>
    <row r="50" ht="15.75" customHeight="1">
      <c r="B50" s="15"/>
      <c r="C50" s="16"/>
      <c r="D50" s="16"/>
      <c r="E50" s="16"/>
      <c r="F50" s="22" t="str">
        <f>VLOOKUP(ENTRADAS!$C50,PROD!$B$7:$G$36,5,0)</f>
        <v>#N/A</v>
      </c>
      <c r="G50" s="22" t="str">
        <f t="shared" si="1"/>
        <v>#N/A</v>
      </c>
    </row>
    <row r="51" ht="15.75" customHeight="1">
      <c r="B51" s="15"/>
      <c r="C51" s="16"/>
      <c r="D51" s="16"/>
      <c r="E51" s="16"/>
      <c r="F51" s="22" t="str">
        <f>VLOOKUP(ENTRADAS!$C51,PROD!$B$7:$G$36,5,0)</f>
        <v>#N/A</v>
      </c>
      <c r="G51" s="22" t="str">
        <f t="shared" si="1"/>
        <v>#N/A</v>
      </c>
    </row>
    <row r="52" ht="15.75" customHeight="1">
      <c r="B52" s="15"/>
      <c r="C52" s="16"/>
      <c r="D52" s="16"/>
      <c r="E52" s="16"/>
      <c r="F52" s="22" t="str">
        <f>VLOOKUP(ENTRADAS!$C52,PROD!$B$7:$G$36,5,0)</f>
        <v>#N/A</v>
      </c>
      <c r="G52" s="22" t="str">
        <f t="shared" si="1"/>
        <v>#N/A</v>
      </c>
    </row>
    <row r="53" ht="15.75" customHeight="1">
      <c r="B53" s="15"/>
      <c r="C53" s="16"/>
      <c r="D53" s="16"/>
      <c r="E53" s="16"/>
      <c r="F53" s="22" t="str">
        <f>VLOOKUP(ENTRADAS!$C53,PROD!$B$7:$G$36,5,0)</f>
        <v>#N/A</v>
      </c>
      <c r="G53" s="22" t="str">
        <f t="shared" si="1"/>
        <v>#N/A</v>
      </c>
    </row>
    <row r="54" ht="15.75" customHeight="1">
      <c r="B54" s="15"/>
      <c r="C54" s="16"/>
      <c r="D54" s="16"/>
      <c r="E54" s="16"/>
      <c r="F54" s="22" t="str">
        <f>VLOOKUP(ENTRADAS!$C54,PROD!$B$7:$G$36,5,0)</f>
        <v>#N/A</v>
      </c>
      <c r="G54" s="22" t="str">
        <f t="shared" si="1"/>
        <v>#N/A</v>
      </c>
    </row>
    <row r="55" ht="15.75" customHeight="1">
      <c r="B55" s="15"/>
      <c r="C55" s="16"/>
      <c r="D55" s="16"/>
      <c r="E55" s="16"/>
      <c r="F55" s="22" t="str">
        <f>VLOOKUP(ENTRADAS!$C55,PROD!$B$7:$G$36,5,0)</f>
        <v>#N/A</v>
      </c>
      <c r="G55" s="22" t="str">
        <f t="shared" si="1"/>
        <v>#N/A</v>
      </c>
    </row>
    <row r="56" ht="15.75" customHeight="1">
      <c r="B56" s="15"/>
      <c r="C56" s="16"/>
      <c r="D56" s="16"/>
      <c r="E56" s="16"/>
      <c r="F56" s="22" t="str">
        <f>VLOOKUP(ENTRADAS!$C56,PROD!$B$7:$G$36,5,0)</f>
        <v>#N/A</v>
      </c>
      <c r="G56" s="22" t="str">
        <f t="shared" si="1"/>
        <v>#N/A</v>
      </c>
    </row>
    <row r="57" ht="15.75" customHeight="1">
      <c r="B57" s="15"/>
      <c r="C57" s="16"/>
      <c r="D57" s="16"/>
      <c r="E57" s="16"/>
      <c r="F57" s="22" t="str">
        <f>VLOOKUP(ENTRADAS!$C57,PROD!$B$7:$G$36,5,0)</f>
        <v>#N/A</v>
      </c>
      <c r="G57" s="22" t="str">
        <f t="shared" si="1"/>
        <v>#N/A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ErrorMessage="1" sqref="C7:C57">
      <formula1>LISTA_PRODUTOS</formula1>
    </dataValidation>
    <dataValidation type="list" allowBlank="1" showErrorMessage="1" sqref="D7:D57">
      <formula1>LISTA_FORNECEDORES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86"/>
    <col customWidth="1" min="2" max="2" width="17.71"/>
    <col customWidth="1" min="3" max="3" width="24.43"/>
    <col customWidth="1" min="4" max="4" width="23.86"/>
    <col customWidth="1" min="5" max="5" width="18.0"/>
    <col customWidth="1" min="6" max="6" width="19.14"/>
    <col customWidth="1" min="7" max="9" width="16.86"/>
    <col customWidth="1" min="10" max="10" width="16.14"/>
    <col customWidth="1" min="11" max="11" width="15.0"/>
    <col customWidth="1" min="12" max="12" width="12.43"/>
    <col customWidth="1" min="13" max="13" width="12.57"/>
    <col customWidth="1" min="14" max="14" width="8.71"/>
    <col customWidth="1" min="15" max="15" width="12.43"/>
    <col customWidth="1" min="16" max="16" width="8.71"/>
  </cols>
  <sheetData>
    <row r="1" ht="39.75" customHeight="1">
      <c r="A1" s="1"/>
      <c r="B1" s="1"/>
      <c r="C1" s="10" t="s">
        <v>94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5">
      <c r="B5" s="12"/>
      <c r="C5" s="13"/>
      <c r="D5" s="13"/>
      <c r="E5" s="13"/>
      <c r="F5" s="13"/>
      <c r="G5" s="13"/>
      <c r="H5" s="23"/>
      <c r="I5" s="13"/>
    </row>
    <row r="6" ht="35.25" customHeight="1">
      <c r="B6" s="24" t="s">
        <v>95</v>
      </c>
      <c r="C6" s="24" t="s">
        <v>90</v>
      </c>
      <c r="D6" s="24" t="s">
        <v>66</v>
      </c>
      <c r="E6" s="24" t="s">
        <v>92</v>
      </c>
      <c r="F6" s="24" t="s">
        <v>96</v>
      </c>
      <c r="G6" s="24" t="s">
        <v>97</v>
      </c>
      <c r="H6" s="24" t="s">
        <v>98</v>
      </c>
      <c r="I6" s="24" t="s">
        <v>99</v>
      </c>
      <c r="J6" s="24" t="s">
        <v>24</v>
      </c>
      <c r="K6" s="24" t="s">
        <v>100</v>
      </c>
    </row>
    <row r="7">
      <c r="B7" s="15"/>
      <c r="C7" s="16"/>
      <c r="D7" s="16"/>
      <c r="E7" s="16"/>
      <c r="F7" s="16"/>
      <c r="G7" s="25"/>
      <c r="H7" s="26" t="str">
        <f>'SAÍDAS'!$E7-'SAÍDAS'!$F7</f>
        <v>0</v>
      </c>
      <c r="I7" s="26" t="str">
        <f>SUMIFS(ENTRADAS!$E$7:$E$57,ENTRADAS!$B$7:$B$57,"&lt;=" &amp; 'SAÍDAS'!$B7,ENTRADAS!$C$7:$C$57,'SAÍDAS'!$C7)-SUMIFS('SAÍDAS'!$H$7:$H$76,'SAÍDAS'!$B$7:$B$76,"&lt;=" &amp; 'SAÍDAS'!$B7,'SAÍDAS'!$C$7:$C$76,'SAÍDAS'!$C7)</f>
        <v>0</v>
      </c>
      <c r="J7" s="22" t="str">
        <f>VLOOKUP('SAÍDAS'!$C7,PROD!$B$7:$G$36,6,0)</f>
        <v>#N/A</v>
      </c>
      <c r="K7" s="22" t="str">
        <f>'SAÍDAS'!$H7*'SAÍDAS'!$J7</f>
        <v>#N/A</v>
      </c>
      <c r="P7" s="2"/>
    </row>
    <row r="8">
      <c r="B8" s="15"/>
      <c r="C8" s="16"/>
      <c r="D8" s="16"/>
      <c r="E8" s="16"/>
      <c r="F8" s="16"/>
      <c r="G8" s="25"/>
      <c r="H8" s="26" t="str">
        <f>'SAÍDAS'!$E8-'SAÍDAS'!$F8</f>
        <v>0</v>
      </c>
      <c r="I8" s="26" t="str">
        <f>SUMIFS(ENTRADAS!$E$7:$E$57,ENTRADAS!$B$7:$B$57,"&lt;=" &amp; 'SAÍDAS'!$B8,ENTRADAS!$C$7:$C$57,'SAÍDAS'!$C8)-SUMIFS('SAÍDAS'!$H$7:$H$76,'SAÍDAS'!$B$7:$B$76,"&lt;=" &amp; 'SAÍDAS'!$B8,'SAÍDAS'!$C$7:$C$76,'SAÍDAS'!$C8)</f>
        <v>0</v>
      </c>
      <c r="J8" s="22" t="str">
        <f>VLOOKUP('SAÍDAS'!$C8,PROD!$B$7:$G$36,6,0)</f>
        <v>#N/A</v>
      </c>
      <c r="K8" s="22" t="str">
        <f>'SAÍDAS'!$H8*'SAÍDAS'!$J8</f>
        <v>#N/A</v>
      </c>
      <c r="P8" s="2"/>
    </row>
    <row r="9">
      <c r="B9" s="15"/>
      <c r="C9" s="16"/>
      <c r="D9" s="16"/>
      <c r="E9" s="16"/>
      <c r="F9" s="16"/>
      <c r="G9" s="25"/>
      <c r="H9" s="26" t="str">
        <f>'SAÍDAS'!$E9-'SAÍDAS'!$F9</f>
        <v>0</v>
      </c>
      <c r="I9" s="26" t="str">
        <f>SUMIFS(ENTRADAS!$E$7:$E$57,ENTRADAS!$B$7:$B$57,"&lt;=" &amp; 'SAÍDAS'!$B9,ENTRADAS!$C$7:$C$57,'SAÍDAS'!$C9)-SUMIFS('SAÍDAS'!$H$7:$H$76,'SAÍDAS'!$B$7:$B$76,"&lt;=" &amp; 'SAÍDAS'!$B9,'SAÍDAS'!$C$7:$C$76,'SAÍDAS'!$C9)</f>
        <v>0</v>
      </c>
      <c r="J9" s="22" t="str">
        <f>VLOOKUP('SAÍDAS'!$C9,PROD!$B$7:$G$36,6,0)</f>
        <v>#N/A</v>
      </c>
      <c r="K9" s="22" t="str">
        <f>'SAÍDAS'!$H9*'SAÍDAS'!$J9</f>
        <v>#N/A</v>
      </c>
      <c r="P9" s="2"/>
    </row>
    <row r="10">
      <c r="B10" s="15"/>
      <c r="C10" s="16"/>
      <c r="D10" s="16"/>
      <c r="E10" s="16"/>
      <c r="F10" s="16"/>
      <c r="G10" s="25"/>
      <c r="H10" s="26" t="str">
        <f>'SAÍDAS'!$E10-'SAÍDAS'!$F10</f>
        <v>0</v>
      </c>
      <c r="I10" s="26" t="str">
        <f>SUMIFS(ENTRADAS!$E$7:$E$57,ENTRADAS!$B$7:$B$57,"&lt;=" &amp; 'SAÍDAS'!$B10,ENTRADAS!$C$7:$C$57,'SAÍDAS'!$C10)-SUMIFS('SAÍDAS'!$H$7:$H$76,'SAÍDAS'!$B$7:$B$76,"&lt;=" &amp; 'SAÍDAS'!$B10,'SAÍDAS'!$C$7:$C$76,'SAÍDAS'!$C10)</f>
        <v>0</v>
      </c>
      <c r="J10" s="22" t="str">
        <f>VLOOKUP('SAÍDAS'!$C10,PROD!$B$7:$G$36,6,0)</f>
        <v>#N/A</v>
      </c>
      <c r="K10" s="22" t="str">
        <f>'SAÍDAS'!$H10*'SAÍDAS'!$J10</f>
        <v>#N/A</v>
      </c>
      <c r="P10" s="2"/>
    </row>
    <row r="11">
      <c r="B11" s="15"/>
      <c r="C11" s="16"/>
      <c r="D11" s="16"/>
      <c r="E11" s="16"/>
      <c r="F11" s="16"/>
      <c r="G11" s="25"/>
      <c r="H11" s="26" t="str">
        <f>'SAÍDAS'!$E11-'SAÍDAS'!$F11</f>
        <v>0</v>
      </c>
      <c r="I11" s="26" t="str">
        <f>SUMIFS(ENTRADAS!$E$7:$E$57,ENTRADAS!$B$7:$B$57,"&lt;=" &amp; 'SAÍDAS'!$B11,ENTRADAS!$C$7:$C$57,'SAÍDAS'!$C11)-SUMIFS('SAÍDAS'!$H$7:$H$76,'SAÍDAS'!$B$7:$B$76,"&lt;=" &amp; 'SAÍDAS'!$B11,'SAÍDAS'!$C$7:$C$76,'SAÍDAS'!$C11)</f>
        <v>0</v>
      </c>
      <c r="J11" s="22" t="str">
        <f>VLOOKUP('SAÍDAS'!$C11,PROD!$B$7:$G$36,6,0)</f>
        <v>#N/A</v>
      </c>
      <c r="K11" s="22" t="str">
        <f>'SAÍDAS'!$H11*'SAÍDAS'!$J11</f>
        <v>#N/A</v>
      </c>
      <c r="P11" s="2"/>
    </row>
    <row r="12">
      <c r="B12" s="15"/>
      <c r="C12" s="16"/>
      <c r="D12" s="16"/>
      <c r="E12" s="16"/>
      <c r="F12" s="16"/>
      <c r="G12" s="25"/>
      <c r="H12" s="26" t="str">
        <f>'SAÍDAS'!$E12-'SAÍDAS'!$F12</f>
        <v>0</v>
      </c>
      <c r="I12" s="26" t="str">
        <f>SUMIFS(ENTRADAS!$E$7:$E$57,ENTRADAS!$B$7:$B$57,"&lt;=" &amp; 'SAÍDAS'!$B12,ENTRADAS!$C$7:$C$57,'SAÍDAS'!$C12)-SUMIFS('SAÍDAS'!$H$7:$H$76,'SAÍDAS'!$B$7:$B$76,"&lt;=" &amp; 'SAÍDAS'!$B12,'SAÍDAS'!$C$7:$C$76,'SAÍDAS'!$C12)</f>
        <v>0</v>
      </c>
      <c r="J12" s="22" t="str">
        <f>VLOOKUP('SAÍDAS'!$C12,PROD!$B$7:$G$36,6,0)</f>
        <v>#N/A</v>
      </c>
      <c r="K12" s="22" t="str">
        <f>'SAÍDAS'!$H12*'SAÍDAS'!$J12</f>
        <v>#N/A</v>
      </c>
      <c r="P12" s="2"/>
    </row>
    <row r="13">
      <c r="B13" s="15"/>
      <c r="C13" s="16"/>
      <c r="D13" s="16"/>
      <c r="E13" s="16"/>
      <c r="F13" s="16"/>
      <c r="G13" s="25"/>
      <c r="H13" s="26" t="str">
        <f>'SAÍDAS'!$E13-'SAÍDAS'!$F13</f>
        <v>0</v>
      </c>
      <c r="I13" s="26" t="str">
        <f>SUMIFS(ENTRADAS!$E$7:$E$57,ENTRADAS!$B$7:$B$57,"&lt;=" &amp; 'SAÍDAS'!$B13,ENTRADAS!$C$7:$C$57,'SAÍDAS'!$C13)-SUMIFS('SAÍDAS'!$H$7:$H$76,'SAÍDAS'!$B$7:$B$76,"&lt;=" &amp; 'SAÍDAS'!$B13,'SAÍDAS'!$C$7:$C$76,'SAÍDAS'!$C13)</f>
        <v>0</v>
      </c>
      <c r="J13" s="22" t="str">
        <f>VLOOKUP('SAÍDAS'!$C13,PROD!$B$7:$G$36,6,0)</f>
        <v>#N/A</v>
      </c>
      <c r="K13" s="22" t="str">
        <f>'SAÍDAS'!$H13*'SAÍDAS'!$J13</f>
        <v>#N/A</v>
      </c>
      <c r="P13" s="2"/>
    </row>
    <row r="14">
      <c r="B14" s="15"/>
      <c r="C14" s="16"/>
      <c r="D14" s="16"/>
      <c r="E14" s="16"/>
      <c r="F14" s="16"/>
      <c r="G14" s="25"/>
      <c r="H14" s="26" t="str">
        <f>'SAÍDAS'!$E14-'SAÍDAS'!$F14</f>
        <v>0</v>
      </c>
      <c r="I14" s="26" t="str">
        <f>SUMIFS(ENTRADAS!$E$7:$E$57,ENTRADAS!$B$7:$B$57,"&lt;=" &amp; 'SAÍDAS'!$B14,ENTRADAS!$C$7:$C$57,'SAÍDAS'!$C14)-SUMIFS('SAÍDAS'!$H$7:$H$76,'SAÍDAS'!$B$7:$B$76,"&lt;=" &amp; 'SAÍDAS'!$B14,'SAÍDAS'!$C$7:$C$76,'SAÍDAS'!$C14)</f>
        <v>0</v>
      </c>
      <c r="J14" s="22" t="str">
        <f>VLOOKUP('SAÍDAS'!$C14,PROD!$B$7:$G$36,6,0)</f>
        <v>#N/A</v>
      </c>
      <c r="K14" s="22" t="str">
        <f>'SAÍDAS'!$H14*'SAÍDAS'!$J14</f>
        <v>#N/A</v>
      </c>
      <c r="P14" s="2"/>
    </row>
    <row r="15">
      <c r="B15" s="15"/>
      <c r="C15" s="16"/>
      <c r="D15" s="16"/>
      <c r="E15" s="16"/>
      <c r="F15" s="16"/>
      <c r="G15" s="25"/>
      <c r="H15" s="26" t="str">
        <f>'SAÍDAS'!$E15-'SAÍDAS'!$F15</f>
        <v>0</v>
      </c>
      <c r="I15" s="26" t="str">
        <f>SUMIFS(ENTRADAS!$E$7:$E$57,ENTRADAS!$B$7:$B$57,"&lt;=" &amp; 'SAÍDAS'!$B15,ENTRADAS!$C$7:$C$57,'SAÍDAS'!$C15)-SUMIFS('SAÍDAS'!$H$7:$H$76,'SAÍDAS'!$B$7:$B$76,"&lt;=" &amp; 'SAÍDAS'!$B15,'SAÍDAS'!$C$7:$C$76,'SAÍDAS'!$C15)</f>
        <v>0</v>
      </c>
      <c r="J15" s="22" t="str">
        <f>VLOOKUP('SAÍDAS'!$C15,PROD!$B$7:$G$36,6,0)</f>
        <v>#N/A</v>
      </c>
      <c r="K15" s="22" t="str">
        <f>'SAÍDAS'!$H15*'SAÍDAS'!$J15</f>
        <v>#N/A</v>
      </c>
      <c r="P15" s="2"/>
    </row>
    <row r="16">
      <c r="B16" s="15"/>
      <c r="C16" s="16"/>
      <c r="D16" s="16"/>
      <c r="E16" s="16"/>
      <c r="F16" s="16"/>
      <c r="G16" s="25"/>
      <c r="H16" s="26" t="str">
        <f>'SAÍDAS'!$E16-'SAÍDAS'!$F16</f>
        <v>0</v>
      </c>
      <c r="I16" s="26" t="str">
        <f>SUMIFS(ENTRADAS!$E$7:$E$57,ENTRADAS!$B$7:$B$57,"&lt;=" &amp; 'SAÍDAS'!$B16,ENTRADAS!$C$7:$C$57,'SAÍDAS'!$C16)-SUMIFS('SAÍDAS'!$H$7:$H$76,'SAÍDAS'!$B$7:$B$76,"&lt;=" &amp; 'SAÍDAS'!$B16,'SAÍDAS'!$C$7:$C$76,'SAÍDAS'!$C16)</f>
        <v>0</v>
      </c>
      <c r="J16" s="22" t="str">
        <f>VLOOKUP('SAÍDAS'!$C16,PROD!$B$7:$G$36,6,0)</f>
        <v>#N/A</v>
      </c>
      <c r="K16" s="22" t="str">
        <f>'SAÍDAS'!$H16*'SAÍDAS'!$J16</f>
        <v>#N/A</v>
      </c>
    </row>
    <row r="17">
      <c r="B17" s="15"/>
      <c r="C17" s="16"/>
      <c r="D17" s="16"/>
      <c r="E17" s="16"/>
      <c r="F17" s="16"/>
      <c r="G17" s="25"/>
      <c r="H17" s="26" t="str">
        <f>'SAÍDAS'!$E17-'SAÍDAS'!$F17</f>
        <v>0</v>
      </c>
      <c r="I17" s="26" t="str">
        <f>SUMIFS(ENTRADAS!$E$7:$E$57,ENTRADAS!$B$7:$B$57,"&lt;=" &amp; 'SAÍDAS'!$B17,ENTRADAS!$C$7:$C$57,'SAÍDAS'!$C17)-SUMIFS('SAÍDAS'!$H$7:$H$76,'SAÍDAS'!$B$7:$B$76,"&lt;=" &amp; 'SAÍDAS'!$B17,'SAÍDAS'!$C$7:$C$76,'SAÍDAS'!$C17)</f>
        <v>0</v>
      </c>
      <c r="J17" s="22" t="str">
        <f>VLOOKUP('SAÍDAS'!$C17,PROD!$B$7:$G$36,6,0)</f>
        <v>#N/A</v>
      </c>
      <c r="K17" s="22" t="str">
        <f>'SAÍDAS'!$H17*'SAÍDAS'!$J17</f>
        <v>#N/A</v>
      </c>
    </row>
    <row r="18">
      <c r="B18" s="15"/>
      <c r="C18" s="16"/>
      <c r="D18" s="16"/>
      <c r="E18" s="16"/>
      <c r="F18" s="16"/>
      <c r="G18" s="25"/>
      <c r="H18" s="26" t="str">
        <f>'SAÍDAS'!$E18-'SAÍDAS'!$F18</f>
        <v>0</v>
      </c>
      <c r="I18" s="26" t="str">
        <f>SUMIFS(ENTRADAS!$E$7:$E$57,ENTRADAS!$B$7:$B$57,"&lt;=" &amp; 'SAÍDAS'!$B18,ENTRADAS!$C$7:$C$57,'SAÍDAS'!$C18)-SUMIFS('SAÍDAS'!$H$7:$H$76,'SAÍDAS'!$B$7:$B$76,"&lt;=" &amp; 'SAÍDAS'!$B18,'SAÍDAS'!$C$7:$C$76,'SAÍDAS'!$C18)</f>
        <v>0</v>
      </c>
      <c r="J18" s="22" t="str">
        <f>VLOOKUP('SAÍDAS'!$C18,PROD!$B$7:$G$36,6,0)</f>
        <v>#N/A</v>
      </c>
      <c r="K18" s="22" t="str">
        <f>'SAÍDAS'!$H18*'SAÍDAS'!$J18</f>
        <v>#N/A</v>
      </c>
    </row>
    <row r="19">
      <c r="B19" s="15"/>
      <c r="C19" s="16"/>
      <c r="D19" s="16"/>
      <c r="E19" s="16"/>
      <c r="F19" s="16"/>
      <c r="G19" s="25"/>
      <c r="H19" s="26" t="str">
        <f>'SAÍDAS'!$E19-'SAÍDAS'!$F19</f>
        <v>0</v>
      </c>
      <c r="I19" s="26" t="str">
        <f>SUMIFS(ENTRADAS!$E$7:$E$57,ENTRADAS!$B$7:$B$57,"&lt;=" &amp; 'SAÍDAS'!$B19,ENTRADAS!$C$7:$C$57,'SAÍDAS'!$C19)-SUMIFS('SAÍDAS'!$H$7:$H$76,'SAÍDAS'!$B$7:$B$76,"&lt;=" &amp; 'SAÍDAS'!$B19,'SAÍDAS'!$C$7:$C$76,'SAÍDAS'!$C19)</f>
        <v>0</v>
      </c>
      <c r="J19" s="22" t="str">
        <f>VLOOKUP('SAÍDAS'!$C19,PROD!$B$7:$G$36,6,0)</f>
        <v>#N/A</v>
      </c>
      <c r="K19" s="22" t="str">
        <f>'SAÍDAS'!$H19*'SAÍDAS'!$J19</f>
        <v>#N/A</v>
      </c>
    </row>
    <row r="20">
      <c r="B20" s="15"/>
      <c r="C20" s="16"/>
      <c r="D20" s="16"/>
      <c r="E20" s="16"/>
      <c r="F20" s="16"/>
      <c r="G20" s="25"/>
      <c r="H20" s="26" t="str">
        <f>'SAÍDAS'!$E20-'SAÍDAS'!$F20</f>
        <v>0</v>
      </c>
      <c r="I20" s="26" t="str">
        <f>SUMIFS(ENTRADAS!$E$7:$E$57,ENTRADAS!$B$7:$B$57,"&lt;=" &amp; 'SAÍDAS'!$B20,ENTRADAS!$C$7:$C$57,'SAÍDAS'!$C20)-SUMIFS('SAÍDAS'!$H$7:$H$76,'SAÍDAS'!$B$7:$B$76,"&lt;=" &amp; 'SAÍDAS'!$B20,'SAÍDAS'!$C$7:$C$76,'SAÍDAS'!$C20)</f>
        <v>0</v>
      </c>
      <c r="J20" s="22" t="str">
        <f>VLOOKUP('SAÍDAS'!$C20,PROD!$B$7:$G$36,6,0)</f>
        <v>#N/A</v>
      </c>
      <c r="K20" s="22" t="str">
        <f>'SAÍDAS'!$H20*'SAÍDAS'!$J20</f>
        <v>#N/A</v>
      </c>
    </row>
    <row r="21" ht="15.75" customHeight="1">
      <c r="B21" s="15"/>
      <c r="C21" s="16"/>
      <c r="D21" s="16"/>
      <c r="E21" s="16"/>
      <c r="F21" s="16"/>
      <c r="G21" s="25"/>
      <c r="H21" s="26" t="str">
        <f>'SAÍDAS'!$E21-'SAÍDAS'!$F21</f>
        <v>0</v>
      </c>
      <c r="I21" s="26" t="str">
        <f>SUMIFS(ENTRADAS!$E$7:$E$57,ENTRADAS!$B$7:$B$57,"&lt;=" &amp; 'SAÍDAS'!$B21,ENTRADAS!$C$7:$C$57,'SAÍDAS'!$C21)-SUMIFS('SAÍDAS'!$H$7:$H$76,'SAÍDAS'!$B$7:$B$76,"&lt;=" &amp; 'SAÍDAS'!$B21,'SAÍDAS'!$C$7:$C$76,'SAÍDAS'!$C21)</f>
        <v>0</v>
      </c>
      <c r="J21" s="22" t="str">
        <f>VLOOKUP('SAÍDAS'!$C21,PROD!$B$7:$G$36,6,0)</f>
        <v>#N/A</v>
      </c>
      <c r="K21" s="22" t="str">
        <f>'SAÍDAS'!$H21*'SAÍDAS'!$J21</f>
        <v>#N/A</v>
      </c>
    </row>
    <row r="22" ht="15.75" customHeight="1">
      <c r="B22" s="15"/>
      <c r="C22" s="16"/>
      <c r="D22" s="16"/>
      <c r="E22" s="16"/>
      <c r="F22" s="16"/>
      <c r="G22" s="25"/>
      <c r="H22" s="26" t="str">
        <f>'SAÍDAS'!$E22-'SAÍDAS'!$F22</f>
        <v>0</v>
      </c>
      <c r="I22" s="26" t="str">
        <f>SUMIFS(ENTRADAS!$E$7:$E$57,ENTRADAS!$B$7:$B$57,"&lt;=" &amp; 'SAÍDAS'!$B22,ENTRADAS!$C$7:$C$57,'SAÍDAS'!$C22)-SUMIFS('SAÍDAS'!$H$7:$H$76,'SAÍDAS'!$B$7:$B$76,"&lt;=" &amp; 'SAÍDAS'!$B22,'SAÍDAS'!$C$7:$C$76,'SAÍDAS'!$C22)</f>
        <v>0</v>
      </c>
      <c r="J22" s="22" t="str">
        <f>VLOOKUP('SAÍDAS'!$C22,PROD!$B$7:$G$36,6,0)</f>
        <v>#N/A</v>
      </c>
      <c r="K22" s="22" t="str">
        <f>'SAÍDAS'!$H22*'SAÍDAS'!$J22</f>
        <v>#N/A</v>
      </c>
    </row>
    <row r="23" ht="15.75" customHeight="1">
      <c r="B23" s="15"/>
      <c r="C23" s="16"/>
      <c r="D23" s="16"/>
      <c r="E23" s="16"/>
      <c r="F23" s="16"/>
      <c r="G23" s="25"/>
      <c r="H23" s="26" t="str">
        <f>'SAÍDAS'!$E23-'SAÍDAS'!$F23</f>
        <v>0</v>
      </c>
      <c r="I23" s="26" t="str">
        <f>SUMIFS(ENTRADAS!$E$7:$E$57,ENTRADAS!$B$7:$B$57,"&lt;=" &amp; 'SAÍDAS'!$B23,ENTRADAS!$C$7:$C$57,'SAÍDAS'!$C23)-SUMIFS('SAÍDAS'!$H$7:$H$76,'SAÍDAS'!$B$7:$B$76,"&lt;=" &amp; 'SAÍDAS'!$B23,'SAÍDAS'!$C$7:$C$76,'SAÍDAS'!$C23)</f>
        <v>0</v>
      </c>
      <c r="J23" s="22" t="str">
        <f>VLOOKUP('SAÍDAS'!$C23,PROD!$B$7:$G$36,6,0)</f>
        <v>#N/A</v>
      </c>
      <c r="K23" s="22" t="str">
        <f>'SAÍDAS'!$H23*'SAÍDAS'!$J23</f>
        <v>#N/A</v>
      </c>
    </row>
    <row r="24" ht="15.75" customHeight="1">
      <c r="B24" s="15"/>
      <c r="C24" s="16"/>
      <c r="D24" s="16"/>
      <c r="E24" s="16"/>
      <c r="F24" s="16"/>
      <c r="G24" s="25"/>
      <c r="H24" s="26" t="str">
        <f>'SAÍDAS'!$E24-'SAÍDAS'!$F24</f>
        <v>0</v>
      </c>
      <c r="I24" s="26" t="str">
        <f>SUMIFS(ENTRADAS!$E$7:$E$57,ENTRADAS!$B$7:$B$57,"&lt;=" &amp; 'SAÍDAS'!$B24,ENTRADAS!$C$7:$C$57,'SAÍDAS'!$C24)-SUMIFS('SAÍDAS'!$H$7:$H$76,'SAÍDAS'!$B$7:$B$76,"&lt;=" &amp; 'SAÍDAS'!$B24,'SAÍDAS'!$C$7:$C$76,'SAÍDAS'!$C24)</f>
        <v>0</v>
      </c>
      <c r="J24" s="22" t="str">
        <f>VLOOKUP('SAÍDAS'!$C24,PROD!$B$7:$G$36,6,0)</f>
        <v>#N/A</v>
      </c>
      <c r="K24" s="22" t="str">
        <f>'SAÍDAS'!$H24*'SAÍDAS'!$J24</f>
        <v>#N/A</v>
      </c>
    </row>
    <row r="25" ht="15.75" customHeight="1">
      <c r="B25" s="15"/>
      <c r="C25" s="16"/>
      <c r="D25" s="16"/>
      <c r="E25" s="16"/>
      <c r="F25" s="16"/>
      <c r="G25" s="25"/>
      <c r="H25" s="26" t="str">
        <f>'SAÍDAS'!$E25-'SAÍDAS'!$F25</f>
        <v>0</v>
      </c>
      <c r="I25" s="26" t="str">
        <f>SUMIFS(ENTRADAS!$E$7:$E$57,ENTRADAS!$B$7:$B$57,"&lt;=" &amp; 'SAÍDAS'!$B25,ENTRADAS!$C$7:$C$57,'SAÍDAS'!$C25)-SUMIFS('SAÍDAS'!$H$7:$H$76,'SAÍDAS'!$B$7:$B$76,"&lt;=" &amp; 'SAÍDAS'!$B25,'SAÍDAS'!$C$7:$C$76,'SAÍDAS'!$C25)</f>
        <v>0</v>
      </c>
      <c r="J25" s="22" t="str">
        <f>VLOOKUP('SAÍDAS'!$C25,PROD!$B$7:$G$36,6,0)</f>
        <v>#N/A</v>
      </c>
      <c r="K25" s="22" t="str">
        <f>'SAÍDAS'!$H25*'SAÍDAS'!$J25</f>
        <v>#N/A</v>
      </c>
    </row>
    <row r="26" ht="15.75" customHeight="1">
      <c r="B26" s="15"/>
      <c r="C26" s="16"/>
      <c r="D26" s="16"/>
      <c r="E26" s="16"/>
      <c r="F26" s="16"/>
      <c r="G26" s="25"/>
      <c r="H26" s="26" t="str">
        <f>'SAÍDAS'!$E26-'SAÍDAS'!$F26</f>
        <v>0</v>
      </c>
      <c r="I26" s="26" t="str">
        <f>SUMIFS(ENTRADAS!$E$7:$E$57,ENTRADAS!$B$7:$B$57,"&lt;=" &amp; 'SAÍDAS'!$B26,ENTRADAS!$C$7:$C$57,'SAÍDAS'!$C26)-SUMIFS('SAÍDAS'!$H$7:$H$76,'SAÍDAS'!$B$7:$B$76,"&lt;=" &amp; 'SAÍDAS'!$B26,'SAÍDAS'!$C$7:$C$76,'SAÍDAS'!$C26)</f>
        <v>0</v>
      </c>
      <c r="J26" s="22" t="str">
        <f>VLOOKUP('SAÍDAS'!$C26,PROD!$B$7:$G$36,6,0)</f>
        <v>#N/A</v>
      </c>
      <c r="K26" s="22" t="str">
        <f>'SAÍDAS'!$H26*'SAÍDAS'!$J26</f>
        <v>#N/A</v>
      </c>
    </row>
    <row r="27" ht="15.75" customHeight="1">
      <c r="B27" s="15"/>
      <c r="C27" s="16"/>
      <c r="D27" s="16"/>
      <c r="E27" s="16"/>
      <c r="F27" s="16"/>
      <c r="G27" s="25"/>
      <c r="H27" s="26" t="str">
        <f>'SAÍDAS'!$E27-'SAÍDAS'!$F27</f>
        <v>0</v>
      </c>
      <c r="I27" s="26" t="str">
        <f>SUMIFS(ENTRADAS!$E$7:$E$57,ENTRADAS!$B$7:$B$57,"&lt;=" &amp; 'SAÍDAS'!$B27,ENTRADAS!$C$7:$C$57,'SAÍDAS'!$C27)-SUMIFS('SAÍDAS'!$H$7:$H$76,'SAÍDAS'!$B$7:$B$76,"&lt;=" &amp; 'SAÍDAS'!$B27,'SAÍDAS'!$C$7:$C$76,'SAÍDAS'!$C27)</f>
        <v>0</v>
      </c>
      <c r="J27" s="22" t="str">
        <f>VLOOKUP('SAÍDAS'!$C27,PROD!$B$7:$G$36,6,0)</f>
        <v>#N/A</v>
      </c>
      <c r="K27" s="22" t="str">
        <f>'SAÍDAS'!$H27*'SAÍDAS'!$J27</f>
        <v>#N/A</v>
      </c>
    </row>
    <row r="28" ht="15.75" customHeight="1">
      <c r="B28" s="15"/>
      <c r="C28" s="16"/>
      <c r="D28" s="16"/>
      <c r="E28" s="16"/>
      <c r="F28" s="16"/>
      <c r="G28" s="25"/>
      <c r="H28" s="26" t="str">
        <f>'SAÍDAS'!$E28-'SAÍDAS'!$F28</f>
        <v>0</v>
      </c>
      <c r="I28" s="26" t="str">
        <f>SUMIFS(ENTRADAS!$E$7:$E$57,ENTRADAS!$B$7:$B$57,"&lt;=" &amp; 'SAÍDAS'!$B28,ENTRADAS!$C$7:$C$57,'SAÍDAS'!$C28)-SUMIFS('SAÍDAS'!$H$7:$H$76,'SAÍDAS'!$B$7:$B$76,"&lt;=" &amp; 'SAÍDAS'!$B28,'SAÍDAS'!$C$7:$C$76,'SAÍDAS'!$C28)</f>
        <v>0</v>
      </c>
      <c r="J28" s="22" t="str">
        <f>VLOOKUP('SAÍDAS'!$C28,PROD!$B$7:$G$36,6,0)</f>
        <v>#N/A</v>
      </c>
      <c r="K28" s="22" t="str">
        <f>'SAÍDAS'!$H28*'SAÍDAS'!$J28</f>
        <v>#N/A</v>
      </c>
    </row>
    <row r="29" ht="15.75" customHeight="1">
      <c r="B29" s="15"/>
      <c r="C29" s="16"/>
      <c r="D29" s="16"/>
      <c r="E29" s="16"/>
      <c r="F29" s="16"/>
      <c r="G29" s="25"/>
      <c r="H29" s="26" t="str">
        <f>'SAÍDAS'!$E29-'SAÍDAS'!$F29</f>
        <v>0</v>
      </c>
      <c r="I29" s="26" t="str">
        <f>SUMIFS(ENTRADAS!$E$7:$E$57,ENTRADAS!$B$7:$B$57,"&lt;=" &amp; 'SAÍDAS'!$B29,ENTRADAS!$C$7:$C$57,'SAÍDAS'!$C29)-SUMIFS('SAÍDAS'!$H$7:$H$76,'SAÍDAS'!$B$7:$B$76,"&lt;=" &amp; 'SAÍDAS'!$B29,'SAÍDAS'!$C$7:$C$76,'SAÍDAS'!$C29)</f>
        <v>0</v>
      </c>
      <c r="J29" s="22" t="str">
        <f>VLOOKUP('SAÍDAS'!$C29,PROD!$B$7:$G$36,6,0)</f>
        <v>#N/A</v>
      </c>
      <c r="K29" s="22" t="str">
        <f>'SAÍDAS'!$H29*'SAÍDAS'!$J29</f>
        <v>#N/A</v>
      </c>
    </row>
    <row r="30" ht="15.75" customHeight="1">
      <c r="B30" s="15"/>
      <c r="C30" s="16"/>
      <c r="D30" s="16"/>
      <c r="E30" s="16"/>
      <c r="F30" s="16"/>
      <c r="G30" s="25"/>
      <c r="H30" s="26" t="str">
        <f>'SAÍDAS'!$E30-'SAÍDAS'!$F30</f>
        <v>0</v>
      </c>
      <c r="I30" s="26" t="str">
        <f>SUMIFS(ENTRADAS!$E$7:$E$57,ENTRADAS!$B$7:$B$57,"&lt;=" &amp; 'SAÍDAS'!$B30,ENTRADAS!$C$7:$C$57,'SAÍDAS'!$C30)-SUMIFS('SAÍDAS'!$H$7:$H$76,'SAÍDAS'!$B$7:$B$76,"&lt;=" &amp; 'SAÍDAS'!$B30,'SAÍDAS'!$C$7:$C$76,'SAÍDAS'!$C30)</f>
        <v>0</v>
      </c>
      <c r="J30" s="22" t="str">
        <f>VLOOKUP('SAÍDAS'!$C30,PROD!$B$7:$G$36,6,0)</f>
        <v>#N/A</v>
      </c>
      <c r="K30" s="22" t="str">
        <f>'SAÍDAS'!$H30*'SAÍDAS'!$J30</f>
        <v>#N/A</v>
      </c>
    </row>
    <row r="31" ht="15.75" customHeight="1">
      <c r="B31" s="15"/>
      <c r="C31" s="16"/>
      <c r="D31" s="16"/>
      <c r="E31" s="16"/>
      <c r="F31" s="16"/>
      <c r="G31" s="25"/>
      <c r="H31" s="26" t="str">
        <f>'SAÍDAS'!$E31-'SAÍDAS'!$F31</f>
        <v>0</v>
      </c>
      <c r="I31" s="26" t="str">
        <f>SUMIFS(ENTRADAS!$E$7:$E$57,ENTRADAS!$B$7:$B$57,"&lt;=" &amp; 'SAÍDAS'!$B31,ENTRADAS!$C$7:$C$57,'SAÍDAS'!$C31)-SUMIFS('SAÍDAS'!$H$7:$H$76,'SAÍDAS'!$B$7:$B$76,"&lt;=" &amp; 'SAÍDAS'!$B31,'SAÍDAS'!$C$7:$C$76,'SAÍDAS'!$C31)</f>
        <v>0</v>
      </c>
      <c r="J31" s="22" t="str">
        <f>VLOOKUP('SAÍDAS'!$C31,PROD!$B$7:$G$36,6,0)</f>
        <v>#N/A</v>
      </c>
      <c r="K31" s="22" t="str">
        <f>'SAÍDAS'!$H31*'SAÍDAS'!$J31</f>
        <v>#N/A</v>
      </c>
    </row>
    <row r="32" ht="15.75" customHeight="1">
      <c r="B32" s="15"/>
      <c r="C32" s="16"/>
      <c r="D32" s="16"/>
      <c r="E32" s="16"/>
      <c r="F32" s="16"/>
      <c r="G32" s="25"/>
      <c r="H32" s="26" t="str">
        <f>'SAÍDAS'!$E32-'SAÍDAS'!$F32</f>
        <v>0</v>
      </c>
      <c r="I32" s="26" t="str">
        <f>SUMIFS(ENTRADAS!$E$7:$E$57,ENTRADAS!$B$7:$B$57,"&lt;=" &amp; 'SAÍDAS'!$B32,ENTRADAS!$C$7:$C$57,'SAÍDAS'!$C32)-SUMIFS('SAÍDAS'!$H$7:$H$76,'SAÍDAS'!$B$7:$B$76,"&lt;=" &amp; 'SAÍDAS'!$B32,'SAÍDAS'!$C$7:$C$76,'SAÍDAS'!$C32)</f>
        <v>0</v>
      </c>
      <c r="J32" s="22" t="str">
        <f>VLOOKUP('SAÍDAS'!$C32,PROD!$B$7:$G$36,6,0)</f>
        <v>#N/A</v>
      </c>
      <c r="K32" s="22" t="str">
        <f>'SAÍDAS'!$H32*'SAÍDAS'!$J32</f>
        <v>#N/A</v>
      </c>
    </row>
    <row r="33" ht="15.75" customHeight="1">
      <c r="B33" s="15"/>
      <c r="C33" s="16"/>
      <c r="D33" s="16"/>
      <c r="E33" s="16"/>
      <c r="F33" s="16"/>
      <c r="G33" s="25"/>
      <c r="H33" s="26" t="str">
        <f>'SAÍDAS'!$E33-'SAÍDAS'!$F33</f>
        <v>0</v>
      </c>
      <c r="I33" s="26" t="str">
        <f>SUMIFS(ENTRADAS!$E$7:$E$57,ENTRADAS!$B$7:$B$57,"&lt;=" &amp; 'SAÍDAS'!$B33,ENTRADAS!$C$7:$C$57,'SAÍDAS'!$C33)-SUMIFS('SAÍDAS'!$H$7:$H$76,'SAÍDAS'!$B$7:$B$76,"&lt;=" &amp; 'SAÍDAS'!$B33,'SAÍDAS'!$C$7:$C$76,'SAÍDAS'!$C33)</f>
        <v>0</v>
      </c>
      <c r="J33" s="22" t="str">
        <f>VLOOKUP('SAÍDAS'!$C33,PROD!$B$7:$G$36,6,0)</f>
        <v>#N/A</v>
      </c>
      <c r="K33" s="22" t="str">
        <f>'SAÍDAS'!$H33*'SAÍDAS'!$J33</f>
        <v>#N/A</v>
      </c>
    </row>
    <row r="34" ht="15.75" customHeight="1">
      <c r="B34" s="15"/>
      <c r="C34" s="16"/>
      <c r="D34" s="16"/>
      <c r="E34" s="16"/>
      <c r="F34" s="16"/>
      <c r="G34" s="25"/>
      <c r="H34" s="26" t="str">
        <f>'SAÍDAS'!$E34-'SAÍDAS'!$F34</f>
        <v>0</v>
      </c>
      <c r="I34" s="26" t="str">
        <f>SUMIFS(ENTRADAS!$E$7:$E$57,ENTRADAS!$B$7:$B$57,"&lt;=" &amp; 'SAÍDAS'!$B34,ENTRADAS!$C$7:$C$57,'SAÍDAS'!$C34)-SUMIFS('SAÍDAS'!$H$7:$H$76,'SAÍDAS'!$B$7:$B$76,"&lt;=" &amp; 'SAÍDAS'!$B34,'SAÍDAS'!$C$7:$C$76,'SAÍDAS'!$C34)</f>
        <v>0</v>
      </c>
      <c r="J34" s="22" t="str">
        <f>VLOOKUP('SAÍDAS'!$C34,PROD!$B$7:$G$36,6,0)</f>
        <v>#N/A</v>
      </c>
      <c r="K34" s="22" t="str">
        <f>'SAÍDAS'!$H34*'SAÍDAS'!$J34</f>
        <v>#N/A</v>
      </c>
    </row>
    <row r="35" ht="15.75" customHeight="1">
      <c r="B35" s="15"/>
      <c r="C35" s="16"/>
      <c r="D35" s="16"/>
      <c r="E35" s="16"/>
      <c r="F35" s="16"/>
      <c r="G35" s="25"/>
      <c r="H35" s="26" t="str">
        <f>'SAÍDAS'!$E35-'SAÍDAS'!$F35</f>
        <v>0</v>
      </c>
      <c r="I35" s="26" t="str">
        <f>SUMIFS(ENTRADAS!$E$7:$E$57,ENTRADAS!$B$7:$B$57,"&lt;=" &amp; 'SAÍDAS'!$B35,ENTRADAS!$C$7:$C$57,'SAÍDAS'!$C35)-SUMIFS('SAÍDAS'!$H$7:$H$76,'SAÍDAS'!$B$7:$B$76,"&lt;=" &amp; 'SAÍDAS'!$B35,'SAÍDAS'!$C$7:$C$76,'SAÍDAS'!$C35)</f>
        <v>0</v>
      </c>
      <c r="J35" s="22" t="str">
        <f>VLOOKUP('SAÍDAS'!$C35,PROD!$B$7:$G$36,6,0)</f>
        <v>#N/A</v>
      </c>
      <c r="K35" s="22" t="str">
        <f>'SAÍDAS'!$H35*'SAÍDAS'!$J35</f>
        <v>#N/A</v>
      </c>
    </row>
    <row r="36" ht="15.75" customHeight="1">
      <c r="B36" s="15"/>
      <c r="C36" s="16"/>
      <c r="D36" s="16"/>
      <c r="E36" s="16"/>
      <c r="F36" s="16"/>
      <c r="G36" s="25"/>
      <c r="H36" s="26" t="str">
        <f>'SAÍDAS'!$E36-'SAÍDAS'!$F36</f>
        <v>0</v>
      </c>
      <c r="I36" s="26" t="str">
        <f>SUMIFS(ENTRADAS!$E$7:$E$57,ENTRADAS!$B$7:$B$57,"&lt;=" &amp; 'SAÍDAS'!$B36,ENTRADAS!$C$7:$C$57,'SAÍDAS'!$C36)-SUMIFS('SAÍDAS'!$H$7:$H$76,'SAÍDAS'!$B$7:$B$76,"&lt;=" &amp; 'SAÍDAS'!$B36,'SAÍDAS'!$C$7:$C$76,'SAÍDAS'!$C36)</f>
        <v>0</v>
      </c>
      <c r="J36" s="22" t="str">
        <f>VLOOKUP('SAÍDAS'!$C36,PROD!$B$7:$G$36,6,0)</f>
        <v>#N/A</v>
      </c>
      <c r="K36" s="22" t="str">
        <f>'SAÍDAS'!$H36*'SAÍDAS'!$J36</f>
        <v>#N/A</v>
      </c>
    </row>
    <row r="37" ht="15.75" customHeight="1">
      <c r="B37" s="15"/>
      <c r="C37" s="16"/>
      <c r="D37" s="16"/>
      <c r="E37" s="16"/>
      <c r="F37" s="16"/>
      <c r="G37" s="25"/>
      <c r="H37" s="26" t="str">
        <f>'SAÍDAS'!$E37-'SAÍDAS'!$F37</f>
        <v>0</v>
      </c>
      <c r="I37" s="26" t="str">
        <f>SUMIFS(ENTRADAS!$E$7:$E$57,ENTRADAS!$B$7:$B$57,"&lt;=" &amp; 'SAÍDAS'!$B37,ENTRADAS!$C$7:$C$57,'SAÍDAS'!$C37)-SUMIFS('SAÍDAS'!$H$7:$H$76,'SAÍDAS'!$B$7:$B$76,"&lt;=" &amp; 'SAÍDAS'!$B37,'SAÍDAS'!$C$7:$C$76,'SAÍDAS'!$C37)</f>
        <v>0</v>
      </c>
      <c r="J37" s="22" t="str">
        <f>VLOOKUP('SAÍDAS'!$C37,PROD!$B$7:$G$36,6,0)</f>
        <v>#N/A</v>
      </c>
      <c r="K37" s="22" t="str">
        <f>'SAÍDAS'!$H37*'SAÍDAS'!$J37</f>
        <v>#N/A</v>
      </c>
    </row>
    <row r="38" ht="15.75" customHeight="1">
      <c r="B38" s="15"/>
      <c r="C38" s="16"/>
      <c r="D38" s="16"/>
      <c r="E38" s="16"/>
      <c r="F38" s="16"/>
      <c r="G38" s="25"/>
      <c r="H38" s="26" t="str">
        <f>'SAÍDAS'!$E38-'SAÍDAS'!$F38</f>
        <v>0</v>
      </c>
      <c r="I38" s="26" t="str">
        <f>SUMIFS(ENTRADAS!$E$7:$E$57,ENTRADAS!$B$7:$B$57,"&lt;=" &amp; 'SAÍDAS'!$B38,ENTRADAS!$C$7:$C$57,'SAÍDAS'!$C38)-SUMIFS('SAÍDAS'!$H$7:$H$76,'SAÍDAS'!$B$7:$B$76,"&lt;=" &amp; 'SAÍDAS'!$B38,'SAÍDAS'!$C$7:$C$76,'SAÍDAS'!$C38)</f>
        <v>0</v>
      </c>
      <c r="J38" s="22" t="str">
        <f>VLOOKUP('SAÍDAS'!$C38,PROD!$B$7:$G$36,6,0)</f>
        <v>#N/A</v>
      </c>
      <c r="K38" s="22" t="str">
        <f>'SAÍDAS'!$H38*'SAÍDAS'!$J38</f>
        <v>#N/A</v>
      </c>
    </row>
    <row r="39" ht="15.75" customHeight="1">
      <c r="B39" s="15"/>
      <c r="C39" s="16"/>
      <c r="D39" s="16"/>
      <c r="E39" s="16"/>
      <c r="F39" s="16"/>
      <c r="G39" s="25"/>
      <c r="H39" s="26" t="str">
        <f>'SAÍDAS'!$E39-'SAÍDAS'!$F39</f>
        <v>0</v>
      </c>
      <c r="I39" s="26" t="str">
        <f>SUMIFS(ENTRADAS!$E$7:$E$57,ENTRADAS!$B$7:$B$57,"&lt;=" &amp; 'SAÍDAS'!$B39,ENTRADAS!$C$7:$C$57,'SAÍDAS'!$C39)-SUMIFS('SAÍDAS'!$H$7:$H$76,'SAÍDAS'!$B$7:$B$76,"&lt;=" &amp; 'SAÍDAS'!$B39,'SAÍDAS'!$C$7:$C$76,'SAÍDAS'!$C39)</f>
        <v>0</v>
      </c>
      <c r="J39" s="22" t="str">
        <f>VLOOKUP('SAÍDAS'!$C39,PROD!$B$7:$G$36,6,0)</f>
        <v>#N/A</v>
      </c>
      <c r="K39" s="22" t="str">
        <f>'SAÍDAS'!$H39*'SAÍDAS'!$J39</f>
        <v>#N/A</v>
      </c>
    </row>
    <row r="40" ht="15.75" customHeight="1">
      <c r="B40" s="15"/>
      <c r="C40" s="16"/>
      <c r="D40" s="16"/>
      <c r="E40" s="16"/>
      <c r="F40" s="16"/>
      <c r="G40" s="25"/>
      <c r="H40" s="26" t="str">
        <f>'SAÍDAS'!$E40-'SAÍDAS'!$F40</f>
        <v>0</v>
      </c>
      <c r="I40" s="26" t="str">
        <f>SUMIFS(ENTRADAS!$E$7:$E$57,ENTRADAS!$B$7:$B$57,"&lt;=" &amp; 'SAÍDAS'!$B40,ENTRADAS!$C$7:$C$57,'SAÍDAS'!$C40)-SUMIFS('SAÍDAS'!$H$7:$H$76,'SAÍDAS'!$B$7:$B$76,"&lt;=" &amp; 'SAÍDAS'!$B40,'SAÍDAS'!$C$7:$C$76,'SAÍDAS'!$C40)</f>
        <v>0</v>
      </c>
      <c r="J40" s="22" t="str">
        <f>VLOOKUP('SAÍDAS'!$C40,PROD!$B$7:$G$36,6,0)</f>
        <v>#N/A</v>
      </c>
      <c r="K40" s="22" t="str">
        <f>'SAÍDAS'!$H40*'SAÍDAS'!$J40</f>
        <v>#N/A</v>
      </c>
    </row>
    <row r="41" ht="15.75" customHeight="1">
      <c r="B41" s="15"/>
      <c r="C41" s="16"/>
      <c r="D41" s="16"/>
      <c r="E41" s="16"/>
      <c r="F41" s="16"/>
      <c r="G41" s="25"/>
      <c r="H41" s="26" t="str">
        <f>'SAÍDAS'!$E41-'SAÍDAS'!$F41</f>
        <v>0</v>
      </c>
      <c r="I41" s="26" t="str">
        <f>SUMIFS(ENTRADAS!$E$7:$E$57,ENTRADAS!$B$7:$B$57,"&lt;=" &amp; 'SAÍDAS'!$B41,ENTRADAS!$C$7:$C$57,'SAÍDAS'!$C41)-SUMIFS('SAÍDAS'!$H$7:$H$76,'SAÍDAS'!$B$7:$B$76,"&lt;=" &amp; 'SAÍDAS'!$B41,'SAÍDAS'!$C$7:$C$76,'SAÍDAS'!$C41)</f>
        <v>0</v>
      </c>
      <c r="J41" s="22" t="str">
        <f>VLOOKUP('SAÍDAS'!$C41,PROD!$B$7:$G$36,6,0)</f>
        <v>#N/A</v>
      </c>
      <c r="K41" s="22" t="str">
        <f>'SAÍDAS'!$H41*'SAÍDAS'!$J41</f>
        <v>#N/A</v>
      </c>
    </row>
    <row r="42" ht="15.75" customHeight="1">
      <c r="B42" s="15"/>
      <c r="C42" s="16"/>
      <c r="D42" s="16"/>
      <c r="E42" s="16"/>
      <c r="F42" s="16"/>
      <c r="G42" s="25"/>
      <c r="H42" s="26" t="str">
        <f>'SAÍDAS'!$E42-'SAÍDAS'!$F42</f>
        <v>0</v>
      </c>
      <c r="I42" s="26" t="str">
        <f>SUMIFS(ENTRADAS!$E$7:$E$57,ENTRADAS!$B$7:$B$57,"&lt;=" &amp; 'SAÍDAS'!$B42,ENTRADAS!$C$7:$C$57,'SAÍDAS'!$C42)-SUMIFS('SAÍDAS'!$H$7:$H$76,'SAÍDAS'!$B$7:$B$76,"&lt;=" &amp; 'SAÍDAS'!$B42,'SAÍDAS'!$C$7:$C$76,'SAÍDAS'!$C42)</f>
        <v>0</v>
      </c>
      <c r="J42" s="22" t="str">
        <f>VLOOKUP('SAÍDAS'!$C42,PROD!$B$7:$G$36,6,0)</f>
        <v>#N/A</v>
      </c>
      <c r="K42" s="22" t="str">
        <f>'SAÍDAS'!$H42*'SAÍDAS'!$J42</f>
        <v>#N/A</v>
      </c>
    </row>
    <row r="43" ht="15.75" customHeight="1">
      <c r="B43" s="15"/>
      <c r="C43" s="16"/>
      <c r="D43" s="16"/>
      <c r="E43" s="16"/>
      <c r="F43" s="16"/>
      <c r="G43" s="25"/>
      <c r="H43" s="26" t="str">
        <f>'SAÍDAS'!$E43-'SAÍDAS'!$F43</f>
        <v>0</v>
      </c>
      <c r="I43" s="26" t="str">
        <f>SUMIFS(ENTRADAS!$E$7:$E$57,ENTRADAS!$B$7:$B$57,"&lt;=" &amp; 'SAÍDAS'!$B43,ENTRADAS!$C$7:$C$57,'SAÍDAS'!$C43)-SUMIFS('SAÍDAS'!$H$7:$H$76,'SAÍDAS'!$B$7:$B$76,"&lt;=" &amp; 'SAÍDAS'!$B43,'SAÍDAS'!$C$7:$C$76,'SAÍDAS'!$C43)</f>
        <v>0</v>
      </c>
      <c r="J43" s="22" t="str">
        <f>VLOOKUP('SAÍDAS'!$C43,PROD!$B$7:$G$36,6,0)</f>
        <v>#N/A</v>
      </c>
      <c r="K43" s="22" t="str">
        <f>'SAÍDAS'!$H43*'SAÍDAS'!$J43</f>
        <v>#N/A</v>
      </c>
    </row>
    <row r="44" ht="15.75" customHeight="1">
      <c r="B44" s="15"/>
      <c r="C44" s="16"/>
      <c r="D44" s="16"/>
      <c r="E44" s="16"/>
      <c r="F44" s="16"/>
      <c r="G44" s="25"/>
      <c r="H44" s="26" t="str">
        <f>'SAÍDAS'!$E44-'SAÍDAS'!$F44</f>
        <v>0</v>
      </c>
      <c r="I44" s="26" t="str">
        <f>SUMIFS(ENTRADAS!$E$7:$E$57,ENTRADAS!$B$7:$B$57,"&lt;=" &amp; 'SAÍDAS'!$B44,ENTRADAS!$C$7:$C$57,'SAÍDAS'!$C44)-SUMIFS('SAÍDAS'!$H$7:$H$76,'SAÍDAS'!$B$7:$B$76,"&lt;=" &amp; 'SAÍDAS'!$B44,'SAÍDAS'!$C$7:$C$76,'SAÍDAS'!$C44)</f>
        <v>0</v>
      </c>
      <c r="J44" s="22" t="str">
        <f>VLOOKUP('SAÍDAS'!$C44,PROD!$B$7:$G$36,6,0)</f>
        <v>#N/A</v>
      </c>
      <c r="K44" s="22" t="str">
        <f>'SAÍDAS'!$H44*'SAÍDAS'!$J44</f>
        <v>#N/A</v>
      </c>
    </row>
    <row r="45" ht="15.75" customHeight="1">
      <c r="B45" s="15"/>
      <c r="C45" s="16"/>
      <c r="D45" s="16"/>
      <c r="E45" s="16"/>
      <c r="F45" s="16"/>
      <c r="G45" s="25"/>
      <c r="H45" s="26" t="str">
        <f>'SAÍDAS'!$E45-'SAÍDAS'!$F45</f>
        <v>0</v>
      </c>
      <c r="I45" s="26" t="str">
        <f>SUMIFS(ENTRADAS!$E$7:$E$57,ENTRADAS!$B$7:$B$57,"&lt;=" &amp; 'SAÍDAS'!$B45,ENTRADAS!$C$7:$C$57,'SAÍDAS'!$C45)-SUMIFS('SAÍDAS'!$H$7:$H$76,'SAÍDAS'!$B$7:$B$76,"&lt;=" &amp; 'SAÍDAS'!$B45,'SAÍDAS'!$C$7:$C$76,'SAÍDAS'!$C45)</f>
        <v>0</v>
      </c>
      <c r="J45" s="22" t="str">
        <f>VLOOKUP('SAÍDAS'!$C45,PROD!$B$7:$G$36,6,0)</f>
        <v>#N/A</v>
      </c>
      <c r="K45" s="22" t="str">
        <f>'SAÍDAS'!$H45*'SAÍDAS'!$J45</f>
        <v>#N/A</v>
      </c>
    </row>
    <row r="46" ht="15.75" customHeight="1">
      <c r="B46" s="15"/>
      <c r="C46" s="16"/>
      <c r="D46" s="16"/>
      <c r="E46" s="16"/>
      <c r="F46" s="16"/>
      <c r="G46" s="25"/>
      <c r="H46" s="26" t="str">
        <f>'SAÍDAS'!$E46-'SAÍDAS'!$F46</f>
        <v>0</v>
      </c>
      <c r="I46" s="26" t="str">
        <f>SUMIFS(ENTRADAS!$E$7:$E$57,ENTRADAS!$B$7:$B$57,"&lt;=" &amp; 'SAÍDAS'!$B46,ENTRADAS!$C$7:$C$57,'SAÍDAS'!$C46)-SUMIFS('SAÍDAS'!$H$7:$H$76,'SAÍDAS'!$B$7:$B$76,"&lt;=" &amp; 'SAÍDAS'!$B46,'SAÍDAS'!$C$7:$C$76,'SAÍDAS'!$C46)</f>
        <v>0</v>
      </c>
      <c r="J46" s="22" t="str">
        <f>VLOOKUP('SAÍDAS'!$C46,PROD!$B$7:$G$36,6,0)</f>
        <v>#N/A</v>
      </c>
      <c r="K46" s="22" t="str">
        <f>'SAÍDAS'!$H46*'SAÍDAS'!$J46</f>
        <v>#N/A</v>
      </c>
    </row>
    <row r="47" ht="15.75" customHeight="1">
      <c r="B47" s="15"/>
      <c r="C47" s="16"/>
      <c r="D47" s="16"/>
      <c r="E47" s="16"/>
      <c r="F47" s="16"/>
      <c r="G47" s="25"/>
      <c r="H47" s="26" t="str">
        <f>'SAÍDAS'!$E47-'SAÍDAS'!$F47</f>
        <v>0</v>
      </c>
      <c r="I47" s="26" t="str">
        <f>SUMIFS(ENTRADAS!$E$7:$E$57,ENTRADAS!$B$7:$B$57,"&lt;=" &amp; 'SAÍDAS'!$B47,ENTRADAS!$C$7:$C$57,'SAÍDAS'!$C47)-SUMIFS('SAÍDAS'!$H$7:$H$76,'SAÍDAS'!$B$7:$B$76,"&lt;=" &amp; 'SAÍDAS'!$B47,'SAÍDAS'!$C$7:$C$76,'SAÍDAS'!$C47)</f>
        <v>0</v>
      </c>
      <c r="J47" s="22" t="str">
        <f>VLOOKUP('SAÍDAS'!$C47,PROD!$B$7:$G$36,6,0)</f>
        <v>#N/A</v>
      </c>
      <c r="K47" s="22" t="str">
        <f>'SAÍDAS'!$H47*'SAÍDAS'!$J47</f>
        <v>#N/A</v>
      </c>
    </row>
    <row r="48" ht="15.75" customHeight="1">
      <c r="B48" s="15"/>
      <c r="C48" s="16"/>
      <c r="D48" s="16"/>
      <c r="E48" s="16"/>
      <c r="F48" s="16"/>
      <c r="G48" s="25"/>
      <c r="H48" s="26" t="str">
        <f>'SAÍDAS'!$E48-'SAÍDAS'!$F48</f>
        <v>0</v>
      </c>
      <c r="I48" s="26" t="str">
        <f>SUMIFS(ENTRADAS!$E$7:$E$57,ENTRADAS!$B$7:$B$57,"&lt;=" &amp; 'SAÍDAS'!$B48,ENTRADAS!$C$7:$C$57,'SAÍDAS'!$C48)-SUMIFS('SAÍDAS'!$H$7:$H$76,'SAÍDAS'!$B$7:$B$76,"&lt;=" &amp; 'SAÍDAS'!$B48,'SAÍDAS'!$C$7:$C$76,'SAÍDAS'!$C48)</f>
        <v>0</v>
      </c>
      <c r="J48" s="22" t="str">
        <f>VLOOKUP('SAÍDAS'!$C48,PROD!$B$7:$G$36,6,0)</f>
        <v>#N/A</v>
      </c>
      <c r="K48" s="22" t="str">
        <f>'SAÍDAS'!$H48*'SAÍDAS'!$J48</f>
        <v>#N/A</v>
      </c>
    </row>
    <row r="49" ht="15.75" customHeight="1">
      <c r="B49" s="15"/>
      <c r="C49" s="16"/>
      <c r="D49" s="16"/>
      <c r="E49" s="16"/>
      <c r="F49" s="16"/>
      <c r="G49" s="25"/>
      <c r="H49" s="26" t="str">
        <f>'SAÍDAS'!$E49-'SAÍDAS'!$F49</f>
        <v>0</v>
      </c>
      <c r="I49" s="26" t="str">
        <f>SUMIFS(ENTRADAS!$E$7:$E$57,ENTRADAS!$B$7:$B$57,"&lt;=" &amp; 'SAÍDAS'!$B49,ENTRADAS!$C$7:$C$57,'SAÍDAS'!$C49)-SUMIFS('SAÍDAS'!$H$7:$H$76,'SAÍDAS'!$B$7:$B$76,"&lt;=" &amp; 'SAÍDAS'!$B49,'SAÍDAS'!$C$7:$C$76,'SAÍDAS'!$C49)</f>
        <v>0</v>
      </c>
      <c r="J49" s="22" t="str">
        <f>VLOOKUP('SAÍDAS'!$C49,PROD!$B$7:$G$36,6,0)</f>
        <v>#N/A</v>
      </c>
      <c r="K49" s="22" t="str">
        <f>'SAÍDAS'!$H49*'SAÍDAS'!$J49</f>
        <v>#N/A</v>
      </c>
    </row>
    <row r="50" ht="15.75" customHeight="1">
      <c r="B50" s="15"/>
      <c r="C50" s="16"/>
      <c r="D50" s="16"/>
      <c r="E50" s="16"/>
      <c r="F50" s="16"/>
      <c r="G50" s="25"/>
      <c r="H50" s="26" t="str">
        <f>'SAÍDAS'!$E50-'SAÍDAS'!$F50</f>
        <v>0</v>
      </c>
      <c r="I50" s="26" t="str">
        <f>SUMIFS(ENTRADAS!$E$7:$E$57,ENTRADAS!$B$7:$B$57,"&lt;=" &amp; 'SAÍDAS'!$B50,ENTRADAS!$C$7:$C$57,'SAÍDAS'!$C50)-SUMIFS('SAÍDAS'!$H$7:$H$76,'SAÍDAS'!$B$7:$B$76,"&lt;=" &amp; 'SAÍDAS'!$B50,'SAÍDAS'!$C$7:$C$76,'SAÍDAS'!$C50)</f>
        <v>0</v>
      </c>
      <c r="J50" s="22" t="str">
        <f>VLOOKUP('SAÍDAS'!$C50,PROD!$B$7:$G$36,6,0)</f>
        <v>#N/A</v>
      </c>
      <c r="K50" s="22" t="str">
        <f>'SAÍDAS'!$H50*'SAÍDAS'!$J50</f>
        <v>#N/A</v>
      </c>
    </row>
    <row r="51" ht="15.75" customHeight="1">
      <c r="B51" s="15"/>
      <c r="C51" s="16"/>
      <c r="D51" s="16"/>
      <c r="E51" s="16"/>
      <c r="F51" s="16"/>
      <c r="G51" s="25"/>
      <c r="H51" s="26" t="str">
        <f>'SAÍDAS'!$E51-'SAÍDAS'!$F51</f>
        <v>0</v>
      </c>
      <c r="I51" s="26" t="str">
        <f>SUMIFS(ENTRADAS!$E$7:$E$57,ENTRADAS!$B$7:$B$57,"&lt;=" &amp; 'SAÍDAS'!$B51,ENTRADAS!$C$7:$C$57,'SAÍDAS'!$C51)-SUMIFS('SAÍDAS'!$H$7:$H$76,'SAÍDAS'!$B$7:$B$76,"&lt;=" &amp; 'SAÍDAS'!$B51,'SAÍDAS'!$C$7:$C$76,'SAÍDAS'!$C51)</f>
        <v>0</v>
      </c>
      <c r="J51" s="22" t="str">
        <f>VLOOKUP('SAÍDAS'!$C51,PROD!$B$7:$G$36,6,0)</f>
        <v>#N/A</v>
      </c>
      <c r="K51" s="22" t="str">
        <f>'SAÍDAS'!$H51*'SAÍDAS'!$J51</f>
        <v>#N/A</v>
      </c>
    </row>
    <row r="52" ht="15.75" customHeight="1">
      <c r="B52" s="15"/>
      <c r="C52" s="16"/>
      <c r="D52" s="16"/>
      <c r="E52" s="16"/>
      <c r="F52" s="16"/>
      <c r="G52" s="25"/>
      <c r="H52" s="26" t="str">
        <f>'SAÍDAS'!$E52-'SAÍDAS'!$F52</f>
        <v>0</v>
      </c>
      <c r="I52" s="26" t="str">
        <f>SUMIFS(ENTRADAS!$E$7:$E$57,ENTRADAS!$B$7:$B$57,"&lt;=" &amp; 'SAÍDAS'!$B52,ENTRADAS!$C$7:$C$57,'SAÍDAS'!$C52)-SUMIFS('SAÍDAS'!$H$7:$H$76,'SAÍDAS'!$B$7:$B$76,"&lt;=" &amp; 'SAÍDAS'!$B52,'SAÍDAS'!$C$7:$C$76,'SAÍDAS'!$C52)</f>
        <v>0</v>
      </c>
      <c r="J52" s="22" t="str">
        <f>VLOOKUP('SAÍDAS'!$C52,PROD!$B$7:$G$36,6,0)</f>
        <v>#N/A</v>
      </c>
      <c r="K52" s="22" t="str">
        <f>'SAÍDAS'!$H52*'SAÍDAS'!$J52</f>
        <v>#N/A</v>
      </c>
    </row>
    <row r="53" ht="15.75" customHeight="1">
      <c r="B53" s="15"/>
      <c r="C53" s="16"/>
      <c r="D53" s="16"/>
      <c r="E53" s="16"/>
      <c r="F53" s="16"/>
      <c r="G53" s="25"/>
      <c r="H53" s="26" t="str">
        <f>'SAÍDAS'!$E53-'SAÍDAS'!$F53</f>
        <v>0</v>
      </c>
      <c r="I53" s="26" t="str">
        <f>SUMIFS(ENTRADAS!$E$7:$E$57,ENTRADAS!$B$7:$B$57,"&lt;=" &amp; 'SAÍDAS'!$B53,ENTRADAS!$C$7:$C$57,'SAÍDAS'!$C53)-SUMIFS('SAÍDAS'!$H$7:$H$76,'SAÍDAS'!$B$7:$B$76,"&lt;=" &amp; 'SAÍDAS'!$B53,'SAÍDAS'!$C$7:$C$76,'SAÍDAS'!$C53)</f>
        <v>0</v>
      </c>
      <c r="J53" s="22" t="str">
        <f>VLOOKUP('SAÍDAS'!$C53,PROD!$B$7:$G$36,6,0)</f>
        <v>#N/A</v>
      </c>
      <c r="K53" s="22" t="str">
        <f>'SAÍDAS'!$H53*'SAÍDAS'!$J53</f>
        <v>#N/A</v>
      </c>
    </row>
    <row r="54" ht="15.75" customHeight="1">
      <c r="B54" s="15"/>
      <c r="C54" s="16"/>
      <c r="D54" s="16"/>
      <c r="E54" s="16"/>
      <c r="F54" s="16"/>
      <c r="G54" s="25"/>
      <c r="H54" s="26" t="str">
        <f>'SAÍDAS'!$E54-'SAÍDAS'!$F54</f>
        <v>0</v>
      </c>
      <c r="I54" s="26" t="str">
        <f>SUMIFS(ENTRADAS!$E$7:$E$57,ENTRADAS!$B$7:$B$57,"&lt;=" &amp; 'SAÍDAS'!$B54,ENTRADAS!$C$7:$C$57,'SAÍDAS'!$C54)-SUMIFS('SAÍDAS'!$H$7:$H$76,'SAÍDAS'!$B$7:$B$76,"&lt;=" &amp; 'SAÍDAS'!$B54,'SAÍDAS'!$C$7:$C$76,'SAÍDAS'!$C54)</f>
        <v>0</v>
      </c>
      <c r="J54" s="22" t="str">
        <f>VLOOKUP('SAÍDAS'!$C54,PROD!$B$7:$G$36,6,0)</f>
        <v>#N/A</v>
      </c>
      <c r="K54" s="22" t="str">
        <f>'SAÍDAS'!$H54*'SAÍDAS'!$J54</f>
        <v>#N/A</v>
      </c>
    </row>
    <row r="55" ht="15.75" customHeight="1">
      <c r="B55" s="15"/>
      <c r="C55" s="16"/>
      <c r="D55" s="16"/>
      <c r="E55" s="16"/>
      <c r="F55" s="16"/>
      <c r="G55" s="25"/>
      <c r="H55" s="26" t="str">
        <f>'SAÍDAS'!$E55-'SAÍDAS'!$F55</f>
        <v>0</v>
      </c>
      <c r="I55" s="26" t="str">
        <f>SUMIFS(ENTRADAS!$E$7:$E$57,ENTRADAS!$B$7:$B$57,"&lt;=" &amp; 'SAÍDAS'!$B55,ENTRADAS!$C$7:$C$57,'SAÍDAS'!$C55)-SUMIFS('SAÍDAS'!$H$7:$H$76,'SAÍDAS'!$B$7:$B$76,"&lt;=" &amp; 'SAÍDAS'!$B55,'SAÍDAS'!$C$7:$C$76,'SAÍDAS'!$C55)</f>
        <v>0</v>
      </c>
      <c r="J55" s="22" t="str">
        <f>VLOOKUP('SAÍDAS'!$C55,PROD!$B$7:$G$36,6,0)</f>
        <v>#N/A</v>
      </c>
      <c r="K55" s="22" t="str">
        <f>'SAÍDAS'!$H55*'SAÍDAS'!$J55</f>
        <v>#N/A</v>
      </c>
    </row>
    <row r="56" ht="15.75" customHeight="1">
      <c r="B56" s="15"/>
      <c r="C56" s="16"/>
      <c r="D56" s="16"/>
      <c r="E56" s="16"/>
      <c r="F56" s="16"/>
      <c r="G56" s="25"/>
      <c r="H56" s="26" t="str">
        <f>'SAÍDAS'!$E56-'SAÍDAS'!$F56</f>
        <v>0</v>
      </c>
      <c r="I56" s="26" t="str">
        <f>SUMIFS(ENTRADAS!$E$7:$E$57,ENTRADAS!$B$7:$B$57,"&lt;=" &amp; 'SAÍDAS'!$B56,ENTRADAS!$C$7:$C$57,'SAÍDAS'!$C56)-SUMIFS('SAÍDAS'!$H$7:$H$76,'SAÍDAS'!$B$7:$B$76,"&lt;=" &amp; 'SAÍDAS'!$B56,'SAÍDAS'!$C$7:$C$76,'SAÍDAS'!$C56)</f>
        <v>0</v>
      </c>
      <c r="J56" s="22" t="str">
        <f>VLOOKUP('SAÍDAS'!$C56,PROD!$B$7:$G$36,6,0)</f>
        <v>#N/A</v>
      </c>
      <c r="K56" s="22" t="str">
        <f>'SAÍDAS'!$H56*'SAÍDAS'!$J56</f>
        <v>#N/A</v>
      </c>
    </row>
    <row r="57" ht="15.75" customHeight="1">
      <c r="B57" s="15"/>
      <c r="C57" s="16"/>
      <c r="D57" s="16"/>
      <c r="E57" s="16"/>
      <c r="F57" s="16"/>
      <c r="G57" s="25"/>
      <c r="H57" s="26" t="str">
        <f>'SAÍDAS'!$E57-'SAÍDAS'!$F57</f>
        <v>0</v>
      </c>
      <c r="I57" s="26" t="str">
        <f>SUMIFS(ENTRADAS!$E$7:$E$57,ENTRADAS!$B$7:$B$57,"&lt;=" &amp; 'SAÍDAS'!$B57,ENTRADAS!$C$7:$C$57,'SAÍDAS'!$C57)-SUMIFS('SAÍDAS'!$H$7:$H$76,'SAÍDAS'!$B$7:$B$76,"&lt;=" &amp; 'SAÍDAS'!$B57,'SAÍDAS'!$C$7:$C$76,'SAÍDAS'!$C57)</f>
        <v>0</v>
      </c>
      <c r="J57" s="22" t="str">
        <f>VLOOKUP('SAÍDAS'!$C57,PROD!$B$7:$G$36,6,0)</f>
        <v>#N/A</v>
      </c>
      <c r="K57" s="22" t="str">
        <f>'SAÍDAS'!$H57*'SAÍDAS'!$J57</f>
        <v>#N/A</v>
      </c>
    </row>
    <row r="58" ht="15.75" customHeight="1">
      <c r="B58" s="15"/>
      <c r="C58" s="16"/>
      <c r="D58" s="16"/>
      <c r="E58" s="16"/>
      <c r="F58" s="16"/>
      <c r="G58" s="25"/>
      <c r="H58" s="26" t="str">
        <f>'SAÍDAS'!$E58-'SAÍDAS'!$F58</f>
        <v>0</v>
      </c>
      <c r="I58" s="26" t="str">
        <f>SUMIFS(ENTRADAS!$E$7:$E$57,ENTRADAS!$B$7:$B$57,"&lt;=" &amp; 'SAÍDAS'!$B58,ENTRADAS!$C$7:$C$57,'SAÍDAS'!$C58)-SUMIFS('SAÍDAS'!$H$7:$H$76,'SAÍDAS'!$B$7:$B$76,"&lt;=" &amp; 'SAÍDAS'!$B58,'SAÍDAS'!$C$7:$C$76,'SAÍDAS'!$C58)</f>
        <v>0</v>
      </c>
      <c r="J58" s="22" t="str">
        <f>VLOOKUP('SAÍDAS'!$C58,PROD!$B$7:$G$36,6,0)</f>
        <v>#N/A</v>
      </c>
      <c r="K58" s="22" t="str">
        <f>'SAÍDAS'!$H58*'SAÍDAS'!$J58</f>
        <v>#N/A</v>
      </c>
    </row>
    <row r="59" ht="15.75" customHeight="1">
      <c r="B59" s="15"/>
      <c r="C59" s="16"/>
      <c r="D59" s="16"/>
      <c r="E59" s="16"/>
      <c r="F59" s="16"/>
      <c r="G59" s="25"/>
      <c r="H59" s="26" t="str">
        <f>'SAÍDAS'!$E59-'SAÍDAS'!$F59</f>
        <v>0</v>
      </c>
      <c r="I59" s="26" t="str">
        <f>SUMIFS(ENTRADAS!$E$7:$E$57,ENTRADAS!$B$7:$B$57,"&lt;=" &amp; 'SAÍDAS'!$B59,ENTRADAS!$C$7:$C$57,'SAÍDAS'!$C59)-SUMIFS('SAÍDAS'!$H$7:$H$76,'SAÍDAS'!$B$7:$B$76,"&lt;=" &amp; 'SAÍDAS'!$B59,'SAÍDAS'!$C$7:$C$76,'SAÍDAS'!$C59)</f>
        <v>0</v>
      </c>
      <c r="J59" s="22" t="str">
        <f>VLOOKUP('SAÍDAS'!$C59,PROD!$B$7:$G$36,6,0)</f>
        <v>#N/A</v>
      </c>
      <c r="K59" s="22" t="str">
        <f>'SAÍDAS'!$H59*'SAÍDAS'!$J59</f>
        <v>#N/A</v>
      </c>
    </row>
    <row r="60" ht="15.75" customHeight="1">
      <c r="B60" s="15"/>
      <c r="C60" s="16"/>
      <c r="D60" s="16"/>
      <c r="E60" s="16"/>
      <c r="F60" s="16"/>
      <c r="G60" s="25"/>
      <c r="H60" s="26" t="str">
        <f>'SAÍDAS'!$E60-'SAÍDAS'!$F60</f>
        <v>0</v>
      </c>
      <c r="I60" s="26" t="str">
        <f>SUMIFS(ENTRADAS!$E$7:$E$57,ENTRADAS!$B$7:$B$57,"&lt;=" &amp; 'SAÍDAS'!$B60,ENTRADAS!$C$7:$C$57,'SAÍDAS'!$C60)-SUMIFS('SAÍDAS'!$H$7:$H$76,'SAÍDAS'!$B$7:$B$76,"&lt;=" &amp; 'SAÍDAS'!$B60,'SAÍDAS'!$C$7:$C$76,'SAÍDAS'!$C60)</f>
        <v>0</v>
      </c>
      <c r="J60" s="22" t="str">
        <f>VLOOKUP('SAÍDAS'!$C60,PROD!$B$7:$G$36,6,0)</f>
        <v>#N/A</v>
      </c>
      <c r="K60" s="22" t="str">
        <f>'SAÍDAS'!$H60*'SAÍDAS'!$J60</f>
        <v>#N/A</v>
      </c>
    </row>
    <row r="61" ht="15.75" customHeight="1">
      <c r="B61" s="15"/>
      <c r="C61" s="16"/>
      <c r="D61" s="16"/>
      <c r="E61" s="16"/>
      <c r="F61" s="16"/>
      <c r="G61" s="25"/>
      <c r="H61" s="26" t="str">
        <f>'SAÍDAS'!$E61-'SAÍDAS'!$F61</f>
        <v>0</v>
      </c>
      <c r="I61" s="26" t="str">
        <f>SUMIFS(ENTRADAS!$E$7:$E$57,ENTRADAS!$B$7:$B$57,"&lt;=" &amp; 'SAÍDAS'!$B61,ENTRADAS!$C$7:$C$57,'SAÍDAS'!$C61)-SUMIFS('SAÍDAS'!$H$7:$H$76,'SAÍDAS'!$B$7:$B$76,"&lt;=" &amp; 'SAÍDAS'!$B61,'SAÍDAS'!$C$7:$C$76,'SAÍDAS'!$C61)</f>
        <v>0</v>
      </c>
      <c r="J61" s="22" t="str">
        <f>VLOOKUP('SAÍDAS'!$C61,PROD!$B$7:$G$36,6,0)</f>
        <v>#N/A</v>
      </c>
      <c r="K61" s="22" t="str">
        <f>'SAÍDAS'!$H61*'SAÍDAS'!$J61</f>
        <v>#N/A</v>
      </c>
    </row>
    <row r="62" ht="15.75" customHeight="1">
      <c r="B62" s="15"/>
      <c r="C62" s="16"/>
      <c r="D62" s="16"/>
      <c r="E62" s="16"/>
      <c r="F62" s="16"/>
      <c r="G62" s="25"/>
      <c r="H62" s="26" t="str">
        <f>'SAÍDAS'!$E62-'SAÍDAS'!$F62</f>
        <v>0</v>
      </c>
      <c r="I62" s="26" t="str">
        <f>SUMIFS(ENTRADAS!$E$7:$E$57,ENTRADAS!$B$7:$B$57,"&lt;=" &amp; 'SAÍDAS'!$B62,ENTRADAS!$C$7:$C$57,'SAÍDAS'!$C62)-SUMIFS('SAÍDAS'!$H$7:$H$76,'SAÍDAS'!$B$7:$B$76,"&lt;=" &amp; 'SAÍDAS'!$B62,'SAÍDAS'!$C$7:$C$76,'SAÍDAS'!$C62)</f>
        <v>0</v>
      </c>
      <c r="J62" s="22" t="str">
        <f>VLOOKUP('SAÍDAS'!$C62,PROD!$B$7:$G$36,6,0)</f>
        <v>#N/A</v>
      </c>
      <c r="K62" s="22" t="str">
        <f>'SAÍDAS'!$H62*'SAÍDAS'!$J62</f>
        <v>#N/A</v>
      </c>
    </row>
    <row r="63" ht="15.75" customHeight="1">
      <c r="B63" s="15"/>
      <c r="C63" s="16"/>
      <c r="D63" s="16"/>
      <c r="E63" s="16"/>
      <c r="F63" s="16"/>
      <c r="G63" s="25"/>
      <c r="H63" s="26" t="str">
        <f>'SAÍDAS'!$E63-'SAÍDAS'!$F63</f>
        <v>0</v>
      </c>
      <c r="I63" s="26" t="str">
        <f>SUMIFS(ENTRADAS!$E$7:$E$57,ENTRADAS!$B$7:$B$57,"&lt;=" &amp; 'SAÍDAS'!$B63,ENTRADAS!$C$7:$C$57,'SAÍDAS'!$C63)-SUMIFS('SAÍDAS'!$H$7:$H$76,'SAÍDAS'!$B$7:$B$76,"&lt;=" &amp; 'SAÍDAS'!$B63,'SAÍDAS'!$C$7:$C$76,'SAÍDAS'!$C63)</f>
        <v>0</v>
      </c>
      <c r="J63" s="22" t="str">
        <f>VLOOKUP('SAÍDAS'!$C63,PROD!$B$7:$G$36,6,0)</f>
        <v>#N/A</v>
      </c>
      <c r="K63" s="22" t="str">
        <f>'SAÍDAS'!$H63*'SAÍDAS'!$J63</f>
        <v>#N/A</v>
      </c>
    </row>
    <row r="64" ht="15.75" customHeight="1">
      <c r="B64" s="15"/>
      <c r="C64" s="16"/>
      <c r="D64" s="16"/>
      <c r="E64" s="16"/>
      <c r="F64" s="16"/>
      <c r="G64" s="25"/>
      <c r="H64" s="26" t="str">
        <f>'SAÍDAS'!$E64-'SAÍDAS'!$F64</f>
        <v>0</v>
      </c>
      <c r="I64" s="26" t="str">
        <f>SUMIFS(ENTRADAS!$E$7:$E$57,ENTRADAS!$B$7:$B$57,"&lt;=" &amp; 'SAÍDAS'!$B64,ENTRADAS!$C$7:$C$57,'SAÍDAS'!$C64)-SUMIFS('SAÍDAS'!$H$7:$H$76,'SAÍDAS'!$B$7:$B$76,"&lt;=" &amp; 'SAÍDAS'!$B64,'SAÍDAS'!$C$7:$C$76,'SAÍDAS'!$C64)</f>
        <v>0</v>
      </c>
      <c r="J64" s="22" t="str">
        <f>VLOOKUP('SAÍDAS'!$C64,PROD!$B$7:$G$36,6,0)</f>
        <v>#N/A</v>
      </c>
      <c r="K64" s="22" t="str">
        <f>'SAÍDAS'!$H64*'SAÍDAS'!$J64</f>
        <v>#N/A</v>
      </c>
    </row>
    <row r="65" ht="15.75" customHeight="1">
      <c r="B65" s="15"/>
      <c r="C65" s="16"/>
      <c r="D65" s="16"/>
      <c r="E65" s="16"/>
      <c r="F65" s="16"/>
      <c r="G65" s="25"/>
      <c r="H65" s="26" t="str">
        <f>'SAÍDAS'!$E65-'SAÍDAS'!$F65</f>
        <v>0</v>
      </c>
      <c r="I65" s="26" t="str">
        <f>SUMIFS(ENTRADAS!$E$7:$E$57,ENTRADAS!$B$7:$B$57,"&lt;=" &amp; 'SAÍDAS'!$B65,ENTRADAS!$C$7:$C$57,'SAÍDAS'!$C65)-SUMIFS('SAÍDAS'!$H$7:$H$76,'SAÍDAS'!$B$7:$B$76,"&lt;=" &amp; 'SAÍDAS'!$B65,'SAÍDAS'!$C$7:$C$76,'SAÍDAS'!$C65)</f>
        <v>0</v>
      </c>
      <c r="J65" s="22" t="str">
        <f>VLOOKUP('SAÍDAS'!$C65,PROD!$B$7:$G$36,6,0)</f>
        <v>#N/A</v>
      </c>
      <c r="K65" s="22" t="str">
        <f>'SAÍDAS'!$H65*'SAÍDAS'!$J65</f>
        <v>#N/A</v>
      </c>
    </row>
    <row r="66" ht="15.75" customHeight="1">
      <c r="B66" s="15"/>
      <c r="C66" s="16"/>
      <c r="D66" s="16"/>
      <c r="E66" s="16"/>
      <c r="F66" s="16"/>
      <c r="G66" s="25"/>
      <c r="H66" s="26" t="str">
        <f>'SAÍDAS'!$E66-'SAÍDAS'!$F66</f>
        <v>0</v>
      </c>
      <c r="I66" s="26" t="str">
        <f>SUMIFS(ENTRADAS!$E$7:$E$57,ENTRADAS!$B$7:$B$57,"&lt;=" &amp; 'SAÍDAS'!$B66,ENTRADAS!$C$7:$C$57,'SAÍDAS'!$C66)-SUMIFS('SAÍDAS'!$H$7:$H$76,'SAÍDAS'!$B$7:$B$76,"&lt;=" &amp; 'SAÍDAS'!$B66,'SAÍDAS'!$C$7:$C$76,'SAÍDAS'!$C66)</f>
        <v>0</v>
      </c>
      <c r="J66" s="22" t="str">
        <f>VLOOKUP('SAÍDAS'!$C66,PROD!$B$7:$G$36,6,0)</f>
        <v>#N/A</v>
      </c>
      <c r="K66" s="22" t="str">
        <f>'SAÍDAS'!$H66*'SAÍDAS'!$J66</f>
        <v>#N/A</v>
      </c>
    </row>
    <row r="67" ht="15.75" customHeight="1">
      <c r="B67" s="15"/>
      <c r="C67" s="16"/>
      <c r="D67" s="16"/>
      <c r="E67" s="16"/>
      <c r="F67" s="16"/>
      <c r="G67" s="25"/>
      <c r="H67" s="26" t="str">
        <f>'SAÍDAS'!$E67-'SAÍDAS'!$F67</f>
        <v>0</v>
      </c>
      <c r="I67" s="26" t="str">
        <f>SUMIFS(ENTRADAS!$E$7:$E$57,ENTRADAS!$B$7:$B$57,"&lt;=" &amp; 'SAÍDAS'!$B67,ENTRADAS!$C$7:$C$57,'SAÍDAS'!$C67)-SUMIFS('SAÍDAS'!$H$7:$H$76,'SAÍDAS'!$B$7:$B$76,"&lt;=" &amp; 'SAÍDAS'!$B67,'SAÍDAS'!$C$7:$C$76,'SAÍDAS'!$C67)</f>
        <v>0</v>
      </c>
      <c r="J67" s="22" t="str">
        <f>VLOOKUP('SAÍDAS'!$C67,PROD!$B$7:$G$36,6,0)</f>
        <v>#N/A</v>
      </c>
      <c r="K67" s="22" t="str">
        <f>'SAÍDAS'!$H67*'SAÍDAS'!$J67</f>
        <v>#N/A</v>
      </c>
    </row>
    <row r="68" ht="15.75" customHeight="1">
      <c r="B68" s="15"/>
      <c r="C68" s="16"/>
      <c r="D68" s="16"/>
      <c r="E68" s="16"/>
      <c r="F68" s="16"/>
      <c r="G68" s="25"/>
      <c r="H68" s="26" t="str">
        <f>'SAÍDAS'!$E68-'SAÍDAS'!$F68</f>
        <v>0</v>
      </c>
      <c r="I68" s="26" t="str">
        <f>SUMIFS(ENTRADAS!$E$7:$E$57,ENTRADAS!$B$7:$B$57,"&lt;=" &amp; 'SAÍDAS'!$B68,ENTRADAS!$C$7:$C$57,'SAÍDAS'!$C68)-SUMIFS('SAÍDAS'!$H$7:$H$76,'SAÍDAS'!$B$7:$B$76,"&lt;=" &amp; 'SAÍDAS'!$B68,'SAÍDAS'!$C$7:$C$76,'SAÍDAS'!$C68)</f>
        <v>0</v>
      </c>
      <c r="J68" s="22" t="str">
        <f>VLOOKUP('SAÍDAS'!$C68,PROD!$B$7:$G$36,6,0)</f>
        <v>#N/A</v>
      </c>
      <c r="K68" s="22" t="str">
        <f>'SAÍDAS'!$H68*'SAÍDAS'!$J68</f>
        <v>#N/A</v>
      </c>
    </row>
    <row r="69" ht="15.75" customHeight="1">
      <c r="B69" s="15"/>
      <c r="C69" s="16"/>
      <c r="D69" s="16"/>
      <c r="E69" s="16"/>
      <c r="F69" s="16"/>
      <c r="G69" s="25"/>
      <c r="H69" s="26" t="str">
        <f>'SAÍDAS'!$E69-'SAÍDAS'!$F69</f>
        <v>0</v>
      </c>
      <c r="I69" s="26" t="str">
        <f>SUMIFS(ENTRADAS!$E$7:$E$57,ENTRADAS!$B$7:$B$57,"&lt;=" &amp; 'SAÍDAS'!$B69,ENTRADAS!$C$7:$C$57,'SAÍDAS'!$C69)-SUMIFS('SAÍDAS'!$H$7:$H$76,'SAÍDAS'!$B$7:$B$76,"&lt;=" &amp; 'SAÍDAS'!$B69,'SAÍDAS'!$C$7:$C$76,'SAÍDAS'!$C69)</f>
        <v>0</v>
      </c>
      <c r="J69" s="22" t="str">
        <f>VLOOKUP('SAÍDAS'!$C69,PROD!$B$7:$G$36,6,0)</f>
        <v>#N/A</v>
      </c>
      <c r="K69" s="22" t="str">
        <f>'SAÍDAS'!$H69*'SAÍDAS'!$J69</f>
        <v>#N/A</v>
      </c>
    </row>
    <row r="70" ht="15.75" customHeight="1">
      <c r="B70" s="15"/>
      <c r="C70" s="16"/>
      <c r="D70" s="16"/>
      <c r="E70" s="16"/>
      <c r="F70" s="16"/>
      <c r="G70" s="25"/>
      <c r="H70" s="26" t="str">
        <f>'SAÍDAS'!$E70-'SAÍDAS'!$F70</f>
        <v>0</v>
      </c>
      <c r="I70" s="26" t="str">
        <f>SUMIFS(ENTRADAS!$E$7:$E$57,ENTRADAS!$B$7:$B$57,"&lt;=" &amp; 'SAÍDAS'!$B70,ENTRADAS!$C$7:$C$57,'SAÍDAS'!$C70)-SUMIFS('SAÍDAS'!$H$7:$H$76,'SAÍDAS'!$B$7:$B$76,"&lt;=" &amp; 'SAÍDAS'!$B70,'SAÍDAS'!$C$7:$C$76,'SAÍDAS'!$C70)</f>
        <v>0</v>
      </c>
      <c r="J70" s="22" t="str">
        <f>VLOOKUP('SAÍDAS'!$C70,PROD!$B$7:$G$36,6,0)</f>
        <v>#N/A</v>
      </c>
      <c r="K70" s="22" t="str">
        <f>'SAÍDAS'!$H70*'SAÍDAS'!$J70</f>
        <v>#N/A</v>
      </c>
    </row>
    <row r="71" ht="15.75" customHeight="1">
      <c r="B71" s="15"/>
      <c r="C71" s="16"/>
      <c r="D71" s="16"/>
      <c r="E71" s="16"/>
      <c r="F71" s="16"/>
      <c r="G71" s="25"/>
      <c r="H71" s="26" t="str">
        <f>'SAÍDAS'!$E71-'SAÍDAS'!$F71</f>
        <v>0</v>
      </c>
      <c r="I71" s="26" t="str">
        <f>SUMIFS(ENTRADAS!$E$7:$E$57,ENTRADAS!$B$7:$B$57,"&lt;=" &amp; 'SAÍDAS'!$B71,ENTRADAS!$C$7:$C$57,'SAÍDAS'!$C71)-SUMIFS('SAÍDAS'!$H$7:$H$76,'SAÍDAS'!$B$7:$B$76,"&lt;=" &amp; 'SAÍDAS'!$B71,'SAÍDAS'!$C$7:$C$76,'SAÍDAS'!$C71)</f>
        <v>0</v>
      </c>
      <c r="J71" s="22" t="str">
        <f>VLOOKUP('SAÍDAS'!$C71,PROD!$B$7:$G$36,6,0)</f>
        <v>#N/A</v>
      </c>
      <c r="K71" s="22" t="str">
        <f>'SAÍDAS'!$H71*'SAÍDAS'!$J71</f>
        <v>#N/A</v>
      </c>
    </row>
    <row r="72" ht="15.75" customHeight="1">
      <c r="B72" s="15"/>
      <c r="C72" s="16"/>
      <c r="D72" s="16"/>
      <c r="E72" s="16"/>
      <c r="F72" s="16"/>
      <c r="G72" s="25"/>
      <c r="H72" s="26" t="str">
        <f>'SAÍDAS'!$E72-'SAÍDAS'!$F72</f>
        <v>0</v>
      </c>
      <c r="I72" s="26" t="str">
        <f>SUMIFS(ENTRADAS!$E$7:$E$57,ENTRADAS!$B$7:$B$57,"&lt;=" &amp; 'SAÍDAS'!$B72,ENTRADAS!$C$7:$C$57,'SAÍDAS'!$C72)-SUMIFS('SAÍDAS'!$H$7:$H$76,'SAÍDAS'!$B$7:$B$76,"&lt;=" &amp; 'SAÍDAS'!$B72,'SAÍDAS'!$C$7:$C$76,'SAÍDAS'!$C72)</f>
        <v>0</v>
      </c>
      <c r="J72" s="22" t="str">
        <f>VLOOKUP('SAÍDAS'!$C72,PROD!$B$7:$G$36,6,0)</f>
        <v>#N/A</v>
      </c>
      <c r="K72" s="22" t="str">
        <f>'SAÍDAS'!$H72*'SAÍDAS'!$J72</f>
        <v>#N/A</v>
      </c>
    </row>
    <row r="73" ht="15.75" customHeight="1">
      <c r="B73" s="15"/>
      <c r="C73" s="16"/>
      <c r="D73" s="16"/>
      <c r="E73" s="16"/>
      <c r="F73" s="16"/>
      <c r="G73" s="25"/>
      <c r="H73" s="26" t="str">
        <f>'SAÍDAS'!$E73-'SAÍDAS'!$F73</f>
        <v>0</v>
      </c>
      <c r="I73" s="26" t="str">
        <f>SUMIFS(ENTRADAS!$E$7:$E$57,ENTRADAS!$B$7:$B$57,"&lt;=" &amp; 'SAÍDAS'!$B73,ENTRADAS!$C$7:$C$57,'SAÍDAS'!$C73)-SUMIFS('SAÍDAS'!$H$7:$H$76,'SAÍDAS'!$B$7:$B$76,"&lt;=" &amp; 'SAÍDAS'!$B73,'SAÍDAS'!$C$7:$C$76,'SAÍDAS'!$C73)</f>
        <v>0</v>
      </c>
      <c r="J73" s="22" t="str">
        <f>VLOOKUP('SAÍDAS'!$C73,PROD!$B$7:$G$36,6,0)</f>
        <v>#N/A</v>
      </c>
      <c r="K73" s="22" t="str">
        <f>'SAÍDAS'!$H73*'SAÍDAS'!$J73</f>
        <v>#N/A</v>
      </c>
    </row>
    <row r="74" ht="15.75" customHeight="1">
      <c r="B74" s="15"/>
      <c r="C74" s="16"/>
      <c r="D74" s="16"/>
      <c r="E74" s="16"/>
      <c r="F74" s="16"/>
      <c r="G74" s="25"/>
      <c r="H74" s="26" t="str">
        <f>'SAÍDAS'!$E74-'SAÍDAS'!$F74</f>
        <v>0</v>
      </c>
      <c r="I74" s="26" t="str">
        <f>SUMIFS(ENTRADAS!$E$7:$E$57,ENTRADAS!$B$7:$B$57,"&lt;=" &amp; 'SAÍDAS'!$B74,ENTRADAS!$C$7:$C$57,'SAÍDAS'!$C74)-SUMIFS('SAÍDAS'!$H$7:$H$76,'SAÍDAS'!$B$7:$B$76,"&lt;=" &amp; 'SAÍDAS'!$B74,'SAÍDAS'!$C$7:$C$76,'SAÍDAS'!$C74)</f>
        <v>0</v>
      </c>
      <c r="J74" s="22" t="str">
        <f>VLOOKUP('SAÍDAS'!$C74,PROD!$B$7:$G$36,6,0)</f>
        <v>#N/A</v>
      </c>
      <c r="K74" s="22" t="str">
        <f>'SAÍDAS'!$H74*'SAÍDAS'!$J74</f>
        <v>#N/A</v>
      </c>
    </row>
    <row r="75" ht="15.75" customHeight="1">
      <c r="B75" s="15"/>
      <c r="C75" s="16"/>
      <c r="D75" s="16"/>
      <c r="E75" s="16"/>
      <c r="F75" s="16"/>
      <c r="G75" s="25"/>
      <c r="H75" s="26" t="str">
        <f>'SAÍDAS'!$E75-'SAÍDAS'!$F75</f>
        <v>0</v>
      </c>
      <c r="I75" s="26" t="str">
        <f>SUMIFS(ENTRADAS!$E$7:$E$57,ENTRADAS!$B$7:$B$57,"&lt;=" &amp; 'SAÍDAS'!$B75,ENTRADAS!$C$7:$C$57,'SAÍDAS'!$C75)-SUMIFS('SAÍDAS'!$H$7:$H$76,'SAÍDAS'!$B$7:$B$76,"&lt;=" &amp; 'SAÍDAS'!$B75,'SAÍDAS'!$C$7:$C$76,'SAÍDAS'!$C75)</f>
        <v>0</v>
      </c>
      <c r="J75" s="22" t="str">
        <f>VLOOKUP('SAÍDAS'!$C75,PROD!$B$7:$G$36,6,0)</f>
        <v>#N/A</v>
      </c>
      <c r="K75" s="22" t="str">
        <f>'SAÍDAS'!$H75*'SAÍDAS'!$J75</f>
        <v>#N/A</v>
      </c>
    </row>
    <row r="76" ht="15.75" customHeight="1">
      <c r="B76" s="15"/>
      <c r="C76" s="16"/>
      <c r="D76" s="16"/>
      <c r="E76" s="16"/>
      <c r="F76" s="16"/>
      <c r="G76" s="25"/>
      <c r="H76" s="26" t="str">
        <f>'SAÍDAS'!$E76-'SAÍDAS'!$F76</f>
        <v>0</v>
      </c>
      <c r="I76" s="26" t="str">
        <f>SUMIFS(ENTRADAS!$E$7:$E$57,ENTRADAS!$B$7:$B$57,"&lt;=" &amp; 'SAÍDAS'!$B76,ENTRADAS!$C$7:$C$57,'SAÍDAS'!$C76)-SUMIFS('SAÍDAS'!$H$7:$H$76,'SAÍDAS'!$B$7:$B$76,"&lt;=" &amp; 'SAÍDAS'!$B76,'SAÍDAS'!$C$7:$C$76,'SAÍDAS'!$C76)</f>
        <v>0</v>
      </c>
      <c r="J76" s="22" t="str">
        <f>VLOOKUP('SAÍDAS'!$C76,PROD!$B$7:$G$36,6,0)</f>
        <v>#N/A</v>
      </c>
      <c r="K76" s="22" t="str">
        <f>'SAÍDAS'!$H76*'SAÍDAS'!$J76</f>
        <v>#N/A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custom" allowBlank="1" showInputMessage="1" showErrorMessage="1" prompt="NÃO HÁ ESTOQUE - Este produto está em FALTA ou não possui quantidade suficiente em estoque para esta venda. _x000a__x000a_Verifique na aba CONTROLE ESTOQUE o Status deste produto e entre em contato com o fornecedor para fazer a reposição do estoque." sqref="E7:E76">
      <formula1>$I7&gt;=0</formula1>
    </dataValidation>
    <dataValidation type="list" allowBlank="1" showErrorMessage="1" sqref="D7:D76">
      <formula1>LISTA_LOJAS</formula1>
    </dataValidation>
    <dataValidation type="list" allowBlank="1" showErrorMessage="1" sqref="C7:C76">
      <formula1>LISTA_PRODUTOS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86"/>
    <col customWidth="1" min="2" max="2" width="17.71"/>
    <col customWidth="1" min="3" max="6" width="18.29"/>
    <col customWidth="1" min="7" max="7" width="21.43"/>
    <col customWidth="1" min="8" max="8" width="22.0"/>
    <col customWidth="1" min="9" max="10" width="14.43"/>
    <col customWidth="1" min="11" max="11" width="8.71"/>
  </cols>
  <sheetData>
    <row r="1" ht="39.75" customHeight="1">
      <c r="A1" s="1"/>
      <c r="B1" s="1"/>
      <c r="C1" s="10" t="s">
        <v>101</v>
      </c>
      <c r="D1" s="1"/>
      <c r="E1" s="1"/>
      <c r="F1" s="1"/>
      <c r="G1" s="1"/>
      <c r="H1" s="1"/>
      <c r="I1" s="1"/>
      <c r="J1" s="1"/>
      <c r="K1" s="1"/>
    </row>
    <row r="2" ht="3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4">
      <c r="B4" s="27" t="s">
        <v>102</v>
      </c>
      <c r="C4" s="2"/>
      <c r="D4" s="2"/>
      <c r="E4" s="2"/>
      <c r="F4" s="2" t="str">
        <f>IF(COUNTA('CONT. ESTOQUE'!$B$7:$B$16)=COUNTA(PROD!$B$7:$B$36),"Sim!","Não! Tabela de Controle de Estoque defasada, acrescentar produto faltante.")</f>
        <v>Não! Tabela de Controle de Estoque defasada, acrescentar produto faltante.</v>
      </c>
    </row>
    <row r="5">
      <c r="B5" s="12"/>
      <c r="C5" s="13"/>
      <c r="D5" s="13"/>
      <c r="E5" s="13"/>
      <c r="F5" s="13"/>
      <c r="G5" s="13"/>
    </row>
    <row r="6" ht="35.25" customHeight="1">
      <c r="B6" s="24" t="s">
        <v>90</v>
      </c>
      <c r="C6" s="24" t="s">
        <v>103</v>
      </c>
      <c r="D6" s="24" t="s">
        <v>104</v>
      </c>
      <c r="E6" s="24" t="s">
        <v>105</v>
      </c>
      <c r="F6" s="24" t="s">
        <v>22</v>
      </c>
      <c r="G6" s="24" t="s">
        <v>106</v>
      </c>
      <c r="H6" s="24" t="s">
        <v>107</v>
      </c>
      <c r="I6" s="24" t="s">
        <v>108</v>
      </c>
      <c r="J6" s="24" t="s">
        <v>109</v>
      </c>
    </row>
    <row r="7">
      <c r="B7" s="28" t="s">
        <v>30</v>
      </c>
      <c r="C7" s="28" t="str">
        <f>IF('CONT. ESTOQUE'!$B7&lt;&gt;"",SUMIF(ENTRADAS!$C$7:$C$57,'CONT. ESTOQUE'!$B7,ENTRADAS!$E$7:$E$57),"")</f>
        <v>500</v>
      </c>
      <c r="D7" s="28" t="str">
        <f>IF('CONT. ESTOQUE'!$B7&lt;&gt;"",SUMIF('SAÍDAS'!$C$7:$C$76,'CONT. ESTOQUE'!$B7,'SAÍDAS'!$H$7:$H$76),"")</f>
        <v>0</v>
      </c>
      <c r="E7" s="28" t="str">
        <f>IFERROR('CONT. ESTOQUE'!$C7-'CONT. ESTOQUE'!$D7,"")</f>
        <v>500</v>
      </c>
      <c r="F7" s="28" t="str">
        <f>IFERROR(VLOOKUP('CONT. ESTOQUE'!$B7,PROD!$B$6:$G$36,4,0),"")</f>
        <v>20</v>
      </c>
      <c r="G7" s="28" t="str">
        <f>IF('CONT. ESTOQUE'!$B7&lt;&gt;"",IF('CONT. ESTOQUE'!$E7=0,"Sem Estoque",IF('CONT. ESTOQUE'!$E7&lt;'CONT. ESTOQUE'!$F7,"Estoque Perigoso","Estoque Confortável")),"")</f>
        <v>Estoque Confortável</v>
      </c>
      <c r="H7" s="29" t="str">
        <f>SUMIF('SAÍDAS'!$C$7:$C$76,'CONT. ESTOQUE'!$B7,'SAÍDAS'!$K$7:$K$76)</f>
        <v>R$ 0.00</v>
      </c>
      <c r="I7" s="29" t="str">
        <f>SUMIF(ENTRADAS!$C$7:$C$57,'CONT. ESTOQUE'!$B7,ENTRADAS!$G$7:$G$57)</f>
        <v>R$ 43,305.00</v>
      </c>
      <c r="J7" s="29" t="str">
        <f>'CONT. ESTOQUE'!$H7-'CONT. ESTOQUE'!$I7</f>
        <v>-R$ 43,305.00</v>
      </c>
    </row>
    <row r="8">
      <c r="B8" s="28" t="s">
        <v>33</v>
      </c>
      <c r="C8" s="28" t="str">
        <f>IF('CONT. ESTOQUE'!$B8&lt;&gt;"",SUMIF(ENTRADAS!$C$7:$C$57,'CONT. ESTOQUE'!$B8,ENTRADAS!$E$7:$E$57),"")</f>
        <v>500</v>
      </c>
      <c r="D8" s="28" t="str">
        <f>IF('CONT. ESTOQUE'!$B8&lt;&gt;"",SUMIF('SAÍDAS'!$C$7:$C$76,'CONT. ESTOQUE'!$B8,'SAÍDAS'!$H$7:$H$76),"")</f>
        <v>0</v>
      </c>
      <c r="E8" s="28" t="str">
        <f>IFERROR('CONT. ESTOQUE'!$C8-'CONT. ESTOQUE'!$D8,"")</f>
        <v>500</v>
      </c>
      <c r="F8" s="28" t="str">
        <f>IFERROR(VLOOKUP('CONT. ESTOQUE'!$B8,PROD!$B$6:$G$36,4,0),"")</f>
        <v>20</v>
      </c>
      <c r="G8" s="28" t="str">
        <f>IF('CONT. ESTOQUE'!$B8&lt;&gt;"",IF('CONT. ESTOQUE'!$E8=0,"Sem Estoque",IF('CONT. ESTOQUE'!$E8&lt;'CONT. ESTOQUE'!$F8,"Estoque Perigoso","Estoque Confortável")),"")</f>
        <v>Estoque Confortável</v>
      </c>
      <c r="H8" s="29" t="str">
        <f>SUMIF('SAÍDAS'!$C$7:$C$76,'CONT. ESTOQUE'!$B8,'SAÍDAS'!$K$7:$K$76)</f>
        <v>R$ 0.00</v>
      </c>
      <c r="I8" s="29" t="str">
        <f>SUMIF(ENTRADAS!$C$7:$C$57,'CONT. ESTOQUE'!$B8,ENTRADAS!$G$7:$G$57)</f>
        <v>R$ 23,220.00</v>
      </c>
      <c r="J8" s="29" t="str">
        <f>'CONT. ESTOQUE'!$H8-'CONT. ESTOQUE'!$I8</f>
        <v>-R$ 23,220.00</v>
      </c>
    </row>
    <row r="9">
      <c r="B9" s="28" t="s">
        <v>25</v>
      </c>
      <c r="C9" s="28" t="str">
        <f>IF('CONT. ESTOQUE'!$B9&lt;&gt;"",SUMIF(ENTRADAS!$C$7:$C$57,'CONT. ESTOQUE'!$B9,ENTRADAS!$E$7:$E$57),"")</f>
        <v>0</v>
      </c>
      <c r="D9" s="28" t="str">
        <f>IF('CONT. ESTOQUE'!$B9&lt;&gt;"",SUMIF('SAÍDAS'!$C$7:$C$76,'CONT. ESTOQUE'!$B9,'SAÍDAS'!$H$7:$H$76),"")</f>
        <v>0</v>
      </c>
      <c r="E9" s="28" t="str">
        <f>IFERROR('CONT. ESTOQUE'!$C9-'CONT. ESTOQUE'!$D9,"")</f>
        <v>0</v>
      </c>
      <c r="F9" s="28" t="str">
        <f>IFERROR(VLOOKUP('CONT. ESTOQUE'!$B9,PROD!$B$6:$G$36,4,0),"")</f>
        <v/>
      </c>
      <c r="G9" s="28" t="str">
        <f>IF('CONT. ESTOQUE'!$B9&lt;&gt;"",IF('CONT. ESTOQUE'!$E9=0,"Sem Estoque",IF('CONT. ESTOQUE'!$E9&lt;'CONT. ESTOQUE'!$F9,"Estoque Perigoso","Estoque Confortável")),"")</f>
        <v>Sem Estoque</v>
      </c>
      <c r="H9" s="29" t="str">
        <f>SUMIF('SAÍDAS'!$C$7:$C$76,'CONT. ESTOQUE'!$B9,'SAÍDAS'!$K$7:$K$76)</f>
        <v>R$ 0.00</v>
      </c>
      <c r="I9" s="29" t="str">
        <f>SUMIF(ENTRADAS!$C$7:$C$57,'CONT. ESTOQUE'!$B9,ENTRADAS!$G$7:$G$57)</f>
        <v>R$ 0.00</v>
      </c>
      <c r="J9" s="29" t="str">
        <f>'CONT. ESTOQUE'!$H9-'CONT. ESTOQUE'!$I9</f>
        <v>R$ 0.00</v>
      </c>
    </row>
    <row r="10">
      <c r="B10" s="28" t="s">
        <v>26</v>
      </c>
      <c r="C10" s="28" t="str">
        <f>IF('CONT. ESTOQUE'!$B10&lt;&gt;"",SUMIF(ENTRADAS!$C$7:$C$57,'CONT. ESTOQUE'!$B10,ENTRADAS!$E$7:$E$57),"")</f>
        <v>0</v>
      </c>
      <c r="D10" s="28" t="str">
        <f>IF('CONT. ESTOQUE'!$B10&lt;&gt;"",SUMIF('SAÍDAS'!$C$7:$C$76,'CONT. ESTOQUE'!$B10,'SAÍDAS'!$H$7:$H$76),"")</f>
        <v>0</v>
      </c>
      <c r="E10" s="28" t="str">
        <f>IFERROR('CONT. ESTOQUE'!$C10-'CONT. ESTOQUE'!$D10,"")</f>
        <v>0</v>
      </c>
      <c r="F10" s="28" t="str">
        <f>IFERROR(VLOOKUP('CONT. ESTOQUE'!$B10,PROD!$B$6:$G$36,4,0),"")</f>
        <v/>
      </c>
      <c r="G10" s="28" t="str">
        <f>IF('CONT. ESTOQUE'!$B10&lt;&gt;"",IF('CONT. ESTOQUE'!$E10=0,"Sem Estoque",IF('CONT. ESTOQUE'!$E10&lt;'CONT. ESTOQUE'!$F10,"Estoque Perigoso","Estoque Confortável")),"")</f>
        <v>Sem Estoque</v>
      </c>
      <c r="H10" s="29" t="str">
        <f>SUMIF('SAÍDAS'!$C$7:$C$76,'CONT. ESTOQUE'!$B10,'SAÍDAS'!$K$7:$K$76)</f>
        <v>R$ 0.00</v>
      </c>
      <c r="I10" s="29" t="str">
        <f>SUMIF(ENTRADAS!$C$7:$C$57,'CONT. ESTOQUE'!$B10,ENTRADAS!$G$7:$G$57)</f>
        <v>R$ 0.00</v>
      </c>
      <c r="J10" s="29" t="str">
        <f>'CONT. ESTOQUE'!$H10-'CONT. ESTOQUE'!$I10</f>
        <v>R$ 0.00</v>
      </c>
    </row>
    <row r="11">
      <c r="B11" s="28" t="s">
        <v>27</v>
      </c>
      <c r="C11" s="28" t="str">
        <f>IF('CONT. ESTOQUE'!$B11&lt;&gt;"",SUMIF(ENTRADAS!$C$7:$C$57,'CONT. ESTOQUE'!$B11,ENTRADAS!$E$7:$E$57),"")</f>
        <v>0</v>
      </c>
      <c r="D11" s="28" t="str">
        <f>IF('CONT. ESTOQUE'!$B11&lt;&gt;"",SUMIF('SAÍDAS'!$C$7:$C$76,'CONT. ESTOQUE'!$B11,'SAÍDAS'!$H$7:$H$76),"")</f>
        <v>0</v>
      </c>
      <c r="E11" s="28" t="str">
        <f>IFERROR('CONT. ESTOQUE'!$C11-'CONT. ESTOQUE'!$D11,"")</f>
        <v>0</v>
      </c>
      <c r="F11" s="28" t="str">
        <f>IFERROR(VLOOKUP('CONT. ESTOQUE'!$B11,PROD!$B$6:$G$36,4,0),"")</f>
        <v/>
      </c>
      <c r="G11" s="28" t="str">
        <f>IF('CONT. ESTOQUE'!$B11&lt;&gt;"",IF('CONT. ESTOQUE'!$E11=0,"Sem Estoque",IF('CONT. ESTOQUE'!$E11&lt;'CONT. ESTOQUE'!$F11,"Estoque Perigoso","Estoque Confortável")),"")</f>
        <v>Sem Estoque</v>
      </c>
      <c r="H11" s="29" t="str">
        <f>SUMIF('SAÍDAS'!$C$7:$C$76,'CONT. ESTOQUE'!$B11,'SAÍDAS'!$K$7:$K$76)</f>
        <v>R$ 0.00</v>
      </c>
      <c r="I11" s="29" t="str">
        <f>SUMIF(ENTRADAS!$C$7:$C$57,'CONT. ESTOQUE'!$B11,ENTRADAS!$G$7:$G$57)</f>
        <v>R$ 0.00</v>
      </c>
      <c r="J11" s="29" t="str">
        <f>'CONT. ESTOQUE'!$H11-'CONT. ESTOQUE'!$I11</f>
        <v>R$ 0.00</v>
      </c>
    </row>
    <row r="12">
      <c r="B12" s="30" t="s">
        <v>28</v>
      </c>
      <c r="C12" s="28" t="str">
        <f>IF('CONT. ESTOQUE'!$B12&lt;&gt;"",SUMIF(ENTRADAS!$C$7:$C$57,'CONT. ESTOQUE'!$B12,ENTRADAS!$E$7:$E$57),"")</f>
        <v>0</v>
      </c>
      <c r="D12" s="28" t="str">
        <f>IF('CONT. ESTOQUE'!$B12&lt;&gt;"",SUMIF('SAÍDAS'!$C$7:$C$76,'CONT. ESTOQUE'!$B12,'SAÍDAS'!$H$7:$H$76),"")</f>
        <v>0</v>
      </c>
      <c r="E12" s="28" t="str">
        <f>IFERROR('CONT. ESTOQUE'!$C12-'CONT. ESTOQUE'!$D12,"")</f>
        <v>0</v>
      </c>
      <c r="F12" s="28" t="str">
        <f>IFERROR(VLOOKUP('CONT. ESTOQUE'!$B12,PROD!$B$6:$G$36,4,0),"")</f>
        <v/>
      </c>
      <c r="G12" s="28" t="str">
        <f>IF('CONT. ESTOQUE'!$B12&lt;&gt;"",IF('CONT. ESTOQUE'!$E12=0,"Sem Estoque",IF('CONT. ESTOQUE'!$E12&lt;'CONT. ESTOQUE'!$F12,"Estoque Perigoso","Estoque Confortável")),"")</f>
        <v>Sem Estoque</v>
      </c>
      <c r="H12" s="29" t="str">
        <f>SUMIF('SAÍDAS'!$C$7:$C$76,'CONT. ESTOQUE'!$B12,'SAÍDAS'!$K$7:$K$76)</f>
        <v>R$ 0.00</v>
      </c>
      <c r="I12" s="29" t="str">
        <f>SUMIF(ENTRADAS!$C$7:$C$57,'CONT. ESTOQUE'!$B12,ENTRADAS!$G$7:$G$57)</f>
        <v>R$ 0.00</v>
      </c>
      <c r="J12" s="29" t="str">
        <f>'CONT. ESTOQUE'!$H12-'CONT. ESTOQUE'!$I12</f>
        <v>R$ 0.00</v>
      </c>
    </row>
    <row r="13">
      <c r="B13" s="30" t="s">
        <v>29</v>
      </c>
      <c r="C13" s="28" t="str">
        <f>IF('CONT. ESTOQUE'!$B13&lt;&gt;"",SUMIF(ENTRADAS!$C$7:$C$57,'CONT. ESTOQUE'!$B13,ENTRADAS!$E$7:$E$57),"")</f>
        <v>0</v>
      </c>
      <c r="D13" s="28" t="str">
        <f>IF('CONT. ESTOQUE'!$B13&lt;&gt;"",SUMIF('SAÍDAS'!$C$7:$C$76,'CONT. ESTOQUE'!$B13,'SAÍDAS'!$H$7:$H$76),"")</f>
        <v>0</v>
      </c>
      <c r="E13" s="28" t="str">
        <f>IFERROR('CONT. ESTOQUE'!$C13-'CONT. ESTOQUE'!$D13,"")</f>
        <v>0</v>
      </c>
      <c r="F13" s="28" t="str">
        <f>IFERROR(VLOOKUP('CONT. ESTOQUE'!$B13,PROD!$B$6:$G$36,4,0),"")</f>
        <v/>
      </c>
      <c r="G13" s="28" t="str">
        <f>IF('CONT. ESTOQUE'!$B13&lt;&gt;"",IF('CONT. ESTOQUE'!$E13=0,"Sem Estoque",IF('CONT. ESTOQUE'!$E13&lt;'CONT. ESTOQUE'!$F13,"Estoque Perigoso","Estoque Confortável")),"")</f>
        <v>Sem Estoque</v>
      </c>
      <c r="H13" s="29" t="str">
        <f>SUMIF('SAÍDAS'!$C$7:$C$76,'CONT. ESTOQUE'!$B13,'SAÍDAS'!$K$7:$K$76)</f>
        <v>R$ 0.00</v>
      </c>
      <c r="I13" s="29" t="str">
        <f>SUMIF(ENTRADAS!$C$7:$C$57,'CONT. ESTOQUE'!$B13,ENTRADAS!$G$7:$G$57)</f>
        <v>R$ 0.00</v>
      </c>
      <c r="J13" s="29" t="str">
        <f>'CONT. ESTOQUE'!$H13-'CONT. ESTOQUE'!$I13</f>
        <v>R$ 0.00</v>
      </c>
    </row>
    <row r="14">
      <c r="B14" s="30" t="s">
        <v>36</v>
      </c>
      <c r="C14" s="28" t="str">
        <f>IF('CONT. ESTOQUE'!$B14&lt;&gt;"",SUMIF(ENTRADAS!$C$7:$C$57,'CONT. ESTOQUE'!$B14,ENTRADAS!$E$7:$E$57),"")</f>
        <v>0</v>
      </c>
      <c r="D14" s="28" t="str">
        <f>IF('CONT. ESTOQUE'!$B14&lt;&gt;"",SUMIF('SAÍDAS'!$C$7:$C$76,'CONT. ESTOQUE'!$B14,'SAÍDAS'!$H$7:$H$76),"")</f>
        <v>0</v>
      </c>
      <c r="E14" s="28" t="str">
        <f>IFERROR('CONT. ESTOQUE'!$C14-'CONT. ESTOQUE'!$D14,"")</f>
        <v>0</v>
      </c>
      <c r="F14" s="28" t="str">
        <f>IFERROR(VLOOKUP('CONT. ESTOQUE'!$B14,PROD!$B$6:$G$36,4,0),"")</f>
        <v/>
      </c>
      <c r="G14" s="28" t="str">
        <f>IF('CONT. ESTOQUE'!$B14&lt;&gt;"",IF('CONT. ESTOQUE'!$E14=0,"Sem Estoque",IF('CONT. ESTOQUE'!$E14&lt;'CONT. ESTOQUE'!$F14,"Estoque Perigoso","Estoque Confortável")),"")</f>
        <v>Sem Estoque</v>
      </c>
      <c r="H14" s="29" t="str">
        <f>SUMIF('SAÍDAS'!$C$7:$C$76,'CONT. ESTOQUE'!$B14,'SAÍDAS'!$K$7:$K$76)</f>
        <v>R$ 0.00</v>
      </c>
      <c r="I14" s="29" t="str">
        <f>SUMIF(ENTRADAS!$C$7:$C$57,'CONT. ESTOQUE'!$B14,ENTRADAS!$G$7:$G$57)</f>
        <v>R$ 0.00</v>
      </c>
      <c r="J14" s="29" t="str">
        <f>'CONT. ESTOQUE'!$H14-'CONT. ESTOQUE'!$I14</f>
        <v>R$ 0.00</v>
      </c>
    </row>
    <row r="15">
      <c r="B15" s="30" t="s">
        <v>32</v>
      </c>
      <c r="C15" s="28" t="str">
        <f>IF('CONT. ESTOQUE'!$B15&lt;&gt;"",SUMIF(ENTRADAS!$C$7:$C$57,'CONT. ESTOQUE'!$B15,ENTRADAS!$E$7:$E$57),"")</f>
        <v>0</v>
      </c>
      <c r="D15" s="28" t="str">
        <f>IF('CONT. ESTOQUE'!$B15&lt;&gt;"",SUMIF('SAÍDAS'!$C$7:$C$76,'CONT. ESTOQUE'!$B15,'SAÍDAS'!$H$7:$H$76),"")</f>
        <v>0</v>
      </c>
      <c r="E15" s="28" t="str">
        <f>IFERROR('CONT. ESTOQUE'!$C15-'CONT. ESTOQUE'!$D15,"")</f>
        <v>0</v>
      </c>
      <c r="F15" s="28" t="str">
        <f>IFERROR(VLOOKUP('CONT. ESTOQUE'!$B15,PROD!$B$6:$G$36,4,0),"")</f>
        <v/>
      </c>
      <c r="G15" s="28" t="str">
        <f>IF('CONT. ESTOQUE'!$B15&lt;&gt;"",IF('CONT. ESTOQUE'!$E15=0,"Sem Estoque",IF('CONT. ESTOQUE'!$E15&lt;'CONT. ESTOQUE'!$F15,"Estoque Perigoso","Estoque Confortável")),"")</f>
        <v>Sem Estoque</v>
      </c>
      <c r="H15" s="29" t="str">
        <f>SUMIF('SAÍDAS'!$C$7:$C$76,'CONT. ESTOQUE'!$B15,'SAÍDAS'!$K$7:$K$76)</f>
        <v>R$ 0.00</v>
      </c>
      <c r="I15" s="29" t="str">
        <f>SUMIF(ENTRADAS!$C$7:$C$57,'CONT. ESTOQUE'!$B15,ENTRADAS!$G$7:$G$57)</f>
        <v>R$ 0.00</v>
      </c>
      <c r="J15" s="29" t="str">
        <f>'CONT. ESTOQUE'!$H15-'CONT. ESTOQUE'!$I15</f>
        <v>R$ 0.00</v>
      </c>
    </row>
    <row r="16">
      <c r="B16" s="30" t="s">
        <v>39</v>
      </c>
      <c r="C16" s="28" t="str">
        <f>IF('CONT. ESTOQUE'!$B16&lt;&gt;"",SUMIF(ENTRADAS!$C$7:$C$57,'CONT. ESTOQUE'!$B16,ENTRADAS!$E$7:$E$57),"")</f>
        <v>0</v>
      </c>
      <c r="D16" s="28" t="str">
        <f>IF('CONT. ESTOQUE'!$B16&lt;&gt;"",SUMIF('SAÍDAS'!$C$7:$C$76,'CONT. ESTOQUE'!$B16,'SAÍDAS'!$H$7:$H$76),"")</f>
        <v>0</v>
      </c>
      <c r="E16" s="28" t="str">
        <f>IFERROR('CONT. ESTOQUE'!$C16-'CONT. ESTOQUE'!$D16,"")</f>
        <v>0</v>
      </c>
      <c r="F16" s="28" t="str">
        <f>IFERROR(VLOOKUP('CONT. ESTOQUE'!$B16,PROD!$B$6:$G$36,4,0),"")</f>
        <v/>
      </c>
      <c r="G16" s="28" t="str">
        <f>IF('CONT. ESTOQUE'!$B16&lt;&gt;"",IF('CONT. ESTOQUE'!$E16=0,"Sem Estoque",IF('CONT. ESTOQUE'!$E16&lt;'CONT. ESTOQUE'!$F16,"Estoque Perigoso","Estoque Confortável")),"")</f>
        <v>Sem Estoque</v>
      </c>
      <c r="H16" s="29" t="str">
        <f>SUMIF('SAÍDAS'!$C$7:$C$76,'CONT. ESTOQUE'!$B16,'SAÍDAS'!$K$7:$K$76)</f>
        <v>R$ 0.00</v>
      </c>
      <c r="I16" s="29" t="str">
        <f>SUMIF(ENTRADAS!$C$7:$C$57,'CONT. ESTOQUE'!$B16,ENTRADAS!$G$7:$G$57)</f>
        <v>R$ 0.00</v>
      </c>
      <c r="J16" s="29" t="str">
        <f>'CONT. ESTOQUE'!$H16-'CONT. ESTOQUE'!$I16</f>
        <v>R$ 0.00</v>
      </c>
    </row>
    <row r="17">
      <c r="B17" s="30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conditionalFormatting sqref="B7:J16 B17">
    <cfRule type="expression" dxfId="0" priority="1">
      <formula>$G7="Sem Estoque"</formula>
    </cfRule>
  </conditionalFormatting>
  <conditionalFormatting sqref="B7:J16 B17">
    <cfRule type="expression" dxfId="1" priority="2">
      <formula>$G7="Estoque Confortável"</formula>
    </cfRule>
  </conditionalFormatting>
  <conditionalFormatting sqref="B7:J16 B17">
    <cfRule type="expression" dxfId="2" priority="3">
      <formula>$G7="Estoque Perigoso"</formula>
    </cfRule>
  </conditionalFormatting>
  <conditionalFormatting sqref="F4">
    <cfRule type="containsText" dxfId="3" priority="4" operator="containsText" text="Não">
      <formula>NOT(ISERROR(SEARCH(("Não"),(F4))))</formula>
    </cfRule>
  </conditionalFormatting>
  <conditionalFormatting sqref="F4">
    <cfRule type="containsText" dxfId="4" priority="5" operator="containsText" text="Sim">
      <formula>NOT(ISERROR(SEARCH(("Sim"),(F4))))</formula>
    </cfRule>
  </conditionalFormatting>
  <dataValidations>
    <dataValidation type="list" allowBlank="1" showErrorMessage="1" sqref="B7:B17">
      <formula1>LISTA_PRODUTOS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32.57"/>
    <col customWidth="1" min="3" max="3" width="4.86"/>
    <col customWidth="1" min="4" max="4" width="32.57"/>
    <col customWidth="1" min="5" max="5" width="4.86"/>
    <col customWidth="1" min="6" max="6" width="32.57"/>
    <col customWidth="1" min="7" max="7" width="4.86"/>
    <col customWidth="1" min="8" max="8" width="32.57"/>
    <col customWidth="1" min="9" max="11" width="8.71"/>
  </cols>
  <sheetData>
    <row r="1" ht="39.75" customHeight="1">
      <c r="A1" s="1"/>
      <c r="B1" s="1"/>
      <c r="C1" s="10" t="s">
        <v>111</v>
      </c>
      <c r="D1" s="1"/>
      <c r="E1" s="1"/>
      <c r="F1" s="1"/>
      <c r="G1" s="1"/>
      <c r="H1" s="1"/>
      <c r="I1" s="1"/>
      <c r="J1" s="1"/>
      <c r="K1" s="1"/>
    </row>
    <row r="2" ht="3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8">
      <c r="B8" s="31"/>
      <c r="D8" s="31"/>
      <c r="F8" s="31"/>
      <c r="H8" s="31"/>
    </row>
    <row r="9" ht="56.25" customHeight="1">
      <c r="B9" s="32"/>
      <c r="D9" s="32"/>
      <c r="F9" s="32"/>
      <c r="H9" s="32"/>
    </row>
    <row r="12">
      <c r="B12" s="31"/>
      <c r="D12" s="31"/>
      <c r="F12" s="31"/>
      <c r="H12" s="31"/>
    </row>
    <row r="13" ht="56.25" customHeight="1">
      <c r="B13" s="33"/>
      <c r="D13" s="33"/>
      <c r="F13" s="34"/>
      <c r="H13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7.71"/>
    <col customWidth="1" min="3" max="3" width="25.43"/>
    <col customWidth="1" min="4" max="6" width="18.29"/>
    <col customWidth="1" min="7" max="11" width="8.71"/>
  </cols>
  <sheetData>
    <row r="1" ht="39.75" customHeight="1">
      <c r="A1" s="1"/>
      <c r="B1" s="1"/>
      <c r="C1" s="10" t="s">
        <v>111</v>
      </c>
      <c r="D1" s="1"/>
      <c r="E1" s="1"/>
      <c r="F1" s="1"/>
      <c r="G1" s="1"/>
      <c r="H1" s="1"/>
      <c r="I1" s="1"/>
      <c r="J1" s="1"/>
      <c r="K1" s="1"/>
    </row>
    <row r="2" ht="3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7">
      <c r="B7" s="36" t="s">
        <v>90</v>
      </c>
      <c r="C7" s="37" t="s">
        <v>30</v>
      </c>
    </row>
    <row r="8" ht="8.25" customHeight="1"/>
    <row r="9">
      <c r="B9" s="36" t="s">
        <v>112</v>
      </c>
      <c r="C9" s="37">
        <v>2021.0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custom" allowBlank="1" showInputMessage="1" showErrorMessage="1" prompt="ANO INVÁLIDO - O ano selecionado não possui dados para análise nas tabelas de ENTRADAS e SAÍDAS de Estoque." sqref="C9">
      <formula1>AND($C$9&gt;=YEAR(MIN(INDIRECT("ENTRADAS[Data da Compra]"),INDIRECT("SAÍDAS[Data da Venda]"))),$C$9&lt;=YEAR(MAX(INDIRECT("ENTRADAS[Data da Compra]"),INDIRECT("SAÍDAS[Data da Venda]"))))</formula1>
    </dataValidation>
    <dataValidation type="list" allowBlank="1" showErrorMessage="1" sqref="C7">
      <formula1>LISTA_PRODUTOS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7.71"/>
    <col customWidth="1" min="3" max="3" width="25.43"/>
    <col customWidth="1" min="4" max="4" width="18.29"/>
    <col customWidth="1" min="5" max="6" width="14.14"/>
    <col customWidth="1" min="7" max="12" width="8.71"/>
  </cols>
  <sheetData>
    <row r="1" ht="39.75" customHeight="1">
      <c r="A1" s="1"/>
      <c r="B1" s="1"/>
      <c r="C1" s="10" t="s">
        <v>111</v>
      </c>
      <c r="D1" s="1"/>
      <c r="E1" s="1"/>
      <c r="F1" s="1"/>
      <c r="G1" s="1"/>
      <c r="H1" s="1"/>
      <c r="I1" s="1"/>
      <c r="J1" s="1"/>
      <c r="K1" s="1"/>
      <c r="L1" s="1"/>
    </row>
    <row r="2" ht="3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7">
      <c r="B7" s="36" t="s">
        <v>90</v>
      </c>
      <c r="C7" s="37" t="s">
        <v>30</v>
      </c>
    </row>
    <row r="8" ht="8.25" customHeight="1"/>
    <row r="9">
      <c r="B9" s="36" t="s">
        <v>112</v>
      </c>
      <c r="C9" s="37">
        <v>2021.0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ErrorMessage="1" sqref="C7">
      <formula1>LISTA_PRODUTOS</formula1>
    </dataValidation>
    <dataValidation type="custom" allowBlank="1" showInputMessage="1" showErrorMessage="1" prompt="ANO INVÁLIDO - O ano selecionado não possui dados para análise nas tabelas de ENTRADAS e SAÍDAS de Estoque." sqref="C9">
      <formula1>AND($C$9&gt;=YEAR(MIN(INDIRECT("ENTRADAS[Data da Compra]"),INDIRECT("SAÍDAS[Data da Venda]"))),$C$9&lt;=YEAR(MAX(INDIRECT("ENTRADAS[Data da Compra]"),INDIRECT("SAÍDAS[Data da Venda]"))))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24.57"/>
    <col customWidth="1" min="3" max="4" width="12.14"/>
    <col customWidth="1" min="5" max="20" width="8.71"/>
  </cols>
  <sheetData>
    <row r="2">
      <c r="B2" t="s">
        <v>90</v>
      </c>
      <c r="C2" t="str">
        <f>'DASH RESULTADOS'!C7</f>
        <v>Biosfera Resistente</v>
      </c>
    </row>
    <row r="4">
      <c r="B4" t="s">
        <v>113</v>
      </c>
      <c r="E4" t="s">
        <v>112</v>
      </c>
      <c r="F4" t="str">
        <f>'DASH RESULTADOS'!C9</f>
        <v>2021</v>
      </c>
      <c r="I4" t="str">
        <f>"Resultado de Compras X Vendas para o ano de " &amp; F4 &amp; CHAR(10) &amp; "Quantidades"</f>
        <v>Resultado de Compras X Vendas para o ano de 2021
Quantidades</v>
      </c>
    </row>
    <row r="6">
      <c r="B6" t="s">
        <v>114</v>
      </c>
      <c r="C6" t="s">
        <v>115</v>
      </c>
      <c r="D6" t="s">
        <v>116</v>
      </c>
    </row>
    <row r="7">
      <c r="A7">
        <v>1.0</v>
      </c>
      <c r="B7" s="38" t="str">
        <f t="shared" ref="B7:B18" si="1">DATE($F$4,A7,1)</f>
        <v>Jan-21</v>
      </c>
      <c r="C7" t="str">
        <f>SUMIFS(ENTRADAS!$E$7:$E$57,ENTRADAS!$B$7:$B$57,"&gt;=" &amp; B7,ENTRADAS!$B$7:$B$57,"&lt;" &amp; EDATE($B$7,A7),ENTRADAS!$C$7:$C$57,$C$2)</f>
        <v>500</v>
      </c>
      <c r="D7" t="str">
        <f>SUMIFS('SAÍDAS'!$H$7:$H$76,'SAÍDAS'!$B$7:$B$76,"&gt;=" &amp; B7,'SAÍDAS'!$B$7:$B$76,"&lt;" &amp; EDATE($B$7,A7),'SAÍDAS'!$C$7:$C$76,$C$2)</f>
        <v>0</v>
      </c>
      <c r="G7" s="38"/>
      <c r="J7" s="38"/>
    </row>
    <row r="8">
      <c r="A8">
        <v>2.0</v>
      </c>
      <c r="B8" s="38" t="str">
        <f t="shared" si="1"/>
        <v>Feb-21</v>
      </c>
      <c r="C8" t="str">
        <f>SUMIFS(ENTRADAS!$E$7:$E$57,ENTRADAS!$B$7:$B$57,"&gt;=" &amp; B8,ENTRADAS!$B$7:$B$57,"&lt;" &amp; EDATE($B$7,A8),ENTRADAS!$C$7:$C$57,$C$2)</f>
        <v>0</v>
      </c>
      <c r="D8" t="str">
        <f>SUMIFS('SAÍDAS'!$H$7:$H$76,'SAÍDAS'!$B$7:$B$76,"&gt;=" &amp; B8,'SAÍDAS'!$B$7:$B$76,"&lt;" &amp; EDATE($B$7,A8),'SAÍDAS'!$C$7:$C$76,$C$2)</f>
        <v>0</v>
      </c>
    </row>
    <row r="9">
      <c r="A9">
        <v>3.0</v>
      </c>
      <c r="B9" s="38" t="str">
        <f t="shared" si="1"/>
        <v>Mar-21</v>
      </c>
      <c r="C9" t="str">
        <f>SUMIFS(ENTRADAS!$E$7:$E$57,ENTRADAS!$B$7:$B$57,"&gt;=" &amp; B9,ENTRADAS!$B$7:$B$57,"&lt;" &amp; EDATE($B$7,A9),ENTRADAS!$C$7:$C$57,$C$2)</f>
        <v>0</v>
      </c>
      <c r="D9" t="str">
        <f>SUMIFS('SAÍDAS'!$H$7:$H$76,'SAÍDAS'!$B$7:$B$76,"&gt;=" &amp; B9,'SAÍDAS'!$B$7:$B$76,"&lt;" &amp; EDATE($B$7,A9),'SAÍDAS'!$C$7:$C$76,$C$2)</f>
        <v>0</v>
      </c>
    </row>
    <row r="10">
      <c r="A10">
        <v>4.0</v>
      </c>
      <c r="B10" s="38" t="str">
        <f t="shared" si="1"/>
        <v>Apr-21</v>
      </c>
      <c r="C10" t="str">
        <f>SUMIFS(ENTRADAS!$E$7:$E$57,ENTRADAS!$B$7:$B$57,"&gt;=" &amp; B10,ENTRADAS!$B$7:$B$57,"&lt;" &amp; EDATE($B$7,A10),ENTRADAS!$C$7:$C$57,$C$2)</f>
        <v>0</v>
      </c>
      <c r="D10" t="str">
        <f>SUMIFS('SAÍDAS'!$H$7:$H$76,'SAÍDAS'!$B$7:$B$76,"&gt;=" &amp; B10,'SAÍDAS'!$B$7:$B$76,"&lt;" &amp; EDATE($B$7,A10),'SAÍDAS'!$C$7:$C$76,$C$2)</f>
        <v>0</v>
      </c>
    </row>
    <row r="11">
      <c r="A11">
        <v>5.0</v>
      </c>
      <c r="B11" s="38" t="str">
        <f t="shared" si="1"/>
        <v>May-21</v>
      </c>
      <c r="C11" t="str">
        <f>SUMIFS(ENTRADAS!$E$7:$E$57,ENTRADAS!$B$7:$B$57,"&gt;=" &amp; B11,ENTRADAS!$B$7:$B$57,"&lt;" &amp; EDATE($B$7,A11),ENTRADAS!$C$7:$C$57,$C$2)</f>
        <v>0</v>
      </c>
      <c r="D11" t="str">
        <f>SUMIFS('SAÍDAS'!$H$7:$H$76,'SAÍDAS'!$B$7:$B$76,"&gt;=" &amp; B11,'SAÍDAS'!$B$7:$B$76,"&lt;" &amp; EDATE($B$7,A11),'SAÍDAS'!$C$7:$C$76,$C$2)</f>
        <v>0</v>
      </c>
    </row>
    <row r="12">
      <c r="A12">
        <v>6.0</v>
      </c>
      <c r="B12" s="38" t="str">
        <f t="shared" si="1"/>
        <v>Jun-21</v>
      </c>
      <c r="C12" t="str">
        <f>SUMIFS(ENTRADAS!$E$7:$E$57,ENTRADAS!$B$7:$B$57,"&gt;=" &amp; B12,ENTRADAS!$B$7:$B$57,"&lt;" &amp; EDATE($B$7,A12),ENTRADAS!$C$7:$C$57,$C$2)</f>
        <v>0</v>
      </c>
      <c r="D12" t="str">
        <f>SUMIFS('SAÍDAS'!$H$7:$H$76,'SAÍDAS'!$B$7:$B$76,"&gt;=" &amp; B12,'SAÍDAS'!$B$7:$B$76,"&lt;" &amp; EDATE($B$7,A12),'SAÍDAS'!$C$7:$C$76,$C$2)</f>
        <v>0</v>
      </c>
    </row>
    <row r="13">
      <c r="A13">
        <v>7.0</v>
      </c>
      <c r="B13" s="38" t="str">
        <f t="shared" si="1"/>
        <v>Jul-21</v>
      </c>
      <c r="C13" t="str">
        <f>SUMIFS(ENTRADAS!$E$7:$E$57,ENTRADAS!$B$7:$B$57,"&gt;=" &amp; B13,ENTRADAS!$B$7:$B$57,"&lt;" &amp; EDATE($B$7,A13),ENTRADAS!$C$7:$C$57,$C$2)</f>
        <v>0</v>
      </c>
      <c r="D13" t="str">
        <f>SUMIFS('SAÍDAS'!$H$7:$H$76,'SAÍDAS'!$B$7:$B$76,"&gt;=" &amp; B13,'SAÍDAS'!$B$7:$B$76,"&lt;" &amp; EDATE($B$7,A13),'SAÍDAS'!$C$7:$C$76,$C$2)</f>
        <v>0</v>
      </c>
    </row>
    <row r="14">
      <c r="A14">
        <v>8.0</v>
      </c>
      <c r="B14" s="38" t="str">
        <f t="shared" si="1"/>
        <v>Aug-21</v>
      </c>
      <c r="C14" t="str">
        <f>SUMIFS(ENTRADAS!$E$7:$E$57,ENTRADAS!$B$7:$B$57,"&gt;=" &amp; B14,ENTRADAS!$B$7:$B$57,"&lt;" &amp; EDATE($B$7,A14),ENTRADAS!$C$7:$C$57,$C$2)</f>
        <v>0</v>
      </c>
      <c r="D14" t="str">
        <f>SUMIFS('SAÍDAS'!$H$7:$H$76,'SAÍDAS'!$B$7:$B$76,"&gt;=" &amp; B14,'SAÍDAS'!$B$7:$B$76,"&lt;" &amp; EDATE($B$7,A14),'SAÍDAS'!$C$7:$C$76,$C$2)</f>
        <v>0</v>
      </c>
    </row>
    <row r="15">
      <c r="A15">
        <v>9.0</v>
      </c>
      <c r="B15" s="38" t="str">
        <f t="shared" si="1"/>
        <v>Sep-21</v>
      </c>
      <c r="C15" t="str">
        <f>SUMIFS(ENTRADAS!$E$7:$E$57,ENTRADAS!$B$7:$B$57,"&gt;=" &amp; B15,ENTRADAS!$B$7:$B$57,"&lt;" &amp; EDATE($B$7,A15),ENTRADAS!$C$7:$C$57,$C$2)</f>
        <v>0</v>
      </c>
      <c r="D15" t="str">
        <f>SUMIFS('SAÍDAS'!$H$7:$H$76,'SAÍDAS'!$B$7:$B$76,"&gt;=" &amp; B15,'SAÍDAS'!$B$7:$B$76,"&lt;" &amp; EDATE($B$7,A15),'SAÍDAS'!$C$7:$C$76,$C$2)</f>
        <v>0</v>
      </c>
    </row>
    <row r="16">
      <c r="A16">
        <v>10.0</v>
      </c>
      <c r="B16" s="38" t="str">
        <f t="shared" si="1"/>
        <v>Oct-21</v>
      </c>
      <c r="C16" t="str">
        <f>SUMIFS(ENTRADAS!$E$7:$E$57,ENTRADAS!$B$7:$B$57,"&gt;=" &amp; B16,ENTRADAS!$B$7:$B$57,"&lt;" &amp; EDATE($B$7,A16),ENTRADAS!$C$7:$C$57,$C$2)</f>
        <v>0</v>
      </c>
      <c r="D16" t="str">
        <f>SUMIFS('SAÍDAS'!$H$7:$H$76,'SAÍDAS'!$B$7:$B$76,"&gt;=" &amp; B16,'SAÍDAS'!$B$7:$B$76,"&lt;" &amp; EDATE($B$7,A16),'SAÍDAS'!$C$7:$C$76,$C$2)</f>
        <v>0</v>
      </c>
    </row>
    <row r="17">
      <c r="A17">
        <v>11.0</v>
      </c>
      <c r="B17" s="38" t="str">
        <f t="shared" si="1"/>
        <v>Nov-21</v>
      </c>
      <c r="C17" t="str">
        <f>SUMIFS(ENTRADAS!$E$7:$E$57,ENTRADAS!$B$7:$B$57,"&gt;=" &amp; B17,ENTRADAS!$B$7:$B$57,"&lt;" &amp; EDATE($B$7,A17),ENTRADAS!$C$7:$C$57,$C$2)</f>
        <v>0</v>
      </c>
      <c r="D17" t="str">
        <f>SUMIFS('SAÍDAS'!$H$7:$H$76,'SAÍDAS'!$B$7:$B$76,"&gt;=" &amp; B17,'SAÍDAS'!$B$7:$B$76,"&lt;" &amp; EDATE($B$7,A17),'SAÍDAS'!$C$7:$C$76,$C$2)</f>
        <v>0</v>
      </c>
    </row>
    <row r="18">
      <c r="A18">
        <v>12.0</v>
      </c>
      <c r="B18" s="38" t="str">
        <f t="shared" si="1"/>
        <v>Dec-21</v>
      </c>
      <c r="C18" t="str">
        <f>SUMIFS(ENTRADAS!$E$7:$E$57,ENTRADAS!$B$7:$B$57,"&gt;=" &amp; B18,ENTRADAS!$B$7:$B$57,"&lt;" &amp; EDATE($B$7,A18),ENTRADAS!$C$7:$C$57,$C$2)</f>
        <v>0</v>
      </c>
      <c r="D18" t="str">
        <f>SUMIFS('SAÍDAS'!$H$7:$H$76,'SAÍDAS'!$B$7:$B$76,"&gt;=" &amp; B18,'SAÍDAS'!$B$7:$B$76,"&lt;" &amp; EDATE($B$7,A18),'SAÍDAS'!$C$7:$C$76,$C$2)</f>
        <v>0</v>
      </c>
    </row>
    <row r="19">
      <c r="B19" s="38"/>
    </row>
    <row r="20">
      <c r="B20" s="38"/>
      <c r="I20" t="str">
        <f>"Resultado de Compras X Vendas para o ano de " &amp; F4 &amp; CHAR(10) &amp; "Valor em R$"</f>
        <v>Resultado de Compras X Vendas para o ano de 2021
Valor em R$</v>
      </c>
    </row>
    <row r="21" ht="15.75" customHeight="1">
      <c r="B21" s="38" t="s">
        <v>117</v>
      </c>
    </row>
    <row r="22" ht="15.75" customHeight="1"/>
    <row r="23" ht="15.75" customHeight="1">
      <c r="B23" t="s">
        <v>114</v>
      </c>
      <c r="C23" t="s">
        <v>115</v>
      </c>
      <c r="D23" t="s">
        <v>116</v>
      </c>
    </row>
    <row r="24" ht="15.75" customHeight="1">
      <c r="A24">
        <v>1.0</v>
      </c>
      <c r="B24" s="38" t="str">
        <f t="shared" ref="B24:B35" si="2">DATE($F$4,A24,1)</f>
        <v>Jan-21</v>
      </c>
      <c r="C24" s="39" t="str">
        <f>SUMIFS(ENTRADAS!$G$7:$G$57,ENTRADAS!$B$7:$B$57,"&gt;=" &amp; B24,ENTRADAS!$B$7:$B$57,"&lt;" &amp; EDATE($B$7,A24),ENTRADAS!$C$7:$C$57,$C$2)</f>
        <v> R$  43,305 </v>
      </c>
      <c r="D24" s="39" t="str">
        <f>SUMIFS('SAÍDAS'!$K$7:$K$76,'SAÍDAS'!$B$7:$B$76,"&gt;=" &amp; B24,'SAÍDAS'!$B$7:$B$76,"&lt;" &amp; EDATE($B$7,A24),'SAÍDAS'!$C$7:$C$76,$C$2)</f>
        <v> R$  -   </v>
      </c>
    </row>
    <row r="25" ht="15.75" customHeight="1">
      <c r="A25">
        <v>2.0</v>
      </c>
      <c r="B25" s="38" t="str">
        <f t="shared" si="2"/>
        <v>Feb-21</v>
      </c>
      <c r="C25" s="39" t="str">
        <f>SUMIFS(ENTRADAS!$G$7:$G$57,ENTRADAS!$B$7:$B$57,"&gt;=" &amp; B25,ENTRADAS!$B$7:$B$57,"&lt;" &amp; EDATE($B$7,A25),ENTRADAS!$C$7:$C$57,$C$2)</f>
        <v> R$  -   </v>
      </c>
      <c r="D25" s="39" t="str">
        <f>SUMIFS('SAÍDAS'!$K$7:$K$76,'SAÍDAS'!$B$7:$B$76,"&gt;=" &amp; B25,'SAÍDAS'!$B$7:$B$76,"&lt;" &amp; EDATE($B$7,A25),'SAÍDAS'!$C$7:$C$76,$C$2)</f>
        <v> R$  -   </v>
      </c>
    </row>
    <row r="26" ht="15.75" customHeight="1">
      <c r="A26">
        <v>3.0</v>
      </c>
      <c r="B26" s="38" t="str">
        <f t="shared" si="2"/>
        <v>Mar-21</v>
      </c>
      <c r="C26" s="39" t="str">
        <f>SUMIFS(ENTRADAS!$G$7:$G$57,ENTRADAS!$B$7:$B$57,"&gt;=" &amp; B26,ENTRADAS!$B$7:$B$57,"&lt;" &amp; EDATE($B$7,A26),ENTRADAS!$C$7:$C$57,$C$2)</f>
        <v> R$  -   </v>
      </c>
      <c r="D26" s="39" t="str">
        <f>SUMIFS('SAÍDAS'!$K$7:$K$76,'SAÍDAS'!$B$7:$B$76,"&gt;=" &amp; B26,'SAÍDAS'!$B$7:$B$76,"&lt;" &amp; EDATE($B$7,A26),'SAÍDAS'!$C$7:$C$76,$C$2)</f>
        <v> R$  -   </v>
      </c>
    </row>
    <row r="27" ht="15.75" customHeight="1">
      <c r="A27">
        <v>4.0</v>
      </c>
      <c r="B27" s="38" t="str">
        <f t="shared" si="2"/>
        <v>Apr-21</v>
      </c>
      <c r="C27" s="39" t="str">
        <f>SUMIFS(ENTRADAS!$G$7:$G$57,ENTRADAS!$B$7:$B$57,"&gt;=" &amp; B27,ENTRADAS!$B$7:$B$57,"&lt;" &amp; EDATE($B$7,A27),ENTRADAS!$C$7:$C$57,$C$2)</f>
        <v> R$  -   </v>
      </c>
      <c r="D27" s="39" t="str">
        <f>SUMIFS('SAÍDAS'!$K$7:$K$76,'SAÍDAS'!$B$7:$B$76,"&gt;=" &amp; B27,'SAÍDAS'!$B$7:$B$76,"&lt;" &amp; EDATE($B$7,A27),'SAÍDAS'!$C$7:$C$76,$C$2)</f>
        <v> R$  -   </v>
      </c>
    </row>
    <row r="28" ht="15.75" customHeight="1">
      <c r="A28">
        <v>5.0</v>
      </c>
      <c r="B28" s="38" t="str">
        <f t="shared" si="2"/>
        <v>May-21</v>
      </c>
      <c r="C28" s="39" t="str">
        <f>SUMIFS(ENTRADAS!$G$7:$G$57,ENTRADAS!$B$7:$B$57,"&gt;=" &amp; B28,ENTRADAS!$B$7:$B$57,"&lt;" &amp; EDATE($B$7,A28),ENTRADAS!$C$7:$C$57,$C$2)</f>
        <v> R$  -   </v>
      </c>
      <c r="D28" s="39" t="str">
        <f>SUMIFS('SAÍDAS'!$K$7:$K$76,'SAÍDAS'!$B$7:$B$76,"&gt;=" &amp; B28,'SAÍDAS'!$B$7:$B$76,"&lt;" &amp; EDATE($B$7,A28),'SAÍDAS'!$C$7:$C$76,$C$2)</f>
        <v> R$  -   </v>
      </c>
    </row>
    <row r="29" ht="15.75" customHeight="1">
      <c r="A29">
        <v>6.0</v>
      </c>
      <c r="B29" s="38" t="str">
        <f t="shared" si="2"/>
        <v>Jun-21</v>
      </c>
      <c r="C29" s="39" t="str">
        <f>SUMIFS(ENTRADAS!$G$7:$G$57,ENTRADAS!$B$7:$B$57,"&gt;=" &amp; B29,ENTRADAS!$B$7:$B$57,"&lt;" &amp; EDATE($B$7,A29),ENTRADAS!$C$7:$C$57,$C$2)</f>
        <v> R$  -   </v>
      </c>
      <c r="D29" s="39" t="str">
        <f>SUMIFS('SAÍDAS'!$K$7:$K$76,'SAÍDAS'!$B$7:$B$76,"&gt;=" &amp; B29,'SAÍDAS'!$B$7:$B$76,"&lt;" &amp; EDATE($B$7,A29),'SAÍDAS'!$C$7:$C$76,$C$2)</f>
        <v> R$  -   </v>
      </c>
    </row>
    <row r="30" ht="15.75" customHeight="1">
      <c r="A30">
        <v>7.0</v>
      </c>
      <c r="B30" s="38" t="str">
        <f t="shared" si="2"/>
        <v>Jul-21</v>
      </c>
      <c r="C30" s="39" t="str">
        <f>SUMIFS(ENTRADAS!$G$7:$G$57,ENTRADAS!$B$7:$B$57,"&gt;=" &amp; B30,ENTRADAS!$B$7:$B$57,"&lt;" &amp; EDATE($B$7,A30),ENTRADAS!$C$7:$C$57,$C$2)</f>
        <v> R$  -   </v>
      </c>
      <c r="D30" s="39" t="str">
        <f>SUMIFS('SAÍDAS'!$K$7:$K$76,'SAÍDAS'!$B$7:$B$76,"&gt;=" &amp; B30,'SAÍDAS'!$B$7:$B$76,"&lt;" &amp; EDATE($B$7,A30),'SAÍDAS'!$C$7:$C$76,$C$2)</f>
        <v> R$  -   </v>
      </c>
    </row>
    <row r="31" ht="15.75" customHeight="1">
      <c r="A31">
        <v>8.0</v>
      </c>
      <c r="B31" s="38" t="str">
        <f t="shared" si="2"/>
        <v>Aug-21</v>
      </c>
      <c r="C31" s="39" t="str">
        <f>SUMIFS(ENTRADAS!$G$7:$G$57,ENTRADAS!$B$7:$B$57,"&gt;=" &amp; B31,ENTRADAS!$B$7:$B$57,"&lt;" &amp; EDATE($B$7,A31),ENTRADAS!$C$7:$C$57,$C$2)</f>
        <v> R$  -   </v>
      </c>
      <c r="D31" s="39" t="str">
        <f>SUMIFS('SAÍDAS'!$K$7:$K$76,'SAÍDAS'!$B$7:$B$76,"&gt;=" &amp; B31,'SAÍDAS'!$B$7:$B$76,"&lt;" &amp; EDATE($B$7,A31),'SAÍDAS'!$C$7:$C$76,$C$2)</f>
        <v> R$  -   </v>
      </c>
    </row>
    <row r="32" ht="15.75" customHeight="1">
      <c r="A32">
        <v>9.0</v>
      </c>
      <c r="B32" s="38" t="str">
        <f t="shared" si="2"/>
        <v>Sep-21</v>
      </c>
      <c r="C32" s="39" t="str">
        <f>SUMIFS(ENTRADAS!$G$7:$G$57,ENTRADAS!$B$7:$B$57,"&gt;=" &amp; B32,ENTRADAS!$B$7:$B$57,"&lt;" &amp; EDATE($B$7,A32),ENTRADAS!$C$7:$C$57,$C$2)</f>
        <v> R$  -   </v>
      </c>
      <c r="D32" s="39" t="str">
        <f>SUMIFS('SAÍDAS'!$K$7:$K$76,'SAÍDAS'!$B$7:$B$76,"&gt;=" &amp; B32,'SAÍDAS'!$B$7:$B$76,"&lt;" &amp; EDATE($B$7,A32),'SAÍDAS'!$C$7:$C$76,$C$2)</f>
        <v> R$  -   </v>
      </c>
    </row>
    <row r="33" ht="15.75" customHeight="1">
      <c r="A33">
        <v>10.0</v>
      </c>
      <c r="B33" s="38" t="str">
        <f t="shared" si="2"/>
        <v>Oct-21</v>
      </c>
      <c r="C33" s="39" t="str">
        <f>SUMIFS(ENTRADAS!$G$7:$G$57,ENTRADAS!$B$7:$B$57,"&gt;=" &amp; B33,ENTRADAS!$B$7:$B$57,"&lt;" &amp; EDATE($B$7,A33),ENTRADAS!$C$7:$C$57,$C$2)</f>
        <v> R$  -   </v>
      </c>
      <c r="D33" s="39" t="str">
        <f>SUMIFS('SAÍDAS'!$K$7:$K$76,'SAÍDAS'!$B$7:$B$76,"&gt;=" &amp; B33,'SAÍDAS'!$B$7:$B$76,"&lt;" &amp; EDATE($B$7,A33),'SAÍDAS'!$C$7:$C$76,$C$2)</f>
        <v> R$  -   </v>
      </c>
    </row>
    <row r="34" ht="15.75" customHeight="1">
      <c r="A34">
        <v>11.0</v>
      </c>
      <c r="B34" s="38" t="str">
        <f t="shared" si="2"/>
        <v>Nov-21</v>
      </c>
      <c r="C34" s="39" t="str">
        <f>SUMIFS(ENTRADAS!$G$7:$G$57,ENTRADAS!$B$7:$B$57,"&gt;=" &amp; B34,ENTRADAS!$B$7:$B$57,"&lt;" &amp; EDATE($B$7,A34),ENTRADAS!$C$7:$C$57,$C$2)</f>
        <v> R$  -   </v>
      </c>
      <c r="D34" s="39" t="str">
        <f>SUMIFS('SAÍDAS'!$K$7:$K$76,'SAÍDAS'!$B$7:$B$76,"&gt;=" &amp; B34,'SAÍDAS'!$B$7:$B$76,"&lt;" &amp; EDATE($B$7,A34),'SAÍDAS'!$C$7:$C$76,$C$2)</f>
        <v> R$  -   </v>
      </c>
    </row>
    <row r="35" ht="15.75" customHeight="1">
      <c r="A35">
        <v>12.0</v>
      </c>
      <c r="B35" s="38" t="str">
        <f t="shared" si="2"/>
        <v>Dec-21</v>
      </c>
      <c r="C35" s="39" t="str">
        <f>SUMIFS(ENTRADAS!$G$7:$G$57,ENTRADAS!$B$7:$B$57,"&gt;=" &amp; B35,ENTRADAS!$B$7:$B$57,"&lt;" &amp; EDATE($B$7,A35),ENTRADAS!$C$7:$C$57,$C$2)</f>
        <v> R$  -   </v>
      </c>
      <c r="D35" s="39" t="str">
        <f>SUMIFS('SAÍDAS'!$K$7:$K$76,'SAÍDAS'!$B$7:$B$76,"&gt;=" &amp; B35,'SAÍDAS'!$B$7:$B$76,"&lt;" &amp; EDATE($B$7,A35),'SAÍDAS'!$C$7:$C$76,$C$2)</f>
        <v> R$  -   </v>
      </c>
    </row>
    <row r="36" ht="15.75" customHeight="1"/>
    <row r="37" ht="15.75" customHeight="1"/>
    <row r="38" ht="15.75" customHeight="1">
      <c r="B38" t="s">
        <v>90</v>
      </c>
      <c r="C38" t="str">
        <f>'DASH ESTOQUE'!C7</f>
        <v>Biosfera Resistente</v>
      </c>
    </row>
    <row r="39" ht="15.75" customHeight="1"/>
    <row r="40" ht="15.75" customHeight="1">
      <c r="B40" t="s">
        <v>118</v>
      </c>
      <c r="E40" t="s">
        <v>112</v>
      </c>
      <c r="F40" t="str">
        <f>'DASH ESTOQUE'!C9</f>
        <v>2021</v>
      </c>
      <c r="I40" t="str">
        <f>"Saldo em Estoque para os meses do ano de " &amp; F40</f>
        <v>Saldo em Estoque para os meses do ano de 2021</v>
      </c>
    </row>
    <row r="41" ht="15.75" customHeight="1"/>
    <row r="42" ht="15.75" customHeight="1">
      <c r="B42" t="s">
        <v>114</v>
      </c>
      <c r="C42" t="s">
        <v>119</v>
      </c>
      <c r="D42" t="s">
        <v>120</v>
      </c>
      <c r="E42" t="s">
        <v>105</v>
      </c>
    </row>
    <row r="43" ht="15.75" customHeight="1">
      <c r="A43">
        <v>1.0</v>
      </c>
      <c r="B43" s="38" t="str">
        <f t="shared" ref="B43:B54" si="3">DATE($F$40,A43,1)</f>
        <v>Jan-21</v>
      </c>
      <c r="C43" s="2" t="str">
        <f>IF(AND(MONTH(B43)&lt;=MONTH(MAX(ENTRADAS!$B$7:$B$57,'SAÍDAS'!$B$7:$B$76)),YEAR(B43)=YEAR(MAX(ENTRADAS!$B$7:$B$57,'SAÍDAS'!$B$7:$B$76))),SUMIFS(ENTRADAS!$E$7:$E$57,ENTRADAS!$B$7:$B$57,"&lt;" &amp; EDATE($B$43,A43),ENTRADAS!$C$7:$C$57,$C$38),0)</f>
        <v>500</v>
      </c>
      <c r="D43" s="2" t="str">
        <f>IF(AND(MONTH(B43)&lt;=MONTH(MAX(ENTRADAS!$B$7:$B$57,'SAÍDAS'!$B$7:$B$76)),YEAR(B43)=YEAR(MAX(ENTRADAS!$B$7:$B$57,'SAÍDAS'!$B$7:$B$76))),SUMIFS('SAÍDAS'!$H$7:$H$76,'SAÍDAS'!$B$7:$B$76,"&lt;" &amp; EDATE($B$43,A43),'SAÍDAS'!$C$7:$C$76,$C$38),0)</f>
        <v>0</v>
      </c>
      <c r="E43" s="2" t="str">
        <f t="shared" ref="E43:E54" si="4">IF(AND(C43=0,D43=0),-1E-30,C43-D43)</f>
        <v>500</v>
      </c>
    </row>
    <row r="44" ht="15.75" customHeight="1">
      <c r="A44">
        <v>2.0</v>
      </c>
      <c r="B44" s="38" t="str">
        <f t="shared" si="3"/>
        <v>Feb-21</v>
      </c>
      <c r="C44" s="2" t="str">
        <f>IF(AND(MONTH(B44)&lt;=MONTH(MAX(ENTRADAS!$B$7:$B$57,'SAÍDAS'!$B$7:$B$76)),YEAR(B44)=YEAR(MAX(ENTRADAS!$B$7:$B$57,'SAÍDAS'!$B$7:$B$76))),SUMIFS(ENTRADAS!$E$7:$E$57,ENTRADAS!$B$7:$B$57,"&lt;" &amp; EDATE($B$43,A44),ENTRADAS!$C$7:$C$57,$C$38),0)</f>
        <v>0</v>
      </c>
      <c r="D44" s="2" t="str">
        <f>IF(AND(MONTH(B44)&lt;=MONTH(MAX(ENTRADAS!$B$7:$B$57,'SAÍDAS'!$B$7:$B$76)),YEAR(B44)=YEAR(MAX(ENTRADAS!$B$7:$B$57,'SAÍDAS'!$B$7:$B$76))),SUMIFS('SAÍDAS'!$H$7:$H$76,'SAÍDAS'!$B$7:$B$76,"&lt;" &amp; EDATE($B$43,A44),'SAÍDAS'!$C$7:$C$76,$C$38),0)</f>
        <v>0</v>
      </c>
      <c r="E44" s="2" t="str">
        <f t="shared" si="4"/>
        <v>0</v>
      </c>
    </row>
    <row r="45" ht="15.75" customHeight="1">
      <c r="A45">
        <v>3.0</v>
      </c>
      <c r="B45" s="38" t="str">
        <f t="shared" si="3"/>
        <v>Mar-21</v>
      </c>
      <c r="C45" s="2" t="str">
        <f>IF(AND(MONTH(B45)&lt;=MONTH(MAX(ENTRADAS!$B$7:$B$57,'SAÍDAS'!$B$7:$B$76)),YEAR(B45)=YEAR(MAX(ENTRADAS!$B$7:$B$57,'SAÍDAS'!$B$7:$B$76))),SUMIFS(ENTRADAS!$E$7:$E$57,ENTRADAS!$B$7:$B$57,"&lt;" &amp; EDATE($B$43,A45),ENTRADAS!$C$7:$C$57,$C$38),0)</f>
        <v>0</v>
      </c>
      <c r="D45" s="2" t="str">
        <f>IF(AND(MONTH(B45)&lt;=MONTH(MAX(ENTRADAS!$B$7:$B$57,'SAÍDAS'!$B$7:$B$76)),YEAR(B45)=YEAR(MAX(ENTRADAS!$B$7:$B$57,'SAÍDAS'!$B$7:$B$76))),SUMIFS('SAÍDAS'!$H$7:$H$76,'SAÍDAS'!$B$7:$B$76,"&lt;" &amp; EDATE($B$43,A45),'SAÍDAS'!$C$7:$C$76,$C$38),0)</f>
        <v>0</v>
      </c>
      <c r="E45" s="2" t="str">
        <f t="shared" si="4"/>
        <v>0</v>
      </c>
    </row>
    <row r="46" ht="15.75" customHeight="1">
      <c r="A46">
        <v>4.0</v>
      </c>
      <c r="B46" s="38" t="str">
        <f t="shared" si="3"/>
        <v>Apr-21</v>
      </c>
      <c r="C46" s="2" t="str">
        <f>IF(AND(MONTH(B46)&lt;=MONTH(MAX(ENTRADAS!$B$7:$B$57,'SAÍDAS'!$B$7:$B$76)),YEAR(B46)=YEAR(MAX(ENTRADAS!$B$7:$B$57,'SAÍDAS'!$B$7:$B$76))),SUMIFS(ENTRADAS!$E$7:$E$57,ENTRADAS!$B$7:$B$57,"&lt;" &amp; EDATE($B$43,A46),ENTRADAS!$C$7:$C$57,$C$38),0)</f>
        <v>0</v>
      </c>
      <c r="D46" s="2" t="str">
        <f>IF(AND(MONTH(B46)&lt;=MONTH(MAX(ENTRADAS!$B$7:$B$57,'SAÍDAS'!$B$7:$B$76)),YEAR(B46)=YEAR(MAX(ENTRADAS!$B$7:$B$57,'SAÍDAS'!$B$7:$B$76))),SUMIFS('SAÍDAS'!$H$7:$H$76,'SAÍDAS'!$B$7:$B$76,"&lt;" &amp; EDATE($B$43,A46),'SAÍDAS'!$C$7:$C$76,$C$38),0)</f>
        <v>0</v>
      </c>
      <c r="E46" s="2" t="str">
        <f t="shared" si="4"/>
        <v>0</v>
      </c>
    </row>
    <row r="47" ht="15.75" customHeight="1">
      <c r="A47">
        <v>5.0</v>
      </c>
      <c r="B47" s="38" t="str">
        <f t="shared" si="3"/>
        <v>May-21</v>
      </c>
      <c r="C47" s="2" t="str">
        <f>IF(AND(MONTH(B47)&lt;=MONTH(MAX(ENTRADAS!$B$7:$B$57,'SAÍDAS'!$B$7:$B$76)),YEAR(B47)=YEAR(MAX(ENTRADAS!$B$7:$B$57,'SAÍDAS'!$B$7:$B$76))),SUMIFS(ENTRADAS!$E$7:$E$57,ENTRADAS!$B$7:$B$57,"&lt;" &amp; EDATE($B$43,A47),ENTRADAS!$C$7:$C$57,$C$38),0)</f>
        <v>0</v>
      </c>
      <c r="D47" s="2" t="str">
        <f>IF(AND(MONTH(B47)&lt;=MONTH(MAX(ENTRADAS!$B$7:$B$57,'SAÍDAS'!$B$7:$B$76)),YEAR(B47)=YEAR(MAX(ENTRADAS!$B$7:$B$57,'SAÍDAS'!$B$7:$B$76))),SUMIFS('SAÍDAS'!$H$7:$H$76,'SAÍDAS'!$B$7:$B$76,"&lt;" &amp; EDATE($B$43,A47),'SAÍDAS'!$C$7:$C$76,$C$38),0)</f>
        <v>0</v>
      </c>
      <c r="E47" s="2" t="str">
        <f t="shared" si="4"/>
        <v>0</v>
      </c>
    </row>
    <row r="48" ht="15.75" customHeight="1">
      <c r="A48">
        <v>6.0</v>
      </c>
      <c r="B48" s="38" t="str">
        <f t="shared" si="3"/>
        <v>Jun-21</v>
      </c>
      <c r="C48" s="2" t="str">
        <f>IF(AND(MONTH(B48)&lt;=MONTH(MAX(ENTRADAS!$B$7:$B$57,'SAÍDAS'!$B$7:$B$76)),YEAR(B48)=YEAR(MAX(ENTRADAS!$B$7:$B$57,'SAÍDAS'!$B$7:$B$76))),SUMIFS(ENTRADAS!$E$7:$E$57,ENTRADAS!$B$7:$B$57,"&lt;" &amp; EDATE($B$43,A48),ENTRADAS!$C$7:$C$57,$C$38),0)</f>
        <v>0</v>
      </c>
      <c r="D48" s="2" t="str">
        <f>IF(AND(MONTH(B48)&lt;=MONTH(MAX(ENTRADAS!$B$7:$B$57,'SAÍDAS'!$B$7:$B$76)),YEAR(B48)=YEAR(MAX(ENTRADAS!$B$7:$B$57,'SAÍDAS'!$B$7:$B$76))),SUMIFS('SAÍDAS'!$H$7:$H$76,'SAÍDAS'!$B$7:$B$76,"&lt;" &amp; EDATE($B$43,A48),'SAÍDAS'!$C$7:$C$76,$C$38),0)</f>
        <v>0</v>
      </c>
      <c r="E48" s="2" t="str">
        <f t="shared" si="4"/>
        <v>0</v>
      </c>
    </row>
    <row r="49" ht="15.75" customHeight="1">
      <c r="A49">
        <v>7.0</v>
      </c>
      <c r="B49" s="38" t="str">
        <f t="shared" si="3"/>
        <v>Jul-21</v>
      </c>
      <c r="C49" s="2" t="str">
        <f>IF(AND(MONTH(B49)&lt;=MONTH(MAX(ENTRADAS!$B$7:$B$57,'SAÍDAS'!$B$7:$B$76)),YEAR(B49)=YEAR(MAX(ENTRADAS!$B$7:$B$57,'SAÍDAS'!$B$7:$B$76))),SUMIFS(ENTRADAS!$E$7:$E$57,ENTRADAS!$B$7:$B$57,"&lt;" &amp; EDATE($B$43,A49),ENTRADAS!$C$7:$C$57,$C$38),0)</f>
        <v>0</v>
      </c>
      <c r="D49" s="2" t="str">
        <f>IF(AND(MONTH(B49)&lt;=MONTH(MAX(ENTRADAS!$B$7:$B$57,'SAÍDAS'!$B$7:$B$76)),YEAR(B49)=YEAR(MAX(ENTRADAS!$B$7:$B$57,'SAÍDAS'!$B$7:$B$76))),SUMIFS('SAÍDAS'!$H$7:$H$76,'SAÍDAS'!$B$7:$B$76,"&lt;" &amp; EDATE($B$43,A49),'SAÍDAS'!$C$7:$C$76,$C$38),0)</f>
        <v>0</v>
      </c>
      <c r="E49" s="2" t="str">
        <f t="shared" si="4"/>
        <v>0</v>
      </c>
    </row>
    <row r="50" ht="15.75" customHeight="1">
      <c r="A50">
        <v>8.0</v>
      </c>
      <c r="B50" s="38" t="str">
        <f t="shared" si="3"/>
        <v>Aug-21</v>
      </c>
      <c r="C50" s="2" t="str">
        <f>IF(AND(MONTH(B50)&lt;=MONTH(MAX(ENTRADAS!$B$7:$B$57,'SAÍDAS'!$B$7:$B$76)),YEAR(B50)=YEAR(MAX(ENTRADAS!$B$7:$B$57,'SAÍDAS'!$B$7:$B$76))),SUMIFS(ENTRADAS!$E$7:$E$57,ENTRADAS!$B$7:$B$57,"&lt;" &amp; EDATE($B$43,A50),ENTRADAS!$C$7:$C$57,$C$38),0)</f>
        <v>0</v>
      </c>
      <c r="D50" s="2" t="str">
        <f>IF(AND(MONTH(B50)&lt;=MONTH(MAX(ENTRADAS!$B$7:$B$57,'SAÍDAS'!$B$7:$B$76)),YEAR(B50)=YEAR(MAX(ENTRADAS!$B$7:$B$57,'SAÍDAS'!$B$7:$B$76))),SUMIFS('SAÍDAS'!$H$7:$H$76,'SAÍDAS'!$B$7:$B$76,"&lt;" &amp; EDATE($B$43,A50),'SAÍDAS'!$C$7:$C$76,$C$38),0)</f>
        <v>0</v>
      </c>
      <c r="E50" s="2" t="str">
        <f t="shared" si="4"/>
        <v>0</v>
      </c>
    </row>
    <row r="51" ht="15.75" customHeight="1">
      <c r="A51">
        <v>9.0</v>
      </c>
      <c r="B51" s="38" t="str">
        <f t="shared" si="3"/>
        <v>Sep-21</v>
      </c>
      <c r="C51" s="2" t="str">
        <f>IF(AND(MONTH(B51)&lt;=MONTH(MAX(ENTRADAS!$B$7:$B$57,'SAÍDAS'!$B$7:$B$76)),YEAR(B51)=YEAR(MAX(ENTRADAS!$B$7:$B$57,'SAÍDAS'!$B$7:$B$76))),SUMIFS(ENTRADAS!$E$7:$E$57,ENTRADAS!$B$7:$B$57,"&lt;" &amp; EDATE($B$43,A51),ENTRADAS!$C$7:$C$57,$C$38),0)</f>
        <v>0</v>
      </c>
      <c r="D51" s="2" t="str">
        <f>IF(AND(MONTH(B51)&lt;=MONTH(MAX(ENTRADAS!$B$7:$B$57,'SAÍDAS'!$B$7:$B$76)),YEAR(B51)=YEAR(MAX(ENTRADAS!$B$7:$B$57,'SAÍDAS'!$B$7:$B$76))),SUMIFS('SAÍDAS'!$H$7:$H$76,'SAÍDAS'!$B$7:$B$76,"&lt;" &amp; EDATE($B$43,A51),'SAÍDAS'!$C$7:$C$76,$C$38),0)</f>
        <v>0</v>
      </c>
      <c r="E51" s="2" t="str">
        <f t="shared" si="4"/>
        <v>0</v>
      </c>
    </row>
    <row r="52" ht="15.75" customHeight="1">
      <c r="A52">
        <v>10.0</v>
      </c>
      <c r="B52" s="38" t="str">
        <f t="shared" si="3"/>
        <v>Oct-21</v>
      </c>
      <c r="C52" s="2" t="str">
        <f>IF(AND(MONTH(B52)&lt;=MONTH(MAX(ENTRADAS!$B$7:$B$57,'SAÍDAS'!$B$7:$B$76)),YEAR(B52)=YEAR(MAX(ENTRADAS!$B$7:$B$57,'SAÍDAS'!$B$7:$B$76))),SUMIFS(ENTRADAS!$E$7:$E$57,ENTRADAS!$B$7:$B$57,"&lt;" &amp; EDATE($B$43,A52),ENTRADAS!$C$7:$C$57,$C$38),0)</f>
        <v>0</v>
      </c>
      <c r="D52" s="2" t="str">
        <f>IF(AND(MONTH(B52)&lt;=MONTH(MAX(ENTRADAS!$B$7:$B$57,'SAÍDAS'!$B$7:$B$76)),YEAR(B52)=YEAR(MAX(ENTRADAS!$B$7:$B$57,'SAÍDAS'!$B$7:$B$76))),SUMIFS('SAÍDAS'!$H$7:$H$76,'SAÍDAS'!$B$7:$B$76,"&lt;" &amp; EDATE($B$43,A52),'SAÍDAS'!$C$7:$C$76,$C$38),0)</f>
        <v>0</v>
      </c>
      <c r="E52" s="2" t="str">
        <f t="shared" si="4"/>
        <v>0</v>
      </c>
    </row>
    <row r="53" ht="15.75" customHeight="1">
      <c r="A53">
        <v>11.0</v>
      </c>
      <c r="B53" s="38" t="str">
        <f t="shared" si="3"/>
        <v>Nov-21</v>
      </c>
      <c r="C53" s="2" t="str">
        <f>IF(AND(MONTH(B53)&lt;=MONTH(MAX(ENTRADAS!$B$7:$B$57,'SAÍDAS'!$B$7:$B$76)),YEAR(B53)=YEAR(MAX(ENTRADAS!$B$7:$B$57,'SAÍDAS'!$B$7:$B$76))),SUMIFS(ENTRADAS!$E$7:$E$57,ENTRADAS!$B$7:$B$57,"&lt;" &amp; EDATE($B$43,A53),ENTRADAS!$C$7:$C$57,$C$38),0)</f>
        <v>0</v>
      </c>
      <c r="D53" s="2" t="str">
        <f>IF(AND(MONTH(B53)&lt;=MONTH(MAX(ENTRADAS!$B$7:$B$57,'SAÍDAS'!$B$7:$B$76)),YEAR(B53)=YEAR(MAX(ENTRADAS!$B$7:$B$57,'SAÍDAS'!$B$7:$B$76))),SUMIFS('SAÍDAS'!$H$7:$H$76,'SAÍDAS'!$B$7:$B$76,"&lt;" &amp; EDATE($B$43,A53),'SAÍDAS'!$C$7:$C$76,$C$38),0)</f>
        <v>0</v>
      </c>
      <c r="E53" s="2" t="str">
        <f t="shared" si="4"/>
        <v>0</v>
      </c>
    </row>
    <row r="54" ht="15.75" customHeight="1">
      <c r="A54">
        <v>12.0</v>
      </c>
      <c r="B54" s="38" t="str">
        <f t="shared" si="3"/>
        <v>Dec-21</v>
      </c>
      <c r="C54" s="2" t="str">
        <f>IF(AND(MONTH(B54)&lt;=MONTH(MAX(ENTRADAS!$B$7:$B$57,'SAÍDAS'!$B$7:$B$76)),YEAR(B54)=YEAR(MAX(ENTRADAS!$B$7:$B$57,'SAÍDAS'!$B$7:$B$76))),SUMIFS(ENTRADAS!$E$7:$E$57,ENTRADAS!$B$7:$B$57,"&lt;" &amp; EDATE($B$43,A54),ENTRADAS!$C$7:$C$57,$C$38),0)</f>
        <v>0</v>
      </c>
      <c r="D54" s="2" t="str">
        <f>IF(AND(MONTH(B54)&lt;=MONTH(MAX(ENTRADAS!$B$7:$B$57,'SAÍDAS'!$B$7:$B$76)),YEAR(B54)=YEAR(MAX(ENTRADAS!$B$7:$B$57,'SAÍDAS'!$B$7:$B$76))),SUMIFS('SAÍDAS'!$H$7:$H$76,'SAÍDAS'!$B$7:$B$76,"&lt;" &amp; EDATE($B$43,A54),'SAÍDAS'!$C$7:$C$76,$C$38),0)</f>
        <v>0</v>
      </c>
      <c r="E54" s="2" t="str">
        <f t="shared" si="4"/>
        <v>0</v>
      </c>
    </row>
    <row r="55" ht="15.75" customHeight="1"/>
    <row r="56" ht="15.75" customHeight="1"/>
    <row r="57" ht="15.75" customHeight="1">
      <c r="B57" t="s">
        <v>121</v>
      </c>
    </row>
    <row r="58" ht="15.75" customHeight="1"/>
    <row r="59" ht="15.75" customHeight="1">
      <c r="B59" t="s">
        <v>122</v>
      </c>
      <c r="C59" t="str">
        <f>COUNTA(PROD!$B$7:$B$36)</f>
        <v>30</v>
      </c>
    </row>
    <row r="60" ht="15.75" customHeight="1">
      <c r="B60" t="s">
        <v>123</v>
      </c>
      <c r="C60" t="str">
        <f>COUNTA(LOJAS!$B$7:$B$11)</f>
        <v>4</v>
      </c>
    </row>
    <row r="61" ht="15.75" customHeight="1">
      <c r="B61" t="s">
        <v>124</v>
      </c>
      <c r="C61" t="str">
        <f>COUNTA(FORN!$B$7:$B$11)</f>
        <v>1</v>
      </c>
    </row>
    <row r="62" ht="15.75" customHeight="1">
      <c r="B62" t="s">
        <v>125</v>
      </c>
      <c r="C62" t="str">
        <f>SUM('CONT. ESTOQUE'!$E$7:$E$16)</f>
        <v>1000</v>
      </c>
    </row>
    <row r="63" ht="15.75" customHeight="1">
      <c r="B63" t="s">
        <v>107</v>
      </c>
      <c r="C63" s="18" t="str">
        <f>SUM('SAÍDAS'!$K$7:$K$76)</f>
        <v>#N/A</v>
      </c>
    </row>
    <row r="64" ht="15.75" customHeight="1">
      <c r="B64" t="s">
        <v>108</v>
      </c>
      <c r="C64" s="18" t="str">
        <f>SUM(ENTRADAS!$G$7:$G$57)</f>
        <v>#N/A</v>
      </c>
    </row>
    <row r="65" ht="15.75" customHeight="1">
      <c r="B65" t="s">
        <v>126</v>
      </c>
      <c r="C65" s="18" t="str">
        <f>C63-C64</f>
        <v>#N/A</v>
      </c>
    </row>
    <row r="66" ht="15.75" customHeight="1">
      <c r="B66" t="s">
        <v>127</v>
      </c>
      <c r="C66" s="40" t="str">
        <f>C65/C63</f>
        <v>#N/A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12</vt:i4>
      </vt:variant>
    </vt:vector>
  </HeadingPairs>
  <TitlesOfParts>
    <vt:vector baseType="lpstr" size="12">
      <vt:lpstr>CAPA</vt:lpstr>
      <vt:lpstr>Instruções</vt:lpstr>
      <vt:lpstr>PROD</vt:lpstr>
      <vt:lpstr>FORN</vt:lpstr>
      <vt:lpstr>LOJAS</vt:lpstr>
      <vt:lpstr>ENTRADAS</vt:lpstr>
      <vt:lpstr>SAÍDAS</vt:lpstr>
      <vt:lpstr>CONT. ESTOQUE</vt:lpstr>
      <vt:lpstr>DASH VG</vt:lpstr>
      <vt:lpstr>DASH ESTOQUE</vt:lpstr>
      <vt:lpstr>DASH RESULTADOS</vt:lpstr>
      <vt:lpstr>Auxiliar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2020-06-21T20:37:00Z</dcterms:created>
  <dc:creator>Marcus</dc:creator>
  <cp:lastModifiedBy>not</cp:lastModifiedBy>
  <cp:lastPrinted>2021-01-16T19:24:23Z</cp:lastPrinted>
  <dcterms:modified xsi:type="dcterms:W3CDTF">2021-01-16T19:49:25Z</dcterms:modified>
</cp:coreProperties>
</file>