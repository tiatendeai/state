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1"/>
  </bookViews>
  <sheets>
    <sheet name="SN RFB 2" sheetId="1" r:id="rId1"/>
    <sheet name="SN PGFN 4161566" sheetId="2" r:id="rId2"/>
  </sheets>
  <definedNames>
    <definedName name="_xlnm._FilterDatabase" localSheetId="0" hidden="1">'SN RFB 2'!$A$1:$E$17</definedName>
  </definedNames>
  <calcPr calcId="144525"/>
</workbook>
</file>

<file path=xl/calcChain.xml><?xml version="1.0" encoding="utf-8"?>
<calcChain xmlns="http://schemas.openxmlformats.org/spreadsheetml/2006/main">
  <c r="E2" i="2" l="1"/>
  <c r="E3" i="2" s="1"/>
  <c r="D4" i="2" l="1"/>
  <c r="E4" i="2" s="1"/>
  <c r="E2" i="1"/>
  <c r="E3" i="1" s="1"/>
  <c r="D5" i="2" l="1"/>
  <c r="E5" i="2" s="1"/>
  <c r="D4" i="1"/>
  <c r="E4" i="1" s="1"/>
  <c r="D5" i="1" s="1"/>
  <c r="E5" i="1" s="1"/>
  <c r="D6" i="1" s="1"/>
  <c r="D6" i="2" l="1"/>
  <c r="E6" i="2" s="1"/>
  <c r="E7" i="2" s="1"/>
  <c r="E8" i="2" s="1"/>
  <c r="E9" i="2" s="1"/>
  <c r="E6" i="1"/>
  <c r="E7" i="1" s="1"/>
  <c r="E8" i="1" s="1"/>
  <c r="E9" i="1" s="1"/>
  <c r="D10" i="1" s="1"/>
  <c r="D10" i="2" l="1"/>
  <c r="E10" i="2" s="1"/>
  <c r="E10" i="1"/>
  <c r="D11" i="2" l="1"/>
  <c r="E11" i="2" s="1"/>
  <c r="E12" i="2" s="1"/>
  <c r="D11" i="1"/>
  <c r="E11" i="1" s="1"/>
  <c r="E12" i="1" s="1"/>
  <c r="D13" i="2" l="1"/>
  <c r="E13" i="2" s="1"/>
  <c r="D13" i="1"/>
  <c r="E13" i="1" s="1"/>
  <c r="D14" i="2" l="1"/>
  <c r="E14" i="2" s="1"/>
  <c r="E15" i="2" s="1"/>
  <c r="E16" i="2" s="1"/>
  <c r="E17" i="2" s="1"/>
  <c r="D14" i="1"/>
  <c r="E14" i="1" s="1"/>
  <c r="E15" i="1" s="1"/>
  <c r="E16" i="1" s="1"/>
  <c r="E17" i="1" s="1"/>
</calcChain>
</file>

<file path=xl/sharedStrings.xml><?xml version="1.0" encoding="utf-8"?>
<sst xmlns="http://schemas.openxmlformats.org/spreadsheetml/2006/main" count="40" uniqueCount="7">
  <si>
    <t>PARCELAMENTO</t>
  </si>
  <si>
    <t>SELIC</t>
  </si>
  <si>
    <t>PAGAMENTO</t>
  </si>
  <si>
    <t>Data</t>
  </si>
  <si>
    <t>Operação</t>
  </si>
  <si>
    <t>Valor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</si>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</sst>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44" fontId="2" fillId="3" borderId="1" xfId="1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14" fontId="0" fillId="2" borderId="1" xfId="0" applyNumberFormat="1" applyFill="1" applyBorder="1" applyAlignment="1">
      <alignment vertical="center"/>
    </xf>
    <xf numFmtId="10" fontId="0" fillId="2" borderId="1" xfId="0" applyNumberFormat="1" applyFill="1" applyBorder="1" applyAlignment="1">
      <alignment vertical="center"/>
    </xf>
    <xf numFmtId="14" fontId="0" fillId="2" borderId="0" xfId="0" applyNumberFormat="1" applyFill="1" applyAlignment="1">
      <alignment vertical="center"/>
    </xf>
    <xf numFmtId="10" fontId="0" fillId="2" borderId="0" xfId="0" applyNumberFormat="1" applyFill="1" applyAlignment="1">
      <alignment vertical="center"/>
    </xf>
    <xf numFmtId="44" fontId="0" fillId="2" borderId="0" xfId="1" applyFont="1" applyFill="1" applyAlignment="1">
      <alignment vertical="center"/>
    </xf>
    <xf numFmtId="14" fontId="0" fillId="2" borderId="1" xfId="0" applyNumberFormat="1" applyFill="1" applyBorder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44" fontId="2" fillId="2" borderId="1" xfId="0" applyNumberFormat="1" applyFont="1" applyFill="1" applyBorder="1" applyAlignment="1">
      <alignment vertical="center"/>
    </xf>
    <xf numFmtId="44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14" fontId="0" fillId="2" borderId="1" xfId="0" applyNumberForma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44" fontId="0" fillId="2" borderId="1" xfId="1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8"/>
  <sheetViews>
    <sheetView workbookViewId="0"/>
  </sheetViews>
  <sheetFormatPr defaultRowHeight="20.100000000000001" customHeight="1" x14ac:dyDescent="0.25"/>
  <cols>
    <col min="1" max="1" width="18.28515625" style="11" customWidth="1"/>
    <col min="2" max="3" width="18.28515625" style="3" customWidth="1"/>
    <col min="4" max="4" width="18.28515625" style="8" customWidth="1"/>
    <col min="5" max="5" width="18.28515625" style="14" customWidth="1"/>
    <col min="6" max="16384" width="9.140625" style="3"/>
  </cols>
  <sheetData>
    <row r="1" spans="1:5" ht="20.100000000000001" customHeight="1" x14ac:dyDescent="0.25">
      <c r="A1" s="1" t="s">
        <v>3</v>
      </c>
      <c r="B1" s="20" t="s">
        <v>4</v>
      </c>
      <c r="C1" s="20"/>
      <c r="D1" s="2" t="s">
        <v>5</v>
      </c>
      <c r="E1" s="1" t="s">
        <v>6</v>
      </c>
    </row>
    <row r="2" spans="1:5" ht="20.100000000000001" customHeight="1" x14ac:dyDescent="0.25">
      <c r="A2" s="9">
        <v>44238</v>
      </c>
      <c r="B2" s="21" t="s">
        <v>0</v>
      </c>
      <c r="C2" s="21"/>
      <c r="D2" s="17">
        <v>2401.3000000000002</v>
      </c>
      <c r="E2" s="12">
        <f>D2</f>
        <v>2401.3000000000002</v>
      </c>
    </row>
    <row r="3" spans="1:5" ht="20.100000000000001" customHeight="1" x14ac:dyDescent="0.25">
      <c r="A3" s="9">
        <v>44244</v>
      </c>
      <c r="B3" s="21" t="s">
        <v>2</v>
      </c>
      <c r="C3" s="21"/>
      <c r="D3" s="17">
        <v>-300.16000000000003</v>
      </c>
      <c r="E3" s="12">
        <f>E2+D3</f>
        <v>2101.1400000000003</v>
      </c>
    </row>
    <row r="4" spans="1:5" ht="20.100000000000001" customHeight="1" x14ac:dyDescent="0.25">
      <c r="A4" s="9">
        <v>44256</v>
      </c>
      <c r="B4" s="4" t="s">
        <v>1</v>
      </c>
      <c r="C4" s="5">
        <v>0.01</v>
      </c>
      <c r="D4" s="17">
        <f>E3*C4</f>
        <v>21.011400000000005</v>
      </c>
      <c r="E4" s="12">
        <f t="shared" ref="E4:E10" si="0">E3+D4</f>
        <v>2122.1514000000002</v>
      </c>
    </row>
    <row r="5" spans="1:5" ht="20.100000000000001" customHeight="1" x14ac:dyDescent="0.25">
      <c r="A5" s="9">
        <v>44287</v>
      </c>
      <c r="B5" s="4" t="s">
        <v>1</v>
      </c>
      <c r="C5" s="5">
        <v>2E-3</v>
      </c>
      <c r="D5" s="17">
        <f>E4*C5</f>
        <v>4.2443028000000007</v>
      </c>
      <c r="E5" s="12">
        <f t="shared" si="0"/>
        <v>2126.3957028</v>
      </c>
    </row>
    <row r="6" spans="1:5" ht="20.100000000000001" customHeight="1" x14ac:dyDescent="0.25">
      <c r="A6" s="9">
        <v>44317</v>
      </c>
      <c r="B6" s="4" t="s">
        <v>1</v>
      </c>
      <c r="C6" s="5">
        <v>2.0999999999999999E-3</v>
      </c>
      <c r="D6" s="17">
        <f>E5*C6</f>
        <v>4.4654309758799995</v>
      </c>
      <c r="E6" s="12">
        <f>E5+D6</f>
        <v>2130.8611337758798</v>
      </c>
    </row>
    <row r="7" spans="1:5" ht="20.100000000000001" customHeight="1" x14ac:dyDescent="0.25">
      <c r="A7" s="9">
        <v>44347</v>
      </c>
      <c r="B7" s="21" t="s">
        <v>2</v>
      </c>
      <c r="C7" s="21"/>
      <c r="D7" s="17">
        <v>-304.39</v>
      </c>
      <c r="E7" s="12">
        <f t="shared" si="0"/>
        <v>1826.4711337758799</v>
      </c>
    </row>
    <row r="8" spans="1:5" ht="20.100000000000001" customHeight="1" x14ac:dyDescent="0.25">
      <c r="A8" s="15">
        <v>44347</v>
      </c>
      <c r="B8" s="21" t="s">
        <v>2</v>
      </c>
      <c r="C8" s="21"/>
      <c r="D8" s="17">
        <v>-304.39</v>
      </c>
      <c r="E8" s="12">
        <f t="shared" si="0"/>
        <v>1522.0811337758801</v>
      </c>
    </row>
    <row r="9" spans="1:5" ht="20.100000000000001" customHeight="1" x14ac:dyDescent="0.25">
      <c r="A9" s="9">
        <v>44347</v>
      </c>
      <c r="B9" s="21" t="s">
        <v>2</v>
      </c>
      <c r="C9" s="21"/>
      <c r="D9" s="17">
        <v>-304.39</v>
      </c>
      <c r="E9" s="12">
        <f t="shared" si="0"/>
        <v>1217.6911337758802</v>
      </c>
    </row>
    <row r="10" spans="1:5" ht="20.100000000000001" customHeight="1" x14ac:dyDescent="0.25">
      <c r="A10" s="16">
        <v>44348</v>
      </c>
      <c r="B10" s="4" t="s">
        <v>1</v>
      </c>
      <c r="C10" s="5">
        <v>2.7000000000000001E-3</v>
      </c>
      <c r="D10" s="17">
        <f>E9*C10</f>
        <v>3.2877660611948767</v>
      </c>
      <c r="E10" s="12">
        <f t="shared" si="0"/>
        <v>1220.978899837075</v>
      </c>
    </row>
    <row r="11" spans="1:5" ht="20.100000000000001" customHeight="1" x14ac:dyDescent="0.25">
      <c r="A11" s="16">
        <v>44378</v>
      </c>
      <c r="B11" s="4" t="s">
        <v>1</v>
      </c>
      <c r="C11" s="5">
        <v>3.0999999999999999E-3</v>
      </c>
      <c r="D11" s="17">
        <f>E10*C11</f>
        <v>3.7850345894949324</v>
      </c>
      <c r="E11" s="12">
        <f t="shared" ref="E11:E13" si="1">E10+D11</f>
        <v>1224.7639344265699</v>
      </c>
    </row>
    <row r="12" spans="1:5" ht="20.100000000000001" customHeight="1" x14ac:dyDescent="0.25">
      <c r="A12" s="15">
        <v>44407</v>
      </c>
      <c r="B12" s="21" t="s">
        <v>2</v>
      </c>
      <c r="C12" s="21"/>
      <c r="D12" s="17">
        <v>-306.13</v>
      </c>
      <c r="E12" s="12">
        <f t="shared" si="1"/>
        <v>918.63393442656991</v>
      </c>
    </row>
    <row r="13" spans="1:5" ht="20.100000000000001" customHeight="1" x14ac:dyDescent="0.25">
      <c r="A13" s="9">
        <v>44409</v>
      </c>
      <c r="B13" s="4" t="s">
        <v>1</v>
      </c>
      <c r="C13" s="5">
        <v>3.5999999999999999E-3</v>
      </c>
      <c r="D13" s="17">
        <f>E12*C13</f>
        <v>3.3070821639356516</v>
      </c>
      <c r="E13" s="12">
        <f t="shared" si="1"/>
        <v>921.94101659050557</v>
      </c>
    </row>
    <row r="14" spans="1:5" ht="20.100000000000001" customHeight="1" x14ac:dyDescent="0.25">
      <c r="A14" s="16">
        <v>44440</v>
      </c>
      <c r="B14" s="4" t="s">
        <v>1</v>
      </c>
      <c r="C14" s="5">
        <v>4.3E-3</v>
      </c>
      <c r="D14" s="17">
        <f>E13*C14</f>
        <v>3.964346371339174</v>
      </c>
      <c r="E14" s="12">
        <f t="shared" ref="E14" si="2">E13+D14</f>
        <v>925.90536296184473</v>
      </c>
    </row>
    <row r="15" spans="1:5" ht="20.100000000000001" customHeight="1" x14ac:dyDescent="0.25">
      <c r="A15" s="9">
        <v>44469</v>
      </c>
      <c r="B15" s="21" t="s">
        <v>2</v>
      </c>
      <c r="C15" s="21"/>
      <c r="D15" s="17">
        <v>-308.5</v>
      </c>
      <c r="E15" s="12">
        <f>E14+D15</f>
        <v>617.40536296184473</v>
      </c>
    </row>
    <row r="16" spans="1:5" ht="20.100000000000001" customHeight="1" x14ac:dyDescent="0.25">
      <c r="A16" s="9">
        <v>44469</v>
      </c>
      <c r="B16" s="21" t="s">
        <v>2</v>
      </c>
      <c r="C16" s="21"/>
      <c r="D16" s="17">
        <v>-308.5</v>
      </c>
      <c r="E16" s="12">
        <f>E15+D16</f>
        <v>308.90536296184473</v>
      </c>
    </row>
    <row r="17" spans="1:5" ht="20.100000000000001" customHeight="1" x14ac:dyDescent="0.25">
      <c r="A17" s="9">
        <v>44469</v>
      </c>
      <c r="B17" s="21" t="s">
        <v>2</v>
      </c>
      <c r="C17" s="21"/>
      <c r="D17" s="17">
        <v>-285.8</v>
      </c>
      <c r="E17" s="12">
        <f t="shared" ref="E17" si="3">E16+D17</f>
        <v>23.105362961844719</v>
      </c>
    </row>
    <row r="18" spans="1:5" ht="20.100000000000001" customHeight="1" x14ac:dyDescent="0.25">
      <c r="A18" s="10"/>
      <c r="B18" s="6"/>
      <c r="C18" s="7"/>
      <c r="E18" s="13"/>
    </row>
    <row r="19" spans="1:5" ht="20.100000000000001" customHeight="1" x14ac:dyDescent="0.25">
      <c r="A19" s="10"/>
      <c r="B19" s="6"/>
      <c r="C19" s="7"/>
      <c r="E19" s="13"/>
    </row>
    <row r="20" spans="1:5" ht="20.100000000000001" customHeight="1" x14ac:dyDescent="0.25">
      <c r="A20" s="10"/>
      <c r="B20" s="6"/>
      <c r="C20" s="7"/>
      <c r="E20" s="13"/>
    </row>
    <row r="21" spans="1:5" ht="20.100000000000001" customHeight="1" x14ac:dyDescent="0.25">
      <c r="A21" s="10"/>
      <c r="B21" s="6"/>
      <c r="C21" s="7"/>
      <c r="E21" s="13"/>
    </row>
    <row r="22" spans="1:5" ht="20.100000000000001" customHeight="1" x14ac:dyDescent="0.25">
      <c r="A22" s="10"/>
      <c r="B22" s="6"/>
      <c r="C22" s="7"/>
      <c r="E22" s="13"/>
    </row>
    <row r="23" spans="1:5" ht="20.100000000000001" customHeight="1" x14ac:dyDescent="0.25">
      <c r="A23" s="10"/>
      <c r="B23" s="6"/>
      <c r="C23" s="7"/>
      <c r="E23" s="13"/>
    </row>
    <row r="24" spans="1:5" ht="20.100000000000001" customHeight="1" x14ac:dyDescent="0.25">
      <c r="A24" s="10"/>
      <c r="B24" s="6"/>
      <c r="C24" s="7"/>
      <c r="E24" s="13"/>
    </row>
    <row r="25" spans="1:5" ht="20.100000000000001" customHeight="1" x14ac:dyDescent="0.25">
      <c r="A25" s="10"/>
      <c r="B25" s="6"/>
      <c r="C25" s="7"/>
      <c r="E25" s="13"/>
    </row>
    <row r="26" spans="1:5" ht="20.100000000000001" customHeight="1" x14ac:dyDescent="0.25">
      <c r="A26" s="10"/>
      <c r="B26" s="6"/>
      <c r="C26" s="7"/>
      <c r="E26" s="13"/>
    </row>
    <row r="27" spans="1:5" ht="20.100000000000001" customHeight="1" x14ac:dyDescent="0.25">
      <c r="A27" s="10"/>
      <c r="B27" s="6"/>
      <c r="C27" s="7"/>
      <c r="E27" s="13"/>
    </row>
    <row r="33" s="3" customFormat="1" ht="20.100000000000001" customHeight="1" x14ac:dyDescent="0.25"/>
    <row r="34" s="3" customFormat="1" ht="20.100000000000001" customHeight="1" x14ac:dyDescent="0.25"/>
    <row r="35" s="3" customFormat="1" ht="20.100000000000001" customHeight="1" x14ac:dyDescent="0.25"/>
    <row r="36" s="3" customFormat="1" ht="20.100000000000001" customHeight="1" x14ac:dyDescent="0.25"/>
    <row r="37" s="3" customFormat="1" ht="20.100000000000001" customHeight="1" x14ac:dyDescent="0.25"/>
    <row r="38" s="3" customFormat="1" ht="20.100000000000001" customHeight="1" x14ac:dyDescent="0.25"/>
    <row r="39" s="3" customFormat="1" ht="20.100000000000001" customHeight="1" x14ac:dyDescent="0.25"/>
    <row r="40" s="3" customFormat="1" ht="20.100000000000001" customHeight="1" x14ac:dyDescent="0.25"/>
    <row r="41" s="3" customFormat="1" ht="20.100000000000001" customHeight="1" x14ac:dyDescent="0.25"/>
    <row r="42" s="3" customFormat="1" ht="20.100000000000001" customHeight="1" x14ac:dyDescent="0.25"/>
    <row r="43" s="3" customFormat="1" ht="20.100000000000001" customHeight="1" x14ac:dyDescent="0.25"/>
    <row r="44" s="3" customFormat="1" ht="20.100000000000001" customHeight="1" x14ac:dyDescent="0.25"/>
    <row r="45" s="3" customFormat="1" ht="20.100000000000001" customHeight="1" x14ac:dyDescent="0.25"/>
    <row r="46" s="3" customFormat="1" ht="20.100000000000001" customHeight="1" x14ac:dyDescent="0.25"/>
    <row r="47" s="3" customFormat="1" ht="20.100000000000001" customHeight="1" x14ac:dyDescent="0.25"/>
    <row r="48" s="3" customFormat="1" ht="20.100000000000001" customHeight="1" x14ac:dyDescent="0.25"/>
    <row r="49" s="3" customFormat="1" ht="20.100000000000001" customHeight="1" x14ac:dyDescent="0.25"/>
    <row r="50" s="3" customFormat="1" ht="20.100000000000001" customHeight="1" x14ac:dyDescent="0.25"/>
    <row r="51" s="3" customFormat="1" ht="20.100000000000001" customHeight="1" x14ac:dyDescent="0.25"/>
    <row r="52" s="3" customFormat="1" ht="20.100000000000001" customHeight="1" x14ac:dyDescent="0.25"/>
    <row r="53" s="3" customFormat="1" ht="20.100000000000001" customHeight="1" x14ac:dyDescent="0.25"/>
    <row r="54" s="3" customFormat="1" ht="20.100000000000001" customHeight="1" x14ac:dyDescent="0.25"/>
    <row r="55" s="3" customFormat="1" ht="20.100000000000001" customHeight="1" x14ac:dyDescent="0.25"/>
    <row r="56" s="3" customFormat="1" ht="20.100000000000001" customHeight="1" x14ac:dyDescent="0.25"/>
    <row r="57" s="3" customFormat="1" ht="20.100000000000001" customHeight="1" x14ac:dyDescent="0.25"/>
    <row r="58" s="3" customFormat="1" ht="20.100000000000001" customHeight="1" x14ac:dyDescent="0.25"/>
    <row r="59" s="3" customFormat="1" ht="20.100000000000001" customHeight="1" x14ac:dyDescent="0.25"/>
    <row r="60" s="3" customFormat="1" ht="20.100000000000001" customHeight="1" x14ac:dyDescent="0.25"/>
    <row r="61" s="3" customFormat="1" ht="20.100000000000001" customHeight="1" x14ac:dyDescent="0.25"/>
    <row r="62" s="3" customFormat="1" ht="20.100000000000001" customHeight="1" x14ac:dyDescent="0.25"/>
    <row r="63" s="3" customFormat="1" ht="20.100000000000001" customHeight="1" x14ac:dyDescent="0.25"/>
    <row r="64" s="3" customFormat="1" ht="20.100000000000001" customHeight="1" x14ac:dyDescent="0.25"/>
    <row r="65" s="3" customFormat="1" ht="20.100000000000001" customHeight="1" x14ac:dyDescent="0.25"/>
    <row r="66" s="3" customFormat="1" ht="20.100000000000001" customHeight="1" x14ac:dyDescent="0.25"/>
    <row r="67" s="3" customFormat="1" ht="20.100000000000001" customHeight="1" x14ac:dyDescent="0.25"/>
    <row r="68" s="3" customFormat="1" ht="20.100000000000001" customHeight="1" x14ac:dyDescent="0.25"/>
    <row r="69" s="3" customFormat="1" ht="20.100000000000001" customHeight="1" x14ac:dyDescent="0.25"/>
    <row r="70" s="3" customFormat="1" ht="20.100000000000001" customHeight="1" x14ac:dyDescent="0.25"/>
    <row r="71" s="3" customFormat="1" ht="20.100000000000001" customHeight="1" x14ac:dyDescent="0.25"/>
    <row r="72" s="3" customFormat="1" ht="20.100000000000001" customHeight="1" x14ac:dyDescent="0.25"/>
    <row r="73" s="3" customFormat="1" ht="20.100000000000001" customHeight="1" x14ac:dyDescent="0.25"/>
    <row r="74" s="3" customFormat="1" ht="20.100000000000001" customHeight="1" x14ac:dyDescent="0.25"/>
    <row r="75" s="3" customFormat="1" ht="20.100000000000001" customHeight="1" x14ac:dyDescent="0.25"/>
    <row r="76" s="3" customFormat="1" ht="20.100000000000001" customHeight="1" x14ac:dyDescent="0.25"/>
    <row r="77" s="3" customFormat="1" ht="20.100000000000001" customHeight="1" x14ac:dyDescent="0.25"/>
    <row r="78" s="3" customFormat="1" ht="20.100000000000001" customHeight="1" x14ac:dyDescent="0.25"/>
    <row r="79" s="3" customFormat="1" ht="20.100000000000001" customHeight="1" x14ac:dyDescent="0.25"/>
    <row r="80" s="3" customFormat="1" ht="20.100000000000001" customHeight="1" x14ac:dyDescent="0.25"/>
    <row r="81" s="3" customFormat="1" ht="20.100000000000001" customHeight="1" x14ac:dyDescent="0.25"/>
    <row r="82" s="3" customFormat="1" ht="20.100000000000001" customHeight="1" x14ac:dyDescent="0.25"/>
    <row r="83" s="3" customFormat="1" ht="20.100000000000001" customHeight="1" x14ac:dyDescent="0.25"/>
    <row r="84" s="3" customFormat="1" ht="20.100000000000001" customHeight="1" x14ac:dyDescent="0.25"/>
    <row r="85" s="3" customFormat="1" ht="20.100000000000001" customHeight="1" x14ac:dyDescent="0.25"/>
    <row r="86" s="3" customFormat="1" ht="20.100000000000001" customHeight="1" x14ac:dyDescent="0.25"/>
    <row r="87" s="3" customFormat="1" ht="20.100000000000001" customHeight="1" x14ac:dyDescent="0.25"/>
    <row r="88" s="3" customFormat="1" ht="20.100000000000001" customHeight="1" x14ac:dyDescent="0.25"/>
  </sheetData>
  <mergeCells count="10">
    <mergeCell ref="B1:C1"/>
    <mergeCell ref="B17:C17"/>
    <mergeCell ref="B12:C12"/>
    <mergeCell ref="B2:C2"/>
    <mergeCell ref="B8:C8"/>
    <mergeCell ref="B16:C16"/>
    <mergeCell ref="B3:C3"/>
    <mergeCell ref="B7:C7"/>
    <mergeCell ref="B9:C9"/>
    <mergeCell ref="B15:C1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8"/>
  <sheetViews>
    <sheetView tabSelected="1" workbookViewId="0"/>
  </sheetViews>
  <sheetFormatPr defaultRowHeight="15" x14ac:dyDescent="0.25"/>
  <cols>
    <col min="1" max="1" width="18.28515625" style="11" customWidth="1"/>
    <col min="2" max="3" width="18.28515625" style="3" customWidth="1"/>
    <col min="4" max="4" width="18.28515625" style="8" customWidth="1"/>
    <col min="5" max="5" width="18.28515625" style="14" customWidth="1"/>
    <col min="6" max="16384" width="9.140625" style="3"/>
  </cols>
  <sheetData>
    <row r="1" spans="1:5" ht="20.100000000000001" customHeight="1" x14ac:dyDescent="0.25">
      <c r="A1" s="18" t="s">
        <v>3</v>
      </c>
      <c r="B1" s="20" t="s">
        <v>4</v>
      </c>
      <c r="C1" s="20"/>
      <c r="D1" s="2" t="s">
        <v>5</v>
      </c>
      <c r="E1" s="18" t="s">
        <v>6</v>
      </c>
    </row>
    <row r="2" spans="1:5" ht="20.100000000000001" customHeight="1" x14ac:dyDescent="0.25">
      <c r="A2" s="19">
        <v>44238</v>
      </c>
      <c r="B2" s="21" t="s">
        <v>0</v>
      </c>
      <c r="C2" s="21"/>
      <c r="D2" s="17">
        <v>2618.8200000000002</v>
      </c>
      <c r="E2" s="12">
        <f>D2</f>
        <v>2618.8200000000002</v>
      </c>
    </row>
    <row r="3" spans="1:5" ht="20.100000000000001" customHeight="1" x14ac:dyDescent="0.25">
      <c r="A3" s="19">
        <v>44244</v>
      </c>
      <c r="B3" s="21" t="s">
        <v>2</v>
      </c>
      <c r="C3" s="21"/>
      <c r="D3" s="17">
        <v>-327.35000000000002</v>
      </c>
      <c r="E3" s="12">
        <f>E2+D3</f>
        <v>2291.4700000000003</v>
      </c>
    </row>
    <row r="4" spans="1:5" ht="20.100000000000001" customHeight="1" x14ac:dyDescent="0.25">
      <c r="A4" s="19">
        <v>44256</v>
      </c>
      <c r="B4" s="4" t="s">
        <v>1</v>
      </c>
      <c r="C4" s="5">
        <v>0.01</v>
      </c>
      <c r="D4" s="17">
        <f>E3*C4</f>
        <v>22.914700000000003</v>
      </c>
      <c r="E4" s="12">
        <f t="shared" ref="E4:E14" si="0">E3+D4</f>
        <v>2314.3847000000001</v>
      </c>
    </row>
    <row r="5" spans="1:5" ht="20.100000000000001" customHeight="1" x14ac:dyDescent="0.25">
      <c r="A5" s="19">
        <v>44287</v>
      </c>
      <c r="B5" s="4" t="s">
        <v>1</v>
      </c>
      <c r="C5" s="5">
        <v>2E-3</v>
      </c>
      <c r="D5" s="17">
        <f>E4*C5</f>
        <v>4.6287694000000004</v>
      </c>
      <c r="E5" s="12">
        <f t="shared" si="0"/>
        <v>2319.0134693999998</v>
      </c>
    </row>
    <row r="6" spans="1:5" ht="20.100000000000001" customHeight="1" x14ac:dyDescent="0.25">
      <c r="A6" s="19">
        <v>44317</v>
      </c>
      <c r="B6" s="4" t="s">
        <v>1</v>
      </c>
      <c r="C6" s="5">
        <v>2.0999999999999999E-3</v>
      </c>
      <c r="D6" s="17">
        <f>E5*C6</f>
        <v>4.8699282857399995</v>
      </c>
      <c r="E6" s="12">
        <f>E5+D6</f>
        <v>2323.88339768574</v>
      </c>
    </row>
    <row r="7" spans="1:5" ht="20.100000000000001" customHeight="1" x14ac:dyDescent="0.25">
      <c r="A7" s="19">
        <v>44347</v>
      </c>
      <c r="B7" s="21" t="s">
        <v>2</v>
      </c>
      <c r="C7" s="21"/>
      <c r="D7" s="17">
        <v>-331.97</v>
      </c>
      <c r="E7" s="12">
        <f t="shared" si="0"/>
        <v>1991.9133976857399</v>
      </c>
    </row>
    <row r="8" spans="1:5" ht="20.100000000000001" customHeight="1" x14ac:dyDescent="0.25">
      <c r="A8" s="19">
        <v>44347</v>
      </c>
      <c r="B8" s="21" t="s">
        <v>2</v>
      </c>
      <c r="C8" s="21"/>
      <c r="D8" s="17">
        <v>-331.97</v>
      </c>
      <c r="E8" s="12">
        <f t="shared" si="0"/>
        <v>1659.9433976857399</v>
      </c>
    </row>
    <row r="9" spans="1:5" ht="20.100000000000001" customHeight="1" x14ac:dyDescent="0.25">
      <c r="A9" s="19">
        <v>44347</v>
      </c>
      <c r="B9" s="21" t="s">
        <v>2</v>
      </c>
      <c r="C9" s="21"/>
      <c r="D9" s="17">
        <v>-331.97</v>
      </c>
      <c r="E9" s="12">
        <f t="shared" si="0"/>
        <v>1327.9733976857399</v>
      </c>
    </row>
    <row r="10" spans="1:5" ht="20.100000000000001" customHeight="1" x14ac:dyDescent="0.25">
      <c r="A10" s="19">
        <v>44348</v>
      </c>
      <c r="B10" s="4" t="s">
        <v>1</v>
      </c>
      <c r="C10" s="5">
        <v>2.7000000000000001E-3</v>
      </c>
      <c r="D10" s="17">
        <f>E9*C10</f>
        <v>3.5855281737514977</v>
      </c>
      <c r="E10" s="12">
        <f t="shared" si="0"/>
        <v>1331.5589258594914</v>
      </c>
    </row>
    <row r="11" spans="1:5" ht="20.100000000000001" customHeight="1" x14ac:dyDescent="0.25">
      <c r="A11" s="19">
        <v>44378</v>
      </c>
      <c r="B11" s="4" t="s">
        <v>1</v>
      </c>
      <c r="C11" s="5">
        <v>3.0999999999999999E-3</v>
      </c>
      <c r="D11" s="17">
        <f>E10*C11</f>
        <v>4.1278326701644232</v>
      </c>
      <c r="E11" s="12">
        <f t="shared" si="0"/>
        <v>1335.6867585296559</v>
      </c>
    </row>
    <row r="12" spans="1:5" ht="20.100000000000001" customHeight="1" x14ac:dyDescent="0.25">
      <c r="A12" s="19">
        <v>44407</v>
      </c>
      <c r="B12" s="21" t="s">
        <v>2</v>
      </c>
      <c r="C12" s="21"/>
      <c r="D12" s="17">
        <v>-333.87</v>
      </c>
      <c r="E12" s="12">
        <f t="shared" si="0"/>
        <v>1001.8167585296559</v>
      </c>
    </row>
    <row r="13" spans="1:5" ht="20.100000000000001" customHeight="1" x14ac:dyDescent="0.25">
      <c r="A13" s="19">
        <v>44409</v>
      </c>
      <c r="B13" s="4" t="s">
        <v>1</v>
      </c>
      <c r="C13" s="5">
        <v>3.5999999999999999E-3</v>
      </c>
      <c r="D13" s="17">
        <f>E12*C13</f>
        <v>3.6065403307067609</v>
      </c>
      <c r="E13" s="12">
        <f t="shared" si="0"/>
        <v>1005.4232988603626</v>
      </c>
    </row>
    <row r="14" spans="1:5" ht="20.100000000000001" customHeight="1" x14ac:dyDescent="0.25">
      <c r="A14" s="19">
        <v>44440</v>
      </c>
      <c r="B14" s="4" t="s">
        <v>1</v>
      </c>
      <c r="C14" s="5">
        <v>4.3E-3</v>
      </c>
      <c r="D14" s="17">
        <f>E13*C14</f>
        <v>4.3233201850995595</v>
      </c>
      <c r="E14" s="12">
        <f t="shared" si="0"/>
        <v>1009.7466190454621</v>
      </c>
    </row>
    <row r="15" spans="1:5" ht="20.100000000000001" customHeight="1" x14ac:dyDescent="0.25">
      <c r="A15" s="19">
        <v>44469</v>
      </c>
      <c r="B15" s="21" t="s">
        <v>2</v>
      </c>
      <c r="C15" s="21"/>
      <c r="D15" s="17">
        <v>-336.46</v>
      </c>
      <c r="E15" s="12">
        <f>E14+D15</f>
        <v>673.2866190454622</v>
      </c>
    </row>
    <row r="16" spans="1:5" ht="20.100000000000001" customHeight="1" x14ac:dyDescent="0.25">
      <c r="A16" s="19">
        <v>44469</v>
      </c>
      <c r="B16" s="21" t="s">
        <v>2</v>
      </c>
      <c r="C16" s="21"/>
      <c r="D16" s="17">
        <v>-336.46</v>
      </c>
      <c r="E16" s="12">
        <f>E15+D16</f>
        <v>336.82661904546222</v>
      </c>
    </row>
    <row r="17" spans="1:5" ht="20.100000000000001" customHeight="1" x14ac:dyDescent="0.25">
      <c r="A17" s="19">
        <v>44469</v>
      </c>
      <c r="B17" s="21" t="s">
        <v>2</v>
      </c>
      <c r="C17" s="21"/>
      <c r="D17" s="17">
        <v>-336.46</v>
      </c>
      <c r="E17" s="12">
        <f t="shared" ref="E17" si="1">E16+D17</f>
        <v>0.36661904546224378</v>
      </c>
    </row>
    <row r="18" spans="1:5" ht="20.100000000000001" customHeight="1" x14ac:dyDescent="0.25">
      <c r="A18" s="10"/>
      <c r="B18" s="6"/>
      <c r="C18" s="7"/>
      <c r="E18" s="13"/>
    </row>
    <row r="19" spans="1:5" ht="20.100000000000001" customHeight="1" x14ac:dyDescent="0.25">
      <c r="A19" s="10"/>
      <c r="B19" s="6"/>
      <c r="C19" s="7"/>
      <c r="E19" s="13"/>
    </row>
    <row r="20" spans="1:5" ht="20.100000000000001" customHeight="1" x14ac:dyDescent="0.25">
      <c r="A20" s="10"/>
      <c r="B20" s="6"/>
      <c r="C20" s="7"/>
      <c r="E20" s="13"/>
    </row>
    <row r="21" spans="1:5" ht="20.100000000000001" customHeight="1" x14ac:dyDescent="0.25">
      <c r="A21" s="10"/>
      <c r="B21" s="6"/>
      <c r="C21" s="7"/>
      <c r="E21" s="13"/>
    </row>
    <row r="22" spans="1:5" ht="20.100000000000001" customHeight="1" x14ac:dyDescent="0.25">
      <c r="A22" s="10"/>
      <c r="B22" s="6"/>
      <c r="C22" s="7"/>
      <c r="E22" s="13"/>
    </row>
    <row r="23" spans="1:5" ht="20.100000000000001" customHeight="1" x14ac:dyDescent="0.25">
      <c r="A23" s="10"/>
      <c r="B23" s="6"/>
      <c r="C23" s="7"/>
      <c r="E23" s="13"/>
    </row>
    <row r="24" spans="1:5" ht="20.100000000000001" customHeight="1" x14ac:dyDescent="0.25">
      <c r="A24" s="10"/>
      <c r="B24" s="6"/>
      <c r="C24" s="7"/>
      <c r="E24" s="13"/>
    </row>
    <row r="25" spans="1:5" ht="20.100000000000001" customHeight="1" x14ac:dyDescent="0.25">
      <c r="A25" s="10"/>
      <c r="B25" s="6"/>
      <c r="C25" s="7"/>
      <c r="E25" s="13"/>
    </row>
    <row r="26" spans="1:5" ht="20.100000000000001" customHeight="1" x14ac:dyDescent="0.25">
      <c r="A26" s="10"/>
      <c r="B26" s="6"/>
      <c r="C26" s="7"/>
      <c r="E26" s="13"/>
    </row>
    <row r="27" spans="1:5" ht="20.100000000000001" customHeight="1" x14ac:dyDescent="0.25">
      <c r="A27" s="10"/>
      <c r="B27" s="6"/>
      <c r="C27" s="7"/>
      <c r="E27" s="13"/>
    </row>
    <row r="33" s="3" customFormat="1" x14ac:dyDescent="0.25"/>
    <row r="34" s="3" customFormat="1" x14ac:dyDescent="0.25"/>
    <row r="35" s="3" customFormat="1" x14ac:dyDescent="0.25"/>
    <row r="36" s="3" customFormat="1" x14ac:dyDescent="0.25"/>
    <row r="37" s="3" customFormat="1" x14ac:dyDescent="0.25"/>
    <row r="38" s="3" customFormat="1" x14ac:dyDescent="0.25"/>
    <row r="39" s="3" customFormat="1" x14ac:dyDescent="0.25"/>
    <row r="40" s="3" customFormat="1" x14ac:dyDescent="0.25"/>
    <row r="41" s="3" customFormat="1" x14ac:dyDescent="0.25"/>
    <row r="42" s="3" customFormat="1" x14ac:dyDescent="0.25"/>
    <row r="43" s="3" customFormat="1" x14ac:dyDescent="0.25"/>
    <row r="44" s="3" customFormat="1" x14ac:dyDescent="0.25"/>
    <row r="45" s="3" customFormat="1" x14ac:dyDescent="0.25"/>
    <row r="46" s="3" customFormat="1" x14ac:dyDescent="0.25"/>
    <row r="47" s="3" customFormat="1" x14ac:dyDescent="0.25"/>
    <row r="48" s="3" customFormat="1" x14ac:dyDescent="0.25"/>
    <row r="49" s="3" customFormat="1" x14ac:dyDescent="0.25"/>
    <row r="50" s="3" customFormat="1" x14ac:dyDescent="0.25"/>
    <row r="51" s="3" customFormat="1" x14ac:dyDescent="0.25"/>
    <row r="52" s="3" customFormat="1" x14ac:dyDescent="0.25"/>
    <row r="53" s="3" customFormat="1" x14ac:dyDescent="0.25"/>
    <row r="54" s="3" customFormat="1" x14ac:dyDescent="0.25"/>
    <row r="55" s="3" customFormat="1" x14ac:dyDescent="0.25"/>
    <row r="56" s="3" customFormat="1" x14ac:dyDescent="0.25"/>
    <row r="57" s="3" customFormat="1" x14ac:dyDescent="0.25"/>
    <row r="58" s="3" customFormat="1" x14ac:dyDescent="0.25"/>
    <row r="59" s="3" customFormat="1" x14ac:dyDescent="0.25"/>
    <row r="60" s="3" customFormat="1" x14ac:dyDescent="0.25"/>
    <row r="61" s="3" customFormat="1" x14ac:dyDescent="0.25"/>
    <row r="62" s="3" customFormat="1" x14ac:dyDescent="0.25"/>
    <row r="63" s="3" customFormat="1" x14ac:dyDescent="0.25"/>
    <row r="64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  <row r="72" s="3" customFormat="1" x14ac:dyDescent="0.25"/>
    <row r="73" s="3" customFormat="1" x14ac:dyDescent="0.25"/>
    <row r="74" s="3" customFormat="1" x14ac:dyDescent="0.25"/>
    <row r="75" s="3" customFormat="1" x14ac:dyDescent="0.25"/>
    <row r="76" s="3" customFormat="1" x14ac:dyDescent="0.25"/>
    <row r="77" s="3" customFormat="1" x14ac:dyDescent="0.25"/>
    <row r="78" s="3" customFormat="1" x14ac:dyDescent="0.25"/>
    <row r="79" s="3" customFormat="1" x14ac:dyDescent="0.25"/>
    <row r="80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5" s="3" customFormat="1" x14ac:dyDescent="0.25"/>
    <row r="86" s="3" customFormat="1" x14ac:dyDescent="0.25"/>
    <row r="87" s="3" customFormat="1" x14ac:dyDescent="0.25"/>
    <row r="88" s="3" customFormat="1" x14ac:dyDescent="0.25"/>
  </sheetData>
  <mergeCells count="10">
    <mergeCell ref="B12:C12"/>
    <mergeCell ref="B15:C15"/>
    <mergeCell ref="B16:C16"/>
    <mergeCell ref="B17:C17"/>
    <mergeCell ref="B1:C1"/>
    <mergeCell ref="B2:C2"/>
    <mergeCell ref="B3:C3"/>
    <mergeCell ref="B7:C7"/>
    <mergeCell ref="B8:C8"/>
    <mergeCell ref="B9:C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SN RFB 2</vt:lpstr>
      <vt:lpstr>SN PGFN 4161566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2021-10-14T18:21:10Z</cp:lastPrinted>
  <dcterms:created xsi:type="dcterms:W3CDTF">2021-10-06T19:26:55Z</dcterms:created>
  <dcterms:modified xsi:type="dcterms:W3CDTF">2021-10-14T18:42:52Z</dcterms:modified>
</cp:coreProperties>
</file>