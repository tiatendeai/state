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lecir\Downloads\Telegram Desktop\"/>
    </mc:Choice>
  </mc:AlternateContent>
  <xr:revisionPtr revIDLastSave="0" documentId="13_ncr:1_{435081CB-0863-4FAE-A701-8F75127F25D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VENTOS  (PRESENCIAL - ONLINE)" sheetId="1" r:id="rId1"/>
    <sheet name="Planilha1" sheetId="2" r:id="rId2"/>
  </sheets>
  <definedNames>
    <definedName name="_xlnm._FilterDatabase" localSheetId="0" hidden="1">'EVENTOS  (PRESENCIAL - ONLINE)'!$A$1:$G$145</definedName>
    <definedName name="SegmentaçãodeDados_Anos">#N/A</definedName>
    <definedName name="SegmentaçãodeDados_Meses">#N/A</definedName>
  </definedNames>
  <calcPr calcId="191029"/>
  <pivotCaches>
    <pivotCache cacheId="62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F21" i="2"/>
  <c r="F22" i="2"/>
  <c r="F23" i="2"/>
  <c r="F24" i="2"/>
  <c r="C2" i="2"/>
  <c r="F16" i="2"/>
  <c r="F17" i="2"/>
  <c r="F18" i="2"/>
  <c r="F19" i="2"/>
  <c r="F15" i="2"/>
  <c r="C6" i="2"/>
  <c r="E103" i="1" l="1"/>
  <c r="E100" i="1"/>
  <c r="E97" i="1" l="1"/>
  <c r="E69" i="1" l="1"/>
  <c r="E72" i="1"/>
  <c r="G85" i="1" l="1"/>
</calcChain>
</file>

<file path=xl/sharedStrings.xml><?xml version="1.0" encoding="utf-8"?>
<sst xmlns="http://schemas.openxmlformats.org/spreadsheetml/2006/main" count="379" uniqueCount="297">
  <si>
    <t>DATA</t>
  </si>
  <si>
    <t>EVENTO</t>
  </si>
  <si>
    <t>35 anos - Desafio Trasnforma! Maestro João Carlos Martins e GRU Sinfônica - CCBB SP</t>
  </si>
  <si>
    <t>https://www.youtube.com/watch?v=1TO4T_4tAsI</t>
  </si>
  <si>
    <t>https://www.youtube.com/watch?v=82SlSsTGzCc</t>
  </si>
  <si>
    <t>https://www.youtube.com/watch?v=CwOJPVG0ykE</t>
  </si>
  <si>
    <t>35 anos - Desafio Trasnforma! Histórias Valiosas</t>
  </si>
  <si>
    <t>35 anos - Desafio Trasnforma! PitchDay socioambiental</t>
  </si>
  <si>
    <t>Live Xande de Pilares e CCBB #EmCasaComigo</t>
  </si>
  <si>
    <t>https://www.youtube.com/watch?v=Zy6as1xU2hE&amp;t=29s</t>
  </si>
  <si>
    <t>CCBB LIVE apresenta "Os Paralamas do Sucesso"</t>
  </si>
  <si>
    <t>https://www.youtube.com/watch?v=e3RdbWQ2ps4</t>
  </si>
  <si>
    <t>Acústico Jota Quest CCBB Live</t>
  </si>
  <si>
    <t>https://www.youtube.com/watch?v=s9X_geduXUM&amp;t=3938s</t>
  </si>
  <si>
    <t>CAPITAL INICIAL | LIVE DA INDEPENDÊNCIA</t>
  </si>
  <si>
    <t>https://www.youtube.com/watch?v=H4ipow_z1rE</t>
  </si>
  <si>
    <t>LIVE - Drive in CCBB - Palco Novo - Orquestra de Câmara de Brasília</t>
  </si>
  <si>
    <t>Observação</t>
  </si>
  <si>
    <t>QR Code</t>
  </si>
  <si>
    <t>QR Code e Embaixadores do Esporte</t>
  </si>
  <si>
    <t>https://www.youtube.com/watch?v=T1IidqlDNxE</t>
  </si>
  <si>
    <t>LIVE - Drive in CCBB - Palco Novo - Musical Elvis Brasil</t>
  </si>
  <si>
    <t>https://www.youtube.com/watch?v=5O9VI3HH_no</t>
  </si>
  <si>
    <t>LIVE - Drive in CCBB - Palco Novo - Oswaldo Amorim Quarteto</t>
  </si>
  <si>
    <t>https://www.youtube.com/watch?v=om-cZBcBR6k</t>
  </si>
  <si>
    <t>Lançamento do Projeto Municípios prato cheio para o desenvolvimento</t>
  </si>
  <si>
    <t>https://www.youtube.com/watch?v=r_bXWxFM0DU</t>
  </si>
  <si>
    <t>Reunião online entre Fundação BB e Instituto Magnus para lançamento da parceria e da Área do Doador – Projeto Cão Guia</t>
  </si>
  <si>
    <t>Microsoft Teams</t>
  </si>
  <si>
    <t>35 anos -  #FundaçãoBBaoVivo - “Desafio Transforma! de reaplicação de tecnologias sociais”</t>
  </si>
  <si>
    <t>35 anos -  #FundaçãoBBaoVivo - “Os Impactos Positivos da campanha Proteja e Sakve Vidas”</t>
  </si>
  <si>
    <t>Live BBSEG Pense Rosa</t>
  </si>
  <si>
    <r>
      <t>Instagram  @</t>
    </r>
    <r>
      <rPr>
        <b/>
        <u/>
        <sz val="11"/>
        <color theme="10"/>
        <rFont val="Calibri"/>
        <family val="2"/>
        <scheme val="minor"/>
      </rPr>
      <t>fundacaobb</t>
    </r>
  </si>
  <si>
    <t>https://livebbseguros.com.br/live</t>
  </si>
  <si>
    <t>Programa AABB Comunidade - Adesão 2021-2024</t>
  </si>
  <si>
    <t>https://www.youtube.com/watch?v=KOx4geXKaJs&amp;feature=youtu.be&amp;fbclid=IwAR2nrmr3V8IxytztLGXDlmtVCXReFDxB1eWfciE3WCDRTUgoEopaPKusKSM</t>
  </si>
  <si>
    <t>6º programa do podcast Só no Social participação Rogério Biruel</t>
  </si>
  <si>
    <t>https://open.spotify.com/show/0aI7oIUFxBr2rNmHCqyVF4</t>
  </si>
  <si>
    <t>Live sobre os rumos da Educação em tempos de Covid-19, com o Prof. Jayse Ferreira</t>
  </si>
  <si>
    <t>https://www.facebook.com/watch/live/?v=3314874555207352&amp;ref=watch_permalink</t>
  </si>
  <si>
    <t>Live Zé Neto e Cristiano</t>
  </si>
  <si>
    <t>35 anos -  #FundaçãoBBaoVivo - “Tire suas dúvidas sobre o Desafio Transforma!”</t>
  </si>
  <si>
    <t>-</t>
  </si>
  <si>
    <t>Orquestrando o Brasil - João Carlos Martins RR 15.02.20</t>
  </si>
  <si>
    <t>live retirada do YouTube</t>
  </si>
  <si>
    <t>evento presencial com produção audiovisual</t>
  </si>
  <si>
    <t>Parceria FBB-BB-AVSI-Embaixada Italiana - Aliança Entre Empresas e Ongs para o Desenvolvimento Sustentável No Brasil</t>
  </si>
  <si>
    <t>IX Laboratório Ítalo-Brasileiro de Formação, Pesquisa e Práticas em Saúde Coletiva</t>
  </si>
  <si>
    <t>BB | Suba de Nível - Episódio 1</t>
  </si>
  <si>
    <t>https://www.youtube.com/watch?v=cM__FXNCsXE</t>
  </si>
  <si>
    <t>Conversa sobre Filantropia</t>
  </si>
  <si>
    <t>Fórum Sustentabilidade URI</t>
  </si>
  <si>
    <t>Live de Natal da FENABB</t>
  </si>
  <si>
    <t>Live Magnus - Entrega Cão Guia</t>
  </si>
  <si>
    <t>ADIADO sem data</t>
  </si>
  <si>
    <t>Conectando Experiências - VIPAG</t>
  </si>
  <si>
    <t>*matérias</t>
  </si>
  <si>
    <t>VISUALIZAÇÕES - PÚBLICO</t>
  </si>
  <si>
    <t>Solidarize-se - Orientações às ILPIs</t>
  </si>
  <si>
    <t>Solidarize-se - Oficina Online</t>
  </si>
  <si>
    <t>Solidarize-se - FAQ ao vivo</t>
  </si>
  <si>
    <t>ANO</t>
  </si>
  <si>
    <t>VOZES DAQUI "Educação, tecnologia e cultura digital" - Isy Viana</t>
  </si>
  <si>
    <t>https://www.youtube.com/watch?v=8iZTBdqoh80</t>
  </si>
  <si>
    <t>VOZES DAQUI "Desafios da Educação durante e depois da Pandemia" - Fernanda Cunha</t>
  </si>
  <si>
    <t>https://www.youtube.com/watch?v=0Hg9KopJgcY</t>
  </si>
  <si>
    <t>VOZES DAQUI "Criatividade e ensino inovador" - Luciana Lyra</t>
  </si>
  <si>
    <t>exclusivo Clientes Private</t>
  </si>
  <si>
    <t>https://www.facebook.com/165500080198037/videos/701779114053893/</t>
  </si>
  <si>
    <t>https://www.facebook.com/165500080198037/videos/3378828662193533/</t>
  </si>
  <si>
    <t>https://www.facebook.com/165500080198037/videos/1108540929602115/</t>
  </si>
  <si>
    <t>Vila do Pequenino Jesus</t>
  </si>
  <si>
    <t>Parceria Votorantim</t>
  </si>
  <si>
    <t>Parceria Ministério da Defesa (PROFESP)</t>
  </si>
  <si>
    <t>Almoço Orquestrando o Brasil</t>
  </si>
  <si>
    <t>FLASH MOB UCI - Reciclando Sons</t>
  </si>
  <si>
    <t>Sabor &amp; Som - Reciclando Sons</t>
  </si>
  <si>
    <t>Cooperativa GiraSol (Proj. 17.304) Porto Algre/RS</t>
  </si>
  <si>
    <t>LANÇAMENTO DA EXPOSIÇÃO VIDAS BORDADAS 
INSTITUTO PROEZA E MPDFT</t>
  </si>
  <si>
    <t>VOZES DAQUI "Ofcina de Artes com foco na história da cultura de Goiana"</t>
  </si>
  <si>
    <t>Nossa Feira - Castelo do Piauí/PI</t>
  </si>
  <si>
    <t>Nossa Feira - Boqueirão/PB</t>
  </si>
  <si>
    <t>Nossa Feira - Demerval Lobão/PI</t>
  </si>
  <si>
    <t>Lançamento do Prêmio de Tecnologia Social</t>
  </si>
  <si>
    <t>Nossa Feira - Areias/PB</t>
  </si>
  <si>
    <t>Nossa Feira - Conceição/PB</t>
  </si>
  <si>
    <t>Nossa Feira - São João do Rio do Peixe/PB</t>
  </si>
  <si>
    <t>Nossa Feira - Lago da Pedra/PB</t>
  </si>
  <si>
    <t>Nossa Feira - Pindaré-Mirim/PB</t>
  </si>
  <si>
    <t>Nossa Feira - Presidente Dutra/PB</t>
  </si>
  <si>
    <t>Nossa Feira - São Domingos do Maranhão/PB</t>
  </si>
  <si>
    <t>Nossa Feira - Viana/PB</t>
  </si>
  <si>
    <t>Nossa Feira - Abaíra/BA</t>
  </si>
  <si>
    <t>Nossa Feira - Antas/BA</t>
  </si>
  <si>
    <t>Nossa Feira - Cachoeira/BA</t>
  </si>
  <si>
    <t>Nossa Feira - Caldeirão Grande/BA</t>
  </si>
  <si>
    <t>Nossa Feira - Canudos/BA</t>
  </si>
  <si>
    <t>Nossa Feira - Crisópolis/BA</t>
  </si>
  <si>
    <t>Nossa Feira - Nordestina/BA</t>
  </si>
  <si>
    <t>Nossa Feira - Pau Brasil/BA</t>
  </si>
  <si>
    <t>Nossa Feira - São Felix/BA</t>
  </si>
  <si>
    <t>Encontro de Tecnologia Social</t>
  </si>
  <si>
    <t>Fundação BB FCA AVSI - VOZES DAQUI</t>
  </si>
  <si>
    <t>Julgamento Vencedoras Prêmio de Tecnologia Social</t>
  </si>
  <si>
    <t>Encontro com Investidores</t>
  </si>
  <si>
    <t>LOCAL - LINK</t>
  </si>
  <si>
    <t>Roma/Itália</t>
  </si>
  <si>
    <t>CCBB Brasília</t>
  </si>
  <si>
    <t>Edifício BB - Brasília/DF</t>
  </si>
  <si>
    <t>Cocobambu - Brasília/DF</t>
  </si>
  <si>
    <t>MPDFT - Brasília/DF</t>
  </si>
  <si>
    <t>Porto Alegre/RS</t>
  </si>
  <si>
    <t>Cidade Estrutural - DF</t>
  </si>
  <si>
    <t>Royal Tulip - Brasília/DF</t>
  </si>
  <si>
    <t>Cerimônia Prêmio de Tecnologia Social</t>
  </si>
  <si>
    <t>B Hotel - Brasília/DF</t>
  </si>
  <si>
    <t>Media Tour</t>
  </si>
  <si>
    <t>Instituto Proeza</t>
  </si>
  <si>
    <t>Nossa Feira - Pedreiras/PB</t>
  </si>
  <si>
    <t>Nossa Feira - Ibirataia/BA</t>
  </si>
  <si>
    <t>evento presencial com a presença do Pepe</t>
  </si>
  <si>
    <t>https://www.youtube.com/watch?v=1VSix4Fpxg4</t>
  </si>
  <si>
    <t>https://www.youtube.com/watch?v=agucKLunVRk</t>
  </si>
  <si>
    <t>https://www.youtube.com/watch?v=s0v42-7PaG0</t>
  </si>
  <si>
    <t>Tecnologias Social para transformar realidades</t>
  </si>
  <si>
    <t>CCBB Rio de Janeiro - Espaço Conceito</t>
  </si>
  <si>
    <t>Generations BB Private</t>
  </si>
  <si>
    <t>https://youtu.be/LF2DC9Rah8U</t>
  </si>
  <si>
    <t>Solidarize-se - Orientações às ILPIs - Oficina de capacitação - Prestação de contas do Auxílio Emergencial</t>
  </si>
  <si>
    <t>https://youtu.be/d1Vg1L0EIng</t>
  </si>
  <si>
    <t>Live de Lançamento do Prêmio Fundação BB de Tecnologia Social 2021</t>
  </si>
  <si>
    <t>youtube.com/bancodobrasil</t>
  </si>
  <si>
    <t>Dia da Mulher - Encontro com Kelly Quirino, Luciana Machado e Dora Andrade</t>
  </si>
  <si>
    <t>live+IGTV @fundacaobb</t>
  </si>
  <si>
    <t>Live com Ana Moser (inscrições no Prêmio Fundação BB de Tecnologia Social 2021)</t>
  </si>
  <si>
    <t>Dúvidas Prêmio Fundação BB 2021</t>
  </si>
  <si>
    <t>https://www.youtube.com/watch?v=5Mnyw48KAuE</t>
  </si>
  <si>
    <t>Live Junina FENABB e Fundação BB</t>
  </si>
  <si>
    <t>https://bbgenerations.com.br/</t>
  </si>
  <si>
    <t>https://web.microsoftstream.com/video/5d1193e6-ca37-4d48-ad4c-3ddf79b106ba</t>
  </si>
  <si>
    <t>Estratégia de desenvolvimento sustentável do Baixo Jequitinhonha (plataforma ZOOM)</t>
  </si>
  <si>
    <t>participação do Gerente de Portfólio André Grangeiro</t>
  </si>
  <si>
    <t xml:space="preserve"> Dia de Gestão de Projetos de Impacto Social 2021</t>
  </si>
  <si>
    <t xml:space="preserve">https://pmidf.org/evento/dgpis/   </t>
  </si>
  <si>
    <t>participação do Diretor Executivo Rogério Biruel</t>
  </si>
  <si>
    <t>Água nas Escolas</t>
  </si>
  <si>
    <t>https://www.youtube.com/watch?v=q1SB3rLLHAg</t>
  </si>
  <si>
    <t>Lançamento do programa de Formação de Docente para Atuação com Educação Financeira na Escola</t>
  </si>
  <si>
    <t>Auditório do Inep</t>
  </si>
  <si>
    <t>participação do Diretor Executivo Roberto Berkenstein</t>
  </si>
  <si>
    <t>Encontro com o CA no BB</t>
  </si>
  <si>
    <t>Assinatura Parceria Pátria Vonluntária</t>
  </si>
  <si>
    <t>Workshop Comunicação para Líderes - Fundação BB e Oficina da Palavra</t>
  </si>
  <si>
    <t>público de relacionamento Fundação BB: Digov, Dimac, Gerência de Sustentabilidade</t>
  </si>
  <si>
    <t>Wi-Fi Brasil - assinatura da parceria da Fundação BB com o Ministério das Comunicações</t>
  </si>
  <si>
    <t>Fausto de Andrade Ribeiro (presidente BB)
Eveline Veloso Susin (presidente da Fundação BB)
Carlos Melles (presidente do Sebrae)
Fábio Faria (Ministro das Comunicações)</t>
  </si>
  <si>
    <t>Webinário  AABB Comunidade sobre o tema: “Prática pedagógica: o diálogo dando sentido às interações"</t>
  </si>
  <si>
    <t>https://www.youtube.com/watch?v=ZlyZzPSo-v4</t>
  </si>
  <si>
    <t>https://www.youtube.com/watch?v=OUSdgWVs7xw</t>
  </si>
  <si>
    <t>Participação do André Grangeiro</t>
  </si>
  <si>
    <t>Dia Nacional da Luta da Pessoa com Deficiência (Evento de Acessibilidade promovido pela Dimac)</t>
  </si>
  <si>
    <t>presidente Fausto, presidente do CA (ieda Cagni) e primeira dama Michele Bolsonaro
 Eveline é convidada - Projeto Cão-Guia fará parte do vídeo do evento</t>
  </si>
  <si>
    <t>PITCH DAY - Julgamento das Vencedoras</t>
  </si>
  <si>
    <t>Cerimônia de Premiação</t>
  </si>
  <si>
    <t>https://www.youtube.com/watch?v=KQMZmHVKa7c&amp;t=8s</t>
  </si>
  <si>
    <t>BB Day</t>
  </si>
  <si>
    <t>Fausto fala na Fundação BB (6.700 audiência ao vivo)</t>
  </si>
  <si>
    <t>Lançamento #BrasileirosPeloBrasil</t>
  </si>
  <si>
    <t>https://www.youtube.com/watch?v=fQzs7BrfgZc</t>
  </si>
  <si>
    <t>PRESENCIAL</t>
  </si>
  <si>
    <t>live</t>
  </si>
  <si>
    <t>CAMAT - Salesópilis/SP</t>
  </si>
  <si>
    <t>Projeto Semeando Economia Verde</t>
  </si>
  <si>
    <t>Betim/MG</t>
  </si>
  <si>
    <t>Enchentes</t>
  </si>
  <si>
    <t>Circuito Agro</t>
  </si>
  <si>
    <t>BB Consórcios | Fundação BB | Instiuto Espinhaço</t>
  </si>
  <si>
    <t>Felício dos Santos/MG</t>
  </si>
  <si>
    <t>Recupera Cerrado</t>
  </si>
  <si>
    <t>Instiuto Espinhaço, Dipes e Gesem</t>
  </si>
  <si>
    <t>Expo Zebu</t>
  </si>
  <si>
    <t>assinatura simbólica da parceria com ABCZ</t>
  </si>
  <si>
    <t>Rótulos de Linha</t>
  </si>
  <si>
    <t>(vazio)</t>
  </si>
  <si>
    <t>Total Geral</t>
  </si>
  <si>
    <t>&lt;25/02/2019</t>
  </si>
  <si>
    <t>2019</t>
  </si>
  <si>
    <t>fev</t>
  </si>
  <si>
    <t>abr</t>
  </si>
  <si>
    <t>jun</t>
  </si>
  <si>
    <t>jul</t>
  </si>
  <si>
    <t>ago</t>
  </si>
  <si>
    <t>set</t>
  </si>
  <si>
    <t>out</t>
  </si>
  <si>
    <t>dez</t>
  </si>
  <si>
    <t>2020</t>
  </si>
  <si>
    <t>nov</t>
  </si>
  <si>
    <t>2021</t>
  </si>
  <si>
    <t>mar</t>
  </si>
  <si>
    <t>mai</t>
  </si>
  <si>
    <t>09/fev</t>
  </si>
  <si>
    <t>15/fev</t>
  </si>
  <si>
    <t>17/fev</t>
  </si>
  <si>
    <t>18/fev</t>
  </si>
  <si>
    <t>19/fev</t>
  </si>
  <si>
    <t>20/fev</t>
  </si>
  <si>
    <t>21/fev</t>
  </si>
  <si>
    <t>22/fev</t>
  </si>
  <si>
    <t>24/fev</t>
  </si>
  <si>
    <t>25/fev</t>
  </si>
  <si>
    <t>26/fev</t>
  </si>
  <si>
    <t>08/mar</t>
  </si>
  <si>
    <t>10/mar</t>
  </si>
  <si>
    <t>31/mar</t>
  </si>
  <si>
    <t>03/abr</t>
  </si>
  <si>
    <t>12/abr</t>
  </si>
  <si>
    <t>15/abr</t>
  </si>
  <si>
    <t>17/abr</t>
  </si>
  <si>
    <t>27/abr</t>
  </si>
  <si>
    <t>29/abr</t>
  </si>
  <si>
    <t>12/mai</t>
  </si>
  <si>
    <t>25/mai</t>
  </si>
  <si>
    <t>05/jun</t>
  </si>
  <si>
    <t>15/jun</t>
  </si>
  <si>
    <t>26/jun</t>
  </si>
  <si>
    <t>05/jul</t>
  </si>
  <si>
    <t>06/jul</t>
  </si>
  <si>
    <t>08/jul</t>
  </si>
  <si>
    <t>10/jul</t>
  </si>
  <si>
    <t>13/jul</t>
  </si>
  <si>
    <t>14/jul</t>
  </si>
  <si>
    <t>17/jul</t>
  </si>
  <si>
    <t>18/jul</t>
  </si>
  <si>
    <t>20/jul</t>
  </si>
  <si>
    <t>27/jul</t>
  </si>
  <si>
    <t>28/jul</t>
  </si>
  <si>
    <t>02/ago</t>
  </si>
  <si>
    <t>03/ago</t>
  </si>
  <si>
    <t>05/ago</t>
  </si>
  <si>
    <t>08/ago</t>
  </si>
  <si>
    <t>09/ago</t>
  </si>
  <si>
    <t>12/ago</t>
  </si>
  <si>
    <t>17/ago</t>
  </si>
  <si>
    <t>18/ago</t>
  </si>
  <si>
    <t>19/ago</t>
  </si>
  <si>
    <t>22/ago</t>
  </si>
  <si>
    <t>24/ago</t>
  </si>
  <si>
    <t>25/ago</t>
  </si>
  <si>
    <t>26/ago</t>
  </si>
  <si>
    <t>28/ago</t>
  </si>
  <si>
    <t>29/ago</t>
  </si>
  <si>
    <t>07/set</t>
  </si>
  <si>
    <t>10/set</t>
  </si>
  <si>
    <t>13/set</t>
  </si>
  <si>
    <t>14/set</t>
  </si>
  <si>
    <t>16/set</t>
  </si>
  <si>
    <t>17/set</t>
  </si>
  <si>
    <t>23/set</t>
  </si>
  <si>
    <t>24/set</t>
  </si>
  <si>
    <t>28/set</t>
  </si>
  <si>
    <t>04/out</t>
  </si>
  <si>
    <t>06/out</t>
  </si>
  <si>
    <t>08/out</t>
  </si>
  <si>
    <t>11/out</t>
  </si>
  <si>
    <t>15/out</t>
  </si>
  <si>
    <t>16/out</t>
  </si>
  <si>
    <t>19/out</t>
  </si>
  <si>
    <t>27/out</t>
  </si>
  <si>
    <t>29/out</t>
  </si>
  <si>
    <t>11/nov</t>
  </si>
  <si>
    <t>18/nov</t>
  </si>
  <si>
    <t>25/nov</t>
  </si>
  <si>
    <t>26/nov</t>
  </si>
  <si>
    <t>01/dez</t>
  </si>
  <si>
    <t>02/dez</t>
  </si>
  <si>
    <t>03/dez</t>
  </si>
  <si>
    <t>07/dez</t>
  </si>
  <si>
    <t>08/dez</t>
  </si>
  <si>
    <t>09/dez</t>
  </si>
  <si>
    <t>10/dez</t>
  </si>
  <si>
    <t>14/dez</t>
  </si>
  <si>
    <t>15/dez</t>
  </si>
  <si>
    <t>Meses</t>
  </si>
  <si>
    <t>jan</t>
  </si>
  <si>
    <t>Anos</t>
  </si>
  <si>
    <t>2022</t>
  </si>
  <si>
    <t>17/jan</t>
  </si>
  <si>
    <t>03/fev</t>
  </si>
  <si>
    <t>23/fev</t>
  </si>
  <si>
    <t>26/mar</t>
  </si>
  <si>
    <t>30/abr</t>
  </si>
  <si>
    <t>Descrição dos Eventos</t>
  </si>
  <si>
    <t>Qtde de Evento(s)</t>
  </si>
  <si>
    <t>% de Visualizações com Relação ao Total</t>
  </si>
  <si>
    <t>TOTAL GERAL VISUALIZAÇÕES - PÚBLICO</t>
  </si>
  <si>
    <t>VISUALIZAÇÕES/PÚBLICO POR EVENTO</t>
  </si>
  <si>
    <t xml:space="preserve">Eventos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</si>
</sst>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_-* #,##0_-;\-* #,##0_-;_-* &quot;-&quot;??_-;_-@_-"/>
    <numFmt numFmtId="170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color theme="1"/>
      <name val="Segoe U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81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1" xfId="0" applyFont="1" applyFill="1" applyBorder="1"/>
    <xf numFmtId="0" fontId="0" fillId="0" borderId="1" xfId="0" applyBorder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4" fontId="0" fillId="0" borderId="1" xfId="0" applyNumberFormat="1" applyFill="1" applyBorder="1" applyAlignment="1">
      <alignment horizontal="center" vertical="center"/>
    </xf>
    <xf numFmtId="0" fontId="2" fillId="0" borderId="1" xfId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/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1" xfId="0" quotePrefix="1" applyNumberFormat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2" fillId="0" borderId="0" xfId="1" applyFill="1" applyBorder="1" applyAlignment="1">
      <alignment horizontal="left" vertical="center"/>
    </xf>
    <xf numFmtId="0" fontId="2" fillId="0" borderId="0" xfId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0" fontId="7" fillId="0" borderId="8" xfId="0" applyFont="1" applyBorder="1"/>
    <xf numFmtId="0" fontId="8" fillId="0" borderId="8" xfId="1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9" fontId="0" fillId="0" borderId="0" xfId="0" applyNumberFormat="1"/>
    <xf numFmtId="170" fontId="0" fillId="0" borderId="0" xfId="2" applyNumberFormat="1" applyFont="1"/>
    <xf numFmtId="0" fontId="0" fillId="0" borderId="0" xfId="0" applyAlignment="1">
      <alignment horizontal="center" wrapText="1"/>
    </xf>
    <xf numFmtId="169" fontId="1" fillId="0" borderId="0" xfId="0" applyNumberFormat="1" applyFont="1"/>
    <xf numFmtId="0" fontId="13" fillId="3" borderId="0" xfId="0" applyFont="1" applyFill="1"/>
    <xf numFmtId="0" fontId="0" fillId="3" borderId="0" xfId="0" applyFill="1"/>
    <xf numFmtId="0" fontId="14" fillId="3" borderId="0" xfId="0" quotePrefix="1" applyFont="1" applyFill="1" applyAlignment="1">
      <alignment horizontal="center" wrapText="1"/>
    </xf>
  </cellXfs>
  <cellStyles count="3">
    <cellStyle name="Hiperlink" xfId="1" builtinId="8"/>
    <cellStyle name="Normal" xfId="0" builtinId="0"/>
    <cellStyle name="Porcentagem" xfId="2" builtinId="5"/>
  </cellStyles>
  <dxfs count="228"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font>
        <b/>
      </font>
    </dxf>
    <dxf>
      <font>
        <b/>
      </font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numFmt numFmtId="169" formatCode="_-* #,##0_-;\-* #,##0_-;_-* &quot;-&quot;??_-;_-@_-"/>
    </dxf>
    <dxf>
      <alignment horizontal="center" wrapText="1"/>
    </dxf>
    <dxf>
      <numFmt numFmtId="169" formatCode="_-* #,##0_-;\-* #,##0_-;_-* &quot;-&quot;??_-;_-@_-"/>
    </dxf>
    <dxf>
      <alignment wrapText="1"/>
    </dxf>
    <dxf>
      <alignment horizontal="center"/>
    </dxf>
    <dxf>
      <alignment horizontal="center" wrapText="1"/>
    </dxf>
    <dxf>
      <alignment horizontal="center"/>
    </dxf>
    <dxf>
      <alignment wrapText="1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220134</xdr:colOff>
      <xdr:row>0</xdr:row>
      <xdr:rowOff>98426</xdr:rowOff>
    </xdr:from>
    <xdr:to>
      <xdr:col>11</xdr:col>
      <xdr:colOff>1204383</xdr:colOff>
      <xdr:row>5</xdr:row>
      <xdr:rowOff>317500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eses">
              <a:extLst>
                <a:ext uri="{FF2B5EF4-FFF2-40B4-BE49-F238E27FC236}">
                  <a16:creationId xmlns:a16="http://schemas.microsoft.com/office/drawing/2014/main" id="{81A7B747-CB9B-4D7B-AEF4-065678CBE0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8467" y="98426"/>
              <a:ext cx="3481916" cy="12350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186264</xdr:colOff>
      <xdr:row>0</xdr:row>
      <xdr:rowOff>88902</xdr:rowOff>
    </xdr:from>
    <xdr:to>
      <xdr:col>9</xdr:col>
      <xdr:colOff>137582</xdr:colOff>
      <xdr:row>5</xdr:row>
      <xdr:rowOff>275167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nos">
              <a:extLst>
                <a:ext uri="{FF2B5EF4-FFF2-40B4-BE49-F238E27FC236}">
                  <a16:creationId xmlns:a16="http://schemas.microsoft.com/office/drawing/2014/main" id="{5564527E-E0D9-42AC-884B-E26152A0CD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59431" y="88902"/>
              <a:ext cx="1496484" cy="1202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ecir Lisboa" refreshedDate="44644.75434861111" createdVersion="7" refreshedVersion="7" minRefreshableVersion="3" recordCount="109" xr:uid="{82FEAC62-649C-45A4-BF27-1C68FA72CA9E}">
  <cacheSource type="worksheet">
    <worksheetSource name="base"/>
  </cacheSource>
  <cacheFields count="8">
    <cacheField name="ANO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DATA" numFmtId="14">
      <sharedItems containsNonDate="0" containsDate="1" containsString="0" containsBlank="1" minDate="2019-02-25T00:00:00" maxDate="2022-05-01T00:00:00" count="98">
        <d v="2019-02-25T00:00:00"/>
        <d v="2019-02-26T00:00:00"/>
        <d v="2019-04-03T00:00:00"/>
        <d v="2019-04-17T00:00:00"/>
        <d v="2019-04-27T00:00:00"/>
        <d v="2019-06-05T00:00:00"/>
        <d v="2019-06-15T00:00:00"/>
        <d v="2019-07-05T00:00:00"/>
        <d v="2019-07-06T00:00:00"/>
        <d v="2019-07-08T00:00:00"/>
        <d v="2019-07-10T00:00:00"/>
        <d v="2019-07-13T00:00:00"/>
        <d v="2019-07-14T00:00:00"/>
        <d v="2019-07-17T00:00:00"/>
        <d v="2019-07-18T00:00:00"/>
        <d v="2019-07-20T00:00:00"/>
        <d v="2019-07-27T00:00:00"/>
        <d v="2019-08-03T00:00:00"/>
        <d v="2019-08-08T00:00:00"/>
        <d v="2019-08-09T00:00:00"/>
        <d v="2019-08-17T00:00:00"/>
        <d v="2019-08-24T00:00:00"/>
        <d v="2019-08-28T00:00:00"/>
        <d v="2019-09-13T00:00:00"/>
        <d v="2019-09-24T00:00:00"/>
        <d v="2019-09-28T00:00:00"/>
        <d v="2019-10-15T00:00:00"/>
        <d v="2019-10-16T00:00:00"/>
        <d v="2019-12-14T00:00:00"/>
        <d v="2020-02-15T00:00:00"/>
        <d v="2020-02-17T00:00:00"/>
        <d v="2020-02-18T00:00:00"/>
        <d v="2020-02-19T00:00:00"/>
        <d v="2020-02-20T00:00:00"/>
        <d v="2020-02-21T00:00:00"/>
        <d v="2020-02-22T00:00:00"/>
        <d v="2020-04-12T00:00:00"/>
        <d v="2020-04-29T00:00:00"/>
        <d v="2020-07-13T00:00:00"/>
        <d v="2020-07-17T00:00:00"/>
        <d v="2020-07-28T00:00:00"/>
        <d v="2020-08-08T00:00:00"/>
        <d v="2020-08-17T00:00:00"/>
        <d v="2020-08-18T00:00:00"/>
        <d v="2020-08-22T00:00:00"/>
        <d v="2020-08-29T00:00:00"/>
        <d v="2020-09-07T00:00:00"/>
        <d v="2020-09-10T00:00:00"/>
        <d v="2020-09-16T00:00:00"/>
        <d v="2020-09-17T00:00:00"/>
        <d v="2020-09-24T00:00:00"/>
        <d v="2020-10-06T00:00:00"/>
        <d v="2020-10-08T00:00:00"/>
        <d v="2020-10-11T00:00:00"/>
        <d v="2020-10-27T00:00:00"/>
        <d v="2020-10-29T00:00:00"/>
        <d v="2020-11-11T00:00:00"/>
        <d v="2020-11-18T00:00:00"/>
        <d v="2020-11-25T00:00:00"/>
        <d v="2020-11-26T00:00:00"/>
        <d v="2020-12-01T00:00:00"/>
        <d v="2020-12-02T00:00:00"/>
        <d v="2020-12-03T00:00:00"/>
        <d v="2020-12-07T00:00:00"/>
        <d v="2020-12-08T00:00:00"/>
        <d v="2020-12-09T00:00:00"/>
        <d v="2020-12-10T00:00:00"/>
        <d v="2020-12-15T00:00:00"/>
        <d v="2021-02-09T00:00:00"/>
        <d v="2021-02-24T00:00:00"/>
        <d v="2021-03-08T00:00:00"/>
        <d v="2021-03-10T00:00:00"/>
        <d v="2021-03-31T00:00:00"/>
        <d v="2021-04-15T00:00:00"/>
        <d v="2021-05-12T00:00:00"/>
        <d v="2021-05-25T00:00:00"/>
        <d v="2021-06-26T00:00:00"/>
        <d v="2021-08-02T00:00:00"/>
        <d v="2021-08-05T00:00:00"/>
        <d v="2021-08-12T00:00:00"/>
        <d v="2021-08-17T00:00:00"/>
        <d v="2021-08-19T00:00:00"/>
        <d v="2021-08-25T00:00:00"/>
        <d v="2021-08-26T00:00:00"/>
        <d v="2021-09-14T00:00:00"/>
        <d v="2021-09-16T00:00:00"/>
        <d v="2021-09-23T00:00:00"/>
        <d v="2021-10-04T00:00:00"/>
        <d v="2021-10-15T00:00:00"/>
        <d v="2021-10-19T00:00:00"/>
        <d v="2021-10-27T00:00:00"/>
        <d v="2021-12-02T00:00:00"/>
        <d v="2022-01-17T00:00:00"/>
        <d v="2022-02-03T00:00:00"/>
        <d v="2022-02-23T00:00:00"/>
        <d v="2022-03-26T00:00:00"/>
        <d v="2022-04-30T00:00:00"/>
        <m/>
      </sharedItems>
      <fieldGroup par="7" base="1">
        <rangePr groupBy="days" startDate="2019-02-25T00:00:00" endDate="2022-05-01T00:00:00"/>
        <groupItems count="368">
          <s v="(vazio)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5/2022"/>
        </groupItems>
      </fieldGroup>
    </cacheField>
    <cacheField name="EVENTO" numFmtId="0">
      <sharedItems count="101">
        <s v="Lançamento do Prêmio de Tecnologia Social"/>
        <s v="Vila do Pequenino Jesus"/>
        <s v="Parceria Votorantim"/>
        <s v="Nossa Feira - Castelo do Piauí/PI"/>
        <s v="Nossa Feira - Pedreiras/PB"/>
        <s v="Parceria Ministério da Defesa (PROFESP)"/>
        <s v="Nossa Feira - Boqueirão/PB"/>
        <s v="Sabor &amp; Som - Reciclando Sons"/>
        <s v="Nossa Feira - Conceição/PB"/>
        <s v="FLASH MOB UCI - Reciclando Sons"/>
        <s v="Cooperativa GiraSol (Proj. 17.304) Porto Algre/RS"/>
        <s v="Nossa Feira - Areias/PB"/>
        <s v="Nossa Feira - Crisópolis/BA"/>
        <s v="Nossa Feira - Ibirataia/BA"/>
        <s v="Fundação BB FCA AVSI - VOZES DAQUI"/>
        <s v="Nossa Feira - Abaíra/BA"/>
        <s v="Nossa Feira - São João do Rio do Peixe/PB"/>
        <s v="Nossa Feira - São Domingos do Maranhão/PB"/>
        <s v="LANÇAMENTO DA EXPOSIÇÃO VIDAS BORDADAS _x000a_INSTITUTO PROEZA E MPDFT"/>
        <s v="Almoço Orquestrando o Brasil"/>
        <s v="Nossa Feira - São Felix/BA"/>
        <s v="Nossa Feira - Lago da Pedra/PB"/>
        <s v="Nossa Feira - Pindaré-Mirim/PB"/>
        <s v="Nossa Feira - Antas/BA"/>
        <s v="Nossa Feira - Canudos/BA"/>
        <s v="Julgamento Vencedoras Prêmio de Tecnologia Social"/>
        <s v="Nossa Feira - Presidente Dutra/PB"/>
        <s v="Encontro de Tecnologia Social"/>
        <s v="Encontro com Investidores"/>
        <s v="Media Tour"/>
        <s v="Cerimônia Prêmio de Tecnologia Social"/>
        <s v="Nossa Feira - Cachoeira/BA"/>
        <s v="Orquestrando o Brasil - João Carlos Martins RR 15.02.20"/>
        <s v="IX Laboratório Ítalo-Brasileiro de Formação, Pesquisa e Práticas em Saúde Coletiva"/>
        <s v="Live Zé Neto e Cristiano"/>
        <s v="Live sobre os rumos da Educação em tempos de Covid-19, com o Prof. Jayse Ferreira"/>
        <s v="Nossa Feira - Nordestina/BA"/>
        <s v="6º programa do podcast Só no Social participação Rogério Biruel"/>
        <s v="Lançamento do Projeto Municípios prato cheio para o desenvolvimento"/>
        <s v="Reunião online entre Fundação BB e Instituto Magnus para lançamento da parceria e da Área do Doador – Projeto Cão Guia"/>
        <s v="LIVE - Drive in CCBB - Palco Novo - Orquestra de Câmara de Brasília"/>
        <s v="Nossa Feira - Pau Brasil/BA"/>
        <s v="LIVE - Drive in CCBB - Palco Novo - Musical Elvis Brasil"/>
        <s v="Nossa Feira - Demerval Lobão/PI"/>
        <s v="Nossa Feira - Viana/PB"/>
        <s v="Acústico Jota Quest CCBB Live"/>
        <s v="BB | Suba de Nível - Episódio 1"/>
        <s v="LIVE - Drive in CCBB - Palco Novo - Oswaldo Amorim Quarteto"/>
        <s v="CAPITAL INICIAL | LIVE DA INDEPENDÊNCIA"/>
        <s v="Live Xande de Pilares e CCBB #EmCasaComigo"/>
        <s v="Programa AABB Comunidade - Adesão 2021-2024"/>
        <s v="35 anos -  #FundaçãoBBaoVivo - “Desafio Transforma! de reaplicação de tecnologias sociais”"/>
        <s v="35 anos -  #FundaçãoBBaoVivo - “Tire suas dúvidas sobre o Desafio Transforma!”"/>
        <s v="Parceria FBB-BB-AVSI-Embaixada Italiana - Aliança Entre Empresas e Ongs para o Desenvolvimento Sustentável No Brasil"/>
        <s v="35 anos -  #FundaçãoBBaoVivo - “Os Impactos Positivos da campanha Proteja e Sakve Vidas”"/>
        <s v="CCBB LIVE apresenta &quot;Os Paralamas do Sucesso&quot;"/>
        <s v="Live BBSEG Pense Rosa"/>
        <s v="Solidarize-se - Orientações às ILPIs"/>
        <s v="Solidarize-se - Oficina Online"/>
        <s v="Solidarize-se - FAQ ao vivo"/>
        <s v="VOZES DAQUI &quot;Educação, tecnologia e cultura digital&quot; - Isy Viana"/>
        <s v="Conversa sobre Filantropia"/>
        <s v="35 anos - Desafio Trasnforma! Maestro João Carlos Martins e GRU Sinfônica - CCBB SP"/>
        <s v="35 anos - Desafio Trasnforma! PitchDay socioambiental"/>
        <s v="VOZES DAQUI &quot;Desafios da Educação durante e depois da Pandemia&quot; - Fernanda Cunha"/>
        <s v="35 anos - Desafio Trasnforma! Histórias Valiosas"/>
        <s v="Live Magnus - Entrega Cão Guia"/>
        <s v="Fórum Sustentabilidade URI"/>
        <s v="VOZES DAQUI &quot;Criatividade e ensino inovador&quot; - Luciana Lyra"/>
        <s v="VOZES DAQUI &quot;Ofcina de Artes com foco na história da cultura de Goiana&quot;"/>
        <s v="Live de Natal da FENABB"/>
        <s v="Solidarize-se - Orientações às ILPIs - Oficina de capacitação - Prestação de contas do Auxílio Emergencial"/>
        <s v="Generations BB Private"/>
        <s v="Dia da Mulher - Encontro com Kelly Quirino, Luciana Machado e Dora Andrade"/>
        <s v="Live de Lançamento do Prêmio Fundação BB de Tecnologia Social 2021"/>
        <s v="Tecnologias Social para transformar realidades"/>
        <s v="Dúvidas Prêmio Fundação BB 2021"/>
        <s v="Live com Ana Moser (inscrições no Prêmio Fundação BB de Tecnologia Social 2021)"/>
        <s v="Live Junina FENABB e Fundação BB"/>
        <s v="Água nas Escolas"/>
        <s v="Estratégia de desenvolvimento sustentável do Baixo Jequitinhonha (plataforma ZOOM)"/>
        <s v=" Dia de Gestão de Projetos de Impacto Social 2021"/>
        <s v="Lançamento do programa de Formação de Docente para Atuação com Educação Financeira na Escola"/>
        <s v="Workshop Comunicação para Líderes - Fundação BB e Oficina da Palavra"/>
        <s v="Encontro com o CA no BB"/>
        <s v="Assinatura Parceria Pátria Vonluntária"/>
        <s v="Wi-Fi Brasil - assinatura da parceria da Fundação BB com o Ministério das Comunicações"/>
        <s v="Webinário  AABB Comunidade sobre o tema: “Prática pedagógica: o diálogo dando sentido às interações&quot;"/>
        <s v="Dia Nacional da Luta da Pessoa com Deficiência (Evento de Acessibilidade promovido pela Dimac)"/>
        <s v="BB Day"/>
        <s v="Projeto Semeando Economia Verde"/>
        <s v="Lançamento #BrasileirosPeloBrasil"/>
        <s v="PITCH DAY - Julgamento das Vencedoras"/>
        <s v="Cerimônia de Premiação"/>
        <s v="Circuito Agro"/>
        <s v="Enchentes"/>
        <s v="BB Consórcios | Fundação BB | Instiuto Espinhaço"/>
        <s v="Recupera Cerrado"/>
        <s v="Expo Zebu"/>
        <s v="Nossa Feira - Caldeirão Grande/BA"/>
        <s v="Conectando Experiências - VIPAG"/>
      </sharedItems>
    </cacheField>
    <cacheField name="LOCAL - LINK" numFmtId="0">
      <sharedItems containsBlank="1"/>
    </cacheField>
    <cacheField name="VISUALIZAÇÕES - PÚBLICO" numFmtId="0">
      <sharedItems containsBlank="1" containsMixedTypes="1" containsNumber="1" containsInteger="1" minValue="0" maxValue="24105024"/>
    </cacheField>
    <cacheField name="Observação" numFmtId="0">
      <sharedItems containsBlank="1" count="20">
        <m/>
        <s v="evento presencial com produção audiovisual"/>
        <s v="evento presencial com a presença do Pepe"/>
        <s v="live retirada do YouTube"/>
        <s v="QR Code"/>
        <s v="QR Code e Embaixadores do Esporte"/>
        <s v="exclusivo Clientes Private"/>
        <s v="participação do Gerente de Portfólio André Grangeiro"/>
        <s v="participação do Diretor Executivo Rogério Biruel"/>
        <s v="participação do Diretor Executivo Roberto Berkenstein"/>
        <s v="público de relacionamento Fundação BB: Digov, Dimac, Gerência de Sustentabilidade"/>
        <s v="Fausto de Andrade Ribeiro (presidente BB)_x000a_Eveline Veloso Susin (presidente da Fundação BB)_x000a_Carlos Melles (presidente do Sebrae)_x000a_Fábio Faria (Ministro das Comunicações)"/>
        <s v="Participação do André Grangeiro"/>
        <s v="presidente Fausto, presidente do CA (ieda Cagni) e primeira dama Michele Bolsonaro_x000a_ Eveline é convidada - Projeto Cão-Guia fará parte do vídeo do evento"/>
        <s v="Fausto fala na Fundação BB (6.700 audiência ao vivo)"/>
        <s v="PRESENCIAL"/>
        <s v="live"/>
        <s v="Instiuto Espinhaço, Dipes e Gesem"/>
        <s v="assinatura simbólica da parceria com ABCZ"/>
        <s v="ADIADO sem data"/>
      </sharedItems>
    </cacheField>
    <cacheField name="Meses" numFmtId="0" databaseField="0">
      <fieldGroup base="1">
        <rangePr groupBy="months" startDate="2019-02-25T00:00:00" endDate="2022-05-01T00:00:00"/>
        <groupItems count="14">
          <s v="&lt;25/02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5/2022"/>
        </groupItems>
      </fieldGroup>
    </cacheField>
    <cacheField name="Anos" numFmtId="0" databaseField="0">
      <fieldGroup base="1">
        <rangePr groupBy="years" startDate="2019-02-25T00:00:00" endDate="2022-05-01T00:00:00"/>
        <groupItems count="6">
          <s v="&lt;25/02/2019"/>
          <s v="2019"/>
          <s v="2020"/>
          <s v="2021"/>
          <s v="2022"/>
          <s v="&gt;01/05/2022"/>
        </groupItems>
      </fieldGroup>
    </cacheField>
  </cacheFields>
  <extLst>
    <ext xmlns:x14="http://schemas.microsoft.com/office/spreadsheetml/2009/9/main" uri="{725AE2AE-9491-48be-B2B4-4EB974FC3084}">
      <x14:pivotCacheDefinition pivotCacheId="19331839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x v="0"/>
    <x v="0"/>
    <s v="CCBB Brasília"/>
    <n v="250"/>
    <x v="0"/>
  </r>
  <r>
    <x v="0"/>
    <x v="1"/>
    <x v="1"/>
    <s v="Vila do Pequenino Jesus"/>
    <n v="100"/>
    <x v="0"/>
  </r>
  <r>
    <x v="0"/>
    <x v="2"/>
    <x v="2"/>
    <s v="Edifício BB - Brasília/DF"/>
    <n v="10"/>
    <x v="0"/>
  </r>
  <r>
    <x v="0"/>
    <x v="3"/>
    <x v="3"/>
    <m/>
    <n v="300"/>
    <x v="0"/>
  </r>
  <r>
    <x v="0"/>
    <x v="4"/>
    <x v="4"/>
    <m/>
    <n v="350"/>
    <x v="0"/>
  </r>
  <r>
    <x v="0"/>
    <x v="5"/>
    <x v="5"/>
    <s v="CCBB Brasília"/>
    <n v="250"/>
    <x v="0"/>
  </r>
  <r>
    <x v="0"/>
    <x v="6"/>
    <x v="6"/>
    <m/>
    <n v="200"/>
    <x v="0"/>
  </r>
  <r>
    <x v="0"/>
    <x v="7"/>
    <x v="7"/>
    <s v="Cidade Estrutural - DF"/>
    <n v="120"/>
    <x v="0"/>
  </r>
  <r>
    <x v="0"/>
    <x v="8"/>
    <x v="8"/>
    <m/>
    <n v="500"/>
    <x v="0"/>
  </r>
  <r>
    <x v="0"/>
    <x v="9"/>
    <x v="9"/>
    <s v="Edifício BB - Brasília/DF"/>
    <n v="55"/>
    <x v="0"/>
  </r>
  <r>
    <x v="0"/>
    <x v="10"/>
    <x v="10"/>
    <s v="Porto Alegre/RS"/>
    <s v="-"/>
    <x v="0"/>
  </r>
  <r>
    <x v="0"/>
    <x v="11"/>
    <x v="11"/>
    <m/>
    <n v="550"/>
    <x v="0"/>
  </r>
  <r>
    <x v="0"/>
    <x v="12"/>
    <x v="12"/>
    <m/>
    <n v="350"/>
    <x v="0"/>
  </r>
  <r>
    <x v="0"/>
    <x v="13"/>
    <x v="13"/>
    <m/>
    <n v="270"/>
    <x v="0"/>
  </r>
  <r>
    <x v="0"/>
    <x v="14"/>
    <x v="14"/>
    <s v="Edifício BB - Brasília/DF"/>
    <n v="30"/>
    <x v="0"/>
  </r>
  <r>
    <x v="0"/>
    <x v="15"/>
    <x v="15"/>
    <m/>
    <n v="300"/>
    <x v="0"/>
  </r>
  <r>
    <x v="0"/>
    <x v="16"/>
    <x v="16"/>
    <m/>
    <n v="300"/>
    <x v="0"/>
  </r>
  <r>
    <x v="0"/>
    <x v="17"/>
    <x v="17"/>
    <m/>
    <n v="280"/>
    <x v="0"/>
  </r>
  <r>
    <x v="0"/>
    <x v="18"/>
    <x v="18"/>
    <s v="MPDFT - Brasília/DF"/>
    <n v="80"/>
    <x v="0"/>
  </r>
  <r>
    <x v="0"/>
    <x v="19"/>
    <x v="19"/>
    <s v="Cocobambu - Brasília/DF"/>
    <n v="20"/>
    <x v="0"/>
  </r>
  <r>
    <x v="0"/>
    <x v="20"/>
    <x v="20"/>
    <m/>
    <n v="200"/>
    <x v="0"/>
  </r>
  <r>
    <x v="0"/>
    <x v="21"/>
    <x v="21"/>
    <m/>
    <n v="300"/>
    <x v="0"/>
  </r>
  <r>
    <x v="0"/>
    <x v="22"/>
    <x v="22"/>
    <m/>
    <n v="370"/>
    <x v="0"/>
  </r>
  <r>
    <x v="0"/>
    <x v="23"/>
    <x v="23"/>
    <m/>
    <n v="280"/>
    <x v="0"/>
  </r>
  <r>
    <x v="0"/>
    <x v="23"/>
    <x v="24"/>
    <m/>
    <n v="380"/>
    <x v="0"/>
  </r>
  <r>
    <x v="0"/>
    <x v="24"/>
    <x v="25"/>
    <s v="B Hotel - Brasília/DF"/>
    <n v="20"/>
    <x v="0"/>
  </r>
  <r>
    <x v="0"/>
    <x v="25"/>
    <x v="26"/>
    <m/>
    <n v="300"/>
    <x v="0"/>
  </r>
  <r>
    <x v="0"/>
    <x v="26"/>
    <x v="27"/>
    <s v="Royal Tulip - Brasília/DF"/>
    <n v="220"/>
    <x v="0"/>
  </r>
  <r>
    <x v="0"/>
    <x v="27"/>
    <x v="28"/>
    <s v="Royal Tulip - Brasília/DF"/>
    <n v="40"/>
    <x v="0"/>
  </r>
  <r>
    <x v="0"/>
    <x v="27"/>
    <x v="29"/>
    <s v="Instituto Proeza"/>
    <n v="40"/>
    <x v="0"/>
  </r>
  <r>
    <x v="0"/>
    <x v="27"/>
    <x v="30"/>
    <s v="Royal Tulip - Brasília/DF"/>
    <n v="600"/>
    <x v="0"/>
  </r>
  <r>
    <x v="0"/>
    <x v="28"/>
    <x v="31"/>
    <m/>
    <n v="700"/>
    <x v="0"/>
  </r>
  <r>
    <x v="1"/>
    <x v="29"/>
    <x v="32"/>
    <s v="*matérias"/>
    <n v="2000"/>
    <x v="1"/>
  </r>
  <r>
    <x v="1"/>
    <x v="30"/>
    <x v="33"/>
    <s v="Roma/Itália"/>
    <m/>
    <x v="2"/>
  </r>
  <r>
    <x v="1"/>
    <x v="31"/>
    <x v="33"/>
    <s v="Roma/Itália"/>
    <m/>
    <x v="2"/>
  </r>
  <r>
    <x v="1"/>
    <x v="32"/>
    <x v="33"/>
    <s v="Roma/Itália"/>
    <m/>
    <x v="2"/>
  </r>
  <r>
    <x v="1"/>
    <x v="33"/>
    <x v="33"/>
    <s v="Roma/Itália"/>
    <m/>
    <x v="2"/>
  </r>
  <r>
    <x v="1"/>
    <x v="34"/>
    <x v="33"/>
    <s v="Roma/Itália"/>
    <m/>
    <x v="2"/>
  </r>
  <r>
    <x v="1"/>
    <x v="35"/>
    <x v="33"/>
    <s v="Roma/Itália"/>
    <m/>
    <x v="2"/>
  </r>
  <r>
    <x v="1"/>
    <x v="36"/>
    <x v="34"/>
    <s v="https://www.facebook.com/watch/live/?v=3314874555207352&amp;ref=watch_permalink"/>
    <n v="24105024"/>
    <x v="3"/>
  </r>
  <r>
    <x v="1"/>
    <x v="37"/>
    <x v="35"/>
    <s v="Instagram  @fundacaobb"/>
    <n v="1210"/>
    <x v="0"/>
  </r>
  <r>
    <x v="0"/>
    <x v="38"/>
    <x v="36"/>
    <m/>
    <n v="350"/>
    <x v="0"/>
  </r>
  <r>
    <x v="1"/>
    <x v="38"/>
    <x v="37"/>
    <s v="https://open.spotify.com/show/0aI7oIUFxBr2rNmHCqyVF4"/>
    <m/>
    <x v="0"/>
  </r>
  <r>
    <x v="1"/>
    <x v="39"/>
    <x v="38"/>
    <s v="https://www.youtube.com/watch?v=r_bXWxFM0DU"/>
    <n v="1559"/>
    <x v="0"/>
  </r>
  <r>
    <x v="1"/>
    <x v="40"/>
    <x v="39"/>
    <s v="Microsoft Teams"/>
    <s v="-"/>
    <x v="0"/>
  </r>
  <r>
    <x v="1"/>
    <x v="41"/>
    <x v="40"/>
    <s v="https://www.youtube.com/watch?v=T1IidqlDNxE"/>
    <n v="7218"/>
    <x v="4"/>
  </r>
  <r>
    <x v="0"/>
    <x v="42"/>
    <x v="41"/>
    <m/>
    <n v="200"/>
    <x v="0"/>
  </r>
  <r>
    <x v="1"/>
    <x v="42"/>
    <x v="42"/>
    <s v="https://www.youtube.com/watch?v=5O9VI3HH_no"/>
    <n v="1943"/>
    <x v="4"/>
  </r>
  <r>
    <x v="0"/>
    <x v="43"/>
    <x v="43"/>
    <m/>
    <n v="200"/>
    <x v="0"/>
  </r>
  <r>
    <x v="0"/>
    <x v="44"/>
    <x v="44"/>
    <m/>
    <n v="420"/>
    <x v="0"/>
  </r>
  <r>
    <x v="1"/>
    <x v="44"/>
    <x v="45"/>
    <s v="https://www.youtube.com/watch?v=s9X_geduXUM&amp;t=3938s"/>
    <n v="1438539"/>
    <x v="5"/>
  </r>
  <r>
    <x v="1"/>
    <x v="45"/>
    <x v="46"/>
    <s v="https://www.youtube.com/watch?v=cM__FXNCsXE"/>
    <n v="6498"/>
    <x v="4"/>
  </r>
  <r>
    <x v="1"/>
    <x v="45"/>
    <x v="47"/>
    <s v="https://www.youtube.com/watch?v=om-cZBcBR6k"/>
    <n v="3813"/>
    <x v="4"/>
  </r>
  <r>
    <x v="1"/>
    <x v="46"/>
    <x v="48"/>
    <s v="https://www.youtube.com/watch?v=H4ipow_z1rE"/>
    <n v="213585"/>
    <x v="4"/>
  </r>
  <r>
    <x v="1"/>
    <x v="47"/>
    <x v="49"/>
    <s v="https://www.youtube.com/watch?v=Zy6as1xU2hE&amp;t=29s"/>
    <n v="212965"/>
    <x v="5"/>
  </r>
  <r>
    <x v="1"/>
    <x v="48"/>
    <x v="50"/>
    <s v="https://www.youtube.com/watch?v=KOx4geXKaJs&amp;feature=youtu.be&amp;fbclid=IwAR2nrmr3V8IxytztLGXDlmtVCXReFDxB1eWfciE3WCDRTUgoEopaPKusKSM"/>
    <n v="1924"/>
    <x v="0"/>
  </r>
  <r>
    <x v="1"/>
    <x v="49"/>
    <x v="51"/>
    <s v="Instagram  @fundacaobb"/>
    <n v="80"/>
    <x v="0"/>
  </r>
  <r>
    <x v="1"/>
    <x v="50"/>
    <x v="52"/>
    <s v="Instagram  @fundacaobb"/>
    <n v="80"/>
    <x v="0"/>
  </r>
  <r>
    <x v="1"/>
    <x v="51"/>
    <x v="53"/>
    <m/>
    <n v="131"/>
    <x v="0"/>
  </r>
  <r>
    <x v="1"/>
    <x v="52"/>
    <x v="54"/>
    <s v="Instagram  @fundacaobb"/>
    <n v="80"/>
    <x v="0"/>
  </r>
  <r>
    <x v="1"/>
    <x v="53"/>
    <x v="55"/>
    <s v="https://www.youtube.com/watch?v=e3RdbWQ2ps4"/>
    <n v="105874"/>
    <x v="5"/>
  </r>
  <r>
    <x v="1"/>
    <x v="54"/>
    <x v="56"/>
    <s v="https://livebbseguros.com.br/live"/>
    <s v="-"/>
    <x v="0"/>
  </r>
  <r>
    <x v="1"/>
    <x v="55"/>
    <x v="57"/>
    <s v="https://www.facebook.com/165500080198037/videos/3378828662193533/"/>
    <n v="13940"/>
    <x v="0"/>
  </r>
  <r>
    <x v="1"/>
    <x v="56"/>
    <x v="58"/>
    <s v="https://www.facebook.com/165500080198037/videos/1108540929602115/"/>
    <n v="6769"/>
    <x v="0"/>
  </r>
  <r>
    <x v="1"/>
    <x v="57"/>
    <x v="59"/>
    <s v="https://www.facebook.com/165500080198037/videos/701779114053893/"/>
    <n v="3745"/>
    <x v="0"/>
  </r>
  <r>
    <x v="1"/>
    <x v="58"/>
    <x v="60"/>
    <s v="https://www.youtube.com/watch?v=8iZTBdqoh80"/>
    <n v="242"/>
    <x v="0"/>
  </r>
  <r>
    <x v="1"/>
    <x v="59"/>
    <x v="61"/>
    <m/>
    <n v="103"/>
    <x v="6"/>
  </r>
  <r>
    <x v="1"/>
    <x v="60"/>
    <x v="62"/>
    <s v="https://www.youtube.com/watch?v=1TO4T_4tAsI"/>
    <n v="206163"/>
    <x v="0"/>
  </r>
  <r>
    <x v="1"/>
    <x v="61"/>
    <x v="63"/>
    <s v="https://www.youtube.com/watch?v=82SlSsTGzCc"/>
    <n v="1010"/>
    <x v="0"/>
  </r>
  <r>
    <x v="1"/>
    <x v="61"/>
    <x v="64"/>
    <s v="https://www.youtube.com/watch?v=0Hg9KopJgcY"/>
    <n v="295"/>
    <x v="0"/>
  </r>
  <r>
    <x v="1"/>
    <x v="62"/>
    <x v="65"/>
    <s v="https://www.youtube.com/watch?v=CwOJPVG0ykE"/>
    <n v="3010"/>
    <x v="0"/>
  </r>
  <r>
    <x v="1"/>
    <x v="63"/>
    <x v="66"/>
    <m/>
    <m/>
    <x v="0"/>
  </r>
  <r>
    <x v="1"/>
    <x v="64"/>
    <x v="67"/>
    <m/>
    <m/>
    <x v="0"/>
  </r>
  <r>
    <x v="1"/>
    <x v="65"/>
    <x v="68"/>
    <s v="https://www.youtube.com/watch?v=1VSix4Fpxg4"/>
    <n v="169"/>
    <x v="0"/>
  </r>
  <r>
    <x v="1"/>
    <x v="66"/>
    <x v="69"/>
    <s v="https://www.youtube.com/watch?v=agucKLunVRk"/>
    <n v="100"/>
    <x v="0"/>
  </r>
  <r>
    <x v="1"/>
    <x v="67"/>
    <x v="70"/>
    <s v="https://www.youtube.com/watch?v=s0v42-7PaG0"/>
    <n v="4293"/>
    <x v="0"/>
  </r>
  <r>
    <x v="2"/>
    <x v="68"/>
    <x v="71"/>
    <s v="https://youtu.be/d1Vg1L0EIng"/>
    <n v="665"/>
    <x v="0"/>
  </r>
  <r>
    <x v="2"/>
    <x v="69"/>
    <x v="72"/>
    <s v="https://bbgenerations.com.br/"/>
    <n v="95"/>
    <x v="0"/>
  </r>
  <r>
    <x v="2"/>
    <x v="70"/>
    <x v="73"/>
    <s v="https://web.microsoftstream.com/video/5d1193e6-ca37-4d48-ad4c-3ddf79b106ba"/>
    <n v="28"/>
    <x v="0"/>
  </r>
  <r>
    <x v="2"/>
    <x v="71"/>
    <x v="71"/>
    <s v="https://youtu.be/LF2DC9Rah8U"/>
    <n v="221"/>
    <x v="0"/>
  </r>
  <r>
    <x v="2"/>
    <x v="72"/>
    <x v="74"/>
    <s v="youtube.com/bancodobrasil"/>
    <n v="25344"/>
    <x v="0"/>
  </r>
  <r>
    <x v="2"/>
    <x v="73"/>
    <x v="75"/>
    <s v="CCBB Rio de Janeiro - Espaço Conceito"/>
    <n v="0"/>
    <x v="0"/>
  </r>
  <r>
    <x v="2"/>
    <x v="74"/>
    <x v="76"/>
    <s v="live+IGTV @fundacaobb"/>
    <n v="908"/>
    <x v="0"/>
  </r>
  <r>
    <x v="2"/>
    <x v="75"/>
    <x v="77"/>
    <s v="live+IGTV @fundacaobb"/>
    <n v="577"/>
    <x v="0"/>
  </r>
  <r>
    <x v="2"/>
    <x v="76"/>
    <x v="78"/>
    <s v="https://www.youtube.com/watch?v=5Mnyw48KAuE"/>
    <n v="2540"/>
    <x v="0"/>
  </r>
  <r>
    <x v="2"/>
    <x v="77"/>
    <x v="79"/>
    <s v="https://www.youtube.com/watch?v=q1SB3rLLHAg"/>
    <n v="813"/>
    <x v="0"/>
  </r>
  <r>
    <x v="2"/>
    <x v="78"/>
    <x v="80"/>
    <m/>
    <m/>
    <x v="7"/>
  </r>
  <r>
    <x v="2"/>
    <x v="79"/>
    <x v="81"/>
    <s v="https://pmidf.org/evento/dgpis/   "/>
    <n v="300"/>
    <x v="8"/>
  </r>
  <r>
    <x v="2"/>
    <x v="80"/>
    <x v="82"/>
    <s v="Auditório do Inep"/>
    <m/>
    <x v="9"/>
  </r>
  <r>
    <x v="2"/>
    <x v="81"/>
    <x v="83"/>
    <m/>
    <n v="62"/>
    <x v="10"/>
  </r>
  <r>
    <x v="2"/>
    <x v="82"/>
    <x v="84"/>
    <m/>
    <m/>
    <x v="0"/>
  </r>
  <r>
    <x v="2"/>
    <x v="83"/>
    <x v="85"/>
    <m/>
    <m/>
    <x v="0"/>
  </r>
  <r>
    <x v="2"/>
    <x v="84"/>
    <x v="86"/>
    <s v="https://www.youtube.com/watch?v=ZlyZzPSo-v4"/>
    <n v="12061"/>
    <x v="11"/>
  </r>
  <r>
    <x v="2"/>
    <x v="85"/>
    <x v="87"/>
    <s v="https://www.youtube.com/watch?v=OUSdgWVs7xw"/>
    <n v="565"/>
    <x v="12"/>
  </r>
  <r>
    <x v="2"/>
    <x v="86"/>
    <x v="88"/>
    <s v="CCBB Brasília"/>
    <n v="150"/>
    <x v="13"/>
  </r>
  <r>
    <x v="2"/>
    <x v="87"/>
    <x v="89"/>
    <s v="https://www.youtube.com/watch?v=KQMZmHVKa7c&amp;t=8s"/>
    <n v="7629"/>
    <x v="14"/>
  </r>
  <r>
    <x v="2"/>
    <x v="88"/>
    <x v="90"/>
    <s v="CAMAT - Salesópilis/SP"/>
    <n v="30"/>
    <x v="0"/>
  </r>
  <r>
    <x v="2"/>
    <x v="89"/>
    <x v="91"/>
    <s v="CCBB Brasília"/>
    <n v="115"/>
    <x v="15"/>
  </r>
  <r>
    <x v="2"/>
    <x v="89"/>
    <x v="91"/>
    <s v="https://www.youtube.com/watch?v=fQzs7BrfgZc"/>
    <n v="4966"/>
    <x v="16"/>
  </r>
  <r>
    <x v="2"/>
    <x v="90"/>
    <x v="92"/>
    <m/>
    <m/>
    <x v="16"/>
  </r>
  <r>
    <x v="2"/>
    <x v="91"/>
    <x v="93"/>
    <s v="CCBB Brasília"/>
    <n v="150"/>
    <x v="15"/>
  </r>
  <r>
    <x v="2"/>
    <x v="91"/>
    <x v="93"/>
    <s v="CCBB Brasília"/>
    <n v="5988"/>
    <x v="16"/>
  </r>
  <r>
    <x v="3"/>
    <x v="92"/>
    <x v="94"/>
    <s v="CCBB Brasília"/>
    <m/>
    <x v="0"/>
  </r>
  <r>
    <x v="3"/>
    <x v="93"/>
    <x v="95"/>
    <s v="Betim/MG"/>
    <m/>
    <x v="0"/>
  </r>
  <r>
    <x v="3"/>
    <x v="94"/>
    <x v="96"/>
    <s v="Felício dos Santos/MG"/>
    <m/>
    <x v="0"/>
  </r>
  <r>
    <x v="3"/>
    <x v="95"/>
    <x v="97"/>
    <m/>
    <m/>
    <x v="17"/>
  </r>
  <r>
    <x v="3"/>
    <x v="96"/>
    <x v="98"/>
    <m/>
    <m/>
    <x v="18"/>
  </r>
  <r>
    <x v="0"/>
    <x v="97"/>
    <x v="99"/>
    <m/>
    <n v="380"/>
    <x v="0"/>
  </r>
  <r>
    <x v="1"/>
    <x v="97"/>
    <x v="100"/>
    <m/>
    <m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D69FA-FAB1-424E-8B56-559B117352E8}" name="Tabela dinâmica16" cacheId="62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>
  <location ref="C3:C4" firstHeaderRow="1" firstDataRow="1" firstDataCol="0" rowPageCount="1" colPageCount="1"/>
  <pivotFields count="8"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</items>
    </pivotField>
    <pivotField axis="axisPage" multipleItemSelectionAllowed="1" showAll="0" defaultSubtotal="0">
      <items count="6">
        <item h="1" x="0"/>
        <item x="1"/>
        <item h="1" x="2"/>
        <item h="1" x="3"/>
        <item h="1" x="4"/>
        <item h="1" x="5"/>
      </items>
    </pivotField>
  </pivotFields>
  <rowItems count="1">
    <i/>
  </rowItems>
  <colItems count="1">
    <i/>
  </colItems>
  <pageFields count="1">
    <pageField fld="7" hier="-1"/>
  </pageFields>
  <dataFields count="1">
    <dataField name="Eventos 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EDB2D-73DA-4443-A637-AA1EAF1B93FC}" name="Tabela dinâmica14" cacheId="62" applyNumberFormats="0" applyBorderFormats="0" applyFontFormats="0" applyPatternFormats="0" applyAlignmentFormats="0" applyWidthHeightFormats="1" dataCaption="Valores" updatedVersion="7" minRefreshableVersion="3" rowGrandTotals="0" colGrandTotals="0" itemPrintTitles="1" createdVersion="7" indent="0" outline="1" outlineData="1" multipleFieldFilters="0" rowHeaderCaption="Descrição dos Eventos">
  <location ref="C14:D20" firstHeaderRow="1" firstDataRow="1" firstDataCol="1"/>
  <pivotFields count="8">
    <pivotField showAll="0"/>
    <pivotField showAll="0"/>
    <pivotField axis="axisRow" showAll="0" sortType="descending">
      <items count="102">
        <item x="81"/>
        <item x="51"/>
        <item x="54"/>
        <item x="52"/>
        <item x="65"/>
        <item x="62"/>
        <item x="63"/>
        <item x="37"/>
        <item x="45"/>
        <item x="79"/>
        <item x="19"/>
        <item x="85"/>
        <item x="46"/>
        <item x="96"/>
        <item x="89"/>
        <item x="48"/>
        <item x="55"/>
        <item x="93"/>
        <item x="30"/>
        <item x="94"/>
        <item x="100"/>
        <item x="61"/>
        <item x="10"/>
        <item x="73"/>
        <item x="88"/>
        <item x="76"/>
        <item x="95"/>
        <item x="28"/>
        <item x="84"/>
        <item x="27"/>
        <item x="80"/>
        <item x="98"/>
        <item x="9"/>
        <item x="67"/>
        <item x="14"/>
        <item x="72"/>
        <item x="33"/>
        <item x="25"/>
        <item x="91"/>
        <item x="18"/>
        <item x="0"/>
        <item x="82"/>
        <item x="38"/>
        <item x="42"/>
        <item x="40"/>
        <item x="47"/>
        <item x="56"/>
        <item x="77"/>
        <item x="74"/>
        <item x="70"/>
        <item x="78"/>
        <item x="66"/>
        <item x="35"/>
        <item x="49"/>
        <item x="34"/>
        <item x="29"/>
        <item x="15"/>
        <item x="23"/>
        <item x="11"/>
        <item x="6"/>
        <item x="31"/>
        <item x="99"/>
        <item x="24"/>
        <item x="3"/>
        <item x="8"/>
        <item x="12"/>
        <item x="43"/>
        <item x="13"/>
        <item x="21"/>
        <item x="36"/>
        <item x="41"/>
        <item x="4"/>
        <item x="22"/>
        <item x="26"/>
        <item x="17"/>
        <item x="20"/>
        <item x="16"/>
        <item x="44"/>
        <item x="32"/>
        <item x="53"/>
        <item x="5"/>
        <item x="2"/>
        <item x="92"/>
        <item x="50"/>
        <item x="90"/>
        <item x="97"/>
        <item x="39"/>
        <item x="7"/>
        <item x="59"/>
        <item x="58"/>
        <item x="57"/>
        <item x="71"/>
        <item x="75"/>
        <item x="1"/>
        <item x="68"/>
        <item x="64"/>
        <item x="60"/>
        <item x="69"/>
        <item x="87"/>
        <item x="86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21">
        <item x="19"/>
        <item x="18"/>
        <item x="2"/>
        <item x="1"/>
        <item x="6"/>
        <item x="11"/>
        <item x="14"/>
        <item x="17"/>
        <item x="16"/>
        <item x="3"/>
        <item x="12"/>
        <item x="9"/>
        <item x="8"/>
        <item x="7"/>
        <item x="15"/>
        <item x="13"/>
        <item x="10"/>
        <item x="4"/>
        <item x="5"/>
        <item x="0"/>
        <item t="default"/>
      </items>
    </pivotField>
    <pivotField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</items>
    </pivotField>
    <pivotField showAll="0" defaultSubtotal="0">
      <items count="6">
        <item h="1" x="0"/>
        <item x="1"/>
        <item h="1" x="2"/>
        <item h="1" x="3"/>
        <item h="1" x="4"/>
        <item h="1" x="5"/>
      </items>
    </pivotField>
  </pivotFields>
  <rowFields count="1">
    <field x="2"/>
  </rowFields>
  <rowItems count="6">
    <i>
      <x v="72"/>
    </i>
    <i>
      <x v="68"/>
    </i>
    <i>
      <x v="74"/>
    </i>
    <i>
      <x v="75"/>
    </i>
    <i>
      <x v="39"/>
    </i>
    <i>
      <x v="10"/>
    </i>
  </rowItems>
  <colItems count="1">
    <i/>
  </colItems>
  <dataFields count="1">
    <dataField name="VISUALIZAÇÕES/PÚBLICO POR EVENTO" fld="4" baseField="2" baseItem="52" numFmtId="169"/>
  </dataFields>
  <formats count="2">
    <format dxfId="219">
      <pivotArea outline="0" collapsedLevelsAreSubtotals="1" fieldPosition="0"/>
    </format>
    <format dxfId="2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D2818-8B4D-4CAF-B22F-84B972A5EAF1}" name="Tabela dinâmica12" cacheId="62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>
  <location ref="C10:D11" firstHeaderRow="0" firstDataRow="1" firstDataCol="0" rowPageCount="2" colPageCount="1"/>
  <pivotFields count="8">
    <pivotField showAll="0"/>
    <pivotField showAll="0"/>
    <pivotField dataField="1" showAll="0"/>
    <pivotField showAll="0"/>
    <pivotField dataField="1" showAll="0"/>
    <pivotField showAll="0"/>
    <pivotField axis="axisPage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Page"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2">
    <pageField fld="7" item="1" hier="-1"/>
    <pageField fld="6" item="8" hier="-1"/>
  </pageFields>
  <dataFields count="2">
    <dataField name="Qtde de Evento(s)" fld="2" subtotal="count" baseField="0" baseItem="0"/>
    <dataField name="TOTAL GERAL VISUALIZAÇÕES - PÚBLICO" fld="4" baseField="0" baseItem="1" numFmtId="169"/>
  </dataFields>
  <formats count="4">
    <format dxfId="2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C553D-3450-4059-8CE3-45E56F231017}" name="Tabela dinâmica1" cacheId="6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0:A144" firstHeaderRow="1" firstDataRow="1" firstDataCol="1"/>
  <pivotFields count="8"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7"/>
    <field x="6"/>
    <field x="1"/>
  </rowFields>
  <rowItems count="134">
    <i>
      <x/>
    </i>
    <i r="1">
      <x/>
    </i>
    <i r="2">
      <x/>
    </i>
    <i>
      <x v="1"/>
    </i>
    <i r="1">
      <x v="2"/>
    </i>
    <i r="2">
      <x v="56"/>
    </i>
    <i r="2">
      <x v="57"/>
    </i>
    <i r="1">
      <x v="4"/>
    </i>
    <i r="2">
      <x v="94"/>
    </i>
    <i r="2">
      <x v="108"/>
    </i>
    <i r="2">
      <x v="118"/>
    </i>
    <i r="1">
      <x v="6"/>
    </i>
    <i r="2">
      <x v="157"/>
    </i>
    <i r="2">
      <x v="167"/>
    </i>
    <i r="1">
      <x v="7"/>
    </i>
    <i r="2">
      <x v="187"/>
    </i>
    <i r="2">
      <x v="188"/>
    </i>
    <i r="2">
      <x v="190"/>
    </i>
    <i r="2">
      <x v="192"/>
    </i>
    <i r="2">
      <x v="195"/>
    </i>
    <i r="2">
      <x v="196"/>
    </i>
    <i r="2">
      <x v="199"/>
    </i>
    <i r="2">
      <x v="200"/>
    </i>
    <i r="2">
      <x v="202"/>
    </i>
    <i r="2">
      <x v="209"/>
    </i>
    <i r="1">
      <x v="8"/>
    </i>
    <i r="2">
      <x v="216"/>
    </i>
    <i r="2">
      <x v="221"/>
    </i>
    <i r="2">
      <x v="222"/>
    </i>
    <i r="2">
      <x v="230"/>
    </i>
    <i r="2">
      <x v="237"/>
    </i>
    <i r="2">
      <x v="241"/>
    </i>
    <i r="1">
      <x v="9"/>
    </i>
    <i r="2">
      <x v="257"/>
    </i>
    <i r="2">
      <x v="268"/>
    </i>
    <i r="2">
      <x v="272"/>
    </i>
    <i r="1">
      <x v="10"/>
    </i>
    <i r="2">
      <x v="289"/>
    </i>
    <i r="2">
      <x v="290"/>
    </i>
    <i r="1">
      <x v="12"/>
    </i>
    <i r="2">
      <x v="349"/>
    </i>
    <i>
      <x v="2"/>
    </i>
    <i r="1">
      <x v="2"/>
    </i>
    <i r="2">
      <x v="46"/>
    </i>
    <i r="2">
      <x v="48"/>
    </i>
    <i r="2">
      <x v="49"/>
    </i>
    <i r="2">
      <x v="50"/>
    </i>
    <i r="2">
      <x v="51"/>
    </i>
    <i r="2">
      <x v="52"/>
    </i>
    <i r="2">
      <x v="53"/>
    </i>
    <i r="1">
      <x v="4"/>
    </i>
    <i r="2">
      <x v="103"/>
    </i>
    <i r="2">
      <x v="120"/>
    </i>
    <i r="1">
      <x v="7"/>
    </i>
    <i r="2">
      <x v="195"/>
    </i>
    <i r="2">
      <x v="199"/>
    </i>
    <i r="2">
      <x v="210"/>
    </i>
    <i r="1">
      <x v="8"/>
    </i>
    <i r="2">
      <x v="221"/>
    </i>
    <i r="2">
      <x v="230"/>
    </i>
    <i r="2">
      <x v="231"/>
    </i>
    <i r="2">
      <x v="235"/>
    </i>
    <i r="2">
      <x v="242"/>
    </i>
    <i r="1">
      <x v="9"/>
    </i>
    <i r="2">
      <x v="251"/>
    </i>
    <i r="2">
      <x v="254"/>
    </i>
    <i r="2">
      <x v="260"/>
    </i>
    <i r="2">
      <x v="261"/>
    </i>
    <i r="2">
      <x v="268"/>
    </i>
    <i r="1">
      <x v="10"/>
    </i>
    <i r="2">
      <x v="280"/>
    </i>
    <i r="2">
      <x v="282"/>
    </i>
    <i r="2">
      <x v="285"/>
    </i>
    <i r="2">
      <x v="301"/>
    </i>
    <i r="2">
      <x v="303"/>
    </i>
    <i r="1">
      <x v="11"/>
    </i>
    <i r="2">
      <x v="316"/>
    </i>
    <i r="2">
      <x v="323"/>
    </i>
    <i r="2">
      <x v="330"/>
    </i>
    <i r="2">
      <x v="331"/>
    </i>
    <i r="1">
      <x v="12"/>
    </i>
    <i r="2">
      <x v="336"/>
    </i>
    <i r="2">
      <x v="337"/>
    </i>
    <i r="2">
      <x v="338"/>
    </i>
    <i r="2">
      <x v="342"/>
    </i>
    <i r="2">
      <x v="343"/>
    </i>
    <i r="2">
      <x v="344"/>
    </i>
    <i r="2">
      <x v="345"/>
    </i>
    <i r="2">
      <x v="350"/>
    </i>
    <i>
      <x v="3"/>
    </i>
    <i r="1">
      <x v="2"/>
    </i>
    <i r="2">
      <x v="40"/>
    </i>
    <i r="2">
      <x v="55"/>
    </i>
    <i r="1">
      <x v="3"/>
    </i>
    <i r="2">
      <x v="68"/>
    </i>
    <i r="2">
      <x v="70"/>
    </i>
    <i r="2">
      <x v="91"/>
    </i>
    <i r="1">
      <x v="4"/>
    </i>
    <i r="2">
      <x v="106"/>
    </i>
    <i r="1">
      <x v="5"/>
    </i>
    <i r="2">
      <x v="133"/>
    </i>
    <i r="2">
      <x v="146"/>
    </i>
    <i r="1">
      <x v="6"/>
    </i>
    <i r="2">
      <x v="178"/>
    </i>
    <i r="1">
      <x v="8"/>
    </i>
    <i r="2">
      <x v="215"/>
    </i>
    <i r="2">
      <x v="218"/>
    </i>
    <i r="2">
      <x v="225"/>
    </i>
    <i r="2">
      <x v="230"/>
    </i>
    <i r="2">
      <x v="232"/>
    </i>
    <i r="2">
      <x v="238"/>
    </i>
    <i r="2">
      <x v="239"/>
    </i>
    <i r="1">
      <x v="9"/>
    </i>
    <i r="2">
      <x v="258"/>
    </i>
    <i r="2">
      <x v="260"/>
    </i>
    <i r="2">
      <x v="267"/>
    </i>
    <i r="1">
      <x v="10"/>
    </i>
    <i r="2">
      <x v="278"/>
    </i>
    <i r="2">
      <x v="289"/>
    </i>
    <i r="2">
      <x v="293"/>
    </i>
    <i r="2">
      <x v="301"/>
    </i>
    <i r="1">
      <x v="12"/>
    </i>
    <i r="2">
      <x v="337"/>
    </i>
    <i>
      <x v="4"/>
    </i>
    <i r="1">
      <x v="1"/>
    </i>
    <i r="2">
      <x v="17"/>
    </i>
    <i r="1">
      <x v="2"/>
    </i>
    <i r="2">
      <x v="34"/>
    </i>
    <i r="2">
      <x v="54"/>
    </i>
    <i r="1">
      <x v="3"/>
    </i>
    <i r="2">
      <x v="86"/>
    </i>
    <i r="1">
      <x v="4"/>
    </i>
    <i r="2">
      <x v="12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" xr10:uid="{02500774-1551-4159-95D7-F0D3F9B076AA}" sourceName="Meses">
  <pivotTables>
    <pivotTable tabId="2" name="Tabela dinâmica12"/>
    <pivotTable tabId="2" name="Tabela dinâmica14"/>
    <pivotTable tabId="2" name="Tabela dinâmica16"/>
  </pivotTables>
  <data>
    <tabular pivotCacheId="1933183953">
      <items count="14">
        <i x="2"/>
        <i x="4"/>
        <i x="6"/>
        <i x="7"/>
        <i x="8" s="1"/>
        <i x="9"/>
        <i x="10"/>
        <i x="12"/>
        <i x="1" nd="1"/>
        <i x="3" nd="1"/>
        <i x="5" nd="1"/>
        <i x="11" nd="1"/>
        <i x="0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" xr10:uid="{5C636A91-E67E-44E7-83E3-9C5C5998B7BF}" sourceName="Anos">
  <pivotTables>
    <pivotTable tabId="2" name="Tabela dinâmica12"/>
    <pivotTable tabId="2" name="Tabela dinâmica14"/>
    <pivotTable tabId="2" name="Tabela dinâmica16"/>
  </pivotTables>
  <data>
    <tabular pivotCacheId="1933183953">
      <items count="6">
        <i x="1" s="1"/>
        <i x="2"/>
        <i x="3"/>
        <i x="0" nd="1"/>
        <i x="5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" xr10:uid="{7081504E-8A24-4E2B-B738-3DB486109D78}" cache="SegmentaçãodeDados_Meses" caption="Meses" columnCount="5" rowHeight="241300"/>
  <slicer name="Anos" xr10:uid="{FE11602E-059A-491C-ADE9-3D7B255A8E20}" cache="SegmentaçãodeDados_Anos" caption="Anos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93D8B-C4F7-4FF4-92BD-0CB5C45A814E}" name="Base" displayName="Base" ref="A1:F110" totalsRowShown="0" headerRowBorderDxfId="226" tableBorderDxfId="227">
  <autoFilter ref="A1:F110" xr:uid="{FDC93D8B-C4F7-4FF4-92BD-0CB5C45A814E}"/>
  <tableColumns count="6">
    <tableColumn id="1" xr3:uid="{3DB12274-6B42-4895-8A4E-F45984AA87B6}" name="ANO" dataDxfId="225"/>
    <tableColumn id="2" xr3:uid="{29A768A6-6C17-4AB0-A194-5E60FDF7A60A}" name="DATA" dataDxfId="224"/>
    <tableColumn id="3" xr3:uid="{7014EBAC-64D7-4B49-9E45-C3E2C0ED4C40}" name="EVENTO" dataDxfId="223"/>
    <tableColumn id="4" xr3:uid="{B25E84A9-7C4D-4B44-9449-1203260524AA}" name="LOCAL - LINK" dataDxfId="222"/>
    <tableColumn id="5" xr3:uid="{DE685BE0-AF67-4CB7-A185-B31AC85655F0}" name="VISUALIZAÇÕES - PÚBLICO" dataDxfId="221"/>
    <tableColumn id="6" xr3:uid="{D0B6820E-76E9-4B0F-8FBE-0AD00370B87B}" name="Observaçã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KOx4geXKaJs&amp;feature=youtu.be&amp;fbclid=IwAR2nrmr3V8IxytztLGXDlmtVCXReFDxB1eWfciE3WCDRTUgoEopaPKusKSM" TargetMode="External"/><Relationship Id="rId18" Type="http://schemas.openxmlformats.org/officeDocument/2006/relationships/hyperlink" Target="https://www.youtube.com/watch?v=0Hg9KopJgcY" TargetMode="External"/><Relationship Id="rId26" Type="http://schemas.openxmlformats.org/officeDocument/2006/relationships/hyperlink" Target="https://www.youtube.com/watch?v=5Mnyw48KAuE" TargetMode="External"/><Relationship Id="rId3" Type="http://schemas.openxmlformats.org/officeDocument/2006/relationships/hyperlink" Target="https://www.youtube.com/watch?v=CwOJPVG0ykE" TargetMode="External"/><Relationship Id="rId21" Type="http://schemas.openxmlformats.org/officeDocument/2006/relationships/hyperlink" Target="https://www.facebook.com/165500080198037/videos/1108540929602115/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youtube.com/watch?v=H4ipow_z1rE" TargetMode="External"/><Relationship Id="rId12" Type="http://schemas.openxmlformats.org/officeDocument/2006/relationships/hyperlink" Target="https://livebbseguros.com.br/live" TargetMode="External"/><Relationship Id="rId17" Type="http://schemas.openxmlformats.org/officeDocument/2006/relationships/hyperlink" Target="https://www.youtube.com/watch?v=8iZTBdqoh80" TargetMode="External"/><Relationship Id="rId25" Type="http://schemas.openxmlformats.org/officeDocument/2006/relationships/hyperlink" Target="https://www.youtube.com/watch?v=s0v42-7PaG0" TargetMode="External"/><Relationship Id="rId33" Type="http://schemas.openxmlformats.org/officeDocument/2006/relationships/hyperlink" Target="https://www.youtube.com/watch?v=fQzs7BrfgZc" TargetMode="External"/><Relationship Id="rId2" Type="http://schemas.openxmlformats.org/officeDocument/2006/relationships/hyperlink" Target="https://www.youtube.com/watch?v=82SlSsTGzCc" TargetMode="External"/><Relationship Id="rId16" Type="http://schemas.openxmlformats.org/officeDocument/2006/relationships/hyperlink" Target="https://www.youtube.com/watch?v=cM__FXNCsXE" TargetMode="External"/><Relationship Id="rId20" Type="http://schemas.openxmlformats.org/officeDocument/2006/relationships/hyperlink" Target="https://www.facebook.com/165500080198037/videos/3378828662193533/" TargetMode="External"/><Relationship Id="rId29" Type="http://schemas.openxmlformats.org/officeDocument/2006/relationships/hyperlink" Target="https://www.youtube.com/watch?v=q1SB3rLLHAg" TargetMode="External"/><Relationship Id="rId1" Type="http://schemas.openxmlformats.org/officeDocument/2006/relationships/hyperlink" Target="https://www.youtube.com/watch?v=1TO4T_4tAsI" TargetMode="External"/><Relationship Id="rId6" Type="http://schemas.openxmlformats.org/officeDocument/2006/relationships/hyperlink" Target="https://www.youtube.com/watch?v=s9X_geduXUM&amp;t=3938s" TargetMode="External"/><Relationship Id="rId11" Type="http://schemas.openxmlformats.org/officeDocument/2006/relationships/hyperlink" Target="https://www.youtube.com/watch?v=r_bXWxFM0DU" TargetMode="External"/><Relationship Id="rId24" Type="http://schemas.openxmlformats.org/officeDocument/2006/relationships/hyperlink" Target="https://youtu.be/d1Vg1L0EIng" TargetMode="External"/><Relationship Id="rId32" Type="http://schemas.openxmlformats.org/officeDocument/2006/relationships/hyperlink" Target="https://www.youtube.com/watch?v=KQMZmHVKa7c&amp;t=8s" TargetMode="External"/><Relationship Id="rId5" Type="http://schemas.openxmlformats.org/officeDocument/2006/relationships/hyperlink" Target="https://www.youtube.com/watch?v=e3RdbWQ2ps4" TargetMode="External"/><Relationship Id="rId15" Type="http://schemas.openxmlformats.org/officeDocument/2006/relationships/hyperlink" Target="https://www.facebook.com/watch/live/?v=3314874555207352&amp;ref=watch_permalink" TargetMode="External"/><Relationship Id="rId23" Type="http://schemas.openxmlformats.org/officeDocument/2006/relationships/hyperlink" Target="https://www.youtube.com/watch?v=agucKLunVRk" TargetMode="External"/><Relationship Id="rId28" Type="http://schemas.openxmlformats.org/officeDocument/2006/relationships/hyperlink" Target="https://pmidf.org/evento/dgpis/" TargetMode="External"/><Relationship Id="rId10" Type="http://schemas.openxmlformats.org/officeDocument/2006/relationships/hyperlink" Target="https://www.youtube.com/watch?v=om-cZBcBR6k" TargetMode="External"/><Relationship Id="rId19" Type="http://schemas.openxmlformats.org/officeDocument/2006/relationships/hyperlink" Target="https://www.facebook.com/165500080198037/videos/701779114053893/" TargetMode="External"/><Relationship Id="rId31" Type="http://schemas.openxmlformats.org/officeDocument/2006/relationships/hyperlink" Target="https://www.youtube.com/watch?v=OUSdgWVs7xw" TargetMode="External"/><Relationship Id="rId4" Type="http://schemas.openxmlformats.org/officeDocument/2006/relationships/hyperlink" Target="https://www.youtube.com/watch?v=Zy6as1xU2hE&amp;t=29s" TargetMode="External"/><Relationship Id="rId9" Type="http://schemas.openxmlformats.org/officeDocument/2006/relationships/hyperlink" Target="https://www.youtube.com/watch?v=5O9VI3HH_no" TargetMode="External"/><Relationship Id="rId14" Type="http://schemas.openxmlformats.org/officeDocument/2006/relationships/hyperlink" Target="https://open.spotify.com/show/0aI7oIUFxBr2rNmHCqyVF4" TargetMode="External"/><Relationship Id="rId22" Type="http://schemas.openxmlformats.org/officeDocument/2006/relationships/hyperlink" Target="https://www.youtube.com/watch?v=1VSix4Fpxg4" TargetMode="External"/><Relationship Id="rId27" Type="http://schemas.openxmlformats.org/officeDocument/2006/relationships/hyperlink" Target="https://bbgenerations.com.br/" TargetMode="External"/><Relationship Id="rId30" Type="http://schemas.openxmlformats.org/officeDocument/2006/relationships/hyperlink" Target="https://www.youtube.com/watch?v=ZlyZzPSo-v4" TargetMode="External"/><Relationship Id="rId35" Type="http://schemas.openxmlformats.org/officeDocument/2006/relationships/table" Target="../tables/table1.xml"/><Relationship Id="rId8" Type="http://schemas.openxmlformats.org/officeDocument/2006/relationships/hyperlink" Target="https://www.youtube.com/watch?v=T1IidqlDNx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zoomScale="90" zoomScaleNormal="90" workbookViewId="0">
      <pane ySplit="1" topLeftCell="A2" activePane="bottomLeft" state="frozen"/>
      <selection pane="bottomLeft" activeCell="E126" sqref="E126"/>
    </sheetView>
  </sheetViews>
  <sheetFormatPr defaultColWidth="8.85546875" defaultRowHeight="15" x14ac:dyDescent="0.25"/>
  <cols>
    <col min="1" max="1" width="9.140625" style="2"/>
    <col min="2" max="2" width="22.42578125" style="1" customWidth="1"/>
    <col min="3" max="3" width="54.5703125" customWidth="1"/>
    <col min="4" max="4" width="42.7109375" style="22" customWidth="1"/>
    <col min="5" max="5" width="25.28515625" style="2" customWidth="1"/>
    <col min="6" max="6" width="49.7109375" style="3" bestFit="1" customWidth="1"/>
    <col min="7" max="7" width="10.7109375" bestFit="1" customWidth="1"/>
  </cols>
  <sheetData>
    <row r="1" spans="1:6" ht="30" x14ac:dyDescent="0.25">
      <c r="A1" s="63" t="s">
        <v>61</v>
      </c>
      <c r="B1" s="64" t="s">
        <v>0</v>
      </c>
      <c r="C1" s="65" t="s">
        <v>1</v>
      </c>
      <c r="D1" s="65" t="s">
        <v>105</v>
      </c>
      <c r="E1" s="66" t="s">
        <v>57</v>
      </c>
      <c r="F1" s="67" t="s">
        <v>17</v>
      </c>
    </row>
    <row r="2" spans="1:6" x14ac:dyDescent="0.25">
      <c r="A2" s="49">
        <v>2019</v>
      </c>
      <c r="B2" s="4">
        <v>43521</v>
      </c>
      <c r="C2" s="6" t="s">
        <v>83</v>
      </c>
      <c r="D2" s="25" t="s">
        <v>107</v>
      </c>
      <c r="E2" s="5">
        <v>250</v>
      </c>
      <c r="F2" s="53"/>
    </row>
    <row r="3" spans="1:6" x14ac:dyDescent="0.25">
      <c r="A3" s="49">
        <v>2019</v>
      </c>
      <c r="B3" s="4">
        <v>43522</v>
      </c>
      <c r="C3" s="9" t="s">
        <v>71</v>
      </c>
      <c r="D3" s="25" t="s">
        <v>71</v>
      </c>
      <c r="E3" s="5">
        <v>100</v>
      </c>
      <c r="F3" s="53"/>
    </row>
    <row r="4" spans="1:6" x14ac:dyDescent="0.25">
      <c r="A4" s="49">
        <v>2019</v>
      </c>
      <c r="B4" s="4">
        <v>43558</v>
      </c>
      <c r="C4" s="9" t="s">
        <v>72</v>
      </c>
      <c r="D4" s="5" t="s">
        <v>108</v>
      </c>
      <c r="E4" s="5">
        <v>10</v>
      </c>
      <c r="F4" s="53"/>
    </row>
    <row r="5" spans="1:6" x14ac:dyDescent="0.25">
      <c r="A5" s="49">
        <v>2019</v>
      </c>
      <c r="B5" s="4">
        <v>43572</v>
      </c>
      <c r="C5" s="9" t="s">
        <v>80</v>
      </c>
      <c r="D5" s="5"/>
      <c r="E5" s="5">
        <v>300</v>
      </c>
      <c r="F5" s="53"/>
    </row>
    <row r="6" spans="1:6" x14ac:dyDescent="0.25">
      <c r="A6" s="49">
        <v>2019</v>
      </c>
      <c r="B6" s="4">
        <v>43582</v>
      </c>
      <c r="C6" s="9" t="s">
        <v>118</v>
      </c>
      <c r="D6" s="5"/>
      <c r="E6" s="5">
        <v>350</v>
      </c>
      <c r="F6" s="53"/>
    </row>
    <row r="7" spans="1:6" x14ac:dyDescent="0.25">
      <c r="A7" s="49">
        <v>2019</v>
      </c>
      <c r="B7" s="4">
        <v>43621</v>
      </c>
      <c r="C7" s="9" t="s">
        <v>73</v>
      </c>
      <c r="D7" s="5" t="s">
        <v>107</v>
      </c>
      <c r="E7" s="5">
        <v>250</v>
      </c>
      <c r="F7" s="53"/>
    </row>
    <row r="8" spans="1:6" x14ac:dyDescent="0.25">
      <c r="A8" s="49">
        <v>2019</v>
      </c>
      <c r="B8" s="4">
        <v>43631</v>
      </c>
      <c r="C8" s="9" t="s">
        <v>81</v>
      </c>
      <c r="D8" s="5"/>
      <c r="E8" s="5">
        <v>200</v>
      </c>
      <c r="F8" s="53"/>
    </row>
    <row r="9" spans="1:6" x14ac:dyDescent="0.25">
      <c r="A9" s="49">
        <v>2019</v>
      </c>
      <c r="B9" s="4">
        <v>43651</v>
      </c>
      <c r="C9" s="9" t="s">
        <v>76</v>
      </c>
      <c r="D9" s="5" t="s">
        <v>112</v>
      </c>
      <c r="E9" s="5">
        <v>120</v>
      </c>
      <c r="F9" s="53"/>
    </row>
    <row r="10" spans="1:6" x14ac:dyDescent="0.25">
      <c r="A10" s="49">
        <v>2019</v>
      </c>
      <c r="B10" s="4">
        <v>43652</v>
      </c>
      <c r="C10" s="9" t="s">
        <v>85</v>
      </c>
      <c r="D10" s="5"/>
      <c r="E10" s="5">
        <v>500</v>
      </c>
      <c r="F10" s="53"/>
    </row>
    <row r="11" spans="1:6" x14ac:dyDescent="0.25">
      <c r="A11" s="49">
        <v>2019</v>
      </c>
      <c r="B11" s="4">
        <v>43654</v>
      </c>
      <c r="C11" s="9" t="s">
        <v>75</v>
      </c>
      <c r="D11" s="5" t="s">
        <v>108</v>
      </c>
      <c r="E11" s="5">
        <v>55</v>
      </c>
      <c r="F11" s="53"/>
    </row>
    <row r="12" spans="1:6" x14ac:dyDescent="0.25">
      <c r="A12" s="49">
        <v>2019</v>
      </c>
      <c r="B12" s="4">
        <v>43656</v>
      </c>
      <c r="C12" s="9" t="s">
        <v>77</v>
      </c>
      <c r="D12" s="5" t="s">
        <v>111</v>
      </c>
      <c r="E12" s="5" t="s">
        <v>42</v>
      </c>
      <c r="F12" s="53"/>
    </row>
    <row r="13" spans="1:6" x14ac:dyDescent="0.25">
      <c r="A13" s="49">
        <v>2019</v>
      </c>
      <c r="B13" s="4">
        <v>43659</v>
      </c>
      <c r="C13" s="9" t="s">
        <v>84</v>
      </c>
      <c r="D13" s="5"/>
      <c r="E13" s="5">
        <v>550</v>
      </c>
      <c r="F13" s="53"/>
    </row>
    <row r="14" spans="1:6" x14ac:dyDescent="0.25">
      <c r="A14" s="49">
        <v>2019</v>
      </c>
      <c r="B14" s="4">
        <v>43660</v>
      </c>
      <c r="C14" s="9" t="s">
        <v>97</v>
      </c>
      <c r="D14" s="5"/>
      <c r="E14" s="5">
        <v>350</v>
      </c>
      <c r="F14" s="53"/>
    </row>
    <row r="15" spans="1:6" x14ac:dyDescent="0.25">
      <c r="A15" s="49">
        <v>2019</v>
      </c>
      <c r="B15" s="4">
        <v>43663</v>
      </c>
      <c r="C15" s="9" t="s">
        <v>119</v>
      </c>
      <c r="D15" s="5"/>
      <c r="E15" s="5">
        <v>270</v>
      </c>
      <c r="F15" s="53"/>
    </row>
    <row r="16" spans="1:6" x14ac:dyDescent="0.25">
      <c r="A16" s="49">
        <v>2019</v>
      </c>
      <c r="B16" s="4">
        <v>43664</v>
      </c>
      <c r="C16" s="9" t="s">
        <v>102</v>
      </c>
      <c r="D16" s="5" t="s">
        <v>108</v>
      </c>
      <c r="E16" s="5">
        <v>30</v>
      </c>
      <c r="F16" s="53"/>
    </row>
    <row r="17" spans="1:7" x14ac:dyDescent="0.25">
      <c r="A17" s="49">
        <v>2019</v>
      </c>
      <c r="B17" s="4">
        <v>43666</v>
      </c>
      <c r="C17" s="9" t="s">
        <v>92</v>
      </c>
      <c r="D17" s="5"/>
      <c r="E17" s="5">
        <v>300</v>
      </c>
      <c r="F17" s="53"/>
    </row>
    <row r="18" spans="1:7" x14ac:dyDescent="0.25">
      <c r="A18" s="49">
        <v>2019</v>
      </c>
      <c r="B18" s="4">
        <v>43673</v>
      </c>
      <c r="C18" s="9" t="s">
        <v>86</v>
      </c>
      <c r="D18" s="5"/>
      <c r="E18" s="5">
        <v>300</v>
      </c>
      <c r="F18" s="53"/>
    </row>
    <row r="19" spans="1:7" x14ac:dyDescent="0.25">
      <c r="A19" s="49">
        <v>2019</v>
      </c>
      <c r="B19" s="4">
        <v>43680</v>
      </c>
      <c r="C19" s="9" t="s">
        <v>90</v>
      </c>
      <c r="D19" s="5"/>
      <c r="E19" s="5">
        <v>280</v>
      </c>
      <c r="F19" s="53"/>
    </row>
    <row r="20" spans="1:7" ht="30" x14ac:dyDescent="0.25">
      <c r="A20" s="49">
        <v>2019</v>
      </c>
      <c r="B20" s="4">
        <v>43685</v>
      </c>
      <c r="C20" s="24" t="s">
        <v>78</v>
      </c>
      <c r="D20" s="5" t="s">
        <v>110</v>
      </c>
      <c r="E20" s="5">
        <v>80</v>
      </c>
      <c r="F20" s="54"/>
      <c r="G20" s="23"/>
    </row>
    <row r="21" spans="1:7" x14ac:dyDescent="0.25">
      <c r="A21" s="49">
        <v>2019</v>
      </c>
      <c r="B21" s="4">
        <v>43686</v>
      </c>
      <c r="C21" s="9" t="s">
        <v>74</v>
      </c>
      <c r="D21" s="5" t="s">
        <v>109</v>
      </c>
      <c r="E21" s="5">
        <v>20</v>
      </c>
      <c r="F21" s="53"/>
    </row>
    <row r="22" spans="1:7" x14ac:dyDescent="0.25">
      <c r="A22" s="49">
        <v>2019</v>
      </c>
      <c r="B22" s="4">
        <v>43694</v>
      </c>
      <c r="C22" s="9" t="s">
        <v>100</v>
      </c>
      <c r="D22" s="5"/>
      <c r="E22" s="5">
        <v>200</v>
      </c>
      <c r="F22" s="53"/>
    </row>
    <row r="23" spans="1:7" x14ac:dyDescent="0.25">
      <c r="A23" s="49">
        <v>2019</v>
      </c>
      <c r="B23" s="4">
        <v>43701</v>
      </c>
      <c r="C23" s="9" t="s">
        <v>87</v>
      </c>
      <c r="D23" s="5"/>
      <c r="E23" s="5">
        <v>300</v>
      </c>
      <c r="F23" s="53"/>
    </row>
    <row r="24" spans="1:7" x14ac:dyDescent="0.25">
      <c r="A24" s="49">
        <v>2019</v>
      </c>
      <c r="B24" s="4">
        <v>43705</v>
      </c>
      <c r="C24" s="9" t="s">
        <v>88</v>
      </c>
      <c r="D24" s="5"/>
      <c r="E24" s="5">
        <v>370</v>
      </c>
      <c r="F24" s="53"/>
    </row>
    <row r="25" spans="1:7" x14ac:dyDescent="0.25">
      <c r="A25" s="49">
        <v>2019</v>
      </c>
      <c r="B25" s="4">
        <v>43721</v>
      </c>
      <c r="C25" s="9" t="s">
        <v>93</v>
      </c>
      <c r="D25" s="5"/>
      <c r="E25" s="5">
        <v>280</v>
      </c>
      <c r="F25" s="53"/>
    </row>
    <row r="26" spans="1:7" x14ac:dyDescent="0.25">
      <c r="A26" s="49">
        <v>2019</v>
      </c>
      <c r="B26" s="4">
        <v>43721</v>
      </c>
      <c r="C26" s="9" t="s">
        <v>96</v>
      </c>
      <c r="D26" s="5"/>
      <c r="E26" s="5">
        <v>380</v>
      </c>
      <c r="F26" s="53"/>
    </row>
    <row r="27" spans="1:7" s="16" customFormat="1" x14ac:dyDescent="0.25">
      <c r="A27" s="49">
        <v>2019</v>
      </c>
      <c r="B27" s="4">
        <v>43732</v>
      </c>
      <c r="C27" s="9" t="s">
        <v>103</v>
      </c>
      <c r="D27" s="5" t="s">
        <v>115</v>
      </c>
      <c r="E27" s="5">
        <v>20</v>
      </c>
      <c r="F27" s="53"/>
      <c r="G27"/>
    </row>
    <row r="28" spans="1:7" x14ac:dyDescent="0.25">
      <c r="A28" s="49">
        <v>2019</v>
      </c>
      <c r="B28" s="4">
        <v>43736</v>
      </c>
      <c r="C28" s="9" t="s">
        <v>89</v>
      </c>
      <c r="D28" s="5"/>
      <c r="E28" s="5">
        <v>300</v>
      </c>
      <c r="F28" s="53"/>
    </row>
    <row r="29" spans="1:7" x14ac:dyDescent="0.25">
      <c r="A29" s="49">
        <v>2019</v>
      </c>
      <c r="B29" s="4">
        <v>43753</v>
      </c>
      <c r="C29" s="9" t="s">
        <v>101</v>
      </c>
      <c r="D29" s="5" t="s">
        <v>113</v>
      </c>
      <c r="E29" s="5">
        <v>220</v>
      </c>
      <c r="F29" s="53"/>
    </row>
    <row r="30" spans="1:7" x14ac:dyDescent="0.25">
      <c r="A30" s="49">
        <v>2019</v>
      </c>
      <c r="B30" s="4">
        <v>43754</v>
      </c>
      <c r="C30" s="9" t="s">
        <v>104</v>
      </c>
      <c r="D30" s="5" t="s">
        <v>113</v>
      </c>
      <c r="E30" s="5">
        <v>40</v>
      </c>
      <c r="F30" s="53"/>
    </row>
    <row r="31" spans="1:7" x14ac:dyDescent="0.25">
      <c r="A31" s="49">
        <v>2019</v>
      </c>
      <c r="B31" s="4">
        <v>43754</v>
      </c>
      <c r="C31" s="9" t="s">
        <v>116</v>
      </c>
      <c r="D31" s="5" t="s">
        <v>117</v>
      </c>
      <c r="E31" s="5">
        <v>40</v>
      </c>
      <c r="F31" s="53"/>
    </row>
    <row r="32" spans="1:7" s="16" customFormat="1" x14ac:dyDescent="0.25">
      <c r="A32" s="49">
        <v>2019</v>
      </c>
      <c r="B32" s="4">
        <v>43754</v>
      </c>
      <c r="C32" s="9" t="s">
        <v>114</v>
      </c>
      <c r="D32" s="5" t="s">
        <v>113</v>
      </c>
      <c r="E32" s="5">
        <v>600</v>
      </c>
      <c r="F32" s="53"/>
      <c r="G32"/>
    </row>
    <row r="33" spans="1:7" s="16" customFormat="1" x14ac:dyDescent="0.25">
      <c r="A33" s="49">
        <v>2019</v>
      </c>
      <c r="B33" s="4">
        <v>43813</v>
      </c>
      <c r="C33" s="9" t="s">
        <v>94</v>
      </c>
      <c r="D33" s="5"/>
      <c r="E33" s="5">
        <v>700</v>
      </c>
      <c r="F33" s="53"/>
      <c r="G33"/>
    </row>
    <row r="34" spans="1:7" s="16" customFormat="1" x14ac:dyDescent="0.25">
      <c r="A34" s="49">
        <v>2020</v>
      </c>
      <c r="B34" s="4">
        <v>43876</v>
      </c>
      <c r="C34" s="10" t="s">
        <v>43</v>
      </c>
      <c r="D34" s="10" t="s">
        <v>56</v>
      </c>
      <c r="E34" s="7">
        <v>2000</v>
      </c>
      <c r="F34" s="55" t="s">
        <v>45</v>
      </c>
      <c r="G34"/>
    </row>
    <row r="35" spans="1:7" s="16" customFormat="1" ht="30" x14ac:dyDescent="0.25">
      <c r="A35" s="49">
        <v>2020</v>
      </c>
      <c r="B35" s="43">
        <v>43878</v>
      </c>
      <c r="C35" s="12" t="s">
        <v>47</v>
      </c>
      <c r="D35" s="5" t="s">
        <v>106</v>
      </c>
      <c r="E35" s="5"/>
      <c r="F35" s="55" t="s">
        <v>120</v>
      </c>
      <c r="G35"/>
    </row>
    <row r="36" spans="1:7" s="16" customFormat="1" ht="30" x14ac:dyDescent="0.25">
      <c r="A36" s="49">
        <v>2020</v>
      </c>
      <c r="B36" s="4">
        <v>43879</v>
      </c>
      <c r="C36" s="12" t="s">
        <v>47</v>
      </c>
      <c r="D36" s="5" t="s">
        <v>106</v>
      </c>
      <c r="E36" s="5"/>
      <c r="F36" s="55" t="s">
        <v>120</v>
      </c>
      <c r="G36"/>
    </row>
    <row r="37" spans="1:7" ht="30" x14ac:dyDescent="0.25">
      <c r="A37" s="49">
        <v>2020</v>
      </c>
      <c r="B37" s="4">
        <v>43880</v>
      </c>
      <c r="C37" s="12" t="s">
        <v>47</v>
      </c>
      <c r="D37" s="5" t="s">
        <v>106</v>
      </c>
      <c r="E37" s="5"/>
      <c r="F37" s="55" t="s">
        <v>120</v>
      </c>
    </row>
    <row r="38" spans="1:7" ht="30" x14ac:dyDescent="0.25">
      <c r="A38" s="49">
        <v>2020</v>
      </c>
      <c r="B38" s="4">
        <v>43881</v>
      </c>
      <c r="C38" s="12" t="s">
        <v>47</v>
      </c>
      <c r="D38" s="5" t="s">
        <v>106</v>
      </c>
      <c r="E38" s="5"/>
      <c r="F38" s="55" t="s">
        <v>120</v>
      </c>
    </row>
    <row r="39" spans="1:7" ht="30" x14ac:dyDescent="0.25">
      <c r="A39" s="49">
        <v>2020</v>
      </c>
      <c r="B39" s="4">
        <v>43882</v>
      </c>
      <c r="C39" s="12" t="s">
        <v>47</v>
      </c>
      <c r="D39" s="5" t="s">
        <v>106</v>
      </c>
      <c r="E39" s="5"/>
      <c r="F39" s="55" t="s">
        <v>120</v>
      </c>
    </row>
    <row r="40" spans="1:7" ht="30" x14ac:dyDescent="0.25">
      <c r="A40" s="49">
        <v>2020</v>
      </c>
      <c r="B40" s="4">
        <v>43883</v>
      </c>
      <c r="C40" s="12" t="s">
        <v>47</v>
      </c>
      <c r="D40" s="5" t="s">
        <v>106</v>
      </c>
      <c r="E40" s="5"/>
      <c r="F40" s="55" t="s">
        <v>120</v>
      </c>
    </row>
    <row r="41" spans="1:7" ht="30" x14ac:dyDescent="0.25">
      <c r="A41" s="49">
        <v>2020</v>
      </c>
      <c r="B41" s="4">
        <v>43933</v>
      </c>
      <c r="C41" s="10" t="s">
        <v>40</v>
      </c>
      <c r="D41" s="18" t="s">
        <v>39</v>
      </c>
      <c r="E41" s="7">
        <v>24105024</v>
      </c>
      <c r="F41" s="53" t="s">
        <v>44</v>
      </c>
    </row>
    <row r="42" spans="1:7" x14ac:dyDescent="0.25">
      <c r="A42" s="49">
        <v>2020</v>
      </c>
      <c r="B42" s="4">
        <v>43950</v>
      </c>
      <c r="C42" s="10" t="s">
        <v>38</v>
      </c>
      <c r="D42" s="19" t="s">
        <v>32</v>
      </c>
      <c r="E42" s="7">
        <v>1210</v>
      </c>
      <c r="F42" s="53"/>
    </row>
    <row r="43" spans="1:7" x14ac:dyDescent="0.25">
      <c r="A43" s="49">
        <v>2019</v>
      </c>
      <c r="B43" s="4">
        <v>44025</v>
      </c>
      <c r="C43" s="9" t="s">
        <v>98</v>
      </c>
      <c r="D43" s="5"/>
      <c r="E43" s="5">
        <v>350</v>
      </c>
      <c r="F43" s="53"/>
    </row>
    <row r="44" spans="1:7" x14ac:dyDescent="0.25">
      <c r="A44" s="49">
        <v>2020</v>
      </c>
      <c r="B44" s="4">
        <v>44025</v>
      </c>
      <c r="C44" s="10" t="s">
        <v>36</v>
      </c>
      <c r="D44" s="19" t="s">
        <v>37</v>
      </c>
      <c r="E44" s="5"/>
      <c r="F44" s="53"/>
    </row>
    <row r="45" spans="1:7" x14ac:dyDescent="0.25">
      <c r="A45" s="49">
        <v>2020</v>
      </c>
      <c r="B45" s="4">
        <v>44029</v>
      </c>
      <c r="C45" s="6" t="s">
        <v>25</v>
      </c>
      <c r="D45" s="19" t="s">
        <v>26</v>
      </c>
      <c r="E45" s="7">
        <v>1559</v>
      </c>
      <c r="F45" s="53"/>
    </row>
    <row r="46" spans="1:7" ht="45" x14ac:dyDescent="0.25">
      <c r="A46" s="49">
        <v>2020</v>
      </c>
      <c r="B46" s="4">
        <v>44040</v>
      </c>
      <c r="C46" s="8" t="s">
        <v>27</v>
      </c>
      <c r="D46" s="19" t="s">
        <v>28</v>
      </c>
      <c r="E46" s="7" t="s">
        <v>42</v>
      </c>
      <c r="F46" s="53"/>
    </row>
    <row r="47" spans="1:7" x14ac:dyDescent="0.25">
      <c r="A47" s="49">
        <v>2020</v>
      </c>
      <c r="B47" s="4">
        <v>44051</v>
      </c>
      <c r="C47" s="6" t="s">
        <v>16</v>
      </c>
      <c r="D47" s="19" t="s">
        <v>20</v>
      </c>
      <c r="E47" s="7">
        <v>7218</v>
      </c>
      <c r="F47" s="53" t="s">
        <v>18</v>
      </c>
    </row>
    <row r="48" spans="1:7" s="23" customFormat="1" x14ac:dyDescent="0.25">
      <c r="A48" s="49">
        <v>2019</v>
      </c>
      <c r="B48" s="4">
        <v>44060</v>
      </c>
      <c r="C48" s="9" t="s">
        <v>99</v>
      </c>
      <c r="D48" s="5"/>
      <c r="E48" s="5">
        <v>200</v>
      </c>
      <c r="F48" s="53"/>
      <c r="G48"/>
    </row>
    <row r="49" spans="1:6" x14ac:dyDescent="0.25">
      <c r="A49" s="49">
        <v>2020</v>
      </c>
      <c r="B49" s="4">
        <v>44060</v>
      </c>
      <c r="C49" s="6" t="s">
        <v>21</v>
      </c>
      <c r="D49" s="19" t="s">
        <v>22</v>
      </c>
      <c r="E49" s="7">
        <v>1943</v>
      </c>
      <c r="F49" s="53" t="s">
        <v>18</v>
      </c>
    </row>
    <row r="50" spans="1:6" x14ac:dyDescent="0.25">
      <c r="A50" s="49">
        <v>2019</v>
      </c>
      <c r="B50" s="4">
        <v>44061</v>
      </c>
      <c r="C50" s="9" t="s">
        <v>82</v>
      </c>
      <c r="D50" s="5"/>
      <c r="E50" s="5">
        <v>200</v>
      </c>
      <c r="F50" s="53"/>
    </row>
    <row r="51" spans="1:6" x14ac:dyDescent="0.25">
      <c r="A51" s="49">
        <v>2019</v>
      </c>
      <c r="B51" s="4">
        <v>44065</v>
      </c>
      <c r="C51" s="9" t="s">
        <v>91</v>
      </c>
      <c r="D51" s="5"/>
      <c r="E51" s="5">
        <v>420</v>
      </c>
      <c r="F51" s="53"/>
    </row>
    <row r="52" spans="1:6" x14ac:dyDescent="0.25">
      <c r="A52" s="49">
        <v>2020</v>
      </c>
      <c r="B52" s="4">
        <v>44065</v>
      </c>
      <c r="C52" s="6" t="s">
        <v>12</v>
      </c>
      <c r="D52" s="19" t="s">
        <v>13</v>
      </c>
      <c r="E52" s="7">
        <v>1438539</v>
      </c>
      <c r="F52" s="53" t="s">
        <v>19</v>
      </c>
    </row>
    <row r="53" spans="1:6" x14ac:dyDescent="0.25">
      <c r="A53" s="49">
        <v>2020</v>
      </c>
      <c r="B53" s="4">
        <v>44072</v>
      </c>
      <c r="C53" s="6" t="s">
        <v>48</v>
      </c>
      <c r="D53" s="19" t="s">
        <v>49</v>
      </c>
      <c r="E53" s="7">
        <v>6498</v>
      </c>
      <c r="F53" s="53" t="s">
        <v>18</v>
      </c>
    </row>
    <row r="54" spans="1:6" x14ac:dyDescent="0.25">
      <c r="A54" s="49">
        <v>2020</v>
      </c>
      <c r="B54" s="4">
        <v>44072</v>
      </c>
      <c r="C54" s="6" t="s">
        <v>23</v>
      </c>
      <c r="D54" s="19" t="s">
        <v>24</v>
      </c>
      <c r="E54" s="7">
        <v>3813</v>
      </c>
      <c r="F54" s="53" t="s">
        <v>18</v>
      </c>
    </row>
    <row r="55" spans="1:6" x14ac:dyDescent="0.25">
      <c r="A55" s="49">
        <v>2020</v>
      </c>
      <c r="B55" s="4">
        <v>44081</v>
      </c>
      <c r="C55" s="6" t="s">
        <v>14</v>
      </c>
      <c r="D55" s="19" t="s">
        <v>15</v>
      </c>
      <c r="E55" s="7">
        <v>213585</v>
      </c>
      <c r="F55" s="53" t="s">
        <v>18</v>
      </c>
    </row>
    <row r="56" spans="1:6" x14ac:dyDescent="0.25">
      <c r="A56" s="49">
        <v>2020</v>
      </c>
      <c r="B56" s="4">
        <v>44084</v>
      </c>
      <c r="C56" s="6" t="s">
        <v>8</v>
      </c>
      <c r="D56" s="19" t="s">
        <v>9</v>
      </c>
      <c r="E56" s="7">
        <v>212965</v>
      </c>
      <c r="F56" s="53" t="s">
        <v>19</v>
      </c>
    </row>
    <row r="57" spans="1:6" ht="60" x14ac:dyDescent="0.25">
      <c r="A57" s="49">
        <v>2020</v>
      </c>
      <c r="B57" s="4">
        <v>44090</v>
      </c>
      <c r="C57" s="10" t="s">
        <v>34</v>
      </c>
      <c r="D57" s="18" t="s">
        <v>35</v>
      </c>
      <c r="E57" s="7">
        <v>1924</v>
      </c>
      <c r="F57" s="53"/>
    </row>
    <row r="58" spans="1:6" x14ac:dyDescent="0.25">
      <c r="A58" s="49">
        <v>2020</v>
      </c>
      <c r="B58" s="4">
        <v>44091</v>
      </c>
      <c r="C58" s="6" t="s">
        <v>29</v>
      </c>
      <c r="D58" s="19" t="s">
        <v>32</v>
      </c>
      <c r="E58" s="7">
        <v>80</v>
      </c>
      <c r="F58" s="53"/>
    </row>
    <row r="59" spans="1:6" x14ac:dyDescent="0.25">
      <c r="A59" s="49">
        <v>2020</v>
      </c>
      <c r="B59" s="4">
        <v>44098</v>
      </c>
      <c r="C59" s="6" t="s">
        <v>41</v>
      </c>
      <c r="D59" s="19" t="s">
        <v>32</v>
      </c>
      <c r="E59" s="7">
        <v>80</v>
      </c>
      <c r="F59" s="53"/>
    </row>
    <row r="60" spans="1:6" ht="45" x14ac:dyDescent="0.25">
      <c r="A60" s="49">
        <v>2020</v>
      </c>
      <c r="B60" s="4">
        <v>44110</v>
      </c>
      <c r="C60" s="8" t="s">
        <v>46</v>
      </c>
      <c r="D60" s="19"/>
      <c r="E60" s="7">
        <v>131</v>
      </c>
      <c r="F60" s="53"/>
    </row>
    <row r="61" spans="1:6" x14ac:dyDescent="0.25">
      <c r="A61" s="49">
        <v>2020</v>
      </c>
      <c r="B61" s="4">
        <v>44112</v>
      </c>
      <c r="C61" s="6" t="s">
        <v>30</v>
      </c>
      <c r="D61" s="19" t="s">
        <v>32</v>
      </c>
      <c r="E61" s="7">
        <v>80</v>
      </c>
      <c r="F61" s="53"/>
    </row>
    <row r="62" spans="1:6" x14ac:dyDescent="0.25">
      <c r="A62" s="49">
        <v>2020</v>
      </c>
      <c r="B62" s="43">
        <v>44115</v>
      </c>
      <c r="C62" s="6" t="s">
        <v>10</v>
      </c>
      <c r="D62" s="19" t="s">
        <v>11</v>
      </c>
      <c r="E62" s="7">
        <v>105874</v>
      </c>
      <c r="F62" s="53" t="s">
        <v>19</v>
      </c>
    </row>
    <row r="63" spans="1:6" x14ac:dyDescent="0.25">
      <c r="A63" s="49">
        <v>2020</v>
      </c>
      <c r="B63" s="4">
        <v>44131</v>
      </c>
      <c r="C63" s="9" t="s">
        <v>31</v>
      </c>
      <c r="D63" s="19" t="s">
        <v>33</v>
      </c>
      <c r="E63" s="5" t="s">
        <v>42</v>
      </c>
      <c r="F63" s="53"/>
    </row>
    <row r="64" spans="1:6" x14ac:dyDescent="0.25">
      <c r="A64" s="49">
        <v>2020</v>
      </c>
      <c r="B64" s="4">
        <v>44133</v>
      </c>
      <c r="C64" s="9" t="s">
        <v>58</v>
      </c>
      <c r="D64" s="19" t="s">
        <v>69</v>
      </c>
      <c r="E64" s="7">
        <v>13940</v>
      </c>
      <c r="F64" s="53"/>
    </row>
    <row r="65" spans="1:7" x14ac:dyDescent="0.25">
      <c r="A65" s="49">
        <v>2020</v>
      </c>
      <c r="B65" s="4">
        <v>44146</v>
      </c>
      <c r="C65" s="9" t="s">
        <v>59</v>
      </c>
      <c r="D65" s="19" t="s">
        <v>70</v>
      </c>
      <c r="E65" s="7">
        <v>6769</v>
      </c>
      <c r="F65" s="53"/>
    </row>
    <row r="66" spans="1:7" x14ac:dyDescent="0.25">
      <c r="A66" s="49">
        <v>2020</v>
      </c>
      <c r="B66" s="4">
        <v>44153</v>
      </c>
      <c r="C66" s="9" t="s">
        <v>60</v>
      </c>
      <c r="D66" s="19" t="s">
        <v>68</v>
      </c>
      <c r="E66" s="7">
        <v>3745</v>
      </c>
      <c r="F66" s="53"/>
    </row>
    <row r="67" spans="1:7" x14ac:dyDescent="0.25">
      <c r="A67" s="49">
        <v>2020</v>
      </c>
      <c r="B67" s="4">
        <v>44160</v>
      </c>
      <c r="C67" s="6" t="s">
        <v>62</v>
      </c>
      <c r="D67" s="19" t="s">
        <v>63</v>
      </c>
      <c r="E67" s="7">
        <v>242</v>
      </c>
      <c r="F67" s="53"/>
    </row>
    <row r="68" spans="1:7" x14ac:dyDescent="0.25">
      <c r="A68" s="49">
        <v>2020</v>
      </c>
      <c r="B68" s="14">
        <v>44161</v>
      </c>
      <c r="C68" s="9" t="s">
        <v>50</v>
      </c>
      <c r="D68" s="20"/>
      <c r="E68" s="15">
        <v>103</v>
      </c>
      <c r="F68" s="56" t="s">
        <v>67</v>
      </c>
      <c r="G68" s="16"/>
    </row>
    <row r="69" spans="1:7" x14ac:dyDescent="0.25">
      <c r="A69" s="49">
        <v>2020</v>
      </c>
      <c r="B69" s="4">
        <v>44166</v>
      </c>
      <c r="C69" s="6" t="s">
        <v>2</v>
      </c>
      <c r="D69" s="19" t="s">
        <v>3</v>
      </c>
      <c r="E69" s="13">
        <f>205893+270</f>
        <v>206163</v>
      </c>
      <c r="F69" s="53"/>
    </row>
    <row r="70" spans="1:7" x14ac:dyDescent="0.25">
      <c r="A70" s="49">
        <v>2020</v>
      </c>
      <c r="B70" s="4">
        <v>44167</v>
      </c>
      <c r="C70" s="6" t="s">
        <v>7</v>
      </c>
      <c r="D70" s="19" t="s">
        <v>4</v>
      </c>
      <c r="E70" s="7">
        <v>1010</v>
      </c>
      <c r="F70" s="53"/>
    </row>
    <row r="71" spans="1:7" x14ac:dyDescent="0.25">
      <c r="A71" s="49">
        <v>2020</v>
      </c>
      <c r="B71" s="4">
        <v>44167</v>
      </c>
      <c r="C71" s="6" t="s">
        <v>64</v>
      </c>
      <c r="D71" s="19" t="s">
        <v>65</v>
      </c>
      <c r="E71" s="5">
        <v>295</v>
      </c>
      <c r="F71" s="53"/>
    </row>
    <row r="72" spans="1:7" x14ac:dyDescent="0.25">
      <c r="A72" s="49">
        <v>2020</v>
      </c>
      <c r="B72" s="43">
        <v>44168</v>
      </c>
      <c r="C72" s="6" t="s">
        <v>6</v>
      </c>
      <c r="D72" s="19" t="s">
        <v>5</v>
      </c>
      <c r="E72" s="7">
        <f>551+2459</f>
        <v>3010</v>
      </c>
      <c r="F72" s="53"/>
    </row>
    <row r="73" spans="1:7" x14ac:dyDescent="0.25">
      <c r="A73" s="49">
        <v>2020</v>
      </c>
      <c r="B73" s="14">
        <v>44172</v>
      </c>
      <c r="C73" s="17" t="s">
        <v>53</v>
      </c>
      <c r="D73" s="21"/>
      <c r="E73" s="15"/>
      <c r="F73" s="57"/>
      <c r="G73" s="16"/>
    </row>
    <row r="74" spans="1:7" x14ac:dyDescent="0.25">
      <c r="A74" s="49">
        <v>2020</v>
      </c>
      <c r="B74" s="14">
        <v>44173</v>
      </c>
      <c r="C74" s="17" t="s">
        <v>51</v>
      </c>
      <c r="D74" s="21"/>
      <c r="E74" s="15"/>
      <c r="F74" s="57"/>
      <c r="G74" s="16"/>
    </row>
    <row r="75" spans="1:7" x14ac:dyDescent="0.25">
      <c r="A75" s="49">
        <v>2020</v>
      </c>
      <c r="B75" s="14">
        <v>44174</v>
      </c>
      <c r="C75" s="17" t="s">
        <v>66</v>
      </c>
      <c r="D75" s="19" t="s">
        <v>121</v>
      </c>
      <c r="E75" s="15">
        <v>169</v>
      </c>
      <c r="F75" s="57"/>
      <c r="G75" s="16"/>
    </row>
    <row r="76" spans="1:7" x14ac:dyDescent="0.25">
      <c r="A76" s="49">
        <v>2020</v>
      </c>
      <c r="B76" s="14">
        <v>44175</v>
      </c>
      <c r="C76" s="17" t="s">
        <v>79</v>
      </c>
      <c r="D76" s="19" t="s">
        <v>122</v>
      </c>
      <c r="E76" s="15">
        <v>100</v>
      </c>
      <c r="F76" s="57"/>
      <c r="G76" s="16"/>
    </row>
    <row r="77" spans="1:7" x14ac:dyDescent="0.25">
      <c r="A77" s="49">
        <v>2020</v>
      </c>
      <c r="B77" s="14">
        <v>44180</v>
      </c>
      <c r="C77" s="17" t="s">
        <v>52</v>
      </c>
      <c r="D77" s="19" t="s">
        <v>123</v>
      </c>
      <c r="E77" s="13">
        <v>4293</v>
      </c>
      <c r="F77" s="57"/>
      <c r="G77" s="16"/>
    </row>
    <row r="78" spans="1:7" x14ac:dyDescent="0.25">
      <c r="A78" s="50">
        <v>2021</v>
      </c>
      <c r="B78" s="4">
        <v>44236</v>
      </c>
      <c r="C78" s="9" t="s">
        <v>128</v>
      </c>
      <c r="D78" s="25" t="s">
        <v>129</v>
      </c>
      <c r="E78" s="5">
        <v>665</v>
      </c>
      <c r="F78" s="53"/>
    </row>
    <row r="79" spans="1:7" x14ac:dyDescent="0.25">
      <c r="A79" s="50">
        <v>2021</v>
      </c>
      <c r="B79" s="14">
        <v>44251</v>
      </c>
      <c r="C79" s="9" t="s">
        <v>126</v>
      </c>
      <c r="D79" s="25" t="s">
        <v>138</v>
      </c>
      <c r="E79" s="5">
        <v>95</v>
      </c>
      <c r="F79" s="53"/>
    </row>
    <row r="80" spans="1:7" x14ac:dyDescent="0.25">
      <c r="A80" s="50">
        <v>2021</v>
      </c>
      <c r="B80" s="4">
        <v>44263</v>
      </c>
      <c r="C80" s="9" t="s">
        <v>132</v>
      </c>
      <c r="D80" s="5" t="s">
        <v>139</v>
      </c>
      <c r="E80" s="5">
        <v>28</v>
      </c>
      <c r="F80" s="53"/>
    </row>
    <row r="81" spans="1:7" x14ac:dyDescent="0.25">
      <c r="A81" s="50">
        <v>2021</v>
      </c>
      <c r="B81" s="4">
        <v>44265</v>
      </c>
      <c r="C81" s="9" t="s">
        <v>128</v>
      </c>
      <c r="D81" s="5" t="s">
        <v>127</v>
      </c>
      <c r="E81" s="5">
        <v>221</v>
      </c>
      <c r="F81" s="53"/>
    </row>
    <row r="82" spans="1:7" x14ac:dyDescent="0.25">
      <c r="A82" s="50">
        <v>2021</v>
      </c>
      <c r="B82" s="4">
        <v>44286</v>
      </c>
      <c r="C82" s="9" t="s">
        <v>130</v>
      </c>
      <c r="D82" s="5" t="s">
        <v>131</v>
      </c>
      <c r="E82" s="7">
        <v>25344</v>
      </c>
      <c r="F82" s="53"/>
    </row>
    <row r="83" spans="1:7" x14ac:dyDescent="0.25">
      <c r="A83" s="50">
        <v>2021</v>
      </c>
      <c r="B83" s="4">
        <v>44301</v>
      </c>
      <c r="C83" s="9" t="s">
        <v>124</v>
      </c>
      <c r="D83" s="5" t="s">
        <v>125</v>
      </c>
      <c r="E83" s="5">
        <v>0</v>
      </c>
      <c r="F83" s="53"/>
    </row>
    <row r="84" spans="1:7" x14ac:dyDescent="0.25">
      <c r="A84" s="50">
        <v>2021</v>
      </c>
      <c r="B84" s="4">
        <v>44328</v>
      </c>
      <c r="C84" s="9" t="s">
        <v>135</v>
      </c>
      <c r="D84" s="5" t="s">
        <v>133</v>
      </c>
      <c r="E84" s="5">
        <v>908</v>
      </c>
      <c r="F84" s="53"/>
    </row>
    <row r="85" spans="1:7" x14ac:dyDescent="0.25">
      <c r="A85" s="50">
        <v>2021</v>
      </c>
      <c r="B85" s="4">
        <v>44341</v>
      </c>
      <c r="C85" s="9" t="s">
        <v>134</v>
      </c>
      <c r="D85" s="5" t="s">
        <v>133</v>
      </c>
      <c r="E85" s="5">
        <v>577</v>
      </c>
      <c r="F85" s="53"/>
      <c r="G85" s="26">
        <f>SUM(E37:E85)</f>
        <v>26369370</v>
      </c>
    </row>
    <row r="86" spans="1:7" x14ac:dyDescent="0.25">
      <c r="A86" s="50">
        <v>2021</v>
      </c>
      <c r="B86" s="4">
        <v>44373</v>
      </c>
      <c r="C86" s="9" t="s">
        <v>137</v>
      </c>
      <c r="D86" s="19" t="s">
        <v>136</v>
      </c>
      <c r="E86" s="7">
        <v>2540</v>
      </c>
      <c r="F86" s="53"/>
    </row>
    <row r="87" spans="1:7" x14ac:dyDescent="0.25">
      <c r="A87" s="50">
        <v>2021</v>
      </c>
      <c r="B87" s="4">
        <v>44410</v>
      </c>
      <c r="C87" s="9" t="s">
        <v>145</v>
      </c>
      <c r="D87" s="19" t="s">
        <v>146</v>
      </c>
      <c r="E87" s="7">
        <v>813</v>
      </c>
      <c r="F87" s="53"/>
    </row>
    <row r="88" spans="1:7" x14ac:dyDescent="0.25">
      <c r="A88" s="50">
        <v>2021</v>
      </c>
      <c r="B88" s="4">
        <v>44413</v>
      </c>
      <c r="C88" s="9" t="s">
        <v>140</v>
      </c>
      <c r="D88" s="5"/>
      <c r="E88" s="5"/>
      <c r="F88" s="58" t="s">
        <v>141</v>
      </c>
    </row>
    <row r="89" spans="1:7" x14ac:dyDescent="0.25">
      <c r="A89" s="50">
        <v>2021</v>
      </c>
      <c r="B89" s="4">
        <v>44420</v>
      </c>
      <c r="C89" s="9" t="s">
        <v>142</v>
      </c>
      <c r="D89" s="19" t="s">
        <v>143</v>
      </c>
      <c r="E89" s="7">
        <v>300</v>
      </c>
      <c r="F89" s="58" t="s">
        <v>144</v>
      </c>
    </row>
    <row r="90" spans="1:7" ht="30" x14ac:dyDescent="0.25">
      <c r="A90" s="50">
        <v>2021</v>
      </c>
      <c r="B90" s="4">
        <v>44425</v>
      </c>
      <c r="C90" s="30" t="s">
        <v>147</v>
      </c>
      <c r="D90" s="19" t="s">
        <v>148</v>
      </c>
      <c r="E90" s="7"/>
      <c r="F90" s="58" t="s">
        <v>149</v>
      </c>
    </row>
    <row r="91" spans="1:7" ht="30" x14ac:dyDescent="0.25">
      <c r="A91" s="50">
        <v>2021</v>
      </c>
      <c r="B91" s="4">
        <v>44427</v>
      </c>
      <c r="C91" s="9" t="s">
        <v>152</v>
      </c>
      <c r="D91" s="19"/>
      <c r="E91" s="29">
        <v>62</v>
      </c>
      <c r="F91" s="59" t="s">
        <v>153</v>
      </c>
    </row>
    <row r="92" spans="1:7" x14ac:dyDescent="0.25">
      <c r="A92" s="50">
        <v>2021</v>
      </c>
      <c r="B92" s="4">
        <v>44433</v>
      </c>
      <c r="C92" s="9" t="s">
        <v>150</v>
      </c>
      <c r="D92" s="19"/>
      <c r="E92" s="7"/>
      <c r="F92" s="58"/>
    </row>
    <row r="93" spans="1:7" x14ac:dyDescent="0.25">
      <c r="A93" s="50">
        <v>2021</v>
      </c>
      <c r="B93" s="4">
        <v>44434</v>
      </c>
      <c r="C93" s="9" t="s">
        <v>151</v>
      </c>
      <c r="D93" s="19"/>
      <c r="E93" s="7"/>
      <c r="F93" s="58"/>
    </row>
    <row r="94" spans="1:7" ht="60" x14ac:dyDescent="0.25">
      <c r="A94" s="50">
        <v>2021</v>
      </c>
      <c r="B94" s="4">
        <v>44453</v>
      </c>
      <c r="C94" s="31" t="s">
        <v>154</v>
      </c>
      <c r="D94" s="19" t="s">
        <v>157</v>
      </c>
      <c r="E94" s="7">
        <v>12061</v>
      </c>
      <c r="F94" s="59" t="s">
        <v>155</v>
      </c>
    </row>
    <row r="95" spans="1:7" ht="30" x14ac:dyDescent="0.25">
      <c r="A95" s="50">
        <v>2021</v>
      </c>
      <c r="B95" s="4">
        <v>44455</v>
      </c>
      <c r="C95" s="30" t="s">
        <v>156</v>
      </c>
      <c r="D95" s="19" t="s">
        <v>158</v>
      </c>
      <c r="E95" s="7">
        <v>565</v>
      </c>
      <c r="F95" s="58" t="s">
        <v>159</v>
      </c>
    </row>
    <row r="96" spans="1:7" ht="60" x14ac:dyDescent="0.25">
      <c r="A96" s="50">
        <v>2021</v>
      </c>
      <c r="B96" s="4">
        <v>44462</v>
      </c>
      <c r="C96" s="31" t="s">
        <v>160</v>
      </c>
      <c r="D96" s="39" t="s">
        <v>107</v>
      </c>
      <c r="E96" s="7">
        <v>150</v>
      </c>
      <c r="F96" s="59" t="s">
        <v>161</v>
      </c>
    </row>
    <row r="97" spans="1:7" x14ac:dyDescent="0.25">
      <c r="A97" s="50">
        <v>2021</v>
      </c>
      <c r="B97" s="4">
        <v>44473</v>
      </c>
      <c r="C97" s="9" t="s">
        <v>165</v>
      </c>
      <c r="D97" s="19" t="s">
        <v>164</v>
      </c>
      <c r="E97" s="7">
        <f>6700+929</f>
        <v>7629</v>
      </c>
      <c r="F97" s="58" t="s">
        <v>166</v>
      </c>
    </row>
    <row r="98" spans="1:7" x14ac:dyDescent="0.25">
      <c r="A98" s="50">
        <v>2021</v>
      </c>
      <c r="B98" s="4">
        <v>44484</v>
      </c>
      <c r="C98" s="9" t="s">
        <v>172</v>
      </c>
      <c r="D98" s="32" t="s">
        <v>171</v>
      </c>
      <c r="E98" s="7">
        <v>30</v>
      </c>
      <c r="F98" s="58"/>
    </row>
    <row r="99" spans="1:7" x14ac:dyDescent="0.25">
      <c r="A99" s="50">
        <v>2021</v>
      </c>
      <c r="B99" s="4">
        <v>44488</v>
      </c>
      <c r="C99" s="9" t="s">
        <v>167</v>
      </c>
      <c r="D99" s="39" t="s">
        <v>107</v>
      </c>
      <c r="E99" s="7">
        <v>115</v>
      </c>
      <c r="F99" s="58" t="s">
        <v>169</v>
      </c>
    </row>
    <row r="100" spans="1:7" x14ac:dyDescent="0.25">
      <c r="A100" s="50">
        <v>2021</v>
      </c>
      <c r="B100" s="4">
        <v>44488</v>
      </c>
      <c r="C100" s="9" t="s">
        <v>167</v>
      </c>
      <c r="D100" s="48" t="s">
        <v>168</v>
      </c>
      <c r="E100" s="7">
        <f>4873+93</f>
        <v>4966</v>
      </c>
      <c r="F100" s="58" t="s">
        <v>170</v>
      </c>
    </row>
    <row r="101" spans="1:7" x14ac:dyDescent="0.25">
      <c r="A101" s="51">
        <v>2021</v>
      </c>
      <c r="B101" s="33">
        <v>44496</v>
      </c>
      <c r="C101" s="9" t="s">
        <v>162</v>
      </c>
      <c r="D101" s="47"/>
      <c r="E101" s="35"/>
      <c r="F101" s="58" t="s">
        <v>170</v>
      </c>
    </row>
    <row r="102" spans="1:7" x14ac:dyDescent="0.25">
      <c r="A102" s="51">
        <v>2021</v>
      </c>
      <c r="B102" s="33">
        <v>44532</v>
      </c>
      <c r="C102" s="9" t="s">
        <v>163</v>
      </c>
      <c r="D102" s="34" t="s">
        <v>107</v>
      </c>
      <c r="E102" s="35">
        <v>150</v>
      </c>
      <c r="F102" s="58" t="s">
        <v>169</v>
      </c>
    </row>
    <row r="103" spans="1:7" x14ac:dyDescent="0.25">
      <c r="A103" s="51">
        <v>2021</v>
      </c>
      <c r="B103" s="33">
        <v>44532</v>
      </c>
      <c r="C103" s="9" t="s">
        <v>163</v>
      </c>
      <c r="D103" s="34" t="s">
        <v>107</v>
      </c>
      <c r="E103" s="35">
        <f>5951+37</f>
        <v>5988</v>
      </c>
      <c r="F103" s="58" t="s">
        <v>170</v>
      </c>
    </row>
    <row r="104" spans="1:7" x14ac:dyDescent="0.25">
      <c r="A104" s="52">
        <v>2022</v>
      </c>
      <c r="B104" s="33">
        <v>44578</v>
      </c>
      <c r="C104" s="9" t="s">
        <v>175</v>
      </c>
      <c r="D104" s="39" t="s">
        <v>107</v>
      </c>
      <c r="E104" s="35"/>
      <c r="F104" s="60"/>
      <c r="G104" s="37"/>
    </row>
    <row r="105" spans="1:7" x14ac:dyDescent="0.25">
      <c r="A105" s="52">
        <v>2022</v>
      </c>
      <c r="B105" s="33">
        <v>44595</v>
      </c>
      <c r="C105" s="9" t="s">
        <v>174</v>
      </c>
      <c r="D105" s="39" t="s">
        <v>173</v>
      </c>
      <c r="E105" s="35"/>
      <c r="F105" s="60"/>
      <c r="G105" s="37"/>
    </row>
    <row r="106" spans="1:7" x14ac:dyDescent="0.25">
      <c r="A106" s="52">
        <v>2022</v>
      </c>
      <c r="B106" s="33">
        <v>44615</v>
      </c>
      <c r="C106" s="9" t="s">
        <v>176</v>
      </c>
      <c r="D106" s="39" t="s">
        <v>177</v>
      </c>
      <c r="E106" s="35"/>
      <c r="F106" s="60"/>
      <c r="G106" s="37"/>
    </row>
    <row r="107" spans="1:7" x14ac:dyDescent="0.25">
      <c r="A107" s="52">
        <v>2022</v>
      </c>
      <c r="B107" s="33">
        <v>44646</v>
      </c>
      <c r="C107" s="9" t="s">
        <v>178</v>
      </c>
      <c r="D107" s="39"/>
      <c r="E107" s="35"/>
      <c r="F107" s="61" t="s">
        <v>179</v>
      </c>
      <c r="G107" s="37"/>
    </row>
    <row r="108" spans="1:7" s="37" customFormat="1" x14ac:dyDescent="0.25">
      <c r="A108" s="52">
        <v>2022</v>
      </c>
      <c r="B108" s="33">
        <v>44681</v>
      </c>
      <c r="C108" s="9" t="s">
        <v>180</v>
      </c>
      <c r="D108" s="39"/>
      <c r="E108" s="35"/>
      <c r="F108" s="62" t="s">
        <v>181</v>
      </c>
    </row>
    <row r="109" spans="1:7" s="37" customFormat="1" x14ac:dyDescent="0.25">
      <c r="A109" s="49">
        <v>2019</v>
      </c>
      <c r="B109" s="4"/>
      <c r="C109" s="9" t="s">
        <v>95</v>
      </c>
      <c r="D109" s="5"/>
      <c r="E109" s="5">
        <v>380</v>
      </c>
      <c r="F109" s="53"/>
      <c r="G109"/>
    </row>
    <row r="110" spans="1:7" s="37" customFormat="1" x14ac:dyDescent="0.25">
      <c r="A110" s="68">
        <v>2020</v>
      </c>
      <c r="B110" s="69"/>
      <c r="C110" s="70" t="s">
        <v>55</v>
      </c>
      <c r="D110" s="71"/>
      <c r="E110" s="72"/>
      <c r="F110" s="73" t="s">
        <v>54</v>
      </c>
      <c r="G110" s="11"/>
    </row>
    <row r="111" spans="1:7" s="37" customFormat="1" x14ac:dyDescent="0.25">
      <c r="A111" s="27"/>
      <c r="B111" s="4"/>
      <c r="C111" s="9"/>
      <c r="D111" s="19"/>
      <c r="E111" s="7"/>
      <c r="F111" s="28"/>
      <c r="G111"/>
    </row>
    <row r="112" spans="1:7" s="37" customFormat="1" x14ac:dyDescent="0.25">
      <c r="A112" s="27"/>
      <c r="B112" s="4"/>
      <c r="C112" s="9"/>
      <c r="D112" s="19"/>
      <c r="E112" s="7"/>
      <c r="F112" s="28"/>
      <c r="G112"/>
    </row>
    <row r="113" spans="1:6" x14ac:dyDescent="0.25">
      <c r="A113" s="38">
        <v>2022</v>
      </c>
      <c r="B113" s="33"/>
      <c r="C113" s="9"/>
      <c r="D113" s="39"/>
      <c r="E113" s="35"/>
      <c r="F113" s="40"/>
    </row>
    <row r="114" spans="1:6" x14ac:dyDescent="0.25">
      <c r="A114" s="38">
        <v>2022</v>
      </c>
      <c r="B114" s="33"/>
      <c r="C114" s="9"/>
      <c r="D114" s="39"/>
      <c r="E114" s="35"/>
      <c r="F114" s="36"/>
    </row>
    <row r="115" spans="1:6" x14ac:dyDescent="0.25">
      <c r="A115" s="38">
        <v>2022</v>
      </c>
      <c r="B115" s="33"/>
      <c r="C115" s="9"/>
      <c r="D115" s="39"/>
      <c r="E115" s="35"/>
      <c r="F115" s="36"/>
    </row>
    <row r="116" spans="1:6" x14ac:dyDescent="0.25">
      <c r="A116" s="38">
        <v>2022</v>
      </c>
      <c r="B116" s="33"/>
      <c r="C116" s="9"/>
      <c r="D116" s="39"/>
      <c r="E116" s="35"/>
      <c r="F116" s="36"/>
    </row>
    <row r="117" spans="1:6" x14ac:dyDescent="0.25">
      <c r="A117" s="38">
        <v>2022</v>
      </c>
      <c r="B117" s="33"/>
      <c r="C117" s="9"/>
      <c r="D117" s="39"/>
      <c r="E117" s="35"/>
      <c r="F117" s="36"/>
    </row>
    <row r="118" spans="1:6" x14ac:dyDescent="0.25">
      <c r="A118" s="38">
        <v>2022</v>
      </c>
      <c r="B118" s="33"/>
      <c r="C118" s="9"/>
      <c r="D118" s="39"/>
      <c r="E118" s="35"/>
      <c r="F118" s="36"/>
    </row>
    <row r="119" spans="1:6" x14ac:dyDescent="0.25">
      <c r="A119" s="38">
        <v>2022</v>
      </c>
      <c r="B119" s="33"/>
      <c r="C119" s="9"/>
      <c r="D119" s="39"/>
      <c r="E119" s="35"/>
      <c r="F119" s="36"/>
    </row>
    <row r="120" spans="1:6" x14ac:dyDescent="0.25">
      <c r="A120" s="38">
        <v>2022</v>
      </c>
      <c r="B120" s="33"/>
      <c r="C120" s="9"/>
      <c r="D120" s="39"/>
      <c r="E120" s="35"/>
      <c r="F120" s="36"/>
    </row>
    <row r="121" spans="1:6" x14ac:dyDescent="0.25">
      <c r="A121" s="38">
        <v>2022</v>
      </c>
      <c r="B121" s="33"/>
      <c r="C121" s="9"/>
      <c r="D121" s="39"/>
      <c r="E121" s="35"/>
      <c r="F121" s="36"/>
    </row>
    <row r="122" spans="1:6" x14ac:dyDescent="0.25">
      <c r="A122" s="38">
        <v>2022</v>
      </c>
      <c r="B122" s="33"/>
      <c r="C122" s="9"/>
      <c r="D122" s="39"/>
      <c r="E122" s="35"/>
      <c r="F122" s="36"/>
    </row>
    <row r="123" spans="1:6" x14ac:dyDescent="0.25">
      <c r="A123" s="38">
        <v>2022</v>
      </c>
      <c r="B123" s="33"/>
      <c r="C123" s="9"/>
      <c r="D123" s="39"/>
      <c r="E123" s="35"/>
      <c r="F123" s="36"/>
    </row>
    <row r="124" spans="1:6" x14ac:dyDescent="0.25">
      <c r="A124" s="38">
        <v>2022</v>
      </c>
      <c r="B124" s="33"/>
      <c r="C124" s="9"/>
      <c r="D124" s="39"/>
      <c r="E124" s="35"/>
      <c r="F124" s="36"/>
    </row>
    <row r="125" spans="1:6" x14ac:dyDescent="0.25">
      <c r="A125" s="38">
        <v>2022</v>
      </c>
      <c r="B125" s="33"/>
      <c r="C125" s="9"/>
      <c r="D125" s="39"/>
      <c r="E125" s="35"/>
      <c r="F125" s="36"/>
    </row>
    <row r="126" spans="1:6" x14ac:dyDescent="0.25">
      <c r="A126" s="38">
        <v>2022</v>
      </c>
      <c r="B126" s="33"/>
      <c r="C126" s="9"/>
      <c r="D126" s="39"/>
      <c r="E126" s="35"/>
      <c r="F126" s="36"/>
    </row>
    <row r="127" spans="1:6" x14ac:dyDescent="0.25">
      <c r="A127" s="38">
        <v>2022</v>
      </c>
      <c r="B127" s="33"/>
      <c r="C127" s="9"/>
      <c r="D127" s="39"/>
      <c r="E127" s="35"/>
      <c r="F127" s="36"/>
    </row>
    <row r="128" spans="1:6" x14ac:dyDescent="0.25">
      <c r="A128" s="38">
        <v>2022</v>
      </c>
      <c r="B128" s="33"/>
      <c r="C128" s="9"/>
      <c r="D128" s="39"/>
      <c r="E128" s="35"/>
      <c r="F128" s="36"/>
    </row>
    <row r="129" spans="1:6" x14ac:dyDescent="0.25">
      <c r="A129" s="38">
        <v>2022</v>
      </c>
      <c r="B129" s="33"/>
      <c r="C129" s="9"/>
      <c r="D129" s="39"/>
      <c r="E129" s="35"/>
      <c r="F129" s="36"/>
    </row>
    <row r="130" spans="1:6" x14ac:dyDescent="0.25">
      <c r="A130" s="38">
        <v>2022</v>
      </c>
      <c r="B130" s="33"/>
      <c r="C130" s="9"/>
      <c r="D130" s="39"/>
      <c r="E130" s="35"/>
      <c r="F130" s="36"/>
    </row>
    <row r="131" spans="1:6" x14ac:dyDescent="0.25">
      <c r="A131" s="38">
        <v>2022</v>
      </c>
      <c r="B131" s="33"/>
      <c r="C131" s="9"/>
      <c r="D131" s="39"/>
      <c r="E131" s="35"/>
      <c r="F131" s="36"/>
    </row>
    <row r="132" spans="1:6" x14ac:dyDescent="0.25">
      <c r="A132" s="38">
        <v>2022</v>
      </c>
      <c r="B132" s="33"/>
      <c r="C132" s="9"/>
      <c r="D132" s="39"/>
      <c r="E132" s="35"/>
      <c r="F132" s="36"/>
    </row>
    <row r="133" spans="1:6" x14ac:dyDescent="0.25">
      <c r="A133" s="38">
        <v>2022</v>
      </c>
      <c r="B133" s="33"/>
      <c r="C133" s="9"/>
      <c r="D133" s="39"/>
      <c r="E133" s="35"/>
      <c r="F133" s="36"/>
    </row>
    <row r="134" spans="1:6" x14ac:dyDescent="0.25">
      <c r="A134" s="38">
        <v>2022</v>
      </c>
      <c r="B134" s="33"/>
      <c r="C134" s="9"/>
      <c r="D134" s="39"/>
      <c r="E134" s="35"/>
      <c r="F134" s="36"/>
    </row>
    <row r="135" spans="1:6" x14ac:dyDescent="0.25">
      <c r="A135" s="38">
        <v>2022</v>
      </c>
      <c r="B135" s="33"/>
      <c r="C135" s="9"/>
      <c r="D135" s="39"/>
      <c r="E135" s="35"/>
      <c r="F135" s="36"/>
    </row>
    <row r="136" spans="1:6" x14ac:dyDescent="0.25">
      <c r="A136" s="38">
        <v>2022</v>
      </c>
      <c r="B136" s="33"/>
      <c r="C136" s="9"/>
      <c r="D136" s="39"/>
      <c r="E136" s="35"/>
      <c r="F136" s="36"/>
    </row>
    <row r="137" spans="1:6" x14ac:dyDescent="0.25">
      <c r="A137" s="38">
        <v>2022</v>
      </c>
      <c r="B137" s="33"/>
      <c r="C137" s="9"/>
      <c r="D137" s="39"/>
      <c r="E137" s="35"/>
      <c r="F137" s="36"/>
    </row>
    <row r="138" spans="1:6" x14ac:dyDescent="0.25">
      <c r="A138" s="38">
        <v>2022</v>
      </c>
      <c r="B138" s="33"/>
      <c r="C138" s="9"/>
      <c r="D138" s="39"/>
      <c r="E138" s="35"/>
      <c r="F138" s="36"/>
    </row>
    <row r="139" spans="1:6" x14ac:dyDescent="0.25">
      <c r="A139" s="38">
        <v>2022</v>
      </c>
      <c r="B139" s="33"/>
      <c r="C139" s="9"/>
      <c r="D139" s="39"/>
      <c r="E139" s="35"/>
      <c r="F139" s="36"/>
    </row>
    <row r="140" spans="1:6" x14ac:dyDescent="0.25">
      <c r="A140" s="38">
        <v>2022</v>
      </c>
      <c r="B140" s="33"/>
      <c r="C140" s="9"/>
      <c r="D140" s="39"/>
      <c r="E140" s="35"/>
      <c r="F140" s="36"/>
    </row>
    <row r="141" spans="1:6" x14ac:dyDescent="0.25">
      <c r="A141" s="38">
        <v>2022</v>
      </c>
      <c r="B141" s="33"/>
      <c r="C141" s="9"/>
      <c r="D141" s="39"/>
      <c r="E141" s="35"/>
      <c r="F141" s="36"/>
    </row>
    <row r="142" spans="1:6" x14ac:dyDescent="0.25">
      <c r="A142" s="38">
        <v>2022</v>
      </c>
      <c r="B142" s="33"/>
      <c r="C142" s="9"/>
      <c r="D142" s="39"/>
      <c r="E142" s="35"/>
      <c r="F142" s="36"/>
    </row>
    <row r="143" spans="1:6" x14ac:dyDescent="0.25">
      <c r="A143" s="38">
        <v>2022</v>
      </c>
      <c r="B143" s="33"/>
      <c r="C143" s="9"/>
      <c r="D143" s="39"/>
      <c r="E143" s="35"/>
      <c r="F143" s="36"/>
    </row>
    <row r="144" spans="1:6" x14ac:dyDescent="0.25">
      <c r="A144" s="38">
        <v>2022</v>
      </c>
      <c r="B144" s="33"/>
      <c r="C144" s="9"/>
      <c r="D144" s="39"/>
      <c r="E144" s="35"/>
      <c r="F144" s="36"/>
    </row>
    <row r="145" spans="1:6" x14ac:dyDescent="0.25">
      <c r="A145" s="38">
        <v>2022</v>
      </c>
      <c r="B145" s="33"/>
      <c r="C145" s="9"/>
      <c r="D145" s="39"/>
      <c r="E145" s="35"/>
      <c r="F145" s="36"/>
    </row>
  </sheetData>
  <hyperlinks>
    <hyperlink ref="D69" r:id="rId1" xr:uid="{00000000-0004-0000-0000-000000000000}"/>
    <hyperlink ref="D70" r:id="rId2" xr:uid="{00000000-0004-0000-0000-000001000000}"/>
    <hyperlink ref="D72" r:id="rId3" xr:uid="{00000000-0004-0000-0000-000002000000}"/>
    <hyperlink ref="D56" r:id="rId4" xr:uid="{00000000-0004-0000-0000-000003000000}"/>
    <hyperlink ref="D62" r:id="rId5" xr:uid="{00000000-0004-0000-0000-000004000000}"/>
    <hyperlink ref="D52" r:id="rId6" xr:uid="{00000000-0004-0000-0000-000005000000}"/>
    <hyperlink ref="D55" r:id="rId7" xr:uid="{00000000-0004-0000-0000-000006000000}"/>
    <hyperlink ref="D47" r:id="rId8" xr:uid="{00000000-0004-0000-0000-000007000000}"/>
    <hyperlink ref="D49" r:id="rId9" xr:uid="{00000000-0004-0000-0000-000008000000}"/>
    <hyperlink ref="D54" r:id="rId10" xr:uid="{00000000-0004-0000-0000-000009000000}"/>
    <hyperlink ref="D45" r:id="rId11" xr:uid="{00000000-0004-0000-0000-00000A000000}"/>
    <hyperlink ref="D63" r:id="rId12" xr:uid="{00000000-0004-0000-0000-00000B000000}"/>
    <hyperlink ref="D57" r:id="rId13" xr:uid="{00000000-0004-0000-0000-00000C000000}"/>
    <hyperlink ref="D44" r:id="rId14" xr:uid="{00000000-0004-0000-0000-00000D000000}"/>
    <hyperlink ref="D41" r:id="rId15" xr:uid="{00000000-0004-0000-0000-00000E000000}"/>
    <hyperlink ref="D53" r:id="rId16" xr:uid="{00000000-0004-0000-0000-00000F000000}"/>
    <hyperlink ref="D67" r:id="rId17" xr:uid="{00000000-0004-0000-0000-000010000000}"/>
    <hyperlink ref="D71" r:id="rId18" xr:uid="{00000000-0004-0000-0000-000011000000}"/>
    <hyperlink ref="D66" r:id="rId19" xr:uid="{00000000-0004-0000-0000-000012000000}"/>
    <hyperlink ref="D64" r:id="rId20" xr:uid="{00000000-0004-0000-0000-000013000000}"/>
    <hyperlink ref="D65" r:id="rId21" xr:uid="{00000000-0004-0000-0000-000014000000}"/>
    <hyperlink ref="D75" r:id="rId22" xr:uid="{00000000-0004-0000-0000-000015000000}"/>
    <hyperlink ref="D76" r:id="rId23" xr:uid="{00000000-0004-0000-0000-000016000000}"/>
    <hyperlink ref="D78" r:id="rId24" xr:uid="{00000000-0004-0000-0000-000017000000}"/>
    <hyperlink ref="D77" r:id="rId25" xr:uid="{00000000-0004-0000-0000-000018000000}"/>
    <hyperlink ref="D86" r:id="rId26" xr:uid="{00000000-0004-0000-0000-000019000000}"/>
    <hyperlink ref="D79" r:id="rId27" xr:uid="{00000000-0004-0000-0000-00001A000000}"/>
    <hyperlink ref="D89" r:id="rId28" xr:uid="{00000000-0004-0000-0000-00001B000000}"/>
    <hyperlink ref="D87" r:id="rId29" xr:uid="{00000000-0004-0000-0000-00001C000000}"/>
    <hyperlink ref="D94" r:id="rId30" xr:uid="{00000000-0004-0000-0000-00001D000000}"/>
    <hyperlink ref="D95" r:id="rId31" xr:uid="{00000000-0004-0000-0000-00001E000000}"/>
    <hyperlink ref="D97" r:id="rId32" xr:uid="{00000000-0004-0000-0000-00001F000000}"/>
    <hyperlink ref="D100" r:id="rId33" xr:uid="{00000000-0004-0000-0000-000020000000}"/>
  </hyperlinks>
  <pageMargins left="0.511811024" right="0.511811024" top="0.78740157499999996" bottom="0.78740157499999996" header="0.31496062000000002" footer="0.31496062000000002"/>
  <pageSetup orientation="portrait" r:id="rId34"/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CCA1-F473-47FF-A23A-DB0D07A36BFA}">
  <dimension ref="A1:V144"/>
  <sheetViews>
    <sheetView tabSelected="1" topLeftCell="B1" zoomScale="90" zoomScaleNormal="90" workbookViewId="0">
      <selection activeCell="F21" sqref="F21"/>
    </sheetView>
  </sheetViews>
  <sheetFormatPr defaultColWidth="10.28515625" defaultRowHeight="15" x14ac:dyDescent="0.25"/>
  <cols>
    <col min="1" max="1" width="18" bestFit="1" customWidth="1"/>
    <col min="2" max="2" width="9.140625" customWidth="1"/>
    <col min="3" max="3" width="51.7109375" customWidth="1"/>
    <col min="4" max="4" width="26" customWidth="1"/>
    <col min="5" max="5" width="6.28515625" customWidth="1"/>
    <col min="6" max="6" width="22.140625" customWidth="1"/>
    <col min="7" max="9" width="11.5703125" customWidth="1"/>
    <col min="10" max="12" width="18.7109375" customWidth="1"/>
    <col min="13" max="13" width="15.7109375" bestFit="1" customWidth="1"/>
  </cols>
  <sheetData>
    <row r="1" spans="1:6" x14ac:dyDescent="0.25">
      <c r="C1" s="41" t="s">
        <v>284</v>
      </c>
      <c r="D1" t="s">
        <v>186</v>
      </c>
    </row>
    <row r="2" spans="1:6" ht="20.25" x14ac:dyDescent="0.35">
      <c r="C2" s="78" t="str">
        <f>"Eventos em "&amp;D1 &amp;": "&amp;C4</f>
        <v>Eventos em 2019: 6</v>
      </c>
    </row>
    <row r="3" spans="1:6" x14ac:dyDescent="0.25">
      <c r="C3" t="s">
        <v>296</v>
      </c>
    </row>
    <row r="4" spans="1:6" x14ac:dyDescent="0.25">
      <c r="C4" s="46">
        <v>6</v>
      </c>
    </row>
    <row r="6" spans="1:6" ht="33.75" customHeight="1" x14ac:dyDescent="0.35">
      <c r="C6" s="78" t="str">
        <f>"Em "&amp;D8&amp;" de "&amp;D7&amp;" Tivemos "&amp;C11 &amp;" Evento(s), Público/Visualizações "&amp;TEXT(D11,"#.##0")</f>
        <v>Em ago de 2019 Tivemos 6 Evento(s), Público/Visualizações 1.250</v>
      </c>
      <c r="D6" s="79"/>
      <c r="E6" s="79"/>
    </row>
    <row r="7" spans="1:6" x14ac:dyDescent="0.25">
      <c r="C7" s="41" t="s">
        <v>284</v>
      </c>
      <c r="D7" t="s">
        <v>186</v>
      </c>
    </row>
    <row r="8" spans="1:6" x14ac:dyDescent="0.25">
      <c r="C8" s="41" t="s">
        <v>282</v>
      </c>
      <c r="D8" t="s">
        <v>191</v>
      </c>
    </row>
    <row r="10" spans="1:6" ht="30" x14ac:dyDescent="0.25">
      <c r="A10" s="41" t="s">
        <v>182</v>
      </c>
      <c r="C10" t="s">
        <v>292</v>
      </c>
      <c r="D10" s="76" t="s">
        <v>294</v>
      </c>
    </row>
    <row r="11" spans="1:6" x14ac:dyDescent="0.25">
      <c r="A11" s="42" t="s">
        <v>185</v>
      </c>
      <c r="C11" s="46">
        <v>6</v>
      </c>
      <c r="D11" s="77">
        <v>1250</v>
      </c>
    </row>
    <row r="12" spans="1:6" x14ac:dyDescent="0.25">
      <c r="A12" s="44" t="s">
        <v>185</v>
      </c>
    </row>
    <row r="13" spans="1:6" x14ac:dyDescent="0.25">
      <c r="A13" s="45" t="s">
        <v>183</v>
      </c>
    </row>
    <row r="14" spans="1:6" ht="47.25" x14ac:dyDescent="0.25">
      <c r="A14" s="42" t="s">
        <v>186</v>
      </c>
      <c r="C14" s="41" t="s">
        <v>291</v>
      </c>
      <c r="D14" s="76" t="s">
        <v>295</v>
      </c>
      <c r="F14" s="80" t="s">
        <v>293</v>
      </c>
    </row>
    <row r="15" spans="1:6" x14ac:dyDescent="0.25">
      <c r="A15" s="44" t="s">
        <v>187</v>
      </c>
      <c r="C15" s="42" t="s">
        <v>88</v>
      </c>
      <c r="D15" s="74">
        <v>370</v>
      </c>
      <c r="F15" s="75">
        <f>IF(D15=0,"",D15/SUM($D$15:$E$105))</f>
        <v>0.29599999999999999</v>
      </c>
    </row>
    <row r="16" spans="1:6" x14ac:dyDescent="0.25">
      <c r="A16" s="45" t="s">
        <v>209</v>
      </c>
      <c r="C16" s="42" t="s">
        <v>87</v>
      </c>
      <c r="D16" s="74">
        <v>300</v>
      </c>
      <c r="F16" s="75">
        <f t="shared" ref="F16:F24" si="0">IF(D16=0,"",D16/SUM($D$15:$E$105))</f>
        <v>0.24</v>
      </c>
    </row>
    <row r="17" spans="1:6" x14ac:dyDescent="0.25">
      <c r="A17" s="45" t="s">
        <v>210</v>
      </c>
      <c r="C17" s="42" t="s">
        <v>90</v>
      </c>
      <c r="D17" s="74">
        <v>280</v>
      </c>
      <c r="F17" s="75">
        <f t="shared" si="0"/>
        <v>0.224</v>
      </c>
    </row>
    <row r="18" spans="1:6" x14ac:dyDescent="0.25">
      <c r="A18" s="44" t="s">
        <v>188</v>
      </c>
      <c r="C18" s="42" t="s">
        <v>100</v>
      </c>
      <c r="D18" s="74">
        <v>200</v>
      </c>
      <c r="F18" s="75">
        <f t="shared" si="0"/>
        <v>0.16</v>
      </c>
    </row>
    <row r="19" spans="1:6" x14ac:dyDescent="0.25">
      <c r="A19" s="45" t="s">
        <v>214</v>
      </c>
      <c r="C19" s="42" t="s">
        <v>78</v>
      </c>
      <c r="D19" s="74">
        <v>80</v>
      </c>
      <c r="F19" s="75">
        <f t="shared" si="0"/>
        <v>6.4000000000000001E-2</v>
      </c>
    </row>
    <row r="20" spans="1:6" x14ac:dyDescent="0.25">
      <c r="A20" s="45" t="s">
        <v>217</v>
      </c>
      <c r="C20" s="42" t="s">
        <v>74</v>
      </c>
      <c r="D20" s="74">
        <v>20</v>
      </c>
      <c r="F20" s="75">
        <f t="shared" si="0"/>
        <v>1.6E-2</v>
      </c>
    </row>
    <row r="21" spans="1:6" x14ac:dyDescent="0.25">
      <c r="A21" s="45" t="s">
        <v>218</v>
      </c>
      <c r="F21" s="75" t="str">
        <f t="shared" si="0"/>
        <v/>
      </c>
    </row>
    <row r="22" spans="1:6" x14ac:dyDescent="0.25">
      <c r="A22" s="44" t="s">
        <v>189</v>
      </c>
      <c r="F22" s="75" t="str">
        <f t="shared" si="0"/>
        <v/>
      </c>
    </row>
    <row r="23" spans="1:6" x14ac:dyDescent="0.25">
      <c r="A23" s="45" t="s">
        <v>222</v>
      </c>
      <c r="F23" s="75" t="str">
        <f t="shared" si="0"/>
        <v/>
      </c>
    </row>
    <row r="24" spans="1:6" x14ac:dyDescent="0.25">
      <c r="A24" s="45" t="s">
        <v>223</v>
      </c>
      <c r="F24" s="75" t="str">
        <f t="shared" si="0"/>
        <v/>
      </c>
    </row>
    <row r="25" spans="1:6" x14ac:dyDescent="0.25">
      <c r="A25" s="44" t="s">
        <v>190</v>
      </c>
    </row>
    <row r="26" spans="1:6" x14ac:dyDescent="0.25">
      <c r="A26" s="45" t="s">
        <v>225</v>
      </c>
    </row>
    <row r="27" spans="1:6" x14ac:dyDescent="0.25">
      <c r="A27" s="45" t="s">
        <v>226</v>
      </c>
    </row>
    <row r="28" spans="1:6" x14ac:dyDescent="0.25">
      <c r="A28" s="45" t="s">
        <v>227</v>
      </c>
    </row>
    <row r="29" spans="1:6" x14ac:dyDescent="0.25">
      <c r="A29" s="45" t="s">
        <v>228</v>
      </c>
    </row>
    <row r="30" spans="1:6" x14ac:dyDescent="0.25">
      <c r="A30" s="45" t="s">
        <v>229</v>
      </c>
    </row>
    <row r="31" spans="1:6" x14ac:dyDescent="0.25">
      <c r="A31" s="45" t="s">
        <v>230</v>
      </c>
    </row>
    <row r="32" spans="1:6" x14ac:dyDescent="0.25">
      <c r="A32" s="45" t="s">
        <v>231</v>
      </c>
    </row>
    <row r="33" spans="1:1" x14ac:dyDescent="0.25">
      <c r="A33" s="45" t="s">
        <v>232</v>
      </c>
    </row>
    <row r="34" spans="1:1" x14ac:dyDescent="0.25">
      <c r="A34" s="45" t="s">
        <v>233</v>
      </c>
    </row>
    <row r="35" spans="1:1" x14ac:dyDescent="0.25">
      <c r="A35" s="45" t="s">
        <v>234</v>
      </c>
    </row>
    <row r="36" spans="1:1" x14ac:dyDescent="0.25">
      <c r="A36" s="44" t="s">
        <v>191</v>
      </c>
    </row>
    <row r="37" spans="1:1" x14ac:dyDescent="0.25">
      <c r="A37" s="45" t="s">
        <v>237</v>
      </c>
    </row>
    <row r="38" spans="1:1" x14ac:dyDescent="0.25">
      <c r="A38" s="45" t="s">
        <v>239</v>
      </c>
    </row>
    <row r="39" spans="1:1" x14ac:dyDescent="0.25">
      <c r="A39" s="45" t="s">
        <v>240</v>
      </c>
    </row>
    <row r="40" spans="1:1" x14ac:dyDescent="0.25">
      <c r="A40" s="45" t="s">
        <v>242</v>
      </c>
    </row>
    <row r="41" spans="1:1" x14ac:dyDescent="0.25">
      <c r="A41" s="45" t="s">
        <v>246</v>
      </c>
    </row>
    <row r="42" spans="1:1" x14ac:dyDescent="0.25">
      <c r="A42" s="45" t="s">
        <v>249</v>
      </c>
    </row>
    <row r="43" spans="1:1" x14ac:dyDescent="0.25">
      <c r="A43" s="44" t="s">
        <v>192</v>
      </c>
    </row>
    <row r="44" spans="1:1" x14ac:dyDescent="0.25">
      <c r="A44" s="45" t="s">
        <v>253</v>
      </c>
    </row>
    <row r="45" spans="1:1" x14ac:dyDescent="0.25">
      <c r="A45" s="45" t="s">
        <v>258</v>
      </c>
    </row>
    <row r="46" spans="1:1" x14ac:dyDescent="0.25">
      <c r="A46" s="45" t="s">
        <v>259</v>
      </c>
    </row>
    <row r="47" spans="1:1" x14ac:dyDescent="0.25">
      <c r="A47" s="44" t="s">
        <v>193</v>
      </c>
    </row>
    <row r="48" spans="1:1" x14ac:dyDescent="0.25">
      <c r="A48" s="45" t="s">
        <v>264</v>
      </c>
    </row>
    <row r="49" spans="1:1" x14ac:dyDescent="0.25">
      <c r="A49" s="45" t="s">
        <v>265</v>
      </c>
    </row>
    <row r="50" spans="1:1" x14ac:dyDescent="0.25">
      <c r="A50" s="44" t="s">
        <v>194</v>
      </c>
    </row>
    <row r="51" spans="1:1" x14ac:dyDescent="0.25">
      <c r="A51" s="45" t="s">
        <v>280</v>
      </c>
    </row>
    <row r="52" spans="1:1" x14ac:dyDescent="0.25">
      <c r="A52" s="42" t="s">
        <v>195</v>
      </c>
    </row>
    <row r="53" spans="1:1" x14ac:dyDescent="0.25">
      <c r="A53" s="44" t="s">
        <v>187</v>
      </c>
    </row>
    <row r="54" spans="1:1" x14ac:dyDescent="0.25">
      <c r="A54" s="45" t="s">
        <v>201</v>
      </c>
    </row>
    <row r="55" spans="1:1" x14ac:dyDescent="0.25">
      <c r="A55" s="45" t="s">
        <v>202</v>
      </c>
    </row>
    <row r="56" spans="1:1" x14ac:dyDescent="0.25">
      <c r="A56" s="45" t="s">
        <v>203</v>
      </c>
    </row>
    <row r="57" spans="1:1" x14ac:dyDescent="0.25">
      <c r="A57" s="45" t="s">
        <v>204</v>
      </c>
    </row>
    <row r="58" spans="1:1" x14ac:dyDescent="0.25">
      <c r="A58" s="45" t="s">
        <v>205</v>
      </c>
    </row>
    <row r="59" spans="1:1" x14ac:dyDescent="0.25">
      <c r="A59" s="45" t="s">
        <v>206</v>
      </c>
    </row>
    <row r="60" spans="1:1" x14ac:dyDescent="0.25">
      <c r="A60" s="45" t="s">
        <v>207</v>
      </c>
    </row>
    <row r="61" spans="1:1" x14ac:dyDescent="0.25">
      <c r="A61" s="44" t="s">
        <v>188</v>
      </c>
    </row>
    <row r="62" spans="1:1" x14ac:dyDescent="0.25">
      <c r="A62" s="45" t="s">
        <v>215</v>
      </c>
    </row>
    <row r="63" spans="1:1" x14ac:dyDescent="0.25">
      <c r="A63" s="45" t="s">
        <v>219</v>
      </c>
    </row>
    <row r="64" spans="1:1" x14ac:dyDescent="0.25">
      <c r="A64" s="44" t="s">
        <v>190</v>
      </c>
    </row>
    <row r="65" spans="1:1" x14ac:dyDescent="0.25">
      <c r="A65" s="45" t="s">
        <v>229</v>
      </c>
    </row>
    <row r="66" spans="1:1" x14ac:dyDescent="0.25">
      <c r="A66" s="45" t="s">
        <v>231</v>
      </c>
    </row>
    <row r="67" spans="1:1" x14ac:dyDescent="0.25">
      <c r="A67" s="45" t="s">
        <v>235</v>
      </c>
    </row>
    <row r="68" spans="1:1" x14ac:dyDescent="0.25">
      <c r="A68" s="44" t="s">
        <v>191</v>
      </c>
    </row>
    <row r="69" spans="1:1" x14ac:dyDescent="0.25">
      <c r="A69" s="45" t="s">
        <v>239</v>
      </c>
    </row>
    <row r="70" spans="1:1" x14ac:dyDescent="0.25">
      <c r="A70" s="45" t="s">
        <v>242</v>
      </c>
    </row>
    <row r="71" spans="1:1" x14ac:dyDescent="0.25">
      <c r="A71" s="45" t="s">
        <v>243</v>
      </c>
    </row>
    <row r="72" spans="1:1" x14ac:dyDescent="0.25">
      <c r="A72" s="45" t="s">
        <v>245</v>
      </c>
    </row>
    <row r="73" spans="1:1" x14ac:dyDescent="0.25">
      <c r="A73" s="45" t="s">
        <v>250</v>
      </c>
    </row>
    <row r="74" spans="1:1" x14ac:dyDescent="0.25">
      <c r="A74" s="44" t="s">
        <v>192</v>
      </c>
    </row>
    <row r="75" spans="1:1" x14ac:dyDescent="0.25">
      <c r="A75" s="45" t="s">
        <v>251</v>
      </c>
    </row>
    <row r="76" spans="1:1" x14ac:dyDescent="0.25">
      <c r="A76" s="45" t="s">
        <v>252</v>
      </c>
    </row>
    <row r="77" spans="1:1" x14ac:dyDescent="0.25">
      <c r="A77" s="45" t="s">
        <v>255</v>
      </c>
    </row>
    <row r="78" spans="1:1" x14ac:dyDescent="0.25">
      <c r="A78" s="45" t="s">
        <v>256</v>
      </c>
    </row>
    <row r="79" spans="1:1" x14ac:dyDescent="0.25">
      <c r="A79" s="45" t="s">
        <v>258</v>
      </c>
    </row>
    <row r="80" spans="1:1" x14ac:dyDescent="0.25">
      <c r="A80" s="44" t="s">
        <v>193</v>
      </c>
    </row>
    <row r="81" spans="1:1" x14ac:dyDescent="0.25">
      <c r="A81" s="45" t="s">
        <v>261</v>
      </c>
    </row>
    <row r="82" spans="1:1" x14ac:dyDescent="0.25">
      <c r="A82" s="45" t="s">
        <v>262</v>
      </c>
    </row>
    <row r="83" spans="1:1" x14ac:dyDescent="0.25">
      <c r="A83" s="45" t="s">
        <v>263</v>
      </c>
    </row>
    <row r="84" spans="1:1" x14ac:dyDescent="0.25">
      <c r="A84" s="45" t="s">
        <v>267</v>
      </c>
    </row>
    <row r="85" spans="1:1" x14ac:dyDescent="0.25">
      <c r="A85" s="45" t="s">
        <v>268</v>
      </c>
    </row>
    <row r="86" spans="1:1" x14ac:dyDescent="0.25">
      <c r="A86" s="44" t="s">
        <v>196</v>
      </c>
    </row>
    <row r="87" spans="1:1" x14ac:dyDescent="0.25">
      <c r="A87" s="45" t="s">
        <v>269</v>
      </c>
    </row>
    <row r="88" spans="1:1" x14ac:dyDescent="0.25">
      <c r="A88" s="45" t="s">
        <v>270</v>
      </c>
    </row>
    <row r="89" spans="1:1" x14ac:dyDescent="0.25">
      <c r="A89" s="45" t="s">
        <v>271</v>
      </c>
    </row>
    <row r="90" spans="1:1" x14ac:dyDescent="0.25">
      <c r="A90" s="45" t="s">
        <v>272</v>
      </c>
    </row>
    <row r="91" spans="1:1" x14ac:dyDescent="0.25">
      <c r="A91" s="44" t="s">
        <v>194</v>
      </c>
    </row>
    <row r="92" spans="1:1" x14ac:dyDescent="0.25">
      <c r="A92" s="45" t="s">
        <v>273</v>
      </c>
    </row>
    <row r="93" spans="1:1" x14ac:dyDescent="0.25">
      <c r="A93" s="45" t="s">
        <v>274</v>
      </c>
    </row>
    <row r="94" spans="1:1" x14ac:dyDescent="0.25">
      <c r="A94" s="45" t="s">
        <v>275</v>
      </c>
    </row>
    <row r="95" spans="1:1" x14ac:dyDescent="0.25">
      <c r="A95" s="45" t="s">
        <v>276</v>
      </c>
    </row>
    <row r="96" spans="1:1" x14ac:dyDescent="0.25">
      <c r="A96" s="45" t="s">
        <v>277</v>
      </c>
    </row>
    <row r="97" spans="1:1" x14ac:dyDescent="0.25">
      <c r="A97" s="45" t="s">
        <v>278</v>
      </c>
    </row>
    <row r="98" spans="1:1" x14ac:dyDescent="0.25">
      <c r="A98" s="45" t="s">
        <v>279</v>
      </c>
    </row>
    <row r="99" spans="1:1" x14ac:dyDescent="0.25">
      <c r="A99" s="45" t="s">
        <v>281</v>
      </c>
    </row>
    <row r="100" spans="1:1" x14ac:dyDescent="0.25">
      <c r="A100" s="42" t="s">
        <v>197</v>
      </c>
    </row>
    <row r="101" spans="1:1" x14ac:dyDescent="0.25">
      <c r="A101" s="44" t="s">
        <v>187</v>
      </c>
    </row>
    <row r="102" spans="1:1" x14ac:dyDescent="0.25">
      <c r="A102" s="45" t="s">
        <v>200</v>
      </c>
    </row>
    <row r="103" spans="1:1" x14ac:dyDescent="0.25">
      <c r="A103" s="45" t="s">
        <v>208</v>
      </c>
    </row>
    <row r="104" spans="1:1" x14ac:dyDescent="0.25">
      <c r="A104" s="44" t="s">
        <v>198</v>
      </c>
    </row>
    <row r="105" spans="1:1" x14ac:dyDescent="0.25">
      <c r="A105" s="45" t="s">
        <v>211</v>
      </c>
    </row>
    <row r="106" spans="1:1" x14ac:dyDescent="0.25">
      <c r="A106" s="45" t="s">
        <v>212</v>
      </c>
    </row>
    <row r="107" spans="1:1" x14ac:dyDescent="0.25">
      <c r="A107" s="45" t="s">
        <v>213</v>
      </c>
    </row>
    <row r="108" spans="1:1" x14ac:dyDescent="0.25">
      <c r="A108" s="44" t="s">
        <v>188</v>
      </c>
    </row>
    <row r="109" spans="1:1" x14ac:dyDescent="0.25">
      <c r="A109" s="45" t="s">
        <v>216</v>
      </c>
    </row>
    <row r="110" spans="1:1" x14ac:dyDescent="0.25">
      <c r="A110" s="44" t="s">
        <v>199</v>
      </c>
    </row>
    <row r="111" spans="1:1" x14ac:dyDescent="0.25">
      <c r="A111" s="45" t="s">
        <v>220</v>
      </c>
    </row>
    <row r="112" spans="1:1" x14ac:dyDescent="0.25">
      <c r="A112" s="45" t="s">
        <v>221</v>
      </c>
    </row>
    <row r="113" spans="1:1" x14ac:dyDescent="0.25">
      <c r="A113" s="44" t="s">
        <v>189</v>
      </c>
    </row>
    <row r="114" spans="1:1" x14ac:dyDescent="0.25">
      <c r="A114" s="45" t="s">
        <v>224</v>
      </c>
    </row>
    <row r="115" spans="1:1" x14ac:dyDescent="0.25">
      <c r="A115" s="44" t="s">
        <v>191</v>
      </c>
    </row>
    <row r="116" spans="1:1" x14ac:dyDescent="0.25">
      <c r="A116" s="45" t="s">
        <v>236</v>
      </c>
    </row>
    <row r="117" spans="1:1" x14ac:dyDescent="0.25">
      <c r="A117" s="45" t="s">
        <v>238</v>
      </c>
    </row>
    <row r="118" spans="1:1" x14ac:dyDescent="0.25">
      <c r="A118" s="45" t="s">
        <v>241</v>
      </c>
    </row>
    <row r="119" spans="1:1" x14ac:dyDescent="0.25">
      <c r="A119" s="45" t="s">
        <v>242</v>
      </c>
    </row>
    <row r="120" spans="1:1" x14ac:dyDescent="0.25">
      <c r="A120" s="45" t="s">
        <v>244</v>
      </c>
    </row>
    <row r="121" spans="1:1" x14ac:dyDescent="0.25">
      <c r="A121" s="45" t="s">
        <v>247</v>
      </c>
    </row>
    <row r="122" spans="1:1" x14ac:dyDescent="0.25">
      <c r="A122" s="45" t="s">
        <v>248</v>
      </c>
    </row>
    <row r="123" spans="1:1" x14ac:dyDescent="0.25">
      <c r="A123" s="44" t="s">
        <v>192</v>
      </c>
    </row>
    <row r="124" spans="1:1" x14ac:dyDescent="0.25">
      <c r="A124" s="45" t="s">
        <v>254</v>
      </c>
    </row>
    <row r="125" spans="1:1" x14ac:dyDescent="0.25">
      <c r="A125" s="45" t="s">
        <v>255</v>
      </c>
    </row>
    <row r="126" spans="1:1" x14ac:dyDescent="0.25">
      <c r="A126" s="45" t="s">
        <v>257</v>
      </c>
    </row>
    <row r="127" spans="1:1" x14ac:dyDescent="0.25">
      <c r="A127" s="44" t="s">
        <v>193</v>
      </c>
    </row>
    <row r="128" spans="1:1" x14ac:dyDescent="0.25">
      <c r="A128" s="45" t="s">
        <v>260</v>
      </c>
    </row>
    <row r="129" spans="1:1" x14ac:dyDescent="0.25">
      <c r="A129" s="45" t="s">
        <v>264</v>
      </c>
    </row>
    <row r="130" spans="1:1" x14ac:dyDescent="0.25">
      <c r="A130" s="45" t="s">
        <v>266</v>
      </c>
    </row>
    <row r="131" spans="1:1" x14ac:dyDescent="0.25">
      <c r="A131" s="45" t="s">
        <v>267</v>
      </c>
    </row>
    <row r="132" spans="1:1" x14ac:dyDescent="0.25">
      <c r="A132" s="44" t="s">
        <v>194</v>
      </c>
    </row>
    <row r="133" spans="1:1" x14ac:dyDescent="0.25">
      <c r="A133" s="45" t="s">
        <v>274</v>
      </c>
    </row>
    <row r="134" spans="1:1" x14ac:dyDescent="0.25">
      <c r="A134" s="42" t="s">
        <v>285</v>
      </c>
    </row>
    <row r="135" spans="1:1" x14ac:dyDescent="0.25">
      <c r="A135" s="44" t="s">
        <v>283</v>
      </c>
    </row>
    <row r="136" spans="1:1" x14ac:dyDescent="0.25">
      <c r="A136" s="45" t="s">
        <v>286</v>
      </c>
    </row>
    <row r="137" spans="1:1" x14ac:dyDescent="0.25">
      <c r="A137" s="44" t="s">
        <v>187</v>
      </c>
    </row>
    <row r="138" spans="1:1" x14ac:dyDescent="0.25">
      <c r="A138" s="45" t="s">
        <v>287</v>
      </c>
    </row>
    <row r="139" spans="1:1" x14ac:dyDescent="0.25">
      <c r="A139" s="45" t="s">
        <v>288</v>
      </c>
    </row>
    <row r="140" spans="1:1" x14ac:dyDescent="0.25">
      <c r="A140" s="44" t="s">
        <v>198</v>
      </c>
    </row>
    <row r="141" spans="1:1" x14ac:dyDescent="0.25">
      <c r="A141" s="45" t="s">
        <v>289</v>
      </c>
    </row>
    <row r="142" spans="1:1" x14ac:dyDescent="0.25">
      <c r="A142" s="44" t="s">
        <v>188</v>
      </c>
    </row>
    <row r="143" spans="1:1" x14ac:dyDescent="0.25">
      <c r="A143" s="45" t="s">
        <v>290</v>
      </c>
    </row>
    <row r="144" spans="1:1" x14ac:dyDescent="0.25">
      <c r="A144" s="42" t="s">
        <v>184</v>
      </c>
    </row>
  </sheetData>
  <conditionalFormatting sqref="C15:C1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{F019EA98-560A-42B2-A7B3-0B12783F9861}</x14:id>
        </ext>
      </extLst>
    </cfRule>
  </conditionalFormatting>
  <conditionalFormatting sqref="C15:C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{CB5A10B3-5889-4951-970A-908827311BB9}</x14:id>
        </ext>
      </extLst>
    </cfRule>
  </conditionalFormatting>
  <conditionalFormatting sqref="F15:F1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{9BC6BE6A-6530-46ED-A4E4-5D9F01ABEE57}</x14:id>
        </ext>
      </extLst>
    </cfRule>
  </conditionalFormatting>
  <conditionalFormatting sqref="F15:F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{902833C1-52AA-4BDE-A002-B698AFCF9DED}</x14:id>
        </ext>
      </extLst>
    </cfRule>
  </conditionalFormatting>
  <conditionalFormatting sqref="F15:F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{8ADEA212-6E5F-4624-877B-5C1E6CB1519A}</x14:id>
        </ext>
      </extLst>
    </cfRule>
  </conditionalFormatting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19EA98-560A-42B2-A7B3-0B12783F9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C15:C17</xm:sqref>
        </x14:conditionalFormatting>
        <x14:conditionalFormatting xmlns:xm="http://schemas.microsoft.com/office/excel/2006/main">
          <x14:cfRule type="dataBar" id="{CB5A10B3-5889-4951-970A-908827311B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C15:C16</xm:sqref>
        </x14:conditionalFormatting>
        <x14:conditionalFormatting xmlns:xm="http://schemas.microsoft.com/office/excel/2006/main">
          <x14:cfRule type="dataBar" id="{9BC6BE6A-6530-46ED-A4E4-5D9F01ABEE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F15:F16</xm:sqref>
        </x14:conditionalFormatting>
        <x14:conditionalFormatting xmlns:xm="http://schemas.microsoft.com/office/excel/2006/main">
          <x14:cfRule type="dataBar" id="{902833C1-52AA-4BDE-A002-B698AFCF9D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F15:F18</xm:sqref>
        </x14:conditionalFormatting>
        <x14:conditionalFormatting xmlns:xm="http://schemas.microsoft.com/office/excel/2006/main">
          <x14:cfRule type="dataBar" id="{8ADEA212-6E5F-4624-877B-5C1E6CB151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F15:F24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EVENTOS  (PRESENCIAL - ONLINE)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Elecir Lisboa</cp:lastModifiedBy>
  <dcterms:created xsi:type="dcterms:W3CDTF">2020-12-03T14:09:47Z</dcterms:created>
  <dcterms:modified xsi:type="dcterms:W3CDTF">2022-03-24T21:50:20Z</dcterms:modified>
</cp:coreProperties>
</file>