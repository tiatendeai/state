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son\Dropbox\Minhas Planilhas\Planilhas\"/>
    </mc:Choice>
  </mc:AlternateContent>
  <bookViews>
    <workbookView xWindow="0" yWindow="0" windowWidth="14370" windowHeight="7530"/>
  </bookViews>
  <sheets>
    <sheet name="DRE" sheetId="1" r:id="rId1"/>
    <sheet name="DR2" sheetId="3" r:id="rId2"/>
    <sheet name="Impostos" sheetId="2" r:id="rId3"/>
    <sheet name="sobre" sheetId="5" r:id="rId4"/>
  </sheets>
  <externalReferences>
    <externalReference r:id="rId5"/>
    <externalReference r:id="rId6"/>
  </externalReferences>
  <definedNames>
    <definedName name="aprovacao">#REF!</definedName>
    <definedName name="condpgto">#REF!</definedName>
    <definedName name="CSLL">Impostos!$B$3</definedName>
    <definedName name="descprodutos">#REF!</definedName>
    <definedName name="freteconta">#REF!</definedName>
    <definedName name="IR">Impostos!$B$2</definedName>
    <definedName name="lstacuracidadefrete">[2]Tabelas!$B$8:$G$19</definedName>
    <definedName name="lstano">[2]Painel!$V$6:$V$12</definedName>
    <definedName name="lstcustofrete">[2]Tabelas!$P$8:$U$19</definedName>
    <definedName name="lstfretenaoconformidade">[2]Tabelas!$I$8:$N$19</definedName>
    <definedName name="lstmeses">[2]Painel!$X$6:$X$17</definedName>
    <definedName name="matrizpedidos">#REF!</definedName>
    <definedName name="matrizprodutos">#REF!</definedName>
    <definedName name="produtos">#REF!</definedName>
    <definedName name="TAXA">Impostos!$B$4</definedName>
    <definedName name="transportadora">#REF!</definedName>
    <definedName name="vendedor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3" l="1"/>
  <c r="I24" i="3"/>
  <c r="B23" i="3"/>
  <c r="B24" i="3" s="1"/>
  <c r="C23" i="3"/>
  <c r="C24" i="3" s="1"/>
  <c r="D23" i="3"/>
  <c r="D24" i="3" s="1"/>
  <c r="E23" i="3"/>
  <c r="E24" i="3" s="1"/>
  <c r="F23" i="3"/>
  <c r="F24" i="3" s="1"/>
  <c r="G23" i="3"/>
  <c r="G24" i="3" s="1"/>
  <c r="H23" i="3"/>
  <c r="I23" i="3"/>
  <c r="J23" i="3"/>
  <c r="J24" i="3" s="1"/>
  <c r="K23" i="3"/>
  <c r="K24" i="3" s="1"/>
  <c r="L23" i="3"/>
  <c r="L24" i="3" s="1"/>
  <c r="M23" i="3"/>
  <c r="M24" i="3" s="1"/>
  <c r="N23" i="3"/>
  <c r="N24" i="3" s="1"/>
  <c r="E12" i="3"/>
  <c r="I12" i="3"/>
  <c r="M12" i="3"/>
  <c r="B13" i="3"/>
  <c r="B12" i="3" s="1"/>
  <c r="C13" i="3"/>
  <c r="C12" i="3" s="1"/>
  <c r="D13" i="3"/>
  <c r="D12" i="3" s="1"/>
  <c r="E13" i="3"/>
  <c r="F13" i="3"/>
  <c r="F12" i="3" s="1"/>
  <c r="G13" i="3"/>
  <c r="G12" i="3" s="1"/>
  <c r="H13" i="3"/>
  <c r="H12" i="3" s="1"/>
  <c r="I13" i="3"/>
  <c r="J13" i="3"/>
  <c r="J12" i="3" s="1"/>
  <c r="K13" i="3"/>
  <c r="K12" i="3" s="1"/>
  <c r="L13" i="3"/>
  <c r="L12" i="3" s="1"/>
  <c r="M13" i="3"/>
  <c r="B17" i="3"/>
  <c r="C17" i="3"/>
  <c r="D17" i="3"/>
  <c r="E17" i="3"/>
  <c r="F17" i="3"/>
  <c r="G17" i="3"/>
  <c r="H17" i="3"/>
  <c r="I17" i="3"/>
  <c r="J17" i="3"/>
  <c r="K17" i="3"/>
  <c r="L17" i="3"/>
  <c r="M17" i="3"/>
  <c r="N19" i="3"/>
  <c r="N17" i="3" s="1"/>
  <c r="N20" i="3"/>
  <c r="N14" i="3"/>
  <c r="N13" i="3" s="1"/>
  <c r="N15" i="3"/>
  <c r="N16" i="3"/>
  <c r="N18" i="3"/>
  <c r="B7" i="3"/>
  <c r="C7" i="3"/>
  <c r="D7" i="3"/>
  <c r="E7" i="3"/>
  <c r="F7" i="3"/>
  <c r="G7" i="3"/>
  <c r="H7" i="3"/>
  <c r="I7" i="3"/>
  <c r="J7" i="3"/>
  <c r="K7" i="3"/>
  <c r="L7" i="3"/>
  <c r="M7" i="3"/>
  <c r="N10" i="3"/>
  <c r="N7" i="3" s="1"/>
  <c r="N9" i="3"/>
  <c r="N8" i="3"/>
  <c r="N5" i="3"/>
  <c r="N6" i="3" s="1"/>
  <c r="N11" i="3" s="1"/>
  <c r="N4" i="3"/>
  <c r="B6" i="3"/>
  <c r="B11" i="3" s="1"/>
  <c r="C6" i="3"/>
  <c r="C11" i="3" s="1"/>
  <c r="D6" i="3"/>
  <c r="D11" i="3" s="1"/>
  <c r="D21" i="3" s="1"/>
  <c r="D22" i="3" s="1"/>
  <c r="E6" i="3"/>
  <c r="E11" i="3" s="1"/>
  <c r="E21" i="3" s="1"/>
  <c r="E22" i="3" s="1"/>
  <c r="F6" i="3"/>
  <c r="F11" i="3" s="1"/>
  <c r="G6" i="3"/>
  <c r="G11" i="3" s="1"/>
  <c r="H6" i="3"/>
  <c r="H11" i="3" s="1"/>
  <c r="I6" i="3"/>
  <c r="I11" i="3" s="1"/>
  <c r="I21" i="3" s="1"/>
  <c r="I22" i="3" s="1"/>
  <c r="J6" i="3"/>
  <c r="J11" i="3" s="1"/>
  <c r="K6" i="3"/>
  <c r="K11" i="3" s="1"/>
  <c r="L6" i="3"/>
  <c r="L11" i="3" s="1"/>
  <c r="L21" i="3" s="1"/>
  <c r="L22" i="3" s="1"/>
  <c r="M6" i="3"/>
  <c r="M11" i="3" s="1"/>
  <c r="M21" i="3" s="1"/>
  <c r="M22" i="3" s="1"/>
  <c r="N40" i="1"/>
  <c r="M32" i="1"/>
  <c r="M28" i="1"/>
  <c r="M17" i="1"/>
  <c r="M10" i="1"/>
  <c r="M5" i="1"/>
  <c r="M37" i="1" s="1"/>
  <c r="B21" i="3" l="1"/>
  <c r="B22" i="3" s="1"/>
  <c r="H21" i="3"/>
  <c r="H22" i="3" s="1"/>
  <c r="N21" i="3"/>
  <c r="N22" i="3" s="1"/>
  <c r="G21" i="3"/>
  <c r="G22" i="3" s="1"/>
  <c r="F21" i="3"/>
  <c r="F22" i="3" s="1"/>
  <c r="K21" i="3"/>
  <c r="K22" i="3" s="1"/>
  <c r="C21" i="3"/>
  <c r="C22" i="3" s="1"/>
  <c r="J21" i="3"/>
  <c r="J22" i="3" s="1"/>
  <c r="N12" i="3"/>
  <c r="M15" i="1"/>
  <c r="M22" i="1" s="1"/>
  <c r="B32" i="1" l="1"/>
  <c r="C32" i="1"/>
  <c r="D32" i="1"/>
  <c r="E32" i="1"/>
  <c r="F32" i="1"/>
  <c r="G32" i="1"/>
  <c r="H32" i="1"/>
  <c r="I32" i="1"/>
  <c r="J32" i="1"/>
  <c r="K32" i="1"/>
  <c r="L32" i="1"/>
  <c r="N33" i="1"/>
  <c r="N32" i="1" s="1"/>
  <c r="N6" i="1"/>
  <c r="N7" i="1"/>
  <c r="N8" i="1"/>
  <c r="N11" i="1"/>
  <c r="N12" i="1"/>
  <c r="N13" i="1"/>
  <c r="N18" i="1"/>
  <c r="N19" i="1"/>
  <c r="N20" i="1"/>
  <c r="N25" i="1"/>
  <c r="N26" i="1"/>
  <c r="N29" i="1"/>
  <c r="N30" i="1"/>
  <c r="A39" i="1"/>
  <c r="A35" i="1"/>
  <c r="L28" i="1"/>
  <c r="K28" i="1"/>
  <c r="J28" i="1"/>
  <c r="I28" i="1"/>
  <c r="H28" i="1"/>
  <c r="G28" i="1"/>
  <c r="F28" i="1"/>
  <c r="E28" i="1"/>
  <c r="D28" i="1"/>
  <c r="C28" i="1"/>
  <c r="B28" i="1"/>
  <c r="L24" i="1"/>
  <c r="K24" i="1"/>
  <c r="J24" i="1"/>
  <c r="I24" i="1"/>
  <c r="H24" i="1"/>
  <c r="G24" i="1"/>
  <c r="F24" i="1"/>
  <c r="E24" i="1"/>
  <c r="D24" i="1"/>
  <c r="C24" i="1"/>
  <c r="B24" i="1"/>
  <c r="A22" i="1"/>
  <c r="L17" i="1"/>
  <c r="K17" i="1"/>
  <c r="J17" i="1"/>
  <c r="I17" i="1"/>
  <c r="H17" i="1"/>
  <c r="G17" i="1"/>
  <c r="F17" i="1"/>
  <c r="E17" i="1"/>
  <c r="D17" i="1"/>
  <c r="C17" i="1"/>
  <c r="B17" i="1"/>
  <c r="A15" i="1"/>
  <c r="L10" i="1"/>
  <c r="K10" i="1"/>
  <c r="J10" i="1"/>
  <c r="I10" i="1"/>
  <c r="H10" i="1"/>
  <c r="G10" i="1"/>
  <c r="F10" i="1"/>
  <c r="E10" i="1"/>
  <c r="D10" i="1"/>
  <c r="C10" i="1"/>
  <c r="B10" i="1"/>
  <c r="L5" i="1"/>
  <c r="L37" i="1" s="1"/>
  <c r="K5" i="1"/>
  <c r="K37" i="1" s="1"/>
  <c r="J5" i="1"/>
  <c r="J37" i="1" s="1"/>
  <c r="I5" i="1"/>
  <c r="H5" i="1"/>
  <c r="G5" i="1"/>
  <c r="F5" i="1"/>
  <c r="F37" i="1" s="1"/>
  <c r="E5" i="1"/>
  <c r="E37" i="1" s="1"/>
  <c r="D5" i="1"/>
  <c r="C5" i="1"/>
  <c r="C37" i="1" s="1"/>
  <c r="B5" i="1"/>
  <c r="B37" i="1" s="1"/>
  <c r="N28" i="1" l="1"/>
  <c r="N10" i="1"/>
  <c r="N5" i="1"/>
  <c r="N17" i="1"/>
  <c r="M24" i="1"/>
  <c r="D15" i="1"/>
  <c r="D22" i="1" s="1"/>
  <c r="D35" i="1" s="1"/>
  <c r="I15" i="1"/>
  <c r="I22" i="1" s="1"/>
  <c r="I35" i="1" s="1"/>
  <c r="G15" i="1"/>
  <c r="G22" i="1" s="1"/>
  <c r="G35" i="1" s="1"/>
  <c r="E15" i="1"/>
  <c r="E22" i="1" s="1"/>
  <c r="E35" i="1" s="1"/>
  <c r="E39" i="1" s="1"/>
  <c r="E41" i="1" s="1"/>
  <c r="G37" i="1"/>
  <c r="K15" i="1"/>
  <c r="K22" i="1" s="1"/>
  <c r="K35" i="1" s="1"/>
  <c r="K39" i="1" s="1"/>
  <c r="K41" i="1" s="1"/>
  <c r="H15" i="1"/>
  <c r="H22" i="1" s="1"/>
  <c r="H35" i="1" s="1"/>
  <c r="C15" i="1"/>
  <c r="C22" i="1" s="1"/>
  <c r="C35" i="1" s="1"/>
  <c r="C39" i="1" s="1"/>
  <c r="C41" i="1" s="1"/>
  <c r="J15" i="1"/>
  <c r="J22" i="1" s="1"/>
  <c r="J35" i="1" s="1"/>
  <c r="J39" i="1" s="1"/>
  <c r="J41" i="1" s="1"/>
  <c r="I37" i="1"/>
  <c r="D37" i="1"/>
  <c r="H37" i="1"/>
  <c r="F15" i="1"/>
  <c r="F22" i="1" s="1"/>
  <c r="F35" i="1" s="1"/>
  <c r="F39" i="1" s="1"/>
  <c r="F41" i="1" s="1"/>
  <c r="L15" i="1"/>
  <c r="L22" i="1" s="1"/>
  <c r="L35" i="1" s="1"/>
  <c r="L39" i="1" s="1"/>
  <c r="L41" i="1" s="1"/>
  <c r="B15" i="1"/>
  <c r="N24" i="1" l="1"/>
  <c r="M35" i="1"/>
  <c r="M39" i="1" s="1"/>
  <c r="M41" i="1" s="1"/>
  <c r="N15" i="1"/>
  <c r="N22" i="1" s="1"/>
  <c r="N35" i="1" s="1"/>
  <c r="N37" i="1"/>
  <c r="B22" i="1"/>
  <c r="D39" i="1"/>
  <c r="D41" i="1" s="1"/>
  <c r="I39" i="1"/>
  <c r="I41" i="1" s="1"/>
  <c r="G39" i="1"/>
  <c r="G41" i="1" s="1"/>
  <c r="H39" i="1"/>
  <c r="H41" i="1" s="1"/>
  <c r="N39" i="1" l="1"/>
  <c r="N41" i="1" s="1"/>
  <c r="B35" i="1"/>
  <c r="B39" i="1" l="1"/>
  <c r="B41" i="1" s="1"/>
</calcChain>
</file>

<file path=xl/comments1.xml><?xml version="1.0" encoding="utf-8"?>
<comments xmlns="http://schemas.openxmlformats.org/spreadsheetml/2006/main">
  <authors>
    <author>Usuario Consistem gerson</author>
  </authors>
  <commentList>
    <comment ref="A5" authorId="0" shapeId="0">
      <text>
        <r>
          <rPr>
            <sz val="9"/>
            <color indexed="81"/>
            <rFont val="Segoe UI"/>
            <family val="2"/>
          </rPr>
          <t xml:space="preserve"> Soma das vendas de bens e serviços relativos à atividade-fim da
empresa</t>
        </r>
      </text>
    </comment>
    <comment ref="A10" authorId="0" shapeId="0">
      <text>
        <r>
          <rPr>
            <b/>
            <sz val="9"/>
            <color indexed="81"/>
            <rFont val="Segoe UI"/>
            <family val="2"/>
          </rPr>
          <t xml:space="preserve"> Inclui impostos relativos à comercialização dos bens e serviços, tais como
ISS, ICMS, IR e CSLL. Também engloba abatimentos e devoluções inerentes da operação</t>
        </r>
      </text>
    </comment>
    <comment ref="A15" authorId="0" shapeId="0">
      <text>
        <r>
          <rPr>
            <b/>
            <sz val="9"/>
            <color indexed="81"/>
            <rFont val="Segoe UI"/>
            <family val="2"/>
          </rPr>
          <t>Resultado da subtração de Impostos e Devoluções sobre o valor da
Receita Operacional Bruta</t>
        </r>
      </text>
    </comment>
    <comment ref="A17" authorId="0" shapeId="0">
      <text>
        <r>
          <rPr>
            <b/>
            <sz val="9"/>
            <color indexed="81"/>
            <rFont val="Segoe UI"/>
            <family val="2"/>
          </rPr>
          <t>Agrupa os valores alocados diretamente na venda dos produtos ou serviços, com destaque
para o próprio custo de aquisição (ou produção) da mercadoria vendida (CMV)</t>
        </r>
      </text>
    </comment>
    <comment ref="A22" authorId="0" shapeId="0">
      <text>
        <r>
          <rPr>
            <b/>
            <sz val="9"/>
            <color indexed="81"/>
            <rFont val="Segoe UI"/>
            <family val="2"/>
          </rPr>
          <t>É o Resultado da Receita Operacional Líquida menos os Custos do período</t>
        </r>
      </text>
    </comment>
    <comment ref="A24" authorId="0" shapeId="0">
      <text>
        <r>
          <rPr>
            <b/>
            <sz val="9"/>
            <color indexed="81"/>
            <rFont val="Segoe UI"/>
            <family val="2"/>
          </rPr>
          <t>Corresponde ao conjunto de gastos relacionados ao desenvolvimento da
operação da empresa, excetuando-se o custo de aquisição/produção da mercadoria</t>
        </r>
      </text>
    </comment>
    <comment ref="A28" authorId="0" shapeId="0">
      <text>
        <r>
          <rPr>
            <b/>
            <sz val="9"/>
            <color indexed="81"/>
            <rFont val="Segoe UI"/>
            <family val="2"/>
          </rPr>
          <t xml:space="preserve"> Somatório dos gastos com tarifas bancárias e juros pagos em eventuais
empréstimos junto a bancos </t>
        </r>
      </text>
    </comment>
  </commentList>
</comments>
</file>

<file path=xl/sharedStrings.xml><?xml version="1.0" encoding="utf-8"?>
<sst xmlns="http://schemas.openxmlformats.org/spreadsheetml/2006/main" count="84" uniqueCount="81">
  <si>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</si>
  <si>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</si>
  <si>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</si>
  <si>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</si>
  <si>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</si>
  <si>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</si>
  <si>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</si>
  <si>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</si>
  <si>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</si>
  <si>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</si>
  <si>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</si>
  <si>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</si>
  <si>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ACUMULADO</t>
  </si>
  <si>
    <t>RECEITA OPERACIONAL BRUTA</t>
  </si>
  <si>
    <t>Vendas de Produtos</t>
  </si>
  <si>
    <t>Vendas de Mercadorias</t>
  </si>
  <si>
    <t>Prestação de Serviços</t>
  </si>
  <si>
    <t>(-) DEDUÇÕES DA RECEITA BRUTA </t>
  </si>
  <si>
    <t>Devoluções de Vendas </t>
  </si>
  <si>
    <t>Abatimentos </t>
  </si>
  <si>
    <t>Impostos e Contribuições Incidentes sobre Vendas</t>
  </si>
  <si>
    <t>(-) CUSTOS DAS VENDAS</t>
  </si>
  <si>
    <t>Custo dos Produtos Vendidos </t>
  </si>
  <si>
    <t>Custo das Mercadorias</t>
  </si>
  <si>
    <t>Custo dos Serviços Prestados</t>
  </si>
  <si>
    <t>(-) DESPESAS OPERACIONAIS </t>
  </si>
  <si>
    <t>Despesas Com Vendas </t>
  </si>
  <si>
    <t>Despesas Administrativas</t>
  </si>
  <si>
    <t>(-) DESPESAS FINANCEIRAS LÍQUIDAS</t>
  </si>
  <si>
    <t>(-) Receitas Financeiras</t>
  </si>
  <si>
    <t>(-) Variações Monetárias e Cambiais Ativas</t>
  </si>
  <si>
    <t>OUTRAS RECEITAS E DESPESAS</t>
  </si>
  <si>
    <t>(-) Custo da Venda de Bens e Direitos do Ativo Não Circulante</t>
  </si>
  <si>
    <t>(-) Provisão para IR e CSLL</t>
  </si>
  <si>
    <t>(-) PRO LABORE</t>
  </si>
  <si>
    <t>(=) RESULTADO LÍQUIDO DO EXERCÍCIO</t>
  </si>
  <si>
    <t>IR</t>
  </si>
  <si>
    <t>CSSL</t>
  </si>
  <si>
    <t>TAXA</t>
  </si>
  <si>
    <t>IMPOSTOS</t>
  </si>
  <si>
    <t>Demonstrativo de Resultado</t>
  </si>
  <si>
    <t>Receita Operacional Bruta</t>
  </si>
  <si>
    <t>Deduções da Receita Bruta</t>
  </si>
  <si>
    <t>Receita Operacional Líquida</t>
  </si>
  <si>
    <t>Custo dos Produtos Vendidos</t>
  </si>
  <si>
    <t>Custo Variável</t>
  </si>
  <si>
    <t>Custo Fixo</t>
  </si>
  <si>
    <t>Depreciações - Fábr.</t>
  </si>
  <si>
    <t>Resultado Bruto</t>
  </si>
  <si>
    <t>Despesas Operacionais</t>
  </si>
  <si>
    <t>Despesas com Vendas</t>
  </si>
  <si>
    <t>Fixas</t>
  </si>
  <si>
    <t>Variáveis</t>
  </si>
  <si>
    <t>Depreciações</t>
  </si>
  <si>
    <t>Outras Receitas/Despesas</t>
  </si>
  <si>
    <t>Resultado Operacional (Ebit)</t>
  </si>
  <si>
    <t>EBITDA (Ebit+Depreciações)</t>
  </si>
  <si>
    <t>Impostos sob Lucro e Participações</t>
  </si>
  <si>
    <t>Resultado Final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</si>
  <si>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</si>
  <si>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</si>
  <si>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</si>
  <si>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</si>
  <si>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</si>
  <si>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</si>
  <si>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</si>
  <si>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</si>
  <si>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</si>
  <si>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</si>
  <si>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</si>
  <si>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</si>
  <si>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Acumulado</t>
  </si>
  <si>
    <t>Esta planilha foi desenvolvida por Gerson G. Viergutz para o site www.minhasplanilhas.com.br</t>
  </si>
  <si>
    <t>contato@minhasplanilhas.com.br</t>
  </si>
  <si>
    <t>http://facebook.com/MinhasPlanilhasBR</t>
  </si>
  <si>
    <t>http://plus.google.com/+MinhasplanilhasBr</t>
  </si>
  <si>
    <t>http://instagram.com/minhaspl/</t>
  </si>
  <si>
    <t>https://www.linkedin.com/company/minhas-planilhas</t>
  </si>
  <si>
    <t>http://lojavirtual.minhasplanilhas.com.br/</t>
  </si>
  <si>
    <t>http://www.minhasplanilhas.com.br</t>
  </si>
  <si>
    <t>http://twitter.com/minhasplanilhas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</si>
</sst>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sz val="9"/>
      <color rgb="FF000000"/>
      <name val="Tahoma"/>
      <family val="2"/>
    </font>
    <font>
      <sz val="9"/>
      <color theme="1"/>
      <name val="Tahoma"/>
      <family val="2"/>
    </font>
    <font>
      <sz val="12"/>
      <color theme="1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9"/>
      <name val="Tahoma"/>
      <family val="2"/>
    </font>
    <font>
      <b/>
      <sz val="9"/>
      <color indexed="9"/>
      <name val="Tahoma"/>
      <family val="2"/>
    </font>
    <font>
      <sz val="9"/>
      <name val="Tahoma"/>
      <family val="2"/>
    </font>
    <font>
      <b/>
      <sz val="9"/>
      <color rgb="FF000000"/>
      <name val="Tahoma"/>
      <family val="2"/>
    </font>
    <font>
      <b/>
      <sz val="9"/>
      <color theme="0"/>
      <name val="Tahoma"/>
      <family val="2"/>
    </font>
    <font>
      <b/>
      <sz val="9"/>
      <color theme="1"/>
      <name val="Tahoma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CAB74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center" wrapText="1" indent="2"/>
    </xf>
    <xf numFmtId="0" fontId="5" fillId="0" borderId="0" xfId="0" applyFont="1" applyAlignment="1">
      <alignment horizontal="justify" vertical="center" wrapText="1"/>
    </xf>
    <xf numFmtId="0" fontId="7" fillId="0" borderId="0" xfId="0" applyFont="1"/>
    <xf numFmtId="9" fontId="0" fillId="0" borderId="0" xfId="0" applyNumberFormat="1"/>
    <xf numFmtId="10" fontId="0" fillId="0" borderId="0" xfId="0" applyNumberFormat="1"/>
    <xf numFmtId="0" fontId="2" fillId="0" borderId="0" xfId="0" applyFont="1"/>
    <xf numFmtId="0" fontId="6" fillId="0" borderId="0" xfId="0" applyFont="1"/>
    <xf numFmtId="0" fontId="13" fillId="2" borderId="0" xfId="0" applyFont="1" applyFill="1" applyAlignment="1">
      <alignment horizontal="left" vertical="center" wrapText="1" indent="2"/>
    </xf>
    <xf numFmtId="44" fontId="6" fillId="2" borderId="0" xfId="2" applyFont="1" applyFill="1"/>
    <xf numFmtId="44" fontId="6" fillId="0" borderId="0" xfId="2" applyFont="1"/>
    <xf numFmtId="0" fontId="13" fillId="2" borderId="0" xfId="0" applyFont="1" applyFill="1" applyAlignment="1">
      <alignment horizontal="justify" vertical="center" wrapText="1"/>
    </xf>
    <xf numFmtId="43" fontId="6" fillId="0" borderId="0" xfId="1" applyFont="1"/>
    <xf numFmtId="17" fontId="11" fillId="3" borderId="0" xfId="0" applyNumberFormat="1" applyFont="1" applyFill="1" applyBorder="1" applyAlignment="1">
      <alignment horizontal="left" vertical="center" wrapText="1"/>
    </xf>
    <xf numFmtId="0" fontId="14" fillId="3" borderId="0" xfId="0" applyFont="1" applyFill="1" applyBorder="1" applyAlignment="1">
      <alignment horizontal="center" vertical="center"/>
    </xf>
    <xf numFmtId="43" fontId="15" fillId="0" borderId="0" xfId="1" applyFont="1" applyBorder="1"/>
    <xf numFmtId="43" fontId="14" fillId="3" borderId="0" xfId="1" applyFont="1" applyFill="1" applyBorder="1" applyAlignment="1">
      <alignment horizontal="center" vertical="center"/>
    </xf>
    <xf numFmtId="43" fontId="6" fillId="0" borderId="0" xfId="1" applyFont="1" applyBorder="1"/>
    <xf numFmtId="0" fontId="10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indent="1"/>
    </xf>
    <xf numFmtId="49" fontId="10" fillId="0" borderId="0" xfId="0" applyNumberFormat="1" applyFont="1" applyFill="1" applyBorder="1" applyAlignment="1">
      <alignment horizontal="left"/>
    </xf>
    <xf numFmtId="49" fontId="10" fillId="0" borderId="0" xfId="0" applyNumberFormat="1" applyFont="1" applyFill="1" applyBorder="1" applyAlignment="1">
      <alignment horizontal="left" indent="1"/>
    </xf>
    <xf numFmtId="0" fontId="12" fillId="0" borderId="0" xfId="0" applyFont="1" applyFill="1" applyBorder="1" applyAlignment="1">
      <alignment horizontal="left" indent="2"/>
    </xf>
    <xf numFmtId="0" fontId="10" fillId="0" borderId="0" xfId="0" applyFont="1" applyFill="1" applyBorder="1" applyAlignment="1">
      <alignment horizontal="left" indent="1"/>
    </xf>
    <xf numFmtId="0" fontId="3" fillId="3" borderId="0" xfId="0" applyFont="1" applyFill="1" applyAlignment="1">
      <alignment horizontal="center"/>
    </xf>
    <xf numFmtId="0" fontId="0" fillId="4" borderId="0" xfId="0" applyFill="1"/>
    <xf numFmtId="0" fontId="16" fillId="4" borderId="0" xfId="3" applyFill="1" applyAlignment="1"/>
    <xf numFmtId="0" fontId="16" fillId="4" borderId="0" xfId="3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16" fillId="4" borderId="0" xfId="3" applyFill="1"/>
    <xf numFmtId="0" fontId="2" fillId="4" borderId="0" xfId="0" applyFont="1" applyFill="1"/>
  </cellXfs>
  <cellStyles count="4">
    <cellStyle name="Hiperlink" xfId="3" builtinId="8"/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1CAB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hyperlink" Target="http://www.minhasplanilhas.com.br/" TargetMode="External"/><Relationship Id="rId6" Type="http://schemas.openxmlformats.org/officeDocument/2006/relationships/image" Target="../media/image6.png"/><Relationship Id="rId11" Type="http://schemas.openxmlformats.org/officeDocument/2006/relationships/hyperlink" Target="https://www.youtube.com/channel/UCNaIAElKPANu-d7ysRpLcUg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83154</xdr:colOff>
      <xdr:row>0</xdr:row>
      <xdr:rowOff>66525</xdr:rowOff>
    </xdr:from>
    <xdr:to>
      <xdr:col>0</xdr:col>
      <xdr:colOff>2413000</xdr:colOff>
      <xdr:row>2</xdr:row>
      <xdr:rowOff>165319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54" y="66525"/>
          <a:ext cx="2329846" cy="4797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0</xdr:row>
      <xdr:rowOff>66675</xdr:rowOff>
    </xdr:from>
    <xdr:to>
      <xdr:col>5</xdr:col>
      <xdr:colOff>392541</xdr:colOff>
      <xdr:row>3</xdr:row>
      <xdr:rowOff>76200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" y="66675"/>
          <a:ext cx="2821417" cy="581025"/>
        </a:xfrm>
        <a:prstGeom prst="rect">
          <a:avLst/>
        </a:prstGeom>
      </xdr:spPr>
    </xdr:pic>
    <xdr:clientData/>
  </xdr:twoCellAnchor>
  <xdr:twoCellAnchor editAs="oneCell">
    <xdr:from>
      <xdr:col>0</xdr:col>
      <xdr:colOff>249600</xdr:colOff>
      <xdr:row>7</xdr:row>
      <xdr:rowOff>0</xdr:rowOff>
    </xdr:from>
    <xdr:to>
      <xdr:col>1</xdr:col>
      <xdr:colOff>0</xdr:colOff>
      <xdr:row>7</xdr:row>
      <xdr:rowOff>360000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600" y="133350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249600</xdr:colOff>
      <xdr:row>8</xdr:row>
      <xdr:rowOff>0</xdr:rowOff>
    </xdr:from>
    <xdr:to>
      <xdr:col>1</xdr:col>
      <xdr:colOff>0</xdr:colOff>
      <xdr:row>8</xdr:row>
      <xdr:rowOff>360000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600" y="177165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249600</xdr:colOff>
      <xdr:row>9</xdr:row>
      <xdr:rowOff>0</xdr:rowOff>
    </xdr:from>
    <xdr:to>
      <xdr:col>1</xdr:col>
      <xdr:colOff>0</xdr:colOff>
      <xdr:row>9</xdr:row>
      <xdr:rowOff>360000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600" y="220980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249600</xdr:colOff>
      <xdr:row>10</xdr:row>
      <xdr:rowOff>0</xdr:rowOff>
    </xdr:from>
    <xdr:to>
      <xdr:col>1</xdr:col>
      <xdr:colOff>0</xdr:colOff>
      <xdr:row>10</xdr:row>
      <xdr:rowOff>360000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600" y="264795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249600</xdr:colOff>
      <xdr:row>11</xdr:row>
      <xdr:rowOff>0</xdr:rowOff>
    </xdr:from>
    <xdr:to>
      <xdr:col>1</xdr:col>
      <xdr:colOff>0</xdr:colOff>
      <xdr:row>11</xdr:row>
      <xdr:rowOff>360000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600" y="308610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249600</xdr:colOff>
      <xdr:row>12</xdr:row>
      <xdr:rowOff>0</xdr:rowOff>
    </xdr:from>
    <xdr:to>
      <xdr:col>1</xdr:col>
      <xdr:colOff>0</xdr:colOff>
      <xdr:row>12</xdr:row>
      <xdr:rowOff>360000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600" y="352425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249600</xdr:colOff>
      <xdr:row>13</xdr:row>
      <xdr:rowOff>0</xdr:rowOff>
    </xdr:from>
    <xdr:to>
      <xdr:col>1</xdr:col>
      <xdr:colOff>0</xdr:colOff>
      <xdr:row>13</xdr:row>
      <xdr:rowOff>360000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600" y="396240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249600</xdr:colOff>
      <xdr:row>14</xdr:row>
      <xdr:rowOff>0</xdr:rowOff>
    </xdr:from>
    <xdr:to>
      <xdr:col>1</xdr:col>
      <xdr:colOff>0</xdr:colOff>
      <xdr:row>14</xdr:row>
      <xdr:rowOff>360000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600" y="440055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249600</xdr:colOff>
      <xdr:row>15</xdr:row>
      <xdr:rowOff>0</xdr:rowOff>
    </xdr:from>
    <xdr:to>
      <xdr:col>1</xdr:col>
      <xdr:colOff>0</xdr:colOff>
      <xdr:row>15</xdr:row>
      <xdr:rowOff>360000</xdr:rowOff>
    </xdr:to>
    <xdr:pic>
      <xdr:nvPicPr>
        <xdr:cNvPr id="11" name="Imagem 10">
          <a:hlinkClick xmlns:r="http://schemas.openxmlformats.org/officeDocument/2006/relationships" r:id="rId11"/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600" y="4838700"/>
          <a:ext cx="360000" cy="36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erson/Dropbox/Minhas%20Planilhas/V&#237;deo%20Aulas/Tabela%20Din&#226;mica/Tabela-Dinamica-exempl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erson/Dropbox/Minhas%20Planilhas/Venda%20de%20Planilhas/KPI%20TRansportes/Painel_kpi_transportes_preench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tório Ex1"/>
      <sheetName val="dados_exemplo1"/>
      <sheetName val="Relatório Ex2"/>
      <sheetName val="dados_exemplo2"/>
      <sheetName val="sobr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inel"/>
      <sheetName val="Tabelas"/>
      <sheetName val="Frete  -  Acuracidade"/>
      <sheetName val="Frete  -  Não Conformidade"/>
      <sheetName val="Frete  -  Avarias no Transporte"/>
      <sheetName val="Frete  -  Utilização da Capacid"/>
      <sheetName val="Frete  -  Coletas no Prazo"/>
      <sheetName val="Frete  -  Custo Trasnp.%Vendas"/>
      <sheetName val="Frete  -  Custo Frete por Unid"/>
      <sheetName val="Pedido Perfeito"/>
      <sheetName val="Pedidos Completos no prazo "/>
      <sheetName val="Entregas no Prazo"/>
      <sheetName val="Taxa atendimento do pedido"/>
      <sheetName val="Tempo do ciclo do pedido"/>
      <sheetName val="Satisfação do Cliente"/>
      <sheetName val="Dock to Stock"/>
      <sheetName val="Acuracidade do Inventário"/>
      <sheetName val="Estoque Indisponível para Venda"/>
      <sheetName val="Utili da Capacidade Estocagem"/>
      <sheetName val="Entregas reali. no prazo"/>
      <sheetName val="Entregas Devolvidas"/>
      <sheetName val="Receb.de Produtos Qualidade"/>
      <sheetName val="Atendimento do Pedido"/>
      <sheetName val="Tempo de Entrega"/>
      <sheetName val="sobre"/>
    </sheetNames>
    <sheetDataSet>
      <sheetData sheetId="0">
        <row r="6">
          <cell r="V6">
            <v>2013</v>
          </cell>
          <cell r="X6" t="str">
            <v>Janeiro</v>
          </cell>
        </row>
        <row r="7">
          <cell r="V7">
            <v>2014</v>
          </cell>
          <cell r="X7" t="str">
            <v>Fevereiro</v>
          </cell>
        </row>
        <row r="8">
          <cell r="V8">
            <v>2015</v>
          </cell>
          <cell r="X8" t="str">
            <v>Março</v>
          </cell>
        </row>
        <row r="9">
          <cell r="V9">
            <v>2016</v>
          </cell>
          <cell r="X9" t="str">
            <v>Abril</v>
          </cell>
        </row>
        <row r="10">
          <cell r="V10">
            <v>2017</v>
          </cell>
          <cell r="X10" t="str">
            <v>Maio</v>
          </cell>
        </row>
        <row r="11">
          <cell r="V11">
            <v>2018</v>
          </cell>
          <cell r="X11" t="str">
            <v>Junho</v>
          </cell>
        </row>
        <row r="12">
          <cell r="V12">
            <v>2019</v>
          </cell>
          <cell r="X12" t="str">
            <v>Julho</v>
          </cell>
        </row>
        <row r="13">
          <cell r="X13" t="str">
            <v>Agosto</v>
          </cell>
        </row>
        <row r="14">
          <cell r="X14" t="str">
            <v>Setembro</v>
          </cell>
        </row>
        <row r="15">
          <cell r="X15" t="str">
            <v>Outubro</v>
          </cell>
        </row>
        <row r="16">
          <cell r="X16" t="str">
            <v>Novembro</v>
          </cell>
        </row>
        <row r="17">
          <cell r="X17" t="str">
            <v>Dezembro</v>
          </cell>
        </row>
      </sheetData>
      <sheetData sheetId="1">
        <row r="8">
          <cell r="B8">
            <v>1</v>
          </cell>
          <cell r="C8" t="str">
            <v>JAN</v>
          </cell>
          <cell r="D8">
            <v>0.98499999999999999</v>
          </cell>
          <cell r="E8">
            <v>0.99</v>
          </cell>
          <cell r="F8">
            <v>0.99</v>
          </cell>
          <cell r="G8">
            <v>1</v>
          </cell>
          <cell r="I8">
            <v>1</v>
          </cell>
          <cell r="J8" t="str">
            <v>JAN</v>
          </cell>
          <cell r="K8">
            <v>0.99</v>
          </cell>
          <cell r="L8">
            <v>0.33</v>
          </cell>
          <cell r="M8">
            <v>0.33</v>
          </cell>
          <cell r="N8">
            <v>4</v>
          </cell>
          <cell r="P8">
            <v>1</v>
          </cell>
          <cell r="Q8" t="str">
            <v>JAN</v>
          </cell>
          <cell r="R8">
            <v>0.9</v>
          </cell>
          <cell r="S8">
            <v>0.5</v>
          </cell>
          <cell r="T8">
            <v>0.5</v>
          </cell>
          <cell r="U8">
            <v>3</v>
          </cell>
        </row>
        <row r="9">
          <cell r="B9">
            <v>2</v>
          </cell>
          <cell r="C9" t="str">
            <v>FEV</v>
          </cell>
          <cell r="D9">
            <v>0.98499999999999999</v>
          </cell>
          <cell r="E9">
            <v>0.99</v>
          </cell>
          <cell r="F9">
            <v>0.99</v>
          </cell>
          <cell r="G9">
            <v>1</v>
          </cell>
          <cell r="I9">
            <v>2</v>
          </cell>
          <cell r="J9" t="str">
            <v>FEV</v>
          </cell>
          <cell r="K9">
            <v>0.99</v>
          </cell>
          <cell r="L9">
            <v>0.55000000000000004</v>
          </cell>
          <cell r="M9">
            <v>0.44000000000000006</v>
          </cell>
          <cell r="N9">
            <v>3</v>
          </cell>
          <cell r="P9">
            <v>2</v>
          </cell>
          <cell r="Q9" t="str">
            <v>FEV</v>
          </cell>
          <cell r="R9">
            <v>0.9</v>
          </cell>
          <cell r="S9">
            <v>0.66</v>
          </cell>
          <cell r="T9">
            <v>0.58000000000000007</v>
          </cell>
          <cell r="U9">
            <v>2</v>
          </cell>
        </row>
        <row r="10">
          <cell r="B10">
            <v>3</v>
          </cell>
          <cell r="C10" t="str">
            <v>MAR</v>
          </cell>
          <cell r="D10">
            <v>0.98499999999999999</v>
          </cell>
          <cell r="E10">
            <v>0.89</v>
          </cell>
          <cell r="F10">
            <v>0.95666666666666667</v>
          </cell>
          <cell r="G10">
            <v>2</v>
          </cell>
          <cell r="I10">
            <v>3</v>
          </cell>
          <cell r="J10" t="str">
            <v>MAR</v>
          </cell>
          <cell r="K10">
            <v>0.99</v>
          </cell>
          <cell r="L10">
            <v>0.77</v>
          </cell>
          <cell r="M10">
            <v>0.55000000000000004</v>
          </cell>
          <cell r="N10">
            <v>2</v>
          </cell>
          <cell r="P10">
            <v>3</v>
          </cell>
          <cell r="Q10" t="str">
            <v>MAR</v>
          </cell>
          <cell r="R10">
            <v>0.9</v>
          </cell>
          <cell r="S10">
            <v>0.95</v>
          </cell>
          <cell r="T10">
            <v>0.70333333333333348</v>
          </cell>
          <cell r="U10">
            <v>1</v>
          </cell>
        </row>
        <row r="11">
          <cell r="B11">
            <v>4</v>
          </cell>
          <cell r="C11" t="str">
            <v>ABR</v>
          </cell>
          <cell r="D11">
            <v>0.98499999999999999</v>
          </cell>
          <cell r="E11">
            <v>0.92</v>
          </cell>
          <cell r="F11">
            <v>0.94750000000000001</v>
          </cell>
          <cell r="G11">
            <v>2</v>
          </cell>
          <cell r="I11">
            <v>4</v>
          </cell>
          <cell r="J11" t="str">
            <v>ABR</v>
          </cell>
          <cell r="K11">
            <v>0.99</v>
          </cell>
          <cell r="L11">
            <v>0.99</v>
          </cell>
          <cell r="M11">
            <v>0.66</v>
          </cell>
          <cell r="N11">
            <v>1</v>
          </cell>
          <cell r="P11">
            <v>4</v>
          </cell>
          <cell r="Q11" t="str">
            <v>ABR</v>
          </cell>
          <cell r="R11">
            <v>0.9</v>
          </cell>
          <cell r="S11">
            <v>0.99</v>
          </cell>
          <cell r="T11">
            <v>0.77500000000000013</v>
          </cell>
          <cell r="U11">
            <v>1</v>
          </cell>
        </row>
        <row r="12">
          <cell r="B12">
            <v>5</v>
          </cell>
          <cell r="C12" t="str">
            <v>MAI</v>
          </cell>
          <cell r="D12">
            <v>0.98499999999999999</v>
          </cell>
          <cell r="E12">
            <v>0.79</v>
          </cell>
          <cell r="F12">
            <v>0.91600000000000004</v>
          </cell>
          <cell r="G12">
            <v>3</v>
          </cell>
          <cell r="I12">
            <v>5</v>
          </cell>
          <cell r="J12" t="str">
            <v>MAI</v>
          </cell>
          <cell r="K12">
            <v>0.99</v>
          </cell>
          <cell r="L12">
            <v>0.85</v>
          </cell>
          <cell r="M12">
            <v>0.69800000000000006</v>
          </cell>
          <cell r="N12">
            <v>2</v>
          </cell>
          <cell r="P12">
            <v>5</v>
          </cell>
          <cell r="Q12" t="str">
            <v>MAI</v>
          </cell>
          <cell r="R12">
            <v>0.9</v>
          </cell>
          <cell r="S12">
            <v>0.85</v>
          </cell>
          <cell r="T12">
            <v>0.79000000000000015</v>
          </cell>
          <cell r="U12">
            <v>1</v>
          </cell>
        </row>
        <row r="13">
          <cell r="B13">
            <v>6</v>
          </cell>
          <cell r="C13" t="str">
            <v>JUN</v>
          </cell>
          <cell r="D13">
            <v>0.98499999999999999</v>
          </cell>
          <cell r="E13">
            <v>0.99464293240562607</v>
          </cell>
          <cell r="F13">
            <v>0.92910715540093769</v>
          </cell>
          <cell r="G13">
            <v>1</v>
          </cell>
          <cell r="I13">
            <v>6</v>
          </cell>
          <cell r="J13" t="str">
            <v>JUN</v>
          </cell>
          <cell r="K13">
            <v>0.99</v>
          </cell>
          <cell r="L13">
            <v>0.99464293240562607</v>
          </cell>
          <cell r="M13">
            <v>0.74744048873427105</v>
          </cell>
          <cell r="N13">
            <v>1</v>
          </cell>
          <cell r="P13">
            <v>6</v>
          </cell>
          <cell r="Q13" t="str">
            <v>JUN</v>
          </cell>
          <cell r="R13">
            <v>0.9</v>
          </cell>
          <cell r="S13">
            <v>0.99464293240562607</v>
          </cell>
          <cell r="T13">
            <v>0.82410715540093771</v>
          </cell>
          <cell r="U13">
            <v>1</v>
          </cell>
        </row>
        <row r="14">
          <cell r="B14">
            <v>7</v>
          </cell>
          <cell r="C14" t="str">
            <v>JUL</v>
          </cell>
          <cell r="D14">
            <v>0.98499999999999999</v>
          </cell>
          <cell r="E14">
            <v>1</v>
          </cell>
          <cell r="F14">
            <v>0.93923470462937519</v>
          </cell>
          <cell r="G14">
            <v>1</v>
          </cell>
          <cell r="I14">
            <v>7</v>
          </cell>
          <cell r="J14" t="str">
            <v>JUL</v>
          </cell>
          <cell r="K14">
            <v>0.99</v>
          </cell>
          <cell r="L14">
            <v>1</v>
          </cell>
          <cell r="M14">
            <v>0.7835204189150895</v>
          </cell>
          <cell r="N14">
            <v>1</v>
          </cell>
          <cell r="P14">
            <v>7</v>
          </cell>
          <cell r="Q14" t="str">
            <v>JUL</v>
          </cell>
          <cell r="R14">
            <v>0.9</v>
          </cell>
          <cell r="S14">
            <v>1</v>
          </cell>
          <cell r="T14">
            <v>0.84923470462937523</v>
          </cell>
          <cell r="U14">
            <v>1</v>
          </cell>
        </row>
        <row r="15">
          <cell r="B15">
            <v>8</v>
          </cell>
          <cell r="C15" t="str">
            <v>AGO</v>
          </cell>
          <cell r="D15">
            <v>0.98499999999999999</v>
          </cell>
          <cell r="E15">
            <v>0.95</v>
          </cell>
          <cell r="F15">
            <v>0.94058036655070332</v>
          </cell>
          <cell r="G15">
            <v>2</v>
          </cell>
          <cell r="I15">
            <v>8</v>
          </cell>
          <cell r="J15" t="str">
            <v>AGO</v>
          </cell>
          <cell r="K15">
            <v>0.99</v>
          </cell>
          <cell r="L15">
            <v>0.95</v>
          </cell>
          <cell r="M15">
            <v>0.80433036655070334</v>
          </cell>
          <cell r="N15">
            <v>1</v>
          </cell>
          <cell r="P15">
            <v>8</v>
          </cell>
          <cell r="Q15" t="str">
            <v>AGO</v>
          </cell>
          <cell r="R15">
            <v>0.9</v>
          </cell>
          <cell r="S15">
            <v>0.97</v>
          </cell>
          <cell r="T15">
            <v>0.86433036655070328</v>
          </cell>
          <cell r="U15">
            <v>1</v>
          </cell>
        </row>
        <row r="16">
          <cell r="B16">
            <v>9</v>
          </cell>
          <cell r="C16" t="str">
            <v>SET</v>
          </cell>
          <cell r="D16">
            <v>0.98499999999999999</v>
          </cell>
          <cell r="E16">
            <v>0.97</v>
          </cell>
          <cell r="F16">
            <v>0.94384921471173633</v>
          </cell>
          <cell r="G16">
            <v>2</v>
          </cell>
          <cell r="I16">
            <v>9</v>
          </cell>
          <cell r="J16" t="str">
            <v>SET</v>
          </cell>
          <cell r="K16">
            <v>0.99</v>
          </cell>
          <cell r="L16">
            <v>0.96</v>
          </cell>
          <cell r="M16">
            <v>0.8216269924895141</v>
          </cell>
          <cell r="N16">
            <v>1</v>
          </cell>
          <cell r="P16">
            <v>9</v>
          </cell>
          <cell r="Q16" t="str">
            <v>SET</v>
          </cell>
          <cell r="R16">
            <v>0.9</v>
          </cell>
          <cell r="S16">
            <v>0.95</v>
          </cell>
          <cell r="T16">
            <v>0.87384921471173627</v>
          </cell>
          <cell r="U16">
            <v>1</v>
          </cell>
        </row>
        <row r="17">
          <cell r="B17">
            <v>10</v>
          </cell>
          <cell r="C17" t="str">
            <v>OUT</v>
          </cell>
          <cell r="D17">
            <v>0.98499999999999999</v>
          </cell>
          <cell r="E17">
            <v>0.96</v>
          </cell>
          <cell r="F17">
            <v>0.94546429324056258</v>
          </cell>
          <cell r="G17">
            <v>2</v>
          </cell>
          <cell r="I17">
            <v>10</v>
          </cell>
          <cell r="J17" t="str">
            <v>OUT</v>
          </cell>
          <cell r="K17">
            <v>0.99</v>
          </cell>
          <cell r="L17">
            <v>0.8</v>
          </cell>
          <cell r="M17">
            <v>0.81946429324056269</v>
          </cell>
          <cell r="N17">
            <v>2</v>
          </cell>
          <cell r="P17">
            <v>10</v>
          </cell>
          <cell r="Q17" t="str">
            <v>OUT</v>
          </cell>
          <cell r="R17">
            <v>0.9</v>
          </cell>
          <cell r="S17">
            <v>0.8</v>
          </cell>
          <cell r="T17">
            <v>0.86646429324056273</v>
          </cell>
          <cell r="U17">
            <v>2</v>
          </cell>
        </row>
        <row r="18">
          <cell r="B18">
            <v>11</v>
          </cell>
          <cell r="C18" t="str">
            <v>NOV</v>
          </cell>
          <cell r="D18">
            <v>0.98499999999999999</v>
          </cell>
          <cell r="E18">
            <v>0.99</v>
          </cell>
          <cell r="F18">
            <v>0.94951299385505694</v>
          </cell>
          <cell r="G18">
            <v>1</v>
          </cell>
          <cell r="I18">
            <v>11</v>
          </cell>
          <cell r="J18" t="str">
            <v>NOV</v>
          </cell>
          <cell r="K18">
            <v>0.99</v>
          </cell>
          <cell r="L18">
            <v>0.75</v>
          </cell>
          <cell r="M18">
            <v>0.81314935749142059</v>
          </cell>
          <cell r="N18">
            <v>2</v>
          </cell>
          <cell r="P18">
            <v>11</v>
          </cell>
          <cell r="Q18" t="str">
            <v>NOV</v>
          </cell>
          <cell r="R18">
            <v>0.9</v>
          </cell>
          <cell r="S18">
            <v>0.79</v>
          </cell>
          <cell r="T18">
            <v>0.85951299385505697</v>
          </cell>
          <cell r="U18">
            <v>2</v>
          </cell>
        </row>
        <row r="19">
          <cell r="B19">
            <v>12</v>
          </cell>
          <cell r="C19" t="str">
            <v>DEZ</v>
          </cell>
          <cell r="D19">
            <v>0.98499999999999999</v>
          </cell>
          <cell r="E19">
            <v>1</v>
          </cell>
          <cell r="F19">
            <v>0.95372024436713554</v>
          </cell>
          <cell r="G19">
            <v>1</v>
          </cell>
          <cell r="I19">
            <v>12</v>
          </cell>
          <cell r="J19" t="str">
            <v>DEZ</v>
          </cell>
          <cell r="K19">
            <v>0.99</v>
          </cell>
          <cell r="L19">
            <v>0.99</v>
          </cell>
          <cell r="M19">
            <v>0.82788691103380219</v>
          </cell>
          <cell r="N19">
            <v>1</v>
          </cell>
          <cell r="P19">
            <v>12</v>
          </cell>
          <cell r="Q19" t="str">
            <v>DEZ</v>
          </cell>
          <cell r="R19">
            <v>0.9</v>
          </cell>
          <cell r="S19">
            <v>0.77</v>
          </cell>
          <cell r="T19">
            <v>0.85205357770046886</v>
          </cell>
          <cell r="U19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twitter.com/minhasplanilhas" TargetMode="External"/><Relationship Id="rId3" Type="http://schemas.openxmlformats.org/officeDocument/2006/relationships/hyperlink" Target="http://plus.google.com/+MinhasplanilhasBr" TargetMode="External"/><Relationship Id="rId7" Type="http://schemas.openxmlformats.org/officeDocument/2006/relationships/hyperlink" Target="http://www.minhasplanilhas.com.br/" TargetMode="External"/><Relationship Id="rId2" Type="http://schemas.openxmlformats.org/officeDocument/2006/relationships/hyperlink" Target="http://facebook.com/MinhasPlanilhasBR" TargetMode="External"/><Relationship Id="rId1" Type="http://schemas.openxmlformats.org/officeDocument/2006/relationships/hyperlink" Target="mailto:contato@minhasplanilhas.com.br" TargetMode="External"/><Relationship Id="rId6" Type="http://schemas.openxmlformats.org/officeDocument/2006/relationships/hyperlink" Target="http://lojavirtual.minhasplanilhas.com.br/" TargetMode="External"/><Relationship Id="rId5" Type="http://schemas.openxmlformats.org/officeDocument/2006/relationships/hyperlink" Target="https://www.linkedin.com/company/minhas-planilhas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http://instagram.com/minhaspl/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N42"/>
  <sheetViews>
    <sheetView showGridLines="0" showRowColHeaders="0" tabSelected="1" zoomScaleNormal="100" workbookViewId="0">
      <selection activeCell="B22" sqref="B22"/>
    </sheetView>
  </sheetViews>
  <sheetFormatPr defaultRowHeight="15" x14ac:dyDescent="0.2"/>
  <cols>
    <col min="1" max="1" width="57.7109375" style="5" bestFit="1" customWidth="1"/>
    <col min="2" max="13" width="15" style="1" bestFit="1" customWidth="1"/>
    <col min="14" max="14" width="16.42578125" style="1" bestFit="1" customWidth="1"/>
    <col min="15" max="16384" width="9.140625" style="1"/>
  </cols>
  <sheetData>
    <row r="4" spans="1:14" s="9" customFormat="1" ht="11.25" x14ac:dyDescent="0.15">
      <c r="B4" s="16" t="s">
        <v>0</v>
      </c>
      <c r="C4" s="16" t="s">
        <v>1</v>
      </c>
      <c r="D4" s="16" t="s">
        <v>2</v>
      </c>
      <c r="E4" s="16" t="s">
        <v>3</v>
      </c>
      <c r="F4" s="16" t="s">
        <v>4</v>
      </c>
      <c r="G4" s="16" t="s">
        <v>5</v>
      </c>
      <c r="H4" s="16" t="s">
        <v>6</v>
      </c>
      <c r="I4" s="16" t="s">
        <v>7</v>
      </c>
      <c r="J4" s="16" t="s">
        <v>8</v>
      </c>
      <c r="K4" s="16" t="s">
        <v>9</v>
      </c>
      <c r="L4" s="16" t="s">
        <v>10</v>
      </c>
      <c r="M4" s="16" t="s">
        <v>11</v>
      </c>
      <c r="N4" s="16" t="s">
        <v>12</v>
      </c>
    </row>
    <row r="5" spans="1:14" s="9" customFormat="1" ht="11.25" x14ac:dyDescent="0.15">
      <c r="A5" s="10" t="s">
        <v>13</v>
      </c>
      <c r="B5" s="11">
        <f>SUM(B6:B8)</f>
        <v>8000</v>
      </c>
      <c r="C5" s="11">
        <f t="shared" ref="C5:D5" si="0">SUM(C6:C8)</f>
        <v>10000</v>
      </c>
      <c r="D5" s="11">
        <f t="shared" si="0"/>
        <v>12000</v>
      </c>
      <c r="E5" s="11">
        <f>SUM(E6:E8)</f>
        <v>15000</v>
      </c>
      <c r="F5" s="11">
        <f t="shared" ref="F5:G5" si="1">SUM(F6:F8)</f>
        <v>12000</v>
      </c>
      <c r="G5" s="11">
        <f t="shared" si="1"/>
        <v>16000</v>
      </c>
      <c r="H5" s="11">
        <f>SUM(H6:H8)</f>
        <v>14000</v>
      </c>
      <c r="I5" s="11">
        <f t="shared" ref="I5:J5" si="2">SUM(I6:I8)</f>
        <v>16000</v>
      </c>
      <c r="J5" s="11">
        <f t="shared" si="2"/>
        <v>15000</v>
      </c>
      <c r="K5" s="11">
        <f>SUM(K6:K8)</f>
        <v>14000</v>
      </c>
      <c r="L5" s="11">
        <f t="shared" ref="L5:M5" si="3">SUM(L6:L8)</f>
        <v>13500</v>
      </c>
      <c r="M5" s="11">
        <f t="shared" ref="M5:N5" si="4">SUM(M6:M8)</f>
        <v>12500</v>
      </c>
      <c r="N5" s="11">
        <f t="shared" si="4"/>
        <v>158000</v>
      </c>
    </row>
    <row r="6" spans="1:14" s="9" customFormat="1" ht="11.25" x14ac:dyDescent="0.15">
      <c r="A6" s="2" t="s">
        <v>14</v>
      </c>
      <c r="B6" s="12">
        <v>8000</v>
      </c>
      <c r="C6" s="12">
        <v>10000</v>
      </c>
      <c r="D6" s="12">
        <v>12000</v>
      </c>
      <c r="E6" s="12">
        <v>15000</v>
      </c>
      <c r="F6" s="12">
        <v>12000</v>
      </c>
      <c r="G6" s="12">
        <v>16000</v>
      </c>
      <c r="H6" s="12">
        <v>14000</v>
      </c>
      <c r="I6" s="12">
        <v>16000</v>
      </c>
      <c r="J6" s="12">
        <v>15000</v>
      </c>
      <c r="K6" s="12">
        <v>14000</v>
      </c>
      <c r="L6" s="12">
        <v>13500</v>
      </c>
      <c r="M6" s="12">
        <v>12500</v>
      </c>
      <c r="N6" s="12">
        <f t="shared" ref="N5:N35" si="5">SUM(B6:M6)</f>
        <v>158000</v>
      </c>
    </row>
    <row r="7" spans="1:14" s="9" customFormat="1" ht="11.25" x14ac:dyDescent="0.15">
      <c r="A7" s="2" t="s">
        <v>15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>
        <f t="shared" si="5"/>
        <v>0</v>
      </c>
    </row>
    <row r="8" spans="1:14" s="9" customFormat="1" ht="11.25" x14ac:dyDescent="0.15">
      <c r="A8" s="2" t="s">
        <v>16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>
        <f t="shared" si="5"/>
        <v>0</v>
      </c>
    </row>
    <row r="9" spans="1:14" s="9" customFormat="1" ht="11.25" x14ac:dyDescent="0.15">
      <c r="A9" s="3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s="9" customFormat="1" ht="11.25" x14ac:dyDescent="0.15">
      <c r="A10" s="10" t="s">
        <v>17</v>
      </c>
      <c r="B10" s="11">
        <f>-SUM(B11:B13)</f>
        <v>-3400</v>
      </c>
      <c r="C10" s="11">
        <f t="shared" ref="C10:D10" si="6">-SUM(C11:C13)</f>
        <v>-3400</v>
      </c>
      <c r="D10" s="11">
        <f t="shared" si="6"/>
        <v>-3400</v>
      </c>
      <c r="E10" s="11">
        <f>-SUM(E11:E13)</f>
        <v>-3400</v>
      </c>
      <c r="F10" s="11">
        <f t="shared" ref="F10:G10" si="7">-SUM(F11:F13)</f>
        <v>-3400</v>
      </c>
      <c r="G10" s="11">
        <f t="shared" si="7"/>
        <v>-3400</v>
      </c>
      <c r="H10" s="11">
        <f>-SUM(H11:H13)</f>
        <v>-3400</v>
      </c>
      <c r="I10" s="11">
        <f t="shared" ref="I10:J10" si="8">-SUM(I11:I13)</f>
        <v>-3400</v>
      </c>
      <c r="J10" s="11">
        <f t="shared" si="8"/>
        <v>-3400</v>
      </c>
      <c r="K10" s="11">
        <f>-SUM(K11:K13)</f>
        <v>-3400</v>
      </c>
      <c r="L10" s="11">
        <f t="shared" ref="L10:M10" si="9">-SUM(L11:L13)</f>
        <v>-3400</v>
      </c>
      <c r="M10" s="11">
        <f t="shared" ref="M10:N10" si="10">-SUM(M11:M13)</f>
        <v>-3400</v>
      </c>
      <c r="N10" s="11">
        <f t="shared" si="10"/>
        <v>-40800</v>
      </c>
    </row>
    <row r="11" spans="1:14" s="9" customFormat="1" ht="11.25" x14ac:dyDescent="0.15">
      <c r="A11" s="2" t="s">
        <v>18</v>
      </c>
      <c r="B11" s="12">
        <v>1500</v>
      </c>
      <c r="C11" s="12">
        <v>1500</v>
      </c>
      <c r="D11" s="12">
        <v>1500</v>
      </c>
      <c r="E11" s="12">
        <v>1500</v>
      </c>
      <c r="F11" s="12">
        <v>1500</v>
      </c>
      <c r="G11" s="12">
        <v>1500</v>
      </c>
      <c r="H11" s="12">
        <v>1500</v>
      </c>
      <c r="I11" s="12">
        <v>1500</v>
      </c>
      <c r="J11" s="12">
        <v>1500</v>
      </c>
      <c r="K11" s="12">
        <v>1500</v>
      </c>
      <c r="L11" s="12">
        <v>1500</v>
      </c>
      <c r="M11" s="12">
        <v>1500</v>
      </c>
      <c r="N11" s="12">
        <f t="shared" si="5"/>
        <v>18000</v>
      </c>
    </row>
    <row r="12" spans="1:14" s="9" customFormat="1" ht="11.25" x14ac:dyDescent="0.15">
      <c r="A12" s="2" t="s">
        <v>19</v>
      </c>
      <c r="B12" s="12">
        <v>900</v>
      </c>
      <c r="C12" s="12">
        <v>900</v>
      </c>
      <c r="D12" s="12">
        <v>900</v>
      </c>
      <c r="E12" s="12">
        <v>900</v>
      </c>
      <c r="F12" s="12">
        <v>900</v>
      </c>
      <c r="G12" s="12">
        <v>900</v>
      </c>
      <c r="H12" s="12">
        <v>900</v>
      </c>
      <c r="I12" s="12">
        <v>900</v>
      </c>
      <c r="J12" s="12">
        <v>900</v>
      </c>
      <c r="K12" s="12">
        <v>900</v>
      </c>
      <c r="L12" s="12">
        <v>900</v>
      </c>
      <c r="M12" s="12">
        <v>900</v>
      </c>
      <c r="N12" s="12">
        <f t="shared" si="5"/>
        <v>10800</v>
      </c>
    </row>
    <row r="13" spans="1:14" s="9" customFormat="1" ht="11.25" x14ac:dyDescent="0.15">
      <c r="A13" s="2" t="s">
        <v>20</v>
      </c>
      <c r="B13" s="12">
        <v>1000</v>
      </c>
      <c r="C13" s="12">
        <v>1000</v>
      </c>
      <c r="D13" s="12">
        <v>1000</v>
      </c>
      <c r="E13" s="12">
        <v>1000</v>
      </c>
      <c r="F13" s="12">
        <v>1000</v>
      </c>
      <c r="G13" s="12">
        <v>1000</v>
      </c>
      <c r="H13" s="12">
        <v>1000</v>
      </c>
      <c r="I13" s="12">
        <v>1000</v>
      </c>
      <c r="J13" s="12">
        <v>1000</v>
      </c>
      <c r="K13" s="12">
        <v>1000</v>
      </c>
      <c r="L13" s="12">
        <v>1000</v>
      </c>
      <c r="M13" s="12">
        <v>1000</v>
      </c>
      <c r="N13" s="12">
        <f t="shared" si="5"/>
        <v>12000</v>
      </c>
    </row>
    <row r="14" spans="1:14" s="9" customFormat="1" ht="11.25" x14ac:dyDescent="0.15">
      <c r="A14" s="3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s="9" customFormat="1" ht="11.25" x14ac:dyDescent="0.15">
      <c r="A15" s="10" t="str">
        <f>"= RECEITA OPERACIONAL LÍQUIDA"</f>
        <v>= RECEITA OPERACIONAL LÍQUIDA</v>
      </c>
      <c r="B15" s="11">
        <f>SUM(B5+B10)</f>
        <v>4600</v>
      </c>
      <c r="C15" s="11">
        <f t="shared" ref="C15:M15" si="11">SUM(C5+C10)</f>
        <v>6600</v>
      </c>
      <c r="D15" s="11">
        <f t="shared" si="11"/>
        <v>8600</v>
      </c>
      <c r="E15" s="11">
        <f t="shared" si="11"/>
        <v>11600</v>
      </c>
      <c r="F15" s="11">
        <f t="shared" si="11"/>
        <v>8600</v>
      </c>
      <c r="G15" s="11">
        <f t="shared" si="11"/>
        <v>12600</v>
      </c>
      <c r="H15" s="11">
        <f t="shared" si="11"/>
        <v>10600</v>
      </c>
      <c r="I15" s="11">
        <f t="shared" si="11"/>
        <v>12600</v>
      </c>
      <c r="J15" s="11">
        <f t="shared" si="11"/>
        <v>11600</v>
      </c>
      <c r="K15" s="11">
        <f t="shared" si="11"/>
        <v>10600</v>
      </c>
      <c r="L15" s="11">
        <f t="shared" si="11"/>
        <v>10100</v>
      </c>
      <c r="M15" s="11">
        <f t="shared" ref="M15:N15" si="12">SUM(M5+M10)</f>
        <v>9100</v>
      </c>
      <c r="N15" s="11">
        <f t="shared" si="12"/>
        <v>117200</v>
      </c>
    </row>
    <row r="16" spans="1:14" s="9" customFormat="1" ht="11.25" x14ac:dyDescent="0.15">
      <c r="A16" s="3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s="9" customFormat="1" ht="11.25" x14ac:dyDescent="0.15">
      <c r="A17" s="10" t="s">
        <v>21</v>
      </c>
      <c r="B17" s="11">
        <f>-SUM(B18:B20)</f>
        <v>-1200</v>
      </c>
      <c r="C17" s="11">
        <f>-SUM(C18:C20)</f>
        <v>-1200</v>
      </c>
      <c r="D17" s="11">
        <f>-SUM(D18:D20)</f>
        <v>-1200</v>
      </c>
      <c r="E17" s="11">
        <f t="shared" ref="E17:G17" si="13">-SUM(E18:E20)</f>
        <v>-1200</v>
      </c>
      <c r="F17" s="11">
        <f t="shared" si="13"/>
        <v>-1200</v>
      </c>
      <c r="G17" s="11">
        <f t="shared" si="13"/>
        <v>-1200</v>
      </c>
      <c r="H17" s="11">
        <f t="shared" ref="H17:J17" si="14">-SUM(H18:H20)</f>
        <v>-1200</v>
      </c>
      <c r="I17" s="11">
        <f t="shared" si="14"/>
        <v>-1200</v>
      </c>
      <c r="J17" s="11">
        <f t="shared" si="14"/>
        <v>-1200</v>
      </c>
      <c r="K17" s="11">
        <f t="shared" ref="K17:M17" si="15">-SUM(K18:K20)</f>
        <v>-1200</v>
      </c>
      <c r="L17" s="11">
        <f t="shared" si="15"/>
        <v>-1200</v>
      </c>
      <c r="M17" s="11">
        <f t="shared" ref="M17:N17" si="16">-SUM(M18:M20)</f>
        <v>-1200</v>
      </c>
      <c r="N17" s="11">
        <f t="shared" si="16"/>
        <v>-14400</v>
      </c>
    </row>
    <row r="18" spans="1:14" s="9" customFormat="1" ht="11.25" x14ac:dyDescent="0.15">
      <c r="A18" s="2" t="s">
        <v>22</v>
      </c>
      <c r="B18" s="12">
        <v>1200</v>
      </c>
      <c r="C18" s="12">
        <v>1200</v>
      </c>
      <c r="D18" s="12">
        <v>1200</v>
      </c>
      <c r="E18" s="12">
        <v>1200</v>
      </c>
      <c r="F18" s="12">
        <v>1200</v>
      </c>
      <c r="G18" s="12">
        <v>1200</v>
      </c>
      <c r="H18" s="12">
        <v>1200</v>
      </c>
      <c r="I18" s="12">
        <v>1200</v>
      </c>
      <c r="J18" s="12">
        <v>1200</v>
      </c>
      <c r="K18" s="12">
        <v>1200</v>
      </c>
      <c r="L18" s="12">
        <v>1200</v>
      </c>
      <c r="M18" s="12">
        <v>1200</v>
      </c>
      <c r="N18" s="12">
        <f t="shared" si="5"/>
        <v>14400</v>
      </c>
    </row>
    <row r="19" spans="1:14" s="9" customFormat="1" ht="11.25" x14ac:dyDescent="0.15">
      <c r="A19" s="2" t="s">
        <v>23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>
        <f t="shared" si="5"/>
        <v>0</v>
      </c>
    </row>
    <row r="20" spans="1:14" s="9" customFormat="1" ht="11.25" x14ac:dyDescent="0.15">
      <c r="A20" s="2" t="s">
        <v>24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>
        <f t="shared" si="5"/>
        <v>0</v>
      </c>
    </row>
    <row r="21" spans="1:14" s="9" customFormat="1" ht="11.25" x14ac:dyDescent="0.15">
      <c r="A21" s="3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s="9" customFormat="1" ht="11.25" x14ac:dyDescent="0.15">
      <c r="A22" s="10" t="str">
        <f>"= RESULTADO OPERACIONAL BRUTO"</f>
        <v>= RESULTADO OPERACIONAL BRUTO</v>
      </c>
      <c r="B22" s="11">
        <f>B15+B17</f>
        <v>3400</v>
      </c>
      <c r="C22" s="11">
        <f t="shared" ref="C22:M22" si="17">C15+C17</f>
        <v>5400</v>
      </c>
      <c r="D22" s="11">
        <f t="shared" si="17"/>
        <v>7400</v>
      </c>
      <c r="E22" s="11">
        <f t="shared" si="17"/>
        <v>10400</v>
      </c>
      <c r="F22" s="11">
        <f t="shared" si="17"/>
        <v>7400</v>
      </c>
      <c r="G22" s="11">
        <f t="shared" si="17"/>
        <v>11400</v>
      </c>
      <c r="H22" s="11">
        <f t="shared" si="17"/>
        <v>9400</v>
      </c>
      <c r="I22" s="11">
        <f t="shared" si="17"/>
        <v>11400</v>
      </c>
      <c r="J22" s="11">
        <f t="shared" si="17"/>
        <v>10400</v>
      </c>
      <c r="K22" s="11">
        <f t="shared" si="17"/>
        <v>9400</v>
      </c>
      <c r="L22" s="11">
        <f t="shared" si="17"/>
        <v>8900</v>
      </c>
      <c r="M22" s="11">
        <f t="shared" ref="M22:N22" si="18">M15+M17</f>
        <v>7900</v>
      </c>
      <c r="N22" s="11">
        <f t="shared" si="18"/>
        <v>102800</v>
      </c>
    </row>
    <row r="23" spans="1:14" s="9" customFormat="1" ht="11.25" x14ac:dyDescent="0.15">
      <c r="A23" s="3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s="9" customFormat="1" ht="11.25" x14ac:dyDescent="0.15">
      <c r="A24" s="10" t="s">
        <v>25</v>
      </c>
      <c r="B24" s="11">
        <f>-SUM(B25:B27)</f>
        <v>-1400</v>
      </c>
      <c r="C24" s="11">
        <f>-SUM(C25:C27)</f>
        <v>-1400</v>
      </c>
      <c r="D24" s="11">
        <f>-SUM(D25:D27)</f>
        <v>-1400</v>
      </c>
      <c r="E24" s="11">
        <f t="shared" ref="E24:G24" si="19">-SUM(E25:E27)</f>
        <v>-1400</v>
      </c>
      <c r="F24" s="11">
        <f t="shared" si="19"/>
        <v>-1400</v>
      </c>
      <c r="G24" s="11">
        <f t="shared" si="19"/>
        <v>-1400</v>
      </c>
      <c r="H24" s="11">
        <f t="shared" ref="H24:J24" si="20">-SUM(H25:H27)</f>
        <v>-1400</v>
      </c>
      <c r="I24" s="11">
        <f t="shared" si="20"/>
        <v>-1400</v>
      </c>
      <c r="J24" s="11">
        <f t="shared" si="20"/>
        <v>-1400</v>
      </c>
      <c r="K24" s="11">
        <f t="shared" ref="K24:M24" si="21">-SUM(K25:K27)</f>
        <v>-1400</v>
      </c>
      <c r="L24" s="11">
        <f t="shared" si="21"/>
        <v>-1400</v>
      </c>
      <c r="M24" s="11">
        <f t="shared" ref="M24:N24" si="22">SUM(A24:L24)</f>
        <v>-15400</v>
      </c>
      <c r="N24" s="11">
        <f t="shared" si="22"/>
        <v>-30800</v>
      </c>
    </row>
    <row r="25" spans="1:14" s="9" customFormat="1" ht="11.25" x14ac:dyDescent="0.15">
      <c r="A25" s="2" t="s">
        <v>26</v>
      </c>
      <c r="B25" s="12">
        <v>600</v>
      </c>
      <c r="C25" s="12">
        <v>600</v>
      </c>
      <c r="D25" s="12">
        <v>600</v>
      </c>
      <c r="E25" s="12">
        <v>600</v>
      </c>
      <c r="F25" s="12">
        <v>600</v>
      </c>
      <c r="G25" s="12">
        <v>600</v>
      </c>
      <c r="H25" s="12">
        <v>600</v>
      </c>
      <c r="I25" s="12">
        <v>600</v>
      </c>
      <c r="J25" s="12">
        <v>600</v>
      </c>
      <c r="K25" s="12">
        <v>600</v>
      </c>
      <c r="L25" s="12">
        <v>600</v>
      </c>
      <c r="M25" s="12">
        <v>600</v>
      </c>
      <c r="N25" s="12">
        <f t="shared" si="5"/>
        <v>7200</v>
      </c>
    </row>
    <row r="26" spans="1:14" s="9" customFormat="1" ht="11.25" x14ac:dyDescent="0.15">
      <c r="A26" s="2" t="s">
        <v>27</v>
      </c>
      <c r="B26" s="12">
        <v>800</v>
      </c>
      <c r="C26" s="12">
        <v>800</v>
      </c>
      <c r="D26" s="12">
        <v>800</v>
      </c>
      <c r="E26" s="12">
        <v>800</v>
      </c>
      <c r="F26" s="12">
        <v>800</v>
      </c>
      <c r="G26" s="12">
        <v>800</v>
      </c>
      <c r="H26" s="12">
        <v>800</v>
      </c>
      <c r="I26" s="12">
        <v>800</v>
      </c>
      <c r="J26" s="12">
        <v>800</v>
      </c>
      <c r="K26" s="12">
        <v>800</v>
      </c>
      <c r="L26" s="12">
        <v>800</v>
      </c>
      <c r="M26" s="12">
        <v>800</v>
      </c>
      <c r="N26" s="12">
        <f t="shared" si="5"/>
        <v>9600</v>
      </c>
    </row>
    <row r="27" spans="1:14" s="9" customFormat="1" ht="11.25" x14ac:dyDescent="0.15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s="9" customFormat="1" ht="11.25" x14ac:dyDescent="0.15">
      <c r="A28" s="10" t="s">
        <v>28</v>
      </c>
      <c r="B28" s="11">
        <f>-SUM(B29:B31)</f>
        <v>-300</v>
      </c>
      <c r="C28" s="11">
        <f>-SUM(C29:C31)</f>
        <v>-300</v>
      </c>
      <c r="D28" s="11">
        <f>-SUM(D29:D31)</f>
        <v>-300</v>
      </c>
      <c r="E28" s="11">
        <f t="shared" ref="E28:G28" si="23">-SUM(E29:E31)</f>
        <v>-300</v>
      </c>
      <c r="F28" s="11">
        <f t="shared" si="23"/>
        <v>-300</v>
      </c>
      <c r="G28" s="11">
        <f t="shared" si="23"/>
        <v>-300</v>
      </c>
      <c r="H28" s="11">
        <f t="shared" ref="H28:J28" si="24">-SUM(H29:H31)</f>
        <v>-300</v>
      </c>
      <c r="I28" s="11">
        <f t="shared" si="24"/>
        <v>-300</v>
      </c>
      <c r="J28" s="11">
        <f t="shared" si="24"/>
        <v>-300</v>
      </c>
      <c r="K28" s="11">
        <f t="shared" ref="K28:M28" si="25">-SUM(K29:K31)</f>
        <v>-300</v>
      </c>
      <c r="L28" s="11">
        <f t="shared" si="25"/>
        <v>-300</v>
      </c>
      <c r="M28" s="11">
        <f t="shared" ref="M28:N28" si="26">-SUM(M29:M31)</f>
        <v>-300</v>
      </c>
      <c r="N28" s="11">
        <f t="shared" si="26"/>
        <v>-3600</v>
      </c>
    </row>
    <row r="29" spans="1:14" s="9" customFormat="1" ht="11.25" x14ac:dyDescent="0.15">
      <c r="A29" s="2" t="s">
        <v>29</v>
      </c>
      <c r="B29" s="12">
        <v>300</v>
      </c>
      <c r="C29" s="12">
        <v>300</v>
      </c>
      <c r="D29" s="12">
        <v>300</v>
      </c>
      <c r="E29" s="12">
        <v>300</v>
      </c>
      <c r="F29" s="12">
        <v>300</v>
      </c>
      <c r="G29" s="12">
        <v>300</v>
      </c>
      <c r="H29" s="12">
        <v>300</v>
      </c>
      <c r="I29" s="12">
        <v>300</v>
      </c>
      <c r="J29" s="12">
        <v>300</v>
      </c>
      <c r="K29" s="12">
        <v>300</v>
      </c>
      <c r="L29" s="12">
        <v>300</v>
      </c>
      <c r="M29" s="12">
        <v>300</v>
      </c>
      <c r="N29" s="12">
        <f t="shared" si="5"/>
        <v>3600</v>
      </c>
    </row>
    <row r="30" spans="1:14" s="9" customFormat="1" ht="11.25" x14ac:dyDescent="0.15">
      <c r="A30" s="2" t="s">
        <v>30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>
        <f t="shared" si="5"/>
        <v>0</v>
      </c>
    </row>
    <row r="31" spans="1:14" s="9" customFormat="1" ht="11.25" x14ac:dyDescent="0.15">
      <c r="A31" s="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 s="9" customFormat="1" ht="11.25" x14ac:dyDescent="0.15">
      <c r="A32" s="13" t="s">
        <v>31</v>
      </c>
      <c r="B32" s="11">
        <f>-B33</f>
        <v>0</v>
      </c>
      <c r="C32" s="11">
        <f t="shared" ref="C32:D32" si="27">-C33</f>
        <v>0</v>
      </c>
      <c r="D32" s="11">
        <f t="shared" si="27"/>
        <v>0</v>
      </c>
      <c r="E32" s="11">
        <f t="shared" ref="E32:G32" si="28">-E33</f>
        <v>0</v>
      </c>
      <c r="F32" s="11">
        <f t="shared" si="28"/>
        <v>0</v>
      </c>
      <c r="G32" s="11">
        <f t="shared" si="28"/>
        <v>0</v>
      </c>
      <c r="H32" s="11">
        <f t="shared" ref="H32:J32" si="29">-H33</f>
        <v>0</v>
      </c>
      <c r="I32" s="11">
        <f t="shared" si="29"/>
        <v>0</v>
      </c>
      <c r="J32" s="11">
        <f t="shared" si="29"/>
        <v>0</v>
      </c>
      <c r="K32" s="11">
        <f t="shared" ref="K32:M32" si="30">-K33</f>
        <v>0</v>
      </c>
      <c r="L32" s="11">
        <f t="shared" si="30"/>
        <v>0</v>
      </c>
      <c r="M32" s="11">
        <f t="shared" ref="M32:N32" si="31">-M33</f>
        <v>0</v>
      </c>
      <c r="N32" s="11">
        <f t="shared" si="31"/>
        <v>0</v>
      </c>
    </row>
    <row r="33" spans="1:14" s="9" customFormat="1" ht="11.25" x14ac:dyDescent="0.15">
      <c r="A33" s="4" t="s">
        <v>32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>
        <f t="shared" si="5"/>
        <v>0</v>
      </c>
    </row>
    <row r="34" spans="1:14" s="9" customFormat="1" ht="11.25" x14ac:dyDescent="0.15">
      <c r="A34" s="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s="9" customFormat="1" ht="11.25" x14ac:dyDescent="0.15">
      <c r="A35" s="13" t="str">
        <f>"= RESULTADO OPERACIONAL ANTES DO IR E CSLL"</f>
        <v>= RESULTADO OPERACIONAL ANTES DO IR E CSLL</v>
      </c>
      <c r="B35" s="11">
        <f>(B22+B24+B28+B32)</f>
        <v>1700</v>
      </c>
      <c r="C35" s="11">
        <f>(C22+C24+C28+C32)</f>
        <v>3700</v>
      </c>
      <c r="D35" s="11">
        <f>(D22+D24+D28+D32)</f>
        <v>5700</v>
      </c>
      <c r="E35" s="11">
        <f>(E22+E24+E28+E32)</f>
        <v>8700</v>
      </c>
      <c r="F35" s="11">
        <f>(F22+F24+F28+F32)</f>
        <v>5700</v>
      </c>
      <c r="G35" s="11">
        <f>(G22+G24+G28+G32)</f>
        <v>9700</v>
      </c>
      <c r="H35" s="11">
        <f>(H22+H24+H28+H32)</f>
        <v>7700</v>
      </c>
      <c r="I35" s="11">
        <f>(I22+I24+I28+I32)</f>
        <v>9700</v>
      </c>
      <c r="J35" s="11">
        <f>(J22+J24+J28+J32)</f>
        <v>8700</v>
      </c>
      <c r="K35" s="11">
        <f>(K22+K24+K28+K32)</f>
        <v>7700</v>
      </c>
      <c r="L35" s="11">
        <f>(L22+L24+L28+L32)</f>
        <v>7200</v>
      </c>
      <c r="M35" s="11">
        <f t="shared" ref="M35:N35" si="32">(M22+M24+M28+M32)</f>
        <v>-7800</v>
      </c>
      <c r="N35" s="11">
        <f t="shared" si="32"/>
        <v>68400</v>
      </c>
    </row>
    <row r="36" spans="1:14" s="9" customFormat="1" ht="11.25" x14ac:dyDescent="0.15">
      <c r="A36" s="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s="9" customFormat="1" ht="11.25" x14ac:dyDescent="0.15">
      <c r="A37" s="10" t="s">
        <v>33</v>
      </c>
      <c r="B37" s="11">
        <f>-(B5*IR+B5*CSLL)</f>
        <v>-1920</v>
      </c>
      <c r="C37" s="11">
        <f>-(C5*IR+C5*CSLL)</f>
        <v>-2400</v>
      </c>
      <c r="D37" s="11">
        <f>-(D5*IR+D5*CSLL)</f>
        <v>-2880</v>
      </c>
      <c r="E37" s="11">
        <f>-(E5*IR+E5*CSLL)</f>
        <v>-3600</v>
      </c>
      <c r="F37" s="11">
        <f>-(F5*IR+F5*CSLL)</f>
        <v>-2880</v>
      </c>
      <c r="G37" s="11">
        <f>-(G5*IR+G5*CSLL)</f>
        <v>-3840</v>
      </c>
      <c r="H37" s="11">
        <f>-(H5*IR+H5*CSLL)</f>
        <v>-3360</v>
      </c>
      <c r="I37" s="11">
        <f>-(I5*IR+I5*CSLL)</f>
        <v>-3840</v>
      </c>
      <c r="J37" s="11">
        <f>-(J5*IR+J5*CSLL)</f>
        <v>-3600</v>
      </c>
      <c r="K37" s="11">
        <f>-(K5*IR+K5*CSLL)</f>
        <v>-3360</v>
      </c>
      <c r="L37" s="11">
        <f>-(L5*IR+L5*CSLL)</f>
        <v>-3240</v>
      </c>
      <c r="M37" s="11">
        <f>-(M5*IR+M5*CSLL)</f>
        <v>-3000</v>
      </c>
      <c r="N37" s="11">
        <f>-(N5*IR+N5*CSLL)</f>
        <v>-37920</v>
      </c>
    </row>
    <row r="38" spans="1:14" s="9" customFormat="1" ht="11.25" x14ac:dyDescent="0.15">
      <c r="A38" s="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 s="9" customFormat="1" ht="11.25" x14ac:dyDescent="0.15">
      <c r="A39" s="10" t="str">
        <f>"= LUCRO LÍQUIDO ANTES DAS PARTICIPAÇÕES"</f>
        <v>= LUCRO LÍQUIDO ANTES DAS PARTICIPAÇÕES</v>
      </c>
      <c r="B39" s="11">
        <f>B35+B37</f>
        <v>-220</v>
      </c>
      <c r="C39" s="11">
        <f t="shared" ref="C39:N39" si="33">C35+C37</f>
        <v>1300</v>
      </c>
      <c r="D39" s="11">
        <f t="shared" si="33"/>
        <v>2820</v>
      </c>
      <c r="E39" s="11">
        <f t="shared" si="33"/>
        <v>5100</v>
      </c>
      <c r="F39" s="11">
        <f t="shared" si="33"/>
        <v>2820</v>
      </c>
      <c r="G39" s="11">
        <f t="shared" si="33"/>
        <v>5860</v>
      </c>
      <c r="H39" s="11">
        <f t="shared" si="33"/>
        <v>4340</v>
      </c>
      <c r="I39" s="11">
        <f t="shared" si="33"/>
        <v>5860</v>
      </c>
      <c r="J39" s="11">
        <f t="shared" si="33"/>
        <v>5100</v>
      </c>
      <c r="K39" s="11">
        <f t="shared" si="33"/>
        <v>4340</v>
      </c>
      <c r="L39" s="11">
        <f t="shared" si="33"/>
        <v>3960</v>
      </c>
      <c r="M39" s="11">
        <f t="shared" ref="M39:N39" si="34">M35+M37</f>
        <v>-10800</v>
      </c>
      <c r="N39" s="11">
        <f t="shared" si="34"/>
        <v>30480</v>
      </c>
    </row>
    <row r="40" spans="1:14" s="9" customFormat="1" ht="11.25" x14ac:dyDescent="0.15">
      <c r="A40" s="2" t="s">
        <v>34</v>
      </c>
      <c r="B40" s="12">
        <v>-100</v>
      </c>
      <c r="C40" s="12">
        <v>-100</v>
      </c>
      <c r="D40" s="12">
        <v>-100</v>
      </c>
      <c r="E40" s="12">
        <v>-100</v>
      </c>
      <c r="F40" s="12">
        <v>-100</v>
      </c>
      <c r="G40" s="12">
        <v>-100</v>
      </c>
      <c r="H40" s="12">
        <v>-100</v>
      </c>
      <c r="I40" s="12">
        <v>-100</v>
      </c>
      <c r="J40" s="12">
        <v>-100</v>
      </c>
      <c r="K40" s="12">
        <v>-100</v>
      </c>
      <c r="L40" s="12">
        <v>-100</v>
      </c>
      <c r="M40" s="12">
        <v>-100</v>
      </c>
      <c r="N40" s="12">
        <f>SUM(B40:M40)</f>
        <v>-1200</v>
      </c>
    </row>
    <row r="41" spans="1:14" s="9" customFormat="1" ht="11.25" x14ac:dyDescent="0.15">
      <c r="A41" s="10" t="s">
        <v>35</v>
      </c>
      <c r="B41" s="11">
        <f t="shared" ref="B41:N41" si="35">B39+B40</f>
        <v>-320</v>
      </c>
      <c r="C41" s="11">
        <f t="shared" si="35"/>
        <v>1200</v>
      </c>
      <c r="D41" s="11">
        <f t="shared" si="35"/>
        <v>2720</v>
      </c>
      <c r="E41" s="11">
        <f t="shared" si="35"/>
        <v>5000</v>
      </c>
      <c r="F41" s="11">
        <f t="shared" si="35"/>
        <v>2720</v>
      </c>
      <c r="G41" s="11">
        <f t="shared" si="35"/>
        <v>5760</v>
      </c>
      <c r="H41" s="11">
        <f t="shared" si="35"/>
        <v>4240</v>
      </c>
      <c r="I41" s="11">
        <f t="shared" si="35"/>
        <v>5760</v>
      </c>
      <c r="J41" s="11">
        <f t="shared" si="35"/>
        <v>5000</v>
      </c>
      <c r="K41" s="11">
        <f t="shared" si="35"/>
        <v>4240</v>
      </c>
      <c r="L41" s="11">
        <f t="shared" si="35"/>
        <v>3860</v>
      </c>
      <c r="M41" s="11">
        <f t="shared" ref="M41:N41" si="36">M39+M40</f>
        <v>-10900</v>
      </c>
      <c r="N41" s="11">
        <f t="shared" si="36"/>
        <v>29280</v>
      </c>
    </row>
    <row r="42" spans="1:14" ht="14.25" x14ac:dyDescent="0.2">
      <c r="A42" s="1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9"/>
  <sheetViews>
    <sheetView showGridLines="0" showRowColHeaders="0" workbookViewId="0">
      <selection activeCell="D30" sqref="D30"/>
    </sheetView>
  </sheetViews>
  <sheetFormatPr defaultRowHeight="11.25" x14ac:dyDescent="0.15"/>
  <cols>
    <col min="1" max="1" width="35" style="9" customWidth="1"/>
    <col min="2" max="2" width="10.42578125" style="9" bestFit="1" customWidth="1"/>
    <col min="3" max="13" width="11.5703125" style="9" bestFit="1" customWidth="1"/>
    <col min="14" max="14" width="12.7109375" style="9" bestFit="1" customWidth="1"/>
    <col min="15" max="16384" width="9.140625" style="9"/>
  </cols>
  <sheetData>
    <row r="3" spans="1:14" ht="15.75" customHeight="1" x14ac:dyDescent="0.15">
      <c r="A3" s="15" t="s">
        <v>40</v>
      </c>
      <c r="B3" s="16" t="s">
        <v>59</v>
      </c>
      <c r="C3" s="16" t="s">
        <v>60</v>
      </c>
      <c r="D3" s="16" t="s">
        <v>61</v>
      </c>
      <c r="E3" s="16" t="s">
        <v>62</v>
      </c>
      <c r="F3" s="16" t="s">
        <v>63</v>
      </c>
      <c r="G3" s="16" t="s">
        <v>64</v>
      </c>
      <c r="H3" s="16" t="s">
        <v>65</v>
      </c>
      <c r="I3" s="16" t="s">
        <v>66</v>
      </c>
      <c r="J3" s="16" t="s">
        <v>67</v>
      </c>
      <c r="K3" s="16" t="s">
        <v>68</v>
      </c>
      <c r="L3" s="16" t="s">
        <v>69</v>
      </c>
      <c r="M3" s="16" t="s">
        <v>70</v>
      </c>
      <c r="N3" s="16" t="s">
        <v>71</v>
      </c>
    </row>
    <row r="4" spans="1:14" ht="15.75" customHeight="1" x14ac:dyDescent="0.15">
      <c r="A4" s="20" t="s">
        <v>41</v>
      </c>
      <c r="B4" s="17">
        <v>8000</v>
      </c>
      <c r="C4" s="17">
        <v>10000</v>
      </c>
      <c r="D4" s="17">
        <v>12000</v>
      </c>
      <c r="E4" s="17">
        <v>15000</v>
      </c>
      <c r="F4" s="17">
        <v>12000</v>
      </c>
      <c r="G4" s="17">
        <v>16000</v>
      </c>
      <c r="H4" s="17">
        <v>14000</v>
      </c>
      <c r="I4" s="17">
        <v>16000</v>
      </c>
      <c r="J4" s="17">
        <v>15000</v>
      </c>
      <c r="K4" s="17">
        <v>14000</v>
      </c>
      <c r="L4" s="17">
        <v>13500</v>
      </c>
      <c r="M4" s="17">
        <v>12500</v>
      </c>
      <c r="N4" s="17">
        <f>SUM(B4:M4)</f>
        <v>158000</v>
      </c>
    </row>
    <row r="5" spans="1:14" ht="15.75" customHeight="1" x14ac:dyDescent="0.15">
      <c r="A5" s="20" t="s">
        <v>42</v>
      </c>
      <c r="B5" s="17">
        <v>1500</v>
      </c>
      <c r="C5" s="17">
        <v>1500</v>
      </c>
      <c r="D5" s="17">
        <v>1500</v>
      </c>
      <c r="E5" s="17">
        <v>1500</v>
      </c>
      <c r="F5" s="17">
        <v>1500</v>
      </c>
      <c r="G5" s="17">
        <v>1500</v>
      </c>
      <c r="H5" s="17">
        <v>1500</v>
      </c>
      <c r="I5" s="17">
        <v>1500</v>
      </c>
      <c r="J5" s="17">
        <v>1500</v>
      </c>
      <c r="K5" s="17">
        <v>1500</v>
      </c>
      <c r="L5" s="17">
        <v>1500</v>
      </c>
      <c r="M5" s="17">
        <v>1500</v>
      </c>
      <c r="N5" s="17">
        <f>SUM(B5:M5)</f>
        <v>18000</v>
      </c>
    </row>
    <row r="6" spans="1:14" ht="15.75" customHeight="1" x14ac:dyDescent="0.15">
      <c r="A6" s="15" t="s">
        <v>43</v>
      </c>
      <c r="B6" s="18">
        <f t="shared" ref="B6:M6" si="0">B4+B5</f>
        <v>9500</v>
      </c>
      <c r="C6" s="18">
        <f t="shared" si="0"/>
        <v>11500</v>
      </c>
      <c r="D6" s="18">
        <f t="shared" si="0"/>
        <v>13500</v>
      </c>
      <c r="E6" s="18">
        <f t="shared" si="0"/>
        <v>16500</v>
      </c>
      <c r="F6" s="18">
        <f t="shared" si="0"/>
        <v>13500</v>
      </c>
      <c r="G6" s="18">
        <f t="shared" si="0"/>
        <v>17500</v>
      </c>
      <c r="H6" s="18">
        <f t="shared" si="0"/>
        <v>15500</v>
      </c>
      <c r="I6" s="18">
        <f t="shared" si="0"/>
        <v>17500</v>
      </c>
      <c r="J6" s="18">
        <f t="shared" si="0"/>
        <v>16500</v>
      </c>
      <c r="K6" s="18">
        <f t="shared" si="0"/>
        <v>15500</v>
      </c>
      <c r="L6" s="18">
        <f t="shared" si="0"/>
        <v>15000</v>
      </c>
      <c r="M6" s="18">
        <f t="shared" si="0"/>
        <v>14000</v>
      </c>
      <c r="N6" s="18">
        <f>N4-N5</f>
        <v>140000</v>
      </c>
    </row>
    <row r="7" spans="1:14" ht="15.75" customHeight="1" x14ac:dyDescent="0.15">
      <c r="A7" s="20" t="s">
        <v>44</v>
      </c>
      <c r="B7" s="17">
        <f t="shared" ref="B7:N7" si="1">SUM(B8:B10)</f>
        <v>1050</v>
      </c>
      <c r="C7" s="17">
        <f t="shared" si="1"/>
        <v>1050</v>
      </c>
      <c r="D7" s="17">
        <f t="shared" si="1"/>
        <v>1050</v>
      </c>
      <c r="E7" s="17">
        <f t="shared" si="1"/>
        <v>1050</v>
      </c>
      <c r="F7" s="17">
        <f t="shared" si="1"/>
        <v>1050</v>
      </c>
      <c r="G7" s="17">
        <f t="shared" si="1"/>
        <v>1050</v>
      </c>
      <c r="H7" s="17">
        <f t="shared" si="1"/>
        <v>1050</v>
      </c>
      <c r="I7" s="17">
        <f t="shared" si="1"/>
        <v>1050</v>
      </c>
      <c r="J7" s="17">
        <f t="shared" si="1"/>
        <v>1050</v>
      </c>
      <c r="K7" s="17">
        <f t="shared" si="1"/>
        <v>1050</v>
      </c>
      <c r="L7" s="17">
        <f t="shared" si="1"/>
        <v>1050</v>
      </c>
      <c r="M7" s="17">
        <f t="shared" si="1"/>
        <v>1050</v>
      </c>
      <c r="N7" s="17">
        <f t="shared" si="1"/>
        <v>12600</v>
      </c>
    </row>
    <row r="8" spans="1:14" ht="15.75" customHeight="1" x14ac:dyDescent="0.15">
      <c r="A8" s="21" t="s">
        <v>45</v>
      </c>
      <c r="B8" s="19">
        <v>300</v>
      </c>
      <c r="C8" s="19">
        <v>300</v>
      </c>
      <c r="D8" s="19">
        <v>300</v>
      </c>
      <c r="E8" s="19">
        <v>300</v>
      </c>
      <c r="F8" s="19">
        <v>300</v>
      </c>
      <c r="G8" s="19">
        <v>300</v>
      </c>
      <c r="H8" s="19">
        <v>300</v>
      </c>
      <c r="I8" s="19">
        <v>300</v>
      </c>
      <c r="J8" s="19">
        <v>300</v>
      </c>
      <c r="K8" s="19">
        <v>300</v>
      </c>
      <c r="L8" s="19">
        <v>300</v>
      </c>
      <c r="M8" s="19">
        <v>300</v>
      </c>
      <c r="N8" s="19">
        <f>SUM(B8:M8)</f>
        <v>3600</v>
      </c>
    </row>
    <row r="9" spans="1:14" ht="15.75" customHeight="1" x14ac:dyDescent="0.15">
      <c r="A9" s="21" t="s">
        <v>46</v>
      </c>
      <c r="B9" s="19">
        <v>500</v>
      </c>
      <c r="C9" s="19">
        <v>500</v>
      </c>
      <c r="D9" s="19">
        <v>500</v>
      </c>
      <c r="E9" s="19">
        <v>500</v>
      </c>
      <c r="F9" s="19">
        <v>500</v>
      </c>
      <c r="G9" s="19">
        <v>500</v>
      </c>
      <c r="H9" s="19">
        <v>500</v>
      </c>
      <c r="I9" s="19">
        <v>500</v>
      </c>
      <c r="J9" s="19">
        <v>500</v>
      </c>
      <c r="K9" s="19">
        <v>500</v>
      </c>
      <c r="L9" s="19">
        <v>500</v>
      </c>
      <c r="M9" s="19">
        <v>500</v>
      </c>
      <c r="N9" s="19">
        <f>SUM(B9:M9)</f>
        <v>6000</v>
      </c>
    </row>
    <row r="10" spans="1:14" ht="15.75" customHeight="1" x14ac:dyDescent="0.15">
      <c r="A10" s="21" t="s">
        <v>47</v>
      </c>
      <c r="B10" s="19">
        <v>250</v>
      </c>
      <c r="C10" s="19">
        <v>250</v>
      </c>
      <c r="D10" s="19">
        <v>250</v>
      </c>
      <c r="E10" s="19">
        <v>250</v>
      </c>
      <c r="F10" s="19">
        <v>250</v>
      </c>
      <c r="G10" s="19">
        <v>250</v>
      </c>
      <c r="H10" s="19">
        <v>250</v>
      </c>
      <c r="I10" s="19">
        <v>250</v>
      </c>
      <c r="J10" s="19">
        <v>250</v>
      </c>
      <c r="K10" s="19">
        <v>250</v>
      </c>
      <c r="L10" s="19">
        <v>250</v>
      </c>
      <c r="M10" s="19">
        <v>250</v>
      </c>
      <c r="N10" s="19">
        <f>SUM(B10:M10)</f>
        <v>3000</v>
      </c>
    </row>
    <row r="11" spans="1:14" ht="15.75" customHeight="1" x14ac:dyDescent="0.15">
      <c r="A11" s="15" t="s">
        <v>48</v>
      </c>
      <c r="B11" s="18">
        <f t="shared" ref="B11:N11" si="2">B6-B7</f>
        <v>8450</v>
      </c>
      <c r="C11" s="18">
        <f t="shared" si="2"/>
        <v>10450</v>
      </c>
      <c r="D11" s="18">
        <f t="shared" si="2"/>
        <v>12450</v>
      </c>
      <c r="E11" s="18">
        <f t="shared" si="2"/>
        <v>15450</v>
      </c>
      <c r="F11" s="18">
        <f t="shared" si="2"/>
        <v>12450</v>
      </c>
      <c r="G11" s="18">
        <f t="shared" si="2"/>
        <v>16450</v>
      </c>
      <c r="H11" s="18">
        <f t="shared" si="2"/>
        <v>14450</v>
      </c>
      <c r="I11" s="18">
        <f t="shared" si="2"/>
        <v>16450</v>
      </c>
      <c r="J11" s="18">
        <f t="shared" si="2"/>
        <v>15450</v>
      </c>
      <c r="K11" s="18">
        <f t="shared" si="2"/>
        <v>14450</v>
      </c>
      <c r="L11" s="18">
        <f t="shared" si="2"/>
        <v>13950</v>
      </c>
      <c r="M11" s="18">
        <f t="shared" si="2"/>
        <v>12950</v>
      </c>
      <c r="N11" s="18">
        <f t="shared" si="2"/>
        <v>127400</v>
      </c>
    </row>
    <row r="12" spans="1:14" ht="15.75" customHeight="1" x14ac:dyDescent="0.15">
      <c r="A12" s="22" t="s">
        <v>49</v>
      </c>
      <c r="B12" s="17">
        <f t="shared" ref="B12:N12" si="3">B13+B17+B20</f>
        <v>1300</v>
      </c>
      <c r="C12" s="17">
        <f t="shared" si="3"/>
        <v>1300</v>
      </c>
      <c r="D12" s="17">
        <f t="shared" si="3"/>
        <v>1300</v>
      </c>
      <c r="E12" s="17">
        <f t="shared" si="3"/>
        <v>1300</v>
      </c>
      <c r="F12" s="17">
        <f t="shared" si="3"/>
        <v>1300</v>
      </c>
      <c r="G12" s="17">
        <f t="shared" si="3"/>
        <v>1300</v>
      </c>
      <c r="H12" s="17">
        <f t="shared" si="3"/>
        <v>1300</v>
      </c>
      <c r="I12" s="17">
        <f t="shared" si="3"/>
        <v>1300</v>
      </c>
      <c r="J12" s="17">
        <f t="shared" si="3"/>
        <v>1300</v>
      </c>
      <c r="K12" s="17">
        <f t="shared" si="3"/>
        <v>1300</v>
      </c>
      <c r="L12" s="17">
        <f t="shared" si="3"/>
        <v>1300</v>
      </c>
      <c r="M12" s="17">
        <f t="shared" si="3"/>
        <v>1300</v>
      </c>
      <c r="N12" s="17">
        <f t="shared" si="3"/>
        <v>15600</v>
      </c>
    </row>
    <row r="13" spans="1:14" ht="15.75" customHeight="1" x14ac:dyDescent="0.15">
      <c r="A13" s="23" t="s">
        <v>50</v>
      </c>
      <c r="B13" s="17">
        <f t="shared" ref="B13:N13" si="4">SUM(B14:B16)</f>
        <v>1000</v>
      </c>
      <c r="C13" s="17">
        <f t="shared" si="4"/>
        <v>1000</v>
      </c>
      <c r="D13" s="17">
        <f t="shared" si="4"/>
        <v>1000</v>
      </c>
      <c r="E13" s="17">
        <f t="shared" si="4"/>
        <v>1000</v>
      </c>
      <c r="F13" s="17">
        <f t="shared" si="4"/>
        <v>1000</v>
      </c>
      <c r="G13" s="17">
        <f t="shared" si="4"/>
        <v>1000</v>
      </c>
      <c r="H13" s="17">
        <f t="shared" si="4"/>
        <v>1000</v>
      </c>
      <c r="I13" s="17">
        <f t="shared" si="4"/>
        <v>1000</v>
      </c>
      <c r="J13" s="17">
        <f t="shared" si="4"/>
        <v>1000</v>
      </c>
      <c r="K13" s="17">
        <f t="shared" si="4"/>
        <v>1000</v>
      </c>
      <c r="L13" s="17">
        <f t="shared" si="4"/>
        <v>1000</v>
      </c>
      <c r="M13" s="17">
        <f t="shared" si="4"/>
        <v>1000</v>
      </c>
      <c r="N13" s="17">
        <f t="shared" si="4"/>
        <v>12000</v>
      </c>
    </row>
    <row r="14" spans="1:14" ht="15.75" customHeight="1" x14ac:dyDescent="0.15">
      <c r="A14" s="24" t="s">
        <v>51</v>
      </c>
      <c r="B14" s="19">
        <v>500</v>
      </c>
      <c r="C14" s="19">
        <v>500</v>
      </c>
      <c r="D14" s="19">
        <v>500</v>
      </c>
      <c r="E14" s="19">
        <v>500</v>
      </c>
      <c r="F14" s="19">
        <v>500</v>
      </c>
      <c r="G14" s="19">
        <v>500</v>
      </c>
      <c r="H14" s="19">
        <v>500</v>
      </c>
      <c r="I14" s="19">
        <v>500</v>
      </c>
      <c r="J14" s="19">
        <v>500</v>
      </c>
      <c r="K14" s="19">
        <v>500</v>
      </c>
      <c r="L14" s="19">
        <v>500</v>
      </c>
      <c r="M14" s="19">
        <v>500</v>
      </c>
      <c r="N14" s="19">
        <f t="shared" ref="N14:N18" si="5">SUM(B14:M14)</f>
        <v>6000</v>
      </c>
    </row>
    <row r="15" spans="1:14" ht="15.75" customHeight="1" x14ac:dyDescent="0.15">
      <c r="A15" s="24" t="s">
        <v>52</v>
      </c>
      <c r="B15" s="19">
        <v>300</v>
      </c>
      <c r="C15" s="19">
        <v>300</v>
      </c>
      <c r="D15" s="19">
        <v>300</v>
      </c>
      <c r="E15" s="19">
        <v>300</v>
      </c>
      <c r="F15" s="19">
        <v>300</v>
      </c>
      <c r="G15" s="19">
        <v>300</v>
      </c>
      <c r="H15" s="19">
        <v>300</v>
      </c>
      <c r="I15" s="19">
        <v>300</v>
      </c>
      <c r="J15" s="19">
        <v>300</v>
      </c>
      <c r="K15" s="19">
        <v>300</v>
      </c>
      <c r="L15" s="19">
        <v>300</v>
      </c>
      <c r="M15" s="19">
        <v>300</v>
      </c>
      <c r="N15" s="19">
        <f t="shared" si="5"/>
        <v>3600</v>
      </c>
    </row>
    <row r="16" spans="1:14" ht="15.75" customHeight="1" x14ac:dyDescent="0.15">
      <c r="A16" s="24" t="s">
        <v>53</v>
      </c>
      <c r="B16" s="19">
        <v>200</v>
      </c>
      <c r="C16" s="19">
        <v>200</v>
      </c>
      <c r="D16" s="19">
        <v>200</v>
      </c>
      <c r="E16" s="19">
        <v>200</v>
      </c>
      <c r="F16" s="19">
        <v>200</v>
      </c>
      <c r="G16" s="19">
        <v>200</v>
      </c>
      <c r="H16" s="19">
        <v>200</v>
      </c>
      <c r="I16" s="19">
        <v>200</v>
      </c>
      <c r="J16" s="19">
        <v>200</v>
      </c>
      <c r="K16" s="19">
        <v>200</v>
      </c>
      <c r="L16" s="19">
        <v>200</v>
      </c>
      <c r="M16" s="19">
        <v>200</v>
      </c>
      <c r="N16" s="19">
        <f t="shared" si="5"/>
        <v>2400</v>
      </c>
    </row>
    <row r="17" spans="1:14" ht="15.75" customHeight="1" x14ac:dyDescent="0.15">
      <c r="A17" s="25" t="s">
        <v>27</v>
      </c>
      <c r="B17" s="17">
        <f t="shared" ref="B17:N17" si="6">SUM(B18:B19)</f>
        <v>400</v>
      </c>
      <c r="C17" s="17">
        <f t="shared" si="6"/>
        <v>400</v>
      </c>
      <c r="D17" s="17">
        <f t="shared" si="6"/>
        <v>400</v>
      </c>
      <c r="E17" s="17">
        <f t="shared" si="6"/>
        <v>400</v>
      </c>
      <c r="F17" s="17">
        <f t="shared" si="6"/>
        <v>400</v>
      </c>
      <c r="G17" s="17">
        <f t="shared" si="6"/>
        <v>400</v>
      </c>
      <c r="H17" s="17">
        <f t="shared" si="6"/>
        <v>400</v>
      </c>
      <c r="I17" s="17">
        <f t="shared" si="6"/>
        <v>400</v>
      </c>
      <c r="J17" s="17">
        <f t="shared" si="6"/>
        <v>400</v>
      </c>
      <c r="K17" s="17">
        <f t="shared" si="6"/>
        <v>400</v>
      </c>
      <c r="L17" s="17">
        <f t="shared" si="6"/>
        <v>400</v>
      </c>
      <c r="M17" s="17">
        <f t="shared" si="6"/>
        <v>400</v>
      </c>
      <c r="N17" s="17">
        <f t="shared" si="6"/>
        <v>4800</v>
      </c>
    </row>
    <row r="18" spans="1:14" ht="15.75" customHeight="1" x14ac:dyDescent="0.15">
      <c r="A18" s="24" t="s">
        <v>51</v>
      </c>
      <c r="B18" s="19">
        <v>300</v>
      </c>
      <c r="C18" s="19">
        <v>300</v>
      </c>
      <c r="D18" s="19">
        <v>300</v>
      </c>
      <c r="E18" s="19">
        <v>300</v>
      </c>
      <c r="F18" s="19">
        <v>300</v>
      </c>
      <c r="G18" s="19">
        <v>300</v>
      </c>
      <c r="H18" s="19">
        <v>300</v>
      </c>
      <c r="I18" s="19">
        <v>300</v>
      </c>
      <c r="J18" s="19">
        <v>300</v>
      </c>
      <c r="K18" s="19">
        <v>300</v>
      </c>
      <c r="L18" s="19">
        <v>300</v>
      </c>
      <c r="M18" s="19">
        <v>300</v>
      </c>
      <c r="N18" s="19">
        <f t="shared" si="5"/>
        <v>3600</v>
      </c>
    </row>
    <row r="19" spans="1:14" ht="15.75" customHeight="1" x14ac:dyDescent="0.15">
      <c r="A19" s="24" t="s">
        <v>53</v>
      </c>
      <c r="B19" s="19">
        <v>100</v>
      </c>
      <c r="C19" s="19">
        <v>100</v>
      </c>
      <c r="D19" s="19">
        <v>100</v>
      </c>
      <c r="E19" s="19">
        <v>100</v>
      </c>
      <c r="F19" s="19">
        <v>100</v>
      </c>
      <c r="G19" s="19">
        <v>100</v>
      </c>
      <c r="H19" s="19">
        <v>100</v>
      </c>
      <c r="I19" s="19">
        <v>100</v>
      </c>
      <c r="J19" s="19">
        <v>100</v>
      </c>
      <c r="K19" s="19">
        <v>100</v>
      </c>
      <c r="L19" s="19">
        <v>100</v>
      </c>
      <c r="M19" s="19">
        <v>100</v>
      </c>
      <c r="N19" s="19">
        <f t="shared" ref="N19:N20" si="7">SUM(B19:M19)</f>
        <v>1200</v>
      </c>
    </row>
    <row r="20" spans="1:14" ht="15.75" customHeight="1" x14ac:dyDescent="0.15">
      <c r="A20" s="25" t="s">
        <v>54</v>
      </c>
      <c r="B20" s="17">
        <v>-100</v>
      </c>
      <c r="C20" s="17">
        <v>-100</v>
      </c>
      <c r="D20" s="17">
        <v>-100</v>
      </c>
      <c r="E20" s="17">
        <v>-100</v>
      </c>
      <c r="F20" s="17">
        <v>-100</v>
      </c>
      <c r="G20" s="17">
        <v>-100</v>
      </c>
      <c r="H20" s="17">
        <v>-100</v>
      </c>
      <c r="I20" s="17">
        <v>-100</v>
      </c>
      <c r="J20" s="17">
        <v>-100</v>
      </c>
      <c r="K20" s="17">
        <v>-100</v>
      </c>
      <c r="L20" s="17">
        <v>-100</v>
      </c>
      <c r="M20" s="17">
        <v>-100</v>
      </c>
      <c r="N20" s="17">
        <f t="shared" si="7"/>
        <v>-1200</v>
      </c>
    </row>
    <row r="21" spans="1:14" ht="15.75" customHeight="1" x14ac:dyDescent="0.15">
      <c r="A21" s="15" t="s">
        <v>55</v>
      </c>
      <c r="B21" s="18">
        <f t="shared" ref="B21:N21" si="8">B11-B12</f>
        <v>7150</v>
      </c>
      <c r="C21" s="18">
        <f t="shared" si="8"/>
        <v>9150</v>
      </c>
      <c r="D21" s="18">
        <f t="shared" si="8"/>
        <v>11150</v>
      </c>
      <c r="E21" s="18">
        <f t="shared" si="8"/>
        <v>14150</v>
      </c>
      <c r="F21" s="18">
        <f t="shared" si="8"/>
        <v>11150</v>
      </c>
      <c r="G21" s="18">
        <f t="shared" si="8"/>
        <v>15150</v>
      </c>
      <c r="H21" s="18">
        <f t="shared" si="8"/>
        <v>13150</v>
      </c>
      <c r="I21" s="18">
        <f t="shared" si="8"/>
        <v>15150</v>
      </c>
      <c r="J21" s="18">
        <f t="shared" si="8"/>
        <v>14150</v>
      </c>
      <c r="K21" s="18">
        <f t="shared" si="8"/>
        <v>13150</v>
      </c>
      <c r="L21" s="18">
        <f t="shared" si="8"/>
        <v>12650</v>
      </c>
      <c r="M21" s="18">
        <f t="shared" si="8"/>
        <v>11650</v>
      </c>
      <c r="N21" s="18">
        <f t="shared" si="8"/>
        <v>111800</v>
      </c>
    </row>
    <row r="22" spans="1:14" ht="15.75" customHeight="1" x14ac:dyDescent="0.15">
      <c r="A22" s="15" t="s">
        <v>56</v>
      </c>
      <c r="B22" s="18">
        <f t="shared" ref="B22:N22" si="9">B10+B16+B19+B21</f>
        <v>7700</v>
      </c>
      <c r="C22" s="18">
        <f t="shared" si="9"/>
        <v>9700</v>
      </c>
      <c r="D22" s="18">
        <f t="shared" si="9"/>
        <v>11700</v>
      </c>
      <c r="E22" s="18">
        <f t="shared" si="9"/>
        <v>14700</v>
      </c>
      <c r="F22" s="18">
        <f t="shared" si="9"/>
        <v>11700</v>
      </c>
      <c r="G22" s="18">
        <f t="shared" si="9"/>
        <v>15700</v>
      </c>
      <c r="H22" s="18">
        <f t="shared" si="9"/>
        <v>13700</v>
      </c>
      <c r="I22" s="18">
        <f t="shared" si="9"/>
        <v>15700</v>
      </c>
      <c r="J22" s="18">
        <f t="shared" si="9"/>
        <v>14700</v>
      </c>
      <c r="K22" s="18">
        <f t="shared" si="9"/>
        <v>13700</v>
      </c>
      <c r="L22" s="18">
        <f t="shared" si="9"/>
        <v>13200</v>
      </c>
      <c r="M22" s="18">
        <f t="shared" si="9"/>
        <v>12200</v>
      </c>
      <c r="N22" s="18">
        <f t="shared" si="9"/>
        <v>118400</v>
      </c>
    </row>
    <row r="23" spans="1:14" ht="15.75" customHeight="1" x14ac:dyDescent="0.15">
      <c r="A23" s="25" t="s">
        <v>57</v>
      </c>
      <c r="B23" s="17">
        <f>B4*IR</f>
        <v>1200</v>
      </c>
      <c r="C23" s="17">
        <f>C4*IR</f>
        <v>1500</v>
      </c>
      <c r="D23" s="17">
        <f>D4*IR</f>
        <v>1800</v>
      </c>
      <c r="E23" s="17">
        <f>E4*IR</f>
        <v>2250</v>
      </c>
      <c r="F23" s="17">
        <f>F4*IR</f>
        <v>1800</v>
      </c>
      <c r="G23" s="17">
        <f>G4*IR</f>
        <v>2400</v>
      </c>
      <c r="H23" s="17">
        <f>H4*IR</f>
        <v>2100</v>
      </c>
      <c r="I23" s="17">
        <f>I4*IR</f>
        <v>2400</v>
      </c>
      <c r="J23" s="17">
        <f>J4*IR</f>
        <v>2250</v>
      </c>
      <c r="K23" s="17">
        <f>K4*IR</f>
        <v>2100</v>
      </c>
      <c r="L23" s="17">
        <f>L4*IR</f>
        <v>2025</v>
      </c>
      <c r="M23" s="17">
        <f>M4*IR</f>
        <v>1875</v>
      </c>
      <c r="N23" s="17">
        <f>N4*IR</f>
        <v>23700</v>
      </c>
    </row>
    <row r="24" spans="1:14" ht="15.75" customHeight="1" x14ac:dyDescent="0.15">
      <c r="A24" s="15" t="s">
        <v>58</v>
      </c>
      <c r="B24" s="18">
        <f t="shared" ref="B24:N24" si="10">B21-B23</f>
        <v>5950</v>
      </c>
      <c r="C24" s="18">
        <f t="shared" si="10"/>
        <v>7650</v>
      </c>
      <c r="D24" s="18">
        <f t="shared" si="10"/>
        <v>9350</v>
      </c>
      <c r="E24" s="18">
        <f t="shared" si="10"/>
        <v>11900</v>
      </c>
      <c r="F24" s="18">
        <f t="shared" si="10"/>
        <v>9350</v>
      </c>
      <c r="G24" s="18">
        <f t="shared" si="10"/>
        <v>12750</v>
      </c>
      <c r="H24" s="18">
        <f t="shared" si="10"/>
        <v>11050</v>
      </c>
      <c r="I24" s="18">
        <f t="shared" si="10"/>
        <v>12750</v>
      </c>
      <c r="J24" s="18">
        <f t="shared" si="10"/>
        <v>11900</v>
      </c>
      <c r="K24" s="18">
        <f t="shared" si="10"/>
        <v>11050</v>
      </c>
      <c r="L24" s="18">
        <f t="shared" si="10"/>
        <v>10625</v>
      </c>
      <c r="M24" s="18">
        <f t="shared" si="10"/>
        <v>9775</v>
      </c>
      <c r="N24" s="18">
        <f t="shared" si="10"/>
        <v>88100</v>
      </c>
    </row>
    <row r="25" spans="1:14" x14ac:dyDescent="0.15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x14ac:dyDescent="0.15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x14ac:dyDescent="0.15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x14ac:dyDescent="0.15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x14ac:dyDescent="0.15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2" sqref="D2"/>
    </sheetView>
  </sheetViews>
  <sheetFormatPr defaultRowHeight="15" x14ac:dyDescent="0.25"/>
  <sheetData>
    <row r="1" spans="1:2" x14ac:dyDescent="0.25">
      <c r="A1" s="26" t="s">
        <v>39</v>
      </c>
      <c r="B1" s="26"/>
    </row>
    <row r="2" spans="1:2" x14ac:dyDescent="0.25">
      <c r="A2" s="8" t="s">
        <v>36</v>
      </c>
      <c r="B2" s="6">
        <v>0.15</v>
      </c>
    </row>
    <row r="3" spans="1:2" x14ac:dyDescent="0.25">
      <c r="A3" s="8" t="s">
        <v>37</v>
      </c>
      <c r="B3" s="6">
        <v>0.09</v>
      </c>
    </row>
    <row r="4" spans="1:2" x14ac:dyDescent="0.25">
      <c r="A4" s="8" t="s">
        <v>38</v>
      </c>
      <c r="B4" s="7">
        <v>8.5000000000000006E-2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2"/>
  <sheetViews>
    <sheetView showGridLines="0" workbookViewId="0"/>
  </sheetViews>
  <sheetFormatPr defaultRowHeight="15" x14ac:dyDescent="0.25"/>
  <cols>
    <col min="1" max="1" width="9.140625" style="27"/>
    <col min="2" max="2" width="1" style="27" customWidth="1"/>
    <col min="3" max="6" width="9.140625" style="27"/>
    <col min="7" max="7" width="14.28515625" style="27" customWidth="1"/>
    <col min="8" max="16384" width="9.140625" style="27"/>
  </cols>
  <sheetData>
    <row r="5" spans="1:11" x14ac:dyDescent="0.25">
      <c r="A5" s="27" t="s">
        <v>72</v>
      </c>
    </row>
    <row r="7" spans="1:11" x14ac:dyDescent="0.2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</row>
    <row r="8" spans="1:11" ht="34.5" customHeight="1" x14ac:dyDescent="0.25">
      <c r="C8" s="29" t="s">
        <v>73</v>
      </c>
      <c r="D8" s="30"/>
      <c r="E8" s="30"/>
      <c r="F8" s="30"/>
      <c r="G8" s="30"/>
    </row>
    <row r="9" spans="1:11" ht="34.5" customHeight="1" x14ac:dyDescent="0.25">
      <c r="A9" s="31"/>
      <c r="B9" s="31"/>
      <c r="C9" s="29" t="s">
        <v>74</v>
      </c>
      <c r="D9" s="30"/>
      <c r="E9" s="30"/>
      <c r="F9" s="30"/>
      <c r="G9" s="30"/>
    </row>
    <row r="10" spans="1:11" ht="34.5" customHeight="1" x14ac:dyDescent="0.25">
      <c r="C10" s="29" t="s">
        <v>75</v>
      </c>
      <c r="D10" s="30"/>
      <c r="E10" s="30"/>
      <c r="F10" s="30"/>
      <c r="G10" s="30"/>
    </row>
    <row r="11" spans="1:11" ht="34.5" customHeight="1" x14ac:dyDescent="0.25">
      <c r="C11" s="29" t="s">
        <v>76</v>
      </c>
      <c r="D11" s="30"/>
      <c r="E11" s="30"/>
      <c r="F11" s="30"/>
      <c r="G11" s="30"/>
    </row>
    <row r="12" spans="1:11" ht="34.5" customHeight="1" x14ac:dyDescent="0.25">
      <c r="A12" s="32"/>
      <c r="C12" s="29" t="s">
        <v>77</v>
      </c>
      <c r="D12" s="30"/>
      <c r="E12" s="30"/>
      <c r="F12" s="30"/>
      <c r="G12" s="30"/>
    </row>
    <row r="13" spans="1:11" ht="34.5" customHeight="1" x14ac:dyDescent="0.25">
      <c r="C13" s="29" t="s">
        <v>78</v>
      </c>
      <c r="D13" s="30"/>
      <c r="E13" s="30"/>
      <c r="F13" s="30"/>
      <c r="G13" s="30"/>
    </row>
    <row r="14" spans="1:11" ht="34.5" customHeight="1" x14ac:dyDescent="0.25">
      <c r="C14" s="29" t="s">
        <v>79</v>
      </c>
      <c r="D14" s="30"/>
      <c r="E14" s="30"/>
      <c r="F14" s="30"/>
      <c r="G14" s="30"/>
    </row>
    <row r="15" spans="1:11" ht="34.5" customHeight="1" x14ac:dyDescent="0.25">
      <c r="C15" s="29" t="s">
        <v>80</v>
      </c>
      <c r="D15" s="30"/>
      <c r="E15" s="30"/>
      <c r="F15" s="30"/>
      <c r="G15" s="30"/>
    </row>
    <row r="16" spans="1:11" ht="34.5" customHeight="1" x14ac:dyDescent="0.25">
      <c r="C16" s="30"/>
      <c r="D16" s="30"/>
      <c r="E16" s="30"/>
      <c r="F16" s="30"/>
      <c r="G16" s="30"/>
    </row>
    <row r="17" ht="27.75" customHeight="1" x14ac:dyDescent="0.25"/>
    <row r="18" ht="27.75" customHeight="1" x14ac:dyDescent="0.25"/>
    <row r="19" ht="27.75" customHeight="1" x14ac:dyDescent="0.25"/>
    <row r="20" ht="27.75" customHeight="1" x14ac:dyDescent="0.25"/>
    <row r="21" ht="27.75" customHeight="1" x14ac:dyDescent="0.25"/>
    <row r="22" ht="27.75" customHeight="1" x14ac:dyDescent="0.25"/>
  </sheetData>
  <mergeCells count="9">
    <mergeCell ref="C14:G14"/>
    <mergeCell ref="C15:G15"/>
    <mergeCell ref="C16:G16"/>
    <mergeCell ref="C8:G8"/>
    <mergeCell ref="C9:G9"/>
    <mergeCell ref="C10:G10"/>
    <mergeCell ref="C11:G11"/>
    <mergeCell ref="C12:G12"/>
    <mergeCell ref="C13:G13"/>
  </mergeCells>
  <hyperlinks>
    <hyperlink ref="C8" r:id="rId1"/>
    <hyperlink ref="C9" r:id="rId2"/>
    <hyperlink ref="C10" r:id="rId3"/>
    <hyperlink ref="C11" r:id="rId4"/>
    <hyperlink ref="C12" r:id="rId5"/>
    <hyperlink ref="C13" r:id="rId6"/>
    <hyperlink ref="C14" r:id="rId7"/>
    <hyperlink ref="C15" r:id="rId8"/>
  </hyperlinks>
  <pageMargins left="0.511811024" right="0.511811024" top="0.78740157499999996" bottom="0.78740157499999996" header="0.31496062000000002" footer="0.31496062000000002"/>
  <pageSetup paperSize="9" orientation="portrait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DRE</vt:lpstr>
      <vt:lpstr>DR2</vt:lpstr>
      <vt:lpstr>Impostos</vt:lpstr>
      <vt:lpstr>sobre</vt:lpstr>
      <vt:lpstr>CSLL</vt:lpstr>
      <vt:lpstr>IR</vt:lpstr>
      <vt:lpstr>TAXA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Consistem gerson</dc:creator>
  <cp:lastModifiedBy>Usuario Consistem gerson</cp:lastModifiedBy>
  <dcterms:created xsi:type="dcterms:W3CDTF">2015-07-14T18:12:51Z</dcterms:created>
  <dcterms:modified xsi:type="dcterms:W3CDTF">2015-07-14T19:07:16Z</dcterms:modified>
</cp:coreProperties>
</file>