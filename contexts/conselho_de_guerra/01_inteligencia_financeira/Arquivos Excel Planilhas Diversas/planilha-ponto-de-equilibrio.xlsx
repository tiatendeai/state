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io\Desktop\site\planilhas do site\oficial para o site\ok\"/>
    </mc:Choice>
  </mc:AlternateContent>
  <xr:revisionPtr revIDLastSave="0" documentId="13_ncr:1_{9BF3F091-27CF-49C2-A0B1-A5654C6B0F8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Ponto de equilibrio" sheetId="2" r:id="rId1"/>
    <sheet name="_SSC" sheetId="3" state="veryHidden" r:id="rId2"/>
  </sheets>
  <definedNames>
    <definedName name="_xlnm.Database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8" i="2" l="1"/>
  <c r="X20" i="2"/>
  <c r="P10" i="2"/>
  <c r="P11" i="2"/>
  <c r="P14" i="2"/>
  <c r="P15" i="2"/>
  <c r="R15" i="2"/>
  <c r="X15" i="2"/>
  <c r="Z15" i="2"/>
  <c r="P18" i="2"/>
  <c r="X18" i="2"/>
  <c r="R18" i="2"/>
  <c r="P19" i="2"/>
  <c r="Z19" i="2"/>
  <c r="AA19" i="2" s="1"/>
  <c r="P22" i="2"/>
  <c r="R22" i="2"/>
  <c r="P23" i="2"/>
  <c r="R23" i="2"/>
  <c r="Z23" i="2"/>
  <c r="AA23" i="2" s="1"/>
  <c r="P26" i="2"/>
  <c r="R26" i="2"/>
  <c r="T26" i="2"/>
  <c r="P27" i="2"/>
  <c r="Z27" i="2"/>
  <c r="AA27" i="2" s="1"/>
  <c r="X22" i="2"/>
  <c r="X24" i="2"/>
  <c r="X10" i="2"/>
  <c r="AA11" i="2"/>
  <c r="X26" i="2"/>
  <c r="X14" i="2"/>
  <c r="AA15" i="2"/>
  <c r="X12" i="2"/>
  <c r="X16" i="2"/>
</calcChain>
</file>

<file path=xl/sharedStrings.xml><?xml version="1.0" encoding="utf-8"?>
<sst xmlns="http://schemas.openxmlformats.org/spreadsheetml/2006/main" count="69" uniqueCount="35">
  <si>
    <t>PARÂMETROS</t>
  </si>
  <si>
    <t>FÓRMULA PARA CÁLCULO</t>
  </si>
  <si>
    <t>DEMONSTRAÇÃO DO CÁLCULO</t>
  </si>
  <si>
    <t>META MENSAL DE VENDAS</t>
  </si>
  <si>
    <t>PONTO DE EQUILÍBRIO</t>
  </si>
  <si>
    <t>OPERACIONAL</t>
  </si>
  <si>
    <t>PARÂMETROS PARA CÁLCULOS</t>
  </si>
  <si>
    <t>PEO =</t>
  </si>
  <si>
    <t>% MC</t>
  </si>
  <si>
    <t>Lucro =</t>
  </si>
  <si>
    <t>MARGEM DE CONTRIBUIÇÃO</t>
  </si>
  <si>
    <t>ECONÔMICO</t>
  </si>
  <si>
    <t>PEE =</t>
  </si>
  <si>
    <t>% MC  -  % L</t>
  </si>
  <si>
    <t>-</t>
  </si>
  <si>
    <t>Cálculo estabelecido em % lucro</t>
  </si>
  <si>
    <t>LUCRO DESEJADO</t>
  </si>
  <si>
    <t>+</t>
  </si>
  <si>
    <t>Cálculo estabelecido em $ lucro</t>
  </si>
  <si>
    <t>CUSTOS FIXOS</t>
  </si>
  <si>
    <t>FINANCEIRO</t>
  </si>
  <si>
    <t>PEF =</t>
  </si>
  <si>
    <t>DESPESAS FINANCEIRAS</t>
  </si>
  <si>
    <t>METAS DIÁRIAS DE VENDAS</t>
  </si>
  <si>
    <t>N° dias</t>
  </si>
  <si>
    <t>Venda diária</t>
  </si>
  <si>
    <t>{"InputDetection":0,"RecalcMode":0,"Layout":0,"LayoutSamePagesHeightEnabled":false,"Theme":{"BgColor":"#FFFFFFFF","BgImage":"","InputBorderStyle":2,"AppliedTheme":""},"SmartphoneSettings":{"ViewportLock":true,"UseOldViewEngine":false,"EnableZoom":false,"EnableSwipe":false,"HideToolbar":false,"InheritBackgroundColor":false,"CheckboxFlavor":1,"ShowBubble":false},"Name":"","Flavor":-1,"Edition":0,"CopyProtect":{"IsEnabled":false,"DomainName":""},"HideSscPoweredlogo":false,"AspnetConfig":{"BrowseUrl":"http://localhost/ssc","FileExtension":0},"NodeSecureLoginEnabled":false,"SmartphoneTheme":1,"Toolbar":{"Position":1,"IsSubmit":true,"IsPrintSheet":false,"IsPrintAll":true,"IsPrintThis":false,"IsReset":true,"IsUpdate":true},"ConfigureSubmit":{"IsShowCaptcha":false,"IsUseSscWebServer":true,"ReceiverCode":"coordenador.sjc@hotmail.com","IsFreeService":false,"IsAdvanceService":false,"IsSecureEmail":false,"IsDemonstrationService":true,"AfterSuccessfulSubmit":"","AfterFailSubmit":"","AfterCancelWizard":"","IsUseOwnWebServer":false,"OwnWebServerURL":"","OwnWebServerTarget":"","SubmitTarget":0},"IgnoreBgInputCell":false,"ButtonStyle":0,"ResponsiveDesignDisabled":false,"HideLookupRange":false,"BrowserStorageEnabled":false,"RealtimeSyncEnabled":true,"GoogleAnalyticsTrackingId":"","GoogleApiKey":"","ChartSelected":3,"ChartYAxisFixed":false}</t>
  </si>
  <si>
    <t>{"BrowserAndLocation":{"ConversionPath":"C:\\Users\\Rogerio\\Documents\\SpreadsheetConverter","SelectedBrowsers":[]},"SpreadsheetServer":{"Username":"","Password":"","ServerUrl":"","TestUsername":"","TestPassword":""},"ConfigureSubmitDefault":{"Email":"coordenador.sjc@hotmail.com","Free":false,"Advanced":false,"AdvancedSecured":false,"Demo":true},"MessageBubble":{"Close":false,"TopMsg":0},"CustomizeTheme":{"Theme":"C:\\Users\\user\\AppData\\Roaming\\SpreadsheetConverter\\V8\\SupportFiles\\themes\\bootstrap\\css\\default-ssc-theme.css"},"QrSetting":{"ShowOnConversion":true},"CongratsPage":{"LastOpenedVersion":""},"WordPressPluginSetting":{"IsPluginInstalled":false},"Preferences":{"IsAdvancedSettingModelInitialize":true,"IsCaptchaInitialize":true,"IsNodeSettingInitialize":false,"IsRequiredFieldModalInitialize":true,"IsSubmitDialogModelInitialize":true,"IsToolbarButtonModelInitialize":true,"IsWizardButtonModelInitialize":true,"ReadFromHidden":false,"AdvancedSetting":null,"NodeSetting":{"LoginText":{"LoginButtonText":"Login","PageDescription":"Restricted access only","LoginErrorMessage":"Authentication failed, please check your username and password.","PlaceholderPassword":"password","PlaceholderUsername":"username / email","UserExtraMessage":""}},"Captcha":{"Heading":"Enter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 or invalid.","OkButton":"OK","DDLDefaultRequiredText":"Please Select"},"WizardButton":{"Next":"Next","Previous":"Previous","Cancel":"Cancel","Finish":"Finish"},"ToolbarButton":{"Submit":"Submit","PrintSheet":"Print","PrintAll":"Print All","Reset":"Reset","Update":"Update","Back":"Back","PrintThis":"Print This"},"SubmitDialog":{"SubmitDialogHeading":"Submit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later."}},"UxPreferences":null}</t>
  </si>
  <si>
    <t>{"IsHide":false,"HiddenInExcel":false,"SheetId":-1,"Name":"Ponto de equilibrio","Guid":"O4AJHK","Index":1,"VisibleRange":"","SheetTheme":{"TabColor":"","BodyColor":"","BodyImage":""},"IsPrintSheet":false}</t>
  </si>
  <si>
    <t>CALCULO DO PONTO DE EQUILÍBRIO</t>
  </si>
  <si>
    <t>Preencha os campos em amarelo e verifique as varias formas de Ponto de Equilibrio</t>
  </si>
  <si>
    <t>R$ CF</t>
  </si>
  <si>
    <t>R$ CF  + R$ L</t>
  </si>
  <si>
    <t>R$ CF  +  R$ DF</t>
  </si>
  <si>
    <t>R$ CF  +  R$ DF  +  R$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</si>
</sst>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164" formatCode="&quot;R$ &quot;#,##0.00_);\(&quot;R$ &quot;#,##0.00\)"/>
    <numFmt numFmtId="165" formatCode="_(&quot;R$ &quot;* #,##0.00_);_(&quot;R$ &quot;* \(#,##0.00\);_(&quot;R$ &quot;* &quot;-&quot;??_);_(@_)"/>
  </numFmts>
  <fonts count="16" x14ac:knownFonts="1">
    <font>
      <sz val="10"/>
      <name val="Verdana"/>
    </font>
    <font>
      <sz val="10"/>
      <name val="Verdana"/>
      <family val="2"/>
    </font>
    <font>
      <sz val="10"/>
      <name val="MS Sans Serif"/>
    </font>
    <font>
      <sz val="8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b/>
      <sz val="11"/>
      <name val="Verdana"/>
      <family val="2"/>
    </font>
    <font>
      <sz val="14"/>
      <name val="Verdana"/>
      <family val="2"/>
    </font>
    <font>
      <b/>
      <sz val="8"/>
      <color theme="5"/>
      <name val="Verdana"/>
      <family val="2"/>
    </font>
    <font>
      <b/>
      <sz val="10"/>
      <color theme="5"/>
      <name val="Verdana"/>
      <family val="2"/>
    </font>
    <font>
      <b/>
      <sz val="14"/>
      <name val="Verdana"/>
      <family val="2"/>
    </font>
    <font>
      <b/>
      <sz val="9"/>
      <name val="Verdana"/>
      <family val="2"/>
    </font>
    <font>
      <b/>
      <sz val="9"/>
      <color theme="5"/>
      <name val="Verdana"/>
      <family val="2"/>
    </font>
    <font>
      <sz val="24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2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5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1" fillId="0" borderId="5" xfId="2" applyNumberFormat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/>
    <xf numFmtId="0" fontId="3" fillId="0" borderId="0" xfId="0" applyFont="1" applyBorder="1" applyAlignment="1">
      <alignment vertical="center" wrapText="1"/>
    </xf>
    <xf numFmtId="0" fontId="4" fillId="0" borderId="12" xfId="0" applyFont="1" applyBorder="1" applyAlignment="1">
      <alignment horizontal="center"/>
    </xf>
    <xf numFmtId="165" fontId="1" fillId="0" borderId="5" xfId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165" fontId="1" fillId="0" borderId="7" xfId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10" fontId="6" fillId="0" borderId="2" xfId="0" applyNumberFormat="1" applyFont="1" applyBorder="1" applyAlignment="1">
      <alignment horizontal="center"/>
    </xf>
    <xf numFmtId="10" fontId="12" fillId="0" borderId="2" xfId="0" applyNumberFormat="1" applyFont="1" applyBorder="1" applyAlignment="1">
      <alignment horizontal="center"/>
    </xf>
    <xf numFmtId="165" fontId="6" fillId="0" borderId="11" xfId="0" applyNumberFormat="1" applyFont="1" applyBorder="1" applyAlignment="1"/>
    <xf numFmtId="165" fontId="6" fillId="0" borderId="11" xfId="0" applyNumberFormat="1" applyFont="1" applyBorder="1" applyAlignment="1">
      <alignment horizontal="center" vertical="center"/>
    </xf>
    <xf numFmtId="0" fontId="6" fillId="0" borderId="5" xfId="0" applyFont="1" applyBorder="1"/>
    <xf numFmtId="164" fontId="13" fillId="0" borderId="7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7" fillId="2" borderId="16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textRotation="90" wrapText="1"/>
    </xf>
    <xf numFmtId="0" fontId="7" fillId="2" borderId="17" xfId="0" applyFont="1" applyFill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textRotation="90" wrapText="1"/>
    </xf>
    <xf numFmtId="10" fontId="6" fillId="0" borderId="2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10" fontId="8" fillId="3" borderId="4" xfId="2" applyNumberFormat="1" applyFont="1" applyFill="1" applyBorder="1" applyAlignment="1" applyProtection="1">
      <alignment horizontal="center" vertical="center"/>
      <protection locked="0"/>
    </xf>
    <xf numFmtId="10" fontId="8" fillId="3" borderId="5" xfId="2" applyNumberFormat="1" applyFont="1" applyFill="1" applyBorder="1" applyAlignment="1" applyProtection="1">
      <alignment horizontal="center" vertical="center"/>
      <protection locked="0"/>
    </xf>
    <xf numFmtId="10" fontId="8" fillId="3" borderId="6" xfId="2" applyNumberFormat="1" applyFont="1" applyFill="1" applyBorder="1" applyAlignment="1" applyProtection="1">
      <alignment horizontal="center" vertical="center"/>
      <protection locked="0"/>
    </xf>
    <xf numFmtId="10" fontId="8" fillId="3" borderId="7" xfId="2" applyNumberFormat="1" applyFont="1" applyFill="1" applyBorder="1" applyAlignment="1" applyProtection="1">
      <alignment horizontal="center" vertical="center"/>
      <protection locked="0"/>
    </xf>
    <xf numFmtId="6" fontId="13" fillId="0" borderId="13" xfId="1" applyNumberFormat="1" applyFont="1" applyBorder="1" applyAlignment="1">
      <alignment horizontal="center"/>
    </xf>
    <xf numFmtId="6" fontId="13" fillId="0" borderId="7" xfId="0" applyNumberFormat="1" applyFont="1" applyBorder="1" applyAlignment="1">
      <alignment horizontal="center"/>
    </xf>
    <xf numFmtId="7" fontId="8" fillId="3" borderId="6" xfId="1" applyNumberFormat="1" applyFont="1" applyFill="1" applyBorder="1" applyAlignment="1" applyProtection="1">
      <alignment horizontal="center" vertical="center"/>
      <protection locked="0"/>
    </xf>
    <xf numFmtId="7" fontId="8" fillId="3" borderId="7" xfId="1" applyNumberFormat="1" applyFont="1" applyFill="1" applyBorder="1" applyAlignment="1" applyProtection="1">
      <alignment horizontal="center" vertical="center"/>
      <protection locked="0"/>
    </xf>
    <xf numFmtId="8" fontId="8" fillId="3" borderId="4" xfId="1" applyNumberFormat="1" applyFont="1" applyFill="1" applyBorder="1" applyAlignment="1" applyProtection="1">
      <alignment horizontal="center" vertical="center"/>
      <protection locked="0"/>
    </xf>
    <xf numFmtId="8" fontId="8" fillId="3" borderId="5" xfId="1" applyNumberFormat="1" applyFont="1" applyFill="1" applyBorder="1" applyAlignment="1" applyProtection="1">
      <alignment horizontal="center" vertical="center"/>
      <protection locked="0"/>
    </xf>
    <xf numFmtId="8" fontId="8" fillId="3" borderId="6" xfId="1" applyNumberFormat="1" applyFont="1" applyFill="1" applyBorder="1" applyAlignment="1" applyProtection="1">
      <alignment horizontal="center" vertical="center"/>
      <protection locked="0"/>
    </xf>
    <xf numFmtId="8" fontId="8" fillId="3" borderId="7" xfId="1" applyNumberFormat="1" applyFont="1" applyFill="1" applyBorder="1" applyAlignment="1" applyProtection="1">
      <alignment horizontal="center" vertical="center"/>
      <protection locked="0"/>
    </xf>
  </cellXfs>
  <cellStyles count="4">
    <cellStyle name="Moeda" xfId="1" builtinId="4"/>
    <cellStyle name="Normal" xfId="0" builtinId="0"/>
    <cellStyle name="Porcentagem" xfId="2" builtinId="5"/>
    <cellStyle name="Sep. milhar [0]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594463</xdr:colOff>
      <xdr:row>2</xdr:row>
      <xdr:rowOff>352425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89124AC-74BC-4177-87E0-949948BF0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22" b="27169"/>
        <a:stretch/>
      </xdr:blipFill>
      <xdr:spPr>
        <a:xfrm>
          <a:off x="1322917" y="317500"/>
          <a:ext cx="148346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8"/>
  </sheetPr>
  <dimension ref="C3:AB29"/>
  <sheetViews>
    <sheetView showGridLines="0" tabSelected="1" zoomScale="90" workbookViewId="0">
      <selection activeCell="A5" sqref="A5"/>
    </sheetView>
  </sheetViews>
  <sheetFormatPr defaultRowHeight="12.75" x14ac:dyDescent="0.2"/>
  <cols>
    <col min="1" max="1" width="15.75" customWidth="1"/>
    <col min="2" max="2" width="1.625" customWidth="1"/>
    <col min="3" max="3" width="2.125" customWidth="1"/>
    <col min="4" max="4" width="9.625" customWidth="1"/>
    <col min="5" max="5" width="11.125" customWidth="1"/>
    <col min="6" max="6" width="2.125" customWidth="1"/>
    <col min="7" max="7" width="1.625" customWidth="1"/>
    <col min="8" max="9" width="5.625" customWidth="1"/>
    <col min="10" max="10" width="7.625" customWidth="1"/>
    <col min="11" max="12" width="9.625" customWidth="1"/>
    <col min="13" max="13" width="1.625" customWidth="1"/>
    <col min="14" max="14" width="3.625" customWidth="1"/>
    <col min="15" max="15" width="7.625" customWidth="1"/>
    <col min="16" max="16" width="15" bestFit="1" customWidth="1"/>
    <col min="17" max="17" width="3.625" customWidth="1"/>
    <col min="18" max="18" width="16.25" bestFit="1" customWidth="1"/>
    <col min="19" max="19" width="3.625" customWidth="1"/>
    <col min="20" max="20" width="16.25" bestFit="1" customWidth="1"/>
    <col min="21" max="22" width="1.625" customWidth="1"/>
    <col min="23" max="23" width="7.625" customWidth="1"/>
    <col min="24" max="24" width="16.625" customWidth="1"/>
    <col min="25" max="25" width="3.625" customWidth="1"/>
    <col min="26" max="26" width="8.875" customWidth="1"/>
    <col min="27" max="27" width="7.625" customWidth="1"/>
    <col min="28" max="28" width="8.5" customWidth="1"/>
  </cols>
  <sheetData>
    <row r="3" spans="3:28" ht="29.25" x14ac:dyDescent="0.35">
      <c r="C3" s="68" t="s">
        <v>29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70"/>
    </row>
    <row r="5" spans="3:28" ht="20.25" customHeight="1" x14ac:dyDescent="0.25">
      <c r="C5" s="71" t="s">
        <v>30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3"/>
    </row>
    <row r="6" spans="3:28" ht="15" customHeight="1" x14ac:dyDescent="0.2"/>
    <row r="7" spans="3:28" s="1" customFormat="1" ht="15" customHeight="1" x14ac:dyDescent="0.2">
      <c r="C7" s="77" t="s">
        <v>0</v>
      </c>
      <c r="D7" s="77"/>
      <c r="E7" s="77"/>
      <c r="F7" s="77"/>
      <c r="I7" s="77" t="s">
        <v>1</v>
      </c>
      <c r="J7" s="77"/>
      <c r="K7" s="77"/>
      <c r="L7" s="77"/>
      <c r="M7" s="77"/>
      <c r="O7" s="77" t="s">
        <v>2</v>
      </c>
      <c r="P7" s="77"/>
      <c r="Q7" s="77"/>
      <c r="R7" s="77"/>
      <c r="S7" s="77"/>
      <c r="T7" s="77"/>
      <c r="U7" s="77"/>
      <c r="W7" s="77" t="s">
        <v>3</v>
      </c>
      <c r="X7" s="77"/>
      <c r="Z7" s="77" t="s">
        <v>23</v>
      </c>
      <c r="AA7" s="77"/>
      <c r="AB7" s="77"/>
    </row>
    <row r="8" spans="3:28" ht="5.25" customHeight="1" x14ac:dyDescent="0.2"/>
    <row r="9" spans="3:28" ht="20.25" customHeight="1" x14ac:dyDescent="0.2">
      <c r="C9" s="2"/>
      <c r="D9" s="3"/>
      <c r="E9" s="3"/>
      <c r="F9" s="4"/>
      <c r="H9" s="52" t="s">
        <v>4</v>
      </c>
      <c r="I9" s="50" t="s">
        <v>5</v>
      </c>
      <c r="J9" s="2"/>
      <c r="K9" s="3"/>
      <c r="L9" s="3"/>
      <c r="M9" s="5"/>
      <c r="O9" s="2"/>
      <c r="P9" s="3"/>
      <c r="Q9" s="3"/>
      <c r="R9" s="3"/>
      <c r="S9" s="3"/>
      <c r="T9" s="3"/>
      <c r="U9" s="5"/>
      <c r="W9" s="2"/>
      <c r="X9" s="5"/>
      <c r="Z9" s="2"/>
      <c r="AA9" s="3"/>
      <c r="AB9" s="5"/>
    </row>
    <row r="10" spans="3:28" ht="20.25" customHeight="1" x14ac:dyDescent="0.2">
      <c r="C10" s="6"/>
      <c r="D10" s="53" t="s">
        <v>6</v>
      </c>
      <c r="E10" s="54"/>
      <c r="F10" s="7"/>
      <c r="H10" s="52"/>
      <c r="I10" s="50"/>
      <c r="J10" s="42" t="s">
        <v>7</v>
      </c>
      <c r="K10" s="43" t="s">
        <v>31</v>
      </c>
      <c r="L10" s="43"/>
      <c r="M10" s="8"/>
      <c r="O10" s="42" t="s">
        <v>7</v>
      </c>
      <c r="P10" s="74">
        <f>D22</f>
        <v>3000</v>
      </c>
      <c r="Q10" s="74"/>
      <c r="R10" s="74"/>
      <c r="S10" s="9"/>
      <c r="T10" s="9"/>
      <c r="U10" s="8"/>
      <c r="W10" s="42" t="s">
        <v>7</v>
      </c>
      <c r="X10" s="66">
        <f>P10/P11</f>
        <v>12000</v>
      </c>
      <c r="Z10" s="28" t="s">
        <v>24</v>
      </c>
      <c r="AA10" s="62" t="s">
        <v>25</v>
      </c>
      <c r="AB10" s="63"/>
    </row>
    <row r="11" spans="3:28" ht="20.25" customHeight="1" x14ac:dyDescent="0.2">
      <c r="C11" s="6"/>
      <c r="D11" s="55"/>
      <c r="E11" s="56"/>
      <c r="F11" s="8"/>
      <c r="H11" s="52"/>
      <c r="I11" s="50"/>
      <c r="J11" s="42"/>
      <c r="K11" s="44" t="s">
        <v>8</v>
      </c>
      <c r="L11" s="44"/>
      <c r="M11" s="8"/>
      <c r="O11" s="42"/>
      <c r="P11" s="75">
        <f>D14</f>
        <v>0.25</v>
      </c>
      <c r="Q11" s="75"/>
      <c r="R11" s="76"/>
      <c r="S11" s="10"/>
      <c r="T11" s="10"/>
      <c r="U11" s="8"/>
      <c r="W11" s="42"/>
      <c r="X11" s="67"/>
      <c r="Z11" s="28">
        <v>26</v>
      </c>
      <c r="AA11" s="64">
        <f>X10/Z11</f>
        <v>461.53846153846155</v>
      </c>
      <c r="AB11" s="65"/>
    </row>
    <row r="12" spans="3:28" ht="20.25" customHeight="1" thickBot="1" x14ac:dyDescent="0.25">
      <c r="C12" s="6"/>
      <c r="D12" s="12"/>
      <c r="E12" s="12"/>
      <c r="F12" s="13"/>
      <c r="H12" s="52"/>
      <c r="I12" s="51"/>
      <c r="J12" s="6"/>
      <c r="K12" s="12"/>
      <c r="L12" s="12"/>
      <c r="M12" s="8"/>
      <c r="O12" s="6"/>
      <c r="P12" s="12"/>
      <c r="Q12" s="12"/>
      <c r="R12" s="12"/>
      <c r="S12" s="12"/>
      <c r="T12" s="12"/>
      <c r="U12" s="8"/>
      <c r="W12" s="14" t="s">
        <v>9</v>
      </c>
      <c r="X12" s="38">
        <f>X10*R11</f>
        <v>0</v>
      </c>
      <c r="Z12" s="6"/>
      <c r="AA12" s="12"/>
      <c r="AB12" s="8"/>
    </row>
    <row r="13" spans="3:28" ht="23.25" customHeight="1" x14ac:dyDescent="0.2">
      <c r="C13" s="6"/>
      <c r="D13" s="48" t="s">
        <v>10</v>
      </c>
      <c r="E13" s="49"/>
      <c r="F13" s="13"/>
      <c r="H13" s="52"/>
      <c r="I13" s="57" t="s">
        <v>11</v>
      </c>
      <c r="J13" s="15"/>
      <c r="K13" s="16"/>
      <c r="L13" s="16"/>
      <c r="M13" s="17"/>
      <c r="O13" s="15"/>
      <c r="P13" s="16"/>
      <c r="Q13" s="16"/>
      <c r="R13" s="16"/>
      <c r="S13" s="16"/>
      <c r="T13" s="16"/>
      <c r="U13" s="17"/>
      <c r="W13" s="15"/>
      <c r="X13" s="17"/>
      <c r="Z13" s="15"/>
      <c r="AA13" s="16"/>
      <c r="AB13" s="17"/>
    </row>
    <row r="14" spans="3:28" ht="20.25" customHeight="1" x14ac:dyDescent="0.2">
      <c r="C14" s="6"/>
      <c r="D14" s="78">
        <v>0.25</v>
      </c>
      <c r="E14" s="79"/>
      <c r="F14" s="18"/>
      <c r="H14" s="52"/>
      <c r="I14" s="50"/>
      <c r="J14" s="42" t="s">
        <v>12</v>
      </c>
      <c r="K14" s="43" t="s">
        <v>31</v>
      </c>
      <c r="L14" s="43"/>
      <c r="M14" s="8"/>
      <c r="O14" s="42" t="s">
        <v>12</v>
      </c>
      <c r="P14" s="74">
        <f>D22</f>
        <v>3000</v>
      </c>
      <c r="Q14" s="74"/>
      <c r="R14" s="74"/>
      <c r="S14" s="9"/>
      <c r="T14" s="9"/>
      <c r="U14" s="8"/>
      <c r="W14" s="42" t="s">
        <v>12</v>
      </c>
      <c r="X14" s="66">
        <f>P14/(P15-R15)</f>
        <v>20000</v>
      </c>
      <c r="Z14" s="28" t="s">
        <v>24</v>
      </c>
      <c r="AA14" s="62" t="s">
        <v>25</v>
      </c>
      <c r="AB14" s="63"/>
    </row>
    <row r="15" spans="3:28" ht="20.25" customHeight="1" x14ac:dyDescent="0.25">
      <c r="C15" s="6"/>
      <c r="D15" s="80"/>
      <c r="E15" s="81"/>
      <c r="F15" s="18"/>
      <c r="H15" s="52"/>
      <c r="I15" s="50"/>
      <c r="J15" s="42"/>
      <c r="K15" s="44" t="s">
        <v>13</v>
      </c>
      <c r="L15" s="44"/>
      <c r="M15" s="8"/>
      <c r="O15" s="42"/>
      <c r="P15" s="33">
        <f>D14</f>
        <v>0.25</v>
      </c>
      <c r="Q15" s="34" t="s">
        <v>14</v>
      </c>
      <c r="R15" s="33">
        <f>D18</f>
        <v>0.1</v>
      </c>
      <c r="S15" s="19"/>
      <c r="T15" s="11"/>
      <c r="U15" s="8"/>
      <c r="W15" s="42"/>
      <c r="X15" s="67">
        <f>L14</f>
        <v>0</v>
      </c>
      <c r="Z15" s="28">
        <f>$Z$11</f>
        <v>26</v>
      </c>
      <c r="AA15" s="64">
        <f>X14/Z15</f>
        <v>769.23076923076928</v>
      </c>
      <c r="AB15" s="65"/>
    </row>
    <row r="16" spans="3:28" ht="20.25" customHeight="1" x14ac:dyDescent="0.2">
      <c r="C16" s="6"/>
      <c r="F16" s="8"/>
      <c r="H16" s="52"/>
      <c r="I16" s="50"/>
      <c r="J16" s="45" t="s">
        <v>15</v>
      </c>
      <c r="K16" s="46"/>
      <c r="L16" s="46"/>
      <c r="M16" s="47"/>
      <c r="O16" s="45"/>
      <c r="P16" s="46"/>
      <c r="Q16" s="46"/>
      <c r="R16" s="46"/>
      <c r="S16" s="46"/>
      <c r="T16" s="46"/>
      <c r="U16" s="47"/>
      <c r="W16" s="14" t="s">
        <v>9</v>
      </c>
      <c r="X16" s="38">
        <f>X14*R15</f>
        <v>2000</v>
      </c>
      <c r="Z16" s="25"/>
      <c r="AA16" s="26"/>
      <c r="AB16" s="29"/>
    </row>
    <row r="17" spans="3:28" ht="20.25" customHeight="1" x14ac:dyDescent="0.2">
      <c r="C17" s="6"/>
      <c r="D17" s="48" t="s">
        <v>16</v>
      </c>
      <c r="E17" s="49"/>
      <c r="F17" s="8"/>
      <c r="H17" s="52"/>
      <c r="I17" s="50"/>
      <c r="J17" s="2"/>
      <c r="K17" s="3"/>
      <c r="L17" s="3"/>
      <c r="M17" s="5"/>
      <c r="O17" s="2"/>
      <c r="P17" s="3"/>
      <c r="Q17" s="3"/>
      <c r="R17" s="3"/>
      <c r="S17" s="3"/>
      <c r="T17" s="3"/>
      <c r="U17" s="5"/>
      <c r="W17" s="2"/>
      <c r="X17" s="5"/>
      <c r="Z17" s="2"/>
      <c r="AA17" s="3"/>
      <c r="AB17" s="5"/>
    </row>
    <row r="18" spans="3:28" ht="20.25" customHeight="1" x14ac:dyDescent="0.2">
      <c r="C18" s="6"/>
      <c r="D18" s="78">
        <v>0.1</v>
      </c>
      <c r="E18" s="79"/>
      <c r="F18" s="8"/>
      <c r="H18" s="52"/>
      <c r="I18" s="50"/>
      <c r="J18" s="42" t="s">
        <v>12</v>
      </c>
      <c r="K18" s="43" t="s">
        <v>32</v>
      </c>
      <c r="L18" s="43"/>
      <c r="M18" s="8"/>
      <c r="O18" s="42" t="s">
        <v>12</v>
      </c>
      <c r="P18" s="35">
        <f>D22</f>
        <v>3000</v>
      </c>
      <c r="Q18" s="36" t="s">
        <v>17</v>
      </c>
      <c r="R18" s="35">
        <f>D19</f>
        <v>20000</v>
      </c>
      <c r="S18" s="20"/>
      <c r="T18" s="21"/>
      <c r="U18" s="8"/>
      <c r="W18" s="42" t="s">
        <v>12</v>
      </c>
      <c r="X18" s="61">
        <f>(P18+R18)/P19</f>
        <v>92000</v>
      </c>
      <c r="Z18" s="28" t="s">
        <v>24</v>
      </c>
      <c r="AA18" s="62" t="s">
        <v>25</v>
      </c>
      <c r="AB18" s="63"/>
    </row>
    <row r="19" spans="3:28" ht="20.25" customHeight="1" x14ac:dyDescent="0.2">
      <c r="C19" s="6"/>
      <c r="D19" s="84">
        <v>20000</v>
      </c>
      <c r="E19" s="85"/>
      <c r="F19" s="13"/>
      <c r="H19" s="52"/>
      <c r="I19" s="50"/>
      <c r="J19" s="42"/>
      <c r="K19" s="44" t="s">
        <v>8</v>
      </c>
      <c r="L19" s="44"/>
      <c r="M19" s="8"/>
      <c r="O19" s="42"/>
      <c r="P19" s="75">
        <f>D14</f>
        <v>0.25</v>
      </c>
      <c r="Q19" s="75"/>
      <c r="R19" s="76"/>
      <c r="S19" s="10"/>
      <c r="T19" s="10"/>
      <c r="U19" s="8"/>
      <c r="W19" s="42"/>
      <c r="X19" s="61"/>
      <c r="Z19" s="28">
        <f>$Z$11</f>
        <v>26</v>
      </c>
      <c r="AA19" s="64">
        <f>X18/Z19</f>
        <v>3538.4615384615386</v>
      </c>
      <c r="AB19" s="65"/>
    </row>
    <row r="20" spans="3:28" ht="20.25" customHeight="1" thickBot="1" x14ac:dyDescent="0.25">
      <c r="C20" s="6"/>
      <c r="D20" s="22"/>
      <c r="E20" s="22"/>
      <c r="F20" s="13"/>
      <c r="H20" s="52"/>
      <c r="I20" s="58"/>
      <c r="J20" s="39" t="s">
        <v>18</v>
      </c>
      <c r="K20" s="40"/>
      <c r="L20" s="40"/>
      <c r="M20" s="41"/>
      <c r="O20" s="39"/>
      <c r="P20" s="40"/>
      <c r="Q20" s="40"/>
      <c r="R20" s="40"/>
      <c r="S20" s="40"/>
      <c r="T20" s="40"/>
      <c r="U20" s="41"/>
      <c r="W20" s="23" t="s">
        <v>9</v>
      </c>
      <c r="X20" s="82">
        <f>D19</f>
        <v>20000</v>
      </c>
      <c r="Z20" s="30"/>
      <c r="AA20" s="31"/>
      <c r="AB20" s="32"/>
    </row>
    <row r="21" spans="3:28" ht="20.25" customHeight="1" x14ac:dyDescent="0.2">
      <c r="C21" s="6"/>
      <c r="D21" s="48" t="s">
        <v>19</v>
      </c>
      <c r="E21" s="49"/>
      <c r="F21" s="24"/>
      <c r="H21" s="52"/>
      <c r="I21" s="59" t="s">
        <v>20</v>
      </c>
      <c r="J21" s="6"/>
      <c r="K21" s="12"/>
      <c r="L21" s="12"/>
      <c r="M21" s="8"/>
      <c r="O21" s="6"/>
      <c r="P21" s="12"/>
      <c r="Q21" s="12"/>
      <c r="R21" s="12"/>
      <c r="S21" s="12"/>
      <c r="T21" s="12"/>
      <c r="U21" s="8"/>
      <c r="W21" s="6"/>
      <c r="X21" s="8"/>
      <c r="Z21" s="6"/>
      <c r="AA21" s="12"/>
      <c r="AB21" s="8"/>
    </row>
    <row r="22" spans="3:28" ht="20.25" customHeight="1" x14ac:dyDescent="0.2">
      <c r="C22" s="6"/>
      <c r="D22" s="86">
        <v>3000</v>
      </c>
      <c r="E22" s="87"/>
      <c r="F22" s="24"/>
      <c r="H22" s="52"/>
      <c r="I22" s="50"/>
      <c r="J22" s="42" t="s">
        <v>21</v>
      </c>
      <c r="K22" s="43" t="s">
        <v>33</v>
      </c>
      <c r="L22" s="43"/>
      <c r="M22" s="8"/>
      <c r="O22" s="42" t="s">
        <v>21</v>
      </c>
      <c r="P22" s="35">
        <f>D22</f>
        <v>3000</v>
      </c>
      <c r="Q22" s="36" t="s">
        <v>17</v>
      </c>
      <c r="R22" s="35">
        <f>D26</f>
        <v>2000</v>
      </c>
      <c r="S22" s="20"/>
      <c r="T22" s="21"/>
      <c r="U22" s="8"/>
      <c r="W22" s="42" t="s">
        <v>21</v>
      </c>
      <c r="X22" s="61">
        <f>(P22+R22)/(P23-R23)</f>
        <v>33333.333333333336</v>
      </c>
      <c r="Z22" s="28" t="s">
        <v>24</v>
      </c>
      <c r="AA22" s="62" t="s">
        <v>25</v>
      </c>
      <c r="AB22" s="63"/>
    </row>
    <row r="23" spans="3:28" ht="20.25" customHeight="1" x14ac:dyDescent="0.25">
      <c r="C23" s="6"/>
      <c r="D23" s="88"/>
      <c r="E23" s="89"/>
      <c r="F23" s="8"/>
      <c r="H23" s="52"/>
      <c r="I23" s="50"/>
      <c r="J23" s="42"/>
      <c r="K23" s="44" t="s">
        <v>13</v>
      </c>
      <c r="L23" s="44"/>
      <c r="M23" s="8"/>
      <c r="O23" s="42"/>
      <c r="P23" s="33">
        <f>D14</f>
        <v>0.25</v>
      </c>
      <c r="Q23" s="34" t="s">
        <v>14</v>
      </c>
      <c r="R23" s="33">
        <f>D18</f>
        <v>0.1</v>
      </c>
      <c r="S23" s="19"/>
      <c r="T23" s="11"/>
      <c r="U23" s="8"/>
      <c r="W23" s="42"/>
      <c r="X23" s="61"/>
      <c r="Z23" s="28">
        <f>$Z$11</f>
        <v>26</v>
      </c>
      <c r="AA23" s="64">
        <f>X22/Z23</f>
        <v>1282.0512820512822</v>
      </c>
      <c r="AB23" s="65"/>
    </row>
    <row r="24" spans="3:28" ht="20.25" customHeight="1" x14ac:dyDescent="0.2">
      <c r="C24" s="6"/>
      <c r="E24" s="22"/>
      <c r="F24" s="8"/>
      <c r="H24" s="52"/>
      <c r="I24" s="50"/>
      <c r="J24" s="45" t="s">
        <v>15</v>
      </c>
      <c r="K24" s="46"/>
      <c r="L24" s="46"/>
      <c r="M24" s="47"/>
      <c r="O24" s="45"/>
      <c r="P24" s="46"/>
      <c r="Q24" s="46"/>
      <c r="R24" s="46"/>
      <c r="S24" s="46"/>
      <c r="T24" s="46"/>
      <c r="U24" s="47"/>
      <c r="W24" s="14" t="s">
        <v>9</v>
      </c>
      <c r="X24" s="38">
        <f>X22*R23</f>
        <v>3333.3333333333339</v>
      </c>
      <c r="Z24" s="25"/>
      <c r="AA24" s="26"/>
      <c r="AB24" s="29"/>
    </row>
    <row r="25" spans="3:28" ht="20.25" customHeight="1" x14ac:dyDescent="0.2">
      <c r="C25" s="6"/>
      <c r="D25" s="48" t="s">
        <v>22</v>
      </c>
      <c r="E25" s="49"/>
      <c r="F25" s="13"/>
      <c r="H25" s="52"/>
      <c r="I25" s="50"/>
      <c r="J25" s="2"/>
      <c r="K25" s="3"/>
      <c r="L25" s="3"/>
      <c r="M25" s="5"/>
      <c r="O25" s="2"/>
      <c r="P25" s="3"/>
      <c r="Q25" s="3"/>
      <c r="R25" s="3"/>
      <c r="S25" s="3"/>
      <c r="T25" s="3"/>
      <c r="U25" s="5"/>
      <c r="W25" s="2"/>
      <c r="X25" s="5"/>
      <c r="Z25" s="2"/>
      <c r="AA25" s="3"/>
      <c r="AB25" s="5"/>
    </row>
    <row r="26" spans="3:28" ht="20.25" customHeight="1" x14ac:dyDescent="0.2">
      <c r="C26" s="6"/>
      <c r="D26" s="86">
        <v>2000</v>
      </c>
      <c r="E26" s="87"/>
      <c r="F26" s="13"/>
      <c r="H26" s="52"/>
      <c r="I26" s="50"/>
      <c r="J26" s="42" t="s">
        <v>21</v>
      </c>
      <c r="K26" s="43" t="s">
        <v>34</v>
      </c>
      <c r="L26" s="43"/>
      <c r="M26" s="8"/>
      <c r="O26" s="42" t="s">
        <v>21</v>
      </c>
      <c r="P26" s="35">
        <f>D22</f>
        <v>3000</v>
      </c>
      <c r="Q26" s="36" t="s">
        <v>17</v>
      </c>
      <c r="R26" s="35">
        <f>D26</f>
        <v>2000</v>
      </c>
      <c r="S26" s="36" t="s">
        <v>17</v>
      </c>
      <c r="T26" s="35">
        <f>D19</f>
        <v>20000</v>
      </c>
      <c r="U26" s="37"/>
      <c r="W26" s="42" t="s">
        <v>21</v>
      </c>
      <c r="X26" s="61">
        <f>(P26+R26+T26)/P27</f>
        <v>100000</v>
      </c>
      <c r="Z26" s="28" t="s">
        <v>24</v>
      </c>
      <c r="AA26" s="62" t="s">
        <v>25</v>
      </c>
      <c r="AB26" s="63"/>
    </row>
    <row r="27" spans="3:28" ht="20.25" customHeight="1" x14ac:dyDescent="0.2">
      <c r="C27" s="6"/>
      <c r="D27" s="88"/>
      <c r="E27" s="89"/>
      <c r="F27" s="24"/>
      <c r="H27" s="52"/>
      <c r="I27" s="50"/>
      <c r="J27" s="42"/>
      <c r="K27" s="44" t="s">
        <v>8</v>
      </c>
      <c r="L27" s="44"/>
      <c r="M27" s="8"/>
      <c r="O27" s="42"/>
      <c r="P27" s="60">
        <f>D14</f>
        <v>0.25</v>
      </c>
      <c r="Q27" s="60"/>
      <c r="R27" s="60"/>
      <c r="S27" s="60"/>
      <c r="T27" s="60"/>
      <c r="U27" s="37"/>
      <c r="W27" s="42"/>
      <c r="X27" s="61"/>
      <c r="Z27" s="28">
        <f>$Z$11</f>
        <v>26</v>
      </c>
      <c r="AA27" s="64">
        <f>X26/Z27</f>
        <v>3846.1538461538462</v>
      </c>
      <c r="AB27" s="65"/>
    </row>
    <row r="28" spans="3:28" ht="20.25" customHeight="1" x14ac:dyDescent="0.2">
      <c r="C28" s="25"/>
      <c r="D28" s="26"/>
      <c r="E28" s="26"/>
      <c r="F28" s="27"/>
      <c r="H28" s="52"/>
      <c r="I28" s="50"/>
      <c r="J28" s="45" t="s">
        <v>18</v>
      </c>
      <c r="K28" s="46"/>
      <c r="L28" s="46"/>
      <c r="M28" s="47"/>
      <c r="O28" s="45"/>
      <c r="P28" s="46"/>
      <c r="Q28" s="46"/>
      <c r="R28" s="46"/>
      <c r="S28" s="46"/>
      <c r="T28" s="46"/>
      <c r="U28" s="47"/>
      <c r="W28" s="14" t="s">
        <v>9</v>
      </c>
      <c r="X28" s="83">
        <f>D19</f>
        <v>20000</v>
      </c>
      <c r="Z28" s="25"/>
      <c r="AA28" s="26"/>
      <c r="AB28" s="29"/>
    </row>
    <row r="29" spans="3:28" x14ac:dyDescent="0.2">
      <c r="C29" s="12"/>
      <c r="D29" s="12"/>
      <c r="E29" s="12"/>
      <c r="F29" s="12"/>
    </row>
  </sheetData>
  <sheetProtection selectLockedCells="1"/>
  <mergeCells count="74">
    <mergeCell ref="C3:AB3"/>
    <mergeCell ref="AA15:AB15"/>
    <mergeCell ref="AA19:AB19"/>
    <mergeCell ref="X22:X23"/>
    <mergeCell ref="AA23:AB23"/>
    <mergeCell ref="C5:AB5"/>
    <mergeCell ref="C7:F7"/>
    <mergeCell ref="P10:R10"/>
    <mergeCell ref="P11:R11"/>
    <mergeCell ref="P14:R14"/>
    <mergeCell ref="O16:U16"/>
    <mergeCell ref="P19:R19"/>
    <mergeCell ref="O20:U20"/>
    <mergeCell ref="I7:M7"/>
    <mergeCell ref="O7:U7"/>
    <mergeCell ref="D13:E13"/>
    <mergeCell ref="X26:X27"/>
    <mergeCell ref="X18:X19"/>
    <mergeCell ref="AA26:AB26"/>
    <mergeCell ref="AA11:AB11"/>
    <mergeCell ref="W7:X7"/>
    <mergeCell ref="X10:X11"/>
    <mergeCell ref="X14:X15"/>
    <mergeCell ref="W10:W11"/>
    <mergeCell ref="W14:W15"/>
    <mergeCell ref="W26:W27"/>
    <mergeCell ref="AA27:AB27"/>
    <mergeCell ref="AA10:AB10"/>
    <mergeCell ref="AA14:AB14"/>
    <mergeCell ref="AA18:AB18"/>
    <mergeCell ref="AA22:AB22"/>
    <mergeCell ref="Z7:AB7"/>
    <mergeCell ref="O28:U28"/>
    <mergeCell ref="D25:E25"/>
    <mergeCell ref="D21:E21"/>
    <mergeCell ref="P27:T27"/>
    <mergeCell ref="O24:U24"/>
    <mergeCell ref="O22:O23"/>
    <mergeCell ref="O26:O27"/>
    <mergeCell ref="J22:J23"/>
    <mergeCell ref="J24:M24"/>
    <mergeCell ref="J28:M28"/>
    <mergeCell ref="K22:L22"/>
    <mergeCell ref="D17:E17"/>
    <mergeCell ref="D18:E18"/>
    <mergeCell ref="D19:E19"/>
    <mergeCell ref="I9:I12"/>
    <mergeCell ref="H9:H28"/>
    <mergeCell ref="D10:E11"/>
    <mergeCell ref="I13:I20"/>
    <mergeCell ref="I21:I28"/>
    <mergeCell ref="D14:E15"/>
    <mergeCell ref="J10:J11"/>
    <mergeCell ref="J14:J15"/>
    <mergeCell ref="W18:W19"/>
    <mergeCell ref="W22:W23"/>
    <mergeCell ref="K14:L14"/>
    <mergeCell ref="K15:L15"/>
    <mergeCell ref="O10:O11"/>
    <mergeCell ref="O14:O15"/>
    <mergeCell ref="O18:O19"/>
    <mergeCell ref="K19:L19"/>
    <mergeCell ref="K10:L10"/>
    <mergeCell ref="K11:L11"/>
    <mergeCell ref="J18:J19"/>
    <mergeCell ref="K18:L18"/>
    <mergeCell ref="K23:L23"/>
    <mergeCell ref="J16:M16"/>
    <mergeCell ref="J20:M20"/>
    <mergeCell ref="J26:J27"/>
    <mergeCell ref="K26:L26"/>
    <mergeCell ref="K27:L27"/>
    <mergeCell ref="D22:E23"/>
    <mergeCell ref="D26:E27"/>
  </mergeCells>
  <phoneticPr fontId="3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customProperties>
    <customPr name="SSC_SHEET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1"/>
  <sheetViews>
    <sheetView workbookViewId="0"/>
  </sheetViews>
  <sheetFormatPr defaultRowHeight="12.75" x14ac:dyDescent="0.2"/>
  <sheetData>
    <row r="1" spans="3:5" x14ac:dyDescent="0.2">
      <c r="C1" t="s">
        <v>28</v>
      </c>
      <c r="D1" t="s">
        <v>26</v>
      </c>
      <c r="E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equilibrio</vt:lpstr>
    </vt:vector>
  </TitlesOfParts>
  <Company>VIPMART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VIPMART.COM.BR</dc:creator>
  <cp:lastModifiedBy>Rogerio</cp:lastModifiedBy>
  <dcterms:created xsi:type="dcterms:W3CDTF">2009-09-12T20:12:42Z</dcterms:created>
  <dcterms:modified xsi:type="dcterms:W3CDTF">2019-07-26T14:02:20Z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64440492-4C8B-11D1-8B70-080036B11A03}" pid="27">
    <vt:lpwstr>OpenOffice</vt:lpwstr>
  </property>
</Properties>
</file>