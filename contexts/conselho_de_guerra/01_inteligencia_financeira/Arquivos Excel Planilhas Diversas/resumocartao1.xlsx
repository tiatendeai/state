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905" activeTab="5"/>
  </bookViews>
  <sheets>
    <sheet name="JAN22" sheetId="1" r:id="rId1"/>
    <sheet name="FEV22" sheetId="2" r:id="rId2"/>
    <sheet name="MAR22" sheetId="3" r:id="rId3"/>
    <sheet name="ABR22" sheetId="4" r:id="rId4"/>
    <sheet name="RESUMO" sheetId="5" r:id="rId5"/>
    <sheet name="Plan2" sheetId="7" r:id="rId6"/>
  </sheets>
  <externalReferences>
    <externalReference r:id="rId7"/>
  </externalReferences>
  <calcPr calcId="144525"/>
  <fileRecoveryPr repairLoad="1"/>
</workbook>
</file>

<file path=xl/calcChain.xml><?xml version="1.0" encoding="utf-8"?>
<calcChain xmlns="http://schemas.openxmlformats.org/spreadsheetml/2006/main">
  <c r="C15" i="7" l="1"/>
  <c r="F6" i="7" l="1"/>
  <c r="O6" i="7" s="1"/>
  <c r="F5" i="7"/>
  <c r="F4" i="7"/>
  <c r="O4" i="7" s="1"/>
  <c r="F3" i="7"/>
  <c r="E6" i="7"/>
  <c r="E5" i="7"/>
  <c r="E4" i="7"/>
  <c r="E10" i="7" s="1"/>
  <c r="E3" i="7"/>
  <c r="D6" i="7"/>
  <c r="D5" i="7"/>
  <c r="D4" i="7"/>
  <c r="D10" i="7" s="1"/>
  <c r="D3" i="7"/>
  <c r="N10" i="7"/>
  <c r="M10" i="7"/>
  <c r="L10" i="7"/>
  <c r="K10" i="7"/>
  <c r="J10" i="7"/>
  <c r="I10" i="7"/>
  <c r="H10" i="7"/>
  <c r="G10" i="7"/>
  <c r="F10" i="7"/>
  <c r="C10" i="7"/>
  <c r="O9" i="7"/>
  <c r="O8" i="7"/>
  <c r="O7" i="7"/>
  <c r="O5" i="7"/>
  <c r="O3" i="7"/>
  <c r="C6" i="7"/>
  <c r="C5" i="7"/>
  <c r="C4" i="7"/>
  <c r="C3" i="7"/>
  <c r="O10" i="7" l="1"/>
  <c r="B6" i="5" l="1"/>
  <c r="C6" i="5"/>
  <c r="D4" i="5"/>
  <c r="D3" i="5"/>
  <c r="D2" i="5"/>
  <c r="D5" i="5" l="1"/>
  <c r="D6" i="5" s="1"/>
</calcChain>
</file>

<file path=xl/sharedStrings.xml><?xml version="1.0" encoding="utf-8"?>
<sst xmlns="http://schemas.openxmlformats.org/spreadsheetml/2006/main" count="43" uniqueCount="20">
  <si>
    <t>ROBERTO</t>
  </si>
  <si>
    <t>JOÃO</t>
  </si>
  <si>
    <t>MARIA</t>
  </si>
  <si>
    <t>CICLANO</t>
  </si>
  <si>
    <t>Jan</t>
  </si>
  <si>
    <t>Fev</t>
  </si>
  <si>
    <t>Mar</t>
  </si>
  <si>
    <t>Abr</t>
  </si>
  <si>
    <t>Mês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</si>
  <si>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</si>
  <si>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</si>
  <si>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</si>
  <si>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</si>
  <si>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</si>
  <si>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</si>
  <si>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</si>
  <si>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</si>
  <si>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</si>
  <si>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Nome: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</si>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</sst>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9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/>
    </xf>
    <xf numFmtId="44" fontId="0" fillId="0" borderId="0" xfId="1" applyFont="1" applyBorder="1"/>
    <xf numFmtId="8" fontId="0" fillId="0" borderId="4" xfId="0" applyNumberFormat="1" applyFill="1" applyBorder="1"/>
    <xf numFmtId="0" fontId="0" fillId="0" borderId="5" xfId="0" applyBorder="1"/>
    <xf numFmtId="44" fontId="5" fillId="0" borderId="6" xfId="0" applyNumberFormat="1" applyFont="1" applyBorder="1"/>
    <xf numFmtId="8" fontId="0" fillId="0" borderId="7" xfId="0" applyNumberFormat="1" applyBorder="1"/>
    <xf numFmtId="8" fontId="0" fillId="0" borderId="0" xfId="0" applyNumberFormat="1"/>
    <xf numFmtId="0" fontId="4" fillId="0" borderId="0" xfId="0" applyFont="1" applyFill="1" applyBorder="1"/>
    <xf numFmtId="44" fontId="0" fillId="0" borderId="0" xfId="1" applyFont="1" applyFill="1" applyBorder="1"/>
    <xf numFmtId="44" fontId="0" fillId="0" borderId="0" xfId="0" applyNumberFormat="1"/>
    <xf numFmtId="4" fontId="0" fillId="0" borderId="0" xfId="0" applyNumberFormat="1"/>
    <xf numFmtId="0" fontId="0" fillId="0" borderId="9" xfId="0" applyBorder="1"/>
    <xf numFmtId="4" fontId="6" fillId="0" borderId="0" xfId="0" applyNumberFormat="1" applyFont="1"/>
    <xf numFmtId="4" fontId="6" fillId="0" borderId="9" xfId="0" applyNumberFormat="1" applyFont="1" applyBorder="1"/>
    <xf numFmtId="0" fontId="6" fillId="0" borderId="8" xfId="0" applyFont="1" applyBorder="1" applyAlignment="1">
      <alignment horizontal="right"/>
    </xf>
    <xf numFmtId="17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10" xfId="0" applyFill="1" applyBorder="1" applyAlignment="1">
      <alignment horizontal="right"/>
    </xf>
    <xf numFmtId="0" fontId="0" fillId="3" borderId="11" xfId="0" applyFill="1" applyBorder="1" applyAlignment="1">
      <alignment horizontal="right"/>
    </xf>
  </cellXfs>
  <cellStyles count="2">
    <cellStyle name="Moeda" xfId="1" builtinId="4"/>
    <cellStyle name="Normal" xfId="0" builtinId="0"/>
  </cellStyles>
  <dxfs count="15">
    <dxf>
      <font>
        <color rgb="FF00990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4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val/OneDrive/Documentos/VIVALDO_2021/Finan&#231;as%20-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AN"/>
      <sheetName val="FEV"/>
      <sheetName val="MAR"/>
      <sheetName val="ABR"/>
      <sheetName val="MAI21"/>
      <sheetName val="JUN21"/>
      <sheetName val="JUl21"/>
      <sheetName val="AGO21"/>
      <sheetName val="SET21"/>
      <sheetName val="OUT21"/>
      <sheetName val="NOV21"/>
      <sheetName val="DEZ21"/>
      <sheetName val="JAN22"/>
      <sheetName val="FEV22"/>
      <sheetName val="Resumo"/>
      <sheetName val="MAR22"/>
      <sheetName val="Cart.Parc"/>
      <sheetName val="Planilha3"/>
      <sheetName val="ABR20"/>
      <sheetName val="MAI20"/>
      <sheetName val="JUN"/>
      <sheetName val="JUL"/>
      <sheetName val="AGO"/>
      <sheetName val="SET"/>
      <sheetName val="OUT"/>
      <sheetName val="NOV"/>
      <sheetName val="DEZ"/>
      <sheetName val="Desp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A4"/>
    </sheetView>
  </sheetViews>
  <sheetFormatPr defaultRowHeight="15" x14ac:dyDescent="0.25"/>
  <cols>
    <col min="1" max="1" width="16.5703125" customWidth="1"/>
    <col min="2" max="2" width="14.85546875" customWidth="1"/>
  </cols>
  <sheetData>
    <row r="1" spans="1:2" x14ac:dyDescent="0.25">
      <c r="A1" t="s">
        <v>0</v>
      </c>
      <c r="B1" s="1">
        <v>150</v>
      </c>
    </row>
    <row r="2" spans="1:2" x14ac:dyDescent="0.25">
      <c r="A2" t="s">
        <v>1</v>
      </c>
      <c r="B2" s="1">
        <v>300</v>
      </c>
    </row>
    <row r="3" spans="1:2" x14ac:dyDescent="0.25">
      <c r="A3" t="s">
        <v>2</v>
      </c>
      <c r="B3" s="1">
        <v>50</v>
      </c>
    </row>
    <row r="4" spans="1:2" x14ac:dyDescent="0.25">
      <c r="A4" t="s">
        <v>3</v>
      </c>
      <c r="B4" s="1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0</v>
      </c>
      <c r="B1" s="1">
        <v>0</v>
      </c>
    </row>
    <row r="2" spans="1:2" x14ac:dyDescent="0.25">
      <c r="A2" t="s">
        <v>1</v>
      </c>
      <c r="B2" s="1">
        <v>23</v>
      </c>
    </row>
    <row r="3" spans="1:2" x14ac:dyDescent="0.25">
      <c r="A3" t="s">
        <v>2</v>
      </c>
      <c r="B3" s="1">
        <v>15</v>
      </c>
    </row>
    <row r="4" spans="1:2" x14ac:dyDescent="0.25">
      <c r="A4" t="s">
        <v>3</v>
      </c>
      <c r="B4" s="1">
        <v>200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0</v>
      </c>
      <c r="B1" s="1">
        <v>333</v>
      </c>
    </row>
    <row r="2" spans="1:2" x14ac:dyDescent="0.25">
      <c r="A2" t="s">
        <v>1</v>
      </c>
      <c r="B2" s="1">
        <v>54</v>
      </c>
    </row>
    <row r="3" spans="1:2" x14ac:dyDescent="0.25">
      <c r="A3" t="s">
        <v>2</v>
      </c>
      <c r="B3" s="1">
        <v>15</v>
      </c>
    </row>
    <row r="4" spans="1:2" x14ac:dyDescent="0.25">
      <c r="A4" t="s">
        <v>3</v>
      </c>
      <c r="B4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0</v>
      </c>
      <c r="B1" s="1">
        <v>80</v>
      </c>
    </row>
    <row r="2" spans="1:2" x14ac:dyDescent="0.25">
      <c r="A2" t="s">
        <v>1</v>
      </c>
      <c r="B2" s="1">
        <v>98</v>
      </c>
    </row>
    <row r="3" spans="1:2" x14ac:dyDescent="0.25">
      <c r="A3" t="s">
        <v>2</v>
      </c>
      <c r="B3" s="1">
        <v>70</v>
      </c>
    </row>
    <row r="4" spans="1:2" x14ac:dyDescent="0.25">
      <c r="A4" t="s">
        <v>3</v>
      </c>
      <c r="B4" s="1">
        <v>53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zoomScale="130" zoomScaleNormal="130" workbookViewId="0">
      <selection activeCell="B2" sqref="B2"/>
    </sheetView>
  </sheetViews>
  <sheetFormatPr defaultRowHeight="15" x14ac:dyDescent="0.25"/>
  <cols>
    <col min="1" max="1" width="13.28515625" customWidth="1"/>
    <col min="2" max="2" width="14.140625" customWidth="1"/>
    <col min="3" max="3" width="12.5703125" customWidth="1"/>
    <col min="4" max="4" width="14.140625" customWidth="1"/>
    <col min="5" max="5" width="13.28515625" customWidth="1"/>
  </cols>
  <sheetData>
    <row r="1" spans="1:5" x14ac:dyDescent="0.25">
      <c r="A1" s="17">
        <v>44593</v>
      </c>
      <c r="B1" s="18"/>
      <c r="C1" s="18"/>
      <c r="D1" s="19"/>
      <c r="E1" s="2"/>
    </row>
    <row r="2" spans="1:5" x14ac:dyDescent="0.25">
      <c r="A2" t="s">
        <v>0</v>
      </c>
      <c r="B2" s="3"/>
      <c r="C2" s="3"/>
      <c r="D2" s="4">
        <f>C2-B2</f>
        <v>0</v>
      </c>
    </row>
    <row r="3" spans="1:5" x14ac:dyDescent="0.25">
      <c r="A3" t="s">
        <v>1</v>
      </c>
      <c r="B3" s="3"/>
      <c r="C3" s="3"/>
      <c r="D3" s="4">
        <f>C3-B3</f>
        <v>0</v>
      </c>
    </row>
    <row r="4" spans="1:5" x14ac:dyDescent="0.25">
      <c r="A4" t="s">
        <v>2</v>
      </c>
      <c r="B4" s="3"/>
      <c r="C4" s="3"/>
      <c r="D4" s="4">
        <f>C4-B4</f>
        <v>0</v>
      </c>
    </row>
    <row r="5" spans="1:5" x14ac:dyDescent="0.25">
      <c r="A5" t="s">
        <v>3</v>
      </c>
      <c r="B5" s="3"/>
      <c r="C5" s="3"/>
      <c r="D5" s="4">
        <f>C5-B5</f>
        <v>0</v>
      </c>
    </row>
    <row r="6" spans="1:5" ht="15.75" thickBot="1" x14ac:dyDescent="0.3">
      <c r="A6" s="5"/>
      <c r="B6" s="6">
        <f>SUM(B2:B5)</f>
        <v>0</v>
      </c>
      <c r="C6" s="6">
        <f>SUM(C2:C5)</f>
        <v>0</v>
      </c>
      <c r="D6" s="7">
        <f>SUM(D2:D5)</f>
        <v>0</v>
      </c>
      <c r="E6" s="8"/>
    </row>
    <row r="7" spans="1:5" x14ac:dyDescent="0.25">
      <c r="A7" s="9"/>
      <c r="B7" s="10"/>
      <c r="E7" s="11"/>
    </row>
    <row r="8" spans="1:5" x14ac:dyDescent="0.25">
      <c r="A8" s="9"/>
      <c r="B8" s="10"/>
    </row>
  </sheetData>
  <mergeCells count="1">
    <mergeCell ref="A1:D1"/>
  </mergeCells>
  <conditionalFormatting sqref="A7:A8">
    <cfRule type="cellIs" dxfId="14" priority="11" operator="equal">
      <formula>"OUTROS"</formula>
    </cfRule>
    <cfRule type="cellIs" dxfId="13" priority="12" operator="equal">
      <formula>"YANN"</formula>
    </cfRule>
    <cfRule type="cellIs" dxfId="12" priority="13" operator="equal">
      <formula>"VIVALDO"</formula>
    </cfRule>
    <cfRule type="cellIs" dxfId="11" priority="14" operator="equal">
      <formula>"MARY"</formula>
    </cfRule>
    <cfRule type="cellIs" dxfId="10" priority="15" operator="equal">
      <formula>"ISABELLY"</formula>
    </cfRule>
    <cfRule type="cellIs" dxfId="9" priority="16" operator="equal">
      <formula>"GENY"</formula>
    </cfRule>
  </conditionalFormatting>
  <conditionalFormatting sqref="A7:A8">
    <cfRule type="expression" dxfId="8" priority="10">
      <formula>"geny"</formula>
    </cfRule>
  </conditionalFormatting>
  <conditionalFormatting sqref="A2:A5">
    <cfRule type="cellIs" dxfId="7" priority="4" operator="equal">
      <formula>"OUTROS"</formula>
    </cfRule>
    <cfRule type="cellIs" dxfId="6" priority="5" operator="equal">
      <formula>"YANN"</formula>
    </cfRule>
    <cfRule type="cellIs" dxfId="5" priority="6" operator="equal">
      <formula>"VIVALDO"</formula>
    </cfRule>
    <cfRule type="cellIs" dxfId="4" priority="7" operator="equal">
      <formula>"MARY"</formula>
    </cfRule>
    <cfRule type="cellIs" dxfId="3" priority="8" operator="equal">
      <formula>"ISABELLY"</formula>
    </cfRule>
    <cfRule type="cellIs" dxfId="2" priority="9" operator="equal">
      <formula>"GENY"</formula>
    </cfRule>
  </conditionalFormatting>
  <conditionalFormatting sqref="A2:A5">
    <cfRule type="expression" dxfId="1" priority="3">
      <formula>"geny"</formula>
    </cfRule>
  </conditionalFormatting>
  <conditionalFormatting sqref="D2:D5">
    <cfRule type="cellIs" dxfId="0" priority="1" operator="greaterThan">
      <formula>-1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[1]Planilha3!#REF!</xm:f>
          </x14:formula1>
          <xm:sqref>A2:A5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5"/>
  <sheetViews>
    <sheetView tabSelected="1" workbookViewId="0">
      <selection activeCell="G13" sqref="G13:G15"/>
    </sheetView>
  </sheetViews>
  <sheetFormatPr defaultRowHeight="15" x14ac:dyDescent="0.25"/>
  <cols>
    <col min="3" max="14" width="7.7109375" customWidth="1"/>
    <col min="18" max="18" width="11.85546875" customWidth="1"/>
  </cols>
  <sheetData>
    <row r="2" spans="2:15" x14ac:dyDescent="0.25">
      <c r="C2" s="16" t="s">
        <v>4</v>
      </c>
      <c r="D2" s="16" t="s">
        <v>5</v>
      </c>
      <c r="E2" s="16" t="s">
        <v>6</v>
      </c>
      <c r="F2" s="16" t="s">
        <v>7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6" t="s">
        <v>17</v>
      </c>
    </row>
    <row r="3" spans="2:15" x14ac:dyDescent="0.25">
      <c r="B3" t="s">
        <v>0</v>
      </c>
      <c r="C3" s="12">
        <f>VLOOKUP($B3,'JAN22'!$A$1:$B$10,2,FALSE)</f>
        <v>150</v>
      </c>
      <c r="D3" s="12">
        <f>VLOOKUP($B3,'FEV22'!$A$1:$B$10,2,FALSE)</f>
        <v>0</v>
      </c>
      <c r="E3" s="12">
        <f>VLOOKUP($B3,'MAR22'!$A$1:$B$10,2,FALSE)</f>
        <v>333</v>
      </c>
      <c r="F3" s="12">
        <f>VLOOKUP($B3,'ABR22'!$A$1:$B$10,2,FALSE)</f>
        <v>80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4">
        <f>SUM(C3:N3)</f>
        <v>563</v>
      </c>
    </row>
    <row r="4" spans="2:15" x14ac:dyDescent="0.25">
      <c r="B4" t="s">
        <v>1</v>
      </c>
      <c r="C4" s="12">
        <f>VLOOKUP($B4,'JAN22'!$A$1:$B$10,2,FALSE)</f>
        <v>300</v>
      </c>
      <c r="D4" s="12">
        <f>VLOOKUP($B4,'FEV22'!$A$1:$B$10,2,FALSE)</f>
        <v>23</v>
      </c>
      <c r="E4" s="12">
        <f>VLOOKUP($B4,'MAR22'!$A$1:$B$10,2,FALSE)</f>
        <v>54</v>
      </c>
      <c r="F4" s="12">
        <f>VLOOKUP($B4,'ABR22'!$A$1:$B$10,2,FALSE)</f>
        <v>98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4">
        <f t="shared" ref="O4:O9" si="0">SUM(C4:N4)</f>
        <v>475</v>
      </c>
    </row>
    <row r="5" spans="2:15" x14ac:dyDescent="0.25">
      <c r="B5" t="s">
        <v>2</v>
      </c>
      <c r="C5" s="12">
        <f>VLOOKUP($B5,'JAN22'!$A$1:$B$10,2,FALSE)</f>
        <v>50</v>
      </c>
      <c r="D5" s="12">
        <f>VLOOKUP($B5,'FEV22'!$A$1:$B$10,2,FALSE)</f>
        <v>15</v>
      </c>
      <c r="E5" s="12">
        <f>VLOOKUP($B5,'MAR22'!$A$1:$B$10,2,FALSE)</f>
        <v>15</v>
      </c>
      <c r="F5" s="12">
        <f>VLOOKUP($B5,'ABR22'!$A$1:$B$10,2,FALSE)</f>
        <v>70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4">
        <f t="shared" si="0"/>
        <v>150</v>
      </c>
    </row>
    <row r="6" spans="2:15" x14ac:dyDescent="0.25">
      <c r="B6" t="s">
        <v>3</v>
      </c>
      <c r="C6" s="12">
        <f>VLOOKUP($B6,'JAN22'!$A$1:$B$10,2,FALSE)</f>
        <v>25</v>
      </c>
      <c r="D6" s="12">
        <f>VLOOKUP($B6,'FEV22'!$A$1:$B$10,2,FALSE)</f>
        <v>200</v>
      </c>
      <c r="E6" s="12">
        <f>VLOOKUP($B6,'MAR22'!$A$1:$B$10,2,FALSE)</f>
        <v>0</v>
      </c>
      <c r="F6" s="12">
        <f>VLOOKUP($B6,'ABR22'!$A$1:$B$10,2,FALSE)</f>
        <v>53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4">
        <f t="shared" si="0"/>
        <v>278</v>
      </c>
    </row>
    <row r="7" spans="2:15" x14ac:dyDescent="0.25"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4">
        <f t="shared" si="0"/>
        <v>0</v>
      </c>
    </row>
    <row r="8" spans="2:15" x14ac:dyDescent="0.25"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4">
        <f t="shared" si="0"/>
        <v>0</v>
      </c>
    </row>
    <row r="9" spans="2:15" x14ac:dyDescent="0.25"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4">
        <f t="shared" si="0"/>
        <v>0</v>
      </c>
    </row>
    <row r="10" spans="2:15" ht="15.75" thickBot="1" x14ac:dyDescent="0.3">
      <c r="B10" s="13" t="s">
        <v>17</v>
      </c>
      <c r="C10" s="15">
        <f>SUM(C3:C9)</f>
        <v>525</v>
      </c>
      <c r="D10" s="15">
        <f t="shared" ref="D10:O10" si="1">SUM(D3:D9)</f>
        <v>238</v>
      </c>
      <c r="E10" s="15">
        <f t="shared" si="1"/>
        <v>402</v>
      </c>
      <c r="F10" s="15">
        <f t="shared" si="1"/>
        <v>301</v>
      </c>
      <c r="G10" s="15">
        <f t="shared" si="1"/>
        <v>0</v>
      </c>
      <c r="H10" s="15">
        <f t="shared" si="1"/>
        <v>0</v>
      </c>
      <c r="I10" s="15">
        <f t="shared" si="1"/>
        <v>0</v>
      </c>
      <c r="J10" s="15">
        <f t="shared" si="1"/>
        <v>0</v>
      </c>
      <c r="K10" s="15">
        <f t="shared" si="1"/>
        <v>0</v>
      </c>
      <c r="L10" s="15">
        <f t="shared" si="1"/>
        <v>0</v>
      </c>
      <c r="M10" s="15">
        <f t="shared" si="1"/>
        <v>0</v>
      </c>
      <c r="N10" s="15">
        <f t="shared" si="1"/>
        <v>0</v>
      </c>
      <c r="O10" s="15">
        <f t="shared" si="1"/>
        <v>1466</v>
      </c>
    </row>
    <row r="11" spans="2:15" ht="15.75" thickTop="1" x14ac:dyDescent="0.25"/>
    <row r="13" spans="2:15" ht="15.75" thickBot="1" x14ac:dyDescent="0.3">
      <c r="B13" t="s">
        <v>18</v>
      </c>
      <c r="C13" s="20" t="s">
        <v>1</v>
      </c>
    </row>
    <row r="14" spans="2:15" ht="15.75" thickTop="1" x14ac:dyDescent="0.25">
      <c r="B14" t="s">
        <v>8</v>
      </c>
      <c r="C14" s="21" t="s">
        <v>7</v>
      </c>
    </row>
    <row r="15" spans="2:15" x14ac:dyDescent="0.25">
      <c r="B15" t="s">
        <v>19</v>
      </c>
      <c r="C15" s="12">
        <f ca="1">OFFSET(B2,MATCH(C13,B3:B9,-1),MATCH(C14,C2:N2,-1))</f>
        <v>98</v>
      </c>
    </row>
  </sheetData>
  <dataValidations count="2">
    <dataValidation type="list" allowBlank="1" showInputMessage="1" showErrorMessage="1" sqref="C13">
      <formula1>$B$3:$B$9</formula1>
    </dataValidation>
    <dataValidation type="list" allowBlank="1" showInputMessage="1" showErrorMessage="1" sqref="C14">
      <formula1>$C$2:$N$2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JAN22</vt:lpstr>
      <vt:lpstr>FEV22</vt:lpstr>
      <vt:lpstr>MAR22</vt:lpstr>
      <vt:lpstr>ABR22</vt:lpstr>
      <vt:lpstr>RESUMO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Vivaldo Mota</dc:creator>
  <cp:lastModifiedBy>WALMIR WILLIAN SILVA DE MELO</cp:lastModifiedBy>
  <dcterms:created xsi:type="dcterms:W3CDTF">2022-02-24T08:14:14Z</dcterms:created>
  <dcterms:modified xsi:type="dcterms:W3CDTF">2022-02-25T11:38:47Z</dcterms:modified>
</cp:coreProperties>
</file>