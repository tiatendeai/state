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uario\Desktop\Smart Planilhas\"/>
    </mc:Choice>
  </mc:AlternateContent>
  <xr:revisionPtr revIDLastSave="0" documentId="13_ncr:1_{C2065221-0B60-4B23-ABDD-A152CCE0D78C}" xr6:coauthVersionLast="45" xr6:coauthVersionMax="45" xr10:uidLastSave="{00000000-0000-0000-0000-000000000000}"/>
  <bookViews>
    <workbookView xWindow="-120" yWindow="-120" windowWidth="20640" windowHeight="11160" xr2:uid="{37B2C75F-D892-4B59-8402-1065574FAF7B}"/>
  </bookViews>
  <sheets>
    <sheet name="Simulador de Frete " sheetId="1" r:id="rId1"/>
    <sheet name="Tabela Alíquota" sheetId="2" r:id="rId2"/>
  </sheets>
  <externalReferences>
    <externalReference r:id="rId3"/>
  </externalReferences>
  <definedNames>
    <definedName name="_Fill" localSheetId="0" hidden="1">#REF!</definedName>
    <definedName name="_R">[0]!_R</definedName>
    <definedName name="_Table1_In1" localSheetId="0" hidden="1">#REF!</definedName>
    <definedName name="_Table1_Out" localSheetId="0" hidden="1">#REF!</definedName>
    <definedName name="a">[0]!a</definedName>
    <definedName name="aa">[0]!aa</definedName>
    <definedName name="aaa">[0]!aaa</definedName>
    <definedName name="aaaaa">[0]!aaaaa</definedName>
    <definedName name="aaaaaaa">[0]!aaaaaaa</definedName>
    <definedName name="_xlnm.Print_Area" localSheetId="0">'Simulador de Frete '!$B$1:$I$57</definedName>
    <definedName name="D">[0]!D</definedName>
    <definedName name="df">[0]!df</definedName>
    <definedName name="dfsf">[0]!dfsf</definedName>
    <definedName name="E">[0]!E</definedName>
    <definedName name="eeeeeeee">[0]!eeeeeeee</definedName>
    <definedName name="eixo_x" localSheetId="0">OFFSET(#REF!,#REF!,0,#REF!,1)</definedName>
    <definedName name="eixo_x_1" localSheetId="0">OFFSET(#REF!,0,0,COUNTA(#REF!),1)</definedName>
    <definedName name="eixo_y" localSheetId="0">OFFSET(#REF!,0,1,1,4)</definedName>
    <definedName name="eixo_y_1" localSheetId="0">OFFSET(#REF!,0,0,COUNTA(#REF!),1)</definedName>
    <definedName name="er">[0]!er</definedName>
    <definedName name="erere">[0]!erere</definedName>
    <definedName name="ererer">[0]!ererer</definedName>
    <definedName name="fd">[0]!fd</definedName>
    <definedName name="fdfdfdf">[0]!fdfdfdf</definedName>
    <definedName name="gfgf">[0]!gfgf</definedName>
    <definedName name="grafico">#N/A</definedName>
    <definedName name="grafico_1" localSheetId="0">OFFSET(#REF!,0,0,COUNTA(#REF!),2)</definedName>
    <definedName name="Macro1">[0]!Macro1</definedName>
    <definedName name="Macro2">[0]!Macro2</definedName>
    <definedName name="Macro3">[0]!Macro3</definedName>
    <definedName name="Macro4">[0]!Macro4</definedName>
    <definedName name="q">[0]!q</definedName>
    <definedName name="qq">[0]!qq</definedName>
    <definedName name="qqqq">[0]!qqqq</definedName>
    <definedName name="re">[0]!re</definedName>
    <definedName name="rer">[0]!rer</definedName>
    <definedName name="rere">[0]!rere</definedName>
    <definedName name="rerere">[0]!rerere</definedName>
    <definedName name="rererer">[0]!rererer</definedName>
    <definedName name="rererererere">[0]!rererererere</definedName>
    <definedName name="rr">[0]!rr</definedName>
    <definedName name="serie_a" localSheetId="0">IF(#REF!=FALSE,#REF!,#REF!)</definedName>
    <definedName name="serie_b" localSheetId="0">IF(#REF!=FALSE,#REF!,#REF!)</definedName>
    <definedName name="serie_c" localSheetId="0">IF(#REF!=FALSE,#REF!,#REF!)</definedName>
    <definedName name="serie_d" localSheetId="0">IF(#REF!=FALSE,#REF!,#REF!)</definedName>
    <definedName name="SS">[0]!SS</definedName>
    <definedName name="SSSS">[0]!SSSS</definedName>
    <definedName name="T">[0]!T</definedName>
    <definedName name="TelaDados" localSheetId="0">#REF!</definedName>
    <definedName name="TelaDemonstrativos" localSheetId="0">#REF!</definedName>
    <definedName name="TITANSIMPLES">'[1]Custo Operacional'!$H$31</definedName>
    <definedName name="titulo" localSheetId="0">OFFSET(#REF!,0,0,1,1)</definedName>
    <definedName name="tr">[0]!tr</definedName>
    <definedName name="Voltar" comment="Voltar ao menu.">"Picture 100"</definedName>
    <definedName name="Z_40F9C454_92AD_4AE3_AE87_78FE6EDE5D05_.wvu.PrintArea" localSheetId="0" hidden="1">'Simulador de Frete '!$B$1:$I$52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1" i="1" l="1"/>
  <c r="C34" i="1"/>
  <c r="H25" i="1"/>
  <c r="H29" i="1" s="1"/>
  <c r="I17" i="1"/>
  <c r="H24" i="1" l="1"/>
  <c r="H31" i="1" s="1"/>
  <c r="G44" i="1"/>
  <c r="H44" i="1" s="1"/>
  <c r="I44" i="1" s="1"/>
  <c r="H26" i="1" l="1"/>
  <c r="H30" i="1" s="1"/>
  <c r="C37" i="1"/>
  <c r="H27" i="1" l="1"/>
  <c r="G45" i="1" s="1"/>
  <c r="H36" i="1"/>
  <c r="H37" i="1" l="1"/>
  <c r="H39" i="1" s="1"/>
  <c r="I39" i="1" s="1"/>
  <c r="I52" i="1"/>
  <c r="H45" i="1"/>
  <c r="I45" i="1" s="1"/>
  <c r="G46" i="1"/>
  <c r="H46" i="1" s="1"/>
  <c r="I46" i="1" s="1"/>
  <c r="I3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C23" authorId="0" shapeId="0" xr:uid="{9EFB36D4-9981-4313-ACB4-41B5A64992FB}">
      <text>
        <r>
          <rPr>
            <b/>
            <sz val="8"/>
            <color indexed="81"/>
            <rFont val="Tahoma"/>
            <family val="2"/>
          </rPr>
          <t xml:space="preserve">Preço por ton/m3
x Capacidade (ton/m3)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4" authorId="0" shapeId="0" xr:uid="{349CDF9F-0AC2-4DA3-8E01-543DFD195A15}">
      <text>
        <r>
          <rPr>
            <b/>
            <sz val="8"/>
            <color indexed="81"/>
            <rFont val="Tahoma"/>
            <family val="2"/>
          </rPr>
          <t>Preço x Capacidade</t>
        </r>
      </text>
    </comment>
    <comment ref="C25" authorId="0" shapeId="0" xr:uid="{4C968EE1-AFA4-4F56-AE2C-16CC2B4AF9D9}">
      <text>
        <r>
          <rPr>
            <b/>
            <sz val="8"/>
            <color indexed="81"/>
            <rFont val="Tahoma"/>
            <family val="2"/>
          </rPr>
          <t>Inserir o valor do Pedágio
Carregado X Vazio</t>
        </r>
      </text>
    </comment>
    <comment ref="C26" authorId="0" shapeId="0" xr:uid="{C6726423-048B-4B03-9595-FAB1CABB1856}">
      <text>
        <r>
          <rPr>
            <b/>
            <sz val="8"/>
            <color indexed="81"/>
            <rFont val="Tahoma"/>
            <family val="2"/>
          </rPr>
          <t>ICMS de acordo com a alíquita do estado.
Valor sobre o Frete.
R$/0,88(12%) = 100%
R$/0,93(7%) = 100%
ou insento</t>
        </r>
      </text>
    </comment>
    <comment ref="C28" authorId="0" shapeId="0" xr:uid="{A4C548C0-7695-45C5-9C02-C5F2B274FC24}">
      <text>
        <r>
          <rPr>
            <b/>
            <sz val="8"/>
            <color indexed="81"/>
            <rFont val="Tahoma"/>
            <family val="2"/>
          </rPr>
          <t>Frete / Km total</t>
        </r>
      </text>
    </comment>
  </commentList>
</comments>
</file>

<file path=xl/sharedStrings.xml><?xml version="1.0" encoding="utf-8"?>
<sst xmlns="http://schemas.openxmlformats.org/spreadsheetml/2006/main" count="78" uniqueCount="63">
  <si>
    <t>SIMULADOR DE FRETE</t>
  </si>
  <si>
    <t>Dados da Operação</t>
  </si>
  <si>
    <t>Cliente:</t>
  </si>
  <si>
    <t>Cotação</t>
  </si>
  <si>
    <t>Produto:</t>
  </si>
  <si>
    <t>Forma de contato:</t>
  </si>
  <si>
    <t>Capacidade</t>
  </si>
  <si>
    <t>Capacidade Específica?</t>
  </si>
  <si>
    <t>toneladas</t>
  </si>
  <si>
    <t>Origem</t>
  </si>
  <si>
    <t>Ciclo Logístico</t>
  </si>
  <si>
    <t>Destino</t>
  </si>
  <si>
    <t>dias</t>
  </si>
  <si>
    <t>Deslocamento</t>
  </si>
  <si>
    <t>Km Carregado</t>
  </si>
  <si>
    <t>Km Vazio</t>
  </si>
  <si>
    <t>Dados operacionais</t>
  </si>
  <si>
    <t>Alíquota ICMS</t>
  </si>
  <si>
    <t>Modalidade</t>
  </si>
  <si>
    <t>Preço</t>
  </si>
  <si>
    <t>Demonstração do Resultado do Frete</t>
  </si>
  <si>
    <t>Frete Rota</t>
  </si>
  <si>
    <t>( + )</t>
  </si>
  <si>
    <t>Frete</t>
  </si>
  <si>
    <t>Pedágio</t>
  </si>
  <si>
    <t>ICMS</t>
  </si>
  <si>
    <t>Preço Km</t>
  </si>
  <si>
    <t>Custo Km</t>
  </si>
  <si>
    <t>Média</t>
  </si>
  <si>
    <t>( - )</t>
  </si>
  <si>
    <t>Carregado</t>
  </si>
  <si>
    <t>Vazio</t>
  </si>
  <si>
    <t>Pis / Cofins</t>
  </si>
  <si>
    <t>Custo Carregado</t>
  </si>
  <si>
    <t>PREÇO FINAL</t>
  </si>
  <si>
    <t>Custo Vazio</t>
  </si>
  <si>
    <t>Diária Motorista</t>
  </si>
  <si>
    <t xml:space="preserve"> + Pedágio</t>
  </si>
  <si>
    <t>Comissão e outros.</t>
  </si>
  <si>
    <t xml:space="preserve"> + ICMS</t>
  </si>
  <si>
    <t>TOTAL</t>
  </si>
  <si>
    <t>Resultado</t>
  </si>
  <si>
    <t>Custo Capital de Giro</t>
  </si>
  <si>
    <t>Saldo Operacional</t>
  </si>
  <si>
    <t>PREVISTO</t>
  </si>
  <si>
    <t>REALIZADO</t>
  </si>
  <si>
    <t>Variação</t>
  </si>
  <si>
    <t>%</t>
  </si>
  <si>
    <t>Preço Médio Previsto</t>
  </si>
  <si>
    <t>Preço Médio Realizado</t>
  </si>
  <si>
    <t>Faturamento da Operação</t>
  </si>
  <si>
    <t>Faturamento da operação</t>
  </si>
  <si>
    <t>Faturamento Mensal</t>
  </si>
  <si>
    <t>APROVADO?</t>
  </si>
  <si>
    <t xml:space="preserve">SIM  </t>
  </si>
  <si>
    <t>NÃO</t>
  </si>
  <si>
    <t>Previsto</t>
  </si>
  <si>
    <t>Realizado</t>
  </si>
  <si>
    <t>GRANOL</t>
  </si>
  <si>
    <t>METANOL</t>
  </si>
  <si>
    <t>ton</t>
  </si>
  <si>
    <t>SEU LOGO</t>
  </si>
  <si>
    <t>Equipamentos: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</si>
</sst>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(&quot;R$ &quot;* #,##0.00_);_(&quot;R$ &quot;* \(#,##0.00\);_(&quot;R$ &quot;* &quot;-&quot;??_);_(@_)"/>
    <numFmt numFmtId="168" formatCode="0.000"/>
    <numFmt numFmtId="169" formatCode="0.0%"/>
  </numFmts>
  <fonts count="29" x14ac:knownFonts="1">
    <font>
      <sz val="11"/>
      <color theme="1"/>
      <name val="Times New Roman"/>
      <family val="2"/>
    </font>
    <font>
      <sz val="10"/>
      <name val="Times New Roman"/>
      <family val="2"/>
    </font>
    <font>
      <sz val="11"/>
      <color indexed="8"/>
      <name val="Times New Roman"/>
      <family val="2"/>
    </font>
    <font>
      <sz val="12"/>
      <name val="Times New Roman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Swis721 BT"/>
      <family val="2"/>
    </font>
    <font>
      <b/>
      <sz val="11"/>
      <name val="Swis721 BT"/>
      <family val="2"/>
    </font>
    <font>
      <i/>
      <sz val="11"/>
      <name val="Swis721 BT"/>
      <family val="2"/>
    </font>
    <font>
      <sz val="11"/>
      <color indexed="9"/>
      <name val="Swis721 BT"/>
      <family val="2"/>
    </font>
    <font>
      <sz val="11"/>
      <color theme="0"/>
      <name val="Swis721 BT"/>
      <family val="2"/>
    </font>
    <font>
      <b/>
      <sz val="22"/>
      <color rgb="FF00B0F0"/>
      <name val="Swis721 Lt BT"/>
      <family val="2"/>
    </font>
    <font>
      <sz val="26"/>
      <color rgb="FF00B0F0"/>
      <name val="Swis721 BT"/>
      <family val="2"/>
    </font>
    <font>
      <i/>
      <sz val="11"/>
      <color theme="1" tint="0.34998626667073579"/>
      <name val="Swis721 BT"/>
      <family val="2"/>
    </font>
    <font>
      <sz val="11"/>
      <color theme="1" tint="0.34998626667073579"/>
      <name val="Swis721 BT"/>
      <family val="2"/>
    </font>
    <font>
      <b/>
      <i/>
      <sz val="11"/>
      <color theme="1" tint="0.34998626667073579"/>
      <name val="Swis721 BT"/>
      <family val="2"/>
    </font>
    <font>
      <b/>
      <sz val="11"/>
      <color theme="1" tint="0.34998626667073579"/>
      <name val="Swis721 BT"/>
      <family val="2"/>
    </font>
    <font>
      <sz val="10"/>
      <color theme="1" tint="0.34998626667073579"/>
      <name val="Times New Roman"/>
      <family val="2"/>
    </font>
    <font>
      <b/>
      <sz val="11"/>
      <color theme="0"/>
      <name val="Swis721 BT"/>
      <family val="2"/>
    </font>
    <font>
      <i/>
      <sz val="11"/>
      <color theme="0" tint="-0.499984740745262"/>
      <name val="Swis721 BT"/>
      <family val="2"/>
    </font>
    <font>
      <sz val="11"/>
      <color theme="0" tint="-0.499984740745262"/>
      <name val="Swis721 BT"/>
      <family val="2"/>
    </font>
    <font>
      <b/>
      <sz val="11"/>
      <color theme="1" tint="0.249977111117893"/>
      <name val="Swis721 BT"/>
      <family val="2"/>
    </font>
    <font>
      <sz val="11"/>
      <color theme="1" tint="4.9989318521683403E-2"/>
      <name val="Swis721 BT"/>
      <family val="2"/>
    </font>
    <font>
      <sz val="10"/>
      <color theme="1" tint="4.9989318521683403E-2"/>
      <name val="Times New Roman"/>
      <family val="2"/>
    </font>
    <font>
      <sz val="10"/>
      <color theme="1" tint="0.34998626667073579"/>
      <name val="Swis721 BT"/>
      <family val="2"/>
    </font>
    <font>
      <b/>
      <sz val="11"/>
      <color rgb="FF00B0F0"/>
      <name val="Swis721 BT"/>
      <family val="2"/>
    </font>
    <font>
      <b/>
      <i/>
      <sz val="11"/>
      <color rgb="FF00B0F0"/>
      <name val="Swis721 BT"/>
      <family val="2"/>
    </font>
    <font>
      <b/>
      <i/>
      <sz val="11"/>
      <color theme="1" tint="0.249977111117893"/>
      <name val="Swis721 BT"/>
      <family val="2"/>
    </font>
    <font>
      <sz val="11"/>
      <color theme="1" tint="0.249977111117893"/>
      <name val="Swis721 BT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249977111117893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theme="8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double">
        <color theme="8" tint="-0.249977111117893"/>
      </bottom>
      <diagonal/>
    </border>
    <border>
      <left/>
      <right/>
      <top/>
      <bottom style="double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2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/>
    <xf numFmtId="14" fontId="6" fillId="2" borderId="0" xfId="0" applyNumberFormat="1" applyFont="1" applyFill="1" applyAlignment="1">
      <alignment horizontal="center"/>
    </xf>
    <xf numFmtId="0" fontId="9" fillId="2" borderId="0" xfId="0" applyFont="1" applyFill="1"/>
    <xf numFmtId="167" fontId="9" fillId="2" borderId="0" xfId="0" applyNumberFormat="1" applyFont="1" applyFill="1"/>
    <xf numFmtId="0" fontId="6" fillId="2" borderId="14" xfId="0" applyFont="1" applyFill="1" applyBorder="1"/>
    <xf numFmtId="14" fontId="6" fillId="2" borderId="14" xfId="0" applyNumberFormat="1" applyFont="1" applyFill="1" applyBorder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14" fontId="14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right"/>
    </xf>
    <xf numFmtId="0" fontId="14" fillId="2" borderId="0" xfId="0" applyFont="1" applyFill="1" applyBorder="1"/>
    <xf numFmtId="0" fontId="14" fillId="2" borderId="17" xfId="0" applyFont="1" applyFill="1" applyBorder="1"/>
    <xf numFmtId="0" fontId="13" fillId="2" borderId="17" xfId="0" applyFont="1" applyFill="1" applyBorder="1" applyAlignment="1">
      <alignment horizontal="right"/>
    </xf>
    <xf numFmtId="0" fontId="6" fillId="7" borderId="0" xfId="0" applyFont="1" applyFill="1"/>
    <xf numFmtId="0" fontId="1" fillId="7" borderId="0" xfId="0" applyFont="1" applyFill="1"/>
    <xf numFmtId="0" fontId="7" fillId="7" borderId="0" xfId="0" applyFont="1" applyFill="1" applyBorder="1" applyAlignment="1">
      <alignment horizontal="center"/>
    </xf>
    <xf numFmtId="0" fontId="6" fillId="7" borderId="0" xfId="0" applyFont="1" applyFill="1" applyBorder="1"/>
    <xf numFmtId="0" fontId="13" fillId="7" borderId="0" xfId="0" applyFont="1" applyFill="1" applyBorder="1"/>
    <xf numFmtId="14" fontId="14" fillId="7" borderId="0" xfId="0" applyNumberFormat="1" applyFont="1" applyFill="1" applyBorder="1" applyAlignment="1">
      <alignment horizontal="center"/>
    </xf>
    <xf numFmtId="0" fontId="7" fillId="7" borderId="16" xfId="0" applyFont="1" applyFill="1" applyBorder="1" applyAlignment="1">
      <alignment horizontal="center"/>
    </xf>
    <xf numFmtId="0" fontId="8" fillId="7" borderId="16" xfId="0" applyFont="1" applyFill="1" applyBorder="1"/>
    <xf numFmtId="0" fontId="6" fillId="7" borderId="16" xfId="0" applyFont="1" applyFill="1" applyBorder="1"/>
    <xf numFmtId="0" fontId="1" fillId="7" borderId="16" xfId="0" applyFont="1" applyFill="1" applyBorder="1"/>
    <xf numFmtId="0" fontId="7" fillId="7" borderId="0" xfId="0" applyFont="1" applyFill="1" applyAlignment="1">
      <alignment horizontal="center"/>
    </xf>
    <xf numFmtId="0" fontId="8" fillId="7" borderId="0" xfId="0" applyFont="1" applyFill="1"/>
    <xf numFmtId="14" fontId="6" fillId="7" borderId="0" xfId="0" applyNumberFormat="1" applyFont="1" applyFill="1" applyAlignment="1">
      <alignment horizontal="center"/>
    </xf>
    <xf numFmtId="0" fontId="13" fillId="7" borderId="0" xfId="0" applyFont="1" applyFill="1"/>
    <xf numFmtId="1" fontId="14" fillId="7" borderId="0" xfId="0" applyNumberFormat="1" applyFont="1" applyFill="1"/>
    <xf numFmtId="0" fontId="14" fillId="7" borderId="0" xfId="0" applyFont="1" applyFill="1"/>
    <xf numFmtId="14" fontId="14" fillId="7" borderId="0" xfId="0" applyNumberFormat="1" applyFont="1" applyFill="1" applyAlignment="1">
      <alignment horizontal="center"/>
    </xf>
    <xf numFmtId="0" fontId="17" fillId="7" borderId="0" xfId="0" applyFont="1" applyFill="1"/>
    <xf numFmtId="14" fontId="14" fillId="7" borderId="0" xfId="0" applyNumberFormat="1" applyFont="1" applyFill="1" applyAlignment="1">
      <alignment horizontal="left"/>
    </xf>
    <xf numFmtId="0" fontId="10" fillId="7" borderId="0" xfId="0" applyFont="1" applyFill="1"/>
    <xf numFmtId="1" fontId="14" fillId="7" borderId="18" xfId="0" applyNumberFormat="1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right"/>
    </xf>
    <xf numFmtId="0" fontId="21" fillId="7" borderId="18" xfId="0" applyFont="1" applyFill="1" applyBorder="1" applyAlignment="1">
      <alignment horizontal="center" vertical="center"/>
    </xf>
    <xf numFmtId="0" fontId="1" fillId="7" borderId="18" xfId="0" applyFont="1" applyFill="1" applyBorder="1"/>
    <xf numFmtId="0" fontId="14" fillId="7" borderId="18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right"/>
    </xf>
    <xf numFmtId="165" fontId="14" fillId="7" borderId="18" xfId="1" applyNumberFormat="1" applyFont="1" applyFill="1" applyBorder="1" applyAlignment="1">
      <alignment horizontal="center" vertical="center"/>
    </xf>
    <xf numFmtId="165" fontId="14" fillId="7" borderId="18" xfId="1" applyNumberFormat="1" applyFont="1" applyFill="1" applyBorder="1" applyAlignment="1">
      <alignment horizontal="left"/>
    </xf>
    <xf numFmtId="14" fontId="16" fillId="7" borderId="18" xfId="0" applyNumberFormat="1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left"/>
    </xf>
    <xf numFmtId="165" fontId="14" fillId="7" borderId="18" xfId="1" applyNumberFormat="1" applyFont="1" applyFill="1" applyBorder="1" applyAlignment="1">
      <alignment horizontal="left" vertical="center" indent="5"/>
    </xf>
    <xf numFmtId="0" fontId="14" fillId="7" borderId="18" xfId="0" applyFont="1" applyFill="1" applyBorder="1" applyAlignment="1">
      <alignment horizontal="right"/>
    </xf>
    <xf numFmtId="166" fontId="14" fillId="7" borderId="18" xfId="0" applyNumberFormat="1" applyFont="1" applyFill="1" applyBorder="1" applyAlignment="1">
      <alignment horizontal="center" vertical="center"/>
    </xf>
    <xf numFmtId="166" fontId="14" fillId="7" borderId="18" xfId="0" applyNumberFormat="1" applyFont="1" applyFill="1" applyBorder="1"/>
    <xf numFmtId="165" fontId="14" fillId="7" borderId="20" xfId="1" applyNumberFormat="1" applyFont="1" applyFill="1" applyBorder="1" applyAlignment="1">
      <alignment horizontal="center" vertical="center"/>
    </xf>
    <xf numFmtId="14" fontId="14" fillId="7" borderId="20" xfId="0" applyNumberFormat="1" applyFont="1" applyFill="1" applyBorder="1" applyAlignment="1">
      <alignment horizontal="center" vertical="center"/>
    </xf>
    <xf numFmtId="0" fontId="6" fillId="7" borderId="19" xfId="0" applyFont="1" applyFill="1" applyBorder="1"/>
    <xf numFmtId="0" fontId="14" fillId="7" borderId="20" xfId="0" applyFont="1" applyFill="1" applyBorder="1"/>
    <xf numFmtId="1" fontId="14" fillId="7" borderId="20" xfId="0" applyNumberFormat="1" applyFont="1" applyFill="1" applyBorder="1" applyAlignment="1">
      <alignment horizontal="center" vertical="center"/>
    </xf>
    <xf numFmtId="0" fontId="20" fillId="7" borderId="20" xfId="0" applyFont="1" applyFill="1" applyBorder="1"/>
    <xf numFmtId="0" fontId="18" fillId="6" borderId="18" xfId="0" applyFont="1" applyFill="1" applyBorder="1" applyAlignment="1">
      <alignment horizontal="center" vertical="center"/>
    </xf>
    <xf numFmtId="0" fontId="22" fillId="2" borderId="0" xfId="0" applyFont="1" applyFill="1"/>
    <xf numFmtId="0" fontId="23" fillId="2" borderId="0" xfId="0" applyFont="1" applyFill="1"/>
    <xf numFmtId="0" fontId="13" fillId="2" borderId="17" xfId="0" applyFont="1" applyFill="1" applyBorder="1"/>
    <xf numFmtId="167" fontId="14" fillId="2" borderId="17" xfId="2" applyFont="1" applyFill="1" applyBorder="1"/>
    <xf numFmtId="167" fontId="14" fillId="2" borderId="17" xfId="0" applyNumberFormat="1" applyFont="1" applyFill="1" applyBorder="1"/>
    <xf numFmtId="0" fontId="15" fillId="2" borderId="17" xfId="0" applyFont="1" applyFill="1" applyBorder="1"/>
    <xf numFmtId="164" fontId="14" fillId="2" borderId="17" xfId="1" applyFont="1" applyFill="1" applyBorder="1"/>
    <xf numFmtId="167" fontId="16" fillId="2" borderId="0" xfId="0" applyNumberFormat="1" applyFont="1" applyFill="1"/>
    <xf numFmtId="0" fontId="14" fillId="2" borderId="22" xfId="0" applyFont="1" applyFill="1" applyBorder="1"/>
    <xf numFmtId="168" fontId="14" fillId="2" borderId="0" xfId="0" applyNumberFormat="1" applyFont="1" applyFill="1"/>
    <xf numFmtId="0" fontId="14" fillId="2" borderId="23" xfId="0" applyFont="1" applyFill="1" applyBorder="1"/>
    <xf numFmtId="0" fontId="16" fillId="2" borderId="0" xfId="0" applyFont="1" applyFill="1" applyAlignment="1">
      <alignment horizontal="center"/>
    </xf>
    <xf numFmtId="0" fontId="13" fillId="2" borderId="7" xfId="0" applyFont="1" applyFill="1" applyBorder="1"/>
    <xf numFmtId="0" fontId="14" fillId="2" borderId="8" xfId="0" applyFont="1" applyFill="1" applyBorder="1"/>
    <xf numFmtId="14" fontId="14" fillId="2" borderId="8" xfId="0" applyNumberFormat="1" applyFont="1" applyFill="1" applyBorder="1" applyAlignment="1">
      <alignment horizontal="center"/>
    </xf>
    <xf numFmtId="0" fontId="14" fillId="2" borderId="9" xfId="0" applyFont="1" applyFill="1" applyBorder="1"/>
    <xf numFmtId="0" fontId="13" fillId="2" borderId="10" xfId="0" applyFont="1" applyFill="1" applyBorder="1"/>
    <xf numFmtId="167" fontId="14" fillId="2" borderId="0" xfId="0" applyNumberFormat="1" applyFont="1" applyFill="1"/>
    <xf numFmtId="0" fontId="13" fillId="2" borderId="11" xfId="0" applyFont="1" applyFill="1" applyBorder="1"/>
    <xf numFmtId="0" fontId="14" fillId="2" borderId="10" xfId="0" applyFont="1" applyFill="1" applyBorder="1"/>
    <xf numFmtId="0" fontId="14" fillId="2" borderId="12" xfId="0" applyFont="1" applyFill="1" applyBorder="1"/>
    <xf numFmtId="0" fontId="14" fillId="2" borderId="1" xfId="0" applyFont="1" applyFill="1" applyBorder="1"/>
    <xf numFmtId="14" fontId="14" fillId="2" borderId="1" xfId="0" applyNumberFormat="1" applyFont="1" applyFill="1" applyBorder="1" applyAlignment="1">
      <alignment horizontal="center"/>
    </xf>
    <xf numFmtId="0" fontId="14" fillId="2" borderId="13" xfId="0" applyFont="1" applyFill="1" applyBorder="1"/>
    <xf numFmtId="0" fontId="13" fillId="4" borderId="0" xfId="0" applyFont="1" applyFill="1" applyAlignment="1">
      <alignment horizontal="center" vertical="center"/>
    </xf>
    <xf numFmtId="167" fontId="14" fillId="4" borderId="0" xfId="2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167" fontId="25" fillId="3" borderId="0" xfId="0" applyNumberFormat="1" applyFont="1" applyFill="1"/>
    <xf numFmtId="0" fontId="26" fillId="3" borderId="0" xfId="0" applyFont="1" applyFill="1"/>
    <xf numFmtId="167" fontId="14" fillId="6" borderId="17" xfId="0" applyNumberFormat="1" applyFont="1" applyFill="1" applyBorder="1"/>
    <xf numFmtId="167" fontId="10" fillId="6" borderId="17" xfId="2" applyFont="1" applyFill="1" applyBorder="1"/>
    <xf numFmtId="0" fontId="16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27" fillId="2" borderId="0" xfId="0" applyFont="1" applyFill="1" applyAlignment="1">
      <alignment horizontal="left"/>
    </xf>
    <xf numFmtId="0" fontId="28" fillId="2" borderId="0" xfId="0" applyFont="1" applyFill="1"/>
    <xf numFmtId="0" fontId="21" fillId="2" borderId="0" xfId="0" applyFont="1" applyFill="1" applyAlignment="1">
      <alignment horizontal="center" vertical="center"/>
    </xf>
    <xf numFmtId="14" fontId="21" fillId="2" borderId="0" xfId="0" applyNumberFormat="1" applyFont="1" applyFill="1" applyAlignment="1">
      <alignment horizontal="center" vertical="center"/>
    </xf>
    <xf numFmtId="0" fontId="14" fillId="7" borderId="0" xfId="0" applyFont="1" applyFill="1" applyAlignment="1">
      <alignment horizontal="right"/>
    </xf>
    <xf numFmtId="169" fontId="14" fillId="7" borderId="0" xfId="3" applyNumberFormat="1" applyFont="1" applyFill="1"/>
    <xf numFmtId="0" fontId="24" fillId="7" borderId="0" xfId="0" applyFont="1" applyFill="1"/>
    <xf numFmtId="0" fontId="22" fillId="7" borderId="0" xfId="0" applyFont="1" applyFill="1"/>
    <xf numFmtId="0" fontId="23" fillId="7" borderId="0" xfId="0" applyFont="1" applyFill="1"/>
    <xf numFmtId="0" fontId="12" fillId="5" borderId="0" xfId="0" applyFont="1" applyFill="1" applyAlignment="1">
      <alignment horizontal="left" vertical="center" indent="15"/>
    </xf>
    <xf numFmtId="0" fontId="11" fillId="5" borderId="0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15" fillId="7" borderId="20" xfId="0" applyFont="1" applyFill="1" applyBorder="1" applyAlignment="1">
      <alignment horizontal="center"/>
    </xf>
    <xf numFmtId="167" fontId="14" fillId="8" borderId="23" xfId="0" applyNumberFormat="1" applyFont="1" applyFill="1" applyBorder="1"/>
    <xf numFmtId="167" fontId="14" fillId="8" borderId="17" xfId="0" applyNumberFormat="1" applyFont="1" applyFill="1" applyBorder="1"/>
    <xf numFmtId="9" fontId="14" fillId="8" borderId="23" xfId="3" applyFont="1" applyFill="1" applyBorder="1"/>
    <xf numFmtId="9" fontId="14" fillId="8" borderId="17" xfId="3" applyFont="1" applyFill="1" applyBorder="1"/>
    <xf numFmtId="167" fontId="14" fillId="8" borderId="0" xfId="0" applyNumberFormat="1" applyFont="1" applyFill="1" applyAlignment="1">
      <alignment horizontal="center" vertical="center"/>
    </xf>
    <xf numFmtId="167" fontId="16" fillId="8" borderId="17" xfId="0" applyNumberFormat="1" applyFont="1" applyFill="1" applyBorder="1"/>
    <xf numFmtId="167" fontId="16" fillId="8" borderId="21" xfId="0" applyNumberFormat="1" applyFont="1" applyFill="1" applyBorder="1"/>
    <xf numFmtId="0" fontId="14" fillId="2" borderId="24" xfId="0" applyFont="1" applyFill="1" applyBorder="1"/>
    <xf numFmtId="167" fontId="14" fillId="8" borderId="25" xfId="0" applyNumberFormat="1" applyFont="1" applyFill="1" applyBorder="1"/>
    <xf numFmtId="9" fontId="14" fillId="8" borderId="25" xfId="3" applyFont="1" applyFill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0</xdr:row>
      <xdr:rowOff>0</xdr:rowOff>
    </xdr:from>
    <xdr:to>
      <xdr:col>19</xdr:col>
      <xdr:colOff>523875</xdr:colOff>
      <xdr:row>25</xdr:row>
      <xdr:rowOff>133880</xdr:rowOff>
    </xdr:to>
    <xdr:pic>
      <xdr:nvPicPr>
        <xdr:cNvPr id="2" name="Imagem 1" descr="Resultado de imagem para Alíquota ICMS">
          <a:extLst>
            <a:ext uri="{FF2B5EF4-FFF2-40B4-BE49-F238E27FC236}">
              <a16:creationId xmlns:a16="http://schemas.microsoft.com/office/drawing/2014/main" id="{4DE9B5AC-415E-475D-B1C3-9135677D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0"/>
          <a:ext cx="9267825" cy="489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Template%20Excel/Parte%201%20-%20Pacote%20das%20melhores%20planilhas/Parte%201%20-%20Pacote%20das%20melhores%20planilhas/SIMULADOR%20Fre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rodutos"/>
      <sheetName val="Entradas"/>
      <sheetName val="Equipamentos"/>
      <sheetName val="Custo Operacional"/>
      <sheetName val="Faturamento Previsto"/>
      <sheetName val="Simulador de Frete 1.2"/>
      <sheetName val="Simulador de Frete 2.2 (2)"/>
      <sheetName val="Simulador de Frete 2.2"/>
      <sheetName val="Resumo Analítico"/>
    </sheetNames>
    <sheetDataSet>
      <sheetData sheetId="0"/>
      <sheetData sheetId="1">
        <row r="8">
          <cell r="P8">
            <v>0</v>
          </cell>
        </row>
      </sheetData>
      <sheetData sheetId="2">
        <row r="9">
          <cell r="B9">
            <v>40625</v>
          </cell>
        </row>
      </sheetData>
      <sheetData sheetId="3">
        <row r="28">
          <cell r="F28">
            <v>45000</v>
          </cell>
        </row>
      </sheetData>
      <sheetData sheetId="4">
        <row r="8">
          <cell r="X8">
            <v>0.62226599999999999</v>
          </cell>
        </row>
        <row r="31">
          <cell r="H31">
            <v>1.2407001757575757</v>
          </cell>
        </row>
      </sheetData>
      <sheetData sheetId="5">
        <row r="30">
          <cell r="K30">
            <v>35000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DA76-DCF0-48F3-A1D7-E3E6FE4338D5}">
  <sheetPr codeName="Plan13">
    <tabColor rgb="FFC00000"/>
    <pageSetUpPr fitToPage="1"/>
  </sheetPr>
  <dimension ref="A1:L55"/>
  <sheetViews>
    <sheetView showGridLines="0" tabSelected="1" workbookViewId="0">
      <selection activeCell="G48" sqref="G48"/>
    </sheetView>
  </sheetViews>
  <sheetFormatPr defaultColWidth="9.140625" defaultRowHeight="12.75" x14ac:dyDescent="0.2"/>
  <cols>
    <col min="1" max="1" width="3.7109375" style="1" customWidth="1"/>
    <col min="2" max="2" width="12" style="1" customWidth="1"/>
    <col min="3" max="3" width="13.7109375" style="1" bestFit="1" customWidth="1"/>
    <col min="4" max="4" width="22.7109375" style="1" bestFit="1" customWidth="1"/>
    <col min="5" max="5" width="15.85546875" style="1" customWidth="1"/>
    <col min="6" max="6" width="11.5703125" style="1" customWidth="1"/>
    <col min="7" max="7" width="27.42578125" style="1" customWidth="1"/>
    <col min="8" max="9" width="15.85546875" style="1" customWidth="1"/>
    <col min="10" max="16384" width="9.140625" style="1"/>
  </cols>
  <sheetData>
    <row r="1" spans="1:12" ht="16.5" customHeight="1" x14ac:dyDescent="0.2">
      <c r="A1" s="103" t="s">
        <v>61</v>
      </c>
      <c r="B1" s="103"/>
      <c r="C1" s="104"/>
      <c r="D1" s="102" t="s">
        <v>0</v>
      </c>
      <c r="E1" s="102"/>
      <c r="F1" s="102"/>
      <c r="G1" s="102"/>
      <c r="H1" s="102"/>
      <c r="I1" s="102"/>
      <c r="J1" s="102"/>
      <c r="K1" s="19"/>
      <c r="L1" s="19"/>
    </row>
    <row r="2" spans="1:12" ht="16.5" customHeight="1" x14ac:dyDescent="0.2">
      <c r="A2" s="103"/>
      <c r="B2" s="103"/>
      <c r="C2" s="104"/>
      <c r="D2" s="102"/>
      <c r="E2" s="102"/>
      <c r="F2" s="102"/>
      <c r="G2" s="102"/>
      <c r="H2" s="102"/>
      <c r="I2" s="102"/>
      <c r="J2" s="102"/>
      <c r="K2" s="19"/>
      <c r="L2" s="19"/>
    </row>
    <row r="3" spans="1:12" ht="16.5" customHeight="1" x14ac:dyDescent="0.2">
      <c r="A3" s="103"/>
      <c r="B3" s="103"/>
      <c r="C3" s="104"/>
      <c r="D3" s="102"/>
      <c r="E3" s="102"/>
      <c r="F3" s="102"/>
      <c r="G3" s="102"/>
      <c r="H3" s="102"/>
      <c r="I3" s="102"/>
      <c r="J3" s="102"/>
      <c r="K3" s="19"/>
      <c r="L3" s="19"/>
    </row>
    <row r="4" spans="1:12" ht="16.5" customHeight="1" x14ac:dyDescent="0.2">
      <c r="A4" s="103"/>
      <c r="B4" s="103"/>
      <c r="C4" s="104"/>
      <c r="D4" s="102"/>
      <c r="E4" s="102"/>
      <c r="F4" s="102"/>
      <c r="G4" s="102"/>
      <c r="H4" s="102"/>
      <c r="I4" s="102"/>
      <c r="J4" s="102"/>
      <c r="K4" s="19"/>
      <c r="L4" s="19"/>
    </row>
    <row r="5" spans="1:12" ht="15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9"/>
      <c r="L5" s="19"/>
    </row>
    <row r="6" spans="1:12" ht="15" x14ac:dyDescent="0.25">
      <c r="A6" s="20"/>
      <c r="B6" s="19"/>
      <c r="C6" s="21"/>
      <c r="D6" s="22" t="s">
        <v>1</v>
      </c>
      <c r="E6" s="23">
        <v>43913</v>
      </c>
      <c r="F6" s="19"/>
      <c r="G6" s="21"/>
      <c r="H6" s="21"/>
      <c r="I6" s="21"/>
      <c r="J6" s="21"/>
      <c r="K6" s="19"/>
    </row>
    <row r="7" spans="1:12" ht="15" x14ac:dyDescent="0.25">
      <c r="A7" s="24"/>
      <c r="B7" s="25"/>
      <c r="C7" s="26"/>
      <c r="D7" s="26"/>
      <c r="E7" s="27"/>
      <c r="F7" s="26"/>
      <c r="G7" s="26"/>
      <c r="H7" s="26"/>
      <c r="I7" s="26"/>
      <c r="J7" s="26"/>
      <c r="K7" s="19"/>
    </row>
    <row r="8" spans="1:12" ht="15" x14ac:dyDescent="0.25">
      <c r="A8" s="28"/>
      <c r="B8" s="29"/>
      <c r="C8" s="18"/>
      <c r="D8" s="18"/>
      <c r="E8" s="30"/>
      <c r="F8" s="18"/>
      <c r="G8" s="18"/>
      <c r="H8" s="18"/>
      <c r="I8" s="18"/>
      <c r="J8" s="18"/>
      <c r="K8" s="19"/>
    </row>
    <row r="9" spans="1:12" ht="15" x14ac:dyDescent="0.25">
      <c r="A9" s="28"/>
      <c r="B9" s="31" t="s">
        <v>2</v>
      </c>
      <c r="C9" s="32" t="s">
        <v>58</v>
      </c>
      <c r="D9" s="33"/>
      <c r="E9" s="34"/>
      <c r="F9" s="18"/>
      <c r="G9" s="29"/>
      <c r="H9" s="19"/>
      <c r="I9" s="19"/>
      <c r="J9" s="18"/>
      <c r="K9" s="19"/>
    </row>
    <row r="10" spans="1:12" ht="15" x14ac:dyDescent="0.25">
      <c r="A10" s="28"/>
      <c r="B10" s="31" t="s">
        <v>4</v>
      </c>
      <c r="C10" s="33" t="s">
        <v>59</v>
      </c>
      <c r="D10" s="33"/>
      <c r="E10" s="34"/>
      <c r="F10" s="18"/>
      <c r="G10" s="29"/>
      <c r="H10" s="18"/>
      <c r="I10" s="18"/>
      <c r="J10" s="18"/>
      <c r="K10" s="19"/>
    </row>
    <row r="11" spans="1:12" ht="15" x14ac:dyDescent="0.25">
      <c r="A11" s="28"/>
      <c r="B11" s="31" t="s">
        <v>5</v>
      </c>
      <c r="C11" s="33"/>
      <c r="D11" s="110"/>
      <c r="E11" s="110"/>
      <c r="F11" s="19"/>
      <c r="G11" s="33"/>
      <c r="H11" s="33"/>
      <c r="I11" s="33"/>
      <c r="J11" s="33"/>
      <c r="K11" s="35"/>
    </row>
    <row r="12" spans="1:12" ht="15" x14ac:dyDescent="0.25">
      <c r="A12" s="28"/>
      <c r="B12" s="31"/>
      <c r="C12" s="33"/>
      <c r="D12" s="33"/>
      <c r="E12" s="34"/>
      <c r="F12" s="18"/>
      <c r="G12" s="19"/>
      <c r="H12" s="19"/>
      <c r="I12" s="19"/>
      <c r="J12" s="33"/>
      <c r="K12" s="35"/>
    </row>
    <row r="13" spans="1:12" ht="15" x14ac:dyDescent="0.25">
      <c r="A13" s="28"/>
      <c r="B13" s="31" t="s">
        <v>62</v>
      </c>
      <c r="C13" s="33"/>
      <c r="D13" s="33"/>
      <c r="E13" s="36"/>
      <c r="F13" s="18"/>
      <c r="G13" s="19"/>
      <c r="H13" s="19"/>
      <c r="I13" s="19"/>
      <c r="J13" s="33"/>
      <c r="K13" s="35"/>
    </row>
    <row r="14" spans="1:12" ht="15" x14ac:dyDescent="0.25">
      <c r="A14" s="28"/>
      <c r="B14" s="33"/>
      <c r="C14" s="33"/>
      <c r="D14" s="33"/>
      <c r="E14" s="33"/>
      <c r="F14" s="18"/>
      <c r="G14" s="19"/>
      <c r="H14" s="19"/>
      <c r="I14" s="19"/>
      <c r="J14" s="37" t="s">
        <v>8</v>
      </c>
      <c r="K14" s="35"/>
    </row>
    <row r="15" spans="1:12" ht="15" x14ac:dyDescent="0.25">
      <c r="A15" s="28"/>
      <c r="B15" s="105" t="s">
        <v>9</v>
      </c>
      <c r="C15" s="105"/>
      <c r="D15" s="38"/>
      <c r="E15" s="39"/>
      <c r="F15" s="18"/>
      <c r="G15" s="40" t="s">
        <v>3</v>
      </c>
      <c r="H15" s="41"/>
      <c r="I15" s="42"/>
      <c r="J15" s="33"/>
      <c r="K15" s="35"/>
    </row>
    <row r="16" spans="1:12" ht="15" x14ac:dyDescent="0.25">
      <c r="A16" s="28"/>
      <c r="B16" s="105" t="s">
        <v>11</v>
      </c>
      <c r="C16" s="105"/>
      <c r="D16" s="43"/>
      <c r="E16" s="39"/>
      <c r="F16" s="18"/>
      <c r="G16" s="44" t="s">
        <v>6</v>
      </c>
      <c r="H16" s="45"/>
      <c r="I16" s="46"/>
      <c r="J16" s="33"/>
      <c r="K16" s="35"/>
    </row>
    <row r="17" spans="1:11" ht="15" x14ac:dyDescent="0.25">
      <c r="A17" s="28"/>
      <c r="B17" s="105" t="s">
        <v>13</v>
      </c>
      <c r="C17" s="105"/>
      <c r="D17" s="43"/>
      <c r="E17" s="47"/>
      <c r="F17" s="18"/>
      <c r="G17" s="44" t="s">
        <v>7</v>
      </c>
      <c r="H17" s="59"/>
      <c r="I17" s="48" t="str">
        <f>IF(H17&gt;1,J14,"")</f>
        <v/>
      </c>
      <c r="J17" s="33"/>
      <c r="K17" s="35"/>
    </row>
    <row r="18" spans="1:11" ht="15" x14ac:dyDescent="0.25">
      <c r="A18" s="28"/>
      <c r="B18" s="105" t="s">
        <v>14</v>
      </c>
      <c r="C18" s="105"/>
      <c r="D18" s="49"/>
      <c r="E18" s="43"/>
      <c r="F18" s="18"/>
      <c r="G18" s="50" t="s">
        <v>10</v>
      </c>
      <c r="H18" s="51"/>
      <c r="I18" s="52"/>
      <c r="J18" s="33"/>
      <c r="K18" s="35"/>
    </row>
    <row r="19" spans="1:11" ht="15.75" thickBot="1" x14ac:dyDescent="0.3">
      <c r="A19" s="28"/>
      <c r="B19" s="111" t="s">
        <v>15</v>
      </c>
      <c r="C19" s="111"/>
      <c r="D19" s="53"/>
      <c r="E19" s="54"/>
      <c r="F19" s="55"/>
      <c r="G19" s="56"/>
      <c r="H19" s="57"/>
      <c r="I19" s="58" t="s">
        <v>12</v>
      </c>
      <c r="J19" s="33"/>
      <c r="K19" s="35"/>
    </row>
    <row r="20" spans="1:11" ht="15" x14ac:dyDescent="0.25">
      <c r="A20" s="28"/>
      <c r="B20" s="31" t="s">
        <v>16</v>
      </c>
      <c r="C20" s="33"/>
      <c r="D20" s="33"/>
      <c r="E20" s="97" t="s">
        <v>17</v>
      </c>
      <c r="F20" s="98"/>
      <c r="G20" s="97" t="s">
        <v>18</v>
      </c>
      <c r="H20" s="99"/>
      <c r="I20" s="33"/>
      <c r="J20" s="100"/>
      <c r="K20" s="101"/>
    </row>
    <row r="21" spans="1:11" ht="15" x14ac:dyDescent="0.25">
      <c r="A21" s="28"/>
      <c r="B21" s="31"/>
      <c r="C21" s="33"/>
      <c r="D21" s="33"/>
      <c r="E21" s="34"/>
      <c r="F21" s="33"/>
      <c r="G21" s="33"/>
      <c r="H21" s="12"/>
      <c r="I21" s="12"/>
      <c r="J21" s="60"/>
      <c r="K21" s="61"/>
    </row>
    <row r="22" spans="1:11" ht="18.75" customHeight="1" x14ac:dyDescent="0.25">
      <c r="A22" s="4"/>
      <c r="B22" s="11"/>
      <c r="C22" s="12"/>
      <c r="D22" s="12"/>
      <c r="E22" s="13"/>
      <c r="F22" s="15"/>
      <c r="G22" s="15"/>
      <c r="H22" s="15"/>
      <c r="I22" s="15"/>
      <c r="J22" s="60"/>
      <c r="K22" s="61"/>
    </row>
    <row r="23" spans="1:11" ht="15.75" thickBot="1" x14ac:dyDescent="0.3">
      <c r="A23" s="4"/>
      <c r="B23" s="62" t="s">
        <v>19</v>
      </c>
      <c r="C23" s="90"/>
      <c r="D23" s="12" t="s">
        <v>6</v>
      </c>
      <c r="E23" s="12"/>
      <c r="F23" s="68"/>
      <c r="G23" s="68" t="s">
        <v>20</v>
      </c>
      <c r="H23" s="68"/>
      <c r="I23" s="68"/>
      <c r="J23" s="60"/>
      <c r="K23" s="61"/>
    </row>
    <row r="24" spans="1:11" ht="15.75" thickTop="1" x14ac:dyDescent="0.25">
      <c r="A24" s="4"/>
      <c r="B24" s="62" t="s">
        <v>21</v>
      </c>
      <c r="C24" s="63"/>
      <c r="D24" s="12"/>
      <c r="E24" s="13"/>
      <c r="F24" s="14" t="s">
        <v>22</v>
      </c>
      <c r="G24" s="70" t="s">
        <v>23</v>
      </c>
      <c r="H24" s="112">
        <f>C24</f>
        <v>0</v>
      </c>
      <c r="I24" s="12"/>
      <c r="J24" s="60"/>
      <c r="K24" s="61"/>
    </row>
    <row r="25" spans="1:11" ht="15" x14ac:dyDescent="0.25">
      <c r="A25" s="4"/>
      <c r="B25" s="62" t="s">
        <v>24</v>
      </c>
      <c r="C25" s="90"/>
      <c r="D25" s="12"/>
      <c r="E25" s="12"/>
      <c r="F25" s="14" t="s">
        <v>22</v>
      </c>
      <c r="G25" s="16" t="s">
        <v>24</v>
      </c>
      <c r="H25" s="113">
        <f>C25</f>
        <v>0</v>
      </c>
      <c r="I25" s="12"/>
      <c r="J25" s="60"/>
      <c r="K25" s="61"/>
    </row>
    <row r="26" spans="1:11" ht="15" x14ac:dyDescent="0.25">
      <c r="A26" s="4"/>
      <c r="B26" s="62" t="s">
        <v>25</v>
      </c>
      <c r="C26" s="63"/>
      <c r="D26" s="12"/>
      <c r="E26" s="12"/>
      <c r="F26" s="14" t="s">
        <v>22</v>
      </c>
      <c r="G26" s="16" t="s">
        <v>25</v>
      </c>
      <c r="H26" s="113">
        <f>C26</f>
        <v>0</v>
      </c>
      <c r="I26" s="12"/>
      <c r="J26" s="60"/>
      <c r="K26" s="61"/>
    </row>
    <row r="27" spans="1:11" ht="15" x14ac:dyDescent="0.25">
      <c r="A27" s="4"/>
      <c r="B27" s="12"/>
      <c r="C27" s="12"/>
      <c r="D27" s="12"/>
      <c r="E27" s="13"/>
      <c r="F27" s="12"/>
      <c r="G27" s="12"/>
      <c r="H27" s="117">
        <f>SUM(H24:H26)</f>
        <v>0</v>
      </c>
      <c r="I27" s="12"/>
      <c r="J27" s="60"/>
      <c r="K27" s="61"/>
    </row>
    <row r="28" spans="1:11" ht="15" x14ac:dyDescent="0.25">
      <c r="A28" s="4"/>
      <c r="B28" s="65" t="s">
        <v>26</v>
      </c>
      <c r="C28" s="66"/>
      <c r="D28" s="12"/>
      <c r="E28" s="13"/>
      <c r="F28" s="12"/>
      <c r="G28" s="12"/>
      <c r="H28" s="67"/>
      <c r="I28" s="12"/>
      <c r="J28" s="60"/>
      <c r="K28" s="61"/>
    </row>
    <row r="29" spans="1:11" ht="15" x14ac:dyDescent="0.25">
      <c r="A29" s="4"/>
      <c r="B29" s="65" t="s">
        <v>27</v>
      </c>
      <c r="C29" s="64"/>
      <c r="D29" s="12" t="s">
        <v>28</v>
      </c>
      <c r="E29" s="13"/>
      <c r="F29" s="14" t="s">
        <v>29</v>
      </c>
      <c r="G29" s="16" t="s">
        <v>24</v>
      </c>
      <c r="H29" s="113">
        <f>H25</f>
        <v>0</v>
      </c>
      <c r="I29" s="12"/>
      <c r="J29" s="60"/>
      <c r="K29" s="61"/>
    </row>
    <row r="30" spans="1:11" ht="15" x14ac:dyDescent="0.25">
      <c r="A30" s="4"/>
      <c r="B30" s="17" t="s">
        <v>30</v>
      </c>
      <c r="C30" s="64"/>
      <c r="D30" s="12"/>
      <c r="E30" s="13"/>
      <c r="F30" s="14" t="s">
        <v>29</v>
      </c>
      <c r="G30" s="16" t="s">
        <v>25</v>
      </c>
      <c r="H30" s="113">
        <f>H26</f>
        <v>0</v>
      </c>
      <c r="I30" s="12"/>
      <c r="J30" s="60"/>
      <c r="K30" s="61"/>
    </row>
    <row r="31" spans="1:11" ht="15" x14ac:dyDescent="0.25">
      <c r="A31" s="4"/>
      <c r="B31" s="17" t="s">
        <v>31</v>
      </c>
      <c r="C31" s="64"/>
      <c r="D31" s="12"/>
      <c r="E31" s="13"/>
      <c r="F31" s="14" t="s">
        <v>29</v>
      </c>
      <c r="G31" s="16" t="s">
        <v>32</v>
      </c>
      <c r="H31" s="113">
        <f>H24*0.0925</f>
        <v>0</v>
      </c>
      <c r="I31" s="12"/>
      <c r="J31" s="60"/>
      <c r="K31" s="61"/>
    </row>
    <row r="32" spans="1:11" ht="15" x14ac:dyDescent="0.25">
      <c r="A32" s="4"/>
      <c r="B32" s="12"/>
      <c r="C32" s="12"/>
      <c r="D32" s="12"/>
      <c r="E32" s="13"/>
      <c r="F32" s="14" t="s">
        <v>29</v>
      </c>
      <c r="G32" s="16" t="s">
        <v>33</v>
      </c>
      <c r="H32" s="63"/>
      <c r="I32" s="12"/>
      <c r="J32" s="3"/>
    </row>
    <row r="33" spans="1:10" ht="15" x14ac:dyDescent="0.25">
      <c r="A33" s="4"/>
      <c r="B33" s="106" t="s">
        <v>34</v>
      </c>
      <c r="C33" s="106"/>
      <c r="D33" s="12"/>
      <c r="E33" s="13"/>
      <c r="F33" s="14" t="s">
        <v>29</v>
      </c>
      <c r="G33" s="16" t="s">
        <v>35</v>
      </c>
      <c r="H33" s="63"/>
      <c r="I33" s="12"/>
      <c r="J33" s="3"/>
    </row>
    <row r="34" spans="1:10" ht="15" x14ac:dyDescent="0.25">
      <c r="A34" s="4"/>
      <c r="B34" s="84" t="s">
        <v>60</v>
      </c>
      <c r="C34" s="116">
        <f>C23</f>
        <v>0</v>
      </c>
      <c r="D34" s="12"/>
      <c r="E34" s="13"/>
      <c r="F34" s="14" t="s">
        <v>29</v>
      </c>
      <c r="G34" s="16" t="s">
        <v>36</v>
      </c>
      <c r="H34" s="63"/>
      <c r="I34" s="12"/>
      <c r="J34" s="3"/>
    </row>
    <row r="35" spans="1:10" ht="15" x14ac:dyDescent="0.25">
      <c r="A35" s="4"/>
      <c r="B35" s="84" t="s">
        <v>37</v>
      </c>
      <c r="C35" s="85"/>
      <c r="D35" s="12"/>
      <c r="E35" s="13"/>
      <c r="F35" s="14" t="s">
        <v>29</v>
      </c>
      <c r="G35" s="16" t="s">
        <v>38</v>
      </c>
      <c r="H35" s="89">
        <v>0</v>
      </c>
      <c r="I35" s="12"/>
      <c r="J35" s="3"/>
    </row>
    <row r="36" spans="1:10" ht="15.75" thickBot="1" x14ac:dyDescent="0.3">
      <c r="A36" s="4"/>
      <c r="B36" s="86" t="s">
        <v>39</v>
      </c>
      <c r="C36" s="85"/>
      <c r="D36" s="12"/>
      <c r="E36" s="13"/>
      <c r="F36" s="68"/>
      <c r="G36" s="68"/>
      <c r="H36" s="118">
        <f>SUM(H29:H35)</f>
        <v>0</v>
      </c>
      <c r="I36" s="68"/>
      <c r="J36" s="3"/>
    </row>
    <row r="37" spans="1:10" ht="15.75" thickTop="1" x14ac:dyDescent="0.25">
      <c r="A37" s="4"/>
      <c r="B37" s="88" t="s">
        <v>40</v>
      </c>
      <c r="C37" s="87">
        <f>SUM(C34:C36)</f>
        <v>0</v>
      </c>
      <c r="D37" s="69"/>
      <c r="E37" s="13"/>
      <c r="F37" s="12"/>
      <c r="G37" s="70" t="s">
        <v>41</v>
      </c>
      <c r="H37" s="112">
        <f>H27-H36</f>
        <v>0</v>
      </c>
      <c r="I37" s="114" t="e">
        <f>H37/H24</f>
        <v>#DIV/0!</v>
      </c>
      <c r="J37" s="3"/>
    </row>
    <row r="38" spans="1:10" ht="15" x14ac:dyDescent="0.25">
      <c r="A38" s="4"/>
      <c r="B38" s="5"/>
      <c r="C38" s="3"/>
      <c r="D38" s="12"/>
      <c r="E38" s="13"/>
      <c r="F38" s="14" t="s">
        <v>29</v>
      </c>
      <c r="G38" s="16" t="s">
        <v>42</v>
      </c>
      <c r="H38" s="64"/>
      <c r="I38" s="16"/>
      <c r="J38" s="3"/>
    </row>
    <row r="39" spans="1:10" ht="15" x14ac:dyDescent="0.25">
      <c r="A39" s="4"/>
      <c r="B39" s="5"/>
      <c r="C39" s="3"/>
      <c r="D39" s="12"/>
      <c r="E39" s="13"/>
      <c r="F39" s="12"/>
      <c r="G39" s="16" t="s">
        <v>43</v>
      </c>
      <c r="H39" s="113">
        <f>H37-H38</f>
        <v>0</v>
      </c>
      <c r="I39" s="115" t="e">
        <f>H39/H24</f>
        <v>#DIV/0!</v>
      </c>
      <c r="J39" s="3"/>
    </row>
    <row r="40" spans="1:10" ht="15" x14ac:dyDescent="0.25">
      <c r="A40" s="4"/>
      <c r="B40" s="5"/>
      <c r="C40" s="3"/>
      <c r="D40" s="12"/>
      <c r="E40" s="13"/>
      <c r="F40" s="12"/>
      <c r="G40" s="12"/>
      <c r="H40" s="12"/>
      <c r="I40" s="12"/>
      <c r="J40" s="3"/>
    </row>
    <row r="41" spans="1:10" ht="15" x14ac:dyDescent="0.25">
      <c r="A41" s="4"/>
      <c r="B41" s="5"/>
      <c r="C41" s="3"/>
      <c r="D41" s="12"/>
      <c r="E41" s="13"/>
      <c r="F41" s="12"/>
      <c r="G41" s="12"/>
      <c r="H41" s="12"/>
      <c r="I41" s="12"/>
      <c r="J41" s="3"/>
    </row>
    <row r="42" spans="1:10" ht="15.75" customHeight="1" x14ac:dyDescent="0.25">
      <c r="A42" s="71"/>
      <c r="B42" s="107" t="s">
        <v>44</v>
      </c>
      <c r="C42" s="108"/>
      <c r="D42" s="108"/>
      <c r="E42" s="109" t="s">
        <v>45</v>
      </c>
      <c r="F42" s="108"/>
      <c r="G42" s="108"/>
      <c r="H42" s="91" t="s">
        <v>46</v>
      </c>
      <c r="I42" s="92" t="s">
        <v>47</v>
      </c>
      <c r="J42" s="12"/>
    </row>
    <row r="43" spans="1:10" ht="15" x14ac:dyDescent="0.25">
      <c r="A43" s="71"/>
      <c r="B43" s="72"/>
      <c r="C43" s="73"/>
      <c r="D43" s="73"/>
      <c r="E43" s="74"/>
      <c r="F43" s="73"/>
      <c r="G43" s="73"/>
      <c r="H43" s="73"/>
      <c r="I43" s="75"/>
      <c r="J43" s="12"/>
    </row>
    <row r="44" spans="1:10" ht="15" x14ac:dyDescent="0.25">
      <c r="A44" s="71"/>
      <c r="B44" s="76" t="s">
        <v>48</v>
      </c>
      <c r="C44" s="12"/>
      <c r="D44" s="77"/>
      <c r="E44" s="78" t="s">
        <v>49</v>
      </c>
      <c r="F44" s="12"/>
      <c r="G44" s="120">
        <f>C28</f>
        <v>0</v>
      </c>
      <c r="H44" s="120">
        <f>G44-D44</f>
        <v>0</v>
      </c>
      <c r="I44" s="121" t="e">
        <f>H44/D44</f>
        <v>#DIV/0!</v>
      </c>
      <c r="J44" s="12"/>
    </row>
    <row r="45" spans="1:10" ht="15" x14ac:dyDescent="0.25">
      <c r="A45" s="71"/>
      <c r="B45" s="76" t="s">
        <v>50</v>
      </c>
      <c r="C45" s="12"/>
      <c r="D45" s="77"/>
      <c r="E45" s="78" t="s">
        <v>51</v>
      </c>
      <c r="F45" s="12"/>
      <c r="G45" s="120">
        <f>H27</f>
        <v>0</v>
      </c>
      <c r="H45" s="120">
        <f>G45-D45</f>
        <v>0</v>
      </c>
      <c r="I45" s="121" t="e">
        <f>H45/D45</f>
        <v>#DIV/0!</v>
      </c>
      <c r="J45" s="12"/>
    </row>
    <row r="46" spans="1:10" ht="15" x14ac:dyDescent="0.25">
      <c r="A46" s="71"/>
      <c r="B46" s="76" t="s">
        <v>52</v>
      </c>
      <c r="C46" s="12"/>
      <c r="D46" s="77"/>
      <c r="E46" s="78" t="s">
        <v>52</v>
      </c>
      <c r="F46" s="12"/>
      <c r="G46" s="120" t="e">
        <f>(G45/H19)*26</f>
        <v>#DIV/0!</v>
      </c>
      <c r="H46" s="120" t="e">
        <f>G46-D46</f>
        <v>#DIV/0!</v>
      </c>
      <c r="I46" s="121" t="e">
        <f>H46/D46</f>
        <v>#DIV/0!</v>
      </c>
      <c r="J46" s="12"/>
    </row>
    <row r="47" spans="1:10" ht="15" x14ac:dyDescent="0.25">
      <c r="A47" s="71"/>
      <c r="B47" s="79"/>
      <c r="C47" s="12"/>
      <c r="D47" s="12"/>
      <c r="E47" s="12"/>
      <c r="F47" s="12"/>
      <c r="G47" s="12"/>
      <c r="H47" s="15"/>
      <c r="I47" s="119"/>
      <c r="J47" s="12"/>
    </row>
    <row r="48" spans="1:10" ht="15" x14ac:dyDescent="0.25">
      <c r="A48" s="71"/>
      <c r="B48" s="80"/>
      <c r="C48" s="81"/>
      <c r="D48" s="81"/>
      <c r="E48" s="82"/>
      <c r="F48" s="81"/>
      <c r="G48" s="81"/>
      <c r="H48" s="81"/>
      <c r="I48" s="83"/>
      <c r="J48" s="12"/>
    </row>
    <row r="49" spans="1:10" ht="15" x14ac:dyDescent="0.25">
      <c r="A49" s="71"/>
      <c r="B49" s="11"/>
      <c r="C49" s="12"/>
      <c r="D49" s="12"/>
      <c r="E49" s="13"/>
      <c r="F49" s="12"/>
      <c r="G49" s="12"/>
      <c r="H49" s="12"/>
      <c r="I49" s="12"/>
      <c r="J49" s="12"/>
    </row>
    <row r="50" spans="1:10" ht="15" x14ac:dyDescent="0.25">
      <c r="A50" s="4"/>
      <c r="B50" s="5"/>
      <c r="C50" s="3"/>
      <c r="D50" s="3"/>
      <c r="E50" s="6"/>
      <c r="F50" s="3"/>
      <c r="G50" s="7"/>
      <c r="H50" s="7"/>
      <c r="I50" s="7"/>
      <c r="J50" s="7"/>
    </row>
    <row r="51" spans="1:10" ht="15" x14ac:dyDescent="0.25">
      <c r="A51" s="4"/>
      <c r="B51" s="93" t="s">
        <v>53</v>
      </c>
      <c r="C51" s="94"/>
      <c r="D51" s="95" t="s">
        <v>54</v>
      </c>
      <c r="E51" s="96" t="s">
        <v>55</v>
      </c>
      <c r="F51" s="3"/>
      <c r="G51" s="7"/>
      <c r="H51" s="7" t="s">
        <v>56</v>
      </c>
      <c r="I51" s="8">
        <f>D45</f>
        <v>0</v>
      </c>
      <c r="J51" s="7"/>
    </row>
    <row r="52" spans="1:10" ht="15" x14ac:dyDescent="0.25">
      <c r="A52" s="4"/>
      <c r="B52" s="5"/>
      <c r="C52" s="3"/>
      <c r="D52" s="9"/>
      <c r="E52" s="10"/>
      <c r="F52" s="3"/>
      <c r="G52" s="7"/>
      <c r="H52" s="7" t="s">
        <v>57</v>
      </c>
      <c r="I52" s="8">
        <f>G45</f>
        <v>0</v>
      </c>
      <c r="J52" s="7"/>
    </row>
    <row r="53" spans="1:10" ht="15" x14ac:dyDescent="0.25">
      <c r="A53" s="4"/>
      <c r="B53" s="5"/>
      <c r="C53" s="3"/>
      <c r="D53" s="3"/>
      <c r="E53" s="6"/>
      <c r="F53" s="3"/>
      <c r="G53" s="7"/>
      <c r="H53" s="7"/>
      <c r="I53" s="7"/>
      <c r="J53" s="7"/>
    </row>
    <row r="54" spans="1:10" ht="15" x14ac:dyDescent="0.25">
      <c r="A54" s="4"/>
      <c r="B54" s="5"/>
      <c r="C54" s="3"/>
      <c r="D54" s="3"/>
      <c r="E54" s="6"/>
      <c r="F54" s="3"/>
      <c r="G54" s="7"/>
      <c r="H54" s="7"/>
      <c r="I54" s="7"/>
      <c r="J54" s="7"/>
    </row>
    <row r="55" spans="1:10" ht="15.75" x14ac:dyDescent="0.25">
      <c r="G55" s="2"/>
      <c r="H55" s="2"/>
      <c r="I55" s="2"/>
    </row>
  </sheetData>
  <sheetProtection selectLockedCells="1" selectUnlockedCells="1"/>
  <mergeCells count="11">
    <mergeCell ref="B33:C33"/>
    <mergeCell ref="B42:D42"/>
    <mergeCell ref="E42:G42"/>
    <mergeCell ref="D11:E11"/>
    <mergeCell ref="B18:C18"/>
    <mergeCell ref="B19:C19"/>
    <mergeCell ref="D1:J4"/>
    <mergeCell ref="A1:C4"/>
    <mergeCell ref="B15:C15"/>
    <mergeCell ref="B16:C16"/>
    <mergeCell ref="B17:C17"/>
  </mergeCells>
  <pageMargins left="0.11811023622047245" right="0.31496062992125984" top="0.59055118110236227" bottom="0.59055118110236227" header="0.31496062992125984" footer="0.11811023622047245"/>
  <pageSetup paperSize="9" scale="86" orientation="portrait" r:id="rId1"/>
  <headerFooter>
    <oddFooter>&amp;A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12E9-0EB7-486A-A865-B986A6877C64}">
  <dimension ref="A1"/>
  <sheetViews>
    <sheetView topLeftCell="C4" workbookViewId="0">
      <selection activeCell="V18" sqref="V1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Simulador de Frete </vt:lpstr>
      <vt:lpstr>Tabela Alíquota</vt:lpstr>
      <vt:lpstr>'Simulador de Frete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2020-03-22T14:51:38Z</dcterms:created>
  <dcterms:modified xsi:type="dcterms:W3CDTF">2020-03-23T15:31:18Z</dcterms:modified>
</cp:coreProperties>
</file>