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/>
  <bookViews>
    <workbookView xWindow="480" yWindow="-75" windowWidth="10395" windowHeight="7935"/>
  </bookViews>
  <sheets>
    <sheet name="Orçamento familiar mensal" sheetId="1" r:id="rId1"/>
  </sheets>
  <definedNames>
    <definedName name="_xlnm.Print_Area" localSheetId="0">'Orçamento familiar mensal'!$A$1:$H$63</definedName>
  </definedNames>
  <calcPr calcId="145621"/>
  <webPublishing codePage="1252"/>
</workbook>
</file>

<file path=xl/calcChain.xml><?xml version="1.0" encoding="utf-8"?>
<calcChain xmlns="http://schemas.openxmlformats.org/spreadsheetml/2006/main">
  <c r="I65" i="1" l="1"/>
  <c r="I66" i="1"/>
  <c r="I67" i="1"/>
  <c r="I57" i="1"/>
  <c r="I58" i="1"/>
  <c r="I59" i="1"/>
  <c r="I60" i="1"/>
  <c r="I61" i="1"/>
  <c r="I47" i="1"/>
  <c r="I48" i="1"/>
  <c r="I49" i="1"/>
  <c r="I50" i="1"/>
  <c r="I51" i="1"/>
  <c r="I52" i="1"/>
  <c r="I53" i="1"/>
  <c r="I40" i="1"/>
  <c r="I41" i="1"/>
  <c r="I42" i="1"/>
  <c r="I43" i="1"/>
  <c r="I30" i="1"/>
  <c r="I31" i="1"/>
  <c r="I32" i="1"/>
  <c r="I33" i="1"/>
  <c r="I34" i="1"/>
  <c r="I35" i="1"/>
  <c r="I36" i="1"/>
  <c r="I21" i="1"/>
  <c r="I22" i="1"/>
  <c r="I23" i="1"/>
  <c r="I24" i="1"/>
  <c r="I25" i="1"/>
  <c r="I26" i="1"/>
  <c r="D64" i="1"/>
  <c r="D65" i="1"/>
  <c r="D66" i="1"/>
  <c r="D67" i="1"/>
  <c r="D57" i="1"/>
  <c r="D58" i="1"/>
  <c r="D59" i="1"/>
  <c r="D60" i="1"/>
  <c r="D46" i="1"/>
  <c r="D45" i="1"/>
  <c r="D47" i="1"/>
  <c r="D48" i="1"/>
  <c r="D49" i="1"/>
  <c r="D50" i="1"/>
  <c r="D51" i="1"/>
  <c r="D52" i="1"/>
  <c r="D53" i="1"/>
  <c r="D39" i="1"/>
  <c r="D40" i="1"/>
  <c r="D41" i="1"/>
  <c r="D32" i="1"/>
  <c r="D33" i="1"/>
  <c r="D34" i="1"/>
  <c r="D35" i="1"/>
  <c r="D21" i="1"/>
  <c r="D22" i="1"/>
  <c r="D23" i="1"/>
  <c r="D24" i="1"/>
  <c r="D25" i="1"/>
  <c r="D26" i="1"/>
  <c r="D27" i="1"/>
  <c r="D28" i="1"/>
  <c r="D7" i="1"/>
  <c r="D8" i="1"/>
  <c r="D9" i="1"/>
  <c r="D10" i="1"/>
  <c r="D11" i="1"/>
  <c r="D12" i="1"/>
  <c r="D13" i="1"/>
  <c r="D14" i="1"/>
  <c r="D15" i="1"/>
  <c r="D16" i="1"/>
  <c r="D17" i="1"/>
  <c r="H54" i="1"/>
  <c r="G54" i="1"/>
  <c r="C61" i="1"/>
  <c r="B61" i="1"/>
  <c r="H68" i="1"/>
  <c r="G68" i="1"/>
  <c r="C68" i="1"/>
  <c r="B68" i="1"/>
  <c r="H44" i="1"/>
  <c r="G44" i="1"/>
  <c r="H27" i="1"/>
  <c r="G27" i="1"/>
  <c r="H37" i="1"/>
  <c r="G37" i="1"/>
  <c r="H62" i="1"/>
  <c r="G62" i="1"/>
  <c r="C54" i="1"/>
  <c r="B54" i="1"/>
  <c r="C42" i="1"/>
  <c r="B42" i="1"/>
  <c r="C36" i="1"/>
  <c r="B36" i="1"/>
  <c r="C29" i="1"/>
  <c r="B29" i="1"/>
  <c r="B18" i="1"/>
  <c r="C18" i="1"/>
  <c r="G13" i="1"/>
  <c r="G7" i="1"/>
  <c r="B4" i="1" l="1"/>
  <c r="C4" i="1"/>
  <c r="G16" i="1" s="1"/>
  <c r="D68" i="1"/>
  <c r="I44" i="1"/>
  <c r="I62" i="1"/>
  <c r="D42" i="1"/>
  <c r="I68" i="1"/>
  <c r="D61" i="1"/>
  <c r="I54" i="1"/>
  <c r="G15" i="1"/>
  <c r="I27" i="1"/>
  <c r="I37" i="1"/>
  <c r="D54" i="1"/>
  <c r="D36" i="1"/>
  <c r="D29" i="1"/>
  <c r="D18" i="1"/>
  <c r="D4" i="1" l="1"/>
  <c r="G17" i="1"/>
</calcChain>
</file>

<file path=xl/sharedStrings.xml><?xml version="1.0" encoding="utf-8"?>
<sst xmlns="http://schemas.openxmlformats.org/spreadsheetml/2006/main" count="157" uniqueCount="86">
  <si>
    <t>Custo projetado</t>
  </si>
  <si>
    <t>Custo real</t>
  </si>
  <si>
    <t>Diferença</t>
  </si>
  <si>
    <t>Renda 1</t>
  </si>
  <si>
    <t>Renda 2</t>
  </si>
  <si>
    <t>Renda mensal real</t>
  </si>
  <si>
    <t>Renda mensal projetada</t>
  </si>
  <si>
    <t>Segunda hipoteca ou aluguel</t>
  </si>
  <si>
    <t>Hipoteca ou aluguel</t>
  </si>
  <si>
    <t>Telefone</t>
  </si>
  <si>
    <t>Gasolina</t>
  </si>
  <si>
    <t>Água e esgoto</t>
  </si>
  <si>
    <t>Cabo</t>
  </si>
  <si>
    <t>Remoção de lixo</t>
  </si>
  <si>
    <t>Manutenção ou consertos</t>
  </si>
  <si>
    <t>Suprimentos</t>
  </si>
  <si>
    <t>Outros</t>
  </si>
  <si>
    <t>Transporte</t>
  </si>
  <si>
    <t>Seguro</t>
  </si>
  <si>
    <t>Licenciamento</t>
  </si>
  <si>
    <t>Combustível</t>
  </si>
  <si>
    <t>Manutenção</t>
  </si>
  <si>
    <t>Moradia</t>
  </si>
  <si>
    <t>Lar</t>
  </si>
  <si>
    <t>Saúde</t>
  </si>
  <si>
    <t>Vida</t>
  </si>
  <si>
    <t>Mercearia</t>
  </si>
  <si>
    <t>Comida</t>
  </si>
  <si>
    <t>Animais domésticos</t>
  </si>
  <si>
    <t>Brinquedos</t>
  </si>
  <si>
    <t>Médico</t>
  </si>
  <si>
    <t>Aparência</t>
  </si>
  <si>
    <t>Vestuário</t>
  </si>
  <si>
    <t>Cabelo/unhas</t>
  </si>
  <si>
    <t>Academia</t>
  </si>
  <si>
    <t>Jantar fora</t>
  </si>
  <si>
    <t>Entretenimento</t>
  </si>
  <si>
    <t>Vídeo/DVD</t>
  </si>
  <si>
    <t>CDs</t>
  </si>
  <si>
    <t>Filmes</t>
  </si>
  <si>
    <t>Shows</t>
  </si>
  <si>
    <t>Teatro</t>
  </si>
  <si>
    <t>Lavagem a seco</t>
  </si>
  <si>
    <t>Empréstimos</t>
  </si>
  <si>
    <t>Pessoal</t>
  </si>
  <si>
    <t>Impostos</t>
  </si>
  <si>
    <t>Federal</t>
  </si>
  <si>
    <t>Estado</t>
  </si>
  <si>
    <t>Local</t>
  </si>
  <si>
    <t>Caridade 1</t>
  </si>
  <si>
    <t>Caridade 2</t>
  </si>
  <si>
    <t>Legal</t>
  </si>
  <si>
    <t>Crianças</t>
  </si>
  <si>
    <t>Materiais escolares</t>
  </si>
  <si>
    <t>Impostos ou taxas da organização</t>
  </si>
  <si>
    <t>Dinheiro do almoço</t>
  </si>
  <si>
    <t>Custo de instrução</t>
  </si>
  <si>
    <t>Cuidado com as crianças</t>
  </si>
  <si>
    <t>Advogado</t>
  </si>
  <si>
    <t>Pensão</t>
  </si>
  <si>
    <t>Brinquedos/jogos</t>
  </si>
  <si>
    <t>Universidade</t>
  </si>
  <si>
    <t>Aluno</t>
  </si>
  <si>
    <t>Eventos esportivos</t>
  </si>
  <si>
    <t>Cartão de crédito</t>
  </si>
  <si>
    <t>Fundo de pensão</t>
  </si>
  <si>
    <t>Conta de investimento</t>
  </si>
  <si>
    <t>Presentes e doações</t>
  </si>
  <si>
    <t>Receita extra</t>
  </si>
  <si>
    <t>Receita mensal total</t>
  </si>
  <si>
    <t>Cuidados pessoais</t>
  </si>
  <si>
    <t>Caridade 3</t>
  </si>
  <si>
    <t>Custo total projetado</t>
  </si>
  <si>
    <t>Custo real projetado</t>
  </si>
  <si>
    <t>Diferença total</t>
  </si>
  <si>
    <t>Tarifa de ônibus/táxi</t>
  </si>
  <si>
    <t>Eletricidade</t>
  </si>
  <si>
    <t>Pagamento de veículo 1</t>
  </si>
  <si>
    <t>Pagamento de veículo 2</t>
  </si>
  <si>
    <t>Total</t>
  </si>
  <si>
    <t xml:space="preserve">Saldo projetado
</t>
  </si>
  <si>
    <t>Saldo real</t>
  </si>
  <si>
    <t>Poupança/Investimentos</t>
  </si>
  <si>
    <t>Pagamentos</t>
  </si>
  <si>
    <t>Impostos/taxas da organização</t>
  </si>
  <si>
    <t>Orçamento Familiar Mensal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</si>
</sst>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[$€-1]"/>
  </numFmts>
  <fonts count="14" x14ac:knownFonts="1">
    <font>
      <sz val="10"/>
      <name val="Trebuchet MS"/>
      <family val="2"/>
      <scheme val="minor"/>
    </font>
    <font>
      <sz val="8"/>
      <name val="Arial"/>
      <family val="2"/>
    </font>
    <font>
      <b/>
      <sz val="18"/>
      <color theme="3"/>
      <name val="Trebuchet MS"/>
      <family val="2"/>
      <scheme val="major"/>
    </font>
    <font>
      <sz val="10"/>
      <name val="Trebuchet MS"/>
      <family val="1"/>
      <scheme val="minor"/>
    </font>
    <font>
      <b/>
      <sz val="10"/>
      <name val="Trebuchet MS"/>
      <family val="1"/>
      <scheme val="minor"/>
    </font>
    <font>
      <b/>
      <i/>
      <sz val="10"/>
      <name val="Trebuchet MS"/>
      <family val="1"/>
      <scheme val="minor"/>
    </font>
    <font>
      <sz val="10"/>
      <color theme="1"/>
      <name val="Trebuchet MS"/>
      <family val="1"/>
      <scheme val="minor"/>
    </font>
    <font>
      <sz val="10"/>
      <name val="Trebuchet MS"/>
      <family val="2"/>
      <scheme val="minor"/>
    </font>
    <font>
      <sz val="8"/>
      <name val="Trebuchet MS"/>
      <family val="1"/>
      <scheme val="minor"/>
    </font>
    <font>
      <b/>
      <sz val="8"/>
      <name val="Trebuchet MS"/>
      <family val="2"/>
      <scheme val="minor"/>
    </font>
    <font>
      <sz val="8"/>
      <name val="Trebuchet MS"/>
      <family val="2"/>
      <scheme val="minor"/>
    </font>
    <font>
      <b/>
      <sz val="12"/>
      <name val="Trebuchet MS"/>
      <family val="2"/>
      <scheme val="major"/>
    </font>
    <font>
      <sz val="16"/>
      <name val="Trebuchet MS"/>
      <family val="2"/>
      <scheme val="major"/>
    </font>
    <font>
      <b/>
      <sz val="9"/>
      <color theme="0"/>
      <name val="Trebuchet MS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4"/>
        <bgColor theme="5"/>
      </patternFill>
    </fill>
    <fill>
      <patternFill patternType="solid">
        <fgColor theme="9" tint="0.79998168889431442"/>
        <bgColor indexed="65"/>
      </patternFill>
    </fill>
  </fills>
  <borders count="9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0"/>
      </bottom>
      <diagonal/>
    </border>
    <border>
      <left/>
      <right style="thin">
        <color theme="4"/>
      </right>
      <top style="thin">
        <color theme="4"/>
      </top>
      <bottom style="thin">
        <color theme="0"/>
      </bottom>
      <diagonal/>
    </border>
    <border>
      <left style="thin">
        <color theme="4"/>
      </left>
      <right/>
      <top style="thin">
        <color theme="0"/>
      </top>
      <bottom style="thin">
        <color theme="0"/>
      </bottom>
      <diagonal/>
    </border>
    <border>
      <left/>
      <right style="thin">
        <color theme="4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0"/>
      </top>
      <bottom style="thin">
        <color theme="4"/>
      </bottom>
      <diagonal/>
    </border>
    <border>
      <left/>
      <right style="thin">
        <color theme="4"/>
      </right>
      <top style="thin">
        <color theme="0"/>
      </top>
      <bottom style="thin">
        <color theme="4"/>
      </bottom>
      <diagonal/>
    </border>
    <border>
      <left/>
      <right/>
      <top style="thin">
        <color theme="4"/>
      </top>
      <bottom style="thin">
        <color theme="0"/>
      </bottom>
      <diagonal/>
    </border>
    <border>
      <left/>
      <right/>
      <top style="thin">
        <color theme="0"/>
      </top>
      <bottom style="thin">
        <color theme="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3">
    <xf numFmtId="0" fontId="0" fillId="0" borderId="0" xfId="0"/>
    <xf numFmtId="164" fontId="11" fillId="2" borderId="0" xfId="1" applyNumberFormat="1" applyFont="1" applyFill="1" applyBorder="1" applyAlignment="1">
      <alignment horizontal="left" wrapText="1"/>
    </xf>
    <xf numFmtId="164" fontId="0" fillId="0" borderId="0" xfId="0" applyNumberFormat="1"/>
    <xf numFmtId="164" fontId="0" fillId="0" borderId="0" xfId="0" applyNumberFormat="1" applyAlignment="1">
      <alignment vertical="center" wrapText="1"/>
    </xf>
    <xf numFmtId="164" fontId="13" fillId="3" borderId="7" xfId="0" applyNumberFormat="1" applyFont="1" applyFill="1" applyBorder="1" applyAlignment="1">
      <alignment horizontal="right" vertical="center" wrapText="1"/>
    </xf>
    <xf numFmtId="164" fontId="13" fillId="3" borderId="2" xfId="0" applyNumberFormat="1" applyFont="1" applyFill="1" applyBorder="1" applyAlignment="1">
      <alignment horizontal="right" vertical="center" wrapText="1"/>
    </xf>
    <xf numFmtId="164" fontId="10" fillId="0" borderId="0" xfId="0" applyNumberFormat="1" applyFont="1" applyFill="1" applyBorder="1" applyAlignment="1">
      <alignment vertical="center" wrapText="1"/>
    </xf>
    <xf numFmtId="164" fontId="9" fillId="4" borderId="5" xfId="0" applyNumberFormat="1" applyFont="1" applyFill="1" applyBorder="1" applyAlignment="1">
      <alignment vertical="center" wrapText="1"/>
    </xf>
    <xf numFmtId="164" fontId="9" fillId="4" borderId="8" xfId="0" applyNumberFormat="1" applyFont="1" applyFill="1" applyBorder="1" applyAlignment="1">
      <alignment vertical="center" wrapText="1"/>
    </xf>
    <xf numFmtId="164" fontId="9" fillId="4" borderId="3" xfId="0" applyNumberFormat="1" applyFont="1" applyFill="1" applyBorder="1" applyAlignment="1">
      <alignment horizontal="left" vertical="center" wrapText="1"/>
    </xf>
    <xf numFmtId="164" fontId="10" fillId="4" borderId="4" xfId="0" applyNumberFormat="1" applyFont="1" applyFill="1" applyBorder="1" applyAlignment="1">
      <alignment vertical="center" wrapText="1"/>
    </xf>
    <xf numFmtId="164" fontId="3" fillId="0" borderId="0" xfId="0" applyNumberFormat="1" applyFont="1" applyFill="1" applyBorder="1" applyAlignment="1">
      <alignment vertical="center" wrapText="1"/>
    </xf>
    <xf numFmtId="164" fontId="4" fillId="0" borderId="0" xfId="0" applyNumberFormat="1" applyFont="1" applyFill="1" applyBorder="1" applyAlignment="1">
      <alignment horizontal="left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164" fontId="9" fillId="4" borderId="5" xfId="0" applyNumberFormat="1" applyFont="1" applyFill="1" applyBorder="1" applyAlignment="1">
      <alignment horizontal="left" vertical="center" wrapText="1"/>
    </xf>
    <xf numFmtId="164" fontId="10" fillId="4" borderId="6" xfId="0" applyNumberFormat="1" applyFont="1" applyFill="1" applyBorder="1" applyAlignment="1">
      <alignment vertical="center" wrapText="1"/>
    </xf>
    <xf numFmtId="164" fontId="10" fillId="0" borderId="0" xfId="0" applyNumberFormat="1" applyFont="1" applyAlignment="1">
      <alignment horizontal="left" vertical="center" wrapText="1"/>
    </xf>
    <xf numFmtId="164" fontId="10" fillId="0" borderId="0" xfId="0" applyNumberFormat="1" applyFont="1" applyAlignment="1">
      <alignment vertical="center" wrapText="1"/>
    </xf>
    <xf numFmtId="164" fontId="8" fillId="0" borderId="0" xfId="0" applyNumberFormat="1" applyFont="1" applyFill="1" applyBorder="1" applyAlignment="1">
      <alignment vertical="center" wrapText="1"/>
    </xf>
    <xf numFmtId="164" fontId="13" fillId="3" borderId="1" xfId="0" applyNumberFormat="1" applyFont="1" applyFill="1" applyBorder="1" applyAlignment="1">
      <alignment horizontal="left" vertical="center" wrapText="1"/>
    </xf>
    <xf numFmtId="164" fontId="9" fillId="4" borderId="2" xfId="0" applyNumberFormat="1" applyFont="1" applyFill="1" applyBorder="1" applyAlignment="1">
      <alignment vertical="center" wrapText="1"/>
    </xf>
    <xf numFmtId="164" fontId="13" fillId="3" borderId="3" xfId="0" applyNumberFormat="1" applyFont="1" applyFill="1" applyBorder="1" applyAlignment="1">
      <alignment horizontal="left" vertical="center" wrapText="1"/>
    </xf>
    <xf numFmtId="164" fontId="9" fillId="4" borderId="4" xfId="0" applyNumberFormat="1" applyFont="1" applyFill="1" applyBorder="1" applyAlignment="1">
      <alignment vertical="center" wrapText="1"/>
    </xf>
    <xf numFmtId="164" fontId="13" fillId="3" borderId="5" xfId="0" applyNumberFormat="1" applyFont="1" applyFill="1" applyBorder="1" applyAlignment="1">
      <alignment horizontal="left" vertical="center" wrapText="1"/>
    </xf>
    <xf numFmtId="164" fontId="9" fillId="4" borderId="6" xfId="0" applyNumberFormat="1" applyFont="1" applyFill="1" applyBorder="1" applyAlignment="1">
      <alignment vertical="center" wrapText="1"/>
    </xf>
    <xf numFmtId="164" fontId="7" fillId="0" borderId="0" xfId="0" applyNumberFormat="1" applyFont="1" applyFill="1" applyAlignment="1">
      <alignment vertical="center" wrapText="1"/>
    </xf>
    <xf numFmtId="164" fontId="0" fillId="0" borderId="0" xfId="0" applyNumberFormat="1" applyAlignment="1">
      <alignment vertical="center"/>
    </xf>
    <xf numFmtId="164" fontId="3" fillId="0" borderId="0" xfId="0" applyNumberFormat="1" applyFont="1" applyFill="1" applyBorder="1" applyAlignment="1">
      <alignment horizontal="center" vertical="center" wrapText="1"/>
    </xf>
    <xf numFmtId="164" fontId="4" fillId="0" borderId="0" xfId="0" applyNumberFormat="1" applyFont="1" applyAlignment="1">
      <alignment vertical="center" wrapText="1"/>
    </xf>
    <xf numFmtId="164" fontId="4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vertical="center" wrapText="1"/>
    </xf>
    <xf numFmtId="164" fontId="7" fillId="0" borderId="0" xfId="0" applyNumberFormat="1" applyFont="1" applyAlignment="1">
      <alignment vertical="center" wrapText="1"/>
    </xf>
    <xf numFmtId="164" fontId="4" fillId="0" borderId="0" xfId="0" applyNumberFormat="1" applyFont="1" applyFill="1" applyBorder="1" applyAlignment="1">
      <alignment vertical="center" wrapText="1"/>
    </xf>
    <xf numFmtId="164" fontId="4" fillId="0" borderId="0" xfId="0" applyNumberFormat="1" applyFont="1" applyAlignment="1">
      <alignment horizontal="left" vertical="center" wrapText="1"/>
    </xf>
    <xf numFmtId="164" fontId="6" fillId="0" borderId="0" xfId="0" applyNumberFormat="1" applyFont="1" applyAlignment="1">
      <alignment vertical="center" wrapText="1"/>
    </xf>
    <xf numFmtId="164" fontId="12" fillId="2" borderId="0" xfId="1" applyNumberFormat="1" applyFont="1" applyFill="1" applyBorder="1" applyAlignment="1">
      <alignment horizontal="left"/>
    </xf>
    <xf numFmtId="164" fontId="13" fillId="3" borderId="1" xfId="0" applyNumberFormat="1" applyFont="1" applyFill="1" applyBorder="1" applyAlignment="1">
      <alignment horizontal="left" vertical="center" wrapText="1"/>
    </xf>
    <xf numFmtId="164" fontId="13" fillId="3" borderId="2" xfId="0" applyNumberFormat="1" applyFont="1" applyFill="1" applyBorder="1" applyAlignment="1">
      <alignment horizontal="left" vertical="center" wrapText="1"/>
    </xf>
    <xf numFmtId="164" fontId="5" fillId="0" borderId="0" xfId="0" applyNumberFormat="1" applyFont="1" applyFill="1" applyBorder="1" applyAlignment="1">
      <alignment vertical="center" wrapText="1"/>
    </xf>
    <xf numFmtId="164" fontId="13" fillId="3" borderId="1" xfId="0" applyNumberFormat="1" applyFont="1" applyFill="1" applyBorder="1" applyAlignment="1">
      <alignment horizontal="right" vertical="center" wrapText="1"/>
    </xf>
    <xf numFmtId="164" fontId="13" fillId="3" borderId="7" xfId="0" applyNumberFormat="1" applyFont="1" applyFill="1" applyBorder="1" applyAlignment="1">
      <alignment horizontal="right" vertical="center" wrapText="1"/>
    </xf>
    <xf numFmtId="164" fontId="0" fillId="0" borderId="0" xfId="0" applyNumberFormat="1" applyAlignment="1">
      <alignment vertical="center" wrapText="1"/>
    </xf>
    <xf numFmtId="164" fontId="7" fillId="0" borderId="0" xfId="0" applyNumberFormat="1" applyFont="1" applyFill="1" applyAlignment="1">
      <alignment vertical="center" wrapText="1"/>
    </xf>
  </cellXfs>
  <cellStyles count="2">
    <cellStyle name="Normal" xfId="0" builtinId="0" customBuiltin="1"/>
    <cellStyle name="Title" xfId="1" builtinId="15" customBuiltin="1"/>
  </cellStyles>
  <dxfs count="147"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horizontal="general"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horizontal="general"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wrapText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font>
        <u val="none"/>
        <vertAlign val="baseline"/>
        <sz val="10"/>
        <color auto="1"/>
        <name val="Trebuchet MS"/>
        <scheme val="minor"/>
      </font>
      <numFmt numFmtId="164" formatCode="#,##0.00\ [$€-1]"/>
      <alignment horizontal="general" vertical="center" textRotation="0" wrapText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auto="1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relativeIndent="0" justifyLastLine="0" shrinkToFit="0" readingOrder="0"/>
    </dxf>
    <dxf>
      <numFmt numFmtId="164" formatCode="#,##0.00\ [$€-1]"/>
      <alignment vertical="center" textRotation="0" relativeIndent="0" justifyLastLine="0" shrinkToFit="0" readingOrder="0"/>
    </dxf>
    <dxf>
      <numFmt numFmtId="164" formatCode="#,##0.00\ [$€-1]"/>
      <alignment horizontal="general" vertical="center" textRotation="0" wrapText="1" indent="0" justifyLastLine="0" shrinkToFit="0" readingOrder="0"/>
    </dxf>
    <dxf>
      <font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/>
        <u val="none"/>
        <vertAlign val="baseline"/>
        <sz val="10"/>
        <name val="Trebuchet MS"/>
        <scheme val="minor"/>
      </font>
      <numFmt numFmtId="164" formatCode="#,##0.00\ [$€-1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>
          <bgColor theme="4" tint="0.79998168889431442"/>
        </patternFill>
      </fill>
    </dxf>
    <dxf>
      <font>
        <sz val="9"/>
        <color theme="0"/>
      </font>
      <fill>
        <patternFill>
          <bgColor theme="4"/>
        </patternFill>
      </fill>
      <border diagonalUp="0" diagonalDown="0">
        <left style="thin">
          <color theme="4"/>
        </left>
        <right style="thin">
          <color theme="4"/>
        </right>
        <top style="double">
          <color theme="0"/>
        </top>
        <bottom style="thin">
          <color theme="4"/>
        </bottom>
        <vertical/>
        <horizontal/>
      </border>
    </dxf>
    <dxf>
      <font>
        <sz val="9"/>
        <color theme="0"/>
      </font>
      <fill>
        <patternFill>
          <bgColor theme="4"/>
        </patternFill>
      </fill>
      <border diagonalUp="0" diagonalDown="0">
        <bottom style="thin">
          <color theme="0"/>
        </bottom>
      </border>
    </dxf>
    <dxf>
      <font>
        <sz val="8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9" defaultPivotStyle="PivotStyleLight16">
    <tableStyle name="Table Style 1" pivot="0" count="4">
      <tableStyleElement type="wholeTable" dxfId="146"/>
      <tableStyleElement type="headerRow" dxfId="145"/>
      <tableStyleElement type="totalRow" dxfId="144"/>
      <tableStyleElement type="firstRowStripe" dxfId="14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Housing" displayName="Housing" ref="A6:D18" totalsRowCount="1" headerRowDxfId="142" dataDxfId="141" totalsRowDxfId="140">
  <autoFilter ref="A6:D17"/>
  <tableColumns count="4">
    <tableColumn id="1" name="Moradia" totalsRowLabel="Total" dataDxfId="139" totalsRowDxfId="138"/>
    <tableColumn id="2" name="Custo projetado" totalsRowFunction="sum" dataDxfId="137" totalsRowDxfId="136"/>
    <tableColumn id="3" name="Custo real" totalsRowFunction="sum" dataDxfId="135" totalsRowDxfId="134"/>
    <tableColumn id="4" name="Diferença" totalsRowFunction="sum" dataDxfId="133" totalsRowDxfId="132">
      <calculatedColumnFormula>Housing[Custo projetado]-Housing[Custo real]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2" name="Transportation" displayName="Transportation" ref="A20:D29" totalsRowCount="1" headerRowDxfId="131" dataDxfId="130" totalsRowDxfId="129">
  <autoFilter ref="A20:D28"/>
  <tableColumns count="4">
    <tableColumn id="1" name="Transporte" totalsRowLabel="Total" dataDxfId="128" totalsRowDxfId="127"/>
    <tableColumn id="2" name="Custo projetado" totalsRowFunction="sum" dataDxfId="126" totalsRowDxfId="125"/>
    <tableColumn id="3" name="Custo real" totalsRowFunction="sum" dataDxfId="124" totalsRowDxfId="123"/>
    <tableColumn id="4" name="Diferença" totalsRowFunction="sum" dataDxfId="122" totalsRowDxfId="121">
      <calculatedColumnFormula>Transportation[Custo projetado]-Transportation[Custo real]</calculatedColumnFormula>
    </tableColumn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3" name="Insurance" displayName="Insurance" ref="A31:D36" totalsRowCount="1" headerRowDxfId="120" dataDxfId="119" totalsRowDxfId="118">
  <autoFilter ref="A31:D35"/>
  <tableColumns count="4">
    <tableColumn id="1" name="Seguro" totalsRowLabel="Total" dataDxfId="117" totalsRowDxfId="116"/>
    <tableColumn id="2" name="Custo projetado" totalsRowFunction="sum" dataDxfId="115" totalsRowDxfId="114"/>
    <tableColumn id="3" name="Custo real" totalsRowFunction="sum" dataDxfId="113" totalsRowDxfId="112"/>
    <tableColumn id="4" name="Diferença" totalsRowFunction="sum" dataDxfId="111" totalsRowDxfId="110">
      <calculatedColumnFormula>Insurance[Custo projetado]-Insurance[Custo real]</calculatedColumnFormula>
    </tableColumn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id="4" name="Food" displayName="Food" ref="A38:D42" totalsRowCount="1" headerRowDxfId="109" dataDxfId="108" totalsRowDxfId="107">
  <autoFilter ref="A38:D41"/>
  <tableColumns count="4">
    <tableColumn id="1" name="Comida" totalsRowLabel="Total" dataDxfId="106" totalsRowDxfId="105"/>
    <tableColumn id="2" name="Custo projetado" totalsRowFunction="sum" dataDxfId="104" totalsRowDxfId="103"/>
    <tableColumn id="3" name="Custo real" totalsRowFunction="sum" dataDxfId="102" totalsRowDxfId="101"/>
    <tableColumn id="4" name="Diferença" totalsRowFunction="sum" dataDxfId="100" totalsRowDxfId="99">
      <calculatedColumnFormula>Food[Custo projetado]-Food[Custo real]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5" name="Children" displayName="Children" ref="A44:D54" totalsRowCount="1" headerRowDxfId="98" dataDxfId="97" totalsRowDxfId="96">
  <autoFilter ref="A44:D53"/>
  <tableColumns count="4">
    <tableColumn id="1" name="Crianças" totalsRowLabel="Total" dataDxfId="95" totalsRowDxfId="94"/>
    <tableColumn id="2" name="Custo projetado" totalsRowFunction="sum" dataDxfId="93" totalsRowDxfId="92"/>
    <tableColumn id="3" name="Custo real" totalsRowFunction="sum" dataDxfId="91" totalsRowDxfId="90"/>
    <tableColumn id="4" name="Diferença" totalsRowFunction="sum" dataDxfId="89" totalsRowDxfId="88">
      <calculatedColumnFormula>Children[Custo projetado]-Children[Custo real]</calculatedColumnFormula>
    </tableColumn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id="6" name="Pets" displayName="Pets" ref="F56:I62" totalsRowCount="1" headerRowDxfId="87" dataDxfId="86" totalsRowDxfId="85">
  <autoFilter ref="F56:I61"/>
  <tableColumns count="4">
    <tableColumn id="1" name="Animais domésticos" totalsRowLabel="Total" dataDxfId="84" totalsRowDxfId="83"/>
    <tableColumn id="2" name="Custo projetado" totalsRowFunction="sum" dataDxfId="82" totalsRowDxfId="81"/>
    <tableColumn id="3" name="Custo real" totalsRowFunction="sum" dataDxfId="80" totalsRowDxfId="79"/>
    <tableColumn id="4" name="Diferença" totalsRowFunction="sum" dataDxfId="78" totalsRowDxfId="77">
      <calculatedColumnFormula>Pets[Custo projetado]-Pets[Custo real]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id="7" name="PersonalCare" displayName="PersonalCare" ref="F46:I54" totalsRowCount="1" headerRowDxfId="76" dataDxfId="75" totalsRowDxfId="74">
  <autoFilter ref="F46:I53"/>
  <tableColumns count="4">
    <tableColumn id="1" name="Cuidados pessoais" totalsRowLabel="Total" dataDxfId="73" totalsRowDxfId="72"/>
    <tableColumn id="2" name="Custo projetado" totalsRowFunction="sum" dataDxfId="71" totalsRowDxfId="70"/>
    <tableColumn id="3" name="Custo real" totalsRowFunction="sum" dataDxfId="69" totalsRowDxfId="68"/>
    <tableColumn id="4" name="Diferença" totalsRowFunction="sum" dataDxfId="67" totalsRowDxfId="66">
      <calculatedColumnFormula>PersonalCare[Custo projetado]-PersonalCare[Custo real]</calculatedColumnFormula>
    </tableColumn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id="8" name="Entertainment" displayName="Entertainment" ref="F29:I37" totalsRowCount="1" headerRowDxfId="65" dataDxfId="64" totalsRowDxfId="63">
  <autoFilter ref="F29:I36"/>
  <tableColumns count="4">
    <tableColumn id="1" name="Entretenimento" totalsRowLabel="Total" dataDxfId="62" totalsRowDxfId="61"/>
    <tableColumn id="2" name="Custo projetado" totalsRowFunction="sum" dataDxfId="60" totalsRowDxfId="59"/>
    <tableColumn id="3" name="Custo real" totalsRowFunction="sum" dataDxfId="58" totalsRowDxfId="57"/>
    <tableColumn id="4" name="Diferença" totalsRowFunction="sum" dataDxfId="56" totalsRowDxfId="55">
      <calculatedColumnFormula>Entertainment[Custo projetado]-Entertainment[Custo real]</calculatedColumnFormula>
    </tableColumn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id="9" name="Loans" displayName="Loans" ref="F20:I27" totalsRowCount="1" headerRowDxfId="54" dataDxfId="53" totalsRowDxfId="52">
  <autoFilter ref="F20:I26"/>
  <tableColumns count="4">
    <tableColumn id="1" name="Empréstimos" totalsRowLabel="Total" dataDxfId="51" totalsRowDxfId="50"/>
    <tableColumn id="2" name="Custo projetado" totalsRowFunction="sum" dataDxfId="49" totalsRowDxfId="48"/>
    <tableColumn id="3" name="Custo real" totalsRowFunction="sum" dataDxfId="47" totalsRowDxfId="46"/>
    <tableColumn id="4" name="Diferença" totalsRowFunction="sum" dataDxfId="45" totalsRowDxfId="44">
      <calculatedColumnFormula>Loans[Custo projetado]-Loans[Custo real]</calculatedColumnFormula>
    </tableColumn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id="10" name="Taxes" displayName="Taxes" ref="F39:I44" totalsRowCount="1" headerRowDxfId="43" dataDxfId="42" totalsRowDxfId="41">
  <autoFilter ref="F39:I43"/>
  <tableColumns count="4">
    <tableColumn id="1" name="Impostos" totalsRowLabel="Total" dataDxfId="40" totalsRowDxfId="39"/>
    <tableColumn id="2" name="Custo projetado" totalsRowFunction="sum" dataDxfId="38" totalsRowDxfId="37"/>
    <tableColumn id="3" name="Custo real" totalsRowFunction="sum" dataDxfId="36" totalsRowDxfId="35"/>
    <tableColumn id="4" name="Diferença" totalsRowFunction="sum" dataDxfId="34" totalsRowDxfId="33">
      <calculatedColumnFormula>Taxes[Custo projetado]-Taxes[Custo real]</calculatedColumnFormula>
    </tableColumn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id="11" name="Savings" displayName="Savings" ref="A63:D68" totalsRowCount="1" headerRowDxfId="32" dataDxfId="31" totalsRowDxfId="30">
  <autoFilter ref="A63:D67"/>
  <tableColumns count="4">
    <tableColumn id="1" name="Poupança/Investimentos" totalsRowLabel="Total" dataDxfId="29" totalsRowDxfId="28"/>
    <tableColumn id="2" name="Custo projetado" totalsRowFunction="sum" dataDxfId="27" totalsRowDxfId="26"/>
    <tableColumn id="3" name="Custo real" totalsRowFunction="sum" dataDxfId="25" totalsRowDxfId="24"/>
    <tableColumn id="4" name="Diferença" totalsRowFunction="sum" dataDxfId="23" totalsRowDxfId="22">
      <calculatedColumnFormula>Savings[Custo projetado]-Savings[Custo real]</calculatedColumnFormula>
    </tableColumn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id="12" name="Gifts" displayName="Gifts" ref="F64:I68" totalsRowCount="1" headerRowDxfId="21" dataDxfId="20" totalsRowDxfId="19">
  <autoFilter ref="F64:I67"/>
  <tableColumns count="4">
    <tableColumn id="1" name="Presentes e doações" totalsRowLabel="Total" dataDxfId="18" totalsRowDxfId="17"/>
    <tableColumn id="2" name="Custo projetado" totalsRowFunction="sum" dataDxfId="16" totalsRowDxfId="15"/>
    <tableColumn id="3" name="Custo real" totalsRowFunction="sum" dataDxfId="14" totalsRowDxfId="13"/>
    <tableColumn id="4" name="Diferença" totalsRowFunction="sum" dataDxfId="12" totalsRowDxfId="11">
      <calculatedColumnFormula>Gifts[Custo projetado]-Gifts[Custo real]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id="13" name="Legal" displayName="Legal" ref="A56:D61" totalsRowCount="1" headerRowDxfId="10" dataDxfId="9" totalsRowDxfId="8">
  <autoFilter ref="A56:D60"/>
  <tableColumns count="4">
    <tableColumn id="1" name="Legal" totalsRowLabel="Total" dataDxfId="7" totalsRowDxfId="6"/>
    <tableColumn id="2" name="Custo projetado" totalsRowFunction="sum" dataDxfId="5" totalsRowDxfId="4"/>
    <tableColumn id="3" name="Custo real" totalsRowFunction="sum" dataDxfId="3" totalsRowDxfId="2"/>
    <tableColumn id="4" name="Diferença" totalsRowFunction="sum" dataDxfId="1" totalsRowDxfId="0">
      <calculatedColumnFormula>Legal[Custo projetado]-Legal[Custo real]</calculatedColumnFormula>
    </tableColumn>
  </tableColumns>
  <tableStyleInfo name="Table Style 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Origin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F7915"/>
      </a:hlink>
      <a:folHlink>
        <a:srgbClr val="996600"/>
      </a:folHlink>
    </a:clrScheme>
    <a:fontScheme name="Monthly Family Budget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68"/>
  <sheetViews>
    <sheetView showGridLines="0" tabSelected="1" workbookViewId="0">
      <selection sqref="A1:G1"/>
    </sheetView>
  </sheetViews>
  <sheetFormatPr defaultRowHeight="15" x14ac:dyDescent="0.3"/>
  <cols>
    <col min="1" max="1" width="16.5703125" style="2" customWidth="1"/>
    <col min="2" max="2" width="18" style="2" customWidth="1"/>
    <col min="3" max="4" width="14.7109375" style="2" customWidth="1"/>
    <col min="5" max="5" width="4" style="2" customWidth="1"/>
    <col min="6" max="6" width="19.85546875" style="2" customWidth="1"/>
    <col min="7" max="7" width="18.28515625" style="2" customWidth="1"/>
    <col min="8" max="9" width="14.7109375" style="2" customWidth="1"/>
    <col min="10" max="16384" width="9.140625" style="2"/>
  </cols>
  <sheetData>
    <row r="1" spans="1:9" ht="30" customHeight="1" x14ac:dyDescent="0.35">
      <c r="A1" s="35" t="s">
        <v>85</v>
      </c>
      <c r="B1" s="35"/>
      <c r="C1" s="35"/>
      <c r="D1" s="35"/>
      <c r="E1" s="35"/>
      <c r="F1" s="35"/>
      <c r="G1" s="35"/>
      <c r="H1" s="1"/>
      <c r="I1" s="1"/>
    </row>
    <row r="2" spans="1:9" ht="7.5" customHeight="1" x14ac:dyDescent="0.3">
      <c r="A2" s="3"/>
      <c r="B2" s="3"/>
      <c r="C2" s="3"/>
      <c r="D2" s="3"/>
      <c r="E2" s="3"/>
      <c r="F2" s="3"/>
      <c r="G2" s="3"/>
      <c r="H2" s="3"/>
      <c r="I2" s="3"/>
    </row>
    <row r="3" spans="1:9" ht="14.1" customHeight="1" x14ac:dyDescent="0.3">
      <c r="A3" s="39" t="s">
        <v>72</v>
      </c>
      <c r="B3" s="40"/>
      <c r="C3" s="4" t="s">
        <v>73</v>
      </c>
      <c r="D3" s="5" t="s">
        <v>74</v>
      </c>
      <c r="E3" s="6"/>
      <c r="F3" s="36" t="s">
        <v>6</v>
      </c>
      <c r="G3" s="37"/>
      <c r="H3" s="6"/>
      <c r="I3" s="6"/>
    </row>
    <row r="4" spans="1:9" ht="14.1" customHeight="1" x14ac:dyDescent="0.3">
      <c r="A4" s="7"/>
      <c r="B4" s="8">
        <f>Housing[[#Totals],[Custo projetado]]+Transportation[[#Totals],[Custo projetado]]+Insurance[[#Totals],[Custo projetado]]+Food[[#Totals],[Custo projetado]]+Children[[#Totals],[Custo projetado]]+Legal[[#Totals],[Custo projetado]]+Savings[[#Totals],[Custo projetado]]+Loans[[#Totals],[Custo projetado]]+Entertainment[[#Totals],[Custo projetado]]+Taxes[[#Totals],[Custo projetado]]+PersonalCare[[#Totals],[Custo projetado]]+Pets[[#Totals],[Custo projetado]]+Gifts[[#Totals],[Custo projetado]]</f>
        <v>1203</v>
      </c>
      <c r="C4" s="8">
        <f>Housing[[#Totals],[Custo real]]+Transportation[[#Totals],[Custo real]]+Insurance[[#Totals],[Custo real]]+Food[[#Totals],[Custo real]]+Children[[#Totals],[Custo real]]+Legal[[#Totals],[Custo real]]+Savings[[#Totals],[Custo real]]+Loans[[#Totals],[Custo real]]+Entertainment[[#Totals],[Custo real]]+Taxes[[#Totals],[Custo real]]+PersonalCare[[#Totals],[Custo real]]+Pets[[#Totals],[Custo real]]+Gifts[[#Totals],[Custo real]]</f>
        <v>1317</v>
      </c>
      <c r="D4" s="8">
        <f>Housing[[#Totals],[Diferença]]+Transportation[[#Totals],[Diferença]]+Insurance[[#Totals],[Diferença]]+Food[[#Totals],[Diferença]]+Children[[#Totals],[Diferença]]+Legal[[#Totals],[Diferença]]+Savings[[#Totals],[Diferença]]+Loans[[#Totals],[Diferença]]+Entertainment[[#Totals],[Diferença]]+Taxes[[#Totals],[Diferença]]+PersonalCare[[#Totals],[Diferença]]+Pets[[#Totals],[Diferença]]+Gifts[[#Totals],[Diferença]]</f>
        <v>-114</v>
      </c>
      <c r="E4" s="6"/>
      <c r="F4" s="9" t="s">
        <v>3</v>
      </c>
      <c r="G4" s="10">
        <v>4000</v>
      </c>
      <c r="H4" s="6"/>
      <c r="I4" s="6"/>
    </row>
    <row r="5" spans="1:9" ht="14.1" customHeight="1" x14ac:dyDescent="0.3">
      <c r="A5" s="11"/>
      <c r="B5" s="11"/>
      <c r="C5" s="11"/>
      <c r="D5" s="11"/>
      <c r="E5" s="11"/>
      <c r="F5" s="9" t="s">
        <v>4</v>
      </c>
      <c r="G5" s="10">
        <v>1200</v>
      </c>
      <c r="H5" s="11"/>
      <c r="I5" s="11"/>
    </row>
    <row r="6" spans="1:9" ht="14.1" customHeight="1" x14ac:dyDescent="0.3">
      <c r="A6" s="12" t="s">
        <v>22</v>
      </c>
      <c r="B6" s="13" t="s">
        <v>0</v>
      </c>
      <c r="C6" s="13" t="s">
        <v>1</v>
      </c>
      <c r="D6" s="13" t="s">
        <v>2</v>
      </c>
      <c r="E6" s="11"/>
      <c r="F6" s="9" t="s">
        <v>68</v>
      </c>
      <c r="G6" s="10">
        <v>300</v>
      </c>
      <c r="H6" s="11"/>
      <c r="I6" s="11"/>
    </row>
    <row r="7" spans="1:9" ht="14.1" customHeight="1" x14ac:dyDescent="0.3">
      <c r="A7" s="11" t="s">
        <v>8</v>
      </c>
      <c r="B7" s="11">
        <v>1000</v>
      </c>
      <c r="C7" s="11">
        <v>1000</v>
      </c>
      <c r="D7" s="11">
        <f>Housing[Custo projetado]-Housing[Custo real]</f>
        <v>0</v>
      </c>
      <c r="E7" s="11"/>
      <c r="F7" s="14" t="s">
        <v>69</v>
      </c>
      <c r="G7" s="15">
        <f>SUM(G4:G6)</f>
        <v>5500</v>
      </c>
      <c r="H7" s="11"/>
      <c r="I7" s="11"/>
    </row>
    <row r="8" spans="1:9" ht="14.1" customHeight="1" x14ac:dyDescent="0.3">
      <c r="A8" s="11" t="s">
        <v>7</v>
      </c>
      <c r="B8" s="11">
        <v>0</v>
      </c>
      <c r="C8" s="11">
        <v>0</v>
      </c>
      <c r="D8" s="11">
        <f>Housing[Custo projetado]-Housing[Custo real]</f>
        <v>0</v>
      </c>
      <c r="E8" s="11"/>
      <c r="F8" s="16"/>
      <c r="G8" s="17"/>
      <c r="H8" s="3"/>
      <c r="I8" s="3"/>
    </row>
    <row r="9" spans="1:9" ht="14.1" customHeight="1" x14ac:dyDescent="0.3">
      <c r="A9" s="11" t="s">
        <v>9</v>
      </c>
      <c r="B9" s="11">
        <v>62</v>
      </c>
      <c r="C9" s="11">
        <v>100</v>
      </c>
      <c r="D9" s="18">
        <f>Housing[Custo projetado]-Housing[Custo real]</f>
        <v>-38</v>
      </c>
      <c r="E9" s="11"/>
      <c r="F9" s="36" t="s">
        <v>5</v>
      </c>
      <c r="G9" s="37"/>
      <c r="H9" s="11"/>
      <c r="I9" s="11"/>
    </row>
    <row r="10" spans="1:9" ht="14.1" customHeight="1" x14ac:dyDescent="0.3">
      <c r="A10" s="11" t="s">
        <v>76</v>
      </c>
      <c r="B10" s="11">
        <v>44</v>
      </c>
      <c r="C10" s="11">
        <v>125</v>
      </c>
      <c r="D10" s="11">
        <f>Housing[Custo projetado]-Housing[Custo real]</f>
        <v>-81</v>
      </c>
      <c r="E10" s="11"/>
      <c r="F10" s="9" t="s">
        <v>3</v>
      </c>
      <c r="G10" s="10">
        <v>4000</v>
      </c>
      <c r="H10" s="11"/>
      <c r="I10" s="11"/>
    </row>
    <row r="11" spans="1:9" ht="14.1" customHeight="1" x14ac:dyDescent="0.3">
      <c r="A11" s="11" t="s">
        <v>10</v>
      </c>
      <c r="B11" s="11">
        <v>22</v>
      </c>
      <c r="C11" s="11">
        <v>35</v>
      </c>
      <c r="D11" s="11">
        <f>Housing[Custo projetado]-Housing[Custo real]</f>
        <v>-13</v>
      </c>
      <c r="E11" s="11"/>
      <c r="F11" s="9" t="s">
        <v>4</v>
      </c>
      <c r="G11" s="10">
        <v>1200</v>
      </c>
      <c r="H11" s="11"/>
      <c r="I11" s="11"/>
    </row>
    <row r="12" spans="1:9" ht="14.1" customHeight="1" x14ac:dyDescent="0.3">
      <c r="A12" s="11" t="s">
        <v>11</v>
      </c>
      <c r="B12" s="11">
        <v>8</v>
      </c>
      <c r="C12" s="11">
        <v>8</v>
      </c>
      <c r="D12" s="11">
        <f>Housing[Custo projetado]-Housing[Custo real]</f>
        <v>0</v>
      </c>
      <c r="E12" s="11"/>
      <c r="F12" s="9" t="s">
        <v>68</v>
      </c>
      <c r="G12" s="10">
        <v>300</v>
      </c>
      <c r="H12" s="11"/>
      <c r="I12" s="11"/>
    </row>
    <row r="13" spans="1:9" ht="14.1" customHeight="1" x14ac:dyDescent="0.3">
      <c r="A13" s="11" t="s">
        <v>12</v>
      </c>
      <c r="B13" s="11">
        <v>34</v>
      </c>
      <c r="C13" s="11">
        <v>39</v>
      </c>
      <c r="D13" s="11">
        <f>Housing[Custo projetado]-Housing[Custo real]</f>
        <v>-5</v>
      </c>
      <c r="E13" s="11"/>
      <c r="F13" s="14" t="s">
        <v>69</v>
      </c>
      <c r="G13" s="15">
        <f>SUM(G10:G12)</f>
        <v>5500</v>
      </c>
      <c r="H13" s="11"/>
      <c r="I13" s="11"/>
    </row>
    <row r="14" spans="1:9" ht="14.1" customHeight="1" x14ac:dyDescent="0.3">
      <c r="A14" s="11" t="s">
        <v>13</v>
      </c>
      <c r="B14" s="11">
        <v>10</v>
      </c>
      <c r="C14" s="11">
        <v>10</v>
      </c>
      <c r="D14" s="11">
        <f>Housing[Custo projetado]-Housing[Custo real]</f>
        <v>0</v>
      </c>
      <c r="E14" s="11"/>
      <c r="F14" s="6"/>
      <c r="G14" s="6"/>
      <c r="H14" s="11"/>
      <c r="I14" s="11"/>
    </row>
    <row r="15" spans="1:9" ht="14.1" customHeight="1" x14ac:dyDescent="0.3">
      <c r="A15" s="11" t="s">
        <v>14</v>
      </c>
      <c r="B15" s="11">
        <v>23</v>
      </c>
      <c r="C15" s="11">
        <v>0</v>
      </c>
      <c r="D15" s="11">
        <f>Housing[Custo projetado]-Housing[Custo real]</f>
        <v>23</v>
      </c>
      <c r="E15" s="11"/>
      <c r="F15" s="19" t="s">
        <v>80</v>
      </c>
      <c r="G15" s="20">
        <f>SUM(G7-B4)</f>
        <v>4297</v>
      </c>
      <c r="H15" s="11"/>
      <c r="I15" s="11"/>
    </row>
    <row r="16" spans="1:9" ht="14.1" customHeight="1" x14ac:dyDescent="0.3">
      <c r="A16" s="11" t="s">
        <v>15</v>
      </c>
      <c r="B16" s="11">
        <v>0</v>
      </c>
      <c r="C16" s="11">
        <v>0</v>
      </c>
      <c r="D16" s="11">
        <f>Housing[Custo projetado]-Housing[Custo real]</f>
        <v>0</v>
      </c>
      <c r="E16" s="11"/>
      <c r="F16" s="21" t="s">
        <v>81</v>
      </c>
      <c r="G16" s="22">
        <f>SUM(G13-C4)</f>
        <v>4183</v>
      </c>
      <c r="H16" s="11"/>
      <c r="I16" s="11"/>
    </row>
    <row r="17" spans="1:9" ht="14.1" customHeight="1" x14ac:dyDescent="0.3">
      <c r="A17" s="11" t="s">
        <v>16</v>
      </c>
      <c r="B17" s="11">
        <v>0</v>
      </c>
      <c r="C17" s="11">
        <v>0</v>
      </c>
      <c r="D17" s="11">
        <f>Housing[Custo projetado]-Housing[Custo real]</f>
        <v>0</v>
      </c>
      <c r="E17" s="11"/>
      <c r="F17" s="23" t="s">
        <v>2</v>
      </c>
      <c r="G17" s="24">
        <f>SUM(G16-G15)</f>
        <v>-114</v>
      </c>
      <c r="H17" s="11"/>
      <c r="I17" s="11"/>
    </row>
    <row r="18" spans="1:9" ht="14.1" customHeight="1" x14ac:dyDescent="0.3">
      <c r="A18" s="25" t="s">
        <v>79</v>
      </c>
      <c r="B18" s="25">
        <f>SUBTOTAL(109,Housing[Custo projetado])</f>
        <v>1203</v>
      </c>
      <c r="C18" s="25">
        <f>SUBTOTAL(109,Housing[Custo real])</f>
        <v>1317</v>
      </c>
      <c r="D18" s="25">
        <f>SUBTOTAL(109,Housing[Diferença])</f>
        <v>-114</v>
      </c>
      <c r="E18" s="11"/>
      <c r="F18" s="11"/>
      <c r="G18" s="11"/>
      <c r="H18" s="11"/>
      <c r="I18" s="11"/>
    </row>
    <row r="19" spans="1:9" ht="14.1" customHeight="1" x14ac:dyDescent="0.3">
      <c r="A19" s="38"/>
      <c r="B19" s="38"/>
      <c r="C19" s="38"/>
      <c r="D19" s="38"/>
      <c r="E19" s="11"/>
      <c r="F19" s="3"/>
      <c r="G19" s="3"/>
      <c r="H19" s="3"/>
      <c r="I19" s="3"/>
    </row>
    <row r="20" spans="1:9" ht="14.1" customHeight="1" x14ac:dyDescent="0.3">
      <c r="A20" s="26" t="s">
        <v>17</v>
      </c>
      <c r="B20" s="27" t="s">
        <v>0</v>
      </c>
      <c r="C20" s="27" t="s">
        <v>1</v>
      </c>
      <c r="D20" s="27" t="s">
        <v>2</v>
      </c>
      <c r="E20" s="11"/>
      <c r="F20" s="28" t="s">
        <v>43</v>
      </c>
      <c r="G20" s="29" t="s">
        <v>0</v>
      </c>
      <c r="H20" s="29" t="s">
        <v>1</v>
      </c>
      <c r="I20" s="29" t="s">
        <v>2</v>
      </c>
    </row>
    <row r="21" spans="1:9" ht="14.1" customHeight="1" x14ac:dyDescent="0.3">
      <c r="A21" s="11" t="s">
        <v>77</v>
      </c>
      <c r="B21" s="11"/>
      <c r="C21" s="11"/>
      <c r="D21" s="11">
        <f>Transportation[Custo projetado]-Transportation[Custo real]</f>
        <v>0</v>
      </c>
      <c r="E21" s="11"/>
      <c r="F21" s="30" t="s">
        <v>44</v>
      </c>
      <c r="G21" s="30"/>
      <c r="H21" s="30"/>
      <c r="I21" s="30">
        <f>Loans[Custo projetado]-Loans[Custo real]</f>
        <v>0</v>
      </c>
    </row>
    <row r="22" spans="1:9" ht="14.1" customHeight="1" x14ac:dyDescent="0.3">
      <c r="A22" s="11" t="s">
        <v>78</v>
      </c>
      <c r="B22" s="11"/>
      <c r="C22" s="11"/>
      <c r="D22" s="11">
        <f>Transportation[Custo projetado]-Transportation[Custo real]</f>
        <v>0</v>
      </c>
      <c r="E22" s="11"/>
      <c r="F22" s="30" t="s">
        <v>62</v>
      </c>
      <c r="G22" s="30"/>
      <c r="H22" s="30"/>
      <c r="I22" s="30">
        <f>Loans[Custo projetado]-Loans[Custo real]</f>
        <v>0</v>
      </c>
    </row>
    <row r="23" spans="1:9" ht="14.1" customHeight="1" x14ac:dyDescent="0.3">
      <c r="A23" s="11" t="s">
        <v>75</v>
      </c>
      <c r="B23" s="11"/>
      <c r="C23" s="11"/>
      <c r="D23" s="11">
        <f>Transportation[Custo projetado]-Transportation[Custo real]</f>
        <v>0</v>
      </c>
      <c r="E23" s="11"/>
      <c r="F23" s="30" t="s">
        <v>64</v>
      </c>
      <c r="G23" s="30"/>
      <c r="H23" s="30"/>
      <c r="I23" s="30">
        <f>Loans[Custo projetado]-Loans[Custo real]</f>
        <v>0</v>
      </c>
    </row>
    <row r="24" spans="1:9" ht="14.1" customHeight="1" x14ac:dyDescent="0.3">
      <c r="A24" s="11" t="s">
        <v>18</v>
      </c>
      <c r="B24" s="11"/>
      <c r="C24" s="11"/>
      <c r="D24" s="11">
        <f>Transportation[Custo projetado]-Transportation[Custo real]</f>
        <v>0</v>
      </c>
      <c r="E24" s="11"/>
      <c r="F24" s="30" t="s">
        <v>64</v>
      </c>
      <c r="G24" s="30"/>
      <c r="H24" s="30"/>
      <c r="I24" s="30">
        <f>Loans[Custo projetado]-Loans[Custo real]</f>
        <v>0</v>
      </c>
    </row>
    <row r="25" spans="1:9" ht="14.1" customHeight="1" x14ac:dyDescent="0.3">
      <c r="A25" s="11" t="s">
        <v>19</v>
      </c>
      <c r="B25" s="11"/>
      <c r="C25" s="11"/>
      <c r="D25" s="11">
        <f>Transportation[Custo projetado]-Transportation[Custo real]</f>
        <v>0</v>
      </c>
      <c r="E25" s="11"/>
      <c r="F25" s="30" t="s">
        <v>64</v>
      </c>
      <c r="G25" s="30"/>
      <c r="H25" s="30"/>
      <c r="I25" s="30">
        <f>Loans[Custo projetado]-Loans[Custo real]</f>
        <v>0</v>
      </c>
    </row>
    <row r="26" spans="1:9" ht="14.1" customHeight="1" x14ac:dyDescent="0.3">
      <c r="A26" s="11" t="s">
        <v>20</v>
      </c>
      <c r="B26" s="11"/>
      <c r="C26" s="11"/>
      <c r="D26" s="11">
        <f>Transportation[Custo projetado]-Transportation[Custo real]</f>
        <v>0</v>
      </c>
      <c r="E26" s="11"/>
      <c r="F26" s="30" t="s">
        <v>16</v>
      </c>
      <c r="G26" s="30"/>
      <c r="H26" s="30"/>
      <c r="I26" s="30">
        <f>Loans[Custo projetado]-Loans[Custo real]</f>
        <v>0</v>
      </c>
    </row>
    <row r="27" spans="1:9" ht="14.1" customHeight="1" x14ac:dyDescent="0.3">
      <c r="A27" s="11" t="s">
        <v>21</v>
      </c>
      <c r="B27" s="11"/>
      <c r="C27" s="11"/>
      <c r="D27" s="11">
        <f>Transportation[Custo projetado]-Transportation[Custo real]</f>
        <v>0</v>
      </c>
      <c r="E27" s="11"/>
      <c r="F27" s="31" t="s">
        <v>79</v>
      </c>
      <c r="G27" s="31">
        <f>SUBTOTAL(109,Loans[Custo projetado])</f>
        <v>0</v>
      </c>
      <c r="H27" s="31">
        <f>SUBTOTAL(109,Loans[Custo real])</f>
        <v>0</v>
      </c>
      <c r="I27" s="31">
        <f>SUBTOTAL(109,Loans[Diferença])</f>
        <v>0</v>
      </c>
    </row>
    <row r="28" spans="1:9" ht="14.1" customHeight="1" x14ac:dyDescent="0.3">
      <c r="A28" s="11" t="s">
        <v>16</v>
      </c>
      <c r="B28" s="11"/>
      <c r="C28" s="11"/>
      <c r="D28" s="11">
        <f>Transportation[Custo projetado]-Transportation[Custo real]</f>
        <v>0</v>
      </c>
      <c r="E28" s="11"/>
      <c r="F28" s="41"/>
      <c r="G28" s="41"/>
      <c r="H28" s="41"/>
      <c r="I28" s="41"/>
    </row>
    <row r="29" spans="1:9" ht="14.1" customHeight="1" x14ac:dyDescent="0.3">
      <c r="A29" s="25" t="s">
        <v>79</v>
      </c>
      <c r="B29" s="25">
        <f>SUBTOTAL(109,Transportation[Custo projetado])</f>
        <v>0</v>
      </c>
      <c r="C29" s="25">
        <f>SUBTOTAL(109,Transportation[Custo real])</f>
        <v>0</v>
      </c>
      <c r="D29" s="25">
        <f>SUBTOTAL(109,Transportation[Diferença])</f>
        <v>0</v>
      </c>
      <c r="E29" s="11"/>
      <c r="F29" s="11" t="s">
        <v>36</v>
      </c>
      <c r="G29" s="13" t="s">
        <v>0</v>
      </c>
      <c r="H29" s="13" t="s">
        <v>1</v>
      </c>
      <c r="I29" s="13" t="s">
        <v>2</v>
      </c>
    </row>
    <row r="30" spans="1:9" ht="14.1" customHeight="1" x14ac:dyDescent="0.3">
      <c r="A30" s="38"/>
      <c r="B30" s="38"/>
      <c r="C30" s="38"/>
      <c r="D30" s="38"/>
      <c r="E30" s="11"/>
      <c r="F30" s="11" t="s">
        <v>37</v>
      </c>
      <c r="G30" s="11"/>
      <c r="H30" s="11"/>
      <c r="I30" s="11">
        <f>Entertainment[Custo projetado]-Entertainment[Custo real]</f>
        <v>0</v>
      </c>
    </row>
    <row r="31" spans="1:9" ht="14.1" customHeight="1" x14ac:dyDescent="0.3">
      <c r="A31" s="12" t="s">
        <v>18</v>
      </c>
      <c r="B31" s="13" t="s">
        <v>0</v>
      </c>
      <c r="C31" s="13" t="s">
        <v>1</v>
      </c>
      <c r="D31" s="13" t="s">
        <v>2</v>
      </c>
      <c r="E31" s="11"/>
      <c r="F31" s="11" t="s">
        <v>38</v>
      </c>
      <c r="G31" s="11"/>
      <c r="H31" s="11"/>
      <c r="I31" s="11">
        <f>Entertainment[Custo projetado]-Entertainment[Custo real]</f>
        <v>0</v>
      </c>
    </row>
    <row r="32" spans="1:9" ht="14.1" customHeight="1" x14ac:dyDescent="0.3">
      <c r="A32" s="11" t="s">
        <v>23</v>
      </c>
      <c r="B32" s="11"/>
      <c r="C32" s="11"/>
      <c r="D32" s="11">
        <f>Insurance[Custo projetado]-Insurance[Custo real]</f>
        <v>0</v>
      </c>
      <c r="E32" s="11"/>
      <c r="F32" s="11" t="s">
        <v>39</v>
      </c>
      <c r="G32" s="11"/>
      <c r="H32" s="11"/>
      <c r="I32" s="11">
        <f>Entertainment[Custo projetado]-Entertainment[Custo real]</f>
        <v>0</v>
      </c>
    </row>
    <row r="33" spans="1:9" ht="14.1" customHeight="1" x14ac:dyDescent="0.3">
      <c r="A33" s="11" t="s">
        <v>24</v>
      </c>
      <c r="B33" s="11"/>
      <c r="C33" s="11"/>
      <c r="D33" s="11">
        <f>Insurance[Custo projetado]-Insurance[Custo real]</f>
        <v>0</v>
      </c>
      <c r="E33" s="11"/>
      <c r="F33" s="11" t="s">
        <v>40</v>
      </c>
      <c r="G33" s="11"/>
      <c r="H33" s="11"/>
      <c r="I33" s="11">
        <f>Entertainment[Custo projetado]-Entertainment[Custo real]</f>
        <v>0</v>
      </c>
    </row>
    <row r="34" spans="1:9" ht="14.1" customHeight="1" x14ac:dyDescent="0.3">
      <c r="A34" s="11" t="s">
        <v>25</v>
      </c>
      <c r="B34" s="11"/>
      <c r="C34" s="11"/>
      <c r="D34" s="11">
        <f>Insurance[Custo projetado]-Insurance[Custo real]</f>
        <v>0</v>
      </c>
      <c r="E34" s="11"/>
      <c r="F34" s="11" t="s">
        <v>63</v>
      </c>
      <c r="G34" s="11"/>
      <c r="H34" s="11"/>
      <c r="I34" s="11">
        <f>Entertainment[Custo projetado]-Entertainment[Custo real]</f>
        <v>0</v>
      </c>
    </row>
    <row r="35" spans="1:9" ht="14.1" customHeight="1" x14ac:dyDescent="0.3">
      <c r="A35" s="11" t="s">
        <v>16</v>
      </c>
      <c r="B35" s="11"/>
      <c r="C35" s="11"/>
      <c r="D35" s="11">
        <f>Insurance[Custo projetado]-Insurance[Custo real]</f>
        <v>0</v>
      </c>
      <c r="E35" s="11"/>
      <c r="F35" s="11" t="s">
        <v>41</v>
      </c>
      <c r="G35" s="11"/>
      <c r="H35" s="11"/>
      <c r="I35" s="11">
        <f>Entertainment[Custo projetado]-Entertainment[Custo real]</f>
        <v>0</v>
      </c>
    </row>
    <row r="36" spans="1:9" ht="14.1" customHeight="1" x14ac:dyDescent="0.3">
      <c r="A36" s="25" t="s">
        <v>79</v>
      </c>
      <c r="B36" s="25">
        <f>SUBTOTAL(109,Insurance[Custo projetado])</f>
        <v>0</v>
      </c>
      <c r="C36" s="25">
        <f>SUBTOTAL(109,Insurance[Custo real])</f>
        <v>0</v>
      </c>
      <c r="D36" s="25">
        <f>SUBTOTAL(109,Insurance[Diferença])</f>
        <v>0</v>
      </c>
      <c r="E36" s="11"/>
      <c r="F36" s="11" t="s">
        <v>16</v>
      </c>
      <c r="G36" s="11"/>
      <c r="H36" s="11"/>
      <c r="I36" s="11">
        <f>Entertainment[Custo projetado]-Entertainment[Custo real]</f>
        <v>0</v>
      </c>
    </row>
    <row r="37" spans="1:9" ht="14.1" customHeight="1" x14ac:dyDescent="0.3">
      <c r="A37" s="38"/>
      <c r="B37" s="38"/>
      <c r="C37" s="38"/>
      <c r="D37" s="38"/>
      <c r="E37" s="11"/>
      <c r="F37" s="25" t="s">
        <v>79</v>
      </c>
      <c r="G37" s="25">
        <f>SUBTOTAL(109,Entertainment[Custo projetado])</f>
        <v>0</v>
      </c>
      <c r="H37" s="25">
        <f>SUBTOTAL(109,Entertainment[Custo real])</f>
        <v>0</v>
      </c>
      <c r="I37" s="25">
        <f>SUBTOTAL(109,Entertainment[Diferença])</f>
        <v>0</v>
      </c>
    </row>
    <row r="38" spans="1:9" ht="14.1" customHeight="1" x14ac:dyDescent="0.3">
      <c r="A38" s="12" t="s">
        <v>27</v>
      </c>
      <c r="B38" s="13" t="s">
        <v>0</v>
      </c>
      <c r="C38" s="13" t="s">
        <v>1</v>
      </c>
      <c r="D38" s="13" t="s">
        <v>2</v>
      </c>
      <c r="E38" s="11"/>
      <c r="F38" s="38"/>
      <c r="G38" s="38"/>
      <c r="H38" s="38"/>
      <c r="I38" s="38"/>
    </row>
    <row r="39" spans="1:9" ht="14.1" customHeight="1" x14ac:dyDescent="0.3">
      <c r="A39" s="11" t="s">
        <v>26</v>
      </c>
      <c r="B39" s="11"/>
      <c r="C39" s="11"/>
      <c r="D39" s="11">
        <f>Food[Custo projetado]-Food[Custo real]</f>
        <v>0</v>
      </c>
      <c r="E39" s="11"/>
      <c r="F39" s="32" t="s">
        <v>45</v>
      </c>
      <c r="G39" s="13" t="s">
        <v>0</v>
      </c>
      <c r="H39" s="13" t="s">
        <v>1</v>
      </c>
      <c r="I39" s="13" t="s">
        <v>2</v>
      </c>
    </row>
    <row r="40" spans="1:9" ht="14.1" customHeight="1" x14ac:dyDescent="0.3">
      <c r="A40" s="11" t="s">
        <v>35</v>
      </c>
      <c r="B40" s="11"/>
      <c r="C40" s="11"/>
      <c r="D40" s="11">
        <f>Food[Custo projetado]-Food[Custo real]</f>
        <v>0</v>
      </c>
      <c r="E40" s="11"/>
      <c r="F40" s="11" t="s">
        <v>46</v>
      </c>
      <c r="G40" s="11"/>
      <c r="H40" s="11"/>
      <c r="I40" s="11">
        <f>Taxes[Custo projetado]-Taxes[Custo real]</f>
        <v>0</v>
      </c>
    </row>
    <row r="41" spans="1:9" ht="14.1" customHeight="1" x14ac:dyDescent="0.3">
      <c r="A41" s="11" t="s">
        <v>16</v>
      </c>
      <c r="B41" s="11"/>
      <c r="C41" s="11"/>
      <c r="D41" s="11">
        <f>Food[Custo projetado]-Food[Custo real]</f>
        <v>0</v>
      </c>
      <c r="E41" s="11"/>
      <c r="F41" s="11" t="s">
        <v>47</v>
      </c>
      <c r="G41" s="11"/>
      <c r="H41" s="11"/>
      <c r="I41" s="11">
        <f>Taxes[Custo projetado]-Taxes[Custo real]</f>
        <v>0</v>
      </c>
    </row>
    <row r="42" spans="1:9" ht="14.1" customHeight="1" x14ac:dyDescent="0.3">
      <c r="A42" s="25" t="s">
        <v>79</v>
      </c>
      <c r="B42" s="25">
        <f>SUBTOTAL(109,Food[Custo projetado])</f>
        <v>0</v>
      </c>
      <c r="C42" s="25">
        <f>SUBTOTAL(109,Food[Custo real])</f>
        <v>0</v>
      </c>
      <c r="D42" s="25">
        <f>SUBTOTAL(109,Food[Diferença])</f>
        <v>0</v>
      </c>
      <c r="E42" s="11"/>
      <c r="F42" s="11" t="s">
        <v>48</v>
      </c>
      <c r="G42" s="11"/>
      <c r="H42" s="11"/>
      <c r="I42" s="11">
        <f>Taxes[Custo projetado]-Taxes[Custo real]</f>
        <v>0</v>
      </c>
    </row>
    <row r="43" spans="1:9" ht="14.1" customHeight="1" x14ac:dyDescent="0.3">
      <c r="A43" s="38"/>
      <c r="B43" s="38"/>
      <c r="C43" s="38"/>
      <c r="D43" s="38"/>
      <c r="E43" s="11"/>
      <c r="F43" s="11" t="s">
        <v>16</v>
      </c>
      <c r="G43" s="11"/>
      <c r="H43" s="11"/>
      <c r="I43" s="11">
        <f>Taxes[Custo projetado]-Taxes[Custo real]</f>
        <v>0</v>
      </c>
    </row>
    <row r="44" spans="1:9" ht="14.1" customHeight="1" x14ac:dyDescent="0.3">
      <c r="A44" s="12" t="s">
        <v>52</v>
      </c>
      <c r="B44" s="13" t="s">
        <v>0</v>
      </c>
      <c r="C44" s="13" t="s">
        <v>1</v>
      </c>
      <c r="D44" s="13" t="s">
        <v>2</v>
      </c>
      <c r="E44" s="11"/>
      <c r="F44" s="25" t="s">
        <v>79</v>
      </c>
      <c r="G44" s="25">
        <f>SUBTOTAL(109,Taxes[Custo projetado])</f>
        <v>0</v>
      </c>
      <c r="H44" s="25">
        <f>SUBTOTAL(109,Taxes[Custo real])</f>
        <v>0</v>
      </c>
      <c r="I44" s="25">
        <f>SUBTOTAL(109,Taxes[Diferença])</f>
        <v>0</v>
      </c>
    </row>
    <row r="45" spans="1:9" ht="14.1" customHeight="1" x14ac:dyDescent="0.3">
      <c r="A45" s="11" t="s">
        <v>30</v>
      </c>
      <c r="B45" s="11"/>
      <c r="C45" s="11"/>
      <c r="D45" s="11">
        <f>Children[Custo projetado]-Children[Custo real]</f>
        <v>0</v>
      </c>
      <c r="E45" s="11"/>
      <c r="F45" s="42"/>
      <c r="G45" s="42"/>
      <c r="H45" s="42"/>
      <c r="I45" s="42"/>
    </row>
    <row r="46" spans="1:9" ht="14.1" customHeight="1" x14ac:dyDescent="0.3">
      <c r="A46" s="11" t="s">
        <v>32</v>
      </c>
      <c r="B46" s="11"/>
      <c r="C46" s="11"/>
      <c r="D46" s="11">
        <f>Children[Custo projetado]-Children[Custo real]</f>
        <v>0</v>
      </c>
      <c r="E46" s="11"/>
      <c r="F46" s="33" t="s">
        <v>70</v>
      </c>
      <c r="G46" s="29" t="s">
        <v>0</v>
      </c>
      <c r="H46" s="29" t="s">
        <v>1</v>
      </c>
      <c r="I46" s="29" t="s">
        <v>2</v>
      </c>
    </row>
    <row r="47" spans="1:9" ht="14.1" customHeight="1" x14ac:dyDescent="0.3">
      <c r="A47" s="11" t="s">
        <v>56</v>
      </c>
      <c r="B47" s="11"/>
      <c r="C47" s="11"/>
      <c r="D47" s="11">
        <f>Children[Custo projetado]-Children[Custo real]</f>
        <v>0</v>
      </c>
      <c r="E47" s="11"/>
      <c r="F47" s="30" t="s">
        <v>30</v>
      </c>
      <c r="G47" s="30"/>
      <c r="H47" s="30"/>
      <c r="I47" s="30">
        <f>PersonalCare[Custo projetado]-PersonalCare[Custo real]</f>
        <v>0</v>
      </c>
    </row>
    <row r="48" spans="1:9" ht="14.1" customHeight="1" x14ac:dyDescent="0.3">
      <c r="A48" s="11" t="s">
        <v>53</v>
      </c>
      <c r="B48" s="11"/>
      <c r="C48" s="11"/>
      <c r="D48" s="11">
        <f>Children[Custo projetado]-Children[Custo real]</f>
        <v>0</v>
      </c>
      <c r="E48" s="11"/>
      <c r="F48" s="30" t="s">
        <v>33</v>
      </c>
      <c r="G48" s="30"/>
      <c r="H48" s="30"/>
      <c r="I48" s="30">
        <f>PersonalCare[Custo projetado]-PersonalCare[Custo real]</f>
        <v>0</v>
      </c>
    </row>
    <row r="49" spans="1:9" ht="14.1" customHeight="1" x14ac:dyDescent="0.3">
      <c r="A49" s="11" t="s">
        <v>54</v>
      </c>
      <c r="B49" s="11"/>
      <c r="C49" s="11"/>
      <c r="D49" s="11">
        <f>Children[Custo projetado]-Children[Custo real]</f>
        <v>0</v>
      </c>
      <c r="E49" s="11"/>
      <c r="F49" s="30" t="s">
        <v>32</v>
      </c>
      <c r="G49" s="30"/>
      <c r="H49" s="30"/>
      <c r="I49" s="30">
        <f>PersonalCare[Custo projetado]-PersonalCare[Custo real]</f>
        <v>0</v>
      </c>
    </row>
    <row r="50" spans="1:9" ht="14.1" customHeight="1" x14ac:dyDescent="0.3">
      <c r="A50" s="11" t="s">
        <v>55</v>
      </c>
      <c r="B50" s="11"/>
      <c r="C50" s="11"/>
      <c r="D50" s="11">
        <f>Children[Custo projetado]-Children[Custo real]</f>
        <v>0</v>
      </c>
      <c r="E50" s="11"/>
      <c r="F50" s="30" t="s">
        <v>42</v>
      </c>
      <c r="G50" s="30"/>
      <c r="H50" s="30"/>
      <c r="I50" s="30">
        <f>PersonalCare[Custo projetado]-PersonalCare[Custo real]</f>
        <v>0</v>
      </c>
    </row>
    <row r="51" spans="1:9" ht="14.1" customHeight="1" x14ac:dyDescent="0.3">
      <c r="A51" s="11" t="s">
        <v>57</v>
      </c>
      <c r="B51" s="11"/>
      <c r="C51" s="11"/>
      <c r="D51" s="11">
        <f>Children[Custo projetado]-Children[Custo real]</f>
        <v>0</v>
      </c>
      <c r="E51" s="11"/>
      <c r="F51" s="30" t="s">
        <v>34</v>
      </c>
      <c r="G51" s="30"/>
      <c r="H51" s="30"/>
      <c r="I51" s="30">
        <f>PersonalCare[Custo projetado]-PersonalCare[Custo real]</f>
        <v>0</v>
      </c>
    </row>
    <row r="52" spans="1:9" ht="14.1" customHeight="1" x14ac:dyDescent="0.3">
      <c r="A52" s="11" t="s">
        <v>60</v>
      </c>
      <c r="B52" s="11"/>
      <c r="C52" s="11"/>
      <c r="D52" s="11">
        <f>Children[Custo projetado]-Children[Custo real]</f>
        <v>0</v>
      </c>
      <c r="E52" s="11"/>
      <c r="F52" s="30" t="s">
        <v>84</v>
      </c>
      <c r="G52" s="30"/>
      <c r="H52" s="30"/>
      <c r="I52" s="30">
        <f>PersonalCare[Custo projetado]-PersonalCare[Custo real]</f>
        <v>0</v>
      </c>
    </row>
    <row r="53" spans="1:9" ht="14.1" customHeight="1" x14ac:dyDescent="0.3">
      <c r="A53" s="11" t="s">
        <v>16</v>
      </c>
      <c r="B53" s="11"/>
      <c r="C53" s="11"/>
      <c r="D53" s="11">
        <f>Children[Custo projetado]-Children[Custo real]</f>
        <v>0</v>
      </c>
      <c r="E53" s="11"/>
      <c r="F53" s="30" t="s">
        <v>16</v>
      </c>
      <c r="G53" s="30"/>
      <c r="H53" s="30"/>
      <c r="I53" s="30">
        <f>PersonalCare[Custo projetado]-PersonalCare[Custo real]</f>
        <v>0</v>
      </c>
    </row>
    <row r="54" spans="1:9" ht="14.1" customHeight="1" x14ac:dyDescent="0.3">
      <c r="A54" s="25" t="s">
        <v>79</v>
      </c>
      <c r="B54" s="25">
        <f>SUBTOTAL(109,Children[Custo projetado])</f>
        <v>0</v>
      </c>
      <c r="C54" s="25">
        <f>SUBTOTAL(109,Children[Custo real])</f>
        <v>0</v>
      </c>
      <c r="D54" s="25">
        <f>SUBTOTAL(109,Children[Diferença])</f>
        <v>0</v>
      </c>
      <c r="E54" s="11"/>
      <c r="F54" s="31" t="s">
        <v>79</v>
      </c>
      <c r="G54" s="31">
        <f>SUBTOTAL(109,PersonalCare[Custo projetado])</f>
        <v>0</v>
      </c>
      <c r="H54" s="31">
        <f>SUBTOTAL(109,PersonalCare[Custo real])</f>
        <v>0</v>
      </c>
      <c r="I54" s="31">
        <f>SUBTOTAL(109,PersonalCare[Diferença])</f>
        <v>0</v>
      </c>
    </row>
    <row r="55" spans="1:9" ht="14.1" customHeight="1" x14ac:dyDescent="0.3">
      <c r="A55" s="38"/>
      <c r="B55" s="38"/>
      <c r="C55" s="38"/>
      <c r="D55" s="38"/>
      <c r="E55" s="11"/>
      <c r="F55" s="42"/>
      <c r="G55" s="42"/>
      <c r="H55" s="42"/>
      <c r="I55" s="42"/>
    </row>
    <row r="56" spans="1:9" ht="14.1" customHeight="1" x14ac:dyDescent="0.3">
      <c r="A56" s="28" t="s">
        <v>51</v>
      </c>
      <c r="B56" s="29" t="s">
        <v>0</v>
      </c>
      <c r="C56" s="29" t="s">
        <v>1</v>
      </c>
      <c r="D56" s="29" t="s">
        <v>2</v>
      </c>
      <c r="E56" s="11"/>
      <c r="F56" s="33" t="s">
        <v>28</v>
      </c>
      <c r="G56" s="29" t="s">
        <v>0</v>
      </c>
      <c r="H56" s="29" t="s">
        <v>1</v>
      </c>
      <c r="I56" s="29" t="s">
        <v>2</v>
      </c>
    </row>
    <row r="57" spans="1:9" ht="14.1" customHeight="1" x14ac:dyDescent="0.3">
      <c r="A57" s="30" t="s">
        <v>58</v>
      </c>
      <c r="B57" s="30"/>
      <c r="C57" s="30"/>
      <c r="D57" s="30">
        <f>Legal[Custo projetado]-Legal[Custo real]</f>
        <v>0</v>
      </c>
      <c r="E57" s="11"/>
      <c r="F57" s="30" t="s">
        <v>27</v>
      </c>
      <c r="G57" s="30"/>
      <c r="H57" s="30"/>
      <c r="I57" s="30">
        <f>Pets[Custo projetado]-Pets[Custo real]</f>
        <v>0</v>
      </c>
    </row>
    <row r="58" spans="1:9" ht="14.1" customHeight="1" x14ac:dyDescent="0.3">
      <c r="A58" s="30" t="s">
        <v>59</v>
      </c>
      <c r="B58" s="30"/>
      <c r="C58" s="30"/>
      <c r="D58" s="30">
        <f>Legal[Custo projetado]-Legal[Custo real]</f>
        <v>0</v>
      </c>
      <c r="E58" s="11"/>
      <c r="F58" s="30" t="s">
        <v>30</v>
      </c>
      <c r="G58" s="30"/>
      <c r="H58" s="30"/>
      <c r="I58" s="30">
        <f>Pets[Custo projetado]-Pets[Custo real]</f>
        <v>0</v>
      </c>
    </row>
    <row r="59" spans="1:9" ht="14.1" customHeight="1" x14ac:dyDescent="0.3">
      <c r="A59" s="34" t="s">
        <v>83</v>
      </c>
      <c r="B59" s="30"/>
      <c r="C59" s="30"/>
      <c r="D59" s="30">
        <f>Legal[Custo projetado]-Legal[Custo real]</f>
        <v>0</v>
      </c>
      <c r="E59" s="11"/>
      <c r="F59" s="30" t="s">
        <v>31</v>
      </c>
      <c r="G59" s="30"/>
      <c r="H59" s="30"/>
      <c r="I59" s="30">
        <f>Pets[Custo projetado]-Pets[Custo real]</f>
        <v>0</v>
      </c>
    </row>
    <row r="60" spans="1:9" ht="14.1" customHeight="1" x14ac:dyDescent="0.3">
      <c r="A60" s="30" t="s">
        <v>16</v>
      </c>
      <c r="B60" s="30"/>
      <c r="C60" s="30"/>
      <c r="D60" s="30">
        <f>Legal[Custo projetado]-Legal[Custo real]</f>
        <v>0</v>
      </c>
      <c r="E60" s="11"/>
      <c r="F60" s="30" t="s">
        <v>29</v>
      </c>
      <c r="G60" s="30"/>
      <c r="H60" s="30"/>
      <c r="I60" s="30">
        <f>Pets[Custo projetado]-Pets[Custo real]</f>
        <v>0</v>
      </c>
    </row>
    <row r="61" spans="1:9" ht="14.1" customHeight="1" x14ac:dyDescent="0.3">
      <c r="A61" s="31" t="s">
        <v>79</v>
      </c>
      <c r="B61" s="31">
        <f>SUBTOTAL(109,Legal[Custo projetado])</f>
        <v>0</v>
      </c>
      <c r="C61" s="31">
        <f>SUBTOTAL(109,Legal[Custo real])</f>
        <v>0</v>
      </c>
      <c r="D61" s="31">
        <f>SUBTOTAL(109,Legal[Diferença])</f>
        <v>0</v>
      </c>
      <c r="E61" s="11"/>
      <c r="F61" s="30" t="s">
        <v>16</v>
      </c>
      <c r="G61" s="30"/>
      <c r="H61" s="30"/>
      <c r="I61" s="30">
        <f>Pets[Custo projetado]-Pets[Custo real]</f>
        <v>0</v>
      </c>
    </row>
    <row r="62" spans="1:9" ht="14.1" customHeight="1" x14ac:dyDescent="0.3">
      <c r="A62" s="38"/>
      <c r="B62" s="38"/>
      <c r="C62" s="38"/>
      <c r="D62" s="38"/>
      <c r="E62" s="11"/>
      <c r="F62" s="31" t="s">
        <v>79</v>
      </c>
      <c r="G62" s="31">
        <f>SUBTOTAL(109,Pets[Custo projetado])</f>
        <v>0</v>
      </c>
      <c r="H62" s="31">
        <f>SUBTOTAL(109,Pets[Custo real])</f>
        <v>0</v>
      </c>
      <c r="I62" s="31">
        <f>SUBTOTAL(109,Pets[Diferença])</f>
        <v>0</v>
      </c>
    </row>
    <row r="63" spans="1:9" ht="14.1" customHeight="1" x14ac:dyDescent="0.3">
      <c r="A63" s="3" t="s">
        <v>82</v>
      </c>
      <c r="B63" s="29" t="s">
        <v>0</v>
      </c>
      <c r="C63" s="29" t="s">
        <v>1</v>
      </c>
      <c r="D63" s="29" t="s">
        <v>2</v>
      </c>
      <c r="E63" s="11"/>
      <c r="F63" s="38"/>
      <c r="G63" s="38"/>
      <c r="H63" s="38"/>
      <c r="I63" s="38"/>
    </row>
    <row r="64" spans="1:9" ht="14.1" customHeight="1" x14ac:dyDescent="0.3">
      <c r="A64" s="30" t="s">
        <v>65</v>
      </c>
      <c r="B64" s="30"/>
      <c r="C64" s="30"/>
      <c r="D64" s="30">
        <f>Savings[Custo projetado]-Savings[Custo real]</f>
        <v>0</v>
      </c>
      <c r="E64" s="11"/>
      <c r="F64" s="32" t="s">
        <v>67</v>
      </c>
      <c r="G64" s="13" t="s">
        <v>0</v>
      </c>
      <c r="H64" s="13" t="s">
        <v>1</v>
      </c>
      <c r="I64" s="13" t="s">
        <v>2</v>
      </c>
    </row>
    <row r="65" spans="1:9" ht="14.1" customHeight="1" x14ac:dyDescent="0.3">
      <c r="A65" s="30" t="s">
        <v>66</v>
      </c>
      <c r="B65" s="30"/>
      <c r="C65" s="30"/>
      <c r="D65" s="30">
        <f>Savings[Custo projetado]-Savings[Custo real]</f>
        <v>0</v>
      </c>
      <c r="E65" s="11"/>
      <c r="F65" s="11" t="s">
        <v>49</v>
      </c>
      <c r="G65" s="11"/>
      <c r="H65" s="11"/>
      <c r="I65" s="11">
        <f>Gifts[Custo projetado]-Gifts[Custo real]</f>
        <v>0</v>
      </c>
    </row>
    <row r="66" spans="1:9" ht="14.1" customHeight="1" x14ac:dyDescent="0.3">
      <c r="A66" s="30" t="s">
        <v>61</v>
      </c>
      <c r="B66" s="30"/>
      <c r="C66" s="30"/>
      <c r="D66" s="30">
        <f>Savings[Custo projetado]-Savings[Custo real]</f>
        <v>0</v>
      </c>
      <c r="E66" s="11"/>
      <c r="F66" s="11" t="s">
        <v>50</v>
      </c>
      <c r="G66" s="11"/>
      <c r="H66" s="11"/>
      <c r="I66" s="11">
        <f>Gifts[Custo projetado]-Gifts[Custo real]</f>
        <v>0</v>
      </c>
    </row>
    <row r="67" spans="1:9" ht="14.1" customHeight="1" x14ac:dyDescent="0.3">
      <c r="A67" s="30" t="s">
        <v>16</v>
      </c>
      <c r="B67" s="30"/>
      <c r="C67" s="30"/>
      <c r="D67" s="30">
        <f>Savings[Custo projetado]-Savings[Custo real]</f>
        <v>0</v>
      </c>
      <c r="E67" s="11"/>
      <c r="F67" s="11" t="s">
        <v>71</v>
      </c>
      <c r="G67" s="11"/>
      <c r="H67" s="11"/>
      <c r="I67" s="11">
        <f>Gifts[Custo projetado]-Gifts[Custo real]</f>
        <v>0</v>
      </c>
    </row>
    <row r="68" spans="1:9" ht="14.1" customHeight="1" x14ac:dyDescent="0.3">
      <c r="A68" s="31" t="s">
        <v>79</v>
      </c>
      <c r="B68" s="31">
        <f>SUBTOTAL(109,Savings[Custo projetado])</f>
        <v>0</v>
      </c>
      <c r="C68" s="31">
        <f>SUBTOTAL(109,Savings[Custo real])</f>
        <v>0</v>
      </c>
      <c r="D68" s="31">
        <f>SUBTOTAL(109,Savings[Diferença])</f>
        <v>0</v>
      </c>
      <c r="E68" s="11"/>
      <c r="F68" s="25" t="s">
        <v>79</v>
      </c>
      <c r="G68" s="25">
        <f>SUBTOTAL(109,Gifts[Custo projetado])</f>
        <v>0</v>
      </c>
      <c r="H68" s="25">
        <f>SUBTOTAL(109,Gifts[Custo real])</f>
        <v>0</v>
      </c>
      <c r="I68" s="25">
        <f>SUBTOTAL(109,Gifts[Diferença])</f>
        <v>0</v>
      </c>
    </row>
  </sheetData>
  <mergeCells count="15">
    <mergeCell ref="F63:I63"/>
    <mergeCell ref="A3:B3"/>
    <mergeCell ref="A37:D37"/>
    <mergeCell ref="A43:D43"/>
    <mergeCell ref="A55:D55"/>
    <mergeCell ref="A62:D62"/>
    <mergeCell ref="F28:I28"/>
    <mergeCell ref="F38:I38"/>
    <mergeCell ref="F45:I45"/>
    <mergeCell ref="F55:I55"/>
    <mergeCell ref="A1:G1"/>
    <mergeCell ref="F3:G3"/>
    <mergeCell ref="F9:G9"/>
    <mergeCell ref="A19:D19"/>
    <mergeCell ref="A30:D30"/>
  </mergeCells>
  <phoneticPr fontId="1" type="noConversion"/>
  <conditionalFormatting sqref="G17 D64:D67 I57:I61 I47:I53 I40:I43 I30:I36 I21:I26 D7:D17 D57:D60 D45:D53 D39:D41 D32:D35 D21:D28 I65:I67">
    <cfRule type="iconSet" priority="2">
      <iconSet iconSet="3Arrows">
        <cfvo type="percentile" val="0"/>
        <cfvo type="num" val="-50"/>
        <cfvo type="num" val="50"/>
      </iconSet>
    </cfRule>
  </conditionalFormatting>
  <printOptions horizontalCentered="1"/>
  <pageMargins left="0.5" right="0.5" top="0.6" bottom="0.5" header="0.5" footer="0.5"/>
  <pageSetup scale="84" fitToHeight="0" orientation="portrait" r:id="rId1"/>
  <headerFooter alignWithMargins="0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irectSourceMarket xmlns="e5d022ff-4ce9-4922-b5a4-f245e35e2aac">english</DirectSourceMarket>
    <ApprovalStatus xmlns="e5d022ff-4ce9-4922-b5a4-f245e35e2aac">InProgress</ApprovalStatus>
    <MarketSpecific xmlns="e5d022ff-4ce9-4922-b5a4-f245e35e2aac" xsi:nil="true"/>
    <PrimaryImageGen xmlns="e5d022ff-4ce9-4922-b5a4-f245e35e2aac">true</PrimaryImageGen>
    <ThumbnailAssetId xmlns="e5d022ff-4ce9-4922-b5a4-f245e35e2aac" xsi:nil="true"/>
    <NumericId xmlns="e5d022ff-4ce9-4922-b5a4-f245e35e2aac">-1</NumericId>
    <TPFriendlyName xmlns="e5d022ff-4ce9-4922-b5a4-f245e35e2aac">Monthly family budget</TPFriendlyName>
    <BusinessGroup xmlns="e5d022ff-4ce9-4922-b5a4-f245e35e2aac" xsi:nil="true"/>
    <APEditor xmlns="e5d022ff-4ce9-4922-b5a4-f245e35e2aac">
      <UserInfo>
        <DisplayName>REDMOND\v-luannv</DisplayName>
        <AccountId>102</AccountId>
        <AccountType/>
      </UserInfo>
    </APEditor>
    <SourceTitle xmlns="e5d022ff-4ce9-4922-b5a4-f245e35e2aac">Monthly family budget</SourceTitle>
    <OpenTemplate xmlns="e5d022ff-4ce9-4922-b5a4-f245e35e2aac">true</OpenTemplate>
    <UALocComments xmlns="e5d022ff-4ce9-4922-b5a4-f245e35e2aac" xsi:nil="true"/>
    <ParentAssetId xmlns="e5d022ff-4ce9-4922-b5a4-f245e35e2aac" xsi:nil="true"/>
    <PublishStatusLookup xmlns="e5d022ff-4ce9-4922-b5a4-f245e35e2aac">
      <Value>36513</Value>
      <Value>415569</Value>
    </PublishStatusLookup>
    <IntlLangReviewDate xmlns="e5d022ff-4ce9-4922-b5a4-f245e35e2aac" xsi:nil="true"/>
    <LastPublishResultLookup xmlns="e5d022ff-4ce9-4922-b5a4-f245e35e2aac" xsi:nil="true"/>
    <MachineTranslated xmlns="e5d022ff-4ce9-4922-b5a4-f245e35e2aac">false</MachineTranslated>
    <OriginalSourceMarket xmlns="e5d022ff-4ce9-4922-b5a4-f245e35e2aac">english</OriginalSourceMarket>
    <TPInstallLocation xmlns="e5d022ff-4ce9-4922-b5a4-f245e35e2aac">{My Templates}</TPInstallLocation>
    <ClipArtFilename xmlns="e5d022ff-4ce9-4922-b5a4-f245e35e2aac" xsi:nil="true"/>
    <ContentItem xmlns="e5d022ff-4ce9-4922-b5a4-f245e35e2aac" xsi:nil="true"/>
    <APDescription xmlns="e5d022ff-4ce9-4922-b5a4-f245e35e2aac" xsi:nil="true"/>
    <APAuthor xmlns="e5d022ff-4ce9-4922-b5a4-f245e35e2aac">
      <UserInfo>
        <DisplayName>REDMOND\cynvey</DisplayName>
        <AccountId>174</AccountId>
        <AccountType/>
      </UserInfo>
    </APAuthor>
    <TPAppVersion xmlns="e5d022ff-4ce9-4922-b5a4-f245e35e2aac">11</TPAppVersion>
    <TPCommandLine xmlns="e5d022ff-4ce9-4922-b5a4-f245e35e2aac">{XL} /t {FilePath}</TPCommandLine>
    <EditorialStatus xmlns="e5d022ff-4ce9-4922-b5a4-f245e35e2aac" xsi:nil="true"/>
    <PublishTargets xmlns="e5d022ff-4ce9-4922-b5a4-f245e35e2aac">OfficeOnline</PublishTargets>
    <TPLaunchHelpLinkType xmlns="e5d022ff-4ce9-4922-b5a4-f245e35e2aac">Template</TPLaunchHelpLinkType>
    <TimesCloned xmlns="e5d022ff-4ce9-4922-b5a4-f245e35e2aac" xsi:nil="true"/>
    <LastModifiedDateTime xmlns="e5d022ff-4ce9-4922-b5a4-f245e35e2aac" xsi:nil="true"/>
    <Provider xmlns="e5d022ff-4ce9-4922-b5a4-f245e35e2aac">EY006220130</Provider>
    <AcquiredFrom xmlns="e5d022ff-4ce9-4922-b5a4-f245e35e2aac" xsi:nil="true"/>
    <AssetStart xmlns="e5d022ff-4ce9-4922-b5a4-f245e35e2aac">2009-01-02T00:00:00+00:00</AssetStart>
    <LastHandOff xmlns="e5d022ff-4ce9-4922-b5a4-f245e35e2aac" xsi:nil="true"/>
    <TPClientViewer xmlns="e5d022ff-4ce9-4922-b5a4-f245e35e2aac">Microsoft Office Excel</TPClientViewer>
    <ArtSampleDocs xmlns="e5d022ff-4ce9-4922-b5a4-f245e35e2aac" xsi:nil="true"/>
    <UACurrentWords xmlns="e5d022ff-4ce9-4922-b5a4-f245e35e2aac">0</UACurrentWords>
    <UALocRecommendation xmlns="e5d022ff-4ce9-4922-b5a4-f245e35e2aac">Localize</UALocRecommendation>
    <IsDeleted xmlns="e5d022ff-4ce9-4922-b5a4-f245e35e2aac">false</IsDeleted>
    <ShowIn xmlns="e5d022ff-4ce9-4922-b5a4-f245e35e2aac">Show everywhere</ShowIn>
    <UANotes xmlns="e5d022ff-4ce9-4922-b5a4-f245e35e2aac">SEO Pilot 2008. O14_beta1</UANotes>
    <TemplateStatus xmlns="e5d022ff-4ce9-4922-b5a4-f245e35e2aac" xsi:nil="true"/>
    <VoteCount xmlns="e5d022ff-4ce9-4922-b5a4-f245e35e2aac" xsi:nil="true"/>
    <CSXHash xmlns="e5d022ff-4ce9-4922-b5a4-f245e35e2aac" xsi:nil="true"/>
    <AssetExpire xmlns="e5d022ff-4ce9-4922-b5a4-f245e35e2aac">2029-05-12T00:00:00+00:00</AssetExpire>
    <DSATActionTaken xmlns="e5d022ff-4ce9-4922-b5a4-f245e35e2aac" xsi:nil="true"/>
    <CSXSubmissionMarket xmlns="e5d022ff-4ce9-4922-b5a4-f245e35e2aac" xsi:nil="true"/>
    <SubmitterId xmlns="e5d022ff-4ce9-4922-b5a4-f245e35e2aac" xsi:nil="true"/>
    <TPExecutable xmlns="e5d022ff-4ce9-4922-b5a4-f245e35e2aac" xsi:nil="true"/>
    <AssetType xmlns="e5d022ff-4ce9-4922-b5a4-f245e35e2aac">TP</AssetType>
    <CSXUpdate xmlns="e5d022ff-4ce9-4922-b5a4-f245e35e2aac">false</CSXUpdate>
    <BugNumber xmlns="e5d022ff-4ce9-4922-b5a4-f245e35e2aac" xsi:nil="true"/>
    <CSXSubmissionDate xmlns="e5d022ff-4ce9-4922-b5a4-f245e35e2aac" xsi:nil="true"/>
    <ApprovalLog xmlns="e5d022ff-4ce9-4922-b5a4-f245e35e2aac" xsi:nil="true"/>
    <Milestone xmlns="e5d022ff-4ce9-4922-b5a4-f245e35e2aac" xsi:nil="true"/>
    <TPComponent xmlns="e5d022ff-4ce9-4922-b5a4-f245e35e2aac">EXCELFiles</TPComponent>
    <OriginAsset xmlns="e5d022ff-4ce9-4922-b5a4-f245e35e2aac" xsi:nil="true"/>
    <AssetId xmlns="e5d022ff-4ce9-4922-b5a4-f245e35e2aac">TP010188408</AssetId>
    <TPApplication xmlns="e5d022ff-4ce9-4922-b5a4-f245e35e2aac">Excel</TPApplication>
    <TPLaunchHelpLink xmlns="e5d022ff-4ce9-4922-b5a4-f245e35e2aac" xsi:nil="true"/>
    <IntlLocPriority xmlns="e5d022ff-4ce9-4922-b5a4-f245e35e2aac" xsi:nil="true"/>
    <IntlLangReviewer xmlns="e5d022ff-4ce9-4922-b5a4-f245e35e2aac" xsi:nil="true"/>
    <PlannedPubDate xmlns="e5d022ff-4ce9-4922-b5a4-f245e35e2aac" xsi:nil="true"/>
    <CrawlForDependencies xmlns="e5d022ff-4ce9-4922-b5a4-f245e35e2aac">false</CrawlForDependencies>
    <HandoffToMSDN xmlns="e5d022ff-4ce9-4922-b5a4-f245e35e2aac" xsi:nil="true"/>
    <TrustLevel xmlns="e5d022ff-4ce9-4922-b5a4-f245e35e2aac">1 Microsoft Managed Content</TrustLevel>
    <IsSearchable xmlns="e5d022ff-4ce9-4922-b5a4-f245e35e2aac">false</IsSearchable>
    <TPNamespace xmlns="e5d022ff-4ce9-4922-b5a4-f245e35e2aac">EXCEL</TPNamespace>
    <Markets xmlns="e5d022ff-4ce9-4922-b5a4-f245e35e2aac"/>
    <IntlLangReview xmlns="e5d022ff-4ce9-4922-b5a4-f245e35e2aac" xsi:nil="true"/>
    <OutputCachingOn xmlns="e5d022ff-4ce9-4922-b5a4-f245e35e2aac">false</OutputCachingOn>
    <UAProjectedTotalWords xmlns="e5d022ff-4ce9-4922-b5a4-f245e35e2aac" xsi:nil="true"/>
    <OOCacheId xmlns="e5d022ff-4ce9-4922-b5a4-f245e35e2aac" xsi:nil="true"/>
    <Downloads xmlns="e5d022ff-4ce9-4922-b5a4-f245e35e2aac">0</Downloads>
    <EditorialTags xmlns="e5d022ff-4ce9-4922-b5a4-f245e35e2aac" xsi:nil="true"/>
    <Manager xmlns="e5d022ff-4ce9-4922-b5a4-f245e35e2aac" xsi:nil="true"/>
    <LegacyData xmlns="e5d022ff-4ce9-4922-b5a4-f245e35e2aac" xsi:nil="true"/>
    <Providers xmlns="e5d022ff-4ce9-4922-b5a4-f245e35e2aac" xsi:nil="true"/>
    <PolicheckWords xmlns="e5d022ff-4ce9-4922-b5a4-f245e35e2aac" xsi:nil="true"/>
    <FriendlyTitle xmlns="e5d022ff-4ce9-4922-b5a4-f245e35e2aac" xsi:nil="true"/>
    <TemplateTemplateType xmlns="e5d022ff-4ce9-4922-b5a4-f245e35e2aac">Excel - Macro 12 Default</TemplateTemplateType>
    <BlockPublish xmlns="e5d022ff-4ce9-4922-b5a4-f245e35e2aac" xsi:nil="true"/>
    <LocOverallPublishStatusLookup xmlns="e5d022ff-4ce9-4922-b5a4-f245e35e2aac" xsi:nil="true"/>
    <LocOverallHandbackStatusLookup xmlns="e5d022ff-4ce9-4922-b5a4-f245e35e2aac" xsi:nil="true"/>
    <InternalTagsTaxHTField0 xmlns="e5d022ff-4ce9-4922-b5a4-f245e35e2aac">
      <Terms xmlns="http://schemas.microsoft.com/office/infopath/2007/PartnerControls"/>
    </InternalTagsTaxHTField0>
    <LocComments xmlns="e5d022ff-4ce9-4922-b5a4-f245e35e2aac" xsi:nil="true"/>
    <RecommendationsModifier xmlns="e5d022ff-4ce9-4922-b5a4-f245e35e2aac" xsi:nil="true"/>
    <LocOverallPreviewStatusLookup xmlns="e5d022ff-4ce9-4922-b5a4-f245e35e2aac" xsi:nil="true"/>
    <LocLastLocAttemptVersionLookup xmlns="e5d022ff-4ce9-4922-b5a4-f245e35e2aac">47237</LocLastLocAttemptVersionLookup>
    <LocLastLocAttemptVersionTypeLookup xmlns="e5d022ff-4ce9-4922-b5a4-f245e35e2aac" xsi:nil="true"/>
    <LocManualTestRequired xmlns="e5d022ff-4ce9-4922-b5a4-f245e35e2aac" xsi:nil="true"/>
    <LocProcessedForHandoffsLookup xmlns="e5d022ff-4ce9-4922-b5a4-f245e35e2aac" xsi:nil="true"/>
    <LocalizationTagsTaxHTField0 xmlns="e5d022ff-4ce9-4922-b5a4-f245e35e2aac">
      <Terms xmlns="http://schemas.microsoft.com/office/infopath/2007/PartnerControls"/>
    </LocalizationTagsTaxHTField0>
    <ScenarioTagsTaxHTField0 xmlns="e5d022ff-4ce9-4922-b5a4-f245e35e2aac">
      <Terms xmlns="http://schemas.microsoft.com/office/infopath/2007/PartnerControls"/>
    </ScenarioTagsTaxHTField0>
    <LocPublishedLinkedAssetsLookup xmlns="e5d022ff-4ce9-4922-b5a4-f245e35e2aac" xsi:nil="true"/>
    <LocNewPublishedVersionLookup xmlns="e5d022ff-4ce9-4922-b5a4-f245e35e2aac" xsi:nil="true"/>
    <LocProcessedForMarketsLookup xmlns="e5d022ff-4ce9-4922-b5a4-f245e35e2aac" xsi:nil="true"/>
    <LocRecommendedHandoff xmlns="e5d022ff-4ce9-4922-b5a4-f245e35e2aac" xsi:nil="true"/>
    <FeatureTagsTaxHTField0 xmlns="e5d022ff-4ce9-4922-b5a4-f245e35e2aac">
      <Terms xmlns="http://schemas.microsoft.com/office/infopath/2007/PartnerControls"/>
    </FeatureTagsTaxHTField0>
    <LocOverallLocStatusLookup xmlns="e5d022ff-4ce9-4922-b5a4-f245e35e2aac" xsi:nil="true"/>
    <TaxCatchAll xmlns="e5d022ff-4ce9-4922-b5a4-f245e35e2aac"/>
    <LocPublishedDependentAssetsLookup xmlns="e5d022ff-4ce9-4922-b5a4-f245e35e2aac" xsi:nil="true"/>
    <CampaignTagsTaxHTField0 xmlns="e5d022ff-4ce9-4922-b5a4-f245e35e2aac">
      <Terms xmlns="http://schemas.microsoft.com/office/infopath/2007/PartnerControls"/>
    </CampaignTagsTaxHTField0>
    <OriginalRelease xmlns="e5d022ff-4ce9-4922-b5a4-f245e35e2aac">14</OriginalRelease>
    <LocMarketGroupTiers2 xmlns="e5d022ff-4ce9-4922-b5a4-f245e35e2aa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D582A604-33CC-4794-ACEB-EF9AABCAFE0A}"/>
</file>

<file path=customXml/itemProps2.xml><?xml version="1.0" encoding="utf-8"?>
<ds:datastoreItem xmlns:ds="http://schemas.openxmlformats.org/officeDocument/2006/customXml" ds:itemID="{468251D0-C702-43CE-8B31-2F79CF473C65}"/>
</file>

<file path=customXml/itemProps3.xml><?xml version="1.0" encoding="utf-8"?>
<ds:datastoreItem xmlns:ds="http://schemas.openxmlformats.org/officeDocument/2006/customXml" ds:itemID="{4A2BC312-C064-40DD-B7B4-016245B1156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Orçamento familiar mensal</vt:lpstr>
      <vt:lpstr>'Orçamento familiar mensal'!Print_Area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Monthly family budget</dc:title>
  <dc:creator/>
  <cp:lastModifiedBy/>
  <dcterms:created xsi:type="dcterms:W3CDTF">2006-07-31T18:48:47Z</dcterms:created>
  <dcterms:modified xsi:type="dcterms:W3CDTF">2012-05-24T14:55:08Z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ImageGenCounter">
    <vt:i4>0</vt:i4>
  </property>
  <property fmtid="{D5CDD505-2E9C-101B-9397-08002B2CF9AE}" pid="4" name="ViolationReportStatus">
    <vt:lpwstr>None</vt:lpwstr>
  </property>
  <property fmtid="{D5CDD505-2E9C-101B-9397-08002B2CF9AE}" pid="5" name="ImageGenStatus">
    <vt:i4>0</vt:i4>
  </property>
  <property fmtid="{D5CDD505-2E9C-101B-9397-08002B2CF9AE}" pid="6" name="PolicheckStatus">
    <vt:i4>0</vt:i4>
  </property>
  <property fmtid="{D5CDD505-2E9C-101B-9397-08002B2CF9AE}" pid="7" name="Applications">
    <vt:lpwstr>11;#Excel 12;#67;#Template 12;#427;#Template 14;#393;#Excel 14</vt:lpwstr>
  </property>
  <property fmtid="{D5CDD505-2E9C-101B-9397-08002B2CF9AE}" pid="8" name="PolicheckCounter">
    <vt:i4>0</vt:i4>
  </property>
  <property fmtid="{D5CDD505-2E9C-101B-9397-08002B2CF9AE}" pid="9" name="APTrustLevel">
    <vt:r8>1</vt:r8>
  </property>
  <property fmtid="{D5CDD505-2E9C-101B-9397-08002B2CF9AE}" pid="10" name="Order">
    <vt:r8>2325500</vt:r8>
  </property>
  <property fmtid="{D5CDD505-2E9C-101B-9397-08002B2CF9AE}" pid="11" name="HiddenCategoryTags">
    <vt:lpwstr/>
  </property>
  <property fmtid="{D5CDD505-2E9C-101B-9397-08002B2CF9AE}" pid="12" name="InternalTags">
    <vt:lpwstr/>
  </property>
  <property fmtid="{D5CDD505-2E9C-101B-9397-08002B2CF9AE}" pid="13" name="FeatureTags">
    <vt:lpwstr/>
  </property>
  <property fmtid="{D5CDD505-2E9C-101B-9397-08002B2CF9AE}" pid="14" name="LocalizationTags">
    <vt:lpwstr/>
  </property>
  <property fmtid="{D5CDD505-2E9C-101B-9397-08002B2CF9AE}" pid="15" name="CategoryTags">
    <vt:lpwstr/>
  </property>
  <property fmtid="{D5CDD505-2E9C-101B-9397-08002B2CF9AE}" pid="16" name="CampaignTags">
    <vt:lpwstr/>
  </property>
  <property fmtid="{D5CDD505-2E9C-101B-9397-08002B2CF9AE}" pid="17" name="ScenarioTags">
    <vt:lpwstr/>
  </property>
</Properties>
</file>